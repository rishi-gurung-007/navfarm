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harumbira\Documents\NAVFARM\Resource Master Templates\"/>
    </mc:Choice>
  </mc:AlternateContent>
  <xr:revisionPtr revIDLastSave="0" documentId="13_ncr:1_{6BF18BDE-9F94-429B-B4C9-3579A4E8E79E}" xr6:coauthVersionLast="47" xr6:coauthVersionMax="47" xr10:uidLastSave="{00000000-0000-0000-0000-000000000000}"/>
  <bookViews>
    <workbookView xWindow="-108" yWindow="-108" windowWidth="23256" windowHeight="13896" xr2:uid="{E062E5F6-88B1-42C3-81F4-BB4F61C462A5}"/>
  </bookViews>
  <sheets>
    <sheet name="Resourc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39" i="2" l="1"/>
  <c r="Q40" i="2" s="1"/>
  <c r="Q3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tc={5479639C-BD95-4E38-95EB-D826C1662CC3}</author>
    <author>user</author>
  </authors>
  <commentList>
    <comment ref="F6" authorId="0" shapeId="0" xr:uid="{5479639C-BD95-4E38-95EB-D826C1662C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ᴀ ᴍᴀᴛʀɪx ᴛᴏ ʀᴇᴄʜᴀʀɢᴇ ᴇʟᴇᴄᴛʀɪᴄɪᴛʏ, ᴅɪᴇsᴇʟ, ᴡᴀᴛᴇʀ ᴀɴᴅ ᴏᴛʜᴇʀ ᴜᴛɪʟɪᴛɪᴇs </t>
      </text>
    </comment>
    <comment ref="Q18" authorId="1" shapeId="0" xr:uid="{CE10BA35-1F9D-4343-986B-009065028C6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Generator to be serviced on hour meter readings</t>
        </r>
      </text>
    </comment>
    <comment ref="Q42" authorId="1" shapeId="0" xr:uid="{AE2E42F4-96D0-4002-8D1C-207B0A54817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Tractor to be serviced on hour meter readings</t>
        </r>
      </text>
    </comment>
  </commentList>
</comments>
</file>

<file path=xl/sharedStrings.xml><?xml version="1.0" encoding="utf-8"?>
<sst xmlns="http://schemas.openxmlformats.org/spreadsheetml/2006/main" count="274" uniqueCount="127">
  <si>
    <t>Field Name</t>
  </si>
  <si>
    <t>Resource Code</t>
  </si>
  <si>
    <t>Resource Name</t>
  </si>
  <si>
    <t>Resource Type</t>
  </si>
  <si>
    <t>Cost Per Unit</t>
  </si>
  <si>
    <t>Cost UOM</t>
  </si>
  <si>
    <t>Cost Element</t>
  </si>
  <si>
    <t>GL Cost Account</t>
  </si>
  <si>
    <t>Employee ID</t>
  </si>
  <si>
    <t>Department</t>
  </si>
  <si>
    <t>Designation</t>
  </si>
  <si>
    <t>Asset Code</t>
  </si>
  <si>
    <t>Equipment Capacity</t>
  </si>
  <si>
    <t>Capacity UOM</t>
  </si>
  <si>
    <t>Next Service Date</t>
  </si>
  <si>
    <t>License Expiry</t>
  </si>
  <si>
    <t>Description</t>
  </si>
  <si>
    <t>Short unique code per tenant.</t>
  </si>
  <si>
    <t>Full name of person or equipment.</t>
  </si>
  <si>
    <t>MANPOWER / EQUIPMENT / VEHICLE / UTILITY / OTHER.</t>
  </si>
  <si>
    <t>Cost per UOM in company base currency.</t>
  </si>
  <si>
    <t>Cost UOM. Lookup from uom_master.</t>
  </si>
  <si>
    <t>GL cost classification. DIRECT_LABOR / INDIRECT_LABOR / EQUIPMENT_HIRE / FUEL / MAINTENANCE.</t>
  </si>
  <si>
    <t>GL account for resource costs. Lookup from COA.</t>
  </si>
  <si>
    <t xml:space="preserve">HR employee or payroll ID for MANPOWER. </t>
  </si>
  <si>
    <t>Department or team.</t>
  </si>
  <si>
    <t>Job title for MANPOWER.</t>
  </si>
  <si>
    <t>Fixed asset code for EQUIPMENT.</t>
  </si>
  <si>
    <t>Equipment capacity.</t>
  </si>
  <si>
    <t>Capacity UOM. Lookup from uom_master.</t>
  </si>
  <si>
    <t>Next maintenance date.</t>
  </si>
  <si>
    <t>License expiry date. Alert 30 days before.</t>
  </si>
  <si>
    <t>Example Value</t>
  </si>
  <si>
    <t>FARM_WORKER_01</t>
  </si>
  <si>
    <t>Farm Worker / Dr Rajesh Vet</t>
  </si>
  <si>
    <t>MANPOWER</t>
  </si>
  <si>
    <t>150.0000</t>
  </si>
  <si>
    <t>HOUR / DAY / VISIT</t>
  </si>
  <si>
    <t>DIRECT_LABOR</t>
  </si>
  <si>
    <t>7200</t>
  </si>
  <si>
    <t>EMP-001</t>
  </si>
  <si>
    <t>Farm Operations</t>
  </si>
  <si>
    <t>Senior Farm Worker</t>
  </si>
  <si>
    <t>EQP-PELLETISER-01</t>
  </si>
  <si>
    <t>5000.0000</t>
  </si>
  <si>
    <t>KG_PER_HOUR</t>
  </si>
  <si>
    <t>2025-06-01</t>
  </si>
  <si>
    <t>2026-03-31</t>
  </si>
  <si>
    <t>Mandatory</t>
  </si>
  <si>
    <t>YES</t>
  </si>
  <si>
    <t>NO</t>
  </si>
  <si>
    <t>Water pump</t>
  </si>
  <si>
    <t>Heaters</t>
  </si>
  <si>
    <t>Tractor</t>
  </si>
  <si>
    <t>Equipment</t>
  </si>
  <si>
    <t>Generator</t>
  </si>
  <si>
    <t>Scales</t>
  </si>
  <si>
    <t>n/a</t>
  </si>
  <si>
    <t>Electricity</t>
  </si>
  <si>
    <t xml:space="preserve">Number </t>
  </si>
  <si>
    <t>Number of equipment</t>
  </si>
  <si>
    <t xml:space="preserve">Manpower </t>
  </si>
  <si>
    <t>Borehole Pumps</t>
  </si>
  <si>
    <t>cost of goods in the GL</t>
  </si>
  <si>
    <t>HP</t>
  </si>
  <si>
    <t>Diesel</t>
  </si>
  <si>
    <t>KVA</t>
  </si>
  <si>
    <t>PGEN - 01</t>
  </si>
  <si>
    <t>PWH - 01</t>
  </si>
  <si>
    <t>PWH - 02</t>
  </si>
  <si>
    <t>PWH - 03</t>
  </si>
  <si>
    <t>PWH - 04</t>
  </si>
  <si>
    <t>PWH - 05</t>
  </si>
  <si>
    <t>PWH - 06</t>
  </si>
  <si>
    <t>KW</t>
  </si>
  <si>
    <t>Cooling Pad</t>
  </si>
  <si>
    <t>UV System</t>
  </si>
  <si>
    <t>INFRA-RED HEAT LAMPS</t>
  </si>
  <si>
    <t>Service</t>
  </si>
  <si>
    <t>PCool Pads - 01</t>
  </si>
  <si>
    <t>PCool Pads - 02</t>
  </si>
  <si>
    <t>PCool Pads - 03</t>
  </si>
  <si>
    <t>PCool Pads - 04</t>
  </si>
  <si>
    <t>PCool Pads - 05</t>
  </si>
  <si>
    <t>PCool Pads - 06</t>
  </si>
  <si>
    <t>PTT75</t>
  </si>
  <si>
    <t>PUV Styem</t>
  </si>
  <si>
    <t>BCN285</t>
  </si>
  <si>
    <t>HRN366</t>
  </si>
  <si>
    <t>BCN296</t>
  </si>
  <si>
    <t>NSC1024</t>
  </si>
  <si>
    <t>PWP-01</t>
  </si>
  <si>
    <t>PWP-02</t>
  </si>
  <si>
    <t>PWP-03</t>
  </si>
  <si>
    <t>PWP-04</t>
  </si>
  <si>
    <t>PWP-05</t>
  </si>
  <si>
    <t>PBH - 01</t>
  </si>
  <si>
    <t>PBH - 02</t>
  </si>
  <si>
    <t>PBH - 03</t>
  </si>
  <si>
    <t>PBH - 04</t>
  </si>
  <si>
    <t>PIRL</t>
  </si>
  <si>
    <t>PS1</t>
  </si>
  <si>
    <t>PS2</t>
  </si>
  <si>
    <t>PS3</t>
  </si>
  <si>
    <t>PS4</t>
  </si>
  <si>
    <t>PS5</t>
  </si>
  <si>
    <t>PS6</t>
  </si>
  <si>
    <t>PCP1</t>
  </si>
  <si>
    <t>PCP2</t>
  </si>
  <si>
    <t>PCP3</t>
  </si>
  <si>
    <t>PCP4</t>
  </si>
  <si>
    <t>PCP5</t>
  </si>
  <si>
    <t>PCP6</t>
  </si>
  <si>
    <t>PUVS</t>
  </si>
  <si>
    <t>cost centre</t>
  </si>
  <si>
    <t>COST CENTRE IN D365</t>
  </si>
  <si>
    <t>FA-PE000006237</t>
  </si>
  <si>
    <t>FA-PE000008887</t>
  </si>
  <si>
    <t>FA-PE000008888</t>
  </si>
  <si>
    <t>FA-PE000008889</t>
  </si>
  <si>
    <t>FA-PE000008890</t>
  </si>
  <si>
    <t>FA-PE000008891</t>
  </si>
  <si>
    <t>FA-PE000008892</t>
  </si>
  <si>
    <t>FA-PE000006100</t>
  </si>
  <si>
    <t>FA-PE000006101</t>
  </si>
  <si>
    <t>FA-PE000006102</t>
  </si>
  <si>
    <t>FA-PE000006103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</si>
</sst>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9" x14ac:knownFonts="1">
    <font>
      <sz val="11"/>
      <color theme="1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b/>
      <sz val="9"/>
      <color rgb="FF2C3E50"/>
      <name val="Aptos Narrow"/>
      <family val="2"/>
      <scheme val="minor"/>
    </font>
    <font>
      <sz val="9"/>
      <color rgb="FF2C3E50"/>
      <name val="Aptos Narrow"/>
      <family val="2"/>
      <scheme val="minor"/>
    </font>
    <font>
      <sz val="9"/>
      <color rgb="FFC0392B"/>
      <name val="Aptos Narrow"/>
      <family val="2"/>
      <scheme val="minor"/>
    </font>
    <font>
      <sz val="8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6EAF8"/>
      </patternFill>
    </fill>
    <fill>
      <patternFill patternType="solid">
        <fgColor rgb="FFF2F3F4"/>
      </patternFill>
    </fill>
    <fill>
      <patternFill patternType="solid">
        <fgColor rgb="FFFFFFFF"/>
      </patternFill>
    </fill>
    <fill>
      <patternFill patternType="solid">
        <fgColor rgb="FF2E86C1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6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15" fontId="3" fillId="0" borderId="0" xfId="0" applyNumberFormat="1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49" fontId="8" fillId="8" borderId="2" xfId="0" applyNumberFormat="1" applyFont="1" applyFill="1" applyBorder="1"/>
    <xf numFmtId="49" fontId="8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nlow Charumbira" id="{A72CE705-F9F8-4F60-83BB-85C01DD2140B}" userId="S::mcharumbira@colcom.co.zw::4094f83b-915d-4a2c-b385-acdf236c45c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6" dT="2026-09-08T08:41:49.39" personId="{A72CE705-F9F8-4F60-83BB-85C01DD2140B}" id="{5479639C-BD95-4E38-95EB-D826C1662CC3}">
    <text xml:space="preserve">ᴀ ᴍᴀᴛʀɪx ᴛᴏ ʀᴇᴄʜᴀʀɢᴇ ᴇʟᴇᴄᴛʀɪᴄɪᴛʏ, ᴅɪᴇsᴇʟ, ᴡᴀᴛᴇʀ ᴀɴᴅ ᴏᴛʜᴇʀ ᴜᴛɪʟɪᴛɪᴇs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F11F2-AF37-47BD-A850-271B4B6637CB}">
  <dimension ref="A1:S55"/>
  <sheetViews>
    <sheetView tabSelected="1" zoomScale="80" workbookViewId="0">
      <pane xSplit="3" ySplit="1" topLeftCell="D16" activePane="bottomRight" state="frozen"/>
      <selection pane="topRight" activeCell="D1" sqref="D1"/>
      <selection pane="bottomLeft" activeCell="A2" sqref="A2"/>
      <selection pane="bottomRight" activeCell="I53" sqref="I53"/>
    </sheetView>
  </sheetViews>
  <sheetFormatPr defaultColWidth="21.109375" defaultRowHeight="14.4" x14ac:dyDescent="0.3"/>
  <cols>
    <col min="1" max="1" width="10.88671875" bestFit="1" customWidth="1"/>
    <col min="2" max="2" width="20.109375" style="19" bestFit="1" customWidth="1"/>
    <col min="3" max="3" width="19.44140625" bestFit="1" customWidth="1"/>
    <col min="4" max="4" width="19.44140625" customWidth="1"/>
    <col min="5" max="5" width="19.109375" bestFit="1" customWidth="1"/>
    <col min="6" max="6" width="18.5546875" bestFit="1" customWidth="1"/>
    <col min="7" max="7" width="17.5546875" bestFit="1" customWidth="1"/>
    <col min="8" max="8" width="18.109375" bestFit="1" customWidth="1"/>
    <col min="9" max="9" width="18.109375" customWidth="1"/>
    <col min="11" max="11" width="19.5546875" bestFit="1" customWidth="1"/>
    <col min="12" max="12" width="20.88671875" bestFit="1" customWidth="1"/>
    <col min="13" max="13" width="20.6640625" bestFit="1" customWidth="1"/>
    <col min="14" max="14" width="17.44140625" bestFit="1" customWidth="1"/>
    <col min="15" max="15" width="20.5546875" bestFit="1" customWidth="1"/>
    <col min="16" max="16" width="19.109375" bestFit="1" customWidth="1"/>
    <col min="17" max="17" width="20.33203125" bestFit="1" customWidth="1"/>
    <col min="18" max="18" width="19.109375" bestFit="1" customWidth="1"/>
  </cols>
  <sheetData>
    <row r="1" spans="1:19" x14ac:dyDescent="0.3">
      <c r="A1" s="10" t="s">
        <v>0</v>
      </c>
      <c r="B1" s="6" t="s">
        <v>1</v>
      </c>
      <c r="C1" s="9" t="s">
        <v>2</v>
      </c>
      <c r="D1" s="9" t="s">
        <v>59</v>
      </c>
      <c r="E1" s="8" t="s">
        <v>3</v>
      </c>
      <c r="F1" s="9" t="s">
        <v>4</v>
      </c>
      <c r="G1" s="7" t="s">
        <v>5</v>
      </c>
      <c r="H1" s="9" t="s">
        <v>6</v>
      </c>
      <c r="I1" s="20" t="s">
        <v>114</v>
      </c>
      <c r="J1" s="7" t="s">
        <v>7</v>
      </c>
      <c r="K1" s="9" t="s">
        <v>8</v>
      </c>
      <c r="L1" s="8" t="s">
        <v>9</v>
      </c>
      <c r="M1" s="9" t="s">
        <v>10</v>
      </c>
      <c r="N1" s="8" t="s">
        <v>11</v>
      </c>
      <c r="O1" s="9" t="s">
        <v>12</v>
      </c>
      <c r="P1" s="7" t="s">
        <v>13</v>
      </c>
      <c r="Q1" s="9" t="s">
        <v>14</v>
      </c>
      <c r="R1" s="8" t="s">
        <v>15</v>
      </c>
    </row>
    <row r="2" spans="1:19" ht="60" x14ac:dyDescent="0.3">
      <c r="A2" s="10" t="s">
        <v>16</v>
      </c>
      <c r="B2" s="6" t="s">
        <v>17</v>
      </c>
      <c r="C2" s="4" t="s">
        <v>18</v>
      </c>
      <c r="D2" s="4" t="s">
        <v>60</v>
      </c>
      <c r="E2" s="6" t="s">
        <v>19</v>
      </c>
      <c r="F2" s="4" t="s">
        <v>20</v>
      </c>
      <c r="G2" s="5" t="s">
        <v>21</v>
      </c>
      <c r="H2" s="4" t="s">
        <v>22</v>
      </c>
      <c r="I2" s="21" t="s">
        <v>115</v>
      </c>
      <c r="J2" s="5" t="s">
        <v>23</v>
      </c>
      <c r="K2" s="4" t="s">
        <v>24</v>
      </c>
      <c r="L2" s="6" t="s">
        <v>25</v>
      </c>
      <c r="M2" s="4" t="s">
        <v>26</v>
      </c>
      <c r="N2" s="6" t="s">
        <v>27</v>
      </c>
      <c r="O2" s="4" t="s">
        <v>28</v>
      </c>
      <c r="P2" s="5" t="s">
        <v>29</v>
      </c>
      <c r="Q2" s="4" t="s">
        <v>30</v>
      </c>
      <c r="R2" s="6" t="s">
        <v>31</v>
      </c>
    </row>
    <row r="3" spans="1:19" ht="24" x14ac:dyDescent="0.3">
      <c r="A3" s="10" t="s">
        <v>32</v>
      </c>
      <c r="B3" s="6" t="s">
        <v>33</v>
      </c>
      <c r="C3" s="4" t="s">
        <v>34</v>
      </c>
      <c r="D3" s="4"/>
      <c r="E3" s="6" t="s">
        <v>35</v>
      </c>
      <c r="F3" s="4" t="s">
        <v>36</v>
      </c>
      <c r="G3" s="5" t="s">
        <v>37</v>
      </c>
      <c r="H3" s="4" t="s">
        <v>38</v>
      </c>
      <c r="I3" s="21"/>
      <c r="J3" s="5" t="s">
        <v>39</v>
      </c>
      <c r="K3" s="4" t="s">
        <v>40</v>
      </c>
      <c r="L3" s="6" t="s">
        <v>41</v>
      </c>
      <c r="M3" s="4" t="s">
        <v>42</v>
      </c>
      <c r="N3" s="6" t="s">
        <v>43</v>
      </c>
      <c r="O3" s="4" t="s">
        <v>44</v>
      </c>
      <c r="P3" s="5" t="s">
        <v>45</v>
      </c>
      <c r="Q3" s="4" t="s">
        <v>46</v>
      </c>
      <c r="R3" s="6" t="s">
        <v>47</v>
      </c>
    </row>
    <row r="4" spans="1:19" x14ac:dyDescent="0.3">
      <c r="A4" s="10" t="s">
        <v>48</v>
      </c>
      <c r="B4" s="2" t="s">
        <v>49</v>
      </c>
      <c r="C4" s="3" t="s">
        <v>49</v>
      </c>
      <c r="D4" s="3"/>
      <c r="E4" s="2" t="s">
        <v>49</v>
      </c>
      <c r="F4" s="3" t="s">
        <v>49</v>
      </c>
      <c r="G4" s="1" t="s">
        <v>49</v>
      </c>
      <c r="H4" s="4" t="s">
        <v>50</v>
      </c>
      <c r="I4" s="21"/>
      <c r="J4" s="5" t="s">
        <v>50</v>
      </c>
      <c r="K4" s="4" t="s">
        <v>50</v>
      </c>
      <c r="L4" s="6" t="s">
        <v>50</v>
      </c>
      <c r="M4" s="4" t="s">
        <v>50</v>
      </c>
      <c r="N4" s="6" t="s">
        <v>50</v>
      </c>
      <c r="O4" s="4" t="s">
        <v>50</v>
      </c>
      <c r="P4" s="5" t="s">
        <v>50</v>
      </c>
      <c r="Q4" s="4" t="s">
        <v>50</v>
      </c>
      <c r="R4" s="6" t="s">
        <v>50</v>
      </c>
    </row>
    <row r="5" spans="1:19" x14ac:dyDescent="0.3">
      <c r="H5" s="13"/>
      <c r="I5" s="13"/>
    </row>
    <row r="6" spans="1:19" s="12" customFormat="1" x14ac:dyDescent="0.3">
      <c r="B6" s="13" t="s">
        <v>91</v>
      </c>
      <c r="C6" s="16" t="s">
        <v>51</v>
      </c>
      <c r="D6" s="13">
        <v>1</v>
      </c>
      <c r="E6" s="13" t="s">
        <v>54</v>
      </c>
      <c r="H6" s="13" t="s">
        <v>58</v>
      </c>
      <c r="I6" s="13">
        <v>280</v>
      </c>
      <c r="J6" s="13">
        <v>4755</v>
      </c>
      <c r="L6" s="13" t="s">
        <v>41</v>
      </c>
      <c r="O6" s="13">
        <v>2</v>
      </c>
      <c r="P6" s="13" t="s">
        <v>64</v>
      </c>
      <c r="Q6" s="17">
        <v>46295</v>
      </c>
      <c r="R6" s="13"/>
    </row>
    <row r="7" spans="1:19" s="12" customFormat="1" x14ac:dyDescent="0.3">
      <c r="B7" s="13" t="s">
        <v>92</v>
      </c>
      <c r="C7" s="16" t="s">
        <v>51</v>
      </c>
      <c r="D7" s="13">
        <v>1</v>
      </c>
      <c r="E7" s="13" t="s">
        <v>54</v>
      </c>
      <c r="H7" s="13" t="s">
        <v>58</v>
      </c>
      <c r="I7" s="13">
        <v>280</v>
      </c>
      <c r="J7" s="13">
        <v>4755</v>
      </c>
      <c r="L7" s="13" t="s">
        <v>41</v>
      </c>
      <c r="O7" s="13">
        <v>2</v>
      </c>
      <c r="P7" s="13" t="s">
        <v>64</v>
      </c>
      <c r="Q7" s="17">
        <v>46295</v>
      </c>
      <c r="R7" s="13"/>
    </row>
    <row r="8" spans="1:19" s="12" customFormat="1" x14ac:dyDescent="0.3">
      <c r="B8" s="13" t="s">
        <v>93</v>
      </c>
      <c r="C8" s="16" t="s">
        <v>51</v>
      </c>
      <c r="D8" s="13">
        <v>1</v>
      </c>
      <c r="E8" s="13" t="s">
        <v>54</v>
      </c>
      <c r="H8" s="13" t="s">
        <v>58</v>
      </c>
      <c r="I8" s="13">
        <v>280</v>
      </c>
      <c r="J8" s="13">
        <v>4755</v>
      </c>
      <c r="L8" s="13" t="s">
        <v>41</v>
      </c>
      <c r="O8" s="13">
        <v>2</v>
      </c>
      <c r="P8" s="13" t="s">
        <v>64</v>
      </c>
      <c r="Q8" s="17">
        <v>46295</v>
      </c>
      <c r="R8" s="13"/>
    </row>
    <row r="9" spans="1:19" s="12" customFormat="1" x14ac:dyDescent="0.3">
      <c r="B9" s="13" t="s">
        <v>94</v>
      </c>
      <c r="C9" s="16" t="s">
        <v>51</v>
      </c>
      <c r="D9" s="13">
        <v>1</v>
      </c>
      <c r="E9" s="13" t="s">
        <v>54</v>
      </c>
      <c r="H9" s="13" t="s">
        <v>58</v>
      </c>
      <c r="I9" s="13">
        <v>280</v>
      </c>
      <c r="J9" s="13">
        <v>4755</v>
      </c>
      <c r="L9" s="13" t="s">
        <v>41</v>
      </c>
      <c r="O9" s="13">
        <v>2</v>
      </c>
      <c r="P9" s="13" t="s">
        <v>64</v>
      </c>
      <c r="Q9" s="17">
        <v>46295</v>
      </c>
      <c r="R9" s="13"/>
    </row>
    <row r="10" spans="1:19" s="12" customFormat="1" x14ac:dyDescent="0.3">
      <c r="B10" s="13" t="s">
        <v>95</v>
      </c>
      <c r="C10" s="16" t="s">
        <v>51</v>
      </c>
      <c r="D10" s="13">
        <v>1</v>
      </c>
      <c r="E10" s="13" t="s">
        <v>54</v>
      </c>
      <c r="H10" s="13" t="s">
        <v>58</v>
      </c>
      <c r="I10" s="13">
        <v>280</v>
      </c>
      <c r="J10" s="13">
        <v>4755</v>
      </c>
      <c r="L10" s="13" t="s">
        <v>41</v>
      </c>
      <c r="O10" s="13">
        <v>2</v>
      </c>
      <c r="P10" s="13" t="s">
        <v>64</v>
      </c>
      <c r="Q10" s="17">
        <v>46295</v>
      </c>
      <c r="R10" s="13"/>
    </row>
    <row r="11" spans="1:19" s="12" customFormat="1" x14ac:dyDescent="0.3">
      <c r="B11" s="13"/>
      <c r="C11" s="16"/>
      <c r="D11" s="13"/>
      <c r="E11" s="13"/>
      <c r="H11" s="13"/>
      <c r="I11" s="13"/>
      <c r="J11" s="13"/>
      <c r="L11" s="13"/>
      <c r="O11" s="13"/>
      <c r="P11" s="13"/>
      <c r="Q11" s="17"/>
      <c r="R11" s="13"/>
    </row>
    <row r="12" spans="1:19" s="12" customFormat="1" x14ac:dyDescent="0.3">
      <c r="B12" s="19"/>
      <c r="C12" s="16"/>
      <c r="D12" s="13"/>
      <c r="E12" s="13"/>
      <c r="O12" s="13"/>
      <c r="P12" s="13"/>
      <c r="Q12" s="13"/>
      <c r="R12" s="13"/>
    </row>
    <row r="13" spans="1:19" s="12" customFormat="1" x14ac:dyDescent="0.3">
      <c r="B13" s="13" t="s">
        <v>96</v>
      </c>
      <c r="C13" s="16" t="s">
        <v>62</v>
      </c>
      <c r="D13" s="13">
        <v>1</v>
      </c>
      <c r="E13" s="13" t="s">
        <v>54</v>
      </c>
      <c r="H13" s="13" t="s">
        <v>58</v>
      </c>
      <c r="I13" s="13">
        <v>280</v>
      </c>
      <c r="J13" s="13">
        <v>4755</v>
      </c>
      <c r="L13" s="13" t="s">
        <v>41</v>
      </c>
      <c r="M13" s="13"/>
      <c r="N13" s="23" t="s">
        <v>123</v>
      </c>
      <c r="O13" s="13">
        <v>5</v>
      </c>
      <c r="P13" s="13" t="s">
        <v>64</v>
      </c>
      <c r="Q13" s="17">
        <v>46356</v>
      </c>
      <c r="R13" s="17"/>
      <c r="S13" s="13"/>
    </row>
    <row r="14" spans="1:19" s="12" customFormat="1" x14ac:dyDescent="0.3">
      <c r="B14" s="13" t="s">
        <v>97</v>
      </c>
      <c r="C14" s="16" t="s">
        <v>62</v>
      </c>
      <c r="D14" s="13">
        <v>1</v>
      </c>
      <c r="E14" s="13" t="s">
        <v>54</v>
      </c>
      <c r="H14" s="13" t="s">
        <v>58</v>
      </c>
      <c r="I14" s="13">
        <v>280</v>
      </c>
      <c r="J14" s="13">
        <v>4755</v>
      </c>
      <c r="L14" s="13" t="s">
        <v>41</v>
      </c>
      <c r="M14" s="13"/>
      <c r="N14" s="22" t="s">
        <v>124</v>
      </c>
      <c r="O14" s="13">
        <v>2</v>
      </c>
      <c r="P14" s="13" t="s">
        <v>64</v>
      </c>
      <c r="Q14" s="17">
        <v>46325</v>
      </c>
      <c r="R14" s="17"/>
      <c r="S14" s="13"/>
    </row>
    <row r="15" spans="1:19" s="12" customFormat="1" x14ac:dyDescent="0.3">
      <c r="B15" s="13" t="s">
        <v>98</v>
      </c>
      <c r="C15" s="16" t="s">
        <v>62</v>
      </c>
      <c r="D15" s="13">
        <v>1</v>
      </c>
      <c r="E15" s="13" t="s">
        <v>54</v>
      </c>
      <c r="H15" s="13" t="s">
        <v>58</v>
      </c>
      <c r="I15" s="13">
        <v>280</v>
      </c>
      <c r="J15" s="13">
        <v>4755</v>
      </c>
      <c r="L15" s="13" t="s">
        <v>41</v>
      </c>
      <c r="M15" s="13"/>
      <c r="N15" s="23" t="s">
        <v>125</v>
      </c>
      <c r="O15" s="13">
        <v>1</v>
      </c>
      <c r="P15" s="13" t="s">
        <v>64</v>
      </c>
      <c r="Q15" s="17">
        <v>46325</v>
      </c>
      <c r="R15" s="17"/>
      <c r="S15" s="13"/>
    </row>
    <row r="16" spans="1:19" s="12" customFormat="1" x14ac:dyDescent="0.3">
      <c r="B16" s="13" t="s">
        <v>99</v>
      </c>
      <c r="C16" s="16" t="s">
        <v>62</v>
      </c>
      <c r="D16" s="13">
        <v>1</v>
      </c>
      <c r="E16" s="13" t="s">
        <v>54</v>
      </c>
      <c r="H16" s="13" t="s">
        <v>58</v>
      </c>
      <c r="I16" s="13">
        <v>280</v>
      </c>
      <c r="J16" s="13">
        <v>4755</v>
      </c>
      <c r="L16" s="13" t="s">
        <v>41</v>
      </c>
      <c r="M16" s="13"/>
      <c r="N16" s="22" t="s">
        <v>126</v>
      </c>
      <c r="O16" s="13">
        <v>1</v>
      </c>
      <c r="P16" s="13" t="s">
        <v>64</v>
      </c>
      <c r="Q16" s="17">
        <v>46325</v>
      </c>
      <c r="R16" s="17"/>
      <c r="S16" s="13"/>
    </row>
    <row r="17" spans="2:19" s="12" customFormat="1" x14ac:dyDescent="0.3">
      <c r="B17" s="13"/>
      <c r="C17" s="16"/>
      <c r="D17" s="13"/>
      <c r="E17" s="13"/>
      <c r="H17" s="13"/>
      <c r="I17" s="13">
        <v>280</v>
      </c>
      <c r="J17" s="13">
        <v>4755</v>
      </c>
      <c r="L17" s="13"/>
      <c r="M17" s="13"/>
      <c r="N17" s="13"/>
      <c r="O17" s="13"/>
      <c r="P17" s="13"/>
      <c r="Q17" s="13"/>
      <c r="R17" s="17"/>
      <c r="S17" s="13"/>
    </row>
    <row r="18" spans="2:19" s="12" customFormat="1" x14ac:dyDescent="0.3">
      <c r="B18" s="13" t="s">
        <v>67</v>
      </c>
      <c r="C18" s="16" t="s">
        <v>55</v>
      </c>
      <c r="D18" s="13">
        <v>1</v>
      </c>
      <c r="E18" s="13" t="s">
        <v>54</v>
      </c>
      <c r="H18" s="13" t="s">
        <v>65</v>
      </c>
      <c r="I18" s="13"/>
      <c r="J18" s="13">
        <v>4795</v>
      </c>
      <c r="L18" s="13" t="s">
        <v>41</v>
      </c>
      <c r="N18" s="12" t="s">
        <v>116</v>
      </c>
      <c r="O18" s="13">
        <v>165</v>
      </c>
      <c r="P18" s="13" t="s">
        <v>66</v>
      </c>
      <c r="Q18" s="13">
        <v>5412</v>
      </c>
      <c r="R18" s="17">
        <v>46387</v>
      </c>
    </row>
    <row r="19" spans="2:19" s="12" customFormat="1" x14ac:dyDescent="0.3">
      <c r="B19" s="19"/>
      <c r="C19" s="16"/>
      <c r="D19" s="13"/>
      <c r="E19" s="13"/>
      <c r="H19" s="13"/>
      <c r="I19" s="13"/>
      <c r="J19" s="13"/>
      <c r="L19" s="13"/>
      <c r="O19" s="13"/>
      <c r="P19" s="13"/>
      <c r="Q19" s="17"/>
    </row>
    <row r="20" spans="2:19" s="12" customFormat="1" x14ac:dyDescent="0.3">
      <c r="B20" s="13" t="s">
        <v>68</v>
      </c>
      <c r="C20" s="16" t="s">
        <v>52</v>
      </c>
      <c r="D20" s="13">
        <v>1</v>
      </c>
      <c r="E20" s="13" t="s">
        <v>54</v>
      </c>
      <c r="H20" s="13" t="s">
        <v>65</v>
      </c>
      <c r="I20" s="13">
        <v>280</v>
      </c>
      <c r="J20" s="13">
        <v>5205</v>
      </c>
      <c r="L20" s="13" t="s">
        <v>41</v>
      </c>
      <c r="M20" s="13"/>
      <c r="N20" s="22" t="s">
        <v>117</v>
      </c>
      <c r="O20" s="13">
        <v>80</v>
      </c>
      <c r="P20" s="13" t="s">
        <v>74</v>
      </c>
      <c r="Q20" s="17">
        <v>46390</v>
      </c>
      <c r="R20" s="13"/>
      <c r="S20" s="13"/>
    </row>
    <row r="21" spans="2:19" s="12" customFormat="1" x14ac:dyDescent="0.3">
      <c r="B21" s="13" t="s">
        <v>69</v>
      </c>
      <c r="C21" s="16" t="s">
        <v>52</v>
      </c>
      <c r="D21" s="13">
        <v>1</v>
      </c>
      <c r="E21" s="13" t="s">
        <v>54</v>
      </c>
      <c r="H21" s="13" t="s">
        <v>65</v>
      </c>
      <c r="I21" s="13">
        <v>280</v>
      </c>
      <c r="J21" s="13">
        <v>5205</v>
      </c>
      <c r="L21" s="13" t="s">
        <v>41</v>
      </c>
      <c r="M21" s="13"/>
      <c r="N21" s="23" t="s">
        <v>118</v>
      </c>
      <c r="O21" s="13">
        <v>80</v>
      </c>
      <c r="P21" s="13" t="s">
        <v>74</v>
      </c>
      <c r="Q21" s="17">
        <v>46390</v>
      </c>
      <c r="R21" s="13"/>
      <c r="S21" s="13"/>
    </row>
    <row r="22" spans="2:19" s="12" customFormat="1" x14ac:dyDescent="0.3">
      <c r="B22" s="13" t="s">
        <v>70</v>
      </c>
      <c r="C22" s="16" t="s">
        <v>52</v>
      </c>
      <c r="D22" s="13">
        <v>1</v>
      </c>
      <c r="E22" s="13" t="s">
        <v>54</v>
      </c>
      <c r="H22" s="13" t="s">
        <v>65</v>
      </c>
      <c r="I22" s="13">
        <v>280</v>
      </c>
      <c r="J22" s="13">
        <v>5205</v>
      </c>
      <c r="L22" s="13" t="s">
        <v>41</v>
      </c>
      <c r="M22" s="13"/>
      <c r="N22" s="22" t="s">
        <v>119</v>
      </c>
      <c r="O22" s="13">
        <v>80</v>
      </c>
      <c r="P22" s="13" t="s">
        <v>74</v>
      </c>
      <c r="Q22" s="17">
        <v>46390</v>
      </c>
      <c r="R22" s="13"/>
      <c r="S22" s="13"/>
    </row>
    <row r="23" spans="2:19" s="12" customFormat="1" x14ac:dyDescent="0.3">
      <c r="B23" s="13" t="s">
        <v>71</v>
      </c>
      <c r="C23" s="16" t="s">
        <v>52</v>
      </c>
      <c r="D23" s="13">
        <v>1</v>
      </c>
      <c r="E23" s="13" t="s">
        <v>54</v>
      </c>
      <c r="H23" s="13" t="s">
        <v>65</v>
      </c>
      <c r="I23" s="13">
        <v>280</v>
      </c>
      <c r="J23" s="13">
        <v>5205</v>
      </c>
      <c r="L23" s="13" t="s">
        <v>41</v>
      </c>
      <c r="M23" s="13"/>
      <c r="N23" s="23" t="s">
        <v>120</v>
      </c>
      <c r="O23" s="13">
        <v>80</v>
      </c>
      <c r="P23" s="13" t="s">
        <v>74</v>
      </c>
      <c r="Q23" s="17">
        <v>46390</v>
      </c>
      <c r="R23" s="13"/>
      <c r="S23" s="13"/>
    </row>
    <row r="24" spans="2:19" s="12" customFormat="1" x14ac:dyDescent="0.3">
      <c r="B24" s="13" t="s">
        <v>72</v>
      </c>
      <c r="C24" s="16" t="s">
        <v>52</v>
      </c>
      <c r="D24" s="13">
        <v>1</v>
      </c>
      <c r="E24" s="13" t="s">
        <v>54</v>
      </c>
      <c r="H24" s="13" t="s">
        <v>65</v>
      </c>
      <c r="I24" s="13">
        <v>280</v>
      </c>
      <c r="J24" s="13">
        <v>5205</v>
      </c>
      <c r="L24" s="13" t="s">
        <v>41</v>
      </c>
      <c r="M24" s="13"/>
      <c r="N24" s="22" t="s">
        <v>121</v>
      </c>
      <c r="O24" s="13">
        <v>80</v>
      </c>
      <c r="P24" s="13" t="s">
        <v>74</v>
      </c>
      <c r="Q24" s="17">
        <v>46390</v>
      </c>
      <c r="R24" s="13"/>
      <c r="S24" s="13"/>
    </row>
    <row r="25" spans="2:19" s="12" customFormat="1" x14ac:dyDescent="0.3">
      <c r="B25" s="13" t="s">
        <v>73</v>
      </c>
      <c r="C25" s="16" t="s">
        <v>52</v>
      </c>
      <c r="D25" s="13">
        <v>1</v>
      </c>
      <c r="E25" s="13" t="s">
        <v>54</v>
      </c>
      <c r="H25" s="13" t="s">
        <v>65</v>
      </c>
      <c r="I25" s="13">
        <v>280</v>
      </c>
      <c r="J25" s="13">
        <v>5205</v>
      </c>
      <c r="L25" s="13" t="s">
        <v>41</v>
      </c>
      <c r="M25" s="13"/>
      <c r="N25" s="23" t="s">
        <v>122</v>
      </c>
      <c r="O25" s="13">
        <v>80</v>
      </c>
      <c r="P25" s="13" t="s">
        <v>74</v>
      </c>
      <c r="Q25" s="17">
        <v>46390</v>
      </c>
      <c r="R25" s="13"/>
      <c r="S25" s="13"/>
    </row>
    <row r="26" spans="2:19" s="12" customFormat="1" x14ac:dyDescent="0.3">
      <c r="B26" s="19"/>
      <c r="C26" s="16"/>
      <c r="D26" s="13"/>
      <c r="E26" s="13"/>
      <c r="H26" s="13"/>
      <c r="I26" s="13"/>
      <c r="J26" s="13"/>
      <c r="K26" s="13"/>
      <c r="L26" s="13"/>
      <c r="M26" s="13"/>
      <c r="N26" s="13"/>
      <c r="O26" s="13"/>
      <c r="P26" s="13"/>
      <c r="Q26" s="17"/>
      <c r="R26" s="13"/>
      <c r="S26" s="11"/>
    </row>
    <row r="27" spans="2:19" s="12" customFormat="1" x14ac:dyDescent="0.3">
      <c r="B27" s="19" t="s">
        <v>100</v>
      </c>
      <c r="C27" s="14" t="s">
        <v>77</v>
      </c>
      <c r="D27" s="15">
        <v>48</v>
      </c>
      <c r="E27" s="13"/>
      <c r="H27" s="13" t="s">
        <v>58</v>
      </c>
      <c r="I27" s="13">
        <v>280</v>
      </c>
      <c r="J27" s="13">
        <v>4755</v>
      </c>
      <c r="K27" s="13"/>
      <c r="L27" s="13" t="s">
        <v>41</v>
      </c>
      <c r="M27" s="13"/>
      <c r="N27" s="13"/>
      <c r="O27" s="13"/>
      <c r="P27" s="13"/>
      <c r="Q27" s="17"/>
      <c r="R27" s="13"/>
      <c r="S27" s="11"/>
    </row>
    <row r="28" spans="2:19" s="12" customFormat="1" x14ac:dyDescent="0.3">
      <c r="B28" s="19" t="s">
        <v>100</v>
      </c>
      <c r="C28" s="14" t="s">
        <v>77</v>
      </c>
      <c r="D28" s="15">
        <v>48</v>
      </c>
      <c r="E28" s="13"/>
      <c r="H28" s="13" t="s">
        <v>58</v>
      </c>
      <c r="I28" s="13">
        <v>280</v>
      </c>
      <c r="J28" s="13">
        <v>4755</v>
      </c>
      <c r="K28" s="13"/>
      <c r="L28" s="13" t="s">
        <v>41</v>
      </c>
      <c r="M28" s="13"/>
      <c r="N28" s="13"/>
      <c r="O28" s="13"/>
      <c r="P28" s="13"/>
      <c r="Q28" s="17"/>
      <c r="R28" s="13"/>
      <c r="S28" s="11"/>
    </row>
    <row r="29" spans="2:19" s="12" customFormat="1" x14ac:dyDescent="0.3">
      <c r="B29" s="19" t="s">
        <v>100</v>
      </c>
      <c r="C29" s="14" t="s">
        <v>77</v>
      </c>
      <c r="D29" s="15">
        <v>48</v>
      </c>
      <c r="E29" s="13"/>
      <c r="H29" s="13" t="s">
        <v>58</v>
      </c>
      <c r="I29" s="13">
        <v>280</v>
      </c>
      <c r="J29" s="13">
        <v>4755</v>
      </c>
      <c r="K29" s="13"/>
      <c r="L29" s="13" t="s">
        <v>41</v>
      </c>
      <c r="M29" s="13"/>
      <c r="N29" s="13"/>
      <c r="O29" s="13"/>
      <c r="P29" s="13"/>
      <c r="Q29" s="17"/>
      <c r="R29" s="13"/>
      <c r="S29" s="11"/>
    </row>
    <row r="30" spans="2:19" s="12" customFormat="1" x14ac:dyDescent="0.3">
      <c r="B30" s="19" t="s">
        <v>100</v>
      </c>
      <c r="C30" s="14" t="s">
        <v>77</v>
      </c>
      <c r="D30" s="15">
        <v>48</v>
      </c>
      <c r="E30" s="13"/>
      <c r="H30" s="13" t="s">
        <v>58</v>
      </c>
      <c r="I30" s="13">
        <v>280</v>
      </c>
      <c r="J30" s="13">
        <v>4755</v>
      </c>
      <c r="K30" s="13"/>
      <c r="L30" s="13" t="s">
        <v>41</v>
      </c>
      <c r="M30" s="13"/>
      <c r="N30" s="13"/>
      <c r="O30" s="13"/>
      <c r="P30" s="13"/>
      <c r="Q30" s="17"/>
      <c r="R30" s="13"/>
      <c r="S30" s="11"/>
    </row>
    <row r="31" spans="2:19" s="12" customFormat="1" x14ac:dyDescent="0.3">
      <c r="B31" s="19" t="s">
        <v>100</v>
      </c>
      <c r="C31" s="14" t="s">
        <v>77</v>
      </c>
      <c r="D31" s="15">
        <v>48</v>
      </c>
      <c r="E31" s="13"/>
      <c r="H31" s="13" t="s">
        <v>58</v>
      </c>
      <c r="I31" s="13">
        <v>280</v>
      </c>
      <c r="J31" s="13">
        <v>4755</v>
      </c>
      <c r="K31" s="13"/>
      <c r="L31" s="13" t="s">
        <v>41</v>
      </c>
      <c r="M31" s="13"/>
      <c r="N31" s="13"/>
      <c r="O31" s="13"/>
      <c r="P31" s="13"/>
      <c r="Q31" s="17"/>
      <c r="R31" s="13"/>
      <c r="S31" s="11"/>
    </row>
    <row r="32" spans="2:19" s="12" customFormat="1" x14ac:dyDescent="0.3">
      <c r="B32" s="19" t="s">
        <v>100</v>
      </c>
      <c r="C32" s="14" t="s">
        <v>77</v>
      </c>
      <c r="D32" s="15">
        <v>48</v>
      </c>
      <c r="E32" s="13"/>
      <c r="H32" s="13" t="s">
        <v>58</v>
      </c>
      <c r="I32" s="13">
        <v>280</v>
      </c>
      <c r="J32" s="13">
        <v>4755</v>
      </c>
      <c r="K32" s="13"/>
      <c r="L32" s="13" t="s">
        <v>41</v>
      </c>
      <c r="M32" s="13"/>
      <c r="N32" s="13"/>
      <c r="O32" s="13"/>
      <c r="P32" s="13"/>
      <c r="Q32" s="13"/>
      <c r="R32" s="13"/>
      <c r="S32" s="11"/>
    </row>
    <row r="33" spans="2:19" s="12" customFormat="1" x14ac:dyDescent="0.3">
      <c r="B33" s="19"/>
      <c r="C33" s="16"/>
      <c r="D33" s="13"/>
      <c r="E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1"/>
    </row>
    <row r="34" spans="2:19" s="12" customFormat="1" x14ac:dyDescent="0.3">
      <c r="B34" s="19"/>
      <c r="C34" s="16"/>
      <c r="D34" s="13"/>
      <c r="E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1"/>
    </row>
    <row r="35" spans="2:19" s="12" customFormat="1" x14ac:dyDescent="0.3">
      <c r="B35" s="19" t="s">
        <v>107</v>
      </c>
      <c r="C35" s="16" t="s">
        <v>75</v>
      </c>
      <c r="D35" s="13">
        <v>1</v>
      </c>
      <c r="E35" s="13"/>
      <c r="H35" s="13" t="s">
        <v>58</v>
      </c>
      <c r="I35" s="13">
        <v>280</v>
      </c>
      <c r="J35" s="13">
        <v>4755</v>
      </c>
      <c r="K35" s="13" t="s">
        <v>79</v>
      </c>
      <c r="L35" s="13" t="s">
        <v>41</v>
      </c>
      <c r="Q35" s="17">
        <v>46295</v>
      </c>
    </row>
    <row r="36" spans="2:19" s="12" customFormat="1" x14ac:dyDescent="0.3">
      <c r="B36" s="19" t="s">
        <v>108</v>
      </c>
      <c r="C36" s="16" t="s">
        <v>75</v>
      </c>
      <c r="D36" s="13">
        <v>1</v>
      </c>
      <c r="E36" s="13"/>
      <c r="H36" s="13" t="s">
        <v>58</v>
      </c>
      <c r="I36" s="13">
        <v>280</v>
      </c>
      <c r="J36" s="13">
        <v>4755</v>
      </c>
      <c r="K36" s="13" t="s">
        <v>80</v>
      </c>
      <c r="L36" s="13" t="s">
        <v>41</v>
      </c>
      <c r="Q36" s="17">
        <f>+Q35</f>
        <v>46295</v>
      </c>
    </row>
    <row r="37" spans="2:19" s="12" customFormat="1" x14ac:dyDescent="0.3">
      <c r="B37" s="19" t="s">
        <v>109</v>
      </c>
      <c r="C37" s="16" t="s">
        <v>75</v>
      </c>
      <c r="D37" s="13">
        <v>1</v>
      </c>
      <c r="E37" s="13"/>
      <c r="H37" s="13" t="s">
        <v>58</v>
      </c>
      <c r="I37" s="13">
        <v>280</v>
      </c>
      <c r="J37" s="13">
        <v>4755</v>
      </c>
      <c r="K37" s="13" t="s">
        <v>81</v>
      </c>
      <c r="L37" s="13" t="s">
        <v>41</v>
      </c>
      <c r="Q37" s="17">
        <v>46326</v>
      </c>
    </row>
    <row r="38" spans="2:19" s="12" customFormat="1" x14ac:dyDescent="0.3">
      <c r="B38" s="19" t="s">
        <v>110</v>
      </c>
      <c r="C38" s="16" t="s">
        <v>75</v>
      </c>
      <c r="D38" s="13">
        <v>1</v>
      </c>
      <c r="E38" s="13"/>
      <c r="H38" s="13" t="s">
        <v>58</v>
      </c>
      <c r="I38" s="13">
        <v>280</v>
      </c>
      <c r="J38" s="13">
        <v>4755</v>
      </c>
      <c r="K38" s="13" t="s">
        <v>82</v>
      </c>
      <c r="L38" s="13" t="s">
        <v>41</v>
      </c>
      <c r="Q38" s="17">
        <v>46326</v>
      </c>
    </row>
    <row r="39" spans="2:19" s="12" customFormat="1" x14ac:dyDescent="0.3">
      <c r="B39" s="19" t="s">
        <v>111</v>
      </c>
      <c r="C39" s="16" t="s">
        <v>75</v>
      </c>
      <c r="D39" s="13">
        <v>1</v>
      </c>
      <c r="E39" s="13"/>
      <c r="H39" s="13" t="s">
        <v>58</v>
      </c>
      <c r="I39" s="13">
        <v>280</v>
      </c>
      <c r="J39" s="13">
        <v>4755</v>
      </c>
      <c r="K39" s="13" t="s">
        <v>83</v>
      </c>
      <c r="L39" s="13" t="s">
        <v>41</v>
      </c>
      <c r="Q39" s="17">
        <f>+Q38+30</f>
        <v>46356</v>
      </c>
    </row>
    <row r="40" spans="2:19" s="12" customFormat="1" x14ac:dyDescent="0.3">
      <c r="B40" s="19" t="s">
        <v>112</v>
      </c>
      <c r="C40" s="16" t="s">
        <v>75</v>
      </c>
      <c r="D40" s="13">
        <v>1</v>
      </c>
      <c r="E40" s="13"/>
      <c r="H40" s="13" t="s">
        <v>58</v>
      </c>
      <c r="I40" s="13">
        <v>280</v>
      </c>
      <c r="J40" s="13">
        <v>4755</v>
      </c>
      <c r="K40" s="13" t="s">
        <v>84</v>
      </c>
      <c r="L40" s="13" t="s">
        <v>41</v>
      </c>
      <c r="Q40" s="17">
        <f>+Q39</f>
        <v>46356</v>
      </c>
    </row>
    <row r="41" spans="2:19" s="12" customFormat="1" x14ac:dyDescent="0.3">
      <c r="B41" s="19"/>
      <c r="C41" s="16"/>
      <c r="D41" s="13"/>
      <c r="E41" s="13"/>
      <c r="H41" s="13"/>
      <c r="I41" s="13"/>
    </row>
    <row r="42" spans="2:19" s="12" customFormat="1" x14ac:dyDescent="0.3">
      <c r="B42" s="19"/>
      <c r="C42" s="16" t="s">
        <v>53</v>
      </c>
      <c r="D42" s="13">
        <v>1</v>
      </c>
      <c r="E42" s="13"/>
      <c r="H42" s="13" t="s">
        <v>65</v>
      </c>
      <c r="I42" s="13">
        <v>280</v>
      </c>
      <c r="J42" s="13">
        <v>5135</v>
      </c>
      <c r="K42" s="13" t="s">
        <v>85</v>
      </c>
      <c r="L42" s="13" t="s">
        <v>41</v>
      </c>
      <c r="Q42" s="13">
        <v>1000</v>
      </c>
    </row>
    <row r="43" spans="2:19" s="12" customFormat="1" x14ac:dyDescent="0.3">
      <c r="B43" s="19"/>
      <c r="C43" s="16"/>
      <c r="D43" s="13"/>
      <c r="E43" s="13"/>
    </row>
    <row r="44" spans="2:19" s="12" customFormat="1" x14ac:dyDescent="0.3">
      <c r="B44" s="19" t="s">
        <v>101</v>
      </c>
      <c r="C44" s="16" t="s">
        <v>56</v>
      </c>
      <c r="D44" s="13">
        <v>1</v>
      </c>
      <c r="E44" s="13"/>
      <c r="H44" s="13" t="s">
        <v>78</v>
      </c>
      <c r="I44" s="13">
        <v>280</v>
      </c>
      <c r="J44" s="13" t="s">
        <v>63</v>
      </c>
      <c r="K44" s="13" t="s">
        <v>87</v>
      </c>
      <c r="L44" s="13" t="s">
        <v>41</v>
      </c>
      <c r="Q44" s="18">
        <v>46310</v>
      </c>
    </row>
    <row r="45" spans="2:19" s="12" customFormat="1" x14ac:dyDescent="0.3">
      <c r="B45" s="19" t="s">
        <v>102</v>
      </c>
      <c r="C45" s="16" t="s">
        <v>56</v>
      </c>
      <c r="D45" s="13">
        <v>1</v>
      </c>
      <c r="E45" s="13"/>
      <c r="H45" s="13" t="s">
        <v>78</v>
      </c>
      <c r="I45" s="13">
        <v>280</v>
      </c>
      <c r="J45" s="13" t="s">
        <v>63</v>
      </c>
      <c r="K45" s="13" t="s">
        <v>88</v>
      </c>
      <c r="L45" s="13" t="s">
        <v>41</v>
      </c>
      <c r="Q45" s="18">
        <v>46310</v>
      </c>
    </row>
    <row r="46" spans="2:19" s="12" customFormat="1" x14ac:dyDescent="0.3">
      <c r="B46" s="19" t="s">
        <v>103</v>
      </c>
      <c r="C46" s="16" t="s">
        <v>56</v>
      </c>
      <c r="D46" s="13">
        <v>1</v>
      </c>
      <c r="E46" s="13"/>
      <c r="H46" s="13" t="s">
        <v>78</v>
      </c>
      <c r="I46" s="13">
        <v>280</v>
      </c>
      <c r="J46" s="13" t="s">
        <v>63</v>
      </c>
      <c r="K46" s="13">
        <v>518046297</v>
      </c>
      <c r="L46" s="13" t="s">
        <v>41</v>
      </c>
      <c r="Q46" s="18">
        <v>46310</v>
      </c>
    </row>
    <row r="47" spans="2:19" s="12" customFormat="1" x14ac:dyDescent="0.3">
      <c r="B47" s="19" t="s">
        <v>104</v>
      </c>
      <c r="C47" s="16" t="s">
        <v>56</v>
      </c>
      <c r="D47" s="13">
        <v>1</v>
      </c>
      <c r="E47" s="13"/>
      <c r="H47" s="13" t="s">
        <v>78</v>
      </c>
      <c r="I47" s="13">
        <v>280</v>
      </c>
      <c r="J47" s="13" t="s">
        <v>63</v>
      </c>
      <c r="K47" s="13" t="s">
        <v>89</v>
      </c>
      <c r="L47" s="13" t="s">
        <v>41</v>
      </c>
      <c r="Q47" s="18">
        <v>46310</v>
      </c>
    </row>
    <row r="48" spans="2:19" s="12" customFormat="1" x14ac:dyDescent="0.3">
      <c r="B48" s="19" t="s">
        <v>105</v>
      </c>
      <c r="C48" s="16" t="s">
        <v>56</v>
      </c>
      <c r="D48" s="13">
        <v>1</v>
      </c>
      <c r="E48" s="13"/>
      <c r="H48" s="13" t="s">
        <v>78</v>
      </c>
      <c r="I48" s="13">
        <v>280</v>
      </c>
      <c r="J48" s="13" t="s">
        <v>63</v>
      </c>
      <c r="K48" s="13">
        <v>518046429</v>
      </c>
      <c r="L48" s="13" t="s">
        <v>41</v>
      </c>
      <c r="Q48" s="18">
        <v>46310</v>
      </c>
    </row>
    <row r="49" spans="2:17" s="12" customFormat="1" x14ac:dyDescent="0.3">
      <c r="B49" s="19" t="s">
        <v>106</v>
      </c>
      <c r="C49" s="16" t="s">
        <v>56</v>
      </c>
      <c r="D49" s="13">
        <v>1</v>
      </c>
      <c r="E49" s="13"/>
      <c r="H49" s="13" t="s">
        <v>78</v>
      </c>
      <c r="I49" s="13">
        <v>280</v>
      </c>
      <c r="J49" s="13" t="s">
        <v>63</v>
      </c>
      <c r="K49" s="13" t="s">
        <v>90</v>
      </c>
      <c r="L49" s="13" t="s">
        <v>41</v>
      </c>
      <c r="Q49" s="18">
        <v>46310</v>
      </c>
    </row>
    <row r="50" spans="2:17" s="12" customFormat="1" x14ac:dyDescent="0.3">
      <c r="B50" s="19"/>
      <c r="C50" s="16"/>
      <c r="D50" s="13"/>
      <c r="E50" s="13"/>
    </row>
    <row r="51" spans="2:17" s="12" customFormat="1" x14ac:dyDescent="0.3">
      <c r="B51" s="19" t="s">
        <v>113</v>
      </c>
      <c r="C51" s="16" t="s">
        <v>76</v>
      </c>
      <c r="D51" s="13">
        <v>1</v>
      </c>
      <c r="E51" s="13"/>
      <c r="H51" s="13" t="s">
        <v>58</v>
      </c>
      <c r="I51" s="13">
        <v>280</v>
      </c>
      <c r="J51" s="13">
        <v>4755</v>
      </c>
      <c r="K51" s="13" t="s">
        <v>86</v>
      </c>
      <c r="L51" s="13" t="s">
        <v>41</v>
      </c>
    </row>
    <row r="52" spans="2:17" s="12" customFormat="1" x14ac:dyDescent="0.3">
      <c r="B52" s="19"/>
      <c r="C52" s="16"/>
      <c r="D52" s="13"/>
      <c r="E52" s="13"/>
    </row>
    <row r="53" spans="2:17" s="12" customFormat="1" x14ac:dyDescent="0.3">
      <c r="B53" s="19"/>
      <c r="C53" s="16" t="s">
        <v>61</v>
      </c>
      <c r="D53" s="13">
        <v>60</v>
      </c>
      <c r="E53" s="13"/>
      <c r="G53" s="12">
        <v>60</v>
      </c>
      <c r="I53" s="13">
        <v>280</v>
      </c>
      <c r="K53" s="12" t="s">
        <v>57</v>
      </c>
    </row>
    <row r="54" spans="2:17" s="12" customFormat="1" x14ac:dyDescent="0.3">
      <c r="B54" s="19"/>
    </row>
    <row r="55" spans="2:17" s="12" customFormat="1" x14ac:dyDescent="0.3">
      <c r="B55" s="19"/>
    </row>
  </sheetData>
  <phoneticPr fontId="5" type="noConversion"/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556EAEE72D7747B3D0355DABB429F3" ma:contentTypeVersion="5" ma:contentTypeDescription="Create a new document." ma:contentTypeScope="" ma:versionID="510511ce609cd22d073012b858703f23">
  <xsd:schema xmlns:xsd="http://www.w3.org/2001/XMLSchema" xmlns:xs="http://www.w3.org/2001/XMLSchema" xmlns:p="http://schemas.microsoft.com/office/2006/metadata/properties" xmlns:ns2="7146d502-05f5-4fb7-b414-24f33b760985" targetNamespace="http://schemas.microsoft.com/office/2006/metadata/properties" ma:root="true" ma:fieldsID="dff61d6fb0c51ac950ba6c8675b4ac1a" ns2:_="">
    <xsd:import namespace="7146d502-05f5-4fb7-b414-24f33b7609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Review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46d502-05f5-4fb7-b414-24f33b7609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viewBy" ma:index="11" nillable="true" ma:displayName="Review By" ma:format="Dropdown" ma:list="UserInfo" ma:SharePointGroup="0" ma:internalName="Review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ewBy xmlns="7146d502-05f5-4fb7-b414-24f33b760985">
      <UserInfo>
        <DisplayName/>
        <AccountId xsi:nil="true"/>
        <AccountType/>
      </UserInfo>
    </ReviewBy>
  </documentManagement>
</p:properties>
</file>

<file path=customXml/itemProps1.xml><?xml version="1.0" encoding="utf-8"?>
<ds:datastoreItem xmlns:ds="http://schemas.openxmlformats.org/officeDocument/2006/customXml" ds:itemID="{770E7806-C09B-447A-A0B8-18D44A6303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46d502-05f5-4fb7-b414-24f33b7609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21FD7D-354E-43D8-9B76-CDF282F15BE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DE8D173-6E77-4648-A91F-9257278D1067}">
  <ds:schemaRefs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7146d502-05f5-4fb7-b414-24f33b760985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Resource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Abhinav Singh</dc:creator>
  <cp:keywords/>
  <dc:description/>
  <cp:lastModifiedBy>Manlow Charumbira</cp:lastModifiedBy>
  <cp:revision/>
  <dcterms:created xsi:type="dcterms:W3CDTF">2026-08-17T18:17:12Z</dcterms:created>
  <dcterms:modified xsi:type="dcterms:W3CDTF">2026-09-08T11:12:19Z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0x010100F4556EAEE72D7747B3D0355DABB429F3</vt:lpwstr>
  </property>
</Properties>
</file>