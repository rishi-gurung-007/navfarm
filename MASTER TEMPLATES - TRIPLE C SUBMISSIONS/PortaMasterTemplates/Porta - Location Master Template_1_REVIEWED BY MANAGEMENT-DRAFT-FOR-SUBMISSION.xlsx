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PortaMasterTemplates/"/>
    </mc:Choice>
  </mc:AlternateContent>
  <xr:revisionPtr revIDLastSave="49" documentId="8_{30F14DF5-C622-427F-B7C3-D53C2C405E6B}" xr6:coauthVersionLast="47" xr6:coauthVersionMax="47" xr10:uidLastSave="{BB33AF9C-8E0C-41A2-98E4-22B0E79D3FD4}"/>
  <bookViews>
    <workbookView xWindow="-108" yWindow="-108" windowWidth="23256" windowHeight="13896" xr2:uid="{DC7A9B36-E730-485D-92E0-8A03927FCC25}"/>
  </bookViews>
  <sheets>
    <sheet name="Location Master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2" i="1" l="1"/>
  <c r="H42" i="1"/>
  <c r="J41" i="1"/>
  <c r="H41" i="1"/>
  <c r="J40" i="1"/>
  <c r="H40" i="1"/>
  <c r="J39" i="1"/>
  <c r="H39" i="1"/>
  <c r="J38" i="1"/>
  <c r="H38" i="1"/>
  <c r="J32" i="1"/>
  <c r="J33" i="1"/>
  <c r="J34" i="1"/>
  <c r="J35" i="1"/>
  <c r="J31" i="1"/>
  <c r="H32" i="1"/>
  <c r="H33" i="1"/>
  <c r="H34" i="1"/>
  <c r="H35" i="1"/>
  <c r="H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30" authorId="0" shapeId="0" xr:uid="{54506131-78A5-4A2A-BF57-039E0B2B0E3D}">
      <text>
        <r>
          <rPr>
            <b/>
            <sz val="9"/>
            <color indexed="81"/>
            <rFont val="Tahoma"/>
            <family val="2"/>
          </rPr>
          <t>JK:</t>
        </r>
        <r>
          <rPr>
            <sz val="9"/>
            <color indexed="81"/>
            <rFont val="Tahoma"/>
            <family val="2"/>
          </rPr>
          <t xml:space="preserve">
PDSD - Porta Dry Sow Diet</t>
        </r>
      </text>
    </comment>
    <comment ref="M37" authorId="0" shapeId="0" xr:uid="{E749F992-727D-478E-B749-6F9BDE8F814F}">
      <text>
        <r>
          <rPr>
            <b/>
            <sz val="9"/>
            <color indexed="81"/>
            <rFont val="Tahoma"/>
            <family val="2"/>
          </rPr>
          <t>JK:</t>
        </r>
        <r>
          <rPr>
            <sz val="9"/>
            <color indexed="81"/>
            <rFont val="Tahoma"/>
            <family val="2"/>
          </rPr>
          <t xml:space="preserve">
PDGD - Porta Dry Gilt Diet
</t>
        </r>
      </text>
    </comment>
    <comment ref="M56" authorId="0" shapeId="0" xr:uid="{BE48EE1C-F5C5-49A3-BAEB-868221B320EC}">
      <text>
        <r>
          <rPr>
            <b/>
            <sz val="9"/>
            <color indexed="81"/>
            <rFont val="Tahoma"/>
            <family val="2"/>
          </rPr>
          <t>JK:</t>
        </r>
        <r>
          <rPr>
            <sz val="9"/>
            <color indexed="81"/>
            <rFont val="Tahoma"/>
            <family val="2"/>
          </rPr>
          <t xml:space="preserve">
PSL FS - Porta Service Line Feed Silo</t>
        </r>
      </text>
    </comment>
    <comment ref="G57" authorId="0" shapeId="0" xr:uid="{63959E9F-7FF2-401C-8936-D5918D8989E7}">
      <text>
        <r>
          <rPr>
            <b/>
            <sz val="9"/>
            <color indexed="81"/>
            <rFont val="Tahoma"/>
            <family val="2"/>
          </rPr>
          <t>JK:</t>
        </r>
        <r>
          <rPr>
            <sz val="9"/>
            <color indexed="81"/>
            <rFont val="Tahoma"/>
            <family val="2"/>
          </rPr>
          <t xml:space="preserve">
PSLCr - Porta Service Line Crete</t>
        </r>
      </text>
    </comment>
  </commentList>
</comments>
</file>

<file path=xl/sharedStrings.xml><?xml version="1.0" encoding="utf-8"?>
<sst xmlns="http://schemas.openxmlformats.org/spreadsheetml/2006/main" count="2042" uniqueCount="449">
  <si>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</si>
  <si>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</si>
  <si>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</si>
  <si>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</si>
  <si>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</si>
  <si>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</si>
  <si>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</si>
  <si>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</si>
  <si>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</si>
  <si>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</si>
  <si>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</si>
  <si>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</si>
  <si>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</si>
  <si>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</si>
  <si>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</si>
  <si>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</si>
  <si>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</si>
  <si>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</si>
  <si>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</si>
  <si>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</si>
  <si>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</si>
  <si>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</si>
  <si>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</si>
  <si>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</si>
  <si>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</si>
  <si>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</si>
  <si>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</si>
  <si>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</si>
  <si>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</si>
  <si>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</si>
  <si>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</si>
  <si>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</si>
  <si>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</si>
  <si>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</si>
  <si>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</si>
  <si>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</si>
  <si>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>GRASMERE</t>
  </si>
  <si>
    <t>GRASMERE FARM</t>
  </si>
  <si>
    <t>GROW-H1</t>
  </si>
  <si>
    <t>PEN-1</t>
  </si>
  <si>
    <t>M2</t>
  </si>
  <si>
    <t>NOS (Numbers)</t>
  </si>
  <si>
    <t>Mandatory</t>
  </si>
  <si>
    <t>YES</t>
  </si>
  <si>
    <t>NO</t>
  </si>
  <si>
    <t>MAIN FARM</t>
  </si>
  <si>
    <t>POR100</t>
  </si>
  <si>
    <t>PORTA FARM</t>
  </si>
  <si>
    <t xml:space="preserve">KINTYRE ESTATE, NORTON </t>
  </si>
  <si>
    <t>HECTARE</t>
  </si>
  <si>
    <t>SHED/HOUSE</t>
  </si>
  <si>
    <t>PGH1</t>
  </si>
  <si>
    <t xml:space="preserve">PGH (PORTA GROWER HOUSE) </t>
  </si>
  <si>
    <t>PGH-01</t>
  </si>
  <si>
    <t>M2-Square Meter</t>
  </si>
  <si>
    <t>NUMBERS</t>
  </si>
  <si>
    <t>SILO</t>
  </si>
  <si>
    <t>PG1</t>
  </si>
  <si>
    <t>PGH2</t>
  </si>
  <si>
    <t>PGH-02</t>
  </si>
  <si>
    <t>PG2</t>
  </si>
  <si>
    <t>PGH3</t>
  </si>
  <si>
    <t>PGH-03</t>
  </si>
  <si>
    <t>PG3</t>
  </si>
  <si>
    <t>PGH4</t>
  </si>
  <si>
    <t>PGH-04</t>
  </si>
  <si>
    <t>PG4</t>
  </si>
  <si>
    <t>PGH5</t>
  </si>
  <si>
    <t>PGH-05</t>
  </si>
  <si>
    <t>PG5</t>
  </si>
  <si>
    <t>PGH6</t>
  </si>
  <si>
    <t>PGH-06</t>
  </si>
  <si>
    <t>PG6</t>
  </si>
  <si>
    <t>PGH7</t>
  </si>
  <si>
    <t>PGH-07</t>
  </si>
  <si>
    <t>PG7</t>
  </si>
  <si>
    <t>PGH8</t>
  </si>
  <si>
    <t>PGH-08</t>
  </si>
  <si>
    <t>PG8</t>
  </si>
  <si>
    <t>PGH9</t>
  </si>
  <si>
    <t>PGH-09</t>
  </si>
  <si>
    <t>PG9</t>
  </si>
  <si>
    <t>PGH10</t>
  </si>
  <si>
    <t>PGH-10</t>
  </si>
  <si>
    <t>PG10</t>
  </si>
  <si>
    <t>PDST01</t>
  </si>
  <si>
    <t>PDST (PORTA DOUBLE STOCK)</t>
  </si>
  <si>
    <t>PDST-01</t>
  </si>
  <si>
    <t>PDST -1</t>
  </si>
  <si>
    <t>PDST02</t>
  </si>
  <si>
    <t>PDST-02</t>
  </si>
  <si>
    <t>PDST03</t>
  </si>
  <si>
    <t>PDST-03</t>
  </si>
  <si>
    <t>PDST04</t>
  </si>
  <si>
    <t>PDST-04</t>
  </si>
  <si>
    <t>PWH01</t>
  </si>
  <si>
    <t>PWH (PORTA WEANER HOUSE)</t>
  </si>
  <si>
    <t>PWH-01</t>
  </si>
  <si>
    <t>PW-1</t>
  </si>
  <si>
    <t>PWH02</t>
  </si>
  <si>
    <t>PWH-02</t>
  </si>
  <si>
    <t>PWH03</t>
  </si>
  <si>
    <t>PWH-03</t>
  </si>
  <si>
    <t>PWH04</t>
  </si>
  <si>
    <t>PWH-04</t>
  </si>
  <si>
    <t>PWH05</t>
  </si>
  <si>
    <t>PWH-05</t>
  </si>
  <si>
    <t>PWH06</t>
  </si>
  <si>
    <t>PWH-06</t>
  </si>
  <si>
    <t>PDS1</t>
  </si>
  <si>
    <t>PDS (PORTA DRY SOW)</t>
  </si>
  <si>
    <t>PDS-01</t>
  </si>
  <si>
    <t>PDSD-01</t>
  </si>
  <si>
    <t>PDS2</t>
  </si>
  <si>
    <t>PDS-02</t>
  </si>
  <si>
    <t>PDSD-02</t>
  </si>
  <si>
    <t>PDS3</t>
  </si>
  <si>
    <t>PDS-03</t>
  </si>
  <si>
    <t>PDSD-03</t>
  </si>
  <si>
    <t>PDS4</t>
  </si>
  <si>
    <t>PDS-04</t>
  </si>
  <si>
    <t>PDSD-04</t>
  </si>
  <si>
    <t>PDS5</t>
  </si>
  <si>
    <t>PDS-05</t>
  </si>
  <si>
    <t>PDSD-05</t>
  </si>
  <si>
    <t>PDS6</t>
  </si>
  <si>
    <t>PDS-06</t>
  </si>
  <si>
    <t>PDSD-06</t>
  </si>
  <si>
    <t>PDS01</t>
  </si>
  <si>
    <t>PDGD-01</t>
  </si>
  <si>
    <t>PDS02</t>
  </si>
  <si>
    <t>PDS03</t>
  </si>
  <si>
    <t>PDS04</t>
  </si>
  <si>
    <t>PDS05</t>
  </si>
  <si>
    <t>PDS06</t>
  </si>
  <si>
    <t>PFH1</t>
  </si>
  <si>
    <t>PFH (PORTA FARROWING HOUSE)</t>
  </si>
  <si>
    <t>PFH-01</t>
  </si>
  <si>
    <t>PFHLG - 1&amp;2</t>
  </si>
  <si>
    <t>PFH2</t>
  </si>
  <si>
    <t>PFH-02</t>
  </si>
  <si>
    <t>PFH3</t>
  </si>
  <si>
    <t>PFH-03</t>
  </si>
  <si>
    <t>PFHLG - 3 &amp; 4</t>
  </si>
  <si>
    <t>PFH4</t>
  </si>
  <si>
    <t>PFH-04</t>
  </si>
  <si>
    <t>PFH5</t>
  </si>
  <si>
    <t>PFH-05</t>
  </si>
  <si>
    <t>PFHLG - 5</t>
  </si>
  <si>
    <t>PFHTrans - 1&amp;2</t>
  </si>
  <si>
    <t>PFHTrans - 3 &amp; 4</t>
  </si>
  <si>
    <t>PFHTrans - 5</t>
  </si>
  <si>
    <t>PSLCr</t>
  </si>
  <si>
    <t>PORTA SERVICE LINE (PSL)</t>
  </si>
  <si>
    <t>PSL FS - 01</t>
  </si>
  <si>
    <t>CRATE</t>
  </si>
  <si>
    <t>PSLCr1</t>
  </si>
  <si>
    <t>PSLCr - 1</t>
  </si>
  <si>
    <t>PSLCr2</t>
  </si>
  <si>
    <t>PSLCr - 2</t>
  </si>
  <si>
    <t>PSLCr3</t>
  </si>
  <si>
    <t>PSLCr - 3</t>
  </si>
  <si>
    <t>PSLCr4</t>
  </si>
  <si>
    <t>PSLCr - 4</t>
  </si>
  <si>
    <t>PSLCr5</t>
  </si>
  <si>
    <t>PSLCr - 5</t>
  </si>
  <si>
    <t>PSLCr6</t>
  </si>
  <si>
    <t>PSLCr - 6</t>
  </si>
  <si>
    <t>PSLCr7</t>
  </si>
  <si>
    <t>PSLCr - 7</t>
  </si>
  <si>
    <t>PSLCr8</t>
  </si>
  <si>
    <t>PSLCr - 8</t>
  </si>
  <si>
    <t>PSLCr9</t>
  </si>
  <si>
    <t>PSLCr - 9</t>
  </si>
  <si>
    <t>PSLCr10</t>
  </si>
  <si>
    <t>PSLCr - 10</t>
  </si>
  <si>
    <t>PSLCr11</t>
  </si>
  <si>
    <t>PSLCr - 11</t>
  </si>
  <si>
    <t>PSLCr12</t>
  </si>
  <si>
    <t>PSLCr - 12</t>
  </si>
  <si>
    <t>PSLCr13</t>
  </si>
  <si>
    <t>PSLCr - 13</t>
  </si>
  <si>
    <t>PSLCr14</t>
  </si>
  <si>
    <t>PSLCr - 14</t>
  </si>
  <si>
    <t>PSLCr15</t>
  </si>
  <si>
    <t>PSLCr - 15</t>
  </si>
  <si>
    <t>PSLCr16</t>
  </si>
  <si>
    <t>PSLCr - 16</t>
  </si>
  <si>
    <t>PSLCr17</t>
  </si>
  <si>
    <t>PSLCr - 17</t>
  </si>
  <si>
    <t>PSLCr18</t>
  </si>
  <si>
    <t>PSLCr - 18</t>
  </si>
  <si>
    <t>PSLCr19</t>
  </si>
  <si>
    <t>PSLCr - 19</t>
  </si>
  <si>
    <t>PSLCr20</t>
  </si>
  <si>
    <t>PSLCr - 20</t>
  </si>
  <si>
    <t>PSLCr21</t>
  </si>
  <si>
    <t>PSLCr - 21</t>
  </si>
  <si>
    <t>PSLCr22</t>
  </si>
  <si>
    <t>PSLCr - 22</t>
  </si>
  <si>
    <t>PSLCr23</t>
  </si>
  <si>
    <t>PSLCr - 23</t>
  </si>
  <si>
    <t>PSLCr24</t>
  </si>
  <si>
    <t>PSLCr - 24</t>
  </si>
  <si>
    <t>PSLCr25</t>
  </si>
  <si>
    <t>PSLCr - 25</t>
  </si>
  <si>
    <t>PSLCr26</t>
  </si>
  <si>
    <t>PSLCr - 26</t>
  </si>
  <si>
    <t>PSLCr27</t>
  </si>
  <si>
    <t>PSLCr - 27</t>
  </si>
  <si>
    <t>PSLCr28</t>
  </si>
  <si>
    <t>PSLCr - 28</t>
  </si>
  <si>
    <t>PSLCr29</t>
  </si>
  <si>
    <t>PSLCr - 29</t>
  </si>
  <si>
    <t>PSLCr30</t>
  </si>
  <si>
    <t>PSLCr - 30</t>
  </si>
  <si>
    <t>PSLCr31</t>
  </si>
  <si>
    <t>PSLCr - 31</t>
  </si>
  <si>
    <t>PSLCr32</t>
  </si>
  <si>
    <t>PSLCr - 32</t>
  </si>
  <si>
    <t>PSLCr33</t>
  </si>
  <si>
    <t>PSLCr - 33</t>
  </si>
  <si>
    <t>PSLCr34</t>
  </si>
  <si>
    <t>PSLCr - 34</t>
  </si>
  <si>
    <t>PSLCr35</t>
  </si>
  <si>
    <t>PSLCr - 35</t>
  </si>
  <si>
    <t>PSLCr36</t>
  </si>
  <si>
    <t>PSLCr - 36</t>
  </si>
  <si>
    <t>PSLCr37</t>
  </si>
  <si>
    <t>PSLCr - 37</t>
  </si>
  <si>
    <t>PSLCr38</t>
  </si>
  <si>
    <t>PSLCr - 38</t>
  </si>
  <si>
    <t>PSLCr39</t>
  </si>
  <si>
    <t>PSLCr - 39</t>
  </si>
  <si>
    <t>PSLCr40</t>
  </si>
  <si>
    <t>PSLCr - 40</t>
  </si>
  <si>
    <t>PSLCr41</t>
  </si>
  <si>
    <t>PSLCr - 41</t>
  </si>
  <si>
    <t>PSLCr42</t>
  </si>
  <si>
    <t>PSLCr - 42</t>
  </si>
  <si>
    <t>PSLCr43</t>
  </si>
  <si>
    <t>PSLCr - 43</t>
  </si>
  <si>
    <t>PSLCr44</t>
  </si>
  <si>
    <t>PSLCr - 44</t>
  </si>
  <si>
    <t>PSLCr45</t>
  </si>
  <si>
    <t>PSLCr - 45</t>
  </si>
  <si>
    <t>PSLCr46</t>
  </si>
  <si>
    <t>PSLCr - 46</t>
  </si>
  <si>
    <t>PSLCr47</t>
  </si>
  <si>
    <t>PSLCr - 47</t>
  </si>
  <si>
    <t>PSLCr48</t>
  </si>
  <si>
    <t>PSLCr - 48</t>
  </si>
  <si>
    <t>PSLCr49</t>
  </si>
  <si>
    <t>PSLCr - 49</t>
  </si>
  <si>
    <t>PSLCr50</t>
  </si>
  <si>
    <t>PSLCr - 50</t>
  </si>
  <si>
    <t>PSLCr51</t>
  </si>
  <si>
    <t>PSLCr - 51</t>
  </si>
  <si>
    <t>PSLCr52</t>
  </si>
  <si>
    <t>PSLCr - 52</t>
  </si>
  <si>
    <t>PSLCr53</t>
  </si>
  <si>
    <t>PSLCr - 53</t>
  </si>
  <si>
    <t>PSLCr54</t>
  </si>
  <si>
    <t>PSLCr - 54</t>
  </si>
  <si>
    <t>PSLCr55</t>
  </si>
  <si>
    <t>PSLCr - 55</t>
  </si>
  <si>
    <t>PSLCr56</t>
  </si>
  <si>
    <t>PSLCr - 56</t>
  </si>
  <si>
    <t>PSLCr57</t>
  </si>
  <si>
    <t>PSLCr - 57</t>
  </si>
  <si>
    <t>PSLCr58</t>
  </si>
  <si>
    <t>PSLCr - 58</t>
  </si>
  <si>
    <t>PSLCr59</t>
  </si>
  <si>
    <t>PSLCr - 59</t>
  </si>
  <si>
    <t>PSLCr60</t>
  </si>
  <si>
    <t>PSLCr - 60</t>
  </si>
  <si>
    <t>PSLCr61</t>
  </si>
  <si>
    <t>PSLCr - 61</t>
  </si>
  <si>
    <t>PSLCr62</t>
  </si>
  <si>
    <t>PSLCr - 62</t>
  </si>
  <si>
    <t>PSLCr63</t>
  </si>
  <si>
    <t>PSLCr - 63</t>
  </si>
  <si>
    <t>PSLCr64</t>
  </si>
  <si>
    <t>PSLCr - 64</t>
  </si>
  <si>
    <t>PSLCr65</t>
  </si>
  <si>
    <t>PSLCr - 65</t>
  </si>
  <si>
    <t>PSLCr66</t>
  </si>
  <si>
    <t>PSLCr - 66</t>
  </si>
  <si>
    <t>PSLCr67</t>
  </si>
  <si>
    <t>PSLCr - 67</t>
  </si>
  <si>
    <t>PSLCr68</t>
  </si>
  <si>
    <t>PSLCr - 68</t>
  </si>
  <si>
    <t>PSLCr69</t>
  </si>
  <si>
    <t>PSLCr - 69</t>
  </si>
  <si>
    <t>PSLCr70</t>
  </si>
  <si>
    <t>PSLCr - 70</t>
  </si>
  <si>
    <t>PSLCr71</t>
  </si>
  <si>
    <t>PSLCr - 71</t>
  </si>
  <si>
    <t>PSLCr72</t>
  </si>
  <si>
    <t>PSLCr - 72</t>
  </si>
  <si>
    <t>PSLCr73</t>
  </si>
  <si>
    <t>PSLCr - 73</t>
  </si>
  <si>
    <t>PSLCr74</t>
  </si>
  <si>
    <t>PSLCr - 74</t>
  </si>
  <si>
    <t>PSLCr75</t>
  </si>
  <si>
    <t>PSLCr - 75</t>
  </si>
  <si>
    <t>PSLCr76</t>
  </si>
  <si>
    <t>PSLCr - 76</t>
  </si>
  <si>
    <t>PSLCr77</t>
  </si>
  <si>
    <t>PSLCr - 77</t>
  </si>
  <si>
    <t>PSLCr78</t>
  </si>
  <si>
    <t>PSLCr - 78</t>
  </si>
  <si>
    <t>PSLCr79</t>
  </si>
  <si>
    <t>PSLCr - 79</t>
  </si>
  <si>
    <t>PSLCr80</t>
  </si>
  <si>
    <t>PSLCr - 80</t>
  </si>
  <si>
    <t>PSLCr81</t>
  </si>
  <si>
    <t>PSLCr - 81</t>
  </si>
  <si>
    <t>PSLCr82</t>
  </si>
  <si>
    <t>PSLCr - 82</t>
  </si>
  <si>
    <t>PSLCr83</t>
  </si>
  <si>
    <t>PSLCr - 83</t>
  </si>
  <si>
    <t>PSLCr84</t>
  </si>
  <si>
    <t>PSLCr - 84</t>
  </si>
  <si>
    <t>PSLCr85</t>
  </si>
  <si>
    <t>PSLCr - 85</t>
  </si>
  <si>
    <t>PSLCr86</t>
  </si>
  <si>
    <t>PSLCr - 86</t>
  </si>
  <si>
    <t>PSLCr87</t>
  </si>
  <si>
    <t>PSLCr - 87</t>
  </si>
  <si>
    <t>PSLCr88</t>
  </si>
  <si>
    <t>PSLCr - 88</t>
  </si>
  <si>
    <t>PSLCr89</t>
  </si>
  <si>
    <t>PSLCr - 89</t>
  </si>
  <si>
    <t>PGH</t>
  </si>
  <si>
    <t>PORTA GILT HOUSE - 01(WEANERS)</t>
  </si>
  <si>
    <t>STORE</t>
  </si>
  <si>
    <t>PEN</t>
  </si>
  <si>
    <t>PGH1P1</t>
  </si>
  <si>
    <t>PGH1-P01</t>
  </si>
  <si>
    <t>PGH1P2</t>
  </si>
  <si>
    <t>PGH1-P02</t>
  </si>
  <si>
    <t>PGH1P3</t>
  </si>
  <si>
    <t>PGH1-P03</t>
  </si>
  <si>
    <t>PGH1P4</t>
  </si>
  <si>
    <t>PGH1-P04</t>
  </si>
  <si>
    <t>PGH1P5</t>
  </si>
  <si>
    <t>PGH1-P05</t>
  </si>
  <si>
    <t>PGH1P6</t>
  </si>
  <si>
    <t>PGH1-P06</t>
  </si>
  <si>
    <t>PGH1P7</t>
  </si>
  <si>
    <t>PGH1-P07</t>
  </si>
  <si>
    <t>PGH1P8</t>
  </si>
  <si>
    <t>PGH1-P08</t>
  </si>
  <si>
    <t>PGH1P9</t>
  </si>
  <si>
    <t>PGH1-P09</t>
  </si>
  <si>
    <t>PGH1P10</t>
  </si>
  <si>
    <t>PGH1-P10</t>
  </si>
  <si>
    <t>PGH1P11</t>
  </si>
  <si>
    <t>PGH1-P11</t>
  </si>
  <si>
    <t>PGH1P12</t>
  </si>
  <si>
    <t>PGH1-P12</t>
  </si>
  <si>
    <t>PORTA GILT HOUSE - 02(10-16WKS)</t>
  </si>
  <si>
    <t>PGH2P1</t>
  </si>
  <si>
    <t>PGH2 - P01</t>
  </si>
  <si>
    <t>PGH2P2</t>
  </si>
  <si>
    <t>PGH2 - P02</t>
  </si>
  <si>
    <t>PGH2P3</t>
  </si>
  <si>
    <t>PGH2 - P03</t>
  </si>
  <si>
    <t>PGH2P4</t>
  </si>
  <si>
    <t>PGH2 - P04</t>
  </si>
  <si>
    <t>PGH2P5</t>
  </si>
  <si>
    <t>PGH2 - P05</t>
  </si>
  <si>
    <t>PGH2P6</t>
  </si>
  <si>
    <t>PGH2 - P06</t>
  </si>
  <si>
    <t>PGH2P7</t>
  </si>
  <si>
    <t>PGH2 - P07</t>
  </si>
  <si>
    <t>PGH2P8</t>
  </si>
  <si>
    <t>PGH2 - P08</t>
  </si>
  <si>
    <t>PGH2P9</t>
  </si>
  <si>
    <t>PGH2 - P09</t>
  </si>
  <si>
    <t>PGH2P10</t>
  </si>
  <si>
    <t>PGH2 - P10</t>
  </si>
  <si>
    <t>PGH2P11</t>
  </si>
  <si>
    <t>PGH2 - P11</t>
  </si>
  <si>
    <t>PGH2P12</t>
  </si>
  <si>
    <t>PGH2 - P12</t>
  </si>
  <si>
    <t>PORTA GILT HOUSE - 03(16-24WKS)</t>
  </si>
  <si>
    <t>PGH3P1</t>
  </si>
  <si>
    <t>PGH3 - P01</t>
  </si>
  <si>
    <t>PGH3P2</t>
  </si>
  <si>
    <t>PGH3 - P02</t>
  </si>
  <si>
    <t>PGH3P3</t>
  </si>
  <si>
    <t>PGH3 - P03</t>
  </si>
  <si>
    <t>PGH3P4</t>
  </si>
  <si>
    <t>PGH3 - P04</t>
  </si>
  <si>
    <t>PGH3P5</t>
  </si>
  <si>
    <t>PGH3 - P05</t>
  </si>
  <si>
    <t>PGH3P6</t>
  </si>
  <si>
    <t>PGH3 - P06</t>
  </si>
  <si>
    <t>PGH3P7</t>
  </si>
  <si>
    <t>PGH3 - P07</t>
  </si>
  <si>
    <t>PGH3P8</t>
  </si>
  <si>
    <t>PGH3 - P08</t>
  </si>
  <si>
    <t>PGH3P9</t>
  </si>
  <si>
    <t>PGH3 - P09</t>
  </si>
  <si>
    <t>PGH3P10</t>
  </si>
  <si>
    <t>PGH3 - P10</t>
  </si>
  <si>
    <t>PGH3P11</t>
  </si>
  <si>
    <t>PGH3 - P11</t>
  </si>
  <si>
    <t>PGH3P12</t>
  </si>
  <si>
    <t>PGH3 - P12</t>
  </si>
  <si>
    <t>PGH3P13</t>
  </si>
  <si>
    <t>PGH3 - P13</t>
  </si>
  <si>
    <t>PGH3P14</t>
  </si>
  <si>
    <t>PGH3 - P14</t>
  </si>
  <si>
    <t>PGH3P15</t>
  </si>
  <si>
    <t>PGH3 - P15</t>
  </si>
  <si>
    <t>PGH3P16</t>
  </si>
  <si>
    <t>PGH3 - P16</t>
  </si>
  <si>
    <t>PGH3P17</t>
  </si>
  <si>
    <t>PGH3 - P17</t>
  </si>
  <si>
    <t>PGH3P18</t>
  </si>
  <si>
    <t>PGH3 - P18</t>
  </si>
  <si>
    <t>PGH3P19</t>
  </si>
  <si>
    <t>PGH3 - P19</t>
  </si>
  <si>
    <t>PGH3P20</t>
  </si>
  <si>
    <t>PGH3 - P20</t>
  </si>
  <si>
    <t>PGH3P21</t>
  </si>
  <si>
    <t>PGH3 - P21</t>
  </si>
  <si>
    <t>PGH3P22</t>
  </si>
  <si>
    <t>PGH3 - P22</t>
  </si>
  <si>
    <t>PORTA GILT HOUSE - 04(BOAR EXPO)</t>
  </si>
  <si>
    <t>PGH4P1</t>
  </si>
  <si>
    <t>PGH4-P01</t>
  </si>
  <si>
    <t>PGH4P2</t>
  </si>
  <si>
    <t>PGH4-P02</t>
  </si>
  <si>
    <t>PGH4P3</t>
  </si>
  <si>
    <t>PGH4-P03</t>
  </si>
  <si>
    <t>PGH4P4</t>
  </si>
  <si>
    <t>PGH4-P04</t>
  </si>
  <si>
    <t>PGH4P5</t>
  </si>
  <si>
    <t>PGH4-P05</t>
  </si>
  <si>
    <t>PGH4P6</t>
  </si>
  <si>
    <t>PGH4-P06</t>
  </si>
  <si>
    <t>PGH4P7</t>
  </si>
  <si>
    <t>PGH4-P07</t>
  </si>
  <si>
    <t>PGH4P8</t>
  </si>
  <si>
    <t>PGH4-P08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</si>
</sst>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Q208"/>
  <sheetViews>
    <sheetView tabSelected="1" workbookViewId="0">
      <pane xSplit="2" ySplit="4" topLeftCell="C139" activePane="bottomRight" state="frozen"/>
      <selection pane="bottomRight" activeCell="B149" sqref="B149:B160"/>
      <selection pane="bottomLeft" activeCell="A5" sqref="A5"/>
      <selection pane="topRight" activeCell="C1" sqref="C1"/>
    </sheetView>
  </sheetViews>
  <sheetFormatPr defaultColWidth="46.7109375" defaultRowHeight="12"/>
  <cols>
    <col min="1" max="1" width="10.85546875" style="14" bestFit="1" customWidth="1"/>
    <col min="2" max="2" width="14.140625" style="14" bestFit="1" customWidth="1"/>
    <col min="3" max="3" width="26.140625" style="14" bestFit="1" customWidth="1"/>
    <col min="4" max="4" width="11.42578125" style="14" bestFit="1" customWidth="1"/>
    <col min="5" max="5" width="24.42578125" style="14" customWidth="1"/>
    <col min="6" max="6" width="27" style="14" customWidth="1"/>
    <col min="7" max="7" width="15.7109375" style="14" customWidth="1"/>
    <col min="8" max="8" width="10" style="14" bestFit="1" customWidth="1"/>
    <col min="9" max="9" width="16" style="14" customWidth="1"/>
    <col min="10" max="10" width="15.7109375" style="14" customWidth="1"/>
    <col min="11" max="11" width="18.7109375" style="14" customWidth="1"/>
    <col min="12" max="12" width="12.140625" style="14" bestFit="1" customWidth="1"/>
    <col min="13" max="13" width="14.7109375" style="14" customWidth="1"/>
    <col min="14" max="16" width="21.140625" style="14" customWidth="1"/>
    <col min="17" max="17" width="17.85546875" style="14" customWidth="1"/>
    <col min="18" max="16384" width="46.7109375" style="14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36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2" t="s">
        <v>32</v>
      </c>
    </row>
    <row r="3" spans="1:17" ht="24">
      <c r="A3" s="1" t="s">
        <v>33</v>
      </c>
      <c r="B3" s="5" t="s">
        <v>34</v>
      </c>
      <c r="C3" s="6" t="s">
        <v>35</v>
      </c>
      <c r="D3" s="5" t="s">
        <v>36</v>
      </c>
      <c r="E3" s="5" t="s">
        <v>37</v>
      </c>
      <c r="F3" s="15" t="s">
        <v>38</v>
      </c>
      <c r="G3" s="15" t="s">
        <v>39</v>
      </c>
      <c r="H3" s="5">
        <v>0.5</v>
      </c>
      <c r="I3" s="7" t="s">
        <v>40</v>
      </c>
      <c r="J3" s="5">
        <v>10000</v>
      </c>
      <c r="K3" s="7" t="s">
        <v>41</v>
      </c>
      <c r="N3" s="13">
        <v>2000</v>
      </c>
      <c r="O3" s="11">
        <v>3</v>
      </c>
      <c r="P3" s="13">
        <v>14</v>
      </c>
    </row>
    <row r="4" spans="1:17">
      <c r="A4" s="1" t="s">
        <v>42</v>
      </c>
      <c r="B4" s="9" t="s">
        <v>43</v>
      </c>
      <c r="C4" s="10" t="s">
        <v>43</v>
      </c>
      <c r="D4" s="9"/>
      <c r="E4" s="9" t="s">
        <v>43</v>
      </c>
      <c r="F4" s="9"/>
      <c r="G4" s="9"/>
      <c r="H4" s="11" t="s">
        <v>44</v>
      </c>
      <c r="I4" s="12" t="s">
        <v>44</v>
      </c>
      <c r="J4" s="11" t="s">
        <v>43</v>
      </c>
      <c r="K4" s="12" t="s">
        <v>43</v>
      </c>
      <c r="N4" s="13" t="s">
        <v>43</v>
      </c>
      <c r="O4" s="11" t="s">
        <v>43</v>
      </c>
      <c r="P4" s="13" t="s">
        <v>44</v>
      </c>
      <c r="Q4" s="16" t="s">
        <v>43</v>
      </c>
    </row>
    <row r="5" spans="1:17">
      <c r="A5" s="15"/>
      <c r="B5" s="15"/>
      <c r="C5" s="15"/>
      <c r="D5" s="15"/>
      <c r="E5" s="15"/>
      <c r="F5" s="15"/>
      <c r="G5" s="15"/>
    </row>
    <row r="6" spans="1:17">
      <c r="A6" s="15"/>
      <c r="B6" s="15" t="s">
        <v>45</v>
      </c>
      <c r="C6" s="15" t="s">
        <v>46</v>
      </c>
      <c r="D6" s="5" t="s">
        <v>47</v>
      </c>
      <c r="E6" s="14" t="s">
        <v>48</v>
      </c>
      <c r="F6" s="15"/>
      <c r="G6" s="15"/>
      <c r="H6" s="17">
        <v>14</v>
      </c>
      <c r="I6" s="14" t="s">
        <v>49</v>
      </c>
      <c r="J6" s="19">
        <v>18000</v>
      </c>
      <c r="M6" s="21"/>
      <c r="N6" s="21"/>
      <c r="O6" s="21"/>
      <c r="P6" s="21"/>
    </row>
    <row r="7" spans="1:17">
      <c r="B7" s="15" t="s">
        <v>50</v>
      </c>
      <c r="C7" s="14" t="s">
        <v>51</v>
      </c>
      <c r="D7" s="5" t="s">
        <v>47</v>
      </c>
      <c r="E7" s="14" t="s">
        <v>48</v>
      </c>
      <c r="F7" s="15" t="s">
        <v>52</v>
      </c>
      <c r="G7" s="15" t="s">
        <v>53</v>
      </c>
      <c r="H7" s="17">
        <v>512.4</v>
      </c>
      <c r="I7" s="14" t="s">
        <v>54</v>
      </c>
      <c r="J7" s="19">
        <v>603</v>
      </c>
      <c r="K7" s="14" t="s">
        <v>55</v>
      </c>
      <c r="L7" s="14" t="s">
        <v>56</v>
      </c>
      <c r="M7" s="20" t="s">
        <v>57</v>
      </c>
      <c r="N7" s="25">
        <v>5800</v>
      </c>
      <c r="O7" s="25">
        <v>2</v>
      </c>
      <c r="P7" s="25">
        <v>4</v>
      </c>
      <c r="Q7" s="26" t="s">
        <v>43</v>
      </c>
    </row>
    <row r="8" spans="1:17">
      <c r="B8" s="15" t="s">
        <v>50</v>
      </c>
      <c r="C8" s="14" t="s">
        <v>58</v>
      </c>
      <c r="D8" s="5" t="s">
        <v>47</v>
      </c>
      <c r="E8" s="14" t="s">
        <v>48</v>
      </c>
      <c r="F8" s="15" t="s">
        <v>52</v>
      </c>
      <c r="G8" s="15" t="s">
        <v>59</v>
      </c>
      <c r="H8" s="17">
        <v>512.4</v>
      </c>
      <c r="I8" s="14" t="s">
        <v>54</v>
      </c>
      <c r="J8" s="19">
        <v>603</v>
      </c>
      <c r="K8" s="14" t="s">
        <v>55</v>
      </c>
      <c r="L8" s="14" t="s">
        <v>56</v>
      </c>
      <c r="M8" s="20" t="s">
        <v>60</v>
      </c>
      <c r="N8" s="25">
        <v>5800</v>
      </c>
      <c r="O8" s="25">
        <v>2</v>
      </c>
      <c r="P8" s="25">
        <v>4</v>
      </c>
      <c r="Q8" s="26" t="s">
        <v>43</v>
      </c>
    </row>
    <row r="9" spans="1:17">
      <c r="B9" s="15" t="s">
        <v>50</v>
      </c>
      <c r="C9" s="14" t="s">
        <v>61</v>
      </c>
      <c r="D9" s="5" t="s">
        <v>47</v>
      </c>
      <c r="E9" s="14" t="s">
        <v>48</v>
      </c>
      <c r="F9" s="15" t="s">
        <v>52</v>
      </c>
      <c r="G9" s="15" t="s">
        <v>62</v>
      </c>
      <c r="H9" s="17">
        <v>575.90799999999979</v>
      </c>
      <c r="I9" s="14" t="s">
        <v>54</v>
      </c>
      <c r="J9" s="19">
        <v>670</v>
      </c>
      <c r="K9" s="14" t="s">
        <v>55</v>
      </c>
      <c r="L9" s="14" t="s">
        <v>56</v>
      </c>
      <c r="M9" s="20" t="s">
        <v>63</v>
      </c>
      <c r="N9" s="25">
        <v>5800</v>
      </c>
      <c r="O9" s="25">
        <v>2</v>
      </c>
      <c r="P9" s="25">
        <v>4</v>
      </c>
      <c r="Q9" s="26" t="s">
        <v>43</v>
      </c>
    </row>
    <row r="10" spans="1:17">
      <c r="B10" s="15" t="s">
        <v>50</v>
      </c>
      <c r="C10" s="14" t="s">
        <v>64</v>
      </c>
      <c r="D10" s="5" t="s">
        <v>47</v>
      </c>
      <c r="E10" s="14" t="s">
        <v>48</v>
      </c>
      <c r="F10" s="15" t="s">
        <v>52</v>
      </c>
      <c r="G10" s="15" t="s">
        <v>65</v>
      </c>
      <c r="H10" s="17">
        <v>575.90799999999979</v>
      </c>
      <c r="I10" s="14" t="s">
        <v>54</v>
      </c>
      <c r="J10" s="19">
        <v>670</v>
      </c>
      <c r="K10" s="14" t="s">
        <v>55</v>
      </c>
      <c r="L10" s="14" t="s">
        <v>56</v>
      </c>
      <c r="M10" s="20" t="s">
        <v>66</v>
      </c>
      <c r="N10" s="25">
        <v>5800</v>
      </c>
      <c r="O10" s="25">
        <v>2</v>
      </c>
      <c r="P10" s="25">
        <v>4</v>
      </c>
      <c r="Q10" s="26" t="s">
        <v>43</v>
      </c>
    </row>
    <row r="11" spans="1:17">
      <c r="B11" s="15" t="s">
        <v>50</v>
      </c>
      <c r="C11" s="14" t="s">
        <v>67</v>
      </c>
      <c r="D11" s="5" t="s">
        <v>47</v>
      </c>
      <c r="E11" s="14" t="s">
        <v>48</v>
      </c>
      <c r="F11" s="15" t="s">
        <v>52</v>
      </c>
      <c r="G11" s="15" t="s">
        <v>68</v>
      </c>
      <c r="H11" s="17">
        <v>575.90799999999979</v>
      </c>
      <c r="I11" s="14" t="s">
        <v>54</v>
      </c>
      <c r="J11" s="19">
        <v>670</v>
      </c>
      <c r="K11" s="14" t="s">
        <v>55</v>
      </c>
      <c r="L11" s="14" t="s">
        <v>56</v>
      </c>
      <c r="M11" s="20" t="s">
        <v>69</v>
      </c>
      <c r="N11" s="25">
        <v>5800</v>
      </c>
      <c r="O11" s="25">
        <v>2</v>
      </c>
      <c r="P11" s="25">
        <v>4</v>
      </c>
      <c r="Q11" s="26" t="s">
        <v>43</v>
      </c>
    </row>
    <row r="12" spans="1:17">
      <c r="B12" s="15" t="s">
        <v>50</v>
      </c>
      <c r="C12" s="14" t="s">
        <v>70</v>
      </c>
      <c r="D12" s="5" t="s">
        <v>47</v>
      </c>
      <c r="E12" s="14" t="s">
        <v>48</v>
      </c>
      <c r="F12" s="15" t="s">
        <v>52</v>
      </c>
      <c r="G12" s="15" t="s">
        <v>71</v>
      </c>
      <c r="H12" s="17">
        <v>575.90799999999979</v>
      </c>
      <c r="I12" s="14" t="s">
        <v>54</v>
      </c>
      <c r="J12" s="19">
        <v>670</v>
      </c>
      <c r="K12" s="14" t="s">
        <v>55</v>
      </c>
      <c r="L12" s="14" t="s">
        <v>56</v>
      </c>
      <c r="M12" s="20" t="s">
        <v>72</v>
      </c>
      <c r="N12" s="25">
        <v>5800</v>
      </c>
      <c r="O12" s="25">
        <v>2</v>
      </c>
      <c r="P12" s="25">
        <v>4</v>
      </c>
      <c r="Q12" s="26" t="s">
        <v>43</v>
      </c>
    </row>
    <row r="13" spans="1:17">
      <c r="B13" s="15" t="s">
        <v>50</v>
      </c>
      <c r="C13" s="14" t="s">
        <v>73</v>
      </c>
      <c r="D13" s="5" t="s">
        <v>47</v>
      </c>
      <c r="E13" s="14" t="s">
        <v>48</v>
      </c>
      <c r="F13" s="15" t="s">
        <v>52</v>
      </c>
      <c r="G13" s="15" t="s">
        <v>74</v>
      </c>
      <c r="H13" s="17">
        <v>575.90799999999979</v>
      </c>
      <c r="I13" s="14" t="s">
        <v>54</v>
      </c>
      <c r="J13" s="19">
        <v>670</v>
      </c>
      <c r="K13" s="14" t="s">
        <v>55</v>
      </c>
      <c r="L13" s="14" t="s">
        <v>56</v>
      </c>
      <c r="M13" s="20" t="s">
        <v>75</v>
      </c>
      <c r="N13" s="25">
        <v>5800</v>
      </c>
      <c r="O13" s="25">
        <v>2</v>
      </c>
      <c r="P13" s="25">
        <v>4</v>
      </c>
      <c r="Q13" s="26" t="s">
        <v>43</v>
      </c>
    </row>
    <row r="14" spans="1:17">
      <c r="B14" s="15" t="s">
        <v>50</v>
      </c>
      <c r="C14" s="14" t="s">
        <v>76</v>
      </c>
      <c r="D14" s="5" t="s">
        <v>47</v>
      </c>
      <c r="E14" s="14" t="s">
        <v>48</v>
      </c>
      <c r="F14" s="15" t="s">
        <v>52</v>
      </c>
      <c r="G14" s="15" t="s">
        <v>77</v>
      </c>
      <c r="H14" s="17">
        <v>575.90799999999979</v>
      </c>
      <c r="I14" s="14" t="s">
        <v>54</v>
      </c>
      <c r="J14" s="19">
        <v>670</v>
      </c>
      <c r="K14" s="14" t="s">
        <v>55</v>
      </c>
      <c r="L14" s="14" t="s">
        <v>56</v>
      </c>
      <c r="M14" s="20" t="s">
        <v>78</v>
      </c>
      <c r="N14" s="25">
        <v>5800</v>
      </c>
      <c r="O14" s="25">
        <v>2</v>
      </c>
      <c r="P14" s="25">
        <v>4</v>
      </c>
      <c r="Q14" s="26" t="s">
        <v>43</v>
      </c>
    </row>
    <row r="15" spans="1:17">
      <c r="B15" s="15" t="s">
        <v>50</v>
      </c>
      <c r="C15" s="14" t="s">
        <v>79</v>
      </c>
      <c r="D15" s="5" t="s">
        <v>47</v>
      </c>
      <c r="E15" s="14" t="s">
        <v>48</v>
      </c>
      <c r="F15" s="15" t="s">
        <v>52</v>
      </c>
      <c r="G15" s="15" t="s">
        <v>80</v>
      </c>
      <c r="H15" s="17">
        <v>575.90799999999979</v>
      </c>
      <c r="I15" s="14" t="s">
        <v>54</v>
      </c>
      <c r="J15" s="19">
        <v>670</v>
      </c>
      <c r="K15" s="14" t="s">
        <v>55</v>
      </c>
      <c r="L15" s="14" t="s">
        <v>56</v>
      </c>
      <c r="M15" s="20" t="s">
        <v>81</v>
      </c>
      <c r="N15" s="25">
        <v>5800</v>
      </c>
      <c r="O15" s="25">
        <v>2</v>
      </c>
      <c r="P15" s="25">
        <v>4</v>
      </c>
      <c r="Q15" s="26" t="s">
        <v>43</v>
      </c>
    </row>
    <row r="16" spans="1:17">
      <c r="B16" s="15" t="s">
        <v>50</v>
      </c>
      <c r="C16" s="14" t="s">
        <v>82</v>
      </c>
      <c r="D16" s="5" t="s">
        <v>47</v>
      </c>
      <c r="E16" s="14" t="s">
        <v>48</v>
      </c>
      <c r="F16" s="15" t="s">
        <v>52</v>
      </c>
      <c r="G16" s="15" t="s">
        <v>83</v>
      </c>
      <c r="H16" s="17">
        <v>575.90799999999979</v>
      </c>
      <c r="I16" s="14" t="s">
        <v>54</v>
      </c>
      <c r="J16" s="19">
        <v>670</v>
      </c>
      <c r="K16" s="14" t="s">
        <v>55</v>
      </c>
      <c r="L16" s="14" t="s">
        <v>56</v>
      </c>
      <c r="M16" s="20" t="s">
        <v>84</v>
      </c>
      <c r="N16" s="25">
        <v>5800</v>
      </c>
      <c r="O16" s="25">
        <v>2</v>
      </c>
      <c r="P16" s="25">
        <v>4</v>
      </c>
      <c r="Q16" s="26" t="s">
        <v>43</v>
      </c>
    </row>
    <row r="17" spans="2:17">
      <c r="B17" s="15"/>
      <c r="D17" s="5"/>
      <c r="E17" s="15"/>
      <c r="F17" s="15"/>
      <c r="G17" s="15"/>
      <c r="H17" s="17"/>
      <c r="J17" s="19"/>
      <c r="M17" s="20"/>
      <c r="N17" s="20"/>
      <c r="O17" s="20"/>
      <c r="P17" s="20"/>
      <c r="Q17" s="16"/>
    </row>
    <row r="18" spans="2:17">
      <c r="B18" s="15" t="s">
        <v>50</v>
      </c>
      <c r="C18" s="14" t="s">
        <v>85</v>
      </c>
      <c r="D18" s="5" t="s">
        <v>47</v>
      </c>
      <c r="E18" s="14" t="s">
        <v>48</v>
      </c>
      <c r="F18" s="14" t="s">
        <v>86</v>
      </c>
      <c r="G18" s="14" t="s">
        <v>87</v>
      </c>
      <c r="H18" s="17">
        <v>270.95999999999992</v>
      </c>
      <c r="I18" s="14" t="s">
        <v>54</v>
      </c>
      <c r="J18" s="19">
        <v>670</v>
      </c>
      <c r="K18" s="14" t="s">
        <v>55</v>
      </c>
      <c r="L18" s="14" t="s">
        <v>56</v>
      </c>
      <c r="M18" s="20" t="s">
        <v>88</v>
      </c>
      <c r="N18" s="26">
        <v>5800</v>
      </c>
      <c r="O18" s="26">
        <v>2</v>
      </c>
      <c r="P18" s="26">
        <v>5</v>
      </c>
      <c r="Q18" s="26" t="s">
        <v>43</v>
      </c>
    </row>
    <row r="19" spans="2:17">
      <c r="B19" s="15" t="s">
        <v>50</v>
      </c>
      <c r="C19" s="14" t="s">
        <v>89</v>
      </c>
      <c r="D19" s="5" t="s">
        <v>47</v>
      </c>
      <c r="E19" s="14" t="s">
        <v>48</v>
      </c>
      <c r="F19" s="14" t="s">
        <v>86</v>
      </c>
      <c r="G19" s="14" t="s">
        <v>90</v>
      </c>
      <c r="H19" s="17">
        <v>270.95999999999992</v>
      </c>
      <c r="I19" s="14" t="s">
        <v>54</v>
      </c>
      <c r="J19" s="19">
        <v>670</v>
      </c>
      <c r="K19" s="14" t="s">
        <v>55</v>
      </c>
      <c r="L19" s="14" t="s">
        <v>56</v>
      </c>
      <c r="M19" s="20" t="s">
        <v>88</v>
      </c>
      <c r="N19" s="26">
        <v>5800</v>
      </c>
      <c r="O19" s="26">
        <v>2</v>
      </c>
      <c r="P19" s="26">
        <v>5</v>
      </c>
      <c r="Q19" s="26" t="s">
        <v>43</v>
      </c>
    </row>
    <row r="20" spans="2:17">
      <c r="B20" s="15" t="s">
        <v>50</v>
      </c>
      <c r="C20" s="14" t="s">
        <v>91</v>
      </c>
      <c r="D20" s="5" t="s">
        <v>47</v>
      </c>
      <c r="E20" s="14" t="s">
        <v>48</v>
      </c>
      <c r="F20" s="14" t="s">
        <v>86</v>
      </c>
      <c r="G20" s="14" t="s">
        <v>92</v>
      </c>
      <c r="H20" s="17">
        <v>270.95999999999992</v>
      </c>
      <c r="I20" s="14" t="s">
        <v>54</v>
      </c>
      <c r="J20" s="19">
        <v>670</v>
      </c>
      <c r="K20" s="14" t="s">
        <v>55</v>
      </c>
      <c r="L20" s="14" t="s">
        <v>56</v>
      </c>
      <c r="M20" s="20" t="s">
        <v>88</v>
      </c>
      <c r="N20" s="26">
        <v>5800</v>
      </c>
      <c r="O20" s="26">
        <v>2</v>
      </c>
      <c r="P20" s="26">
        <v>5</v>
      </c>
      <c r="Q20" s="26" t="s">
        <v>43</v>
      </c>
    </row>
    <row r="21" spans="2:17">
      <c r="B21" s="15" t="s">
        <v>50</v>
      </c>
      <c r="C21" s="14" t="s">
        <v>93</v>
      </c>
      <c r="D21" s="5" t="s">
        <v>47</v>
      </c>
      <c r="E21" s="14" t="s">
        <v>48</v>
      </c>
      <c r="F21" s="14" t="s">
        <v>86</v>
      </c>
      <c r="G21" s="14" t="s">
        <v>94</v>
      </c>
      <c r="H21" s="17">
        <v>270.95999999999992</v>
      </c>
      <c r="I21" s="14" t="s">
        <v>54</v>
      </c>
      <c r="J21" s="19">
        <v>670</v>
      </c>
      <c r="K21" s="14" t="s">
        <v>55</v>
      </c>
      <c r="L21" s="14" t="s">
        <v>56</v>
      </c>
      <c r="M21" s="20" t="s">
        <v>88</v>
      </c>
      <c r="N21" s="26">
        <v>5800</v>
      </c>
      <c r="O21" s="26">
        <v>2</v>
      </c>
      <c r="P21" s="26">
        <v>5</v>
      </c>
      <c r="Q21" s="26" t="s">
        <v>43</v>
      </c>
    </row>
    <row r="22" spans="2:17">
      <c r="B22" s="15"/>
      <c r="H22" s="17"/>
      <c r="J22" s="19"/>
    </row>
    <row r="23" spans="2:17">
      <c r="B23" s="15" t="s">
        <v>50</v>
      </c>
      <c r="C23" s="14" t="s">
        <v>95</v>
      </c>
      <c r="D23" s="5" t="s">
        <v>47</v>
      </c>
      <c r="E23" s="14" t="s">
        <v>48</v>
      </c>
      <c r="F23" s="14" t="s">
        <v>96</v>
      </c>
      <c r="G23" s="15" t="s">
        <v>97</v>
      </c>
      <c r="H23" s="17">
        <v>212.79999999999998</v>
      </c>
      <c r="I23" s="14" t="s">
        <v>54</v>
      </c>
      <c r="J23" s="19">
        <v>670</v>
      </c>
      <c r="K23" s="14" t="s">
        <v>55</v>
      </c>
      <c r="L23" s="14" t="s">
        <v>56</v>
      </c>
      <c r="M23" s="20" t="s">
        <v>98</v>
      </c>
      <c r="N23" s="25">
        <v>7800</v>
      </c>
      <c r="O23" s="25">
        <v>3</v>
      </c>
      <c r="P23" s="25">
        <v>3</v>
      </c>
      <c r="Q23" s="25" t="s">
        <v>43</v>
      </c>
    </row>
    <row r="24" spans="2:17">
      <c r="B24" s="15" t="s">
        <v>50</v>
      </c>
      <c r="C24" s="14" t="s">
        <v>99</v>
      </c>
      <c r="D24" s="5" t="s">
        <v>47</v>
      </c>
      <c r="E24" s="14" t="s">
        <v>48</v>
      </c>
      <c r="F24" s="14" t="s">
        <v>96</v>
      </c>
      <c r="G24" s="15" t="s">
        <v>100</v>
      </c>
      <c r="H24" s="17">
        <v>212.79999999999998</v>
      </c>
      <c r="I24" s="14" t="s">
        <v>54</v>
      </c>
      <c r="J24" s="19">
        <v>670</v>
      </c>
      <c r="K24" s="14" t="s">
        <v>55</v>
      </c>
      <c r="L24" s="14" t="s">
        <v>56</v>
      </c>
      <c r="M24" s="20" t="s">
        <v>98</v>
      </c>
      <c r="N24" s="25">
        <v>7800</v>
      </c>
      <c r="O24" s="25">
        <v>3</v>
      </c>
      <c r="P24" s="25">
        <v>3</v>
      </c>
      <c r="Q24" s="25" t="s">
        <v>43</v>
      </c>
    </row>
    <row r="25" spans="2:17">
      <c r="B25" s="15" t="s">
        <v>50</v>
      </c>
      <c r="C25" s="14" t="s">
        <v>101</v>
      </c>
      <c r="D25" s="5" t="s">
        <v>47</v>
      </c>
      <c r="E25" s="14" t="s">
        <v>48</v>
      </c>
      <c r="F25" s="14" t="s">
        <v>96</v>
      </c>
      <c r="G25" s="15" t="s">
        <v>102</v>
      </c>
      <c r="H25" s="17">
        <v>212.79999999999998</v>
      </c>
      <c r="I25" s="14" t="s">
        <v>54</v>
      </c>
      <c r="J25" s="19">
        <v>670</v>
      </c>
      <c r="K25" s="14" t="s">
        <v>55</v>
      </c>
      <c r="L25" s="14" t="s">
        <v>56</v>
      </c>
      <c r="M25" s="20" t="s">
        <v>98</v>
      </c>
      <c r="N25" s="25">
        <v>7800</v>
      </c>
      <c r="O25" s="25">
        <v>3</v>
      </c>
      <c r="P25" s="25">
        <v>3</v>
      </c>
      <c r="Q25" s="25" t="s">
        <v>43</v>
      </c>
    </row>
    <row r="26" spans="2:17">
      <c r="B26" s="15" t="s">
        <v>50</v>
      </c>
      <c r="C26" s="14" t="s">
        <v>103</v>
      </c>
      <c r="D26" s="5" t="s">
        <v>47</v>
      </c>
      <c r="E26" s="14" t="s">
        <v>48</v>
      </c>
      <c r="F26" s="14" t="s">
        <v>96</v>
      </c>
      <c r="G26" s="15" t="s">
        <v>104</v>
      </c>
      <c r="H26" s="17">
        <v>212.79999999999998</v>
      </c>
      <c r="I26" s="14" t="s">
        <v>54</v>
      </c>
      <c r="J26" s="19">
        <v>670</v>
      </c>
      <c r="K26" s="14" t="s">
        <v>55</v>
      </c>
      <c r="L26" s="14" t="s">
        <v>56</v>
      </c>
      <c r="M26" s="20" t="s">
        <v>98</v>
      </c>
      <c r="N26" s="25">
        <v>7800</v>
      </c>
      <c r="O26" s="25">
        <v>3</v>
      </c>
      <c r="P26" s="25">
        <v>3</v>
      </c>
      <c r="Q26" s="25" t="s">
        <v>43</v>
      </c>
    </row>
    <row r="27" spans="2:17">
      <c r="B27" s="15" t="s">
        <v>50</v>
      </c>
      <c r="C27" s="14" t="s">
        <v>105</v>
      </c>
      <c r="D27" s="5" t="s">
        <v>47</v>
      </c>
      <c r="E27" s="14" t="s">
        <v>48</v>
      </c>
      <c r="F27" s="14" t="s">
        <v>96</v>
      </c>
      <c r="G27" s="15" t="s">
        <v>106</v>
      </c>
      <c r="H27" s="17">
        <v>212.79999999999998</v>
      </c>
      <c r="I27" s="14" t="s">
        <v>54</v>
      </c>
      <c r="J27" s="19">
        <v>670</v>
      </c>
      <c r="K27" s="14" t="s">
        <v>55</v>
      </c>
      <c r="L27" s="14" t="s">
        <v>56</v>
      </c>
      <c r="M27" s="20" t="s">
        <v>98</v>
      </c>
      <c r="N27" s="25">
        <v>7800</v>
      </c>
      <c r="O27" s="25">
        <v>3</v>
      </c>
      <c r="P27" s="25">
        <v>3</v>
      </c>
      <c r="Q27" s="25" t="s">
        <v>43</v>
      </c>
    </row>
    <row r="28" spans="2:17">
      <c r="B28" s="15" t="s">
        <v>50</v>
      </c>
      <c r="C28" s="14" t="s">
        <v>107</v>
      </c>
      <c r="D28" s="5" t="s">
        <v>47</v>
      </c>
      <c r="E28" s="14" t="s">
        <v>48</v>
      </c>
      <c r="F28" s="14" t="s">
        <v>96</v>
      </c>
      <c r="G28" s="15" t="s">
        <v>108</v>
      </c>
      <c r="H28" s="17">
        <v>212.79999999999998</v>
      </c>
      <c r="I28" s="14" t="s">
        <v>54</v>
      </c>
      <c r="J28" s="19">
        <v>670</v>
      </c>
      <c r="K28" s="14" t="s">
        <v>55</v>
      </c>
      <c r="L28" s="14" t="s">
        <v>56</v>
      </c>
      <c r="M28" s="20" t="s">
        <v>98</v>
      </c>
      <c r="N28" s="25">
        <v>7800</v>
      </c>
      <c r="O28" s="25">
        <v>3</v>
      </c>
      <c r="P28" s="25">
        <v>3</v>
      </c>
      <c r="Q28" s="25" t="s">
        <v>43</v>
      </c>
    </row>
    <row r="29" spans="2:17">
      <c r="B29" s="15"/>
      <c r="H29" s="18"/>
    </row>
    <row r="30" spans="2:17">
      <c r="B30" s="15" t="s">
        <v>50</v>
      </c>
      <c r="C30" s="14" t="s">
        <v>109</v>
      </c>
      <c r="D30" s="5" t="s">
        <v>47</v>
      </c>
      <c r="E30" s="14" t="s">
        <v>48</v>
      </c>
      <c r="F30" s="14" t="s">
        <v>110</v>
      </c>
      <c r="G30" s="14" t="s">
        <v>111</v>
      </c>
      <c r="H30" s="17">
        <v>64.72999999999999</v>
      </c>
      <c r="I30" s="14" t="s">
        <v>54</v>
      </c>
      <c r="J30" s="19">
        <v>68</v>
      </c>
      <c r="K30" s="14" t="s">
        <v>55</v>
      </c>
      <c r="L30" s="14" t="s">
        <v>56</v>
      </c>
      <c r="M30" s="14" t="s">
        <v>112</v>
      </c>
      <c r="N30" s="16">
        <v>5800</v>
      </c>
      <c r="O30" s="16">
        <v>5</v>
      </c>
      <c r="P30" s="16">
        <v>1</v>
      </c>
      <c r="Q30" s="16" t="s">
        <v>43</v>
      </c>
    </row>
    <row r="31" spans="2:17">
      <c r="B31" s="15" t="s">
        <v>50</v>
      </c>
      <c r="C31" s="14" t="s">
        <v>113</v>
      </c>
      <c r="D31" s="5" t="s">
        <v>47</v>
      </c>
      <c r="E31" s="14" t="s">
        <v>48</v>
      </c>
      <c r="F31" s="14" t="s">
        <v>110</v>
      </c>
      <c r="G31" s="14" t="s">
        <v>114</v>
      </c>
      <c r="H31" s="24">
        <f>110*3</f>
        <v>330</v>
      </c>
      <c r="I31" s="14" t="s">
        <v>54</v>
      </c>
      <c r="J31" s="16">
        <f>49*3</f>
        <v>147</v>
      </c>
      <c r="K31" s="14" t="s">
        <v>55</v>
      </c>
      <c r="L31" s="14" t="s">
        <v>56</v>
      </c>
      <c r="M31" s="14" t="s">
        <v>115</v>
      </c>
      <c r="N31" s="16">
        <v>5800</v>
      </c>
      <c r="O31" s="16">
        <v>5</v>
      </c>
      <c r="P31" s="16">
        <v>1</v>
      </c>
      <c r="Q31" s="16" t="s">
        <v>43</v>
      </c>
    </row>
    <row r="32" spans="2:17">
      <c r="B32" s="15" t="s">
        <v>50</v>
      </c>
      <c r="C32" s="14" t="s">
        <v>116</v>
      </c>
      <c r="D32" s="5" t="s">
        <v>47</v>
      </c>
      <c r="E32" s="14" t="s">
        <v>48</v>
      </c>
      <c r="F32" s="14" t="s">
        <v>110</v>
      </c>
      <c r="G32" s="14" t="s">
        <v>117</v>
      </c>
      <c r="H32" s="24">
        <f t="shared" ref="H32:H35" si="0">110*3</f>
        <v>330</v>
      </c>
      <c r="I32" s="14" t="s">
        <v>54</v>
      </c>
      <c r="J32" s="16">
        <f t="shared" ref="J32:J35" si="1">49*3</f>
        <v>147</v>
      </c>
      <c r="K32" s="14" t="s">
        <v>55</v>
      </c>
      <c r="L32" s="14" t="s">
        <v>56</v>
      </c>
      <c r="M32" s="14" t="s">
        <v>118</v>
      </c>
      <c r="N32" s="16">
        <v>5800</v>
      </c>
      <c r="O32" s="16">
        <v>5</v>
      </c>
      <c r="P32" s="16">
        <v>1</v>
      </c>
      <c r="Q32" s="16" t="s">
        <v>43</v>
      </c>
    </row>
    <row r="33" spans="2:17">
      <c r="B33" s="15" t="s">
        <v>50</v>
      </c>
      <c r="C33" s="14" t="s">
        <v>119</v>
      </c>
      <c r="D33" s="5" t="s">
        <v>47</v>
      </c>
      <c r="E33" s="14" t="s">
        <v>48</v>
      </c>
      <c r="F33" s="14" t="s">
        <v>110</v>
      </c>
      <c r="G33" s="14" t="s">
        <v>120</v>
      </c>
      <c r="H33" s="24">
        <f t="shared" si="0"/>
        <v>330</v>
      </c>
      <c r="I33" s="14" t="s">
        <v>54</v>
      </c>
      <c r="J33" s="16">
        <f t="shared" si="1"/>
        <v>147</v>
      </c>
      <c r="K33" s="14" t="s">
        <v>55</v>
      </c>
      <c r="L33" s="14" t="s">
        <v>56</v>
      </c>
      <c r="M33" s="14" t="s">
        <v>121</v>
      </c>
      <c r="N33" s="16">
        <v>5800</v>
      </c>
      <c r="O33" s="16">
        <v>5</v>
      </c>
      <c r="P33" s="16">
        <v>1</v>
      </c>
      <c r="Q33" s="16" t="s">
        <v>43</v>
      </c>
    </row>
    <row r="34" spans="2:17">
      <c r="B34" s="15" t="s">
        <v>50</v>
      </c>
      <c r="C34" s="14" t="s">
        <v>122</v>
      </c>
      <c r="D34" s="5" t="s">
        <v>47</v>
      </c>
      <c r="E34" s="14" t="s">
        <v>48</v>
      </c>
      <c r="F34" s="14" t="s">
        <v>110</v>
      </c>
      <c r="G34" s="14" t="s">
        <v>123</v>
      </c>
      <c r="H34" s="24">
        <f t="shared" si="0"/>
        <v>330</v>
      </c>
      <c r="I34" s="14" t="s">
        <v>54</v>
      </c>
      <c r="J34" s="16">
        <f t="shared" si="1"/>
        <v>147</v>
      </c>
      <c r="K34" s="14" t="s">
        <v>55</v>
      </c>
      <c r="L34" s="14" t="s">
        <v>56</v>
      </c>
      <c r="M34" s="14" t="s">
        <v>124</v>
      </c>
      <c r="N34" s="16">
        <v>5800</v>
      </c>
      <c r="O34" s="16">
        <v>5</v>
      </c>
      <c r="P34" s="16">
        <v>1</v>
      </c>
      <c r="Q34" s="16" t="s">
        <v>43</v>
      </c>
    </row>
    <row r="35" spans="2:17">
      <c r="B35" s="15" t="s">
        <v>50</v>
      </c>
      <c r="C35" s="14" t="s">
        <v>125</v>
      </c>
      <c r="D35" s="5" t="s">
        <v>47</v>
      </c>
      <c r="E35" s="14" t="s">
        <v>48</v>
      </c>
      <c r="F35" s="14" t="s">
        <v>110</v>
      </c>
      <c r="G35" s="14" t="s">
        <v>126</v>
      </c>
      <c r="H35" s="24">
        <f t="shared" si="0"/>
        <v>330</v>
      </c>
      <c r="I35" s="14" t="s">
        <v>54</v>
      </c>
      <c r="J35" s="16">
        <f t="shared" si="1"/>
        <v>147</v>
      </c>
      <c r="K35" s="14" t="s">
        <v>55</v>
      </c>
      <c r="L35" s="14" t="s">
        <v>56</v>
      </c>
      <c r="M35" s="14" t="s">
        <v>127</v>
      </c>
      <c r="N35" s="16">
        <v>5800</v>
      </c>
      <c r="O35" s="16">
        <v>5</v>
      </c>
      <c r="P35" s="16">
        <v>1</v>
      </c>
      <c r="Q35" s="16" t="s">
        <v>43</v>
      </c>
    </row>
    <row r="36" spans="2:17">
      <c r="B36" s="15"/>
      <c r="H36" s="18"/>
    </row>
    <row r="37" spans="2:17">
      <c r="B37" s="15" t="s">
        <v>50</v>
      </c>
      <c r="C37" s="14" t="s">
        <v>128</v>
      </c>
      <c r="D37" s="5" t="s">
        <v>47</v>
      </c>
      <c r="E37" s="14" t="s">
        <v>48</v>
      </c>
      <c r="F37" s="14" t="s">
        <v>110</v>
      </c>
      <c r="G37" s="14" t="s">
        <v>111</v>
      </c>
      <c r="H37" s="17">
        <v>64.72999999999999</v>
      </c>
      <c r="I37" s="14" t="s">
        <v>54</v>
      </c>
      <c r="J37" s="19">
        <v>68</v>
      </c>
      <c r="K37" s="14" t="s">
        <v>55</v>
      </c>
      <c r="L37" s="14" t="s">
        <v>56</v>
      </c>
      <c r="M37" s="14" t="s">
        <v>129</v>
      </c>
      <c r="N37" s="16">
        <v>5800</v>
      </c>
      <c r="O37" s="16">
        <v>5</v>
      </c>
      <c r="P37" s="16">
        <v>1</v>
      </c>
      <c r="Q37" s="16" t="s">
        <v>43</v>
      </c>
    </row>
    <row r="38" spans="2:17">
      <c r="B38" s="15" t="s">
        <v>50</v>
      </c>
      <c r="C38" s="14" t="s">
        <v>130</v>
      </c>
      <c r="D38" s="5" t="s">
        <v>47</v>
      </c>
      <c r="E38" s="14" t="s">
        <v>48</v>
      </c>
      <c r="F38" s="14" t="s">
        <v>110</v>
      </c>
      <c r="G38" s="14" t="s">
        <v>114</v>
      </c>
      <c r="H38" s="24">
        <f>110*3</f>
        <v>330</v>
      </c>
      <c r="I38" s="14" t="s">
        <v>54</v>
      </c>
      <c r="J38" s="16">
        <f>49*3</f>
        <v>147</v>
      </c>
      <c r="K38" s="14" t="s">
        <v>55</v>
      </c>
      <c r="L38" s="14" t="s">
        <v>56</v>
      </c>
      <c r="M38" s="14" t="s">
        <v>115</v>
      </c>
      <c r="N38" s="16">
        <v>5800</v>
      </c>
      <c r="O38" s="16">
        <v>5</v>
      </c>
      <c r="P38" s="16">
        <v>1</v>
      </c>
      <c r="Q38" s="16" t="s">
        <v>43</v>
      </c>
    </row>
    <row r="39" spans="2:17">
      <c r="B39" s="15" t="s">
        <v>50</v>
      </c>
      <c r="C39" s="14" t="s">
        <v>131</v>
      </c>
      <c r="D39" s="5" t="s">
        <v>47</v>
      </c>
      <c r="E39" s="14" t="s">
        <v>48</v>
      </c>
      <c r="F39" s="14" t="s">
        <v>110</v>
      </c>
      <c r="G39" s="14" t="s">
        <v>117</v>
      </c>
      <c r="H39" s="24">
        <f t="shared" ref="H39:H42" si="2">110*3</f>
        <v>330</v>
      </c>
      <c r="I39" s="14" t="s">
        <v>54</v>
      </c>
      <c r="J39" s="16">
        <f t="shared" ref="J39:J42" si="3">49*3</f>
        <v>147</v>
      </c>
      <c r="K39" s="14" t="s">
        <v>55</v>
      </c>
      <c r="L39" s="14" t="s">
        <v>56</v>
      </c>
      <c r="M39" s="14" t="s">
        <v>118</v>
      </c>
      <c r="N39" s="16">
        <v>5800</v>
      </c>
      <c r="O39" s="16">
        <v>5</v>
      </c>
      <c r="P39" s="16">
        <v>1</v>
      </c>
      <c r="Q39" s="16" t="s">
        <v>43</v>
      </c>
    </row>
    <row r="40" spans="2:17">
      <c r="B40" s="15" t="s">
        <v>50</v>
      </c>
      <c r="C40" s="14" t="s">
        <v>132</v>
      </c>
      <c r="D40" s="5" t="s">
        <v>47</v>
      </c>
      <c r="E40" s="14" t="s">
        <v>48</v>
      </c>
      <c r="F40" s="14" t="s">
        <v>110</v>
      </c>
      <c r="G40" s="14" t="s">
        <v>120</v>
      </c>
      <c r="H40" s="24">
        <f t="shared" si="2"/>
        <v>330</v>
      </c>
      <c r="I40" s="14" t="s">
        <v>54</v>
      </c>
      <c r="J40" s="16">
        <f t="shared" si="3"/>
        <v>147</v>
      </c>
      <c r="K40" s="14" t="s">
        <v>55</v>
      </c>
      <c r="L40" s="14" t="s">
        <v>56</v>
      </c>
      <c r="M40" s="14" t="s">
        <v>121</v>
      </c>
      <c r="N40" s="16">
        <v>5800</v>
      </c>
      <c r="O40" s="16">
        <v>5</v>
      </c>
      <c r="P40" s="16">
        <v>1</v>
      </c>
      <c r="Q40" s="16" t="s">
        <v>43</v>
      </c>
    </row>
    <row r="41" spans="2:17">
      <c r="B41" s="15" t="s">
        <v>50</v>
      </c>
      <c r="C41" s="14" t="s">
        <v>133</v>
      </c>
      <c r="D41" s="5" t="s">
        <v>47</v>
      </c>
      <c r="E41" s="14" t="s">
        <v>48</v>
      </c>
      <c r="F41" s="14" t="s">
        <v>110</v>
      </c>
      <c r="G41" s="14" t="s">
        <v>123</v>
      </c>
      <c r="H41" s="24">
        <f t="shared" si="2"/>
        <v>330</v>
      </c>
      <c r="I41" s="14" t="s">
        <v>54</v>
      </c>
      <c r="J41" s="16">
        <f t="shared" si="3"/>
        <v>147</v>
      </c>
      <c r="K41" s="14" t="s">
        <v>55</v>
      </c>
      <c r="L41" s="14" t="s">
        <v>56</v>
      </c>
      <c r="M41" s="14" t="s">
        <v>124</v>
      </c>
      <c r="N41" s="16">
        <v>5800</v>
      </c>
      <c r="O41" s="16">
        <v>5</v>
      </c>
      <c r="P41" s="16">
        <v>1</v>
      </c>
      <c r="Q41" s="16" t="s">
        <v>43</v>
      </c>
    </row>
    <row r="42" spans="2:17">
      <c r="B42" s="15" t="s">
        <v>50</v>
      </c>
      <c r="C42" s="14" t="s">
        <v>134</v>
      </c>
      <c r="D42" s="5" t="s">
        <v>47</v>
      </c>
      <c r="E42" s="14" t="s">
        <v>48</v>
      </c>
      <c r="F42" s="14" t="s">
        <v>110</v>
      </c>
      <c r="G42" s="14" t="s">
        <v>126</v>
      </c>
      <c r="H42" s="24">
        <f t="shared" si="2"/>
        <v>330</v>
      </c>
      <c r="I42" s="14" t="s">
        <v>54</v>
      </c>
      <c r="J42" s="16">
        <f t="shared" si="3"/>
        <v>147</v>
      </c>
      <c r="K42" s="14" t="s">
        <v>55</v>
      </c>
      <c r="L42" s="14" t="s">
        <v>56</v>
      </c>
      <c r="M42" s="14" t="s">
        <v>127</v>
      </c>
      <c r="N42" s="16">
        <v>5800</v>
      </c>
      <c r="O42" s="16">
        <v>5</v>
      </c>
      <c r="P42" s="16">
        <v>1</v>
      </c>
      <c r="Q42" s="16" t="s">
        <v>43</v>
      </c>
    </row>
    <row r="43" spans="2:17">
      <c r="B43" s="15"/>
      <c r="H43" s="18"/>
    </row>
    <row r="44" spans="2:17">
      <c r="B44" s="15" t="s">
        <v>50</v>
      </c>
      <c r="C44" s="14" t="s">
        <v>135</v>
      </c>
      <c r="D44" s="5" t="s">
        <v>47</v>
      </c>
      <c r="E44" s="14" t="s">
        <v>48</v>
      </c>
      <c r="F44" s="14" t="s">
        <v>136</v>
      </c>
      <c r="G44" s="14" t="s">
        <v>137</v>
      </c>
      <c r="H44" s="16">
        <v>241.9199999999999</v>
      </c>
      <c r="I44" s="14" t="s">
        <v>54</v>
      </c>
      <c r="J44" s="16">
        <v>48</v>
      </c>
      <c r="K44" s="14" t="s">
        <v>55</v>
      </c>
      <c r="L44" s="14" t="s">
        <v>56</v>
      </c>
      <c r="M44" s="20" t="s">
        <v>138</v>
      </c>
      <c r="N44" s="23">
        <v>5800</v>
      </c>
      <c r="O44" s="23">
        <v>4</v>
      </c>
      <c r="P44" s="23">
        <v>2</v>
      </c>
      <c r="Q44" s="23" t="s">
        <v>43</v>
      </c>
    </row>
    <row r="45" spans="2:17">
      <c r="B45" s="15" t="s">
        <v>50</v>
      </c>
      <c r="C45" s="14" t="s">
        <v>139</v>
      </c>
      <c r="D45" s="5" t="s">
        <v>47</v>
      </c>
      <c r="E45" s="14" t="s">
        <v>48</v>
      </c>
      <c r="F45" s="14" t="s">
        <v>136</v>
      </c>
      <c r="G45" s="14" t="s">
        <v>140</v>
      </c>
      <c r="H45" s="16">
        <v>241.9199999999999</v>
      </c>
      <c r="I45" s="14" t="s">
        <v>54</v>
      </c>
      <c r="J45" s="16">
        <v>48</v>
      </c>
      <c r="K45" s="14" t="s">
        <v>55</v>
      </c>
      <c r="L45" s="14" t="s">
        <v>56</v>
      </c>
      <c r="M45" s="20" t="s">
        <v>138</v>
      </c>
      <c r="N45" s="23">
        <v>5800</v>
      </c>
      <c r="O45" s="23">
        <v>4</v>
      </c>
      <c r="P45" s="23">
        <v>2</v>
      </c>
      <c r="Q45" s="23" t="s">
        <v>43</v>
      </c>
    </row>
    <row r="46" spans="2:17">
      <c r="B46" s="15" t="s">
        <v>50</v>
      </c>
      <c r="C46" s="14" t="s">
        <v>141</v>
      </c>
      <c r="D46" s="5" t="s">
        <v>47</v>
      </c>
      <c r="E46" s="14" t="s">
        <v>48</v>
      </c>
      <c r="F46" s="14" t="s">
        <v>136</v>
      </c>
      <c r="G46" s="14" t="s">
        <v>142</v>
      </c>
      <c r="H46" s="16">
        <v>241.9199999999999</v>
      </c>
      <c r="I46" s="14" t="s">
        <v>54</v>
      </c>
      <c r="J46" s="16">
        <v>48</v>
      </c>
      <c r="K46" s="14" t="s">
        <v>55</v>
      </c>
      <c r="L46" s="14" t="s">
        <v>56</v>
      </c>
      <c r="M46" s="20" t="s">
        <v>143</v>
      </c>
      <c r="N46" s="23">
        <v>5800</v>
      </c>
      <c r="O46" s="23">
        <v>4</v>
      </c>
      <c r="P46" s="23">
        <v>2</v>
      </c>
      <c r="Q46" s="23" t="s">
        <v>43</v>
      </c>
    </row>
    <row r="47" spans="2:17">
      <c r="B47" s="15" t="s">
        <v>50</v>
      </c>
      <c r="C47" s="14" t="s">
        <v>144</v>
      </c>
      <c r="D47" s="5" t="s">
        <v>47</v>
      </c>
      <c r="E47" s="14" t="s">
        <v>48</v>
      </c>
      <c r="F47" s="14" t="s">
        <v>136</v>
      </c>
      <c r="G47" s="14" t="s">
        <v>145</v>
      </c>
      <c r="H47" s="16">
        <v>241.9199999999999</v>
      </c>
      <c r="I47" s="14" t="s">
        <v>54</v>
      </c>
      <c r="J47" s="16">
        <v>48</v>
      </c>
      <c r="K47" s="14" t="s">
        <v>55</v>
      </c>
      <c r="L47" s="14" t="s">
        <v>56</v>
      </c>
      <c r="M47" s="20" t="s">
        <v>143</v>
      </c>
      <c r="N47" s="23">
        <v>5800</v>
      </c>
      <c r="O47" s="23">
        <v>4</v>
      </c>
      <c r="P47" s="23">
        <v>2</v>
      </c>
      <c r="Q47" s="23" t="s">
        <v>43</v>
      </c>
    </row>
    <row r="48" spans="2:17">
      <c r="B48" s="15" t="s">
        <v>50</v>
      </c>
      <c r="C48" s="14" t="s">
        <v>146</v>
      </c>
      <c r="D48" s="5" t="s">
        <v>47</v>
      </c>
      <c r="E48" s="14" t="s">
        <v>48</v>
      </c>
      <c r="F48" s="14" t="s">
        <v>136</v>
      </c>
      <c r="G48" s="14" t="s">
        <v>147</v>
      </c>
      <c r="H48" s="16">
        <v>241.9199999999999</v>
      </c>
      <c r="I48" s="14" t="s">
        <v>54</v>
      </c>
      <c r="J48" s="16">
        <v>48</v>
      </c>
      <c r="K48" s="14" t="s">
        <v>55</v>
      </c>
      <c r="L48" s="14" t="s">
        <v>56</v>
      </c>
      <c r="M48" s="20" t="s">
        <v>148</v>
      </c>
      <c r="N48" s="23">
        <v>5800</v>
      </c>
      <c r="O48" s="23">
        <v>4</v>
      </c>
      <c r="P48" s="23">
        <v>2</v>
      </c>
      <c r="Q48" s="23" t="s">
        <v>43</v>
      </c>
    </row>
    <row r="50" spans="2:17">
      <c r="B50" s="15" t="s">
        <v>50</v>
      </c>
      <c r="C50" s="14" t="s">
        <v>135</v>
      </c>
      <c r="D50" s="5" t="s">
        <v>47</v>
      </c>
      <c r="E50" s="14" t="s">
        <v>48</v>
      </c>
      <c r="F50" s="14" t="s">
        <v>136</v>
      </c>
      <c r="G50" s="14" t="s">
        <v>137</v>
      </c>
      <c r="H50" s="16">
        <v>241.9199999999999</v>
      </c>
      <c r="I50" s="14" t="s">
        <v>54</v>
      </c>
      <c r="J50" s="16">
        <v>48</v>
      </c>
      <c r="K50" s="14" t="s">
        <v>55</v>
      </c>
      <c r="L50" s="14" t="s">
        <v>56</v>
      </c>
      <c r="M50" s="20" t="s">
        <v>149</v>
      </c>
      <c r="N50" s="23">
        <v>5800</v>
      </c>
      <c r="O50" s="23">
        <v>4</v>
      </c>
      <c r="P50" s="23">
        <v>2</v>
      </c>
      <c r="Q50" s="23" t="s">
        <v>43</v>
      </c>
    </row>
    <row r="51" spans="2:17">
      <c r="B51" s="15" t="s">
        <v>50</v>
      </c>
      <c r="C51" s="14" t="s">
        <v>139</v>
      </c>
      <c r="D51" s="5" t="s">
        <v>47</v>
      </c>
      <c r="E51" s="14" t="s">
        <v>48</v>
      </c>
      <c r="F51" s="14" t="s">
        <v>136</v>
      </c>
      <c r="G51" s="14" t="s">
        <v>140</v>
      </c>
      <c r="H51" s="16">
        <v>241.9199999999999</v>
      </c>
      <c r="I51" s="14" t="s">
        <v>54</v>
      </c>
      <c r="J51" s="16">
        <v>48</v>
      </c>
      <c r="K51" s="14" t="s">
        <v>55</v>
      </c>
      <c r="L51" s="14" t="s">
        <v>56</v>
      </c>
      <c r="M51" s="20" t="s">
        <v>149</v>
      </c>
      <c r="N51" s="23">
        <v>5800</v>
      </c>
      <c r="O51" s="23">
        <v>4</v>
      </c>
      <c r="P51" s="23">
        <v>2</v>
      </c>
      <c r="Q51" s="23" t="s">
        <v>43</v>
      </c>
    </row>
    <row r="52" spans="2:17">
      <c r="B52" s="15" t="s">
        <v>50</v>
      </c>
      <c r="C52" s="14" t="s">
        <v>141</v>
      </c>
      <c r="D52" s="5" t="s">
        <v>47</v>
      </c>
      <c r="E52" s="14" t="s">
        <v>48</v>
      </c>
      <c r="F52" s="14" t="s">
        <v>136</v>
      </c>
      <c r="G52" s="14" t="s">
        <v>142</v>
      </c>
      <c r="H52" s="16">
        <v>241.9199999999999</v>
      </c>
      <c r="I52" s="14" t="s">
        <v>54</v>
      </c>
      <c r="J52" s="16">
        <v>48</v>
      </c>
      <c r="K52" s="14" t="s">
        <v>55</v>
      </c>
      <c r="L52" s="14" t="s">
        <v>56</v>
      </c>
      <c r="M52" s="20" t="s">
        <v>150</v>
      </c>
      <c r="N52" s="23">
        <v>5800</v>
      </c>
      <c r="O52" s="23">
        <v>4</v>
      </c>
      <c r="P52" s="23">
        <v>2</v>
      </c>
      <c r="Q52" s="23" t="s">
        <v>43</v>
      </c>
    </row>
    <row r="53" spans="2:17">
      <c r="B53" s="15" t="s">
        <v>50</v>
      </c>
      <c r="C53" s="14" t="s">
        <v>144</v>
      </c>
      <c r="D53" s="5" t="s">
        <v>47</v>
      </c>
      <c r="E53" s="14" t="s">
        <v>48</v>
      </c>
      <c r="F53" s="14" t="s">
        <v>136</v>
      </c>
      <c r="G53" s="14" t="s">
        <v>145</v>
      </c>
      <c r="H53" s="16">
        <v>241.9199999999999</v>
      </c>
      <c r="I53" s="14" t="s">
        <v>54</v>
      </c>
      <c r="J53" s="16">
        <v>48</v>
      </c>
      <c r="K53" s="14" t="s">
        <v>55</v>
      </c>
      <c r="L53" s="14" t="s">
        <v>56</v>
      </c>
      <c r="M53" s="20" t="s">
        <v>150</v>
      </c>
      <c r="N53" s="23">
        <v>5800</v>
      </c>
      <c r="O53" s="23">
        <v>4</v>
      </c>
      <c r="P53" s="23">
        <v>2</v>
      </c>
      <c r="Q53" s="23" t="s">
        <v>43</v>
      </c>
    </row>
    <row r="54" spans="2:17">
      <c r="B54" s="15" t="s">
        <v>50</v>
      </c>
      <c r="C54" s="14" t="s">
        <v>146</v>
      </c>
      <c r="D54" s="5" t="s">
        <v>47</v>
      </c>
      <c r="E54" s="14" t="s">
        <v>48</v>
      </c>
      <c r="F54" s="14" t="s">
        <v>136</v>
      </c>
      <c r="G54" s="14" t="s">
        <v>147</v>
      </c>
      <c r="H54" s="16">
        <v>241.9199999999999</v>
      </c>
      <c r="I54" s="14" t="s">
        <v>54</v>
      </c>
      <c r="J54" s="16">
        <v>48</v>
      </c>
      <c r="K54" s="14" t="s">
        <v>55</v>
      </c>
      <c r="L54" s="14" t="s">
        <v>56</v>
      </c>
      <c r="M54" s="20" t="s">
        <v>151</v>
      </c>
      <c r="N54" s="23">
        <v>5800</v>
      </c>
      <c r="O54" s="23">
        <v>4</v>
      </c>
      <c r="P54" s="23">
        <v>2</v>
      </c>
      <c r="Q54" s="23" t="s">
        <v>43</v>
      </c>
    </row>
    <row r="56" spans="2:17">
      <c r="B56" s="15" t="s">
        <v>50</v>
      </c>
      <c r="C56" s="14" t="s">
        <v>152</v>
      </c>
      <c r="D56" s="5" t="s">
        <v>47</v>
      </c>
      <c r="E56" s="14" t="s">
        <v>48</v>
      </c>
      <c r="F56" s="14" t="s">
        <v>153</v>
      </c>
      <c r="H56" s="17">
        <v>127.56800000000017</v>
      </c>
      <c r="I56" s="14" t="s">
        <v>54</v>
      </c>
      <c r="J56" s="19">
        <v>89</v>
      </c>
      <c r="K56" s="14" t="s">
        <v>55</v>
      </c>
      <c r="L56" s="14" t="s">
        <v>56</v>
      </c>
      <c r="M56" s="16" t="s">
        <v>154</v>
      </c>
      <c r="N56" s="27">
        <v>5800</v>
      </c>
      <c r="O56" s="27">
        <v>4</v>
      </c>
      <c r="P56" s="27">
        <v>1</v>
      </c>
      <c r="Q56" s="27" t="s">
        <v>43</v>
      </c>
    </row>
    <row r="57" spans="2:17">
      <c r="B57" s="15" t="s">
        <v>155</v>
      </c>
      <c r="C57" s="14" t="s">
        <v>156</v>
      </c>
      <c r="D57" s="5" t="s">
        <v>47</v>
      </c>
      <c r="E57" s="14" t="s">
        <v>48</v>
      </c>
      <c r="F57" s="14" t="s">
        <v>153</v>
      </c>
      <c r="G57" s="14" t="s">
        <v>157</v>
      </c>
      <c r="H57" s="17">
        <v>1.4112000000000002</v>
      </c>
      <c r="I57" s="14" t="s">
        <v>54</v>
      </c>
      <c r="J57" s="16">
        <v>1</v>
      </c>
      <c r="K57" s="14" t="s">
        <v>55</v>
      </c>
      <c r="L57" s="14" t="s">
        <v>56</v>
      </c>
      <c r="M57" s="16" t="s">
        <v>154</v>
      </c>
      <c r="N57" s="27"/>
      <c r="O57" s="27"/>
      <c r="P57" s="27"/>
      <c r="Q57" s="27"/>
    </row>
    <row r="58" spans="2:17">
      <c r="B58" s="15" t="s">
        <v>155</v>
      </c>
      <c r="C58" s="14" t="s">
        <v>158</v>
      </c>
      <c r="D58" s="5" t="s">
        <v>47</v>
      </c>
      <c r="E58" s="14" t="s">
        <v>48</v>
      </c>
      <c r="F58" s="14" t="s">
        <v>153</v>
      </c>
      <c r="G58" s="14" t="s">
        <v>159</v>
      </c>
      <c r="H58" s="17">
        <v>1.4112000000000002</v>
      </c>
      <c r="I58" s="14" t="s">
        <v>54</v>
      </c>
      <c r="J58" s="16">
        <v>1</v>
      </c>
      <c r="K58" s="14" t="s">
        <v>55</v>
      </c>
      <c r="L58" s="14" t="s">
        <v>56</v>
      </c>
      <c r="M58" s="16" t="s">
        <v>154</v>
      </c>
      <c r="N58" s="27"/>
      <c r="O58" s="27"/>
      <c r="P58" s="27"/>
      <c r="Q58" s="27"/>
    </row>
    <row r="59" spans="2:17">
      <c r="B59" s="15" t="s">
        <v>155</v>
      </c>
      <c r="C59" s="14" t="s">
        <v>160</v>
      </c>
      <c r="D59" s="5" t="s">
        <v>47</v>
      </c>
      <c r="E59" s="14" t="s">
        <v>48</v>
      </c>
      <c r="F59" s="14" t="s">
        <v>153</v>
      </c>
      <c r="G59" s="14" t="s">
        <v>161</v>
      </c>
      <c r="H59" s="17">
        <v>1.4112000000000002</v>
      </c>
      <c r="I59" s="14" t="s">
        <v>54</v>
      </c>
      <c r="J59" s="16">
        <v>1</v>
      </c>
      <c r="K59" s="14" t="s">
        <v>55</v>
      </c>
      <c r="L59" s="14" t="s">
        <v>56</v>
      </c>
      <c r="M59" s="16" t="s">
        <v>154</v>
      </c>
      <c r="N59" s="27"/>
      <c r="O59" s="27"/>
      <c r="P59" s="27"/>
      <c r="Q59" s="27"/>
    </row>
    <row r="60" spans="2:17">
      <c r="B60" s="15" t="s">
        <v>155</v>
      </c>
      <c r="C60" s="14" t="s">
        <v>162</v>
      </c>
      <c r="D60" s="5" t="s">
        <v>47</v>
      </c>
      <c r="E60" s="14" t="s">
        <v>48</v>
      </c>
      <c r="F60" s="14" t="s">
        <v>153</v>
      </c>
      <c r="G60" s="14" t="s">
        <v>163</v>
      </c>
      <c r="H60" s="17">
        <v>1.4112000000000002</v>
      </c>
      <c r="I60" s="14" t="s">
        <v>54</v>
      </c>
      <c r="J60" s="16">
        <v>1</v>
      </c>
      <c r="K60" s="14" t="s">
        <v>55</v>
      </c>
      <c r="L60" s="14" t="s">
        <v>56</v>
      </c>
      <c r="M60" s="16" t="s">
        <v>154</v>
      </c>
      <c r="N60" s="27"/>
      <c r="O60" s="27"/>
      <c r="P60" s="27"/>
      <c r="Q60" s="27"/>
    </row>
    <row r="61" spans="2:17">
      <c r="B61" s="15" t="s">
        <v>155</v>
      </c>
      <c r="C61" s="14" t="s">
        <v>164</v>
      </c>
      <c r="D61" s="5" t="s">
        <v>47</v>
      </c>
      <c r="E61" s="14" t="s">
        <v>48</v>
      </c>
      <c r="F61" s="14" t="s">
        <v>153</v>
      </c>
      <c r="G61" s="14" t="s">
        <v>165</v>
      </c>
      <c r="H61" s="17">
        <v>1.4112000000000002</v>
      </c>
      <c r="I61" s="14" t="s">
        <v>54</v>
      </c>
      <c r="J61" s="16">
        <v>1</v>
      </c>
      <c r="K61" s="14" t="s">
        <v>55</v>
      </c>
      <c r="L61" s="14" t="s">
        <v>56</v>
      </c>
      <c r="M61" s="16" t="s">
        <v>154</v>
      </c>
      <c r="N61" s="27"/>
      <c r="O61" s="27"/>
      <c r="P61" s="27"/>
      <c r="Q61" s="27"/>
    </row>
    <row r="62" spans="2:17">
      <c r="B62" s="15" t="s">
        <v>155</v>
      </c>
      <c r="C62" s="14" t="s">
        <v>166</v>
      </c>
      <c r="D62" s="5" t="s">
        <v>47</v>
      </c>
      <c r="E62" s="14" t="s">
        <v>48</v>
      </c>
      <c r="F62" s="14" t="s">
        <v>153</v>
      </c>
      <c r="G62" s="14" t="s">
        <v>167</v>
      </c>
      <c r="H62" s="17">
        <v>1.4112000000000002</v>
      </c>
      <c r="I62" s="14" t="s">
        <v>54</v>
      </c>
      <c r="J62" s="16">
        <v>1</v>
      </c>
      <c r="K62" s="14" t="s">
        <v>55</v>
      </c>
      <c r="L62" s="14" t="s">
        <v>56</v>
      </c>
      <c r="M62" s="16" t="s">
        <v>154</v>
      </c>
      <c r="N62" s="27"/>
      <c r="O62" s="27"/>
      <c r="P62" s="27"/>
      <c r="Q62" s="27"/>
    </row>
    <row r="63" spans="2:17">
      <c r="B63" s="15" t="s">
        <v>155</v>
      </c>
      <c r="C63" s="14" t="s">
        <v>168</v>
      </c>
      <c r="D63" s="5" t="s">
        <v>47</v>
      </c>
      <c r="E63" s="14" t="s">
        <v>48</v>
      </c>
      <c r="F63" s="14" t="s">
        <v>153</v>
      </c>
      <c r="G63" s="14" t="s">
        <v>169</v>
      </c>
      <c r="H63" s="17">
        <v>1.4112000000000002</v>
      </c>
      <c r="I63" s="14" t="s">
        <v>54</v>
      </c>
      <c r="J63" s="16">
        <v>1</v>
      </c>
      <c r="K63" s="14" t="s">
        <v>55</v>
      </c>
      <c r="L63" s="14" t="s">
        <v>56</v>
      </c>
      <c r="M63" s="16" t="s">
        <v>154</v>
      </c>
      <c r="N63" s="27"/>
      <c r="O63" s="27"/>
      <c r="P63" s="27"/>
      <c r="Q63" s="27"/>
    </row>
    <row r="64" spans="2:17">
      <c r="B64" s="15" t="s">
        <v>155</v>
      </c>
      <c r="C64" s="14" t="s">
        <v>170</v>
      </c>
      <c r="D64" s="5" t="s">
        <v>47</v>
      </c>
      <c r="E64" s="14" t="s">
        <v>48</v>
      </c>
      <c r="F64" s="14" t="s">
        <v>153</v>
      </c>
      <c r="G64" s="14" t="s">
        <v>171</v>
      </c>
      <c r="H64" s="17">
        <v>1.4112000000000002</v>
      </c>
      <c r="I64" s="14" t="s">
        <v>54</v>
      </c>
      <c r="J64" s="16">
        <v>1</v>
      </c>
      <c r="K64" s="14" t="s">
        <v>55</v>
      </c>
      <c r="L64" s="14" t="s">
        <v>56</v>
      </c>
      <c r="M64" s="16" t="s">
        <v>154</v>
      </c>
      <c r="N64" s="27"/>
      <c r="O64" s="27"/>
      <c r="P64" s="27"/>
      <c r="Q64" s="27"/>
    </row>
    <row r="65" spans="2:17">
      <c r="B65" s="15" t="s">
        <v>155</v>
      </c>
      <c r="C65" s="14" t="s">
        <v>172</v>
      </c>
      <c r="D65" s="5" t="s">
        <v>47</v>
      </c>
      <c r="E65" s="14" t="s">
        <v>48</v>
      </c>
      <c r="F65" s="14" t="s">
        <v>153</v>
      </c>
      <c r="G65" s="14" t="s">
        <v>173</v>
      </c>
      <c r="H65" s="17">
        <v>1.4112000000000002</v>
      </c>
      <c r="I65" s="14" t="s">
        <v>54</v>
      </c>
      <c r="J65" s="16">
        <v>1</v>
      </c>
      <c r="K65" s="14" t="s">
        <v>55</v>
      </c>
      <c r="L65" s="14" t="s">
        <v>56</v>
      </c>
      <c r="M65" s="16" t="s">
        <v>154</v>
      </c>
      <c r="N65" s="27"/>
      <c r="O65" s="27"/>
      <c r="P65" s="27"/>
      <c r="Q65" s="27"/>
    </row>
    <row r="66" spans="2:17">
      <c r="B66" s="15" t="s">
        <v>155</v>
      </c>
      <c r="C66" s="14" t="s">
        <v>174</v>
      </c>
      <c r="D66" s="5" t="s">
        <v>47</v>
      </c>
      <c r="E66" s="14" t="s">
        <v>48</v>
      </c>
      <c r="F66" s="14" t="s">
        <v>153</v>
      </c>
      <c r="G66" s="14" t="s">
        <v>175</v>
      </c>
      <c r="H66" s="17">
        <v>1.4112000000000002</v>
      </c>
      <c r="I66" s="14" t="s">
        <v>54</v>
      </c>
      <c r="J66" s="16">
        <v>1</v>
      </c>
      <c r="K66" s="14" t="s">
        <v>55</v>
      </c>
      <c r="L66" s="14" t="s">
        <v>56</v>
      </c>
      <c r="M66" s="16" t="s">
        <v>154</v>
      </c>
      <c r="N66" s="27"/>
      <c r="O66" s="27"/>
      <c r="P66" s="27"/>
      <c r="Q66" s="27"/>
    </row>
    <row r="67" spans="2:17">
      <c r="B67" s="15" t="s">
        <v>155</v>
      </c>
      <c r="C67" s="14" t="s">
        <v>176</v>
      </c>
      <c r="D67" s="5" t="s">
        <v>47</v>
      </c>
      <c r="E67" s="14" t="s">
        <v>48</v>
      </c>
      <c r="F67" s="14" t="s">
        <v>153</v>
      </c>
      <c r="G67" s="14" t="s">
        <v>177</v>
      </c>
      <c r="H67" s="17">
        <v>1.4112000000000002</v>
      </c>
      <c r="I67" s="14" t="s">
        <v>54</v>
      </c>
      <c r="J67" s="16">
        <v>1</v>
      </c>
      <c r="K67" s="14" t="s">
        <v>55</v>
      </c>
      <c r="L67" s="14" t="s">
        <v>56</v>
      </c>
      <c r="M67" s="16" t="s">
        <v>154</v>
      </c>
      <c r="N67" s="27"/>
      <c r="O67" s="27"/>
      <c r="P67" s="27"/>
      <c r="Q67" s="27"/>
    </row>
    <row r="68" spans="2:17">
      <c r="B68" s="15" t="s">
        <v>155</v>
      </c>
      <c r="C68" s="14" t="s">
        <v>178</v>
      </c>
      <c r="D68" s="5" t="s">
        <v>47</v>
      </c>
      <c r="E68" s="14" t="s">
        <v>48</v>
      </c>
      <c r="F68" s="14" t="s">
        <v>153</v>
      </c>
      <c r="G68" s="14" t="s">
        <v>179</v>
      </c>
      <c r="H68" s="17">
        <v>1.4112000000000002</v>
      </c>
      <c r="I68" s="14" t="s">
        <v>54</v>
      </c>
      <c r="J68" s="16">
        <v>1</v>
      </c>
      <c r="K68" s="14" t="s">
        <v>55</v>
      </c>
      <c r="L68" s="14" t="s">
        <v>56</v>
      </c>
      <c r="M68" s="16" t="s">
        <v>154</v>
      </c>
      <c r="N68" s="27"/>
      <c r="O68" s="27"/>
      <c r="P68" s="27"/>
      <c r="Q68" s="27"/>
    </row>
    <row r="69" spans="2:17">
      <c r="B69" s="15" t="s">
        <v>155</v>
      </c>
      <c r="C69" s="14" t="s">
        <v>180</v>
      </c>
      <c r="D69" s="5" t="s">
        <v>47</v>
      </c>
      <c r="E69" s="14" t="s">
        <v>48</v>
      </c>
      <c r="F69" s="14" t="s">
        <v>153</v>
      </c>
      <c r="G69" s="14" t="s">
        <v>181</v>
      </c>
      <c r="H69" s="17">
        <v>1.4112000000000002</v>
      </c>
      <c r="I69" s="14" t="s">
        <v>54</v>
      </c>
      <c r="J69" s="16">
        <v>1</v>
      </c>
      <c r="K69" s="14" t="s">
        <v>55</v>
      </c>
      <c r="L69" s="14" t="s">
        <v>56</v>
      </c>
      <c r="M69" s="16" t="s">
        <v>154</v>
      </c>
      <c r="N69" s="27"/>
      <c r="O69" s="27"/>
      <c r="P69" s="27"/>
      <c r="Q69" s="27"/>
    </row>
    <row r="70" spans="2:17">
      <c r="B70" s="15" t="s">
        <v>155</v>
      </c>
      <c r="C70" s="14" t="s">
        <v>182</v>
      </c>
      <c r="D70" s="5" t="s">
        <v>47</v>
      </c>
      <c r="E70" s="14" t="s">
        <v>48</v>
      </c>
      <c r="F70" s="14" t="s">
        <v>153</v>
      </c>
      <c r="G70" s="14" t="s">
        <v>183</v>
      </c>
      <c r="H70" s="17">
        <v>1.4112000000000002</v>
      </c>
      <c r="I70" s="14" t="s">
        <v>54</v>
      </c>
      <c r="J70" s="16">
        <v>1</v>
      </c>
      <c r="K70" s="14" t="s">
        <v>55</v>
      </c>
      <c r="L70" s="14" t="s">
        <v>56</v>
      </c>
      <c r="M70" s="16" t="s">
        <v>154</v>
      </c>
      <c r="N70" s="27"/>
      <c r="O70" s="27"/>
      <c r="P70" s="27"/>
      <c r="Q70" s="27"/>
    </row>
    <row r="71" spans="2:17">
      <c r="B71" s="15" t="s">
        <v>155</v>
      </c>
      <c r="C71" s="14" t="s">
        <v>184</v>
      </c>
      <c r="D71" s="5" t="s">
        <v>47</v>
      </c>
      <c r="E71" s="14" t="s">
        <v>48</v>
      </c>
      <c r="F71" s="14" t="s">
        <v>153</v>
      </c>
      <c r="G71" s="14" t="s">
        <v>185</v>
      </c>
      <c r="H71" s="17">
        <v>1.4112000000000002</v>
      </c>
      <c r="I71" s="14" t="s">
        <v>54</v>
      </c>
      <c r="J71" s="16">
        <v>1</v>
      </c>
      <c r="K71" s="14" t="s">
        <v>55</v>
      </c>
      <c r="L71" s="14" t="s">
        <v>56</v>
      </c>
      <c r="M71" s="16" t="s">
        <v>154</v>
      </c>
      <c r="N71" s="27"/>
      <c r="O71" s="27"/>
      <c r="P71" s="27"/>
      <c r="Q71" s="27"/>
    </row>
    <row r="72" spans="2:17">
      <c r="B72" s="15" t="s">
        <v>155</v>
      </c>
      <c r="C72" s="14" t="s">
        <v>186</v>
      </c>
      <c r="D72" s="5" t="s">
        <v>47</v>
      </c>
      <c r="E72" s="14" t="s">
        <v>48</v>
      </c>
      <c r="F72" s="14" t="s">
        <v>153</v>
      </c>
      <c r="G72" s="14" t="s">
        <v>187</v>
      </c>
      <c r="H72" s="17">
        <v>1.4112000000000002</v>
      </c>
      <c r="I72" s="14" t="s">
        <v>54</v>
      </c>
      <c r="J72" s="16">
        <v>1</v>
      </c>
      <c r="K72" s="14" t="s">
        <v>55</v>
      </c>
      <c r="L72" s="14" t="s">
        <v>56</v>
      </c>
      <c r="M72" s="16" t="s">
        <v>154</v>
      </c>
      <c r="N72" s="27"/>
      <c r="O72" s="27"/>
      <c r="P72" s="27"/>
      <c r="Q72" s="27"/>
    </row>
    <row r="73" spans="2:17">
      <c r="B73" s="15" t="s">
        <v>155</v>
      </c>
      <c r="C73" s="14" t="s">
        <v>188</v>
      </c>
      <c r="D73" s="5" t="s">
        <v>47</v>
      </c>
      <c r="E73" s="14" t="s">
        <v>48</v>
      </c>
      <c r="F73" s="14" t="s">
        <v>153</v>
      </c>
      <c r="G73" s="14" t="s">
        <v>189</v>
      </c>
      <c r="H73" s="17">
        <v>1.4112000000000002</v>
      </c>
      <c r="I73" s="14" t="s">
        <v>54</v>
      </c>
      <c r="J73" s="16">
        <v>1</v>
      </c>
      <c r="K73" s="14" t="s">
        <v>55</v>
      </c>
      <c r="L73" s="14" t="s">
        <v>56</v>
      </c>
      <c r="M73" s="16" t="s">
        <v>154</v>
      </c>
      <c r="N73" s="27"/>
      <c r="O73" s="27"/>
      <c r="P73" s="27"/>
      <c r="Q73" s="27"/>
    </row>
    <row r="74" spans="2:17">
      <c r="B74" s="15" t="s">
        <v>155</v>
      </c>
      <c r="C74" s="14" t="s">
        <v>190</v>
      </c>
      <c r="D74" s="5" t="s">
        <v>47</v>
      </c>
      <c r="E74" s="14" t="s">
        <v>48</v>
      </c>
      <c r="F74" s="14" t="s">
        <v>153</v>
      </c>
      <c r="G74" s="14" t="s">
        <v>191</v>
      </c>
      <c r="H74" s="17">
        <v>1.4112000000000002</v>
      </c>
      <c r="I74" s="14" t="s">
        <v>54</v>
      </c>
      <c r="J74" s="16">
        <v>1</v>
      </c>
      <c r="K74" s="14" t="s">
        <v>55</v>
      </c>
      <c r="L74" s="14" t="s">
        <v>56</v>
      </c>
      <c r="M74" s="16" t="s">
        <v>154</v>
      </c>
      <c r="N74" s="27"/>
      <c r="O74" s="27"/>
      <c r="P74" s="27"/>
      <c r="Q74" s="27"/>
    </row>
    <row r="75" spans="2:17">
      <c r="B75" s="15" t="s">
        <v>155</v>
      </c>
      <c r="C75" s="14" t="s">
        <v>192</v>
      </c>
      <c r="D75" s="5" t="s">
        <v>47</v>
      </c>
      <c r="E75" s="14" t="s">
        <v>48</v>
      </c>
      <c r="F75" s="14" t="s">
        <v>153</v>
      </c>
      <c r="G75" s="14" t="s">
        <v>193</v>
      </c>
      <c r="H75" s="17">
        <v>1.4112000000000002</v>
      </c>
      <c r="I75" s="14" t="s">
        <v>54</v>
      </c>
      <c r="J75" s="16">
        <v>1</v>
      </c>
      <c r="K75" s="14" t="s">
        <v>55</v>
      </c>
      <c r="L75" s="14" t="s">
        <v>56</v>
      </c>
      <c r="M75" s="16" t="s">
        <v>154</v>
      </c>
      <c r="N75" s="27"/>
      <c r="O75" s="27"/>
      <c r="P75" s="27"/>
      <c r="Q75" s="27"/>
    </row>
    <row r="76" spans="2:17">
      <c r="B76" s="15" t="s">
        <v>155</v>
      </c>
      <c r="C76" s="14" t="s">
        <v>194</v>
      </c>
      <c r="D76" s="5" t="s">
        <v>47</v>
      </c>
      <c r="E76" s="14" t="s">
        <v>48</v>
      </c>
      <c r="F76" s="14" t="s">
        <v>153</v>
      </c>
      <c r="G76" s="14" t="s">
        <v>195</v>
      </c>
      <c r="H76" s="17">
        <v>1.4112000000000002</v>
      </c>
      <c r="I76" s="14" t="s">
        <v>54</v>
      </c>
      <c r="J76" s="16">
        <v>1</v>
      </c>
      <c r="K76" s="14" t="s">
        <v>55</v>
      </c>
      <c r="L76" s="14" t="s">
        <v>56</v>
      </c>
      <c r="M76" s="16" t="s">
        <v>154</v>
      </c>
      <c r="N76" s="27"/>
      <c r="O76" s="27"/>
      <c r="P76" s="27"/>
      <c r="Q76" s="27"/>
    </row>
    <row r="77" spans="2:17">
      <c r="B77" s="15" t="s">
        <v>155</v>
      </c>
      <c r="C77" s="14" t="s">
        <v>196</v>
      </c>
      <c r="D77" s="5" t="s">
        <v>47</v>
      </c>
      <c r="E77" s="14" t="s">
        <v>48</v>
      </c>
      <c r="F77" s="14" t="s">
        <v>153</v>
      </c>
      <c r="G77" s="14" t="s">
        <v>197</v>
      </c>
      <c r="H77" s="17">
        <v>1.4112000000000002</v>
      </c>
      <c r="I77" s="14" t="s">
        <v>54</v>
      </c>
      <c r="J77" s="16">
        <v>1</v>
      </c>
      <c r="K77" s="14" t="s">
        <v>55</v>
      </c>
      <c r="L77" s="14" t="s">
        <v>56</v>
      </c>
      <c r="M77" s="16" t="s">
        <v>154</v>
      </c>
      <c r="N77" s="27"/>
      <c r="O77" s="27"/>
      <c r="P77" s="27"/>
      <c r="Q77" s="27"/>
    </row>
    <row r="78" spans="2:17">
      <c r="B78" s="15" t="s">
        <v>155</v>
      </c>
      <c r="C78" s="14" t="s">
        <v>198</v>
      </c>
      <c r="D78" s="5" t="s">
        <v>47</v>
      </c>
      <c r="E78" s="14" t="s">
        <v>48</v>
      </c>
      <c r="F78" s="14" t="s">
        <v>153</v>
      </c>
      <c r="G78" s="14" t="s">
        <v>199</v>
      </c>
      <c r="H78" s="17">
        <v>1.4112000000000002</v>
      </c>
      <c r="I78" s="14" t="s">
        <v>54</v>
      </c>
      <c r="J78" s="16">
        <v>1</v>
      </c>
      <c r="K78" s="14" t="s">
        <v>55</v>
      </c>
      <c r="L78" s="14" t="s">
        <v>56</v>
      </c>
      <c r="M78" s="16" t="s">
        <v>154</v>
      </c>
      <c r="N78" s="27"/>
      <c r="O78" s="27"/>
      <c r="P78" s="27"/>
      <c r="Q78" s="27"/>
    </row>
    <row r="79" spans="2:17">
      <c r="B79" s="15" t="s">
        <v>155</v>
      </c>
      <c r="C79" s="14" t="s">
        <v>200</v>
      </c>
      <c r="D79" s="5" t="s">
        <v>47</v>
      </c>
      <c r="E79" s="14" t="s">
        <v>48</v>
      </c>
      <c r="F79" s="14" t="s">
        <v>153</v>
      </c>
      <c r="G79" s="14" t="s">
        <v>201</v>
      </c>
      <c r="H79" s="17">
        <v>1.4112000000000002</v>
      </c>
      <c r="I79" s="14" t="s">
        <v>54</v>
      </c>
      <c r="J79" s="16">
        <v>1</v>
      </c>
      <c r="K79" s="14" t="s">
        <v>55</v>
      </c>
      <c r="L79" s="14" t="s">
        <v>56</v>
      </c>
      <c r="M79" s="16" t="s">
        <v>154</v>
      </c>
      <c r="N79" s="27"/>
      <c r="O79" s="27"/>
      <c r="P79" s="27"/>
      <c r="Q79" s="27"/>
    </row>
    <row r="80" spans="2:17">
      <c r="B80" s="15" t="s">
        <v>155</v>
      </c>
      <c r="C80" s="14" t="s">
        <v>202</v>
      </c>
      <c r="D80" s="5" t="s">
        <v>47</v>
      </c>
      <c r="E80" s="14" t="s">
        <v>48</v>
      </c>
      <c r="F80" s="14" t="s">
        <v>153</v>
      </c>
      <c r="G80" s="14" t="s">
        <v>203</v>
      </c>
      <c r="H80" s="17">
        <v>1.4112000000000002</v>
      </c>
      <c r="I80" s="14" t="s">
        <v>54</v>
      </c>
      <c r="J80" s="16">
        <v>1</v>
      </c>
      <c r="K80" s="14" t="s">
        <v>55</v>
      </c>
      <c r="L80" s="14" t="s">
        <v>56</v>
      </c>
      <c r="M80" s="16" t="s">
        <v>154</v>
      </c>
      <c r="N80" s="27"/>
      <c r="O80" s="27"/>
      <c r="P80" s="27"/>
      <c r="Q80" s="27"/>
    </row>
    <row r="81" spans="2:17">
      <c r="B81" s="15" t="s">
        <v>155</v>
      </c>
      <c r="C81" s="14" t="s">
        <v>204</v>
      </c>
      <c r="D81" s="5" t="s">
        <v>47</v>
      </c>
      <c r="E81" s="14" t="s">
        <v>48</v>
      </c>
      <c r="F81" s="14" t="s">
        <v>153</v>
      </c>
      <c r="G81" s="14" t="s">
        <v>205</v>
      </c>
      <c r="H81" s="17">
        <v>1.4112000000000002</v>
      </c>
      <c r="I81" s="14" t="s">
        <v>54</v>
      </c>
      <c r="J81" s="16">
        <v>1</v>
      </c>
      <c r="K81" s="14" t="s">
        <v>55</v>
      </c>
      <c r="L81" s="14" t="s">
        <v>56</v>
      </c>
      <c r="M81" s="16" t="s">
        <v>154</v>
      </c>
      <c r="N81" s="27"/>
      <c r="O81" s="27"/>
      <c r="P81" s="27"/>
      <c r="Q81" s="27"/>
    </row>
    <row r="82" spans="2:17">
      <c r="B82" s="15" t="s">
        <v>155</v>
      </c>
      <c r="C82" s="14" t="s">
        <v>206</v>
      </c>
      <c r="D82" s="5" t="s">
        <v>47</v>
      </c>
      <c r="E82" s="14" t="s">
        <v>48</v>
      </c>
      <c r="F82" s="14" t="s">
        <v>153</v>
      </c>
      <c r="G82" s="14" t="s">
        <v>207</v>
      </c>
      <c r="H82" s="17">
        <v>1.4112000000000002</v>
      </c>
      <c r="I82" s="14" t="s">
        <v>54</v>
      </c>
      <c r="J82" s="16">
        <v>1</v>
      </c>
      <c r="K82" s="14" t="s">
        <v>55</v>
      </c>
      <c r="L82" s="14" t="s">
        <v>56</v>
      </c>
      <c r="M82" s="16" t="s">
        <v>154</v>
      </c>
      <c r="N82" s="27"/>
      <c r="O82" s="27"/>
      <c r="P82" s="27"/>
      <c r="Q82" s="27"/>
    </row>
    <row r="83" spans="2:17">
      <c r="B83" s="15" t="s">
        <v>155</v>
      </c>
      <c r="C83" s="14" t="s">
        <v>208</v>
      </c>
      <c r="D83" s="5" t="s">
        <v>47</v>
      </c>
      <c r="E83" s="14" t="s">
        <v>48</v>
      </c>
      <c r="F83" s="14" t="s">
        <v>153</v>
      </c>
      <c r="G83" s="14" t="s">
        <v>209</v>
      </c>
      <c r="H83" s="17">
        <v>1.4112000000000002</v>
      </c>
      <c r="I83" s="14" t="s">
        <v>54</v>
      </c>
      <c r="J83" s="16">
        <v>1</v>
      </c>
      <c r="K83" s="14" t="s">
        <v>55</v>
      </c>
      <c r="L83" s="14" t="s">
        <v>56</v>
      </c>
      <c r="M83" s="16" t="s">
        <v>154</v>
      </c>
      <c r="N83" s="27"/>
      <c r="O83" s="27"/>
      <c r="P83" s="27"/>
      <c r="Q83" s="27"/>
    </row>
    <row r="84" spans="2:17">
      <c r="B84" s="15" t="s">
        <v>155</v>
      </c>
      <c r="C84" s="14" t="s">
        <v>210</v>
      </c>
      <c r="D84" s="5" t="s">
        <v>47</v>
      </c>
      <c r="E84" s="14" t="s">
        <v>48</v>
      </c>
      <c r="F84" s="14" t="s">
        <v>153</v>
      </c>
      <c r="G84" s="14" t="s">
        <v>211</v>
      </c>
      <c r="H84" s="17">
        <v>1.4112000000000002</v>
      </c>
      <c r="I84" s="14" t="s">
        <v>54</v>
      </c>
      <c r="J84" s="16">
        <v>1</v>
      </c>
      <c r="K84" s="14" t="s">
        <v>55</v>
      </c>
      <c r="L84" s="14" t="s">
        <v>56</v>
      </c>
      <c r="M84" s="16" t="s">
        <v>154</v>
      </c>
      <c r="N84" s="27"/>
      <c r="O84" s="27"/>
      <c r="P84" s="27"/>
      <c r="Q84" s="27"/>
    </row>
    <row r="85" spans="2:17">
      <c r="B85" s="15" t="s">
        <v>155</v>
      </c>
      <c r="C85" s="14" t="s">
        <v>212</v>
      </c>
      <c r="D85" s="5" t="s">
        <v>47</v>
      </c>
      <c r="E85" s="14" t="s">
        <v>48</v>
      </c>
      <c r="F85" s="14" t="s">
        <v>153</v>
      </c>
      <c r="G85" s="14" t="s">
        <v>213</v>
      </c>
      <c r="H85" s="17">
        <v>1.4112000000000002</v>
      </c>
      <c r="I85" s="14" t="s">
        <v>54</v>
      </c>
      <c r="J85" s="16">
        <v>1</v>
      </c>
      <c r="K85" s="14" t="s">
        <v>55</v>
      </c>
      <c r="L85" s="14" t="s">
        <v>56</v>
      </c>
      <c r="M85" s="16" t="s">
        <v>154</v>
      </c>
      <c r="N85" s="27"/>
      <c r="O85" s="27"/>
      <c r="P85" s="27"/>
      <c r="Q85" s="27"/>
    </row>
    <row r="86" spans="2:17">
      <c r="B86" s="15" t="s">
        <v>155</v>
      </c>
      <c r="C86" s="14" t="s">
        <v>214</v>
      </c>
      <c r="D86" s="5" t="s">
        <v>47</v>
      </c>
      <c r="E86" s="14" t="s">
        <v>48</v>
      </c>
      <c r="F86" s="14" t="s">
        <v>153</v>
      </c>
      <c r="G86" s="14" t="s">
        <v>215</v>
      </c>
      <c r="H86" s="17">
        <v>1.4112000000000002</v>
      </c>
      <c r="I86" s="14" t="s">
        <v>54</v>
      </c>
      <c r="J86" s="16">
        <v>1</v>
      </c>
      <c r="K86" s="14" t="s">
        <v>55</v>
      </c>
      <c r="L86" s="14" t="s">
        <v>56</v>
      </c>
      <c r="M86" s="16" t="s">
        <v>154</v>
      </c>
      <c r="N86" s="27"/>
      <c r="O86" s="27"/>
      <c r="P86" s="27"/>
      <c r="Q86" s="27"/>
    </row>
    <row r="87" spans="2:17">
      <c r="B87" s="15" t="s">
        <v>155</v>
      </c>
      <c r="C87" s="14" t="s">
        <v>216</v>
      </c>
      <c r="D87" s="5" t="s">
        <v>47</v>
      </c>
      <c r="E87" s="14" t="s">
        <v>48</v>
      </c>
      <c r="F87" s="14" t="s">
        <v>153</v>
      </c>
      <c r="G87" s="14" t="s">
        <v>217</v>
      </c>
      <c r="H87" s="17">
        <v>1.4112000000000002</v>
      </c>
      <c r="I87" s="14" t="s">
        <v>54</v>
      </c>
      <c r="J87" s="16">
        <v>1</v>
      </c>
      <c r="K87" s="14" t="s">
        <v>55</v>
      </c>
      <c r="L87" s="14" t="s">
        <v>56</v>
      </c>
      <c r="M87" s="16" t="s">
        <v>154</v>
      </c>
      <c r="N87" s="27"/>
      <c r="O87" s="27"/>
      <c r="P87" s="27"/>
      <c r="Q87" s="27"/>
    </row>
    <row r="88" spans="2:17">
      <c r="B88" s="15" t="s">
        <v>155</v>
      </c>
      <c r="C88" s="14" t="s">
        <v>218</v>
      </c>
      <c r="D88" s="5" t="s">
        <v>47</v>
      </c>
      <c r="E88" s="14" t="s">
        <v>48</v>
      </c>
      <c r="F88" s="14" t="s">
        <v>153</v>
      </c>
      <c r="G88" s="14" t="s">
        <v>219</v>
      </c>
      <c r="H88" s="17">
        <v>1.4112000000000002</v>
      </c>
      <c r="I88" s="14" t="s">
        <v>54</v>
      </c>
      <c r="J88" s="16">
        <v>1</v>
      </c>
      <c r="K88" s="14" t="s">
        <v>55</v>
      </c>
      <c r="L88" s="14" t="s">
        <v>56</v>
      </c>
      <c r="M88" s="16" t="s">
        <v>154</v>
      </c>
      <c r="N88" s="27"/>
      <c r="O88" s="27"/>
      <c r="P88" s="27"/>
      <c r="Q88" s="27"/>
    </row>
    <row r="89" spans="2:17">
      <c r="B89" s="15" t="s">
        <v>155</v>
      </c>
      <c r="C89" s="14" t="s">
        <v>220</v>
      </c>
      <c r="D89" s="5" t="s">
        <v>47</v>
      </c>
      <c r="E89" s="14" t="s">
        <v>48</v>
      </c>
      <c r="F89" s="14" t="s">
        <v>153</v>
      </c>
      <c r="G89" s="14" t="s">
        <v>221</v>
      </c>
      <c r="H89" s="17">
        <v>1.4112000000000002</v>
      </c>
      <c r="I89" s="14" t="s">
        <v>54</v>
      </c>
      <c r="J89" s="16">
        <v>1</v>
      </c>
      <c r="K89" s="14" t="s">
        <v>55</v>
      </c>
      <c r="L89" s="14" t="s">
        <v>56</v>
      </c>
      <c r="M89" s="16" t="s">
        <v>154</v>
      </c>
      <c r="N89" s="27"/>
      <c r="O89" s="27"/>
      <c r="P89" s="27"/>
      <c r="Q89" s="27"/>
    </row>
    <row r="90" spans="2:17">
      <c r="B90" s="15" t="s">
        <v>155</v>
      </c>
      <c r="C90" s="14" t="s">
        <v>222</v>
      </c>
      <c r="D90" s="5" t="s">
        <v>47</v>
      </c>
      <c r="E90" s="14" t="s">
        <v>48</v>
      </c>
      <c r="F90" s="14" t="s">
        <v>153</v>
      </c>
      <c r="G90" s="14" t="s">
        <v>223</v>
      </c>
      <c r="H90" s="17">
        <v>1.4112000000000002</v>
      </c>
      <c r="I90" s="14" t="s">
        <v>54</v>
      </c>
      <c r="J90" s="16">
        <v>1</v>
      </c>
      <c r="K90" s="14" t="s">
        <v>55</v>
      </c>
      <c r="L90" s="14" t="s">
        <v>56</v>
      </c>
      <c r="M90" s="16" t="s">
        <v>154</v>
      </c>
      <c r="N90" s="27"/>
      <c r="O90" s="27"/>
      <c r="P90" s="27"/>
      <c r="Q90" s="27"/>
    </row>
    <row r="91" spans="2:17">
      <c r="B91" s="15" t="s">
        <v>155</v>
      </c>
      <c r="C91" s="14" t="s">
        <v>224</v>
      </c>
      <c r="D91" s="5" t="s">
        <v>47</v>
      </c>
      <c r="E91" s="14" t="s">
        <v>48</v>
      </c>
      <c r="F91" s="14" t="s">
        <v>153</v>
      </c>
      <c r="G91" s="14" t="s">
        <v>225</v>
      </c>
      <c r="H91" s="17">
        <v>1.4112000000000002</v>
      </c>
      <c r="I91" s="14" t="s">
        <v>54</v>
      </c>
      <c r="J91" s="16">
        <v>1</v>
      </c>
      <c r="K91" s="14" t="s">
        <v>55</v>
      </c>
      <c r="L91" s="14" t="s">
        <v>56</v>
      </c>
      <c r="M91" s="16" t="s">
        <v>154</v>
      </c>
      <c r="N91" s="27"/>
      <c r="O91" s="27"/>
      <c r="P91" s="27"/>
      <c r="Q91" s="27"/>
    </row>
    <row r="92" spans="2:17">
      <c r="B92" s="15" t="s">
        <v>155</v>
      </c>
      <c r="C92" s="14" t="s">
        <v>226</v>
      </c>
      <c r="D92" s="5" t="s">
        <v>47</v>
      </c>
      <c r="E92" s="14" t="s">
        <v>48</v>
      </c>
      <c r="F92" s="14" t="s">
        <v>153</v>
      </c>
      <c r="G92" s="14" t="s">
        <v>227</v>
      </c>
      <c r="H92" s="17">
        <v>1.4112000000000002</v>
      </c>
      <c r="I92" s="14" t="s">
        <v>54</v>
      </c>
      <c r="J92" s="16">
        <v>1</v>
      </c>
      <c r="K92" s="14" t="s">
        <v>55</v>
      </c>
      <c r="L92" s="14" t="s">
        <v>56</v>
      </c>
      <c r="M92" s="16" t="s">
        <v>154</v>
      </c>
      <c r="N92" s="27"/>
      <c r="O92" s="27"/>
      <c r="P92" s="27"/>
      <c r="Q92" s="27"/>
    </row>
    <row r="93" spans="2:17">
      <c r="B93" s="15" t="s">
        <v>155</v>
      </c>
      <c r="C93" s="14" t="s">
        <v>228</v>
      </c>
      <c r="D93" s="5" t="s">
        <v>47</v>
      </c>
      <c r="E93" s="14" t="s">
        <v>48</v>
      </c>
      <c r="F93" s="14" t="s">
        <v>153</v>
      </c>
      <c r="G93" s="14" t="s">
        <v>229</v>
      </c>
      <c r="H93" s="17">
        <v>1.4112000000000002</v>
      </c>
      <c r="I93" s="14" t="s">
        <v>54</v>
      </c>
      <c r="J93" s="16">
        <v>1</v>
      </c>
      <c r="K93" s="14" t="s">
        <v>55</v>
      </c>
      <c r="L93" s="14" t="s">
        <v>56</v>
      </c>
      <c r="M93" s="16" t="s">
        <v>154</v>
      </c>
      <c r="N93" s="27"/>
      <c r="O93" s="27"/>
      <c r="P93" s="27"/>
      <c r="Q93" s="27"/>
    </row>
    <row r="94" spans="2:17">
      <c r="B94" s="15" t="s">
        <v>155</v>
      </c>
      <c r="C94" s="14" t="s">
        <v>230</v>
      </c>
      <c r="D94" s="5" t="s">
        <v>47</v>
      </c>
      <c r="E94" s="14" t="s">
        <v>48</v>
      </c>
      <c r="F94" s="14" t="s">
        <v>153</v>
      </c>
      <c r="G94" s="14" t="s">
        <v>231</v>
      </c>
      <c r="H94" s="17">
        <v>1.4112000000000002</v>
      </c>
      <c r="I94" s="14" t="s">
        <v>54</v>
      </c>
      <c r="J94" s="16">
        <v>1</v>
      </c>
      <c r="K94" s="14" t="s">
        <v>55</v>
      </c>
      <c r="L94" s="14" t="s">
        <v>56</v>
      </c>
      <c r="M94" s="16" t="s">
        <v>154</v>
      </c>
      <c r="N94" s="27"/>
      <c r="O94" s="27"/>
      <c r="P94" s="27"/>
      <c r="Q94" s="27"/>
    </row>
    <row r="95" spans="2:17">
      <c r="B95" s="15" t="s">
        <v>155</v>
      </c>
      <c r="C95" s="14" t="s">
        <v>232</v>
      </c>
      <c r="D95" s="5" t="s">
        <v>47</v>
      </c>
      <c r="E95" s="14" t="s">
        <v>48</v>
      </c>
      <c r="F95" s="14" t="s">
        <v>153</v>
      </c>
      <c r="G95" s="14" t="s">
        <v>233</v>
      </c>
      <c r="H95" s="17">
        <v>1.4112000000000002</v>
      </c>
      <c r="I95" s="14" t="s">
        <v>54</v>
      </c>
      <c r="J95" s="16">
        <v>1</v>
      </c>
      <c r="K95" s="14" t="s">
        <v>55</v>
      </c>
      <c r="L95" s="14" t="s">
        <v>56</v>
      </c>
      <c r="M95" s="16" t="s">
        <v>154</v>
      </c>
      <c r="N95" s="27"/>
      <c r="O95" s="27"/>
      <c r="P95" s="27"/>
      <c r="Q95" s="27"/>
    </row>
    <row r="96" spans="2:17">
      <c r="B96" s="15" t="s">
        <v>155</v>
      </c>
      <c r="C96" s="14" t="s">
        <v>234</v>
      </c>
      <c r="D96" s="5" t="s">
        <v>47</v>
      </c>
      <c r="E96" s="14" t="s">
        <v>48</v>
      </c>
      <c r="F96" s="14" t="s">
        <v>153</v>
      </c>
      <c r="G96" s="14" t="s">
        <v>235</v>
      </c>
      <c r="H96" s="17">
        <v>1.4112000000000002</v>
      </c>
      <c r="I96" s="14" t="s">
        <v>54</v>
      </c>
      <c r="J96" s="16">
        <v>1</v>
      </c>
      <c r="K96" s="14" t="s">
        <v>55</v>
      </c>
      <c r="L96" s="14" t="s">
        <v>56</v>
      </c>
      <c r="M96" s="16" t="s">
        <v>154</v>
      </c>
      <c r="N96" s="27"/>
      <c r="O96" s="27"/>
      <c r="P96" s="27"/>
      <c r="Q96" s="27"/>
    </row>
    <row r="97" spans="2:17">
      <c r="B97" s="15" t="s">
        <v>155</v>
      </c>
      <c r="C97" s="14" t="s">
        <v>236</v>
      </c>
      <c r="D97" s="5" t="s">
        <v>47</v>
      </c>
      <c r="E97" s="14" t="s">
        <v>48</v>
      </c>
      <c r="F97" s="14" t="s">
        <v>153</v>
      </c>
      <c r="G97" s="14" t="s">
        <v>237</v>
      </c>
      <c r="H97" s="17">
        <v>1.4112000000000002</v>
      </c>
      <c r="I97" s="14" t="s">
        <v>54</v>
      </c>
      <c r="J97" s="16">
        <v>1</v>
      </c>
      <c r="K97" s="14" t="s">
        <v>55</v>
      </c>
      <c r="L97" s="14" t="s">
        <v>56</v>
      </c>
      <c r="M97" s="16" t="s">
        <v>154</v>
      </c>
      <c r="N97" s="27"/>
      <c r="O97" s="27"/>
      <c r="P97" s="27"/>
      <c r="Q97" s="27"/>
    </row>
    <row r="98" spans="2:17">
      <c r="B98" s="15" t="s">
        <v>155</v>
      </c>
      <c r="C98" s="14" t="s">
        <v>238</v>
      </c>
      <c r="D98" s="5" t="s">
        <v>47</v>
      </c>
      <c r="E98" s="14" t="s">
        <v>48</v>
      </c>
      <c r="F98" s="14" t="s">
        <v>153</v>
      </c>
      <c r="G98" s="14" t="s">
        <v>239</v>
      </c>
      <c r="H98" s="17">
        <v>1.4112000000000002</v>
      </c>
      <c r="I98" s="14" t="s">
        <v>54</v>
      </c>
      <c r="J98" s="16">
        <v>1</v>
      </c>
      <c r="K98" s="14" t="s">
        <v>55</v>
      </c>
      <c r="L98" s="14" t="s">
        <v>56</v>
      </c>
      <c r="M98" s="16" t="s">
        <v>154</v>
      </c>
      <c r="N98" s="27"/>
      <c r="O98" s="27"/>
      <c r="P98" s="27"/>
      <c r="Q98" s="27"/>
    </row>
    <row r="99" spans="2:17">
      <c r="B99" s="15" t="s">
        <v>155</v>
      </c>
      <c r="C99" s="14" t="s">
        <v>240</v>
      </c>
      <c r="D99" s="5" t="s">
        <v>47</v>
      </c>
      <c r="E99" s="14" t="s">
        <v>48</v>
      </c>
      <c r="F99" s="14" t="s">
        <v>153</v>
      </c>
      <c r="G99" s="14" t="s">
        <v>241</v>
      </c>
      <c r="H99" s="17">
        <v>1.4112000000000002</v>
      </c>
      <c r="I99" s="14" t="s">
        <v>54</v>
      </c>
      <c r="J99" s="16">
        <v>1</v>
      </c>
      <c r="K99" s="14" t="s">
        <v>55</v>
      </c>
      <c r="L99" s="14" t="s">
        <v>56</v>
      </c>
      <c r="M99" s="16" t="s">
        <v>154</v>
      </c>
      <c r="N99" s="27"/>
      <c r="O99" s="27"/>
      <c r="P99" s="27"/>
      <c r="Q99" s="27"/>
    </row>
    <row r="100" spans="2:17">
      <c r="B100" s="15" t="s">
        <v>155</v>
      </c>
      <c r="C100" s="14" t="s">
        <v>242</v>
      </c>
      <c r="D100" s="5" t="s">
        <v>47</v>
      </c>
      <c r="E100" s="14" t="s">
        <v>48</v>
      </c>
      <c r="F100" s="14" t="s">
        <v>153</v>
      </c>
      <c r="G100" s="14" t="s">
        <v>243</v>
      </c>
      <c r="H100" s="17">
        <v>1.4112000000000002</v>
      </c>
      <c r="I100" s="14" t="s">
        <v>54</v>
      </c>
      <c r="J100" s="16">
        <v>1</v>
      </c>
      <c r="K100" s="14" t="s">
        <v>55</v>
      </c>
      <c r="L100" s="14" t="s">
        <v>56</v>
      </c>
      <c r="M100" s="16" t="s">
        <v>154</v>
      </c>
      <c r="N100" s="27"/>
      <c r="O100" s="27"/>
      <c r="P100" s="27"/>
      <c r="Q100" s="27"/>
    </row>
    <row r="101" spans="2:17">
      <c r="B101" s="15" t="s">
        <v>155</v>
      </c>
      <c r="C101" s="14" t="s">
        <v>244</v>
      </c>
      <c r="D101" s="5" t="s">
        <v>47</v>
      </c>
      <c r="E101" s="14" t="s">
        <v>48</v>
      </c>
      <c r="F101" s="14" t="s">
        <v>153</v>
      </c>
      <c r="G101" s="14" t="s">
        <v>245</v>
      </c>
      <c r="H101" s="17">
        <v>1.4112000000000002</v>
      </c>
      <c r="I101" s="14" t="s">
        <v>54</v>
      </c>
      <c r="J101" s="16">
        <v>1</v>
      </c>
      <c r="K101" s="14" t="s">
        <v>55</v>
      </c>
      <c r="L101" s="14" t="s">
        <v>56</v>
      </c>
      <c r="M101" s="16" t="s">
        <v>154</v>
      </c>
      <c r="N101" s="27"/>
      <c r="O101" s="27"/>
      <c r="P101" s="27"/>
      <c r="Q101" s="27"/>
    </row>
    <row r="102" spans="2:17">
      <c r="B102" s="15" t="s">
        <v>155</v>
      </c>
      <c r="C102" s="14" t="s">
        <v>246</v>
      </c>
      <c r="D102" s="5" t="s">
        <v>47</v>
      </c>
      <c r="E102" s="14" t="s">
        <v>48</v>
      </c>
      <c r="F102" s="14" t="s">
        <v>153</v>
      </c>
      <c r="G102" s="14" t="s">
        <v>247</v>
      </c>
      <c r="H102" s="17">
        <v>1.4560000000000002</v>
      </c>
      <c r="I102" s="14" t="s">
        <v>54</v>
      </c>
      <c r="J102" s="16">
        <v>1</v>
      </c>
      <c r="K102" s="14" t="s">
        <v>55</v>
      </c>
      <c r="L102" s="14" t="s">
        <v>56</v>
      </c>
      <c r="M102" s="16" t="s">
        <v>154</v>
      </c>
      <c r="N102" s="27"/>
      <c r="O102" s="27"/>
      <c r="P102" s="27"/>
      <c r="Q102" s="27"/>
    </row>
    <row r="103" spans="2:17">
      <c r="B103" s="15" t="s">
        <v>155</v>
      </c>
      <c r="C103" s="14" t="s">
        <v>248</v>
      </c>
      <c r="D103" s="5" t="s">
        <v>47</v>
      </c>
      <c r="E103" s="14" t="s">
        <v>48</v>
      </c>
      <c r="F103" s="14" t="s">
        <v>153</v>
      </c>
      <c r="G103" s="14" t="s">
        <v>249</v>
      </c>
      <c r="H103" s="17">
        <v>1.4560000000000002</v>
      </c>
      <c r="I103" s="14" t="s">
        <v>54</v>
      </c>
      <c r="J103" s="16">
        <v>1</v>
      </c>
      <c r="K103" s="14" t="s">
        <v>55</v>
      </c>
      <c r="L103" s="14" t="s">
        <v>56</v>
      </c>
      <c r="M103" s="16" t="s">
        <v>154</v>
      </c>
      <c r="N103" s="27"/>
      <c r="O103" s="27"/>
      <c r="P103" s="27"/>
      <c r="Q103" s="27"/>
    </row>
    <row r="104" spans="2:17">
      <c r="B104" s="15" t="s">
        <v>155</v>
      </c>
      <c r="C104" s="14" t="s">
        <v>250</v>
      </c>
      <c r="D104" s="5" t="s">
        <v>47</v>
      </c>
      <c r="E104" s="14" t="s">
        <v>48</v>
      </c>
      <c r="F104" s="14" t="s">
        <v>153</v>
      </c>
      <c r="G104" s="14" t="s">
        <v>251</v>
      </c>
      <c r="H104" s="17">
        <v>1.4560000000000002</v>
      </c>
      <c r="I104" s="14" t="s">
        <v>54</v>
      </c>
      <c r="J104" s="16">
        <v>1</v>
      </c>
      <c r="K104" s="14" t="s">
        <v>55</v>
      </c>
      <c r="L104" s="14" t="s">
        <v>56</v>
      </c>
      <c r="M104" s="16" t="s">
        <v>154</v>
      </c>
      <c r="N104" s="27"/>
      <c r="O104" s="27"/>
      <c r="P104" s="27"/>
      <c r="Q104" s="27"/>
    </row>
    <row r="105" spans="2:17">
      <c r="B105" s="15" t="s">
        <v>155</v>
      </c>
      <c r="C105" s="14" t="s">
        <v>252</v>
      </c>
      <c r="D105" s="5" t="s">
        <v>47</v>
      </c>
      <c r="E105" s="14" t="s">
        <v>48</v>
      </c>
      <c r="F105" s="14" t="s">
        <v>153</v>
      </c>
      <c r="G105" s="14" t="s">
        <v>253</v>
      </c>
      <c r="H105" s="17">
        <v>1.4560000000000002</v>
      </c>
      <c r="I105" s="14" t="s">
        <v>54</v>
      </c>
      <c r="J105" s="16">
        <v>1</v>
      </c>
      <c r="K105" s="14" t="s">
        <v>55</v>
      </c>
      <c r="L105" s="14" t="s">
        <v>56</v>
      </c>
      <c r="M105" s="16" t="s">
        <v>154</v>
      </c>
      <c r="N105" s="27"/>
      <c r="O105" s="27"/>
      <c r="P105" s="27"/>
      <c r="Q105" s="27"/>
    </row>
    <row r="106" spans="2:17">
      <c r="B106" s="15" t="s">
        <v>155</v>
      </c>
      <c r="C106" s="14" t="s">
        <v>254</v>
      </c>
      <c r="D106" s="5" t="s">
        <v>47</v>
      </c>
      <c r="E106" s="14" t="s">
        <v>48</v>
      </c>
      <c r="F106" s="14" t="s">
        <v>153</v>
      </c>
      <c r="G106" s="14" t="s">
        <v>255</v>
      </c>
      <c r="H106" s="17">
        <v>1.4560000000000002</v>
      </c>
      <c r="I106" s="14" t="s">
        <v>54</v>
      </c>
      <c r="J106" s="16">
        <v>1</v>
      </c>
      <c r="K106" s="14" t="s">
        <v>55</v>
      </c>
      <c r="L106" s="14" t="s">
        <v>56</v>
      </c>
      <c r="M106" s="16" t="s">
        <v>154</v>
      </c>
      <c r="N106" s="27"/>
      <c r="O106" s="27"/>
      <c r="P106" s="27"/>
      <c r="Q106" s="27"/>
    </row>
    <row r="107" spans="2:17">
      <c r="B107" s="15" t="s">
        <v>155</v>
      </c>
      <c r="C107" s="14" t="s">
        <v>256</v>
      </c>
      <c r="D107" s="5" t="s">
        <v>47</v>
      </c>
      <c r="E107" s="14" t="s">
        <v>48</v>
      </c>
      <c r="F107" s="14" t="s">
        <v>153</v>
      </c>
      <c r="G107" s="14" t="s">
        <v>257</v>
      </c>
      <c r="H107" s="17">
        <v>1.4560000000000002</v>
      </c>
      <c r="I107" s="14" t="s">
        <v>54</v>
      </c>
      <c r="J107" s="16">
        <v>1</v>
      </c>
      <c r="K107" s="14" t="s">
        <v>55</v>
      </c>
      <c r="L107" s="14" t="s">
        <v>56</v>
      </c>
      <c r="M107" s="16" t="s">
        <v>154</v>
      </c>
      <c r="N107" s="27"/>
      <c r="O107" s="27"/>
      <c r="P107" s="27"/>
      <c r="Q107" s="27"/>
    </row>
    <row r="108" spans="2:17">
      <c r="B108" s="15" t="s">
        <v>155</v>
      </c>
      <c r="C108" s="14" t="s">
        <v>258</v>
      </c>
      <c r="D108" s="5" t="s">
        <v>47</v>
      </c>
      <c r="E108" s="14" t="s">
        <v>48</v>
      </c>
      <c r="F108" s="14" t="s">
        <v>153</v>
      </c>
      <c r="G108" s="14" t="s">
        <v>259</v>
      </c>
      <c r="H108" s="17">
        <v>1.4560000000000002</v>
      </c>
      <c r="I108" s="14" t="s">
        <v>54</v>
      </c>
      <c r="J108" s="16">
        <v>1</v>
      </c>
      <c r="K108" s="14" t="s">
        <v>55</v>
      </c>
      <c r="L108" s="14" t="s">
        <v>56</v>
      </c>
      <c r="M108" s="16" t="s">
        <v>154</v>
      </c>
      <c r="N108" s="27"/>
      <c r="O108" s="27"/>
      <c r="P108" s="27"/>
      <c r="Q108" s="27"/>
    </row>
    <row r="109" spans="2:17">
      <c r="B109" s="15" t="s">
        <v>155</v>
      </c>
      <c r="C109" s="14" t="s">
        <v>260</v>
      </c>
      <c r="D109" s="5" t="s">
        <v>47</v>
      </c>
      <c r="E109" s="14" t="s">
        <v>48</v>
      </c>
      <c r="F109" s="14" t="s">
        <v>153</v>
      </c>
      <c r="G109" s="14" t="s">
        <v>261</v>
      </c>
      <c r="H109" s="17">
        <v>1.4560000000000002</v>
      </c>
      <c r="I109" s="14" t="s">
        <v>54</v>
      </c>
      <c r="J109" s="16">
        <v>1</v>
      </c>
      <c r="K109" s="14" t="s">
        <v>55</v>
      </c>
      <c r="L109" s="14" t="s">
        <v>56</v>
      </c>
      <c r="M109" s="16" t="s">
        <v>154</v>
      </c>
      <c r="N109" s="27"/>
      <c r="O109" s="27"/>
      <c r="P109" s="27"/>
      <c r="Q109" s="27"/>
    </row>
    <row r="110" spans="2:17">
      <c r="B110" s="15" t="s">
        <v>155</v>
      </c>
      <c r="C110" s="14" t="s">
        <v>262</v>
      </c>
      <c r="D110" s="5" t="s">
        <v>47</v>
      </c>
      <c r="E110" s="14" t="s">
        <v>48</v>
      </c>
      <c r="F110" s="14" t="s">
        <v>153</v>
      </c>
      <c r="G110" s="14" t="s">
        <v>263</v>
      </c>
      <c r="H110" s="17">
        <v>1.4560000000000002</v>
      </c>
      <c r="I110" s="14" t="s">
        <v>54</v>
      </c>
      <c r="J110" s="16">
        <v>1</v>
      </c>
      <c r="K110" s="14" t="s">
        <v>55</v>
      </c>
      <c r="L110" s="14" t="s">
        <v>56</v>
      </c>
      <c r="M110" s="16" t="s">
        <v>154</v>
      </c>
      <c r="N110" s="27"/>
      <c r="O110" s="27"/>
      <c r="P110" s="27"/>
      <c r="Q110" s="27"/>
    </row>
    <row r="111" spans="2:17">
      <c r="B111" s="15" t="s">
        <v>155</v>
      </c>
      <c r="C111" s="14" t="s">
        <v>264</v>
      </c>
      <c r="D111" s="5" t="s">
        <v>47</v>
      </c>
      <c r="E111" s="14" t="s">
        <v>48</v>
      </c>
      <c r="F111" s="14" t="s">
        <v>153</v>
      </c>
      <c r="G111" s="14" t="s">
        <v>265</v>
      </c>
      <c r="H111" s="17">
        <v>1.4560000000000002</v>
      </c>
      <c r="I111" s="14" t="s">
        <v>54</v>
      </c>
      <c r="J111" s="16">
        <v>1</v>
      </c>
      <c r="K111" s="14" t="s">
        <v>55</v>
      </c>
      <c r="L111" s="14" t="s">
        <v>56</v>
      </c>
      <c r="M111" s="16" t="s">
        <v>154</v>
      </c>
      <c r="N111" s="27"/>
      <c r="O111" s="27"/>
      <c r="P111" s="27"/>
      <c r="Q111" s="27"/>
    </row>
    <row r="112" spans="2:17">
      <c r="B112" s="15" t="s">
        <v>155</v>
      </c>
      <c r="C112" s="14" t="s">
        <v>266</v>
      </c>
      <c r="D112" s="5" t="s">
        <v>47</v>
      </c>
      <c r="E112" s="14" t="s">
        <v>48</v>
      </c>
      <c r="F112" s="14" t="s">
        <v>153</v>
      </c>
      <c r="G112" s="14" t="s">
        <v>267</v>
      </c>
      <c r="H112" s="17">
        <v>1.4560000000000002</v>
      </c>
      <c r="I112" s="14" t="s">
        <v>54</v>
      </c>
      <c r="J112" s="16">
        <v>1</v>
      </c>
      <c r="K112" s="14" t="s">
        <v>55</v>
      </c>
      <c r="L112" s="14" t="s">
        <v>56</v>
      </c>
      <c r="M112" s="16" t="s">
        <v>154</v>
      </c>
      <c r="N112" s="27"/>
      <c r="O112" s="27"/>
      <c r="P112" s="27"/>
      <c r="Q112" s="27"/>
    </row>
    <row r="113" spans="2:17">
      <c r="B113" s="15" t="s">
        <v>155</v>
      </c>
      <c r="C113" s="14" t="s">
        <v>268</v>
      </c>
      <c r="D113" s="5" t="s">
        <v>47</v>
      </c>
      <c r="E113" s="14" t="s">
        <v>48</v>
      </c>
      <c r="F113" s="14" t="s">
        <v>153</v>
      </c>
      <c r="G113" s="14" t="s">
        <v>269</v>
      </c>
      <c r="H113" s="17">
        <v>1.4560000000000002</v>
      </c>
      <c r="I113" s="14" t="s">
        <v>54</v>
      </c>
      <c r="J113" s="16">
        <v>1</v>
      </c>
      <c r="K113" s="14" t="s">
        <v>55</v>
      </c>
      <c r="L113" s="14" t="s">
        <v>56</v>
      </c>
      <c r="M113" s="16" t="s">
        <v>154</v>
      </c>
      <c r="N113" s="27"/>
      <c r="O113" s="27"/>
      <c r="P113" s="27"/>
      <c r="Q113" s="27"/>
    </row>
    <row r="114" spans="2:17">
      <c r="B114" s="15" t="s">
        <v>155</v>
      </c>
      <c r="C114" s="14" t="s">
        <v>270</v>
      </c>
      <c r="D114" s="5" t="s">
        <v>47</v>
      </c>
      <c r="E114" s="14" t="s">
        <v>48</v>
      </c>
      <c r="F114" s="14" t="s">
        <v>153</v>
      </c>
      <c r="G114" s="14" t="s">
        <v>271</v>
      </c>
      <c r="H114" s="17">
        <v>1.4560000000000002</v>
      </c>
      <c r="I114" s="14" t="s">
        <v>54</v>
      </c>
      <c r="J114" s="16">
        <v>1</v>
      </c>
      <c r="K114" s="14" t="s">
        <v>55</v>
      </c>
      <c r="L114" s="14" t="s">
        <v>56</v>
      </c>
      <c r="M114" s="16" t="s">
        <v>154</v>
      </c>
      <c r="N114" s="27"/>
      <c r="O114" s="27"/>
      <c r="P114" s="27"/>
      <c r="Q114" s="27"/>
    </row>
    <row r="115" spans="2:17">
      <c r="B115" s="15" t="s">
        <v>155</v>
      </c>
      <c r="C115" s="14" t="s">
        <v>272</v>
      </c>
      <c r="D115" s="5" t="s">
        <v>47</v>
      </c>
      <c r="E115" s="14" t="s">
        <v>48</v>
      </c>
      <c r="F115" s="14" t="s">
        <v>153</v>
      </c>
      <c r="G115" s="14" t="s">
        <v>273</v>
      </c>
      <c r="H115" s="17">
        <v>1.4560000000000002</v>
      </c>
      <c r="I115" s="14" t="s">
        <v>54</v>
      </c>
      <c r="J115" s="16">
        <v>1</v>
      </c>
      <c r="K115" s="14" t="s">
        <v>55</v>
      </c>
      <c r="L115" s="14" t="s">
        <v>56</v>
      </c>
      <c r="M115" s="16" t="s">
        <v>154</v>
      </c>
      <c r="N115" s="27"/>
      <c r="O115" s="27"/>
      <c r="P115" s="27"/>
      <c r="Q115" s="27"/>
    </row>
    <row r="116" spans="2:17">
      <c r="B116" s="15" t="s">
        <v>155</v>
      </c>
      <c r="C116" s="14" t="s">
        <v>274</v>
      </c>
      <c r="D116" s="5" t="s">
        <v>47</v>
      </c>
      <c r="E116" s="14" t="s">
        <v>48</v>
      </c>
      <c r="F116" s="14" t="s">
        <v>153</v>
      </c>
      <c r="G116" s="14" t="s">
        <v>275</v>
      </c>
      <c r="H116" s="17">
        <v>1.4560000000000002</v>
      </c>
      <c r="I116" s="14" t="s">
        <v>54</v>
      </c>
      <c r="J116" s="16">
        <v>1</v>
      </c>
      <c r="K116" s="14" t="s">
        <v>55</v>
      </c>
      <c r="L116" s="14" t="s">
        <v>56</v>
      </c>
      <c r="M116" s="16" t="s">
        <v>154</v>
      </c>
      <c r="N116" s="27"/>
      <c r="O116" s="27"/>
      <c r="P116" s="27"/>
      <c r="Q116" s="27"/>
    </row>
    <row r="117" spans="2:17">
      <c r="B117" s="15" t="s">
        <v>155</v>
      </c>
      <c r="C117" s="14" t="s">
        <v>276</v>
      </c>
      <c r="D117" s="5" t="s">
        <v>47</v>
      </c>
      <c r="E117" s="14" t="s">
        <v>48</v>
      </c>
      <c r="F117" s="14" t="s">
        <v>153</v>
      </c>
      <c r="G117" s="14" t="s">
        <v>277</v>
      </c>
      <c r="H117" s="17">
        <v>1.4560000000000002</v>
      </c>
      <c r="I117" s="14" t="s">
        <v>54</v>
      </c>
      <c r="J117" s="16">
        <v>1</v>
      </c>
      <c r="K117" s="14" t="s">
        <v>55</v>
      </c>
      <c r="L117" s="14" t="s">
        <v>56</v>
      </c>
      <c r="M117" s="16" t="s">
        <v>154</v>
      </c>
      <c r="N117" s="27"/>
      <c r="O117" s="27"/>
      <c r="P117" s="27"/>
      <c r="Q117" s="27"/>
    </row>
    <row r="118" spans="2:17">
      <c r="B118" s="15" t="s">
        <v>155</v>
      </c>
      <c r="C118" s="14" t="s">
        <v>278</v>
      </c>
      <c r="D118" s="5" t="s">
        <v>47</v>
      </c>
      <c r="E118" s="14" t="s">
        <v>48</v>
      </c>
      <c r="F118" s="14" t="s">
        <v>153</v>
      </c>
      <c r="G118" s="14" t="s">
        <v>279</v>
      </c>
      <c r="H118" s="17">
        <v>1.4560000000000002</v>
      </c>
      <c r="I118" s="14" t="s">
        <v>54</v>
      </c>
      <c r="J118" s="16">
        <v>1</v>
      </c>
      <c r="K118" s="14" t="s">
        <v>55</v>
      </c>
      <c r="L118" s="14" t="s">
        <v>56</v>
      </c>
      <c r="M118" s="16" t="s">
        <v>154</v>
      </c>
      <c r="N118" s="27"/>
      <c r="O118" s="27"/>
      <c r="P118" s="27"/>
      <c r="Q118" s="27"/>
    </row>
    <row r="119" spans="2:17">
      <c r="B119" s="15" t="s">
        <v>155</v>
      </c>
      <c r="C119" s="14" t="s">
        <v>280</v>
      </c>
      <c r="D119" s="5" t="s">
        <v>47</v>
      </c>
      <c r="E119" s="14" t="s">
        <v>48</v>
      </c>
      <c r="F119" s="14" t="s">
        <v>153</v>
      </c>
      <c r="G119" s="14" t="s">
        <v>281</v>
      </c>
      <c r="H119" s="17">
        <v>1.4560000000000002</v>
      </c>
      <c r="I119" s="14" t="s">
        <v>54</v>
      </c>
      <c r="J119" s="16">
        <v>1</v>
      </c>
      <c r="K119" s="14" t="s">
        <v>55</v>
      </c>
      <c r="L119" s="14" t="s">
        <v>56</v>
      </c>
      <c r="M119" s="16" t="s">
        <v>154</v>
      </c>
      <c r="N119" s="27"/>
      <c r="O119" s="27"/>
      <c r="P119" s="27"/>
      <c r="Q119" s="27"/>
    </row>
    <row r="120" spans="2:17">
      <c r="B120" s="15" t="s">
        <v>155</v>
      </c>
      <c r="C120" s="14" t="s">
        <v>282</v>
      </c>
      <c r="D120" s="5" t="s">
        <v>47</v>
      </c>
      <c r="E120" s="14" t="s">
        <v>48</v>
      </c>
      <c r="F120" s="14" t="s">
        <v>153</v>
      </c>
      <c r="G120" s="14" t="s">
        <v>283</v>
      </c>
      <c r="H120" s="17">
        <v>1.4560000000000002</v>
      </c>
      <c r="I120" s="14" t="s">
        <v>54</v>
      </c>
      <c r="J120" s="16">
        <v>1</v>
      </c>
      <c r="K120" s="14" t="s">
        <v>55</v>
      </c>
      <c r="L120" s="14" t="s">
        <v>56</v>
      </c>
      <c r="M120" s="16" t="s">
        <v>154</v>
      </c>
      <c r="N120" s="27"/>
      <c r="O120" s="27"/>
      <c r="P120" s="27"/>
      <c r="Q120" s="27"/>
    </row>
    <row r="121" spans="2:17">
      <c r="B121" s="15" t="s">
        <v>155</v>
      </c>
      <c r="C121" s="14" t="s">
        <v>284</v>
      </c>
      <c r="D121" s="5" t="s">
        <v>47</v>
      </c>
      <c r="E121" s="14" t="s">
        <v>48</v>
      </c>
      <c r="F121" s="14" t="s">
        <v>153</v>
      </c>
      <c r="G121" s="14" t="s">
        <v>285</v>
      </c>
      <c r="H121" s="17">
        <v>1.4560000000000002</v>
      </c>
      <c r="I121" s="14" t="s">
        <v>54</v>
      </c>
      <c r="J121" s="16">
        <v>1</v>
      </c>
      <c r="K121" s="14" t="s">
        <v>55</v>
      </c>
      <c r="L121" s="14" t="s">
        <v>56</v>
      </c>
      <c r="M121" s="16" t="s">
        <v>154</v>
      </c>
      <c r="N121" s="27"/>
      <c r="O121" s="27"/>
      <c r="P121" s="27"/>
      <c r="Q121" s="27"/>
    </row>
    <row r="122" spans="2:17">
      <c r="B122" s="15" t="s">
        <v>155</v>
      </c>
      <c r="C122" s="14" t="s">
        <v>286</v>
      </c>
      <c r="D122" s="5" t="s">
        <v>47</v>
      </c>
      <c r="E122" s="14" t="s">
        <v>48</v>
      </c>
      <c r="F122" s="14" t="s">
        <v>153</v>
      </c>
      <c r="G122" s="14" t="s">
        <v>287</v>
      </c>
      <c r="H122" s="17">
        <v>1.4560000000000002</v>
      </c>
      <c r="I122" s="14" t="s">
        <v>54</v>
      </c>
      <c r="J122" s="16">
        <v>1</v>
      </c>
      <c r="K122" s="14" t="s">
        <v>55</v>
      </c>
      <c r="L122" s="14" t="s">
        <v>56</v>
      </c>
      <c r="M122" s="16" t="s">
        <v>154</v>
      </c>
      <c r="N122" s="27"/>
      <c r="O122" s="27"/>
      <c r="P122" s="27"/>
      <c r="Q122" s="27"/>
    </row>
    <row r="123" spans="2:17">
      <c r="B123" s="15" t="s">
        <v>155</v>
      </c>
      <c r="C123" s="14" t="s">
        <v>288</v>
      </c>
      <c r="D123" s="5" t="s">
        <v>47</v>
      </c>
      <c r="E123" s="14" t="s">
        <v>48</v>
      </c>
      <c r="F123" s="14" t="s">
        <v>153</v>
      </c>
      <c r="G123" s="14" t="s">
        <v>289</v>
      </c>
      <c r="H123" s="17">
        <v>1.4560000000000002</v>
      </c>
      <c r="I123" s="14" t="s">
        <v>54</v>
      </c>
      <c r="J123" s="16">
        <v>1</v>
      </c>
      <c r="K123" s="14" t="s">
        <v>55</v>
      </c>
      <c r="L123" s="14" t="s">
        <v>56</v>
      </c>
      <c r="M123" s="16" t="s">
        <v>154</v>
      </c>
      <c r="N123" s="27"/>
      <c r="O123" s="27"/>
      <c r="P123" s="27"/>
      <c r="Q123" s="27"/>
    </row>
    <row r="124" spans="2:17">
      <c r="B124" s="15" t="s">
        <v>155</v>
      </c>
      <c r="C124" s="14" t="s">
        <v>290</v>
      </c>
      <c r="D124" s="5" t="s">
        <v>47</v>
      </c>
      <c r="E124" s="14" t="s">
        <v>48</v>
      </c>
      <c r="F124" s="14" t="s">
        <v>153</v>
      </c>
      <c r="G124" s="14" t="s">
        <v>291</v>
      </c>
      <c r="H124" s="17">
        <v>1.4560000000000002</v>
      </c>
      <c r="I124" s="14" t="s">
        <v>54</v>
      </c>
      <c r="J124" s="16">
        <v>1</v>
      </c>
      <c r="K124" s="14" t="s">
        <v>55</v>
      </c>
      <c r="L124" s="14" t="s">
        <v>56</v>
      </c>
      <c r="M124" s="16" t="s">
        <v>154</v>
      </c>
      <c r="N124" s="27"/>
      <c r="O124" s="27"/>
      <c r="P124" s="27"/>
      <c r="Q124" s="27"/>
    </row>
    <row r="125" spans="2:17">
      <c r="B125" s="15" t="s">
        <v>155</v>
      </c>
      <c r="C125" s="14" t="s">
        <v>292</v>
      </c>
      <c r="D125" s="5" t="s">
        <v>47</v>
      </c>
      <c r="E125" s="14" t="s">
        <v>48</v>
      </c>
      <c r="F125" s="14" t="s">
        <v>153</v>
      </c>
      <c r="G125" s="14" t="s">
        <v>293</v>
      </c>
      <c r="H125" s="17">
        <v>1.4560000000000002</v>
      </c>
      <c r="I125" s="14" t="s">
        <v>54</v>
      </c>
      <c r="J125" s="16">
        <v>1</v>
      </c>
      <c r="K125" s="14" t="s">
        <v>55</v>
      </c>
      <c r="L125" s="14" t="s">
        <v>56</v>
      </c>
      <c r="M125" s="16" t="s">
        <v>154</v>
      </c>
      <c r="N125" s="27"/>
      <c r="O125" s="27"/>
      <c r="P125" s="27"/>
      <c r="Q125" s="27"/>
    </row>
    <row r="126" spans="2:17">
      <c r="B126" s="15" t="s">
        <v>155</v>
      </c>
      <c r="C126" s="14" t="s">
        <v>294</v>
      </c>
      <c r="D126" s="5" t="s">
        <v>47</v>
      </c>
      <c r="E126" s="14" t="s">
        <v>48</v>
      </c>
      <c r="F126" s="14" t="s">
        <v>153</v>
      </c>
      <c r="G126" s="14" t="s">
        <v>295</v>
      </c>
      <c r="H126" s="17">
        <v>1.4560000000000002</v>
      </c>
      <c r="I126" s="14" t="s">
        <v>54</v>
      </c>
      <c r="J126" s="16">
        <v>1</v>
      </c>
      <c r="K126" s="14" t="s">
        <v>55</v>
      </c>
      <c r="L126" s="14" t="s">
        <v>56</v>
      </c>
      <c r="M126" s="16" t="s">
        <v>154</v>
      </c>
      <c r="N126" s="27"/>
      <c r="O126" s="27"/>
      <c r="P126" s="27"/>
      <c r="Q126" s="27"/>
    </row>
    <row r="127" spans="2:17">
      <c r="B127" s="15" t="s">
        <v>155</v>
      </c>
      <c r="C127" s="14" t="s">
        <v>296</v>
      </c>
      <c r="D127" s="5" t="s">
        <v>47</v>
      </c>
      <c r="E127" s="14" t="s">
        <v>48</v>
      </c>
      <c r="F127" s="14" t="s">
        <v>153</v>
      </c>
      <c r="G127" s="14" t="s">
        <v>297</v>
      </c>
      <c r="H127" s="17">
        <v>1.4560000000000002</v>
      </c>
      <c r="I127" s="14" t="s">
        <v>54</v>
      </c>
      <c r="J127" s="16">
        <v>1</v>
      </c>
      <c r="K127" s="14" t="s">
        <v>55</v>
      </c>
      <c r="L127" s="14" t="s">
        <v>56</v>
      </c>
      <c r="M127" s="16" t="s">
        <v>154</v>
      </c>
      <c r="N127" s="27"/>
      <c r="O127" s="27"/>
      <c r="P127" s="27"/>
      <c r="Q127" s="27"/>
    </row>
    <row r="128" spans="2:17">
      <c r="B128" s="15" t="s">
        <v>155</v>
      </c>
      <c r="C128" s="14" t="s">
        <v>298</v>
      </c>
      <c r="D128" s="5" t="s">
        <v>47</v>
      </c>
      <c r="E128" s="14" t="s">
        <v>48</v>
      </c>
      <c r="F128" s="14" t="s">
        <v>153</v>
      </c>
      <c r="G128" s="14" t="s">
        <v>299</v>
      </c>
      <c r="H128" s="17">
        <v>1.4560000000000002</v>
      </c>
      <c r="I128" s="14" t="s">
        <v>54</v>
      </c>
      <c r="J128" s="16">
        <v>1</v>
      </c>
      <c r="K128" s="14" t="s">
        <v>55</v>
      </c>
      <c r="L128" s="14" t="s">
        <v>56</v>
      </c>
      <c r="M128" s="16" t="s">
        <v>154</v>
      </c>
      <c r="N128" s="27"/>
      <c r="O128" s="27"/>
      <c r="P128" s="27"/>
      <c r="Q128" s="27"/>
    </row>
    <row r="129" spans="2:17">
      <c r="B129" s="15" t="s">
        <v>155</v>
      </c>
      <c r="C129" s="14" t="s">
        <v>300</v>
      </c>
      <c r="D129" s="5" t="s">
        <v>47</v>
      </c>
      <c r="E129" s="14" t="s">
        <v>48</v>
      </c>
      <c r="F129" s="14" t="s">
        <v>153</v>
      </c>
      <c r="G129" s="14" t="s">
        <v>301</v>
      </c>
      <c r="H129" s="17">
        <v>1.4560000000000002</v>
      </c>
      <c r="I129" s="14" t="s">
        <v>54</v>
      </c>
      <c r="J129" s="16">
        <v>1</v>
      </c>
      <c r="K129" s="14" t="s">
        <v>55</v>
      </c>
      <c r="L129" s="14" t="s">
        <v>56</v>
      </c>
      <c r="M129" s="16" t="s">
        <v>154</v>
      </c>
      <c r="N129" s="27"/>
      <c r="O129" s="27"/>
      <c r="P129" s="27"/>
      <c r="Q129" s="27"/>
    </row>
    <row r="130" spans="2:17">
      <c r="B130" s="15" t="s">
        <v>155</v>
      </c>
      <c r="C130" s="14" t="s">
        <v>302</v>
      </c>
      <c r="D130" s="5" t="s">
        <v>47</v>
      </c>
      <c r="E130" s="14" t="s">
        <v>48</v>
      </c>
      <c r="F130" s="14" t="s">
        <v>153</v>
      </c>
      <c r="G130" s="14" t="s">
        <v>303</v>
      </c>
      <c r="H130" s="17">
        <v>1.4560000000000002</v>
      </c>
      <c r="I130" s="14" t="s">
        <v>54</v>
      </c>
      <c r="J130" s="16">
        <v>1</v>
      </c>
      <c r="K130" s="14" t="s">
        <v>55</v>
      </c>
      <c r="L130" s="14" t="s">
        <v>56</v>
      </c>
      <c r="M130" s="16" t="s">
        <v>154</v>
      </c>
      <c r="N130" s="27"/>
      <c r="O130" s="27"/>
      <c r="P130" s="27"/>
      <c r="Q130" s="27"/>
    </row>
    <row r="131" spans="2:17">
      <c r="B131" s="15" t="s">
        <v>155</v>
      </c>
      <c r="C131" s="14" t="s">
        <v>304</v>
      </c>
      <c r="D131" s="5" t="s">
        <v>47</v>
      </c>
      <c r="E131" s="14" t="s">
        <v>48</v>
      </c>
      <c r="F131" s="14" t="s">
        <v>153</v>
      </c>
      <c r="G131" s="14" t="s">
        <v>305</v>
      </c>
      <c r="H131" s="17">
        <v>1.4560000000000002</v>
      </c>
      <c r="I131" s="14" t="s">
        <v>54</v>
      </c>
      <c r="J131" s="16">
        <v>1</v>
      </c>
      <c r="K131" s="14" t="s">
        <v>55</v>
      </c>
      <c r="L131" s="14" t="s">
        <v>56</v>
      </c>
      <c r="M131" s="16" t="s">
        <v>154</v>
      </c>
      <c r="N131" s="27"/>
      <c r="O131" s="27"/>
      <c r="P131" s="27"/>
      <c r="Q131" s="27"/>
    </row>
    <row r="132" spans="2:17">
      <c r="B132" s="15" t="s">
        <v>155</v>
      </c>
      <c r="C132" s="14" t="s">
        <v>306</v>
      </c>
      <c r="D132" s="5" t="s">
        <v>47</v>
      </c>
      <c r="E132" s="14" t="s">
        <v>48</v>
      </c>
      <c r="F132" s="14" t="s">
        <v>153</v>
      </c>
      <c r="G132" s="14" t="s">
        <v>307</v>
      </c>
      <c r="H132" s="17">
        <v>1.4560000000000002</v>
      </c>
      <c r="I132" s="14" t="s">
        <v>54</v>
      </c>
      <c r="J132" s="16">
        <v>1</v>
      </c>
      <c r="K132" s="14" t="s">
        <v>55</v>
      </c>
      <c r="L132" s="14" t="s">
        <v>56</v>
      </c>
      <c r="M132" s="16" t="s">
        <v>154</v>
      </c>
      <c r="N132" s="27"/>
      <c r="O132" s="27"/>
      <c r="P132" s="27"/>
      <c r="Q132" s="27"/>
    </row>
    <row r="133" spans="2:17">
      <c r="B133" s="15" t="s">
        <v>155</v>
      </c>
      <c r="C133" s="14" t="s">
        <v>308</v>
      </c>
      <c r="D133" s="5" t="s">
        <v>47</v>
      </c>
      <c r="E133" s="14" t="s">
        <v>48</v>
      </c>
      <c r="F133" s="14" t="s">
        <v>153</v>
      </c>
      <c r="G133" s="14" t="s">
        <v>309</v>
      </c>
      <c r="H133" s="17">
        <v>1.4560000000000002</v>
      </c>
      <c r="I133" s="14" t="s">
        <v>54</v>
      </c>
      <c r="J133" s="16">
        <v>1</v>
      </c>
      <c r="K133" s="14" t="s">
        <v>55</v>
      </c>
      <c r="L133" s="14" t="s">
        <v>56</v>
      </c>
      <c r="M133" s="16" t="s">
        <v>154</v>
      </c>
      <c r="N133" s="27"/>
      <c r="O133" s="27"/>
      <c r="P133" s="27"/>
      <c r="Q133" s="27"/>
    </row>
    <row r="134" spans="2:17">
      <c r="B134" s="15" t="s">
        <v>155</v>
      </c>
      <c r="C134" s="14" t="s">
        <v>310</v>
      </c>
      <c r="D134" s="5" t="s">
        <v>47</v>
      </c>
      <c r="E134" s="14" t="s">
        <v>48</v>
      </c>
      <c r="F134" s="14" t="s">
        <v>153</v>
      </c>
      <c r="G134" s="14" t="s">
        <v>311</v>
      </c>
      <c r="H134" s="17">
        <v>1.4560000000000002</v>
      </c>
      <c r="I134" s="14" t="s">
        <v>54</v>
      </c>
      <c r="J134" s="16">
        <v>1</v>
      </c>
      <c r="K134" s="14" t="s">
        <v>55</v>
      </c>
      <c r="L134" s="14" t="s">
        <v>56</v>
      </c>
      <c r="M134" s="16" t="s">
        <v>154</v>
      </c>
      <c r="N134" s="27"/>
      <c r="O134" s="27"/>
      <c r="P134" s="27"/>
      <c r="Q134" s="27"/>
    </row>
    <row r="135" spans="2:17">
      <c r="B135" s="15" t="s">
        <v>155</v>
      </c>
      <c r="C135" s="14" t="s">
        <v>312</v>
      </c>
      <c r="D135" s="5" t="s">
        <v>47</v>
      </c>
      <c r="E135" s="14" t="s">
        <v>48</v>
      </c>
      <c r="F135" s="14" t="s">
        <v>153</v>
      </c>
      <c r="G135" s="14" t="s">
        <v>313</v>
      </c>
      <c r="H135" s="17">
        <v>1.4560000000000002</v>
      </c>
      <c r="I135" s="14" t="s">
        <v>54</v>
      </c>
      <c r="J135" s="16">
        <v>1</v>
      </c>
      <c r="K135" s="14" t="s">
        <v>55</v>
      </c>
      <c r="L135" s="14" t="s">
        <v>56</v>
      </c>
      <c r="M135" s="16" t="s">
        <v>154</v>
      </c>
      <c r="N135" s="27"/>
      <c r="O135" s="27"/>
      <c r="P135" s="27"/>
      <c r="Q135" s="27"/>
    </row>
    <row r="136" spans="2:17">
      <c r="B136" s="15" t="s">
        <v>155</v>
      </c>
      <c r="C136" s="14" t="s">
        <v>314</v>
      </c>
      <c r="D136" s="5" t="s">
        <v>47</v>
      </c>
      <c r="E136" s="14" t="s">
        <v>48</v>
      </c>
      <c r="F136" s="14" t="s">
        <v>153</v>
      </c>
      <c r="G136" s="14" t="s">
        <v>315</v>
      </c>
      <c r="H136" s="17">
        <v>1.4560000000000002</v>
      </c>
      <c r="I136" s="14" t="s">
        <v>54</v>
      </c>
      <c r="J136" s="16">
        <v>1</v>
      </c>
      <c r="K136" s="14" t="s">
        <v>55</v>
      </c>
      <c r="L136" s="14" t="s">
        <v>56</v>
      </c>
      <c r="M136" s="16" t="s">
        <v>154</v>
      </c>
      <c r="N136" s="27"/>
      <c r="O136" s="27"/>
      <c r="P136" s="27"/>
      <c r="Q136" s="27"/>
    </row>
    <row r="137" spans="2:17">
      <c r="B137" s="15" t="s">
        <v>155</v>
      </c>
      <c r="C137" s="14" t="s">
        <v>316</v>
      </c>
      <c r="D137" s="5" t="s">
        <v>47</v>
      </c>
      <c r="E137" s="14" t="s">
        <v>48</v>
      </c>
      <c r="F137" s="14" t="s">
        <v>153</v>
      </c>
      <c r="G137" s="14" t="s">
        <v>317</v>
      </c>
      <c r="H137" s="17">
        <v>1.4560000000000002</v>
      </c>
      <c r="I137" s="14" t="s">
        <v>54</v>
      </c>
      <c r="J137" s="16">
        <v>1</v>
      </c>
      <c r="K137" s="14" t="s">
        <v>55</v>
      </c>
      <c r="L137" s="14" t="s">
        <v>56</v>
      </c>
      <c r="M137" s="16" t="s">
        <v>154</v>
      </c>
      <c r="N137" s="27"/>
      <c r="O137" s="27"/>
      <c r="P137" s="27"/>
      <c r="Q137" s="27"/>
    </row>
    <row r="138" spans="2:17">
      <c r="B138" s="15" t="s">
        <v>155</v>
      </c>
      <c r="C138" s="14" t="s">
        <v>318</v>
      </c>
      <c r="D138" s="5" t="s">
        <v>47</v>
      </c>
      <c r="E138" s="14" t="s">
        <v>48</v>
      </c>
      <c r="F138" s="14" t="s">
        <v>153</v>
      </c>
      <c r="G138" s="14" t="s">
        <v>319</v>
      </c>
      <c r="H138" s="17">
        <v>1.4560000000000002</v>
      </c>
      <c r="I138" s="14" t="s">
        <v>54</v>
      </c>
      <c r="J138" s="16">
        <v>1</v>
      </c>
      <c r="K138" s="14" t="s">
        <v>55</v>
      </c>
      <c r="L138" s="14" t="s">
        <v>56</v>
      </c>
      <c r="M138" s="16" t="s">
        <v>154</v>
      </c>
      <c r="N138" s="27"/>
      <c r="O138" s="27"/>
      <c r="P138" s="27"/>
      <c r="Q138" s="27"/>
    </row>
    <row r="139" spans="2:17">
      <c r="B139" s="15" t="s">
        <v>155</v>
      </c>
      <c r="C139" s="14" t="s">
        <v>320</v>
      </c>
      <c r="D139" s="5" t="s">
        <v>47</v>
      </c>
      <c r="E139" s="14" t="s">
        <v>48</v>
      </c>
      <c r="F139" s="14" t="s">
        <v>153</v>
      </c>
      <c r="G139" s="14" t="s">
        <v>321</v>
      </c>
      <c r="H139" s="17">
        <v>1.4560000000000002</v>
      </c>
      <c r="I139" s="14" t="s">
        <v>54</v>
      </c>
      <c r="J139" s="16">
        <v>1</v>
      </c>
      <c r="K139" s="14" t="s">
        <v>55</v>
      </c>
      <c r="L139" s="14" t="s">
        <v>56</v>
      </c>
      <c r="M139" s="16" t="s">
        <v>154</v>
      </c>
      <c r="N139" s="27"/>
      <c r="O139" s="27"/>
      <c r="P139" s="27"/>
      <c r="Q139" s="27"/>
    </row>
    <row r="140" spans="2:17">
      <c r="B140" s="15" t="s">
        <v>155</v>
      </c>
      <c r="C140" s="14" t="s">
        <v>322</v>
      </c>
      <c r="D140" s="5" t="s">
        <v>47</v>
      </c>
      <c r="E140" s="14" t="s">
        <v>48</v>
      </c>
      <c r="F140" s="14" t="s">
        <v>153</v>
      </c>
      <c r="G140" s="14" t="s">
        <v>323</v>
      </c>
      <c r="H140" s="17">
        <v>1.4560000000000002</v>
      </c>
      <c r="I140" s="14" t="s">
        <v>54</v>
      </c>
      <c r="J140" s="16">
        <v>1</v>
      </c>
      <c r="K140" s="14" t="s">
        <v>55</v>
      </c>
      <c r="L140" s="14" t="s">
        <v>56</v>
      </c>
      <c r="M140" s="16" t="s">
        <v>154</v>
      </c>
      <c r="N140" s="27"/>
      <c r="O140" s="27"/>
      <c r="P140" s="27"/>
      <c r="Q140" s="27"/>
    </row>
    <row r="141" spans="2:17">
      <c r="B141" s="15" t="s">
        <v>155</v>
      </c>
      <c r="C141" s="14" t="s">
        <v>324</v>
      </c>
      <c r="D141" s="5" t="s">
        <v>47</v>
      </c>
      <c r="E141" s="14" t="s">
        <v>48</v>
      </c>
      <c r="F141" s="14" t="s">
        <v>153</v>
      </c>
      <c r="G141" s="14" t="s">
        <v>325</v>
      </c>
      <c r="H141" s="17">
        <v>1.4560000000000002</v>
      </c>
      <c r="I141" s="14" t="s">
        <v>54</v>
      </c>
      <c r="J141" s="16">
        <v>1</v>
      </c>
      <c r="K141" s="14" t="s">
        <v>55</v>
      </c>
      <c r="L141" s="14" t="s">
        <v>56</v>
      </c>
      <c r="M141" s="16" t="s">
        <v>154</v>
      </c>
      <c r="N141" s="27"/>
      <c r="O141" s="27"/>
      <c r="P141" s="27"/>
      <c r="Q141" s="27"/>
    </row>
    <row r="142" spans="2:17">
      <c r="B142" s="15" t="s">
        <v>155</v>
      </c>
      <c r="C142" s="14" t="s">
        <v>326</v>
      </c>
      <c r="D142" s="5" t="s">
        <v>47</v>
      </c>
      <c r="E142" s="14" t="s">
        <v>48</v>
      </c>
      <c r="F142" s="14" t="s">
        <v>153</v>
      </c>
      <c r="G142" s="14" t="s">
        <v>327</v>
      </c>
      <c r="H142" s="17">
        <v>1.4560000000000002</v>
      </c>
      <c r="I142" s="14" t="s">
        <v>54</v>
      </c>
      <c r="J142" s="16">
        <v>1</v>
      </c>
      <c r="K142" s="14" t="s">
        <v>55</v>
      </c>
      <c r="L142" s="14" t="s">
        <v>56</v>
      </c>
      <c r="M142" s="16" t="s">
        <v>154</v>
      </c>
      <c r="N142" s="27"/>
      <c r="O142" s="27"/>
      <c r="P142" s="27"/>
      <c r="Q142" s="27"/>
    </row>
    <row r="143" spans="2:17">
      <c r="B143" s="15" t="s">
        <v>155</v>
      </c>
      <c r="C143" s="14" t="s">
        <v>328</v>
      </c>
      <c r="D143" s="5" t="s">
        <v>47</v>
      </c>
      <c r="E143" s="14" t="s">
        <v>48</v>
      </c>
      <c r="F143" s="14" t="s">
        <v>153</v>
      </c>
      <c r="G143" s="14" t="s">
        <v>329</v>
      </c>
      <c r="H143" s="17">
        <v>1.4560000000000002</v>
      </c>
      <c r="I143" s="14" t="s">
        <v>54</v>
      </c>
      <c r="J143" s="16">
        <v>1</v>
      </c>
      <c r="K143" s="14" t="s">
        <v>55</v>
      </c>
      <c r="L143" s="14" t="s">
        <v>56</v>
      </c>
      <c r="M143" s="16" t="s">
        <v>154</v>
      </c>
      <c r="N143" s="27"/>
      <c r="O143" s="27"/>
      <c r="P143" s="27"/>
      <c r="Q143" s="27"/>
    </row>
    <row r="144" spans="2:17">
      <c r="B144" s="15" t="s">
        <v>155</v>
      </c>
      <c r="C144" s="14" t="s">
        <v>330</v>
      </c>
      <c r="D144" s="5" t="s">
        <v>47</v>
      </c>
      <c r="E144" s="14" t="s">
        <v>48</v>
      </c>
      <c r="F144" s="14" t="s">
        <v>153</v>
      </c>
      <c r="G144" s="14" t="s">
        <v>331</v>
      </c>
      <c r="H144" s="17">
        <v>1.4560000000000002</v>
      </c>
      <c r="I144" s="14" t="s">
        <v>54</v>
      </c>
      <c r="J144" s="16">
        <v>1</v>
      </c>
      <c r="K144" s="14" t="s">
        <v>55</v>
      </c>
      <c r="L144" s="14" t="s">
        <v>56</v>
      </c>
      <c r="M144" s="16" t="s">
        <v>154</v>
      </c>
      <c r="N144" s="27"/>
      <c r="O144" s="27"/>
      <c r="P144" s="27"/>
      <c r="Q144" s="27"/>
    </row>
    <row r="145" spans="2:17">
      <c r="B145" s="15" t="s">
        <v>155</v>
      </c>
      <c r="C145" s="14" t="s">
        <v>332</v>
      </c>
      <c r="D145" s="5" t="s">
        <v>47</v>
      </c>
      <c r="E145" s="14" t="s">
        <v>48</v>
      </c>
      <c r="F145" s="14" t="s">
        <v>153</v>
      </c>
      <c r="G145" s="14" t="s">
        <v>333</v>
      </c>
      <c r="H145" s="17">
        <v>1.4560000000000002</v>
      </c>
      <c r="I145" s="14" t="s">
        <v>54</v>
      </c>
      <c r="J145" s="16">
        <v>1</v>
      </c>
      <c r="K145" s="14" t="s">
        <v>55</v>
      </c>
      <c r="L145" s="14" t="s">
        <v>56</v>
      </c>
      <c r="M145" s="16" t="s">
        <v>154</v>
      </c>
      <c r="N145" s="27"/>
      <c r="O145" s="27"/>
      <c r="P145" s="27"/>
      <c r="Q145" s="27"/>
    </row>
    <row r="146" spans="2:17">
      <c r="B146" s="15"/>
    </row>
    <row r="147" spans="2:17">
      <c r="B147" s="15"/>
    </row>
    <row r="148" spans="2:17">
      <c r="B148" s="15" t="s">
        <v>50</v>
      </c>
      <c r="C148" s="14" t="s">
        <v>334</v>
      </c>
      <c r="D148" s="5" t="s">
        <v>47</v>
      </c>
      <c r="E148" s="14" t="s">
        <v>48</v>
      </c>
      <c r="F148" s="14" t="s">
        <v>335</v>
      </c>
      <c r="H148" s="16">
        <v>115.19999999999997</v>
      </c>
      <c r="I148" s="14" t="s">
        <v>54</v>
      </c>
      <c r="J148" s="16">
        <v>96</v>
      </c>
      <c r="K148" s="14" t="s">
        <v>55</v>
      </c>
      <c r="L148" s="14" t="s">
        <v>56</v>
      </c>
      <c r="M148" s="16" t="s">
        <v>336</v>
      </c>
      <c r="O148" s="16">
        <v>5</v>
      </c>
      <c r="P148" s="16">
        <v>3</v>
      </c>
      <c r="Q148" s="16" t="s">
        <v>43</v>
      </c>
    </row>
    <row r="149" spans="2:17">
      <c r="B149" s="15" t="s">
        <v>337</v>
      </c>
      <c r="C149" s="14" t="s">
        <v>338</v>
      </c>
      <c r="D149" s="5" t="s">
        <v>47</v>
      </c>
      <c r="E149" s="14" t="s">
        <v>48</v>
      </c>
      <c r="F149" s="14" t="s">
        <v>335</v>
      </c>
      <c r="G149" s="14" t="s">
        <v>339</v>
      </c>
      <c r="H149" s="16">
        <v>9.6</v>
      </c>
      <c r="I149" s="14" t="s">
        <v>54</v>
      </c>
      <c r="J149" s="16">
        <v>8</v>
      </c>
      <c r="K149" s="14" t="s">
        <v>55</v>
      </c>
      <c r="L149" s="14" t="s">
        <v>56</v>
      </c>
      <c r="M149" s="16" t="s">
        <v>336</v>
      </c>
      <c r="O149" s="16">
        <v>5</v>
      </c>
      <c r="P149" s="16">
        <v>3</v>
      </c>
      <c r="Q149" s="16" t="s">
        <v>43</v>
      </c>
    </row>
    <row r="150" spans="2:17">
      <c r="B150" s="15" t="s">
        <v>337</v>
      </c>
      <c r="C150" s="14" t="s">
        <v>340</v>
      </c>
      <c r="D150" s="5" t="s">
        <v>47</v>
      </c>
      <c r="E150" s="14" t="s">
        <v>48</v>
      </c>
      <c r="F150" s="14" t="s">
        <v>335</v>
      </c>
      <c r="G150" s="14" t="s">
        <v>341</v>
      </c>
      <c r="H150" s="16">
        <v>9.6</v>
      </c>
      <c r="I150" s="14" t="s">
        <v>54</v>
      </c>
      <c r="J150" s="16">
        <v>8</v>
      </c>
      <c r="K150" s="14" t="s">
        <v>55</v>
      </c>
      <c r="L150" s="14" t="s">
        <v>56</v>
      </c>
      <c r="M150" s="16" t="s">
        <v>336</v>
      </c>
      <c r="O150" s="16">
        <v>5</v>
      </c>
      <c r="P150" s="16">
        <v>3</v>
      </c>
      <c r="Q150" s="16" t="s">
        <v>43</v>
      </c>
    </row>
    <row r="151" spans="2:17">
      <c r="B151" s="15" t="s">
        <v>337</v>
      </c>
      <c r="C151" s="14" t="s">
        <v>342</v>
      </c>
      <c r="D151" s="5" t="s">
        <v>47</v>
      </c>
      <c r="E151" s="14" t="s">
        <v>48</v>
      </c>
      <c r="F151" s="14" t="s">
        <v>335</v>
      </c>
      <c r="G151" s="14" t="s">
        <v>343</v>
      </c>
      <c r="H151" s="16">
        <v>9.6</v>
      </c>
      <c r="I151" s="14" t="s">
        <v>54</v>
      </c>
      <c r="J151" s="16">
        <v>8</v>
      </c>
      <c r="K151" s="14" t="s">
        <v>55</v>
      </c>
      <c r="L151" s="14" t="s">
        <v>56</v>
      </c>
      <c r="M151" s="16" t="s">
        <v>336</v>
      </c>
      <c r="O151" s="16">
        <v>5</v>
      </c>
      <c r="P151" s="16">
        <v>3</v>
      </c>
      <c r="Q151" s="16" t="s">
        <v>43</v>
      </c>
    </row>
    <row r="152" spans="2:17">
      <c r="B152" s="15" t="s">
        <v>337</v>
      </c>
      <c r="C152" s="14" t="s">
        <v>344</v>
      </c>
      <c r="D152" s="5" t="s">
        <v>47</v>
      </c>
      <c r="E152" s="14" t="s">
        <v>48</v>
      </c>
      <c r="F152" s="14" t="s">
        <v>335</v>
      </c>
      <c r="G152" s="14" t="s">
        <v>345</v>
      </c>
      <c r="H152" s="16">
        <v>9.6</v>
      </c>
      <c r="I152" s="14" t="s">
        <v>54</v>
      </c>
      <c r="J152" s="16">
        <v>8</v>
      </c>
      <c r="K152" s="14" t="s">
        <v>55</v>
      </c>
      <c r="L152" s="14" t="s">
        <v>56</v>
      </c>
      <c r="M152" s="16" t="s">
        <v>336</v>
      </c>
      <c r="O152" s="16">
        <v>5</v>
      </c>
      <c r="P152" s="16">
        <v>3</v>
      </c>
      <c r="Q152" s="16" t="s">
        <v>43</v>
      </c>
    </row>
    <row r="153" spans="2:17">
      <c r="B153" s="15" t="s">
        <v>337</v>
      </c>
      <c r="C153" s="14" t="s">
        <v>346</v>
      </c>
      <c r="D153" s="5" t="s">
        <v>47</v>
      </c>
      <c r="E153" s="14" t="s">
        <v>48</v>
      </c>
      <c r="F153" s="14" t="s">
        <v>335</v>
      </c>
      <c r="G153" s="14" t="s">
        <v>347</v>
      </c>
      <c r="H153" s="16">
        <v>9.6</v>
      </c>
      <c r="I153" s="14" t="s">
        <v>54</v>
      </c>
      <c r="J153" s="16">
        <v>8</v>
      </c>
      <c r="K153" s="14" t="s">
        <v>55</v>
      </c>
      <c r="L153" s="14" t="s">
        <v>56</v>
      </c>
      <c r="M153" s="16" t="s">
        <v>336</v>
      </c>
      <c r="O153" s="16">
        <v>5</v>
      </c>
      <c r="P153" s="16">
        <v>3</v>
      </c>
      <c r="Q153" s="16" t="s">
        <v>43</v>
      </c>
    </row>
    <row r="154" spans="2:17">
      <c r="B154" s="15" t="s">
        <v>337</v>
      </c>
      <c r="C154" s="14" t="s">
        <v>348</v>
      </c>
      <c r="D154" s="5" t="s">
        <v>47</v>
      </c>
      <c r="E154" s="14" t="s">
        <v>48</v>
      </c>
      <c r="F154" s="14" t="s">
        <v>335</v>
      </c>
      <c r="G154" s="14" t="s">
        <v>349</v>
      </c>
      <c r="H154" s="16">
        <v>9.6</v>
      </c>
      <c r="I154" s="14" t="s">
        <v>54</v>
      </c>
      <c r="J154" s="16">
        <v>8</v>
      </c>
      <c r="K154" s="14" t="s">
        <v>55</v>
      </c>
      <c r="L154" s="14" t="s">
        <v>56</v>
      </c>
      <c r="M154" s="16" t="s">
        <v>336</v>
      </c>
      <c r="O154" s="16">
        <v>5</v>
      </c>
      <c r="P154" s="16">
        <v>3</v>
      </c>
      <c r="Q154" s="16" t="s">
        <v>43</v>
      </c>
    </row>
    <row r="155" spans="2:17">
      <c r="B155" s="15" t="s">
        <v>337</v>
      </c>
      <c r="C155" s="14" t="s">
        <v>350</v>
      </c>
      <c r="D155" s="5" t="s">
        <v>47</v>
      </c>
      <c r="E155" s="14" t="s">
        <v>48</v>
      </c>
      <c r="F155" s="14" t="s">
        <v>335</v>
      </c>
      <c r="G155" s="14" t="s">
        <v>351</v>
      </c>
      <c r="H155" s="16">
        <v>9.6</v>
      </c>
      <c r="I155" s="14" t="s">
        <v>54</v>
      </c>
      <c r="J155" s="16">
        <v>8</v>
      </c>
      <c r="K155" s="14" t="s">
        <v>55</v>
      </c>
      <c r="L155" s="14" t="s">
        <v>56</v>
      </c>
      <c r="M155" s="16" t="s">
        <v>336</v>
      </c>
      <c r="O155" s="16">
        <v>5</v>
      </c>
      <c r="P155" s="16">
        <v>3</v>
      </c>
      <c r="Q155" s="16" t="s">
        <v>43</v>
      </c>
    </row>
    <row r="156" spans="2:17">
      <c r="B156" s="15" t="s">
        <v>337</v>
      </c>
      <c r="C156" s="14" t="s">
        <v>352</v>
      </c>
      <c r="D156" s="5" t="s">
        <v>47</v>
      </c>
      <c r="E156" s="14" t="s">
        <v>48</v>
      </c>
      <c r="F156" s="14" t="s">
        <v>335</v>
      </c>
      <c r="G156" s="14" t="s">
        <v>353</v>
      </c>
      <c r="H156" s="16">
        <v>9.6</v>
      </c>
      <c r="I156" s="14" t="s">
        <v>54</v>
      </c>
      <c r="J156" s="16">
        <v>8</v>
      </c>
      <c r="K156" s="14" t="s">
        <v>55</v>
      </c>
      <c r="L156" s="14" t="s">
        <v>56</v>
      </c>
      <c r="M156" s="16" t="s">
        <v>336</v>
      </c>
      <c r="O156" s="16">
        <v>5</v>
      </c>
      <c r="P156" s="16">
        <v>3</v>
      </c>
      <c r="Q156" s="16" t="s">
        <v>43</v>
      </c>
    </row>
    <row r="157" spans="2:17">
      <c r="B157" s="15" t="s">
        <v>337</v>
      </c>
      <c r="C157" s="14" t="s">
        <v>354</v>
      </c>
      <c r="D157" s="5" t="s">
        <v>47</v>
      </c>
      <c r="E157" s="14" t="s">
        <v>48</v>
      </c>
      <c r="F157" s="14" t="s">
        <v>335</v>
      </c>
      <c r="G157" s="14" t="s">
        <v>355</v>
      </c>
      <c r="H157" s="16">
        <v>9.6</v>
      </c>
      <c r="I157" s="14" t="s">
        <v>54</v>
      </c>
      <c r="J157" s="16">
        <v>8</v>
      </c>
      <c r="K157" s="14" t="s">
        <v>55</v>
      </c>
      <c r="L157" s="14" t="s">
        <v>56</v>
      </c>
      <c r="M157" s="16" t="s">
        <v>336</v>
      </c>
      <c r="O157" s="16">
        <v>5</v>
      </c>
      <c r="P157" s="16">
        <v>3</v>
      </c>
      <c r="Q157" s="16" t="s">
        <v>43</v>
      </c>
    </row>
    <row r="158" spans="2:17">
      <c r="B158" s="15" t="s">
        <v>337</v>
      </c>
      <c r="C158" s="14" t="s">
        <v>356</v>
      </c>
      <c r="D158" s="5" t="s">
        <v>47</v>
      </c>
      <c r="E158" s="14" t="s">
        <v>48</v>
      </c>
      <c r="F158" s="14" t="s">
        <v>335</v>
      </c>
      <c r="G158" s="14" t="s">
        <v>357</v>
      </c>
      <c r="H158" s="16">
        <v>9.6</v>
      </c>
      <c r="I158" s="14" t="s">
        <v>54</v>
      </c>
      <c r="J158" s="16">
        <v>8</v>
      </c>
      <c r="K158" s="14" t="s">
        <v>55</v>
      </c>
      <c r="L158" s="14" t="s">
        <v>56</v>
      </c>
      <c r="M158" s="16" t="s">
        <v>336</v>
      </c>
      <c r="O158" s="16">
        <v>5</v>
      </c>
      <c r="P158" s="16">
        <v>3</v>
      </c>
      <c r="Q158" s="16" t="s">
        <v>43</v>
      </c>
    </row>
    <row r="159" spans="2:17">
      <c r="B159" s="15" t="s">
        <v>337</v>
      </c>
      <c r="C159" s="14" t="s">
        <v>358</v>
      </c>
      <c r="D159" s="5" t="s">
        <v>47</v>
      </c>
      <c r="E159" s="14" t="s">
        <v>48</v>
      </c>
      <c r="F159" s="14" t="s">
        <v>335</v>
      </c>
      <c r="G159" s="14" t="s">
        <v>359</v>
      </c>
      <c r="H159" s="16">
        <v>9.6</v>
      </c>
      <c r="I159" s="14" t="s">
        <v>54</v>
      </c>
      <c r="J159" s="16">
        <v>8</v>
      </c>
      <c r="K159" s="14" t="s">
        <v>55</v>
      </c>
      <c r="L159" s="14" t="s">
        <v>56</v>
      </c>
      <c r="M159" s="16" t="s">
        <v>336</v>
      </c>
      <c r="O159" s="16">
        <v>5</v>
      </c>
      <c r="P159" s="16">
        <v>3</v>
      </c>
      <c r="Q159" s="16" t="s">
        <v>43</v>
      </c>
    </row>
    <row r="160" spans="2:17">
      <c r="B160" s="15" t="s">
        <v>337</v>
      </c>
      <c r="C160" s="14" t="s">
        <v>360</v>
      </c>
      <c r="D160" s="5" t="s">
        <v>47</v>
      </c>
      <c r="E160" s="14" t="s">
        <v>48</v>
      </c>
      <c r="F160" s="14" t="s">
        <v>335</v>
      </c>
      <c r="G160" s="14" t="s">
        <v>361</v>
      </c>
      <c r="H160" s="16">
        <v>9.6</v>
      </c>
      <c r="I160" s="14" t="s">
        <v>54</v>
      </c>
      <c r="J160" s="16">
        <v>8</v>
      </c>
      <c r="K160" s="14" t="s">
        <v>55</v>
      </c>
      <c r="L160" s="14" t="s">
        <v>56</v>
      </c>
      <c r="M160" s="16" t="s">
        <v>336</v>
      </c>
      <c r="O160" s="16">
        <v>5</v>
      </c>
      <c r="P160" s="16">
        <v>3</v>
      </c>
      <c r="Q160" s="16" t="s">
        <v>43</v>
      </c>
    </row>
    <row r="161" spans="2:17">
      <c r="B161" s="15"/>
      <c r="D161" s="5"/>
      <c r="H161" s="16"/>
      <c r="J161" s="16"/>
    </row>
    <row r="162" spans="2:17">
      <c r="B162" s="15" t="s">
        <v>50</v>
      </c>
      <c r="C162" s="14" t="s">
        <v>58</v>
      </c>
      <c r="D162" s="5" t="s">
        <v>47</v>
      </c>
      <c r="E162" s="14" t="s">
        <v>48</v>
      </c>
      <c r="F162" s="14" t="s">
        <v>362</v>
      </c>
      <c r="H162" s="16">
        <v>37.26</v>
      </c>
      <c r="I162" s="14" t="s">
        <v>54</v>
      </c>
      <c r="J162" s="16">
        <v>120</v>
      </c>
    </row>
    <row r="163" spans="2:17" ht="12.75">
      <c r="B163" s="15" t="s">
        <v>50</v>
      </c>
      <c r="C163" s="28" t="s">
        <v>363</v>
      </c>
      <c r="D163" s="5" t="s">
        <v>47</v>
      </c>
      <c r="E163" s="14" t="s">
        <v>48</v>
      </c>
      <c r="F163" s="14" t="s">
        <v>362</v>
      </c>
      <c r="G163" s="14" t="s">
        <v>364</v>
      </c>
      <c r="H163" s="17">
        <v>3.105</v>
      </c>
      <c r="I163" s="14" t="s">
        <v>54</v>
      </c>
      <c r="J163" s="16">
        <v>10</v>
      </c>
      <c r="K163" s="14" t="s">
        <v>55</v>
      </c>
      <c r="L163" s="14" t="s">
        <v>56</v>
      </c>
      <c r="M163" s="16" t="s">
        <v>336</v>
      </c>
      <c r="O163" s="16">
        <v>5</v>
      </c>
      <c r="P163" s="16">
        <v>1</v>
      </c>
      <c r="Q163" s="16" t="s">
        <v>43</v>
      </c>
    </row>
    <row r="164" spans="2:17" ht="12.75">
      <c r="B164" s="15" t="s">
        <v>50</v>
      </c>
      <c r="C164" s="28" t="s">
        <v>365</v>
      </c>
      <c r="D164" s="5" t="s">
        <v>47</v>
      </c>
      <c r="E164" s="14" t="s">
        <v>48</v>
      </c>
      <c r="F164" s="14" t="s">
        <v>362</v>
      </c>
      <c r="G164" s="14" t="s">
        <v>366</v>
      </c>
      <c r="H164" s="17">
        <v>3.105</v>
      </c>
      <c r="I164" s="14" t="s">
        <v>54</v>
      </c>
      <c r="J164" s="16">
        <v>10</v>
      </c>
      <c r="K164" s="14" t="s">
        <v>55</v>
      </c>
      <c r="L164" s="14" t="s">
        <v>56</v>
      </c>
      <c r="M164" s="16" t="s">
        <v>336</v>
      </c>
      <c r="O164" s="16">
        <v>5</v>
      </c>
      <c r="P164" s="16">
        <v>1</v>
      </c>
      <c r="Q164" s="16" t="s">
        <v>43</v>
      </c>
    </row>
    <row r="165" spans="2:17" ht="12.75">
      <c r="B165" s="15" t="s">
        <v>50</v>
      </c>
      <c r="C165" s="28" t="s">
        <v>367</v>
      </c>
      <c r="D165" s="5" t="s">
        <v>47</v>
      </c>
      <c r="E165" s="14" t="s">
        <v>48</v>
      </c>
      <c r="F165" s="14" t="s">
        <v>362</v>
      </c>
      <c r="G165" s="14" t="s">
        <v>368</v>
      </c>
      <c r="H165" s="17">
        <v>3.105</v>
      </c>
      <c r="I165" s="14" t="s">
        <v>54</v>
      </c>
      <c r="J165" s="16">
        <v>10</v>
      </c>
      <c r="K165" s="14" t="s">
        <v>55</v>
      </c>
      <c r="L165" s="14" t="s">
        <v>56</v>
      </c>
      <c r="M165" s="16" t="s">
        <v>336</v>
      </c>
      <c r="O165" s="16">
        <v>5</v>
      </c>
      <c r="P165" s="16">
        <v>1</v>
      </c>
      <c r="Q165" s="16" t="s">
        <v>43</v>
      </c>
    </row>
    <row r="166" spans="2:17" ht="12.75">
      <c r="B166" s="15" t="s">
        <v>50</v>
      </c>
      <c r="C166" s="28" t="s">
        <v>369</v>
      </c>
      <c r="D166" s="5" t="s">
        <v>47</v>
      </c>
      <c r="E166" s="14" t="s">
        <v>48</v>
      </c>
      <c r="F166" s="14" t="s">
        <v>362</v>
      </c>
      <c r="G166" s="14" t="s">
        <v>370</v>
      </c>
      <c r="H166" s="17">
        <v>3.105</v>
      </c>
      <c r="I166" s="14" t="s">
        <v>54</v>
      </c>
      <c r="J166" s="16">
        <v>10</v>
      </c>
      <c r="K166" s="14" t="s">
        <v>55</v>
      </c>
      <c r="L166" s="14" t="s">
        <v>56</v>
      </c>
      <c r="M166" s="16" t="s">
        <v>336</v>
      </c>
      <c r="O166" s="16">
        <v>5</v>
      </c>
      <c r="P166" s="16">
        <v>1</v>
      </c>
      <c r="Q166" s="16" t="s">
        <v>43</v>
      </c>
    </row>
    <row r="167" spans="2:17" ht="12.75">
      <c r="B167" s="15" t="s">
        <v>50</v>
      </c>
      <c r="C167" s="28" t="s">
        <v>371</v>
      </c>
      <c r="D167" s="5" t="s">
        <v>47</v>
      </c>
      <c r="E167" s="14" t="s">
        <v>48</v>
      </c>
      <c r="F167" s="14" t="s">
        <v>362</v>
      </c>
      <c r="G167" s="14" t="s">
        <v>372</v>
      </c>
      <c r="H167" s="17">
        <v>3.105</v>
      </c>
      <c r="I167" s="14" t="s">
        <v>54</v>
      </c>
      <c r="J167" s="16">
        <v>10</v>
      </c>
      <c r="K167" s="14" t="s">
        <v>55</v>
      </c>
      <c r="L167" s="14" t="s">
        <v>56</v>
      </c>
      <c r="M167" s="16" t="s">
        <v>336</v>
      </c>
      <c r="O167" s="16">
        <v>5</v>
      </c>
      <c r="P167" s="16">
        <v>1</v>
      </c>
      <c r="Q167" s="16" t="s">
        <v>43</v>
      </c>
    </row>
    <row r="168" spans="2:17" ht="12.75">
      <c r="B168" s="15" t="s">
        <v>50</v>
      </c>
      <c r="C168" s="28" t="s">
        <v>373</v>
      </c>
      <c r="D168" s="5" t="s">
        <v>47</v>
      </c>
      <c r="E168" s="14" t="s">
        <v>48</v>
      </c>
      <c r="F168" s="14" t="s">
        <v>362</v>
      </c>
      <c r="G168" s="14" t="s">
        <v>374</v>
      </c>
      <c r="H168" s="17">
        <v>3.105</v>
      </c>
      <c r="I168" s="14" t="s">
        <v>54</v>
      </c>
      <c r="J168" s="16">
        <v>10</v>
      </c>
      <c r="K168" s="14" t="s">
        <v>55</v>
      </c>
      <c r="L168" s="14" t="s">
        <v>56</v>
      </c>
      <c r="M168" s="16" t="s">
        <v>336</v>
      </c>
      <c r="O168" s="16">
        <v>5</v>
      </c>
      <c r="P168" s="16">
        <v>1</v>
      </c>
      <c r="Q168" s="16" t="s">
        <v>43</v>
      </c>
    </row>
    <row r="169" spans="2:17" ht="12.75">
      <c r="B169" s="15" t="s">
        <v>50</v>
      </c>
      <c r="C169" s="28" t="s">
        <v>375</v>
      </c>
      <c r="D169" s="5" t="s">
        <v>47</v>
      </c>
      <c r="E169" s="14" t="s">
        <v>48</v>
      </c>
      <c r="F169" s="14" t="s">
        <v>362</v>
      </c>
      <c r="G169" s="14" t="s">
        <v>376</v>
      </c>
      <c r="H169" s="17">
        <v>3.105</v>
      </c>
      <c r="I169" s="14" t="s">
        <v>54</v>
      </c>
      <c r="J169" s="16">
        <v>10</v>
      </c>
      <c r="K169" s="14" t="s">
        <v>55</v>
      </c>
      <c r="L169" s="14" t="s">
        <v>56</v>
      </c>
      <c r="M169" s="16" t="s">
        <v>336</v>
      </c>
      <c r="O169" s="16">
        <v>5</v>
      </c>
      <c r="P169" s="16">
        <v>1</v>
      </c>
      <c r="Q169" s="16" t="s">
        <v>43</v>
      </c>
    </row>
    <row r="170" spans="2:17" ht="12.75">
      <c r="B170" s="15" t="s">
        <v>50</v>
      </c>
      <c r="C170" s="28" t="s">
        <v>377</v>
      </c>
      <c r="D170" s="5" t="s">
        <v>47</v>
      </c>
      <c r="E170" s="14" t="s">
        <v>48</v>
      </c>
      <c r="F170" s="14" t="s">
        <v>362</v>
      </c>
      <c r="G170" s="14" t="s">
        <v>378</v>
      </c>
      <c r="H170" s="17">
        <v>3.105</v>
      </c>
      <c r="I170" s="14" t="s">
        <v>54</v>
      </c>
      <c r="J170" s="16">
        <v>10</v>
      </c>
      <c r="K170" s="14" t="s">
        <v>55</v>
      </c>
      <c r="L170" s="14" t="s">
        <v>56</v>
      </c>
      <c r="M170" s="16" t="s">
        <v>336</v>
      </c>
      <c r="O170" s="16">
        <v>5</v>
      </c>
      <c r="P170" s="16">
        <v>1</v>
      </c>
      <c r="Q170" s="16" t="s">
        <v>43</v>
      </c>
    </row>
    <row r="171" spans="2:17" ht="12.75">
      <c r="B171" s="15" t="s">
        <v>50</v>
      </c>
      <c r="C171" s="28" t="s">
        <v>379</v>
      </c>
      <c r="D171" s="5" t="s">
        <v>47</v>
      </c>
      <c r="E171" s="14" t="s">
        <v>48</v>
      </c>
      <c r="F171" s="14" t="s">
        <v>362</v>
      </c>
      <c r="G171" s="14" t="s">
        <v>380</v>
      </c>
      <c r="H171" s="17">
        <v>3.105</v>
      </c>
      <c r="I171" s="14" t="s">
        <v>54</v>
      </c>
      <c r="J171" s="16">
        <v>10</v>
      </c>
      <c r="K171" s="14" t="s">
        <v>55</v>
      </c>
      <c r="L171" s="14" t="s">
        <v>56</v>
      </c>
      <c r="M171" s="16" t="s">
        <v>336</v>
      </c>
      <c r="O171" s="16">
        <v>5</v>
      </c>
      <c r="P171" s="16">
        <v>1</v>
      </c>
      <c r="Q171" s="16" t="s">
        <v>43</v>
      </c>
    </row>
    <row r="172" spans="2:17" ht="12.75">
      <c r="B172" s="15" t="s">
        <v>50</v>
      </c>
      <c r="C172" s="28" t="s">
        <v>381</v>
      </c>
      <c r="D172" s="5" t="s">
        <v>47</v>
      </c>
      <c r="E172" s="14" t="s">
        <v>48</v>
      </c>
      <c r="F172" s="14" t="s">
        <v>362</v>
      </c>
      <c r="G172" s="14" t="s">
        <v>382</v>
      </c>
      <c r="H172" s="17">
        <v>3.105</v>
      </c>
      <c r="I172" s="14" t="s">
        <v>54</v>
      </c>
      <c r="J172" s="16">
        <v>10</v>
      </c>
      <c r="K172" s="14" t="s">
        <v>55</v>
      </c>
      <c r="L172" s="14" t="s">
        <v>56</v>
      </c>
      <c r="M172" s="16" t="s">
        <v>336</v>
      </c>
      <c r="O172" s="16">
        <v>5</v>
      </c>
      <c r="P172" s="16">
        <v>1</v>
      </c>
      <c r="Q172" s="16" t="s">
        <v>43</v>
      </c>
    </row>
    <row r="173" spans="2:17" ht="12.75">
      <c r="B173" s="15" t="s">
        <v>50</v>
      </c>
      <c r="C173" s="28" t="s">
        <v>383</v>
      </c>
      <c r="D173" s="5" t="s">
        <v>47</v>
      </c>
      <c r="E173" s="14" t="s">
        <v>48</v>
      </c>
      <c r="F173" s="14" t="s">
        <v>362</v>
      </c>
      <c r="G173" s="14" t="s">
        <v>384</v>
      </c>
      <c r="H173" s="17">
        <v>3.105</v>
      </c>
      <c r="I173" s="14" t="s">
        <v>54</v>
      </c>
      <c r="J173" s="16">
        <v>10</v>
      </c>
      <c r="K173" s="14" t="s">
        <v>55</v>
      </c>
      <c r="L173" s="14" t="s">
        <v>56</v>
      </c>
      <c r="M173" s="16" t="s">
        <v>336</v>
      </c>
      <c r="O173" s="16">
        <v>5</v>
      </c>
      <c r="P173" s="16">
        <v>1</v>
      </c>
      <c r="Q173" s="16" t="s">
        <v>43</v>
      </c>
    </row>
    <row r="174" spans="2:17" ht="12.75">
      <c r="B174" s="15" t="s">
        <v>50</v>
      </c>
      <c r="C174" s="28" t="s">
        <v>385</v>
      </c>
      <c r="D174" s="5" t="s">
        <v>47</v>
      </c>
      <c r="E174" s="14" t="s">
        <v>48</v>
      </c>
      <c r="F174" s="14" t="s">
        <v>362</v>
      </c>
      <c r="G174" s="14" t="s">
        <v>386</v>
      </c>
      <c r="H174" s="17">
        <v>3.105</v>
      </c>
      <c r="I174" s="14" t="s">
        <v>54</v>
      </c>
      <c r="J174" s="16">
        <v>10</v>
      </c>
      <c r="K174" s="14" t="s">
        <v>55</v>
      </c>
      <c r="L174" s="14" t="s">
        <v>56</v>
      </c>
      <c r="M174" s="16" t="s">
        <v>336</v>
      </c>
      <c r="O174" s="16">
        <v>5</v>
      </c>
      <c r="P174" s="16">
        <v>1</v>
      </c>
      <c r="Q174" s="16" t="s">
        <v>43</v>
      </c>
    </row>
    <row r="175" spans="2:17">
      <c r="B175" s="15"/>
      <c r="D175" s="5"/>
      <c r="H175" s="16"/>
    </row>
    <row r="176" spans="2:17">
      <c r="B176" s="15" t="s">
        <v>50</v>
      </c>
      <c r="C176" s="14" t="s">
        <v>61</v>
      </c>
      <c r="D176" s="5" t="s">
        <v>47</v>
      </c>
      <c r="E176" s="14" t="s">
        <v>48</v>
      </c>
      <c r="F176" s="14" t="s">
        <v>387</v>
      </c>
      <c r="H176" s="16">
        <v>248.16</v>
      </c>
      <c r="I176" s="14" t="s">
        <v>54</v>
      </c>
      <c r="J176" s="16">
        <v>220</v>
      </c>
    </row>
    <row r="177" spans="2:17">
      <c r="B177" s="15" t="s">
        <v>337</v>
      </c>
      <c r="C177" s="14" t="s">
        <v>388</v>
      </c>
      <c r="D177" s="5" t="s">
        <v>47</v>
      </c>
      <c r="E177" s="14" t="s">
        <v>48</v>
      </c>
      <c r="F177" s="14" t="s">
        <v>387</v>
      </c>
      <c r="G177" s="14" t="s">
        <v>389</v>
      </c>
      <c r="H177" s="16">
        <v>11.28</v>
      </c>
      <c r="I177" s="14" t="s">
        <v>54</v>
      </c>
      <c r="J177" s="16">
        <v>10</v>
      </c>
      <c r="K177" s="14" t="s">
        <v>55</v>
      </c>
      <c r="L177" s="14" t="s">
        <v>56</v>
      </c>
      <c r="M177" s="16" t="s">
        <v>336</v>
      </c>
      <c r="O177" s="16">
        <v>5</v>
      </c>
      <c r="P177" s="16">
        <v>1</v>
      </c>
      <c r="Q177" s="16" t="s">
        <v>43</v>
      </c>
    </row>
    <row r="178" spans="2:17">
      <c r="B178" s="15" t="s">
        <v>337</v>
      </c>
      <c r="C178" s="14" t="s">
        <v>390</v>
      </c>
      <c r="D178" s="5" t="s">
        <v>47</v>
      </c>
      <c r="E178" s="14" t="s">
        <v>48</v>
      </c>
      <c r="F178" s="14" t="s">
        <v>387</v>
      </c>
      <c r="G178" s="14" t="s">
        <v>391</v>
      </c>
      <c r="H178" s="16">
        <v>11.28</v>
      </c>
      <c r="I178" s="14" t="s">
        <v>54</v>
      </c>
      <c r="J178" s="16">
        <v>10</v>
      </c>
      <c r="K178" s="14" t="s">
        <v>55</v>
      </c>
      <c r="L178" s="14" t="s">
        <v>56</v>
      </c>
      <c r="M178" s="16" t="s">
        <v>336</v>
      </c>
      <c r="O178" s="16">
        <v>5</v>
      </c>
      <c r="P178" s="16">
        <v>1</v>
      </c>
      <c r="Q178" s="16" t="s">
        <v>43</v>
      </c>
    </row>
    <row r="179" spans="2:17">
      <c r="B179" s="15" t="s">
        <v>337</v>
      </c>
      <c r="C179" s="14" t="s">
        <v>392</v>
      </c>
      <c r="D179" s="5" t="s">
        <v>47</v>
      </c>
      <c r="E179" s="14" t="s">
        <v>48</v>
      </c>
      <c r="F179" s="14" t="s">
        <v>387</v>
      </c>
      <c r="G179" s="14" t="s">
        <v>393</v>
      </c>
      <c r="H179" s="16">
        <v>11.28</v>
      </c>
      <c r="I179" s="14" t="s">
        <v>54</v>
      </c>
      <c r="J179" s="16">
        <v>10</v>
      </c>
      <c r="K179" s="14" t="s">
        <v>55</v>
      </c>
      <c r="L179" s="14" t="s">
        <v>56</v>
      </c>
      <c r="M179" s="16" t="s">
        <v>336</v>
      </c>
      <c r="O179" s="16">
        <v>5</v>
      </c>
      <c r="P179" s="16">
        <v>1</v>
      </c>
      <c r="Q179" s="16" t="s">
        <v>43</v>
      </c>
    </row>
    <row r="180" spans="2:17">
      <c r="B180" s="15" t="s">
        <v>337</v>
      </c>
      <c r="C180" s="14" t="s">
        <v>394</v>
      </c>
      <c r="D180" s="5" t="s">
        <v>47</v>
      </c>
      <c r="E180" s="14" t="s">
        <v>48</v>
      </c>
      <c r="F180" s="14" t="s">
        <v>387</v>
      </c>
      <c r="G180" s="14" t="s">
        <v>395</v>
      </c>
      <c r="H180" s="16">
        <v>11.28</v>
      </c>
      <c r="I180" s="14" t="s">
        <v>54</v>
      </c>
      <c r="J180" s="16">
        <v>10</v>
      </c>
      <c r="K180" s="14" t="s">
        <v>55</v>
      </c>
      <c r="L180" s="14" t="s">
        <v>56</v>
      </c>
      <c r="M180" s="16" t="s">
        <v>336</v>
      </c>
      <c r="O180" s="16">
        <v>5</v>
      </c>
      <c r="P180" s="16">
        <v>1</v>
      </c>
      <c r="Q180" s="16" t="s">
        <v>43</v>
      </c>
    </row>
    <row r="181" spans="2:17">
      <c r="B181" s="15" t="s">
        <v>337</v>
      </c>
      <c r="C181" s="14" t="s">
        <v>396</v>
      </c>
      <c r="D181" s="5" t="s">
        <v>47</v>
      </c>
      <c r="E181" s="14" t="s">
        <v>48</v>
      </c>
      <c r="F181" s="14" t="s">
        <v>387</v>
      </c>
      <c r="G181" s="14" t="s">
        <v>397</v>
      </c>
      <c r="H181" s="16">
        <v>11.28</v>
      </c>
      <c r="I181" s="14" t="s">
        <v>54</v>
      </c>
      <c r="J181" s="16">
        <v>10</v>
      </c>
      <c r="K181" s="14" t="s">
        <v>55</v>
      </c>
      <c r="L181" s="14" t="s">
        <v>56</v>
      </c>
      <c r="M181" s="16" t="s">
        <v>336</v>
      </c>
      <c r="O181" s="16">
        <v>5</v>
      </c>
      <c r="P181" s="16">
        <v>1</v>
      </c>
      <c r="Q181" s="16" t="s">
        <v>43</v>
      </c>
    </row>
    <row r="182" spans="2:17">
      <c r="B182" s="15" t="s">
        <v>337</v>
      </c>
      <c r="C182" s="14" t="s">
        <v>398</v>
      </c>
      <c r="D182" s="5" t="s">
        <v>47</v>
      </c>
      <c r="E182" s="14" t="s">
        <v>48</v>
      </c>
      <c r="F182" s="14" t="s">
        <v>387</v>
      </c>
      <c r="G182" s="14" t="s">
        <v>399</v>
      </c>
      <c r="H182" s="16">
        <v>11.28</v>
      </c>
      <c r="I182" s="14" t="s">
        <v>54</v>
      </c>
      <c r="J182" s="16">
        <v>10</v>
      </c>
      <c r="K182" s="14" t="s">
        <v>55</v>
      </c>
      <c r="L182" s="14" t="s">
        <v>56</v>
      </c>
      <c r="M182" s="16" t="s">
        <v>336</v>
      </c>
      <c r="O182" s="16">
        <v>5</v>
      </c>
      <c r="P182" s="16">
        <v>1</v>
      </c>
      <c r="Q182" s="16" t="s">
        <v>43</v>
      </c>
    </row>
    <row r="183" spans="2:17">
      <c r="B183" s="15" t="s">
        <v>337</v>
      </c>
      <c r="C183" s="14" t="s">
        <v>400</v>
      </c>
      <c r="D183" s="5" t="s">
        <v>47</v>
      </c>
      <c r="E183" s="14" t="s">
        <v>48</v>
      </c>
      <c r="F183" s="14" t="s">
        <v>387</v>
      </c>
      <c r="G183" s="14" t="s">
        <v>401</v>
      </c>
      <c r="H183" s="16">
        <v>11.28</v>
      </c>
      <c r="I183" s="14" t="s">
        <v>54</v>
      </c>
      <c r="J183" s="16">
        <v>10</v>
      </c>
      <c r="K183" s="14" t="s">
        <v>55</v>
      </c>
      <c r="L183" s="14" t="s">
        <v>56</v>
      </c>
      <c r="M183" s="16" t="s">
        <v>336</v>
      </c>
      <c r="O183" s="16">
        <v>5</v>
      </c>
      <c r="P183" s="16">
        <v>1</v>
      </c>
      <c r="Q183" s="16" t="s">
        <v>43</v>
      </c>
    </row>
    <row r="184" spans="2:17">
      <c r="B184" s="15" t="s">
        <v>337</v>
      </c>
      <c r="C184" s="14" t="s">
        <v>402</v>
      </c>
      <c r="D184" s="5" t="s">
        <v>47</v>
      </c>
      <c r="E184" s="14" t="s">
        <v>48</v>
      </c>
      <c r="F184" s="14" t="s">
        <v>387</v>
      </c>
      <c r="G184" s="14" t="s">
        <v>403</v>
      </c>
      <c r="H184" s="16">
        <v>11.28</v>
      </c>
      <c r="I184" s="14" t="s">
        <v>54</v>
      </c>
      <c r="J184" s="16">
        <v>10</v>
      </c>
      <c r="K184" s="14" t="s">
        <v>55</v>
      </c>
      <c r="L184" s="14" t="s">
        <v>56</v>
      </c>
      <c r="M184" s="16" t="s">
        <v>336</v>
      </c>
      <c r="O184" s="16">
        <v>5</v>
      </c>
      <c r="P184" s="16">
        <v>1</v>
      </c>
      <c r="Q184" s="16" t="s">
        <v>43</v>
      </c>
    </row>
    <row r="185" spans="2:17">
      <c r="B185" s="15" t="s">
        <v>337</v>
      </c>
      <c r="C185" s="14" t="s">
        <v>404</v>
      </c>
      <c r="D185" s="5" t="s">
        <v>47</v>
      </c>
      <c r="E185" s="14" t="s">
        <v>48</v>
      </c>
      <c r="F185" s="14" t="s">
        <v>387</v>
      </c>
      <c r="G185" s="14" t="s">
        <v>405</v>
      </c>
      <c r="H185" s="16">
        <v>11.28</v>
      </c>
      <c r="I185" s="14" t="s">
        <v>54</v>
      </c>
      <c r="J185" s="16">
        <v>10</v>
      </c>
      <c r="K185" s="14" t="s">
        <v>55</v>
      </c>
      <c r="L185" s="14" t="s">
        <v>56</v>
      </c>
      <c r="M185" s="16" t="s">
        <v>336</v>
      </c>
      <c r="O185" s="16">
        <v>5</v>
      </c>
      <c r="P185" s="16">
        <v>1</v>
      </c>
      <c r="Q185" s="16" t="s">
        <v>43</v>
      </c>
    </row>
    <row r="186" spans="2:17">
      <c r="B186" s="15" t="s">
        <v>337</v>
      </c>
      <c r="C186" s="14" t="s">
        <v>406</v>
      </c>
      <c r="D186" s="5" t="s">
        <v>47</v>
      </c>
      <c r="E186" s="14" t="s">
        <v>48</v>
      </c>
      <c r="F186" s="14" t="s">
        <v>387</v>
      </c>
      <c r="G186" s="14" t="s">
        <v>407</v>
      </c>
      <c r="H186" s="16">
        <v>11.28</v>
      </c>
      <c r="I186" s="14" t="s">
        <v>54</v>
      </c>
      <c r="J186" s="16">
        <v>10</v>
      </c>
      <c r="K186" s="14" t="s">
        <v>55</v>
      </c>
      <c r="L186" s="14" t="s">
        <v>56</v>
      </c>
      <c r="M186" s="16" t="s">
        <v>336</v>
      </c>
      <c r="O186" s="16">
        <v>5</v>
      </c>
      <c r="P186" s="16">
        <v>1</v>
      </c>
      <c r="Q186" s="16" t="s">
        <v>43</v>
      </c>
    </row>
    <row r="187" spans="2:17">
      <c r="B187" s="15" t="s">
        <v>337</v>
      </c>
      <c r="C187" s="14" t="s">
        <v>408</v>
      </c>
      <c r="D187" s="5" t="s">
        <v>47</v>
      </c>
      <c r="E187" s="14" t="s">
        <v>48</v>
      </c>
      <c r="F187" s="14" t="s">
        <v>387</v>
      </c>
      <c r="G187" s="14" t="s">
        <v>409</v>
      </c>
      <c r="H187" s="16">
        <v>11.28</v>
      </c>
      <c r="I187" s="14" t="s">
        <v>54</v>
      </c>
      <c r="J187" s="16">
        <v>10</v>
      </c>
      <c r="K187" s="14" t="s">
        <v>55</v>
      </c>
      <c r="L187" s="14" t="s">
        <v>56</v>
      </c>
      <c r="M187" s="16" t="s">
        <v>336</v>
      </c>
      <c r="O187" s="16">
        <v>5</v>
      </c>
      <c r="P187" s="16">
        <v>1</v>
      </c>
      <c r="Q187" s="16" t="s">
        <v>43</v>
      </c>
    </row>
    <row r="188" spans="2:17">
      <c r="B188" s="15" t="s">
        <v>337</v>
      </c>
      <c r="C188" s="14" t="s">
        <v>410</v>
      </c>
      <c r="D188" s="5" t="s">
        <v>47</v>
      </c>
      <c r="E188" s="14" t="s">
        <v>48</v>
      </c>
      <c r="F188" s="14" t="s">
        <v>387</v>
      </c>
      <c r="G188" s="14" t="s">
        <v>411</v>
      </c>
      <c r="H188" s="16">
        <v>11.28</v>
      </c>
      <c r="I188" s="14" t="s">
        <v>54</v>
      </c>
      <c r="J188" s="16">
        <v>10</v>
      </c>
      <c r="K188" s="14" t="s">
        <v>55</v>
      </c>
      <c r="L188" s="14" t="s">
        <v>56</v>
      </c>
      <c r="M188" s="16" t="s">
        <v>336</v>
      </c>
      <c r="O188" s="16">
        <v>5</v>
      </c>
      <c r="P188" s="16">
        <v>1</v>
      </c>
      <c r="Q188" s="16" t="s">
        <v>43</v>
      </c>
    </row>
    <row r="189" spans="2:17">
      <c r="B189" s="15" t="s">
        <v>337</v>
      </c>
      <c r="C189" s="14" t="s">
        <v>412</v>
      </c>
      <c r="D189" s="5" t="s">
        <v>47</v>
      </c>
      <c r="E189" s="14" t="s">
        <v>48</v>
      </c>
      <c r="F189" s="14" t="s">
        <v>387</v>
      </c>
      <c r="G189" s="14" t="s">
        <v>413</v>
      </c>
      <c r="H189" s="16">
        <v>11.28</v>
      </c>
      <c r="I189" s="14" t="s">
        <v>54</v>
      </c>
      <c r="J189" s="16">
        <v>10</v>
      </c>
      <c r="K189" s="14" t="s">
        <v>55</v>
      </c>
      <c r="L189" s="14" t="s">
        <v>56</v>
      </c>
      <c r="M189" s="16" t="s">
        <v>336</v>
      </c>
      <c r="O189" s="16">
        <v>5</v>
      </c>
      <c r="P189" s="16">
        <v>1</v>
      </c>
      <c r="Q189" s="16" t="s">
        <v>43</v>
      </c>
    </row>
    <row r="190" spans="2:17">
      <c r="B190" s="15" t="s">
        <v>337</v>
      </c>
      <c r="C190" s="14" t="s">
        <v>414</v>
      </c>
      <c r="D190" s="5" t="s">
        <v>47</v>
      </c>
      <c r="E190" s="14" t="s">
        <v>48</v>
      </c>
      <c r="F190" s="14" t="s">
        <v>387</v>
      </c>
      <c r="G190" s="14" t="s">
        <v>415</v>
      </c>
      <c r="H190" s="16">
        <v>11.28</v>
      </c>
      <c r="I190" s="14" t="s">
        <v>54</v>
      </c>
      <c r="J190" s="16">
        <v>10</v>
      </c>
      <c r="K190" s="14" t="s">
        <v>55</v>
      </c>
      <c r="L190" s="14" t="s">
        <v>56</v>
      </c>
      <c r="M190" s="16" t="s">
        <v>336</v>
      </c>
      <c r="O190" s="16">
        <v>5</v>
      </c>
      <c r="P190" s="16">
        <v>1</v>
      </c>
      <c r="Q190" s="16" t="s">
        <v>43</v>
      </c>
    </row>
    <row r="191" spans="2:17">
      <c r="B191" s="15" t="s">
        <v>337</v>
      </c>
      <c r="C191" s="14" t="s">
        <v>416</v>
      </c>
      <c r="D191" s="5" t="s">
        <v>47</v>
      </c>
      <c r="E191" s="14" t="s">
        <v>48</v>
      </c>
      <c r="F191" s="14" t="s">
        <v>387</v>
      </c>
      <c r="G191" s="14" t="s">
        <v>417</v>
      </c>
      <c r="H191" s="16">
        <v>11.28</v>
      </c>
      <c r="I191" s="14" t="s">
        <v>54</v>
      </c>
      <c r="J191" s="16">
        <v>10</v>
      </c>
      <c r="K191" s="14" t="s">
        <v>55</v>
      </c>
      <c r="L191" s="14" t="s">
        <v>56</v>
      </c>
      <c r="M191" s="16" t="s">
        <v>336</v>
      </c>
      <c r="O191" s="16">
        <v>5</v>
      </c>
      <c r="P191" s="16">
        <v>1</v>
      </c>
      <c r="Q191" s="16" t="s">
        <v>43</v>
      </c>
    </row>
    <row r="192" spans="2:17">
      <c r="B192" s="15" t="s">
        <v>337</v>
      </c>
      <c r="C192" s="14" t="s">
        <v>418</v>
      </c>
      <c r="D192" s="5" t="s">
        <v>47</v>
      </c>
      <c r="E192" s="14" t="s">
        <v>48</v>
      </c>
      <c r="F192" s="14" t="s">
        <v>387</v>
      </c>
      <c r="G192" s="14" t="s">
        <v>419</v>
      </c>
      <c r="H192" s="16">
        <v>11.28</v>
      </c>
      <c r="I192" s="14" t="s">
        <v>54</v>
      </c>
      <c r="J192" s="16">
        <v>10</v>
      </c>
      <c r="K192" s="14" t="s">
        <v>55</v>
      </c>
      <c r="L192" s="14" t="s">
        <v>56</v>
      </c>
      <c r="M192" s="16" t="s">
        <v>336</v>
      </c>
      <c r="O192" s="16">
        <v>5</v>
      </c>
      <c r="P192" s="16">
        <v>1</v>
      </c>
      <c r="Q192" s="16" t="s">
        <v>43</v>
      </c>
    </row>
    <row r="193" spans="2:17">
      <c r="B193" s="15" t="s">
        <v>337</v>
      </c>
      <c r="C193" s="14" t="s">
        <v>420</v>
      </c>
      <c r="D193" s="5" t="s">
        <v>47</v>
      </c>
      <c r="E193" s="14" t="s">
        <v>48</v>
      </c>
      <c r="F193" s="14" t="s">
        <v>387</v>
      </c>
      <c r="G193" s="14" t="s">
        <v>421</v>
      </c>
      <c r="H193" s="16">
        <v>11.28</v>
      </c>
      <c r="I193" s="14" t="s">
        <v>54</v>
      </c>
      <c r="J193" s="16">
        <v>10</v>
      </c>
      <c r="K193" s="14" t="s">
        <v>55</v>
      </c>
      <c r="L193" s="14" t="s">
        <v>56</v>
      </c>
      <c r="M193" s="16" t="s">
        <v>336</v>
      </c>
      <c r="O193" s="16">
        <v>5</v>
      </c>
      <c r="P193" s="16">
        <v>1</v>
      </c>
      <c r="Q193" s="16" t="s">
        <v>43</v>
      </c>
    </row>
    <row r="194" spans="2:17">
      <c r="B194" s="15" t="s">
        <v>337</v>
      </c>
      <c r="C194" s="14" t="s">
        <v>422</v>
      </c>
      <c r="D194" s="5" t="s">
        <v>47</v>
      </c>
      <c r="E194" s="14" t="s">
        <v>48</v>
      </c>
      <c r="F194" s="14" t="s">
        <v>387</v>
      </c>
      <c r="G194" s="14" t="s">
        <v>423</v>
      </c>
      <c r="H194" s="16">
        <v>11.28</v>
      </c>
      <c r="I194" s="14" t="s">
        <v>54</v>
      </c>
      <c r="J194" s="16">
        <v>10</v>
      </c>
      <c r="K194" s="14" t="s">
        <v>55</v>
      </c>
      <c r="L194" s="14" t="s">
        <v>56</v>
      </c>
      <c r="M194" s="16" t="s">
        <v>336</v>
      </c>
      <c r="O194" s="16">
        <v>5</v>
      </c>
      <c r="P194" s="16">
        <v>1</v>
      </c>
      <c r="Q194" s="16" t="s">
        <v>43</v>
      </c>
    </row>
    <row r="195" spans="2:17">
      <c r="B195" s="15" t="s">
        <v>337</v>
      </c>
      <c r="C195" s="14" t="s">
        <v>424</v>
      </c>
      <c r="D195" s="5" t="s">
        <v>47</v>
      </c>
      <c r="E195" s="14" t="s">
        <v>48</v>
      </c>
      <c r="F195" s="14" t="s">
        <v>387</v>
      </c>
      <c r="G195" s="14" t="s">
        <v>425</v>
      </c>
      <c r="H195" s="16">
        <v>11.28</v>
      </c>
      <c r="I195" s="14" t="s">
        <v>54</v>
      </c>
      <c r="J195" s="16">
        <v>10</v>
      </c>
      <c r="K195" s="14" t="s">
        <v>55</v>
      </c>
      <c r="L195" s="14" t="s">
        <v>56</v>
      </c>
      <c r="M195" s="16" t="s">
        <v>336</v>
      </c>
      <c r="O195" s="16">
        <v>5</v>
      </c>
      <c r="P195" s="16">
        <v>1</v>
      </c>
      <c r="Q195" s="16" t="s">
        <v>43</v>
      </c>
    </row>
    <row r="196" spans="2:17">
      <c r="B196" s="15" t="s">
        <v>337</v>
      </c>
      <c r="C196" s="14" t="s">
        <v>426</v>
      </c>
      <c r="D196" s="5" t="s">
        <v>47</v>
      </c>
      <c r="E196" s="14" t="s">
        <v>48</v>
      </c>
      <c r="F196" s="14" t="s">
        <v>387</v>
      </c>
      <c r="G196" s="14" t="s">
        <v>427</v>
      </c>
      <c r="H196" s="16">
        <v>11.28</v>
      </c>
      <c r="I196" s="14" t="s">
        <v>54</v>
      </c>
      <c r="J196" s="16">
        <v>10</v>
      </c>
      <c r="K196" s="14" t="s">
        <v>55</v>
      </c>
      <c r="L196" s="14" t="s">
        <v>56</v>
      </c>
      <c r="M196" s="16" t="s">
        <v>336</v>
      </c>
      <c r="O196" s="16">
        <v>5</v>
      </c>
      <c r="P196" s="16">
        <v>1</v>
      </c>
      <c r="Q196" s="16" t="s">
        <v>43</v>
      </c>
    </row>
    <row r="197" spans="2:17">
      <c r="B197" s="15" t="s">
        <v>337</v>
      </c>
      <c r="C197" s="14" t="s">
        <v>428</v>
      </c>
      <c r="D197" s="5" t="s">
        <v>47</v>
      </c>
      <c r="E197" s="14" t="s">
        <v>48</v>
      </c>
      <c r="F197" s="14" t="s">
        <v>387</v>
      </c>
      <c r="G197" s="14" t="s">
        <v>429</v>
      </c>
      <c r="H197" s="16">
        <v>11.28</v>
      </c>
      <c r="I197" s="14" t="s">
        <v>54</v>
      </c>
      <c r="J197" s="16">
        <v>10</v>
      </c>
      <c r="K197" s="14" t="s">
        <v>55</v>
      </c>
      <c r="L197" s="14" t="s">
        <v>56</v>
      </c>
      <c r="M197" s="16" t="s">
        <v>336</v>
      </c>
      <c r="O197" s="16">
        <v>5</v>
      </c>
      <c r="P197" s="16">
        <v>1</v>
      </c>
      <c r="Q197" s="16" t="s">
        <v>43</v>
      </c>
    </row>
    <row r="198" spans="2:17">
      <c r="B198" s="15" t="s">
        <v>337</v>
      </c>
      <c r="C198" s="14" t="s">
        <v>430</v>
      </c>
      <c r="D198" s="5" t="s">
        <v>47</v>
      </c>
      <c r="E198" s="14" t="s">
        <v>48</v>
      </c>
      <c r="F198" s="14" t="s">
        <v>387</v>
      </c>
      <c r="G198" s="14" t="s">
        <v>431</v>
      </c>
      <c r="H198" s="16">
        <v>11.28</v>
      </c>
      <c r="I198" s="14" t="s">
        <v>54</v>
      </c>
      <c r="J198" s="16">
        <v>10</v>
      </c>
      <c r="K198" s="14" t="s">
        <v>55</v>
      </c>
      <c r="L198" s="14" t="s">
        <v>56</v>
      </c>
      <c r="M198" s="16" t="s">
        <v>336</v>
      </c>
      <c r="O198" s="16">
        <v>5</v>
      </c>
      <c r="P198" s="16">
        <v>1</v>
      </c>
      <c r="Q198" s="16" t="s">
        <v>43</v>
      </c>
    </row>
    <row r="199" spans="2:17">
      <c r="B199" s="15"/>
      <c r="D199" s="5"/>
      <c r="H199" s="16"/>
      <c r="J199" s="16"/>
    </row>
    <row r="200" spans="2:17">
      <c r="B200" s="15" t="s">
        <v>50</v>
      </c>
      <c r="C200" s="14" t="s">
        <v>64</v>
      </c>
      <c r="D200" s="5" t="s">
        <v>47</v>
      </c>
      <c r="E200" s="14" t="s">
        <v>48</v>
      </c>
      <c r="F200" s="14" t="s">
        <v>432</v>
      </c>
      <c r="H200" s="16">
        <v>119.03999999999998</v>
      </c>
      <c r="J200" s="16">
        <v>80</v>
      </c>
    </row>
    <row r="201" spans="2:17">
      <c r="B201" s="15" t="s">
        <v>337</v>
      </c>
      <c r="C201" s="14" t="s">
        <v>433</v>
      </c>
      <c r="D201" s="5" t="s">
        <v>47</v>
      </c>
      <c r="E201" s="14" t="s">
        <v>48</v>
      </c>
      <c r="F201" s="14" t="s">
        <v>432</v>
      </c>
      <c r="G201" s="14" t="s">
        <v>434</v>
      </c>
      <c r="H201" s="16">
        <v>14.879999999999999</v>
      </c>
      <c r="I201" s="14" t="s">
        <v>54</v>
      </c>
      <c r="J201" s="16">
        <v>10</v>
      </c>
      <c r="K201" s="14" t="s">
        <v>55</v>
      </c>
      <c r="L201" s="14" t="s">
        <v>56</v>
      </c>
      <c r="M201" s="16" t="s">
        <v>336</v>
      </c>
      <c r="O201" s="16">
        <v>5</v>
      </c>
      <c r="P201" s="16">
        <v>1</v>
      </c>
      <c r="Q201" s="16" t="s">
        <v>43</v>
      </c>
    </row>
    <row r="202" spans="2:17">
      <c r="B202" s="15" t="s">
        <v>337</v>
      </c>
      <c r="C202" s="14" t="s">
        <v>435</v>
      </c>
      <c r="D202" s="5" t="s">
        <v>47</v>
      </c>
      <c r="E202" s="14" t="s">
        <v>48</v>
      </c>
      <c r="F202" s="14" t="s">
        <v>432</v>
      </c>
      <c r="G202" s="14" t="s">
        <v>436</v>
      </c>
      <c r="H202" s="16">
        <v>14.879999999999999</v>
      </c>
      <c r="I202" s="14" t="s">
        <v>54</v>
      </c>
      <c r="J202" s="16">
        <v>10</v>
      </c>
      <c r="K202" s="14" t="s">
        <v>55</v>
      </c>
      <c r="L202" s="14" t="s">
        <v>56</v>
      </c>
      <c r="M202" s="16" t="s">
        <v>336</v>
      </c>
      <c r="O202" s="16">
        <v>5</v>
      </c>
      <c r="P202" s="16">
        <v>1</v>
      </c>
      <c r="Q202" s="16" t="s">
        <v>43</v>
      </c>
    </row>
    <row r="203" spans="2:17">
      <c r="B203" s="15" t="s">
        <v>337</v>
      </c>
      <c r="C203" s="14" t="s">
        <v>437</v>
      </c>
      <c r="D203" s="5" t="s">
        <v>47</v>
      </c>
      <c r="E203" s="14" t="s">
        <v>48</v>
      </c>
      <c r="F203" s="14" t="s">
        <v>432</v>
      </c>
      <c r="G203" s="14" t="s">
        <v>438</v>
      </c>
      <c r="H203" s="16">
        <v>14.879999999999999</v>
      </c>
      <c r="I203" s="14" t="s">
        <v>54</v>
      </c>
      <c r="J203" s="16">
        <v>10</v>
      </c>
      <c r="K203" s="14" t="s">
        <v>55</v>
      </c>
      <c r="L203" s="14" t="s">
        <v>56</v>
      </c>
      <c r="M203" s="16" t="s">
        <v>336</v>
      </c>
      <c r="O203" s="16">
        <v>5</v>
      </c>
      <c r="P203" s="16">
        <v>1</v>
      </c>
      <c r="Q203" s="16" t="s">
        <v>43</v>
      </c>
    </row>
    <row r="204" spans="2:17">
      <c r="B204" s="15" t="s">
        <v>337</v>
      </c>
      <c r="C204" s="14" t="s">
        <v>439</v>
      </c>
      <c r="D204" s="5" t="s">
        <v>47</v>
      </c>
      <c r="E204" s="14" t="s">
        <v>48</v>
      </c>
      <c r="F204" s="14" t="s">
        <v>432</v>
      </c>
      <c r="G204" s="14" t="s">
        <v>440</v>
      </c>
      <c r="H204" s="16">
        <v>14.879999999999999</v>
      </c>
      <c r="I204" s="14" t="s">
        <v>54</v>
      </c>
      <c r="J204" s="16">
        <v>10</v>
      </c>
      <c r="K204" s="14" t="s">
        <v>55</v>
      </c>
      <c r="L204" s="14" t="s">
        <v>56</v>
      </c>
      <c r="M204" s="16" t="s">
        <v>336</v>
      </c>
      <c r="O204" s="16">
        <v>5</v>
      </c>
      <c r="P204" s="16">
        <v>1</v>
      </c>
      <c r="Q204" s="16" t="s">
        <v>43</v>
      </c>
    </row>
    <row r="205" spans="2:17">
      <c r="B205" s="15" t="s">
        <v>337</v>
      </c>
      <c r="C205" s="14" t="s">
        <v>441</v>
      </c>
      <c r="D205" s="5" t="s">
        <v>47</v>
      </c>
      <c r="E205" s="14" t="s">
        <v>48</v>
      </c>
      <c r="F205" s="14" t="s">
        <v>432</v>
      </c>
      <c r="G205" s="14" t="s">
        <v>442</v>
      </c>
      <c r="H205" s="16">
        <v>14.879999999999999</v>
      </c>
      <c r="I205" s="14" t="s">
        <v>54</v>
      </c>
      <c r="J205" s="16">
        <v>10</v>
      </c>
      <c r="K205" s="14" t="s">
        <v>55</v>
      </c>
      <c r="L205" s="14" t="s">
        <v>56</v>
      </c>
      <c r="M205" s="16" t="s">
        <v>336</v>
      </c>
      <c r="O205" s="16">
        <v>5</v>
      </c>
      <c r="P205" s="16">
        <v>1</v>
      </c>
      <c r="Q205" s="16" t="s">
        <v>43</v>
      </c>
    </row>
    <row r="206" spans="2:17">
      <c r="B206" s="15" t="s">
        <v>337</v>
      </c>
      <c r="C206" s="14" t="s">
        <v>443</v>
      </c>
      <c r="D206" s="5" t="s">
        <v>47</v>
      </c>
      <c r="E206" s="14" t="s">
        <v>48</v>
      </c>
      <c r="F206" s="14" t="s">
        <v>432</v>
      </c>
      <c r="G206" s="14" t="s">
        <v>444</v>
      </c>
      <c r="H206" s="16">
        <v>14.879999999999999</v>
      </c>
      <c r="I206" s="14" t="s">
        <v>54</v>
      </c>
      <c r="J206" s="16">
        <v>10</v>
      </c>
      <c r="K206" s="14" t="s">
        <v>55</v>
      </c>
      <c r="L206" s="14" t="s">
        <v>56</v>
      </c>
      <c r="M206" s="16" t="s">
        <v>336</v>
      </c>
      <c r="O206" s="16">
        <v>5</v>
      </c>
      <c r="P206" s="16">
        <v>1</v>
      </c>
      <c r="Q206" s="16" t="s">
        <v>43</v>
      </c>
    </row>
    <row r="207" spans="2:17">
      <c r="B207" s="15" t="s">
        <v>337</v>
      </c>
      <c r="C207" s="14" t="s">
        <v>445</v>
      </c>
      <c r="D207" s="5" t="s">
        <v>47</v>
      </c>
      <c r="E207" s="14" t="s">
        <v>48</v>
      </c>
      <c r="F207" s="14" t="s">
        <v>432</v>
      </c>
      <c r="G207" s="14" t="s">
        <v>446</v>
      </c>
      <c r="H207" s="16">
        <v>14.879999999999999</v>
      </c>
      <c r="I207" s="14" t="s">
        <v>54</v>
      </c>
      <c r="J207" s="16">
        <v>10</v>
      </c>
      <c r="K207" s="14" t="s">
        <v>55</v>
      </c>
      <c r="L207" s="14" t="s">
        <v>56</v>
      </c>
      <c r="M207" s="16" t="s">
        <v>336</v>
      </c>
      <c r="O207" s="16">
        <v>5</v>
      </c>
      <c r="P207" s="16">
        <v>1</v>
      </c>
      <c r="Q207" s="16" t="s">
        <v>43</v>
      </c>
    </row>
    <row r="208" spans="2:17">
      <c r="B208" s="15" t="s">
        <v>337</v>
      </c>
      <c r="C208" s="14" t="s">
        <v>447</v>
      </c>
      <c r="D208" s="5" t="s">
        <v>47</v>
      </c>
      <c r="E208" s="14" t="s">
        <v>48</v>
      </c>
      <c r="F208" s="14" t="s">
        <v>432</v>
      </c>
      <c r="G208" s="14" t="s">
        <v>448</v>
      </c>
      <c r="H208" s="16">
        <v>14.879999999999999</v>
      </c>
      <c r="I208" s="14" t="s">
        <v>54</v>
      </c>
      <c r="J208" s="16">
        <v>10</v>
      </c>
      <c r="K208" s="14" t="s">
        <v>55</v>
      </c>
      <c r="L208" s="14" t="s">
        <v>56</v>
      </c>
      <c r="M208" s="16" t="s">
        <v>336</v>
      </c>
      <c r="O208" s="16">
        <v>5</v>
      </c>
      <c r="P208" s="16">
        <v>1</v>
      </c>
      <c r="Q208" s="16" t="s">
        <v>43</v>
      </c>
    </row>
  </sheetData>
  <mergeCells count="4">
    <mergeCell ref="N56:N145"/>
    <mergeCell ref="O56:O145"/>
    <mergeCell ref="P56:P145"/>
    <mergeCell ref="Q56:Q145"/>
  </mergeCells>
  <phoneticPr fontId="7" type="noConversion"/>
  <dataValidations count="3">
    <dataValidation type="list" allowBlank="1" showInputMessage="1" showErrorMessage="1" sqref="M5 M22 L201:L208 L56:L145 L177:L199 L148:L175 M29 L36:M36 L5:L35 L37:L48 M43 L50:L54" xr:uid="{6946AF22-594A-4933-8AAA-E235BF5CCC87}">
      <formula1>"STORE, SILO"</formula1>
    </dataValidation>
    <dataValidation type="list" allowBlank="1" showInputMessage="1" showErrorMessage="1" sqref="B50:B54 B5:B48 B56:B208" xr:uid="{2FA17349-C223-4530-8144-09D621618380}">
      <formula1>"MAIN FARM, SHED/HOUSE, PEN, CRATE, STORE, QUARANTINE, SILO"</formula1>
    </dataValidation>
    <dataValidation type="list" allowBlank="1" showInputMessage="1" showErrorMessage="1" sqref="I201:I208 I5:I48 I50:I54 I56:I199" xr:uid="{51328115-0052-4394-BD3F-F207C3F7DA46}">
      <formula1>"M2-Square Meter, FT2-Square Foot, YD2- Square Yard, ACRE, HECTARE"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1E76B-C8F2-48A1-8450-8E98A485475D}"/>
</file>

<file path=customXml/itemProps2.xml><?xml version="1.0" encoding="utf-8"?>
<ds:datastoreItem xmlns:ds="http://schemas.openxmlformats.org/officeDocument/2006/customXml" ds:itemID="{39396477-28A1-4F38-800E-243741986010}"/>
</file>

<file path=customXml/itemProps3.xml><?xml version="1.0" encoding="utf-8"?>
<ds:datastoreItem xmlns:ds="http://schemas.openxmlformats.org/officeDocument/2006/customXml" ds:itemID="{759C754C-6682-4D3F-B795-CC161A1E2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Wilson Sibanda</cp:lastModifiedBy>
  <cp:revision/>
  <dcterms:created xsi:type="dcterms:W3CDTF">2026-08-18T06:51:01Z</dcterms:created>
  <dcterms:modified xsi:type="dcterms:W3CDTF">2026-09-10T07:54:40Z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