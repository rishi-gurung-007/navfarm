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PortaMasterTemplates/"/>
    </mc:Choice>
  </mc:AlternateContent>
  <xr:revisionPtr revIDLastSave="38" documentId="8_{0D4763F2-FEDC-4CF6-9E9B-21F51064C30A}" xr6:coauthVersionLast="47" xr6:coauthVersionMax="47" xr10:uidLastSave="{35986A77-5089-40CC-BBFC-C6C9726759C2}"/>
  <bookViews>
    <workbookView xWindow="-108" yWindow="-108" windowWidth="23256" windowHeight="13896" xr2:uid="{81873A3B-85A7-4A1B-B700-8442B273DBD0}"/>
  </bookViews>
  <sheets>
    <sheet name="Animal Register" sheetId="2" r:id="rId1"/>
    <sheet name="Sheet1" sheetId="3" r:id="rId2"/>
    <sheet name=" Breeding Record" sheetId="1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7" i="2" l="1"/>
  <c r="AN8" i="2"/>
  <c r="AN9" i="2"/>
  <c r="AN10" i="2"/>
  <c r="AN11" i="2"/>
  <c r="AN12" i="2"/>
  <c r="AN13" i="2"/>
  <c r="AN14" i="2"/>
  <c r="AN6" i="2"/>
  <c r="AA12" i="2"/>
  <c r="AA10" i="2"/>
  <c r="AA8" i="2"/>
  <c r="AB7" i="2"/>
  <c r="AC7" i="2"/>
  <c r="AA7" i="2" s="1"/>
  <c r="AD7" i="2"/>
  <c r="AE7" i="2" s="1"/>
  <c r="AB8" i="2"/>
  <c r="AC8" i="2"/>
  <c r="AD8" i="2"/>
  <c r="AE8" i="2"/>
  <c r="AB9" i="2"/>
  <c r="AC9" i="2"/>
  <c r="AA9" i="2" s="1"/>
  <c r="AD9" i="2"/>
  <c r="AE9" i="2"/>
  <c r="AB10" i="2"/>
  <c r="AC10" i="2"/>
  <c r="AD10" i="2" s="1"/>
  <c r="AE10" i="2" s="1"/>
  <c r="AB11" i="2"/>
  <c r="AC11" i="2"/>
  <c r="AA11" i="2" s="1"/>
  <c r="AD11" i="2"/>
  <c r="AE11" i="2"/>
  <c r="AB12" i="2"/>
  <c r="AC12" i="2"/>
  <c r="AD12" i="2"/>
  <c r="AE12" i="2"/>
  <c r="AB13" i="2"/>
  <c r="AC13" i="2" s="1"/>
  <c r="AB14" i="2"/>
  <c r="AC14" i="2"/>
  <c r="AA14" i="2" s="1"/>
  <c r="AD14" i="2"/>
  <c r="AE14" i="2"/>
  <c r="AB6" i="2"/>
  <c r="R7" i="2"/>
  <c r="T7" i="2" s="1"/>
  <c r="R8" i="2"/>
  <c r="T8" i="2"/>
  <c r="R9" i="2"/>
  <c r="T9" i="2"/>
  <c r="R10" i="2"/>
  <c r="T10" i="2"/>
  <c r="R11" i="2"/>
  <c r="T11" i="2"/>
  <c r="R12" i="2"/>
  <c r="T12" i="2"/>
  <c r="R13" i="2"/>
  <c r="T13" i="2"/>
  <c r="R14" i="2"/>
  <c r="T14" i="2" s="1"/>
  <c r="T6" i="2"/>
  <c r="R6" i="2"/>
  <c r="AT14" i="2"/>
  <c r="AP14" i="2"/>
  <c r="AQ14" i="2"/>
  <c r="AR14" i="2"/>
  <c r="AS14" i="2"/>
  <c r="AO14" i="2"/>
  <c r="AQ6" i="2"/>
  <c r="AR6" i="2"/>
  <c r="AS6" i="2"/>
  <c r="AP6" i="2"/>
  <c r="AO6" i="2"/>
  <c r="AS2" i="2"/>
  <c r="AT2" i="2"/>
  <c r="AQ2" i="2"/>
  <c r="AR2" i="2"/>
  <c r="AP2" i="2"/>
  <c r="AO2" i="2"/>
  <c r="AD13" i="2" l="1"/>
  <c r="AE13" i="2" s="1"/>
  <c r="AA13" i="2"/>
  <c r="K15" i="1"/>
  <c r="L15" i="1"/>
  <c r="C15" i="1"/>
  <c r="B15" i="1"/>
  <c r="Z14" i="2"/>
  <c r="AF14" i="2"/>
  <c r="AG14" i="2" s="1"/>
  <c r="M14" i="2"/>
  <c r="O14" i="2" s="1"/>
  <c r="G14" i="2"/>
  <c r="I14" i="2" s="1"/>
  <c r="I11" i="1"/>
  <c r="L11" i="1" s="1"/>
  <c r="B11" i="1"/>
  <c r="AF12" i="2"/>
  <c r="AG12" i="2" s="1"/>
  <c r="I13" i="1"/>
  <c r="L13" i="1" s="1"/>
  <c r="C13" i="1"/>
  <c r="B13" i="1"/>
  <c r="M12" i="2"/>
  <c r="O12" i="2" s="1"/>
  <c r="J15" i="1" l="1"/>
  <c r="K11" i="1"/>
  <c r="J13" i="1"/>
  <c r="I12" i="2" l="1"/>
  <c r="G12" i="2"/>
  <c r="K13" i="1"/>
  <c r="AF10" i="2" l="1"/>
  <c r="AG10" i="2" s="1"/>
  <c r="M10" i="2"/>
  <c r="O10" i="2" s="1"/>
  <c r="I10" i="2"/>
  <c r="G10" i="2"/>
  <c r="I9" i="1"/>
  <c r="L9" i="1" s="1"/>
  <c r="B9" i="1"/>
  <c r="AG6" i="2"/>
  <c r="AF8" i="2"/>
  <c r="AG8" i="2" s="1"/>
  <c r="M8" i="2"/>
  <c r="O8" i="2" s="1"/>
  <c r="I8" i="2"/>
  <c r="G8" i="2"/>
  <c r="L7" i="1"/>
  <c r="K7" i="1"/>
  <c r="J7" i="1"/>
  <c r="AF6" i="2"/>
  <c r="Y6" i="2"/>
  <c r="M6" i="2"/>
  <c r="O6" i="2" s="1"/>
  <c r="G6" i="2"/>
  <c r="I6" i="2" s="1"/>
  <c r="K9" i="1" l="1"/>
  <c r="AC6" i="2" l="1"/>
  <c r="AA6" i="2" s="1"/>
  <c r="AD6" i="2" l="1"/>
  <c r="AE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tc={55DCC0CD-C908-47B8-8BBA-657CB1846A01}</author>
    <author>tc={979F9B28-274E-4418-85B0-A4E06318ABAE}</author>
  </authors>
  <commentList>
    <comment ref="AC8" authorId="0" shapeId="0" xr:uid="{55DCC0CD-C908-47B8-8BBA-657CB1846A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Confirm with Finance/Accounts.
</t>
      </text>
    </comment>
    <comment ref="B12" authorId="1" shapeId="0" xr:uid="{979F9B28-274E-4418-85B0-A4E06318AB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See P2975 SOW CARDS FOLDER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7B3403-1A82-46CB-A4F1-8356F1C461E5}" keepAlive="1" name="Query - P2975 pdf" description="Connection to the 'P2975 pdf' query in the workbook." type="5" refreshedVersion="0" background="1" saveData="1">
    <dbPr connection="Provider=Microsoft.Mashup.OleDb.1;Data Source=$Workbook$;Location=&quot;P2975 pdf&quot;;Extended Properties=&quot;&quot;" command="SELECT * FROM [P2975 pdf]"/>
  </connection>
</connections>
</file>

<file path=xl/sharedStrings.xml><?xml version="1.0" encoding="utf-8"?>
<sst xmlns="http://schemas.openxmlformats.org/spreadsheetml/2006/main" count="347" uniqueCount="212">
  <si>
    <t>Field Name</t>
  </si>
  <si>
    <t>Animal Code</t>
  </si>
  <si>
    <t>Animal Type</t>
  </si>
  <si>
    <t>Breed</t>
  </si>
  <si>
    <t>Gender</t>
  </si>
  <si>
    <t>Date of Birth</t>
  </si>
  <si>
    <t>Age at Entry Weeks</t>
  </si>
  <si>
    <t>Entry Type</t>
  </si>
  <si>
    <t>Entry Date</t>
  </si>
  <si>
    <t>Source GRN</t>
  </si>
  <si>
    <t>Source Batch Born From</t>
  </si>
  <si>
    <t>Animal Item</t>
  </si>
  <si>
    <t>Serial Number</t>
  </si>
  <si>
    <t>RFID Tag</t>
  </si>
  <si>
    <t>Ear Tag Visual</t>
  </si>
  <si>
    <t>Sire Father</t>
  </si>
  <si>
    <t>Dam Mother</t>
  </si>
  <si>
    <t>Acquisition Cost</t>
  </si>
  <si>
    <t>Landing Cost</t>
  </si>
  <si>
    <t>Total Opening Asset Value</t>
  </si>
  <si>
    <t>Current Stage</t>
  </si>
  <si>
    <t>Current Active Batch</t>
  </si>
  <si>
    <t>Current Location</t>
  </si>
  <si>
    <t>Parity Count</t>
  </si>
  <si>
    <t>Total Piglets Born Live</t>
  </si>
  <si>
    <t>Total Piglets Weaned</t>
  </si>
  <si>
    <t>Current Bio Asset Value</t>
  </si>
  <si>
    <t>Total Amortised</t>
  </si>
  <si>
    <t>Book Value NBV</t>
  </si>
  <si>
    <t>Residual Value</t>
  </si>
  <si>
    <t>Monthly Amortisation</t>
  </si>
  <si>
    <t>Productive Life Start Date</t>
  </si>
  <si>
    <t>Expected Cull Date</t>
  </si>
  <si>
    <t>Status</t>
  </si>
  <si>
    <t>Disposal Date</t>
  </si>
  <si>
    <t>Disposal Type</t>
  </si>
  <si>
    <t>Nos. of Teats</t>
  </si>
  <si>
    <t>TSI</t>
  </si>
  <si>
    <t xml:space="preserve">Grading </t>
  </si>
  <si>
    <t xml:space="preserve">Bio Asset Value </t>
  </si>
  <si>
    <t>Description</t>
  </si>
  <si>
    <t>Auto-generated from No. Series ANIMAL_PIGGERY. Format: PIG-YYYY-SEQ.</t>
  </si>
  <si>
    <t>SOW / BOAR / GILT / PIGLET / COMMERCIAL_PIG</t>
  </si>
  <si>
    <t>Animal breed. Lookup from breed_master filtered by NOB and LOB.</t>
  </si>
  <si>
    <t>F = Female Sow or Gilt. M = Male Boar.</t>
  </si>
  <si>
    <t>Date of birth if born on this farm. NULL if imported and DOB unknown.</t>
  </si>
  <si>
    <t>Computed from dob and entry_date. Manual entry if imported and DOB unknown.</t>
  </si>
  <si>
    <t>PURCHASED_IMPORTED / PURCHASED_LOCAL / BORN_ON_FARM / TRANSFERRED_IN</t>
  </si>
  <si>
    <t>Date animal arrived or was born on this farm.</t>
  </si>
  <si>
    <t>GRN on which this animal arrived. Required if entry_type = PURCHASED.</t>
  </si>
  <si>
    <t>Farrowing batch that produced this animal. Required if entry_type = BORN_ON_FARM.</t>
  </si>
  <si>
    <t>Lookup to item_master for this animal type LIVING_ASSET. Links inventory and costing.</t>
  </si>
  <si>
    <t>Individual serial number from item_lot_serials. Created on GRN POST.</t>
  </si>
  <si>
    <t>RFID ear tag number for scanning. UNIQUE if set.</t>
  </si>
  <si>
    <t>Visual ear tag number.</t>
  </si>
  <si>
    <t>Father boar. Self-referential FK. Links to boar record.</t>
  </si>
  <si>
    <t>Mother sow. Self-referential FK.</t>
  </si>
  <si>
    <t>Purchase price per animal. From PO line or manual entry on GRN.</t>
  </si>
  <si>
    <t>Transport import duty quarantine charges per head for imported animals.</t>
  </si>
  <si>
    <t>Total bio-asset value at entry. Auto-computed.</t>
  </si>
  <si>
    <t>QUARANTINE / GILT_GROWER / FLUSH / DRY_SOW / GESTATION / FARROWING / WEANING / PRODUCTIVE_SOW / BOAR_AI / CULLED / DEAD / SOLD / SLAUGHTERED</t>
  </si>
  <si>
    <t>FK to the batch this animal is currently in.</t>
  </si>
  <si>
    <t>FK to current shed or pen.</t>
  </si>
  <si>
    <t>Completed pregnancies. Incremented plus 1 on each weaning batch close.</t>
  </si>
  <si>
    <t>Cumulative live births over lifetime.</t>
  </si>
  <si>
    <t>Cumulative piglets weaned over lifetime.</t>
  </si>
  <si>
    <t>Live biological asset value. Auto-updated from bio_asset_ledger.</t>
  </si>
  <si>
    <t>Cumulative amortisation posted to date.</t>
  </si>
  <si>
    <t>Net Book Value = Current Bio Asset Value minus Total Amortised.</t>
  </si>
  <si>
    <t>Estimated salvage value at end of productive life.</t>
  </si>
  <si>
    <t>Monthly amortisation charge. Auto-calculated.</t>
  </si>
  <si>
    <t>Date animal entered productive stage first farrowing or PRODUCTIVE_SOW status.</t>
  </si>
  <si>
    <t>Expected disposal date based on productive life.</t>
  </si>
  <si>
    <t>ACTIVE / QUARANTINE / SICK / PREGNANT / LACTATING / DRY / CULLED / DEAD / SOLD / SLAUGHTERED</t>
  </si>
  <si>
    <t>Date of sale slaughter or death.</t>
  </si>
  <si>
    <t>SOLD / SLAUGHTERED / DIED / TRANSFERRED</t>
  </si>
  <si>
    <t>Count of Teates</t>
  </si>
  <si>
    <t>Featched from Topigs</t>
  </si>
  <si>
    <t>Flow from Navfarm Input  (Back Fat - P2 measurement)</t>
  </si>
  <si>
    <t>Non Current Asset/Flow from from BC</t>
  </si>
  <si>
    <t>Example Value</t>
  </si>
  <si>
    <t>PIG-2025-0001</t>
  </si>
  <si>
    <t>SOW</t>
  </si>
  <si>
    <t>uuid-breed-01</t>
  </si>
  <si>
    <t>F</t>
  </si>
  <si>
    <t>2024-10-01</t>
  </si>
  <si>
    <t>3</t>
  </si>
  <si>
    <t>PURCHASED_IMPORTED</t>
  </si>
  <si>
    <t>2025-01-15</t>
  </si>
  <si>
    <t>uuid-grn-001</t>
  </si>
  <si>
    <t>uuid-batch-farr-001</t>
  </si>
  <si>
    <t>uuid-item-gilt</t>
  </si>
  <si>
    <t>uuid-ls-001</t>
  </si>
  <si>
    <t>RFID-PIG-001234</t>
  </si>
  <si>
    <t>ET-2025-001</t>
  </si>
  <si>
    <t>uuid-ani-boar-001</t>
  </si>
  <si>
    <t>uuid-ani-sow-001</t>
  </si>
  <si>
    <t>2857.5700</t>
  </si>
  <si>
    <t>200.0000</t>
  </si>
  <si>
    <t>3057.5700</t>
  </si>
  <si>
    <t>QUARANTINE</t>
  </si>
  <si>
    <t>uuid-batch-gest-001</t>
  </si>
  <si>
    <t>uuid-loc-pen-01a</t>
  </si>
  <si>
    <t>2</t>
  </si>
  <si>
    <t>23</t>
  </si>
  <si>
    <t>21</t>
  </si>
  <si>
    <t>3843.5700</t>
  </si>
  <si>
    <t>3643.5700</t>
  </si>
  <si>
    <t>305.7600</t>
  </si>
  <si>
    <t>84.9400</t>
  </si>
  <si>
    <t>2025-08-01</t>
  </si>
  <si>
    <t>2028-08-01</t>
  </si>
  <si>
    <t>ACTIVE</t>
  </si>
  <si>
    <t>2028-09-01</t>
  </si>
  <si>
    <t>SOLD</t>
  </si>
  <si>
    <t>Mandatory</t>
  </si>
  <si>
    <t>YES</t>
  </si>
  <si>
    <t>NO</t>
  </si>
  <si>
    <t>COND</t>
  </si>
  <si>
    <t xml:space="preserve">Yes </t>
  </si>
  <si>
    <t>Yes</t>
  </si>
  <si>
    <t>DLNA8228</t>
  </si>
  <si>
    <t>Sow</t>
  </si>
  <si>
    <t>TN70</t>
  </si>
  <si>
    <t>Imported</t>
  </si>
  <si>
    <t>N/A</t>
  </si>
  <si>
    <t>Directly Imported for Farm</t>
  </si>
  <si>
    <t>Living asset</t>
  </si>
  <si>
    <t>n/a</t>
  </si>
  <si>
    <t>NB6471</t>
  </si>
  <si>
    <t>PRODUCTIVE SOW</t>
  </si>
  <si>
    <t>WEEK 32</t>
  </si>
  <si>
    <t>DRY SOW</t>
  </si>
  <si>
    <t>LACTATING</t>
  </si>
  <si>
    <t>Date of disposal</t>
  </si>
  <si>
    <t>get from Multiplier</t>
  </si>
  <si>
    <t>P26302</t>
  </si>
  <si>
    <t>Gilt</t>
  </si>
  <si>
    <t>Purchased local</t>
  </si>
  <si>
    <t>Living Asset</t>
  </si>
  <si>
    <t>CU3647</t>
  </si>
  <si>
    <t>Gestation</t>
  </si>
  <si>
    <t>Week 26</t>
  </si>
  <si>
    <t>Dry Sow</t>
  </si>
  <si>
    <t>Pregnant</t>
  </si>
  <si>
    <t>Date</t>
  </si>
  <si>
    <t>P25003</t>
  </si>
  <si>
    <t>CU3649</t>
  </si>
  <si>
    <t>Week 20</t>
  </si>
  <si>
    <t>Actual Date</t>
  </si>
  <si>
    <t>P2975</t>
  </si>
  <si>
    <t>Get from Multiplier</t>
  </si>
  <si>
    <t>WEANING</t>
  </si>
  <si>
    <t>FARROWING</t>
  </si>
  <si>
    <t>NB0552</t>
  </si>
  <si>
    <t>WEEK 33</t>
  </si>
  <si>
    <t>PREGNANT</t>
  </si>
  <si>
    <t xml:space="preserve"> </t>
  </si>
  <si>
    <t>APPROVAL SECTION</t>
  </si>
  <si>
    <t>Compiled By:</t>
  </si>
  <si>
    <t>Reviewed and Approved</t>
  </si>
  <si>
    <t>General Manager - Johan Odendaal</t>
  </si>
  <si>
    <t>Approved By:</t>
  </si>
  <si>
    <t>Chief Executive Officer - Ian Kennaird</t>
  </si>
  <si>
    <t>Date:</t>
  </si>
  <si>
    <t>Breeding Record - AI or mating event per sow with semen lot pregnancy check and expected farrowing date, Just req data for the understanding, later stage.</t>
  </si>
  <si>
    <t>Tag Number</t>
  </si>
  <si>
    <t>Batch</t>
  </si>
  <si>
    <t>Mating Type</t>
  </si>
  <si>
    <t>Boar</t>
  </si>
  <si>
    <t>Semen Lot</t>
  </si>
  <si>
    <t>Semen Dose Qty</t>
  </si>
  <si>
    <t>Mating Date</t>
  </si>
  <si>
    <t>Second Mating Date</t>
  </si>
  <si>
    <t>Expected Farrowing Date</t>
  </si>
  <si>
    <t>Pregnancy Check Date</t>
  </si>
  <si>
    <t>Pregnancy Check Method</t>
  </si>
  <si>
    <t>Pregnancy Confirmed</t>
  </si>
  <si>
    <t>Conception Result</t>
  </si>
  <si>
    <t>Parity Number</t>
  </si>
  <si>
    <t>The sow being mated. Lookup from animal_register where animal_type = SOW or GILT.</t>
  </si>
  <si>
    <t>The Flush or AI batch containing this event.</t>
  </si>
  <si>
    <t>AI = Artificial Insemination. NATURAL_MATING = with boar.</t>
  </si>
  <si>
    <t>The boar for NATURAL_MATING. Required if mating_type = NATURAL_MATING.</t>
  </si>
  <si>
    <t>Semen lot consumed for AI. Required if mating_type = AI. FIFO consumption of semen inventory.</t>
  </si>
  <si>
    <t>Doses used for this insemination. Posted as CONSUMPTION to inventory_ledger.</t>
  </si>
  <si>
    <t>Date of insemination or natural mating.</t>
  </si>
  <si>
    <t>Follow-up insemination 48hr repeat for AI.</t>
  </si>
  <si>
    <t>Expected farrowing date. Auto-calculated.</t>
  </si>
  <si>
    <t>Date of pregnancy confirmation check. Typically 28 days post mating.</t>
  </si>
  <si>
    <t>ULTRASOUND / RECTAL / VISUAL / NOT_CHECKED</t>
  </si>
  <si>
    <t>NULL = pending. TRUE = confirmed. FALSE = failed.</t>
  </si>
  <si>
    <t>CONFIRMED / REPEAT / FAILED / PENDING. If FAILED sow returns to Flush.</t>
  </si>
  <si>
    <t>Which parity this is for this sow.</t>
  </si>
  <si>
    <t>uuid-ani-sow</t>
  </si>
  <si>
    <t>uuid-batch-flush</t>
  </si>
  <si>
    <t>AI</t>
  </si>
  <si>
    <t>uuid-ani-boar</t>
  </si>
  <si>
    <t>uuid-ls-semen</t>
  </si>
  <si>
    <t>1.00</t>
  </si>
  <si>
    <t>2025-03-01</t>
  </si>
  <si>
    <t>2025-03-03</t>
  </si>
  <si>
    <t>2025-06-23</t>
  </si>
  <si>
    <t>2025-03-29</t>
  </si>
  <si>
    <t>ULTRASOUND</t>
  </si>
  <si>
    <t>TRUE</t>
  </si>
  <si>
    <t>CONFIRMED</t>
  </si>
  <si>
    <t>T1</t>
  </si>
  <si>
    <t>Ultrasound</t>
  </si>
  <si>
    <t>Confirmed</t>
  </si>
  <si>
    <t>T2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</si>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</sst>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11"/>
      <color rgb="FF242424"/>
      <name val="Aptos Narrow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2E86C1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6" fillId="8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/>
    <xf numFmtId="15" fontId="3" fillId="5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2" fontId="0" fillId="0" borderId="0" xfId="0" applyNumberFormat="1"/>
    <xf numFmtId="164" fontId="0" fillId="0" borderId="0" xfId="1" applyFont="1"/>
    <xf numFmtId="164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43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 vertical="center"/>
    </xf>
    <xf numFmtId="0" fontId="9" fillId="0" borderId="5" xfId="0" applyFont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10" fillId="0" borderId="8" xfId="0" applyFont="1" applyBorder="1"/>
    <xf numFmtId="0" fontId="11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1" fillId="6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408093</xdr:colOff>
      <xdr:row>19</xdr:row>
      <xdr:rowOff>192194</xdr:rowOff>
    </xdr:from>
    <xdr:to>
      <xdr:col>2</xdr:col>
      <xdr:colOff>1153160</xdr:colOff>
      <xdr:row>20</xdr:row>
      <xdr:rowOff>16934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AF4CA7D-65EE-4954-814B-D8F7E007B550}"/>
            </a:ext>
          </a:extLst>
        </xdr:cNvPr>
        <xdr:cNvCxnSpPr/>
      </xdr:nvCxnSpPr>
      <xdr:spPr>
        <a:xfrm>
          <a:off x="1153160" y="4721861"/>
          <a:ext cx="2108200" cy="194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49953</xdr:colOff>
      <xdr:row>22</xdr:row>
      <xdr:rowOff>33020</xdr:rowOff>
    </xdr:from>
    <xdr:to>
      <xdr:col>2</xdr:col>
      <xdr:colOff>804333</xdr:colOff>
      <xdr:row>22</xdr:row>
      <xdr:rowOff>40640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A5D077D-3F9E-4B52-8B7D-95DFE0C22E5B}"/>
            </a:ext>
          </a:extLst>
        </xdr:cNvPr>
        <xdr:cNvCxnSpPr/>
      </xdr:nvCxnSpPr>
      <xdr:spPr>
        <a:xfrm>
          <a:off x="795020" y="5138420"/>
          <a:ext cx="2117513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44027</xdr:colOff>
      <xdr:row>25</xdr:row>
      <xdr:rowOff>14393</xdr:rowOff>
    </xdr:from>
    <xdr:to>
      <xdr:col>2</xdr:col>
      <xdr:colOff>789094</xdr:colOff>
      <xdr:row>25</xdr:row>
      <xdr:rowOff>22013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8793D67-ECE8-4C76-A385-79A75BDC1438}"/>
            </a:ext>
          </a:extLst>
        </xdr:cNvPr>
        <xdr:cNvCxnSpPr/>
      </xdr:nvCxnSpPr>
      <xdr:spPr>
        <a:xfrm>
          <a:off x="789094" y="5687060"/>
          <a:ext cx="210820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1722120</xdr:colOff>
      <xdr:row>28</xdr:row>
      <xdr:rowOff>15240</xdr:rowOff>
    </xdr:from>
    <xdr:to>
      <xdr:col>2</xdr:col>
      <xdr:colOff>739140</xdr:colOff>
      <xdr:row>28</xdr:row>
      <xdr:rowOff>22860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6F2E789-44F0-4ECB-9D0E-94DF1A83271A}"/>
            </a:ext>
          </a:extLst>
        </xdr:cNvPr>
        <xdr:cNvCxnSpPr/>
      </xdr:nvCxnSpPr>
      <xdr:spPr>
        <a:xfrm>
          <a:off x="1722120" y="22570440"/>
          <a:ext cx="300990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1729740</xdr:colOff>
      <xdr:row>20</xdr:row>
      <xdr:rowOff>175260</xdr:rowOff>
    </xdr:from>
    <xdr:to>
      <xdr:col>2</xdr:col>
      <xdr:colOff>746760</xdr:colOff>
      <xdr:row>21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54877F6-D02C-403C-8333-B7BD73044130}"/>
            </a:ext>
          </a:extLst>
        </xdr:cNvPr>
        <xdr:cNvCxnSpPr/>
      </xdr:nvCxnSpPr>
      <xdr:spPr>
        <a:xfrm>
          <a:off x="1729740" y="21023580"/>
          <a:ext cx="3009900" cy="22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23</xdr:row>
      <xdr:rowOff>7620</xdr:rowOff>
    </xdr:from>
    <xdr:to>
      <xdr:col>2</xdr:col>
      <xdr:colOff>762000</xdr:colOff>
      <xdr:row>23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C635E0-BEDF-4BF4-9B91-E8C58051B2A4}"/>
            </a:ext>
          </a:extLst>
        </xdr:cNvPr>
        <xdr:cNvCxnSpPr/>
      </xdr:nvCxnSpPr>
      <xdr:spPr>
        <a:xfrm>
          <a:off x="1744980" y="21435060"/>
          <a:ext cx="300990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1729740</xdr:colOff>
      <xdr:row>25</xdr:row>
      <xdr:rowOff>175260</xdr:rowOff>
    </xdr:from>
    <xdr:to>
      <xdr:col>2</xdr:col>
      <xdr:colOff>746760</xdr:colOff>
      <xdr:row>25</xdr:row>
      <xdr:rowOff>182880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A8B348B-54CF-4961-A997-B405B5D392B2}"/>
            </a:ext>
          </a:extLst>
        </xdr:cNvPr>
        <xdr:cNvCxnSpPr/>
      </xdr:nvCxnSpPr>
      <xdr:spPr>
        <a:xfrm>
          <a:off x="1729740" y="21968460"/>
          <a:ext cx="300990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1722120</xdr:colOff>
      <xdr:row>29</xdr:row>
      <xdr:rowOff>15240</xdr:rowOff>
    </xdr:from>
    <xdr:to>
      <xdr:col>2</xdr:col>
      <xdr:colOff>739140</xdr:colOff>
      <xdr:row>29</xdr:row>
      <xdr:rowOff>22860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A732FEF-45D1-4824-9142-CEBF9F47361F}"/>
            </a:ext>
          </a:extLst>
        </xdr:cNvPr>
        <xdr:cNvCxnSpPr/>
      </xdr:nvCxnSpPr>
      <xdr:spPr>
        <a:xfrm>
          <a:off x="1722120" y="22570440"/>
          <a:ext cx="300990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plecpigs.sharepoint.com/sites/TripleCPigsFinance/Shared%20Documents/Management%20Accounting%20Section/Livestock%20Reports/FY2027/August%202026/Fair%20Value%20%20Cost%20Calculation%200826.xlsx" TargetMode="External"/><Relationship Id="rId1" Type="http://schemas.openxmlformats.org/officeDocument/2006/relationships/externalLinkPath" Target="https://triplecpigs.sharepoint.com/sites/TripleCPigsFinance/Shared%20Documents/Management%20Accounting%20Section/Livestock%20Reports/FY2027/August%202026/Fair%20Value%20%20Cost%20Calculation%20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Pig Costing August 2025"/>
      <sheetName val="Imported Pigs Costing 0825"/>
      <sheetName val="August 2025 USD"/>
      <sheetName val="Pig Costing September 2025"/>
      <sheetName val="Imported Pigs Costing 0925"/>
      <sheetName val="September 2025 USD "/>
      <sheetName val="Pig Costing October 2025"/>
      <sheetName val="Imported Pigs Costing 1025"/>
      <sheetName val="October 2025 USD "/>
      <sheetName val="Pig Costing November 2025"/>
      <sheetName val="Imported Pigs Costing 1125"/>
      <sheetName val="November 2025 USD"/>
      <sheetName val="Pig Costing December 2025"/>
      <sheetName val="Imported Pigs Costing 1225"/>
      <sheetName val="December 2025 USD "/>
      <sheetName val="Pig Costing January 2026"/>
      <sheetName val="Imported Pigs Costing 0126"/>
      <sheetName val="January 2026 USD"/>
      <sheetName val="Pig Costing February 2026"/>
      <sheetName val="Imported Pigs Costing 0226"/>
      <sheetName val="February 2026 USD"/>
      <sheetName val="Pig Costing March 2026"/>
      <sheetName val="Imported Pigs Costing 0326"/>
      <sheetName val="March 2026 USD"/>
      <sheetName val="Pig Costing April 2026"/>
      <sheetName val="Imported Pigs Costing 0426"/>
      <sheetName val="April 2026 USD"/>
      <sheetName val="Pig Costing May 2026"/>
      <sheetName val="Imported Pigs Costing 0526"/>
      <sheetName val="Imported Pigs Costing 0626"/>
      <sheetName val="Pig Costing June 2.026"/>
      <sheetName val="Pig Costing June 2026"/>
      <sheetName val="June 2026 USD"/>
      <sheetName val="Imported Pigs Costing 0726"/>
      <sheetName val="July 2026 USD"/>
      <sheetName val="Pig Costing July 2026"/>
      <sheetName val="Vertical Pig Costin Aug 2026"/>
      <sheetName val="Imported Pigs Costing 0826"/>
      <sheetName val="Pig Costing August 2026"/>
      <sheetName val="August 2026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6">
          <cell r="AX6" t="str">
            <v>Porta Total Cost</v>
          </cell>
          <cell r="BK6" t="str">
            <v>Current month Amortisation</v>
          </cell>
          <cell r="BL6" t="str">
            <v>Residual Value</v>
          </cell>
          <cell r="BM6" t="str">
            <v xml:space="preserve">Acc Amortisation </v>
          </cell>
          <cell r="BN6" t="str">
            <v>NBV</v>
          </cell>
        </row>
        <row r="128">
          <cell r="X128">
            <v>25</v>
          </cell>
          <cell r="AX128">
            <v>9441.0079025935593</v>
          </cell>
          <cell r="BK128">
            <v>41.115587245988699</v>
          </cell>
          <cell r="BL128">
            <v>7837.5</v>
          </cell>
          <cell r="BM128">
            <v>925.1007130347457</v>
          </cell>
          <cell r="BN128">
            <v>8515.9071895588131</v>
          </cell>
        </row>
        <row r="129">
          <cell r="X129">
            <v>21</v>
          </cell>
          <cell r="AX129">
            <v>8144.4214668208006</v>
          </cell>
          <cell r="BK129">
            <v>40.023627354379499</v>
          </cell>
          <cell r="BL129">
            <v>6583.5</v>
          </cell>
          <cell r="BM129">
            <v>910.53752231213366</v>
          </cell>
          <cell r="BN129">
            <v>7233.8839445086669</v>
          </cell>
        </row>
        <row r="130">
          <cell r="X130">
            <v>25</v>
          </cell>
          <cell r="AX130">
            <v>9928.9806695597781</v>
          </cell>
          <cell r="BK130">
            <v>53.627709475891749</v>
          </cell>
          <cell r="BL130">
            <v>7837.5</v>
          </cell>
          <cell r="BM130">
            <v>1233.4373179455101</v>
          </cell>
          <cell r="BN130">
            <v>8695.5433516142675</v>
          </cell>
        </row>
        <row r="131">
          <cell r="X131">
            <v>31</v>
          </cell>
          <cell r="AX131">
            <v>12346.922672182318</v>
          </cell>
          <cell r="BK131">
            <v>67.39545313287995</v>
          </cell>
          <cell r="BL131">
            <v>9718.5</v>
          </cell>
          <cell r="BM131">
            <v>1566.9442853394589</v>
          </cell>
          <cell r="BN131">
            <v>10779.978386842859</v>
          </cell>
        </row>
        <row r="132">
          <cell r="X132">
            <v>29</v>
          </cell>
          <cell r="AX132">
            <v>11598.927587039429</v>
          </cell>
          <cell r="BK132">
            <v>64.293015052293043</v>
          </cell>
          <cell r="BL132">
            <v>9091.5</v>
          </cell>
          <cell r="BM132">
            <v>1510.8858537288866</v>
          </cell>
          <cell r="BN132">
            <v>10088.041733310542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low Charumbira" id="{46767096-D4BC-41CF-B004-46EDC30C32D3}" userId="S::mcharumbira@colcom.co.zw::4094f83b-915d-4a2c-b385-acdf236c45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8" dT="2026-09-07T13:05:27.14" personId="{46767096-D4BC-41CF-B004-46EDC30C32D3}" id="{55DCC0CD-C908-47B8-8BBA-657CB1846A01}">
    <text xml:space="preserve">To Confirm with Finance/Accounts.
</text>
  </threadedComment>
  <threadedComment ref="B12" dT="2026-09-09T13:34:31.10" personId="{46767096-D4BC-41CF-B004-46EDC30C32D3}" id="{979F9B28-274E-4418-85B0-A4E06318ABAE}">
    <text xml:space="preserve">See P2975 SOW CARDS FOLDER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B56A-874B-4F90-A2FA-816C0F50091A}">
  <dimension ref="A1:AT31"/>
  <sheetViews>
    <sheetView tabSelected="1" zoomScale="90" zoomScaleNormal="90" workbookViewId="0">
      <selection activeCell="C26" sqref="C26"/>
    </sheetView>
  </sheetViews>
  <sheetFormatPr defaultColWidth="26.5546875" defaultRowHeight="14.4" x14ac:dyDescent="0.3"/>
  <cols>
    <col min="1" max="1" width="10.88671875" bestFit="1" customWidth="1"/>
    <col min="2" max="2" width="19.88671875" customWidth="1"/>
    <col min="3" max="3" width="17.88671875" customWidth="1"/>
    <col min="4" max="4" width="17.5546875" customWidth="1"/>
    <col min="5" max="5" width="13" customWidth="1"/>
    <col min="6" max="6" width="20.109375" customWidth="1"/>
    <col min="7" max="7" width="20.88671875" customWidth="1"/>
    <col min="8" max="8" width="25.44140625" bestFit="1" customWidth="1"/>
    <col min="9" max="9" width="14.6640625" customWidth="1"/>
    <col min="10" max="10" width="22.5546875" customWidth="1"/>
    <col min="11" max="11" width="23.5546875" bestFit="1" customWidth="1"/>
    <col min="12" max="12" width="25.33203125" bestFit="1" customWidth="1"/>
    <col min="13" max="13" width="20.6640625" customWidth="1"/>
    <col min="14" max="14" width="17.88671875" customWidth="1"/>
    <col min="15" max="15" width="15.44140625" bestFit="1" customWidth="1"/>
    <col min="16" max="16" width="19" customWidth="1"/>
    <col min="17" max="17" width="17" customWidth="1"/>
    <col min="18" max="18" width="17.88671875" customWidth="1"/>
    <col min="19" max="19" width="18.5546875" customWidth="1"/>
    <col min="20" max="20" width="23.6640625" customWidth="1"/>
    <col min="21" max="21" width="26.44140625" customWidth="1"/>
    <col min="22" max="22" width="25.5546875" customWidth="1"/>
    <col min="23" max="23" width="15" customWidth="1"/>
    <col min="24" max="24" width="18.6640625" customWidth="1"/>
    <col min="25" max="25" width="17.88671875" customWidth="1"/>
    <col min="26" max="26" width="15.5546875" customWidth="1"/>
    <col min="27" max="27" width="15.109375" customWidth="1"/>
    <col min="28" max="28" width="11.88671875" customWidth="1"/>
    <col min="29" max="29" width="15" customWidth="1"/>
    <col min="30" max="30" width="19.109375" customWidth="1"/>
    <col min="31" max="31" width="23.88671875" customWidth="1"/>
    <col min="32" max="32" width="25.44140625" customWidth="1"/>
    <col min="33" max="33" width="22.109375" customWidth="1"/>
    <col min="34" max="34" width="21.88671875" customWidth="1"/>
    <col min="35" max="35" width="21.109375" customWidth="1"/>
    <col min="36" max="36" width="20.6640625" customWidth="1"/>
    <col min="37" max="40" width="26.5546875" customWidth="1"/>
  </cols>
  <sheetData>
    <row r="1" spans="1:46" ht="24" x14ac:dyDescent="0.3">
      <c r="A1" s="25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3" t="s">
        <v>6</v>
      </c>
      <c r="H1" s="16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6" t="s">
        <v>17</v>
      </c>
      <c r="S1" s="14" t="s">
        <v>18</v>
      </c>
      <c r="T1" s="17" t="s">
        <v>19</v>
      </c>
      <c r="U1" s="14" t="s">
        <v>20</v>
      </c>
      <c r="V1" s="15" t="s">
        <v>21</v>
      </c>
      <c r="W1" s="15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7" t="s">
        <v>29</v>
      </c>
      <c r="AE1" s="13" t="s">
        <v>30</v>
      </c>
      <c r="AF1" s="16" t="s">
        <v>31</v>
      </c>
      <c r="AG1" s="13" t="s">
        <v>32</v>
      </c>
      <c r="AH1" s="16" t="s">
        <v>33</v>
      </c>
      <c r="AI1" s="14" t="s">
        <v>34</v>
      </c>
      <c r="AJ1" s="16" t="s">
        <v>35</v>
      </c>
      <c r="AK1" s="27" t="s">
        <v>36</v>
      </c>
      <c r="AL1" s="27" t="s">
        <v>37</v>
      </c>
      <c r="AM1" s="26" t="s">
        <v>38</v>
      </c>
      <c r="AN1" s="26" t="s">
        <v>39</v>
      </c>
    </row>
    <row r="2" spans="1:46" ht="72" x14ac:dyDescent="0.3">
      <c r="A2" s="25" t="s">
        <v>40</v>
      </c>
      <c r="B2" s="2" t="s">
        <v>41</v>
      </c>
      <c r="C2" s="3" t="s">
        <v>42</v>
      </c>
      <c r="D2" s="1" t="s">
        <v>43</v>
      </c>
      <c r="E2" s="3" t="s">
        <v>44</v>
      </c>
      <c r="F2" s="4" t="s">
        <v>45</v>
      </c>
      <c r="G2" s="2" t="s">
        <v>46</v>
      </c>
      <c r="H2" s="4" t="s">
        <v>47</v>
      </c>
      <c r="I2" s="3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4" t="s">
        <v>53</v>
      </c>
      <c r="O2" s="3" t="s">
        <v>54</v>
      </c>
      <c r="P2" s="1" t="s">
        <v>55</v>
      </c>
      <c r="Q2" s="1" t="s">
        <v>56</v>
      </c>
      <c r="R2" s="4" t="s">
        <v>57</v>
      </c>
      <c r="S2" s="3" t="s">
        <v>58</v>
      </c>
      <c r="T2" s="18" t="s">
        <v>59</v>
      </c>
      <c r="U2" s="3" t="s">
        <v>60</v>
      </c>
      <c r="V2" s="1" t="s">
        <v>61</v>
      </c>
      <c r="W2" s="1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18" t="s">
        <v>69</v>
      </c>
      <c r="AE2" s="2" t="s">
        <v>70</v>
      </c>
      <c r="AF2" s="4" t="s">
        <v>71</v>
      </c>
      <c r="AG2" s="2" t="s">
        <v>72</v>
      </c>
      <c r="AH2" s="4" t="s">
        <v>73</v>
      </c>
      <c r="AI2" s="3" t="s">
        <v>74</v>
      </c>
      <c r="AJ2" s="4" t="s">
        <v>75</v>
      </c>
      <c r="AK2" s="32" t="s">
        <v>76</v>
      </c>
      <c r="AL2" s="32" t="s">
        <v>77</v>
      </c>
      <c r="AM2" s="32" t="s">
        <v>78</v>
      </c>
      <c r="AN2" s="32" t="s">
        <v>79</v>
      </c>
      <c r="AO2" t="str">
        <f>+'[1]Imported Pigs Costing 0826'!$AX$6</f>
        <v>Porta Total Cost</v>
      </c>
      <c r="AP2" t="str">
        <f>+'[1]Imported Pigs Costing 0826'!BK$6</f>
        <v>Current month Amortisation</v>
      </c>
      <c r="AQ2" t="str">
        <f>+'[1]Imported Pigs Costing 0826'!BL$6</f>
        <v>Residual Value</v>
      </c>
      <c r="AR2" t="str">
        <f>+'[1]Imported Pigs Costing 0826'!BM$6</f>
        <v xml:space="preserve">Acc Amortisation </v>
      </c>
      <c r="AS2" t="str">
        <f>+'[1]Imported Pigs Costing 0826'!BN$6</f>
        <v>NBV</v>
      </c>
      <c r="AT2">
        <f>+'[1]Imported Pigs Costing 0826'!BO$6</f>
        <v>0</v>
      </c>
    </row>
    <row r="3" spans="1:46" ht="24" x14ac:dyDescent="0.3">
      <c r="A3" s="25" t="s">
        <v>80</v>
      </c>
      <c r="B3" s="2" t="s">
        <v>81</v>
      </c>
      <c r="C3" s="3" t="s">
        <v>82</v>
      </c>
      <c r="D3" s="1" t="s">
        <v>83</v>
      </c>
      <c r="E3" s="3" t="s">
        <v>84</v>
      </c>
      <c r="F3" s="4" t="s">
        <v>85</v>
      </c>
      <c r="G3" s="2" t="s">
        <v>86</v>
      </c>
      <c r="H3" s="4" t="s">
        <v>87</v>
      </c>
      <c r="I3" s="3" t="s">
        <v>88</v>
      </c>
      <c r="J3" s="1" t="s">
        <v>89</v>
      </c>
      <c r="K3" s="1" t="s">
        <v>90</v>
      </c>
      <c r="L3" s="1" t="s">
        <v>91</v>
      </c>
      <c r="M3" s="1" t="s">
        <v>92</v>
      </c>
      <c r="N3" s="4" t="s">
        <v>93</v>
      </c>
      <c r="O3" s="3" t="s">
        <v>94</v>
      </c>
      <c r="P3" s="1" t="s">
        <v>95</v>
      </c>
      <c r="Q3" s="1" t="s">
        <v>96</v>
      </c>
      <c r="R3" s="4" t="s">
        <v>97</v>
      </c>
      <c r="S3" s="3" t="s">
        <v>98</v>
      </c>
      <c r="T3" s="18" t="s">
        <v>99</v>
      </c>
      <c r="U3" s="3" t="s">
        <v>100</v>
      </c>
      <c r="V3" s="1" t="s">
        <v>101</v>
      </c>
      <c r="W3" s="1" t="s">
        <v>102</v>
      </c>
      <c r="X3" s="2" t="s">
        <v>103</v>
      </c>
      <c r="Y3" s="2" t="s">
        <v>104</v>
      </c>
      <c r="Z3" s="2" t="s">
        <v>105</v>
      </c>
      <c r="AA3" s="2" t="s">
        <v>106</v>
      </c>
      <c r="AB3" s="2" t="s">
        <v>98</v>
      </c>
      <c r="AC3" s="2" t="s">
        <v>107</v>
      </c>
      <c r="AD3" s="18" t="s">
        <v>108</v>
      </c>
      <c r="AE3" s="2" t="s">
        <v>109</v>
      </c>
      <c r="AF3" s="4" t="s">
        <v>110</v>
      </c>
      <c r="AG3" s="2" t="s">
        <v>111</v>
      </c>
      <c r="AH3" s="4" t="s">
        <v>112</v>
      </c>
      <c r="AI3" s="3" t="s">
        <v>113</v>
      </c>
      <c r="AJ3" s="30" t="s">
        <v>114</v>
      </c>
      <c r="AK3" s="28">
        <v>16</v>
      </c>
      <c r="AL3" s="28">
        <v>112</v>
      </c>
      <c r="AM3" s="29"/>
      <c r="AN3" s="29">
        <v>2223</v>
      </c>
    </row>
    <row r="4" spans="1:46" x14ac:dyDescent="0.3">
      <c r="A4" s="25" t="s">
        <v>115</v>
      </c>
      <c r="B4" s="6" t="s">
        <v>116</v>
      </c>
      <c r="C4" s="7" t="s">
        <v>116</v>
      </c>
      <c r="D4" s="5" t="s">
        <v>116</v>
      </c>
      <c r="E4" s="7" t="s">
        <v>116</v>
      </c>
      <c r="F4" s="8" t="s">
        <v>117</v>
      </c>
      <c r="G4" s="9" t="s">
        <v>117</v>
      </c>
      <c r="H4" s="10" t="s">
        <v>116</v>
      </c>
      <c r="I4" s="7" t="s">
        <v>116</v>
      </c>
      <c r="J4" s="11" t="s">
        <v>118</v>
      </c>
      <c r="K4" s="11" t="s">
        <v>118</v>
      </c>
      <c r="L4" s="5" t="s">
        <v>116</v>
      </c>
      <c r="M4" s="5" t="s">
        <v>116</v>
      </c>
      <c r="N4" s="8" t="s">
        <v>117</v>
      </c>
      <c r="O4" s="12" t="s">
        <v>117</v>
      </c>
      <c r="P4" s="11" t="s">
        <v>117</v>
      </c>
      <c r="Q4" s="11" t="s">
        <v>117</v>
      </c>
      <c r="R4" s="10" t="s">
        <v>116</v>
      </c>
      <c r="S4" s="12" t="s">
        <v>117</v>
      </c>
      <c r="T4" s="19" t="s">
        <v>116</v>
      </c>
      <c r="U4" s="7" t="s">
        <v>116</v>
      </c>
      <c r="V4" s="11" t="s">
        <v>117</v>
      </c>
      <c r="W4" s="11" t="s">
        <v>117</v>
      </c>
      <c r="X4" s="6" t="s">
        <v>116</v>
      </c>
      <c r="Y4" s="6" t="s">
        <v>116</v>
      </c>
      <c r="Z4" s="6" t="s">
        <v>116</v>
      </c>
      <c r="AA4" s="6" t="s">
        <v>116</v>
      </c>
      <c r="AB4" s="6" t="s">
        <v>116</v>
      </c>
      <c r="AC4" s="6" t="s">
        <v>116</v>
      </c>
      <c r="AD4" s="20" t="s">
        <v>117</v>
      </c>
      <c r="AE4" s="9" t="s">
        <v>117</v>
      </c>
      <c r="AF4" s="8" t="s">
        <v>117</v>
      </c>
      <c r="AG4" s="9" t="s">
        <v>117</v>
      </c>
      <c r="AH4" s="10" t="s">
        <v>116</v>
      </c>
      <c r="AI4" s="12" t="s">
        <v>118</v>
      </c>
      <c r="AJ4" s="31" t="s">
        <v>118</v>
      </c>
      <c r="AK4" s="28" t="s">
        <v>119</v>
      </c>
      <c r="AL4" s="28" t="s">
        <v>120</v>
      </c>
      <c r="AM4" s="28" t="s">
        <v>120</v>
      </c>
      <c r="AN4" s="28" t="s">
        <v>120</v>
      </c>
    </row>
    <row r="6" spans="1:46" x14ac:dyDescent="0.3">
      <c r="B6" t="s">
        <v>121</v>
      </c>
      <c r="C6" t="s">
        <v>122</v>
      </c>
      <c r="D6" t="s">
        <v>123</v>
      </c>
      <c r="E6" t="s">
        <v>84</v>
      </c>
      <c r="F6" s="34">
        <v>45209</v>
      </c>
      <c r="G6" s="34">
        <f>+F6+120</f>
        <v>45329</v>
      </c>
      <c r="H6" t="s">
        <v>124</v>
      </c>
      <c r="I6" s="34">
        <f>+G6</f>
        <v>45329</v>
      </c>
      <c r="J6" t="s">
        <v>125</v>
      </c>
      <c r="K6" t="s">
        <v>126</v>
      </c>
      <c r="L6" t="s">
        <v>127</v>
      </c>
      <c r="M6" t="str">
        <f>+B6</f>
        <v>DLNA8228</v>
      </c>
      <c r="N6" t="s">
        <v>128</v>
      </c>
      <c r="O6" t="str">
        <f>+M6</f>
        <v>DLNA8228</v>
      </c>
      <c r="P6" t="s">
        <v>125</v>
      </c>
      <c r="Q6" t="s">
        <v>129</v>
      </c>
      <c r="R6" s="38">
        <f>+AO6</f>
        <v>392.8264144900449</v>
      </c>
      <c r="S6" s="38">
        <v>0</v>
      </c>
      <c r="T6" s="38">
        <f>+R6+S6</f>
        <v>392.8264144900449</v>
      </c>
      <c r="U6" t="s">
        <v>130</v>
      </c>
      <c r="V6" t="s">
        <v>131</v>
      </c>
      <c r="W6" t="s">
        <v>132</v>
      </c>
      <c r="X6">
        <v>5</v>
      </c>
      <c r="Y6">
        <f>+X6*16</f>
        <v>80</v>
      </c>
      <c r="Z6">
        <v>61</v>
      </c>
      <c r="AA6" s="38">
        <f>+AC6</f>
        <v>79.326414490044897</v>
      </c>
      <c r="AB6" s="38">
        <f>+AQ6</f>
        <v>313.5</v>
      </c>
      <c r="AC6" s="38">
        <f>+T6-AB6</f>
        <v>79.326414490044897</v>
      </c>
      <c r="AD6" s="38">
        <f>+AC6</f>
        <v>79.326414490044897</v>
      </c>
      <c r="AE6" s="38">
        <f>+AD6</f>
        <v>79.326414490044897</v>
      </c>
      <c r="AF6" s="34">
        <f>+F6+(47*7)</f>
        <v>45538</v>
      </c>
      <c r="AG6" s="34">
        <f>+AF6+(365*5)</f>
        <v>47363</v>
      </c>
      <c r="AH6" t="s">
        <v>133</v>
      </c>
      <c r="AI6" t="s">
        <v>134</v>
      </c>
      <c r="AK6">
        <v>14</v>
      </c>
      <c r="AL6">
        <v>102</v>
      </c>
      <c r="AM6">
        <v>12</v>
      </c>
      <c r="AN6" s="39">
        <f>+AA6</f>
        <v>79.326414490044897</v>
      </c>
      <c r="AO6">
        <f>SUM('[1]Imported Pigs Costing 0826'!$AX$128:$AX$132)/SUM('[1]Imported Pigs Costing 0826'!$X$128:$X$132)</f>
        <v>392.8264144900449</v>
      </c>
      <c r="AP6" s="42">
        <f>SUM('[1]Imported Pigs Costing 0826'!BK$128:BK$132)/SUM('[1]Imported Pigs Costing 0826'!$X$128:$X$132)</f>
        <v>2.0340106279498698</v>
      </c>
      <c r="AQ6" s="42">
        <f>SUM('[1]Imported Pigs Costing 0826'!BL$128:BL$132)/SUM('[1]Imported Pigs Costing 0826'!$X$128:$X$132)</f>
        <v>313.5</v>
      </c>
      <c r="AR6" s="42">
        <f>SUM('[1]Imported Pigs Costing 0826'!BM$128:BM$132)/SUM('[1]Imported Pigs Costing 0826'!$X$128:$X$132)</f>
        <v>46.922944216494159</v>
      </c>
      <c r="AS6" s="42">
        <f>SUM('[1]Imported Pigs Costing 0826'!BN$128:BN$132)/SUM('[1]Imported Pigs Costing 0826'!$X$128:$X$132)</f>
        <v>345.90347027355074</v>
      </c>
      <c r="AT6" s="43">
        <v>45413</v>
      </c>
    </row>
    <row r="7" spans="1:46" x14ac:dyDescent="0.3">
      <c r="K7" t="s">
        <v>135</v>
      </c>
      <c r="L7" t="s">
        <v>127</v>
      </c>
      <c r="R7" s="38">
        <f t="shared" ref="R7:R14" si="0">+AO7</f>
        <v>0</v>
      </c>
      <c r="S7" s="38">
        <v>0</v>
      </c>
      <c r="T7" s="38">
        <f t="shared" ref="T7:T14" si="1">+R7+S7</f>
        <v>0</v>
      </c>
      <c r="AA7" s="38">
        <f t="shared" ref="AA7:AA14" si="2">+AC7</f>
        <v>0</v>
      </c>
      <c r="AB7" s="38">
        <f t="shared" ref="AB7:AB14" si="3">+AQ7</f>
        <v>0</v>
      </c>
      <c r="AC7" s="38">
        <f t="shared" ref="AC7:AC14" si="4">+T7-AB7</f>
        <v>0</v>
      </c>
      <c r="AD7" s="38">
        <f t="shared" ref="AD7:AE7" si="5">+AC7</f>
        <v>0</v>
      </c>
      <c r="AE7" s="38">
        <f t="shared" si="5"/>
        <v>0</v>
      </c>
      <c r="AN7" s="39">
        <f t="shared" ref="AN7:AN14" si="6">+AA7</f>
        <v>0</v>
      </c>
    </row>
    <row r="8" spans="1:46" x14ac:dyDescent="0.3">
      <c r="B8" t="s">
        <v>136</v>
      </c>
      <c r="C8" t="s">
        <v>137</v>
      </c>
      <c r="D8" t="s">
        <v>123</v>
      </c>
      <c r="E8" t="s">
        <v>84</v>
      </c>
      <c r="F8" s="34">
        <v>46026</v>
      </c>
      <c r="G8" s="34">
        <f>+F8+(10*7)</f>
        <v>46096</v>
      </c>
      <c r="H8" t="s">
        <v>138</v>
      </c>
      <c r="I8" s="34">
        <f>+F8+28</f>
        <v>46054</v>
      </c>
      <c r="J8" t="s">
        <v>125</v>
      </c>
      <c r="K8" t="s">
        <v>135</v>
      </c>
      <c r="L8" t="s">
        <v>139</v>
      </c>
      <c r="M8" t="str">
        <f>+B8</f>
        <v>P26302</v>
      </c>
      <c r="O8" t="str">
        <f>+M8</f>
        <v>P26302</v>
      </c>
      <c r="P8" t="s">
        <v>125</v>
      </c>
      <c r="Q8" t="s">
        <v>140</v>
      </c>
      <c r="R8" s="38">
        <f t="shared" si="0"/>
        <v>0</v>
      </c>
      <c r="S8" s="38">
        <v>0</v>
      </c>
      <c r="T8" s="38">
        <f t="shared" si="1"/>
        <v>0</v>
      </c>
      <c r="U8" t="s">
        <v>141</v>
      </c>
      <c r="V8" t="s">
        <v>142</v>
      </c>
      <c r="W8" t="s">
        <v>143</v>
      </c>
      <c r="X8">
        <v>0</v>
      </c>
      <c r="Y8">
        <v>0</v>
      </c>
      <c r="Z8">
        <v>0</v>
      </c>
      <c r="AA8" s="38">
        <f>2.05*150</f>
        <v>307.5</v>
      </c>
      <c r="AB8" s="38">
        <f t="shared" si="3"/>
        <v>0</v>
      </c>
      <c r="AC8" s="38">
        <f t="shared" si="4"/>
        <v>0</v>
      </c>
      <c r="AD8" s="38">
        <f t="shared" ref="AD8:AE8" si="7">+AC8</f>
        <v>0</v>
      </c>
      <c r="AE8" s="38">
        <f t="shared" si="7"/>
        <v>0</v>
      </c>
      <c r="AF8" s="34">
        <f>+F8+(47*7)</f>
        <v>46355</v>
      </c>
      <c r="AG8" s="34">
        <f>+AF8+(365*5)</f>
        <v>48180</v>
      </c>
      <c r="AH8" t="s">
        <v>144</v>
      </c>
      <c r="AI8" t="s">
        <v>145</v>
      </c>
      <c r="AK8">
        <v>16</v>
      </c>
      <c r="AL8">
        <v>106</v>
      </c>
      <c r="AM8">
        <v>14</v>
      </c>
      <c r="AN8" s="39">
        <f t="shared" si="6"/>
        <v>307.5</v>
      </c>
    </row>
    <row r="9" spans="1:46" x14ac:dyDescent="0.3">
      <c r="R9" s="38">
        <f t="shared" si="0"/>
        <v>0</v>
      </c>
      <c r="S9" s="38">
        <v>0</v>
      </c>
      <c r="T9" s="38">
        <f t="shared" si="1"/>
        <v>0</v>
      </c>
      <c r="AA9" s="38">
        <f t="shared" si="2"/>
        <v>0</v>
      </c>
      <c r="AB9" s="38">
        <f t="shared" si="3"/>
        <v>0</v>
      </c>
      <c r="AC9" s="38">
        <f t="shared" si="4"/>
        <v>0</v>
      </c>
      <c r="AD9" s="38">
        <f t="shared" ref="AD9:AE9" si="8">+AC9</f>
        <v>0</v>
      </c>
      <c r="AE9" s="38">
        <f t="shared" si="8"/>
        <v>0</v>
      </c>
      <c r="AN9" s="39">
        <f t="shared" si="6"/>
        <v>0</v>
      </c>
    </row>
    <row r="10" spans="1:46" x14ac:dyDescent="0.3">
      <c r="B10" t="s">
        <v>146</v>
      </c>
      <c r="C10" t="s">
        <v>137</v>
      </c>
      <c r="D10" t="s">
        <v>123</v>
      </c>
      <c r="E10" t="s">
        <v>84</v>
      </c>
      <c r="F10" s="34">
        <v>45968</v>
      </c>
      <c r="G10" s="34">
        <f>+F10+(10*7)</f>
        <v>46038</v>
      </c>
      <c r="H10" t="s">
        <v>138</v>
      </c>
      <c r="I10" s="34">
        <f>+F10+28</f>
        <v>45996</v>
      </c>
      <c r="J10" t="s">
        <v>125</v>
      </c>
      <c r="K10" t="s">
        <v>135</v>
      </c>
      <c r="L10" t="s">
        <v>139</v>
      </c>
      <c r="M10" t="str">
        <f>+B10</f>
        <v>P25003</v>
      </c>
      <c r="N10" t="s">
        <v>128</v>
      </c>
      <c r="O10" t="str">
        <f>+M10</f>
        <v>P25003</v>
      </c>
      <c r="P10" t="s">
        <v>125</v>
      </c>
      <c r="Q10" t="s">
        <v>147</v>
      </c>
      <c r="R10" s="38">
        <f t="shared" si="0"/>
        <v>0</v>
      </c>
      <c r="S10" s="38">
        <v>0</v>
      </c>
      <c r="T10" s="38">
        <f t="shared" si="1"/>
        <v>0</v>
      </c>
      <c r="U10" t="s">
        <v>141</v>
      </c>
      <c r="V10" t="s">
        <v>148</v>
      </c>
      <c r="W10" t="s">
        <v>132</v>
      </c>
      <c r="X10">
        <v>0</v>
      </c>
      <c r="Y10">
        <v>0</v>
      </c>
      <c r="Z10">
        <v>0</v>
      </c>
      <c r="AA10" s="38">
        <f>+AA8</f>
        <v>307.5</v>
      </c>
      <c r="AB10" s="38">
        <f t="shared" si="3"/>
        <v>0</v>
      </c>
      <c r="AC10" s="38">
        <f t="shared" si="4"/>
        <v>0</v>
      </c>
      <c r="AD10" s="38">
        <f t="shared" ref="AD10:AE10" si="9">+AC10</f>
        <v>0</v>
      </c>
      <c r="AE10" s="38">
        <f t="shared" si="9"/>
        <v>0</v>
      </c>
      <c r="AF10" s="34">
        <f>+F10+(47*7)</f>
        <v>46297</v>
      </c>
      <c r="AG10" s="34">
        <f>+AF10+(365*5)</f>
        <v>48122</v>
      </c>
      <c r="AH10" t="s">
        <v>144</v>
      </c>
      <c r="AI10" t="s">
        <v>149</v>
      </c>
      <c r="AK10">
        <v>17</v>
      </c>
      <c r="AL10">
        <v>112</v>
      </c>
      <c r="AM10">
        <v>14</v>
      </c>
      <c r="AN10" s="39">
        <f t="shared" si="6"/>
        <v>307.5</v>
      </c>
    </row>
    <row r="11" spans="1:46" x14ac:dyDescent="0.3">
      <c r="R11" s="38">
        <f t="shared" si="0"/>
        <v>0</v>
      </c>
      <c r="S11" s="38">
        <v>0</v>
      </c>
      <c r="T11" s="38">
        <f t="shared" si="1"/>
        <v>0</v>
      </c>
      <c r="AA11" s="38">
        <f t="shared" si="2"/>
        <v>0</v>
      </c>
      <c r="AB11" s="38">
        <f t="shared" si="3"/>
        <v>0</v>
      </c>
      <c r="AC11" s="38">
        <f t="shared" si="4"/>
        <v>0</v>
      </c>
      <c r="AD11" s="38">
        <f t="shared" ref="AD11:AE11" si="10">+AC11</f>
        <v>0</v>
      </c>
      <c r="AE11" s="38">
        <f t="shared" si="10"/>
        <v>0</v>
      </c>
      <c r="AN11" s="39">
        <f t="shared" si="6"/>
        <v>0</v>
      </c>
    </row>
    <row r="12" spans="1:46" x14ac:dyDescent="0.3">
      <c r="B12" t="s">
        <v>150</v>
      </c>
      <c r="C12" t="s">
        <v>137</v>
      </c>
      <c r="D12" t="s">
        <v>123</v>
      </c>
      <c r="E12" t="s">
        <v>84</v>
      </c>
      <c r="F12" s="34">
        <v>45917</v>
      </c>
      <c r="G12" s="34">
        <f>+F12+(10*7)</f>
        <v>45987</v>
      </c>
      <c r="H12" t="s">
        <v>138</v>
      </c>
      <c r="I12" s="34">
        <f>+F12+28</f>
        <v>45945</v>
      </c>
      <c r="J12" t="s">
        <v>125</v>
      </c>
      <c r="K12" t="s">
        <v>135</v>
      </c>
      <c r="L12" t="s">
        <v>139</v>
      </c>
      <c r="M12" t="str">
        <f>+B12</f>
        <v>P2975</v>
      </c>
      <c r="N12" t="s">
        <v>128</v>
      </c>
      <c r="O12" t="str">
        <f>+M12</f>
        <v>P2975</v>
      </c>
      <c r="P12" t="s">
        <v>125</v>
      </c>
      <c r="Q12" t="s">
        <v>151</v>
      </c>
      <c r="R12" s="38">
        <f t="shared" si="0"/>
        <v>0</v>
      </c>
      <c r="S12" s="38">
        <v>0</v>
      </c>
      <c r="T12" s="38">
        <f t="shared" si="1"/>
        <v>0</v>
      </c>
      <c r="U12" t="s">
        <v>152</v>
      </c>
      <c r="V12" t="s">
        <v>131</v>
      </c>
      <c r="W12" t="s">
        <v>153</v>
      </c>
      <c r="X12">
        <v>1</v>
      </c>
      <c r="Y12">
        <v>16</v>
      </c>
      <c r="AA12" s="38">
        <f>+AA10</f>
        <v>307.5</v>
      </c>
      <c r="AB12" s="38">
        <f t="shared" si="3"/>
        <v>0</v>
      </c>
      <c r="AC12" s="38">
        <f t="shared" si="4"/>
        <v>0</v>
      </c>
      <c r="AD12" s="38">
        <f t="shared" ref="AD12:AE12" si="11">+AC12</f>
        <v>0</v>
      </c>
      <c r="AE12" s="38">
        <f t="shared" si="11"/>
        <v>0</v>
      </c>
      <c r="AF12" s="34">
        <f>+F12+(47*7)</f>
        <v>46246</v>
      </c>
      <c r="AG12" s="34">
        <f>+AF12+(365*5)</f>
        <v>48071</v>
      </c>
      <c r="AH12" t="s">
        <v>133</v>
      </c>
      <c r="AI12" t="s">
        <v>125</v>
      </c>
      <c r="AK12">
        <v>15</v>
      </c>
      <c r="AL12">
        <v>102</v>
      </c>
      <c r="AM12">
        <v>14</v>
      </c>
      <c r="AN12" s="39">
        <f t="shared" si="6"/>
        <v>307.5</v>
      </c>
    </row>
    <row r="13" spans="1:46" x14ac:dyDescent="0.3">
      <c r="F13" s="38"/>
      <c r="R13" s="38">
        <f t="shared" si="0"/>
        <v>0</v>
      </c>
      <c r="S13" s="38">
        <v>0</v>
      </c>
      <c r="T13" s="38">
        <f t="shared" si="1"/>
        <v>0</v>
      </c>
      <c r="AA13" s="38">
        <f t="shared" si="2"/>
        <v>0</v>
      </c>
      <c r="AB13" s="38">
        <f t="shared" si="3"/>
        <v>0</v>
      </c>
      <c r="AC13" s="38">
        <f t="shared" si="4"/>
        <v>0</v>
      </c>
      <c r="AD13" s="38">
        <f t="shared" ref="AD13:AE13" si="12">+AC13</f>
        <v>0</v>
      </c>
      <c r="AE13" s="38">
        <f t="shared" si="12"/>
        <v>0</v>
      </c>
      <c r="AN13" s="39">
        <f t="shared" si="6"/>
        <v>0</v>
      </c>
    </row>
    <row r="14" spans="1:46" x14ac:dyDescent="0.3">
      <c r="B14" t="s">
        <v>154</v>
      </c>
      <c r="C14" t="s">
        <v>82</v>
      </c>
      <c r="D14" t="s">
        <v>123</v>
      </c>
      <c r="E14" t="s">
        <v>84</v>
      </c>
      <c r="F14" s="34">
        <v>45209</v>
      </c>
      <c r="G14" s="34">
        <f>+F14+120</f>
        <v>45329</v>
      </c>
      <c r="H14" t="s">
        <v>124</v>
      </c>
      <c r="I14" s="34">
        <f>+G14</f>
        <v>45329</v>
      </c>
      <c r="J14" t="s">
        <v>125</v>
      </c>
      <c r="K14" t="s">
        <v>126</v>
      </c>
      <c r="L14" t="s">
        <v>127</v>
      </c>
      <c r="M14" t="str">
        <f>+B14</f>
        <v>NB0552</v>
      </c>
      <c r="N14" t="s">
        <v>128</v>
      </c>
      <c r="O14" t="str">
        <f>+M14</f>
        <v>NB0552</v>
      </c>
      <c r="P14" t="s">
        <v>125</v>
      </c>
      <c r="Q14" t="s">
        <v>129</v>
      </c>
      <c r="R14" s="38">
        <f t="shared" si="0"/>
        <v>392.8264144900449</v>
      </c>
      <c r="S14" s="38">
        <v>0</v>
      </c>
      <c r="T14" s="38">
        <f t="shared" si="1"/>
        <v>392.8264144900449</v>
      </c>
      <c r="U14" t="s">
        <v>130</v>
      </c>
      <c r="V14" t="s">
        <v>155</v>
      </c>
      <c r="W14" t="s">
        <v>132</v>
      </c>
      <c r="X14">
        <v>5</v>
      </c>
      <c r="Y14">
        <v>86</v>
      </c>
      <c r="Z14">
        <f>+X14*16</f>
        <v>80</v>
      </c>
      <c r="AA14" s="38">
        <f t="shared" si="2"/>
        <v>79.326414490044897</v>
      </c>
      <c r="AB14" s="38">
        <f t="shared" si="3"/>
        <v>313.5</v>
      </c>
      <c r="AC14" s="38">
        <f t="shared" si="4"/>
        <v>79.326414490044897</v>
      </c>
      <c r="AD14" s="38">
        <f t="shared" ref="AD14:AE14" si="13">+AC14</f>
        <v>79.326414490044897</v>
      </c>
      <c r="AE14" s="38">
        <f t="shared" si="13"/>
        <v>79.326414490044897</v>
      </c>
      <c r="AF14" s="34">
        <f>+F14+(47*7)</f>
        <v>45538</v>
      </c>
      <c r="AG14" s="34">
        <f>+AF14+(365*8)</f>
        <v>48458</v>
      </c>
      <c r="AH14" t="s">
        <v>156</v>
      </c>
      <c r="AI14" t="s">
        <v>134</v>
      </c>
      <c r="AK14">
        <v>14</v>
      </c>
      <c r="AL14">
        <v>102</v>
      </c>
      <c r="AM14">
        <v>12</v>
      </c>
      <c r="AN14" s="39">
        <f t="shared" si="6"/>
        <v>79.326414490044897</v>
      </c>
      <c r="AO14">
        <f>+AO6</f>
        <v>392.8264144900449</v>
      </c>
      <c r="AP14">
        <f t="shared" ref="AP14:AS14" si="14">+AP6</f>
        <v>2.0340106279498698</v>
      </c>
      <c r="AQ14">
        <f t="shared" si="14"/>
        <v>313.5</v>
      </c>
      <c r="AR14">
        <f t="shared" si="14"/>
        <v>46.922944216494159</v>
      </c>
      <c r="AS14">
        <f t="shared" si="14"/>
        <v>345.90347027355074</v>
      </c>
      <c r="AT14" s="43">
        <f>+AT6</f>
        <v>45413</v>
      </c>
    </row>
    <row r="15" spans="1:46" x14ac:dyDescent="0.3">
      <c r="F15" s="39"/>
      <c r="J15" t="s">
        <v>157</v>
      </c>
    </row>
    <row r="16" spans="1:46" x14ac:dyDescent="0.3">
      <c r="V16" s="34"/>
    </row>
    <row r="17" spans="1:22" ht="15" thickBot="1" x14ac:dyDescent="0.35">
      <c r="D17" s="40"/>
      <c r="V17" s="37"/>
    </row>
    <row r="18" spans="1:22" ht="16.2" thickTop="1" x14ac:dyDescent="0.3">
      <c r="A18" s="45" t="s">
        <v>158</v>
      </c>
      <c r="B18" s="46"/>
      <c r="C18" s="46"/>
      <c r="D18" s="47"/>
      <c r="V18" s="34"/>
    </row>
    <row r="19" spans="1:22" x14ac:dyDescent="0.3">
      <c r="A19" s="48"/>
      <c r="D19" s="49"/>
    </row>
    <row r="20" spans="1:22" ht="15.6" x14ac:dyDescent="0.3">
      <c r="A20" s="50" t="s">
        <v>159</v>
      </c>
      <c r="D20" s="49"/>
      <c r="U20" s="34"/>
    </row>
    <row r="21" spans="1:22" x14ac:dyDescent="0.3">
      <c r="A21" s="48"/>
      <c r="D21" s="49"/>
      <c r="U21" s="34"/>
    </row>
    <row r="22" spans="1:22" ht="15.6" x14ac:dyDescent="0.3">
      <c r="A22" s="50" t="s">
        <v>160</v>
      </c>
      <c r="D22" s="49"/>
      <c r="U22" s="34"/>
    </row>
    <row r="23" spans="1:22" x14ac:dyDescent="0.3">
      <c r="A23" s="48"/>
      <c r="B23" s="51" t="s">
        <v>161</v>
      </c>
      <c r="D23" s="49"/>
      <c r="U23" s="34"/>
    </row>
    <row r="24" spans="1:22" x14ac:dyDescent="0.3">
      <c r="A24" s="48"/>
      <c r="D24" s="49"/>
      <c r="U24" s="34"/>
    </row>
    <row r="25" spans="1:22" ht="15.6" x14ac:dyDescent="0.3">
      <c r="A25" s="50" t="s">
        <v>162</v>
      </c>
      <c r="D25" s="49"/>
      <c r="U25" s="34"/>
    </row>
    <row r="26" spans="1:22" x14ac:dyDescent="0.3">
      <c r="A26" s="48"/>
      <c r="B26" s="51" t="s">
        <v>163</v>
      </c>
      <c r="D26" s="49"/>
      <c r="U26" s="34"/>
    </row>
    <row r="27" spans="1:22" x14ac:dyDescent="0.3">
      <c r="A27" s="48"/>
      <c r="D27" s="49"/>
      <c r="U27" s="34"/>
    </row>
    <row r="28" spans="1:22" ht="15.6" x14ac:dyDescent="0.3">
      <c r="A28" s="50" t="s">
        <v>164</v>
      </c>
      <c r="D28" s="49"/>
    </row>
    <row r="29" spans="1:22" x14ac:dyDescent="0.3">
      <c r="A29" s="48"/>
      <c r="D29" s="49"/>
      <c r="U29" s="34"/>
    </row>
    <row r="30" spans="1:22" ht="15" thickBot="1" x14ac:dyDescent="0.35">
      <c r="A30" s="52"/>
      <c r="B30" s="53"/>
      <c r="C30" s="53"/>
      <c r="D30" s="54"/>
    </row>
    <row r="31" spans="1:22" ht="15" thickTop="1" x14ac:dyDescent="0.3"/>
  </sheetData>
  <phoneticPr fontId="8" type="noConversion"/>
  <pageMargins left="0.7" right="0.7" top="0.75" bottom="0.75" header="0.3" footer="0.3"/>
  <pageSetup paperSize="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AF86-353E-4E1F-83CA-9B44AA6CC4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334-DDBC-4757-B076-3BE8B36A894A}">
  <dimension ref="A1:Q32"/>
  <sheetViews>
    <sheetView topLeftCell="A3" zoomScale="78" workbookViewId="0">
      <selection activeCell="F32" sqref="F32"/>
    </sheetView>
  </sheetViews>
  <sheetFormatPr defaultColWidth="28.6640625" defaultRowHeight="14.4" x14ac:dyDescent="0.3"/>
  <cols>
    <col min="1" max="2" width="13" customWidth="1"/>
    <col min="3" max="3" width="28.44140625" bestFit="1" customWidth="1"/>
    <col min="4" max="4" width="28.5546875" bestFit="1" customWidth="1"/>
    <col min="5" max="5" width="21.109375" bestFit="1" customWidth="1"/>
    <col min="6" max="6" width="28.109375" style="44" bestFit="1" customWidth="1"/>
    <col min="7" max="7" width="26.109375" bestFit="1" customWidth="1"/>
    <col min="8" max="8" width="27.44140625" bestFit="1" customWidth="1"/>
    <col min="9" max="9" width="26.33203125" bestFit="1" customWidth="1"/>
    <col min="10" max="10" width="28.33203125" bestFit="1" customWidth="1"/>
    <col min="11" max="11" width="28.44140625" bestFit="1" customWidth="1"/>
    <col min="12" max="12" width="26.33203125" bestFit="1" customWidth="1"/>
    <col min="13" max="13" width="23.109375" bestFit="1" customWidth="1"/>
    <col min="14" max="14" width="28.44140625" bestFit="1" customWidth="1"/>
    <col min="15" max="15" width="27.6640625" bestFit="1" customWidth="1"/>
    <col min="16" max="16" width="21.33203125" bestFit="1" customWidth="1"/>
  </cols>
  <sheetData>
    <row r="1" spans="1:17" x14ac:dyDescent="0.3">
      <c r="A1" s="55" t="s">
        <v>165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x14ac:dyDescent="0.3">
      <c r="A2" s="25" t="s">
        <v>0</v>
      </c>
      <c r="B2" s="25" t="s">
        <v>166</v>
      </c>
      <c r="C2" s="21" t="s">
        <v>122</v>
      </c>
      <c r="D2" s="21" t="s">
        <v>167</v>
      </c>
      <c r="E2" s="22" t="s">
        <v>168</v>
      </c>
      <c r="F2" s="21" t="s">
        <v>169</v>
      </c>
      <c r="G2" s="21" t="s">
        <v>170</v>
      </c>
      <c r="H2" s="23" t="s">
        <v>171</v>
      </c>
      <c r="I2" s="22" t="s">
        <v>172</v>
      </c>
      <c r="J2" s="23" t="s">
        <v>173</v>
      </c>
      <c r="K2" s="24" t="s">
        <v>174</v>
      </c>
      <c r="L2" s="23" t="s">
        <v>175</v>
      </c>
      <c r="M2" s="22" t="s">
        <v>176</v>
      </c>
      <c r="N2" s="23" t="s">
        <v>177</v>
      </c>
      <c r="O2" s="22" t="s">
        <v>178</v>
      </c>
      <c r="P2" s="24" t="s">
        <v>179</v>
      </c>
    </row>
    <row r="3" spans="1:17" ht="51.75" customHeight="1" x14ac:dyDescent="0.3">
      <c r="A3" s="25" t="s">
        <v>40</v>
      </c>
      <c r="B3" s="25" t="s">
        <v>166</v>
      </c>
      <c r="C3" s="11" t="s">
        <v>180</v>
      </c>
      <c r="D3" s="11" t="s">
        <v>181</v>
      </c>
      <c r="E3" s="12" t="s">
        <v>182</v>
      </c>
      <c r="F3" s="11" t="s">
        <v>183</v>
      </c>
      <c r="G3" s="11" t="s">
        <v>184</v>
      </c>
      <c r="H3" s="8" t="s">
        <v>185</v>
      </c>
      <c r="I3" s="12" t="s">
        <v>186</v>
      </c>
      <c r="J3" s="8" t="s">
        <v>187</v>
      </c>
      <c r="K3" s="9" t="s">
        <v>188</v>
      </c>
      <c r="L3" s="8" t="s">
        <v>189</v>
      </c>
      <c r="M3" s="12" t="s">
        <v>190</v>
      </c>
      <c r="N3" s="8" t="s">
        <v>191</v>
      </c>
      <c r="O3" s="12" t="s">
        <v>192</v>
      </c>
      <c r="P3" s="9" t="s">
        <v>193</v>
      </c>
    </row>
    <row r="4" spans="1:17" x14ac:dyDescent="0.3">
      <c r="A4" s="25" t="s">
        <v>80</v>
      </c>
      <c r="B4" s="25"/>
      <c r="C4" s="11" t="s">
        <v>194</v>
      </c>
      <c r="D4" s="11" t="s">
        <v>195</v>
      </c>
      <c r="E4" s="12" t="s">
        <v>196</v>
      </c>
      <c r="F4" s="11" t="s">
        <v>197</v>
      </c>
      <c r="G4" s="11" t="s">
        <v>198</v>
      </c>
      <c r="H4" s="8" t="s">
        <v>199</v>
      </c>
      <c r="I4" s="12" t="s">
        <v>200</v>
      </c>
      <c r="J4" s="8" t="s">
        <v>201</v>
      </c>
      <c r="K4" s="9" t="s">
        <v>202</v>
      </c>
      <c r="L4" s="8" t="s">
        <v>203</v>
      </c>
      <c r="M4" s="12" t="s">
        <v>204</v>
      </c>
      <c r="N4" s="8" t="s">
        <v>205</v>
      </c>
      <c r="O4" s="12" t="s">
        <v>206</v>
      </c>
      <c r="P4" s="9" t="s">
        <v>86</v>
      </c>
    </row>
    <row r="5" spans="1:17" x14ac:dyDescent="0.3">
      <c r="A5" s="25" t="s">
        <v>115</v>
      </c>
      <c r="B5" s="25" t="s">
        <v>116</v>
      </c>
      <c r="C5" s="5" t="s">
        <v>116</v>
      </c>
      <c r="D5" s="5" t="s">
        <v>116</v>
      </c>
      <c r="E5" s="7" t="s">
        <v>116</v>
      </c>
      <c r="F5" s="11" t="s">
        <v>118</v>
      </c>
      <c r="G5" s="11" t="s">
        <v>118</v>
      </c>
      <c r="H5" s="8" t="s">
        <v>118</v>
      </c>
      <c r="I5" s="7" t="s">
        <v>116</v>
      </c>
      <c r="J5" s="8" t="s">
        <v>117</v>
      </c>
      <c r="K5" s="6" t="s">
        <v>116</v>
      </c>
      <c r="L5" s="8" t="s">
        <v>116</v>
      </c>
      <c r="M5" s="12" t="s">
        <v>116</v>
      </c>
      <c r="N5" s="8" t="s">
        <v>117</v>
      </c>
      <c r="O5" s="12" t="s">
        <v>117</v>
      </c>
      <c r="P5" s="6" t="s">
        <v>116</v>
      </c>
    </row>
    <row r="7" spans="1:17" x14ac:dyDescent="0.3">
      <c r="B7" t="s">
        <v>121</v>
      </c>
      <c r="C7" t="s">
        <v>122</v>
      </c>
      <c r="E7" t="s">
        <v>196</v>
      </c>
      <c r="F7" s="33" t="s">
        <v>125</v>
      </c>
      <c r="G7" s="33" t="s">
        <v>207</v>
      </c>
      <c r="H7">
        <v>2</v>
      </c>
      <c r="I7" s="34">
        <v>46219</v>
      </c>
      <c r="J7" s="35">
        <f>+I7+1</f>
        <v>46220</v>
      </c>
      <c r="K7" s="34">
        <f>+I7+116</f>
        <v>46335</v>
      </c>
      <c r="L7" s="34">
        <f>+I7+28</f>
        <v>46247</v>
      </c>
      <c r="M7" s="36" t="s">
        <v>208</v>
      </c>
      <c r="N7" t="b">
        <v>1</v>
      </c>
      <c r="O7" s="36" t="s">
        <v>209</v>
      </c>
      <c r="P7">
        <v>5</v>
      </c>
    </row>
    <row r="8" spans="1:17" x14ac:dyDescent="0.3">
      <c r="O8" s="36"/>
    </row>
    <row r="9" spans="1:17" x14ac:dyDescent="0.3">
      <c r="B9" t="str">
        <f>+'Animal Register'!B8</f>
        <v>P26302</v>
      </c>
      <c r="C9" t="s">
        <v>137</v>
      </c>
      <c r="E9" t="s">
        <v>196</v>
      </c>
      <c r="F9" s="44" t="s">
        <v>125</v>
      </c>
      <c r="G9" s="33" t="s">
        <v>207</v>
      </c>
      <c r="H9">
        <v>1</v>
      </c>
      <c r="I9" s="34">
        <f>+'Animal Register'!F8+(31*7)</f>
        <v>46243</v>
      </c>
      <c r="J9" s="40" t="s">
        <v>128</v>
      </c>
      <c r="K9" s="34">
        <f>+I9+116</f>
        <v>46359</v>
      </c>
      <c r="L9" s="34">
        <f>+I9+28</f>
        <v>46271</v>
      </c>
      <c r="M9" s="36" t="s">
        <v>208</v>
      </c>
      <c r="N9" t="b">
        <v>1</v>
      </c>
      <c r="O9" s="36" t="s">
        <v>209</v>
      </c>
      <c r="P9">
        <v>0</v>
      </c>
    </row>
    <row r="10" spans="1:17" x14ac:dyDescent="0.3">
      <c r="J10" s="40"/>
      <c r="L10" s="34"/>
      <c r="O10" s="36"/>
    </row>
    <row r="11" spans="1:17" x14ac:dyDescent="0.3">
      <c r="B11" t="str">
        <f>+'Animal Register'!B10</f>
        <v>P25003</v>
      </c>
      <c r="C11" t="s">
        <v>137</v>
      </c>
      <c r="E11" t="s">
        <v>196</v>
      </c>
      <c r="F11" s="44" t="s">
        <v>125</v>
      </c>
      <c r="G11" s="33" t="s">
        <v>207</v>
      </c>
      <c r="H11">
        <v>1</v>
      </c>
      <c r="I11" s="34">
        <f>+'Animal Register'!F10+(31*7)</f>
        <v>46185</v>
      </c>
      <c r="J11" s="40" t="s">
        <v>128</v>
      </c>
      <c r="K11" s="34">
        <f>+I11+116</f>
        <v>46301</v>
      </c>
      <c r="L11" s="34">
        <f>+I11+28</f>
        <v>46213</v>
      </c>
      <c r="M11" s="36" t="s">
        <v>208</v>
      </c>
      <c r="N11" t="b">
        <v>1</v>
      </c>
      <c r="O11" s="36" t="s">
        <v>209</v>
      </c>
      <c r="P11">
        <v>0</v>
      </c>
    </row>
    <row r="12" spans="1:17" x14ac:dyDescent="0.3">
      <c r="J12" s="40"/>
      <c r="L12" s="34"/>
      <c r="O12" s="36"/>
    </row>
    <row r="13" spans="1:17" x14ac:dyDescent="0.3">
      <c r="B13" t="str">
        <f>+'Animal Register'!B12</f>
        <v>P2975</v>
      </c>
      <c r="C13" t="str">
        <f>+'Animal Register'!C12</f>
        <v>Gilt</v>
      </c>
      <c r="E13" t="s">
        <v>196</v>
      </c>
      <c r="F13" s="44" t="s">
        <v>125</v>
      </c>
      <c r="G13" s="33" t="s">
        <v>210</v>
      </c>
      <c r="H13">
        <v>2</v>
      </c>
      <c r="I13" s="34">
        <f>+'Animal Register'!F12+(31*7)</f>
        <v>46134</v>
      </c>
      <c r="J13" s="41">
        <f>+I13+1</f>
        <v>46135</v>
      </c>
      <c r="K13" s="34">
        <f>+I13+116</f>
        <v>46250</v>
      </c>
      <c r="L13" s="34">
        <f t="shared" ref="L13" si="0">+I13+28</f>
        <v>46162</v>
      </c>
      <c r="M13" s="36" t="s">
        <v>208</v>
      </c>
      <c r="N13" t="b">
        <v>1</v>
      </c>
      <c r="O13" s="36" t="s">
        <v>209</v>
      </c>
      <c r="P13">
        <v>1</v>
      </c>
    </row>
    <row r="15" spans="1:17" x14ac:dyDescent="0.3">
      <c r="B15" t="str">
        <f>+'Animal Register'!B14</f>
        <v>NB0552</v>
      </c>
      <c r="C15" t="str">
        <f>+'Animal Register'!C14</f>
        <v>SOW</v>
      </c>
      <c r="E15" t="s">
        <v>196</v>
      </c>
      <c r="F15" s="44" t="s">
        <v>125</v>
      </c>
      <c r="G15" s="33" t="s">
        <v>210</v>
      </c>
      <c r="H15">
        <v>2</v>
      </c>
      <c r="I15" s="34">
        <v>46244</v>
      </c>
      <c r="J15" s="41">
        <f>+I15+1</f>
        <v>46245</v>
      </c>
      <c r="K15" s="34">
        <f>+I15+116</f>
        <v>46360</v>
      </c>
      <c r="L15" s="34">
        <f t="shared" ref="L15" si="1">+I15+28</f>
        <v>46272</v>
      </c>
      <c r="M15" s="36" t="s">
        <v>208</v>
      </c>
      <c r="N15" s="40" t="s">
        <v>211</v>
      </c>
      <c r="O15" s="36"/>
      <c r="P15">
        <v>5</v>
      </c>
    </row>
    <row r="18" spans="1:4" ht="15" thickBot="1" x14ac:dyDescent="0.35">
      <c r="D18" s="40"/>
    </row>
    <row r="19" spans="1:4" ht="16.2" thickTop="1" x14ac:dyDescent="0.3">
      <c r="A19" s="45" t="s">
        <v>158</v>
      </c>
      <c r="B19" s="46"/>
      <c r="C19" s="46"/>
      <c r="D19" s="47"/>
    </row>
    <row r="20" spans="1:4" x14ac:dyDescent="0.3">
      <c r="A20" s="48"/>
      <c r="D20" s="49"/>
    </row>
    <row r="21" spans="1:4" ht="15.6" x14ac:dyDescent="0.3">
      <c r="A21" s="50" t="s">
        <v>159</v>
      </c>
      <c r="D21" s="49"/>
    </row>
    <row r="22" spans="1:4" x14ac:dyDescent="0.3">
      <c r="A22" s="48"/>
      <c r="D22" s="49"/>
    </row>
    <row r="23" spans="1:4" ht="15.6" x14ac:dyDescent="0.3">
      <c r="A23" s="50" t="s">
        <v>160</v>
      </c>
      <c r="D23" s="49"/>
    </row>
    <row r="24" spans="1:4" x14ac:dyDescent="0.3">
      <c r="A24" s="48"/>
      <c r="B24" s="51" t="s">
        <v>161</v>
      </c>
      <c r="D24" s="49"/>
    </row>
    <row r="25" spans="1:4" x14ac:dyDescent="0.3">
      <c r="A25" s="48"/>
      <c r="D25" s="49"/>
    </row>
    <row r="26" spans="1:4" ht="15.6" x14ac:dyDescent="0.3">
      <c r="A26" s="50" t="s">
        <v>162</v>
      </c>
      <c r="D26" s="49"/>
    </row>
    <row r="27" spans="1:4" x14ac:dyDescent="0.3">
      <c r="A27" s="48"/>
      <c r="B27" s="51" t="s">
        <v>163</v>
      </c>
      <c r="D27" s="49"/>
    </row>
    <row r="28" spans="1:4" x14ac:dyDescent="0.3">
      <c r="A28" s="48"/>
      <c r="D28" s="49"/>
    </row>
    <row r="29" spans="1:4" ht="15.6" x14ac:dyDescent="0.3">
      <c r="A29" s="50" t="s">
        <v>164</v>
      </c>
      <c r="D29" s="49"/>
    </row>
    <row r="30" spans="1:4" x14ac:dyDescent="0.3">
      <c r="A30" s="48"/>
      <c r="D30" s="49"/>
    </row>
    <row r="31" spans="1:4" ht="15" thickBot="1" x14ac:dyDescent="0.35">
      <c r="A31" s="52"/>
      <c r="B31" s="53"/>
      <c r="C31" s="53"/>
      <c r="D31" s="54"/>
    </row>
    <row r="32" spans="1:4" ht="15" thickTop="1" x14ac:dyDescent="0.3"/>
  </sheetData>
  <mergeCells count="1">
    <mergeCell ref="A1:Q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4.xml>��
</file>

<file path=customXml/itemProps1.xml><?xml version="1.0" encoding="utf-8"?>
<ds:datastoreItem xmlns:ds="http://schemas.openxmlformats.org/officeDocument/2006/customXml" ds:itemID="{E8B9EFFF-00D8-4B15-9687-3980AEBF961B}"/>
</file>

<file path=customXml/itemProps2.xml><?xml version="1.0" encoding="utf-8"?>
<ds:datastoreItem xmlns:ds="http://schemas.openxmlformats.org/officeDocument/2006/customXml" ds:itemID="{D41CE624-0CAE-44FF-97AE-0BE2296CAA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2D1635-5729-4393-A801-C1E15CF6DA4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DB15FB43-EE67-4D45-AD9F-39415F9D20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Animal Register</vt:lpstr>
      <vt:lpstr>Sheet1</vt:lpstr>
      <vt:lpstr> Breeding Record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2026-08-17T18:24:52Z</dcterms:created>
  <dcterms:modified xsi:type="dcterms:W3CDTF">2026-09-09T14:20:48Z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