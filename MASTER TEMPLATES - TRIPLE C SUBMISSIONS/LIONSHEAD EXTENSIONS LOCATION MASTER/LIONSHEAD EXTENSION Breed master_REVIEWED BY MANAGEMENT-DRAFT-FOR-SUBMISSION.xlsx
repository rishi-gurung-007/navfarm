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plecpigs-my.sharepoint.com/personal/johan_grasmere_co_zw/Documents/Desktop/Navfarm/Breedmaster/"/>
    </mc:Choice>
  </mc:AlternateContent>
  <xr:revisionPtr revIDLastSave="0" documentId="8_{EF678574-BAE2-4F92-9ABE-E52A901D6747}" xr6:coauthVersionLast="47" xr6:coauthVersionMax="47" xr10:uidLastSave="{00000000-0000-0000-0000-000000000000}"/>
  <bookViews>
    <workbookView xWindow="-120" yWindow="-120" windowWidth="20730" windowHeight="11040" tabRatio="760" activeTab="1" xr2:uid="{00000000-000D-0000-FFFF-FFFF00000000}"/>
  </bookViews>
  <sheets>
    <sheet name="Breed Master" sheetId="2" r:id="rId1"/>
    <sheet name="Breeder L-cycle stages -WeanGro" sheetId="13" r:id="rId2"/>
    <sheet name="Medication Table" sheetId="5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7" i="2" l="1"/>
  <c r="AE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520978D3-7AE6-4C5C-90FA-283421CCD7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Measurement field TBD</t>
        </r>
      </text>
    </comment>
  </commentList>
</comments>
</file>

<file path=xl/sharedStrings.xml><?xml version="1.0" encoding="utf-8"?>
<sst xmlns="http://schemas.openxmlformats.org/spreadsheetml/2006/main" count="768" uniqueCount="274">
  <si>
    <t>Field Name</t>
  </si>
  <si>
    <t>Breed Code</t>
  </si>
  <si>
    <t>Breed Name</t>
  </si>
  <si>
    <t>STAGES</t>
  </si>
  <si>
    <t>Gestation Days</t>
  </si>
  <si>
    <t>Lactation Days</t>
  </si>
  <si>
    <t>Productive Life Months</t>
  </si>
  <si>
    <t>Residual Value Amount</t>
  </si>
  <si>
    <t>Productive Life Cycles</t>
  </si>
  <si>
    <t>Avg Litter Size Born</t>
  </si>
  <si>
    <t>Avg Litter Size Weaned</t>
  </si>
  <si>
    <t>Avg Weaning Weight KG</t>
  </si>
  <si>
    <t>Farrowing Rate %</t>
  </si>
  <si>
    <t>Boar Doses Per Week</t>
  </si>
  <si>
    <t>Boar Productive Life Months</t>
  </si>
  <si>
    <t>Vaccination Schedule</t>
  </si>
  <si>
    <t>Blocked</t>
  </si>
  <si>
    <t>Description</t>
  </si>
  <si>
    <t>Short unique code per tenant.</t>
  </si>
  <si>
    <t>Full breed name.</t>
  </si>
  <si>
    <t>NEW: Species within the LOB. SOW / BOAR / GILT / PIGLET / COMMERCIAL_PIG for piggery.</t>
  </si>
  <si>
    <t>Standard gestation period in days. 114 days for pigs = 3 months 3 weeks 3 days.</t>
  </si>
  <si>
    <t>Standard nursing or lactation duration in days.</t>
  </si>
  <si>
    <t>Productive life in months. Amortisation denominator.</t>
  </si>
  <si>
    <t>Salvage value as percent of total opening asset value.</t>
  </si>
  <si>
    <t>Expected number of parities in productive life.</t>
  </si>
  <si>
    <t>Average piglets born live per farrowing. KPI target.</t>
  </si>
  <si>
    <t>Average piglets weaned per litter. Used in output forecast.</t>
  </si>
  <si>
    <t>Standard piglet weight at weaning. KPI target.</t>
  </si>
  <si>
    <t>Percent of AI or matings resulting in successful farrowing.</t>
  </si>
  <si>
    <t>For BOAR species - expected semen doses collected per week. KPI target.</t>
  </si>
  <si>
    <t>Boar productive life in months for amortisation.</t>
  </si>
  <si>
    <t>Standard lifetime vaccination schedule. Auto-populates scheduler params on batch create.</t>
  </si>
  <si>
    <t>From File 2.</t>
  </si>
  <si>
    <t>Example Value</t>
  </si>
  <si>
    <t>LARGE_WHITE / LANDRACE / DUROC</t>
  </si>
  <si>
    <t>Large White</t>
  </si>
  <si>
    <t>SOW</t>
  </si>
  <si>
    <t>114</t>
  </si>
  <si>
    <t>28</t>
  </si>
  <si>
    <t>36</t>
  </si>
  <si>
    <t>10.00</t>
  </si>
  <si>
    <t>7</t>
  </si>
  <si>
    <t>11.50</t>
  </si>
  <si>
    <t>7.000</t>
  </si>
  <si>
    <t>85.00</t>
  </si>
  <si>
    <t>4.00</t>
  </si>
  <si>
    <t>[{"age_days":21,"vaccine_item_id":"...","dose_ml":2,"route":"IM"}]</t>
  </si>
  <si>
    <t>Mandatory</t>
  </si>
  <si>
    <t>YES</t>
  </si>
  <si>
    <t>NO</t>
  </si>
  <si>
    <t>COND</t>
  </si>
  <si>
    <t>Lifecycle ID</t>
  </si>
  <si>
    <t>Breed</t>
  </si>
  <si>
    <t>CATEGORY</t>
  </si>
  <si>
    <t>Stage Name</t>
  </si>
  <si>
    <t>Calculation Unit</t>
  </si>
  <si>
    <t>Period From</t>
  </si>
  <si>
    <t>Period To</t>
  </si>
  <si>
    <t>Feed Item</t>
  </si>
  <si>
    <t>Feed Qty Per Head Per Day KG</t>
  </si>
  <si>
    <t>Std Body Weight KG</t>
  </si>
  <si>
    <t>Std ADG grams per day</t>
  </si>
  <si>
    <t>Std FCR</t>
  </si>
  <si>
    <t>Std Mortality Rate Pct</t>
  </si>
  <si>
    <t>Output Item</t>
  </si>
  <si>
    <t>Std Output Qty</t>
  </si>
  <si>
    <t>Medication Protocol</t>
  </si>
  <si>
    <t>Primary key.</t>
  </si>
  <si>
    <t>Which breed this standard is for.</t>
  </si>
  <si>
    <t>Which batch stage. Must match production_batches.stage values.</t>
  </si>
  <si>
    <t>Unit for from/to range. Determines how scheduler parameters are generated.</t>
  </si>
  <si>
    <t>Start of this standard range in calc_unit.</t>
  </si>
  <si>
    <t>End of this standard range.</t>
  </si>
  <si>
    <t>Standard feed item for this stage and week range. Lookup from item_master category = FEED.</t>
  </si>
  <si>
    <t>Standard feed quantity per animal per day. Scheduler CONSUMPTION parameter standard_qty = this times batch.current_count.</t>
  </si>
  <si>
    <t>Expected average body weight at end of this week range. KPI target.</t>
  </si>
  <si>
    <t>Standard Average Daily Gain. Alert if actual ADG falls below this.</t>
  </si>
  <si>
    <t>Standard Feed Conversion Ratio. Alert if actual FCR exceeds this.</t>
  </si>
  <si>
    <t>Acceptable mortality percentage for this stage per week.</t>
  </si>
  <si>
    <t>Expected output item at this stage. Used in output forecast.</t>
  </si>
  <si>
    <t>Expected output per animal or sow at end of stage.</t>
  </si>
  <si>
    <t>Standard medication schedule for this stage. Auto-populates CONSUMPTION params on batch create.</t>
  </si>
  <si>
    <t>uuid-lc-001</t>
  </si>
  <si>
    <t>uuid-breed-01</t>
  </si>
  <si>
    <t>QUARANTINE / GILT_GROWER / FLUSH / GESTATION / FARROWING / WEANING / BOAR_AI / CB_GROWER / SLAUGHTER</t>
  </si>
  <si>
    <t>DAY / WEEK / MONTH</t>
  </si>
  <si>
    <t>1</t>
  </si>
  <si>
    <t>11</t>
  </si>
  <si>
    <t>uuid-item-gest-feed</t>
  </si>
  <si>
    <t>2.5000</t>
  </si>
  <si>
    <t>45.000</t>
  </si>
  <si>
    <t>800.00</t>
  </si>
  <si>
    <t>2.400</t>
  </si>
  <si>
    <t>0.500</t>
  </si>
  <si>
    <t>uuid-item-piglet / uuid-item-semen-dose</t>
  </si>
  <si>
    <t>[{"item_id":"...","dose_ml":5,"freq":"ONCE","age_day":7,"route":"IM"}]</t>
  </si>
  <si>
    <t>Farm / location</t>
  </si>
  <si>
    <t>3rd vaccination (Every pregnancy cycle) 14 weeks preg farrowsure</t>
  </si>
  <si>
    <t>weeks</t>
  </si>
  <si>
    <t>N/A</t>
  </si>
  <si>
    <t>Expected average body weight at start of this week range. KPI target.</t>
  </si>
  <si>
    <t>location</t>
  </si>
  <si>
    <t>sub sub location</t>
  </si>
  <si>
    <t>feed bulk /bagged</t>
  </si>
  <si>
    <t>feed silo to draw from</t>
  </si>
  <si>
    <t>Sub location</t>
  </si>
  <si>
    <t>Avg litter total born</t>
  </si>
  <si>
    <t># Born dead</t>
  </si>
  <si>
    <t># mummified piglets</t>
  </si>
  <si>
    <t xml:space="preserve"># of piglets born dead </t>
  </si>
  <si>
    <t xml:space="preserve">total born is the figure that includes Born live, born dead and mummified </t>
  </si>
  <si>
    <t>mortaltiy %</t>
  </si>
  <si>
    <t>Mortaltiy % between date of farrow and weaning</t>
  </si>
  <si>
    <t>total litter mass of the piglets weaned per sow</t>
  </si>
  <si>
    <t>SO's for the week</t>
  </si>
  <si>
    <t>w/s/y</t>
  </si>
  <si>
    <t>taken from pig expert</t>
  </si>
  <si>
    <t>litter index</t>
  </si>
  <si>
    <t>empty days</t>
  </si>
  <si>
    <t>70 day weight</t>
  </si>
  <si>
    <t>70 day gain</t>
  </si>
  <si>
    <t>weaner FCE</t>
  </si>
  <si>
    <t>weaner mortaltiy</t>
  </si>
  <si>
    <t>Grower FCE</t>
  </si>
  <si>
    <t>Grower mortality</t>
  </si>
  <si>
    <t>AVG CDM to colcom</t>
  </si>
  <si>
    <t>Grower ADG</t>
  </si>
  <si>
    <t>4 weeks of age</t>
  </si>
  <si>
    <t>10 weeks of age</t>
  </si>
  <si>
    <t>10 week old pigs</t>
  </si>
  <si>
    <t>slaughter batch</t>
  </si>
  <si>
    <t>Growers to colcom against budget</t>
  </si>
  <si>
    <t>Avg CDM against budget</t>
  </si>
  <si>
    <t>kgs against budget</t>
  </si>
  <si>
    <t>sows not come on heat by the following Thursday of what was weaned</t>
  </si>
  <si>
    <t>Vaccine porcillus 13 weeks pregnant every pregnancy cycle</t>
  </si>
  <si>
    <t>Weaner</t>
  </si>
  <si>
    <t>Grower</t>
  </si>
  <si>
    <t>Colcom</t>
  </si>
  <si>
    <t>Vaccine porcillus 11 weeks pregnant every pregnancy cycle</t>
  </si>
  <si>
    <t># of mummies</t>
  </si>
  <si>
    <t>Problem</t>
  </si>
  <si>
    <t>Drug</t>
  </si>
  <si>
    <t>Dose-small</t>
  </si>
  <si>
    <t>Dose-med</t>
  </si>
  <si>
    <t>Dose large</t>
  </si>
  <si>
    <t>Repeat</t>
  </si>
  <si>
    <t>Scour</t>
  </si>
  <si>
    <t>Advocin</t>
  </si>
  <si>
    <t>0.5ml</t>
  </si>
  <si>
    <t>0.75ml</t>
  </si>
  <si>
    <t>1ml</t>
  </si>
  <si>
    <t>every day for 3 days, if needed</t>
  </si>
  <si>
    <t>Swollen joint</t>
  </si>
  <si>
    <t>Lincomycin</t>
  </si>
  <si>
    <t>1.5ml</t>
  </si>
  <si>
    <t>2ml</t>
  </si>
  <si>
    <t xml:space="preserve">                   - alternative</t>
  </si>
  <si>
    <t>Penstrep</t>
  </si>
  <si>
    <t>after 3 days, if needed</t>
  </si>
  <si>
    <t>Ketoprofen</t>
  </si>
  <si>
    <t>0.2ml</t>
  </si>
  <si>
    <t>0.4ml</t>
  </si>
  <si>
    <t>after 24hrs, if needed</t>
  </si>
  <si>
    <t>Cough</t>
  </si>
  <si>
    <t>Amoxy</t>
  </si>
  <si>
    <t>after 2 days, if needed</t>
  </si>
  <si>
    <t>Injury/skin lesion</t>
  </si>
  <si>
    <t xml:space="preserve">                       -if bad</t>
  </si>
  <si>
    <t>Tail Bite</t>
  </si>
  <si>
    <t>Stokholm Tar</t>
  </si>
  <si>
    <t>Paint on to tail every day</t>
  </si>
  <si>
    <t>Meningitis</t>
  </si>
  <si>
    <t>22 weeks</t>
  </si>
  <si>
    <t>1st vaccine - farrowsure (gilt) 24 weeks</t>
  </si>
  <si>
    <t>2nd vaccine - Farrowsure (gilt) 27 weeks</t>
  </si>
  <si>
    <t>5ml</t>
  </si>
  <si>
    <t>Alamycin LA</t>
  </si>
  <si>
    <t>BULK</t>
  </si>
  <si>
    <t>4wks(8 days) - Creep2, 5 to 6wks (14 days) - creep 3, 7 to 10wks (17 days) - Wean 1</t>
  </si>
  <si>
    <t>Creep 2-0.48, Creep 3- 0.94, wean 1- 1.1</t>
  </si>
  <si>
    <t>SEE WEANER TREATMENT SHEET</t>
  </si>
  <si>
    <t xml:space="preserve"> </t>
  </si>
  <si>
    <t>Weaners</t>
  </si>
  <si>
    <t>Growers</t>
  </si>
  <si>
    <t>Before 17 weeks</t>
  </si>
  <si>
    <t>Dose -small</t>
  </si>
  <si>
    <t>Dose - med</t>
  </si>
  <si>
    <t>Scour - Lawsonia</t>
  </si>
  <si>
    <t>3ml</t>
  </si>
  <si>
    <t>7ml</t>
  </si>
  <si>
    <t>if more then 2 in pen</t>
  </si>
  <si>
    <t>OTC in feed</t>
  </si>
  <si>
    <t>4g/pig/day</t>
  </si>
  <si>
    <t>minimum 3 days</t>
  </si>
  <si>
    <t xml:space="preserve">                      - alternative</t>
  </si>
  <si>
    <t>0.7ml</t>
  </si>
  <si>
    <t>1.3ml</t>
  </si>
  <si>
    <t>Injury/skin lesions</t>
  </si>
  <si>
    <t>Paint onto tail every day</t>
  </si>
  <si>
    <t>After 17 weeks</t>
  </si>
  <si>
    <t>Dose x large</t>
  </si>
  <si>
    <t>Withdrawal</t>
  </si>
  <si>
    <t>Option 1</t>
  </si>
  <si>
    <t>Depocillin</t>
  </si>
  <si>
    <t>4ml</t>
  </si>
  <si>
    <t>5 Days</t>
  </si>
  <si>
    <t>Option 2 (severe case)</t>
  </si>
  <si>
    <t>Cobactan</t>
  </si>
  <si>
    <t>10weeks (14days) - Wean 1 (OTC), 12weeks (14days) - Grower 1, 14weeks (14 days) - Grower 2, 16weeks (10days) - Grower 3, 17weeks (28days) - Finisher</t>
  </si>
  <si>
    <t>wean 1 otc (10weeks)-1.6, wean 1 otc(11weeks)-1.7, grower 1(12weeks)-2.2, grower 1(13weeks)-2.5, grower 2 (14weeks)-2.6, grower 2(15weeks)-2.7, grower 3(16weeks)-2.9, grower 3(17-18weeks)-3.1, finisher(19-22)-3.1</t>
  </si>
  <si>
    <t>1.100 (alert - below 1.0)</t>
  </si>
  <si>
    <t>2.4 (alert above 2.45)</t>
  </si>
  <si>
    <t>SEE GROWER TREATMENT SHEET</t>
  </si>
  <si>
    <t>wean 1 otc (10weeks)-1.6, wean 1 otc(11weeks)-1.7, grower 1(12weeks)-2.2, grower 1(13weeks)-2.5, grower 2 (14weeks)-2.6, grower 2(15weeks)-2.7, grower 3(16weeks)-2.9, grower 3(17-18weeks)-3.1, finisher(19-22)-3.2</t>
  </si>
  <si>
    <t>wean 1 otc (10weeks)-1.6, wean 1 otc(11weeks)-1.7, grower 1(12weeks)-2.2, grower 1(13weeks)-2.5, grower 2 (14weeks)-2.6, grower 2(15weeks)-2.7, grower 3(16weeks)-2.9, grower 3(17-18weeks)-3.1, finisher(19-22)-3.3</t>
  </si>
  <si>
    <t>wean 1 otc (10weeks)-1.6, wean 1 otc(11weeks)-1.7, grower 1(12weeks)-2.2, grower 1(13weeks)-2.5, grower 2 (14weeks)-2.6, grower 2(15weeks)-2.7, grower 3(16weeks)-2.9, grower 3(17-18weeks)-3.1, finisher(19-22)-3.4</t>
  </si>
  <si>
    <t>wean 1 otc (10weeks)-1.6, wean 1 otc(11weeks)-1.7, grower 1(12weeks)-2.2, grower 1(13weeks)-2.5, grower 2 (14weeks)-2.6, grower 2(15weeks)-2.7, grower 3(16weeks)-2.9, grower 3(17-18weeks)-3.1, finisher(19-22)-3.5</t>
  </si>
  <si>
    <t>wean 1 otc (10weeks)-1.6, wean 1 otc(11weeks)-1.7, grower 1(12weeks)-2.2, grower 1(13weeks)-2.5, grower 2 (14weeks)-2.6, grower 2(15weeks)-2.7, grower 3(16weeks)-2.9, grower 3(17-18weeks)-3.1, finisher(19-22)-3.6</t>
  </si>
  <si>
    <t>wean 1 otc (10weeks)-1.6, wean 1 otc(11weeks)-1.7, grower 1(12weeks)-2.2, grower 1(13weeks)-2.5, grower 2 (14weeks)-2.6, grower 2(15weeks)-2.7, grower 3(16weeks)-2.9, grower 3(17-18weeks)-3.1, finisher(19-22)-3.7</t>
  </si>
  <si>
    <t>wean 1 otc (10weeks)-1.6, wean 1 otc(11weeks)-1.7, grower 1(12weeks)-2.2, grower 1(13weeks)-2.5, grower 2 (14weeks)-2.6, grower 2(15weeks)-2.7, grower 3(16weeks)-2.9, grower 3(17-18weeks)-3.1, finisher(19-22)-3.8</t>
  </si>
  <si>
    <t>wean 1 otc (10weeks)-1.6, wean 1 otc(11weeks)-1.7, grower 1(12weeks)-2.2, grower 1(13weeks)-2.5, grower 2 (14weeks)-2.6, grower 2(15weeks)-2.7, grower 3(16weeks)-2.9, grower 3(17-18weeks)-3.1, finisher(19-22)-3.9</t>
  </si>
  <si>
    <t>118 (range 112 to 128)</t>
  </si>
  <si>
    <t>Total weight gain for the period</t>
  </si>
  <si>
    <t>Expected Livestock Output</t>
  </si>
  <si>
    <t>CDM</t>
  </si>
  <si>
    <t>Kgs Sold/Sow/Year</t>
  </si>
  <si>
    <t>7.2 (range 7.0 to 7.5)</t>
  </si>
  <si>
    <t>28 (range 27to 29)</t>
  </si>
  <si>
    <t>0.539 (alert - below 0.460)</t>
  </si>
  <si>
    <t>1.45 (alert - above 1.52)</t>
  </si>
  <si>
    <t>10weeks of age</t>
  </si>
  <si>
    <t>29 (range 27to 29)</t>
  </si>
  <si>
    <t>30 (range 27to 29)</t>
  </si>
  <si>
    <t>31 (range 27to 29)</t>
  </si>
  <si>
    <t>32 (range 27to 29)</t>
  </si>
  <si>
    <t>33 (range 27to 29)</t>
  </si>
  <si>
    <t>34 (range 27to 29)</t>
  </si>
  <si>
    <t>35 (range 27to 29)</t>
  </si>
  <si>
    <t>36 (range 27to 29)</t>
  </si>
  <si>
    <t>37 (range 27to 29)</t>
  </si>
  <si>
    <t>38 (range 27to 29)</t>
  </si>
  <si>
    <t>39 (range 27to 29)</t>
  </si>
  <si>
    <t>LIONSHEAD - EXT</t>
  </si>
  <si>
    <t>LIONSHEAD EXTENSION</t>
  </si>
  <si>
    <t xml:space="preserve">BAGGED </t>
  </si>
  <si>
    <t>LXWH-01 - 02</t>
  </si>
  <si>
    <t>LXGH-01</t>
  </si>
  <si>
    <t>LXGH-02</t>
  </si>
  <si>
    <t>LXGH-03</t>
  </si>
  <si>
    <t>LXGH-04</t>
  </si>
  <si>
    <t>LXGH-05</t>
  </si>
  <si>
    <t>LXGH-06</t>
  </si>
  <si>
    <t>LXGH-07</t>
  </si>
  <si>
    <t>LXGH-08</t>
  </si>
  <si>
    <t>LXGH-09</t>
  </si>
  <si>
    <t>LXGH-10</t>
  </si>
  <si>
    <t>LXGH-11</t>
  </si>
  <si>
    <t>LXGH-12</t>
  </si>
  <si>
    <t>LXGS1</t>
  </si>
  <si>
    <t>LXGS2</t>
  </si>
  <si>
    <t>LXGS3</t>
  </si>
  <si>
    <t>LXGS4</t>
  </si>
  <si>
    <t>LXGS5</t>
  </si>
  <si>
    <t>LXGS6</t>
  </si>
  <si>
    <t>LXGS7</t>
  </si>
  <si>
    <t>LXGS8</t>
  </si>
  <si>
    <t>LXGS9</t>
  </si>
  <si>
    <t>LXGS10</t>
  </si>
  <si>
    <t>LXGS11</t>
  </si>
  <si>
    <t>LXGS12</t>
  </si>
  <si>
    <t xml:space="preserve">22 weeks </t>
  </si>
  <si>
    <t>weaner / grower 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</si>
</sst>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14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8"/>
      <color indexed="8"/>
      <name val="Calibri"/>
      <family val="2"/>
    </font>
    <font>
      <b/>
      <sz val="18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2E86C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2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4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0" fillId="0" borderId="0" xfId="0" applyFont="1"/>
    <xf numFmtId="166" fontId="0" fillId="0" borderId="0" xfId="0" applyNumberFormat="1"/>
    <xf numFmtId="0" fontId="7" fillId="0" borderId="0" xfId="0" applyFont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0" fillId="10" borderId="18" xfId="0" applyFill="1" applyBorder="1"/>
    <xf numFmtId="0" fontId="0" fillId="10" borderId="16" xfId="0" applyFill="1" applyBorder="1"/>
    <xf numFmtId="0" fontId="12" fillId="0" borderId="0" xfId="0" applyFont="1"/>
    <xf numFmtId="0" fontId="0" fillId="0" borderId="19" xfId="0" applyBorder="1"/>
    <xf numFmtId="0" fontId="0" fillId="0" borderId="29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13" fillId="0" borderId="0" xfId="0" applyFont="1"/>
    <xf numFmtId="0" fontId="10" fillId="0" borderId="23" xfId="0" applyFont="1" applyBorder="1"/>
    <xf numFmtId="0" fontId="10" fillId="0" borderId="24" xfId="0" applyFont="1" applyBorder="1"/>
    <xf numFmtId="0" fontId="10" fillId="0" borderId="15" xfId="0" applyFont="1" applyBorder="1"/>
    <xf numFmtId="0" fontId="0" fillId="10" borderId="17" xfId="0" applyFill="1" applyBorder="1"/>
    <xf numFmtId="0" fontId="0" fillId="10" borderId="19" xfId="0" applyFill="1" applyBorder="1"/>
    <xf numFmtId="0" fontId="0" fillId="10" borderId="36" xfId="0" applyFill="1" applyBorder="1"/>
    <xf numFmtId="0" fontId="0" fillId="10" borderId="37" xfId="0" applyFill="1" applyBorder="1"/>
    <xf numFmtId="0" fontId="0" fillId="0" borderId="36" xfId="0" applyBorder="1"/>
    <xf numFmtId="0" fontId="0" fillId="0" borderId="37" xfId="0" applyBorder="1"/>
    <xf numFmtId="0" fontId="0" fillId="10" borderId="25" xfId="0" applyFill="1" applyBorder="1"/>
    <xf numFmtId="0" fontId="0" fillId="10" borderId="26" xfId="0" applyFill="1" applyBorder="1"/>
    <xf numFmtId="0" fontId="0" fillId="10" borderId="22" xfId="0" applyFill="1" applyBorder="1"/>
    <xf numFmtId="0" fontId="0" fillId="10" borderId="5" xfId="0" applyFill="1" applyBorder="1"/>
    <xf numFmtId="0" fontId="0" fillId="10" borderId="6" xfId="0" applyFill="1" applyBorder="1"/>
    <xf numFmtId="0" fontId="0" fillId="0" borderId="13" xfId="0" applyBorder="1"/>
    <xf numFmtId="0" fontId="10" fillId="0" borderId="12" xfId="0" applyFont="1" applyBorder="1"/>
    <xf numFmtId="0" fontId="10" fillId="0" borderId="11" xfId="0" applyFont="1" applyBorder="1"/>
    <xf numFmtId="0" fontId="0" fillId="11" borderId="20" xfId="0" applyFill="1" applyBorder="1"/>
    <xf numFmtId="0" fontId="0" fillId="11" borderId="21" xfId="0" applyFill="1" applyBorder="1"/>
    <xf numFmtId="0" fontId="0" fillId="11" borderId="22" xfId="0" applyFill="1" applyBorder="1"/>
    <xf numFmtId="0" fontId="0" fillId="10" borderId="31" xfId="0" applyFill="1" applyBorder="1"/>
    <xf numFmtId="0" fontId="0" fillId="10" borderId="27" xfId="0" applyFill="1" applyBorder="1"/>
    <xf numFmtId="0" fontId="0" fillId="10" borderId="28" xfId="0" applyFill="1" applyBorder="1"/>
    <xf numFmtId="0" fontId="1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immyson_grasmere_co_zw/Documents/Documents/CCC/FY27/NAVFarm/Porta%20-%20KPI%20Triple%20C%20Pigs.xlsx" TargetMode="External"/><Relationship Id="rId2" Type="http://schemas.openxmlformats.org/officeDocument/2006/relationships/externalLinkPath" Target="https://triplecpigs-my.sharepoint.com/personal/jimmyson_grasmere_co_zw/Documents/Documents/CCC/FY27/NAVFarm/Porta%20-%20KPI%20Triple%20C%20Pigs.xlsx" TargetMode="External"/><Relationship Id="rId1" Type="http://schemas.openxmlformats.org/officeDocument/2006/relationships/externalLinkPath" Target="/personal/jimmyson_grasmere_co_zw/Documents/Documents/CCC/FY27/NAVFarm/Porta%20-%20KPI%20Triple%20C%20Pi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 refreshError="1">
        <row r="92">
          <cell r="E92">
            <v>1.5</v>
          </cell>
        </row>
        <row r="95">
          <cell r="E95">
            <v>1.1000000000000001</v>
          </cell>
        </row>
        <row r="98">
          <cell r="E98">
            <v>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"/>
  <sheetViews>
    <sheetView topLeftCell="A2" zoomScaleNormal="100" workbookViewId="0">
      <pane xSplit="3" ySplit="4" topLeftCell="D6" activePane="bottomRight" state="frozen"/>
      <selection activeCell="A2" sqref="A2"/>
      <selection pane="topRight" activeCell="D2" sqref="D2"/>
      <selection pane="bottomLeft" activeCell="A5" sqref="A5"/>
      <selection pane="bottomRight" activeCell="C11" sqref="C11"/>
    </sheetView>
  </sheetViews>
  <sheetFormatPr defaultColWidth="23.5703125" defaultRowHeight="15" customHeight="1" x14ac:dyDescent="0.25"/>
  <cols>
    <col min="1" max="1" width="10.85546875" bestFit="1" customWidth="1"/>
    <col min="2" max="2" width="17.140625" customWidth="1"/>
    <col min="3" max="3" width="13.7109375" customWidth="1"/>
    <col min="4" max="4" width="18.28515625" customWidth="1"/>
    <col min="5" max="5" width="19" customWidth="1"/>
    <col min="6" max="6" width="14.140625" customWidth="1"/>
    <col min="7" max="9" width="14.7109375" customWidth="1"/>
    <col min="10" max="10" width="18" customWidth="1"/>
    <col min="11" max="11" width="19.140625" customWidth="1"/>
    <col min="12" max="12" width="13.42578125" customWidth="1"/>
    <col min="13" max="15" width="12.5703125" customWidth="1"/>
    <col min="16" max="16" width="16.85546875" customWidth="1"/>
    <col min="17" max="17" width="13.7109375" customWidth="1"/>
    <col min="18" max="18" width="20.85546875" customWidth="1"/>
    <col min="19" max="19" width="13.28515625" customWidth="1"/>
    <col min="20" max="20" width="17.140625" customWidth="1"/>
    <col min="21" max="21" width="15.85546875" customWidth="1"/>
    <col min="22" max="22" width="14.85546875" customWidth="1"/>
    <col min="23" max="32" width="22.42578125" customWidth="1"/>
    <col min="33" max="33" width="19.140625" bestFit="1" customWidth="1"/>
    <col min="34" max="34" width="35.28515625" customWidth="1"/>
    <col min="35" max="35" width="33.42578125" customWidth="1"/>
    <col min="36" max="36" width="38.28515625" customWidth="1"/>
    <col min="37" max="37" width="29.28515625" customWidth="1"/>
    <col min="38" max="38" width="39" customWidth="1"/>
    <col min="39" max="39" width="8.42578125" bestFit="1" customWidth="1"/>
  </cols>
  <sheetData>
    <row r="1" spans="1:39" ht="24" x14ac:dyDescent="0.25">
      <c r="A1" s="16" t="s">
        <v>0</v>
      </c>
      <c r="B1" s="12" t="s">
        <v>1</v>
      </c>
      <c r="C1" s="13" t="s">
        <v>2</v>
      </c>
      <c r="D1" s="12" t="s">
        <v>3</v>
      </c>
      <c r="E1" s="13" t="s">
        <v>4</v>
      </c>
      <c r="F1" s="12" t="s">
        <v>5</v>
      </c>
      <c r="G1" s="13" t="s">
        <v>6</v>
      </c>
      <c r="H1" s="18" t="s">
        <v>7</v>
      </c>
      <c r="I1" s="13" t="s">
        <v>8</v>
      </c>
      <c r="J1" s="13" t="s">
        <v>97</v>
      </c>
      <c r="K1" s="21" t="s">
        <v>107</v>
      </c>
      <c r="L1" s="12" t="s">
        <v>9</v>
      </c>
      <c r="M1" s="21" t="s">
        <v>108</v>
      </c>
      <c r="N1" s="21" t="s">
        <v>109</v>
      </c>
      <c r="O1" s="21" t="s">
        <v>112</v>
      </c>
      <c r="P1" s="13" t="s">
        <v>10</v>
      </c>
      <c r="Q1" s="12" t="s">
        <v>11</v>
      </c>
      <c r="R1" s="21" t="s">
        <v>114</v>
      </c>
      <c r="S1" s="13" t="s">
        <v>12</v>
      </c>
      <c r="T1" s="12" t="s">
        <v>13</v>
      </c>
      <c r="U1" s="21" t="s">
        <v>115</v>
      </c>
      <c r="V1" s="21" t="s">
        <v>116</v>
      </c>
      <c r="W1" s="21" t="s">
        <v>118</v>
      </c>
      <c r="X1" s="21" t="s">
        <v>119</v>
      </c>
      <c r="Y1" s="21" t="s">
        <v>120</v>
      </c>
      <c r="Z1" s="21" t="s">
        <v>121</v>
      </c>
      <c r="AA1" s="21" t="s">
        <v>122</v>
      </c>
      <c r="AB1" s="21" t="s">
        <v>123</v>
      </c>
      <c r="AC1" s="21" t="s">
        <v>124</v>
      </c>
      <c r="AD1" s="21" t="s">
        <v>125</v>
      </c>
      <c r="AE1" s="21" t="s">
        <v>127</v>
      </c>
      <c r="AF1" s="21" t="s">
        <v>126</v>
      </c>
      <c r="AG1" s="13" t="s">
        <v>14</v>
      </c>
      <c r="AH1" s="12" t="s">
        <v>15</v>
      </c>
      <c r="AI1" s="21" t="s">
        <v>15</v>
      </c>
      <c r="AJ1" s="21" t="s">
        <v>15</v>
      </c>
      <c r="AK1" s="21" t="s">
        <v>15</v>
      </c>
      <c r="AL1" s="21" t="s">
        <v>15</v>
      </c>
      <c r="AM1" s="12" t="s">
        <v>16</v>
      </c>
    </row>
    <row r="2" spans="1:39" ht="24" x14ac:dyDescent="0.25">
      <c r="A2" s="16" t="s">
        <v>0</v>
      </c>
      <c r="B2" s="12" t="s">
        <v>1</v>
      </c>
      <c r="C2" s="13" t="s">
        <v>2</v>
      </c>
      <c r="D2" s="12" t="s">
        <v>3</v>
      </c>
      <c r="E2" s="13" t="s">
        <v>4</v>
      </c>
      <c r="F2" s="12" t="s">
        <v>5</v>
      </c>
      <c r="G2" s="13" t="s">
        <v>6</v>
      </c>
      <c r="H2" s="18" t="s">
        <v>7</v>
      </c>
      <c r="I2" s="13" t="s">
        <v>8</v>
      </c>
      <c r="J2" s="13" t="s">
        <v>97</v>
      </c>
      <c r="K2" s="21" t="s">
        <v>107</v>
      </c>
      <c r="L2" s="12" t="s">
        <v>9</v>
      </c>
      <c r="M2" s="21" t="s">
        <v>108</v>
      </c>
      <c r="N2" s="21" t="s">
        <v>109</v>
      </c>
      <c r="O2" s="21" t="s">
        <v>112</v>
      </c>
      <c r="P2" s="13" t="s">
        <v>10</v>
      </c>
      <c r="Q2" s="12" t="s">
        <v>11</v>
      </c>
      <c r="R2" s="21" t="s">
        <v>114</v>
      </c>
      <c r="S2" s="13" t="s">
        <v>12</v>
      </c>
      <c r="T2" s="12" t="s">
        <v>13</v>
      </c>
      <c r="U2" s="21" t="s">
        <v>115</v>
      </c>
      <c r="V2" s="21" t="s">
        <v>116</v>
      </c>
      <c r="W2" s="21" t="s">
        <v>118</v>
      </c>
      <c r="X2" s="21" t="s">
        <v>119</v>
      </c>
      <c r="Y2" s="21" t="s">
        <v>120</v>
      </c>
      <c r="Z2" s="21" t="s">
        <v>121</v>
      </c>
      <c r="AA2" s="21" t="s">
        <v>122</v>
      </c>
      <c r="AB2" s="21" t="s">
        <v>123</v>
      </c>
      <c r="AC2" s="21" t="s">
        <v>124</v>
      </c>
      <c r="AD2" s="21" t="s">
        <v>125</v>
      </c>
      <c r="AE2" s="21" t="s">
        <v>127</v>
      </c>
      <c r="AF2" s="21" t="s">
        <v>126</v>
      </c>
      <c r="AG2" s="13" t="s">
        <v>14</v>
      </c>
      <c r="AH2" s="12" t="s">
        <v>15</v>
      </c>
      <c r="AI2" s="21" t="s">
        <v>15</v>
      </c>
      <c r="AJ2" s="21" t="s">
        <v>15</v>
      </c>
      <c r="AK2" s="21" t="s">
        <v>15</v>
      </c>
      <c r="AL2" s="21" t="s">
        <v>15</v>
      </c>
      <c r="AM2" s="12" t="s">
        <v>16</v>
      </c>
    </row>
    <row r="3" spans="1:39" ht="60" x14ac:dyDescent="0.25">
      <c r="A3" s="16" t="s">
        <v>17</v>
      </c>
      <c r="B3" s="3" t="s">
        <v>18</v>
      </c>
      <c r="C3" s="4" t="s">
        <v>19</v>
      </c>
      <c r="D3" s="3" t="s">
        <v>20</v>
      </c>
      <c r="E3" s="4" t="s">
        <v>21</v>
      </c>
      <c r="F3" s="3" t="s">
        <v>22</v>
      </c>
      <c r="G3" s="4" t="s">
        <v>23</v>
      </c>
      <c r="H3" s="17" t="s">
        <v>24</v>
      </c>
      <c r="I3" s="4" t="s">
        <v>25</v>
      </c>
      <c r="J3" s="4"/>
      <c r="K3" s="22" t="s">
        <v>111</v>
      </c>
      <c r="L3" s="3" t="s">
        <v>26</v>
      </c>
      <c r="M3" s="22" t="s">
        <v>110</v>
      </c>
      <c r="N3" s="22" t="s">
        <v>141</v>
      </c>
      <c r="O3" s="22" t="s">
        <v>113</v>
      </c>
      <c r="P3" s="4" t="s">
        <v>27</v>
      </c>
      <c r="Q3" s="3" t="s">
        <v>28</v>
      </c>
      <c r="R3" s="22"/>
      <c r="S3" s="4" t="s">
        <v>29</v>
      </c>
      <c r="T3" s="3" t="s">
        <v>30</v>
      </c>
      <c r="U3" s="22" t="s">
        <v>135</v>
      </c>
      <c r="V3" s="22" t="s">
        <v>117</v>
      </c>
      <c r="W3" s="22" t="s">
        <v>117</v>
      </c>
      <c r="X3" s="22" t="s">
        <v>117</v>
      </c>
      <c r="Y3" s="22"/>
      <c r="Z3" s="22"/>
      <c r="AA3" s="22"/>
      <c r="AB3" s="22"/>
      <c r="AC3" s="22"/>
      <c r="AD3" s="22"/>
      <c r="AE3" s="22"/>
      <c r="AF3" s="22"/>
      <c r="AG3" s="4" t="s">
        <v>31</v>
      </c>
      <c r="AH3" s="3" t="s">
        <v>32</v>
      </c>
      <c r="AI3" s="22" t="s">
        <v>32</v>
      </c>
      <c r="AJ3" s="22" t="s">
        <v>32</v>
      </c>
      <c r="AK3" s="22" t="s">
        <v>32</v>
      </c>
      <c r="AL3" s="22" t="s">
        <v>32</v>
      </c>
      <c r="AM3" s="3" t="s">
        <v>33</v>
      </c>
    </row>
    <row r="4" spans="1:39" ht="24" x14ac:dyDescent="0.25">
      <c r="A4" s="16" t="s">
        <v>34</v>
      </c>
      <c r="B4" s="3" t="s">
        <v>35</v>
      </c>
      <c r="C4" s="4" t="s">
        <v>36</v>
      </c>
      <c r="D4" s="11" t="s">
        <v>37</v>
      </c>
      <c r="E4" s="10" t="s">
        <v>38</v>
      </c>
      <c r="F4" s="11" t="s">
        <v>39</v>
      </c>
      <c r="G4" s="10" t="s">
        <v>40</v>
      </c>
      <c r="H4" s="19" t="s">
        <v>41</v>
      </c>
      <c r="I4" s="4" t="s">
        <v>42</v>
      </c>
      <c r="J4" s="4"/>
      <c r="K4" s="22"/>
      <c r="L4" s="3" t="s">
        <v>43</v>
      </c>
      <c r="M4" s="22"/>
      <c r="N4" s="22"/>
      <c r="O4" s="22"/>
      <c r="P4" s="4" t="s">
        <v>41</v>
      </c>
      <c r="Q4" s="3" t="s">
        <v>44</v>
      </c>
      <c r="R4" s="22"/>
      <c r="S4" s="4" t="s">
        <v>45</v>
      </c>
      <c r="T4" s="3" t="s">
        <v>46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4">
        <v>18</v>
      </c>
      <c r="AH4" s="3" t="s">
        <v>47</v>
      </c>
      <c r="AI4" s="22" t="s">
        <v>47</v>
      </c>
      <c r="AJ4" s="22" t="s">
        <v>47</v>
      </c>
      <c r="AK4" s="22" t="s">
        <v>47</v>
      </c>
      <c r="AL4" s="22" t="s">
        <v>47</v>
      </c>
      <c r="AM4" s="3" t="b">
        <v>0</v>
      </c>
    </row>
    <row r="5" spans="1:39" x14ac:dyDescent="0.25">
      <c r="A5" s="16" t="s">
        <v>48</v>
      </c>
      <c r="B5" s="8" t="s">
        <v>49</v>
      </c>
      <c r="C5" s="9" t="s">
        <v>49</v>
      </c>
      <c r="D5" s="8" t="s">
        <v>49</v>
      </c>
      <c r="E5" s="10" t="s">
        <v>50</v>
      </c>
      <c r="F5" s="11" t="s">
        <v>50</v>
      </c>
      <c r="G5" s="10" t="s">
        <v>50</v>
      </c>
      <c r="H5" s="19" t="s">
        <v>50</v>
      </c>
      <c r="I5" s="10" t="s">
        <v>50</v>
      </c>
      <c r="J5" s="10"/>
      <c r="K5" s="23"/>
      <c r="L5" s="11" t="s">
        <v>50</v>
      </c>
      <c r="M5" s="23"/>
      <c r="N5" s="23"/>
      <c r="O5" s="23"/>
      <c r="P5" s="10" t="s">
        <v>50</v>
      </c>
      <c r="Q5" s="11" t="s">
        <v>50</v>
      </c>
      <c r="R5" s="23"/>
      <c r="S5" s="10" t="s">
        <v>50</v>
      </c>
      <c r="T5" s="11" t="s">
        <v>51</v>
      </c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10" t="s">
        <v>51</v>
      </c>
      <c r="AH5" s="11" t="s">
        <v>50</v>
      </c>
      <c r="AI5" s="23" t="s">
        <v>50</v>
      </c>
      <c r="AJ5" s="23" t="s">
        <v>50</v>
      </c>
      <c r="AK5" s="23" t="s">
        <v>50</v>
      </c>
      <c r="AL5" s="23" t="s">
        <v>50</v>
      </c>
      <c r="AM5" s="8" t="s">
        <v>49</v>
      </c>
    </row>
    <row r="6" spans="1:39" ht="15" customHeight="1" x14ac:dyDescent="0.25">
      <c r="E6" s="25"/>
      <c r="F6" s="25"/>
      <c r="G6" s="25"/>
      <c r="H6" s="25"/>
      <c r="S6" s="20"/>
    </row>
    <row r="7" spans="1:39" ht="31.5" customHeight="1" x14ac:dyDescent="0.25">
      <c r="C7" t="s">
        <v>273</v>
      </c>
      <c r="E7" s="25"/>
      <c r="F7" s="25"/>
      <c r="G7" s="25"/>
      <c r="H7" s="25"/>
      <c r="J7" t="s">
        <v>244</v>
      </c>
      <c r="K7" s="42"/>
      <c r="L7" s="42"/>
      <c r="M7" s="42"/>
      <c r="N7" s="42"/>
      <c r="O7" s="26"/>
      <c r="P7" s="85"/>
      <c r="Q7" s="25"/>
      <c r="R7" s="86"/>
      <c r="S7" s="27"/>
      <c r="T7" s="25"/>
      <c r="U7" s="25"/>
      <c r="V7" s="86"/>
      <c r="Y7">
        <v>28</v>
      </c>
      <c r="Z7">
        <v>21</v>
      </c>
      <c r="AA7">
        <v>1.45</v>
      </c>
      <c r="AB7" s="20">
        <v>5.0000000000000001E-3</v>
      </c>
      <c r="AC7">
        <v>2.4</v>
      </c>
      <c r="AD7" s="20">
        <v>1.6E-2</v>
      </c>
      <c r="AE7">
        <f>+[1]Sheet1!$E$95</f>
        <v>1.1000000000000001</v>
      </c>
      <c r="AF7">
        <f>+[1]Sheet1!$E$98</f>
        <v>94</v>
      </c>
      <c r="AG7">
        <v>29</v>
      </c>
      <c r="AH7" s="28" t="s">
        <v>175</v>
      </c>
      <c r="AI7" s="28" t="s">
        <v>176</v>
      </c>
      <c r="AJ7" s="28" t="s">
        <v>98</v>
      </c>
      <c r="AK7" s="28" t="s">
        <v>140</v>
      </c>
      <c r="AL7" s="28" t="s">
        <v>136</v>
      </c>
    </row>
    <row r="8" spans="1:39" ht="15" customHeight="1" x14ac:dyDescent="0.25">
      <c r="H8" s="25"/>
      <c r="S8" s="20"/>
      <c r="T8" s="25"/>
      <c r="AH8" s="28"/>
      <c r="AK8" s="28"/>
      <c r="AL8" s="28"/>
    </row>
    <row r="9" spans="1:39" ht="15" customHeight="1" x14ac:dyDescent="0.25">
      <c r="S9" s="20"/>
      <c r="T9" s="25"/>
      <c r="AK9" s="28"/>
      <c r="AL9" s="28"/>
    </row>
    <row r="10" spans="1:39" ht="15" customHeight="1" x14ac:dyDescent="0.25">
      <c r="S10" s="20"/>
      <c r="T10" s="25"/>
      <c r="AK10" s="28"/>
      <c r="AL10" s="28"/>
    </row>
    <row r="11" spans="1:39" ht="15" customHeight="1" x14ac:dyDescent="0.25">
      <c r="S11" s="20"/>
      <c r="T11" s="25"/>
      <c r="AK11" s="28"/>
      <c r="AL11" s="28"/>
    </row>
    <row r="12" spans="1:39" ht="15" customHeight="1" x14ac:dyDescent="0.25">
      <c r="S12" s="20"/>
      <c r="T12" s="25"/>
      <c r="AK12" s="28"/>
      <c r="AL12" s="28"/>
    </row>
    <row r="13" spans="1:39" ht="15" customHeight="1" x14ac:dyDescent="0.25">
      <c r="S13" s="20"/>
      <c r="T13" s="25"/>
      <c r="AK13" s="28"/>
      <c r="AL13" s="28"/>
    </row>
    <row r="14" spans="1:39" ht="15" customHeight="1" x14ac:dyDescent="0.25">
      <c r="S14" s="20"/>
      <c r="T14" s="25"/>
      <c r="AK14" s="28"/>
      <c r="AL14" s="28"/>
    </row>
    <row r="15" spans="1:39" ht="15" customHeight="1" x14ac:dyDescent="0.25">
      <c r="S15" s="20"/>
      <c r="T15" s="25"/>
      <c r="AK15" s="28"/>
      <c r="AL15" s="28"/>
    </row>
    <row r="16" spans="1:39" ht="15" customHeight="1" x14ac:dyDescent="0.25">
      <c r="S16" s="20"/>
      <c r="T16" s="25"/>
      <c r="AK16" s="28"/>
      <c r="AL16" s="28"/>
    </row>
    <row r="17" spans="19:38" ht="15" customHeight="1" x14ac:dyDescent="0.25">
      <c r="S17" s="20"/>
      <c r="T17" s="25"/>
      <c r="AK17" s="28"/>
      <c r="AL17" s="28"/>
    </row>
    <row r="18" spans="19:38" ht="15" customHeight="1" x14ac:dyDescent="0.25">
      <c r="S18" s="20"/>
      <c r="T18" s="25"/>
      <c r="AK18" s="28"/>
      <c r="AL18" s="28"/>
    </row>
    <row r="19" spans="19:38" ht="15" customHeight="1" x14ac:dyDescent="0.25">
      <c r="S19" s="20"/>
      <c r="T19" s="25"/>
      <c r="AK19" s="28"/>
      <c r="AL19" s="28"/>
    </row>
    <row r="20" spans="19:38" ht="15" customHeight="1" x14ac:dyDescent="0.25">
      <c r="S20" s="20"/>
      <c r="T20" s="25"/>
      <c r="AK20" s="28"/>
      <c r="AL20" s="28"/>
    </row>
    <row r="21" spans="19:38" ht="15" customHeight="1" x14ac:dyDescent="0.25">
      <c r="S21" s="20"/>
      <c r="T21" s="25"/>
      <c r="AK21" s="28"/>
      <c r="AL21" s="28"/>
    </row>
    <row r="22" spans="19:38" ht="15" customHeight="1" x14ac:dyDescent="0.25">
      <c r="S22" s="20"/>
      <c r="T22" s="25"/>
      <c r="AK22" s="28"/>
      <c r="AL22" s="28"/>
    </row>
    <row r="23" spans="19:38" ht="15" customHeight="1" x14ac:dyDescent="0.25">
      <c r="S23" s="20"/>
      <c r="T23" s="25"/>
      <c r="AK23" s="28"/>
      <c r="AL23" s="28"/>
    </row>
    <row r="24" spans="19:38" ht="15" customHeight="1" x14ac:dyDescent="0.25">
      <c r="S24" s="20"/>
      <c r="T24" s="25"/>
      <c r="AK24" s="28"/>
      <c r="AL24" s="28"/>
    </row>
    <row r="25" spans="19:38" ht="15" customHeight="1" x14ac:dyDescent="0.25">
      <c r="S25" s="20"/>
      <c r="T25" s="25"/>
      <c r="AK25" s="28"/>
      <c r="AL25" s="28"/>
    </row>
    <row r="26" spans="19:38" ht="15" customHeight="1" x14ac:dyDescent="0.25">
      <c r="S26" s="20"/>
      <c r="T26" s="25"/>
      <c r="AK26" s="28"/>
      <c r="AL26" s="28"/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CFAA-410A-41C6-AACD-A3C0E1178919}">
  <dimension ref="A1:AA26"/>
  <sheetViews>
    <sheetView tabSelected="1" topLeftCell="D1" zoomScale="80" zoomScaleNormal="80" workbookViewId="0">
      <pane xSplit="2" ySplit="4" topLeftCell="F8" activePane="bottomRight" state="frozen"/>
      <selection activeCell="D1" sqref="D1"/>
      <selection pane="topRight" activeCell="F1" sqref="F1"/>
      <selection pane="bottomLeft" activeCell="D5" sqref="D5"/>
      <selection pane="bottomRight" activeCell="AA12" sqref="AA12:AA23"/>
    </sheetView>
  </sheetViews>
  <sheetFormatPr defaultRowHeight="15" x14ac:dyDescent="0.25"/>
  <cols>
    <col min="5" max="5" width="35.7109375" bestFit="1" customWidth="1"/>
    <col min="6" max="6" width="23.5703125" bestFit="1" customWidth="1"/>
    <col min="7" max="7" width="15.7109375" bestFit="1" customWidth="1"/>
    <col min="8" max="8" width="14.7109375" bestFit="1" customWidth="1"/>
    <col min="9" max="9" width="21.42578125" customWidth="1"/>
    <col min="10" max="10" width="17.85546875" customWidth="1"/>
    <col min="11" max="11" width="11.42578125" customWidth="1"/>
    <col min="12" max="12" width="18.140625" customWidth="1"/>
    <col min="13" max="13" width="20.5703125" customWidth="1"/>
    <col min="14" max="14" width="16.85546875" customWidth="1"/>
    <col min="15" max="15" width="136.85546875" bestFit="1" customWidth="1"/>
    <col min="16" max="16" width="191.140625" customWidth="1"/>
    <col min="17" max="17" width="23" customWidth="1"/>
    <col min="18" max="18" width="24.28515625" customWidth="1"/>
    <col min="19" max="19" width="24.28515625" bestFit="1" customWidth="1"/>
    <col min="20" max="20" width="22" bestFit="1" customWidth="1"/>
    <col min="21" max="21" width="18.140625" bestFit="1" customWidth="1"/>
    <col min="22" max="22" width="31.5703125" bestFit="1" customWidth="1"/>
    <col min="23" max="23" width="31.5703125" customWidth="1"/>
    <col min="24" max="24" width="29.42578125" bestFit="1" customWidth="1"/>
    <col min="25" max="25" width="17.7109375" bestFit="1" customWidth="1"/>
    <col min="26" max="26" width="34.28515625" bestFit="1" customWidth="1"/>
    <col min="27" max="27" width="22.140625" customWidth="1"/>
  </cols>
  <sheetData>
    <row r="1" spans="1:27" ht="28.5" customHeight="1" x14ac:dyDescent="0.25">
      <c r="A1" s="16" t="s">
        <v>0</v>
      </c>
      <c r="B1" s="14" t="s">
        <v>52</v>
      </c>
      <c r="C1" s="15" t="s">
        <v>53</v>
      </c>
      <c r="D1" s="15" t="s">
        <v>54</v>
      </c>
      <c r="E1" s="12" t="s">
        <v>55</v>
      </c>
      <c r="F1" s="13" t="s">
        <v>56</v>
      </c>
      <c r="G1" s="12" t="s">
        <v>57</v>
      </c>
      <c r="H1" s="13" t="s">
        <v>58</v>
      </c>
      <c r="I1" s="21" t="s">
        <v>102</v>
      </c>
      <c r="J1" s="21" t="s">
        <v>106</v>
      </c>
      <c r="K1" s="21" t="s">
        <v>103</v>
      </c>
      <c r="L1" s="21" t="s">
        <v>104</v>
      </c>
      <c r="M1" s="21" t="s">
        <v>105</v>
      </c>
      <c r="N1" s="21" t="s">
        <v>105</v>
      </c>
      <c r="O1" s="15" t="s">
        <v>59</v>
      </c>
      <c r="P1" s="13" t="s">
        <v>60</v>
      </c>
      <c r="Q1" s="21" t="s">
        <v>61</v>
      </c>
      <c r="R1" s="13" t="s">
        <v>61</v>
      </c>
      <c r="S1" s="12" t="s">
        <v>62</v>
      </c>
      <c r="T1" s="13" t="s">
        <v>63</v>
      </c>
      <c r="U1" s="12" t="s">
        <v>64</v>
      </c>
      <c r="V1" s="15" t="s">
        <v>65</v>
      </c>
      <c r="W1" s="87" t="s">
        <v>226</v>
      </c>
      <c r="X1" s="13" t="s">
        <v>66</v>
      </c>
      <c r="Y1" s="21" t="s">
        <v>66</v>
      </c>
      <c r="Z1" s="12" t="s">
        <v>67</v>
      </c>
      <c r="AA1" s="12" t="s">
        <v>227</v>
      </c>
    </row>
    <row r="2" spans="1:27" ht="38.25" customHeight="1" x14ac:dyDescent="0.25">
      <c r="A2" s="16" t="s">
        <v>17</v>
      </c>
      <c r="B2" s="1" t="s">
        <v>68</v>
      </c>
      <c r="C2" s="2" t="s">
        <v>69</v>
      </c>
      <c r="D2" s="2"/>
      <c r="E2" s="3" t="s">
        <v>70</v>
      </c>
      <c r="F2" s="4" t="s">
        <v>71</v>
      </c>
      <c r="G2" s="3" t="s">
        <v>72</v>
      </c>
      <c r="H2" s="4" t="s">
        <v>73</v>
      </c>
      <c r="I2" s="22"/>
      <c r="J2" s="22"/>
      <c r="K2" s="22"/>
      <c r="L2" s="22"/>
      <c r="M2" s="22"/>
      <c r="N2" s="22"/>
      <c r="O2" s="2" t="s">
        <v>74</v>
      </c>
      <c r="P2" s="4" t="s">
        <v>75</v>
      </c>
      <c r="Q2" s="22" t="s">
        <v>101</v>
      </c>
      <c r="R2" s="4" t="s">
        <v>76</v>
      </c>
      <c r="S2" s="3" t="s">
        <v>77</v>
      </c>
      <c r="T2" s="4" t="s">
        <v>78</v>
      </c>
      <c r="U2" s="3" t="s">
        <v>79</v>
      </c>
      <c r="V2" s="2" t="s">
        <v>80</v>
      </c>
      <c r="W2" s="2"/>
      <c r="X2" s="4" t="s">
        <v>81</v>
      </c>
      <c r="Y2" s="22" t="s">
        <v>81</v>
      </c>
      <c r="Z2" s="3" t="s">
        <v>82</v>
      </c>
      <c r="AA2" s="3"/>
    </row>
    <row r="3" spans="1:27" ht="39" customHeight="1" x14ac:dyDescent="0.25">
      <c r="A3" s="16" t="s">
        <v>34</v>
      </c>
      <c r="B3" s="1" t="s">
        <v>83</v>
      </c>
      <c r="C3" s="2" t="s">
        <v>84</v>
      </c>
      <c r="D3" s="2"/>
      <c r="E3" s="3" t="s">
        <v>85</v>
      </c>
      <c r="F3" s="4" t="s">
        <v>86</v>
      </c>
      <c r="G3" s="3" t="s">
        <v>87</v>
      </c>
      <c r="H3" s="4" t="s">
        <v>88</v>
      </c>
      <c r="I3" s="22"/>
      <c r="J3" s="22"/>
      <c r="K3" s="22"/>
      <c r="L3" s="22"/>
      <c r="M3" s="22"/>
      <c r="N3" s="22"/>
      <c r="O3" s="2" t="s">
        <v>89</v>
      </c>
      <c r="P3" s="4" t="s">
        <v>90</v>
      </c>
      <c r="Q3" s="22">
        <v>7.5</v>
      </c>
      <c r="R3" s="4" t="s">
        <v>91</v>
      </c>
      <c r="S3" s="3" t="s">
        <v>92</v>
      </c>
      <c r="T3" s="4" t="s">
        <v>93</v>
      </c>
      <c r="U3" s="3" t="s">
        <v>94</v>
      </c>
      <c r="V3" s="2" t="s">
        <v>95</v>
      </c>
      <c r="W3" s="2"/>
      <c r="X3" s="4" t="s">
        <v>224</v>
      </c>
      <c r="Y3" s="22" t="s">
        <v>225</v>
      </c>
      <c r="Z3" s="3" t="s">
        <v>96</v>
      </c>
      <c r="AA3" s="3"/>
    </row>
    <row r="4" spans="1:27" ht="13.5" customHeight="1" x14ac:dyDescent="0.25">
      <c r="A4" s="16" t="s">
        <v>48</v>
      </c>
      <c r="B4" s="5" t="s">
        <v>49</v>
      </c>
      <c r="C4" s="6" t="s">
        <v>49</v>
      </c>
      <c r="D4" s="6"/>
      <c r="E4" s="8" t="s">
        <v>49</v>
      </c>
      <c r="F4" s="9" t="s">
        <v>49</v>
      </c>
      <c r="G4" s="8" t="s">
        <v>49</v>
      </c>
      <c r="H4" s="9" t="s">
        <v>49</v>
      </c>
      <c r="I4" s="24"/>
      <c r="J4" s="24"/>
      <c r="K4" s="24"/>
      <c r="L4" s="24"/>
      <c r="M4" s="24"/>
      <c r="N4" s="24"/>
      <c r="O4" s="7" t="s">
        <v>50</v>
      </c>
      <c r="P4" s="10" t="s">
        <v>50</v>
      </c>
      <c r="Q4" s="23" t="s">
        <v>50</v>
      </c>
      <c r="R4" s="10" t="s">
        <v>50</v>
      </c>
      <c r="S4" s="11" t="s">
        <v>50</v>
      </c>
      <c r="T4" s="10" t="s">
        <v>50</v>
      </c>
      <c r="U4" s="11" t="s">
        <v>50</v>
      </c>
      <c r="V4" s="7" t="s">
        <v>50</v>
      </c>
      <c r="W4" s="7"/>
      <c r="X4" s="10" t="s">
        <v>50</v>
      </c>
      <c r="Y4" s="23" t="s">
        <v>50</v>
      </c>
      <c r="Z4" s="11" t="s">
        <v>50</v>
      </c>
      <c r="AA4" s="11"/>
    </row>
    <row r="5" spans="1:27" s="25" customFormat="1" ht="15" customHeight="1" x14ac:dyDescent="0.25">
      <c r="E5" s="25" t="s">
        <v>137</v>
      </c>
      <c r="F5" s="25" t="s">
        <v>99</v>
      </c>
      <c r="G5" s="25" t="s">
        <v>128</v>
      </c>
      <c r="H5" s="25" t="s">
        <v>129</v>
      </c>
      <c r="I5" s="25" t="s">
        <v>245</v>
      </c>
      <c r="J5" s="25" t="s">
        <v>247</v>
      </c>
      <c r="L5" s="25" t="s">
        <v>246</v>
      </c>
      <c r="M5" s="25" t="s">
        <v>100</v>
      </c>
      <c r="N5" s="25" t="s">
        <v>100</v>
      </c>
      <c r="O5" s="25" t="s">
        <v>180</v>
      </c>
      <c r="P5" s="25" t="s">
        <v>181</v>
      </c>
      <c r="Q5" s="25" t="s">
        <v>228</v>
      </c>
      <c r="R5" s="82" t="s">
        <v>229</v>
      </c>
      <c r="S5" s="82" t="s">
        <v>230</v>
      </c>
      <c r="T5" s="25" t="s">
        <v>231</v>
      </c>
      <c r="U5" s="83">
        <v>5.0000000000000001E-3</v>
      </c>
      <c r="V5" s="25" t="s">
        <v>130</v>
      </c>
      <c r="W5" s="25" t="s">
        <v>100</v>
      </c>
      <c r="X5" s="25">
        <v>20.5</v>
      </c>
      <c r="Y5" s="25">
        <v>650</v>
      </c>
      <c r="Z5" s="25" t="s">
        <v>182</v>
      </c>
      <c r="AA5" s="25" t="s">
        <v>100</v>
      </c>
    </row>
    <row r="6" spans="1:27" s="25" customFormat="1" ht="15" customHeight="1" x14ac:dyDescent="0.25">
      <c r="E6" s="25" t="s">
        <v>137</v>
      </c>
      <c r="F6" s="25" t="s">
        <v>99</v>
      </c>
      <c r="G6" s="25" t="s">
        <v>128</v>
      </c>
      <c r="H6" s="25" t="s">
        <v>129</v>
      </c>
      <c r="I6" s="25" t="s">
        <v>245</v>
      </c>
      <c r="J6" s="25" t="s">
        <v>247</v>
      </c>
      <c r="L6" s="25" t="s">
        <v>246</v>
      </c>
      <c r="M6" s="25" t="s">
        <v>100</v>
      </c>
      <c r="N6" s="25" t="s">
        <v>100</v>
      </c>
      <c r="O6" s="25" t="s">
        <v>180</v>
      </c>
      <c r="P6" s="25" t="s">
        <v>181</v>
      </c>
      <c r="Q6" s="25" t="s">
        <v>228</v>
      </c>
      <c r="R6" s="82" t="s">
        <v>229</v>
      </c>
      <c r="S6" s="82" t="s">
        <v>230</v>
      </c>
      <c r="T6" s="25" t="s">
        <v>231</v>
      </c>
      <c r="U6" s="83">
        <v>5.0000000000000001E-3</v>
      </c>
      <c r="V6" s="25" t="s">
        <v>130</v>
      </c>
      <c r="W6" s="25" t="s">
        <v>100</v>
      </c>
      <c r="X6" s="25">
        <v>20.5</v>
      </c>
      <c r="Y6" s="25">
        <v>650</v>
      </c>
      <c r="Z6" s="25" t="s">
        <v>182</v>
      </c>
      <c r="AA6" s="25" t="s">
        <v>100</v>
      </c>
    </row>
    <row r="7" spans="1:27" s="25" customFormat="1" ht="15" customHeight="1" x14ac:dyDescent="0.25">
      <c r="E7" s="25" t="s">
        <v>137</v>
      </c>
      <c r="F7" s="25" t="s">
        <v>99</v>
      </c>
      <c r="G7" s="25" t="s">
        <v>128</v>
      </c>
      <c r="H7" s="25" t="s">
        <v>129</v>
      </c>
      <c r="I7" s="25" t="s">
        <v>245</v>
      </c>
      <c r="J7" s="25" t="s">
        <v>247</v>
      </c>
      <c r="L7" s="25" t="s">
        <v>246</v>
      </c>
      <c r="M7" s="25" t="s">
        <v>100</v>
      </c>
      <c r="N7" s="25" t="s">
        <v>100</v>
      </c>
      <c r="O7" s="25" t="s">
        <v>180</v>
      </c>
      <c r="P7" s="25" t="s">
        <v>181</v>
      </c>
      <c r="Q7" s="25" t="s">
        <v>228</v>
      </c>
      <c r="R7" s="82" t="s">
        <v>229</v>
      </c>
      <c r="S7" s="82" t="s">
        <v>230</v>
      </c>
      <c r="T7" s="25" t="s">
        <v>231</v>
      </c>
      <c r="U7" s="83">
        <v>5.0000000000000001E-3</v>
      </c>
      <c r="V7" s="25" t="s">
        <v>130</v>
      </c>
      <c r="W7" s="25" t="s">
        <v>100</v>
      </c>
      <c r="X7" s="25">
        <v>20.5</v>
      </c>
      <c r="Y7" s="25">
        <v>650</v>
      </c>
      <c r="Z7" s="25" t="s">
        <v>182</v>
      </c>
      <c r="AA7" s="25" t="s">
        <v>100</v>
      </c>
    </row>
    <row r="8" spans="1:27" s="25" customFormat="1" ht="15" customHeight="1" x14ac:dyDescent="0.25">
      <c r="E8" s="25" t="s">
        <v>137</v>
      </c>
      <c r="F8" s="25" t="s">
        <v>99</v>
      </c>
      <c r="G8" s="25" t="s">
        <v>128</v>
      </c>
      <c r="H8" s="25" t="s">
        <v>129</v>
      </c>
      <c r="I8" s="25" t="s">
        <v>245</v>
      </c>
      <c r="J8" s="25" t="s">
        <v>247</v>
      </c>
      <c r="L8" s="25" t="s">
        <v>246</v>
      </c>
      <c r="M8" s="25" t="s">
        <v>100</v>
      </c>
      <c r="N8" s="25" t="s">
        <v>100</v>
      </c>
      <c r="O8" s="25" t="s">
        <v>180</v>
      </c>
      <c r="P8" s="25" t="s">
        <v>181</v>
      </c>
      <c r="Q8" s="25" t="s">
        <v>228</v>
      </c>
      <c r="R8" s="82" t="s">
        <v>229</v>
      </c>
      <c r="S8" s="82" t="s">
        <v>230</v>
      </c>
      <c r="T8" s="25" t="s">
        <v>231</v>
      </c>
      <c r="U8" s="83">
        <v>5.0000000000000001E-3</v>
      </c>
      <c r="V8" s="25" t="s">
        <v>130</v>
      </c>
      <c r="W8" s="25" t="s">
        <v>100</v>
      </c>
      <c r="X8" s="25">
        <v>20.5</v>
      </c>
      <c r="Y8" s="25">
        <v>650</v>
      </c>
      <c r="Z8" s="25" t="s">
        <v>182</v>
      </c>
      <c r="AA8" s="25" t="s">
        <v>100</v>
      </c>
    </row>
    <row r="9" spans="1:27" s="25" customFormat="1" ht="15" customHeight="1" x14ac:dyDescent="0.25">
      <c r="E9" s="25" t="s">
        <v>137</v>
      </c>
      <c r="F9" s="25" t="s">
        <v>99</v>
      </c>
      <c r="G9" s="25" t="s">
        <v>128</v>
      </c>
      <c r="H9" s="25" t="s">
        <v>129</v>
      </c>
      <c r="I9" s="25" t="s">
        <v>245</v>
      </c>
      <c r="J9" s="25" t="s">
        <v>247</v>
      </c>
      <c r="L9" s="25" t="s">
        <v>246</v>
      </c>
      <c r="M9" s="25" t="s">
        <v>100</v>
      </c>
      <c r="N9" s="25" t="s">
        <v>100</v>
      </c>
      <c r="O9" s="25" t="s">
        <v>180</v>
      </c>
      <c r="P9" s="25" t="s">
        <v>181</v>
      </c>
      <c r="Q9" s="25" t="s">
        <v>228</v>
      </c>
      <c r="R9" s="82" t="s">
        <v>229</v>
      </c>
      <c r="S9" s="82" t="s">
        <v>230</v>
      </c>
      <c r="T9" s="25" t="s">
        <v>231</v>
      </c>
      <c r="U9" s="83">
        <v>5.0000000000000001E-3</v>
      </c>
      <c r="V9" s="25" t="s">
        <v>130</v>
      </c>
      <c r="W9" s="25" t="s">
        <v>100</v>
      </c>
      <c r="X9" s="25">
        <v>20.5</v>
      </c>
      <c r="Y9" s="25">
        <v>650</v>
      </c>
      <c r="Z9" s="25" t="s">
        <v>182</v>
      </c>
      <c r="AA9" s="25" t="s">
        <v>100</v>
      </c>
    </row>
    <row r="10" spans="1:27" s="25" customFormat="1" ht="15" customHeight="1" x14ac:dyDescent="0.25">
      <c r="E10" s="25" t="s">
        <v>137</v>
      </c>
      <c r="F10" s="25" t="s">
        <v>99</v>
      </c>
      <c r="G10" s="25" t="s">
        <v>128</v>
      </c>
      <c r="H10" s="25" t="s">
        <v>129</v>
      </c>
      <c r="I10" s="25" t="s">
        <v>245</v>
      </c>
      <c r="J10" s="25" t="s">
        <v>247</v>
      </c>
      <c r="L10" s="25" t="s">
        <v>246</v>
      </c>
      <c r="M10" s="25" t="s">
        <v>100</v>
      </c>
      <c r="N10" s="25" t="s">
        <v>100</v>
      </c>
      <c r="O10" s="25" t="s">
        <v>180</v>
      </c>
      <c r="P10" s="25" t="s">
        <v>181</v>
      </c>
      <c r="Q10" s="25" t="s">
        <v>228</v>
      </c>
      <c r="R10" s="82" t="s">
        <v>229</v>
      </c>
      <c r="S10" s="82" t="s">
        <v>230</v>
      </c>
      <c r="T10" s="25" t="s">
        <v>231</v>
      </c>
      <c r="U10" s="83">
        <v>5.0000000000000001E-3</v>
      </c>
      <c r="V10" s="25" t="s">
        <v>130</v>
      </c>
      <c r="W10" s="25" t="s">
        <v>100</v>
      </c>
      <c r="X10" s="25">
        <v>20.5</v>
      </c>
      <c r="Y10" s="25">
        <v>650</v>
      </c>
      <c r="Z10" s="25" t="s">
        <v>182</v>
      </c>
      <c r="AA10" s="25" t="s">
        <v>100</v>
      </c>
    </row>
    <row r="11" spans="1:27" s="25" customFormat="1" ht="15" customHeight="1" x14ac:dyDescent="0.25">
      <c r="R11" s="82"/>
      <c r="S11" s="82"/>
      <c r="T11" s="82"/>
      <c r="U11" s="83"/>
    </row>
    <row r="12" spans="1:27" s="25" customFormat="1" ht="15" customHeight="1" x14ac:dyDescent="0.25">
      <c r="E12" s="25" t="s">
        <v>138</v>
      </c>
      <c r="F12" s="25" t="s">
        <v>99</v>
      </c>
      <c r="G12" s="25" t="s">
        <v>232</v>
      </c>
      <c r="H12" s="25" t="s">
        <v>174</v>
      </c>
      <c r="I12" s="25" t="s">
        <v>245</v>
      </c>
      <c r="J12" s="25" t="s">
        <v>248</v>
      </c>
      <c r="K12" s="25" t="s">
        <v>100</v>
      </c>
      <c r="L12" s="25" t="s">
        <v>179</v>
      </c>
      <c r="M12" s="25" t="s">
        <v>260</v>
      </c>
      <c r="N12" s="25" t="s">
        <v>100</v>
      </c>
      <c r="O12" s="25" t="s">
        <v>210</v>
      </c>
      <c r="P12" s="25" t="s">
        <v>211</v>
      </c>
      <c r="Q12" s="82" t="s">
        <v>229</v>
      </c>
      <c r="R12" s="82" t="s">
        <v>223</v>
      </c>
      <c r="S12" s="82" t="s">
        <v>212</v>
      </c>
      <c r="T12" s="25" t="s">
        <v>213</v>
      </c>
      <c r="U12" s="83">
        <v>0.02</v>
      </c>
      <c r="V12" s="25" t="s">
        <v>272</v>
      </c>
      <c r="W12" s="25">
        <v>89</v>
      </c>
      <c r="X12" s="25" t="s">
        <v>100</v>
      </c>
      <c r="Z12" s="25" t="s">
        <v>214</v>
      </c>
      <c r="AA12" s="84" t="s">
        <v>100</v>
      </c>
    </row>
    <row r="13" spans="1:27" s="25" customFormat="1" ht="15" customHeight="1" x14ac:dyDescent="0.25">
      <c r="E13" s="25" t="s">
        <v>138</v>
      </c>
      <c r="F13" s="25" t="s">
        <v>99</v>
      </c>
      <c r="G13" s="25" t="s">
        <v>232</v>
      </c>
      <c r="H13" s="25" t="s">
        <v>174</v>
      </c>
      <c r="I13" s="25" t="s">
        <v>245</v>
      </c>
      <c r="J13" s="25" t="s">
        <v>249</v>
      </c>
      <c r="K13" s="25" t="s">
        <v>100</v>
      </c>
      <c r="L13" s="25" t="s">
        <v>179</v>
      </c>
      <c r="M13" s="25" t="s">
        <v>261</v>
      </c>
      <c r="N13" s="25" t="s">
        <v>100</v>
      </c>
      <c r="O13" s="25" t="s">
        <v>210</v>
      </c>
      <c r="P13" s="25" t="s">
        <v>211</v>
      </c>
      <c r="Q13" s="82" t="s">
        <v>233</v>
      </c>
      <c r="R13" s="82" t="s">
        <v>223</v>
      </c>
      <c r="S13" s="25" t="s">
        <v>212</v>
      </c>
      <c r="T13" s="25" t="s">
        <v>213</v>
      </c>
      <c r="U13" s="83">
        <v>0.02</v>
      </c>
      <c r="V13" s="25" t="s">
        <v>272</v>
      </c>
      <c r="W13" s="25">
        <v>89</v>
      </c>
      <c r="X13" s="25" t="s">
        <v>100</v>
      </c>
      <c r="Z13" s="25" t="s">
        <v>214</v>
      </c>
      <c r="AA13" s="84" t="s">
        <v>100</v>
      </c>
    </row>
    <row r="14" spans="1:27" s="25" customFormat="1" x14ac:dyDescent="0.25">
      <c r="E14" s="25" t="s">
        <v>138</v>
      </c>
      <c r="F14" s="25" t="s">
        <v>99</v>
      </c>
      <c r="G14" s="25" t="s">
        <v>232</v>
      </c>
      <c r="H14" s="25" t="s">
        <v>174</v>
      </c>
      <c r="I14" s="25" t="s">
        <v>245</v>
      </c>
      <c r="J14" s="25" t="s">
        <v>250</v>
      </c>
      <c r="K14" s="25" t="s">
        <v>100</v>
      </c>
      <c r="L14" s="25" t="s">
        <v>179</v>
      </c>
      <c r="M14" s="25" t="s">
        <v>262</v>
      </c>
      <c r="N14" s="25" t="s">
        <v>100</v>
      </c>
      <c r="O14" s="25" t="s">
        <v>210</v>
      </c>
      <c r="P14" s="25" t="s">
        <v>215</v>
      </c>
      <c r="Q14" s="82" t="s">
        <v>234</v>
      </c>
      <c r="R14" s="82" t="s">
        <v>223</v>
      </c>
      <c r="S14" s="25" t="s">
        <v>212</v>
      </c>
      <c r="T14" s="25" t="s">
        <v>213</v>
      </c>
      <c r="U14" s="83">
        <v>0.02</v>
      </c>
      <c r="V14" s="25" t="s">
        <v>272</v>
      </c>
      <c r="W14" s="25">
        <v>89</v>
      </c>
      <c r="X14" s="25" t="s">
        <v>100</v>
      </c>
      <c r="Z14" s="25" t="s">
        <v>214</v>
      </c>
      <c r="AA14" s="84" t="s">
        <v>100</v>
      </c>
    </row>
    <row r="15" spans="1:27" s="25" customFormat="1" ht="15" customHeight="1" x14ac:dyDescent="0.25">
      <c r="E15" s="25" t="s">
        <v>138</v>
      </c>
      <c r="F15" s="25" t="s">
        <v>99</v>
      </c>
      <c r="G15" s="25" t="s">
        <v>232</v>
      </c>
      <c r="H15" s="25" t="s">
        <v>174</v>
      </c>
      <c r="I15" s="25" t="s">
        <v>245</v>
      </c>
      <c r="J15" s="25" t="s">
        <v>251</v>
      </c>
      <c r="K15" s="25" t="s">
        <v>100</v>
      </c>
      <c r="L15" s="25" t="s">
        <v>179</v>
      </c>
      <c r="M15" s="25" t="s">
        <v>263</v>
      </c>
      <c r="N15" s="25" t="s">
        <v>100</v>
      </c>
      <c r="O15" s="25" t="s">
        <v>210</v>
      </c>
      <c r="P15" s="25" t="s">
        <v>216</v>
      </c>
      <c r="Q15" s="82" t="s">
        <v>235</v>
      </c>
      <c r="R15" s="82" t="s">
        <v>223</v>
      </c>
      <c r="S15" s="25" t="s">
        <v>212</v>
      </c>
      <c r="T15" s="25" t="s">
        <v>213</v>
      </c>
      <c r="U15" s="83">
        <v>0.02</v>
      </c>
      <c r="V15" s="25" t="s">
        <v>272</v>
      </c>
      <c r="W15" s="25">
        <v>89</v>
      </c>
      <c r="X15" s="25" t="s">
        <v>100</v>
      </c>
      <c r="Z15" s="25" t="s">
        <v>214</v>
      </c>
      <c r="AA15" s="84" t="s">
        <v>100</v>
      </c>
    </row>
    <row r="16" spans="1:27" s="25" customFormat="1" ht="15" customHeight="1" x14ac:dyDescent="0.25">
      <c r="E16" s="25" t="s">
        <v>138</v>
      </c>
      <c r="F16" s="25" t="s">
        <v>99</v>
      </c>
      <c r="G16" s="25" t="s">
        <v>232</v>
      </c>
      <c r="H16" s="25" t="s">
        <v>174</v>
      </c>
      <c r="I16" s="25" t="s">
        <v>245</v>
      </c>
      <c r="J16" s="25" t="s">
        <v>252</v>
      </c>
      <c r="K16" s="25" t="s">
        <v>100</v>
      </c>
      <c r="L16" s="25" t="s">
        <v>179</v>
      </c>
      <c r="M16" s="25" t="s">
        <v>264</v>
      </c>
      <c r="N16" s="25" t="s">
        <v>100</v>
      </c>
      <c r="O16" s="25" t="s">
        <v>210</v>
      </c>
      <c r="P16" s="25" t="s">
        <v>217</v>
      </c>
      <c r="Q16" s="82" t="s">
        <v>236</v>
      </c>
      <c r="R16" s="82" t="s">
        <v>223</v>
      </c>
      <c r="S16" s="25" t="s">
        <v>212</v>
      </c>
      <c r="T16" s="25" t="s">
        <v>213</v>
      </c>
      <c r="U16" s="83">
        <v>0.02</v>
      </c>
      <c r="V16" s="25" t="s">
        <v>272</v>
      </c>
      <c r="W16" s="25">
        <v>89</v>
      </c>
      <c r="X16" s="25" t="s">
        <v>100</v>
      </c>
      <c r="Z16" s="25" t="s">
        <v>214</v>
      </c>
      <c r="AA16" s="84" t="s">
        <v>100</v>
      </c>
    </row>
    <row r="17" spans="5:27" s="25" customFormat="1" ht="15" customHeight="1" x14ac:dyDescent="0.25">
      <c r="E17" s="25" t="s">
        <v>138</v>
      </c>
      <c r="F17" s="25" t="s">
        <v>99</v>
      </c>
      <c r="G17" s="25" t="s">
        <v>232</v>
      </c>
      <c r="H17" s="25" t="s">
        <v>174</v>
      </c>
      <c r="I17" s="25" t="s">
        <v>245</v>
      </c>
      <c r="J17" s="25" t="s">
        <v>253</v>
      </c>
      <c r="K17" s="25" t="s">
        <v>100</v>
      </c>
      <c r="L17" s="25" t="s">
        <v>179</v>
      </c>
      <c r="M17" s="25" t="s">
        <v>265</v>
      </c>
      <c r="N17" s="25" t="s">
        <v>100</v>
      </c>
      <c r="O17" s="25" t="s">
        <v>210</v>
      </c>
      <c r="P17" s="25" t="s">
        <v>218</v>
      </c>
      <c r="Q17" s="82" t="s">
        <v>237</v>
      </c>
      <c r="R17" s="82" t="s">
        <v>223</v>
      </c>
      <c r="S17" s="25" t="s">
        <v>212</v>
      </c>
      <c r="T17" s="25" t="s">
        <v>213</v>
      </c>
      <c r="U17" s="83">
        <v>0.02</v>
      </c>
      <c r="V17" s="25" t="s">
        <v>272</v>
      </c>
      <c r="W17" s="25">
        <v>89</v>
      </c>
      <c r="X17" s="25" t="s">
        <v>100</v>
      </c>
      <c r="Z17" s="25" t="s">
        <v>214</v>
      </c>
      <c r="AA17" s="84" t="s">
        <v>100</v>
      </c>
    </row>
    <row r="18" spans="5:27" s="25" customFormat="1" ht="15" customHeight="1" x14ac:dyDescent="0.25">
      <c r="E18" s="25" t="s">
        <v>138</v>
      </c>
      <c r="F18" s="25" t="s">
        <v>99</v>
      </c>
      <c r="G18" s="25" t="s">
        <v>232</v>
      </c>
      <c r="H18" s="25" t="s">
        <v>174</v>
      </c>
      <c r="I18" s="25" t="s">
        <v>245</v>
      </c>
      <c r="J18" s="25" t="s">
        <v>254</v>
      </c>
      <c r="K18" s="25" t="s">
        <v>100</v>
      </c>
      <c r="L18" s="25" t="s">
        <v>179</v>
      </c>
      <c r="M18" s="25" t="s">
        <v>266</v>
      </c>
      <c r="N18" s="25" t="s">
        <v>100</v>
      </c>
      <c r="O18" s="25" t="s">
        <v>210</v>
      </c>
      <c r="P18" s="25" t="s">
        <v>219</v>
      </c>
      <c r="Q18" s="82" t="s">
        <v>238</v>
      </c>
      <c r="R18" s="82" t="s">
        <v>223</v>
      </c>
      <c r="S18" s="25" t="s">
        <v>212</v>
      </c>
      <c r="T18" s="25" t="s">
        <v>213</v>
      </c>
      <c r="U18" s="83">
        <v>0.02</v>
      </c>
      <c r="V18" s="25" t="s">
        <v>272</v>
      </c>
      <c r="W18" s="25">
        <v>89</v>
      </c>
      <c r="X18" s="25" t="s">
        <v>100</v>
      </c>
      <c r="Z18" s="25" t="s">
        <v>214</v>
      </c>
      <c r="AA18" s="84" t="s">
        <v>100</v>
      </c>
    </row>
    <row r="19" spans="5:27" s="25" customFormat="1" ht="15" customHeight="1" x14ac:dyDescent="0.25">
      <c r="E19" s="25" t="s">
        <v>138</v>
      </c>
      <c r="F19" s="25" t="s">
        <v>99</v>
      </c>
      <c r="G19" s="25" t="s">
        <v>232</v>
      </c>
      <c r="H19" s="25" t="s">
        <v>174</v>
      </c>
      <c r="I19" s="25" t="s">
        <v>245</v>
      </c>
      <c r="J19" s="25" t="s">
        <v>255</v>
      </c>
      <c r="K19" s="25" t="s">
        <v>100</v>
      </c>
      <c r="L19" s="25" t="s">
        <v>179</v>
      </c>
      <c r="M19" s="25" t="s">
        <v>267</v>
      </c>
      <c r="N19" s="25" t="s">
        <v>100</v>
      </c>
      <c r="O19" s="25" t="s">
        <v>210</v>
      </c>
      <c r="P19" s="25" t="s">
        <v>220</v>
      </c>
      <c r="Q19" s="82" t="s">
        <v>239</v>
      </c>
      <c r="R19" s="82" t="s">
        <v>223</v>
      </c>
      <c r="S19" s="25" t="s">
        <v>212</v>
      </c>
      <c r="T19" s="25" t="s">
        <v>213</v>
      </c>
      <c r="U19" s="83">
        <v>0.02</v>
      </c>
      <c r="V19" s="25" t="s">
        <v>272</v>
      </c>
      <c r="W19" s="25">
        <v>89</v>
      </c>
      <c r="X19" s="25" t="s">
        <v>100</v>
      </c>
      <c r="Z19" s="25" t="s">
        <v>214</v>
      </c>
      <c r="AA19" s="84" t="s">
        <v>100</v>
      </c>
    </row>
    <row r="20" spans="5:27" s="25" customFormat="1" ht="15" customHeight="1" x14ac:dyDescent="0.25">
      <c r="E20" s="25" t="s">
        <v>138</v>
      </c>
      <c r="F20" s="25" t="s">
        <v>99</v>
      </c>
      <c r="G20" s="25" t="s">
        <v>232</v>
      </c>
      <c r="H20" s="25" t="s">
        <v>174</v>
      </c>
      <c r="I20" s="25" t="s">
        <v>245</v>
      </c>
      <c r="J20" s="25" t="s">
        <v>256</v>
      </c>
      <c r="K20" s="25" t="s">
        <v>100</v>
      </c>
      <c r="L20" s="25" t="s">
        <v>179</v>
      </c>
      <c r="M20" s="25" t="s">
        <v>268</v>
      </c>
      <c r="N20" s="25" t="s">
        <v>100</v>
      </c>
      <c r="O20" s="25" t="s">
        <v>210</v>
      </c>
      <c r="P20" s="25" t="s">
        <v>221</v>
      </c>
      <c r="Q20" s="82" t="s">
        <v>240</v>
      </c>
      <c r="R20" s="82" t="s">
        <v>223</v>
      </c>
      <c r="S20" s="25" t="s">
        <v>212</v>
      </c>
      <c r="T20" s="25" t="s">
        <v>213</v>
      </c>
      <c r="U20" s="83">
        <v>0.02</v>
      </c>
      <c r="V20" s="25" t="s">
        <v>272</v>
      </c>
      <c r="W20" s="25">
        <v>89</v>
      </c>
      <c r="X20" s="25" t="s">
        <v>100</v>
      </c>
      <c r="Z20" s="25" t="s">
        <v>214</v>
      </c>
      <c r="AA20" s="84" t="s">
        <v>100</v>
      </c>
    </row>
    <row r="21" spans="5:27" s="25" customFormat="1" ht="15" customHeight="1" x14ac:dyDescent="0.25">
      <c r="E21" s="25" t="s">
        <v>138</v>
      </c>
      <c r="F21" s="25" t="s">
        <v>99</v>
      </c>
      <c r="G21" s="25" t="s">
        <v>232</v>
      </c>
      <c r="H21" s="25" t="s">
        <v>174</v>
      </c>
      <c r="I21" s="25" t="s">
        <v>245</v>
      </c>
      <c r="J21" s="25" t="s">
        <v>257</v>
      </c>
      <c r="K21" s="25" t="s">
        <v>100</v>
      </c>
      <c r="L21" s="25" t="s">
        <v>179</v>
      </c>
      <c r="M21" s="25" t="s">
        <v>269</v>
      </c>
      <c r="N21" s="25" t="s">
        <v>100</v>
      </c>
      <c r="O21" s="25" t="s">
        <v>210</v>
      </c>
      <c r="P21" s="25" t="s">
        <v>222</v>
      </c>
      <c r="Q21" s="82" t="s">
        <v>241</v>
      </c>
      <c r="R21" s="82" t="s">
        <v>223</v>
      </c>
      <c r="S21" s="25" t="s">
        <v>212</v>
      </c>
      <c r="T21" s="25" t="s">
        <v>213</v>
      </c>
      <c r="U21" s="83">
        <v>0.02</v>
      </c>
      <c r="V21" s="25" t="s">
        <v>272</v>
      </c>
      <c r="W21" s="25">
        <v>89</v>
      </c>
      <c r="X21" s="25" t="s">
        <v>100</v>
      </c>
      <c r="Z21" s="25" t="s">
        <v>214</v>
      </c>
      <c r="AA21" s="84" t="s">
        <v>100</v>
      </c>
    </row>
    <row r="22" spans="5:27" s="25" customFormat="1" ht="15" customHeight="1" x14ac:dyDescent="0.25">
      <c r="E22" s="25" t="s">
        <v>138</v>
      </c>
      <c r="F22" s="25" t="s">
        <v>99</v>
      </c>
      <c r="G22" s="25" t="s">
        <v>232</v>
      </c>
      <c r="H22" s="25" t="s">
        <v>174</v>
      </c>
      <c r="I22" s="25" t="s">
        <v>245</v>
      </c>
      <c r="J22" s="25" t="s">
        <v>258</v>
      </c>
      <c r="K22" s="25" t="s">
        <v>100</v>
      </c>
      <c r="L22" s="25" t="s">
        <v>179</v>
      </c>
      <c r="M22" s="25" t="s">
        <v>270</v>
      </c>
      <c r="N22" s="25" t="s">
        <v>100</v>
      </c>
      <c r="O22" s="25" t="s">
        <v>210</v>
      </c>
      <c r="P22" s="25" t="s">
        <v>222</v>
      </c>
      <c r="Q22" s="82" t="s">
        <v>242</v>
      </c>
      <c r="R22" s="82" t="s">
        <v>223</v>
      </c>
      <c r="S22" s="25" t="s">
        <v>212</v>
      </c>
      <c r="T22" s="25" t="s">
        <v>213</v>
      </c>
      <c r="U22" s="83">
        <v>0.02</v>
      </c>
      <c r="V22" s="25" t="s">
        <v>272</v>
      </c>
      <c r="W22" s="25">
        <v>89</v>
      </c>
      <c r="X22" s="25" t="s">
        <v>100</v>
      </c>
      <c r="Z22" s="25" t="s">
        <v>214</v>
      </c>
      <c r="AA22" s="84" t="s">
        <v>100</v>
      </c>
    </row>
    <row r="23" spans="5:27" s="25" customFormat="1" ht="15" customHeight="1" x14ac:dyDescent="0.25">
      <c r="E23" s="25" t="s">
        <v>138</v>
      </c>
      <c r="F23" s="25" t="s">
        <v>99</v>
      </c>
      <c r="G23" s="25" t="s">
        <v>232</v>
      </c>
      <c r="H23" s="25" t="s">
        <v>174</v>
      </c>
      <c r="I23" s="25" t="s">
        <v>245</v>
      </c>
      <c r="J23" s="25" t="s">
        <v>259</v>
      </c>
      <c r="K23" s="25" t="s">
        <v>100</v>
      </c>
      <c r="L23" s="25" t="s">
        <v>179</v>
      </c>
      <c r="M23" s="25" t="s">
        <v>271</v>
      </c>
      <c r="N23" s="25" t="s">
        <v>100</v>
      </c>
      <c r="O23" s="25" t="s">
        <v>210</v>
      </c>
      <c r="P23" s="25" t="s">
        <v>222</v>
      </c>
      <c r="Q23" s="82" t="s">
        <v>243</v>
      </c>
      <c r="R23" s="82" t="s">
        <v>223</v>
      </c>
      <c r="S23" s="25" t="s">
        <v>212</v>
      </c>
      <c r="T23" s="25" t="s">
        <v>213</v>
      </c>
      <c r="U23" s="83">
        <v>0.02</v>
      </c>
      <c r="V23" s="25" t="s">
        <v>272</v>
      </c>
      <c r="W23" s="25">
        <v>89</v>
      </c>
      <c r="X23" s="25" t="s">
        <v>100</v>
      </c>
      <c r="Z23" s="25" t="s">
        <v>214</v>
      </c>
      <c r="AA23" s="84" t="s">
        <v>100</v>
      </c>
    </row>
    <row r="24" spans="5:27" s="25" customFormat="1" ht="15" customHeight="1" x14ac:dyDescent="0.25">
      <c r="Q24" s="82"/>
      <c r="R24" s="82"/>
      <c r="S24" s="82"/>
      <c r="T24" s="82"/>
      <c r="U24" s="83"/>
    </row>
    <row r="25" spans="5:27" s="25" customFormat="1" ht="15" customHeight="1" x14ac:dyDescent="0.25">
      <c r="Q25" s="82"/>
      <c r="R25" s="82"/>
      <c r="S25" s="82"/>
      <c r="T25" s="82"/>
      <c r="U25" s="83"/>
    </row>
    <row r="26" spans="5:27" s="25" customFormat="1" ht="15" customHeight="1" x14ac:dyDescent="0.25">
      <c r="E26" s="25" t="s">
        <v>139</v>
      </c>
      <c r="F26" s="25" t="s">
        <v>99</v>
      </c>
      <c r="G26" s="25" t="s">
        <v>131</v>
      </c>
      <c r="H26" s="25" t="s">
        <v>100</v>
      </c>
      <c r="I26" s="25" t="s">
        <v>100</v>
      </c>
      <c r="J26" s="25" t="s">
        <v>100</v>
      </c>
      <c r="K26" s="25" t="s">
        <v>100</v>
      </c>
      <c r="L26" s="25" t="s">
        <v>100</v>
      </c>
      <c r="M26" s="25" t="s">
        <v>100</v>
      </c>
      <c r="N26" s="25" t="s">
        <v>100</v>
      </c>
      <c r="O26" s="25" t="s">
        <v>100</v>
      </c>
      <c r="P26" s="25" t="s">
        <v>100</v>
      </c>
      <c r="Q26" s="25" t="s">
        <v>100</v>
      </c>
      <c r="R26" s="82" t="s">
        <v>100</v>
      </c>
      <c r="S26" s="82" t="s">
        <v>100</v>
      </c>
      <c r="T26" s="82" t="s">
        <v>100</v>
      </c>
      <c r="U26" s="25" t="s">
        <v>100</v>
      </c>
      <c r="V26" s="25" t="s">
        <v>132</v>
      </c>
      <c r="X26" s="25" t="s">
        <v>133</v>
      </c>
      <c r="Y26" s="25" t="s">
        <v>134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CC39-5250-4D25-AD1F-C513EF818794}">
  <dimension ref="B3:G39"/>
  <sheetViews>
    <sheetView topLeftCell="A15" workbookViewId="0">
      <selection activeCell="D43" sqref="D43"/>
    </sheetView>
  </sheetViews>
  <sheetFormatPr defaultRowHeight="15" x14ac:dyDescent="0.25"/>
  <cols>
    <col min="1" max="1" width="5" customWidth="1"/>
    <col min="2" max="2" width="15.7109375" customWidth="1"/>
    <col min="3" max="3" width="22.140625" customWidth="1"/>
    <col min="4" max="4" width="13.28515625" customWidth="1"/>
    <col min="5" max="5" width="12.140625" customWidth="1"/>
    <col min="6" max="6" width="30" customWidth="1"/>
    <col min="7" max="7" width="27.42578125" bestFit="1" customWidth="1"/>
  </cols>
  <sheetData>
    <row r="3" spans="2:7" ht="23.25" x14ac:dyDescent="0.35">
      <c r="B3" s="50" t="s">
        <v>184</v>
      </c>
    </row>
    <row r="4" spans="2:7" ht="15.75" thickBot="1" x14ac:dyDescent="0.3">
      <c r="B4" s="43" t="s">
        <v>183</v>
      </c>
    </row>
    <row r="5" spans="2:7" ht="15.75" thickBot="1" x14ac:dyDescent="0.3">
      <c r="B5" s="29" t="s">
        <v>142</v>
      </c>
      <c r="C5" s="30" t="s">
        <v>143</v>
      </c>
      <c r="D5" s="30" t="s">
        <v>144</v>
      </c>
      <c r="E5" s="30" t="s">
        <v>145</v>
      </c>
      <c r="F5" s="30" t="s">
        <v>146</v>
      </c>
      <c r="G5" s="31" t="s">
        <v>147</v>
      </c>
    </row>
    <row r="6" spans="2:7" x14ac:dyDescent="0.25">
      <c r="B6" s="32" t="s">
        <v>148</v>
      </c>
      <c r="C6" s="33" t="s">
        <v>149</v>
      </c>
      <c r="D6" s="33" t="s">
        <v>150</v>
      </c>
      <c r="E6" s="33" t="s">
        <v>151</v>
      </c>
      <c r="F6" s="33" t="s">
        <v>152</v>
      </c>
      <c r="G6" s="34" t="s">
        <v>153</v>
      </c>
    </row>
    <row r="7" spans="2:7" x14ac:dyDescent="0.25">
      <c r="B7" s="52" t="s">
        <v>154</v>
      </c>
      <c r="C7" s="53" t="s">
        <v>155</v>
      </c>
      <c r="D7" s="53" t="s">
        <v>152</v>
      </c>
      <c r="E7" s="53" t="s">
        <v>156</v>
      </c>
      <c r="F7" s="53" t="s">
        <v>157</v>
      </c>
      <c r="G7" s="54" t="s">
        <v>153</v>
      </c>
    </row>
    <row r="8" spans="2:7" x14ac:dyDescent="0.25">
      <c r="B8" s="35" t="s">
        <v>158</v>
      </c>
      <c r="C8" s="36" t="s">
        <v>159</v>
      </c>
      <c r="D8" s="53" t="s">
        <v>152</v>
      </c>
      <c r="E8" s="53" t="s">
        <v>156</v>
      </c>
      <c r="F8" s="53" t="s">
        <v>157</v>
      </c>
      <c r="G8" s="37" t="s">
        <v>160</v>
      </c>
    </row>
    <row r="9" spans="2:7" x14ac:dyDescent="0.25">
      <c r="B9" s="55"/>
      <c r="C9" s="56" t="s">
        <v>161</v>
      </c>
      <c r="D9" s="56" t="s">
        <v>162</v>
      </c>
      <c r="E9" s="56" t="s">
        <v>163</v>
      </c>
      <c r="F9" s="56" t="s">
        <v>150</v>
      </c>
      <c r="G9" s="57" t="s">
        <v>164</v>
      </c>
    </row>
    <row r="10" spans="2:7" x14ac:dyDescent="0.25">
      <c r="B10" s="32" t="s">
        <v>165</v>
      </c>
      <c r="C10" s="33" t="s">
        <v>166</v>
      </c>
      <c r="D10" s="33" t="s">
        <v>152</v>
      </c>
      <c r="E10" s="33" t="s">
        <v>156</v>
      </c>
      <c r="F10" s="33" t="s">
        <v>157</v>
      </c>
      <c r="G10" s="34" t="s">
        <v>167</v>
      </c>
    </row>
    <row r="11" spans="2:7" x14ac:dyDescent="0.25">
      <c r="B11" s="52" t="s">
        <v>168</v>
      </c>
      <c r="C11" s="53" t="s">
        <v>166</v>
      </c>
      <c r="D11" s="53" t="s">
        <v>152</v>
      </c>
      <c r="E11" s="53" t="s">
        <v>156</v>
      </c>
      <c r="F11" s="53" t="s">
        <v>157</v>
      </c>
      <c r="G11" s="54" t="s">
        <v>167</v>
      </c>
    </row>
    <row r="12" spans="2:7" x14ac:dyDescent="0.25">
      <c r="B12" s="55" t="s">
        <v>169</v>
      </c>
      <c r="C12" s="56" t="s">
        <v>161</v>
      </c>
      <c r="D12" s="56" t="s">
        <v>162</v>
      </c>
      <c r="E12" s="56" t="s">
        <v>163</v>
      </c>
      <c r="F12" s="56" t="s">
        <v>150</v>
      </c>
      <c r="G12" s="57" t="s">
        <v>164</v>
      </c>
    </row>
    <row r="13" spans="2:7" x14ac:dyDescent="0.25">
      <c r="B13" s="32" t="s">
        <v>170</v>
      </c>
      <c r="C13" s="33" t="s">
        <v>166</v>
      </c>
      <c r="D13" s="33" t="s">
        <v>152</v>
      </c>
      <c r="E13" s="33" t="s">
        <v>156</v>
      </c>
      <c r="F13" s="33" t="s">
        <v>157</v>
      </c>
      <c r="G13" s="34" t="s">
        <v>167</v>
      </c>
    </row>
    <row r="14" spans="2:7" x14ac:dyDescent="0.25">
      <c r="B14" s="32"/>
      <c r="C14" s="33" t="s">
        <v>171</v>
      </c>
      <c r="D14" s="33"/>
      <c r="E14" s="33"/>
      <c r="F14" s="33"/>
      <c r="G14" s="34" t="s">
        <v>172</v>
      </c>
    </row>
    <row r="15" spans="2:7" x14ac:dyDescent="0.25">
      <c r="B15" s="52" t="s">
        <v>173</v>
      </c>
      <c r="C15" s="53" t="s">
        <v>166</v>
      </c>
      <c r="D15" s="53" t="s">
        <v>152</v>
      </c>
      <c r="E15" s="53" t="s">
        <v>156</v>
      </c>
      <c r="F15" s="53" t="s">
        <v>157</v>
      </c>
      <c r="G15" s="54" t="s">
        <v>167</v>
      </c>
    </row>
    <row r="16" spans="2:7" ht="15.75" thickBot="1" x14ac:dyDescent="0.3">
      <c r="B16" s="38"/>
      <c r="C16" s="39" t="s">
        <v>161</v>
      </c>
      <c r="D16" s="39" t="s">
        <v>162</v>
      </c>
      <c r="E16" s="39" t="s">
        <v>163</v>
      </c>
      <c r="F16" s="39" t="s">
        <v>150</v>
      </c>
      <c r="G16" s="40" t="s">
        <v>164</v>
      </c>
    </row>
    <row r="19" spans="2:7" ht="24" x14ac:dyDescent="0.4">
      <c r="B19" s="58" t="s">
        <v>185</v>
      </c>
    </row>
    <row r="20" spans="2:7" x14ac:dyDescent="0.25">
      <c r="B20" s="41"/>
    </row>
    <row r="21" spans="2:7" ht="15.75" thickBot="1" x14ac:dyDescent="0.3">
      <c r="B21" t="s">
        <v>186</v>
      </c>
    </row>
    <row r="22" spans="2:7" x14ac:dyDescent="0.25">
      <c r="B22" s="59" t="s">
        <v>142</v>
      </c>
      <c r="C22" s="60" t="s">
        <v>143</v>
      </c>
      <c r="D22" s="60" t="s">
        <v>187</v>
      </c>
      <c r="E22" s="60" t="s">
        <v>188</v>
      </c>
      <c r="F22" s="60" t="s">
        <v>146</v>
      </c>
      <c r="G22" s="61" t="s">
        <v>147</v>
      </c>
    </row>
    <row r="23" spans="2:7" x14ac:dyDescent="0.25">
      <c r="B23" s="62" t="s">
        <v>189</v>
      </c>
      <c r="C23" s="48" t="s">
        <v>178</v>
      </c>
      <c r="D23" s="48" t="s">
        <v>190</v>
      </c>
      <c r="E23" s="48" t="s">
        <v>177</v>
      </c>
      <c r="F23" s="48" t="s">
        <v>191</v>
      </c>
      <c r="G23" s="49" t="s">
        <v>160</v>
      </c>
    </row>
    <row r="24" spans="2:7" x14ac:dyDescent="0.25">
      <c r="B24" s="63" t="s">
        <v>192</v>
      </c>
      <c r="C24" s="64" t="s">
        <v>193</v>
      </c>
      <c r="D24" s="64" t="s">
        <v>194</v>
      </c>
      <c r="E24" s="64"/>
      <c r="F24" s="64"/>
      <c r="G24" s="65" t="s">
        <v>195</v>
      </c>
    </row>
    <row r="25" spans="2:7" x14ac:dyDescent="0.25">
      <c r="B25" s="45" t="s">
        <v>154</v>
      </c>
      <c r="C25" s="46" t="s">
        <v>155</v>
      </c>
      <c r="D25" s="46" t="s">
        <v>190</v>
      </c>
      <c r="E25" s="46" t="s">
        <v>177</v>
      </c>
      <c r="F25" s="46" t="s">
        <v>191</v>
      </c>
      <c r="G25" s="47" t="s">
        <v>153</v>
      </c>
    </row>
    <row r="26" spans="2:7" x14ac:dyDescent="0.25">
      <c r="B26" s="35" t="s">
        <v>196</v>
      </c>
      <c r="C26" s="36" t="s">
        <v>159</v>
      </c>
      <c r="D26" s="36" t="s">
        <v>190</v>
      </c>
      <c r="E26" s="36" t="s">
        <v>177</v>
      </c>
      <c r="F26" s="36" t="s">
        <v>191</v>
      </c>
      <c r="G26" s="44" t="s">
        <v>160</v>
      </c>
    </row>
    <row r="27" spans="2:7" x14ac:dyDescent="0.25">
      <c r="B27" s="51"/>
      <c r="C27" s="66" t="s">
        <v>161</v>
      </c>
      <c r="D27" s="66" t="s">
        <v>197</v>
      </c>
      <c r="E27" s="66" t="s">
        <v>152</v>
      </c>
      <c r="F27" s="66" t="s">
        <v>198</v>
      </c>
      <c r="G27" s="67" t="s">
        <v>164</v>
      </c>
    </row>
    <row r="28" spans="2:7" x14ac:dyDescent="0.25">
      <c r="B28" s="68" t="s">
        <v>165</v>
      </c>
      <c r="C28" s="69" t="s">
        <v>166</v>
      </c>
      <c r="D28" s="69" t="s">
        <v>190</v>
      </c>
      <c r="E28" s="69" t="s">
        <v>177</v>
      </c>
      <c r="F28" s="69" t="s">
        <v>191</v>
      </c>
      <c r="G28" s="70" t="s">
        <v>167</v>
      </c>
    </row>
    <row r="29" spans="2:7" x14ac:dyDescent="0.25">
      <c r="B29" s="45" t="s">
        <v>199</v>
      </c>
      <c r="C29" s="46" t="s">
        <v>166</v>
      </c>
      <c r="D29" s="46" t="s">
        <v>190</v>
      </c>
      <c r="E29" s="46" t="s">
        <v>177</v>
      </c>
      <c r="F29" s="46" t="s">
        <v>191</v>
      </c>
      <c r="G29" s="47" t="s">
        <v>167</v>
      </c>
    </row>
    <row r="30" spans="2:7" x14ac:dyDescent="0.25">
      <c r="B30" s="51" t="s">
        <v>169</v>
      </c>
      <c r="C30" s="66" t="s">
        <v>161</v>
      </c>
      <c r="D30" s="66" t="s">
        <v>197</v>
      </c>
      <c r="E30" s="66" t="s">
        <v>152</v>
      </c>
      <c r="F30" s="66" t="s">
        <v>198</v>
      </c>
      <c r="G30" s="67" t="s">
        <v>164</v>
      </c>
    </row>
    <row r="31" spans="2:7" x14ac:dyDescent="0.25">
      <c r="B31" s="71" t="s">
        <v>170</v>
      </c>
      <c r="C31" s="72" t="s">
        <v>166</v>
      </c>
      <c r="D31" s="72" t="s">
        <v>190</v>
      </c>
      <c r="E31" s="72" t="s">
        <v>177</v>
      </c>
      <c r="F31" s="72" t="s">
        <v>191</v>
      </c>
      <c r="G31" s="65" t="s">
        <v>167</v>
      </c>
    </row>
    <row r="32" spans="2:7" x14ac:dyDescent="0.25">
      <c r="B32" s="63"/>
      <c r="C32" s="64" t="s">
        <v>171</v>
      </c>
      <c r="D32" s="64"/>
      <c r="E32" s="64"/>
      <c r="F32" s="64"/>
      <c r="G32" s="65" t="s">
        <v>200</v>
      </c>
    </row>
    <row r="33" spans="2:7" x14ac:dyDescent="0.25">
      <c r="B33" s="35" t="s">
        <v>173</v>
      </c>
      <c r="C33" s="36" t="s">
        <v>166</v>
      </c>
      <c r="D33" s="36" t="s">
        <v>190</v>
      </c>
      <c r="E33" s="36" t="s">
        <v>177</v>
      </c>
      <c r="F33" s="36" t="s">
        <v>191</v>
      </c>
      <c r="G33" s="44" t="s">
        <v>167</v>
      </c>
    </row>
    <row r="34" spans="2:7" ht="15.75" thickBot="1" x14ac:dyDescent="0.3">
      <c r="B34" s="38"/>
      <c r="C34" s="39" t="s">
        <v>161</v>
      </c>
      <c r="D34" s="39" t="s">
        <v>197</v>
      </c>
      <c r="E34" s="39" t="s">
        <v>152</v>
      </c>
      <c r="F34" s="39" t="s">
        <v>198</v>
      </c>
      <c r="G34" s="73" t="s">
        <v>164</v>
      </c>
    </row>
    <row r="36" spans="2:7" ht="15.75" thickBot="1" x14ac:dyDescent="0.3">
      <c r="B36" t="s">
        <v>201</v>
      </c>
      <c r="C36" t="s">
        <v>183</v>
      </c>
    </row>
    <row r="37" spans="2:7" x14ac:dyDescent="0.25">
      <c r="B37" s="74" t="s">
        <v>142</v>
      </c>
      <c r="C37" s="75" t="s">
        <v>143</v>
      </c>
      <c r="D37" s="75" t="s">
        <v>146</v>
      </c>
      <c r="E37" s="75" t="s">
        <v>202</v>
      </c>
      <c r="F37" s="75" t="s">
        <v>203</v>
      </c>
      <c r="G37" s="61" t="s">
        <v>147</v>
      </c>
    </row>
    <row r="38" spans="2:7" x14ac:dyDescent="0.25">
      <c r="B38" s="76" t="s">
        <v>204</v>
      </c>
      <c r="C38" s="77" t="s">
        <v>205</v>
      </c>
      <c r="D38" s="77" t="s">
        <v>206</v>
      </c>
      <c r="E38" s="77" t="s">
        <v>177</v>
      </c>
      <c r="F38" s="77" t="s">
        <v>207</v>
      </c>
      <c r="G38" s="78" t="s">
        <v>153</v>
      </c>
    </row>
    <row r="39" spans="2:7" ht="15.75" thickBot="1" x14ac:dyDescent="0.3">
      <c r="B39" s="79" t="s">
        <v>208</v>
      </c>
      <c r="C39" s="80" t="s">
        <v>209</v>
      </c>
      <c r="D39" s="80" t="s">
        <v>190</v>
      </c>
      <c r="E39" s="80" t="s">
        <v>206</v>
      </c>
      <c r="F39" s="80" t="s">
        <v>207</v>
      </c>
      <c r="G39" s="81" t="s">
        <v>153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4C8B081E-63C5-4E01-9C98-12F7A8FE78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5DB8ED-E21D-4A84-A4DE-7C187CF8FA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D60459-FEA9-4CDE-917D-6FC30ACB62BF}">
  <ds:schemaRefs>
    <ds:schemaRef ds:uri="http://purl.org/dc/dcmitype/"/>
    <ds:schemaRef ds:uri="http://schemas.openxmlformats.org/package/2006/metadata/core-properties"/>
    <ds:schemaRef ds:uri="7146d502-05f5-4fb7-b414-24f33b760985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Breed Master</vt:lpstr>
      <vt:lpstr>Breeder L-cycle stages -WeanGro</vt:lpstr>
      <vt:lpstr>Medication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Johan Odendaal</cp:lastModifiedBy>
  <cp:revision/>
  <cp:lastPrinted>2026-09-01T08:53:29Z</cp:lastPrinted>
  <dcterms:created xsi:type="dcterms:W3CDTF">2026-08-17T17:45:23Z</dcterms:created>
  <dcterms:modified xsi:type="dcterms:W3CDTF">2026-09-10T15:27:38Z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