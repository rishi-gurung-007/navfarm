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LIONSHEAD EXTENSIONS LOCATION MASTER/"/>
    </mc:Choice>
  </mc:AlternateContent>
  <xr:revisionPtr revIDLastSave="71" documentId="8_{478680D5-E2BC-4D6C-AC4D-89F7082FAC4B}" xr6:coauthVersionLast="47" xr6:coauthVersionMax="47" xr10:uidLastSave="{BB18D4AF-4726-44DB-BF7D-5E50F422C9CE}"/>
  <bookViews>
    <workbookView xWindow="-108" yWindow="-108" windowWidth="23256" windowHeight="13896" xr2:uid="{DC7A9B36-E730-485D-92E0-8A03927FCC25}"/>
  </bookViews>
  <sheets>
    <sheet name="Location Master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7" i="1"/>
  <c r="H6" i="1"/>
</calcChain>
</file>

<file path=xl/sharedStrings.xml><?xml version="1.0" encoding="utf-8"?>
<sst xmlns="http://schemas.openxmlformats.org/spreadsheetml/2006/main" count="212" uniqueCount="93">
  <si>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</si>
  <si>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</si>
  <si>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</si>
  <si>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</si>
  <si>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</si>
  <si>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</si>
  <si>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</si>
  <si>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</si>
  <si>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</si>
  <si>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</si>
  <si>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</si>
  <si>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</si>
  <si>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</si>
  <si>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</si>
  <si>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</si>
  <si>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</si>
  <si>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</si>
  <si>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</si>
  <si>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</si>
  <si>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</si>
  <si>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</si>
  <si>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</si>
  <si>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</si>
  <si>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</si>
  <si>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</si>
  <si>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</si>
  <si>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</si>
  <si>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</si>
  <si>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</si>
  <si>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</si>
  <si>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Example Value</t>
  </si>
  <si>
    <t>SHED</t>
  </si>
  <si>
    <t>GROW-H1</t>
  </si>
  <si>
    <t>PEN-1</t>
  </si>
  <si>
    <t>M2</t>
  </si>
  <si>
    <t>NOS (Numbers)</t>
  </si>
  <si>
    <t>Mandatory</t>
  </si>
  <si>
    <t>YES</t>
  </si>
  <si>
    <t>NO</t>
  </si>
  <si>
    <t>M2-Square Meter</t>
  </si>
  <si>
    <t>MAIN FARM</t>
  </si>
  <si>
    <t>HECTARE</t>
  </si>
  <si>
    <t>NUMBERS</t>
  </si>
  <si>
    <t>SHED/HOUSE</t>
  </si>
  <si>
    <t>SILO</t>
  </si>
  <si>
    <t>SILO/STORE NAME NUMBER</t>
  </si>
  <si>
    <t>Feed in Bags</t>
  </si>
  <si>
    <t>Are bags being used at the farm for feeding</t>
  </si>
  <si>
    <t>STORE</t>
  </si>
  <si>
    <t>LEX100</t>
  </si>
  <si>
    <t>LIONSHEAD EXTENSIONS</t>
  </si>
  <si>
    <t xml:space="preserve">LIONSHEAD FARM 61 JURU </t>
  </si>
  <si>
    <t>LXGH1</t>
  </si>
  <si>
    <t>LXGH-01</t>
  </si>
  <si>
    <t>LXGH2</t>
  </si>
  <si>
    <t xml:space="preserve">LXGH (LEX GROWER HOUSE) </t>
  </si>
  <si>
    <t>LXGH-02</t>
  </si>
  <si>
    <t>LXGH3</t>
  </si>
  <si>
    <t>LXGH-03</t>
  </si>
  <si>
    <t>LXGH4</t>
  </si>
  <si>
    <t>LXGH-04</t>
  </si>
  <si>
    <t>LXGH5</t>
  </si>
  <si>
    <t>LXGH-05</t>
  </si>
  <si>
    <t>LXGH6</t>
  </si>
  <si>
    <t>LXGH-06</t>
  </si>
  <si>
    <t>LXGH7</t>
  </si>
  <si>
    <t>LXGH-07</t>
  </si>
  <si>
    <t>LXGH8</t>
  </si>
  <si>
    <t>LXGH-08</t>
  </si>
  <si>
    <t>LXGH9</t>
  </si>
  <si>
    <t>LXGH-09</t>
  </si>
  <si>
    <t>LXGH10</t>
  </si>
  <si>
    <t>LXGH-10</t>
  </si>
  <si>
    <t>LXWH01</t>
  </si>
  <si>
    <t>LXWH (LEX WEANER HOUSE)</t>
  </si>
  <si>
    <t>LXWH-01</t>
  </si>
  <si>
    <t>LXWH02</t>
  </si>
  <si>
    <t>LXWH-02</t>
  </si>
  <si>
    <t>LXGH-11</t>
  </si>
  <si>
    <t>LXGH-12</t>
  </si>
  <si>
    <t>LXGS1</t>
  </si>
  <si>
    <t>LXGS2</t>
  </si>
  <si>
    <t>LXGS3</t>
  </si>
  <si>
    <t>LXGS4</t>
  </si>
  <si>
    <t>LXGS5</t>
  </si>
  <si>
    <t>LXGS6</t>
  </si>
  <si>
    <t>LXGS7</t>
  </si>
  <si>
    <t>LXGS8</t>
  </si>
  <si>
    <t>LXGS9</t>
  </si>
  <si>
    <t>LXGS10</t>
  </si>
  <si>
    <t>LXGS11</t>
  </si>
  <si>
    <t>LXGS12</t>
  </si>
  <si>
    <t>LIONSHEAD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</si>
</sst>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sz val="9"/>
      <color rgb="FFC0392B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AF8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3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89F-B902-42C2-B624-596CA0BB2C59}">
  <dimension ref="A1:Q21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20" style="14" customWidth="1"/>
    <col min="5" max="5" width="24.44140625" style="14" customWidth="1"/>
    <col min="6" max="6" width="27" style="14" customWidth="1"/>
    <col min="7" max="7" width="15.6640625" style="14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4.664062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46</v>
      </c>
    </row>
    <row r="2" spans="1:17" ht="36" x14ac:dyDescent="0.25">
      <c r="A2" s="1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7" t="s">
        <v>23</v>
      </c>
      <c r="J2" s="5" t="s">
        <v>24</v>
      </c>
      <c r="K2" s="7" t="s">
        <v>25</v>
      </c>
      <c r="L2" s="8" t="s">
        <v>26</v>
      </c>
      <c r="M2" s="8" t="s">
        <v>45</v>
      </c>
      <c r="N2" s="6" t="s">
        <v>27</v>
      </c>
      <c r="O2" s="5" t="s">
        <v>28</v>
      </c>
      <c r="P2" s="6" t="s">
        <v>29</v>
      </c>
      <c r="Q2" s="21" t="s">
        <v>47</v>
      </c>
    </row>
    <row r="3" spans="1:17" ht="24" x14ac:dyDescent="0.25">
      <c r="A3" s="1" t="s">
        <v>30</v>
      </c>
      <c r="B3" s="5" t="s">
        <v>31</v>
      </c>
      <c r="C3" s="6" t="s">
        <v>49</v>
      </c>
      <c r="D3" s="5" t="s">
        <v>92</v>
      </c>
      <c r="E3" s="5" t="s">
        <v>49</v>
      </c>
      <c r="F3" s="15" t="s">
        <v>32</v>
      </c>
      <c r="G3" s="15" t="s">
        <v>33</v>
      </c>
      <c r="H3" s="5">
        <v>0.5</v>
      </c>
      <c r="I3" s="7" t="s">
        <v>34</v>
      </c>
      <c r="J3" s="5">
        <v>10000</v>
      </c>
      <c r="K3" s="7" t="s">
        <v>35</v>
      </c>
      <c r="N3" s="13">
        <v>2000</v>
      </c>
      <c r="O3" s="11">
        <v>3</v>
      </c>
      <c r="P3" s="13">
        <v>14</v>
      </c>
    </row>
    <row r="4" spans="1:17" x14ac:dyDescent="0.25">
      <c r="A4" s="1" t="s">
        <v>36</v>
      </c>
      <c r="B4" s="9" t="s">
        <v>37</v>
      </c>
      <c r="C4" s="10" t="s">
        <v>37</v>
      </c>
      <c r="D4" s="9"/>
      <c r="E4" s="9" t="s">
        <v>37</v>
      </c>
      <c r="F4" s="9"/>
      <c r="G4" s="9"/>
      <c r="H4" s="11" t="s">
        <v>38</v>
      </c>
      <c r="I4" s="12" t="s">
        <v>38</v>
      </c>
      <c r="J4" s="11" t="s">
        <v>37</v>
      </c>
      <c r="K4" s="12" t="s">
        <v>37</v>
      </c>
      <c r="N4" s="13" t="s">
        <v>37</v>
      </c>
      <c r="O4" s="11" t="s">
        <v>37</v>
      </c>
      <c r="P4" s="13" t="s">
        <v>38</v>
      </c>
      <c r="Q4" s="16" t="s">
        <v>37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x14ac:dyDescent="0.25">
      <c r="A6" s="15"/>
      <c r="B6" s="15" t="s">
        <v>40</v>
      </c>
      <c r="C6" s="15" t="s">
        <v>49</v>
      </c>
      <c r="D6" s="5" t="s">
        <v>50</v>
      </c>
      <c r="E6" s="24" t="s">
        <v>51</v>
      </c>
      <c r="F6" s="15" t="s">
        <v>55</v>
      </c>
      <c r="G6" s="15"/>
      <c r="H6" s="17">
        <f>SUM(H7:H21)/10000</f>
        <v>0.39456399999999997</v>
      </c>
      <c r="I6" s="14" t="s">
        <v>41</v>
      </c>
      <c r="J6" s="18">
        <v>18000</v>
      </c>
      <c r="M6" s="20"/>
      <c r="N6" s="20"/>
      <c r="O6" s="20"/>
      <c r="P6" s="20"/>
    </row>
    <row r="7" spans="1:17" x14ac:dyDescent="0.25">
      <c r="B7" s="15" t="s">
        <v>43</v>
      </c>
      <c r="C7" s="14" t="s">
        <v>52</v>
      </c>
      <c r="D7" s="5" t="s">
        <v>50</v>
      </c>
      <c r="E7" s="24" t="s">
        <v>51</v>
      </c>
      <c r="F7" s="15" t="s">
        <v>55</v>
      </c>
      <c r="G7" s="15" t="s">
        <v>53</v>
      </c>
      <c r="H7" s="17">
        <v>380.48</v>
      </c>
      <c r="I7" s="14" t="s">
        <v>39</v>
      </c>
      <c r="J7" s="18">
        <f>H7/0.9</f>
        <v>422.75555555555559</v>
      </c>
      <c r="K7" s="14" t="s">
        <v>42</v>
      </c>
      <c r="L7" s="14" t="s">
        <v>44</v>
      </c>
      <c r="M7" s="19" t="s">
        <v>80</v>
      </c>
      <c r="N7" s="22">
        <v>5000</v>
      </c>
      <c r="O7" s="22">
        <v>2</v>
      </c>
      <c r="P7" s="22">
        <v>4</v>
      </c>
      <c r="Q7" s="23" t="s">
        <v>37</v>
      </c>
    </row>
    <row r="8" spans="1:17" x14ac:dyDescent="0.25">
      <c r="B8" s="15" t="s">
        <v>43</v>
      </c>
      <c r="C8" s="14" t="s">
        <v>54</v>
      </c>
      <c r="D8" s="5" t="s">
        <v>50</v>
      </c>
      <c r="E8" s="24" t="s">
        <v>51</v>
      </c>
      <c r="F8" s="15" t="s">
        <v>55</v>
      </c>
      <c r="G8" s="15" t="s">
        <v>56</v>
      </c>
      <c r="H8" s="17">
        <v>379</v>
      </c>
      <c r="I8" s="14" t="s">
        <v>39</v>
      </c>
      <c r="J8" s="18">
        <f t="shared" ref="J8:J18" si="0">H8/0.9</f>
        <v>421.11111111111109</v>
      </c>
      <c r="K8" s="14" t="s">
        <v>42</v>
      </c>
      <c r="L8" s="14" t="s">
        <v>44</v>
      </c>
      <c r="M8" s="19" t="s">
        <v>81</v>
      </c>
      <c r="N8" s="22">
        <v>5000</v>
      </c>
      <c r="O8" s="22">
        <v>2</v>
      </c>
      <c r="P8" s="22">
        <v>4</v>
      </c>
      <c r="Q8" s="23" t="s">
        <v>37</v>
      </c>
    </row>
    <row r="9" spans="1:17" x14ac:dyDescent="0.25">
      <c r="B9" s="15" t="s">
        <v>43</v>
      </c>
      <c r="C9" s="14" t="s">
        <v>57</v>
      </c>
      <c r="D9" s="5" t="s">
        <v>50</v>
      </c>
      <c r="E9" s="24" t="s">
        <v>51</v>
      </c>
      <c r="F9" s="15" t="s">
        <v>55</v>
      </c>
      <c r="G9" s="15" t="s">
        <v>58</v>
      </c>
      <c r="H9" s="17">
        <v>198.19</v>
      </c>
      <c r="I9" s="14" t="s">
        <v>39</v>
      </c>
      <c r="J9" s="18">
        <f t="shared" si="0"/>
        <v>220.21111111111111</v>
      </c>
      <c r="K9" s="14" t="s">
        <v>42</v>
      </c>
      <c r="L9" s="14" t="s">
        <v>44</v>
      </c>
      <c r="M9" s="19" t="s">
        <v>82</v>
      </c>
      <c r="N9" s="22">
        <v>5000</v>
      </c>
      <c r="O9" s="22">
        <v>2</v>
      </c>
      <c r="P9" s="22">
        <v>4</v>
      </c>
      <c r="Q9" s="23" t="s">
        <v>37</v>
      </c>
    </row>
    <row r="10" spans="1:17" x14ac:dyDescent="0.25">
      <c r="B10" s="15" t="s">
        <v>43</v>
      </c>
      <c r="C10" s="14" t="s">
        <v>59</v>
      </c>
      <c r="D10" s="5" t="s">
        <v>50</v>
      </c>
      <c r="E10" s="24" t="s">
        <v>51</v>
      </c>
      <c r="F10" s="15" t="s">
        <v>55</v>
      </c>
      <c r="G10" s="15" t="s">
        <v>60</v>
      </c>
      <c r="H10" s="17">
        <v>367.6</v>
      </c>
      <c r="I10" s="14" t="s">
        <v>39</v>
      </c>
      <c r="J10" s="18">
        <f t="shared" si="0"/>
        <v>408.44444444444446</v>
      </c>
      <c r="K10" s="14" t="s">
        <v>42</v>
      </c>
      <c r="L10" s="14" t="s">
        <v>44</v>
      </c>
      <c r="M10" s="19" t="s">
        <v>83</v>
      </c>
      <c r="N10" s="22">
        <v>5000</v>
      </c>
      <c r="O10" s="22">
        <v>2</v>
      </c>
      <c r="P10" s="22">
        <v>4</v>
      </c>
      <c r="Q10" s="23" t="s">
        <v>37</v>
      </c>
    </row>
    <row r="11" spans="1:17" x14ac:dyDescent="0.25">
      <c r="B11" s="15" t="s">
        <v>43</v>
      </c>
      <c r="C11" s="14" t="s">
        <v>61</v>
      </c>
      <c r="D11" s="5" t="s">
        <v>50</v>
      </c>
      <c r="E11" s="24" t="s">
        <v>51</v>
      </c>
      <c r="F11" s="15" t="s">
        <v>55</v>
      </c>
      <c r="G11" s="15" t="s">
        <v>62</v>
      </c>
      <c r="H11" s="17">
        <v>336.14</v>
      </c>
      <c r="I11" s="14" t="s">
        <v>39</v>
      </c>
      <c r="J11" s="18">
        <f t="shared" si="0"/>
        <v>373.48888888888888</v>
      </c>
      <c r="K11" s="14" t="s">
        <v>42</v>
      </c>
      <c r="L11" s="14" t="s">
        <v>44</v>
      </c>
      <c r="M11" s="19" t="s">
        <v>84</v>
      </c>
      <c r="N11" s="22">
        <v>5000</v>
      </c>
      <c r="O11" s="22">
        <v>2</v>
      </c>
      <c r="P11" s="22">
        <v>4</v>
      </c>
      <c r="Q11" s="23" t="s">
        <v>37</v>
      </c>
    </row>
    <row r="12" spans="1:17" x14ac:dyDescent="0.25">
      <c r="B12" s="15" t="s">
        <v>43</v>
      </c>
      <c r="C12" s="14" t="s">
        <v>63</v>
      </c>
      <c r="D12" s="5" t="s">
        <v>50</v>
      </c>
      <c r="E12" s="24" t="s">
        <v>51</v>
      </c>
      <c r="F12" s="15" t="s">
        <v>55</v>
      </c>
      <c r="G12" s="15" t="s">
        <v>64</v>
      </c>
      <c r="H12" s="17">
        <v>333.59</v>
      </c>
      <c r="I12" s="14" t="s">
        <v>39</v>
      </c>
      <c r="J12" s="18">
        <f t="shared" si="0"/>
        <v>370.65555555555551</v>
      </c>
      <c r="K12" s="14" t="s">
        <v>42</v>
      </c>
      <c r="L12" s="14" t="s">
        <v>44</v>
      </c>
      <c r="M12" s="19" t="s">
        <v>85</v>
      </c>
      <c r="N12" s="22">
        <v>5000</v>
      </c>
      <c r="O12" s="22">
        <v>2</v>
      </c>
      <c r="P12" s="22">
        <v>4</v>
      </c>
      <c r="Q12" s="23" t="s">
        <v>37</v>
      </c>
    </row>
    <row r="13" spans="1:17" x14ac:dyDescent="0.25">
      <c r="B13" s="15" t="s">
        <v>43</v>
      </c>
      <c r="C13" s="14" t="s">
        <v>65</v>
      </c>
      <c r="D13" s="5" t="s">
        <v>50</v>
      </c>
      <c r="E13" s="24" t="s">
        <v>51</v>
      </c>
      <c r="F13" s="15" t="s">
        <v>55</v>
      </c>
      <c r="G13" s="15" t="s">
        <v>66</v>
      </c>
      <c r="H13" s="17">
        <v>168.38</v>
      </c>
      <c r="I13" s="14" t="s">
        <v>39</v>
      </c>
      <c r="J13" s="18">
        <f t="shared" si="0"/>
        <v>187.08888888888887</v>
      </c>
      <c r="K13" s="14" t="s">
        <v>42</v>
      </c>
      <c r="L13" s="14" t="s">
        <v>44</v>
      </c>
      <c r="M13" s="19" t="s">
        <v>86</v>
      </c>
      <c r="N13" s="22">
        <v>5000</v>
      </c>
      <c r="O13" s="22">
        <v>2</v>
      </c>
      <c r="P13" s="22">
        <v>4</v>
      </c>
      <c r="Q13" s="23" t="s">
        <v>37</v>
      </c>
    </row>
    <row r="14" spans="1:17" x14ac:dyDescent="0.25">
      <c r="B14" s="15" t="s">
        <v>43</v>
      </c>
      <c r="C14" s="14" t="s">
        <v>67</v>
      </c>
      <c r="D14" s="5" t="s">
        <v>50</v>
      </c>
      <c r="E14" s="24" t="s">
        <v>51</v>
      </c>
      <c r="F14" s="15" t="s">
        <v>55</v>
      </c>
      <c r="G14" s="15" t="s">
        <v>68</v>
      </c>
      <c r="H14" s="17">
        <v>221.29</v>
      </c>
      <c r="I14" s="14" t="s">
        <v>39</v>
      </c>
      <c r="J14" s="18">
        <f t="shared" si="0"/>
        <v>245.87777777777777</v>
      </c>
      <c r="K14" s="14" t="s">
        <v>42</v>
      </c>
      <c r="L14" s="14" t="s">
        <v>44</v>
      </c>
      <c r="M14" s="19" t="s">
        <v>87</v>
      </c>
      <c r="N14" s="22">
        <v>5000</v>
      </c>
      <c r="O14" s="22">
        <v>2</v>
      </c>
      <c r="P14" s="22">
        <v>4</v>
      </c>
      <c r="Q14" s="23" t="s">
        <v>37</v>
      </c>
    </row>
    <row r="15" spans="1:17" x14ac:dyDescent="0.25">
      <c r="B15" s="15" t="s">
        <v>43</v>
      </c>
      <c r="C15" s="14" t="s">
        <v>69</v>
      </c>
      <c r="D15" s="5" t="s">
        <v>50</v>
      </c>
      <c r="E15" s="24" t="s">
        <v>51</v>
      </c>
      <c r="F15" s="15" t="s">
        <v>55</v>
      </c>
      <c r="G15" s="15" t="s">
        <v>70</v>
      </c>
      <c r="H15" s="17">
        <v>237.8</v>
      </c>
      <c r="I15" s="14" t="s">
        <v>39</v>
      </c>
      <c r="J15" s="18">
        <f t="shared" si="0"/>
        <v>264.22222222222223</v>
      </c>
      <c r="K15" s="14" t="s">
        <v>42</v>
      </c>
      <c r="L15" s="14" t="s">
        <v>44</v>
      </c>
      <c r="M15" s="19" t="s">
        <v>88</v>
      </c>
      <c r="N15" s="22">
        <v>5000</v>
      </c>
      <c r="O15" s="22">
        <v>2</v>
      </c>
      <c r="P15" s="22">
        <v>4</v>
      </c>
      <c r="Q15" s="23" t="s">
        <v>37</v>
      </c>
    </row>
    <row r="16" spans="1:17" x14ac:dyDescent="0.25">
      <c r="B16" s="15" t="s">
        <v>43</v>
      </c>
      <c r="C16" s="14" t="s">
        <v>71</v>
      </c>
      <c r="D16" s="5" t="s">
        <v>50</v>
      </c>
      <c r="E16" s="24" t="s">
        <v>51</v>
      </c>
      <c r="F16" s="15" t="s">
        <v>55</v>
      </c>
      <c r="G16" s="15" t="s">
        <v>72</v>
      </c>
      <c r="H16" s="17">
        <v>278.39999999999998</v>
      </c>
      <c r="I16" s="14" t="s">
        <v>39</v>
      </c>
      <c r="J16" s="18">
        <f t="shared" si="0"/>
        <v>309.33333333333331</v>
      </c>
      <c r="K16" s="14" t="s">
        <v>42</v>
      </c>
      <c r="L16" s="14" t="s">
        <v>44</v>
      </c>
      <c r="M16" s="19" t="s">
        <v>89</v>
      </c>
      <c r="N16" s="22">
        <v>5000</v>
      </c>
      <c r="O16" s="22">
        <v>2</v>
      </c>
      <c r="P16" s="22">
        <v>4</v>
      </c>
      <c r="Q16" s="23" t="s">
        <v>37</v>
      </c>
    </row>
    <row r="17" spans="2:17" x14ac:dyDescent="0.25">
      <c r="B17" s="15" t="s">
        <v>43</v>
      </c>
      <c r="C17" s="14" t="s">
        <v>71</v>
      </c>
      <c r="D17" s="5" t="s">
        <v>50</v>
      </c>
      <c r="E17" s="24" t="s">
        <v>51</v>
      </c>
      <c r="F17" s="15" t="s">
        <v>55</v>
      </c>
      <c r="G17" s="15" t="s">
        <v>78</v>
      </c>
      <c r="H17" s="17">
        <v>278.68</v>
      </c>
      <c r="I17" s="14" t="s">
        <v>39</v>
      </c>
      <c r="J17" s="18">
        <f t="shared" si="0"/>
        <v>309.64444444444445</v>
      </c>
      <c r="K17" s="14" t="s">
        <v>42</v>
      </c>
      <c r="L17" s="14" t="s">
        <v>44</v>
      </c>
      <c r="M17" s="19" t="s">
        <v>90</v>
      </c>
      <c r="N17" s="22">
        <v>5000</v>
      </c>
      <c r="O17" s="22">
        <v>2</v>
      </c>
      <c r="P17" s="22">
        <v>4</v>
      </c>
      <c r="Q17" s="23" t="s">
        <v>37</v>
      </c>
    </row>
    <row r="18" spans="2:17" x14ac:dyDescent="0.25">
      <c r="B18" s="15" t="s">
        <v>43</v>
      </c>
      <c r="C18" s="14" t="s">
        <v>71</v>
      </c>
      <c r="D18" s="5" t="s">
        <v>50</v>
      </c>
      <c r="E18" s="24" t="s">
        <v>51</v>
      </c>
      <c r="F18" s="15" t="s">
        <v>55</v>
      </c>
      <c r="G18" s="15" t="s">
        <v>79</v>
      </c>
      <c r="H18" s="17">
        <v>302.77999999999997</v>
      </c>
      <c r="I18" s="14" t="s">
        <v>39</v>
      </c>
      <c r="J18" s="18">
        <f t="shared" si="0"/>
        <v>336.42222222222216</v>
      </c>
      <c r="K18" s="14" t="s">
        <v>42</v>
      </c>
      <c r="L18" s="14" t="s">
        <v>44</v>
      </c>
      <c r="M18" s="19" t="s">
        <v>91</v>
      </c>
      <c r="N18" s="22">
        <v>5000</v>
      </c>
      <c r="O18" s="22">
        <v>2</v>
      </c>
      <c r="P18" s="22">
        <v>4</v>
      </c>
      <c r="Q18" s="23" t="s">
        <v>37</v>
      </c>
    </row>
    <row r="19" spans="2:17" x14ac:dyDescent="0.25">
      <c r="B19" s="15"/>
      <c r="D19" s="5"/>
      <c r="E19" s="24"/>
      <c r="F19" s="15"/>
      <c r="G19" s="15"/>
      <c r="H19" s="17"/>
      <c r="J19" s="18"/>
      <c r="M19" s="19"/>
      <c r="N19" s="22"/>
      <c r="O19" s="22"/>
      <c r="P19" s="22"/>
      <c r="Q19" s="23"/>
    </row>
    <row r="20" spans="2:17" x14ac:dyDescent="0.25">
      <c r="B20" s="15" t="s">
        <v>43</v>
      </c>
      <c r="C20" s="14" t="s">
        <v>73</v>
      </c>
      <c r="D20" s="5" t="s">
        <v>50</v>
      </c>
      <c r="E20" s="24" t="s">
        <v>51</v>
      </c>
      <c r="F20" s="14" t="s">
        <v>74</v>
      </c>
      <c r="G20" s="15" t="s">
        <v>75</v>
      </c>
      <c r="H20" s="17">
        <v>287.61</v>
      </c>
      <c r="I20" s="14" t="s">
        <v>39</v>
      </c>
      <c r="J20" s="18">
        <v>523</v>
      </c>
      <c r="K20" s="14" t="s">
        <v>42</v>
      </c>
      <c r="L20" s="14" t="s">
        <v>48</v>
      </c>
      <c r="M20" s="19"/>
      <c r="N20" s="22">
        <v>4000</v>
      </c>
      <c r="O20" s="22">
        <v>3</v>
      </c>
      <c r="P20" s="22">
        <v>3</v>
      </c>
      <c r="Q20" s="22" t="s">
        <v>37</v>
      </c>
    </row>
    <row r="21" spans="2:17" x14ac:dyDescent="0.25">
      <c r="B21" s="15" t="s">
        <v>43</v>
      </c>
      <c r="C21" s="14" t="s">
        <v>76</v>
      </c>
      <c r="D21" s="5" t="s">
        <v>50</v>
      </c>
      <c r="E21" s="24" t="s">
        <v>51</v>
      </c>
      <c r="F21" s="14" t="s">
        <v>74</v>
      </c>
      <c r="G21" s="15" t="s">
        <v>77</v>
      </c>
      <c r="H21" s="17">
        <v>175.7</v>
      </c>
      <c r="I21" s="14" t="s">
        <v>39</v>
      </c>
      <c r="J21" s="18">
        <v>319</v>
      </c>
      <c r="K21" s="14" t="s">
        <v>42</v>
      </c>
      <c r="L21" s="14" t="s">
        <v>48</v>
      </c>
      <c r="M21" s="19"/>
      <c r="N21" s="22">
        <v>5000</v>
      </c>
      <c r="O21" s="22">
        <v>3</v>
      </c>
      <c r="P21" s="22">
        <v>3</v>
      </c>
      <c r="Q21" s="22" t="s">
        <v>37</v>
      </c>
    </row>
  </sheetData>
  <phoneticPr fontId="7" type="noConversion"/>
  <dataValidations count="3">
    <dataValidation type="list" allowBlank="1" showInputMessage="1" showErrorMessage="1" sqref="M5 L5:L21" xr:uid="{6946AF22-594A-4933-8AAA-E235BF5CCC87}">
      <formula1>"STORE, SILO"</formula1>
    </dataValidation>
    <dataValidation type="list" allowBlank="1" showInputMessage="1" showErrorMessage="1" sqref="B5:B21" xr:uid="{2FA17349-C223-4530-8144-09D621618380}">
      <formula1>"MAIN FARM, SHED/HOUSE, PEN, CRATE, STORE, QUARANTINE, SILO"</formula1>
    </dataValidation>
    <dataValidation type="list" allowBlank="1" showInputMessage="1" showErrorMessage="1" sqref="I5:I21" xr:uid="{51328115-0052-4394-BD3F-F207C3F7DA46}">
      <formula1>"M2-Square Meter, FT2-Square Foot, YD2- Square Yard, ACRE, HECTARE"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C754C-6682-4D3F-B795-CC161A1E2B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01E76B-C8F2-48A1-8450-8E98A485475D}">
  <ds:schemaRefs>
    <ds:schemaRef ds:uri="http://schemas.microsoft.com/office/2006/metadata/properties"/>
    <ds:schemaRef ds:uri="http://schemas.microsoft.com/office/infopath/2007/PartnerControls"/>
    <ds:schemaRef ds:uri="7146d502-05f5-4fb7-b414-24f33b760985"/>
  </ds:schemaRefs>
</ds:datastoreItem>
</file>

<file path=customXml/itemProps3.xml><?xml version="1.0" encoding="utf-8"?>
<ds:datastoreItem xmlns:ds="http://schemas.openxmlformats.org/officeDocument/2006/customXml" ds:itemID="{39396477-28A1-4F38-800E-243741986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Master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2026-08-18T06:51:01Z</dcterms:created>
  <dcterms:modified xsi:type="dcterms:W3CDTF">2026-09-10T08:38:27Z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