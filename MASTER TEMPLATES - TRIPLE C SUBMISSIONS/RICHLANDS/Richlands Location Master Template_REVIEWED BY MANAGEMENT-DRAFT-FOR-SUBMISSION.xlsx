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arumbira\Documents\NAVFARM\Location Master Templates\"/>
    </mc:Choice>
  </mc:AlternateContent>
  <xr:revisionPtr revIDLastSave="54" documentId="8_{1643552B-E135-429B-99F8-20C0FE9B6C8C}" xr6:coauthVersionLast="47" xr6:coauthVersionMax="47" xr10:uidLastSave="{EAD2992F-073B-4BED-96F5-A04036EE1D1A}"/>
  <bookViews>
    <workbookView xWindow="0" yWindow="0" windowWidth="23040" windowHeight="10380" firstSheet="2" activeTab="2" xr2:uid="{6D76026C-2DFD-4C3C-BBB0-A08D32893B66}"/>
  </bookViews>
  <sheets>
    <sheet name="GROWER" sheetId="1" r:id="rId1"/>
    <sheet name="DRYSOW" sheetId="2" r:id="rId2"/>
    <sheet name="WEANER" sheetId="3" r:id="rId3"/>
    <sheet name="FARROWING" sheetId="4" r:id="rId4"/>
  </sheets>
  <definedNames>
    <definedName name="_xlnm._FilterDatabase" localSheetId="0" hidden="1">GROWER!$C$1:$C$546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4" i="1"/>
  <c r="C135" i="1"/>
  <c r="C136" i="1"/>
  <c r="C7" i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" i="2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6" i="3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6" i="4"/>
  <c r="J594" i="2"/>
  <c r="J533" i="2" l="1"/>
  <c r="J174" i="2"/>
  <c r="J118" i="2" l="1"/>
</calcChain>
</file>

<file path=xl/sharedStrings.xml><?xml version="1.0" encoding="utf-8"?>
<sst xmlns="http://schemas.openxmlformats.org/spreadsheetml/2006/main" count="15312" uniqueCount="1606">
  <si>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</si>
  <si>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</si>
  <si>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</si>
  <si>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</si>
  <si>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</si>
  <si>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</si>
  <si>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</si>
  <si>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</si>
  <si>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</si>
  <si>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</si>
  <si>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</si>
  <si>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</si>
  <si>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</si>
  <si>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</si>
  <si>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</si>
  <si>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Feed in Bags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</si>
  <si>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</si>
  <si>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</si>
  <si>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</si>
  <si>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</si>
  <si>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</si>
  <si>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</si>
  <si>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</si>
  <si>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</si>
  <si>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</si>
  <si>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</si>
  <si>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</si>
  <si>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</si>
  <si>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SILO/STORE NAME NUMBER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</si>
  <si>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</si>
  <si>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</si>
  <si>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</si>
  <si>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Are bags being used at the farm for feeding</t>
  </si>
  <si>
    <t>Example Value</t>
  </si>
  <si>
    <t>SHED</t>
  </si>
  <si>
    <t>FARM-01 / SH-01 / PEN-01A / SLO-01A</t>
  </si>
  <si>
    <t>RICHLANDS FARM</t>
  </si>
  <si>
    <t>RICHLANDS FARM - ABC</t>
  </si>
  <si>
    <t>GROW-H1</t>
  </si>
  <si>
    <t>PEN-1</t>
  </si>
  <si>
    <t>M2</t>
  </si>
  <si>
    <t>NOS (Numbers)</t>
  </si>
  <si>
    <t>Mandatory</t>
  </si>
  <si>
    <t>YES</t>
  </si>
  <si>
    <t>NO</t>
  </si>
  <si>
    <t>MAIN FARM</t>
  </si>
  <si>
    <t>R</t>
  </si>
  <si>
    <t>DOUGLYN SHAMVA</t>
  </si>
  <si>
    <t>HECTARE</t>
  </si>
  <si>
    <t>NUMBERS</t>
  </si>
  <si>
    <t>SHED/HOUSE</t>
  </si>
  <si>
    <t>RGH01</t>
  </si>
  <si>
    <t>M2-Square Meter</t>
  </si>
  <si>
    <t>SILO</t>
  </si>
  <si>
    <t>RGRH1-S01</t>
  </si>
  <si>
    <t>PEN</t>
  </si>
  <si>
    <t>RGH1P01</t>
  </si>
  <si>
    <t>RGH1P02</t>
  </si>
  <si>
    <t>RGH1P03</t>
  </si>
  <si>
    <t>RGH1P04</t>
  </si>
  <si>
    <t>RGH1P05</t>
  </si>
  <si>
    <t>RGH1P06</t>
  </si>
  <si>
    <t>RGH1P07</t>
  </si>
  <si>
    <t>RGH1P08</t>
  </si>
  <si>
    <t>RGH1P09</t>
  </si>
  <si>
    <t>RGH1P10</t>
  </si>
  <si>
    <t>RGH1P11</t>
  </si>
  <si>
    <t>RGH1P12</t>
  </si>
  <si>
    <t>RGH1P13</t>
  </si>
  <si>
    <t>RGH1P14</t>
  </si>
  <si>
    <t>RGH1P15</t>
  </si>
  <si>
    <t>RGH1P16</t>
  </si>
  <si>
    <t>RGH1P17</t>
  </si>
  <si>
    <t>RGH1P18</t>
  </si>
  <si>
    <t>RGH1P19</t>
  </si>
  <si>
    <t>RGH1P20</t>
  </si>
  <si>
    <t>RGH1P21</t>
  </si>
  <si>
    <t>RGH1P22</t>
  </si>
  <si>
    <t>RGH1P23</t>
  </si>
  <si>
    <t>RGH1P24</t>
  </si>
  <si>
    <t>RGH1P25</t>
  </si>
  <si>
    <t>RGH1P26</t>
  </si>
  <si>
    <t>RGH1P27</t>
  </si>
  <si>
    <t>RGH1P28</t>
  </si>
  <si>
    <t>RGH1P29</t>
  </si>
  <si>
    <t>RGH1P30</t>
  </si>
  <si>
    <t>RGH1P31</t>
  </si>
  <si>
    <t>RGH1P32</t>
  </si>
  <si>
    <t>RGH1P33</t>
  </si>
  <si>
    <t>RGH1P34</t>
  </si>
  <si>
    <t>RGH1P35</t>
  </si>
  <si>
    <t>RGH1P36</t>
  </si>
  <si>
    <t>RGH1P37</t>
  </si>
  <si>
    <t>RGH1P38</t>
  </si>
  <si>
    <t>RGH1P39</t>
  </si>
  <si>
    <t>RGH1P40</t>
  </si>
  <si>
    <t>RGH02</t>
  </si>
  <si>
    <t>RGRH2-S01</t>
  </si>
  <si>
    <t>RGH2P01</t>
  </si>
  <si>
    <t>RGH2P02</t>
  </si>
  <si>
    <t>RGH2P03</t>
  </si>
  <si>
    <t>RGH2P04</t>
  </si>
  <si>
    <t>RGH2P05</t>
  </si>
  <si>
    <t>RGH2P06</t>
  </si>
  <si>
    <t>RGH2P07</t>
  </si>
  <si>
    <t>RGH2P08</t>
  </si>
  <si>
    <t>RGH2P09</t>
  </si>
  <si>
    <t>RGH2P10</t>
  </si>
  <si>
    <t>RGH2P11</t>
  </si>
  <si>
    <t>RGH2P12</t>
  </si>
  <si>
    <t>RGH2P13</t>
  </si>
  <si>
    <t>RGH2P14</t>
  </si>
  <si>
    <t>RGH2P15</t>
  </si>
  <si>
    <t>RGH2P16</t>
  </si>
  <si>
    <t>RGH2P17</t>
  </si>
  <si>
    <t>RGH2P18</t>
  </si>
  <si>
    <t>RGH2P19</t>
  </si>
  <si>
    <t>RGH2P20</t>
  </si>
  <si>
    <t>RGH2P21</t>
  </si>
  <si>
    <t>RGH2P22</t>
  </si>
  <si>
    <t>RGH2P23</t>
  </si>
  <si>
    <t>RGH2P24</t>
  </si>
  <si>
    <t>RGH2P25</t>
  </si>
  <si>
    <t>RGH2P26</t>
  </si>
  <si>
    <t>RGH2P27</t>
  </si>
  <si>
    <t>RGH2P28</t>
  </si>
  <si>
    <t>RGH2P29</t>
  </si>
  <si>
    <t>RGH2P30</t>
  </si>
  <si>
    <t>RGH2P31</t>
  </si>
  <si>
    <t>RGH2P32</t>
  </si>
  <si>
    <t>RGH2P33</t>
  </si>
  <si>
    <t>RGH2P34</t>
  </si>
  <si>
    <t>RGH2P35</t>
  </si>
  <si>
    <t>RGH2P36</t>
  </si>
  <si>
    <t>RGH2P37</t>
  </si>
  <si>
    <t>RGH2P38</t>
  </si>
  <si>
    <t>RGH2P39</t>
  </si>
  <si>
    <t>RGH2P40</t>
  </si>
  <si>
    <t>RGH03</t>
  </si>
  <si>
    <t>RGRH3-S01</t>
  </si>
  <si>
    <t>RGH3P01</t>
  </si>
  <si>
    <t>RGH3P02</t>
  </si>
  <si>
    <t>RGH3P03</t>
  </si>
  <si>
    <t>RGH3P04</t>
  </si>
  <si>
    <t>RGH3P05</t>
  </si>
  <si>
    <t>RGH3P06</t>
  </si>
  <si>
    <t>RGH3P07</t>
  </si>
  <si>
    <t>RGH3P08</t>
  </si>
  <si>
    <t>RGH3P09</t>
  </si>
  <si>
    <t>RGH3P10</t>
  </si>
  <si>
    <t>RGH3P11</t>
  </si>
  <si>
    <t>RGH3P12</t>
  </si>
  <si>
    <t>RGH3P13</t>
  </si>
  <si>
    <t>RGH3P14</t>
  </si>
  <si>
    <t>RGH3P15</t>
  </si>
  <si>
    <t>RGH3P16</t>
  </si>
  <si>
    <t>RGH3P17</t>
  </si>
  <si>
    <t>RGH3P18</t>
  </si>
  <si>
    <t>RGH3P19</t>
  </si>
  <si>
    <t>RGH3P20</t>
  </si>
  <si>
    <t>RGH3P21</t>
  </si>
  <si>
    <t>RGH3P22</t>
  </si>
  <si>
    <t>RGH3P23</t>
  </si>
  <si>
    <t>RGH3P24</t>
  </si>
  <si>
    <t>RGH3P25</t>
  </si>
  <si>
    <t>RGH3P26</t>
  </si>
  <si>
    <t>RGH3P27</t>
  </si>
  <si>
    <t>RGH3P28</t>
  </si>
  <si>
    <t>RGH3P29</t>
  </si>
  <si>
    <t>RGH3P30</t>
  </si>
  <si>
    <t>RGH3P31</t>
  </si>
  <si>
    <t>RGH3P32</t>
  </si>
  <si>
    <t>RGH3P33</t>
  </si>
  <si>
    <t>RGH3P34</t>
  </si>
  <si>
    <t>RGH3P35</t>
  </si>
  <si>
    <t>RGH3P36</t>
  </si>
  <si>
    <t>RGH3P37</t>
  </si>
  <si>
    <t>RGH3P38</t>
  </si>
  <si>
    <t>RGH3P39</t>
  </si>
  <si>
    <t>RGH3P40</t>
  </si>
  <si>
    <t>RGH04</t>
  </si>
  <si>
    <t>RGRH4-S01</t>
  </si>
  <si>
    <t>RGH4P01</t>
  </si>
  <si>
    <t>RGH4P02</t>
  </si>
  <si>
    <t>RGH4P03</t>
  </si>
  <si>
    <t>RGH4P04</t>
  </si>
  <si>
    <t>RGH4P05</t>
  </si>
  <si>
    <t>RGH4P06</t>
  </si>
  <si>
    <t>RGH4P07</t>
  </si>
  <si>
    <t>RGH4P08</t>
  </si>
  <si>
    <t>RGH4P09</t>
  </si>
  <si>
    <t>RGH4P10</t>
  </si>
  <si>
    <t>RGH4P11</t>
  </si>
  <si>
    <t>RGH4P12</t>
  </si>
  <si>
    <t>RGH4P13</t>
  </si>
  <si>
    <t>RGH4P14</t>
  </si>
  <si>
    <t>RGH4P15</t>
  </si>
  <si>
    <t>RGH4P16</t>
  </si>
  <si>
    <t>RGH4P17</t>
  </si>
  <si>
    <t>RGH4P18</t>
  </si>
  <si>
    <t>RGH4P19</t>
  </si>
  <si>
    <t>RGH4P20</t>
  </si>
  <si>
    <t>RGH4P21</t>
  </si>
  <si>
    <t>RGH4P22</t>
  </si>
  <si>
    <t>RGH4P23</t>
  </si>
  <si>
    <t>RGH4P24</t>
  </si>
  <si>
    <t>RGH4P25</t>
  </si>
  <si>
    <t>RGH4P26</t>
  </si>
  <si>
    <t>RGH4P27</t>
  </si>
  <si>
    <t>RGH4P28</t>
  </si>
  <si>
    <t>RGH4P29</t>
  </si>
  <si>
    <t>RGH4P30</t>
  </si>
  <si>
    <t>RGH4P31</t>
  </si>
  <si>
    <t>RGH4P32</t>
  </si>
  <si>
    <t>RGH4P33</t>
  </si>
  <si>
    <t>RGH4P34</t>
  </si>
  <si>
    <t>RGH4P35</t>
  </si>
  <si>
    <t>RGH4P36</t>
  </si>
  <si>
    <t>RGH4P37</t>
  </si>
  <si>
    <t>RGH4P38</t>
  </si>
  <si>
    <t>RGH4P39</t>
  </si>
  <si>
    <t>RGH4P40</t>
  </si>
  <si>
    <t>RGH05</t>
  </si>
  <si>
    <t>RGRH5-S01</t>
  </si>
  <si>
    <t>RGH5P01</t>
  </si>
  <si>
    <t>RGH5P02</t>
  </si>
  <si>
    <t>RGH5P03</t>
  </si>
  <si>
    <t>RGH5P04</t>
  </si>
  <si>
    <t>RGH5P05</t>
  </si>
  <si>
    <t>RGH5P06</t>
  </si>
  <si>
    <t>RGH5P07</t>
  </si>
  <si>
    <t>RGH5P08</t>
  </si>
  <si>
    <t>RGH5P09</t>
  </si>
  <si>
    <t>RGH5P10</t>
  </si>
  <si>
    <t>RGH5P11</t>
  </si>
  <si>
    <t>RGH5P12</t>
  </si>
  <si>
    <t>RGH5P13</t>
  </si>
  <si>
    <t>RGH5P14</t>
  </si>
  <si>
    <t>RGH5P15</t>
  </si>
  <si>
    <t>RGH5P16</t>
  </si>
  <si>
    <t>RGH5P17</t>
  </si>
  <si>
    <t>RGH5P18</t>
  </si>
  <si>
    <t>RGH5P19</t>
  </si>
  <si>
    <t>RGH5P20</t>
  </si>
  <si>
    <t>RGH5P21</t>
  </si>
  <si>
    <t>RGH5P22</t>
  </si>
  <si>
    <t>RGH5P23</t>
  </si>
  <si>
    <t>RGH5P24</t>
  </si>
  <si>
    <t>RGH5P25</t>
  </si>
  <si>
    <t>RGH5P26</t>
  </si>
  <si>
    <t>RGH5P27</t>
  </si>
  <si>
    <t>RGH5P28</t>
  </si>
  <si>
    <t>RGH5P29</t>
  </si>
  <si>
    <t>RGH5P30</t>
  </si>
  <si>
    <t>RGH5P31</t>
  </si>
  <si>
    <t>RGH5P32</t>
  </si>
  <si>
    <t>RGH5P33</t>
  </si>
  <si>
    <t>RGH5P34</t>
  </si>
  <si>
    <t>RGH5P35</t>
  </si>
  <si>
    <t>RGH5P36</t>
  </si>
  <si>
    <t>RGH5P37</t>
  </si>
  <si>
    <t>RGH5P38</t>
  </si>
  <si>
    <t>RGH5P39</t>
  </si>
  <si>
    <t>RGH5P40</t>
  </si>
  <si>
    <t>RGH06</t>
  </si>
  <si>
    <t>RGRH6-S01</t>
  </si>
  <si>
    <t>RGH6P01</t>
  </si>
  <si>
    <t>RGH6P02</t>
  </si>
  <si>
    <t>RGH6P03</t>
  </si>
  <si>
    <t>RGH6P04</t>
  </si>
  <si>
    <t>RGH6P05</t>
  </si>
  <si>
    <t>RGH6P06</t>
  </si>
  <si>
    <t>RGH6P07</t>
  </si>
  <si>
    <t>RGH6P08</t>
  </si>
  <si>
    <t>RGH6P09</t>
  </si>
  <si>
    <t>RGH6P10</t>
  </si>
  <si>
    <t>RGH6P11</t>
  </si>
  <si>
    <t>RGH6P12</t>
  </si>
  <si>
    <t>RGH6P13</t>
  </si>
  <si>
    <t>RGH6P14</t>
  </si>
  <si>
    <t>RGH6P15</t>
  </si>
  <si>
    <t>RGH6P16</t>
  </si>
  <si>
    <t>RGH6P17</t>
  </si>
  <si>
    <t>RGH6P18</t>
  </si>
  <si>
    <t>RGH6P19</t>
  </si>
  <si>
    <t>RGH6P20</t>
  </si>
  <si>
    <t>RGH6P21</t>
  </si>
  <si>
    <t>RGH6P22</t>
  </si>
  <si>
    <t>RGH6P23</t>
  </si>
  <si>
    <t>RGH6P24</t>
  </si>
  <si>
    <t>RGH6P25</t>
  </si>
  <si>
    <t>RGH6P26</t>
  </si>
  <si>
    <t>RGH6P27</t>
  </si>
  <si>
    <t>RGH6P28</t>
  </si>
  <si>
    <t>RGH6P29</t>
  </si>
  <si>
    <t>RGH6P30</t>
  </si>
  <si>
    <t>RGH6P31</t>
  </si>
  <si>
    <t>RGH6P32</t>
  </si>
  <si>
    <t>RGH6P33</t>
  </si>
  <si>
    <t>RGH6P34</t>
  </si>
  <si>
    <t>RGH6P35</t>
  </si>
  <si>
    <t>RGH6P36</t>
  </si>
  <si>
    <t>RGH6P37</t>
  </si>
  <si>
    <t>RGH6P38</t>
  </si>
  <si>
    <t>RGH6P39</t>
  </si>
  <si>
    <t>RGH6P40</t>
  </si>
  <si>
    <t>RGH07</t>
  </si>
  <si>
    <t>RGRH7-S01</t>
  </si>
  <si>
    <t>RGH7P01</t>
  </si>
  <si>
    <t>RGH7P02</t>
  </si>
  <si>
    <t>RGH7P03</t>
  </si>
  <si>
    <t>RGH7P04</t>
  </si>
  <si>
    <t>RGH7P05</t>
  </si>
  <si>
    <t>RGH7P06</t>
  </si>
  <si>
    <t>RGH7P07</t>
  </si>
  <si>
    <t>RGH7P08</t>
  </si>
  <si>
    <t>RGH7P09</t>
  </si>
  <si>
    <t>RGH7P10</t>
  </si>
  <si>
    <t>RGH7P11</t>
  </si>
  <si>
    <t>RGH7P12</t>
  </si>
  <si>
    <t>RGH7P13</t>
  </si>
  <si>
    <t>RGH7P14</t>
  </si>
  <si>
    <t>RGH7P15</t>
  </si>
  <si>
    <t>RGH7P16</t>
  </si>
  <si>
    <t>RGH7P17</t>
  </si>
  <si>
    <t>RGH7P18</t>
  </si>
  <si>
    <t>RGH7P19</t>
  </si>
  <si>
    <t>RGH7P20</t>
  </si>
  <si>
    <t>RGH7P21</t>
  </si>
  <si>
    <t>RGH7P22</t>
  </si>
  <si>
    <t>RGH7P23</t>
  </si>
  <si>
    <t>RGH7P24</t>
  </si>
  <si>
    <t>RGH7P25</t>
  </si>
  <si>
    <t>RGH7P26</t>
  </si>
  <si>
    <t>RGH7P27</t>
  </si>
  <si>
    <t>RGH7P28</t>
  </si>
  <si>
    <t>RGH7P29</t>
  </si>
  <si>
    <t>RGH7P30</t>
  </si>
  <si>
    <t>RGH7P31</t>
  </si>
  <si>
    <t>RGH7P32</t>
  </si>
  <si>
    <t>RGH7P33</t>
  </si>
  <si>
    <t>RGH7P34</t>
  </si>
  <si>
    <t>RGH7P35</t>
  </si>
  <si>
    <t>RGH7P36</t>
  </si>
  <si>
    <t>RGH7P37</t>
  </si>
  <si>
    <t>RGH7P38</t>
  </si>
  <si>
    <t>RGH7P39</t>
  </si>
  <si>
    <t>RGH7P40</t>
  </si>
  <si>
    <t>RGH08</t>
  </si>
  <si>
    <t>RGRH8-S01</t>
  </si>
  <si>
    <t>RGH8P01</t>
  </si>
  <si>
    <t>RGH8P02</t>
  </si>
  <si>
    <t>RGH8P03</t>
  </si>
  <si>
    <t>RGH8P04</t>
  </si>
  <si>
    <t>RGH8P05</t>
  </si>
  <si>
    <t>RGH8P06</t>
  </si>
  <si>
    <t>RGH8P07</t>
  </si>
  <si>
    <t>RGH8P08</t>
  </si>
  <si>
    <t>RGH8P09</t>
  </si>
  <si>
    <t>RGH8P10</t>
  </si>
  <si>
    <t>RGH8P11</t>
  </si>
  <si>
    <t>RGH8P12</t>
  </si>
  <si>
    <t>RGH8P13</t>
  </si>
  <si>
    <t>RGH8P14</t>
  </si>
  <si>
    <t>RGH8P15</t>
  </si>
  <si>
    <t>RGH8P16</t>
  </si>
  <si>
    <t>RGH8P17</t>
  </si>
  <si>
    <t>RGH8P18</t>
  </si>
  <si>
    <t>RGH8P19</t>
  </si>
  <si>
    <t>RGH8P20</t>
  </si>
  <si>
    <t>RGH8P21</t>
  </si>
  <si>
    <t>RGH8P22</t>
  </si>
  <si>
    <t>RGH8P23</t>
  </si>
  <si>
    <t>RGH8P24</t>
  </si>
  <si>
    <t>RGH8P25</t>
  </si>
  <si>
    <t>RGH8P26</t>
  </si>
  <si>
    <t>RGH8P27</t>
  </si>
  <si>
    <t>RGH8P28</t>
  </si>
  <si>
    <t>RGH8P29</t>
  </si>
  <si>
    <t>RGH8P30</t>
  </si>
  <si>
    <t>RGH8P31</t>
  </si>
  <si>
    <t>RGH8P32</t>
  </si>
  <si>
    <t>RGH8P33</t>
  </si>
  <si>
    <t>RGH8P34</t>
  </si>
  <si>
    <t>RGH8P35</t>
  </si>
  <si>
    <t>RGH8P36</t>
  </si>
  <si>
    <t>RGH8P37</t>
  </si>
  <si>
    <t>RGH8P38</t>
  </si>
  <si>
    <t>RGH8P39</t>
  </si>
  <si>
    <t>RGH8P40</t>
  </si>
  <si>
    <t>RGH09</t>
  </si>
  <si>
    <t>RGRH9-S01</t>
  </si>
  <si>
    <t>RGH9P01</t>
  </si>
  <si>
    <t>RGH9P02</t>
  </si>
  <si>
    <t>RGH9P03</t>
  </si>
  <si>
    <t>RGH9P04</t>
  </si>
  <si>
    <t>RGH9P05</t>
  </si>
  <si>
    <t>RGH9P06</t>
  </si>
  <si>
    <t>RGH9P07</t>
  </si>
  <si>
    <t>RGH9P08</t>
  </si>
  <si>
    <t>RGH9P09</t>
  </si>
  <si>
    <t>RGH9P10</t>
  </si>
  <si>
    <t>RGH9P11</t>
  </si>
  <si>
    <t>RGH9P12</t>
  </si>
  <si>
    <t>RGH9P13</t>
  </si>
  <si>
    <t>RGH9P14</t>
  </si>
  <si>
    <t>RGH9P15</t>
  </si>
  <si>
    <t>RGH9P16</t>
  </si>
  <si>
    <t>RGH9P17</t>
  </si>
  <si>
    <t>RGH9P18</t>
  </si>
  <si>
    <t>RGH9P19</t>
  </si>
  <si>
    <t>RGH9P20</t>
  </si>
  <si>
    <t>RGH9P21</t>
  </si>
  <si>
    <t>RGH9P22</t>
  </si>
  <si>
    <t>RGH9P23</t>
  </si>
  <si>
    <t>RGH9P24</t>
  </si>
  <si>
    <t>RGH9P25</t>
  </si>
  <si>
    <t>RGH9P26</t>
  </si>
  <si>
    <t>RGH9P27</t>
  </si>
  <si>
    <t>RGH9P28</t>
  </si>
  <si>
    <t>RGH9P29</t>
  </si>
  <si>
    <t>RGH9P30</t>
  </si>
  <si>
    <t>RGH9P31</t>
  </si>
  <si>
    <t>RGH9P32</t>
  </si>
  <si>
    <t>RGH9P33</t>
  </si>
  <si>
    <t>RGH9P34</t>
  </si>
  <si>
    <t>RGH9P35</t>
  </si>
  <si>
    <t>RGH9P36</t>
  </si>
  <si>
    <t>RGH9P37</t>
  </si>
  <si>
    <t>RGH9P38</t>
  </si>
  <si>
    <t>RGH9P39</t>
  </si>
  <si>
    <t>RGH9P40</t>
  </si>
  <si>
    <t>RGH10A</t>
  </si>
  <si>
    <t>RGRH10A-S01</t>
  </si>
  <si>
    <t>RGH10AP01</t>
  </si>
  <si>
    <t>RGH10AP02</t>
  </si>
  <si>
    <t>RGH10AP03</t>
  </si>
  <si>
    <t>RGH10AP04</t>
  </si>
  <si>
    <t>RGH10AP05</t>
  </si>
  <si>
    <t>RGH10AP06</t>
  </si>
  <si>
    <t>RGH10AP07</t>
  </si>
  <si>
    <t>RGH10AP08</t>
  </si>
  <si>
    <t>RGH10AP09</t>
  </si>
  <si>
    <t>RGH10AP10</t>
  </si>
  <si>
    <t>RGH10AP11</t>
  </si>
  <si>
    <t>RGH10AP12</t>
  </si>
  <si>
    <t>RGH10AP13</t>
  </si>
  <si>
    <t>RGH10AP14</t>
  </si>
  <si>
    <t>RGH10AP15</t>
  </si>
  <si>
    <t>RGH10AP16</t>
  </si>
  <si>
    <t>RGH10AP17</t>
  </si>
  <si>
    <t>RGH10AP18</t>
  </si>
  <si>
    <t>RGH10AP19</t>
  </si>
  <si>
    <t>RGH10AP20</t>
  </si>
  <si>
    <t>RGH10AP21</t>
  </si>
  <si>
    <t>RGH10AP22</t>
  </si>
  <si>
    <t>RGH10AP23</t>
  </si>
  <si>
    <t>RGH10AP24</t>
  </si>
  <si>
    <t>RGH10AP25</t>
  </si>
  <si>
    <t>RGH10AP26</t>
  </si>
  <si>
    <t>RGH10AP27</t>
  </si>
  <si>
    <t>RGH10AP28</t>
  </si>
  <si>
    <t>RGH10AP29</t>
  </si>
  <si>
    <t>RGH10AP30</t>
  </si>
  <si>
    <t>RGH10AP31</t>
  </si>
  <si>
    <t>RGH10AP32</t>
  </si>
  <si>
    <t>RGH10AP33</t>
  </si>
  <si>
    <t>RGH10AP34</t>
  </si>
  <si>
    <t>RGH10AP35</t>
  </si>
  <si>
    <t>RGH10AP36</t>
  </si>
  <si>
    <t>RGH10AP37</t>
  </si>
  <si>
    <t>RGH10AP38</t>
  </si>
  <si>
    <t>RGH10AP39</t>
  </si>
  <si>
    <t>RGH10AP40</t>
  </si>
  <si>
    <t>RGH10AP41</t>
  </si>
  <si>
    <t>RGH10AP42</t>
  </si>
  <si>
    <t>RGH10AP43</t>
  </si>
  <si>
    <t>RGH10AP44</t>
  </si>
  <si>
    <t>RGH10AP45</t>
  </si>
  <si>
    <t>RGH10AP46</t>
  </si>
  <si>
    <t>RGH10AP47</t>
  </si>
  <si>
    <t>RGH10AP48</t>
  </si>
  <si>
    <t>RGH10AP49</t>
  </si>
  <si>
    <t>RGH10AP50</t>
  </si>
  <si>
    <t>RGH10AP51</t>
  </si>
  <si>
    <t>RGH10AP52</t>
  </si>
  <si>
    <t>RGH10B</t>
  </si>
  <si>
    <t>RGRH10B-S01</t>
  </si>
  <si>
    <t>RGH10BP01</t>
  </si>
  <si>
    <t>RGH10BP02</t>
  </si>
  <si>
    <t>RGH10BP03</t>
  </si>
  <si>
    <t>RGH10BP04</t>
  </si>
  <si>
    <t>RGH10BP05</t>
  </si>
  <si>
    <t>RGH10BP06</t>
  </si>
  <si>
    <t>RGH10BP07</t>
  </si>
  <si>
    <t>RGH10BP08</t>
  </si>
  <si>
    <t>RGH10BP09</t>
  </si>
  <si>
    <t>RGH10BP10</t>
  </si>
  <si>
    <t>RGH10BP11</t>
  </si>
  <si>
    <t>RGH10BP12</t>
  </si>
  <si>
    <t>RGH10BP13</t>
  </si>
  <si>
    <t>RGH10BP14</t>
  </si>
  <si>
    <t>RGH10BP15</t>
  </si>
  <si>
    <t>RGH10BP16</t>
  </si>
  <si>
    <t>RGH10BP17</t>
  </si>
  <si>
    <t>RGH10BP18</t>
  </si>
  <si>
    <t>RGH10BP19</t>
  </si>
  <si>
    <t>RGH10BP20</t>
  </si>
  <si>
    <t>RGH10BP21</t>
  </si>
  <si>
    <t>RGH10BP22</t>
  </si>
  <si>
    <t>RGH10BP23</t>
  </si>
  <si>
    <t>RGH10BP24</t>
  </si>
  <si>
    <t>RGH11</t>
  </si>
  <si>
    <t>RGRH11-S01</t>
  </si>
  <si>
    <t>RGH11P01</t>
  </si>
  <si>
    <t>RGH11P02</t>
  </si>
  <si>
    <t>RGH11P03</t>
  </si>
  <si>
    <t>RGH11P04</t>
  </si>
  <si>
    <t>RGH11P05</t>
  </si>
  <si>
    <t>RGH11P06</t>
  </si>
  <si>
    <t>RGH11P07</t>
  </si>
  <si>
    <t>RGH11P08</t>
  </si>
  <si>
    <t>RGH11P09</t>
  </si>
  <si>
    <t>RGH11P10</t>
  </si>
  <si>
    <t>RGH11P11</t>
  </si>
  <si>
    <t>RGH11P12</t>
  </si>
  <si>
    <t>RGH11P13</t>
  </si>
  <si>
    <t>RGH11P14</t>
  </si>
  <si>
    <t>RGH11P15</t>
  </si>
  <si>
    <t>RGH11P16</t>
  </si>
  <si>
    <t>RGH11P17</t>
  </si>
  <si>
    <t>RGH11P18</t>
  </si>
  <si>
    <t>RGH11P19</t>
  </si>
  <si>
    <t>RGH11P20</t>
  </si>
  <si>
    <t>RGH11P21</t>
  </si>
  <si>
    <t>RGH11P22</t>
  </si>
  <si>
    <t>RGH11P23</t>
  </si>
  <si>
    <t>RGH11P24</t>
  </si>
  <si>
    <t>RGH11P25</t>
  </si>
  <si>
    <t>RGH11P26</t>
  </si>
  <si>
    <t>RGH11P27</t>
  </si>
  <si>
    <t>RGH11P28</t>
  </si>
  <si>
    <t>RGH11P29</t>
  </si>
  <si>
    <t>RGH11P30</t>
  </si>
  <si>
    <t>RGH11P31</t>
  </si>
  <si>
    <t>RGH11P32</t>
  </si>
  <si>
    <t>RGH11P33</t>
  </si>
  <si>
    <t>RGH11P34</t>
  </si>
  <si>
    <t>RGH11P35</t>
  </si>
  <si>
    <t>RGH11P36</t>
  </si>
  <si>
    <t>RGH11P37</t>
  </si>
  <si>
    <t>RGH11P38</t>
  </si>
  <si>
    <t>RGH11P39</t>
  </si>
  <si>
    <t>RGH11P40</t>
  </si>
  <si>
    <t>RGH11P41</t>
  </si>
  <si>
    <t>RGH11P42</t>
  </si>
  <si>
    <t>RGH11P43</t>
  </si>
  <si>
    <t>RGH11P44</t>
  </si>
  <si>
    <t>RGH11P45</t>
  </si>
  <si>
    <t>RGH11P46</t>
  </si>
  <si>
    <t>RGH11P47</t>
  </si>
  <si>
    <t>RGH11P48</t>
  </si>
  <si>
    <t>RGH11P49</t>
  </si>
  <si>
    <t>RGH11P50</t>
  </si>
  <si>
    <t>RGH11P51</t>
  </si>
  <si>
    <t>RGH11P52</t>
  </si>
  <si>
    <t>RGH12</t>
  </si>
  <si>
    <t>RGRH12-S01</t>
  </si>
  <si>
    <t>RGH12P01</t>
  </si>
  <si>
    <t>RGH12P02</t>
  </si>
  <si>
    <t>RGH12P03</t>
  </si>
  <si>
    <t>RGH12P04</t>
  </si>
  <si>
    <t>RGH12P05</t>
  </si>
  <si>
    <t>RGH12P06</t>
  </si>
  <si>
    <t>RGH12P07</t>
  </si>
  <si>
    <t>RGH12P08</t>
  </si>
  <si>
    <t>RGH12P09</t>
  </si>
  <si>
    <t>RGH12P10</t>
  </si>
  <si>
    <t>RGH12P11</t>
  </si>
  <si>
    <t>RGH12P12</t>
  </si>
  <si>
    <t>RGH12P13</t>
  </si>
  <si>
    <t>RGH12P14</t>
  </si>
  <si>
    <t>RGH12P15</t>
  </si>
  <si>
    <t>RGH12P16</t>
  </si>
  <si>
    <t>RGH12P17</t>
  </si>
  <si>
    <t>RGH12P18</t>
  </si>
  <si>
    <t>RGH12P19</t>
  </si>
  <si>
    <t>RGH12P20</t>
  </si>
  <si>
    <t>RGH12P21</t>
  </si>
  <si>
    <t>RGH12P22</t>
  </si>
  <si>
    <t>RGH12P23</t>
  </si>
  <si>
    <t>RGH12P24</t>
  </si>
  <si>
    <t>RGH12P25</t>
  </si>
  <si>
    <t>RGH12P26</t>
  </si>
  <si>
    <t>Full descriptive name shown in
 UI batch and reports.</t>
  </si>
  <si>
    <t>RDSH 02</t>
  </si>
  <si>
    <t>RDSH2-S01</t>
  </si>
  <si>
    <t>RDSH2-P01</t>
  </si>
  <si>
    <t>RDSH2-P02</t>
  </si>
  <si>
    <t>RDSH2-P03</t>
  </si>
  <si>
    <t>RDSH2-P04</t>
  </si>
  <si>
    <t>RDSH2-P05</t>
  </si>
  <si>
    <t>RDSH2-P06</t>
  </si>
  <si>
    <t>RDSH2-P07</t>
  </si>
  <si>
    <t>RDSH2-P08</t>
  </si>
  <si>
    <t>RDSH2-P09</t>
  </si>
  <si>
    <t>RDSH2-P10</t>
  </si>
  <si>
    <t>RDSH2-P11</t>
  </si>
  <si>
    <t>RDSH2-P12</t>
  </si>
  <si>
    <t>RDSH2-P13</t>
  </si>
  <si>
    <t>RDSH2-P14</t>
  </si>
  <si>
    <t>RDSH2-P15</t>
  </si>
  <si>
    <t>RDSH2-P16</t>
  </si>
  <si>
    <t>RDSH2-P17</t>
  </si>
  <si>
    <t>RDSH2-P18</t>
  </si>
  <si>
    <t>RDSH2-P19</t>
  </si>
  <si>
    <t>RDSH2-P20</t>
  </si>
  <si>
    <t>RDSH2-P21</t>
  </si>
  <si>
    <t>RDSH2-P22</t>
  </si>
  <si>
    <t>RDSH2-P23</t>
  </si>
  <si>
    <t>RDSH2-P24</t>
  </si>
  <si>
    <t>RDSH2-P25</t>
  </si>
  <si>
    <t>RDSH2-P26</t>
  </si>
  <si>
    <t>RDSH2-P27</t>
  </si>
  <si>
    <t>RDSH2-P28</t>
  </si>
  <si>
    <t>RDSH2-P29</t>
  </si>
  <si>
    <t>RDSH2-P30</t>
  </si>
  <si>
    <t>RDSH2-P31</t>
  </si>
  <si>
    <t>RDSH2-P32</t>
  </si>
  <si>
    <t>RDSH2-P33</t>
  </si>
  <si>
    <t>RDSH2-P34</t>
  </si>
  <si>
    <t>RDSH2-P35</t>
  </si>
  <si>
    <t>RDSH2-P36</t>
  </si>
  <si>
    <t>RDSH2-P37</t>
  </si>
  <si>
    <t>RDSH2-P38</t>
  </si>
  <si>
    <t>RDSH2-P39</t>
  </si>
  <si>
    <t>RDSH2-P40</t>
  </si>
  <si>
    <t>RDSH2-P41</t>
  </si>
  <si>
    <t>RDSH2-P42</t>
  </si>
  <si>
    <t>RDSH2-P43</t>
  </si>
  <si>
    <t>RDSH2-P44</t>
  </si>
  <si>
    <t>RDSH2-P45</t>
  </si>
  <si>
    <t>RDSH2-P46</t>
  </si>
  <si>
    <t>RDSH2-P47</t>
  </si>
  <si>
    <t>RDSH2-P48</t>
  </si>
  <si>
    <t>RDSH2-P49</t>
  </si>
  <si>
    <t>RDSH2-P50</t>
  </si>
  <si>
    <t>RDSH2-P51</t>
  </si>
  <si>
    <t>RDSH2-P52</t>
  </si>
  <si>
    <t>RDSH 03</t>
  </si>
  <si>
    <t>RDSH3-S01</t>
  </si>
  <si>
    <t>RDSH3-P01</t>
  </si>
  <si>
    <t>RDSH3-P02</t>
  </si>
  <si>
    <t>RDSH3-P03</t>
  </si>
  <si>
    <t>RDSH3-P04</t>
  </si>
  <si>
    <t>RDSH3-P05</t>
  </si>
  <si>
    <t>RDSH3-P06</t>
  </si>
  <si>
    <t>RDSH3-P07</t>
  </si>
  <si>
    <t>RDSH3-P08</t>
  </si>
  <si>
    <t>RDSH3-P09</t>
  </si>
  <si>
    <t>RDSH3-P10</t>
  </si>
  <si>
    <t>RDSH3-P11</t>
  </si>
  <si>
    <t>RDSH3-P12</t>
  </si>
  <si>
    <t>RDSH3-P13</t>
  </si>
  <si>
    <t>RDSH3-P14</t>
  </si>
  <si>
    <t>RDSH3-P15</t>
  </si>
  <si>
    <t>RDSH3-P16</t>
  </si>
  <si>
    <t>RDSH3-P17</t>
  </si>
  <si>
    <t>RDSH3-P18</t>
  </si>
  <si>
    <t>RDSH3-P19</t>
  </si>
  <si>
    <t>RDSH3-P20</t>
  </si>
  <si>
    <t>RDSH3-P21</t>
  </si>
  <si>
    <t>RDSH3-P22</t>
  </si>
  <si>
    <t>RDSH3-P23</t>
  </si>
  <si>
    <t>RDSH3-P24</t>
  </si>
  <si>
    <t>RDSH3-P25</t>
  </si>
  <si>
    <t>RDSH3-P26</t>
  </si>
  <si>
    <t>RDSH3-P27</t>
  </si>
  <si>
    <t>RDSH3-P28</t>
  </si>
  <si>
    <t>RDSH3-P29</t>
  </si>
  <si>
    <t>RDSH3-P30</t>
  </si>
  <si>
    <t>RDSH3-P31</t>
  </si>
  <si>
    <t>RDSH3-P32</t>
  </si>
  <si>
    <t>RDSH3-P33</t>
  </si>
  <si>
    <t>RDSH3-P34</t>
  </si>
  <si>
    <t>RDSH3-P35</t>
  </si>
  <si>
    <t>RDSH3-P36</t>
  </si>
  <si>
    <t>RDSH3-P37</t>
  </si>
  <si>
    <t>RDSH3-P38</t>
  </si>
  <si>
    <t>RDSH3-P39</t>
  </si>
  <si>
    <t>RDSH3-P40</t>
  </si>
  <si>
    <t>RDSH3-P41</t>
  </si>
  <si>
    <t>RDSH3-P42</t>
  </si>
  <si>
    <t>RDSH3-P43</t>
  </si>
  <si>
    <t>RDSH3-P44</t>
  </si>
  <si>
    <t>RDSH3-P45</t>
  </si>
  <si>
    <t>RDSH3-P46</t>
  </si>
  <si>
    <t>RDSH3-P47</t>
  </si>
  <si>
    <t>RDSH3-P48</t>
  </si>
  <si>
    <t>RDSH3-P49</t>
  </si>
  <si>
    <t>RDSH3-P50</t>
  </si>
  <si>
    <t>RDSH3-P51</t>
  </si>
  <si>
    <t>RDSH3-P52</t>
  </si>
  <si>
    <t>RDSH 04</t>
  </si>
  <si>
    <t>RDSH4-S01</t>
  </si>
  <si>
    <t>RDSH4-P01</t>
  </si>
  <si>
    <t>RDSH4-P02</t>
  </si>
  <si>
    <t>RDSH4-P03</t>
  </si>
  <si>
    <t>RDSH4-P04</t>
  </si>
  <si>
    <t>RDSH4-P05</t>
  </si>
  <si>
    <t>RDSH4-P06</t>
  </si>
  <si>
    <t>RDSH4-P07</t>
  </si>
  <si>
    <t>RDSH4-P08</t>
  </si>
  <si>
    <t>RDSH4-P09</t>
  </si>
  <si>
    <t>RDSH4-P10</t>
  </si>
  <si>
    <t>RDSH4-P11</t>
  </si>
  <si>
    <t>RDSH4-P12</t>
  </si>
  <si>
    <t>RDSH4-P13</t>
  </si>
  <si>
    <t>RDSH4-P14</t>
  </si>
  <si>
    <t>RDSH4-P15</t>
  </si>
  <si>
    <t>RDSH4-P16</t>
  </si>
  <si>
    <t>RDSH4-P17</t>
  </si>
  <si>
    <t>RDSH4-P18</t>
  </si>
  <si>
    <t>RDSH4-P19</t>
  </si>
  <si>
    <t>RDSH4-P20</t>
  </si>
  <si>
    <t>RDSH4-P21</t>
  </si>
  <si>
    <t>RDSH4-P22</t>
  </si>
  <si>
    <t>RDSH4-P23</t>
  </si>
  <si>
    <t>RDSH4-P24</t>
  </si>
  <si>
    <t>RDSH4-P25</t>
  </si>
  <si>
    <t>RDSH4-P26</t>
  </si>
  <si>
    <t>RDSH4-P27</t>
  </si>
  <si>
    <t>RDSH4-P28</t>
  </si>
  <si>
    <t>RDSH4-P29</t>
  </si>
  <si>
    <t>RDSH4-P30</t>
  </si>
  <si>
    <t>RDSH4-P31</t>
  </si>
  <si>
    <t>RDSH4-P32</t>
  </si>
  <si>
    <t>RDSH4-P33</t>
  </si>
  <si>
    <t>RDSH4-P34</t>
  </si>
  <si>
    <t>RDSH4-P35</t>
  </si>
  <si>
    <t>RDSH4-P36</t>
  </si>
  <si>
    <t>RDSH4-P37</t>
  </si>
  <si>
    <t>RDSH4-P38</t>
  </si>
  <si>
    <t>RDSH4-P39</t>
  </si>
  <si>
    <t>RDSH4-P40</t>
  </si>
  <si>
    <t>RDSH4-P41</t>
  </si>
  <si>
    <t>RDSH4-P42</t>
  </si>
  <si>
    <t>RDSH4-P43</t>
  </si>
  <si>
    <t>RDSH4-P44</t>
  </si>
  <si>
    <t>RDSH4-P45</t>
  </si>
  <si>
    <t>RDSH4-P46</t>
  </si>
  <si>
    <t>RDSH4-P47</t>
  </si>
  <si>
    <t>RDSH4-P48</t>
  </si>
  <si>
    <t>RDSH4-P49</t>
  </si>
  <si>
    <t>RDSH4-P50</t>
  </si>
  <si>
    <t>RDSH4-P51</t>
  </si>
  <si>
    <t>RDSH4-P52</t>
  </si>
  <si>
    <t>RDSH 01</t>
  </si>
  <si>
    <t>RDSH1-S01</t>
  </si>
  <si>
    <t>RDSH1-P01</t>
  </si>
  <si>
    <t>RDSH1-P02</t>
  </si>
  <si>
    <t>RDSH1-P03</t>
  </si>
  <si>
    <t>RDSH1-P04</t>
  </si>
  <si>
    <t>RDSH1-P05</t>
  </si>
  <si>
    <t>RDSH1-P06</t>
  </si>
  <si>
    <t>RDSH1-P07</t>
  </si>
  <si>
    <t>RDSH1-P08</t>
  </si>
  <si>
    <t>RDSH1-P09</t>
  </si>
  <si>
    <t>RDSH1-P10</t>
  </si>
  <si>
    <t>RDSH1-P11</t>
  </si>
  <si>
    <t>RDSH1-P12</t>
  </si>
  <si>
    <t>RDSH1-P13</t>
  </si>
  <si>
    <t>RDSH1-P14</t>
  </si>
  <si>
    <t>RDSH1-P15</t>
  </si>
  <si>
    <t>RDSH1-P16</t>
  </si>
  <si>
    <t>RDSH1-P17</t>
  </si>
  <si>
    <t>RDSH1-P18</t>
  </si>
  <si>
    <t>RDSH1-P19</t>
  </si>
  <si>
    <t>RDSH1-P20</t>
  </si>
  <si>
    <t>RDSH1-P21</t>
  </si>
  <si>
    <t>RDSH1-P22</t>
  </si>
  <si>
    <t>RDSH1-P23</t>
  </si>
  <si>
    <t>RDSH1-P24</t>
  </si>
  <si>
    <t>RDSH1-P25</t>
  </si>
  <si>
    <t>RDSH1-P26</t>
  </si>
  <si>
    <t>RBL</t>
  </si>
  <si>
    <t>STORE</t>
  </si>
  <si>
    <t>RBL-S01</t>
  </si>
  <si>
    <t>RBL-P01</t>
  </si>
  <si>
    <t>RBL-P02</t>
  </si>
  <si>
    <t>RBL-P03</t>
  </si>
  <si>
    <t>RBL-P04</t>
  </si>
  <si>
    <t>RBL-P05</t>
  </si>
  <si>
    <t>RBL-P06</t>
  </si>
  <si>
    <t>RBL-P07</t>
  </si>
  <si>
    <t>RBL-P08</t>
  </si>
  <si>
    <t>RBL-P09</t>
  </si>
  <si>
    <t>RBL-P10</t>
  </si>
  <si>
    <t>RBL-P11</t>
  </si>
  <si>
    <t>RBL-P12</t>
  </si>
  <si>
    <t>RBL-P13</t>
  </si>
  <si>
    <t>RSHC 01</t>
  </si>
  <si>
    <t>RSHC 01-S01</t>
  </si>
  <si>
    <t>CAGE</t>
  </si>
  <si>
    <t>RSHC 01-Cr01</t>
  </si>
  <si>
    <t>RSHC 01-Cr02</t>
  </si>
  <si>
    <t>RSHC 01-Cr03</t>
  </si>
  <si>
    <t>RSHC 01-Cr04</t>
  </si>
  <si>
    <t>RSHC 01-Cr05</t>
  </si>
  <si>
    <t>RSHC 01-Cr06</t>
  </si>
  <si>
    <t>RSHC 01-Cr07</t>
  </si>
  <si>
    <t>RSHC 01-Cr08</t>
  </si>
  <si>
    <t>RSHC 01-Cr09</t>
  </si>
  <si>
    <t>RSHC 01-Cr10</t>
  </si>
  <si>
    <t>RSHC 01-Cr11</t>
  </si>
  <si>
    <t>RSHC 01-Cr12</t>
  </si>
  <si>
    <t>RSHC 01-Cr13</t>
  </si>
  <si>
    <t>RSHC 01-Cr14</t>
  </si>
  <si>
    <t>RSHC 01-Cr15</t>
  </si>
  <si>
    <t>RSHC 01-Cr16</t>
  </si>
  <si>
    <t>RSHC 01-Cr17</t>
  </si>
  <si>
    <t>RSHC 01-Cr18</t>
  </si>
  <si>
    <t>RSHC 01-Cr19</t>
  </si>
  <si>
    <t>RSHC 01-Cr20</t>
  </si>
  <si>
    <t>RSHC 01-Cr21</t>
  </si>
  <si>
    <t>RSHC 01-Cr22</t>
  </si>
  <si>
    <t>RSHC 01-Cr23</t>
  </si>
  <si>
    <t>RSHC 01-Cr24</t>
  </si>
  <si>
    <t>RSHC 01-Cr25</t>
  </si>
  <si>
    <t>RSHC 01-Cr26</t>
  </si>
  <si>
    <t>RSHC 01-Cr27</t>
  </si>
  <si>
    <t>RSHC 01-Cr28</t>
  </si>
  <si>
    <t>RSHC 01-Cr29</t>
  </si>
  <si>
    <t>RSHC 01-Cr30</t>
  </si>
  <si>
    <t>RSHC 01-Cr31</t>
  </si>
  <si>
    <t>RSHC 01-Cr32</t>
  </si>
  <si>
    <t>RSHC 01-Cr33</t>
  </si>
  <si>
    <t>RSHC 01-Cr34</t>
  </si>
  <si>
    <t>RSHC 01-Cr35</t>
  </si>
  <si>
    <t>RSHC 01-Cr36</t>
  </si>
  <si>
    <t>RSHC 01-Cr37</t>
  </si>
  <si>
    <t>RSHC 01-Cr38</t>
  </si>
  <si>
    <t>RSHC 01-Cr39</t>
  </si>
  <si>
    <t>RSHC 01-Cr40</t>
  </si>
  <si>
    <t>RSHC 01-Cr41</t>
  </si>
  <si>
    <t>RSHC 01-Cr42</t>
  </si>
  <si>
    <t>RSHC 01-Cr43</t>
  </si>
  <si>
    <t>RSHC 01-Cr44</t>
  </si>
  <si>
    <t>RSHC 01-Cr45</t>
  </si>
  <si>
    <t>RSHC 01-Cr46</t>
  </si>
  <si>
    <t>RSHC 01-Cr47</t>
  </si>
  <si>
    <t>RSHC 01-Cr48</t>
  </si>
  <si>
    <t>RSHC 01-Cr49</t>
  </si>
  <si>
    <t>RSHC 01-Cr50</t>
  </si>
  <si>
    <t>RSHC 01-Cr51</t>
  </si>
  <si>
    <t>RSHC 01-Cr52</t>
  </si>
  <si>
    <t>RSHC 01-Cr53</t>
  </si>
  <si>
    <t>RSHC 01-Cr54</t>
  </si>
  <si>
    <t>RSHC 01-Cr55</t>
  </si>
  <si>
    <t>RSHC 01-Cr56</t>
  </si>
  <si>
    <t>RSHC 01-Cr57</t>
  </si>
  <si>
    <t>RSHC 01-Cr58</t>
  </si>
  <si>
    <t>RSHC 01-Cr59</t>
  </si>
  <si>
    <t>RSHC 01-Cr60</t>
  </si>
  <si>
    <t>RSHC 01-Cr61</t>
  </si>
  <si>
    <t>RSHC 01-Cr62</t>
  </si>
  <si>
    <t>RSHC 01-Cr63</t>
  </si>
  <si>
    <t>RSHC 01-Cr64</t>
  </si>
  <si>
    <t>RSHC 01-Cr65</t>
  </si>
  <si>
    <t>RSHC 01-Cr66</t>
  </si>
  <si>
    <t>RSHC 01-Cr67</t>
  </si>
  <si>
    <t>RSHC 01-Cr68</t>
  </si>
  <si>
    <t>RSHC 01-Cr69</t>
  </si>
  <si>
    <t>RSHC 01-Cr70</t>
  </si>
  <si>
    <t>RSHC 01-Cr71</t>
  </si>
  <si>
    <t>RSHC 01-Cr72</t>
  </si>
  <si>
    <t>RSHC 01-Cr73</t>
  </si>
  <si>
    <t>RSHC 01-Cr74</t>
  </si>
  <si>
    <t>RSHC 01-Cr75</t>
  </si>
  <si>
    <t>RSHC 01-Cr76</t>
  </si>
  <si>
    <t>RSHC 01-Cr77</t>
  </si>
  <si>
    <t>RSHC 01-Cr78</t>
  </si>
  <si>
    <t>RSHC 02</t>
  </si>
  <si>
    <t>RSHC 02-S01</t>
  </si>
  <si>
    <t>RSHC 02-Cr01</t>
  </si>
  <si>
    <t>RSHC 02-Cr02</t>
  </si>
  <si>
    <t>RSHC 02-Cr03</t>
  </si>
  <si>
    <t>RSHC 02-Cr04</t>
  </si>
  <si>
    <t>RSHC 02-Cr05</t>
  </si>
  <si>
    <t>RSHC 02-Cr06</t>
  </si>
  <si>
    <t>RSHC 02-Cr07</t>
  </si>
  <si>
    <t>RSHC 02-Cr08</t>
  </si>
  <si>
    <t>RSHC 02-Cr09</t>
  </si>
  <si>
    <t>RSHC 02-Cr10</t>
  </si>
  <si>
    <t>RSHC 02-Cr11</t>
  </si>
  <si>
    <t>RSHC 02-Cr12</t>
  </si>
  <si>
    <t>RSHC 02-Cr13</t>
  </si>
  <si>
    <t>RSHC 02-Cr14</t>
  </si>
  <si>
    <t>RSHC 02-Cr15</t>
  </si>
  <si>
    <t>RSHC 02-Cr16</t>
  </si>
  <si>
    <t>RSHC 02-Cr17</t>
  </si>
  <si>
    <t>RSHC 02-Cr18</t>
  </si>
  <si>
    <t>RSHC 02-Cr19</t>
  </si>
  <si>
    <t>RSHC 02-Cr20</t>
  </si>
  <si>
    <t>RSHC 02-Cr21</t>
  </si>
  <si>
    <t>RSHC 02-Cr22</t>
  </si>
  <si>
    <t>RSHC 02-Cr23</t>
  </si>
  <si>
    <t>RSHC 02-Cr24</t>
  </si>
  <si>
    <t>RSHC 02-Cr25</t>
  </si>
  <si>
    <t>RSHC 02-Cr26</t>
  </si>
  <si>
    <t>RSHC 02-Cr27</t>
  </si>
  <si>
    <t>RSHC 02-Cr28</t>
  </si>
  <si>
    <t>RSHC 02-Cr29</t>
  </si>
  <si>
    <t>RSHC 02-Cr30</t>
  </si>
  <si>
    <t>RSHC 02-Cr31</t>
  </si>
  <si>
    <t>RSHC 02-Cr32</t>
  </si>
  <si>
    <t>RSHC 02-Cr33</t>
  </si>
  <si>
    <t>RSHC 02-Cr34</t>
  </si>
  <si>
    <t>RSHC 02-Cr35</t>
  </si>
  <si>
    <t>RSHC 02-Cr36</t>
  </si>
  <si>
    <t>RSHC 02-Cr37</t>
  </si>
  <si>
    <t>RSHC 02-Cr38</t>
  </si>
  <si>
    <t>RSHC 02-Cr39</t>
  </si>
  <si>
    <t>RSSL</t>
  </si>
  <si>
    <t>RSSL-S01</t>
  </si>
  <si>
    <t>RSSL-Cr01</t>
  </si>
  <si>
    <t>RSSL-Cr02</t>
  </si>
  <si>
    <t>RSSL-Cr03</t>
  </si>
  <si>
    <t>RSSL-Cr04</t>
  </si>
  <si>
    <t>RSSL-Cr05</t>
  </si>
  <si>
    <t>RSSL-Cr06</t>
  </si>
  <si>
    <t>RSSL-Cr07</t>
  </si>
  <si>
    <t>RSSL-Cr08</t>
  </si>
  <si>
    <t>RSSL-Cr09</t>
  </si>
  <si>
    <t>RSSL-Cr10</t>
  </si>
  <si>
    <t>RSSL-Cr11</t>
  </si>
  <si>
    <t>RSSL-Cr12</t>
  </si>
  <si>
    <t>RSSL-Cr13</t>
  </si>
  <si>
    <t>RSSL-Cr14</t>
  </si>
  <si>
    <t>RSSL-Cr15</t>
  </si>
  <si>
    <t>RSSL-Cr16</t>
  </si>
  <si>
    <t>RSSL-Cr17</t>
  </si>
  <si>
    <t>RSSL-Cr18</t>
  </si>
  <si>
    <t>RSSL-Cr19</t>
  </si>
  <si>
    <t>RSSL-Cr20</t>
  </si>
  <si>
    <t>RSSL-Cr21</t>
  </si>
  <si>
    <t>RSSL-Cr22</t>
  </si>
  <si>
    <t>RSSL-Cr23</t>
  </si>
  <si>
    <t>RSSL-Cr24</t>
  </si>
  <si>
    <t>RSSL-Cr25</t>
  </si>
  <si>
    <t>RSSL-Cr26</t>
  </si>
  <si>
    <t>RSSL-Cr27</t>
  </si>
  <si>
    <t>RSSL-Cr28</t>
  </si>
  <si>
    <t>RSSL-Cr29</t>
  </si>
  <si>
    <t>RSSL-Cr30</t>
  </si>
  <si>
    <t>RSSL-Cr31</t>
  </si>
  <si>
    <t>RSSL-Cr32</t>
  </si>
  <si>
    <t>RSSL-Cr33</t>
  </si>
  <si>
    <t>RSSL-Cr34</t>
  </si>
  <si>
    <t>RSSL-Cr35</t>
  </si>
  <si>
    <t>RSSL-Cr36</t>
  </si>
  <si>
    <t>RSSL-Cr37</t>
  </si>
  <si>
    <t>RSSL-Cr38</t>
  </si>
  <si>
    <t>RSSL-Cr39</t>
  </si>
  <si>
    <t>RSSL-Cr40</t>
  </si>
  <si>
    <t>RSSL-Cr41</t>
  </si>
  <si>
    <t>RSSL-Cr42</t>
  </si>
  <si>
    <t>RSSL-Cr43</t>
  </si>
  <si>
    <t>RSSL-Cr44</t>
  </si>
  <si>
    <t>RSSL-Cr45</t>
  </si>
  <si>
    <t>RSSL-Cr46</t>
  </si>
  <si>
    <t>RSSL-Cr47</t>
  </si>
  <si>
    <t>RSSL-Cr48</t>
  </si>
  <si>
    <t>RSSL-Cr49</t>
  </si>
  <si>
    <t>RSSL-Cr50</t>
  </si>
  <si>
    <t>RSSL-Cr51</t>
  </si>
  <si>
    <t>RSSL-Cr52</t>
  </si>
  <si>
    <t>RSSL-Cr53</t>
  </si>
  <si>
    <t>RSSL-Cr54</t>
  </si>
  <si>
    <t>RSSL-Cr55</t>
  </si>
  <si>
    <t>RSSL-Cr56</t>
  </si>
  <si>
    <t>RSSL-Cr57</t>
  </si>
  <si>
    <t>RSSL-Cr58</t>
  </si>
  <si>
    <t>RSSL-Cr59</t>
  </si>
  <si>
    <t>RSSL-Cr60</t>
  </si>
  <si>
    <t>RSSL-Cr61</t>
  </si>
  <si>
    <t>RSSL-Cr62</t>
  </si>
  <si>
    <t>RSSL-Cr63</t>
  </si>
  <si>
    <t>RSSL-Cr64</t>
  </si>
  <si>
    <t>RSSL-Cr65</t>
  </si>
  <si>
    <t>RSSL-Cr66</t>
  </si>
  <si>
    <t>RSSL-Cr67</t>
  </si>
  <si>
    <t>RSSL-Cr68</t>
  </si>
  <si>
    <t>RSSL-Cr69</t>
  </si>
  <si>
    <t>RSSL-Cr70</t>
  </si>
  <si>
    <t>RSSL-Cr71</t>
  </si>
  <si>
    <t>RSSL-Cr72</t>
  </si>
  <si>
    <t>RSSL-Cr73</t>
  </si>
  <si>
    <t>RSSL-Cr74</t>
  </si>
  <si>
    <t>RSSL-Cr75</t>
  </si>
  <si>
    <t>RSSL-Cr76</t>
  </si>
  <si>
    <t>RSSL-Cr77</t>
  </si>
  <si>
    <t>RSSL-Cr78</t>
  </si>
  <si>
    <t>RGSL</t>
  </si>
  <si>
    <t>RGSL-S01</t>
  </si>
  <si>
    <t>RGSL-Cr01</t>
  </si>
  <si>
    <t>RGSL-Cr02</t>
  </si>
  <si>
    <t>RGSL-Cr03</t>
  </si>
  <si>
    <t>RGSL-Cr04</t>
  </si>
  <si>
    <t>RGSL-Cr05</t>
  </si>
  <si>
    <t>RGSL-Cr06</t>
  </si>
  <si>
    <t>RGSL-Cr07</t>
  </si>
  <si>
    <t>RGSL-Cr08</t>
  </si>
  <si>
    <t>RGSL-Cr09</t>
  </si>
  <si>
    <t>RGSL-Cr10</t>
  </si>
  <si>
    <t>RGSL-Cr11</t>
  </si>
  <si>
    <t>RGSL-Cr12</t>
  </si>
  <si>
    <t>RGSL-Cr13</t>
  </si>
  <si>
    <t>RGSL-Cr14</t>
  </si>
  <si>
    <t>RGSL-Cr15</t>
  </si>
  <si>
    <t>RGSL-Cr16</t>
  </si>
  <si>
    <t>RGSL-Cr17</t>
  </si>
  <si>
    <t>RGSL-Cr18</t>
  </si>
  <si>
    <t>RGSL-Cr19</t>
  </si>
  <si>
    <t>RGSL-Cr20</t>
  </si>
  <si>
    <t>RGSL-Cr21</t>
  </si>
  <si>
    <t>RGSL-Cr22</t>
  </si>
  <si>
    <t>RGSL-Cr23</t>
  </si>
  <si>
    <t>RGSL-Cr24</t>
  </si>
  <si>
    <t>RGSL-Cr25</t>
  </si>
  <si>
    <t>RGSL-Cr26</t>
  </si>
  <si>
    <t>RGSL-Cr27</t>
  </si>
  <si>
    <t>RGSL-Cr28</t>
  </si>
  <si>
    <t>RGSL-Cr29</t>
  </si>
  <si>
    <t>RGSL-Cr30</t>
  </si>
  <si>
    <t>RGSL-Cr31</t>
  </si>
  <si>
    <t>RGSL-Cr32</t>
  </si>
  <si>
    <t>RGSL-Cr33</t>
  </si>
  <si>
    <t>RGSL-Cr34</t>
  </si>
  <si>
    <t>RGSL-Cr35</t>
  </si>
  <si>
    <t>RGSL-Cr36</t>
  </si>
  <si>
    <t>RGSL-Cr37</t>
  </si>
  <si>
    <t>RGSL-Cr38</t>
  </si>
  <si>
    <t>RGSL-Cr39</t>
  </si>
  <si>
    <t>RGSL-Cr40</t>
  </si>
  <si>
    <t>RGSL-Cr41</t>
  </si>
  <si>
    <t>RGSL-Cr42</t>
  </si>
  <si>
    <t>RGSL-Cr43</t>
  </si>
  <si>
    <t>RGSL-Cr44</t>
  </si>
  <si>
    <t>RGSL-Cr45</t>
  </si>
  <si>
    <t>RGSL-Cr46</t>
  </si>
  <si>
    <t>RGSL-Cr47</t>
  </si>
  <si>
    <t>RGSL-Cr48</t>
  </si>
  <si>
    <t>RGSL-Cr49</t>
  </si>
  <si>
    <t>RGSL-Cr50</t>
  </si>
  <si>
    <t>RGSL-Cr51</t>
  </si>
  <si>
    <t>RGSL-Cr52</t>
  </si>
  <si>
    <t>RGSL-Cr53</t>
  </si>
  <si>
    <t>RGSL-Cr54</t>
  </si>
  <si>
    <t>RGSL-Cr55</t>
  </si>
  <si>
    <t>RGSL-Cr56</t>
  </si>
  <si>
    <t>RGSL-Cr57</t>
  </si>
  <si>
    <t>RGSL-Cr58</t>
  </si>
  <si>
    <t>RGSL-Cr59</t>
  </si>
  <si>
    <t>RGSL-Cr60</t>
  </si>
  <si>
    <t>RGSL-Cr61</t>
  </si>
  <si>
    <t>RGSL-Cr62</t>
  </si>
  <si>
    <t>RGSL-Cr63</t>
  </si>
  <si>
    <t>RGSL-Cr64</t>
  </si>
  <si>
    <t>RGSL-Cr65</t>
  </si>
  <si>
    <t>RGSL-Cr66</t>
  </si>
  <si>
    <t>RGSL-Cr67</t>
  </si>
  <si>
    <t>RGSL-Cr68</t>
  </si>
  <si>
    <t>RGSL-Cr69</t>
  </si>
  <si>
    <t>RGSL-Cr70</t>
  </si>
  <si>
    <t>RGSL-Cr71</t>
  </si>
  <si>
    <t>RGSL-Cr72</t>
  </si>
  <si>
    <t>RGSL-Cr73</t>
  </si>
  <si>
    <t>RGSL-Cr74</t>
  </si>
  <si>
    <t>RGSL-Cr75</t>
  </si>
  <si>
    <t>RGSL-Cr76</t>
  </si>
  <si>
    <t>RGSL-Cr77</t>
  </si>
  <si>
    <t>RGSL-Cr78</t>
  </si>
  <si>
    <t>RGSL-Cr79</t>
  </si>
  <si>
    <t>RGSL-Cr80</t>
  </si>
  <si>
    <t>RGSL-Cr81</t>
  </si>
  <si>
    <t>RGSL-Cr82</t>
  </si>
  <si>
    <t>RGSL-Cr83</t>
  </si>
  <si>
    <t>RGSL-Cr84</t>
  </si>
  <si>
    <t>RGSL-Cr85</t>
  </si>
  <si>
    <t>RGSL-Cr86</t>
  </si>
  <si>
    <t>RGSL-Cr87</t>
  </si>
  <si>
    <t>RGSL-Cr88</t>
  </si>
  <si>
    <t>RGSL-Cr89</t>
  </si>
  <si>
    <t>RGSL-Cr90</t>
  </si>
  <si>
    <t>RGSL-Cr91</t>
  </si>
  <si>
    <t>RGSL-Cr92</t>
  </si>
  <si>
    <t>RGSL-Cr93</t>
  </si>
  <si>
    <t>RGSL-Cr94</t>
  </si>
  <si>
    <t>RGSL-Cr95</t>
  </si>
  <si>
    <t>RGSL-Cr96</t>
  </si>
  <si>
    <t>RGSL-Cr97</t>
  </si>
  <si>
    <t>RGSL-Cr98</t>
  </si>
  <si>
    <t>RGSL-Cr99</t>
  </si>
  <si>
    <t>RGSL-Cr100</t>
  </si>
  <si>
    <t>RGSL-Cr101</t>
  </si>
  <si>
    <t>RGSL-Cr102</t>
  </si>
  <si>
    <t>RGSL-Cr103</t>
  </si>
  <si>
    <t>RGSL-Cr104</t>
  </si>
  <si>
    <t>RGH26</t>
  </si>
  <si>
    <t>RGH26-S01</t>
  </si>
  <si>
    <t>RGH26-P01</t>
  </si>
  <si>
    <t>RGH26-P02</t>
  </si>
  <si>
    <t>RGH26-P03</t>
  </si>
  <si>
    <t>RGH26-P04</t>
  </si>
  <si>
    <t>RGH26-P05</t>
  </si>
  <si>
    <t>RGH26-P06</t>
  </si>
  <si>
    <t>RGH26-P07</t>
  </si>
  <si>
    <t>RGH26-P08</t>
  </si>
  <si>
    <t>RGH26-P09</t>
  </si>
  <si>
    <t>RGH26-P10</t>
  </si>
  <si>
    <t>RGH26-P11</t>
  </si>
  <si>
    <t>RGH26-P12</t>
  </si>
  <si>
    <t>RGH26-P13</t>
  </si>
  <si>
    <t>RGH26-P14</t>
  </si>
  <si>
    <t>RGH26-P15</t>
  </si>
  <si>
    <t>RGH26-P16</t>
  </si>
  <si>
    <t>RGH26-P17</t>
  </si>
  <si>
    <t>RGH26-P18</t>
  </si>
  <si>
    <t>RGH26-P19</t>
  </si>
  <si>
    <t>RGH26-P20</t>
  </si>
  <si>
    <t>RGH26-P21</t>
  </si>
  <si>
    <t>RGH26-P22</t>
  </si>
  <si>
    <t>RGH26-P23</t>
  </si>
  <si>
    <t>RGH26-P24</t>
  </si>
  <si>
    <t>RGH26-P25</t>
  </si>
  <si>
    <t>RGH26-P26</t>
  </si>
  <si>
    <t>RGHC</t>
  </si>
  <si>
    <t>RSR 01</t>
  </si>
  <si>
    <t>RGHC-01</t>
  </si>
  <si>
    <t>RGHC-02</t>
  </si>
  <si>
    <t>RGHC-03</t>
  </si>
  <si>
    <t>RGHC-04</t>
  </si>
  <si>
    <t>RGHC-05</t>
  </si>
  <si>
    <t>RGHC-06</t>
  </si>
  <si>
    <t>RGHC-07</t>
  </si>
  <si>
    <t>RGHC-08</t>
  </si>
  <si>
    <t>RGHC-09</t>
  </si>
  <si>
    <t>RGHC-10</t>
  </si>
  <si>
    <t>RGHC-11</t>
  </si>
  <si>
    <t>RGHC-12</t>
  </si>
  <si>
    <t>RGHC-13</t>
  </si>
  <si>
    <t>RGHC-14</t>
  </si>
  <si>
    <t>RGHC-15</t>
  </si>
  <si>
    <t>RGHC-16</t>
  </si>
  <si>
    <t>RGHC-17</t>
  </si>
  <si>
    <t>RGHC-18</t>
  </si>
  <si>
    <t>RGHC-19</t>
  </si>
  <si>
    <t>RGHC-20</t>
  </si>
  <si>
    <t>RGHC-21</t>
  </si>
  <si>
    <t>RGHC-22</t>
  </si>
  <si>
    <t>RGHC-23</t>
  </si>
  <si>
    <t>RGHC-24</t>
  </si>
  <si>
    <t>RGHC-25</t>
  </si>
  <si>
    <t>RGHC-26</t>
  </si>
  <si>
    <t>RGH 12</t>
  </si>
  <si>
    <t>RGRH 12-P01</t>
  </si>
  <si>
    <t>RGRH 12-P02</t>
  </si>
  <si>
    <t>RGRH 12-P03</t>
  </si>
  <si>
    <t>RGRH 12-P04</t>
  </si>
  <si>
    <t>RGRH 12-P05</t>
  </si>
  <si>
    <t>RGRH 12-P06</t>
  </si>
  <si>
    <t>RGRH 12-P07</t>
  </si>
  <si>
    <t>RGRH 12-P08</t>
  </si>
  <si>
    <t>RGRH 12-P09</t>
  </si>
  <si>
    <t>RGRH 12-P10</t>
  </si>
  <si>
    <t>RGRH 12-P11</t>
  </si>
  <si>
    <t>RGRH 12-P12</t>
  </si>
  <si>
    <t>RGRH 12-P13</t>
  </si>
  <si>
    <t>RGRH 12-P14</t>
  </si>
  <si>
    <t>RGRH 12-P15</t>
  </si>
  <si>
    <t>RGRH 12-P16</t>
  </si>
  <si>
    <t>RGRH 12-P17</t>
  </si>
  <si>
    <t>RGRH 12-P18</t>
  </si>
  <si>
    <t>RGRH 12-P19</t>
  </si>
  <si>
    <t>RGRH 12-P20</t>
  </si>
  <si>
    <t>RGRH 12-P21</t>
  </si>
  <si>
    <t>RGRH 12-P22</t>
  </si>
  <si>
    <t>RGRH 12-P23</t>
  </si>
  <si>
    <t>RGRH 12-P24</t>
  </si>
  <si>
    <t>RGRH 12-P25</t>
  </si>
  <si>
    <t>RGRH 12-P26</t>
  </si>
  <si>
    <t>RNGHC</t>
  </si>
  <si>
    <t>RNGHC-P01</t>
  </si>
  <si>
    <t>RNGHC-P02</t>
  </si>
  <si>
    <t>RNGHC-P03</t>
  </si>
  <si>
    <t>RNGHC-P04</t>
  </si>
  <si>
    <t>RNGHC-P05</t>
  </si>
  <si>
    <t>RNGHC-P06</t>
  </si>
  <si>
    <t>RNGHC-P07</t>
  </si>
  <si>
    <t>RNGHC-P08</t>
  </si>
  <si>
    <t>RNGHC-P09</t>
  </si>
  <si>
    <t>RNGHC-P10</t>
  </si>
  <si>
    <t>RNGHC-P11</t>
  </si>
  <si>
    <t>RNGHC-P12</t>
  </si>
  <si>
    <t>RNGHC-P13</t>
  </si>
  <si>
    <t>RNGHC-P14</t>
  </si>
  <si>
    <t>RNGHC-P15</t>
  </si>
  <si>
    <t>RNGHC-P16</t>
  </si>
  <si>
    <t>RNGHC-P17</t>
  </si>
  <si>
    <t>RNGHC-P18</t>
  </si>
  <si>
    <t>RNGHC-P19</t>
  </si>
  <si>
    <t>RNGHC-P20</t>
  </si>
  <si>
    <t>RNGHC 02</t>
  </si>
  <si>
    <t>RNGHC 02-P01</t>
  </si>
  <si>
    <t>RNGHC 02-P02</t>
  </si>
  <si>
    <t>RNGHC 02-P03</t>
  </si>
  <si>
    <t>RNGHC 02-P04</t>
  </si>
  <si>
    <t>RNGHC 02-P05</t>
  </si>
  <si>
    <t>RNGHC 02-P06</t>
  </si>
  <si>
    <t>RWNH 1A</t>
  </si>
  <si>
    <t>RWNH 1A-S01</t>
  </si>
  <si>
    <t>RWNH 1A-P01</t>
  </si>
  <si>
    <t>RWNH 1A-P02</t>
  </si>
  <si>
    <t>RWNH 1A-P03</t>
  </si>
  <si>
    <t>RWNH 1A-P04</t>
  </si>
  <si>
    <t>RWNH 1A-P05</t>
  </si>
  <si>
    <t>RWNH 1A-P06</t>
  </si>
  <si>
    <t>RWNH 1A-P07</t>
  </si>
  <si>
    <t>RWNH 1A-P08</t>
  </si>
  <si>
    <t>RWNH 1A-P09</t>
  </si>
  <si>
    <t>RWNH 1A-P10</t>
  </si>
  <si>
    <t>RWNH 1A-P11</t>
  </si>
  <si>
    <t>RWNH 1A-P12</t>
  </si>
  <si>
    <t>RWNH 1A-P13</t>
  </si>
  <si>
    <t>RWNH 1A-P14</t>
  </si>
  <si>
    <t>RWNH 1A-P15</t>
  </si>
  <si>
    <t>RWNH 1A-P16</t>
  </si>
  <si>
    <t>RWNH 1A-P17</t>
  </si>
  <si>
    <t>RWNH 1A-P18</t>
  </si>
  <si>
    <t>RWNH 1A-P19</t>
  </si>
  <si>
    <t>RWNH 1A-P20</t>
  </si>
  <si>
    <t>RWNH 1B</t>
  </si>
  <si>
    <t>RWNH 1B-S01</t>
  </si>
  <si>
    <t>RWNH 1B-P01</t>
  </si>
  <si>
    <t>RWNH 1B-P02</t>
  </si>
  <si>
    <t>RWNH 1B-P03</t>
  </si>
  <si>
    <t>RWNH 1B-P04</t>
  </si>
  <si>
    <t>RWNH 1B-P05</t>
  </si>
  <si>
    <t>RWNH 1B-P06</t>
  </si>
  <si>
    <t>RWNH 1B-P07</t>
  </si>
  <si>
    <t>RWNH 1B-P08</t>
  </si>
  <si>
    <t>RWNH 1B-P09</t>
  </si>
  <si>
    <t>RWNH 1B-P10</t>
  </si>
  <si>
    <t>RWNH 1B-P11</t>
  </si>
  <si>
    <t>RWNH 1B-P12</t>
  </si>
  <si>
    <t>RWNH 1B-P13</t>
  </si>
  <si>
    <t>RWNH 1B-P14</t>
  </si>
  <si>
    <t>RWNH 1B-P15</t>
  </si>
  <si>
    <t>RWNH 1B-P16</t>
  </si>
  <si>
    <t>RWNH 1B-P17</t>
  </si>
  <si>
    <t>RWNH 1B-P18</t>
  </si>
  <si>
    <t>RWNH 1B-P19</t>
  </si>
  <si>
    <t>RWNH 1B-P20</t>
  </si>
  <si>
    <t>RWNH 2A</t>
  </si>
  <si>
    <t>RWNH 2A-S01</t>
  </si>
  <si>
    <t>RWNH 2A-P01</t>
  </si>
  <si>
    <t>RWNH 2A-P02</t>
  </si>
  <si>
    <t>RWNH 2A-P03</t>
  </si>
  <si>
    <t>RWNH 2A-P04</t>
  </si>
  <si>
    <t>RWNH 2A-P05</t>
  </si>
  <si>
    <t>RWNH 2A-P06</t>
  </si>
  <si>
    <t>RWNH 2A-P07</t>
  </si>
  <si>
    <t>RWNH 2A-P08</t>
  </si>
  <si>
    <t>RWNH 2A-P09</t>
  </si>
  <si>
    <t>RWNH 2A-P10</t>
  </si>
  <si>
    <t>RWNH 2A-P11</t>
  </si>
  <si>
    <t>RWNH 2A-P12</t>
  </si>
  <si>
    <t>RWNH 2A-P13</t>
  </si>
  <si>
    <t>RWNH 2A-P14</t>
  </si>
  <si>
    <t>RWNH 2A-P15</t>
  </si>
  <si>
    <t>RWNH 2A-P16</t>
  </si>
  <si>
    <t>RWNH 2A-P17</t>
  </si>
  <si>
    <t>RWNH 2A-P18</t>
  </si>
  <si>
    <t>RWNH 2A-P19</t>
  </si>
  <si>
    <t>RWNH 2A-P20</t>
  </si>
  <si>
    <t>RWNH 2B</t>
  </si>
  <si>
    <t>RWNH 2B-S01</t>
  </si>
  <si>
    <t>RWNH 2B-P01</t>
  </si>
  <si>
    <t>RWNH 2B-P02</t>
  </si>
  <si>
    <t>RWNH 2B-P03</t>
  </si>
  <si>
    <t>RWNH 2B-P04</t>
  </si>
  <si>
    <t>RWNH 2B-P05</t>
  </si>
  <si>
    <t>RWNH 2B-P06</t>
  </si>
  <si>
    <t>RWNH 2B-P07</t>
  </si>
  <si>
    <t>RWNH 2B-P08</t>
  </si>
  <si>
    <t>RWNH 2B-P09</t>
  </si>
  <si>
    <t>RWNH 2B-P10</t>
  </si>
  <si>
    <t>RWNH 2B-P11</t>
  </si>
  <si>
    <t>RWNH 2B-P12</t>
  </si>
  <si>
    <t>RWNH 2B-P13</t>
  </si>
  <si>
    <t>RWNH 2B-P14</t>
  </si>
  <si>
    <t>RWNH 2B-P15</t>
  </si>
  <si>
    <t>RWNH 2B-P16</t>
  </si>
  <si>
    <t>RWNH 2B-P17</t>
  </si>
  <si>
    <t>RWNH 2B-P18</t>
  </si>
  <si>
    <t>RWNH 2B-P19</t>
  </si>
  <si>
    <t>RWNH 2B-P20</t>
  </si>
  <si>
    <t>RWNH 3A</t>
  </si>
  <si>
    <t>RWNH 3A-S01</t>
  </si>
  <si>
    <t>RWNH 3A-P01</t>
  </si>
  <si>
    <t>RWNH 3A-P02</t>
  </si>
  <si>
    <t>RWNH 3A-P03</t>
  </si>
  <si>
    <t>RWNH 3A-P04</t>
  </si>
  <si>
    <t>RWNH 3A-P05</t>
  </si>
  <si>
    <t>RWNH 3A-P06</t>
  </si>
  <si>
    <t>RWNH 3A-P07</t>
  </si>
  <si>
    <t>RWNH 3A-P08</t>
  </si>
  <si>
    <t>RWNH 3A-P09</t>
  </si>
  <si>
    <t>RWNH 3A-P10</t>
  </si>
  <si>
    <t>RWNH 3A-P11</t>
  </si>
  <si>
    <t>RWNH 3A-P12</t>
  </si>
  <si>
    <t>RWNH 3A-P13</t>
  </si>
  <si>
    <t>RWNH 3A-P14</t>
  </si>
  <si>
    <t>RWNH 3A-P15</t>
  </si>
  <si>
    <t>RWNH 3A-P16</t>
  </si>
  <si>
    <t>RWNH 3A-P17</t>
  </si>
  <si>
    <t>RWNH 3A-P18</t>
  </si>
  <si>
    <t>RWNH 3A-P19</t>
  </si>
  <si>
    <t>RWNH 3A-P20</t>
  </si>
  <si>
    <t>RWNH 3B</t>
  </si>
  <si>
    <t>RWNH 3B-S01</t>
  </si>
  <si>
    <t>RWNH 3B-P01</t>
  </si>
  <si>
    <t>RWNH 3B-P02</t>
  </si>
  <si>
    <t>RWNH 3B-P03</t>
  </si>
  <si>
    <t>RWNH 3B-P04</t>
  </si>
  <si>
    <t>RWNH 3B-P05</t>
  </si>
  <si>
    <t>RWNH 3B-P06</t>
  </si>
  <si>
    <t>RWNH 3B-P07</t>
  </si>
  <si>
    <t>RWNH 3B-P08</t>
  </si>
  <si>
    <t>RWNH 3B-P09</t>
  </si>
  <si>
    <t>RWNH 3B-P10</t>
  </si>
  <si>
    <t>RWNH 3B-P11</t>
  </si>
  <si>
    <t>RWNH 3B-P12</t>
  </si>
  <si>
    <t>RWNH 3B-P13</t>
  </si>
  <si>
    <t>RWNH 3B-P14</t>
  </si>
  <si>
    <t>RWNH 3B-P15</t>
  </si>
  <si>
    <t>RWNH 3B-P16</t>
  </si>
  <si>
    <t>RWNH 3B-P17</t>
  </si>
  <si>
    <t>RWNH 3B-P18</t>
  </si>
  <si>
    <t>RWNH 3B-P19</t>
  </si>
  <si>
    <t>RWNH 3B-P20</t>
  </si>
  <si>
    <t>RFH 01</t>
  </si>
  <si>
    <t>RFH 01-S01</t>
  </si>
  <si>
    <t>RFH 01-P01</t>
  </si>
  <si>
    <t>RFH 01-P02</t>
  </si>
  <si>
    <t>RFH 01-P03</t>
  </si>
  <si>
    <t>RFH 01-P04</t>
  </si>
  <si>
    <t>RFH 01-P05</t>
  </si>
  <si>
    <t>RFH 01-P06</t>
  </si>
  <si>
    <t>RFH 01-P07</t>
  </si>
  <si>
    <t>RFH 01-P08</t>
  </si>
  <si>
    <t>RFH 01-P09</t>
  </si>
  <si>
    <t>RFH 01-P10</t>
  </si>
  <si>
    <t>RFH 01-P11</t>
  </si>
  <si>
    <t>RFH 01-P12</t>
  </si>
  <si>
    <t>RFH 01-P13</t>
  </si>
  <si>
    <t>RFH 01-P14</t>
  </si>
  <si>
    <t>RFH 01-P15</t>
  </si>
  <si>
    <t>RFH 01-P16</t>
  </si>
  <si>
    <t>RFH 01-P17</t>
  </si>
  <si>
    <t>RFH 01-P18</t>
  </si>
  <si>
    <t>RFH 01-P19</t>
  </si>
  <si>
    <t>RFH 01-P20</t>
  </si>
  <si>
    <t>RFH 01-P21</t>
  </si>
  <si>
    <t>RFH 01-P22</t>
  </si>
  <si>
    <t>RFH 01-P23</t>
  </si>
  <si>
    <t>RFH 01-P24</t>
  </si>
  <si>
    <t>RFH 01-P25</t>
  </si>
  <si>
    <t>RFH 01-P26</t>
  </si>
  <si>
    <t>RFH 01-P27</t>
  </si>
  <si>
    <t>RFH 01-P28</t>
  </si>
  <si>
    <t>RFH 01-P29</t>
  </si>
  <si>
    <t>RFH 01-P30</t>
  </si>
  <si>
    <t>RFH 01-P31</t>
  </si>
  <si>
    <t>RFH 01-P32</t>
  </si>
  <si>
    <t>RFH 01-P33</t>
  </si>
  <si>
    <t>RFH 01-P34</t>
  </si>
  <si>
    <t>RFH 01-P35</t>
  </si>
  <si>
    <t>RFH 01-P36</t>
  </si>
  <si>
    <t>RFH 01-P37</t>
  </si>
  <si>
    <t>RFH 01-P38</t>
  </si>
  <si>
    <t>RFH 01-P39</t>
  </si>
  <si>
    <t>RFH 01-P40</t>
  </si>
  <si>
    <t>RFH 01-P41</t>
  </si>
  <si>
    <t>RFH 01-P42</t>
  </si>
  <si>
    <t>RFH 01-P43</t>
  </si>
  <si>
    <t>RFH 01-P44</t>
  </si>
  <si>
    <t>RFH 01-P45</t>
  </si>
  <si>
    <t>RFH 01-P46</t>
  </si>
  <si>
    <t>RFH 01-P47</t>
  </si>
  <si>
    <t>RFH 01-P48</t>
  </si>
  <si>
    <t>RFH 01-P49</t>
  </si>
  <si>
    <t>RFH 01-P50</t>
  </si>
  <si>
    <t>RFH 01-P51</t>
  </si>
  <si>
    <t>RFH 01-P52</t>
  </si>
  <si>
    <t>RFH 01-P53</t>
  </si>
  <si>
    <t>RFH 01-P54</t>
  </si>
  <si>
    <t>RFH 02</t>
  </si>
  <si>
    <t>RFH 02-S01</t>
  </si>
  <si>
    <t>RFH 02-P01</t>
  </si>
  <si>
    <t>RFH 02-P02</t>
  </si>
  <si>
    <t>RFH 02-P03</t>
  </si>
  <si>
    <t>RFH 02-P04</t>
  </si>
  <si>
    <t>RFH 02-P05</t>
  </si>
  <si>
    <t>RFH 02-P06</t>
  </si>
  <si>
    <t>RFH 02-P07</t>
  </si>
  <si>
    <t>RFH 02-P08</t>
  </si>
  <si>
    <t>RFH 02-P09</t>
  </si>
  <si>
    <t>RFH 02-P10</t>
  </si>
  <si>
    <t>RFH 02-P11</t>
  </si>
  <si>
    <t>RFH 02-P12</t>
  </si>
  <si>
    <t>RFH 02-P13</t>
  </si>
  <si>
    <t>RFH 02-P14</t>
  </si>
  <si>
    <t>RFH 02-P15</t>
  </si>
  <si>
    <t>RFH 02-P16</t>
  </si>
  <si>
    <t>RFH 02-P17</t>
  </si>
  <si>
    <t>RFH 02-P18</t>
  </si>
  <si>
    <t>RFH 02-P19</t>
  </si>
  <si>
    <t>RFH 02-P20</t>
  </si>
  <si>
    <t>RFH 02-P21</t>
  </si>
  <si>
    <t>RFH 02-P22</t>
  </si>
  <si>
    <t>RFH 02-P23</t>
  </si>
  <si>
    <t>RFH 02-P24</t>
  </si>
  <si>
    <t>RFH 02-P25</t>
  </si>
  <si>
    <t>RFH 02-P26</t>
  </si>
  <si>
    <t>RFH 02-P27</t>
  </si>
  <si>
    <t>RFH 03</t>
  </si>
  <si>
    <t>RFH 03-S01</t>
  </si>
  <si>
    <t>RFH 03-P01</t>
  </si>
  <si>
    <t>RFH 03-P02</t>
  </si>
  <si>
    <t>RFH 03-P03</t>
  </si>
  <si>
    <t>RFH 03-P04</t>
  </si>
  <si>
    <t>RFH 03-P05</t>
  </si>
  <si>
    <t>RFH 03-P06</t>
  </si>
  <si>
    <t>RFH 03-P07</t>
  </si>
  <si>
    <t>RFH 03-P08</t>
  </si>
  <si>
    <t>RFH 03-P09</t>
  </si>
  <si>
    <t>RFH 03-P10</t>
  </si>
  <si>
    <t>RFH 03-P11</t>
  </si>
  <si>
    <t>RFH 03-P12</t>
  </si>
  <si>
    <t>RFH 03-P13</t>
  </si>
  <si>
    <t>RFH 03-P14</t>
  </si>
  <si>
    <t>RFH 03-P15</t>
  </si>
  <si>
    <t>RFH 03-P16</t>
  </si>
  <si>
    <t>RFH 03-P17</t>
  </si>
  <si>
    <t>RFH 03-P18</t>
  </si>
  <si>
    <t>RFH 03-P19</t>
  </si>
  <si>
    <t>RFH 03-P20</t>
  </si>
  <si>
    <t>RFH 03-P21</t>
  </si>
  <si>
    <t>RFH 03-P22</t>
  </si>
  <si>
    <t>RFH 03-P23</t>
  </si>
  <si>
    <t>RFH 03-P24</t>
  </si>
  <si>
    <t>RFH 03-P25</t>
  </si>
  <si>
    <t>RFH 03-P26</t>
  </si>
  <si>
    <t>RFH 03-P27</t>
  </si>
  <si>
    <t>RFH 03-P28</t>
  </si>
  <si>
    <t>RFH 03-P29</t>
  </si>
  <si>
    <t>RFH 03-P30</t>
  </si>
  <si>
    <t>RFH 03-P31</t>
  </si>
  <si>
    <t>RFH 03-P32</t>
  </si>
  <si>
    <t>RFH 03-P33</t>
  </si>
  <si>
    <t>RFH 03-P34</t>
  </si>
  <si>
    <t>RFH 03-P35</t>
  </si>
  <si>
    <t>RFH 03-P36</t>
  </si>
  <si>
    <t>RFH 03-P37</t>
  </si>
  <si>
    <t>RFH 03-P38</t>
  </si>
  <si>
    <t>RFH 03-P39</t>
  </si>
  <si>
    <t>RFH 03-P40</t>
  </si>
  <si>
    <t>RFH 03-P41</t>
  </si>
  <si>
    <t>RFH 03-P42</t>
  </si>
  <si>
    <t>RFH 03-P43</t>
  </si>
  <si>
    <t>RFH 03-P44</t>
  </si>
  <si>
    <t>RFH 03-P45</t>
  </si>
  <si>
    <t>RFH 03-P46</t>
  </si>
  <si>
    <t>RFH 03-P47</t>
  </si>
  <si>
    <t>RFH 03-P48</t>
  </si>
  <si>
    <t>RFH 03-P49</t>
  </si>
  <si>
    <t>RFH 03-P50</t>
  </si>
  <si>
    <t>RFH 03-P51</t>
  </si>
  <si>
    <t>RFH 03-P52</t>
  </si>
  <si>
    <t>RFH 03-P53</t>
  </si>
  <si>
    <t>RFH 03-P54</t>
  </si>
  <si>
    <t>RFH 04</t>
  </si>
  <si>
    <t>RFH 04-S01</t>
  </si>
  <si>
    <t>RFH 04-P01</t>
  </si>
  <si>
    <t>RFH 04-P02</t>
  </si>
  <si>
    <t>RFH 04-P03</t>
  </si>
  <si>
    <t>RFH 04-P04</t>
  </si>
  <si>
    <t>RFH 04-P05</t>
  </si>
  <si>
    <t>RFH 04-P06</t>
  </si>
  <si>
    <t>RFH 04-P07</t>
  </si>
  <si>
    <t>RFH 04-P08</t>
  </si>
  <si>
    <t>RFH 04-P09</t>
  </si>
  <si>
    <t>RFH 04-P10</t>
  </si>
  <si>
    <t>RFH 04-P11</t>
  </si>
  <si>
    <t>RFH 04-P12</t>
  </si>
  <si>
    <t>RFH 04-P13</t>
  </si>
  <si>
    <t>RFH 04-P14</t>
  </si>
  <si>
    <t>RFH 04-P15</t>
  </si>
  <si>
    <t>RFH 04-P16</t>
  </si>
  <si>
    <t>RFH 04-P17</t>
  </si>
  <si>
    <t>RFH 04-P18</t>
  </si>
  <si>
    <t>RFH 04-P19</t>
  </si>
  <si>
    <t>RFH 04-P20</t>
  </si>
  <si>
    <t>RFH 04-P21</t>
  </si>
  <si>
    <t>RFH 04-P22</t>
  </si>
  <si>
    <t>RFH 04-P23</t>
  </si>
  <si>
    <t>RFH 04-P24</t>
  </si>
  <si>
    <t>RFH 04-P25</t>
  </si>
  <si>
    <t>RFH 04-P26</t>
  </si>
  <si>
    <t>RFH 04-P27</t>
  </si>
  <si>
    <t>RFH 05</t>
  </si>
  <si>
    <t>RFH 05-S01</t>
  </si>
  <si>
    <t>RFH 05-P01</t>
  </si>
  <si>
    <t>RFH 05-P02</t>
  </si>
  <si>
    <t>RFH 05-P03</t>
  </si>
  <si>
    <t>RFH 05-P04</t>
  </si>
  <si>
    <t>RFH 05-P05</t>
  </si>
  <si>
    <t>RFH 05-P06</t>
  </si>
  <si>
    <t>RFH 05-P07</t>
  </si>
  <si>
    <t>RFH 05-P08</t>
  </si>
  <si>
    <t>RFH 05-P09</t>
  </si>
  <si>
    <t>RFH 05-P10</t>
  </si>
  <si>
    <t>RFH 05-P11</t>
  </si>
  <si>
    <t>RFH 05-P12</t>
  </si>
  <si>
    <t>RFH 05-P13</t>
  </si>
  <si>
    <t>RFH 05-P14</t>
  </si>
  <si>
    <t>RFH 05-P15</t>
  </si>
  <si>
    <t>RFH 05-P16</t>
  </si>
  <si>
    <t>RFH 05-P17</t>
  </si>
  <si>
    <t>RFH 05-P18</t>
  </si>
  <si>
    <t>RFH 05-P19</t>
  </si>
  <si>
    <t>RFH 05-P20</t>
  </si>
  <si>
    <t>RFH 05-P21</t>
  </si>
  <si>
    <t>RFH 05-P22</t>
  </si>
  <si>
    <t>RFH 05-P23</t>
  </si>
  <si>
    <t>RFH 05-P24</t>
  </si>
  <si>
    <t>RFH 05-P25</t>
  </si>
  <si>
    <t>RFH 05-P26</t>
  </si>
  <si>
    <t>RFH 05-P27</t>
  </si>
  <si>
    <t>RFH 05-P28</t>
  </si>
  <si>
    <t>RFH 05-P29</t>
  </si>
  <si>
    <t>RFH 05-P30</t>
  </si>
  <si>
    <t>RFH 05-P31</t>
  </si>
  <si>
    <t>RFH 05-P32</t>
  </si>
  <si>
    <t>RFH 05-P33</t>
  </si>
  <si>
    <t>RFH 05-P34</t>
  </si>
  <si>
    <t>RFH 05-P35</t>
  </si>
  <si>
    <t>RFH 05-P36</t>
  </si>
  <si>
    <t>RFH 05-P37</t>
  </si>
  <si>
    <t>RFH 05-P38</t>
  </si>
  <si>
    <t>RFH 05-P39</t>
  </si>
  <si>
    <t>RFH 05-P40</t>
  </si>
  <si>
    <t>RFH 05-P41</t>
  </si>
  <si>
    <t>RFH 05-P42</t>
  </si>
  <si>
    <t>RFH 05-P43</t>
  </si>
  <si>
    <t>RFH 05-P44</t>
  </si>
  <si>
    <t>RFH 05-P45</t>
  </si>
  <si>
    <t>RFH 05-P46</t>
  </si>
  <si>
    <t>RFH 05-P47</t>
  </si>
  <si>
    <t>RFH 05-P48</t>
  </si>
  <si>
    <t>RFH 05-P49</t>
  </si>
  <si>
    <t>RFH 05-P50</t>
  </si>
  <si>
    <t>RFH 05-P51</t>
  </si>
  <si>
    <t>RFH 05-P52</t>
  </si>
  <si>
    <t>RFH 05-P53</t>
  </si>
  <si>
    <t>RFH 05-P54</t>
  </si>
  <si>
    <t>RFH 06</t>
  </si>
  <si>
    <t>RFH 06-S01</t>
  </si>
  <si>
    <t>RFH 06-P01</t>
  </si>
  <si>
    <t>RFH 06-P02</t>
  </si>
  <si>
    <t>RFH 06-P03</t>
  </si>
  <si>
    <t>RFH 06-P04</t>
  </si>
  <si>
    <t>RFH 06-P05</t>
  </si>
  <si>
    <t>RFH 06-P06</t>
  </si>
  <si>
    <t>RFH 06-P07</t>
  </si>
  <si>
    <t>RFH 06-P08</t>
  </si>
  <si>
    <t>RFH 06-P09</t>
  </si>
  <si>
    <t>RFH 06-P10</t>
  </si>
  <si>
    <t>RFH 06-P11</t>
  </si>
  <si>
    <t>RFH 06-P12</t>
  </si>
  <si>
    <t>RFH 06-P13</t>
  </si>
  <si>
    <t>RFH 06-P14</t>
  </si>
  <si>
    <t>RFH 06-P15</t>
  </si>
  <si>
    <t>RFH 06-P16</t>
  </si>
  <si>
    <t>RFH 06-P17</t>
  </si>
  <si>
    <t>RFH 06-P18</t>
  </si>
  <si>
    <t>RFH 06-P19</t>
  </si>
  <si>
    <t>RFH 06-P20</t>
  </si>
  <si>
    <t>RFH 06-P21</t>
  </si>
  <si>
    <t>RFH 06-P22</t>
  </si>
  <si>
    <t>RFH 06-P23</t>
  </si>
  <si>
    <t>RFH 06-P24</t>
  </si>
  <si>
    <t>RFH 06-P25</t>
  </si>
  <si>
    <t>RFH 06-P26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</si>
</sst>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theme="1"/>
      <name val="Calibri"/>
      <family val="2"/>
    </font>
    <font>
      <sz val="9"/>
      <color rgb="FF2C3E50"/>
      <name val="Calibri"/>
      <family val="2"/>
    </font>
    <font>
      <sz val="9"/>
      <color rgb="FF000000"/>
      <name val="Calibri"/>
      <family val="2"/>
    </font>
    <font>
      <sz val="9"/>
      <color rgb="FFC0392B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1CBE-60C0-4310-9952-F4BCAA75FA6E}">
  <dimension ref="A1:Q546"/>
  <sheetViews>
    <sheetView topLeftCell="A39" workbookViewId="0">
      <selection activeCell="C133" sqref="C133"/>
    </sheetView>
  </sheetViews>
  <sheetFormatPr defaultColWidth="53.28515625" defaultRowHeight="12"/>
  <cols>
    <col min="1" max="1" width="12.42578125" style="5" bestFit="1" customWidth="1"/>
    <col min="2" max="2" width="16.140625" style="5" bestFit="1" customWidth="1"/>
    <col min="3" max="3" width="29.85546875" style="5" bestFit="1" customWidth="1"/>
    <col min="4" max="4" width="15.42578125" style="5" customWidth="1"/>
    <col min="5" max="5" width="40" style="5" bestFit="1" customWidth="1"/>
    <col min="6" max="6" width="13.7109375" style="5" customWidth="1"/>
    <col min="7" max="7" width="12" style="5" bestFit="1" customWidth="1"/>
    <col min="8" max="8" width="11.42578125" style="5" bestFit="1" customWidth="1"/>
    <col min="9" max="9" width="18.28515625" style="5" customWidth="1"/>
    <col min="10" max="10" width="17.85546875" style="5" customWidth="1"/>
    <col min="11" max="11" width="21.28515625" style="5" customWidth="1"/>
    <col min="12" max="12" width="13.85546875" style="5" bestFit="1" customWidth="1"/>
    <col min="13" max="13" width="13.85546875" style="5" customWidth="1"/>
    <col min="14" max="16" width="24.140625" style="5" customWidth="1"/>
    <col min="17" max="17" width="20.42578125" style="5" customWidth="1"/>
    <col min="18" max="16384" width="53.28515625" style="5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5" t="s">
        <v>15</v>
      </c>
    </row>
    <row r="2" spans="1:17" ht="48">
      <c r="A2" s="1" t="s">
        <v>16</v>
      </c>
      <c r="B2" s="6" t="s">
        <v>17</v>
      </c>
      <c r="C2" s="7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8" t="s">
        <v>24</v>
      </c>
      <c r="J2" s="6" t="s">
        <v>25</v>
      </c>
      <c r="K2" s="8" t="s">
        <v>26</v>
      </c>
      <c r="L2" s="9" t="s">
        <v>27</v>
      </c>
      <c r="M2" s="9" t="s">
        <v>28</v>
      </c>
      <c r="N2" s="7" t="s">
        <v>29</v>
      </c>
      <c r="O2" s="6" t="s">
        <v>30</v>
      </c>
      <c r="P2" s="7" t="s">
        <v>31</v>
      </c>
      <c r="Q2" s="10" t="s">
        <v>32</v>
      </c>
    </row>
    <row r="3" spans="1:17">
      <c r="A3" s="1" t="s">
        <v>33</v>
      </c>
      <c r="B3" s="6" t="s">
        <v>34</v>
      </c>
      <c r="C3" s="7" t="s">
        <v>35</v>
      </c>
      <c r="D3" s="6" t="s">
        <v>36</v>
      </c>
      <c r="E3" s="6" t="s">
        <v>37</v>
      </c>
      <c r="F3" s="11" t="s">
        <v>38</v>
      </c>
      <c r="G3" s="11" t="s">
        <v>39</v>
      </c>
      <c r="H3" s="6">
        <v>0.5</v>
      </c>
      <c r="I3" s="8" t="s">
        <v>40</v>
      </c>
      <c r="J3" s="6">
        <v>10000</v>
      </c>
      <c r="K3" s="8" t="s">
        <v>41</v>
      </c>
      <c r="N3" s="12">
        <v>2000</v>
      </c>
      <c r="O3" s="13">
        <v>3</v>
      </c>
      <c r="P3" s="12">
        <v>14</v>
      </c>
    </row>
    <row r="4" spans="1:17">
      <c r="A4" s="1" t="s">
        <v>42</v>
      </c>
      <c r="B4" s="14" t="s">
        <v>43</v>
      </c>
      <c r="C4" s="15" t="s">
        <v>43</v>
      </c>
      <c r="D4" s="14"/>
      <c r="E4" s="14" t="s">
        <v>43</v>
      </c>
      <c r="F4" s="14"/>
      <c r="G4" s="14"/>
      <c r="H4" s="13" t="s">
        <v>44</v>
      </c>
      <c r="I4" s="16" t="s">
        <v>44</v>
      </c>
      <c r="J4" s="13" t="s">
        <v>43</v>
      </c>
      <c r="K4" s="16" t="s">
        <v>43</v>
      </c>
      <c r="N4" s="12" t="s">
        <v>43</v>
      </c>
      <c r="O4" s="13" t="s">
        <v>43</v>
      </c>
      <c r="P4" s="12" t="s">
        <v>44</v>
      </c>
      <c r="Q4" s="17" t="s">
        <v>43</v>
      </c>
    </row>
    <row r="5" spans="1:17">
      <c r="A5" s="11"/>
      <c r="B5" s="11"/>
      <c r="C5" s="11"/>
      <c r="D5" s="11"/>
      <c r="E5" s="11"/>
      <c r="F5" s="11"/>
      <c r="G5" s="11"/>
    </row>
    <row r="6" spans="1:17">
      <c r="A6" s="11"/>
      <c r="B6" s="11" t="s">
        <v>45</v>
      </c>
      <c r="C6" s="11" t="s">
        <v>46</v>
      </c>
      <c r="D6" s="6" t="s">
        <v>36</v>
      </c>
      <c r="E6" s="11" t="s">
        <v>47</v>
      </c>
      <c r="F6" s="11"/>
      <c r="G6" s="11"/>
      <c r="H6" s="18">
        <v>10.220000000000001</v>
      </c>
      <c r="I6" s="5" t="s">
        <v>48</v>
      </c>
      <c r="J6" s="19">
        <v>12300</v>
      </c>
      <c r="K6" s="5" t="s">
        <v>49</v>
      </c>
      <c r="M6" s="20"/>
      <c r="N6" s="20"/>
      <c r="O6" s="20"/>
      <c r="P6" s="20"/>
    </row>
    <row r="7" spans="1:17">
      <c r="B7" s="11" t="s">
        <v>50</v>
      </c>
      <c r="C7" s="5" t="str">
        <f>IF(ISBLANK(G7), F7, G7)</f>
        <v>RGH01</v>
      </c>
      <c r="D7" s="6" t="s">
        <v>36</v>
      </c>
      <c r="E7" s="11" t="s">
        <v>47</v>
      </c>
      <c r="F7" s="11" t="s">
        <v>51</v>
      </c>
      <c r="G7" s="11"/>
      <c r="H7" s="18">
        <v>536</v>
      </c>
      <c r="I7" s="5" t="s">
        <v>52</v>
      </c>
      <c r="J7" s="19">
        <v>520</v>
      </c>
      <c r="K7" s="5" t="s">
        <v>49</v>
      </c>
      <c r="L7" s="5" t="s">
        <v>53</v>
      </c>
      <c r="M7" s="23" t="s">
        <v>54</v>
      </c>
      <c r="N7" s="25">
        <v>10700</v>
      </c>
      <c r="O7" s="25">
        <v>6</v>
      </c>
      <c r="P7" s="25">
        <v>4</v>
      </c>
      <c r="Q7" s="17" t="s">
        <v>43</v>
      </c>
    </row>
    <row r="8" spans="1:17">
      <c r="B8" s="11" t="s">
        <v>55</v>
      </c>
      <c r="C8" s="5" t="str">
        <f t="shared" ref="C8:C71" si="0">IF(ISBLANK(G8), F8, G8)</f>
        <v>RGH1P01</v>
      </c>
      <c r="D8" s="6" t="s">
        <v>36</v>
      </c>
      <c r="E8" s="11" t="s">
        <v>47</v>
      </c>
      <c r="F8" s="11" t="s">
        <v>51</v>
      </c>
      <c r="G8" s="11" t="s">
        <v>56</v>
      </c>
      <c r="H8" s="18">
        <v>13.4</v>
      </c>
      <c r="I8" s="5" t="s">
        <v>52</v>
      </c>
      <c r="J8" s="19">
        <v>13</v>
      </c>
      <c r="K8" s="5" t="s">
        <v>49</v>
      </c>
      <c r="L8" s="5" t="s">
        <v>53</v>
      </c>
      <c r="M8" s="23" t="s">
        <v>54</v>
      </c>
      <c r="N8" s="25"/>
      <c r="O8" s="25"/>
      <c r="P8" s="25"/>
      <c r="Q8" s="17" t="s">
        <v>43</v>
      </c>
    </row>
    <row r="9" spans="1:17">
      <c r="B9" s="11" t="s">
        <v>55</v>
      </c>
      <c r="C9" s="5" t="str">
        <f t="shared" si="0"/>
        <v>RGH1P02</v>
      </c>
      <c r="D9" s="6" t="s">
        <v>36</v>
      </c>
      <c r="E9" s="11" t="s">
        <v>47</v>
      </c>
      <c r="F9" s="11" t="s">
        <v>51</v>
      </c>
      <c r="G9" s="11" t="s">
        <v>57</v>
      </c>
      <c r="H9" s="18">
        <v>13.4</v>
      </c>
      <c r="I9" s="5" t="s">
        <v>52</v>
      </c>
      <c r="J9" s="19">
        <v>13</v>
      </c>
      <c r="K9" s="5" t="s">
        <v>49</v>
      </c>
      <c r="L9" s="5" t="s">
        <v>53</v>
      </c>
      <c r="M9" s="23" t="s">
        <v>54</v>
      </c>
      <c r="N9" s="25"/>
      <c r="O9" s="25"/>
      <c r="P9" s="25"/>
      <c r="Q9" s="17" t="s">
        <v>43</v>
      </c>
    </row>
    <row r="10" spans="1:17">
      <c r="B10" s="11" t="s">
        <v>55</v>
      </c>
      <c r="C10" s="5" t="str">
        <f t="shared" si="0"/>
        <v>RGH1P03</v>
      </c>
      <c r="D10" s="6" t="s">
        <v>36</v>
      </c>
      <c r="E10" s="11" t="s">
        <v>47</v>
      </c>
      <c r="F10" s="11" t="s">
        <v>51</v>
      </c>
      <c r="G10" s="11" t="s">
        <v>58</v>
      </c>
      <c r="H10" s="18">
        <v>13.4</v>
      </c>
      <c r="I10" s="5" t="s">
        <v>52</v>
      </c>
      <c r="J10" s="19">
        <v>13</v>
      </c>
      <c r="K10" s="5" t="s">
        <v>49</v>
      </c>
      <c r="L10" s="5" t="s">
        <v>53</v>
      </c>
      <c r="M10" s="23" t="s">
        <v>54</v>
      </c>
      <c r="N10" s="25"/>
      <c r="O10" s="25"/>
      <c r="P10" s="25"/>
      <c r="Q10" s="17" t="s">
        <v>43</v>
      </c>
    </row>
    <row r="11" spans="1:17">
      <c r="B11" s="11" t="s">
        <v>55</v>
      </c>
      <c r="C11" s="5" t="str">
        <f t="shared" si="0"/>
        <v>RGH1P04</v>
      </c>
      <c r="D11" s="6" t="s">
        <v>36</v>
      </c>
      <c r="E11" s="11" t="s">
        <v>47</v>
      </c>
      <c r="F11" s="11" t="s">
        <v>51</v>
      </c>
      <c r="G11" s="11" t="s">
        <v>59</v>
      </c>
      <c r="H11" s="18">
        <v>13.4</v>
      </c>
      <c r="I11" s="5" t="s">
        <v>52</v>
      </c>
      <c r="J11" s="19">
        <v>13</v>
      </c>
      <c r="K11" s="5" t="s">
        <v>49</v>
      </c>
      <c r="L11" s="5" t="s">
        <v>53</v>
      </c>
      <c r="M11" s="23" t="s">
        <v>54</v>
      </c>
      <c r="N11" s="25"/>
      <c r="O11" s="25"/>
      <c r="P11" s="25"/>
      <c r="Q11" s="17" t="s">
        <v>43</v>
      </c>
    </row>
    <row r="12" spans="1:17">
      <c r="B12" s="11" t="s">
        <v>55</v>
      </c>
      <c r="C12" s="5" t="str">
        <f t="shared" si="0"/>
        <v>RGH1P05</v>
      </c>
      <c r="D12" s="6" t="s">
        <v>36</v>
      </c>
      <c r="E12" s="11" t="s">
        <v>47</v>
      </c>
      <c r="F12" s="11" t="s">
        <v>51</v>
      </c>
      <c r="G12" s="11" t="s">
        <v>60</v>
      </c>
      <c r="H12" s="18">
        <v>13.4</v>
      </c>
      <c r="I12" s="5" t="s">
        <v>52</v>
      </c>
      <c r="J12" s="19">
        <v>13</v>
      </c>
      <c r="K12" s="5" t="s">
        <v>49</v>
      </c>
      <c r="L12" s="5" t="s">
        <v>53</v>
      </c>
      <c r="M12" s="23" t="s">
        <v>54</v>
      </c>
      <c r="N12" s="25"/>
      <c r="O12" s="25"/>
      <c r="P12" s="25"/>
      <c r="Q12" s="17" t="s">
        <v>43</v>
      </c>
    </row>
    <row r="13" spans="1:17">
      <c r="B13" s="11" t="s">
        <v>55</v>
      </c>
      <c r="C13" s="5" t="str">
        <f t="shared" si="0"/>
        <v>RGH1P06</v>
      </c>
      <c r="D13" s="6" t="s">
        <v>36</v>
      </c>
      <c r="E13" s="11" t="s">
        <v>47</v>
      </c>
      <c r="F13" s="11" t="s">
        <v>51</v>
      </c>
      <c r="G13" s="11" t="s">
        <v>61</v>
      </c>
      <c r="H13" s="18">
        <v>13.4</v>
      </c>
      <c r="I13" s="5" t="s">
        <v>52</v>
      </c>
      <c r="J13" s="19">
        <v>13</v>
      </c>
      <c r="K13" s="5" t="s">
        <v>49</v>
      </c>
      <c r="L13" s="5" t="s">
        <v>53</v>
      </c>
      <c r="M13" s="23" t="s">
        <v>54</v>
      </c>
      <c r="N13" s="25"/>
      <c r="O13" s="25"/>
      <c r="P13" s="25"/>
      <c r="Q13" s="17" t="s">
        <v>43</v>
      </c>
    </row>
    <row r="14" spans="1:17">
      <c r="B14" s="11" t="s">
        <v>55</v>
      </c>
      <c r="C14" s="5" t="str">
        <f t="shared" si="0"/>
        <v>RGH1P07</v>
      </c>
      <c r="D14" s="6" t="s">
        <v>36</v>
      </c>
      <c r="E14" s="11" t="s">
        <v>47</v>
      </c>
      <c r="F14" s="11" t="s">
        <v>51</v>
      </c>
      <c r="G14" s="11" t="s">
        <v>62</v>
      </c>
      <c r="H14" s="18">
        <v>13.4</v>
      </c>
      <c r="I14" s="5" t="s">
        <v>52</v>
      </c>
      <c r="J14" s="19">
        <v>13</v>
      </c>
      <c r="K14" s="5" t="s">
        <v>49</v>
      </c>
      <c r="L14" s="5" t="s">
        <v>53</v>
      </c>
      <c r="M14" s="23" t="s">
        <v>54</v>
      </c>
      <c r="N14" s="25"/>
      <c r="O14" s="25"/>
      <c r="P14" s="25"/>
      <c r="Q14" s="17" t="s">
        <v>43</v>
      </c>
    </row>
    <row r="15" spans="1:17">
      <c r="B15" s="11" t="s">
        <v>55</v>
      </c>
      <c r="C15" s="5" t="str">
        <f t="shared" si="0"/>
        <v>RGH1P08</v>
      </c>
      <c r="D15" s="6" t="s">
        <v>36</v>
      </c>
      <c r="E15" s="11" t="s">
        <v>47</v>
      </c>
      <c r="F15" s="11" t="s">
        <v>51</v>
      </c>
      <c r="G15" s="11" t="s">
        <v>63</v>
      </c>
      <c r="H15" s="18">
        <v>13.4</v>
      </c>
      <c r="I15" s="5" t="s">
        <v>52</v>
      </c>
      <c r="J15" s="19">
        <v>13</v>
      </c>
      <c r="K15" s="5" t="s">
        <v>49</v>
      </c>
      <c r="L15" s="5" t="s">
        <v>53</v>
      </c>
      <c r="M15" s="23" t="s">
        <v>54</v>
      </c>
      <c r="N15" s="25"/>
      <c r="O15" s="25"/>
      <c r="P15" s="25"/>
      <c r="Q15" s="17" t="s">
        <v>43</v>
      </c>
    </row>
    <row r="16" spans="1:17">
      <c r="B16" s="11" t="s">
        <v>55</v>
      </c>
      <c r="C16" s="5" t="str">
        <f t="shared" si="0"/>
        <v>RGH1P09</v>
      </c>
      <c r="D16" s="6" t="s">
        <v>36</v>
      </c>
      <c r="E16" s="11" t="s">
        <v>47</v>
      </c>
      <c r="F16" s="11" t="s">
        <v>51</v>
      </c>
      <c r="G16" s="11" t="s">
        <v>64</v>
      </c>
      <c r="H16" s="18">
        <v>13.4</v>
      </c>
      <c r="I16" s="5" t="s">
        <v>52</v>
      </c>
      <c r="J16" s="19">
        <v>13</v>
      </c>
      <c r="K16" s="5" t="s">
        <v>49</v>
      </c>
      <c r="L16" s="5" t="s">
        <v>53</v>
      </c>
      <c r="M16" s="23" t="s">
        <v>54</v>
      </c>
      <c r="N16" s="25"/>
      <c r="O16" s="25"/>
      <c r="P16" s="25"/>
      <c r="Q16" s="17" t="s">
        <v>43</v>
      </c>
    </row>
    <row r="17" spans="2:17">
      <c r="B17" s="11" t="s">
        <v>55</v>
      </c>
      <c r="C17" s="5" t="str">
        <f t="shared" si="0"/>
        <v>RGH1P10</v>
      </c>
      <c r="D17" s="6" t="s">
        <v>36</v>
      </c>
      <c r="E17" s="11" t="s">
        <v>47</v>
      </c>
      <c r="F17" s="11" t="s">
        <v>51</v>
      </c>
      <c r="G17" s="11" t="s">
        <v>65</v>
      </c>
      <c r="H17" s="18">
        <v>13.4</v>
      </c>
      <c r="I17" s="5" t="s">
        <v>52</v>
      </c>
      <c r="J17" s="19">
        <v>13</v>
      </c>
      <c r="K17" s="5" t="s">
        <v>49</v>
      </c>
      <c r="L17" s="5" t="s">
        <v>53</v>
      </c>
      <c r="M17" s="23" t="s">
        <v>54</v>
      </c>
      <c r="N17" s="25"/>
      <c r="O17" s="25"/>
      <c r="P17" s="25"/>
      <c r="Q17" s="17" t="s">
        <v>43</v>
      </c>
    </row>
    <row r="18" spans="2:17">
      <c r="B18" s="11" t="s">
        <v>55</v>
      </c>
      <c r="C18" s="5" t="str">
        <f t="shared" si="0"/>
        <v>RGH1P11</v>
      </c>
      <c r="D18" s="6" t="s">
        <v>36</v>
      </c>
      <c r="E18" s="11" t="s">
        <v>47</v>
      </c>
      <c r="F18" s="11" t="s">
        <v>51</v>
      </c>
      <c r="G18" s="11" t="s">
        <v>66</v>
      </c>
      <c r="H18" s="18">
        <v>13.4</v>
      </c>
      <c r="I18" s="5" t="s">
        <v>52</v>
      </c>
      <c r="J18" s="19">
        <v>13</v>
      </c>
      <c r="K18" s="5" t="s">
        <v>49</v>
      </c>
      <c r="L18" s="5" t="s">
        <v>53</v>
      </c>
      <c r="M18" s="23" t="s">
        <v>54</v>
      </c>
      <c r="N18" s="25"/>
      <c r="O18" s="25"/>
      <c r="P18" s="25"/>
      <c r="Q18" s="17" t="s">
        <v>43</v>
      </c>
    </row>
    <row r="19" spans="2:17">
      <c r="B19" s="11" t="s">
        <v>55</v>
      </c>
      <c r="C19" s="5" t="str">
        <f t="shared" si="0"/>
        <v>RGH1P12</v>
      </c>
      <c r="D19" s="6" t="s">
        <v>36</v>
      </c>
      <c r="E19" s="11" t="s">
        <v>47</v>
      </c>
      <c r="F19" s="11" t="s">
        <v>51</v>
      </c>
      <c r="G19" s="11" t="s">
        <v>67</v>
      </c>
      <c r="H19" s="18">
        <v>13.4</v>
      </c>
      <c r="I19" s="5" t="s">
        <v>52</v>
      </c>
      <c r="J19" s="19">
        <v>13</v>
      </c>
      <c r="K19" s="5" t="s">
        <v>49</v>
      </c>
      <c r="L19" s="5" t="s">
        <v>53</v>
      </c>
      <c r="M19" s="23" t="s">
        <v>54</v>
      </c>
      <c r="N19" s="25"/>
      <c r="O19" s="25"/>
      <c r="P19" s="25"/>
      <c r="Q19" s="17" t="s">
        <v>43</v>
      </c>
    </row>
    <row r="20" spans="2:17">
      <c r="B20" s="11" t="s">
        <v>55</v>
      </c>
      <c r="C20" s="5" t="str">
        <f t="shared" si="0"/>
        <v>RGH1P13</v>
      </c>
      <c r="D20" s="6" t="s">
        <v>36</v>
      </c>
      <c r="E20" s="11" t="s">
        <v>47</v>
      </c>
      <c r="F20" s="11" t="s">
        <v>51</v>
      </c>
      <c r="G20" s="11" t="s">
        <v>68</v>
      </c>
      <c r="H20" s="18">
        <v>13.4</v>
      </c>
      <c r="I20" s="5" t="s">
        <v>52</v>
      </c>
      <c r="J20" s="19">
        <v>13</v>
      </c>
      <c r="K20" s="5" t="s">
        <v>49</v>
      </c>
      <c r="L20" s="5" t="s">
        <v>53</v>
      </c>
      <c r="M20" s="23" t="s">
        <v>54</v>
      </c>
      <c r="N20" s="25"/>
      <c r="O20" s="25"/>
      <c r="P20" s="25"/>
      <c r="Q20" s="17" t="s">
        <v>43</v>
      </c>
    </row>
    <row r="21" spans="2:17">
      <c r="B21" s="11" t="s">
        <v>55</v>
      </c>
      <c r="C21" s="5" t="str">
        <f t="shared" si="0"/>
        <v>RGH1P14</v>
      </c>
      <c r="D21" s="6" t="s">
        <v>36</v>
      </c>
      <c r="E21" s="11" t="s">
        <v>47</v>
      </c>
      <c r="F21" s="11" t="s">
        <v>51</v>
      </c>
      <c r="G21" s="11" t="s">
        <v>69</v>
      </c>
      <c r="H21" s="18">
        <v>13.4</v>
      </c>
      <c r="I21" s="5" t="s">
        <v>52</v>
      </c>
      <c r="J21" s="19">
        <v>13</v>
      </c>
      <c r="K21" s="5" t="s">
        <v>49</v>
      </c>
      <c r="L21" s="5" t="s">
        <v>53</v>
      </c>
      <c r="M21" s="23" t="s">
        <v>54</v>
      </c>
      <c r="N21" s="25"/>
      <c r="O21" s="25"/>
      <c r="P21" s="25"/>
      <c r="Q21" s="17" t="s">
        <v>43</v>
      </c>
    </row>
    <row r="22" spans="2:17">
      <c r="B22" s="11" t="s">
        <v>55</v>
      </c>
      <c r="C22" s="5" t="str">
        <f t="shared" si="0"/>
        <v>RGH1P15</v>
      </c>
      <c r="D22" s="6" t="s">
        <v>36</v>
      </c>
      <c r="E22" s="11" t="s">
        <v>47</v>
      </c>
      <c r="F22" s="11" t="s">
        <v>51</v>
      </c>
      <c r="G22" s="11" t="s">
        <v>70</v>
      </c>
      <c r="H22" s="18">
        <v>13.4</v>
      </c>
      <c r="I22" s="5" t="s">
        <v>52</v>
      </c>
      <c r="J22" s="19">
        <v>13</v>
      </c>
      <c r="K22" s="5" t="s">
        <v>49</v>
      </c>
      <c r="L22" s="5" t="s">
        <v>53</v>
      </c>
      <c r="M22" s="23" t="s">
        <v>54</v>
      </c>
      <c r="N22" s="25"/>
      <c r="O22" s="25"/>
      <c r="P22" s="25"/>
      <c r="Q22" s="17" t="s">
        <v>43</v>
      </c>
    </row>
    <row r="23" spans="2:17">
      <c r="B23" s="11" t="s">
        <v>55</v>
      </c>
      <c r="C23" s="5" t="str">
        <f t="shared" si="0"/>
        <v>RGH1P16</v>
      </c>
      <c r="D23" s="6" t="s">
        <v>36</v>
      </c>
      <c r="E23" s="11" t="s">
        <v>47</v>
      </c>
      <c r="F23" s="11" t="s">
        <v>51</v>
      </c>
      <c r="G23" s="11" t="s">
        <v>71</v>
      </c>
      <c r="H23" s="18">
        <v>13.4</v>
      </c>
      <c r="I23" s="5" t="s">
        <v>52</v>
      </c>
      <c r="J23" s="19">
        <v>13</v>
      </c>
      <c r="K23" s="5" t="s">
        <v>49</v>
      </c>
      <c r="L23" s="5" t="s">
        <v>53</v>
      </c>
      <c r="M23" s="23" t="s">
        <v>54</v>
      </c>
      <c r="N23" s="25"/>
      <c r="O23" s="25"/>
      <c r="P23" s="25"/>
      <c r="Q23" s="17" t="s">
        <v>43</v>
      </c>
    </row>
    <row r="24" spans="2:17">
      <c r="B24" s="11" t="s">
        <v>55</v>
      </c>
      <c r="C24" s="5" t="str">
        <f t="shared" si="0"/>
        <v>RGH1P17</v>
      </c>
      <c r="D24" s="6" t="s">
        <v>36</v>
      </c>
      <c r="E24" s="11" t="s">
        <v>47</v>
      </c>
      <c r="F24" s="11" t="s">
        <v>51</v>
      </c>
      <c r="G24" s="11" t="s">
        <v>72</v>
      </c>
      <c r="H24" s="18">
        <v>13.4</v>
      </c>
      <c r="I24" s="5" t="s">
        <v>52</v>
      </c>
      <c r="J24" s="19">
        <v>13</v>
      </c>
      <c r="K24" s="5" t="s">
        <v>49</v>
      </c>
      <c r="L24" s="5" t="s">
        <v>53</v>
      </c>
      <c r="M24" s="23" t="s">
        <v>54</v>
      </c>
      <c r="N24" s="25"/>
      <c r="O24" s="25"/>
      <c r="P24" s="25"/>
      <c r="Q24" s="17" t="s">
        <v>43</v>
      </c>
    </row>
    <row r="25" spans="2:17">
      <c r="B25" s="11" t="s">
        <v>55</v>
      </c>
      <c r="C25" s="5" t="str">
        <f t="shared" si="0"/>
        <v>RGH1P18</v>
      </c>
      <c r="D25" s="6" t="s">
        <v>36</v>
      </c>
      <c r="E25" s="11" t="s">
        <v>47</v>
      </c>
      <c r="F25" s="11" t="s">
        <v>51</v>
      </c>
      <c r="G25" s="11" t="s">
        <v>73</v>
      </c>
      <c r="H25" s="18">
        <v>13.4</v>
      </c>
      <c r="I25" s="5" t="s">
        <v>52</v>
      </c>
      <c r="J25" s="19">
        <v>13</v>
      </c>
      <c r="K25" s="5" t="s">
        <v>49</v>
      </c>
      <c r="L25" s="5" t="s">
        <v>53</v>
      </c>
      <c r="M25" s="23" t="s">
        <v>54</v>
      </c>
      <c r="N25" s="25"/>
      <c r="O25" s="25"/>
      <c r="P25" s="25"/>
      <c r="Q25" s="17" t="s">
        <v>43</v>
      </c>
    </row>
    <row r="26" spans="2:17">
      <c r="B26" s="11" t="s">
        <v>55</v>
      </c>
      <c r="C26" s="5" t="str">
        <f t="shared" si="0"/>
        <v>RGH1P19</v>
      </c>
      <c r="D26" s="6" t="s">
        <v>36</v>
      </c>
      <c r="E26" s="11" t="s">
        <v>47</v>
      </c>
      <c r="F26" s="11" t="s">
        <v>51</v>
      </c>
      <c r="G26" s="11" t="s">
        <v>74</v>
      </c>
      <c r="H26" s="18">
        <v>13.4</v>
      </c>
      <c r="I26" s="5" t="s">
        <v>52</v>
      </c>
      <c r="J26" s="19">
        <v>13</v>
      </c>
      <c r="K26" s="5" t="s">
        <v>49</v>
      </c>
      <c r="L26" s="5" t="s">
        <v>53</v>
      </c>
      <c r="M26" s="23" t="s">
        <v>54</v>
      </c>
      <c r="N26" s="25"/>
      <c r="O26" s="25"/>
      <c r="P26" s="25"/>
      <c r="Q26" s="17" t="s">
        <v>43</v>
      </c>
    </row>
    <row r="27" spans="2:17">
      <c r="B27" s="11" t="s">
        <v>55</v>
      </c>
      <c r="C27" s="5" t="str">
        <f t="shared" si="0"/>
        <v>RGH1P20</v>
      </c>
      <c r="D27" s="6" t="s">
        <v>36</v>
      </c>
      <c r="E27" s="11" t="s">
        <v>47</v>
      </c>
      <c r="F27" s="11" t="s">
        <v>51</v>
      </c>
      <c r="G27" s="11" t="s">
        <v>75</v>
      </c>
      <c r="H27" s="18">
        <v>13.4</v>
      </c>
      <c r="I27" s="5" t="s">
        <v>52</v>
      </c>
      <c r="J27" s="19">
        <v>13</v>
      </c>
      <c r="K27" s="5" t="s">
        <v>49</v>
      </c>
      <c r="L27" s="5" t="s">
        <v>53</v>
      </c>
      <c r="M27" s="23" t="s">
        <v>54</v>
      </c>
      <c r="N27" s="25"/>
      <c r="O27" s="25"/>
      <c r="P27" s="25"/>
      <c r="Q27" s="17" t="s">
        <v>43</v>
      </c>
    </row>
    <row r="28" spans="2:17">
      <c r="B28" s="11" t="s">
        <v>55</v>
      </c>
      <c r="C28" s="5" t="str">
        <f t="shared" si="0"/>
        <v>RGH1P21</v>
      </c>
      <c r="D28" s="6" t="s">
        <v>36</v>
      </c>
      <c r="E28" s="11" t="s">
        <v>47</v>
      </c>
      <c r="F28" s="11" t="s">
        <v>51</v>
      </c>
      <c r="G28" s="11" t="s">
        <v>76</v>
      </c>
      <c r="H28" s="18">
        <v>13.4</v>
      </c>
      <c r="I28" s="5" t="s">
        <v>52</v>
      </c>
      <c r="J28" s="19">
        <v>13</v>
      </c>
      <c r="K28" s="5" t="s">
        <v>49</v>
      </c>
      <c r="L28" s="5" t="s">
        <v>53</v>
      </c>
      <c r="M28" s="23" t="s">
        <v>54</v>
      </c>
      <c r="N28" s="25"/>
      <c r="O28" s="25"/>
      <c r="P28" s="25"/>
      <c r="Q28" s="17" t="s">
        <v>43</v>
      </c>
    </row>
    <row r="29" spans="2:17">
      <c r="B29" s="11" t="s">
        <v>55</v>
      </c>
      <c r="C29" s="5" t="str">
        <f t="shared" si="0"/>
        <v>RGH1P22</v>
      </c>
      <c r="D29" s="6" t="s">
        <v>36</v>
      </c>
      <c r="E29" s="11" t="s">
        <v>47</v>
      </c>
      <c r="F29" s="11" t="s">
        <v>51</v>
      </c>
      <c r="G29" s="11" t="s">
        <v>77</v>
      </c>
      <c r="H29" s="18">
        <v>13.4</v>
      </c>
      <c r="I29" s="5" t="s">
        <v>52</v>
      </c>
      <c r="J29" s="19">
        <v>13</v>
      </c>
      <c r="K29" s="5" t="s">
        <v>49</v>
      </c>
      <c r="L29" s="5" t="s">
        <v>53</v>
      </c>
      <c r="M29" s="23" t="s">
        <v>54</v>
      </c>
      <c r="N29" s="25"/>
      <c r="O29" s="25"/>
      <c r="P29" s="25"/>
      <c r="Q29" s="17" t="s">
        <v>43</v>
      </c>
    </row>
    <row r="30" spans="2:17">
      <c r="B30" s="11" t="s">
        <v>55</v>
      </c>
      <c r="C30" s="5" t="str">
        <f t="shared" si="0"/>
        <v>RGH1P23</v>
      </c>
      <c r="D30" s="6" t="s">
        <v>36</v>
      </c>
      <c r="E30" s="11" t="s">
        <v>47</v>
      </c>
      <c r="F30" s="11" t="s">
        <v>51</v>
      </c>
      <c r="G30" s="11" t="s">
        <v>78</v>
      </c>
      <c r="H30" s="18">
        <v>13.4</v>
      </c>
      <c r="I30" s="5" t="s">
        <v>52</v>
      </c>
      <c r="J30" s="19">
        <v>13</v>
      </c>
      <c r="K30" s="5" t="s">
        <v>49</v>
      </c>
      <c r="L30" s="5" t="s">
        <v>53</v>
      </c>
      <c r="M30" s="23" t="s">
        <v>54</v>
      </c>
      <c r="N30" s="25"/>
      <c r="O30" s="25"/>
      <c r="P30" s="25"/>
      <c r="Q30" s="17" t="s">
        <v>43</v>
      </c>
    </row>
    <row r="31" spans="2:17">
      <c r="B31" s="11" t="s">
        <v>55</v>
      </c>
      <c r="C31" s="5" t="str">
        <f t="shared" si="0"/>
        <v>RGH1P24</v>
      </c>
      <c r="D31" s="6" t="s">
        <v>36</v>
      </c>
      <c r="E31" s="11" t="s">
        <v>47</v>
      </c>
      <c r="F31" s="11" t="s">
        <v>51</v>
      </c>
      <c r="G31" s="11" t="s">
        <v>79</v>
      </c>
      <c r="H31" s="18">
        <v>13.4</v>
      </c>
      <c r="I31" s="5" t="s">
        <v>52</v>
      </c>
      <c r="J31" s="19">
        <v>13</v>
      </c>
      <c r="K31" s="5" t="s">
        <v>49</v>
      </c>
      <c r="L31" s="5" t="s">
        <v>53</v>
      </c>
      <c r="M31" s="23" t="s">
        <v>54</v>
      </c>
      <c r="N31" s="25"/>
      <c r="O31" s="25"/>
      <c r="P31" s="25"/>
      <c r="Q31" s="17" t="s">
        <v>43</v>
      </c>
    </row>
    <row r="32" spans="2:17">
      <c r="B32" s="11" t="s">
        <v>55</v>
      </c>
      <c r="C32" s="5" t="str">
        <f t="shared" si="0"/>
        <v>RGH1P25</v>
      </c>
      <c r="D32" s="6" t="s">
        <v>36</v>
      </c>
      <c r="E32" s="11" t="s">
        <v>47</v>
      </c>
      <c r="F32" s="11" t="s">
        <v>51</v>
      </c>
      <c r="G32" s="11" t="s">
        <v>80</v>
      </c>
      <c r="H32" s="18">
        <v>13.4</v>
      </c>
      <c r="I32" s="5" t="s">
        <v>52</v>
      </c>
      <c r="J32" s="19">
        <v>13</v>
      </c>
      <c r="K32" s="5" t="s">
        <v>49</v>
      </c>
      <c r="L32" s="5" t="s">
        <v>53</v>
      </c>
      <c r="M32" s="23" t="s">
        <v>54</v>
      </c>
      <c r="N32" s="25"/>
      <c r="O32" s="25"/>
      <c r="P32" s="25"/>
      <c r="Q32" s="17" t="s">
        <v>43</v>
      </c>
    </row>
    <row r="33" spans="2:17">
      <c r="B33" s="11" t="s">
        <v>55</v>
      </c>
      <c r="C33" s="5" t="str">
        <f t="shared" si="0"/>
        <v>RGH1P26</v>
      </c>
      <c r="D33" s="6" t="s">
        <v>36</v>
      </c>
      <c r="E33" s="11" t="s">
        <v>47</v>
      </c>
      <c r="F33" s="11" t="s">
        <v>51</v>
      </c>
      <c r="G33" s="11" t="s">
        <v>81</v>
      </c>
      <c r="H33" s="18">
        <v>13.4</v>
      </c>
      <c r="I33" s="5" t="s">
        <v>52</v>
      </c>
      <c r="J33" s="19">
        <v>13</v>
      </c>
      <c r="K33" s="5" t="s">
        <v>49</v>
      </c>
      <c r="L33" s="5" t="s">
        <v>53</v>
      </c>
      <c r="M33" s="23" t="s">
        <v>54</v>
      </c>
      <c r="N33" s="25"/>
      <c r="O33" s="25"/>
      <c r="P33" s="25"/>
      <c r="Q33" s="17" t="s">
        <v>43</v>
      </c>
    </row>
    <row r="34" spans="2:17">
      <c r="B34" s="11" t="s">
        <v>55</v>
      </c>
      <c r="C34" s="5" t="str">
        <f t="shared" si="0"/>
        <v>RGH1P27</v>
      </c>
      <c r="D34" s="6" t="s">
        <v>36</v>
      </c>
      <c r="E34" s="11" t="s">
        <v>47</v>
      </c>
      <c r="F34" s="11" t="s">
        <v>51</v>
      </c>
      <c r="G34" s="11" t="s">
        <v>82</v>
      </c>
      <c r="H34" s="18">
        <v>13.4</v>
      </c>
      <c r="I34" s="5" t="s">
        <v>52</v>
      </c>
      <c r="J34" s="19">
        <v>13</v>
      </c>
      <c r="K34" s="5" t="s">
        <v>49</v>
      </c>
      <c r="L34" s="5" t="s">
        <v>53</v>
      </c>
      <c r="M34" s="23" t="s">
        <v>54</v>
      </c>
      <c r="N34" s="25"/>
      <c r="O34" s="25"/>
      <c r="P34" s="25"/>
      <c r="Q34" s="17" t="s">
        <v>43</v>
      </c>
    </row>
    <row r="35" spans="2:17">
      <c r="B35" s="11" t="s">
        <v>55</v>
      </c>
      <c r="C35" s="5" t="str">
        <f t="shared" si="0"/>
        <v>RGH1P28</v>
      </c>
      <c r="D35" s="6" t="s">
        <v>36</v>
      </c>
      <c r="E35" s="11" t="s">
        <v>47</v>
      </c>
      <c r="F35" s="11" t="s">
        <v>51</v>
      </c>
      <c r="G35" s="11" t="s">
        <v>83</v>
      </c>
      <c r="H35" s="18">
        <v>13.4</v>
      </c>
      <c r="I35" s="5" t="s">
        <v>52</v>
      </c>
      <c r="J35" s="19">
        <v>13</v>
      </c>
      <c r="K35" s="5" t="s">
        <v>49</v>
      </c>
      <c r="L35" s="5" t="s">
        <v>53</v>
      </c>
      <c r="M35" s="23" t="s">
        <v>54</v>
      </c>
      <c r="N35" s="25"/>
      <c r="O35" s="25"/>
      <c r="P35" s="25"/>
      <c r="Q35" s="17" t="s">
        <v>43</v>
      </c>
    </row>
    <row r="36" spans="2:17">
      <c r="B36" s="11" t="s">
        <v>55</v>
      </c>
      <c r="C36" s="5" t="str">
        <f t="shared" si="0"/>
        <v>RGH1P29</v>
      </c>
      <c r="D36" s="6" t="s">
        <v>36</v>
      </c>
      <c r="E36" s="11" t="s">
        <v>47</v>
      </c>
      <c r="F36" s="11" t="s">
        <v>51</v>
      </c>
      <c r="G36" s="11" t="s">
        <v>84</v>
      </c>
      <c r="H36" s="18">
        <v>13.4</v>
      </c>
      <c r="I36" s="5" t="s">
        <v>52</v>
      </c>
      <c r="J36" s="19">
        <v>13</v>
      </c>
      <c r="K36" s="5" t="s">
        <v>49</v>
      </c>
      <c r="L36" s="5" t="s">
        <v>53</v>
      </c>
      <c r="M36" s="23" t="s">
        <v>54</v>
      </c>
      <c r="N36" s="25"/>
      <c r="O36" s="25"/>
      <c r="P36" s="25"/>
      <c r="Q36" s="17" t="s">
        <v>43</v>
      </c>
    </row>
    <row r="37" spans="2:17">
      <c r="B37" s="11" t="s">
        <v>55</v>
      </c>
      <c r="C37" s="5" t="str">
        <f t="shared" si="0"/>
        <v>RGH1P30</v>
      </c>
      <c r="D37" s="6" t="s">
        <v>36</v>
      </c>
      <c r="E37" s="11" t="s">
        <v>47</v>
      </c>
      <c r="F37" s="11" t="s">
        <v>51</v>
      </c>
      <c r="G37" s="11" t="s">
        <v>85</v>
      </c>
      <c r="H37" s="18">
        <v>13.4</v>
      </c>
      <c r="I37" s="5" t="s">
        <v>52</v>
      </c>
      <c r="J37" s="19">
        <v>13</v>
      </c>
      <c r="K37" s="5" t="s">
        <v>49</v>
      </c>
      <c r="L37" s="5" t="s">
        <v>53</v>
      </c>
      <c r="M37" s="23" t="s">
        <v>54</v>
      </c>
      <c r="N37" s="25"/>
      <c r="O37" s="25"/>
      <c r="P37" s="25"/>
      <c r="Q37" s="17" t="s">
        <v>43</v>
      </c>
    </row>
    <row r="38" spans="2:17">
      <c r="B38" s="11" t="s">
        <v>55</v>
      </c>
      <c r="C38" s="5" t="str">
        <f t="shared" si="0"/>
        <v>RGH1P31</v>
      </c>
      <c r="D38" s="6" t="s">
        <v>36</v>
      </c>
      <c r="E38" s="11" t="s">
        <v>47</v>
      </c>
      <c r="F38" s="11" t="s">
        <v>51</v>
      </c>
      <c r="G38" s="11" t="s">
        <v>86</v>
      </c>
      <c r="H38" s="18">
        <v>13.4</v>
      </c>
      <c r="I38" s="5" t="s">
        <v>52</v>
      </c>
      <c r="J38" s="19">
        <v>13</v>
      </c>
      <c r="K38" s="5" t="s">
        <v>49</v>
      </c>
      <c r="L38" s="5" t="s">
        <v>53</v>
      </c>
      <c r="M38" s="23" t="s">
        <v>54</v>
      </c>
      <c r="N38" s="25"/>
      <c r="O38" s="25"/>
      <c r="P38" s="25"/>
      <c r="Q38" s="17" t="s">
        <v>43</v>
      </c>
    </row>
    <row r="39" spans="2:17">
      <c r="B39" s="11" t="s">
        <v>55</v>
      </c>
      <c r="C39" s="5" t="str">
        <f t="shared" si="0"/>
        <v>RGH1P32</v>
      </c>
      <c r="D39" s="6" t="s">
        <v>36</v>
      </c>
      <c r="E39" s="11" t="s">
        <v>47</v>
      </c>
      <c r="F39" s="11" t="s">
        <v>51</v>
      </c>
      <c r="G39" s="11" t="s">
        <v>87</v>
      </c>
      <c r="H39" s="18">
        <v>13.4</v>
      </c>
      <c r="I39" s="5" t="s">
        <v>52</v>
      </c>
      <c r="J39" s="19">
        <v>13</v>
      </c>
      <c r="K39" s="5" t="s">
        <v>49</v>
      </c>
      <c r="L39" s="5" t="s">
        <v>53</v>
      </c>
      <c r="M39" s="23" t="s">
        <v>54</v>
      </c>
      <c r="N39" s="25"/>
      <c r="O39" s="25"/>
      <c r="P39" s="25"/>
      <c r="Q39" s="17" t="s">
        <v>43</v>
      </c>
    </row>
    <row r="40" spans="2:17">
      <c r="B40" s="11" t="s">
        <v>55</v>
      </c>
      <c r="C40" s="5" t="str">
        <f t="shared" si="0"/>
        <v>RGH1P33</v>
      </c>
      <c r="D40" s="6" t="s">
        <v>36</v>
      </c>
      <c r="E40" s="11" t="s">
        <v>47</v>
      </c>
      <c r="F40" s="11" t="s">
        <v>51</v>
      </c>
      <c r="G40" s="11" t="s">
        <v>88</v>
      </c>
      <c r="H40" s="18">
        <v>13.4</v>
      </c>
      <c r="I40" s="5" t="s">
        <v>52</v>
      </c>
      <c r="J40" s="19">
        <v>13</v>
      </c>
      <c r="K40" s="5" t="s">
        <v>49</v>
      </c>
      <c r="L40" s="5" t="s">
        <v>53</v>
      </c>
      <c r="M40" s="23" t="s">
        <v>54</v>
      </c>
      <c r="N40" s="25"/>
      <c r="O40" s="25"/>
      <c r="P40" s="25"/>
      <c r="Q40" s="17" t="s">
        <v>43</v>
      </c>
    </row>
    <row r="41" spans="2:17">
      <c r="B41" s="11" t="s">
        <v>55</v>
      </c>
      <c r="C41" s="5" t="str">
        <f t="shared" si="0"/>
        <v>RGH1P34</v>
      </c>
      <c r="D41" s="6" t="s">
        <v>36</v>
      </c>
      <c r="E41" s="11" t="s">
        <v>47</v>
      </c>
      <c r="F41" s="11" t="s">
        <v>51</v>
      </c>
      <c r="G41" s="11" t="s">
        <v>89</v>
      </c>
      <c r="H41" s="18">
        <v>13.4</v>
      </c>
      <c r="I41" s="5" t="s">
        <v>52</v>
      </c>
      <c r="J41" s="19">
        <v>13</v>
      </c>
      <c r="K41" s="5" t="s">
        <v>49</v>
      </c>
      <c r="L41" s="5" t="s">
        <v>53</v>
      </c>
      <c r="M41" s="23" t="s">
        <v>54</v>
      </c>
      <c r="N41" s="25"/>
      <c r="O41" s="25"/>
      <c r="P41" s="25"/>
      <c r="Q41" s="17" t="s">
        <v>43</v>
      </c>
    </row>
    <row r="42" spans="2:17">
      <c r="B42" s="11" t="s">
        <v>55</v>
      </c>
      <c r="C42" s="5" t="str">
        <f t="shared" si="0"/>
        <v>RGH1P35</v>
      </c>
      <c r="D42" s="6" t="s">
        <v>36</v>
      </c>
      <c r="E42" s="11" t="s">
        <v>47</v>
      </c>
      <c r="F42" s="11" t="s">
        <v>51</v>
      </c>
      <c r="G42" s="11" t="s">
        <v>90</v>
      </c>
      <c r="H42" s="18">
        <v>13.4</v>
      </c>
      <c r="I42" s="5" t="s">
        <v>52</v>
      </c>
      <c r="J42" s="19">
        <v>13</v>
      </c>
      <c r="K42" s="5" t="s">
        <v>49</v>
      </c>
      <c r="L42" s="5" t="s">
        <v>53</v>
      </c>
      <c r="M42" s="23" t="s">
        <v>54</v>
      </c>
      <c r="N42" s="25"/>
      <c r="O42" s="25"/>
      <c r="P42" s="25"/>
      <c r="Q42" s="17" t="s">
        <v>43</v>
      </c>
    </row>
    <row r="43" spans="2:17">
      <c r="B43" s="11" t="s">
        <v>55</v>
      </c>
      <c r="C43" s="5" t="str">
        <f t="shared" si="0"/>
        <v>RGH1P36</v>
      </c>
      <c r="D43" s="6" t="s">
        <v>36</v>
      </c>
      <c r="E43" s="11" t="s">
        <v>47</v>
      </c>
      <c r="F43" s="11" t="s">
        <v>51</v>
      </c>
      <c r="G43" s="11" t="s">
        <v>91</v>
      </c>
      <c r="H43" s="18">
        <v>13.4</v>
      </c>
      <c r="I43" s="5" t="s">
        <v>52</v>
      </c>
      <c r="J43" s="19">
        <v>13</v>
      </c>
      <c r="K43" s="5" t="s">
        <v>49</v>
      </c>
      <c r="L43" s="5" t="s">
        <v>53</v>
      </c>
      <c r="M43" s="23" t="s">
        <v>54</v>
      </c>
      <c r="N43" s="25"/>
      <c r="O43" s="25"/>
      <c r="P43" s="25"/>
      <c r="Q43" s="17" t="s">
        <v>43</v>
      </c>
    </row>
    <row r="44" spans="2:17">
      <c r="B44" s="11" t="s">
        <v>55</v>
      </c>
      <c r="C44" s="5" t="str">
        <f t="shared" si="0"/>
        <v>RGH1P37</v>
      </c>
      <c r="D44" s="6" t="s">
        <v>36</v>
      </c>
      <c r="E44" s="11" t="s">
        <v>47</v>
      </c>
      <c r="F44" s="11" t="s">
        <v>51</v>
      </c>
      <c r="G44" s="11" t="s">
        <v>92</v>
      </c>
      <c r="H44" s="18">
        <v>13.4</v>
      </c>
      <c r="I44" s="5" t="s">
        <v>52</v>
      </c>
      <c r="J44" s="19">
        <v>13</v>
      </c>
      <c r="K44" s="5" t="s">
        <v>49</v>
      </c>
      <c r="L44" s="5" t="s">
        <v>53</v>
      </c>
      <c r="M44" s="23" t="s">
        <v>54</v>
      </c>
      <c r="N44" s="25"/>
      <c r="O44" s="25"/>
      <c r="P44" s="25"/>
      <c r="Q44" s="17" t="s">
        <v>43</v>
      </c>
    </row>
    <row r="45" spans="2:17">
      <c r="B45" s="11" t="s">
        <v>55</v>
      </c>
      <c r="C45" s="5" t="str">
        <f t="shared" si="0"/>
        <v>RGH1P38</v>
      </c>
      <c r="D45" s="6" t="s">
        <v>36</v>
      </c>
      <c r="E45" s="11" t="s">
        <v>47</v>
      </c>
      <c r="F45" s="11" t="s">
        <v>51</v>
      </c>
      <c r="G45" s="11" t="s">
        <v>93</v>
      </c>
      <c r="H45" s="18">
        <v>13.4</v>
      </c>
      <c r="I45" s="5" t="s">
        <v>52</v>
      </c>
      <c r="J45" s="19">
        <v>13</v>
      </c>
      <c r="K45" s="5" t="s">
        <v>49</v>
      </c>
      <c r="L45" s="5" t="s">
        <v>53</v>
      </c>
      <c r="M45" s="23" t="s">
        <v>54</v>
      </c>
      <c r="N45" s="25"/>
      <c r="O45" s="25"/>
      <c r="P45" s="25"/>
      <c r="Q45" s="17" t="s">
        <v>43</v>
      </c>
    </row>
    <row r="46" spans="2:17">
      <c r="B46" s="11" t="s">
        <v>55</v>
      </c>
      <c r="C46" s="5" t="str">
        <f t="shared" si="0"/>
        <v>RGH1P39</v>
      </c>
      <c r="D46" s="6" t="s">
        <v>36</v>
      </c>
      <c r="E46" s="11" t="s">
        <v>47</v>
      </c>
      <c r="F46" s="11" t="s">
        <v>51</v>
      </c>
      <c r="G46" s="11" t="s">
        <v>94</v>
      </c>
      <c r="H46" s="18">
        <v>13.4</v>
      </c>
      <c r="I46" s="5" t="s">
        <v>52</v>
      </c>
      <c r="J46" s="19">
        <v>13</v>
      </c>
      <c r="K46" s="5" t="s">
        <v>49</v>
      </c>
      <c r="L46" s="5" t="s">
        <v>53</v>
      </c>
      <c r="M46" s="23" t="s">
        <v>54</v>
      </c>
      <c r="N46" s="25"/>
      <c r="O46" s="25"/>
      <c r="P46" s="25"/>
      <c r="Q46" s="17" t="s">
        <v>43</v>
      </c>
    </row>
    <row r="47" spans="2:17">
      <c r="B47" s="11" t="s">
        <v>55</v>
      </c>
      <c r="C47" s="5" t="str">
        <f t="shared" si="0"/>
        <v>RGH1P40</v>
      </c>
      <c r="D47" s="6" t="s">
        <v>36</v>
      </c>
      <c r="E47" s="11" t="s">
        <v>47</v>
      </c>
      <c r="F47" s="11" t="s">
        <v>51</v>
      </c>
      <c r="G47" s="11" t="s">
        <v>95</v>
      </c>
      <c r="H47" s="18">
        <v>13.4</v>
      </c>
      <c r="I47" s="5" t="s">
        <v>52</v>
      </c>
      <c r="J47" s="19">
        <v>13</v>
      </c>
      <c r="K47" s="5" t="s">
        <v>49</v>
      </c>
      <c r="L47" s="5" t="s">
        <v>53</v>
      </c>
      <c r="M47" s="23" t="s">
        <v>54</v>
      </c>
      <c r="N47" s="25"/>
      <c r="O47" s="25"/>
      <c r="P47" s="25"/>
      <c r="Q47" s="17" t="s">
        <v>43</v>
      </c>
    </row>
    <row r="48" spans="2:17">
      <c r="B48" s="11"/>
      <c r="D48" s="6"/>
      <c r="F48" s="11"/>
      <c r="G48" s="11"/>
      <c r="H48" s="18"/>
      <c r="J48" s="19"/>
      <c r="M48" s="23"/>
      <c r="N48" s="23"/>
      <c r="O48" s="23"/>
      <c r="P48" s="23"/>
      <c r="Q48" s="17"/>
    </row>
    <row r="49" spans="2:17">
      <c r="B49" s="11"/>
      <c r="D49" s="6"/>
      <c r="G49" s="11"/>
      <c r="H49" s="18"/>
      <c r="J49" s="19"/>
      <c r="M49" s="23"/>
      <c r="N49" s="23"/>
      <c r="O49" s="23"/>
      <c r="P49" s="23"/>
      <c r="Q49" s="17"/>
    </row>
    <row r="50" spans="2:17">
      <c r="B50" s="11" t="s">
        <v>50</v>
      </c>
      <c r="C50" s="5" t="str">
        <f t="shared" si="0"/>
        <v>RGH02</v>
      </c>
      <c r="D50" s="6" t="s">
        <v>36</v>
      </c>
      <c r="E50" s="11" t="s">
        <v>47</v>
      </c>
      <c r="F50" s="11" t="s">
        <v>96</v>
      </c>
      <c r="G50" s="11"/>
      <c r="H50" s="18">
        <v>536</v>
      </c>
      <c r="I50" s="5" t="s">
        <v>52</v>
      </c>
      <c r="J50" s="19">
        <v>520</v>
      </c>
      <c r="K50" s="5" t="s">
        <v>49</v>
      </c>
      <c r="L50" s="5" t="s">
        <v>53</v>
      </c>
      <c r="M50" s="23" t="s">
        <v>97</v>
      </c>
      <c r="N50" s="25">
        <v>10700</v>
      </c>
      <c r="O50" s="25">
        <v>6</v>
      </c>
      <c r="P50" s="25">
        <v>4</v>
      </c>
      <c r="Q50" s="17" t="s">
        <v>43</v>
      </c>
    </row>
    <row r="51" spans="2:17">
      <c r="B51" s="11" t="s">
        <v>55</v>
      </c>
      <c r="C51" s="5" t="str">
        <f t="shared" si="0"/>
        <v>RGH2P01</v>
      </c>
      <c r="D51" s="6" t="s">
        <v>36</v>
      </c>
      <c r="E51" s="11" t="s">
        <v>47</v>
      </c>
      <c r="F51" s="11" t="s">
        <v>96</v>
      </c>
      <c r="G51" s="11" t="s">
        <v>98</v>
      </c>
      <c r="H51" s="18">
        <v>13.4</v>
      </c>
      <c r="I51" s="5" t="s">
        <v>52</v>
      </c>
      <c r="J51" s="19">
        <v>13</v>
      </c>
      <c r="K51" s="5" t="s">
        <v>49</v>
      </c>
      <c r="L51" s="5" t="s">
        <v>53</v>
      </c>
      <c r="M51" s="23" t="s">
        <v>97</v>
      </c>
      <c r="N51" s="25"/>
      <c r="O51" s="25"/>
      <c r="P51" s="25"/>
      <c r="Q51" s="17" t="s">
        <v>43</v>
      </c>
    </row>
    <row r="52" spans="2:17">
      <c r="B52" s="11" t="s">
        <v>55</v>
      </c>
      <c r="C52" s="5" t="str">
        <f t="shared" si="0"/>
        <v>RGH2P02</v>
      </c>
      <c r="D52" s="6" t="s">
        <v>36</v>
      </c>
      <c r="E52" s="11" t="s">
        <v>47</v>
      </c>
      <c r="F52" s="11" t="s">
        <v>96</v>
      </c>
      <c r="G52" s="11" t="s">
        <v>99</v>
      </c>
      <c r="H52" s="18">
        <v>13.4</v>
      </c>
      <c r="I52" s="5" t="s">
        <v>52</v>
      </c>
      <c r="J52" s="19">
        <v>13</v>
      </c>
      <c r="K52" s="5" t="s">
        <v>49</v>
      </c>
      <c r="L52" s="5" t="s">
        <v>53</v>
      </c>
      <c r="M52" s="23" t="s">
        <v>97</v>
      </c>
      <c r="N52" s="25"/>
      <c r="O52" s="25"/>
      <c r="P52" s="25"/>
      <c r="Q52" s="17" t="s">
        <v>43</v>
      </c>
    </row>
    <row r="53" spans="2:17">
      <c r="B53" s="11" t="s">
        <v>55</v>
      </c>
      <c r="C53" s="5" t="str">
        <f t="shared" si="0"/>
        <v>RGH2P03</v>
      </c>
      <c r="D53" s="6" t="s">
        <v>36</v>
      </c>
      <c r="E53" s="11" t="s">
        <v>47</v>
      </c>
      <c r="F53" s="11" t="s">
        <v>96</v>
      </c>
      <c r="G53" s="11" t="s">
        <v>100</v>
      </c>
      <c r="H53" s="18">
        <v>13.4</v>
      </c>
      <c r="I53" s="5" t="s">
        <v>52</v>
      </c>
      <c r="J53" s="19">
        <v>13</v>
      </c>
      <c r="K53" s="5" t="s">
        <v>49</v>
      </c>
      <c r="L53" s="5" t="s">
        <v>53</v>
      </c>
      <c r="M53" s="23" t="s">
        <v>97</v>
      </c>
      <c r="N53" s="25"/>
      <c r="O53" s="25"/>
      <c r="P53" s="25"/>
      <c r="Q53" s="17" t="s">
        <v>43</v>
      </c>
    </row>
    <row r="54" spans="2:17">
      <c r="B54" s="11" t="s">
        <v>55</v>
      </c>
      <c r="C54" s="5" t="str">
        <f t="shared" si="0"/>
        <v>RGH2P04</v>
      </c>
      <c r="D54" s="6" t="s">
        <v>36</v>
      </c>
      <c r="E54" s="11" t="s">
        <v>47</v>
      </c>
      <c r="F54" s="11" t="s">
        <v>96</v>
      </c>
      <c r="G54" s="11" t="s">
        <v>101</v>
      </c>
      <c r="H54" s="18">
        <v>13.4</v>
      </c>
      <c r="I54" s="5" t="s">
        <v>52</v>
      </c>
      <c r="J54" s="19">
        <v>13</v>
      </c>
      <c r="K54" s="5" t="s">
        <v>49</v>
      </c>
      <c r="L54" s="5" t="s">
        <v>53</v>
      </c>
      <c r="M54" s="23" t="s">
        <v>97</v>
      </c>
      <c r="N54" s="25"/>
      <c r="O54" s="25"/>
      <c r="P54" s="25"/>
      <c r="Q54" s="17" t="s">
        <v>43</v>
      </c>
    </row>
    <row r="55" spans="2:17">
      <c r="B55" s="11" t="s">
        <v>55</v>
      </c>
      <c r="C55" s="5" t="str">
        <f t="shared" si="0"/>
        <v>RGH2P05</v>
      </c>
      <c r="D55" s="6" t="s">
        <v>36</v>
      </c>
      <c r="E55" s="11" t="s">
        <v>47</v>
      </c>
      <c r="F55" s="11" t="s">
        <v>96</v>
      </c>
      <c r="G55" s="11" t="s">
        <v>102</v>
      </c>
      <c r="H55" s="18">
        <v>13.4</v>
      </c>
      <c r="I55" s="5" t="s">
        <v>52</v>
      </c>
      <c r="J55" s="19">
        <v>13</v>
      </c>
      <c r="K55" s="5" t="s">
        <v>49</v>
      </c>
      <c r="L55" s="5" t="s">
        <v>53</v>
      </c>
      <c r="M55" s="23" t="s">
        <v>97</v>
      </c>
      <c r="N55" s="25"/>
      <c r="O55" s="25"/>
      <c r="P55" s="25"/>
      <c r="Q55" s="17" t="s">
        <v>43</v>
      </c>
    </row>
    <row r="56" spans="2:17">
      <c r="B56" s="11" t="s">
        <v>55</v>
      </c>
      <c r="C56" s="5" t="str">
        <f t="shared" si="0"/>
        <v>RGH2P06</v>
      </c>
      <c r="D56" s="6" t="s">
        <v>36</v>
      </c>
      <c r="E56" s="11" t="s">
        <v>47</v>
      </c>
      <c r="F56" s="11" t="s">
        <v>96</v>
      </c>
      <c r="G56" s="11" t="s">
        <v>103</v>
      </c>
      <c r="H56" s="18">
        <v>13.4</v>
      </c>
      <c r="I56" s="5" t="s">
        <v>52</v>
      </c>
      <c r="J56" s="19">
        <v>13</v>
      </c>
      <c r="K56" s="5" t="s">
        <v>49</v>
      </c>
      <c r="L56" s="5" t="s">
        <v>53</v>
      </c>
      <c r="M56" s="23" t="s">
        <v>97</v>
      </c>
      <c r="N56" s="25"/>
      <c r="O56" s="25"/>
      <c r="P56" s="25"/>
      <c r="Q56" s="17" t="s">
        <v>43</v>
      </c>
    </row>
    <row r="57" spans="2:17">
      <c r="B57" s="11" t="s">
        <v>55</v>
      </c>
      <c r="C57" s="5" t="str">
        <f t="shared" si="0"/>
        <v>RGH2P07</v>
      </c>
      <c r="D57" s="6" t="s">
        <v>36</v>
      </c>
      <c r="E57" s="11" t="s">
        <v>47</v>
      </c>
      <c r="F57" s="11" t="s">
        <v>96</v>
      </c>
      <c r="G57" s="11" t="s">
        <v>104</v>
      </c>
      <c r="H57" s="18">
        <v>13.4</v>
      </c>
      <c r="I57" s="5" t="s">
        <v>52</v>
      </c>
      <c r="J57" s="19">
        <v>13</v>
      </c>
      <c r="K57" s="5" t="s">
        <v>49</v>
      </c>
      <c r="L57" s="5" t="s">
        <v>53</v>
      </c>
      <c r="M57" s="23" t="s">
        <v>97</v>
      </c>
      <c r="N57" s="25"/>
      <c r="O57" s="25"/>
      <c r="P57" s="25"/>
      <c r="Q57" s="17" t="s">
        <v>43</v>
      </c>
    </row>
    <row r="58" spans="2:17">
      <c r="B58" s="11" t="s">
        <v>55</v>
      </c>
      <c r="C58" s="5" t="str">
        <f t="shared" si="0"/>
        <v>RGH2P08</v>
      </c>
      <c r="D58" s="6" t="s">
        <v>36</v>
      </c>
      <c r="E58" s="11" t="s">
        <v>47</v>
      </c>
      <c r="F58" s="11" t="s">
        <v>96</v>
      </c>
      <c r="G58" s="11" t="s">
        <v>105</v>
      </c>
      <c r="H58" s="18">
        <v>13.4</v>
      </c>
      <c r="I58" s="5" t="s">
        <v>52</v>
      </c>
      <c r="J58" s="19">
        <v>13</v>
      </c>
      <c r="K58" s="5" t="s">
        <v>49</v>
      </c>
      <c r="L58" s="5" t="s">
        <v>53</v>
      </c>
      <c r="M58" s="23" t="s">
        <v>97</v>
      </c>
      <c r="N58" s="25"/>
      <c r="O58" s="25"/>
      <c r="P58" s="25"/>
      <c r="Q58" s="17" t="s">
        <v>43</v>
      </c>
    </row>
    <row r="59" spans="2:17">
      <c r="B59" s="11" t="s">
        <v>55</v>
      </c>
      <c r="C59" s="5" t="str">
        <f t="shared" si="0"/>
        <v>RGH2P09</v>
      </c>
      <c r="D59" s="6" t="s">
        <v>36</v>
      </c>
      <c r="E59" s="11" t="s">
        <v>47</v>
      </c>
      <c r="F59" s="11" t="s">
        <v>96</v>
      </c>
      <c r="G59" s="11" t="s">
        <v>106</v>
      </c>
      <c r="H59" s="18">
        <v>13.4</v>
      </c>
      <c r="I59" s="5" t="s">
        <v>52</v>
      </c>
      <c r="J59" s="19">
        <v>13</v>
      </c>
      <c r="K59" s="5" t="s">
        <v>49</v>
      </c>
      <c r="L59" s="5" t="s">
        <v>53</v>
      </c>
      <c r="M59" s="23" t="s">
        <v>97</v>
      </c>
      <c r="N59" s="25"/>
      <c r="O59" s="25"/>
      <c r="P59" s="25"/>
      <c r="Q59" s="17" t="s">
        <v>43</v>
      </c>
    </row>
    <row r="60" spans="2:17">
      <c r="B60" s="11" t="s">
        <v>55</v>
      </c>
      <c r="C60" s="5" t="str">
        <f t="shared" si="0"/>
        <v>RGH2P10</v>
      </c>
      <c r="D60" s="6" t="s">
        <v>36</v>
      </c>
      <c r="E60" s="11" t="s">
        <v>47</v>
      </c>
      <c r="F60" s="11" t="s">
        <v>96</v>
      </c>
      <c r="G60" s="11" t="s">
        <v>107</v>
      </c>
      <c r="H60" s="18">
        <v>13.4</v>
      </c>
      <c r="I60" s="5" t="s">
        <v>52</v>
      </c>
      <c r="J60" s="19">
        <v>13</v>
      </c>
      <c r="K60" s="5" t="s">
        <v>49</v>
      </c>
      <c r="L60" s="5" t="s">
        <v>53</v>
      </c>
      <c r="M60" s="23" t="s">
        <v>97</v>
      </c>
      <c r="N60" s="25"/>
      <c r="O60" s="25"/>
      <c r="P60" s="25"/>
      <c r="Q60" s="17" t="s">
        <v>43</v>
      </c>
    </row>
    <row r="61" spans="2:17">
      <c r="B61" s="11" t="s">
        <v>55</v>
      </c>
      <c r="C61" s="5" t="str">
        <f t="shared" si="0"/>
        <v>RGH2P11</v>
      </c>
      <c r="D61" s="6" t="s">
        <v>36</v>
      </c>
      <c r="E61" s="11" t="s">
        <v>47</v>
      </c>
      <c r="F61" s="11" t="s">
        <v>96</v>
      </c>
      <c r="G61" s="11" t="s">
        <v>108</v>
      </c>
      <c r="H61" s="18">
        <v>13.4</v>
      </c>
      <c r="I61" s="5" t="s">
        <v>52</v>
      </c>
      <c r="J61" s="19">
        <v>13</v>
      </c>
      <c r="K61" s="5" t="s">
        <v>49</v>
      </c>
      <c r="L61" s="5" t="s">
        <v>53</v>
      </c>
      <c r="M61" s="23" t="s">
        <v>97</v>
      </c>
      <c r="N61" s="25"/>
      <c r="O61" s="25"/>
      <c r="P61" s="25"/>
      <c r="Q61" s="17" t="s">
        <v>43</v>
      </c>
    </row>
    <row r="62" spans="2:17">
      <c r="B62" s="11" t="s">
        <v>55</v>
      </c>
      <c r="C62" s="5" t="str">
        <f t="shared" si="0"/>
        <v>RGH2P12</v>
      </c>
      <c r="D62" s="6" t="s">
        <v>36</v>
      </c>
      <c r="E62" s="11" t="s">
        <v>47</v>
      </c>
      <c r="F62" s="11" t="s">
        <v>96</v>
      </c>
      <c r="G62" s="11" t="s">
        <v>109</v>
      </c>
      <c r="H62" s="18">
        <v>13.4</v>
      </c>
      <c r="I62" s="5" t="s">
        <v>52</v>
      </c>
      <c r="J62" s="19">
        <v>13</v>
      </c>
      <c r="K62" s="5" t="s">
        <v>49</v>
      </c>
      <c r="L62" s="5" t="s">
        <v>53</v>
      </c>
      <c r="M62" s="23" t="s">
        <v>97</v>
      </c>
      <c r="N62" s="25"/>
      <c r="O62" s="25"/>
      <c r="P62" s="25"/>
      <c r="Q62" s="17" t="s">
        <v>43</v>
      </c>
    </row>
    <row r="63" spans="2:17">
      <c r="B63" s="11" t="s">
        <v>55</v>
      </c>
      <c r="C63" s="5" t="str">
        <f t="shared" si="0"/>
        <v>RGH2P13</v>
      </c>
      <c r="D63" s="6" t="s">
        <v>36</v>
      </c>
      <c r="E63" s="11" t="s">
        <v>47</v>
      </c>
      <c r="F63" s="11" t="s">
        <v>96</v>
      </c>
      <c r="G63" s="11" t="s">
        <v>110</v>
      </c>
      <c r="H63" s="18">
        <v>13.4</v>
      </c>
      <c r="I63" s="5" t="s">
        <v>52</v>
      </c>
      <c r="J63" s="19">
        <v>13</v>
      </c>
      <c r="K63" s="5" t="s">
        <v>49</v>
      </c>
      <c r="L63" s="5" t="s">
        <v>53</v>
      </c>
      <c r="M63" s="23" t="s">
        <v>97</v>
      </c>
      <c r="N63" s="25"/>
      <c r="O63" s="25"/>
      <c r="P63" s="25"/>
      <c r="Q63" s="17" t="s">
        <v>43</v>
      </c>
    </row>
    <row r="64" spans="2:17">
      <c r="B64" s="11" t="s">
        <v>55</v>
      </c>
      <c r="C64" s="5" t="str">
        <f t="shared" si="0"/>
        <v>RGH2P14</v>
      </c>
      <c r="D64" s="6" t="s">
        <v>36</v>
      </c>
      <c r="E64" s="11" t="s">
        <v>47</v>
      </c>
      <c r="F64" s="11" t="s">
        <v>96</v>
      </c>
      <c r="G64" s="11" t="s">
        <v>111</v>
      </c>
      <c r="H64" s="18">
        <v>13.4</v>
      </c>
      <c r="I64" s="5" t="s">
        <v>52</v>
      </c>
      <c r="J64" s="19">
        <v>13</v>
      </c>
      <c r="K64" s="5" t="s">
        <v>49</v>
      </c>
      <c r="L64" s="5" t="s">
        <v>53</v>
      </c>
      <c r="M64" s="23" t="s">
        <v>97</v>
      </c>
      <c r="N64" s="25"/>
      <c r="O64" s="25"/>
      <c r="P64" s="25"/>
      <c r="Q64" s="17" t="s">
        <v>43</v>
      </c>
    </row>
    <row r="65" spans="2:17">
      <c r="B65" s="11" t="s">
        <v>55</v>
      </c>
      <c r="C65" s="5" t="str">
        <f t="shared" si="0"/>
        <v>RGH2P15</v>
      </c>
      <c r="D65" s="6" t="s">
        <v>36</v>
      </c>
      <c r="E65" s="11" t="s">
        <v>47</v>
      </c>
      <c r="F65" s="11" t="s">
        <v>96</v>
      </c>
      <c r="G65" s="11" t="s">
        <v>112</v>
      </c>
      <c r="H65" s="18">
        <v>13.4</v>
      </c>
      <c r="I65" s="5" t="s">
        <v>52</v>
      </c>
      <c r="J65" s="19">
        <v>13</v>
      </c>
      <c r="K65" s="5" t="s">
        <v>49</v>
      </c>
      <c r="L65" s="5" t="s">
        <v>53</v>
      </c>
      <c r="M65" s="23" t="s">
        <v>97</v>
      </c>
      <c r="N65" s="25"/>
      <c r="O65" s="25"/>
      <c r="P65" s="25"/>
      <c r="Q65" s="17" t="s">
        <v>43</v>
      </c>
    </row>
    <row r="66" spans="2:17">
      <c r="B66" s="11" t="s">
        <v>55</v>
      </c>
      <c r="C66" s="5" t="str">
        <f t="shared" si="0"/>
        <v>RGH2P16</v>
      </c>
      <c r="D66" s="6" t="s">
        <v>36</v>
      </c>
      <c r="E66" s="11" t="s">
        <v>47</v>
      </c>
      <c r="F66" s="11" t="s">
        <v>96</v>
      </c>
      <c r="G66" s="11" t="s">
        <v>113</v>
      </c>
      <c r="H66" s="18">
        <v>13.4</v>
      </c>
      <c r="I66" s="5" t="s">
        <v>52</v>
      </c>
      <c r="J66" s="19">
        <v>13</v>
      </c>
      <c r="K66" s="5" t="s">
        <v>49</v>
      </c>
      <c r="L66" s="5" t="s">
        <v>53</v>
      </c>
      <c r="M66" s="23" t="s">
        <v>97</v>
      </c>
      <c r="N66" s="25"/>
      <c r="O66" s="25"/>
      <c r="P66" s="25"/>
      <c r="Q66" s="17" t="s">
        <v>43</v>
      </c>
    </row>
    <row r="67" spans="2:17">
      <c r="B67" s="11" t="s">
        <v>55</v>
      </c>
      <c r="C67" s="5" t="str">
        <f t="shared" si="0"/>
        <v>RGH2P17</v>
      </c>
      <c r="D67" s="6" t="s">
        <v>36</v>
      </c>
      <c r="E67" s="11" t="s">
        <v>47</v>
      </c>
      <c r="F67" s="11" t="s">
        <v>96</v>
      </c>
      <c r="G67" s="11" t="s">
        <v>114</v>
      </c>
      <c r="H67" s="18">
        <v>13.4</v>
      </c>
      <c r="I67" s="5" t="s">
        <v>52</v>
      </c>
      <c r="J67" s="19">
        <v>13</v>
      </c>
      <c r="K67" s="5" t="s">
        <v>49</v>
      </c>
      <c r="L67" s="5" t="s">
        <v>53</v>
      </c>
      <c r="M67" s="23" t="s">
        <v>97</v>
      </c>
      <c r="N67" s="25"/>
      <c r="O67" s="25"/>
      <c r="P67" s="25"/>
      <c r="Q67" s="17" t="s">
        <v>43</v>
      </c>
    </row>
    <row r="68" spans="2:17">
      <c r="B68" s="11" t="s">
        <v>55</v>
      </c>
      <c r="C68" s="5" t="str">
        <f t="shared" si="0"/>
        <v>RGH2P18</v>
      </c>
      <c r="D68" s="6" t="s">
        <v>36</v>
      </c>
      <c r="E68" s="11" t="s">
        <v>47</v>
      </c>
      <c r="F68" s="11" t="s">
        <v>96</v>
      </c>
      <c r="G68" s="11" t="s">
        <v>115</v>
      </c>
      <c r="H68" s="18">
        <v>13.4</v>
      </c>
      <c r="I68" s="5" t="s">
        <v>52</v>
      </c>
      <c r="J68" s="19">
        <v>13</v>
      </c>
      <c r="K68" s="5" t="s">
        <v>49</v>
      </c>
      <c r="L68" s="5" t="s">
        <v>53</v>
      </c>
      <c r="M68" s="23" t="s">
        <v>97</v>
      </c>
      <c r="N68" s="25"/>
      <c r="O68" s="25"/>
      <c r="P68" s="25"/>
      <c r="Q68" s="17" t="s">
        <v>43</v>
      </c>
    </row>
    <row r="69" spans="2:17">
      <c r="B69" s="11" t="s">
        <v>55</v>
      </c>
      <c r="C69" s="5" t="str">
        <f t="shared" si="0"/>
        <v>RGH2P19</v>
      </c>
      <c r="D69" s="6" t="s">
        <v>36</v>
      </c>
      <c r="E69" s="11" t="s">
        <v>47</v>
      </c>
      <c r="F69" s="11" t="s">
        <v>96</v>
      </c>
      <c r="G69" s="11" t="s">
        <v>116</v>
      </c>
      <c r="H69" s="18">
        <v>13.4</v>
      </c>
      <c r="I69" s="5" t="s">
        <v>52</v>
      </c>
      <c r="J69" s="19">
        <v>13</v>
      </c>
      <c r="K69" s="5" t="s">
        <v>49</v>
      </c>
      <c r="L69" s="5" t="s">
        <v>53</v>
      </c>
      <c r="M69" s="23" t="s">
        <v>97</v>
      </c>
      <c r="N69" s="25"/>
      <c r="O69" s="25"/>
      <c r="P69" s="25"/>
      <c r="Q69" s="17" t="s">
        <v>43</v>
      </c>
    </row>
    <row r="70" spans="2:17">
      <c r="B70" s="11" t="s">
        <v>55</v>
      </c>
      <c r="C70" s="5" t="str">
        <f t="shared" si="0"/>
        <v>RGH2P20</v>
      </c>
      <c r="D70" s="6" t="s">
        <v>36</v>
      </c>
      <c r="E70" s="11" t="s">
        <v>47</v>
      </c>
      <c r="F70" s="11" t="s">
        <v>96</v>
      </c>
      <c r="G70" s="11" t="s">
        <v>117</v>
      </c>
      <c r="H70" s="18">
        <v>13.4</v>
      </c>
      <c r="I70" s="5" t="s">
        <v>52</v>
      </c>
      <c r="J70" s="19">
        <v>13</v>
      </c>
      <c r="K70" s="5" t="s">
        <v>49</v>
      </c>
      <c r="L70" s="5" t="s">
        <v>53</v>
      </c>
      <c r="M70" s="23" t="s">
        <v>97</v>
      </c>
      <c r="N70" s="25"/>
      <c r="O70" s="25"/>
      <c r="P70" s="25"/>
      <c r="Q70" s="17" t="s">
        <v>43</v>
      </c>
    </row>
    <row r="71" spans="2:17">
      <c r="B71" s="11" t="s">
        <v>55</v>
      </c>
      <c r="C71" s="5" t="str">
        <f t="shared" si="0"/>
        <v>RGH2P21</v>
      </c>
      <c r="D71" s="6" t="s">
        <v>36</v>
      </c>
      <c r="E71" s="11" t="s">
        <v>47</v>
      </c>
      <c r="F71" s="11" t="s">
        <v>96</v>
      </c>
      <c r="G71" s="11" t="s">
        <v>118</v>
      </c>
      <c r="H71" s="18">
        <v>13.4</v>
      </c>
      <c r="I71" s="5" t="s">
        <v>52</v>
      </c>
      <c r="J71" s="19">
        <v>13</v>
      </c>
      <c r="K71" s="5" t="s">
        <v>49</v>
      </c>
      <c r="L71" s="5" t="s">
        <v>53</v>
      </c>
      <c r="M71" s="23" t="s">
        <v>97</v>
      </c>
      <c r="N71" s="25"/>
      <c r="O71" s="25"/>
      <c r="P71" s="25"/>
      <c r="Q71" s="17" t="s">
        <v>43</v>
      </c>
    </row>
    <row r="72" spans="2:17">
      <c r="B72" s="11" t="s">
        <v>55</v>
      </c>
      <c r="C72" s="5" t="str">
        <f t="shared" ref="C72:C135" si="1">IF(ISBLANK(G72), F72, G72)</f>
        <v>RGH2P22</v>
      </c>
      <c r="D72" s="6" t="s">
        <v>36</v>
      </c>
      <c r="E72" s="11" t="s">
        <v>47</v>
      </c>
      <c r="F72" s="11" t="s">
        <v>96</v>
      </c>
      <c r="G72" s="11" t="s">
        <v>119</v>
      </c>
      <c r="H72" s="18">
        <v>13.4</v>
      </c>
      <c r="I72" s="5" t="s">
        <v>52</v>
      </c>
      <c r="J72" s="19">
        <v>13</v>
      </c>
      <c r="K72" s="5" t="s">
        <v>49</v>
      </c>
      <c r="L72" s="5" t="s">
        <v>53</v>
      </c>
      <c r="M72" s="23" t="s">
        <v>97</v>
      </c>
      <c r="N72" s="25"/>
      <c r="O72" s="25"/>
      <c r="P72" s="25"/>
      <c r="Q72" s="17" t="s">
        <v>43</v>
      </c>
    </row>
    <row r="73" spans="2:17">
      <c r="B73" s="11" t="s">
        <v>55</v>
      </c>
      <c r="C73" s="5" t="str">
        <f t="shared" si="1"/>
        <v>RGH2P23</v>
      </c>
      <c r="D73" s="6" t="s">
        <v>36</v>
      </c>
      <c r="E73" s="11" t="s">
        <v>47</v>
      </c>
      <c r="F73" s="11" t="s">
        <v>96</v>
      </c>
      <c r="G73" s="11" t="s">
        <v>120</v>
      </c>
      <c r="H73" s="18">
        <v>13.4</v>
      </c>
      <c r="I73" s="5" t="s">
        <v>52</v>
      </c>
      <c r="J73" s="19">
        <v>13</v>
      </c>
      <c r="K73" s="5" t="s">
        <v>49</v>
      </c>
      <c r="L73" s="5" t="s">
        <v>53</v>
      </c>
      <c r="M73" s="23" t="s">
        <v>97</v>
      </c>
      <c r="N73" s="25"/>
      <c r="O73" s="25"/>
      <c r="P73" s="25"/>
      <c r="Q73" s="17" t="s">
        <v>43</v>
      </c>
    </row>
    <row r="74" spans="2:17">
      <c r="B74" s="11" t="s">
        <v>55</v>
      </c>
      <c r="C74" s="5" t="str">
        <f t="shared" si="1"/>
        <v>RGH2P24</v>
      </c>
      <c r="D74" s="6" t="s">
        <v>36</v>
      </c>
      <c r="E74" s="11" t="s">
        <v>47</v>
      </c>
      <c r="F74" s="11" t="s">
        <v>96</v>
      </c>
      <c r="G74" s="11" t="s">
        <v>121</v>
      </c>
      <c r="H74" s="18">
        <v>13.4</v>
      </c>
      <c r="I74" s="5" t="s">
        <v>52</v>
      </c>
      <c r="J74" s="19">
        <v>13</v>
      </c>
      <c r="K74" s="5" t="s">
        <v>49</v>
      </c>
      <c r="L74" s="5" t="s">
        <v>53</v>
      </c>
      <c r="M74" s="23" t="s">
        <v>97</v>
      </c>
      <c r="N74" s="25"/>
      <c r="O74" s="25"/>
      <c r="P74" s="25"/>
      <c r="Q74" s="17" t="s">
        <v>43</v>
      </c>
    </row>
    <row r="75" spans="2:17">
      <c r="B75" s="11" t="s">
        <v>55</v>
      </c>
      <c r="C75" s="5" t="str">
        <f t="shared" si="1"/>
        <v>RGH2P25</v>
      </c>
      <c r="D75" s="6" t="s">
        <v>36</v>
      </c>
      <c r="E75" s="11" t="s">
        <v>47</v>
      </c>
      <c r="F75" s="11" t="s">
        <v>96</v>
      </c>
      <c r="G75" s="11" t="s">
        <v>122</v>
      </c>
      <c r="H75" s="18">
        <v>13.4</v>
      </c>
      <c r="I75" s="5" t="s">
        <v>52</v>
      </c>
      <c r="J75" s="19">
        <v>13</v>
      </c>
      <c r="K75" s="5" t="s">
        <v>49</v>
      </c>
      <c r="L75" s="5" t="s">
        <v>53</v>
      </c>
      <c r="M75" s="23" t="s">
        <v>97</v>
      </c>
      <c r="N75" s="25"/>
      <c r="O75" s="25"/>
      <c r="P75" s="25"/>
      <c r="Q75" s="17" t="s">
        <v>43</v>
      </c>
    </row>
    <row r="76" spans="2:17">
      <c r="B76" s="11" t="s">
        <v>55</v>
      </c>
      <c r="C76" s="5" t="str">
        <f t="shared" si="1"/>
        <v>RGH2P26</v>
      </c>
      <c r="D76" s="6" t="s">
        <v>36</v>
      </c>
      <c r="E76" s="11" t="s">
        <v>47</v>
      </c>
      <c r="F76" s="11" t="s">
        <v>96</v>
      </c>
      <c r="G76" s="11" t="s">
        <v>123</v>
      </c>
      <c r="H76" s="18">
        <v>13.4</v>
      </c>
      <c r="I76" s="5" t="s">
        <v>52</v>
      </c>
      <c r="J76" s="19">
        <v>13</v>
      </c>
      <c r="K76" s="5" t="s">
        <v>49</v>
      </c>
      <c r="L76" s="5" t="s">
        <v>53</v>
      </c>
      <c r="M76" s="23" t="s">
        <v>97</v>
      </c>
      <c r="N76" s="25"/>
      <c r="O76" s="25"/>
      <c r="P76" s="25"/>
      <c r="Q76" s="17" t="s">
        <v>43</v>
      </c>
    </row>
    <row r="77" spans="2:17">
      <c r="B77" s="11" t="s">
        <v>55</v>
      </c>
      <c r="C77" s="5" t="str">
        <f t="shared" si="1"/>
        <v>RGH2P27</v>
      </c>
      <c r="D77" s="6" t="s">
        <v>36</v>
      </c>
      <c r="E77" s="11" t="s">
        <v>47</v>
      </c>
      <c r="F77" s="11" t="s">
        <v>96</v>
      </c>
      <c r="G77" s="11" t="s">
        <v>124</v>
      </c>
      <c r="H77" s="18">
        <v>13.4</v>
      </c>
      <c r="I77" s="5" t="s">
        <v>52</v>
      </c>
      <c r="J77" s="19">
        <v>13</v>
      </c>
      <c r="K77" s="5" t="s">
        <v>49</v>
      </c>
      <c r="L77" s="5" t="s">
        <v>53</v>
      </c>
      <c r="M77" s="23" t="s">
        <v>97</v>
      </c>
      <c r="N77" s="25"/>
      <c r="O77" s="25"/>
      <c r="P77" s="25"/>
      <c r="Q77" s="17" t="s">
        <v>43</v>
      </c>
    </row>
    <row r="78" spans="2:17">
      <c r="B78" s="11" t="s">
        <v>55</v>
      </c>
      <c r="C78" s="5" t="str">
        <f t="shared" si="1"/>
        <v>RGH2P28</v>
      </c>
      <c r="D78" s="6" t="s">
        <v>36</v>
      </c>
      <c r="E78" s="11" t="s">
        <v>47</v>
      </c>
      <c r="F78" s="11" t="s">
        <v>96</v>
      </c>
      <c r="G78" s="11" t="s">
        <v>125</v>
      </c>
      <c r="H78" s="18">
        <v>13.4</v>
      </c>
      <c r="I78" s="5" t="s">
        <v>52</v>
      </c>
      <c r="J78" s="19">
        <v>13</v>
      </c>
      <c r="K78" s="5" t="s">
        <v>49</v>
      </c>
      <c r="L78" s="5" t="s">
        <v>53</v>
      </c>
      <c r="M78" s="23" t="s">
        <v>97</v>
      </c>
      <c r="N78" s="25"/>
      <c r="O78" s="25"/>
      <c r="P78" s="25"/>
      <c r="Q78" s="17" t="s">
        <v>43</v>
      </c>
    </row>
    <row r="79" spans="2:17">
      <c r="B79" s="11" t="s">
        <v>55</v>
      </c>
      <c r="C79" s="5" t="str">
        <f t="shared" si="1"/>
        <v>RGH2P29</v>
      </c>
      <c r="D79" s="6" t="s">
        <v>36</v>
      </c>
      <c r="E79" s="11" t="s">
        <v>47</v>
      </c>
      <c r="F79" s="11" t="s">
        <v>96</v>
      </c>
      <c r="G79" s="11" t="s">
        <v>126</v>
      </c>
      <c r="H79" s="18">
        <v>13.4</v>
      </c>
      <c r="I79" s="5" t="s">
        <v>52</v>
      </c>
      <c r="J79" s="19">
        <v>13</v>
      </c>
      <c r="K79" s="5" t="s">
        <v>49</v>
      </c>
      <c r="L79" s="5" t="s">
        <v>53</v>
      </c>
      <c r="M79" s="23" t="s">
        <v>97</v>
      </c>
      <c r="N79" s="25"/>
      <c r="O79" s="25"/>
      <c r="P79" s="25"/>
      <c r="Q79" s="17" t="s">
        <v>43</v>
      </c>
    </row>
    <row r="80" spans="2:17">
      <c r="B80" s="11" t="s">
        <v>55</v>
      </c>
      <c r="C80" s="5" t="str">
        <f t="shared" si="1"/>
        <v>RGH2P30</v>
      </c>
      <c r="D80" s="6" t="s">
        <v>36</v>
      </c>
      <c r="E80" s="11" t="s">
        <v>47</v>
      </c>
      <c r="F80" s="11" t="s">
        <v>96</v>
      </c>
      <c r="G80" s="11" t="s">
        <v>127</v>
      </c>
      <c r="H80" s="18">
        <v>13.4</v>
      </c>
      <c r="I80" s="5" t="s">
        <v>52</v>
      </c>
      <c r="J80" s="19">
        <v>13</v>
      </c>
      <c r="K80" s="5" t="s">
        <v>49</v>
      </c>
      <c r="L80" s="5" t="s">
        <v>53</v>
      </c>
      <c r="M80" s="23" t="s">
        <v>97</v>
      </c>
      <c r="N80" s="25"/>
      <c r="O80" s="25"/>
      <c r="P80" s="25"/>
      <c r="Q80" s="17" t="s">
        <v>43</v>
      </c>
    </row>
    <row r="81" spans="2:17">
      <c r="B81" s="11" t="s">
        <v>55</v>
      </c>
      <c r="C81" s="5" t="str">
        <f t="shared" si="1"/>
        <v>RGH2P31</v>
      </c>
      <c r="D81" s="6" t="s">
        <v>36</v>
      </c>
      <c r="E81" s="11" t="s">
        <v>47</v>
      </c>
      <c r="F81" s="11" t="s">
        <v>96</v>
      </c>
      <c r="G81" s="11" t="s">
        <v>128</v>
      </c>
      <c r="H81" s="18">
        <v>13.4</v>
      </c>
      <c r="I81" s="5" t="s">
        <v>52</v>
      </c>
      <c r="J81" s="19">
        <v>13</v>
      </c>
      <c r="K81" s="5" t="s">
        <v>49</v>
      </c>
      <c r="L81" s="5" t="s">
        <v>53</v>
      </c>
      <c r="M81" s="23" t="s">
        <v>97</v>
      </c>
      <c r="N81" s="25"/>
      <c r="O81" s="25"/>
      <c r="P81" s="25"/>
      <c r="Q81" s="17" t="s">
        <v>43</v>
      </c>
    </row>
    <row r="82" spans="2:17">
      <c r="B82" s="11" t="s">
        <v>55</v>
      </c>
      <c r="C82" s="5" t="str">
        <f t="shared" si="1"/>
        <v>RGH2P32</v>
      </c>
      <c r="D82" s="6" t="s">
        <v>36</v>
      </c>
      <c r="E82" s="11" t="s">
        <v>47</v>
      </c>
      <c r="F82" s="11" t="s">
        <v>96</v>
      </c>
      <c r="G82" s="11" t="s">
        <v>129</v>
      </c>
      <c r="H82" s="18">
        <v>13.4</v>
      </c>
      <c r="I82" s="5" t="s">
        <v>52</v>
      </c>
      <c r="J82" s="19">
        <v>13</v>
      </c>
      <c r="K82" s="5" t="s">
        <v>49</v>
      </c>
      <c r="L82" s="5" t="s">
        <v>53</v>
      </c>
      <c r="M82" s="23" t="s">
        <v>97</v>
      </c>
      <c r="N82" s="25"/>
      <c r="O82" s="25"/>
      <c r="P82" s="25"/>
      <c r="Q82" s="17" t="s">
        <v>43</v>
      </c>
    </row>
    <row r="83" spans="2:17">
      <c r="B83" s="11" t="s">
        <v>55</v>
      </c>
      <c r="C83" s="5" t="str">
        <f t="shared" si="1"/>
        <v>RGH2P33</v>
      </c>
      <c r="D83" s="6" t="s">
        <v>36</v>
      </c>
      <c r="E83" s="11" t="s">
        <v>47</v>
      </c>
      <c r="F83" s="11" t="s">
        <v>96</v>
      </c>
      <c r="G83" s="11" t="s">
        <v>130</v>
      </c>
      <c r="H83" s="18">
        <v>13.4</v>
      </c>
      <c r="I83" s="5" t="s">
        <v>52</v>
      </c>
      <c r="J83" s="19">
        <v>13</v>
      </c>
      <c r="K83" s="5" t="s">
        <v>49</v>
      </c>
      <c r="L83" s="5" t="s">
        <v>53</v>
      </c>
      <c r="M83" s="23" t="s">
        <v>97</v>
      </c>
      <c r="N83" s="25"/>
      <c r="O83" s="25"/>
      <c r="P83" s="25"/>
      <c r="Q83" s="17" t="s">
        <v>43</v>
      </c>
    </row>
    <row r="84" spans="2:17">
      <c r="B84" s="11" t="s">
        <v>55</v>
      </c>
      <c r="C84" s="5" t="str">
        <f t="shared" si="1"/>
        <v>RGH2P34</v>
      </c>
      <c r="D84" s="6" t="s">
        <v>36</v>
      </c>
      <c r="E84" s="11" t="s">
        <v>47</v>
      </c>
      <c r="F84" s="11" t="s">
        <v>96</v>
      </c>
      <c r="G84" s="11" t="s">
        <v>131</v>
      </c>
      <c r="H84" s="18">
        <v>13.4</v>
      </c>
      <c r="I84" s="5" t="s">
        <v>52</v>
      </c>
      <c r="J84" s="19">
        <v>13</v>
      </c>
      <c r="K84" s="5" t="s">
        <v>49</v>
      </c>
      <c r="L84" s="5" t="s">
        <v>53</v>
      </c>
      <c r="M84" s="23" t="s">
        <v>97</v>
      </c>
      <c r="N84" s="25"/>
      <c r="O84" s="25"/>
      <c r="P84" s="25"/>
      <c r="Q84" s="17" t="s">
        <v>43</v>
      </c>
    </row>
    <row r="85" spans="2:17">
      <c r="B85" s="11" t="s">
        <v>55</v>
      </c>
      <c r="C85" s="5" t="str">
        <f t="shared" si="1"/>
        <v>RGH2P35</v>
      </c>
      <c r="D85" s="6" t="s">
        <v>36</v>
      </c>
      <c r="E85" s="11" t="s">
        <v>47</v>
      </c>
      <c r="F85" s="11" t="s">
        <v>96</v>
      </c>
      <c r="G85" s="11" t="s">
        <v>132</v>
      </c>
      <c r="H85" s="18">
        <v>13.4</v>
      </c>
      <c r="I85" s="5" t="s">
        <v>52</v>
      </c>
      <c r="J85" s="19">
        <v>13</v>
      </c>
      <c r="K85" s="5" t="s">
        <v>49</v>
      </c>
      <c r="L85" s="5" t="s">
        <v>53</v>
      </c>
      <c r="M85" s="23" t="s">
        <v>97</v>
      </c>
      <c r="N85" s="25"/>
      <c r="O85" s="25"/>
      <c r="P85" s="25"/>
      <c r="Q85" s="17" t="s">
        <v>43</v>
      </c>
    </row>
    <row r="86" spans="2:17">
      <c r="B86" s="11" t="s">
        <v>55</v>
      </c>
      <c r="C86" s="5" t="str">
        <f t="shared" si="1"/>
        <v>RGH2P36</v>
      </c>
      <c r="D86" s="6" t="s">
        <v>36</v>
      </c>
      <c r="E86" s="11" t="s">
        <v>47</v>
      </c>
      <c r="F86" s="11" t="s">
        <v>96</v>
      </c>
      <c r="G86" s="11" t="s">
        <v>133</v>
      </c>
      <c r="H86" s="18">
        <v>13.4</v>
      </c>
      <c r="I86" s="5" t="s">
        <v>52</v>
      </c>
      <c r="J86" s="19">
        <v>13</v>
      </c>
      <c r="K86" s="5" t="s">
        <v>49</v>
      </c>
      <c r="L86" s="5" t="s">
        <v>53</v>
      </c>
      <c r="M86" s="23" t="s">
        <v>97</v>
      </c>
      <c r="N86" s="25"/>
      <c r="O86" s="25"/>
      <c r="P86" s="25"/>
      <c r="Q86" s="17" t="s">
        <v>43</v>
      </c>
    </row>
    <row r="87" spans="2:17">
      <c r="B87" s="11" t="s">
        <v>55</v>
      </c>
      <c r="C87" s="5" t="str">
        <f t="shared" si="1"/>
        <v>RGH2P37</v>
      </c>
      <c r="D87" s="6" t="s">
        <v>36</v>
      </c>
      <c r="E87" s="11" t="s">
        <v>47</v>
      </c>
      <c r="F87" s="11" t="s">
        <v>96</v>
      </c>
      <c r="G87" s="11" t="s">
        <v>134</v>
      </c>
      <c r="H87" s="18">
        <v>13.4</v>
      </c>
      <c r="I87" s="5" t="s">
        <v>52</v>
      </c>
      <c r="J87" s="19">
        <v>13</v>
      </c>
      <c r="K87" s="5" t="s">
        <v>49</v>
      </c>
      <c r="L87" s="5" t="s">
        <v>53</v>
      </c>
      <c r="M87" s="23" t="s">
        <v>97</v>
      </c>
      <c r="N87" s="25"/>
      <c r="O87" s="25"/>
      <c r="P87" s="25"/>
      <c r="Q87" s="17" t="s">
        <v>43</v>
      </c>
    </row>
    <row r="88" spans="2:17">
      <c r="B88" s="11" t="s">
        <v>55</v>
      </c>
      <c r="C88" s="5" t="str">
        <f t="shared" si="1"/>
        <v>RGH2P38</v>
      </c>
      <c r="D88" s="6" t="s">
        <v>36</v>
      </c>
      <c r="E88" s="11" t="s">
        <v>47</v>
      </c>
      <c r="F88" s="11" t="s">
        <v>96</v>
      </c>
      <c r="G88" s="11" t="s">
        <v>135</v>
      </c>
      <c r="H88" s="18">
        <v>13.4</v>
      </c>
      <c r="I88" s="5" t="s">
        <v>52</v>
      </c>
      <c r="J88" s="19">
        <v>13</v>
      </c>
      <c r="K88" s="5" t="s">
        <v>49</v>
      </c>
      <c r="L88" s="5" t="s">
        <v>53</v>
      </c>
      <c r="M88" s="23" t="s">
        <v>97</v>
      </c>
      <c r="N88" s="25"/>
      <c r="O88" s="25"/>
      <c r="P88" s="25"/>
      <c r="Q88" s="17" t="s">
        <v>43</v>
      </c>
    </row>
    <row r="89" spans="2:17">
      <c r="B89" s="11" t="s">
        <v>55</v>
      </c>
      <c r="C89" s="5" t="str">
        <f t="shared" si="1"/>
        <v>RGH2P39</v>
      </c>
      <c r="D89" s="6" t="s">
        <v>36</v>
      </c>
      <c r="E89" s="11" t="s">
        <v>47</v>
      </c>
      <c r="F89" s="11" t="s">
        <v>96</v>
      </c>
      <c r="G89" s="11" t="s">
        <v>136</v>
      </c>
      <c r="H89" s="18">
        <v>13.4</v>
      </c>
      <c r="I89" s="5" t="s">
        <v>52</v>
      </c>
      <c r="J89" s="19">
        <v>13</v>
      </c>
      <c r="K89" s="5" t="s">
        <v>49</v>
      </c>
      <c r="L89" s="5" t="s">
        <v>53</v>
      </c>
      <c r="M89" s="23" t="s">
        <v>97</v>
      </c>
      <c r="N89" s="25"/>
      <c r="O89" s="25"/>
      <c r="P89" s="25"/>
      <c r="Q89" s="17" t="s">
        <v>43</v>
      </c>
    </row>
    <row r="90" spans="2:17">
      <c r="B90" s="11" t="s">
        <v>55</v>
      </c>
      <c r="C90" s="5" t="str">
        <f t="shared" si="1"/>
        <v>RGH2P40</v>
      </c>
      <c r="D90" s="6" t="s">
        <v>36</v>
      </c>
      <c r="E90" s="11" t="s">
        <v>47</v>
      </c>
      <c r="F90" s="11" t="s">
        <v>96</v>
      </c>
      <c r="G90" s="11" t="s">
        <v>137</v>
      </c>
      <c r="H90" s="18">
        <v>13.4</v>
      </c>
      <c r="I90" s="5" t="s">
        <v>52</v>
      </c>
      <c r="J90" s="19">
        <v>13</v>
      </c>
      <c r="K90" s="5" t="s">
        <v>49</v>
      </c>
      <c r="L90" s="5" t="s">
        <v>53</v>
      </c>
      <c r="M90" s="23" t="s">
        <v>97</v>
      </c>
      <c r="N90" s="25"/>
      <c r="O90" s="25"/>
      <c r="P90" s="25"/>
      <c r="Q90" s="17" t="s">
        <v>43</v>
      </c>
    </row>
    <row r="91" spans="2:17">
      <c r="B91" s="11"/>
      <c r="D91" s="6"/>
      <c r="F91" s="11"/>
      <c r="G91" s="11"/>
      <c r="H91" s="18"/>
      <c r="J91" s="19"/>
      <c r="M91" s="23"/>
      <c r="N91" s="20"/>
      <c r="O91" s="20"/>
      <c r="P91" s="20"/>
      <c r="Q91" s="17"/>
    </row>
    <row r="92" spans="2:17">
      <c r="B92" s="11" t="s">
        <v>50</v>
      </c>
      <c r="C92" s="5" t="str">
        <f t="shared" si="1"/>
        <v>RGH03</v>
      </c>
      <c r="D92" s="6" t="s">
        <v>36</v>
      </c>
      <c r="E92" s="11" t="s">
        <v>47</v>
      </c>
      <c r="F92" s="11" t="s">
        <v>138</v>
      </c>
      <c r="G92" s="11"/>
      <c r="H92" s="18">
        <v>536</v>
      </c>
      <c r="I92" s="5" t="s">
        <v>52</v>
      </c>
      <c r="J92" s="19">
        <v>520</v>
      </c>
      <c r="K92" s="5" t="s">
        <v>49</v>
      </c>
      <c r="L92" s="5" t="s">
        <v>53</v>
      </c>
      <c r="M92" s="23" t="s">
        <v>139</v>
      </c>
      <c r="N92" s="25">
        <v>10700</v>
      </c>
      <c r="O92" s="25">
        <v>6</v>
      </c>
      <c r="P92" s="25">
        <v>4</v>
      </c>
      <c r="Q92" s="17" t="s">
        <v>43</v>
      </c>
    </row>
    <row r="93" spans="2:17">
      <c r="B93" s="11" t="s">
        <v>55</v>
      </c>
      <c r="C93" s="5" t="str">
        <f t="shared" si="1"/>
        <v>RGH3P01</v>
      </c>
      <c r="D93" s="6" t="s">
        <v>36</v>
      </c>
      <c r="E93" s="11" t="s">
        <v>47</v>
      </c>
      <c r="F93" s="11" t="s">
        <v>138</v>
      </c>
      <c r="G93" s="11" t="s">
        <v>140</v>
      </c>
      <c r="H93" s="18">
        <v>13.4</v>
      </c>
      <c r="I93" s="5" t="s">
        <v>52</v>
      </c>
      <c r="J93" s="19">
        <v>13</v>
      </c>
      <c r="K93" s="5" t="s">
        <v>49</v>
      </c>
      <c r="L93" s="5" t="s">
        <v>53</v>
      </c>
      <c r="M93" s="23" t="s">
        <v>139</v>
      </c>
      <c r="N93" s="25"/>
      <c r="O93" s="25"/>
      <c r="P93" s="25"/>
      <c r="Q93" s="17" t="s">
        <v>43</v>
      </c>
    </row>
    <row r="94" spans="2:17">
      <c r="B94" s="11" t="s">
        <v>55</v>
      </c>
      <c r="C94" s="5" t="str">
        <f t="shared" si="1"/>
        <v>RGH3P02</v>
      </c>
      <c r="D94" s="6" t="s">
        <v>36</v>
      </c>
      <c r="E94" s="11" t="s">
        <v>47</v>
      </c>
      <c r="F94" s="11" t="s">
        <v>138</v>
      </c>
      <c r="G94" s="11" t="s">
        <v>141</v>
      </c>
      <c r="H94" s="18">
        <v>13.4</v>
      </c>
      <c r="I94" s="5" t="s">
        <v>52</v>
      </c>
      <c r="J94" s="19">
        <v>13</v>
      </c>
      <c r="K94" s="5" t="s">
        <v>49</v>
      </c>
      <c r="L94" s="5" t="s">
        <v>53</v>
      </c>
      <c r="M94" s="23" t="s">
        <v>139</v>
      </c>
      <c r="N94" s="25"/>
      <c r="O94" s="25"/>
      <c r="P94" s="25"/>
      <c r="Q94" s="17" t="s">
        <v>43</v>
      </c>
    </row>
    <row r="95" spans="2:17">
      <c r="B95" s="11" t="s">
        <v>55</v>
      </c>
      <c r="C95" s="5" t="str">
        <f t="shared" si="1"/>
        <v>RGH3P03</v>
      </c>
      <c r="D95" s="6" t="s">
        <v>36</v>
      </c>
      <c r="E95" s="11" t="s">
        <v>47</v>
      </c>
      <c r="F95" s="11" t="s">
        <v>138</v>
      </c>
      <c r="G95" s="11" t="s">
        <v>142</v>
      </c>
      <c r="H95" s="18">
        <v>13.4</v>
      </c>
      <c r="I95" s="5" t="s">
        <v>52</v>
      </c>
      <c r="J95" s="19">
        <v>13</v>
      </c>
      <c r="K95" s="5" t="s">
        <v>49</v>
      </c>
      <c r="L95" s="5" t="s">
        <v>53</v>
      </c>
      <c r="M95" s="23" t="s">
        <v>139</v>
      </c>
      <c r="N95" s="25"/>
      <c r="O95" s="25"/>
      <c r="P95" s="25"/>
      <c r="Q95" s="17" t="s">
        <v>43</v>
      </c>
    </row>
    <row r="96" spans="2:17">
      <c r="B96" s="11" t="s">
        <v>55</v>
      </c>
      <c r="C96" s="5" t="str">
        <f t="shared" si="1"/>
        <v>RGH3P04</v>
      </c>
      <c r="D96" s="6" t="s">
        <v>36</v>
      </c>
      <c r="E96" s="11" t="s">
        <v>47</v>
      </c>
      <c r="F96" s="11" t="s">
        <v>138</v>
      </c>
      <c r="G96" s="11" t="s">
        <v>143</v>
      </c>
      <c r="H96" s="18">
        <v>13.4</v>
      </c>
      <c r="I96" s="5" t="s">
        <v>52</v>
      </c>
      <c r="J96" s="19">
        <v>13</v>
      </c>
      <c r="K96" s="5" t="s">
        <v>49</v>
      </c>
      <c r="L96" s="5" t="s">
        <v>53</v>
      </c>
      <c r="M96" s="23" t="s">
        <v>139</v>
      </c>
      <c r="N96" s="25"/>
      <c r="O96" s="25"/>
      <c r="P96" s="25"/>
      <c r="Q96" s="17" t="s">
        <v>43</v>
      </c>
    </row>
    <row r="97" spans="2:17">
      <c r="B97" s="11" t="s">
        <v>55</v>
      </c>
      <c r="C97" s="5" t="str">
        <f t="shared" si="1"/>
        <v>RGH3P05</v>
      </c>
      <c r="D97" s="6" t="s">
        <v>36</v>
      </c>
      <c r="E97" s="11" t="s">
        <v>47</v>
      </c>
      <c r="F97" s="11" t="s">
        <v>138</v>
      </c>
      <c r="G97" s="11" t="s">
        <v>144</v>
      </c>
      <c r="H97" s="18">
        <v>13.4</v>
      </c>
      <c r="I97" s="5" t="s">
        <v>52</v>
      </c>
      <c r="J97" s="19">
        <v>13</v>
      </c>
      <c r="K97" s="5" t="s">
        <v>49</v>
      </c>
      <c r="L97" s="5" t="s">
        <v>53</v>
      </c>
      <c r="M97" s="23" t="s">
        <v>139</v>
      </c>
      <c r="N97" s="25"/>
      <c r="O97" s="25"/>
      <c r="P97" s="25"/>
      <c r="Q97" s="17" t="s">
        <v>43</v>
      </c>
    </row>
    <row r="98" spans="2:17">
      <c r="B98" s="11" t="s">
        <v>55</v>
      </c>
      <c r="C98" s="5" t="str">
        <f t="shared" si="1"/>
        <v>RGH3P06</v>
      </c>
      <c r="D98" s="6" t="s">
        <v>36</v>
      </c>
      <c r="E98" s="11" t="s">
        <v>47</v>
      </c>
      <c r="F98" s="11" t="s">
        <v>138</v>
      </c>
      <c r="G98" s="11" t="s">
        <v>145</v>
      </c>
      <c r="H98" s="18">
        <v>13.4</v>
      </c>
      <c r="I98" s="5" t="s">
        <v>52</v>
      </c>
      <c r="J98" s="19">
        <v>13</v>
      </c>
      <c r="K98" s="5" t="s">
        <v>49</v>
      </c>
      <c r="L98" s="5" t="s">
        <v>53</v>
      </c>
      <c r="M98" s="23" t="s">
        <v>139</v>
      </c>
      <c r="N98" s="25"/>
      <c r="O98" s="25"/>
      <c r="P98" s="25"/>
      <c r="Q98" s="17" t="s">
        <v>43</v>
      </c>
    </row>
    <row r="99" spans="2:17">
      <c r="B99" s="11" t="s">
        <v>55</v>
      </c>
      <c r="C99" s="5" t="str">
        <f t="shared" si="1"/>
        <v>RGH3P07</v>
      </c>
      <c r="D99" s="6" t="s">
        <v>36</v>
      </c>
      <c r="E99" s="11" t="s">
        <v>47</v>
      </c>
      <c r="F99" s="11" t="s">
        <v>138</v>
      </c>
      <c r="G99" s="11" t="s">
        <v>146</v>
      </c>
      <c r="H99" s="18">
        <v>13.4</v>
      </c>
      <c r="I99" s="5" t="s">
        <v>52</v>
      </c>
      <c r="J99" s="19">
        <v>13</v>
      </c>
      <c r="K99" s="5" t="s">
        <v>49</v>
      </c>
      <c r="L99" s="5" t="s">
        <v>53</v>
      </c>
      <c r="M99" s="23" t="s">
        <v>139</v>
      </c>
      <c r="N99" s="25"/>
      <c r="O99" s="25"/>
      <c r="P99" s="25"/>
      <c r="Q99" s="17" t="s">
        <v>43</v>
      </c>
    </row>
    <row r="100" spans="2:17">
      <c r="B100" s="11" t="s">
        <v>55</v>
      </c>
      <c r="C100" s="5" t="str">
        <f t="shared" si="1"/>
        <v>RGH3P08</v>
      </c>
      <c r="D100" s="6" t="s">
        <v>36</v>
      </c>
      <c r="E100" s="11" t="s">
        <v>47</v>
      </c>
      <c r="F100" s="11" t="s">
        <v>138</v>
      </c>
      <c r="G100" s="11" t="s">
        <v>147</v>
      </c>
      <c r="H100" s="18">
        <v>13.4</v>
      </c>
      <c r="I100" s="5" t="s">
        <v>52</v>
      </c>
      <c r="J100" s="19">
        <v>13</v>
      </c>
      <c r="K100" s="5" t="s">
        <v>49</v>
      </c>
      <c r="L100" s="5" t="s">
        <v>53</v>
      </c>
      <c r="M100" s="23" t="s">
        <v>139</v>
      </c>
      <c r="N100" s="25"/>
      <c r="O100" s="25"/>
      <c r="P100" s="25"/>
      <c r="Q100" s="17" t="s">
        <v>43</v>
      </c>
    </row>
    <row r="101" spans="2:17">
      <c r="B101" s="11" t="s">
        <v>55</v>
      </c>
      <c r="C101" s="5" t="str">
        <f t="shared" si="1"/>
        <v>RGH3P09</v>
      </c>
      <c r="D101" s="6" t="s">
        <v>36</v>
      </c>
      <c r="E101" s="11" t="s">
        <v>47</v>
      </c>
      <c r="F101" s="11" t="s">
        <v>138</v>
      </c>
      <c r="G101" s="11" t="s">
        <v>148</v>
      </c>
      <c r="H101" s="18">
        <v>13.4</v>
      </c>
      <c r="I101" s="5" t="s">
        <v>52</v>
      </c>
      <c r="J101" s="19">
        <v>13</v>
      </c>
      <c r="K101" s="5" t="s">
        <v>49</v>
      </c>
      <c r="L101" s="5" t="s">
        <v>53</v>
      </c>
      <c r="M101" s="23" t="s">
        <v>139</v>
      </c>
      <c r="N101" s="25"/>
      <c r="O101" s="25"/>
      <c r="P101" s="25"/>
      <c r="Q101" s="17" t="s">
        <v>43</v>
      </c>
    </row>
    <row r="102" spans="2:17">
      <c r="B102" s="11" t="s">
        <v>55</v>
      </c>
      <c r="C102" s="5" t="str">
        <f t="shared" si="1"/>
        <v>RGH3P10</v>
      </c>
      <c r="D102" s="6" t="s">
        <v>36</v>
      </c>
      <c r="E102" s="11" t="s">
        <v>47</v>
      </c>
      <c r="F102" s="11" t="s">
        <v>138</v>
      </c>
      <c r="G102" s="11" t="s">
        <v>149</v>
      </c>
      <c r="H102" s="18">
        <v>13.4</v>
      </c>
      <c r="I102" s="5" t="s">
        <v>52</v>
      </c>
      <c r="J102" s="19">
        <v>13</v>
      </c>
      <c r="K102" s="5" t="s">
        <v>49</v>
      </c>
      <c r="L102" s="5" t="s">
        <v>53</v>
      </c>
      <c r="M102" s="23" t="s">
        <v>139</v>
      </c>
      <c r="N102" s="25"/>
      <c r="O102" s="25"/>
      <c r="P102" s="25"/>
      <c r="Q102" s="17" t="s">
        <v>43</v>
      </c>
    </row>
    <row r="103" spans="2:17">
      <c r="B103" s="11" t="s">
        <v>55</v>
      </c>
      <c r="C103" s="5" t="str">
        <f t="shared" si="1"/>
        <v>RGH3P11</v>
      </c>
      <c r="D103" s="6" t="s">
        <v>36</v>
      </c>
      <c r="E103" s="11" t="s">
        <v>47</v>
      </c>
      <c r="F103" s="11" t="s">
        <v>138</v>
      </c>
      <c r="G103" s="11" t="s">
        <v>150</v>
      </c>
      <c r="H103" s="18">
        <v>13.4</v>
      </c>
      <c r="I103" s="5" t="s">
        <v>52</v>
      </c>
      <c r="J103" s="19">
        <v>13</v>
      </c>
      <c r="K103" s="5" t="s">
        <v>49</v>
      </c>
      <c r="L103" s="5" t="s">
        <v>53</v>
      </c>
      <c r="M103" s="23" t="s">
        <v>139</v>
      </c>
      <c r="N103" s="25"/>
      <c r="O103" s="25"/>
      <c r="P103" s="25"/>
      <c r="Q103" s="17" t="s">
        <v>43</v>
      </c>
    </row>
    <row r="104" spans="2:17">
      <c r="B104" s="11" t="s">
        <v>55</v>
      </c>
      <c r="C104" s="5" t="str">
        <f t="shared" si="1"/>
        <v>RGH3P12</v>
      </c>
      <c r="D104" s="6" t="s">
        <v>36</v>
      </c>
      <c r="E104" s="11" t="s">
        <v>47</v>
      </c>
      <c r="F104" s="11" t="s">
        <v>138</v>
      </c>
      <c r="G104" s="11" t="s">
        <v>151</v>
      </c>
      <c r="H104" s="18">
        <v>13.4</v>
      </c>
      <c r="I104" s="5" t="s">
        <v>52</v>
      </c>
      <c r="J104" s="19">
        <v>13</v>
      </c>
      <c r="K104" s="5" t="s">
        <v>49</v>
      </c>
      <c r="L104" s="5" t="s">
        <v>53</v>
      </c>
      <c r="M104" s="23" t="s">
        <v>139</v>
      </c>
      <c r="N104" s="25"/>
      <c r="O104" s="25"/>
      <c r="P104" s="25"/>
      <c r="Q104" s="17" t="s">
        <v>43</v>
      </c>
    </row>
    <row r="105" spans="2:17">
      <c r="B105" s="11" t="s">
        <v>55</v>
      </c>
      <c r="C105" s="5" t="str">
        <f t="shared" si="1"/>
        <v>RGH3P13</v>
      </c>
      <c r="D105" s="6" t="s">
        <v>36</v>
      </c>
      <c r="E105" s="11" t="s">
        <v>47</v>
      </c>
      <c r="F105" s="11" t="s">
        <v>138</v>
      </c>
      <c r="G105" s="11" t="s">
        <v>152</v>
      </c>
      <c r="H105" s="18">
        <v>13.4</v>
      </c>
      <c r="I105" s="5" t="s">
        <v>52</v>
      </c>
      <c r="J105" s="19">
        <v>13</v>
      </c>
      <c r="K105" s="5" t="s">
        <v>49</v>
      </c>
      <c r="L105" s="5" t="s">
        <v>53</v>
      </c>
      <c r="M105" s="23" t="s">
        <v>139</v>
      </c>
      <c r="N105" s="25"/>
      <c r="O105" s="25"/>
      <c r="P105" s="25"/>
      <c r="Q105" s="17" t="s">
        <v>43</v>
      </c>
    </row>
    <row r="106" spans="2:17">
      <c r="B106" s="11" t="s">
        <v>55</v>
      </c>
      <c r="C106" s="5" t="str">
        <f t="shared" si="1"/>
        <v>RGH3P14</v>
      </c>
      <c r="D106" s="6" t="s">
        <v>36</v>
      </c>
      <c r="E106" s="11" t="s">
        <v>47</v>
      </c>
      <c r="F106" s="11" t="s">
        <v>138</v>
      </c>
      <c r="G106" s="11" t="s">
        <v>153</v>
      </c>
      <c r="H106" s="18">
        <v>13.4</v>
      </c>
      <c r="I106" s="5" t="s">
        <v>52</v>
      </c>
      <c r="J106" s="19">
        <v>13</v>
      </c>
      <c r="K106" s="5" t="s">
        <v>49</v>
      </c>
      <c r="L106" s="5" t="s">
        <v>53</v>
      </c>
      <c r="M106" s="23" t="s">
        <v>139</v>
      </c>
      <c r="N106" s="25"/>
      <c r="O106" s="25"/>
      <c r="P106" s="25"/>
      <c r="Q106" s="17" t="s">
        <v>43</v>
      </c>
    </row>
    <row r="107" spans="2:17">
      <c r="B107" s="11" t="s">
        <v>55</v>
      </c>
      <c r="C107" s="5" t="str">
        <f t="shared" si="1"/>
        <v>RGH3P15</v>
      </c>
      <c r="D107" s="6" t="s">
        <v>36</v>
      </c>
      <c r="E107" s="11" t="s">
        <v>47</v>
      </c>
      <c r="F107" s="11" t="s">
        <v>138</v>
      </c>
      <c r="G107" s="11" t="s">
        <v>154</v>
      </c>
      <c r="H107" s="18">
        <v>13.4</v>
      </c>
      <c r="I107" s="5" t="s">
        <v>52</v>
      </c>
      <c r="J107" s="19">
        <v>13</v>
      </c>
      <c r="K107" s="5" t="s">
        <v>49</v>
      </c>
      <c r="L107" s="5" t="s">
        <v>53</v>
      </c>
      <c r="M107" s="23" t="s">
        <v>139</v>
      </c>
      <c r="N107" s="25"/>
      <c r="O107" s="25"/>
      <c r="P107" s="25"/>
      <c r="Q107" s="17" t="s">
        <v>43</v>
      </c>
    </row>
    <row r="108" spans="2:17">
      <c r="B108" s="11" t="s">
        <v>55</v>
      </c>
      <c r="C108" s="5" t="str">
        <f t="shared" si="1"/>
        <v>RGH3P16</v>
      </c>
      <c r="D108" s="6" t="s">
        <v>36</v>
      </c>
      <c r="E108" s="11" t="s">
        <v>47</v>
      </c>
      <c r="F108" s="11" t="s">
        <v>138</v>
      </c>
      <c r="G108" s="11" t="s">
        <v>155</v>
      </c>
      <c r="H108" s="18">
        <v>13.4</v>
      </c>
      <c r="I108" s="5" t="s">
        <v>52</v>
      </c>
      <c r="J108" s="19">
        <v>13</v>
      </c>
      <c r="K108" s="5" t="s">
        <v>49</v>
      </c>
      <c r="L108" s="5" t="s">
        <v>53</v>
      </c>
      <c r="M108" s="23" t="s">
        <v>139</v>
      </c>
      <c r="N108" s="25"/>
      <c r="O108" s="25"/>
      <c r="P108" s="25"/>
      <c r="Q108" s="17" t="s">
        <v>43</v>
      </c>
    </row>
    <row r="109" spans="2:17">
      <c r="B109" s="11" t="s">
        <v>55</v>
      </c>
      <c r="C109" s="5" t="str">
        <f t="shared" si="1"/>
        <v>RGH3P17</v>
      </c>
      <c r="D109" s="6" t="s">
        <v>36</v>
      </c>
      <c r="E109" s="11" t="s">
        <v>47</v>
      </c>
      <c r="F109" s="11" t="s">
        <v>138</v>
      </c>
      <c r="G109" s="11" t="s">
        <v>156</v>
      </c>
      <c r="H109" s="18">
        <v>13.4</v>
      </c>
      <c r="I109" s="5" t="s">
        <v>52</v>
      </c>
      <c r="J109" s="19">
        <v>13</v>
      </c>
      <c r="K109" s="5" t="s">
        <v>49</v>
      </c>
      <c r="L109" s="5" t="s">
        <v>53</v>
      </c>
      <c r="M109" s="23" t="s">
        <v>139</v>
      </c>
      <c r="N109" s="25"/>
      <c r="O109" s="25"/>
      <c r="P109" s="25"/>
      <c r="Q109" s="17" t="s">
        <v>43</v>
      </c>
    </row>
    <row r="110" spans="2:17">
      <c r="B110" s="11" t="s">
        <v>55</v>
      </c>
      <c r="C110" s="5" t="str">
        <f t="shared" si="1"/>
        <v>RGH3P18</v>
      </c>
      <c r="D110" s="6" t="s">
        <v>36</v>
      </c>
      <c r="E110" s="11" t="s">
        <v>47</v>
      </c>
      <c r="F110" s="11" t="s">
        <v>138</v>
      </c>
      <c r="G110" s="11" t="s">
        <v>157</v>
      </c>
      <c r="H110" s="18">
        <v>13.4</v>
      </c>
      <c r="I110" s="5" t="s">
        <v>52</v>
      </c>
      <c r="J110" s="19">
        <v>13</v>
      </c>
      <c r="K110" s="5" t="s">
        <v>49</v>
      </c>
      <c r="L110" s="5" t="s">
        <v>53</v>
      </c>
      <c r="M110" s="23" t="s">
        <v>139</v>
      </c>
      <c r="N110" s="25"/>
      <c r="O110" s="25"/>
      <c r="P110" s="25"/>
      <c r="Q110" s="17" t="s">
        <v>43</v>
      </c>
    </row>
    <row r="111" spans="2:17">
      <c r="B111" s="11" t="s">
        <v>55</v>
      </c>
      <c r="C111" s="5" t="str">
        <f t="shared" si="1"/>
        <v>RGH3P19</v>
      </c>
      <c r="D111" s="6" t="s">
        <v>36</v>
      </c>
      <c r="E111" s="11" t="s">
        <v>47</v>
      </c>
      <c r="F111" s="11" t="s">
        <v>138</v>
      </c>
      <c r="G111" s="11" t="s">
        <v>158</v>
      </c>
      <c r="H111" s="18">
        <v>13.4</v>
      </c>
      <c r="I111" s="5" t="s">
        <v>52</v>
      </c>
      <c r="J111" s="19">
        <v>13</v>
      </c>
      <c r="K111" s="5" t="s">
        <v>49</v>
      </c>
      <c r="L111" s="5" t="s">
        <v>53</v>
      </c>
      <c r="M111" s="23" t="s">
        <v>139</v>
      </c>
      <c r="N111" s="25"/>
      <c r="O111" s="25"/>
      <c r="P111" s="25"/>
      <c r="Q111" s="17" t="s">
        <v>43</v>
      </c>
    </row>
    <row r="112" spans="2:17">
      <c r="B112" s="11" t="s">
        <v>55</v>
      </c>
      <c r="C112" s="5" t="str">
        <f t="shared" si="1"/>
        <v>RGH3P20</v>
      </c>
      <c r="D112" s="6" t="s">
        <v>36</v>
      </c>
      <c r="E112" s="11" t="s">
        <v>47</v>
      </c>
      <c r="F112" s="11" t="s">
        <v>138</v>
      </c>
      <c r="G112" s="11" t="s">
        <v>159</v>
      </c>
      <c r="H112" s="18">
        <v>13.4</v>
      </c>
      <c r="I112" s="5" t="s">
        <v>52</v>
      </c>
      <c r="J112" s="19">
        <v>13</v>
      </c>
      <c r="K112" s="5" t="s">
        <v>49</v>
      </c>
      <c r="L112" s="5" t="s">
        <v>53</v>
      </c>
      <c r="M112" s="23" t="s">
        <v>139</v>
      </c>
      <c r="N112" s="25"/>
      <c r="O112" s="25"/>
      <c r="P112" s="25"/>
      <c r="Q112" s="17" t="s">
        <v>43</v>
      </c>
    </row>
    <row r="113" spans="2:17">
      <c r="B113" s="11" t="s">
        <v>55</v>
      </c>
      <c r="C113" s="5" t="str">
        <f t="shared" si="1"/>
        <v>RGH3P21</v>
      </c>
      <c r="D113" s="6" t="s">
        <v>36</v>
      </c>
      <c r="E113" s="11" t="s">
        <v>47</v>
      </c>
      <c r="F113" s="11" t="s">
        <v>138</v>
      </c>
      <c r="G113" s="11" t="s">
        <v>160</v>
      </c>
      <c r="H113" s="18">
        <v>13.4</v>
      </c>
      <c r="I113" s="5" t="s">
        <v>52</v>
      </c>
      <c r="J113" s="19">
        <v>13</v>
      </c>
      <c r="K113" s="5" t="s">
        <v>49</v>
      </c>
      <c r="L113" s="5" t="s">
        <v>53</v>
      </c>
      <c r="M113" s="23" t="s">
        <v>139</v>
      </c>
      <c r="N113" s="25"/>
      <c r="O113" s="25"/>
      <c r="P113" s="25"/>
      <c r="Q113" s="17" t="s">
        <v>43</v>
      </c>
    </row>
    <row r="114" spans="2:17">
      <c r="B114" s="11" t="s">
        <v>55</v>
      </c>
      <c r="C114" s="5" t="str">
        <f t="shared" si="1"/>
        <v>RGH3P22</v>
      </c>
      <c r="D114" s="6" t="s">
        <v>36</v>
      </c>
      <c r="E114" s="11" t="s">
        <v>47</v>
      </c>
      <c r="F114" s="11" t="s">
        <v>138</v>
      </c>
      <c r="G114" s="11" t="s">
        <v>161</v>
      </c>
      <c r="H114" s="18">
        <v>13.4</v>
      </c>
      <c r="I114" s="5" t="s">
        <v>52</v>
      </c>
      <c r="J114" s="19">
        <v>13</v>
      </c>
      <c r="K114" s="5" t="s">
        <v>49</v>
      </c>
      <c r="L114" s="5" t="s">
        <v>53</v>
      </c>
      <c r="M114" s="23" t="s">
        <v>139</v>
      </c>
      <c r="N114" s="25"/>
      <c r="O114" s="25"/>
      <c r="P114" s="25"/>
      <c r="Q114" s="17" t="s">
        <v>43</v>
      </c>
    </row>
    <row r="115" spans="2:17">
      <c r="B115" s="11" t="s">
        <v>55</v>
      </c>
      <c r="C115" s="5" t="str">
        <f t="shared" si="1"/>
        <v>RGH3P23</v>
      </c>
      <c r="D115" s="6" t="s">
        <v>36</v>
      </c>
      <c r="E115" s="11" t="s">
        <v>47</v>
      </c>
      <c r="F115" s="11" t="s">
        <v>138</v>
      </c>
      <c r="G115" s="11" t="s">
        <v>162</v>
      </c>
      <c r="H115" s="18">
        <v>13.4</v>
      </c>
      <c r="I115" s="5" t="s">
        <v>52</v>
      </c>
      <c r="J115" s="19">
        <v>13</v>
      </c>
      <c r="K115" s="5" t="s">
        <v>49</v>
      </c>
      <c r="L115" s="5" t="s">
        <v>53</v>
      </c>
      <c r="M115" s="23" t="s">
        <v>139</v>
      </c>
      <c r="N115" s="25"/>
      <c r="O115" s="25"/>
      <c r="P115" s="25"/>
      <c r="Q115" s="17" t="s">
        <v>43</v>
      </c>
    </row>
    <row r="116" spans="2:17">
      <c r="B116" s="11" t="s">
        <v>55</v>
      </c>
      <c r="C116" s="5" t="str">
        <f t="shared" si="1"/>
        <v>RGH3P24</v>
      </c>
      <c r="D116" s="6" t="s">
        <v>36</v>
      </c>
      <c r="E116" s="11" t="s">
        <v>47</v>
      </c>
      <c r="F116" s="11" t="s">
        <v>138</v>
      </c>
      <c r="G116" s="11" t="s">
        <v>163</v>
      </c>
      <c r="H116" s="18">
        <v>13.4</v>
      </c>
      <c r="I116" s="5" t="s">
        <v>52</v>
      </c>
      <c r="J116" s="19">
        <v>13</v>
      </c>
      <c r="K116" s="5" t="s">
        <v>49</v>
      </c>
      <c r="L116" s="5" t="s">
        <v>53</v>
      </c>
      <c r="M116" s="23" t="s">
        <v>139</v>
      </c>
      <c r="N116" s="25"/>
      <c r="O116" s="25"/>
      <c r="P116" s="25"/>
      <c r="Q116" s="17" t="s">
        <v>43</v>
      </c>
    </row>
    <row r="117" spans="2:17">
      <c r="B117" s="11" t="s">
        <v>55</v>
      </c>
      <c r="C117" s="5" t="str">
        <f t="shared" si="1"/>
        <v>RGH3P25</v>
      </c>
      <c r="D117" s="6" t="s">
        <v>36</v>
      </c>
      <c r="E117" s="11" t="s">
        <v>47</v>
      </c>
      <c r="F117" s="11" t="s">
        <v>138</v>
      </c>
      <c r="G117" s="11" t="s">
        <v>164</v>
      </c>
      <c r="H117" s="18">
        <v>13.4</v>
      </c>
      <c r="I117" s="5" t="s">
        <v>52</v>
      </c>
      <c r="J117" s="19">
        <v>13</v>
      </c>
      <c r="K117" s="5" t="s">
        <v>49</v>
      </c>
      <c r="L117" s="5" t="s">
        <v>53</v>
      </c>
      <c r="M117" s="23" t="s">
        <v>139</v>
      </c>
      <c r="N117" s="25"/>
      <c r="O117" s="25"/>
      <c r="P117" s="25"/>
      <c r="Q117" s="17" t="s">
        <v>43</v>
      </c>
    </row>
    <row r="118" spans="2:17">
      <c r="B118" s="11" t="s">
        <v>55</v>
      </c>
      <c r="C118" s="5" t="str">
        <f t="shared" si="1"/>
        <v>RGH3P26</v>
      </c>
      <c r="D118" s="6" t="s">
        <v>36</v>
      </c>
      <c r="E118" s="11" t="s">
        <v>47</v>
      </c>
      <c r="F118" s="11" t="s">
        <v>138</v>
      </c>
      <c r="G118" s="11" t="s">
        <v>165</v>
      </c>
      <c r="H118" s="18">
        <v>13.4</v>
      </c>
      <c r="I118" s="5" t="s">
        <v>52</v>
      </c>
      <c r="J118" s="19">
        <v>13</v>
      </c>
      <c r="K118" s="5" t="s">
        <v>49</v>
      </c>
      <c r="L118" s="5" t="s">
        <v>53</v>
      </c>
      <c r="M118" s="23" t="s">
        <v>139</v>
      </c>
      <c r="N118" s="25"/>
      <c r="O118" s="25"/>
      <c r="P118" s="25"/>
      <c r="Q118" s="17" t="s">
        <v>43</v>
      </c>
    </row>
    <row r="119" spans="2:17">
      <c r="B119" s="11" t="s">
        <v>55</v>
      </c>
      <c r="C119" s="5" t="str">
        <f t="shared" si="1"/>
        <v>RGH3P27</v>
      </c>
      <c r="D119" s="6" t="s">
        <v>36</v>
      </c>
      <c r="E119" s="11" t="s">
        <v>47</v>
      </c>
      <c r="F119" s="11" t="s">
        <v>138</v>
      </c>
      <c r="G119" s="11" t="s">
        <v>166</v>
      </c>
      <c r="H119" s="18">
        <v>13.4</v>
      </c>
      <c r="I119" s="5" t="s">
        <v>52</v>
      </c>
      <c r="J119" s="19">
        <v>13</v>
      </c>
      <c r="K119" s="5" t="s">
        <v>49</v>
      </c>
      <c r="L119" s="5" t="s">
        <v>53</v>
      </c>
      <c r="M119" s="23" t="s">
        <v>139</v>
      </c>
      <c r="N119" s="25"/>
      <c r="O119" s="25"/>
      <c r="P119" s="25"/>
      <c r="Q119" s="17" t="s">
        <v>43</v>
      </c>
    </row>
    <row r="120" spans="2:17">
      <c r="B120" s="11" t="s">
        <v>55</v>
      </c>
      <c r="C120" s="5" t="str">
        <f t="shared" si="1"/>
        <v>RGH3P28</v>
      </c>
      <c r="D120" s="6" t="s">
        <v>36</v>
      </c>
      <c r="E120" s="11" t="s">
        <v>47</v>
      </c>
      <c r="F120" s="11" t="s">
        <v>138</v>
      </c>
      <c r="G120" s="11" t="s">
        <v>167</v>
      </c>
      <c r="H120" s="18">
        <v>13.4</v>
      </c>
      <c r="I120" s="5" t="s">
        <v>52</v>
      </c>
      <c r="J120" s="19">
        <v>13</v>
      </c>
      <c r="K120" s="5" t="s">
        <v>49</v>
      </c>
      <c r="L120" s="5" t="s">
        <v>53</v>
      </c>
      <c r="M120" s="23" t="s">
        <v>139</v>
      </c>
      <c r="N120" s="25"/>
      <c r="O120" s="25"/>
      <c r="P120" s="25"/>
      <c r="Q120" s="17" t="s">
        <v>43</v>
      </c>
    </row>
    <row r="121" spans="2:17">
      <c r="B121" s="11" t="s">
        <v>55</v>
      </c>
      <c r="C121" s="5" t="str">
        <f t="shared" si="1"/>
        <v>RGH3P29</v>
      </c>
      <c r="D121" s="6" t="s">
        <v>36</v>
      </c>
      <c r="E121" s="11" t="s">
        <v>47</v>
      </c>
      <c r="F121" s="11" t="s">
        <v>138</v>
      </c>
      <c r="G121" s="11" t="s">
        <v>168</v>
      </c>
      <c r="H121" s="18">
        <v>13.4</v>
      </c>
      <c r="I121" s="5" t="s">
        <v>52</v>
      </c>
      <c r="J121" s="19">
        <v>13</v>
      </c>
      <c r="K121" s="5" t="s">
        <v>49</v>
      </c>
      <c r="L121" s="5" t="s">
        <v>53</v>
      </c>
      <c r="M121" s="23" t="s">
        <v>139</v>
      </c>
      <c r="N121" s="25"/>
      <c r="O121" s="25"/>
      <c r="P121" s="25"/>
      <c r="Q121" s="17" t="s">
        <v>43</v>
      </c>
    </row>
    <row r="122" spans="2:17">
      <c r="B122" s="11" t="s">
        <v>55</v>
      </c>
      <c r="C122" s="5" t="str">
        <f t="shared" si="1"/>
        <v>RGH3P30</v>
      </c>
      <c r="D122" s="6" t="s">
        <v>36</v>
      </c>
      <c r="E122" s="11" t="s">
        <v>47</v>
      </c>
      <c r="F122" s="11" t="s">
        <v>138</v>
      </c>
      <c r="G122" s="11" t="s">
        <v>169</v>
      </c>
      <c r="H122" s="18">
        <v>13.4</v>
      </c>
      <c r="I122" s="5" t="s">
        <v>52</v>
      </c>
      <c r="J122" s="19">
        <v>13</v>
      </c>
      <c r="K122" s="5" t="s">
        <v>49</v>
      </c>
      <c r="L122" s="5" t="s">
        <v>53</v>
      </c>
      <c r="M122" s="23" t="s">
        <v>139</v>
      </c>
      <c r="N122" s="25"/>
      <c r="O122" s="25"/>
      <c r="P122" s="25"/>
      <c r="Q122" s="17" t="s">
        <v>43</v>
      </c>
    </row>
    <row r="123" spans="2:17">
      <c r="B123" s="11" t="s">
        <v>55</v>
      </c>
      <c r="C123" s="5" t="str">
        <f t="shared" si="1"/>
        <v>RGH3P31</v>
      </c>
      <c r="D123" s="6" t="s">
        <v>36</v>
      </c>
      <c r="E123" s="11" t="s">
        <v>47</v>
      </c>
      <c r="F123" s="11" t="s">
        <v>138</v>
      </c>
      <c r="G123" s="11" t="s">
        <v>170</v>
      </c>
      <c r="H123" s="18">
        <v>13.4</v>
      </c>
      <c r="I123" s="5" t="s">
        <v>52</v>
      </c>
      <c r="J123" s="19">
        <v>13</v>
      </c>
      <c r="K123" s="5" t="s">
        <v>49</v>
      </c>
      <c r="L123" s="5" t="s">
        <v>53</v>
      </c>
      <c r="M123" s="23" t="s">
        <v>139</v>
      </c>
      <c r="N123" s="25"/>
      <c r="O123" s="25"/>
      <c r="P123" s="25"/>
      <c r="Q123" s="17" t="s">
        <v>43</v>
      </c>
    </row>
    <row r="124" spans="2:17">
      <c r="B124" s="11" t="s">
        <v>55</v>
      </c>
      <c r="C124" s="5" t="str">
        <f t="shared" si="1"/>
        <v>RGH3P32</v>
      </c>
      <c r="D124" s="6" t="s">
        <v>36</v>
      </c>
      <c r="E124" s="11" t="s">
        <v>47</v>
      </c>
      <c r="F124" s="11" t="s">
        <v>138</v>
      </c>
      <c r="G124" s="11" t="s">
        <v>171</v>
      </c>
      <c r="H124" s="18">
        <v>13.4</v>
      </c>
      <c r="I124" s="5" t="s">
        <v>52</v>
      </c>
      <c r="J124" s="19">
        <v>13</v>
      </c>
      <c r="K124" s="5" t="s">
        <v>49</v>
      </c>
      <c r="L124" s="5" t="s">
        <v>53</v>
      </c>
      <c r="M124" s="23" t="s">
        <v>139</v>
      </c>
      <c r="N124" s="25"/>
      <c r="O124" s="25"/>
      <c r="P124" s="25"/>
      <c r="Q124" s="17" t="s">
        <v>43</v>
      </c>
    </row>
    <row r="125" spans="2:17">
      <c r="B125" s="11" t="s">
        <v>55</v>
      </c>
      <c r="C125" s="5" t="str">
        <f t="shared" si="1"/>
        <v>RGH3P33</v>
      </c>
      <c r="D125" s="6" t="s">
        <v>36</v>
      </c>
      <c r="E125" s="11" t="s">
        <v>47</v>
      </c>
      <c r="F125" s="11" t="s">
        <v>138</v>
      </c>
      <c r="G125" s="11" t="s">
        <v>172</v>
      </c>
      <c r="H125" s="18">
        <v>13.4</v>
      </c>
      <c r="I125" s="5" t="s">
        <v>52</v>
      </c>
      <c r="J125" s="19">
        <v>13</v>
      </c>
      <c r="K125" s="5" t="s">
        <v>49</v>
      </c>
      <c r="L125" s="5" t="s">
        <v>53</v>
      </c>
      <c r="M125" s="23" t="s">
        <v>139</v>
      </c>
      <c r="N125" s="25"/>
      <c r="O125" s="25"/>
      <c r="P125" s="25"/>
      <c r="Q125" s="17" t="s">
        <v>43</v>
      </c>
    </row>
    <row r="126" spans="2:17">
      <c r="B126" s="11" t="s">
        <v>55</v>
      </c>
      <c r="C126" s="5" t="str">
        <f t="shared" si="1"/>
        <v>RGH3P34</v>
      </c>
      <c r="D126" s="6" t="s">
        <v>36</v>
      </c>
      <c r="E126" s="11" t="s">
        <v>47</v>
      </c>
      <c r="F126" s="11" t="s">
        <v>138</v>
      </c>
      <c r="G126" s="11" t="s">
        <v>173</v>
      </c>
      <c r="H126" s="18">
        <v>13.4</v>
      </c>
      <c r="I126" s="5" t="s">
        <v>52</v>
      </c>
      <c r="J126" s="19">
        <v>13</v>
      </c>
      <c r="K126" s="5" t="s">
        <v>49</v>
      </c>
      <c r="L126" s="5" t="s">
        <v>53</v>
      </c>
      <c r="M126" s="23" t="s">
        <v>139</v>
      </c>
      <c r="N126" s="25"/>
      <c r="O126" s="25"/>
      <c r="P126" s="25"/>
      <c r="Q126" s="17" t="s">
        <v>43</v>
      </c>
    </row>
    <row r="127" spans="2:17">
      <c r="B127" s="11" t="s">
        <v>55</v>
      </c>
      <c r="C127" s="5" t="str">
        <f t="shared" si="1"/>
        <v>RGH3P35</v>
      </c>
      <c r="D127" s="6" t="s">
        <v>36</v>
      </c>
      <c r="E127" s="11" t="s">
        <v>47</v>
      </c>
      <c r="F127" s="11" t="s">
        <v>138</v>
      </c>
      <c r="G127" s="11" t="s">
        <v>174</v>
      </c>
      <c r="H127" s="18">
        <v>13.4</v>
      </c>
      <c r="I127" s="5" t="s">
        <v>52</v>
      </c>
      <c r="J127" s="19">
        <v>13</v>
      </c>
      <c r="K127" s="5" t="s">
        <v>49</v>
      </c>
      <c r="L127" s="5" t="s">
        <v>53</v>
      </c>
      <c r="M127" s="23" t="s">
        <v>139</v>
      </c>
      <c r="N127" s="25"/>
      <c r="O127" s="25"/>
      <c r="P127" s="25"/>
      <c r="Q127" s="17" t="s">
        <v>43</v>
      </c>
    </row>
    <row r="128" spans="2:17">
      <c r="B128" s="11" t="s">
        <v>55</v>
      </c>
      <c r="C128" s="5" t="str">
        <f t="shared" si="1"/>
        <v>RGH3P36</v>
      </c>
      <c r="D128" s="6" t="s">
        <v>36</v>
      </c>
      <c r="E128" s="11" t="s">
        <v>47</v>
      </c>
      <c r="F128" s="11" t="s">
        <v>138</v>
      </c>
      <c r="G128" s="11" t="s">
        <v>175</v>
      </c>
      <c r="H128" s="18">
        <v>13.4</v>
      </c>
      <c r="I128" s="5" t="s">
        <v>52</v>
      </c>
      <c r="J128" s="19">
        <v>13</v>
      </c>
      <c r="K128" s="5" t="s">
        <v>49</v>
      </c>
      <c r="L128" s="5" t="s">
        <v>53</v>
      </c>
      <c r="M128" s="23" t="s">
        <v>139</v>
      </c>
      <c r="N128" s="25"/>
      <c r="O128" s="25"/>
      <c r="P128" s="25"/>
      <c r="Q128" s="17" t="s">
        <v>43</v>
      </c>
    </row>
    <row r="129" spans="2:17">
      <c r="B129" s="11" t="s">
        <v>55</v>
      </c>
      <c r="C129" s="5" t="str">
        <f t="shared" si="1"/>
        <v>RGH3P37</v>
      </c>
      <c r="D129" s="6" t="s">
        <v>36</v>
      </c>
      <c r="E129" s="11" t="s">
        <v>47</v>
      </c>
      <c r="F129" s="11" t="s">
        <v>138</v>
      </c>
      <c r="G129" s="11" t="s">
        <v>176</v>
      </c>
      <c r="H129" s="18">
        <v>13.4</v>
      </c>
      <c r="I129" s="5" t="s">
        <v>52</v>
      </c>
      <c r="J129" s="19">
        <v>13</v>
      </c>
      <c r="K129" s="5" t="s">
        <v>49</v>
      </c>
      <c r="L129" s="5" t="s">
        <v>53</v>
      </c>
      <c r="M129" s="23" t="s">
        <v>139</v>
      </c>
      <c r="N129" s="25"/>
      <c r="O129" s="25"/>
      <c r="P129" s="25"/>
      <c r="Q129" s="17" t="s">
        <v>43</v>
      </c>
    </row>
    <row r="130" spans="2:17">
      <c r="B130" s="11" t="s">
        <v>55</v>
      </c>
      <c r="C130" s="5" t="str">
        <f t="shared" si="1"/>
        <v>RGH3P38</v>
      </c>
      <c r="D130" s="6" t="s">
        <v>36</v>
      </c>
      <c r="E130" s="11" t="s">
        <v>47</v>
      </c>
      <c r="F130" s="11" t="s">
        <v>138</v>
      </c>
      <c r="G130" s="11" t="s">
        <v>177</v>
      </c>
      <c r="H130" s="18">
        <v>13.4</v>
      </c>
      <c r="I130" s="5" t="s">
        <v>52</v>
      </c>
      <c r="J130" s="19">
        <v>13</v>
      </c>
      <c r="K130" s="5" t="s">
        <v>49</v>
      </c>
      <c r="L130" s="5" t="s">
        <v>53</v>
      </c>
      <c r="M130" s="23" t="s">
        <v>139</v>
      </c>
      <c r="N130" s="25"/>
      <c r="O130" s="25"/>
      <c r="P130" s="25"/>
      <c r="Q130" s="17" t="s">
        <v>43</v>
      </c>
    </row>
    <row r="131" spans="2:17">
      <c r="B131" s="11" t="s">
        <v>55</v>
      </c>
      <c r="C131" s="5" t="str">
        <f t="shared" si="1"/>
        <v>RGH3P39</v>
      </c>
      <c r="D131" s="6" t="s">
        <v>36</v>
      </c>
      <c r="E131" s="11" t="s">
        <v>47</v>
      </c>
      <c r="F131" s="11" t="s">
        <v>138</v>
      </c>
      <c r="G131" s="11" t="s">
        <v>178</v>
      </c>
      <c r="H131" s="18">
        <v>13.4</v>
      </c>
      <c r="I131" s="5" t="s">
        <v>52</v>
      </c>
      <c r="J131" s="19">
        <v>13</v>
      </c>
      <c r="K131" s="5" t="s">
        <v>49</v>
      </c>
      <c r="L131" s="5" t="s">
        <v>53</v>
      </c>
      <c r="M131" s="23" t="s">
        <v>139</v>
      </c>
      <c r="N131" s="25"/>
      <c r="O131" s="25"/>
      <c r="P131" s="25"/>
      <c r="Q131" s="17" t="s">
        <v>43</v>
      </c>
    </row>
    <row r="132" spans="2:17">
      <c r="B132" s="11" t="s">
        <v>55</v>
      </c>
      <c r="C132" s="5" t="str">
        <f t="shared" si="1"/>
        <v>RGH3P40</v>
      </c>
      <c r="D132" s="6" t="s">
        <v>36</v>
      </c>
      <c r="E132" s="11" t="s">
        <v>47</v>
      </c>
      <c r="F132" s="11" t="s">
        <v>138</v>
      </c>
      <c r="G132" s="11" t="s">
        <v>179</v>
      </c>
      <c r="H132" s="18">
        <v>13.4</v>
      </c>
      <c r="I132" s="5" t="s">
        <v>52</v>
      </c>
      <c r="J132" s="19">
        <v>13</v>
      </c>
      <c r="K132" s="5" t="s">
        <v>49</v>
      </c>
      <c r="L132" s="5" t="s">
        <v>53</v>
      </c>
      <c r="M132" s="23" t="s">
        <v>139</v>
      </c>
      <c r="N132" s="25"/>
      <c r="O132" s="25"/>
      <c r="P132" s="25"/>
      <c r="Q132" s="17" t="s">
        <v>43</v>
      </c>
    </row>
    <row r="133" spans="2:17">
      <c r="B133" s="11"/>
      <c r="D133" s="6"/>
      <c r="F133" s="11"/>
      <c r="G133" s="11"/>
      <c r="H133" s="18"/>
      <c r="J133" s="19"/>
      <c r="M133" s="23"/>
      <c r="N133" s="20"/>
      <c r="O133" s="20"/>
      <c r="P133" s="20"/>
      <c r="Q133" s="17"/>
    </row>
    <row r="134" spans="2:17">
      <c r="B134" s="11" t="s">
        <v>50</v>
      </c>
      <c r="C134" s="5" t="str">
        <f t="shared" si="1"/>
        <v>RGH04</v>
      </c>
      <c r="D134" s="6" t="s">
        <v>36</v>
      </c>
      <c r="E134" s="11" t="s">
        <v>47</v>
      </c>
      <c r="F134" s="11" t="s">
        <v>180</v>
      </c>
      <c r="G134" s="11"/>
      <c r="H134" s="18">
        <v>536</v>
      </c>
      <c r="I134" s="5" t="s">
        <v>52</v>
      </c>
      <c r="J134" s="19">
        <v>520</v>
      </c>
      <c r="K134" s="5" t="s">
        <v>49</v>
      </c>
      <c r="L134" s="5" t="s">
        <v>53</v>
      </c>
      <c r="M134" s="23" t="s">
        <v>181</v>
      </c>
      <c r="N134" s="25">
        <v>10700</v>
      </c>
      <c r="O134" s="25">
        <v>6</v>
      </c>
      <c r="P134" s="25">
        <v>4</v>
      </c>
      <c r="Q134" s="17" t="s">
        <v>43</v>
      </c>
    </row>
    <row r="135" spans="2:17">
      <c r="B135" s="11" t="s">
        <v>55</v>
      </c>
      <c r="C135" s="5" t="str">
        <f t="shared" si="1"/>
        <v>RGH4P01</v>
      </c>
      <c r="D135" s="6" t="s">
        <v>36</v>
      </c>
      <c r="E135" s="11" t="s">
        <v>47</v>
      </c>
      <c r="F135" s="11" t="s">
        <v>180</v>
      </c>
      <c r="G135" s="11" t="s">
        <v>182</v>
      </c>
      <c r="H135" s="18">
        <v>13.4</v>
      </c>
      <c r="I135" s="5" t="s">
        <v>52</v>
      </c>
      <c r="J135" s="19">
        <v>13</v>
      </c>
      <c r="K135" s="5" t="s">
        <v>49</v>
      </c>
      <c r="L135" s="5" t="s">
        <v>53</v>
      </c>
      <c r="M135" s="23" t="s">
        <v>181</v>
      </c>
      <c r="N135" s="25"/>
      <c r="O135" s="25"/>
      <c r="P135" s="25"/>
      <c r="Q135" s="17" t="s">
        <v>43</v>
      </c>
    </row>
    <row r="136" spans="2:17">
      <c r="B136" s="11" t="s">
        <v>55</v>
      </c>
      <c r="C136" s="5" t="str">
        <f t="shared" ref="C136" si="2">IF(ISBLANK(G136), F136, G136)</f>
        <v>RGH4P02</v>
      </c>
      <c r="D136" s="6" t="s">
        <v>36</v>
      </c>
      <c r="E136" s="11" t="s">
        <v>47</v>
      </c>
      <c r="F136" s="11" t="s">
        <v>180</v>
      </c>
      <c r="G136" s="11" t="s">
        <v>183</v>
      </c>
      <c r="H136" s="18">
        <v>13.4</v>
      </c>
      <c r="I136" s="5" t="s">
        <v>52</v>
      </c>
      <c r="J136" s="19">
        <v>13</v>
      </c>
      <c r="K136" s="5" t="s">
        <v>49</v>
      </c>
      <c r="L136" s="5" t="s">
        <v>53</v>
      </c>
      <c r="M136" s="23" t="s">
        <v>181</v>
      </c>
      <c r="N136" s="25"/>
      <c r="O136" s="25"/>
      <c r="P136" s="25"/>
      <c r="Q136" s="17" t="s">
        <v>43</v>
      </c>
    </row>
    <row r="137" spans="2:17">
      <c r="B137" s="11" t="s">
        <v>55</v>
      </c>
      <c r="D137" s="6" t="s">
        <v>36</v>
      </c>
      <c r="E137" s="11" t="s">
        <v>47</v>
      </c>
      <c r="F137" s="11" t="s">
        <v>180</v>
      </c>
      <c r="G137" s="11" t="s">
        <v>184</v>
      </c>
      <c r="H137" s="18">
        <v>13.4</v>
      </c>
      <c r="I137" s="5" t="s">
        <v>52</v>
      </c>
      <c r="J137" s="19">
        <v>13</v>
      </c>
      <c r="K137" s="5" t="s">
        <v>49</v>
      </c>
      <c r="L137" s="5" t="s">
        <v>53</v>
      </c>
      <c r="M137" s="23" t="s">
        <v>181</v>
      </c>
      <c r="N137" s="25"/>
      <c r="O137" s="25"/>
      <c r="P137" s="25"/>
      <c r="Q137" s="17" t="s">
        <v>43</v>
      </c>
    </row>
    <row r="138" spans="2:17">
      <c r="B138" s="11" t="s">
        <v>55</v>
      </c>
      <c r="D138" s="6" t="s">
        <v>36</v>
      </c>
      <c r="E138" s="11" t="s">
        <v>47</v>
      </c>
      <c r="F138" s="11" t="s">
        <v>180</v>
      </c>
      <c r="G138" s="11" t="s">
        <v>185</v>
      </c>
      <c r="H138" s="18">
        <v>13.4</v>
      </c>
      <c r="I138" s="5" t="s">
        <v>52</v>
      </c>
      <c r="J138" s="19">
        <v>13</v>
      </c>
      <c r="K138" s="5" t="s">
        <v>49</v>
      </c>
      <c r="L138" s="5" t="s">
        <v>53</v>
      </c>
      <c r="M138" s="23" t="s">
        <v>181</v>
      </c>
      <c r="N138" s="25"/>
      <c r="O138" s="25"/>
      <c r="P138" s="25"/>
      <c r="Q138" s="17" t="s">
        <v>43</v>
      </c>
    </row>
    <row r="139" spans="2:17">
      <c r="B139" s="11" t="s">
        <v>55</v>
      </c>
      <c r="D139" s="6" t="s">
        <v>36</v>
      </c>
      <c r="E139" s="11" t="s">
        <v>47</v>
      </c>
      <c r="F139" s="11" t="s">
        <v>180</v>
      </c>
      <c r="G139" s="11" t="s">
        <v>186</v>
      </c>
      <c r="H139" s="18">
        <v>13.4</v>
      </c>
      <c r="I139" s="5" t="s">
        <v>52</v>
      </c>
      <c r="J139" s="19">
        <v>13</v>
      </c>
      <c r="K139" s="5" t="s">
        <v>49</v>
      </c>
      <c r="L139" s="5" t="s">
        <v>53</v>
      </c>
      <c r="M139" s="23" t="s">
        <v>181</v>
      </c>
      <c r="N139" s="25"/>
      <c r="O139" s="25"/>
      <c r="P139" s="25"/>
      <c r="Q139" s="17" t="s">
        <v>43</v>
      </c>
    </row>
    <row r="140" spans="2:17">
      <c r="B140" s="11" t="s">
        <v>55</v>
      </c>
      <c r="D140" s="6" t="s">
        <v>36</v>
      </c>
      <c r="E140" s="11" t="s">
        <v>47</v>
      </c>
      <c r="F140" s="11" t="s">
        <v>180</v>
      </c>
      <c r="G140" s="11" t="s">
        <v>187</v>
      </c>
      <c r="H140" s="18">
        <v>13.4</v>
      </c>
      <c r="I140" s="5" t="s">
        <v>52</v>
      </c>
      <c r="J140" s="19">
        <v>13</v>
      </c>
      <c r="K140" s="5" t="s">
        <v>49</v>
      </c>
      <c r="L140" s="5" t="s">
        <v>53</v>
      </c>
      <c r="M140" s="23" t="s">
        <v>181</v>
      </c>
      <c r="N140" s="25"/>
      <c r="O140" s="25"/>
      <c r="P140" s="25"/>
      <c r="Q140" s="17" t="s">
        <v>43</v>
      </c>
    </row>
    <row r="141" spans="2:17">
      <c r="B141" s="11" t="s">
        <v>55</v>
      </c>
      <c r="D141" s="6" t="s">
        <v>36</v>
      </c>
      <c r="E141" s="11" t="s">
        <v>47</v>
      </c>
      <c r="F141" s="11" t="s">
        <v>180</v>
      </c>
      <c r="G141" s="11" t="s">
        <v>188</v>
      </c>
      <c r="H141" s="18">
        <v>13.4</v>
      </c>
      <c r="I141" s="5" t="s">
        <v>52</v>
      </c>
      <c r="J141" s="19">
        <v>13</v>
      </c>
      <c r="K141" s="5" t="s">
        <v>49</v>
      </c>
      <c r="L141" s="5" t="s">
        <v>53</v>
      </c>
      <c r="M141" s="23" t="s">
        <v>181</v>
      </c>
      <c r="N141" s="25"/>
      <c r="O141" s="25"/>
      <c r="P141" s="25"/>
      <c r="Q141" s="17" t="s">
        <v>43</v>
      </c>
    </row>
    <row r="142" spans="2:17">
      <c r="B142" s="11" t="s">
        <v>55</v>
      </c>
      <c r="D142" s="6" t="s">
        <v>36</v>
      </c>
      <c r="E142" s="11" t="s">
        <v>47</v>
      </c>
      <c r="F142" s="11" t="s">
        <v>180</v>
      </c>
      <c r="G142" s="11" t="s">
        <v>189</v>
      </c>
      <c r="H142" s="18">
        <v>13.4</v>
      </c>
      <c r="I142" s="5" t="s">
        <v>52</v>
      </c>
      <c r="J142" s="19">
        <v>13</v>
      </c>
      <c r="K142" s="5" t="s">
        <v>49</v>
      </c>
      <c r="L142" s="5" t="s">
        <v>53</v>
      </c>
      <c r="M142" s="23" t="s">
        <v>181</v>
      </c>
      <c r="N142" s="25"/>
      <c r="O142" s="25"/>
      <c r="P142" s="25"/>
      <c r="Q142" s="17" t="s">
        <v>43</v>
      </c>
    </row>
    <row r="143" spans="2:17">
      <c r="B143" s="11" t="s">
        <v>55</v>
      </c>
      <c r="D143" s="6" t="s">
        <v>36</v>
      </c>
      <c r="E143" s="11" t="s">
        <v>47</v>
      </c>
      <c r="F143" s="11" t="s">
        <v>180</v>
      </c>
      <c r="G143" s="11" t="s">
        <v>190</v>
      </c>
      <c r="H143" s="18">
        <v>13.4</v>
      </c>
      <c r="I143" s="5" t="s">
        <v>52</v>
      </c>
      <c r="J143" s="19">
        <v>13</v>
      </c>
      <c r="K143" s="5" t="s">
        <v>49</v>
      </c>
      <c r="L143" s="5" t="s">
        <v>53</v>
      </c>
      <c r="M143" s="23" t="s">
        <v>181</v>
      </c>
      <c r="N143" s="25"/>
      <c r="O143" s="25"/>
      <c r="P143" s="25"/>
      <c r="Q143" s="17" t="s">
        <v>43</v>
      </c>
    </row>
    <row r="144" spans="2:17">
      <c r="B144" s="11" t="s">
        <v>55</v>
      </c>
      <c r="D144" s="6" t="s">
        <v>36</v>
      </c>
      <c r="E144" s="11" t="s">
        <v>47</v>
      </c>
      <c r="F144" s="11" t="s">
        <v>180</v>
      </c>
      <c r="G144" s="11" t="s">
        <v>191</v>
      </c>
      <c r="H144" s="18">
        <v>13.4</v>
      </c>
      <c r="I144" s="5" t="s">
        <v>52</v>
      </c>
      <c r="J144" s="19">
        <v>13</v>
      </c>
      <c r="K144" s="5" t="s">
        <v>49</v>
      </c>
      <c r="L144" s="5" t="s">
        <v>53</v>
      </c>
      <c r="M144" s="23" t="s">
        <v>181</v>
      </c>
      <c r="N144" s="25"/>
      <c r="O144" s="25"/>
      <c r="P144" s="25"/>
      <c r="Q144" s="17" t="s">
        <v>43</v>
      </c>
    </row>
    <row r="145" spans="2:17">
      <c r="B145" s="11" t="s">
        <v>55</v>
      </c>
      <c r="D145" s="6" t="s">
        <v>36</v>
      </c>
      <c r="E145" s="11" t="s">
        <v>47</v>
      </c>
      <c r="F145" s="11" t="s">
        <v>180</v>
      </c>
      <c r="G145" s="11" t="s">
        <v>192</v>
      </c>
      <c r="H145" s="18">
        <v>13.4</v>
      </c>
      <c r="I145" s="5" t="s">
        <v>52</v>
      </c>
      <c r="J145" s="19">
        <v>13</v>
      </c>
      <c r="K145" s="5" t="s">
        <v>49</v>
      </c>
      <c r="L145" s="5" t="s">
        <v>53</v>
      </c>
      <c r="M145" s="23" t="s">
        <v>181</v>
      </c>
      <c r="N145" s="25"/>
      <c r="O145" s="25"/>
      <c r="P145" s="25"/>
      <c r="Q145" s="17" t="s">
        <v>43</v>
      </c>
    </row>
    <row r="146" spans="2:17">
      <c r="B146" s="11" t="s">
        <v>55</v>
      </c>
      <c r="D146" s="6" t="s">
        <v>36</v>
      </c>
      <c r="E146" s="11" t="s">
        <v>47</v>
      </c>
      <c r="F146" s="11" t="s">
        <v>180</v>
      </c>
      <c r="G146" s="11" t="s">
        <v>193</v>
      </c>
      <c r="H146" s="18">
        <v>13.4</v>
      </c>
      <c r="I146" s="5" t="s">
        <v>52</v>
      </c>
      <c r="J146" s="19">
        <v>13</v>
      </c>
      <c r="K146" s="5" t="s">
        <v>49</v>
      </c>
      <c r="L146" s="5" t="s">
        <v>53</v>
      </c>
      <c r="M146" s="23" t="s">
        <v>181</v>
      </c>
      <c r="N146" s="25"/>
      <c r="O146" s="25"/>
      <c r="P146" s="25"/>
      <c r="Q146" s="17" t="s">
        <v>43</v>
      </c>
    </row>
    <row r="147" spans="2:17">
      <c r="B147" s="11" t="s">
        <v>55</v>
      </c>
      <c r="D147" s="6" t="s">
        <v>36</v>
      </c>
      <c r="E147" s="11" t="s">
        <v>47</v>
      </c>
      <c r="F147" s="11" t="s">
        <v>180</v>
      </c>
      <c r="G147" s="11" t="s">
        <v>194</v>
      </c>
      <c r="H147" s="18">
        <v>13.4</v>
      </c>
      <c r="I147" s="5" t="s">
        <v>52</v>
      </c>
      <c r="J147" s="19">
        <v>13</v>
      </c>
      <c r="K147" s="5" t="s">
        <v>49</v>
      </c>
      <c r="L147" s="5" t="s">
        <v>53</v>
      </c>
      <c r="M147" s="23" t="s">
        <v>181</v>
      </c>
      <c r="N147" s="25"/>
      <c r="O147" s="25"/>
      <c r="P147" s="25"/>
      <c r="Q147" s="17" t="s">
        <v>43</v>
      </c>
    </row>
    <row r="148" spans="2:17">
      <c r="B148" s="11" t="s">
        <v>55</v>
      </c>
      <c r="D148" s="6" t="s">
        <v>36</v>
      </c>
      <c r="E148" s="11" t="s">
        <v>47</v>
      </c>
      <c r="F148" s="11" t="s">
        <v>180</v>
      </c>
      <c r="G148" s="11" t="s">
        <v>195</v>
      </c>
      <c r="H148" s="18">
        <v>13.4</v>
      </c>
      <c r="I148" s="5" t="s">
        <v>52</v>
      </c>
      <c r="J148" s="19">
        <v>13</v>
      </c>
      <c r="K148" s="5" t="s">
        <v>49</v>
      </c>
      <c r="L148" s="5" t="s">
        <v>53</v>
      </c>
      <c r="M148" s="23" t="s">
        <v>181</v>
      </c>
      <c r="N148" s="25"/>
      <c r="O148" s="25"/>
      <c r="P148" s="25"/>
      <c r="Q148" s="17" t="s">
        <v>43</v>
      </c>
    </row>
    <row r="149" spans="2:17">
      <c r="B149" s="11" t="s">
        <v>55</v>
      </c>
      <c r="D149" s="6" t="s">
        <v>36</v>
      </c>
      <c r="E149" s="11" t="s">
        <v>47</v>
      </c>
      <c r="F149" s="11" t="s">
        <v>180</v>
      </c>
      <c r="G149" s="11" t="s">
        <v>196</v>
      </c>
      <c r="H149" s="18">
        <v>13.4</v>
      </c>
      <c r="I149" s="5" t="s">
        <v>52</v>
      </c>
      <c r="J149" s="19">
        <v>13</v>
      </c>
      <c r="K149" s="5" t="s">
        <v>49</v>
      </c>
      <c r="L149" s="5" t="s">
        <v>53</v>
      </c>
      <c r="M149" s="23" t="s">
        <v>181</v>
      </c>
      <c r="N149" s="25"/>
      <c r="O149" s="25"/>
      <c r="P149" s="25"/>
      <c r="Q149" s="17" t="s">
        <v>43</v>
      </c>
    </row>
    <row r="150" spans="2:17">
      <c r="B150" s="11" t="s">
        <v>55</v>
      </c>
      <c r="D150" s="6" t="s">
        <v>36</v>
      </c>
      <c r="E150" s="11" t="s">
        <v>47</v>
      </c>
      <c r="F150" s="11" t="s">
        <v>180</v>
      </c>
      <c r="G150" s="11" t="s">
        <v>197</v>
      </c>
      <c r="H150" s="18">
        <v>13.4</v>
      </c>
      <c r="I150" s="5" t="s">
        <v>52</v>
      </c>
      <c r="J150" s="19">
        <v>13</v>
      </c>
      <c r="K150" s="5" t="s">
        <v>49</v>
      </c>
      <c r="L150" s="5" t="s">
        <v>53</v>
      </c>
      <c r="M150" s="23" t="s">
        <v>181</v>
      </c>
      <c r="N150" s="25"/>
      <c r="O150" s="25"/>
      <c r="P150" s="25"/>
      <c r="Q150" s="17" t="s">
        <v>43</v>
      </c>
    </row>
    <row r="151" spans="2:17">
      <c r="B151" s="11" t="s">
        <v>55</v>
      </c>
      <c r="D151" s="6" t="s">
        <v>36</v>
      </c>
      <c r="E151" s="11" t="s">
        <v>47</v>
      </c>
      <c r="F151" s="11" t="s">
        <v>180</v>
      </c>
      <c r="G151" s="11" t="s">
        <v>198</v>
      </c>
      <c r="H151" s="18">
        <v>13.4</v>
      </c>
      <c r="I151" s="5" t="s">
        <v>52</v>
      </c>
      <c r="J151" s="19">
        <v>13</v>
      </c>
      <c r="K151" s="5" t="s">
        <v>49</v>
      </c>
      <c r="L151" s="5" t="s">
        <v>53</v>
      </c>
      <c r="M151" s="23" t="s">
        <v>181</v>
      </c>
      <c r="N151" s="25"/>
      <c r="O151" s="25"/>
      <c r="P151" s="25"/>
      <c r="Q151" s="17" t="s">
        <v>43</v>
      </c>
    </row>
    <row r="152" spans="2:17">
      <c r="B152" s="11" t="s">
        <v>55</v>
      </c>
      <c r="D152" s="6" t="s">
        <v>36</v>
      </c>
      <c r="E152" s="11" t="s">
        <v>47</v>
      </c>
      <c r="F152" s="11" t="s">
        <v>180</v>
      </c>
      <c r="G152" s="11" t="s">
        <v>199</v>
      </c>
      <c r="H152" s="18">
        <v>13.4</v>
      </c>
      <c r="I152" s="5" t="s">
        <v>52</v>
      </c>
      <c r="J152" s="19">
        <v>13</v>
      </c>
      <c r="K152" s="5" t="s">
        <v>49</v>
      </c>
      <c r="L152" s="5" t="s">
        <v>53</v>
      </c>
      <c r="M152" s="23" t="s">
        <v>181</v>
      </c>
      <c r="N152" s="25"/>
      <c r="O152" s="25"/>
      <c r="P152" s="25"/>
      <c r="Q152" s="17" t="s">
        <v>43</v>
      </c>
    </row>
    <row r="153" spans="2:17">
      <c r="B153" s="11" t="s">
        <v>55</v>
      </c>
      <c r="D153" s="6" t="s">
        <v>36</v>
      </c>
      <c r="E153" s="11" t="s">
        <v>47</v>
      </c>
      <c r="F153" s="11" t="s">
        <v>180</v>
      </c>
      <c r="G153" s="11" t="s">
        <v>200</v>
      </c>
      <c r="H153" s="18">
        <v>13.4</v>
      </c>
      <c r="I153" s="5" t="s">
        <v>52</v>
      </c>
      <c r="J153" s="19">
        <v>13</v>
      </c>
      <c r="K153" s="5" t="s">
        <v>49</v>
      </c>
      <c r="L153" s="5" t="s">
        <v>53</v>
      </c>
      <c r="M153" s="23" t="s">
        <v>181</v>
      </c>
      <c r="N153" s="25"/>
      <c r="O153" s="25"/>
      <c r="P153" s="25"/>
      <c r="Q153" s="17" t="s">
        <v>43</v>
      </c>
    </row>
    <row r="154" spans="2:17">
      <c r="B154" s="11" t="s">
        <v>55</v>
      </c>
      <c r="D154" s="6" t="s">
        <v>36</v>
      </c>
      <c r="E154" s="11" t="s">
        <v>47</v>
      </c>
      <c r="F154" s="11" t="s">
        <v>180</v>
      </c>
      <c r="G154" s="11" t="s">
        <v>201</v>
      </c>
      <c r="H154" s="18">
        <v>13.4</v>
      </c>
      <c r="I154" s="5" t="s">
        <v>52</v>
      </c>
      <c r="J154" s="19">
        <v>13</v>
      </c>
      <c r="K154" s="5" t="s">
        <v>49</v>
      </c>
      <c r="L154" s="5" t="s">
        <v>53</v>
      </c>
      <c r="M154" s="23" t="s">
        <v>181</v>
      </c>
      <c r="N154" s="25"/>
      <c r="O154" s="25"/>
      <c r="P154" s="25"/>
      <c r="Q154" s="17" t="s">
        <v>43</v>
      </c>
    </row>
    <row r="155" spans="2:17">
      <c r="B155" s="11" t="s">
        <v>55</v>
      </c>
      <c r="D155" s="6" t="s">
        <v>36</v>
      </c>
      <c r="E155" s="11" t="s">
        <v>47</v>
      </c>
      <c r="F155" s="11" t="s">
        <v>180</v>
      </c>
      <c r="G155" s="11" t="s">
        <v>202</v>
      </c>
      <c r="H155" s="18">
        <v>13.4</v>
      </c>
      <c r="I155" s="5" t="s">
        <v>52</v>
      </c>
      <c r="J155" s="19">
        <v>13</v>
      </c>
      <c r="K155" s="5" t="s">
        <v>49</v>
      </c>
      <c r="L155" s="5" t="s">
        <v>53</v>
      </c>
      <c r="M155" s="23" t="s">
        <v>181</v>
      </c>
      <c r="N155" s="25"/>
      <c r="O155" s="25"/>
      <c r="P155" s="25"/>
      <c r="Q155" s="17" t="s">
        <v>43</v>
      </c>
    </row>
    <row r="156" spans="2:17">
      <c r="B156" s="11" t="s">
        <v>55</v>
      </c>
      <c r="D156" s="6" t="s">
        <v>36</v>
      </c>
      <c r="E156" s="11" t="s">
        <v>47</v>
      </c>
      <c r="F156" s="11" t="s">
        <v>180</v>
      </c>
      <c r="G156" s="11" t="s">
        <v>203</v>
      </c>
      <c r="H156" s="18">
        <v>13.4</v>
      </c>
      <c r="I156" s="5" t="s">
        <v>52</v>
      </c>
      <c r="J156" s="19">
        <v>13</v>
      </c>
      <c r="K156" s="5" t="s">
        <v>49</v>
      </c>
      <c r="L156" s="5" t="s">
        <v>53</v>
      </c>
      <c r="M156" s="23" t="s">
        <v>181</v>
      </c>
      <c r="N156" s="25"/>
      <c r="O156" s="25"/>
      <c r="P156" s="25"/>
      <c r="Q156" s="17" t="s">
        <v>43</v>
      </c>
    </row>
    <row r="157" spans="2:17">
      <c r="B157" s="11" t="s">
        <v>55</v>
      </c>
      <c r="D157" s="6" t="s">
        <v>36</v>
      </c>
      <c r="E157" s="11" t="s">
        <v>47</v>
      </c>
      <c r="F157" s="11" t="s">
        <v>180</v>
      </c>
      <c r="G157" s="11" t="s">
        <v>204</v>
      </c>
      <c r="H157" s="18">
        <v>13.4</v>
      </c>
      <c r="I157" s="5" t="s">
        <v>52</v>
      </c>
      <c r="J157" s="19">
        <v>13</v>
      </c>
      <c r="K157" s="5" t="s">
        <v>49</v>
      </c>
      <c r="L157" s="5" t="s">
        <v>53</v>
      </c>
      <c r="M157" s="23" t="s">
        <v>181</v>
      </c>
      <c r="N157" s="25"/>
      <c r="O157" s="25"/>
      <c r="P157" s="25"/>
      <c r="Q157" s="17" t="s">
        <v>43</v>
      </c>
    </row>
    <row r="158" spans="2:17">
      <c r="B158" s="11" t="s">
        <v>55</v>
      </c>
      <c r="D158" s="6" t="s">
        <v>36</v>
      </c>
      <c r="E158" s="11" t="s">
        <v>47</v>
      </c>
      <c r="F158" s="11" t="s">
        <v>180</v>
      </c>
      <c r="G158" s="11" t="s">
        <v>205</v>
      </c>
      <c r="H158" s="18">
        <v>13.4</v>
      </c>
      <c r="I158" s="5" t="s">
        <v>52</v>
      </c>
      <c r="J158" s="19">
        <v>13</v>
      </c>
      <c r="K158" s="5" t="s">
        <v>49</v>
      </c>
      <c r="L158" s="5" t="s">
        <v>53</v>
      </c>
      <c r="M158" s="23" t="s">
        <v>181</v>
      </c>
      <c r="N158" s="25"/>
      <c r="O158" s="25"/>
      <c r="P158" s="25"/>
      <c r="Q158" s="17" t="s">
        <v>43</v>
      </c>
    </row>
    <row r="159" spans="2:17">
      <c r="B159" s="11" t="s">
        <v>55</v>
      </c>
      <c r="D159" s="6" t="s">
        <v>36</v>
      </c>
      <c r="E159" s="11" t="s">
        <v>47</v>
      </c>
      <c r="F159" s="11" t="s">
        <v>180</v>
      </c>
      <c r="G159" s="11" t="s">
        <v>206</v>
      </c>
      <c r="H159" s="18">
        <v>13.4</v>
      </c>
      <c r="I159" s="5" t="s">
        <v>52</v>
      </c>
      <c r="J159" s="19">
        <v>13</v>
      </c>
      <c r="K159" s="5" t="s">
        <v>49</v>
      </c>
      <c r="L159" s="5" t="s">
        <v>53</v>
      </c>
      <c r="M159" s="23" t="s">
        <v>181</v>
      </c>
      <c r="N159" s="25"/>
      <c r="O159" s="25"/>
      <c r="P159" s="25"/>
      <c r="Q159" s="17" t="s">
        <v>43</v>
      </c>
    </row>
    <row r="160" spans="2:17">
      <c r="B160" s="11" t="s">
        <v>55</v>
      </c>
      <c r="D160" s="6" t="s">
        <v>36</v>
      </c>
      <c r="E160" s="11" t="s">
        <v>47</v>
      </c>
      <c r="F160" s="11" t="s">
        <v>180</v>
      </c>
      <c r="G160" s="11" t="s">
        <v>207</v>
      </c>
      <c r="H160" s="18">
        <v>13.4</v>
      </c>
      <c r="I160" s="5" t="s">
        <v>52</v>
      </c>
      <c r="J160" s="19">
        <v>13</v>
      </c>
      <c r="K160" s="5" t="s">
        <v>49</v>
      </c>
      <c r="L160" s="5" t="s">
        <v>53</v>
      </c>
      <c r="M160" s="23" t="s">
        <v>181</v>
      </c>
      <c r="N160" s="25"/>
      <c r="O160" s="25"/>
      <c r="P160" s="25"/>
      <c r="Q160" s="17" t="s">
        <v>43</v>
      </c>
    </row>
    <row r="161" spans="2:17">
      <c r="B161" s="11" t="s">
        <v>55</v>
      </c>
      <c r="D161" s="6" t="s">
        <v>36</v>
      </c>
      <c r="E161" s="11" t="s">
        <v>47</v>
      </c>
      <c r="F161" s="11" t="s">
        <v>180</v>
      </c>
      <c r="G161" s="11" t="s">
        <v>208</v>
      </c>
      <c r="H161" s="18">
        <v>13.4</v>
      </c>
      <c r="I161" s="5" t="s">
        <v>52</v>
      </c>
      <c r="J161" s="19">
        <v>13</v>
      </c>
      <c r="K161" s="5" t="s">
        <v>49</v>
      </c>
      <c r="L161" s="5" t="s">
        <v>53</v>
      </c>
      <c r="M161" s="23" t="s">
        <v>181</v>
      </c>
      <c r="N161" s="25"/>
      <c r="O161" s="25"/>
      <c r="P161" s="25"/>
      <c r="Q161" s="17" t="s">
        <v>43</v>
      </c>
    </row>
    <row r="162" spans="2:17">
      <c r="B162" s="11" t="s">
        <v>55</v>
      </c>
      <c r="D162" s="6" t="s">
        <v>36</v>
      </c>
      <c r="E162" s="11" t="s">
        <v>47</v>
      </c>
      <c r="F162" s="11" t="s">
        <v>180</v>
      </c>
      <c r="G162" s="11" t="s">
        <v>209</v>
      </c>
      <c r="H162" s="18">
        <v>13.4</v>
      </c>
      <c r="I162" s="5" t="s">
        <v>52</v>
      </c>
      <c r="J162" s="19">
        <v>13</v>
      </c>
      <c r="K162" s="5" t="s">
        <v>49</v>
      </c>
      <c r="L162" s="5" t="s">
        <v>53</v>
      </c>
      <c r="M162" s="23" t="s">
        <v>181</v>
      </c>
      <c r="N162" s="25"/>
      <c r="O162" s="25"/>
      <c r="P162" s="25"/>
      <c r="Q162" s="17" t="s">
        <v>43</v>
      </c>
    </row>
    <row r="163" spans="2:17">
      <c r="B163" s="11" t="s">
        <v>55</v>
      </c>
      <c r="D163" s="6" t="s">
        <v>36</v>
      </c>
      <c r="E163" s="11" t="s">
        <v>47</v>
      </c>
      <c r="F163" s="11" t="s">
        <v>180</v>
      </c>
      <c r="G163" s="11" t="s">
        <v>210</v>
      </c>
      <c r="H163" s="18">
        <v>13.4</v>
      </c>
      <c r="I163" s="5" t="s">
        <v>52</v>
      </c>
      <c r="J163" s="19">
        <v>13</v>
      </c>
      <c r="K163" s="5" t="s">
        <v>49</v>
      </c>
      <c r="L163" s="5" t="s">
        <v>53</v>
      </c>
      <c r="M163" s="23" t="s">
        <v>181</v>
      </c>
      <c r="N163" s="25"/>
      <c r="O163" s="25"/>
      <c r="P163" s="25"/>
      <c r="Q163" s="17" t="s">
        <v>43</v>
      </c>
    </row>
    <row r="164" spans="2:17">
      <c r="B164" s="11" t="s">
        <v>55</v>
      </c>
      <c r="D164" s="6" t="s">
        <v>36</v>
      </c>
      <c r="E164" s="11" t="s">
        <v>47</v>
      </c>
      <c r="F164" s="11" t="s">
        <v>180</v>
      </c>
      <c r="G164" s="11" t="s">
        <v>211</v>
      </c>
      <c r="H164" s="18">
        <v>13.4</v>
      </c>
      <c r="I164" s="5" t="s">
        <v>52</v>
      </c>
      <c r="J164" s="19">
        <v>13</v>
      </c>
      <c r="K164" s="5" t="s">
        <v>49</v>
      </c>
      <c r="L164" s="5" t="s">
        <v>53</v>
      </c>
      <c r="M164" s="23" t="s">
        <v>181</v>
      </c>
      <c r="N164" s="25"/>
      <c r="O164" s="25"/>
      <c r="P164" s="25"/>
      <c r="Q164" s="17" t="s">
        <v>43</v>
      </c>
    </row>
    <row r="165" spans="2:17">
      <c r="B165" s="11" t="s">
        <v>55</v>
      </c>
      <c r="D165" s="6" t="s">
        <v>36</v>
      </c>
      <c r="E165" s="11" t="s">
        <v>47</v>
      </c>
      <c r="F165" s="11" t="s">
        <v>180</v>
      </c>
      <c r="G165" s="11" t="s">
        <v>212</v>
      </c>
      <c r="H165" s="18">
        <v>13.4</v>
      </c>
      <c r="I165" s="5" t="s">
        <v>52</v>
      </c>
      <c r="J165" s="19">
        <v>13</v>
      </c>
      <c r="K165" s="5" t="s">
        <v>49</v>
      </c>
      <c r="L165" s="5" t="s">
        <v>53</v>
      </c>
      <c r="M165" s="23" t="s">
        <v>181</v>
      </c>
      <c r="N165" s="25"/>
      <c r="O165" s="25"/>
      <c r="P165" s="25"/>
      <c r="Q165" s="17" t="s">
        <v>43</v>
      </c>
    </row>
    <row r="166" spans="2:17">
      <c r="B166" s="11" t="s">
        <v>55</v>
      </c>
      <c r="D166" s="6" t="s">
        <v>36</v>
      </c>
      <c r="E166" s="11" t="s">
        <v>47</v>
      </c>
      <c r="F166" s="11" t="s">
        <v>180</v>
      </c>
      <c r="G166" s="11" t="s">
        <v>213</v>
      </c>
      <c r="H166" s="18">
        <v>13.4</v>
      </c>
      <c r="I166" s="5" t="s">
        <v>52</v>
      </c>
      <c r="J166" s="19">
        <v>13</v>
      </c>
      <c r="K166" s="5" t="s">
        <v>49</v>
      </c>
      <c r="L166" s="5" t="s">
        <v>53</v>
      </c>
      <c r="M166" s="23" t="s">
        <v>181</v>
      </c>
      <c r="N166" s="25"/>
      <c r="O166" s="25"/>
      <c r="P166" s="25"/>
      <c r="Q166" s="17" t="s">
        <v>43</v>
      </c>
    </row>
    <row r="167" spans="2:17">
      <c r="B167" s="11" t="s">
        <v>55</v>
      </c>
      <c r="D167" s="6" t="s">
        <v>36</v>
      </c>
      <c r="E167" s="11" t="s">
        <v>47</v>
      </c>
      <c r="F167" s="11" t="s">
        <v>180</v>
      </c>
      <c r="G167" s="11" t="s">
        <v>214</v>
      </c>
      <c r="H167" s="18">
        <v>13.4</v>
      </c>
      <c r="I167" s="5" t="s">
        <v>52</v>
      </c>
      <c r="J167" s="19">
        <v>13</v>
      </c>
      <c r="K167" s="5" t="s">
        <v>49</v>
      </c>
      <c r="L167" s="5" t="s">
        <v>53</v>
      </c>
      <c r="M167" s="23" t="s">
        <v>181</v>
      </c>
      <c r="N167" s="25"/>
      <c r="O167" s="25"/>
      <c r="P167" s="25"/>
      <c r="Q167" s="17" t="s">
        <v>43</v>
      </c>
    </row>
    <row r="168" spans="2:17">
      <c r="B168" s="11" t="s">
        <v>55</v>
      </c>
      <c r="D168" s="6" t="s">
        <v>36</v>
      </c>
      <c r="E168" s="11" t="s">
        <v>47</v>
      </c>
      <c r="F168" s="11" t="s">
        <v>180</v>
      </c>
      <c r="G168" s="11" t="s">
        <v>215</v>
      </c>
      <c r="H168" s="18">
        <v>13.4</v>
      </c>
      <c r="I168" s="5" t="s">
        <v>52</v>
      </c>
      <c r="J168" s="19">
        <v>13</v>
      </c>
      <c r="K168" s="5" t="s">
        <v>49</v>
      </c>
      <c r="L168" s="5" t="s">
        <v>53</v>
      </c>
      <c r="M168" s="23" t="s">
        <v>181</v>
      </c>
      <c r="N168" s="25"/>
      <c r="O168" s="25"/>
      <c r="P168" s="25"/>
      <c r="Q168" s="17" t="s">
        <v>43</v>
      </c>
    </row>
    <row r="169" spans="2:17">
      <c r="B169" s="11" t="s">
        <v>55</v>
      </c>
      <c r="D169" s="6" t="s">
        <v>36</v>
      </c>
      <c r="E169" s="11" t="s">
        <v>47</v>
      </c>
      <c r="F169" s="11" t="s">
        <v>180</v>
      </c>
      <c r="G169" s="11" t="s">
        <v>216</v>
      </c>
      <c r="H169" s="18">
        <v>13.4</v>
      </c>
      <c r="I169" s="5" t="s">
        <v>52</v>
      </c>
      <c r="J169" s="19">
        <v>13</v>
      </c>
      <c r="K169" s="5" t="s">
        <v>49</v>
      </c>
      <c r="L169" s="5" t="s">
        <v>53</v>
      </c>
      <c r="M169" s="23" t="s">
        <v>181</v>
      </c>
      <c r="N169" s="25"/>
      <c r="O169" s="25"/>
      <c r="P169" s="25"/>
      <c r="Q169" s="17" t="s">
        <v>43</v>
      </c>
    </row>
    <row r="170" spans="2:17">
      <c r="B170" s="11" t="s">
        <v>55</v>
      </c>
      <c r="D170" s="6" t="s">
        <v>36</v>
      </c>
      <c r="E170" s="11" t="s">
        <v>47</v>
      </c>
      <c r="F170" s="11" t="s">
        <v>180</v>
      </c>
      <c r="G170" s="11" t="s">
        <v>217</v>
      </c>
      <c r="H170" s="18">
        <v>13.4</v>
      </c>
      <c r="I170" s="5" t="s">
        <v>52</v>
      </c>
      <c r="J170" s="19">
        <v>13</v>
      </c>
      <c r="K170" s="5" t="s">
        <v>49</v>
      </c>
      <c r="L170" s="5" t="s">
        <v>53</v>
      </c>
      <c r="M170" s="23" t="s">
        <v>181</v>
      </c>
      <c r="N170" s="25"/>
      <c r="O170" s="25"/>
      <c r="P170" s="25"/>
      <c r="Q170" s="17" t="s">
        <v>43</v>
      </c>
    </row>
    <row r="171" spans="2:17">
      <c r="B171" s="11" t="s">
        <v>55</v>
      </c>
      <c r="D171" s="6" t="s">
        <v>36</v>
      </c>
      <c r="E171" s="11" t="s">
        <v>47</v>
      </c>
      <c r="F171" s="11" t="s">
        <v>180</v>
      </c>
      <c r="G171" s="11" t="s">
        <v>218</v>
      </c>
      <c r="H171" s="18">
        <v>13.4</v>
      </c>
      <c r="I171" s="5" t="s">
        <v>52</v>
      </c>
      <c r="J171" s="19">
        <v>13</v>
      </c>
      <c r="K171" s="5" t="s">
        <v>49</v>
      </c>
      <c r="L171" s="5" t="s">
        <v>53</v>
      </c>
      <c r="M171" s="23" t="s">
        <v>181</v>
      </c>
      <c r="N171" s="25"/>
      <c r="O171" s="25"/>
      <c r="P171" s="25"/>
      <c r="Q171" s="17" t="s">
        <v>43</v>
      </c>
    </row>
    <row r="172" spans="2:17">
      <c r="B172" s="11" t="s">
        <v>55</v>
      </c>
      <c r="D172" s="6" t="s">
        <v>36</v>
      </c>
      <c r="E172" s="11" t="s">
        <v>47</v>
      </c>
      <c r="F172" s="11" t="s">
        <v>180</v>
      </c>
      <c r="G172" s="11" t="s">
        <v>219</v>
      </c>
      <c r="H172" s="18">
        <v>13.4</v>
      </c>
      <c r="I172" s="5" t="s">
        <v>52</v>
      </c>
      <c r="J172" s="19">
        <v>13</v>
      </c>
      <c r="K172" s="5" t="s">
        <v>49</v>
      </c>
      <c r="L172" s="5" t="s">
        <v>53</v>
      </c>
      <c r="M172" s="23" t="s">
        <v>181</v>
      </c>
      <c r="N172" s="25"/>
      <c r="O172" s="25"/>
      <c r="P172" s="25"/>
      <c r="Q172" s="17" t="s">
        <v>43</v>
      </c>
    </row>
    <row r="173" spans="2:17">
      <c r="B173" s="11" t="s">
        <v>55</v>
      </c>
      <c r="D173" s="6" t="s">
        <v>36</v>
      </c>
      <c r="E173" s="11" t="s">
        <v>47</v>
      </c>
      <c r="F173" s="11" t="s">
        <v>180</v>
      </c>
      <c r="G173" s="11" t="s">
        <v>220</v>
      </c>
      <c r="H173" s="18">
        <v>13.4</v>
      </c>
      <c r="I173" s="5" t="s">
        <v>52</v>
      </c>
      <c r="J173" s="19">
        <v>13</v>
      </c>
      <c r="K173" s="5" t="s">
        <v>49</v>
      </c>
      <c r="L173" s="5" t="s">
        <v>53</v>
      </c>
      <c r="M173" s="23" t="s">
        <v>181</v>
      </c>
      <c r="N173" s="25"/>
      <c r="O173" s="25"/>
      <c r="P173" s="25"/>
      <c r="Q173" s="17" t="s">
        <v>43</v>
      </c>
    </row>
    <row r="174" spans="2:17">
      <c r="B174" s="11" t="s">
        <v>55</v>
      </c>
      <c r="D174" s="6" t="s">
        <v>36</v>
      </c>
      <c r="E174" s="11" t="s">
        <v>47</v>
      </c>
      <c r="F174" s="11" t="s">
        <v>180</v>
      </c>
      <c r="G174" s="11" t="s">
        <v>221</v>
      </c>
      <c r="H174" s="18">
        <v>13.4</v>
      </c>
      <c r="I174" s="5" t="s">
        <v>52</v>
      </c>
      <c r="J174" s="19">
        <v>13</v>
      </c>
      <c r="K174" s="5" t="s">
        <v>49</v>
      </c>
      <c r="L174" s="5" t="s">
        <v>53</v>
      </c>
      <c r="M174" s="23" t="s">
        <v>181</v>
      </c>
      <c r="N174" s="25"/>
      <c r="O174" s="25"/>
      <c r="P174" s="25"/>
      <c r="Q174" s="17" t="s">
        <v>43</v>
      </c>
    </row>
    <row r="175" spans="2:17">
      <c r="B175" s="11"/>
      <c r="D175" s="6"/>
      <c r="F175" s="11"/>
      <c r="G175" s="11"/>
      <c r="H175" s="18"/>
      <c r="J175" s="19"/>
      <c r="M175" s="23"/>
      <c r="N175" s="20"/>
      <c r="O175" s="20"/>
      <c r="P175" s="20"/>
      <c r="Q175" s="17"/>
    </row>
    <row r="176" spans="2:17">
      <c r="B176" s="11" t="s">
        <v>50</v>
      </c>
      <c r="D176" s="6" t="s">
        <v>36</v>
      </c>
      <c r="E176" s="11" t="s">
        <v>47</v>
      </c>
      <c r="F176" s="11" t="s">
        <v>222</v>
      </c>
      <c r="G176" s="11"/>
      <c r="H176" s="18">
        <v>536</v>
      </c>
      <c r="I176" s="5" t="s">
        <v>52</v>
      </c>
      <c r="J176" s="19">
        <v>520</v>
      </c>
      <c r="K176" s="5" t="s">
        <v>49</v>
      </c>
      <c r="L176" s="5" t="s">
        <v>53</v>
      </c>
      <c r="M176" s="23" t="s">
        <v>223</v>
      </c>
      <c r="N176" s="25">
        <v>10700</v>
      </c>
      <c r="O176" s="25">
        <v>6</v>
      </c>
      <c r="P176" s="25">
        <v>4</v>
      </c>
      <c r="Q176" s="17" t="s">
        <v>43</v>
      </c>
    </row>
    <row r="177" spans="2:17">
      <c r="B177" s="11" t="s">
        <v>55</v>
      </c>
      <c r="D177" s="6" t="s">
        <v>36</v>
      </c>
      <c r="E177" s="11" t="s">
        <v>47</v>
      </c>
      <c r="F177" s="11" t="s">
        <v>222</v>
      </c>
      <c r="G177" s="11" t="s">
        <v>224</v>
      </c>
      <c r="H177" s="18">
        <v>13.4</v>
      </c>
      <c r="I177" s="5" t="s">
        <v>52</v>
      </c>
      <c r="J177" s="19">
        <v>13</v>
      </c>
      <c r="K177" s="5" t="s">
        <v>49</v>
      </c>
      <c r="L177" s="5" t="s">
        <v>53</v>
      </c>
      <c r="M177" s="23" t="s">
        <v>223</v>
      </c>
      <c r="N177" s="25"/>
      <c r="O177" s="25"/>
      <c r="P177" s="25"/>
      <c r="Q177" s="17" t="s">
        <v>43</v>
      </c>
    </row>
    <row r="178" spans="2:17">
      <c r="B178" s="11" t="s">
        <v>55</v>
      </c>
      <c r="D178" s="6" t="s">
        <v>36</v>
      </c>
      <c r="E178" s="11" t="s">
        <v>47</v>
      </c>
      <c r="F178" s="11" t="s">
        <v>222</v>
      </c>
      <c r="G178" s="11" t="s">
        <v>225</v>
      </c>
      <c r="H178" s="18">
        <v>13.4</v>
      </c>
      <c r="I178" s="5" t="s">
        <v>52</v>
      </c>
      <c r="J178" s="19">
        <v>13</v>
      </c>
      <c r="K178" s="5" t="s">
        <v>49</v>
      </c>
      <c r="L178" s="5" t="s">
        <v>53</v>
      </c>
      <c r="M178" s="23" t="s">
        <v>223</v>
      </c>
      <c r="N178" s="25"/>
      <c r="O178" s="25"/>
      <c r="P178" s="25"/>
      <c r="Q178" s="17" t="s">
        <v>43</v>
      </c>
    </row>
    <row r="179" spans="2:17">
      <c r="B179" s="11" t="s">
        <v>55</v>
      </c>
      <c r="D179" s="6" t="s">
        <v>36</v>
      </c>
      <c r="E179" s="11" t="s">
        <v>47</v>
      </c>
      <c r="F179" s="11" t="s">
        <v>222</v>
      </c>
      <c r="G179" s="11" t="s">
        <v>226</v>
      </c>
      <c r="H179" s="18">
        <v>13.4</v>
      </c>
      <c r="I179" s="5" t="s">
        <v>52</v>
      </c>
      <c r="J179" s="19">
        <v>13</v>
      </c>
      <c r="K179" s="5" t="s">
        <v>49</v>
      </c>
      <c r="L179" s="5" t="s">
        <v>53</v>
      </c>
      <c r="M179" s="23" t="s">
        <v>223</v>
      </c>
      <c r="N179" s="25"/>
      <c r="O179" s="25"/>
      <c r="P179" s="25"/>
      <c r="Q179" s="17" t="s">
        <v>43</v>
      </c>
    </row>
    <row r="180" spans="2:17">
      <c r="B180" s="11" t="s">
        <v>55</v>
      </c>
      <c r="D180" s="6" t="s">
        <v>36</v>
      </c>
      <c r="E180" s="11" t="s">
        <v>47</v>
      </c>
      <c r="F180" s="11" t="s">
        <v>222</v>
      </c>
      <c r="G180" s="11" t="s">
        <v>227</v>
      </c>
      <c r="H180" s="18">
        <v>13.4</v>
      </c>
      <c r="I180" s="5" t="s">
        <v>52</v>
      </c>
      <c r="J180" s="19">
        <v>13</v>
      </c>
      <c r="K180" s="5" t="s">
        <v>49</v>
      </c>
      <c r="L180" s="5" t="s">
        <v>53</v>
      </c>
      <c r="M180" s="23" t="s">
        <v>223</v>
      </c>
      <c r="N180" s="25"/>
      <c r="O180" s="25"/>
      <c r="P180" s="25"/>
      <c r="Q180" s="17" t="s">
        <v>43</v>
      </c>
    </row>
    <row r="181" spans="2:17">
      <c r="B181" s="11" t="s">
        <v>55</v>
      </c>
      <c r="D181" s="6" t="s">
        <v>36</v>
      </c>
      <c r="E181" s="11" t="s">
        <v>47</v>
      </c>
      <c r="F181" s="11" t="s">
        <v>222</v>
      </c>
      <c r="G181" s="11" t="s">
        <v>228</v>
      </c>
      <c r="H181" s="18">
        <v>13.4</v>
      </c>
      <c r="I181" s="5" t="s">
        <v>52</v>
      </c>
      <c r="J181" s="19">
        <v>13</v>
      </c>
      <c r="K181" s="5" t="s">
        <v>49</v>
      </c>
      <c r="L181" s="5" t="s">
        <v>53</v>
      </c>
      <c r="M181" s="23" t="s">
        <v>223</v>
      </c>
      <c r="N181" s="25"/>
      <c r="O181" s="25"/>
      <c r="P181" s="25"/>
      <c r="Q181" s="17" t="s">
        <v>43</v>
      </c>
    </row>
    <row r="182" spans="2:17">
      <c r="B182" s="11" t="s">
        <v>55</v>
      </c>
      <c r="D182" s="6" t="s">
        <v>36</v>
      </c>
      <c r="E182" s="11" t="s">
        <v>47</v>
      </c>
      <c r="F182" s="11" t="s">
        <v>222</v>
      </c>
      <c r="G182" s="11" t="s">
        <v>229</v>
      </c>
      <c r="H182" s="18">
        <v>13.4</v>
      </c>
      <c r="I182" s="5" t="s">
        <v>52</v>
      </c>
      <c r="J182" s="19">
        <v>13</v>
      </c>
      <c r="K182" s="5" t="s">
        <v>49</v>
      </c>
      <c r="L182" s="5" t="s">
        <v>53</v>
      </c>
      <c r="M182" s="23" t="s">
        <v>223</v>
      </c>
      <c r="N182" s="25"/>
      <c r="O182" s="25"/>
      <c r="P182" s="25"/>
      <c r="Q182" s="17" t="s">
        <v>43</v>
      </c>
    </row>
    <row r="183" spans="2:17">
      <c r="B183" s="11" t="s">
        <v>55</v>
      </c>
      <c r="D183" s="6" t="s">
        <v>36</v>
      </c>
      <c r="E183" s="11" t="s">
        <v>47</v>
      </c>
      <c r="F183" s="11" t="s">
        <v>222</v>
      </c>
      <c r="G183" s="11" t="s">
        <v>230</v>
      </c>
      <c r="H183" s="18">
        <v>13.4</v>
      </c>
      <c r="I183" s="5" t="s">
        <v>52</v>
      </c>
      <c r="J183" s="19">
        <v>13</v>
      </c>
      <c r="K183" s="5" t="s">
        <v>49</v>
      </c>
      <c r="L183" s="5" t="s">
        <v>53</v>
      </c>
      <c r="M183" s="23" t="s">
        <v>223</v>
      </c>
      <c r="N183" s="25"/>
      <c r="O183" s="25"/>
      <c r="P183" s="25"/>
      <c r="Q183" s="17" t="s">
        <v>43</v>
      </c>
    </row>
    <row r="184" spans="2:17">
      <c r="B184" s="11" t="s">
        <v>55</v>
      </c>
      <c r="D184" s="6" t="s">
        <v>36</v>
      </c>
      <c r="E184" s="11" t="s">
        <v>47</v>
      </c>
      <c r="F184" s="11" t="s">
        <v>222</v>
      </c>
      <c r="G184" s="11" t="s">
        <v>231</v>
      </c>
      <c r="H184" s="18">
        <v>13.4</v>
      </c>
      <c r="I184" s="5" t="s">
        <v>52</v>
      </c>
      <c r="J184" s="19">
        <v>13</v>
      </c>
      <c r="K184" s="5" t="s">
        <v>49</v>
      </c>
      <c r="L184" s="5" t="s">
        <v>53</v>
      </c>
      <c r="M184" s="23" t="s">
        <v>223</v>
      </c>
      <c r="N184" s="25"/>
      <c r="O184" s="25"/>
      <c r="P184" s="25"/>
      <c r="Q184" s="17" t="s">
        <v>43</v>
      </c>
    </row>
    <row r="185" spans="2:17">
      <c r="B185" s="11" t="s">
        <v>55</v>
      </c>
      <c r="D185" s="6" t="s">
        <v>36</v>
      </c>
      <c r="E185" s="11" t="s">
        <v>47</v>
      </c>
      <c r="F185" s="11" t="s">
        <v>222</v>
      </c>
      <c r="G185" s="11" t="s">
        <v>232</v>
      </c>
      <c r="H185" s="18">
        <v>13.4</v>
      </c>
      <c r="I185" s="5" t="s">
        <v>52</v>
      </c>
      <c r="J185" s="19">
        <v>13</v>
      </c>
      <c r="K185" s="5" t="s">
        <v>49</v>
      </c>
      <c r="L185" s="5" t="s">
        <v>53</v>
      </c>
      <c r="M185" s="23" t="s">
        <v>223</v>
      </c>
      <c r="N185" s="25"/>
      <c r="O185" s="25"/>
      <c r="P185" s="25"/>
      <c r="Q185" s="17" t="s">
        <v>43</v>
      </c>
    </row>
    <row r="186" spans="2:17">
      <c r="B186" s="11" t="s">
        <v>55</v>
      </c>
      <c r="D186" s="6" t="s">
        <v>36</v>
      </c>
      <c r="E186" s="11" t="s">
        <v>47</v>
      </c>
      <c r="F186" s="11" t="s">
        <v>222</v>
      </c>
      <c r="G186" s="11" t="s">
        <v>233</v>
      </c>
      <c r="H186" s="18">
        <v>13.4</v>
      </c>
      <c r="I186" s="5" t="s">
        <v>52</v>
      </c>
      <c r="J186" s="19">
        <v>13</v>
      </c>
      <c r="K186" s="5" t="s">
        <v>49</v>
      </c>
      <c r="L186" s="5" t="s">
        <v>53</v>
      </c>
      <c r="M186" s="23" t="s">
        <v>223</v>
      </c>
      <c r="N186" s="25"/>
      <c r="O186" s="25"/>
      <c r="P186" s="25"/>
      <c r="Q186" s="17" t="s">
        <v>43</v>
      </c>
    </row>
    <row r="187" spans="2:17">
      <c r="B187" s="11" t="s">
        <v>55</v>
      </c>
      <c r="D187" s="6" t="s">
        <v>36</v>
      </c>
      <c r="E187" s="11" t="s">
        <v>47</v>
      </c>
      <c r="F187" s="11" t="s">
        <v>222</v>
      </c>
      <c r="G187" s="11" t="s">
        <v>234</v>
      </c>
      <c r="H187" s="18">
        <v>13.4</v>
      </c>
      <c r="I187" s="5" t="s">
        <v>52</v>
      </c>
      <c r="J187" s="19">
        <v>13</v>
      </c>
      <c r="K187" s="5" t="s">
        <v>49</v>
      </c>
      <c r="L187" s="5" t="s">
        <v>53</v>
      </c>
      <c r="M187" s="23" t="s">
        <v>223</v>
      </c>
      <c r="N187" s="25"/>
      <c r="O187" s="25"/>
      <c r="P187" s="25"/>
      <c r="Q187" s="17" t="s">
        <v>43</v>
      </c>
    </row>
    <row r="188" spans="2:17">
      <c r="B188" s="11" t="s">
        <v>55</v>
      </c>
      <c r="D188" s="6" t="s">
        <v>36</v>
      </c>
      <c r="E188" s="11" t="s">
        <v>47</v>
      </c>
      <c r="F188" s="11" t="s">
        <v>222</v>
      </c>
      <c r="G188" s="11" t="s">
        <v>235</v>
      </c>
      <c r="H188" s="18">
        <v>13.4</v>
      </c>
      <c r="I188" s="5" t="s">
        <v>52</v>
      </c>
      <c r="J188" s="19">
        <v>13</v>
      </c>
      <c r="K188" s="5" t="s">
        <v>49</v>
      </c>
      <c r="L188" s="5" t="s">
        <v>53</v>
      </c>
      <c r="M188" s="23" t="s">
        <v>223</v>
      </c>
      <c r="N188" s="25"/>
      <c r="O188" s="25"/>
      <c r="P188" s="25"/>
      <c r="Q188" s="17" t="s">
        <v>43</v>
      </c>
    </row>
    <row r="189" spans="2:17">
      <c r="B189" s="11" t="s">
        <v>55</v>
      </c>
      <c r="D189" s="6" t="s">
        <v>36</v>
      </c>
      <c r="E189" s="11" t="s">
        <v>47</v>
      </c>
      <c r="F189" s="11" t="s">
        <v>222</v>
      </c>
      <c r="G189" s="11" t="s">
        <v>236</v>
      </c>
      <c r="H189" s="18">
        <v>13.4</v>
      </c>
      <c r="I189" s="5" t="s">
        <v>52</v>
      </c>
      <c r="J189" s="19">
        <v>13</v>
      </c>
      <c r="K189" s="5" t="s">
        <v>49</v>
      </c>
      <c r="L189" s="5" t="s">
        <v>53</v>
      </c>
      <c r="M189" s="23" t="s">
        <v>223</v>
      </c>
      <c r="N189" s="25"/>
      <c r="O189" s="25"/>
      <c r="P189" s="25"/>
      <c r="Q189" s="17" t="s">
        <v>43</v>
      </c>
    </row>
    <row r="190" spans="2:17">
      <c r="B190" s="11" t="s">
        <v>55</v>
      </c>
      <c r="D190" s="6" t="s">
        <v>36</v>
      </c>
      <c r="E190" s="11" t="s">
        <v>47</v>
      </c>
      <c r="F190" s="11" t="s">
        <v>222</v>
      </c>
      <c r="G190" s="11" t="s">
        <v>237</v>
      </c>
      <c r="H190" s="18">
        <v>13.4</v>
      </c>
      <c r="I190" s="5" t="s">
        <v>52</v>
      </c>
      <c r="J190" s="19">
        <v>13</v>
      </c>
      <c r="K190" s="5" t="s">
        <v>49</v>
      </c>
      <c r="L190" s="5" t="s">
        <v>53</v>
      </c>
      <c r="M190" s="23" t="s">
        <v>223</v>
      </c>
      <c r="N190" s="25"/>
      <c r="O190" s="25"/>
      <c r="P190" s="25"/>
      <c r="Q190" s="17" t="s">
        <v>43</v>
      </c>
    </row>
    <row r="191" spans="2:17">
      <c r="B191" s="11" t="s">
        <v>55</v>
      </c>
      <c r="D191" s="6" t="s">
        <v>36</v>
      </c>
      <c r="E191" s="11" t="s">
        <v>47</v>
      </c>
      <c r="F191" s="11" t="s">
        <v>222</v>
      </c>
      <c r="G191" s="11" t="s">
        <v>238</v>
      </c>
      <c r="H191" s="18">
        <v>13.4</v>
      </c>
      <c r="I191" s="5" t="s">
        <v>52</v>
      </c>
      <c r="J191" s="19">
        <v>13</v>
      </c>
      <c r="K191" s="5" t="s">
        <v>49</v>
      </c>
      <c r="L191" s="5" t="s">
        <v>53</v>
      </c>
      <c r="M191" s="23" t="s">
        <v>223</v>
      </c>
      <c r="N191" s="25"/>
      <c r="O191" s="25"/>
      <c r="P191" s="25"/>
      <c r="Q191" s="17" t="s">
        <v>43</v>
      </c>
    </row>
    <row r="192" spans="2:17">
      <c r="B192" s="11" t="s">
        <v>55</v>
      </c>
      <c r="D192" s="6" t="s">
        <v>36</v>
      </c>
      <c r="E192" s="11" t="s">
        <v>47</v>
      </c>
      <c r="F192" s="11" t="s">
        <v>222</v>
      </c>
      <c r="G192" s="11" t="s">
        <v>239</v>
      </c>
      <c r="H192" s="18">
        <v>13.4</v>
      </c>
      <c r="I192" s="5" t="s">
        <v>52</v>
      </c>
      <c r="J192" s="19">
        <v>13</v>
      </c>
      <c r="K192" s="5" t="s">
        <v>49</v>
      </c>
      <c r="L192" s="5" t="s">
        <v>53</v>
      </c>
      <c r="M192" s="23" t="s">
        <v>223</v>
      </c>
      <c r="N192" s="25"/>
      <c r="O192" s="25"/>
      <c r="P192" s="25"/>
      <c r="Q192" s="17" t="s">
        <v>43</v>
      </c>
    </row>
    <row r="193" spans="2:17">
      <c r="B193" s="11" t="s">
        <v>55</v>
      </c>
      <c r="D193" s="6" t="s">
        <v>36</v>
      </c>
      <c r="E193" s="11" t="s">
        <v>47</v>
      </c>
      <c r="F193" s="11" t="s">
        <v>222</v>
      </c>
      <c r="G193" s="11" t="s">
        <v>240</v>
      </c>
      <c r="H193" s="18">
        <v>13.4</v>
      </c>
      <c r="I193" s="5" t="s">
        <v>52</v>
      </c>
      <c r="J193" s="19">
        <v>13</v>
      </c>
      <c r="K193" s="5" t="s">
        <v>49</v>
      </c>
      <c r="L193" s="5" t="s">
        <v>53</v>
      </c>
      <c r="M193" s="23" t="s">
        <v>223</v>
      </c>
      <c r="N193" s="25"/>
      <c r="O193" s="25"/>
      <c r="P193" s="25"/>
      <c r="Q193" s="17" t="s">
        <v>43</v>
      </c>
    </row>
    <row r="194" spans="2:17">
      <c r="B194" s="11" t="s">
        <v>55</v>
      </c>
      <c r="D194" s="6" t="s">
        <v>36</v>
      </c>
      <c r="E194" s="11" t="s">
        <v>47</v>
      </c>
      <c r="F194" s="11" t="s">
        <v>222</v>
      </c>
      <c r="G194" s="11" t="s">
        <v>241</v>
      </c>
      <c r="H194" s="18">
        <v>13.4</v>
      </c>
      <c r="I194" s="5" t="s">
        <v>52</v>
      </c>
      <c r="J194" s="19">
        <v>13</v>
      </c>
      <c r="K194" s="5" t="s">
        <v>49</v>
      </c>
      <c r="L194" s="5" t="s">
        <v>53</v>
      </c>
      <c r="M194" s="23" t="s">
        <v>223</v>
      </c>
      <c r="N194" s="25"/>
      <c r="O194" s="25"/>
      <c r="P194" s="25"/>
      <c r="Q194" s="17" t="s">
        <v>43</v>
      </c>
    </row>
    <row r="195" spans="2:17">
      <c r="B195" s="11" t="s">
        <v>55</v>
      </c>
      <c r="D195" s="6" t="s">
        <v>36</v>
      </c>
      <c r="E195" s="11" t="s">
        <v>47</v>
      </c>
      <c r="F195" s="11" t="s">
        <v>222</v>
      </c>
      <c r="G195" s="11" t="s">
        <v>242</v>
      </c>
      <c r="H195" s="18">
        <v>13.4</v>
      </c>
      <c r="I195" s="5" t="s">
        <v>52</v>
      </c>
      <c r="J195" s="19">
        <v>13</v>
      </c>
      <c r="K195" s="5" t="s">
        <v>49</v>
      </c>
      <c r="L195" s="5" t="s">
        <v>53</v>
      </c>
      <c r="M195" s="23" t="s">
        <v>223</v>
      </c>
      <c r="N195" s="25"/>
      <c r="O195" s="25"/>
      <c r="P195" s="25"/>
      <c r="Q195" s="17" t="s">
        <v>43</v>
      </c>
    </row>
    <row r="196" spans="2:17">
      <c r="B196" s="11" t="s">
        <v>55</v>
      </c>
      <c r="D196" s="6" t="s">
        <v>36</v>
      </c>
      <c r="E196" s="11" t="s">
        <v>47</v>
      </c>
      <c r="F196" s="11" t="s">
        <v>222</v>
      </c>
      <c r="G196" s="11" t="s">
        <v>243</v>
      </c>
      <c r="H196" s="18">
        <v>13.4</v>
      </c>
      <c r="I196" s="5" t="s">
        <v>52</v>
      </c>
      <c r="J196" s="19">
        <v>13</v>
      </c>
      <c r="K196" s="5" t="s">
        <v>49</v>
      </c>
      <c r="L196" s="5" t="s">
        <v>53</v>
      </c>
      <c r="M196" s="23" t="s">
        <v>223</v>
      </c>
      <c r="N196" s="25"/>
      <c r="O196" s="25"/>
      <c r="P196" s="25"/>
      <c r="Q196" s="17" t="s">
        <v>43</v>
      </c>
    </row>
    <row r="197" spans="2:17">
      <c r="B197" s="11" t="s">
        <v>55</v>
      </c>
      <c r="D197" s="6" t="s">
        <v>36</v>
      </c>
      <c r="E197" s="11" t="s">
        <v>47</v>
      </c>
      <c r="F197" s="11" t="s">
        <v>222</v>
      </c>
      <c r="G197" s="11" t="s">
        <v>244</v>
      </c>
      <c r="H197" s="18">
        <v>13.4</v>
      </c>
      <c r="I197" s="5" t="s">
        <v>52</v>
      </c>
      <c r="J197" s="19">
        <v>13</v>
      </c>
      <c r="K197" s="5" t="s">
        <v>49</v>
      </c>
      <c r="L197" s="5" t="s">
        <v>53</v>
      </c>
      <c r="M197" s="23" t="s">
        <v>223</v>
      </c>
      <c r="N197" s="25"/>
      <c r="O197" s="25"/>
      <c r="P197" s="25"/>
      <c r="Q197" s="17" t="s">
        <v>43</v>
      </c>
    </row>
    <row r="198" spans="2:17">
      <c r="B198" s="11" t="s">
        <v>55</v>
      </c>
      <c r="D198" s="6" t="s">
        <v>36</v>
      </c>
      <c r="E198" s="11" t="s">
        <v>47</v>
      </c>
      <c r="F198" s="11" t="s">
        <v>222</v>
      </c>
      <c r="G198" s="11" t="s">
        <v>245</v>
      </c>
      <c r="H198" s="18">
        <v>13.4</v>
      </c>
      <c r="I198" s="5" t="s">
        <v>52</v>
      </c>
      <c r="J198" s="19">
        <v>13</v>
      </c>
      <c r="K198" s="5" t="s">
        <v>49</v>
      </c>
      <c r="L198" s="5" t="s">
        <v>53</v>
      </c>
      <c r="M198" s="23" t="s">
        <v>223</v>
      </c>
      <c r="N198" s="25"/>
      <c r="O198" s="25"/>
      <c r="P198" s="25"/>
      <c r="Q198" s="17" t="s">
        <v>43</v>
      </c>
    </row>
    <row r="199" spans="2:17">
      <c r="B199" s="11" t="s">
        <v>55</v>
      </c>
      <c r="D199" s="6" t="s">
        <v>36</v>
      </c>
      <c r="E199" s="11" t="s">
        <v>47</v>
      </c>
      <c r="F199" s="11" t="s">
        <v>222</v>
      </c>
      <c r="G199" s="11" t="s">
        <v>246</v>
      </c>
      <c r="H199" s="18">
        <v>13.4</v>
      </c>
      <c r="I199" s="5" t="s">
        <v>52</v>
      </c>
      <c r="J199" s="19">
        <v>13</v>
      </c>
      <c r="K199" s="5" t="s">
        <v>49</v>
      </c>
      <c r="L199" s="5" t="s">
        <v>53</v>
      </c>
      <c r="M199" s="23" t="s">
        <v>223</v>
      </c>
      <c r="N199" s="25"/>
      <c r="O199" s="25"/>
      <c r="P199" s="25"/>
      <c r="Q199" s="17" t="s">
        <v>43</v>
      </c>
    </row>
    <row r="200" spans="2:17">
      <c r="B200" s="11" t="s">
        <v>55</v>
      </c>
      <c r="D200" s="6" t="s">
        <v>36</v>
      </c>
      <c r="E200" s="11" t="s">
        <v>47</v>
      </c>
      <c r="F200" s="11" t="s">
        <v>222</v>
      </c>
      <c r="G200" s="11" t="s">
        <v>247</v>
      </c>
      <c r="H200" s="18">
        <v>13.4</v>
      </c>
      <c r="I200" s="5" t="s">
        <v>52</v>
      </c>
      <c r="J200" s="19">
        <v>13</v>
      </c>
      <c r="K200" s="5" t="s">
        <v>49</v>
      </c>
      <c r="L200" s="5" t="s">
        <v>53</v>
      </c>
      <c r="M200" s="23" t="s">
        <v>223</v>
      </c>
      <c r="N200" s="25"/>
      <c r="O200" s="25"/>
      <c r="P200" s="25"/>
      <c r="Q200" s="17" t="s">
        <v>43</v>
      </c>
    </row>
    <row r="201" spans="2:17">
      <c r="B201" s="11" t="s">
        <v>55</v>
      </c>
      <c r="D201" s="6" t="s">
        <v>36</v>
      </c>
      <c r="E201" s="11" t="s">
        <v>47</v>
      </c>
      <c r="F201" s="11" t="s">
        <v>222</v>
      </c>
      <c r="G201" s="11" t="s">
        <v>248</v>
      </c>
      <c r="H201" s="18">
        <v>13.4</v>
      </c>
      <c r="I201" s="5" t="s">
        <v>52</v>
      </c>
      <c r="J201" s="19">
        <v>13</v>
      </c>
      <c r="K201" s="5" t="s">
        <v>49</v>
      </c>
      <c r="L201" s="5" t="s">
        <v>53</v>
      </c>
      <c r="M201" s="23" t="s">
        <v>223</v>
      </c>
      <c r="N201" s="25"/>
      <c r="O201" s="25"/>
      <c r="P201" s="25"/>
      <c r="Q201" s="17" t="s">
        <v>43</v>
      </c>
    </row>
    <row r="202" spans="2:17">
      <c r="B202" s="11" t="s">
        <v>55</v>
      </c>
      <c r="D202" s="6" t="s">
        <v>36</v>
      </c>
      <c r="E202" s="11" t="s">
        <v>47</v>
      </c>
      <c r="F202" s="11" t="s">
        <v>222</v>
      </c>
      <c r="G202" s="11" t="s">
        <v>249</v>
      </c>
      <c r="H202" s="18">
        <v>13.4</v>
      </c>
      <c r="I202" s="5" t="s">
        <v>52</v>
      </c>
      <c r="J202" s="19">
        <v>13</v>
      </c>
      <c r="K202" s="5" t="s">
        <v>49</v>
      </c>
      <c r="L202" s="5" t="s">
        <v>53</v>
      </c>
      <c r="M202" s="23" t="s">
        <v>223</v>
      </c>
      <c r="N202" s="25"/>
      <c r="O202" s="25"/>
      <c r="P202" s="25"/>
      <c r="Q202" s="17" t="s">
        <v>43</v>
      </c>
    </row>
    <row r="203" spans="2:17">
      <c r="B203" s="11" t="s">
        <v>55</v>
      </c>
      <c r="D203" s="6" t="s">
        <v>36</v>
      </c>
      <c r="E203" s="11" t="s">
        <v>47</v>
      </c>
      <c r="F203" s="11" t="s">
        <v>222</v>
      </c>
      <c r="G203" s="11" t="s">
        <v>250</v>
      </c>
      <c r="H203" s="18">
        <v>13.4</v>
      </c>
      <c r="I203" s="5" t="s">
        <v>52</v>
      </c>
      <c r="J203" s="19">
        <v>13</v>
      </c>
      <c r="K203" s="5" t="s">
        <v>49</v>
      </c>
      <c r="L203" s="5" t="s">
        <v>53</v>
      </c>
      <c r="M203" s="23" t="s">
        <v>223</v>
      </c>
      <c r="N203" s="25"/>
      <c r="O203" s="25"/>
      <c r="P203" s="25"/>
      <c r="Q203" s="17" t="s">
        <v>43</v>
      </c>
    </row>
    <row r="204" spans="2:17">
      <c r="B204" s="11" t="s">
        <v>55</v>
      </c>
      <c r="D204" s="6" t="s">
        <v>36</v>
      </c>
      <c r="E204" s="11" t="s">
        <v>47</v>
      </c>
      <c r="F204" s="11" t="s">
        <v>222</v>
      </c>
      <c r="G204" s="11" t="s">
        <v>251</v>
      </c>
      <c r="H204" s="18">
        <v>13.4</v>
      </c>
      <c r="I204" s="5" t="s">
        <v>52</v>
      </c>
      <c r="J204" s="19">
        <v>13</v>
      </c>
      <c r="K204" s="5" t="s">
        <v>49</v>
      </c>
      <c r="L204" s="5" t="s">
        <v>53</v>
      </c>
      <c r="M204" s="23" t="s">
        <v>223</v>
      </c>
      <c r="N204" s="25"/>
      <c r="O204" s="25"/>
      <c r="P204" s="25"/>
      <c r="Q204" s="17" t="s">
        <v>43</v>
      </c>
    </row>
    <row r="205" spans="2:17">
      <c r="B205" s="11" t="s">
        <v>55</v>
      </c>
      <c r="D205" s="6" t="s">
        <v>36</v>
      </c>
      <c r="E205" s="11" t="s">
        <v>47</v>
      </c>
      <c r="F205" s="11" t="s">
        <v>222</v>
      </c>
      <c r="G205" s="11" t="s">
        <v>252</v>
      </c>
      <c r="H205" s="18">
        <v>13.4</v>
      </c>
      <c r="I205" s="5" t="s">
        <v>52</v>
      </c>
      <c r="J205" s="19">
        <v>13</v>
      </c>
      <c r="K205" s="5" t="s">
        <v>49</v>
      </c>
      <c r="L205" s="5" t="s">
        <v>53</v>
      </c>
      <c r="M205" s="23" t="s">
        <v>223</v>
      </c>
      <c r="N205" s="25"/>
      <c r="O205" s="25"/>
      <c r="P205" s="25"/>
      <c r="Q205" s="17" t="s">
        <v>43</v>
      </c>
    </row>
    <row r="206" spans="2:17">
      <c r="B206" s="11" t="s">
        <v>55</v>
      </c>
      <c r="D206" s="6" t="s">
        <v>36</v>
      </c>
      <c r="E206" s="11" t="s">
        <v>47</v>
      </c>
      <c r="F206" s="11" t="s">
        <v>222</v>
      </c>
      <c r="G206" s="11" t="s">
        <v>253</v>
      </c>
      <c r="H206" s="18">
        <v>13.4</v>
      </c>
      <c r="I206" s="5" t="s">
        <v>52</v>
      </c>
      <c r="J206" s="19">
        <v>13</v>
      </c>
      <c r="K206" s="5" t="s">
        <v>49</v>
      </c>
      <c r="L206" s="5" t="s">
        <v>53</v>
      </c>
      <c r="M206" s="23" t="s">
        <v>223</v>
      </c>
      <c r="N206" s="25"/>
      <c r="O206" s="25"/>
      <c r="P206" s="25"/>
      <c r="Q206" s="17" t="s">
        <v>43</v>
      </c>
    </row>
    <row r="207" spans="2:17">
      <c r="B207" s="11" t="s">
        <v>55</v>
      </c>
      <c r="D207" s="6" t="s">
        <v>36</v>
      </c>
      <c r="E207" s="11" t="s">
        <v>47</v>
      </c>
      <c r="F207" s="11" t="s">
        <v>222</v>
      </c>
      <c r="G207" s="11" t="s">
        <v>254</v>
      </c>
      <c r="H207" s="18">
        <v>13.4</v>
      </c>
      <c r="I207" s="5" t="s">
        <v>52</v>
      </c>
      <c r="J207" s="19">
        <v>13</v>
      </c>
      <c r="K207" s="5" t="s">
        <v>49</v>
      </c>
      <c r="L207" s="5" t="s">
        <v>53</v>
      </c>
      <c r="M207" s="23" t="s">
        <v>223</v>
      </c>
      <c r="N207" s="25"/>
      <c r="O207" s="25"/>
      <c r="P207" s="25"/>
      <c r="Q207" s="17" t="s">
        <v>43</v>
      </c>
    </row>
    <row r="208" spans="2:17">
      <c r="B208" s="11" t="s">
        <v>55</v>
      </c>
      <c r="D208" s="6" t="s">
        <v>36</v>
      </c>
      <c r="E208" s="11" t="s">
        <v>47</v>
      </c>
      <c r="F208" s="11" t="s">
        <v>222</v>
      </c>
      <c r="G208" s="11" t="s">
        <v>255</v>
      </c>
      <c r="H208" s="18">
        <v>13.4</v>
      </c>
      <c r="I208" s="5" t="s">
        <v>52</v>
      </c>
      <c r="J208" s="19">
        <v>13</v>
      </c>
      <c r="K208" s="5" t="s">
        <v>49</v>
      </c>
      <c r="L208" s="5" t="s">
        <v>53</v>
      </c>
      <c r="M208" s="23" t="s">
        <v>223</v>
      </c>
      <c r="N208" s="25"/>
      <c r="O208" s="25"/>
      <c r="P208" s="25"/>
      <c r="Q208" s="17" t="s">
        <v>43</v>
      </c>
    </row>
    <row r="209" spans="2:17">
      <c r="B209" s="11" t="s">
        <v>55</v>
      </c>
      <c r="D209" s="6" t="s">
        <v>36</v>
      </c>
      <c r="E209" s="11" t="s">
        <v>47</v>
      </c>
      <c r="F209" s="11" t="s">
        <v>222</v>
      </c>
      <c r="G209" s="11" t="s">
        <v>256</v>
      </c>
      <c r="H209" s="18">
        <v>13.4</v>
      </c>
      <c r="I209" s="5" t="s">
        <v>52</v>
      </c>
      <c r="J209" s="19">
        <v>13</v>
      </c>
      <c r="K209" s="5" t="s">
        <v>49</v>
      </c>
      <c r="L209" s="5" t="s">
        <v>53</v>
      </c>
      <c r="M209" s="23" t="s">
        <v>223</v>
      </c>
      <c r="N209" s="25"/>
      <c r="O209" s="25"/>
      <c r="P209" s="25"/>
      <c r="Q209" s="17" t="s">
        <v>43</v>
      </c>
    </row>
    <row r="210" spans="2:17">
      <c r="B210" s="11" t="s">
        <v>55</v>
      </c>
      <c r="D210" s="6" t="s">
        <v>36</v>
      </c>
      <c r="E210" s="11" t="s">
        <v>47</v>
      </c>
      <c r="F210" s="11" t="s">
        <v>222</v>
      </c>
      <c r="G210" s="11" t="s">
        <v>257</v>
      </c>
      <c r="H210" s="18">
        <v>13.4</v>
      </c>
      <c r="I210" s="5" t="s">
        <v>52</v>
      </c>
      <c r="J210" s="19">
        <v>13</v>
      </c>
      <c r="K210" s="5" t="s">
        <v>49</v>
      </c>
      <c r="L210" s="5" t="s">
        <v>53</v>
      </c>
      <c r="M210" s="23" t="s">
        <v>223</v>
      </c>
      <c r="N210" s="25"/>
      <c r="O210" s="25"/>
      <c r="P210" s="25"/>
      <c r="Q210" s="17" t="s">
        <v>43</v>
      </c>
    </row>
    <row r="211" spans="2:17">
      <c r="B211" s="11" t="s">
        <v>55</v>
      </c>
      <c r="D211" s="6" t="s">
        <v>36</v>
      </c>
      <c r="E211" s="11" t="s">
        <v>47</v>
      </c>
      <c r="F211" s="11" t="s">
        <v>222</v>
      </c>
      <c r="G211" s="11" t="s">
        <v>258</v>
      </c>
      <c r="H211" s="18">
        <v>13.4</v>
      </c>
      <c r="I211" s="5" t="s">
        <v>52</v>
      </c>
      <c r="J211" s="19">
        <v>13</v>
      </c>
      <c r="K211" s="5" t="s">
        <v>49</v>
      </c>
      <c r="L211" s="5" t="s">
        <v>53</v>
      </c>
      <c r="M211" s="23" t="s">
        <v>223</v>
      </c>
      <c r="N211" s="25"/>
      <c r="O211" s="25"/>
      <c r="P211" s="25"/>
      <c r="Q211" s="17" t="s">
        <v>43</v>
      </c>
    </row>
    <row r="212" spans="2:17">
      <c r="B212" s="11" t="s">
        <v>55</v>
      </c>
      <c r="D212" s="6" t="s">
        <v>36</v>
      </c>
      <c r="E212" s="11" t="s">
        <v>47</v>
      </c>
      <c r="F212" s="11" t="s">
        <v>222</v>
      </c>
      <c r="G212" s="11" t="s">
        <v>259</v>
      </c>
      <c r="H212" s="18">
        <v>13.4</v>
      </c>
      <c r="I212" s="5" t="s">
        <v>52</v>
      </c>
      <c r="J212" s="19">
        <v>13</v>
      </c>
      <c r="K212" s="5" t="s">
        <v>49</v>
      </c>
      <c r="L212" s="5" t="s">
        <v>53</v>
      </c>
      <c r="M212" s="23" t="s">
        <v>223</v>
      </c>
      <c r="N212" s="25"/>
      <c r="O212" s="25"/>
      <c r="P212" s="25"/>
      <c r="Q212" s="17" t="s">
        <v>43</v>
      </c>
    </row>
    <row r="213" spans="2:17">
      <c r="B213" s="11" t="s">
        <v>55</v>
      </c>
      <c r="D213" s="6" t="s">
        <v>36</v>
      </c>
      <c r="E213" s="11" t="s">
        <v>47</v>
      </c>
      <c r="F213" s="11" t="s">
        <v>222</v>
      </c>
      <c r="G213" s="11" t="s">
        <v>260</v>
      </c>
      <c r="H213" s="18">
        <v>13.4</v>
      </c>
      <c r="I213" s="5" t="s">
        <v>52</v>
      </c>
      <c r="J213" s="19">
        <v>13</v>
      </c>
      <c r="K213" s="5" t="s">
        <v>49</v>
      </c>
      <c r="L213" s="5" t="s">
        <v>53</v>
      </c>
      <c r="M213" s="23" t="s">
        <v>223</v>
      </c>
      <c r="N213" s="25"/>
      <c r="O213" s="25"/>
      <c r="P213" s="25"/>
      <c r="Q213" s="17" t="s">
        <v>43</v>
      </c>
    </row>
    <row r="214" spans="2:17">
      <c r="B214" s="11" t="s">
        <v>55</v>
      </c>
      <c r="D214" s="6" t="s">
        <v>36</v>
      </c>
      <c r="E214" s="11" t="s">
        <v>47</v>
      </c>
      <c r="F214" s="11" t="s">
        <v>222</v>
      </c>
      <c r="G214" s="11" t="s">
        <v>261</v>
      </c>
      <c r="H214" s="18">
        <v>13.4</v>
      </c>
      <c r="I214" s="5" t="s">
        <v>52</v>
      </c>
      <c r="J214" s="19">
        <v>13</v>
      </c>
      <c r="K214" s="5" t="s">
        <v>49</v>
      </c>
      <c r="L214" s="5" t="s">
        <v>53</v>
      </c>
      <c r="M214" s="23" t="s">
        <v>223</v>
      </c>
      <c r="N214" s="25"/>
      <c r="O214" s="25"/>
      <c r="P214" s="25"/>
      <c r="Q214" s="17" t="s">
        <v>43</v>
      </c>
    </row>
    <row r="215" spans="2:17">
      <c r="B215" s="11" t="s">
        <v>55</v>
      </c>
      <c r="D215" s="6" t="s">
        <v>36</v>
      </c>
      <c r="E215" s="11" t="s">
        <v>47</v>
      </c>
      <c r="F215" s="11" t="s">
        <v>222</v>
      </c>
      <c r="G215" s="11" t="s">
        <v>262</v>
      </c>
      <c r="H215" s="18">
        <v>13.4</v>
      </c>
      <c r="I215" s="5" t="s">
        <v>52</v>
      </c>
      <c r="J215" s="19">
        <v>13</v>
      </c>
      <c r="K215" s="5" t="s">
        <v>49</v>
      </c>
      <c r="L215" s="5" t="s">
        <v>53</v>
      </c>
      <c r="M215" s="23" t="s">
        <v>223</v>
      </c>
      <c r="N215" s="25"/>
      <c r="O215" s="25"/>
      <c r="P215" s="25"/>
      <c r="Q215" s="17" t="s">
        <v>43</v>
      </c>
    </row>
    <row r="216" spans="2:17">
      <c r="B216" s="11" t="s">
        <v>55</v>
      </c>
      <c r="D216" s="6" t="s">
        <v>36</v>
      </c>
      <c r="E216" s="11" t="s">
        <v>47</v>
      </c>
      <c r="F216" s="11" t="s">
        <v>222</v>
      </c>
      <c r="G216" s="11" t="s">
        <v>263</v>
      </c>
      <c r="H216" s="18">
        <v>13.4</v>
      </c>
      <c r="I216" s="5" t="s">
        <v>52</v>
      </c>
      <c r="J216" s="19">
        <v>13</v>
      </c>
      <c r="K216" s="5" t="s">
        <v>49</v>
      </c>
      <c r="L216" s="5" t="s">
        <v>53</v>
      </c>
      <c r="M216" s="23" t="s">
        <v>223</v>
      </c>
      <c r="N216" s="25"/>
      <c r="O216" s="25"/>
      <c r="P216" s="25"/>
      <c r="Q216" s="17" t="s">
        <v>43</v>
      </c>
    </row>
    <row r="217" spans="2:17">
      <c r="B217" s="11"/>
      <c r="G217" s="11"/>
      <c r="H217" s="18"/>
      <c r="J217" s="19"/>
      <c r="M217" s="23"/>
      <c r="N217" s="20"/>
      <c r="O217" s="20"/>
      <c r="P217" s="20"/>
      <c r="Q217" s="17"/>
    </row>
    <row r="218" spans="2:17">
      <c r="B218" s="11" t="s">
        <v>50</v>
      </c>
      <c r="D218" s="6" t="s">
        <v>36</v>
      </c>
      <c r="E218" s="11" t="s">
        <v>47</v>
      </c>
      <c r="F218" s="11" t="s">
        <v>264</v>
      </c>
      <c r="G218" s="11"/>
      <c r="H218" s="18">
        <v>536</v>
      </c>
      <c r="I218" s="5" t="s">
        <v>52</v>
      </c>
      <c r="J218" s="19">
        <v>520</v>
      </c>
      <c r="K218" s="5" t="s">
        <v>49</v>
      </c>
      <c r="L218" s="5" t="s">
        <v>53</v>
      </c>
      <c r="M218" s="23" t="s">
        <v>265</v>
      </c>
      <c r="N218" s="25">
        <v>10700</v>
      </c>
      <c r="O218" s="25">
        <v>6</v>
      </c>
      <c r="P218" s="25">
        <v>4</v>
      </c>
      <c r="Q218" s="17" t="s">
        <v>43</v>
      </c>
    </row>
    <row r="219" spans="2:17">
      <c r="B219" s="11" t="s">
        <v>55</v>
      </c>
      <c r="D219" s="6" t="s">
        <v>36</v>
      </c>
      <c r="E219" s="11" t="s">
        <v>47</v>
      </c>
      <c r="F219" s="11" t="s">
        <v>264</v>
      </c>
      <c r="G219" s="11" t="s">
        <v>266</v>
      </c>
      <c r="H219" s="18">
        <v>13.4</v>
      </c>
      <c r="I219" s="5" t="s">
        <v>52</v>
      </c>
      <c r="J219" s="19">
        <v>13</v>
      </c>
      <c r="K219" s="5" t="s">
        <v>49</v>
      </c>
      <c r="L219" s="5" t="s">
        <v>53</v>
      </c>
      <c r="M219" s="23" t="s">
        <v>265</v>
      </c>
      <c r="N219" s="25"/>
      <c r="O219" s="25"/>
      <c r="P219" s="25"/>
      <c r="Q219" s="17" t="s">
        <v>43</v>
      </c>
    </row>
    <row r="220" spans="2:17">
      <c r="B220" s="11" t="s">
        <v>55</v>
      </c>
      <c r="D220" s="6" t="s">
        <v>36</v>
      </c>
      <c r="E220" s="11" t="s">
        <v>47</v>
      </c>
      <c r="F220" s="11" t="s">
        <v>264</v>
      </c>
      <c r="G220" s="11" t="s">
        <v>267</v>
      </c>
      <c r="H220" s="18">
        <v>13.4</v>
      </c>
      <c r="I220" s="5" t="s">
        <v>52</v>
      </c>
      <c r="J220" s="19">
        <v>13</v>
      </c>
      <c r="K220" s="5" t="s">
        <v>49</v>
      </c>
      <c r="L220" s="5" t="s">
        <v>53</v>
      </c>
      <c r="M220" s="23" t="s">
        <v>265</v>
      </c>
      <c r="N220" s="25"/>
      <c r="O220" s="25"/>
      <c r="P220" s="25"/>
      <c r="Q220" s="17" t="s">
        <v>43</v>
      </c>
    </row>
    <row r="221" spans="2:17">
      <c r="B221" s="11" t="s">
        <v>55</v>
      </c>
      <c r="D221" s="6" t="s">
        <v>36</v>
      </c>
      <c r="E221" s="11" t="s">
        <v>47</v>
      </c>
      <c r="F221" s="11" t="s">
        <v>264</v>
      </c>
      <c r="G221" s="11" t="s">
        <v>268</v>
      </c>
      <c r="H221" s="18">
        <v>13.4</v>
      </c>
      <c r="I221" s="5" t="s">
        <v>52</v>
      </c>
      <c r="J221" s="19">
        <v>13</v>
      </c>
      <c r="K221" s="5" t="s">
        <v>49</v>
      </c>
      <c r="L221" s="5" t="s">
        <v>53</v>
      </c>
      <c r="M221" s="23" t="s">
        <v>265</v>
      </c>
      <c r="N221" s="25"/>
      <c r="O221" s="25"/>
      <c r="P221" s="25"/>
      <c r="Q221" s="17" t="s">
        <v>43</v>
      </c>
    </row>
    <row r="222" spans="2:17">
      <c r="B222" s="11" t="s">
        <v>55</v>
      </c>
      <c r="D222" s="6" t="s">
        <v>36</v>
      </c>
      <c r="E222" s="11" t="s">
        <v>47</v>
      </c>
      <c r="F222" s="11" t="s">
        <v>264</v>
      </c>
      <c r="G222" s="11" t="s">
        <v>269</v>
      </c>
      <c r="H222" s="18">
        <v>13.4</v>
      </c>
      <c r="I222" s="5" t="s">
        <v>52</v>
      </c>
      <c r="J222" s="19">
        <v>13</v>
      </c>
      <c r="K222" s="5" t="s">
        <v>49</v>
      </c>
      <c r="L222" s="5" t="s">
        <v>53</v>
      </c>
      <c r="M222" s="23" t="s">
        <v>265</v>
      </c>
      <c r="N222" s="25"/>
      <c r="O222" s="25"/>
      <c r="P222" s="25"/>
      <c r="Q222" s="17" t="s">
        <v>43</v>
      </c>
    </row>
    <row r="223" spans="2:17">
      <c r="B223" s="11" t="s">
        <v>55</v>
      </c>
      <c r="D223" s="6" t="s">
        <v>36</v>
      </c>
      <c r="E223" s="11" t="s">
        <v>47</v>
      </c>
      <c r="F223" s="11" t="s">
        <v>264</v>
      </c>
      <c r="G223" s="11" t="s">
        <v>270</v>
      </c>
      <c r="H223" s="18">
        <v>13.4</v>
      </c>
      <c r="I223" s="5" t="s">
        <v>52</v>
      </c>
      <c r="J223" s="19">
        <v>13</v>
      </c>
      <c r="K223" s="5" t="s">
        <v>49</v>
      </c>
      <c r="L223" s="5" t="s">
        <v>53</v>
      </c>
      <c r="M223" s="23" t="s">
        <v>265</v>
      </c>
      <c r="N223" s="25"/>
      <c r="O223" s="25"/>
      <c r="P223" s="25"/>
      <c r="Q223" s="17" t="s">
        <v>43</v>
      </c>
    </row>
    <row r="224" spans="2:17">
      <c r="B224" s="11" t="s">
        <v>55</v>
      </c>
      <c r="D224" s="6" t="s">
        <v>36</v>
      </c>
      <c r="E224" s="11" t="s">
        <v>47</v>
      </c>
      <c r="F224" s="11" t="s">
        <v>264</v>
      </c>
      <c r="G224" s="11" t="s">
        <v>271</v>
      </c>
      <c r="H224" s="18">
        <v>13.4</v>
      </c>
      <c r="I224" s="5" t="s">
        <v>52</v>
      </c>
      <c r="J224" s="19">
        <v>13</v>
      </c>
      <c r="K224" s="5" t="s">
        <v>49</v>
      </c>
      <c r="L224" s="5" t="s">
        <v>53</v>
      </c>
      <c r="M224" s="23" t="s">
        <v>265</v>
      </c>
      <c r="N224" s="25"/>
      <c r="O224" s="25"/>
      <c r="P224" s="25"/>
      <c r="Q224" s="17" t="s">
        <v>43</v>
      </c>
    </row>
    <row r="225" spans="2:17">
      <c r="B225" s="11" t="s">
        <v>55</v>
      </c>
      <c r="D225" s="6" t="s">
        <v>36</v>
      </c>
      <c r="E225" s="11" t="s">
        <v>47</v>
      </c>
      <c r="F225" s="11" t="s">
        <v>264</v>
      </c>
      <c r="G225" s="11" t="s">
        <v>272</v>
      </c>
      <c r="H225" s="18">
        <v>13.4</v>
      </c>
      <c r="I225" s="5" t="s">
        <v>52</v>
      </c>
      <c r="J225" s="19">
        <v>13</v>
      </c>
      <c r="K225" s="5" t="s">
        <v>49</v>
      </c>
      <c r="L225" s="5" t="s">
        <v>53</v>
      </c>
      <c r="M225" s="23" t="s">
        <v>265</v>
      </c>
      <c r="N225" s="25"/>
      <c r="O225" s="25"/>
      <c r="P225" s="25"/>
      <c r="Q225" s="17" t="s">
        <v>43</v>
      </c>
    </row>
    <row r="226" spans="2:17">
      <c r="B226" s="11" t="s">
        <v>55</v>
      </c>
      <c r="D226" s="6" t="s">
        <v>36</v>
      </c>
      <c r="E226" s="11" t="s">
        <v>47</v>
      </c>
      <c r="F226" s="11" t="s">
        <v>264</v>
      </c>
      <c r="G226" s="11" t="s">
        <v>273</v>
      </c>
      <c r="H226" s="18">
        <v>13.4</v>
      </c>
      <c r="I226" s="5" t="s">
        <v>52</v>
      </c>
      <c r="J226" s="19">
        <v>13</v>
      </c>
      <c r="K226" s="5" t="s">
        <v>49</v>
      </c>
      <c r="L226" s="5" t="s">
        <v>53</v>
      </c>
      <c r="M226" s="23" t="s">
        <v>265</v>
      </c>
      <c r="N226" s="25"/>
      <c r="O226" s="25"/>
      <c r="P226" s="25"/>
      <c r="Q226" s="17" t="s">
        <v>43</v>
      </c>
    </row>
    <row r="227" spans="2:17">
      <c r="B227" s="11" t="s">
        <v>55</v>
      </c>
      <c r="D227" s="6" t="s">
        <v>36</v>
      </c>
      <c r="E227" s="11" t="s">
        <v>47</v>
      </c>
      <c r="F227" s="11" t="s">
        <v>264</v>
      </c>
      <c r="G227" s="11" t="s">
        <v>274</v>
      </c>
      <c r="H227" s="18">
        <v>13.4</v>
      </c>
      <c r="I227" s="5" t="s">
        <v>52</v>
      </c>
      <c r="J227" s="19">
        <v>13</v>
      </c>
      <c r="K227" s="5" t="s">
        <v>49</v>
      </c>
      <c r="L227" s="5" t="s">
        <v>53</v>
      </c>
      <c r="M227" s="23" t="s">
        <v>265</v>
      </c>
      <c r="N227" s="25"/>
      <c r="O227" s="25"/>
      <c r="P227" s="25"/>
      <c r="Q227" s="17" t="s">
        <v>43</v>
      </c>
    </row>
    <row r="228" spans="2:17">
      <c r="B228" s="11" t="s">
        <v>55</v>
      </c>
      <c r="D228" s="6" t="s">
        <v>36</v>
      </c>
      <c r="E228" s="11" t="s">
        <v>47</v>
      </c>
      <c r="F228" s="11" t="s">
        <v>264</v>
      </c>
      <c r="G228" s="11" t="s">
        <v>275</v>
      </c>
      <c r="H228" s="18">
        <v>13.4</v>
      </c>
      <c r="I228" s="5" t="s">
        <v>52</v>
      </c>
      <c r="J228" s="19">
        <v>13</v>
      </c>
      <c r="K228" s="5" t="s">
        <v>49</v>
      </c>
      <c r="L228" s="5" t="s">
        <v>53</v>
      </c>
      <c r="M228" s="23" t="s">
        <v>265</v>
      </c>
      <c r="N228" s="25"/>
      <c r="O228" s="25"/>
      <c r="P228" s="25"/>
      <c r="Q228" s="17" t="s">
        <v>43</v>
      </c>
    </row>
    <row r="229" spans="2:17">
      <c r="B229" s="11" t="s">
        <v>55</v>
      </c>
      <c r="D229" s="6" t="s">
        <v>36</v>
      </c>
      <c r="E229" s="11" t="s">
        <v>47</v>
      </c>
      <c r="F229" s="11" t="s">
        <v>264</v>
      </c>
      <c r="G229" s="11" t="s">
        <v>276</v>
      </c>
      <c r="H229" s="18">
        <v>13.4</v>
      </c>
      <c r="I229" s="5" t="s">
        <v>52</v>
      </c>
      <c r="J229" s="19">
        <v>13</v>
      </c>
      <c r="K229" s="5" t="s">
        <v>49</v>
      </c>
      <c r="L229" s="5" t="s">
        <v>53</v>
      </c>
      <c r="M229" s="23" t="s">
        <v>265</v>
      </c>
      <c r="N229" s="25"/>
      <c r="O229" s="25"/>
      <c r="P229" s="25"/>
      <c r="Q229" s="17" t="s">
        <v>43</v>
      </c>
    </row>
    <row r="230" spans="2:17">
      <c r="B230" s="11" t="s">
        <v>55</v>
      </c>
      <c r="D230" s="6" t="s">
        <v>36</v>
      </c>
      <c r="E230" s="11" t="s">
        <v>47</v>
      </c>
      <c r="F230" s="11" t="s">
        <v>264</v>
      </c>
      <c r="G230" s="11" t="s">
        <v>277</v>
      </c>
      <c r="H230" s="18">
        <v>13.4</v>
      </c>
      <c r="I230" s="5" t="s">
        <v>52</v>
      </c>
      <c r="J230" s="19">
        <v>13</v>
      </c>
      <c r="K230" s="5" t="s">
        <v>49</v>
      </c>
      <c r="L230" s="5" t="s">
        <v>53</v>
      </c>
      <c r="M230" s="23" t="s">
        <v>265</v>
      </c>
      <c r="N230" s="25"/>
      <c r="O230" s="25"/>
      <c r="P230" s="25"/>
      <c r="Q230" s="17" t="s">
        <v>43</v>
      </c>
    </row>
    <row r="231" spans="2:17">
      <c r="B231" s="11" t="s">
        <v>55</v>
      </c>
      <c r="D231" s="6" t="s">
        <v>36</v>
      </c>
      <c r="E231" s="11" t="s">
        <v>47</v>
      </c>
      <c r="F231" s="11" t="s">
        <v>264</v>
      </c>
      <c r="G231" s="11" t="s">
        <v>278</v>
      </c>
      <c r="H231" s="18">
        <v>13.4</v>
      </c>
      <c r="I231" s="5" t="s">
        <v>52</v>
      </c>
      <c r="J231" s="19">
        <v>13</v>
      </c>
      <c r="K231" s="5" t="s">
        <v>49</v>
      </c>
      <c r="L231" s="5" t="s">
        <v>53</v>
      </c>
      <c r="M231" s="23" t="s">
        <v>265</v>
      </c>
      <c r="N231" s="25"/>
      <c r="O231" s="25"/>
      <c r="P231" s="25"/>
      <c r="Q231" s="17" t="s">
        <v>43</v>
      </c>
    </row>
    <row r="232" spans="2:17">
      <c r="B232" s="11" t="s">
        <v>55</v>
      </c>
      <c r="D232" s="6" t="s">
        <v>36</v>
      </c>
      <c r="E232" s="11" t="s">
        <v>47</v>
      </c>
      <c r="F232" s="11" t="s">
        <v>264</v>
      </c>
      <c r="G232" s="11" t="s">
        <v>279</v>
      </c>
      <c r="H232" s="18">
        <v>13.4</v>
      </c>
      <c r="I232" s="5" t="s">
        <v>52</v>
      </c>
      <c r="J232" s="19">
        <v>13</v>
      </c>
      <c r="K232" s="5" t="s">
        <v>49</v>
      </c>
      <c r="L232" s="5" t="s">
        <v>53</v>
      </c>
      <c r="M232" s="23" t="s">
        <v>265</v>
      </c>
      <c r="N232" s="25"/>
      <c r="O232" s="25"/>
      <c r="P232" s="25"/>
      <c r="Q232" s="17" t="s">
        <v>43</v>
      </c>
    </row>
    <row r="233" spans="2:17">
      <c r="B233" s="11" t="s">
        <v>55</v>
      </c>
      <c r="D233" s="6" t="s">
        <v>36</v>
      </c>
      <c r="E233" s="11" t="s">
        <v>47</v>
      </c>
      <c r="F233" s="11" t="s">
        <v>264</v>
      </c>
      <c r="G233" s="11" t="s">
        <v>280</v>
      </c>
      <c r="H233" s="18">
        <v>13.4</v>
      </c>
      <c r="I233" s="5" t="s">
        <v>52</v>
      </c>
      <c r="J233" s="19">
        <v>13</v>
      </c>
      <c r="K233" s="5" t="s">
        <v>49</v>
      </c>
      <c r="L233" s="5" t="s">
        <v>53</v>
      </c>
      <c r="M233" s="23" t="s">
        <v>265</v>
      </c>
      <c r="N233" s="25"/>
      <c r="O233" s="25"/>
      <c r="P233" s="25"/>
      <c r="Q233" s="17" t="s">
        <v>43</v>
      </c>
    </row>
    <row r="234" spans="2:17">
      <c r="B234" s="11" t="s">
        <v>55</v>
      </c>
      <c r="D234" s="6" t="s">
        <v>36</v>
      </c>
      <c r="E234" s="11" t="s">
        <v>47</v>
      </c>
      <c r="F234" s="11" t="s">
        <v>264</v>
      </c>
      <c r="G234" s="11" t="s">
        <v>281</v>
      </c>
      <c r="H234" s="18">
        <v>13.4</v>
      </c>
      <c r="I234" s="5" t="s">
        <v>52</v>
      </c>
      <c r="J234" s="19">
        <v>13</v>
      </c>
      <c r="K234" s="5" t="s">
        <v>49</v>
      </c>
      <c r="L234" s="5" t="s">
        <v>53</v>
      </c>
      <c r="M234" s="23" t="s">
        <v>265</v>
      </c>
      <c r="N234" s="25"/>
      <c r="O234" s="25"/>
      <c r="P234" s="25"/>
      <c r="Q234" s="17" t="s">
        <v>43</v>
      </c>
    </row>
    <row r="235" spans="2:17">
      <c r="B235" s="11" t="s">
        <v>55</v>
      </c>
      <c r="D235" s="6" t="s">
        <v>36</v>
      </c>
      <c r="E235" s="11" t="s">
        <v>47</v>
      </c>
      <c r="F235" s="11" t="s">
        <v>264</v>
      </c>
      <c r="G235" s="11" t="s">
        <v>282</v>
      </c>
      <c r="H235" s="18">
        <v>13.4</v>
      </c>
      <c r="I235" s="5" t="s">
        <v>52</v>
      </c>
      <c r="J235" s="19">
        <v>13</v>
      </c>
      <c r="K235" s="5" t="s">
        <v>49</v>
      </c>
      <c r="L235" s="5" t="s">
        <v>53</v>
      </c>
      <c r="M235" s="23" t="s">
        <v>265</v>
      </c>
      <c r="N235" s="25"/>
      <c r="O235" s="25"/>
      <c r="P235" s="25"/>
      <c r="Q235" s="17" t="s">
        <v>43</v>
      </c>
    </row>
    <row r="236" spans="2:17">
      <c r="B236" s="11" t="s">
        <v>55</v>
      </c>
      <c r="D236" s="6" t="s">
        <v>36</v>
      </c>
      <c r="E236" s="11" t="s">
        <v>47</v>
      </c>
      <c r="F236" s="11" t="s">
        <v>264</v>
      </c>
      <c r="G236" s="11" t="s">
        <v>283</v>
      </c>
      <c r="H236" s="18">
        <v>13.4</v>
      </c>
      <c r="I236" s="5" t="s">
        <v>52</v>
      </c>
      <c r="J236" s="19">
        <v>13</v>
      </c>
      <c r="K236" s="5" t="s">
        <v>49</v>
      </c>
      <c r="L236" s="5" t="s">
        <v>53</v>
      </c>
      <c r="M236" s="23" t="s">
        <v>265</v>
      </c>
      <c r="N236" s="25"/>
      <c r="O236" s="25"/>
      <c r="P236" s="25"/>
      <c r="Q236" s="17" t="s">
        <v>43</v>
      </c>
    </row>
    <row r="237" spans="2:17">
      <c r="B237" s="11" t="s">
        <v>55</v>
      </c>
      <c r="D237" s="6" t="s">
        <v>36</v>
      </c>
      <c r="E237" s="11" t="s">
        <v>47</v>
      </c>
      <c r="F237" s="11" t="s">
        <v>264</v>
      </c>
      <c r="G237" s="11" t="s">
        <v>284</v>
      </c>
      <c r="H237" s="18">
        <v>13.4</v>
      </c>
      <c r="I237" s="5" t="s">
        <v>52</v>
      </c>
      <c r="J237" s="19">
        <v>13</v>
      </c>
      <c r="K237" s="5" t="s">
        <v>49</v>
      </c>
      <c r="L237" s="5" t="s">
        <v>53</v>
      </c>
      <c r="M237" s="23" t="s">
        <v>265</v>
      </c>
      <c r="N237" s="25"/>
      <c r="O237" s="25"/>
      <c r="P237" s="25"/>
      <c r="Q237" s="17" t="s">
        <v>43</v>
      </c>
    </row>
    <row r="238" spans="2:17">
      <c r="B238" s="11" t="s">
        <v>55</v>
      </c>
      <c r="D238" s="6" t="s">
        <v>36</v>
      </c>
      <c r="E238" s="11" t="s">
        <v>47</v>
      </c>
      <c r="F238" s="11" t="s">
        <v>264</v>
      </c>
      <c r="G238" s="11" t="s">
        <v>285</v>
      </c>
      <c r="H238" s="18">
        <v>13.4</v>
      </c>
      <c r="I238" s="5" t="s">
        <v>52</v>
      </c>
      <c r="J238" s="19">
        <v>13</v>
      </c>
      <c r="K238" s="5" t="s">
        <v>49</v>
      </c>
      <c r="L238" s="5" t="s">
        <v>53</v>
      </c>
      <c r="M238" s="23" t="s">
        <v>265</v>
      </c>
      <c r="N238" s="25"/>
      <c r="O238" s="25"/>
      <c r="P238" s="25"/>
      <c r="Q238" s="17" t="s">
        <v>43</v>
      </c>
    </row>
    <row r="239" spans="2:17">
      <c r="B239" s="11" t="s">
        <v>55</v>
      </c>
      <c r="D239" s="6" t="s">
        <v>36</v>
      </c>
      <c r="E239" s="11" t="s">
        <v>47</v>
      </c>
      <c r="F239" s="11" t="s">
        <v>264</v>
      </c>
      <c r="G239" s="11" t="s">
        <v>286</v>
      </c>
      <c r="H239" s="18">
        <v>13.4</v>
      </c>
      <c r="I239" s="5" t="s">
        <v>52</v>
      </c>
      <c r="J239" s="19">
        <v>13</v>
      </c>
      <c r="K239" s="5" t="s">
        <v>49</v>
      </c>
      <c r="L239" s="5" t="s">
        <v>53</v>
      </c>
      <c r="M239" s="23" t="s">
        <v>265</v>
      </c>
      <c r="N239" s="25"/>
      <c r="O239" s="25"/>
      <c r="P239" s="25"/>
      <c r="Q239" s="17" t="s">
        <v>43</v>
      </c>
    </row>
    <row r="240" spans="2:17">
      <c r="B240" s="11" t="s">
        <v>55</v>
      </c>
      <c r="D240" s="6" t="s">
        <v>36</v>
      </c>
      <c r="E240" s="11" t="s">
        <v>47</v>
      </c>
      <c r="F240" s="11" t="s">
        <v>264</v>
      </c>
      <c r="G240" s="11" t="s">
        <v>287</v>
      </c>
      <c r="H240" s="18">
        <v>13.4</v>
      </c>
      <c r="I240" s="5" t="s">
        <v>52</v>
      </c>
      <c r="J240" s="19">
        <v>13</v>
      </c>
      <c r="K240" s="5" t="s">
        <v>49</v>
      </c>
      <c r="L240" s="5" t="s">
        <v>53</v>
      </c>
      <c r="M240" s="23" t="s">
        <v>265</v>
      </c>
      <c r="N240" s="25"/>
      <c r="O240" s="25"/>
      <c r="P240" s="25"/>
      <c r="Q240" s="17" t="s">
        <v>43</v>
      </c>
    </row>
    <row r="241" spans="2:17">
      <c r="B241" s="11" t="s">
        <v>55</v>
      </c>
      <c r="D241" s="6" t="s">
        <v>36</v>
      </c>
      <c r="E241" s="11" t="s">
        <v>47</v>
      </c>
      <c r="F241" s="11" t="s">
        <v>264</v>
      </c>
      <c r="G241" s="11" t="s">
        <v>288</v>
      </c>
      <c r="H241" s="18">
        <v>13.4</v>
      </c>
      <c r="I241" s="5" t="s">
        <v>52</v>
      </c>
      <c r="J241" s="19">
        <v>13</v>
      </c>
      <c r="K241" s="5" t="s">
        <v>49</v>
      </c>
      <c r="L241" s="5" t="s">
        <v>53</v>
      </c>
      <c r="M241" s="23" t="s">
        <v>265</v>
      </c>
      <c r="N241" s="25"/>
      <c r="O241" s="25"/>
      <c r="P241" s="25"/>
      <c r="Q241" s="17" t="s">
        <v>43</v>
      </c>
    </row>
    <row r="242" spans="2:17">
      <c r="B242" s="11" t="s">
        <v>55</v>
      </c>
      <c r="D242" s="6" t="s">
        <v>36</v>
      </c>
      <c r="E242" s="11" t="s">
        <v>47</v>
      </c>
      <c r="F242" s="11" t="s">
        <v>264</v>
      </c>
      <c r="G242" s="11" t="s">
        <v>289</v>
      </c>
      <c r="H242" s="18">
        <v>13.4</v>
      </c>
      <c r="I242" s="5" t="s">
        <v>52</v>
      </c>
      <c r="J242" s="19">
        <v>13</v>
      </c>
      <c r="K242" s="5" t="s">
        <v>49</v>
      </c>
      <c r="L242" s="5" t="s">
        <v>53</v>
      </c>
      <c r="M242" s="23" t="s">
        <v>265</v>
      </c>
      <c r="N242" s="25"/>
      <c r="O242" s="25"/>
      <c r="P242" s="25"/>
      <c r="Q242" s="17" t="s">
        <v>43</v>
      </c>
    </row>
    <row r="243" spans="2:17">
      <c r="B243" s="11" t="s">
        <v>55</v>
      </c>
      <c r="D243" s="6" t="s">
        <v>36</v>
      </c>
      <c r="E243" s="11" t="s">
        <v>47</v>
      </c>
      <c r="F243" s="11" t="s">
        <v>264</v>
      </c>
      <c r="G243" s="11" t="s">
        <v>290</v>
      </c>
      <c r="H243" s="18">
        <v>13.4</v>
      </c>
      <c r="I243" s="5" t="s">
        <v>52</v>
      </c>
      <c r="J243" s="19">
        <v>13</v>
      </c>
      <c r="K243" s="5" t="s">
        <v>49</v>
      </c>
      <c r="L243" s="5" t="s">
        <v>53</v>
      </c>
      <c r="M243" s="23" t="s">
        <v>265</v>
      </c>
      <c r="N243" s="25"/>
      <c r="O243" s="25"/>
      <c r="P243" s="25"/>
      <c r="Q243" s="17" t="s">
        <v>43</v>
      </c>
    </row>
    <row r="244" spans="2:17">
      <c r="B244" s="11" t="s">
        <v>55</v>
      </c>
      <c r="D244" s="6" t="s">
        <v>36</v>
      </c>
      <c r="E244" s="11" t="s">
        <v>47</v>
      </c>
      <c r="F244" s="11" t="s">
        <v>264</v>
      </c>
      <c r="G244" s="11" t="s">
        <v>291</v>
      </c>
      <c r="H244" s="18">
        <v>13.4</v>
      </c>
      <c r="I244" s="5" t="s">
        <v>52</v>
      </c>
      <c r="J244" s="19">
        <v>13</v>
      </c>
      <c r="K244" s="5" t="s">
        <v>49</v>
      </c>
      <c r="L244" s="5" t="s">
        <v>53</v>
      </c>
      <c r="M244" s="23" t="s">
        <v>265</v>
      </c>
      <c r="N244" s="25"/>
      <c r="O244" s="25"/>
      <c r="P244" s="25"/>
      <c r="Q244" s="17" t="s">
        <v>43</v>
      </c>
    </row>
    <row r="245" spans="2:17">
      <c r="B245" s="11" t="s">
        <v>55</v>
      </c>
      <c r="D245" s="6" t="s">
        <v>36</v>
      </c>
      <c r="E245" s="11" t="s">
        <v>47</v>
      </c>
      <c r="F245" s="11" t="s">
        <v>264</v>
      </c>
      <c r="G245" s="11" t="s">
        <v>292</v>
      </c>
      <c r="H245" s="18">
        <v>13.4</v>
      </c>
      <c r="I245" s="5" t="s">
        <v>52</v>
      </c>
      <c r="J245" s="19">
        <v>13</v>
      </c>
      <c r="K245" s="5" t="s">
        <v>49</v>
      </c>
      <c r="L245" s="5" t="s">
        <v>53</v>
      </c>
      <c r="M245" s="23" t="s">
        <v>265</v>
      </c>
      <c r="N245" s="25"/>
      <c r="O245" s="25"/>
      <c r="P245" s="25"/>
      <c r="Q245" s="17" t="s">
        <v>43</v>
      </c>
    </row>
    <row r="246" spans="2:17">
      <c r="B246" s="11" t="s">
        <v>55</v>
      </c>
      <c r="D246" s="6" t="s">
        <v>36</v>
      </c>
      <c r="E246" s="11" t="s">
        <v>47</v>
      </c>
      <c r="F246" s="11" t="s">
        <v>264</v>
      </c>
      <c r="G246" s="11" t="s">
        <v>293</v>
      </c>
      <c r="H246" s="18">
        <v>13.4</v>
      </c>
      <c r="I246" s="5" t="s">
        <v>52</v>
      </c>
      <c r="J246" s="19">
        <v>13</v>
      </c>
      <c r="K246" s="5" t="s">
        <v>49</v>
      </c>
      <c r="L246" s="5" t="s">
        <v>53</v>
      </c>
      <c r="M246" s="23" t="s">
        <v>265</v>
      </c>
      <c r="N246" s="25"/>
      <c r="O246" s="25"/>
      <c r="P246" s="25"/>
      <c r="Q246" s="17" t="s">
        <v>43</v>
      </c>
    </row>
    <row r="247" spans="2:17">
      <c r="B247" s="11" t="s">
        <v>55</v>
      </c>
      <c r="D247" s="6" t="s">
        <v>36</v>
      </c>
      <c r="E247" s="11" t="s">
        <v>47</v>
      </c>
      <c r="F247" s="11" t="s">
        <v>264</v>
      </c>
      <c r="G247" s="11" t="s">
        <v>294</v>
      </c>
      <c r="H247" s="18">
        <v>13.4</v>
      </c>
      <c r="I247" s="5" t="s">
        <v>52</v>
      </c>
      <c r="J247" s="19">
        <v>13</v>
      </c>
      <c r="K247" s="5" t="s">
        <v>49</v>
      </c>
      <c r="L247" s="5" t="s">
        <v>53</v>
      </c>
      <c r="M247" s="23" t="s">
        <v>265</v>
      </c>
      <c r="N247" s="25"/>
      <c r="O247" s="25"/>
      <c r="P247" s="25"/>
      <c r="Q247" s="17" t="s">
        <v>43</v>
      </c>
    </row>
    <row r="248" spans="2:17">
      <c r="B248" s="11" t="s">
        <v>55</v>
      </c>
      <c r="D248" s="6" t="s">
        <v>36</v>
      </c>
      <c r="E248" s="11" t="s">
        <v>47</v>
      </c>
      <c r="F248" s="11" t="s">
        <v>264</v>
      </c>
      <c r="G248" s="11" t="s">
        <v>295</v>
      </c>
      <c r="H248" s="18">
        <v>13.4</v>
      </c>
      <c r="I248" s="5" t="s">
        <v>52</v>
      </c>
      <c r="J248" s="19">
        <v>13</v>
      </c>
      <c r="K248" s="5" t="s">
        <v>49</v>
      </c>
      <c r="L248" s="5" t="s">
        <v>53</v>
      </c>
      <c r="M248" s="23" t="s">
        <v>265</v>
      </c>
      <c r="N248" s="25"/>
      <c r="O248" s="25"/>
      <c r="P248" s="25"/>
      <c r="Q248" s="17" t="s">
        <v>43</v>
      </c>
    </row>
    <row r="249" spans="2:17">
      <c r="B249" s="11" t="s">
        <v>55</v>
      </c>
      <c r="D249" s="6" t="s">
        <v>36</v>
      </c>
      <c r="E249" s="11" t="s">
        <v>47</v>
      </c>
      <c r="F249" s="11" t="s">
        <v>264</v>
      </c>
      <c r="G249" s="11" t="s">
        <v>296</v>
      </c>
      <c r="H249" s="18">
        <v>13.4</v>
      </c>
      <c r="I249" s="5" t="s">
        <v>52</v>
      </c>
      <c r="J249" s="19">
        <v>13</v>
      </c>
      <c r="K249" s="5" t="s">
        <v>49</v>
      </c>
      <c r="L249" s="5" t="s">
        <v>53</v>
      </c>
      <c r="M249" s="23" t="s">
        <v>265</v>
      </c>
      <c r="N249" s="25"/>
      <c r="O249" s="25"/>
      <c r="P249" s="25"/>
      <c r="Q249" s="17" t="s">
        <v>43</v>
      </c>
    </row>
    <row r="250" spans="2:17">
      <c r="B250" s="11" t="s">
        <v>55</v>
      </c>
      <c r="D250" s="6" t="s">
        <v>36</v>
      </c>
      <c r="E250" s="11" t="s">
        <v>47</v>
      </c>
      <c r="F250" s="11" t="s">
        <v>264</v>
      </c>
      <c r="G250" s="11" t="s">
        <v>297</v>
      </c>
      <c r="H250" s="18">
        <v>13.4</v>
      </c>
      <c r="I250" s="5" t="s">
        <v>52</v>
      </c>
      <c r="J250" s="19">
        <v>13</v>
      </c>
      <c r="K250" s="5" t="s">
        <v>49</v>
      </c>
      <c r="L250" s="5" t="s">
        <v>53</v>
      </c>
      <c r="M250" s="23" t="s">
        <v>265</v>
      </c>
      <c r="N250" s="25"/>
      <c r="O250" s="25"/>
      <c r="P250" s="25"/>
      <c r="Q250" s="17" t="s">
        <v>43</v>
      </c>
    </row>
    <row r="251" spans="2:17">
      <c r="B251" s="11" t="s">
        <v>55</v>
      </c>
      <c r="D251" s="6" t="s">
        <v>36</v>
      </c>
      <c r="E251" s="11" t="s">
        <v>47</v>
      </c>
      <c r="F251" s="11" t="s">
        <v>264</v>
      </c>
      <c r="G251" s="11" t="s">
        <v>298</v>
      </c>
      <c r="H251" s="18">
        <v>13.4</v>
      </c>
      <c r="I251" s="5" t="s">
        <v>52</v>
      </c>
      <c r="J251" s="19">
        <v>13</v>
      </c>
      <c r="K251" s="5" t="s">
        <v>49</v>
      </c>
      <c r="L251" s="5" t="s">
        <v>53</v>
      </c>
      <c r="M251" s="23" t="s">
        <v>265</v>
      </c>
      <c r="N251" s="25"/>
      <c r="O251" s="25"/>
      <c r="P251" s="25"/>
      <c r="Q251" s="17" t="s">
        <v>43</v>
      </c>
    </row>
    <row r="252" spans="2:17">
      <c r="B252" s="11" t="s">
        <v>55</v>
      </c>
      <c r="D252" s="6" t="s">
        <v>36</v>
      </c>
      <c r="E252" s="11" t="s">
        <v>47</v>
      </c>
      <c r="F252" s="11" t="s">
        <v>264</v>
      </c>
      <c r="G252" s="11" t="s">
        <v>299</v>
      </c>
      <c r="H252" s="18">
        <v>13.4</v>
      </c>
      <c r="I252" s="5" t="s">
        <v>52</v>
      </c>
      <c r="J252" s="19">
        <v>13</v>
      </c>
      <c r="K252" s="5" t="s">
        <v>49</v>
      </c>
      <c r="L252" s="5" t="s">
        <v>53</v>
      </c>
      <c r="M252" s="23" t="s">
        <v>265</v>
      </c>
      <c r="N252" s="25"/>
      <c r="O252" s="25"/>
      <c r="P252" s="25"/>
      <c r="Q252" s="17" t="s">
        <v>43</v>
      </c>
    </row>
    <row r="253" spans="2:17">
      <c r="B253" s="11" t="s">
        <v>55</v>
      </c>
      <c r="D253" s="6" t="s">
        <v>36</v>
      </c>
      <c r="E253" s="11" t="s">
        <v>47</v>
      </c>
      <c r="F253" s="11" t="s">
        <v>264</v>
      </c>
      <c r="G253" s="11" t="s">
        <v>300</v>
      </c>
      <c r="H253" s="18">
        <v>13.4</v>
      </c>
      <c r="I253" s="5" t="s">
        <v>52</v>
      </c>
      <c r="J253" s="19">
        <v>13</v>
      </c>
      <c r="K253" s="5" t="s">
        <v>49</v>
      </c>
      <c r="L253" s="5" t="s">
        <v>53</v>
      </c>
      <c r="M253" s="23" t="s">
        <v>265</v>
      </c>
      <c r="N253" s="25"/>
      <c r="O253" s="25"/>
      <c r="P253" s="25"/>
      <c r="Q253" s="17" t="s">
        <v>43</v>
      </c>
    </row>
    <row r="254" spans="2:17">
      <c r="B254" s="11" t="s">
        <v>55</v>
      </c>
      <c r="D254" s="6" t="s">
        <v>36</v>
      </c>
      <c r="E254" s="11" t="s">
        <v>47</v>
      </c>
      <c r="F254" s="11" t="s">
        <v>264</v>
      </c>
      <c r="G254" s="11" t="s">
        <v>301</v>
      </c>
      <c r="H254" s="18">
        <v>13.4</v>
      </c>
      <c r="I254" s="5" t="s">
        <v>52</v>
      </c>
      <c r="J254" s="19">
        <v>13</v>
      </c>
      <c r="K254" s="5" t="s">
        <v>49</v>
      </c>
      <c r="L254" s="5" t="s">
        <v>53</v>
      </c>
      <c r="M254" s="23" t="s">
        <v>265</v>
      </c>
      <c r="N254" s="25"/>
      <c r="O254" s="25"/>
      <c r="P254" s="25"/>
      <c r="Q254" s="17" t="s">
        <v>43</v>
      </c>
    </row>
    <row r="255" spans="2:17">
      <c r="B255" s="11" t="s">
        <v>55</v>
      </c>
      <c r="D255" s="6" t="s">
        <v>36</v>
      </c>
      <c r="E255" s="11" t="s">
        <v>47</v>
      </c>
      <c r="F255" s="11" t="s">
        <v>264</v>
      </c>
      <c r="G255" s="11" t="s">
        <v>302</v>
      </c>
      <c r="H255" s="18">
        <v>13.4</v>
      </c>
      <c r="I255" s="5" t="s">
        <v>52</v>
      </c>
      <c r="J255" s="19">
        <v>13</v>
      </c>
      <c r="K255" s="5" t="s">
        <v>49</v>
      </c>
      <c r="L255" s="5" t="s">
        <v>53</v>
      </c>
      <c r="M255" s="23" t="s">
        <v>265</v>
      </c>
      <c r="N255" s="25"/>
      <c r="O255" s="25"/>
      <c r="P255" s="25"/>
      <c r="Q255" s="17" t="s">
        <v>43</v>
      </c>
    </row>
    <row r="256" spans="2:17">
      <c r="B256" s="11" t="s">
        <v>55</v>
      </c>
      <c r="D256" s="6" t="s">
        <v>36</v>
      </c>
      <c r="E256" s="11" t="s">
        <v>47</v>
      </c>
      <c r="F256" s="11" t="s">
        <v>264</v>
      </c>
      <c r="G256" s="11" t="s">
        <v>303</v>
      </c>
      <c r="H256" s="18">
        <v>13.4</v>
      </c>
      <c r="I256" s="5" t="s">
        <v>52</v>
      </c>
      <c r="J256" s="19">
        <v>13</v>
      </c>
      <c r="K256" s="5" t="s">
        <v>49</v>
      </c>
      <c r="L256" s="5" t="s">
        <v>53</v>
      </c>
      <c r="M256" s="23" t="s">
        <v>265</v>
      </c>
      <c r="N256" s="25"/>
      <c r="O256" s="25"/>
      <c r="P256" s="25"/>
      <c r="Q256" s="17" t="s">
        <v>43</v>
      </c>
    </row>
    <row r="257" spans="2:17">
      <c r="B257" s="11" t="s">
        <v>55</v>
      </c>
      <c r="D257" s="6" t="s">
        <v>36</v>
      </c>
      <c r="E257" s="11" t="s">
        <v>47</v>
      </c>
      <c r="F257" s="11" t="s">
        <v>264</v>
      </c>
      <c r="G257" s="11" t="s">
        <v>304</v>
      </c>
      <c r="H257" s="18">
        <v>13.4</v>
      </c>
      <c r="I257" s="5" t="s">
        <v>52</v>
      </c>
      <c r="J257" s="19">
        <v>13</v>
      </c>
      <c r="K257" s="5" t="s">
        <v>49</v>
      </c>
      <c r="L257" s="5" t="s">
        <v>53</v>
      </c>
      <c r="M257" s="23" t="s">
        <v>265</v>
      </c>
      <c r="N257" s="25"/>
      <c r="O257" s="25"/>
      <c r="P257" s="25"/>
      <c r="Q257" s="17" t="s">
        <v>43</v>
      </c>
    </row>
    <row r="258" spans="2:17">
      <c r="B258" s="11" t="s">
        <v>55</v>
      </c>
      <c r="D258" s="6" t="s">
        <v>36</v>
      </c>
      <c r="E258" s="11" t="s">
        <v>47</v>
      </c>
      <c r="F258" s="11" t="s">
        <v>264</v>
      </c>
      <c r="G258" s="11" t="s">
        <v>305</v>
      </c>
      <c r="H258" s="18">
        <v>13.4</v>
      </c>
      <c r="I258" s="5" t="s">
        <v>52</v>
      </c>
      <c r="J258" s="19">
        <v>13</v>
      </c>
      <c r="K258" s="5" t="s">
        <v>49</v>
      </c>
      <c r="L258" s="5" t="s">
        <v>53</v>
      </c>
      <c r="M258" s="23" t="s">
        <v>265</v>
      </c>
      <c r="N258" s="25"/>
      <c r="O258" s="25"/>
      <c r="P258" s="25"/>
      <c r="Q258" s="17" t="s">
        <v>43</v>
      </c>
    </row>
    <row r="259" spans="2:17">
      <c r="B259" s="11"/>
      <c r="H259" s="21"/>
    </row>
    <row r="260" spans="2:17">
      <c r="B260" s="11" t="s">
        <v>50</v>
      </c>
      <c r="D260" s="6" t="s">
        <v>36</v>
      </c>
      <c r="E260" s="11" t="s">
        <v>47</v>
      </c>
      <c r="F260" s="11" t="s">
        <v>306</v>
      </c>
      <c r="G260" s="11"/>
      <c r="H260" s="18">
        <v>536</v>
      </c>
      <c r="I260" s="5" t="s">
        <v>52</v>
      </c>
      <c r="J260" s="19">
        <v>520</v>
      </c>
      <c r="K260" s="5" t="s">
        <v>49</v>
      </c>
      <c r="L260" s="5" t="s">
        <v>53</v>
      </c>
      <c r="M260" s="23" t="s">
        <v>307</v>
      </c>
      <c r="N260" s="25">
        <v>10700</v>
      </c>
      <c r="O260" s="25">
        <v>6</v>
      </c>
      <c r="P260" s="25">
        <v>4</v>
      </c>
      <c r="Q260" s="17" t="s">
        <v>43</v>
      </c>
    </row>
    <row r="261" spans="2:17">
      <c r="B261" s="11" t="s">
        <v>55</v>
      </c>
      <c r="D261" s="6" t="s">
        <v>36</v>
      </c>
      <c r="E261" s="11" t="s">
        <v>47</v>
      </c>
      <c r="F261" s="11" t="s">
        <v>306</v>
      </c>
      <c r="G261" s="11" t="s">
        <v>308</v>
      </c>
      <c r="H261" s="18">
        <v>13.4</v>
      </c>
      <c r="I261" s="5" t="s">
        <v>52</v>
      </c>
      <c r="J261" s="19">
        <v>13</v>
      </c>
      <c r="K261" s="5" t="s">
        <v>49</v>
      </c>
      <c r="L261" s="5" t="s">
        <v>53</v>
      </c>
      <c r="M261" s="23" t="s">
        <v>307</v>
      </c>
      <c r="N261" s="25"/>
      <c r="O261" s="25"/>
      <c r="P261" s="25"/>
      <c r="Q261" s="17" t="s">
        <v>43</v>
      </c>
    </row>
    <row r="262" spans="2:17">
      <c r="B262" s="11" t="s">
        <v>55</v>
      </c>
      <c r="D262" s="6" t="s">
        <v>36</v>
      </c>
      <c r="E262" s="11" t="s">
        <v>47</v>
      </c>
      <c r="F262" s="11" t="s">
        <v>306</v>
      </c>
      <c r="G262" s="11" t="s">
        <v>309</v>
      </c>
      <c r="H262" s="18">
        <v>13.4</v>
      </c>
      <c r="I262" s="5" t="s">
        <v>52</v>
      </c>
      <c r="J262" s="19">
        <v>13</v>
      </c>
      <c r="K262" s="5" t="s">
        <v>49</v>
      </c>
      <c r="L262" s="5" t="s">
        <v>53</v>
      </c>
      <c r="M262" s="23" t="s">
        <v>307</v>
      </c>
      <c r="N262" s="25"/>
      <c r="O262" s="25"/>
      <c r="P262" s="25"/>
      <c r="Q262" s="17" t="s">
        <v>43</v>
      </c>
    </row>
    <row r="263" spans="2:17">
      <c r="B263" s="11" t="s">
        <v>55</v>
      </c>
      <c r="D263" s="6" t="s">
        <v>36</v>
      </c>
      <c r="E263" s="11" t="s">
        <v>47</v>
      </c>
      <c r="F263" s="11" t="s">
        <v>306</v>
      </c>
      <c r="G263" s="11" t="s">
        <v>310</v>
      </c>
      <c r="H263" s="18">
        <v>13.4</v>
      </c>
      <c r="I263" s="5" t="s">
        <v>52</v>
      </c>
      <c r="J263" s="19">
        <v>13</v>
      </c>
      <c r="K263" s="5" t="s">
        <v>49</v>
      </c>
      <c r="L263" s="5" t="s">
        <v>53</v>
      </c>
      <c r="M263" s="23" t="s">
        <v>307</v>
      </c>
      <c r="N263" s="25"/>
      <c r="O263" s="25"/>
      <c r="P263" s="25"/>
      <c r="Q263" s="17" t="s">
        <v>43</v>
      </c>
    </row>
    <row r="264" spans="2:17">
      <c r="B264" s="11" t="s">
        <v>55</v>
      </c>
      <c r="D264" s="6" t="s">
        <v>36</v>
      </c>
      <c r="E264" s="11" t="s">
        <v>47</v>
      </c>
      <c r="F264" s="11" t="s">
        <v>306</v>
      </c>
      <c r="G264" s="11" t="s">
        <v>311</v>
      </c>
      <c r="H264" s="18">
        <v>13.4</v>
      </c>
      <c r="I264" s="5" t="s">
        <v>52</v>
      </c>
      <c r="J264" s="19">
        <v>13</v>
      </c>
      <c r="K264" s="5" t="s">
        <v>49</v>
      </c>
      <c r="L264" s="5" t="s">
        <v>53</v>
      </c>
      <c r="M264" s="23" t="s">
        <v>307</v>
      </c>
      <c r="N264" s="25"/>
      <c r="O264" s="25"/>
      <c r="P264" s="25"/>
      <c r="Q264" s="17" t="s">
        <v>43</v>
      </c>
    </row>
    <row r="265" spans="2:17">
      <c r="B265" s="11" t="s">
        <v>55</v>
      </c>
      <c r="D265" s="6" t="s">
        <v>36</v>
      </c>
      <c r="E265" s="11" t="s">
        <v>47</v>
      </c>
      <c r="F265" s="11" t="s">
        <v>306</v>
      </c>
      <c r="G265" s="11" t="s">
        <v>312</v>
      </c>
      <c r="H265" s="18">
        <v>13.4</v>
      </c>
      <c r="I265" s="5" t="s">
        <v>52</v>
      </c>
      <c r="J265" s="19">
        <v>13</v>
      </c>
      <c r="K265" s="5" t="s">
        <v>49</v>
      </c>
      <c r="L265" s="5" t="s">
        <v>53</v>
      </c>
      <c r="M265" s="23" t="s">
        <v>307</v>
      </c>
      <c r="N265" s="25"/>
      <c r="O265" s="25"/>
      <c r="P265" s="25"/>
      <c r="Q265" s="17" t="s">
        <v>43</v>
      </c>
    </row>
    <row r="266" spans="2:17">
      <c r="B266" s="11" t="s">
        <v>55</v>
      </c>
      <c r="D266" s="6" t="s">
        <v>36</v>
      </c>
      <c r="E266" s="11" t="s">
        <v>47</v>
      </c>
      <c r="F266" s="11" t="s">
        <v>306</v>
      </c>
      <c r="G266" s="11" t="s">
        <v>313</v>
      </c>
      <c r="H266" s="18">
        <v>13.4</v>
      </c>
      <c r="I266" s="5" t="s">
        <v>52</v>
      </c>
      <c r="J266" s="19">
        <v>13</v>
      </c>
      <c r="K266" s="5" t="s">
        <v>49</v>
      </c>
      <c r="L266" s="5" t="s">
        <v>53</v>
      </c>
      <c r="M266" s="23" t="s">
        <v>307</v>
      </c>
      <c r="N266" s="25"/>
      <c r="O266" s="25"/>
      <c r="P266" s="25"/>
      <c r="Q266" s="17" t="s">
        <v>43</v>
      </c>
    </row>
    <row r="267" spans="2:17">
      <c r="B267" s="11" t="s">
        <v>55</v>
      </c>
      <c r="D267" s="6" t="s">
        <v>36</v>
      </c>
      <c r="E267" s="11" t="s">
        <v>47</v>
      </c>
      <c r="F267" s="11" t="s">
        <v>306</v>
      </c>
      <c r="G267" s="11" t="s">
        <v>314</v>
      </c>
      <c r="H267" s="18">
        <v>13.4</v>
      </c>
      <c r="I267" s="5" t="s">
        <v>52</v>
      </c>
      <c r="J267" s="19">
        <v>13</v>
      </c>
      <c r="K267" s="5" t="s">
        <v>49</v>
      </c>
      <c r="L267" s="5" t="s">
        <v>53</v>
      </c>
      <c r="M267" s="23" t="s">
        <v>307</v>
      </c>
      <c r="N267" s="25"/>
      <c r="O267" s="25"/>
      <c r="P267" s="25"/>
      <c r="Q267" s="17" t="s">
        <v>43</v>
      </c>
    </row>
    <row r="268" spans="2:17">
      <c r="B268" s="11" t="s">
        <v>55</v>
      </c>
      <c r="D268" s="6" t="s">
        <v>36</v>
      </c>
      <c r="E268" s="11" t="s">
        <v>47</v>
      </c>
      <c r="F268" s="11" t="s">
        <v>306</v>
      </c>
      <c r="G268" s="11" t="s">
        <v>315</v>
      </c>
      <c r="H268" s="18">
        <v>13.4</v>
      </c>
      <c r="I268" s="5" t="s">
        <v>52</v>
      </c>
      <c r="J268" s="19">
        <v>13</v>
      </c>
      <c r="K268" s="5" t="s">
        <v>49</v>
      </c>
      <c r="L268" s="5" t="s">
        <v>53</v>
      </c>
      <c r="M268" s="23" t="s">
        <v>307</v>
      </c>
      <c r="N268" s="25"/>
      <c r="O268" s="25"/>
      <c r="P268" s="25"/>
      <c r="Q268" s="17" t="s">
        <v>43</v>
      </c>
    </row>
    <row r="269" spans="2:17">
      <c r="B269" s="11" t="s">
        <v>55</v>
      </c>
      <c r="D269" s="6" t="s">
        <v>36</v>
      </c>
      <c r="E269" s="11" t="s">
        <v>47</v>
      </c>
      <c r="F269" s="11" t="s">
        <v>306</v>
      </c>
      <c r="G269" s="11" t="s">
        <v>316</v>
      </c>
      <c r="H269" s="18">
        <v>13.4</v>
      </c>
      <c r="I269" s="5" t="s">
        <v>52</v>
      </c>
      <c r="J269" s="19">
        <v>13</v>
      </c>
      <c r="K269" s="5" t="s">
        <v>49</v>
      </c>
      <c r="L269" s="5" t="s">
        <v>53</v>
      </c>
      <c r="M269" s="23" t="s">
        <v>307</v>
      </c>
      <c r="N269" s="25"/>
      <c r="O269" s="25"/>
      <c r="P269" s="25"/>
      <c r="Q269" s="17" t="s">
        <v>43</v>
      </c>
    </row>
    <row r="270" spans="2:17">
      <c r="B270" s="11" t="s">
        <v>55</v>
      </c>
      <c r="D270" s="6" t="s">
        <v>36</v>
      </c>
      <c r="E270" s="11" t="s">
        <v>47</v>
      </c>
      <c r="F270" s="11" t="s">
        <v>306</v>
      </c>
      <c r="G270" s="11" t="s">
        <v>317</v>
      </c>
      <c r="H270" s="18">
        <v>13.4</v>
      </c>
      <c r="I270" s="5" t="s">
        <v>52</v>
      </c>
      <c r="J270" s="19">
        <v>13</v>
      </c>
      <c r="K270" s="5" t="s">
        <v>49</v>
      </c>
      <c r="L270" s="5" t="s">
        <v>53</v>
      </c>
      <c r="M270" s="23" t="s">
        <v>307</v>
      </c>
      <c r="N270" s="25"/>
      <c r="O270" s="25"/>
      <c r="P270" s="25"/>
      <c r="Q270" s="17" t="s">
        <v>43</v>
      </c>
    </row>
    <row r="271" spans="2:17">
      <c r="B271" s="11" t="s">
        <v>55</v>
      </c>
      <c r="D271" s="6" t="s">
        <v>36</v>
      </c>
      <c r="E271" s="11" t="s">
        <v>47</v>
      </c>
      <c r="F271" s="11" t="s">
        <v>306</v>
      </c>
      <c r="G271" s="11" t="s">
        <v>318</v>
      </c>
      <c r="H271" s="18">
        <v>13.4</v>
      </c>
      <c r="I271" s="5" t="s">
        <v>52</v>
      </c>
      <c r="J271" s="19">
        <v>13</v>
      </c>
      <c r="K271" s="5" t="s">
        <v>49</v>
      </c>
      <c r="L271" s="5" t="s">
        <v>53</v>
      </c>
      <c r="M271" s="23" t="s">
        <v>307</v>
      </c>
      <c r="N271" s="25"/>
      <c r="O271" s="25"/>
      <c r="P271" s="25"/>
      <c r="Q271" s="17" t="s">
        <v>43</v>
      </c>
    </row>
    <row r="272" spans="2:17">
      <c r="B272" s="11" t="s">
        <v>55</v>
      </c>
      <c r="D272" s="6" t="s">
        <v>36</v>
      </c>
      <c r="E272" s="11" t="s">
        <v>47</v>
      </c>
      <c r="F272" s="11" t="s">
        <v>306</v>
      </c>
      <c r="G272" s="11" t="s">
        <v>319</v>
      </c>
      <c r="H272" s="18">
        <v>13.4</v>
      </c>
      <c r="I272" s="5" t="s">
        <v>52</v>
      </c>
      <c r="J272" s="19">
        <v>13</v>
      </c>
      <c r="K272" s="5" t="s">
        <v>49</v>
      </c>
      <c r="L272" s="5" t="s">
        <v>53</v>
      </c>
      <c r="M272" s="23" t="s">
        <v>307</v>
      </c>
      <c r="N272" s="25"/>
      <c r="O272" s="25"/>
      <c r="P272" s="25"/>
      <c r="Q272" s="17" t="s">
        <v>43</v>
      </c>
    </row>
    <row r="273" spans="2:17">
      <c r="B273" s="11" t="s">
        <v>55</v>
      </c>
      <c r="D273" s="6" t="s">
        <v>36</v>
      </c>
      <c r="E273" s="11" t="s">
        <v>47</v>
      </c>
      <c r="F273" s="11" t="s">
        <v>306</v>
      </c>
      <c r="G273" s="11" t="s">
        <v>320</v>
      </c>
      <c r="H273" s="18">
        <v>13.4</v>
      </c>
      <c r="I273" s="5" t="s">
        <v>52</v>
      </c>
      <c r="J273" s="19">
        <v>13</v>
      </c>
      <c r="K273" s="5" t="s">
        <v>49</v>
      </c>
      <c r="L273" s="5" t="s">
        <v>53</v>
      </c>
      <c r="M273" s="23" t="s">
        <v>307</v>
      </c>
      <c r="N273" s="25"/>
      <c r="O273" s="25"/>
      <c r="P273" s="25"/>
      <c r="Q273" s="17" t="s">
        <v>43</v>
      </c>
    </row>
    <row r="274" spans="2:17">
      <c r="B274" s="11" t="s">
        <v>55</v>
      </c>
      <c r="D274" s="6" t="s">
        <v>36</v>
      </c>
      <c r="E274" s="11" t="s">
        <v>47</v>
      </c>
      <c r="F274" s="11" t="s">
        <v>306</v>
      </c>
      <c r="G274" s="11" t="s">
        <v>321</v>
      </c>
      <c r="H274" s="18">
        <v>13.4</v>
      </c>
      <c r="I274" s="5" t="s">
        <v>52</v>
      </c>
      <c r="J274" s="19">
        <v>13</v>
      </c>
      <c r="K274" s="5" t="s">
        <v>49</v>
      </c>
      <c r="L274" s="5" t="s">
        <v>53</v>
      </c>
      <c r="M274" s="23" t="s">
        <v>307</v>
      </c>
      <c r="N274" s="25"/>
      <c r="O274" s="25"/>
      <c r="P274" s="25"/>
      <c r="Q274" s="17" t="s">
        <v>43</v>
      </c>
    </row>
    <row r="275" spans="2:17">
      <c r="B275" s="11" t="s">
        <v>55</v>
      </c>
      <c r="D275" s="6" t="s">
        <v>36</v>
      </c>
      <c r="E275" s="11" t="s">
        <v>47</v>
      </c>
      <c r="F275" s="11" t="s">
        <v>306</v>
      </c>
      <c r="G275" s="11" t="s">
        <v>322</v>
      </c>
      <c r="H275" s="18">
        <v>13.4</v>
      </c>
      <c r="I275" s="5" t="s">
        <v>52</v>
      </c>
      <c r="J275" s="19">
        <v>13</v>
      </c>
      <c r="K275" s="5" t="s">
        <v>49</v>
      </c>
      <c r="L275" s="5" t="s">
        <v>53</v>
      </c>
      <c r="M275" s="23" t="s">
        <v>307</v>
      </c>
      <c r="N275" s="25"/>
      <c r="O275" s="25"/>
      <c r="P275" s="25"/>
      <c r="Q275" s="17" t="s">
        <v>43</v>
      </c>
    </row>
    <row r="276" spans="2:17">
      <c r="B276" s="11" t="s">
        <v>55</v>
      </c>
      <c r="D276" s="6" t="s">
        <v>36</v>
      </c>
      <c r="E276" s="11" t="s">
        <v>47</v>
      </c>
      <c r="F276" s="11" t="s">
        <v>306</v>
      </c>
      <c r="G276" s="11" t="s">
        <v>323</v>
      </c>
      <c r="H276" s="18">
        <v>13.4</v>
      </c>
      <c r="I276" s="5" t="s">
        <v>52</v>
      </c>
      <c r="J276" s="19">
        <v>13</v>
      </c>
      <c r="K276" s="5" t="s">
        <v>49</v>
      </c>
      <c r="L276" s="5" t="s">
        <v>53</v>
      </c>
      <c r="M276" s="23" t="s">
        <v>307</v>
      </c>
      <c r="N276" s="25"/>
      <c r="O276" s="25"/>
      <c r="P276" s="25"/>
      <c r="Q276" s="17" t="s">
        <v>43</v>
      </c>
    </row>
    <row r="277" spans="2:17">
      <c r="B277" s="11" t="s">
        <v>55</v>
      </c>
      <c r="D277" s="6" t="s">
        <v>36</v>
      </c>
      <c r="E277" s="11" t="s">
        <v>47</v>
      </c>
      <c r="F277" s="11" t="s">
        <v>306</v>
      </c>
      <c r="G277" s="11" t="s">
        <v>324</v>
      </c>
      <c r="H277" s="18">
        <v>13.4</v>
      </c>
      <c r="I277" s="5" t="s">
        <v>52</v>
      </c>
      <c r="J277" s="19">
        <v>13</v>
      </c>
      <c r="K277" s="5" t="s">
        <v>49</v>
      </c>
      <c r="L277" s="5" t="s">
        <v>53</v>
      </c>
      <c r="M277" s="23" t="s">
        <v>307</v>
      </c>
      <c r="N277" s="25"/>
      <c r="O277" s="25"/>
      <c r="P277" s="25"/>
      <c r="Q277" s="17" t="s">
        <v>43</v>
      </c>
    </row>
    <row r="278" spans="2:17">
      <c r="B278" s="11" t="s">
        <v>55</v>
      </c>
      <c r="D278" s="6" t="s">
        <v>36</v>
      </c>
      <c r="E278" s="11" t="s">
        <v>47</v>
      </c>
      <c r="F278" s="11" t="s">
        <v>306</v>
      </c>
      <c r="G278" s="11" t="s">
        <v>325</v>
      </c>
      <c r="H278" s="18">
        <v>13.4</v>
      </c>
      <c r="I278" s="5" t="s">
        <v>52</v>
      </c>
      <c r="J278" s="19">
        <v>13</v>
      </c>
      <c r="K278" s="5" t="s">
        <v>49</v>
      </c>
      <c r="L278" s="5" t="s">
        <v>53</v>
      </c>
      <c r="M278" s="23" t="s">
        <v>307</v>
      </c>
      <c r="N278" s="25"/>
      <c r="O278" s="25"/>
      <c r="P278" s="25"/>
      <c r="Q278" s="17" t="s">
        <v>43</v>
      </c>
    </row>
    <row r="279" spans="2:17">
      <c r="B279" s="11" t="s">
        <v>55</v>
      </c>
      <c r="D279" s="6" t="s">
        <v>36</v>
      </c>
      <c r="E279" s="11" t="s">
        <v>47</v>
      </c>
      <c r="F279" s="11" t="s">
        <v>306</v>
      </c>
      <c r="G279" s="11" t="s">
        <v>326</v>
      </c>
      <c r="H279" s="18">
        <v>13.4</v>
      </c>
      <c r="I279" s="5" t="s">
        <v>52</v>
      </c>
      <c r="J279" s="19">
        <v>13</v>
      </c>
      <c r="K279" s="5" t="s">
        <v>49</v>
      </c>
      <c r="L279" s="5" t="s">
        <v>53</v>
      </c>
      <c r="M279" s="23" t="s">
        <v>307</v>
      </c>
      <c r="N279" s="25"/>
      <c r="O279" s="25"/>
      <c r="P279" s="25"/>
      <c r="Q279" s="17" t="s">
        <v>43</v>
      </c>
    </row>
    <row r="280" spans="2:17">
      <c r="B280" s="11" t="s">
        <v>55</v>
      </c>
      <c r="D280" s="6" t="s">
        <v>36</v>
      </c>
      <c r="E280" s="11" t="s">
        <v>47</v>
      </c>
      <c r="F280" s="11" t="s">
        <v>306</v>
      </c>
      <c r="G280" s="11" t="s">
        <v>327</v>
      </c>
      <c r="H280" s="18">
        <v>13.4</v>
      </c>
      <c r="I280" s="5" t="s">
        <v>52</v>
      </c>
      <c r="J280" s="19">
        <v>13</v>
      </c>
      <c r="K280" s="5" t="s">
        <v>49</v>
      </c>
      <c r="L280" s="5" t="s">
        <v>53</v>
      </c>
      <c r="M280" s="23" t="s">
        <v>307</v>
      </c>
      <c r="N280" s="25"/>
      <c r="O280" s="25"/>
      <c r="P280" s="25"/>
      <c r="Q280" s="17" t="s">
        <v>43</v>
      </c>
    </row>
    <row r="281" spans="2:17">
      <c r="B281" s="11" t="s">
        <v>55</v>
      </c>
      <c r="D281" s="6" t="s">
        <v>36</v>
      </c>
      <c r="E281" s="11" t="s">
        <v>47</v>
      </c>
      <c r="F281" s="11" t="s">
        <v>306</v>
      </c>
      <c r="G281" s="11" t="s">
        <v>328</v>
      </c>
      <c r="H281" s="18">
        <v>13.4</v>
      </c>
      <c r="I281" s="5" t="s">
        <v>52</v>
      </c>
      <c r="J281" s="19">
        <v>13</v>
      </c>
      <c r="K281" s="5" t="s">
        <v>49</v>
      </c>
      <c r="L281" s="5" t="s">
        <v>53</v>
      </c>
      <c r="M281" s="23" t="s">
        <v>307</v>
      </c>
      <c r="N281" s="25"/>
      <c r="O281" s="25"/>
      <c r="P281" s="25"/>
      <c r="Q281" s="17" t="s">
        <v>43</v>
      </c>
    </row>
    <row r="282" spans="2:17">
      <c r="B282" s="11" t="s">
        <v>55</v>
      </c>
      <c r="D282" s="6" t="s">
        <v>36</v>
      </c>
      <c r="E282" s="11" t="s">
        <v>47</v>
      </c>
      <c r="F282" s="11" t="s">
        <v>306</v>
      </c>
      <c r="G282" s="11" t="s">
        <v>329</v>
      </c>
      <c r="H282" s="18">
        <v>13.4</v>
      </c>
      <c r="I282" s="5" t="s">
        <v>52</v>
      </c>
      <c r="J282" s="19">
        <v>13</v>
      </c>
      <c r="K282" s="5" t="s">
        <v>49</v>
      </c>
      <c r="L282" s="5" t="s">
        <v>53</v>
      </c>
      <c r="M282" s="23" t="s">
        <v>307</v>
      </c>
      <c r="N282" s="25"/>
      <c r="O282" s="25"/>
      <c r="P282" s="25"/>
      <c r="Q282" s="17" t="s">
        <v>43</v>
      </c>
    </row>
    <row r="283" spans="2:17">
      <c r="B283" s="11" t="s">
        <v>55</v>
      </c>
      <c r="D283" s="6" t="s">
        <v>36</v>
      </c>
      <c r="E283" s="11" t="s">
        <v>47</v>
      </c>
      <c r="F283" s="11" t="s">
        <v>306</v>
      </c>
      <c r="G283" s="11" t="s">
        <v>330</v>
      </c>
      <c r="H283" s="18">
        <v>13.4</v>
      </c>
      <c r="I283" s="5" t="s">
        <v>52</v>
      </c>
      <c r="J283" s="19">
        <v>13</v>
      </c>
      <c r="K283" s="5" t="s">
        <v>49</v>
      </c>
      <c r="L283" s="5" t="s">
        <v>53</v>
      </c>
      <c r="M283" s="23" t="s">
        <v>307</v>
      </c>
      <c r="N283" s="25"/>
      <c r="O283" s="25"/>
      <c r="P283" s="25"/>
      <c r="Q283" s="17" t="s">
        <v>43</v>
      </c>
    </row>
    <row r="284" spans="2:17">
      <c r="B284" s="11" t="s">
        <v>55</v>
      </c>
      <c r="D284" s="6" t="s">
        <v>36</v>
      </c>
      <c r="E284" s="11" t="s">
        <v>47</v>
      </c>
      <c r="F284" s="11" t="s">
        <v>306</v>
      </c>
      <c r="G284" s="11" t="s">
        <v>331</v>
      </c>
      <c r="H284" s="18">
        <v>13.4</v>
      </c>
      <c r="I284" s="5" t="s">
        <v>52</v>
      </c>
      <c r="J284" s="19">
        <v>13</v>
      </c>
      <c r="K284" s="5" t="s">
        <v>49</v>
      </c>
      <c r="L284" s="5" t="s">
        <v>53</v>
      </c>
      <c r="M284" s="23" t="s">
        <v>307</v>
      </c>
      <c r="N284" s="25"/>
      <c r="O284" s="25"/>
      <c r="P284" s="25"/>
      <c r="Q284" s="17" t="s">
        <v>43</v>
      </c>
    </row>
    <row r="285" spans="2:17">
      <c r="B285" s="11" t="s">
        <v>55</v>
      </c>
      <c r="D285" s="6" t="s">
        <v>36</v>
      </c>
      <c r="E285" s="11" t="s">
        <v>47</v>
      </c>
      <c r="F285" s="11" t="s">
        <v>306</v>
      </c>
      <c r="G285" s="11" t="s">
        <v>332</v>
      </c>
      <c r="H285" s="18">
        <v>13.4</v>
      </c>
      <c r="I285" s="5" t="s">
        <v>52</v>
      </c>
      <c r="J285" s="19">
        <v>13</v>
      </c>
      <c r="K285" s="5" t="s">
        <v>49</v>
      </c>
      <c r="L285" s="5" t="s">
        <v>53</v>
      </c>
      <c r="M285" s="23" t="s">
        <v>307</v>
      </c>
      <c r="N285" s="25"/>
      <c r="O285" s="25"/>
      <c r="P285" s="25"/>
      <c r="Q285" s="17" t="s">
        <v>43</v>
      </c>
    </row>
    <row r="286" spans="2:17">
      <c r="B286" s="11" t="s">
        <v>55</v>
      </c>
      <c r="D286" s="6" t="s">
        <v>36</v>
      </c>
      <c r="E286" s="11" t="s">
        <v>47</v>
      </c>
      <c r="F286" s="11" t="s">
        <v>306</v>
      </c>
      <c r="G286" s="11" t="s">
        <v>333</v>
      </c>
      <c r="H286" s="18">
        <v>13.4</v>
      </c>
      <c r="I286" s="5" t="s">
        <v>52</v>
      </c>
      <c r="J286" s="19">
        <v>13</v>
      </c>
      <c r="K286" s="5" t="s">
        <v>49</v>
      </c>
      <c r="L286" s="5" t="s">
        <v>53</v>
      </c>
      <c r="M286" s="23" t="s">
        <v>307</v>
      </c>
      <c r="N286" s="25"/>
      <c r="O286" s="25"/>
      <c r="P286" s="25"/>
      <c r="Q286" s="17" t="s">
        <v>43</v>
      </c>
    </row>
    <row r="287" spans="2:17">
      <c r="B287" s="11" t="s">
        <v>55</v>
      </c>
      <c r="D287" s="6" t="s">
        <v>36</v>
      </c>
      <c r="E287" s="11" t="s">
        <v>47</v>
      </c>
      <c r="F287" s="11" t="s">
        <v>306</v>
      </c>
      <c r="G287" s="11" t="s">
        <v>334</v>
      </c>
      <c r="H287" s="18">
        <v>13.4</v>
      </c>
      <c r="I287" s="5" t="s">
        <v>52</v>
      </c>
      <c r="J287" s="19">
        <v>13</v>
      </c>
      <c r="K287" s="5" t="s">
        <v>49</v>
      </c>
      <c r="L287" s="5" t="s">
        <v>53</v>
      </c>
      <c r="M287" s="23" t="s">
        <v>307</v>
      </c>
      <c r="N287" s="25"/>
      <c r="O287" s="25"/>
      <c r="P287" s="25"/>
      <c r="Q287" s="17" t="s">
        <v>43</v>
      </c>
    </row>
    <row r="288" spans="2:17">
      <c r="B288" s="11" t="s">
        <v>55</v>
      </c>
      <c r="D288" s="6" t="s">
        <v>36</v>
      </c>
      <c r="E288" s="11" t="s">
        <v>47</v>
      </c>
      <c r="F288" s="11" t="s">
        <v>306</v>
      </c>
      <c r="G288" s="11" t="s">
        <v>335</v>
      </c>
      <c r="H288" s="18">
        <v>13.4</v>
      </c>
      <c r="I288" s="5" t="s">
        <v>52</v>
      </c>
      <c r="J288" s="19">
        <v>13</v>
      </c>
      <c r="K288" s="5" t="s">
        <v>49</v>
      </c>
      <c r="L288" s="5" t="s">
        <v>53</v>
      </c>
      <c r="M288" s="23" t="s">
        <v>307</v>
      </c>
      <c r="N288" s="25"/>
      <c r="O288" s="25"/>
      <c r="P288" s="25"/>
      <c r="Q288" s="17" t="s">
        <v>43</v>
      </c>
    </row>
    <row r="289" spans="2:17">
      <c r="B289" s="11" t="s">
        <v>55</v>
      </c>
      <c r="D289" s="6" t="s">
        <v>36</v>
      </c>
      <c r="E289" s="11" t="s">
        <v>47</v>
      </c>
      <c r="F289" s="11" t="s">
        <v>306</v>
      </c>
      <c r="G289" s="11" t="s">
        <v>336</v>
      </c>
      <c r="H289" s="18">
        <v>13.4</v>
      </c>
      <c r="I289" s="5" t="s">
        <v>52</v>
      </c>
      <c r="J289" s="19">
        <v>13</v>
      </c>
      <c r="K289" s="5" t="s">
        <v>49</v>
      </c>
      <c r="L289" s="5" t="s">
        <v>53</v>
      </c>
      <c r="M289" s="23" t="s">
        <v>307</v>
      </c>
      <c r="N289" s="25"/>
      <c r="O289" s="25"/>
      <c r="P289" s="25"/>
      <c r="Q289" s="17" t="s">
        <v>43</v>
      </c>
    </row>
    <row r="290" spans="2:17">
      <c r="B290" s="11" t="s">
        <v>55</v>
      </c>
      <c r="D290" s="6" t="s">
        <v>36</v>
      </c>
      <c r="E290" s="11" t="s">
        <v>47</v>
      </c>
      <c r="F290" s="11" t="s">
        <v>306</v>
      </c>
      <c r="G290" s="11" t="s">
        <v>337</v>
      </c>
      <c r="H290" s="18">
        <v>13.4</v>
      </c>
      <c r="I290" s="5" t="s">
        <v>52</v>
      </c>
      <c r="J290" s="19">
        <v>13</v>
      </c>
      <c r="K290" s="5" t="s">
        <v>49</v>
      </c>
      <c r="L290" s="5" t="s">
        <v>53</v>
      </c>
      <c r="M290" s="23" t="s">
        <v>307</v>
      </c>
      <c r="N290" s="25"/>
      <c r="O290" s="25"/>
      <c r="P290" s="25"/>
      <c r="Q290" s="17" t="s">
        <v>43</v>
      </c>
    </row>
    <row r="291" spans="2:17">
      <c r="B291" s="11" t="s">
        <v>55</v>
      </c>
      <c r="D291" s="6" t="s">
        <v>36</v>
      </c>
      <c r="E291" s="11" t="s">
        <v>47</v>
      </c>
      <c r="F291" s="11" t="s">
        <v>306</v>
      </c>
      <c r="G291" s="11" t="s">
        <v>338</v>
      </c>
      <c r="H291" s="18">
        <v>13.4</v>
      </c>
      <c r="I291" s="5" t="s">
        <v>52</v>
      </c>
      <c r="J291" s="19">
        <v>13</v>
      </c>
      <c r="K291" s="5" t="s">
        <v>49</v>
      </c>
      <c r="L291" s="5" t="s">
        <v>53</v>
      </c>
      <c r="M291" s="23" t="s">
        <v>307</v>
      </c>
      <c r="N291" s="25"/>
      <c r="O291" s="25"/>
      <c r="P291" s="25"/>
      <c r="Q291" s="17" t="s">
        <v>43</v>
      </c>
    </row>
    <row r="292" spans="2:17">
      <c r="B292" s="11" t="s">
        <v>55</v>
      </c>
      <c r="D292" s="6" t="s">
        <v>36</v>
      </c>
      <c r="E292" s="11" t="s">
        <v>47</v>
      </c>
      <c r="F292" s="11" t="s">
        <v>306</v>
      </c>
      <c r="G292" s="11" t="s">
        <v>339</v>
      </c>
      <c r="H292" s="18">
        <v>13.4</v>
      </c>
      <c r="I292" s="5" t="s">
        <v>52</v>
      </c>
      <c r="J292" s="19">
        <v>13</v>
      </c>
      <c r="K292" s="5" t="s">
        <v>49</v>
      </c>
      <c r="L292" s="5" t="s">
        <v>53</v>
      </c>
      <c r="M292" s="23" t="s">
        <v>307</v>
      </c>
      <c r="N292" s="25"/>
      <c r="O292" s="25"/>
      <c r="P292" s="25"/>
      <c r="Q292" s="17" t="s">
        <v>43</v>
      </c>
    </row>
    <row r="293" spans="2:17">
      <c r="B293" s="11" t="s">
        <v>55</v>
      </c>
      <c r="D293" s="6" t="s">
        <v>36</v>
      </c>
      <c r="E293" s="11" t="s">
        <v>47</v>
      </c>
      <c r="F293" s="11" t="s">
        <v>306</v>
      </c>
      <c r="G293" s="11" t="s">
        <v>340</v>
      </c>
      <c r="H293" s="18">
        <v>13.4</v>
      </c>
      <c r="I293" s="5" t="s">
        <v>52</v>
      </c>
      <c r="J293" s="19">
        <v>13</v>
      </c>
      <c r="K293" s="5" t="s">
        <v>49</v>
      </c>
      <c r="L293" s="5" t="s">
        <v>53</v>
      </c>
      <c r="M293" s="23" t="s">
        <v>307</v>
      </c>
      <c r="N293" s="25"/>
      <c r="O293" s="25"/>
      <c r="P293" s="25"/>
      <c r="Q293" s="17" t="s">
        <v>43</v>
      </c>
    </row>
    <row r="294" spans="2:17">
      <c r="B294" s="11" t="s">
        <v>55</v>
      </c>
      <c r="D294" s="6" t="s">
        <v>36</v>
      </c>
      <c r="E294" s="11" t="s">
        <v>47</v>
      </c>
      <c r="F294" s="11" t="s">
        <v>306</v>
      </c>
      <c r="G294" s="11" t="s">
        <v>341</v>
      </c>
      <c r="H294" s="18">
        <v>13.4</v>
      </c>
      <c r="I294" s="5" t="s">
        <v>52</v>
      </c>
      <c r="J294" s="19">
        <v>13</v>
      </c>
      <c r="K294" s="5" t="s">
        <v>49</v>
      </c>
      <c r="L294" s="5" t="s">
        <v>53</v>
      </c>
      <c r="M294" s="23" t="s">
        <v>307</v>
      </c>
      <c r="N294" s="25"/>
      <c r="O294" s="25"/>
      <c r="P294" s="25"/>
      <c r="Q294" s="17" t="s">
        <v>43</v>
      </c>
    </row>
    <row r="295" spans="2:17">
      <c r="B295" s="11" t="s">
        <v>55</v>
      </c>
      <c r="D295" s="6" t="s">
        <v>36</v>
      </c>
      <c r="E295" s="11" t="s">
        <v>47</v>
      </c>
      <c r="F295" s="11" t="s">
        <v>306</v>
      </c>
      <c r="G295" s="11" t="s">
        <v>342</v>
      </c>
      <c r="H295" s="18">
        <v>13.4</v>
      </c>
      <c r="I295" s="5" t="s">
        <v>52</v>
      </c>
      <c r="J295" s="19">
        <v>13</v>
      </c>
      <c r="K295" s="5" t="s">
        <v>49</v>
      </c>
      <c r="L295" s="5" t="s">
        <v>53</v>
      </c>
      <c r="M295" s="23" t="s">
        <v>307</v>
      </c>
      <c r="N295" s="25"/>
      <c r="O295" s="25"/>
      <c r="P295" s="25"/>
      <c r="Q295" s="17" t="s">
        <v>43</v>
      </c>
    </row>
    <row r="296" spans="2:17">
      <c r="B296" s="11" t="s">
        <v>55</v>
      </c>
      <c r="D296" s="6" t="s">
        <v>36</v>
      </c>
      <c r="E296" s="11" t="s">
        <v>47</v>
      </c>
      <c r="F296" s="11" t="s">
        <v>306</v>
      </c>
      <c r="G296" s="11" t="s">
        <v>343</v>
      </c>
      <c r="H296" s="18">
        <v>13.4</v>
      </c>
      <c r="I296" s="5" t="s">
        <v>52</v>
      </c>
      <c r="J296" s="19">
        <v>13</v>
      </c>
      <c r="K296" s="5" t="s">
        <v>49</v>
      </c>
      <c r="L296" s="5" t="s">
        <v>53</v>
      </c>
      <c r="M296" s="23" t="s">
        <v>307</v>
      </c>
      <c r="N296" s="25"/>
      <c r="O296" s="25"/>
      <c r="P296" s="25"/>
      <c r="Q296" s="17" t="s">
        <v>43</v>
      </c>
    </row>
    <row r="297" spans="2:17">
      <c r="B297" s="11" t="s">
        <v>55</v>
      </c>
      <c r="D297" s="6" t="s">
        <v>36</v>
      </c>
      <c r="E297" s="11" t="s">
        <v>47</v>
      </c>
      <c r="F297" s="11" t="s">
        <v>306</v>
      </c>
      <c r="G297" s="11" t="s">
        <v>344</v>
      </c>
      <c r="H297" s="18">
        <v>13.4</v>
      </c>
      <c r="I297" s="5" t="s">
        <v>52</v>
      </c>
      <c r="J297" s="19">
        <v>13</v>
      </c>
      <c r="K297" s="5" t="s">
        <v>49</v>
      </c>
      <c r="L297" s="5" t="s">
        <v>53</v>
      </c>
      <c r="M297" s="23" t="s">
        <v>307</v>
      </c>
      <c r="N297" s="25"/>
      <c r="O297" s="25"/>
      <c r="P297" s="25"/>
      <c r="Q297" s="17" t="s">
        <v>43</v>
      </c>
    </row>
    <row r="298" spans="2:17">
      <c r="B298" s="11" t="s">
        <v>55</v>
      </c>
      <c r="D298" s="6" t="s">
        <v>36</v>
      </c>
      <c r="E298" s="11" t="s">
        <v>47</v>
      </c>
      <c r="F298" s="11" t="s">
        <v>306</v>
      </c>
      <c r="G298" s="11" t="s">
        <v>345</v>
      </c>
      <c r="H298" s="18">
        <v>13.4</v>
      </c>
      <c r="I298" s="5" t="s">
        <v>52</v>
      </c>
      <c r="J298" s="19">
        <v>13</v>
      </c>
      <c r="K298" s="5" t="s">
        <v>49</v>
      </c>
      <c r="L298" s="5" t="s">
        <v>53</v>
      </c>
      <c r="M298" s="23" t="s">
        <v>307</v>
      </c>
      <c r="N298" s="25"/>
      <c r="O298" s="25"/>
      <c r="P298" s="25"/>
      <c r="Q298" s="17" t="s">
        <v>43</v>
      </c>
    </row>
    <row r="299" spans="2:17">
      <c r="B299" s="11" t="s">
        <v>55</v>
      </c>
      <c r="D299" s="6" t="s">
        <v>36</v>
      </c>
      <c r="E299" s="11" t="s">
        <v>47</v>
      </c>
      <c r="F299" s="11" t="s">
        <v>306</v>
      </c>
      <c r="G299" s="11" t="s">
        <v>346</v>
      </c>
      <c r="H299" s="18">
        <v>13.4</v>
      </c>
      <c r="I299" s="5" t="s">
        <v>52</v>
      </c>
      <c r="J299" s="19">
        <v>13</v>
      </c>
      <c r="K299" s="5" t="s">
        <v>49</v>
      </c>
      <c r="L299" s="5" t="s">
        <v>53</v>
      </c>
      <c r="M299" s="23" t="s">
        <v>307</v>
      </c>
      <c r="N299" s="25"/>
      <c r="O299" s="25"/>
      <c r="P299" s="25"/>
      <c r="Q299" s="17" t="s">
        <v>43</v>
      </c>
    </row>
    <row r="300" spans="2:17">
      <c r="B300" s="11" t="s">
        <v>55</v>
      </c>
      <c r="D300" s="6" t="s">
        <v>36</v>
      </c>
      <c r="E300" s="11" t="s">
        <v>47</v>
      </c>
      <c r="F300" s="11" t="s">
        <v>306</v>
      </c>
      <c r="G300" s="11" t="s">
        <v>347</v>
      </c>
      <c r="H300" s="18">
        <v>13.4</v>
      </c>
      <c r="I300" s="5" t="s">
        <v>52</v>
      </c>
      <c r="J300" s="19">
        <v>13</v>
      </c>
      <c r="K300" s="5" t="s">
        <v>49</v>
      </c>
      <c r="L300" s="5" t="s">
        <v>53</v>
      </c>
      <c r="M300" s="23" t="s">
        <v>307</v>
      </c>
      <c r="N300" s="25"/>
      <c r="O300" s="25"/>
      <c r="P300" s="25"/>
      <c r="Q300" s="17" t="s">
        <v>43</v>
      </c>
    </row>
    <row r="301" spans="2:17">
      <c r="B301" s="11"/>
      <c r="H301" s="21"/>
    </row>
    <row r="302" spans="2:17">
      <c r="B302" s="11" t="s">
        <v>50</v>
      </c>
      <c r="D302" s="6" t="s">
        <v>36</v>
      </c>
      <c r="E302" s="11" t="s">
        <v>47</v>
      </c>
      <c r="F302" s="11" t="s">
        <v>348</v>
      </c>
      <c r="G302" s="11"/>
      <c r="H302" s="18">
        <v>536</v>
      </c>
      <c r="I302" s="5" t="s">
        <v>52</v>
      </c>
      <c r="J302" s="19">
        <v>520</v>
      </c>
      <c r="K302" s="5" t="s">
        <v>49</v>
      </c>
      <c r="L302" s="5" t="s">
        <v>53</v>
      </c>
      <c r="M302" s="23" t="s">
        <v>349</v>
      </c>
      <c r="N302" s="25">
        <v>10700</v>
      </c>
      <c r="O302" s="25">
        <v>6</v>
      </c>
      <c r="P302" s="25">
        <v>4</v>
      </c>
      <c r="Q302" s="17" t="s">
        <v>43</v>
      </c>
    </row>
    <row r="303" spans="2:17">
      <c r="B303" s="11" t="s">
        <v>55</v>
      </c>
      <c r="D303" s="6" t="s">
        <v>36</v>
      </c>
      <c r="E303" s="11" t="s">
        <v>47</v>
      </c>
      <c r="F303" s="11" t="s">
        <v>348</v>
      </c>
      <c r="G303" s="11" t="s">
        <v>350</v>
      </c>
      <c r="H303" s="18">
        <v>13.4</v>
      </c>
      <c r="I303" s="5" t="s">
        <v>52</v>
      </c>
      <c r="J303" s="19">
        <v>13</v>
      </c>
      <c r="K303" s="5" t="s">
        <v>49</v>
      </c>
      <c r="L303" s="5" t="s">
        <v>53</v>
      </c>
      <c r="M303" s="23" t="s">
        <v>349</v>
      </c>
      <c r="N303" s="25"/>
      <c r="O303" s="25"/>
      <c r="P303" s="25"/>
      <c r="Q303" s="17" t="s">
        <v>43</v>
      </c>
    </row>
    <row r="304" spans="2:17">
      <c r="B304" s="11" t="s">
        <v>55</v>
      </c>
      <c r="D304" s="6" t="s">
        <v>36</v>
      </c>
      <c r="E304" s="11" t="s">
        <v>47</v>
      </c>
      <c r="F304" s="11" t="s">
        <v>348</v>
      </c>
      <c r="G304" s="11" t="s">
        <v>351</v>
      </c>
      <c r="H304" s="18">
        <v>13.4</v>
      </c>
      <c r="I304" s="5" t="s">
        <v>52</v>
      </c>
      <c r="J304" s="19">
        <v>13</v>
      </c>
      <c r="K304" s="5" t="s">
        <v>49</v>
      </c>
      <c r="L304" s="5" t="s">
        <v>53</v>
      </c>
      <c r="M304" s="23" t="s">
        <v>349</v>
      </c>
      <c r="N304" s="25"/>
      <c r="O304" s="25"/>
      <c r="P304" s="25"/>
      <c r="Q304" s="17" t="s">
        <v>43</v>
      </c>
    </row>
    <row r="305" spans="2:17">
      <c r="B305" s="11" t="s">
        <v>55</v>
      </c>
      <c r="D305" s="6" t="s">
        <v>36</v>
      </c>
      <c r="E305" s="11" t="s">
        <v>47</v>
      </c>
      <c r="F305" s="11" t="s">
        <v>348</v>
      </c>
      <c r="G305" s="11" t="s">
        <v>352</v>
      </c>
      <c r="H305" s="18">
        <v>13.4</v>
      </c>
      <c r="I305" s="5" t="s">
        <v>52</v>
      </c>
      <c r="J305" s="19">
        <v>13</v>
      </c>
      <c r="K305" s="5" t="s">
        <v>49</v>
      </c>
      <c r="L305" s="5" t="s">
        <v>53</v>
      </c>
      <c r="M305" s="23" t="s">
        <v>349</v>
      </c>
      <c r="N305" s="25"/>
      <c r="O305" s="25"/>
      <c r="P305" s="25"/>
      <c r="Q305" s="17" t="s">
        <v>43</v>
      </c>
    </row>
    <row r="306" spans="2:17">
      <c r="B306" s="11" t="s">
        <v>55</v>
      </c>
      <c r="D306" s="6" t="s">
        <v>36</v>
      </c>
      <c r="E306" s="11" t="s">
        <v>47</v>
      </c>
      <c r="F306" s="11" t="s">
        <v>348</v>
      </c>
      <c r="G306" s="11" t="s">
        <v>353</v>
      </c>
      <c r="H306" s="18">
        <v>13.4</v>
      </c>
      <c r="I306" s="5" t="s">
        <v>52</v>
      </c>
      <c r="J306" s="19">
        <v>13</v>
      </c>
      <c r="K306" s="5" t="s">
        <v>49</v>
      </c>
      <c r="L306" s="5" t="s">
        <v>53</v>
      </c>
      <c r="M306" s="23" t="s">
        <v>349</v>
      </c>
      <c r="N306" s="25"/>
      <c r="O306" s="25"/>
      <c r="P306" s="25"/>
      <c r="Q306" s="17" t="s">
        <v>43</v>
      </c>
    </row>
    <row r="307" spans="2:17">
      <c r="B307" s="11" t="s">
        <v>55</v>
      </c>
      <c r="D307" s="6" t="s">
        <v>36</v>
      </c>
      <c r="E307" s="11" t="s">
        <v>47</v>
      </c>
      <c r="F307" s="11" t="s">
        <v>348</v>
      </c>
      <c r="G307" s="11" t="s">
        <v>354</v>
      </c>
      <c r="H307" s="18">
        <v>13.4</v>
      </c>
      <c r="I307" s="5" t="s">
        <v>52</v>
      </c>
      <c r="J307" s="19">
        <v>13</v>
      </c>
      <c r="K307" s="5" t="s">
        <v>49</v>
      </c>
      <c r="L307" s="5" t="s">
        <v>53</v>
      </c>
      <c r="M307" s="23" t="s">
        <v>349</v>
      </c>
      <c r="N307" s="25"/>
      <c r="O307" s="25"/>
      <c r="P307" s="25"/>
      <c r="Q307" s="17" t="s">
        <v>43</v>
      </c>
    </row>
    <row r="308" spans="2:17">
      <c r="B308" s="11" t="s">
        <v>55</v>
      </c>
      <c r="D308" s="6" t="s">
        <v>36</v>
      </c>
      <c r="E308" s="11" t="s">
        <v>47</v>
      </c>
      <c r="F308" s="11" t="s">
        <v>348</v>
      </c>
      <c r="G308" s="11" t="s">
        <v>355</v>
      </c>
      <c r="H308" s="18">
        <v>13.4</v>
      </c>
      <c r="I308" s="5" t="s">
        <v>52</v>
      </c>
      <c r="J308" s="19">
        <v>13</v>
      </c>
      <c r="K308" s="5" t="s">
        <v>49</v>
      </c>
      <c r="L308" s="5" t="s">
        <v>53</v>
      </c>
      <c r="M308" s="23" t="s">
        <v>349</v>
      </c>
      <c r="N308" s="25"/>
      <c r="O308" s="25"/>
      <c r="P308" s="25"/>
      <c r="Q308" s="17" t="s">
        <v>43</v>
      </c>
    </row>
    <row r="309" spans="2:17">
      <c r="B309" s="11" t="s">
        <v>55</v>
      </c>
      <c r="D309" s="6" t="s">
        <v>36</v>
      </c>
      <c r="E309" s="11" t="s">
        <v>47</v>
      </c>
      <c r="F309" s="11" t="s">
        <v>348</v>
      </c>
      <c r="G309" s="11" t="s">
        <v>356</v>
      </c>
      <c r="H309" s="18">
        <v>13.4</v>
      </c>
      <c r="I309" s="5" t="s">
        <v>52</v>
      </c>
      <c r="J309" s="19">
        <v>13</v>
      </c>
      <c r="K309" s="5" t="s">
        <v>49</v>
      </c>
      <c r="L309" s="5" t="s">
        <v>53</v>
      </c>
      <c r="M309" s="23" t="s">
        <v>349</v>
      </c>
      <c r="N309" s="25"/>
      <c r="O309" s="25"/>
      <c r="P309" s="25"/>
      <c r="Q309" s="17" t="s">
        <v>43</v>
      </c>
    </row>
    <row r="310" spans="2:17">
      <c r="B310" s="11" t="s">
        <v>55</v>
      </c>
      <c r="D310" s="6" t="s">
        <v>36</v>
      </c>
      <c r="E310" s="11" t="s">
        <v>47</v>
      </c>
      <c r="F310" s="11" t="s">
        <v>348</v>
      </c>
      <c r="G310" s="11" t="s">
        <v>357</v>
      </c>
      <c r="H310" s="18">
        <v>13.4</v>
      </c>
      <c r="I310" s="5" t="s">
        <v>52</v>
      </c>
      <c r="J310" s="19">
        <v>13</v>
      </c>
      <c r="K310" s="5" t="s">
        <v>49</v>
      </c>
      <c r="L310" s="5" t="s">
        <v>53</v>
      </c>
      <c r="M310" s="23" t="s">
        <v>349</v>
      </c>
      <c r="N310" s="25"/>
      <c r="O310" s="25"/>
      <c r="P310" s="25"/>
      <c r="Q310" s="17" t="s">
        <v>43</v>
      </c>
    </row>
    <row r="311" spans="2:17">
      <c r="B311" s="11" t="s">
        <v>55</v>
      </c>
      <c r="D311" s="6" t="s">
        <v>36</v>
      </c>
      <c r="E311" s="11" t="s">
        <v>47</v>
      </c>
      <c r="F311" s="11" t="s">
        <v>348</v>
      </c>
      <c r="G311" s="11" t="s">
        <v>358</v>
      </c>
      <c r="H311" s="18">
        <v>13.4</v>
      </c>
      <c r="I311" s="5" t="s">
        <v>52</v>
      </c>
      <c r="J311" s="19">
        <v>13</v>
      </c>
      <c r="K311" s="5" t="s">
        <v>49</v>
      </c>
      <c r="L311" s="5" t="s">
        <v>53</v>
      </c>
      <c r="M311" s="23" t="s">
        <v>349</v>
      </c>
      <c r="N311" s="25"/>
      <c r="O311" s="25"/>
      <c r="P311" s="25"/>
      <c r="Q311" s="17" t="s">
        <v>43</v>
      </c>
    </row>
    <row r="312" spans="2:17">
      <c r="B312" s="11" t="s">
        <v>55</v>
      </c>
      <c r="D312" s="6" t="s">
        <v>36</v>
      </c>
      <c r="E312" s="11" t="s">
        <v>47</v>
      </c>
      <c r="F312" s="11" t="s">
        <v>348</v>
      </c>
      <c r="G312" s="11" t="s">
        <v>359</v>
      </c>
      <c r="H312" s="18">
        <v>13.4</v>
      </c>
      <c r="I312" s="5" t="s">
        <v>52</v>
      </c>
      <c r="J312" s="19">
        <v>13</v>
      </c>
      <c r="K312" s="5" t="s">
        <v>49</v>
      </c>
      <c r="L312" s="5" t="s">
        <v>53</v>
      </c>
      <c r="M312" s="23" t="s">
        <v>349</v>
      </c>
      <c r="N312" s="25"/>
      <c r="O312" s="25"/>
      <c r="P312" s="25"/>
      <c r="Q312" s="17" t="s">
        <v>43</v>
      </c>
    </row>
    <row r="313" spans="2:17">
      <c r="B313" s="11" t="s">
        <v>55</v>
      </c>
      <c r="D313" s="6" t="s">
        <v>36</v>
      </c>
      <c r="E313" s="11" t="s">
        <v>47</v>
      </c>
      <c r="F313" s="11" t="s">
        <v>348</v>
      </c>
      <c r="G313" s="11" t="s">
        <v>360</v>
      </c>
      <c r="H313" s="18">
        <v>13.4</v>
      </c>
      <c r="I313" s="5" t="s">
        <v>52</v>
      </c>
      <c r="J313" s="19">
        <v>13</v>
      </c>
      <c r="K313" s="5" t="s">
        <v>49</v>
      </c>
      <c r="L313" s="5" t="s">
        <v>53</v>
      </c>
      <c r="M313" s="23" t="s">
        <v>349</v>
      </c>
      <c r="N313" s="25"/>
      <c r="O313" s="25"/>
      <c r="P313" s="25"/>
      <c r="Q313" s="17" t="s">
        <v>43</v>
      </c>
    </row>
    <row r="314" spans="2:17">
      <c r="B314" s="11" t="s">
        <v>55</v>
      </c>
      <c r="D314" s="6" t="s">
        <v>36</v>
      </c>
      <c r="E314" s="11" t="s">
        <v>47</v>
      </c>
      <c r="F314" s="11" t="s">
        <v>348</v>
      </c>
      <c r="G314" s="11" t="s">
        <v>361</v>
      </c>
      <c r="H314" s="18">
        <v>13.4</v>
      </c>
      <c r="I314" s="5" t="s">
        <v>52</v>
      </c>
      <c r="J314" s="19">
        <v>13</v>
      </c>
      <c r="K314" s="5" t="s">
        <v>49</v>
      </c>
      <c r="L314" s="5" t="s">
        <v>53</v>
      </c>
      <c r="M314" s="23" t="s">
        <v>349</v>
      </c>
      <c r="N314" s="25"/>
      <c r="O314" s="25"/>
      <c r="P314" s="25"/>
      <c r="Q314" s="17" t="s">
        <v>43</v>
      </c>
    </row>
    <row r="315" spans="2:17">
      <c r="B315" s="11" t="s">
        <v>55</v>
      </c>
      <c r="D315" s="6" t="s">
        <v>36</v>
      </c>
      <c r="E315" s="11" t="s">
        <v>47</v>
      </c>
      <c r="F315" s="11" t="s">
        <v>348</v>
      </c>
      <c r="G315" s="11" t="s">
        <v>362</v>
      </c>
      <c r="H315" s="18">
        <v>13.4</v>
      </c>
      <c r="I315" s="5" t="s">
        <v>52</v>
      </c>
      <c r="J315" s="19">
        <v>13</v>
      </c>
      <c r="K315" s="5" t="s">
        <v>49</v>
      </c>
      <c r="L315" s="5" t="s">
        <v>53</v>
      </c>
      <c r="M315" s="23" t="s">
        <v>349</v>
      </c>
      <c r="N315" s="25"/>
      <c r="O315" s="25"/>
      <c r="P315" s="25"/>
      <c r="Q315" s="17" t="s">
        <v>43</v>
      </c>
    </row>
    <row r="316" spans="2:17">
      <c r="B316" s="11" t="s">
        <v>55</v>
      </c>
      <c r="D316" s="6" t="s">
        <v>36</v>
      </c>
      <c r="E316" s="11" t="s">
        <v>47</v>
      </c>
      <c r="F316" s="11" t="s">
        <v>348</v>
      </c>
      <c r="G316" s="11" t="s">
        <v>363</v>
      </c>
      <c r="H316" s="18">
        <v>13.4</v>
      </c>
      <c r="I316" s="5" t="s">
        <v>52</v>
      </c>
      <c r="J316" s="19">
        <v>13</v>
      </c>
      <c r="K316" s="5" t="s">
        <v>49</v>
      </c>
      <c r="L316" s="5" t="s">
        <v>53</v>
      </c>
      <c r="M316" s="23" t="s">
        <v>349</v>
      </c>
      <c r="N316" s="25"/>
      <c r="O316" s="25"/>
      <c r="P316" s="25"/>
      <c r="Q316" s="17" t="s">
        <v>43</v>
      </c>
    </row>
    <row r="317" spans="2:17">
      <c r="B317" s="11" t="s">
        <v>55</v>
      </c>
      <c r="D317" s="6" t="s">
        <v>36</v>
      </c>
      <c r="E317" s="11" t="s">
        <v>47</v>
      </c>
      <c r="F317" s="11" t="s">
        <v>348</v>
      </c>
      <c r="G317" s="11" t="s">
        <v>364</v>
      </c>
      <c r="H317" s="18">
        <v>13.4</v>
      </c>
      <c r="I317" s="5" t="s">
        <v>52</v>
      </c>
      <c r="J317" s="19">
        <v>13</v>
      </c>
      <c r="K317" s="5" t="s">
        <v>49</v>
      </c>
      <c r="L317" s="5" t="s">
        <v>53</v>
      </c>
      <c r="M317" s="23" t="s">
        <v>349</v>
      </c>
      <c r="N317" s="25"/>
      <c r="O317" s="25"/>
      <c r="P317" s="25"/>
      <c r="Q317" s="17" t="s">
        <v>43</v>
      </c>
    </row>
    <row r="318" spans="2:17">
      <c r="B318" s="11" t="s">
        <v>55</v>
      </c>
      <c r="D318" s="6" t="s">
        <v>36</v>
      </c>
      <c r="E318" s="11" t="s">
        <v>47</v>
      </c>
      <c r="F318" s="11" t="s">
        <v>348</v>
      </c>
      <c r="G318" s="11" t="s">
        <v>365</v>
      </c>
      <c r="H318" s="18">
        <v>13.4</v>
      </c>
      <c r="I318" s="5" t="s">
        <v>52</v>
      </c>
      <c r="J318" s="19">
        <v>13</v>
      </c>
      <c r="K318" s="5" t="s">
        <v>49</v>
      </c>
      <c r="L318" s="5" t="s">
        <v>53</v>
      </c>
      <c r="M318" s="23" t="s">
        <v>349</v>
      </c>
      <c r="N318" s="25"/>
      <c r="O318" s="25"/>
      <c r="P318" s="25"/>
      <c r="Q318" s="17" t="s">
        <v>43</v>
      </c>
    </row>
    <row r="319" spans="2:17">
      <c r="B319" s="11" t="s">
        <v>55</v>
      </c>
      <c r="D319" s="6" t="s">
        <v>36</v>
      </c>
      <c r="E319" s="11" t="s">
        <v>47</v>
      </c>
      <c r="F319" s="11" t="s">
        <v>348</v>
      </c>
      <c r="G319" s="11" t="s">
        <v>366</v>
      </c>
      <c r="H319" s="18">
        <v>13.4</v>
      </c>
      <c r="I319" s="5" t="s">
        <v>52</v>
      </c>
      <c r="J319" s="19">
        <v>13</v>
      </c>
      <c r="K319" s="5" t="s">
        <v>49</v>
      </c>
      <c r="L319" s="5" t="s">
        <v>53</v>
      </c>
      <c r="M319" s="23" t="s">
        <v>349</v>
      </c>
      <c r="N319" s="25"/>
      <c r="O319" s="25"/>
      <c r="P319" s="25"/>
      <c r="Q319" s="17" t="s">
        <v>43</v>
      </c>
    </row>
    <row r="320" spans="2:17">
      <c r="B320" s="11" t="s">
        <v>55</v>
      </c>
      <c r="D320" s="6" t="s">
        <v>36</v>
      </c>
      <c r="E320" s="11" t="s">
        <v>47</v>
      </c>
      <c r="F320" s="11" t="s">
        <v>348</v>
      </c>
      <c r="G320" s="11" t="s">
        <v>367</v>
      </c>
      <c r="H320" s="18">
        <v>13.4</v>
      </c>
      <c r="I320" s="5" t="s">
        <v>52</v>
      </c>
      <c r="J320" s="19">
        <v>13</v>
      </c>
      <c r="K320" s="5" t="s">
        <v>49</v>
      </c>
      <c r="L320" s="5" t="s">
        <v>53</v>
      </c>
      <c r="M320" s="23" t="s">
        <v>349</v>
      </c>
      <c r="N320" s="25"/>
      <c r="O320" s="25"/>
      <c r="P320" s="25"/>
      <c r="Q320" s="17" t="s">
        <v>43</v>
      </c>
    </row>
    <row r="321" spans="2:17">
      <c r="B321" s="11" t="s">
        <v>55</v>
      </c>
      <c r="D321" s="6" t="s">
        <v>36</v>
      </c>
      <c r="E321" s="11" t="s">
        <v>47</v>
      </c>
      <c r="F321" s="11" t="s">
        <v>348</v>
      </c>
      <c r="G321" s="11" t="s">
        <v>368</v>
      </c>
      <c r="H321" s="18">
        <v>13.4</v>
      </c>
      <c r="I321" s="5" t="s">
        <v>52</v>
      </c>
      <c r="J321" s="19">
        <v>13</v>
      </c>
      <c r="K321" s="5" t="s">
        <v>49</v>
      </c>
      <c r="L321" s="5" t="s">
        <v>53</v>
      </c>
      <c r="M321" s="23" t="s">
        <v>349</v>
      </c>
      <c r="N321" s="25"/>
      <c r="O321" s="25"/>
      <c r="P321" s="25"/>
      <c r="Q321" s="17" t="s">
        <v>43</v>
      </c>
    </row>
    <row r="322" spans="2:17">
      <c r="B322" s="11" t="s">
        <v>55</v>
      </c>
      <c r="D322" s="6" t="s">
        <v>36</v>
      </c>
      <c r="E322" s="11" t="s">
        <v>47</v>
      </c>
      <c r="F322" s="11" t="s">
        <v>348</v>
      </c>
      <c r="G322" s="11" t="s">
        <v>369</v>
      </c>
      <c r="H322" s="18">
        <v>13.4</v>
      </c>
      <c r="I322" s="5" t="s">
        <v>52</v>
      </c>
      <c r="J322" s="19">
        <v>13</v>
      </c>
      <c r="K322" s="5" t="s">
        <v>49</v>
      </c>
      <c r="L322" s="5" t="s">
        <v>53</v>
      </c>
      <c r="M322" s="23" t="s">
        <v>349</v>
      </c>
      <c r="N322" s="25"/>
      <c r="O322" s="25"/>
      <c r="P322" s="25"/>
      <c r="Q322" s="17" t="s">
        <v>43</v>
      </c>
    </row>
    <row r="323" spans="2:17">
      <c r="B323" s="11" t="s">
        <v>55</v>
      </c>
      <c r="D323" s="6" t="s">
        <v>36</v>
      </c>
      <c r="E323" s="11" t="s">
        <v>47</v>
      </c>
      <c r="F323" s="11" t="s">
        <v>348</v>
      </c>
      <c r="G323" s="11" t="s">
        <v>370</v>
      </c>
      <c r="H323" s="18">
        <v>13.4</v>
      </c>
      <c r="I323" s="5" t="s">
        <v>52</v>
      </c>
      <c r="J323" s="19">
        <v>13</v>
      </c>
      <c r="K323" s="5" t="s">
        <v>49</v>
      </c>
      <c r="L323" s="5" t="s">
        <v>53</v>
      </c>
      <c r="M323" s="23" t="s">
        <v>349</v>
      </c>
      <c r="N323" s="25"/>
      <c r="O323" s="25"/>
      <c r="P323" s="25"/>
      <c r="Q323" s="17" t="s">
        <v>43</v>
      </c>
    </row>
    <row r="324" spans="2:17">
      <c r="B324" s="11" t="s">
        <v>55</v>
      </c>
      <c r="D324" s="6" t="s">
        <v>36</v>
      </c>
      <c r="E324" s="11" t="s">
        <v>47</v>
      </c>
      <c r="F324" s="11" t="s">
        <v>348</v>
      </c>
      <c r="G324" s="11" t="s">
        <v>371</v>
      </c>
      <c r="H324" s="18">
        <v>13.4</v>
      </c>
      <c r="I324" s="5" t="s">
        <v>52</v>
      </c>
      <c r="J324" s="19">
        <v>13</v>
      </c>
      <c r="K324" s="5" t="s">
        <v>49</v>
      </c>
      <c r="L324" s="5" t="s">
        <v>53</v>
      </c>
      <c r="M324" s="23" t="s">
        <v>349</v>
      </c>
      <c r="N324" s="25"/>
      <c r="O324" s="25"/>
      <c r="P324" s="25"/>
      <c r="Q324" s="17" t="s">
        <v>43</v>
      </c>
    </row>
    <row r="325" spans="2:17">
      <c r="B325" s="11" t="s">
        <v>55</v>
      </c>
      <c r="D325" s="6" t="s">
        <v>36</v>
      </c>
      <c r="E325" s="11" t="s">
        <v>47</v>
      </c>
      <c r="F325" s="11" t="s">
        <v>348</v>
      </c>
      <c r="G325" s="11" t="s">
        <v>372</v>
      </c>
      <c r="H325" s="18">
        <v>13.4</v>
      </c>
      <c r="I325" s="5" t="s">
        <v>52</v>
      </c>
      <c r="J325" s="19">
        <v>13</v>
      </c>
      <c r="K325" s="5" t="s">
        <v>49</v>
      </c>
      <c r="L325" s="5" t="s">
        <v>53</v>
      </c>
      <c r="M325" s="23" t="s">
        <v>349</v>
      </c>
      <c r="N325" s="25"/>
      <c r="O325" s="25"/>
      <c r="P325" s="25"/>
      <c r="Q325" s="17" t="s">
        <v>43</v>
      </c>
    </row>
    <row r="326" spans="2:17">
      <c r="B326" s="11" t="s">
        <v>55</v>
      </c>
      <c r="D326" s="6" t="s">
        <v>36</v>
      </c>
      <c r="E326" s="11" t="s">
        <v>47</v>
      </c>
      <c r="F326" s="11" t="s">
        <v>348</v>
      </c>
      <c r="G326" s="11" t="s">
        <v>373</v>
      </c>
      <c r="H326" s="18">
        <v>13.4</v>
      </c>
      <c r="I326" s="5" t="s">
        <v>52</v>
      </c>
      <c r="J326" s="19">
        <v>13</v>
      </c>
      <c r="K326" s="5" t="s">
        <v>49</v>
      </c>
      <c r="L326" s="5" t="s">
        <v>53</v>
      </c>
      <c r="M326" s="23" t="s">
        <v>349</v>
      </c>
      <c r="N326" s="25"/>
      <c r="O326" s="25"/>
      <c r="P326" s="25"/>
      <c r="Q326" s="17" t="s">
        <v>43</v>
      </c>
    </row>
    <row r="327" spans="2:17">
      <c r="B327" s="11" t="s">
        <v>55</v>
      </c>
      <c r="D327" s="6" t="s">
        <v>36</v>
      </c>
      <c r="E327" s="11" t="s">
        <v>47</v>
      </c>
      <c r="F327" s="11" t="s">
        <v>348</v>
      </c>
      <c r="G327" s="11" t="s">
        <v>374</v>
      </c>
      <c r="H327" s="18">
        <v>13.4</v>
      </c>
      <c r="I327" s="5" t="s">
        <v>52</v>
      </c>
      <c r="J327" s="19">
        <v>13</v>
      </c>
      <c r="K327" s="5" t="s">
        <v>49</v>
      </c>
      <c r="L327" s="5" t="s">
        <v>53</v>
      </c>
      <c r="M327" s="23" t="s">
        <v>349</v>
      </c>
      <c r="N327" s="25"/>
      <c r="O327" s="25"/>
      <c r="P327" s="25"/>
      <c r="Q327" s="17" t="s">
        <v>43</v>
      </c>
    </row>
    <row r="328" spans="2:17">
      <c r="B328" s="11" t="s">
        <v>55</v>
      </c>
      <c r="D328" s="6" t="s">
        <v>36</v>
      </c>
      <c r="E328" s="11" t="s">
        <v>47</v>
      </c>
      <c r="F328" s="11" t="s">
        <v>348</v>
      </c>
      <c r="G328" s="11" t="s">
        <v>375</v>
      </c>
      <c r="H328" s="18">
        <v>13.4</v>
      </c>
      <c r="I328" s="5" t="s">
        <v>52</v>
      </c>
      <c r="J328" s="19">
        <v>13</v>
      </c>
      <c r="K328" s="5" t="s">
        <v>49</v>
      </c>
      <c r="L328" s="5" t="s">
        <v>53</v>
      </c>
      <c r="M328" s="23" t="s">
        <v>349</v>
      </c>
      <c r="N328" s="25"/>
      <c r="O328" s="25"/>
      <c r="P328" s="25"/>
      <c r="Q328" s="17" t="s">
        <v>43</v>
      </c>
    </row>
    <row r="329" spans="2:17">
      <c r="B329" s="11" t="s">
        <v>55</v>
      </c>
      <c r="D329" s="6" t="s">
        <v>36</v>
      </c>
      <c r="E329" s="11" t="s">
        <v>47</v>
      </c>
      <c r="F329" s="11" t="s">
        <v>348</v>
      </c>
      <c r="G329" s="11" t="s">
        <v>376</v>
      </c>
      <c r="H329" s="18">
        <v>13.4</v>
      </c>
      <c r="I329" s="5" t="s">
        <v>52</v>
      </c>
      <c r="J329" s="19">
        <v>13</v>
      </c>
      <c r="K329" s="5" t="s">
        <v>49</v>
      </c>
      <c r="L329" s="5" t="s">
        <v>53</v>
      </c>
      <c r="M329" s="23" t="s">
        <v>349</v>
      </c>
      <c r="N329" s="25"/>
      <c r="O329" s="25"/>
      <c r="P329" s="25"/>
      <c r="Q329" s="17" t="s">
        <v>43</v>
      </c>
    </row>
    <row r="330" spans="2:17">
      <c r="B330" s="11" t="s">
        <v>55</v>
      </c>
      <c r="D330" s="6" t="s">
        <v>36</v>
      </c>
      <c r="E330" s="11" t="s">
        <v>47</v>
      </c>
      <c r="F330" s="11" t="s">
        <v>348</v>
      </c>
      <c r="G330" s="11" t="s">
        <v>377</v>
      </c>
      <c r="H330" s="18">
        <v>13.4</v>
      </c>
      <c r="I330" s="5" t="s">
        <v>52</v>
      </c>
      <c r="J330" s="19">
        <v>13</v>
      </c>
      <c r="K330" s="5" t="s">
        <v>49</v>
      </c>
      <c r="L330" s="5" t="s">
        <v>53</v>
      </c>
      <c r="M330" s="23" t="s">
        <v>349</v>
      </c>
      <c r="N330" s="25"/>
      <c r="O330" s="25"/>
      <c r="P330" s="25"/>
      <c r="Q330" s="17" t="s">
        <v>43</v>
      </c>
    </row>
    <row r="331" spans="2:17">
      <c r="B331" s="11" t="s">
        <v>55</v>
      </c>
      <c r="D331" s="6" t="s">
        <v>36</v>
      </c>
      <c r="E331" s="11" t="s">
        <v>47</v>
      </c>
      <c r="F331" s="11" t="s">
        <v>348</v>
      </c>
      <c r="G331" s="11" t="s">
        <v>378</v>
      </c>
      <c r="H331" s="18">
        <v>13.4</v>
      </c>
      <c r="I331" s="5" t="s">
        <v>52</v>
      </c>
      <c r="J331" s="19">
        <v>13</v>
      </c>
      <c r="K331" s="5" t="s">
        <v>49</v>
      </c>
      <c r="L331" s="5" t="s">
        <v>53</v>
      </c>
      <c r="M331" s="23" t="s">
        <v>349</v>
      </c>
      <c r="N331" s="25"/>
      <c r="O331" s="25"/>
      <c r="P331" s="25"/>
      <c r="Q331" s="17" t="s">
        <v>43</v>
      </c>
    </row>
    <row r="332" spans="2:17">
      <c r="B332" s="11" t="s">
        <v>55</v>
      </c>
      <c r="D332" s="6" t="s">
        <v>36</v>
      </c>
      <c r="E332" s="11" t="s">
        <v>47</v>
      </c>
      <c r="F332" s="11" t="s">
        <v>348</v>
      </c>
      <c r="G332" s="11" t="s">
        <v>379</v>
      </c>
      <c r="H332" s="18">
        <v>13.4</v>
      </c>
      <c r="I332" s="5" t="s">
        <v>52</v>
      </c>
      <c r="J332" s="19">
        <v>13</v>
      </c>
      <c r="K332" s="5" t="s">
        <v>49</v>
      </c>
      <c r="L332" s="5" t="s">
        <v>53</v>
      </c>
      <c r="M332" s="23" t="s">
        <v>349</v>
      </c>
      <c r="N332" s="25"/>
      <c r="O332" s="25"/>
      <c r="P332" s="25"/>
      <c r="Q332" s="17" t="s">
        <v>43</v>
      </c>
    </row>
    <row r="333" spans="2:17">
      <c r="B333" s="11" t="s">
        <v>55</v>
      </c>
      <c r="D333" s="6" t="s">
        <v>36</v>
      </c>
      <c r="E333" s="11" t="s">
        <v>47</v>
      </c>
      <c r="F333" s="11" t="s">
        <v>348</v>
      </c>
      <c r="G333" s="11" t="s">
        <v>380</v>
      </c>
      <c r="H333" s="18">
        <v>13.4</v>
      </c>
      <c r="I333" s="5" t="s">
        <v>52</v>
      </c>
      <c r="J333" s="19">
        <v>13</v>
      </c>
      <c r="K333" s="5" t="s">
        <v>49</v>
      </c>
      <c r="L333" s="5" t="s">
        <v>53</v>
      </c>
      <c r="M333" s="23" t="s">
        <v>349</v>
      </c>
      <c r="N333" s="25"/>
      <c r="O333" s="25"/>
      <c r="P333" s="25"/>
      <c r="Q333" s="17" t="s">
        <v>43</v>
      </c>
    </row>
    <row r="334" spans="2:17">
      <c r="B334" s="11" t="s">
        <v>55</v>
      </c>
      <c r="D334" s="6" t="s">
        <v>36</v>
      </c>
      <c r="E334" s="11" t="s">
        <v>47</v>
      </c>
      <c r="F334" s="11" t="s">
        <v>348</v>
      </c>
      <c r="G334" s="11" t="s">
        <v>381</v>
      </c>
      <c r="H334" s="18">
        <v>13.4</v>
      </c>
      <c r="I334" s="5" t="s">
        <v>52</v>
      </c>
      <c r="J334" s="19">
        <v>13</v>
      </c>
      <c r="K334" s="5" t="s">
        <v>49</v>
      </c>
      <c r="L334" s="5" t="s">
        <v>53</v>
      </c>
      <c r="M334" s="23" t="s">
        <v>349</v>
      </c>
      <c r="N334" s="25"/>
      <c r="O334" s="25"/>
      <c r="P334" s="25"/>
      <c r="Q334" s="17" t="s">
        <v>43</v>
      </c>
    </row>
    <row r="335" spans="2:17">
      <c r="B335" s="11" t="s">
        <v>55</v>
      </c>
      <c r="D335" s="6" t="s">
        <v>36</v>
      </c>
      <c r="E335" s="11" t="s">
        <v>47</v>
      </c>
      <c r="F335" s="11" t="s">
        <v>348</v>
      </c>
      <c r="G335" s="11" t="s">
        <v>382</v>
      </c>
      <c r="H335" s="18">
        <v>13.4</v>
      </c>
      <c r="I335" s="5" t="s">
        <v>52</v>
      </c>
      <c r="J335" s="19">
        <v>13</v>
      </c>
      <c r="K335" s="5" t="s">
        <v>49</v>
      </c>
      <c r="L335" s="5" t="s">
        <v>53</v>
      </c>
      <c r="M335" s="23" t="s">
        <v>349</v>
      </c>
      <c r="N335" s="25"/>
      <c r="O335" s="25"/>
      <c r="P335" s="25"/>
      <c r="Q335" s="17" t="s">
        <v>43</v>
      </c>
    </row>
    <row r="336" spans="2:17">
      <c r="B336" s="11" t="s">
        <v>55</v>
      </c>
      <c r="D336" s="6" t="s">
        <v>36</v>
      </c>
      <c r="E336" s="11" t="s">
        <v>47</v>
      </c>
      <c r="F336" s="11" t="s">
        <v>348</v>
      </c>
      <c r="G336" s="11" t="s">
        <v>383</v>
      </c>
      <c r="H336" s="18">
        <v>13.4</v>
      </c>
      <c r="I336" s="5" t="s">
        <v>52</v>
      </c>
      <c r="J336" s="19">
        <v>13</v>
      </c>
      <c r="K336" s="5" t="s">
        <v>49</v>
      </c>
      <c r="L336" s="5" t="s">
        <v>53</v>
      </c>
      <c r="M336" s="23" t="s">
        <v>349</v>
      </c>
      <c r="N336" s="25"/>
      <c r="O336" s="25"/>
      <c r="P336" s="25"/>
      <c r="Q336" s="17" t="s">
        <v>43</v>
      </c>
    </row>
    <row r="337" spans="2:17">
      <c r="B337" s="11" t="s">
        <v>55</v>
      </c>
      <c r="D337" s="6" t="s">
        <v>36</v>
      </c>
      <c r="E337" s="11" t="s">
        <v>47</v>
      </c>
      <c r="F337" s="11" t="s">
        <v>348</v>
      </c>
      <c r="G337" s="11" t="s">
        <v>384</v>
      </c>
      <c r="H337" s="18">
        <v>13.4</v>
      </c>
      <c r="I337" s="5" t="s">
        <v>52</v>
      </c>
      <c r="J337" s="19">
        <v>13</v>
      </c>
      <c r="K337" s="5" t="s">
        <v>49</v>
      </c>
      <c r="L337" s="5" t="s">
        <v>53</v>
      </c>
      <c r="M337" s="23" t="s">
        <v>349</v>
      </c>
      <c r="N337" s="25"/>
      <c r="O337" s="25"/>
      <c r="P337" s="25"/>
      <c r="Q337" s="17" t="s">
        <v>43</v>
      </c>
    </row>
    <row r="338" spans="2:17">
      <c r="B338" s="11" t="s">
        <v>55</v>
      </c>
      <c r="D338" s="6" t="s">
        <v>36</v>
      </c>
      <c r="E338" s="11" t="s">
        <v>47</v>
      </c>
      <c r="F338" s="11" t="s">
        <v>348</v>
      </c>
      <c r="G338" s="11" t="s">
        <v>385</v>
      </c>
      <c r="H338" s="18">
        <v>13.4</v>
      </c>
      <c r="I338" s="5" t="s">
        <v>52</v>
      </c>
      <c r="J338" s="19">
        <v>13</v>
      </c>
      <c r="K338" s="5" t="s">
        <v>49</v>
      </c>
      <c r="L338" s="5" t="s">
        <v>53</v>
      </c>
      <c r="M338" s="23" t="s">
        <v>349</v>
      </c>
      <c r="N338" s="25"/>
      <c r="O338" s="25"/>
      <c r="P338" s="25"/>
      <c r="Q338" s="17" t="s">
        <v>43</v>
      </c>
    </row>
    <row r="339" spans="2:17">
      <c r="B339" s="11" t="s">
        <v>55</v>
      </c>
      <c r="D339" s="6" t="s">
        <v>36</v>
      </c>
      <c r="E339" s="11" t="s">
        <v>47</v>
      </c>
      <c r="F339" s="11" t="s">
        <v>348</v>
      </c>
      <c r="G339" s="11" t="s">
        <v>386</v>
      </c>
      <c r="H339" s="18">
        <v>13.4</v>
      </c>
      <c r="I339" s="5" t="s">
        <v>52</v>
      </c>
      <c r="J339" s="19">
        <v>13</v>
      </c>
      <c r="K339" s="5" t="s">
        <v>49</v>
      </c>
      <c r="L339" s="5" t="s">
        <v>53</v>
      </c>
      <c r="M339" s="23" t="s">
        <v>349</v>
      </c>
      <c r="N339" s="25"/>
      <c r="O339" s="25"/>
      <c r="P339" s="25"/>
      <c r="Q339" s="17" t="s">
        <v>43</v>
      </c>
    </row>
    <row r="340" spans="2:17">
      <c r="B340" s="11" t="s">
        <v>55</v>
      </c>
      <c r="D340" s="6" t="s">
        <v>36</v>
      </c>
      <c r="E340" s="11" t="s">
        <v>47</v>
      </c>
      <c r="F340" s="11" t="s">
        <v>348</v>
      </c>
      <c r="G340" s="11" t="s">
        <v>387</v>
      </c>
      <c r="H340" s="18">
        <v>13.4</v>
      </c>
      <c r="I340" s="5" t="s">
        <v>52</v>
      </c>
      <c r="J340" s="19">
        <v>13</v>
      </c>
      <c r="K340" s="5" t="s">
        <v>49</v>
      </c>
      <c r="L340" s="5" t="s">
        <v>53</v>
      </c>
      <c r="M340" s="23" t="s">
        <v>349</v>
      </c>
      <c r="N340" s="25"/>
      <c r="O340" s="25"/>
      <c r="P340" s="25"/>
      <c r="Q340" s="17" t="s">
        <v>43</v>
      </c>
    </row>
    <row r="341" spans="2:17">
      <c r="B341" s="11" t="s">
        <v>55</v>
      </c>
      <c r="D341" s="6" t="s">
        <v>36</v>
      </c>
      <c r="E341" s="11" t="s">
        <v>47</v>
      </c>
      <c r="F341" s="11" t="s">
        <v>348</v>
      </c>
      <c r="G341" s="11" t="s">
        <v>388</v>
      </c>
      <c r="H341" s="18">
        <v>13.4</v>
      </c>
      <c r="I341" s="5" t="s">
        <v>52</v>
      </c>
      <c r="J341" s="19">
        <v>13</v>
      </c>
      <c r="K341" s="5" t="s">
        <v>49</v>
      </c>
      <c r="L341" s="5" t="s">
        <v>53</v>
      </c>
      <c r="M341" s="23" t="s">
        <v>349</v>
      </c>
      <c r="N341" s="25"/>
      <c r="O341" s="25"/>
      <c r="P341" s="25"/>
      <c r="Q341" s="17" t="s">
        <v>43</v>
      </c>
    </row>
    <row r="342" spans="2:17">
      <c r="B342" s="11" t="s">
        <v>55</v>
      </c>
      <c r="D342" s="6" t="s">
        <v>36</v>
      </c>
      <c r="E342" s="11" t="s">
        <v>47</v>
      </c>
      <c r="F342" s="11" t="s">
        <v>348</v>
      </c>
      <c r="G342" s="11" t="s">
        <v>389</v>
      </c>
      <c r="H342" s="18">
        <v>13.4</v>
      </c>
      <c r="I342" s="5" t="s">
        <v>52</v>
      </c>
      <c r="J342" s="19">
        <v>13</v>
      </c>
      <c r="K342" s="5" t="s">
        <v>49</v>
      </c>
      <c r="L342" s="5" t="s">
        <v>53</v>
      </c>
      <c r="M342" s="23" t="s">
        <v>349</v>
      </c>
      <c r="N342" s="25"/>
      <c r="O342" s="25"/>
      <c r="P342" s="25"/>
      <c r="Q342" s="17" t="s">
        <v>43</v>
      </c>
    </row>
    <row r="343" spans="2:17">
      <c r="B343" s="11"/>
    </row>
    <row r="344" spans="2:17">
      <c r="B344" s="11" t="s">
        <v>50</v>
      </c>
      <c r="D344" s="6" t="s">
        <v>36</v>
      </c>
      <c r="E344" s="11" t="s">
        <v>47</v>
      </c>
      <c r="F344" s="11" t="s">
        <v>390</v>
      </c>
      <c r="G344" s="11"/>
      <c r="H344" s="18">
        <v>536</v>
      </c>
      <c r="I344" s="5" t="s">
        <v>52</v>
      </c>
      <c r="J344" s="19">
        <v>520</v>
      </c>
      <c r="K344" s="5" t="s">
        <v>49</v>
      </c>
      <c r="L344" s="5" t="s">
        <v>53</v>
      </c>
      <c r="M344" s="23" t="s">
        <v>391</v>
      </c>
      <c r="N344" s="25">
        <v>10700</v>
      </c>
      <c r="O344" s="25">
        <v>6</v>
      </c>
      <c r="P344" s="25">
        <v>4</v>
      </c>
      <c r="Q344" s="17" t="s">
        <v>43</v>
      </c>
    </row>
    <row r="345" spans="2:17">
      <c r="B345" s="11" t="s">
        <v>55</v>
      </c>
      <c r="D345" s="6" t="s">
        <v>36</v>
      </c>
      <c r="E345" s="11" t="s">
        <v>47</v>
      </c>
      <c r="F345" s="11" t="s">
        <v>390</v>
      </c>
      <c r="G345" s="11" t="s">
        <v>392</v>
      </c>
      <c r="H345" s="18">
        <v>13.4</v>
      </c>
      <c r="I345" s="5" t="s">
        <v>52</v>
      </c>
      <c r="J345" s="19">
        <v>13</v>
      </c>
      <c r="K345" s="5" t="s">
        <v>49</v>
      </c>
      <c r="L345" s="5" t="s">
        <v>53</v>
      </c>
      <c r="M345" s="23" t="s">
        <v>391</v>
      </c>
      <c r="N345" s="25"/>
      <c r="O345" s="25"/>
      <c r="P345" s="25"/>
      <c r="Q345" s="17" t="s">
        <v>43</v>
      </c>
    </row>
    <row r="346" spans="2:17">
      <c r="B346" s="11" t="s">
        <v>55</v>
      </c>
      <c r="D346" s="6" t="s">
        <v>36</v>
      </c>
      <c r="E346" s="11" t="s">
        <v>47</v>
      </c>
      <c r="F346" s="11" t="s">
        <v>390</v>
      </c>
      <c r="G346" s="11" t="s">
        <v>393</v>
      </c>
      <c r="H346" s="18">
        <v>13.4</v>
      </c>
      <c r="I346" s="5" t="s">
        <v>52</v>
      </c>
      <c r="J346" s="19">
        <v>13</v>
      </c>
      <c r="K346" s="5" t="s">
        <v>49</v>
      </c>
      <c r="L346" s="5" t="s">
        <v>53</v>
      </c>
      <c r="M346" s="23" t="s">
        <v>391</v>
      </c>
      <c r="N346" s="25"/>
      <c r="O346" s="25"/>
      <c r="P346" s="25"/>
      <c r="Q346" s="17" t="s">
        <v>43</v>
      </c>
    </row>
    <row r="347" spans="2:17">
      <c r="B347" s="11" t="s">
        <v>55</v>
      </c>
      <c r="D347" s="6" t="s">
        <v>36</v>
      </c>
      <c r="E347" s="11" t="s">
        <v>47</v>
      </c>
      <c r="F347" s="11" t="s">
        <v>390</v>
      </c>
      <c r="G347" s="11" t="s">
        <v>394</v>
      </c>
      <c r="H347" s="18">
        <v>13.4</v>
      </c>
      <c r="I347" s="5" t="s">
        <v>52</v>
      </c>
      <c r="J347" s="19">
        <v>13</v>
      </c>
      <c r="K347" s="5" t="s">
        <v>49</v>
      </c>
      <c r="L347" s="5" t="s">
        <v>53</v>
      </c>
      <c r="M347" s="23" t="s">
        <v>391</v>
      </c>
      <c r="N347" s="25"/>
      <c r="O347" s="25"/>
      <c r="P347" s="25"/>
      <c r="Q347" s="17" t="s">
        <v>43</v>
      </c>
    </row>
    <row r="348" spans="2:17">
      <c r="B348" s="11" t="s">
        <v>55</v>
      </c>
      <c r="D348" s="6" t="s">
        <v>36</v>
      </c>
      <c r="E348" s="11" t="s">
        <v>47</v>
      </c>
      <c r="F348" s="11" t="s">
        <v>390</v>
      </c>
      <c r="G348" s="11" t="s">
        <v>395</v>
      </c>
      <c r="H348" s="18">
        <v>13.4</v>
      </c>
      <c r="I348" s="5" t="s">
        <v>52</v>
      </c>
      <c r="J348" s="19">
        <v>13</v>
      </c>
      <c r="K348" s="5" t="s">
        <v>49</v>
      </c>
      <c r="L348" s="5" t="s">
        <v>53</v>
      </c>
      <c r="M348" s="23" t="s">
        <v>391</v>
      </c>
      <c r="N348" s="25"/>
      <c r="O348" s="25"/>
      <c r="P348" s="25"/>
      <c r="Q348" s="17" t="s">
        <v>43</v>
      </c>
    </row>
    <row r="349" spans="2:17">
      <c r="B349" s="11" t="s">
        <v>55</v>
      </c>
      <c r="D349" s="6" t="s">
        <v>36</v>
      </c>
      <c r="E349" s="11" t="s">
        <v>47</v>
      </c>
      <c r="F349" s="11" t="s">
        <v>390</v>
      </c>
      <c r="G349" s="11" t="s">
        <v>396</v>
      </c>
      <c r="H349" s="18">
        <v>13.4</v>
      </c>
      <c r="I349" s="5" t="s">
        <v>52</v>
      </c>
      <c r="J349" s="19">
        <v>13</v>
      </c>
      <c r="K349" s="5" t="s">
        <v>49</v>
      </c>
      <c r="L349" s="5" t="s">
        <v>53</v>
      </c>
      <c r="M349" s="23" t="s">
        <v>391</v>
      </c>
      <c r="N349" s="25"/>
      <c r="O349" s="25"/>
      <c r="P349" s="25"/>
      <c r="Q349" s="17" t="s">
        <v>43</v>
      </c>
    </row>
    <row r="350" spans="2:17">
      <c r="B350" s="11" t="s">
        <v>55</v>
      </c>
      <c r="D350" s="6" t="s">
        <v>36</v>
      </c>
      <c r="E350" s="11" t="s">
        <v>47</v>
      </c>
      <c r="F350" s="11" t="s">
        <v>390</v>
      </c>
      <c r="G350" s="11" t="s">
        <v>397</v>
      </c>
      <c r="H350" s="18">
        <v>13.4</v>
      </c>
      <c r="I350" s="5" t="s">
        <v>52</v>
      </c>
      <c r="J350" s="19">
        <v>13</v>
      </c>
      <c r="K350" s="5" t="s">
        <v>49</v>
      </c>
      <c r="L350" s="5" t="s">
        <v>53</v>
      </c>
      <c r="M350" s="23" t="s">
        <v>391</v>
      </c>
      <c r="N350" s="25"/>
      <c r="O350" s="25"/>
      <c r="P350" s="25"/>
      <c r="Q350" s="17" t="s">
        <v>43</v>
      </c>
    </row>
    <row r="351" spans="2:17">
      <c r="B351" s="11" t="s">
        <v>55</v>
      </c>
      <c r="D351" s="6" t="s">
        <v>36</v>
      </c>
      <c r="E351" s="11" t="s">
        <v>47</v>
      </c>
      <c r="F351" s="11" t="s">
        <v>390</v>
      </c>
      <c r="G351" s="11" t="s">
        <v>398</v>
      </c>
      <c r="H351" s="18">
        <v>13.4</v>
      </c>
      <c r="I351" s="5" t="s">
        <v>52</v>
      </c>
      <c r="J351" s="19">
        <v>13</v>
      </c>
      <c r="K351" s="5" t="s">
        <v>49</v>
      </c>
      <c r="L351" s="5" t="s">
        <v>53</v>
      </c>
      <c r="M351" s="23" t="s">
        <v>391</v>
      </c>
      <c r="N351" s="25"/>
      <c r="O351" s="25"/>
      <c r="P351" s="25"/>
      <c r="Q351" s="17" t="s">
        <v>43</v>
      </c>
    </row>
    <row r="352" spans="2:17">
      <c r="B352" s="11" t="s">
        <v>55</v>
      </c>
      <c r="D352" s="6" t="s">
        <v>36</v>
      </c>
      <c r="E352" s="11" t="s">
        <v>47</v>
      </c>
      <c r="F352" s="11" t="s">
        <v>390</v>
      </c>
      <c r="G352" s="11" t="s">
        <v>399</v>
      </c>
      <c r="H352" s="18">
        <v>13.4</v>
      </c>
      <c r="I352" s="5" t="s">
        <v>52</v>
      </c>
      <c r="J352" s="19">
        <v>13</v>
      </c>
      <c r="K352" s="5" t="s">
        <v>49</v>
      </c>
      <c r="L352" s="5" t="s">
        <v>53</v>
      </c>
      <c r="M352" s="23" t="s">
        <v>391</v>
      </c>
      <c r="N352" s="25"/>
      <c r="O352" s="25"/>
      <c r="P352" s="25"/>
      <c r="Q352" s="17" t="s">
        <v>43</v>
      </c>
    </row>
    <row r="353" spans="2:17">
      <c r="B353" s="11" t="s">
        <v>55</v>
      </c>
      <c r="D353" s="6" t="s">
        <v>36</v>
      </c>
      <c r="E353" s="11" t="s">
        <v>47</v>
      </c>
      <c r="F353" s="11" t="s">
        <v>390</v>
      </c>
      <c r="G353" s="11" t="s">
        <v>400</v>
      </c>
      <c r="H353" s="18">
        <v>13.4</v>
      </c>
      <c r="I353" s="5" t="s">
        <v>52</v>
      </c>
      <c r="J353" s="19">
        <v>13</v>
      </c>
      <c r="K353" s="5" t="s">
        <v>49</v>
      </c>
      <c r="L353" s="5" t="s">
        <v>53</v>
      </c>
      <c r="M353" s="23" t="s">
        <v>391</v>
      </c>
      <c r="N353" s="25"/>
      <c r="O353" s="25"/>
      <c r="P353" s="25"/>
      <c r="Q353" s="17" t="s">
        <v>43</v>
      </c>
    </row>
    <row r="354" spans="2:17">
      <c r="B354" s="11" t="s">
        <v>55</v>
      </c>
      <c r="D354" s="6" t="s">
        <v>36</v>
      </c>
      <c r="E354" s="11" t="s">
        <v>47</v>
      </c>
      <c r="F354" s="11" t="s">
        <v>390</v>
      </c>
      <c r="G354" s="11" t="s">
        <v>401</v>
      </c>
      <c r="H354" s="18">
        <v>13.4</v>
      </c>
      <c r="I354" s="5" t="s">
        <v>52</v>
      </c>
      <c r="J354" s="19">
        <v>13</v>
      </c>
      <c r="K354" s="5" t="s">
        <v>49</v>
      </c>
      <c r="L354" s="5" t="s">
        <v>53</v>
      </c>
      <c r="M354" s="23" t="s">
        <v>391</v>
      </c>
      <c r="N354" s="25"/>
      <c r="O354" s="25"/>
      <c r="P354" s="25"/>
      <c r="Q354" s="17" t="s">
        <v>43</v>
      </c>
    </row>
    <row r="355" spans="2:17">
      <c r="B355" s="11" t="s">
        <v>55</v>
      </c>
      <c r="D355" s="6" t="s">
        <v>36</v>
      </c>
      <c r="E355" s="11" t="s">
        <v>47</v>
      </c>
      <c r="F355" s="11" t="s">
        <v>390</v>
      </c>
      <c r="G355" s="11" t="s">
        <v>402</v>
      </c>
      <c r="H355" s="18">
        <v>13.4</v>
      </c>
      <c r="I355" s="5" t="s">
        <v>52</v>
      </c>
      <c r="J355" s="19">
        <v>13</v>
      </c>
      <c r="K355" s="5" t="s">
        <v>49</v>
      </c>
      <c r="L355" s="5" t="s">
        <v>53</v>
      </c>
      <c r="M355" s="23" t="s">
        <v>391</v>
      </c>
      <c r="N355" s="25"/>
      <c r="O355" s="25"/>
      <c r="P355" s="25"/>
      <c r="Q355" s="17" t="s">
        <v>43</v>
      </c>
    </row>
    <row r="356" spans="2:17">
      <c r="B356" s="11" t="s">
        <v>55</v>
      </c>
      <c r="D356" s="6" t="s">
        <v>36</v>
      </c>
      <c r="E356" s="11" t="s">
        <v>47</v>
      </c>
      <c r="F356" s="11" t="s">
        <v>390</v>
      </c>
      <c r="G356" s="11" t="s">
        <v>403</v>
      </c>
      <c r="H356" s="18">
        <v>13.4</v>
      </c>
      <c r="I356" s="5" t="s">
        <v>52</v>
      </c>
      <c r="J356" s="19">
        <v>13</v>
      </c>
      <c r="K356" s="5" t="s">
        <v>49</v>
      </c>
      <c r="L356" s="5" t="s">
        <v>53</v>
      </c>
      <c r="M356" s="23" t="s">
        <v>391</v>
      </c>
      <c r="N356" s="25"/>
      <c r="O356" s="25"/>
      <c r="P356" s="25"/>
      <c r="Q356" s="17" t="s">
        <v>43</v>
      </c>
    </row>
    <row r="357" spans="2:17">
      <c r="B357" s="11" t="s">
        <v>55</v>
      </c>
      <c r="D357" s="6" t="s">
        <v>36</v>
      </c>
      <c r="E357" s="11" t="s">
        <v>47</v>
      </c>
      <c r="F357" s="11" t="s">
        <v>390</v>
      </c>
      <c r="G357" s="11" t="s">
        <v>404</v>
      </c>
      <c r="H357" s="18">
        <v>13.4</v>
      </c>
      <c r="I357" s="5" t="s">
        <v>52</v>
      </c>
      <c r="J357" s="19">
        <v>13</v>
      </c>
      <c r="K357" s="5" t="s">
        <v>49</v>
      </c>
      <c r="L357" s="5" t="s">
        <v>53</v>
      </c>
      <c r="M357" s="23" t="s">
        <v>391</v>
      </c>
      <c r="N357" s="25"/>
      <c r="O357" s="25"/>
      <c r="P357" s="25"/>
      <c r="Q357" s="17" t="s">
        <v>43</v>
      </c>
    </row>
    <row r="358" spans="2:17">
      <c r="B358" s="11" t="s">
        <v>55</v>
      </c>
      <c r="D358" s="6" t="s">
        <v>36</v>
      </c>
      <c r="E358" s="11" t="s">
        <v>47</v>
      </c>
      <c r="F358" s="11" t="s">
        <v>390</v>
      </c>
      <c r="G358" s="11" t="s">
        <v>405</v>
      </c>
      <c r="H358" s="18">
        <v>13.4</v>
      </c>
      <c r="I358" s="5" t="s">
        <v>52</v>
      </c>
      <c r="J358" s="19">
        <v>13</v>
      </c>
      <c r="K358" s="5" t="s">
        <v>49</v>
      </c>
      <c r="L358" s="5" t="s">
        <v>53</v>
      </c>
      <c r="M358" s="23" t="s">
        <v>391</v>
      </c>
      <c r="N358" s="25"/>
      <c r="O358" s="25"/>
      <c r="P358" s="25"/>
      <c r="Q358" s="17" t="s">
        <v>43</v>
      </c>
    </row>
    <row r="359" spans="2:17">
      <c r="B359" s="11" t="s">
        <v>55</v>
      </c>
      <c r="D359" s="6" t="s">
        <v>36</v>
      </c>
      <c r="E359" s="11" t="s">
        <v>47</v>
      </c>
      <c r="F359" s="11" t="s">
        <v>390</v>
      </c>
      <c r="G359" s="11" t="s">
        <v>406</v>
      </c>
      <c r="H359" s="18">
        <v>13.4</v>
      </c>
      <c r="I359" s="5" t="s">
        <v>52</v>
      </c>
      <c r="J359" s="19">
        <v>13</v>
      </c>
      <c r="K359" s="5" t="s">
        <v>49</v>
      </c>
      <c r="L359" s="5" t="s">
        <v>53</v>
      </c>
      <c r="M359" s="23" t="s">
        <v>391</v>
      </c>
      <c r="N359" s="25"/>
      <c r="O359" s="25"/>
      <c r="P359" s="25"/>
      <c r="Q359" s="17" t="s">
        <v>43</v>
      </c>
    </row>
    <row r="360" spans="2:17">
      <c r="B360" s="11" t="s">
        <v>55</v>
      </c>
      <c r="D360" s="6" t="s">
        <v>36</v>
      </c>
      <c r="E360" s="11" t="s">
        <v>47</v>
      </c>
      <c r="F360" s="11" t="s">
        <v>390</v>
      </c>
      <c r="G360" s="11" t="s">
        <v>407</v>
      </c>
      <c r="H360" s="18">
        <v>13.4</v>
      </c>
      <c r="I360" s="5" t="s">
        <v>52</v>
      </c>
      <c r="J360" s="19">
        <v>13</v>
      </c>
      <c r="K360" s="5" t="s">
        <v>49</v>
      </c>
      <c r="L360" s="5" t="s">
        <v>53</v>
      </c>
      <c r="M360" s="23" t="s">
        <v>391</v>
      </c>
      <c r="N360" s="25"/>
      <c r="O360" s="25"/>
      <c r="P360" s="25"/>
      <c r="Q360" s="17" t="s">
        <v>43</v>
      </c>
    </row>
    <row r="361" spans="2:17">
      <c r="B361" s="11" t="s">
        <v>55</v>
      </c>
      <c r="D361" s="6" t="s">
        <v>36</v>
      </c>
      <c r="E361" s="11" t="s">
        <v>47</v>
      </c>
      <c r="F361" s="11" t="s">
        <v>390</v>
      </c>
      <c r="G361" s="11" t="s">
        <v>408</v>
      </c>
      <c r="H361" s="18">
        <v>13.4</v>
      </c>
      <c r="I361" s="5" t="s">
        <v>52</v>
      </c>
      <c r="J361" s="19">
        <v>13</v>
      </c>
      <c r="K361" s="5" t="s">
        <v>49</v>
      </c>
      <c r="L361" s="5" t="s">
        <v>53</v>
      </c>
      <c r="M361" s="23" t="s">
        <v>391</v>
      </c>
      <c r="N361" s="25"/>
      <c r="O361" s="25"/>
      <c r="P361" s="25"/>
      <c r="Q361" s="17" t="s">
        <v>43</v>
      </c>
    </row>
    <row r="362" spans="2:17">
      <c r="B362" s="11" t="s">
        <v>55</v>
      </c>
      <c r="D362" s="6" t="s">
        <v>36</v>
      </c>
      <c r="E362" s="11" t="s">
        <v>47</v>
      </c>
      <c r="F362" s="11" t="s">
        <v>390</v>
      </c>
      <c r="G362" s="11" t="s">
        <v>409</v>
      </c>
      <c r="H362" s="18">
        <v>13.4</v>
      </c>
      <c r="I362" s="5" t="s">
        <v>52</v>
      </c>
      <c r="J362" s="19">
        <v>13</v>
      </c>
      <c r="K362" s="5" t="s">
        <v>49</v>
      </c>
      <c r="L362" s="5" t="s">
        <v>53</v>
      </c>
      <c r="M362" s="23" t="s">
        <v>391</v>
      </c>
      <c r="N362" s="25"/>
      <c r="O362" s="25"/>
      <c r="P362" s="25"/>
      <c r="Q362" s="17" t="s">
        <v>43</v>
      </c>
    </row>
    <row r="363" spans="2:17">
      <c r="B363" s="11" t="s">
        <v>55</v>
      </c>
      <c r="D363" s="6" t="s">
        <v>36</v>
      </c>
      <c r="E363" s="11" t="s">
        <v>47</v>
      </c>
      <c r="F363" s="11" t="s">
        <v>390</v>
      </c>
      <c r="G363" s="11" t="s">
        <v>410</v>
      </c>
      <c r="H363" s="18">
        <v>13.4</v>
      </c>
      <c r="I363" s="5" t="s">
        <v>52</v>
      </c>
      <c r="J363" s="19">
        <v>13</v>
      </c>
      <c r="K363" s="5" t="s">
        <v>49</v>
      </c>
      <c r="L363" s="5" t="s">
        <v>53</v>
      </c>
      <c r="M363" s="23" t="s">
        <v>391</v>
      </c>
      <c r="N363" s="25"/>
      <c r="O363" s="25"/>
      <c r="P363" s="25"/>
      <c r="Q363" s="17" t="s">
        <v>43</v>
      </c>
    </row>
    <row r="364" spans="2:17">
      <c r="B364" s="11" t="s">
        <v>55</v>
      </c>
      <c r="D364" s="6" t="s">
        <v>36</v>
      </c>
      <c r="E364" s="11" t="s">
        <v>47</v>
      </c>
      <c r="F364" s="11" t="s">
        <v>390</v>
      </c>
      <c r="G364" s="11" t="s">
        <v>411</v>
      </c>
      <c r="H364" s="18">
        <v>13.4</v>
      </c>
      <c r="I364" s="5" t="s">
        <v>52</v>
      </c>
      <c r="J364" s="19">
        <v>13</v>
      </c>
      <c r="K364" s="5" t="s">
        <v>49</v>
      </c>
      <c r="L364" s="5" t="s">
        <v>53</v>
      </c>
      <c r="M364" s="23" t="s">
        <v>391</v>
      </c>
      <c r="N364" s="25"/>
      <c r="O364" s="25"/>
      <c r="P364" s="25"/>
      <c r="Q364" s="17" t="s">
        <v>43</v>
      </c>
    </row>
    <row r="365" spans="2:17">
      <c r="B365" s="11" t="s">
        <v>55</v>
      </c>
      <c r="D365" s="6" t="s">
        <v>36</v>
      </c>
      <c r="E365" s="11" t="s">
        <v>47</v>
      </c>
      <c r="F365" s="11" t="s">
        <v>390</v>
      </c>
      <c r="G365" s="11" t="s">
        <v>412</v>
      </c>
      <c r="H365" s="18">
        <v>13.4</v>
      </c>
      <c r="I365" s="5" t="s">
        <v>52</v>
      </c>
      <c r="J365" s="19">
        <v>13</v>
      </c>
      <c r="K365" s="5" t="s">
        <v>49</v>
      </c>
      <c r="L365" s="5" t="s">
        <v>53</v>
      </c>
      <c r="M365" s="23" t="s">
        <v>391</v>
      </c>
      <c r="N365" s="25"/>
      <c r="O365" s="25"/>
      <c r="P365" s="25"/>
      <c r="Q365" s="17" t="s">
        <v>43</v>
      </c>
    </row>
    <row r="366" spans="2:17">
      <c r="B366" s="11" t="s">
        <v>55</v>
      </c>
      <c r="D366" s="6" t="s">
        <v>36</v>
      </c>
      <c r="E366" s="11" t="s">
        <v>47</v>
      </c>
      <c r="F366" s="11" t="s">
        <v>390</v>
      </c>
      <c r="G366" s="11" t="s">
        <v>413</v>
      </c>
      <c r="H366" s="18">
        <v>13.4</v>
      </c>
      <c r="I366" s="5" t="s">
        <v>52</v>
      </c>
      <c r="J366" s="19">
        <v>13</v>
      </c>
      <c r="K366" s="5" t="s">
        <v>49</v>
      </c>
      <c r="L366" s="5" t="s">
        <v>53</v>
      </c>
      <c r="M366" s="23" t="s">
        <v>391</v>
      </c>
      <c r="N366" s="25"/>
      <c r="O366" s="25"/>
      <c r="P366" s="25"/>
      <c r="Q366" s="17" t="s">
        <v>43</v>
      </c>
    </row>
    <row r="367" spans="2:17">
      <c r="B367" s="11" t="s">
        <v>55</v>
      </c>
      <c r="D367" s="6" t="s">
        <v>36</v>
      </c>
      <c r="E367" s="11" t="s">
        <v>47</v>
      </c>
      <c r="F367" s="11" t="s">
        <v>390</v>
      </c>
      <c r="G367" s="11" t="s">
        <v>414</v>
      </c>
      <c r="H367" s="18">
        <v>13.4</v>
      </c>
      <c r="I367" s="5" t="s">
        <v>52</v>
      </c>
      <c r="J367" s="19">
        <v>13</v>
      </c>
      <c r="K367" s="5" t="s">
        <v>49</v>
      </c>
      <c r="L367" s="5" t="s">
        <v>53</v>
      </c>
      <c r="M367" s="23" t="s">
        <v>391</v>
      </c>
      <c r="N367" s="25"/>
      <c r="O367" s="25"/>
      <c r="P367" s="25"/>
      <c r="Q367" s="17" t="s">
        <v>43</v>
      </c>
    </row>
    <row r="368" spans="2:17">
      <c r="B368" s="11" t="s">
        <v>55</v>
      </c>
      <c r="D368" s="6" t="s">
        <v>36</v>
      </c>
      <c r="E368" s="11" t="s">
        <v>47</v>
      </c>
      <c r="F368" s="11" t="s">
        <v>390</v>
      </c>
      <c r="G368" s="11" t="s">
        <v>415</v>
      </c>
      <c r="H368" s="18">
        <v>13.4</v>
      </c>
      <c r="I368" s="5" t="s">
        <v>52</v>
      </c>
      <c r="J368" s="19">
        <v>13</v>
      </c>
      <c r="K368" s="5" t="s">
        <v>49</v>
      </c>
      <c r="L368" s="5" t="s">
        <v>53</v>
      </c>
      <c r="M368" s="23" t="s">
        <v>391</v>
      </c>
      <c r="N368" s="25"/>
      <c r="O368" s="25"/>
      <c r="P368" s="25"/>
      <c r="Q368" s="17" t="s">
        <v>43</v>
      </c>
    </row>
    <row r="369" spans="2:17">
      <c r="B369" s="11" t="s">
        <v>55</v>
      </c>
      <c r="D369" s="6" t="s">
        <v>36</v>
      </c>
      <c r="E369" s="11" t="s">
        <v>47</v>
      </c>
      <c r="F369" s="11" t="s">
        <v>390</v>
      </c>
      <c r="G369" s="11" t="s">
        <v>416</v>
      </c>
      <c r="H369" s="18">
        <v>13.4</v>
      </c>
      <c r="I369" s="5" t="s">
        <v>52</v>
      </c>
      <c r="J369" s="19">
        <v>13</v>
      </c>
      <c r="K369" s="5" t="s">
        <v>49</v>
      </c>
      <c r="L369" s="5" t="s">
        <v>53</v>
      </c>
      <c r="M369" s="23" t="s">
        <v>391</v>
      </c>
      <c r="N369" s="25"/>
      <c r="O369" s="25"/>
      <c r="P369" s="25"/>
      <c r="Q369" s="17" t="s">
        <v>43</v>
      </c>
    </row>
    <row r="370" spans="2:17">
      <c r="B370" s="11" t="s">
        <v>55</v>
      </c>
      <c r="D370" s="6" t="s">
        <v>36</v>
      </c>
      <c r="E370" s="11" t="s">
        <v>47</v>
      </c>
      <c r="F370" s="11" t="s">
        <v>390</v>
      </c>
      <c r="G370" s="11" t="s">
        <v>417</v>
      </c>
      <c r="H370" s="18">
        <v>13.4</v>
      </c>
      <c r="I370" s="5" t="s">
        <v>52</v>
      </c>
      <c r="J370" s="19">
        <v>13</v>
      </c>
      <c r="K370" s="5" t="s">
        <v>49</v>
      </c>
      <c r="L370" s="5" t="s">
        <v>53</v>
      </c>
      <c r="M370" s="23" t="s">
        <v>391</v>
      </c>
      <c r="N370" s="25"/>
      <c r="O370" s="25"/>
      <c r="P370" s="25"/>
      <c r="Q370" s="17" t="s">
        <v>43</v>
      </c>
    </row>
    <row r="371" spans="2:17">
      <c r="B371" s="11" t="s">
        <v>55</v>
      </c>
      <c r="D371" s="6" t="s">
        <v>36</v>
      </c>
      <c r="E371" s="11" t="s">
        <v>47</v>
      </c>
      <c r="F371" s="11" t="s">
        <v>390</v>
      </c>
      <c r="G371" s="11" t="s">
        <v>418</v>
      </c>
      <c r="H371" s="18">
        <v>13.4</v>
      </c>
      <c r="I371" s="5" t="s">
        <v>52</v>
      </c>
      <c r="J371" s="19">
        <v>13</v>
      </c>
      <c r="K371" s="5" t="s">
        <v>49</v>
      </c>
      <c r="L371" s="5" t="s">
        <v>53</v>
      </c>
      <c r="M371" s="23" t="s">
        <v>391</v>
      </c>
      <c r="N371" s="25"/>
      <c r="O371" s="25"/>
      <c r="P371" s="25"/>
      <c r="Q371" s="17" t="s">
        <v>43</v>
      </c>
    </row>
    <row r="372" spans="2:17">
      <c r="B372" s="11" t="s">
        <v>55</v>
      </c>
      <c r="D372" s="6" t="s">
        <v>36</v>
      </c>
      <c r="E372" s="11" t="s">
        <v>47</v>
      </c>
      <c r="F372" s="11" t="s">
        <v>390</v>
      </c>
      <c r="G372" s="11" t="s">
        <v>419</v>
      </c>
      <c r="H372" s="18">
        <v>13.4</v>
      </c>
      <c r="I372" s="5" t="s">
        <v>52</v>
      </c>
      <c r="J372" s="19">
        <v>13</v>
      </c>
      <c r="K372" s="5" t="s">
        <v>49</v>
      </c>
      <c r="L372" s="5" t="s">
        <v>53</v>
      </c>
      <c r="M372" s="23" t="s">
        <v>391</v>
      </c>
      <c r="N372" s="25"/>
      <c r="O372" s="25"/>
      <c r="P372" s="25"/>
      <c r="Q372" s="17" t="s">
        <v>43</v>
      </c>
    </row>
    <row r="373" spans="2:17">
      <c r="B373" s="11" t="s">
        <v>55</v>
      </c>
      <c r="D373" s="6" t="s">
        <v>36</v>
      </c>
      <c r="E373" s="11" t="s">
        <v>47</v>
      </c>
      <c r="F373" s="11" t="s">
        <v>390</v>
      </c>
      <c r="G373" s="11" t="s">
        <v>420</v>
      </c>
      <c r="H373" s="18">
        <v>13.4</v>
      </c>
      <c r="I373" s="5" t="s">
        <v>52</v>
      </c>
      <c r="J373" s="19">
        <v>13</v>
      </c>
      <c r="K373" s="5" t="s">
        <v>49</v>
      </c>
      <c r="L373" s="5" t="s">
        <v>53</v>
      </c>
      <c r="M373" s="23" t="s">
        <v>391</v>
      </c>
      <c r="N373" s="25"/>
      <c r="O373" s="25"/>
      <c r="P373" s="25"/>
      <c r="Q373" s="17" t="s">
        <v>43</v>
      </c>
    </row>
    <row r="374" spans="2:17">
      <c r="B374" s="11" t="s">
        <v>55</v>
      </c>
      <c r="D374" s="6" t="s">
        <v>36</v>
      </c>
      <c r="E374" s="11" t="s">
        <v>47</v>
      </c>
      <c r="F374" s="11" t="s">
        <v>390</v>
      </c>
      <c r="G374" s="11" t="s">
        <v>421</v>
      </c>
      <c r="H374" s="18">
        <v>13.4</v>
      </c>
      <c r="I374" s="5" t="s">
        <v>52</v>
      </c>
      <c r="J374" s="19">
        <v>13</v>
      </c>
      <c r="K374" s="5" t="s">
        <v>49</v>
      </c>
      <c r="L374" s="5" t="s">
        <v>53</v>
      </c>
      <c r="M374" s="23" t="s">
        <v>391</v>
      </c>
      <c r="N374" s="25"/>
      <c r="O374" s="25"/>
      <c r="P374" s="25"/>
      <c r="Q374" s="17" t="s">
        <v>43</v>
      </c>
    </row>
    <row r="375" spans="2:17">
      <c r="B375" s="11" t="s">
        <v>55</v>
      </c>
      <c r="D375" s="6" t="s">
        <v>36</v>
      </c>
      <c r="E375" s="11" t="s">
        <v>47</v>
      </c>
      <c r="F375" s="11" t="s">
        <v>390</v>
      </c>
      <c r="G375" s="11" t="s">
        <v>422</v>
      </c>
      <c r="H375" s="18">
        <v>13.4</v>
      </c>
      <c r="I375" s="5" t="s">
        <v>52</v>
      </c>
      <c r="J375" s="19">
        <v>13</v>
      </c>
      <c r="K375" s="5" t="s">
        <v>49</v>
      </c>
      <c r="L375" s="5" t="s">
        <v>53</v>
      </c>
      <c r="M375" s="23" t="s">
        <v>391</v>
      </c>
      <c r="N375" s="25"/>
      <c r="O375" s="25"/>
      <c r="P375" s="25"/>
      <c r="Q375" s="17" t="s">
        <v>43</v>
      </c>
    </row>
    <row r="376" spans="2:17">
      <c r="B376" s="11" t="s">
        <v>55</v>
      </c>
      <c r="D376" s="6" t="s">
        <v>36</v>
      </c>
      <c r="E376" s="11" t="s">
        <v>47</v>
      </c>
      <c r="F376" s="11" t="s">
        <v>390</v>
      </c>
      <c r="G376" s="11" t="s">
        <v>423</v>
      </c>
      <c r="H376" s="18">
        <v>13.4</v>
      </c>
      <c r="I376" s="5" t="s">
        <v>52</v>
      </c>
      <c r="J376" s="19">
        <v>13</v>
      </c>
      <c r="K376" s="5" t="s">
        <v>49</v>
      </c>
      <c r="L376" s="5" t="s">
        <v>53</v>
      </c>
      <c r="M376" s="23" t="s">
        <v>391</v>
      </c>
      <c r="N376" s="25"/>
      <c r="O376" s="25"/>
      <c r="P376" s="25"/>
      <c r="Q376" s="17" t="s">
        <v>43</v>
      </c>
    </row>
    <row r="377" spans="2:17">
      <c r="B377" s="11" t="s">
        <v>55</v>
      </c>
      <c r="D377" s="6" t="s">
        <v>36</v>
      </c>
      <c r="E377" s="11" t="s">
        <v>47</v>
      </c>
      <c r="F377" s="11" t="s">
        <v>390</v>
      </c>
      <c r="G377" s="11" t="s">
        <v>424</v>
      </c>
      <c r="H377" s="18">
        <v>13.4</v>
      </c>
      <c r="I377" s="5" t="s">
        <v>52</v>
      </c>
      <c r="J377" s="19">
        <v>13</v>
      </c>
      <c r="K377" s="5" t="s">
        <v>49</v>
      </c>
      <c r="L377" s="5" t="s">
        <v>53</v>
      </c>
      <c r="M377" s="23" t="s">
        <v>391</v>
      </c>
      <c r="N377" s="25"/>
      <c r="O377" s="25"/>
      <c r="P377" s="25"/>
      <c r="Q377" s="17" t="s">
        <v>43</v>
      </c>
    </row>
    <row r="378" spans="2:17">
      <c r="B378" s="11" t="s">
        <v>55</v>
      </c>
      <c r="D378" s="6" t="s">
        <v>36</v>
      </c>
      <c r="E378" s="11" t="s">
        <v>47</v>
      </c>
      <c r="F378" s="11" t="s">
        <v>390</v>
      </c>
      <c r="G378" s="11" t="s">
        <v>425</v>
      </c>
      <c r="H378" s="18">
        <v>13.4</v>
      </c>
      <c r="I378" s="5" t="s">
        <v>52</v>
      </c>
      <c r="J378" s="19">
        <v>13</v>
      </c>
      <c r="K378" s="5" t="s">
        <v>49</v>
      </c>
      <c r="L378" s="5" t="s">
        <v>53</v>
      </c>
      <c r="M378" s="23" t="s">
        <v>391</v>
      </c>
      <c r="N378" s="25"/>
      <c r="O378" s="25"/>
      <c r="P378" s="25"/>
      <c r="Q378" s="17" t="s">
        <v>43</v>
      </c>
    </row>
    <row r="379" spans="2:17">
      <c r="B379" s="11" t="s">
        <v>55</v>
      </c>
      <c r="D379" s="6" t="s">
        <v>36</v>
      </c>
      <c r="E379" s="11" t="s">
        <v>47</v>
      </c>
      <c r="F379" s="11" t="s">
        <v>390</v>
      </c>
      <c r="G379" s="11" t="s">
        <v>426</v>
      </c>
      <c r="H379" s="18">
        <v>13.4</v>
      </c>
      <c r="I379" s="5" t="s">
        <v>52</v>
      </c>
      <c r="J379" s="19">
        <v>13</v>
      </c>
      <c r="K379" s="5" t="s">
        <v>49</v>
      </c>
      <c r="L379" s="5" t="s">
        <v>53</v>
      </c>
      <c r="M379" s="23" t="s">
        <v>391</v>
      </c>
      <c r="N379" s="25"/>
      <c r="O379" s="25"/>
      <c r="P379" s="25"/>
      <c r="Q379" s="17" t="s">
        <v>43</v>
      </c>
    </row>
    <row r="380" spans="2:17">
      <c r="B380" s="11" t="s">
        <v>55</v>
      </c>
      <c r="D380" s="6" t="s">
        <v>36</v>
      </c>
      <c r="E380" s="11" t="s">
        <v>47</v>
      </c>
      <c r="F380" s="11" t="s">
        <v>390</v>
      </c>
      <c r="G380" s="11" t="s">
        <v>427</v>
      </c>
      <c r="H380" s="18">
        <v>13.4</v>
      </c>
      <c r="I380" s="5" t="s">
        <v>52</v>
      </c>
      <c r="J380" s="19">
        <v>13</v>
      </c>
      <c r="K380" s="5" t="s">
        <v>49</v>
      </c>
      <c r="L380" s="5" t="s">
        <v>53</v>
      </c>
      <c r="M380" s="23" t="s">
        <v>391</v>
      </c>
      <c r="N380" s="25"/>
      <c r="O380" s="25"/>
      <c r="P380" s="25"/>
      <c r="Q380" s="17" t="s">
        <v>43</v>
      </c>
    </row>
    <row r="381" spans="2:17">
      <c r="B381" s="11" t="s">
        <v>55</v>
      </c>
      <c r="D381" s="6" t="s">
        <v>36</v>
      </c>
      <c r="E381" s="11" t="s">
        <v>47</v>
      </c>
      <c r="F381" s="11" t="s">
        <v>390</v>
      </c>
      <c r="G381" s="11" t="s">
        <v>428</v>
      </c>
      <c r="H381" s="18">
        <v>13.4</v>
      </c>
      <c r="I381" s="5" t="s">
        <v>52</v>
      </c>
      <c r="J381" s="19">
        <v>13</v>
      </c>
      <c r="K381" s="5" t="s">
        <v>49</v>
      </c>
      <c r="L381" s="5" t="s">
        <v>53</v>
      </c>
      <c r="M381" s="23" t="s">
        <v>391</v>
      </c>
      <c r="N381" s="25"/>
      <c r="O381" s="25"/>
      <c r="P381" s="25"/>
      <c r="Q381" s="17" t="s">
        <v>43</v>
      </c>
    </row>
    <row r="382" spans="2:17">
      <c r="B382" s="11" t="s">
        <v>55</v>
      </c>
      <c r="D382" s="6" t="s">
        <v>36</v>
      </c>
      <c r="E382" s="11" t="s">
        <v>47</v>
      </c>
      <c r="F382" s="11" t="s">
        <v>390</v>
      </c>
      <c r="G382" s="11" t="s">
        <v>429</v>
      </c>
      <c r="H382" s="18">
        <v>13.4</v>
      </c>
      <c r="I382" s="5" t="s">
        <v>52</v>
      </c>
      <c r="J382" s="19">
        <v>13</v>
      </c>
      <c r="K382" s="5" t="s">
        <v>49</v>
      </c>
      <c r="L382" s="5" t="s">
        <v>53</v>
      </c>
      <c r="M382" s="23" t="s">
        <v>391</v>
      </c>
      <c r="N382" s="25"/>
      <c r="O382" s="25"/>
      <c r="P382" s="25"/>
      <c r="Q382" s="17" t="s">
        <v>43</v>
      </c>
    </row>
    <row r="383" spans="2:17">
      <c r="B383" s="11" t="s">
        <v>55</v>
      </c>
      <c r="D383" s="6" t="s">
        <v>36</v>
      </c>
      <c r="E383" s="11" t="s">
        <v>47</v>
      </c>
      <c r="F383" s="11" t="s">
        <v>390</v>
      </c>
      <c r="G383" s="11" t="s">
        <v>430</v>
      </c>
      <c r="H383" s="18">
        <v>13.4</v>
      </c>
      <c r="I383" s="5" t="s">
        <v>52</v>
      </c>
      <c r="J383" s="19">
        <v>13</v>
      </c>
      <c r="K383" s="5" t="s">
        <v>49</v>
      </c>
      <c r="L383" s="5" t="s">
        <v>53</v>
      </c>
      <c r="M383" s="23" t="s">
        <v>391</v>
      </c>
      <c r="N383" s="25"/>
      <c r="O383" s="25"/>
      <c r="P383" s="25"/>
      <c r="Q383" s="17" t="s">
        <v>43</v>
      </c>
    </row>
    <row r="384" spans="2:17">
      <c r="B384" s="11" t="s">
        <v>55</v>
      </c>
      <c r="D384" s="6" t="s">
        <v>36</v>
      </c>
      <c r="E384" s="11" t="s">
        <v>47</v>
      </c>
      <c r="F384" s="11" t="s">
        <v>390</v>
      </c>
      <c r="G384" s="11" t="s">
        <v>431</v>
      </c>
      <c r="H384" s="18">
        <v>13.4</v>
      </c>
      <c r="I384" s="5" t="s">
        <v>52</v>
      </c>
      <c r="J384" s="19">
        <v>13</v>
      </c>
      <c r="K384" s="5" t="s">
        <v>49</v>
      </c>
      <c r="L384" s="5" t="s">
        <v>53</v>
      </c>
      <c r="M384" s="23" t="s">
        <v>391</v>
      </c>
      <c r="N384" s="25"/>
      <c r="O384" s="25"/>
      <c r="P384" s="25"/>
      <c r="Q384" s="17" t="s">
        <v>43</v>
      </c>
    </row>
    <row r="386" spans="2:17">
      <c r="B386" s="11" t="s">
        <v>50</v>
      </c>
      <c r="D386" s="6" t="s">
        <v>36</v>
      </c>
      <c r="E386" s="11" t="s">
        <v>47</v>
      </c>
      <c r="F386" s="11" t="s">
        <v>432</v>
      </c>
      <c r="G386" s="11"/>
      <c r="H386" s="18">
        <v>598</v>
      </c>
      <c r="I386" s="5" t="s">
        <v>52</v>
      </c>
      <c r="J386" s="19">
        <v>676</v>
      </c>
      <c r="K386" s="5" t="s">
        <v>49</v>
      </c>
      <c r="L386" s="5" t="s">
        <v>53</v>
      </c>
      <c r="M386" s="23" t="s">
        <v>433</v>
      </c>
      <c r="N386" s="25">
        <v>10700</v>
      </c>
      <c r="O386" s="25">
        <v>4</v>
      </c>
      <c r="P386" s="25">
        <v>4</v>
      </c>
      <c r="Q386" s="17" t="s">
        <v>43</v>
      </c>
    </row>
    <row r="387" spans="2:17">
      <c r="B387" s="11" t="s">
        <v>55</v>
      </c>
      <c r="D387" s="6" t="s">
        <v>36</v>
      </c>
      <c r="E387" s="11" t="s">
        <v>47</v>
      </c>
      <c r="F387" s="11" t="s">
        <v>432</v>
      </c>
      <c r="G387" s="11" t="s">
        <v>434</v>
      </c>
      <c r="H387" s="18">
        <v>11.5</v>
      </c>
      <c r="I387" s="5" t="s">
        <v>52</v>
      </c>
      <c r="J387" s="19">
        <v>13</v>
      </c>
      <c r="K387" s="5" t="s">
        <v>49</v>
      </c>
      <c r="L387" s="5" t="s">
        <v>53</v>
      </c>
      <c r="M387" s="23" t="s">
        <v>433</v>
      </c>
      <c r="N387" s="25"/>
      <c r="O387" s="25"/>
      <c r="P387" s="25"/>
      <c r="Q387" s="17" t="s">
        <v>43</v>
      </c>
    </row>
    <row r="388" spans="2:17">
      <c r="B388" s="11" t="s">
        <v>55</v>
      </c>
      <c r="D388" s="6" t="s">
        <v>36</v>
      </c>
      <c r="E388" s="11" t="s">
        <v>47</v>
      </c>
      <c r="F388" s="11" t="s">
        <v>432</v>
      </c>
      <c r="G388" s="11" t="s">
        <v>435</v>
      </c>
      <c r="H388" s="18">
        <v>11.5</v>
      </c>
      <c r="I388" s="5" t="s">
        <v>52</v>
      </c>
      <c r="J388" s="19">
        <v>13</v>
      </c>
      <c r="K388" s="5" t="s">
        <v>49</v>
      </c>
      <c r="L388" s="5" t="s">
        <v>53</v>
      </c>
      <c r="M388" s="23" t="s">
        <v>433</v>
      </c>
      <c r="N388" s="25"/>
      <c r="O388" s="25"/>
      <c r="P388" s="25"/>
      <c r="Q388" s="17" t="s">
        <v>43</v>
      </c>
    </row>
    <row r="389" spans="2:17">
      <c r="B389" s="11" t="s">
        <v>55</v>
      </c>
      <c r="D389" s="6" t="s">
        <v>36</v>
      </c>
      <c r="E389" s="11" t="s">
        <v>47</v>
      </c>
      <c r="F389" s="11" t="s">
        <v>432</v>
      </c>
      <c r="G389" s="11" t="s">
        <v>436</v>
      </c>
      <c r="H389" s="18">
        <v>11.5</v>
      </c>
      <c r="I389" s="5" t="s">
        <v>52</v>
      </c>
      <c r="J389" s="19">
        <v>13</v>
      </c>
      <c r="K389" s="5" t="s">
        <v>49</v>
      </c>
      <c r="L389" s="5" t="s">
        <v>53</v>
      </c>
      <c r="M389" s="23" t="s">
        <v>433</v>
      </c>
      <c r="N389" s="25"/>
      <c r="O389" s="25"/>
      <c r="P389" s="25"/>
      <c r="Q389" s="17" t="s">
        <v>43</v>
      </c>
    </row>
    <row r="390" spans="2:17">
      <c r="B390" s="11" t="s">
        <v>55</v>
      </c>
      <c r="D390" s="6" t="s">
        <v>36</v>
      </c>
      <c r="E390" s="11" t="s">
        <v>47</v>
      </c>
      <c r="F390" s="11" t="s">
        <v>432</v>
      </c>
      <c r="G390" s="11" t="s">
        <v>437</v>
      </c>
      <c r="H390" s="18">
        <v>11.5</v>
      </c>
      <c r="I390" s="5" t="s">
        <v>52</v>
      </c>
      <c r="J390" s="19">
        <v>13</v>
      </c>
      <c r="K390" s="5" t="s">
        <v>49</v>
      </c>
      <c r="L390" s="5" t="s">
        <v>53</v>
      </c>
      <c r="M390" s="23" t="s">
        <v>433</v>
      </c>
      <c r="N390" s="25"/>
      <c r="O390" s="25"/>
      <c r="P390" s="25"/>
      <c r="Q390" s="17" t="s">
        <v>43</v>
      </c>
    </row>
    <row r="391" spans="2:17">
      <c r="B391" s="11" t="s">
        <v>55</v>
      </c>
      <c r="D391" s="6" t="s">
        <v>36</v>
      </c>
      <c r="E391" s="11" t="s">
        <v>47</v>
      </c>
      <c r="F391" s="11" t="s">
        <v>432</v>
      </c>
      <c r="G391" s="11" t="s">
        <v>438</v>
      </c>
      <c r="H391" s="18">
        <v>11.5</v>
      </c>
      <c r="I391" s="5" t="s">
        <v>52</v>
      </c>
      <c r="J391" s="19">
        <v>13</v>
      </c>
      <c r="K391" s="5" t="s">
        <v>49</v>
      </c>
      <c r="L391" s="5" t="s">
        <v>53</v>
      </c>
      <c r="M391" s="23" t="s">
        <v>433</v>
      </c>
      <c r="N391" s="25"/>
      <c r="O391" s="25"/>
      <c r="P391" s="25"/>
      <c r="Q391" s="17" t="s">
        <v>43</v>
      </c>
    </row>
    <row r="392" spans="2:17">
      <c r="B392" s="11" t="s">
        <v>55</v>
      </c>
      <c r="D392" s="6" t="s">
        <v>36</v>
      </c>
      <c r="E392" s="11" t="s">
        <v>47</v>
      </c>
      <c r="F392" s="11" t="s">
        <v>432</v>
      </c>
      <c r="G392" s="11" t="s">
        <v>439</v>
      </c>
      <c r="H392" s="18">
        <v>11.5</v>
      </c>
      <c r="I392" s="5" t="s">
        <v>52</v>
      </c>
      <c r="J392" s="19">
        <v>13</v>
      </c>
      <c r="K392" s="5" t="s">
        <v>49</v>
      </c>
      <c r="L392" s="5" t="s">
        <v>53</v>
      </c>
      <c r="M392" s="23" t="s">
        <v>433</v>
      </c>
      <c r="N392" s="25"/>
      <c r="O392" s="25"/>
      <c r="P392" s="25"/>
      <c r="Q392" s="17" t="s">
        <v>43</v>
      </c>
    </row>
    <row r="393" spans="2:17">
      <c r="B393" s="11" t="s">
        <v>55</v>
      </c>
      <c r="D393" s="6" t="s">
        <v>36</v>
      </c>
      <c r="E393" s="11" t="s">
        <v>47</v>
      </c>
      <c r="F393" s="11" t="s">
        <v>432</v>
      </c>
      <c r="G393" s="11" t="s">
        <v>440</v>
      </c>
      <c r="H393" s="18">
        <v>11.5</v>
      </c>
      <c r="I393" s="5" t="s">
        <v>52</v>
      </c>
      <c r="J393" s="19">
        <v>13</v>
      </c>
      <c r="K393" s="5" t="s">
        <v>49</v>
      </c>
      <c r="L393" s="5" t="s">
        <v>53</v>
      </c>
      <c r="M393" s="23" t="s">
        <v>433</v>
      </c>
      <c r="N393" s="25"/>
      <c r="O393" s="25"/>
      <c r="P393" s="25"/>
      <c r="Q393" s="17" t="s">
        <v>43</v>
      </c>
    </row>
    <row r="394" spans="2:17">
      <c r="B394" s="11" t="s">
        <v>55</v>
      </c>
      <c r="D394" s="6" t="s">
        <v>36</v>
      </c>
      <c r="E394" s="11" t="s">
        <v>47</v>
      </c>
      <c r="F394" s="11" t="s">
        <v>432</v>
      </c>
      <c r="G394" s="11" t="s">
        <v>441</v>
      </c>
      <c r="H394" s="18">
        <v>11.5</v>
      </c>
      <c r="I394" s="5" t="s">
        <v>52</v>
      </c>
      <c r="J394" s="19">
        <v>13</v>
      </c>
      <c r="K394" s="5" t="s">
        <v>49</v>
      </c>
      <c r="L394" s="5" t="s">
        <v>53</v>
      </c>
      <c r="M394" s="23" t="s">
        <v>433</v>
      </c>
      <c r="N394" s="25"/>
      <c r="O394" s="25"/>
      <c r="P394" s="25"/>
      <c r="Q394" s="17" t="s">
        <v>43</v>
      </c>
    </row>
    <row r="395" spans="2:17">
      <c r="B395" s="11" t="s">
        <v>55</v>
      </c>
      <c r="D395" s="6" t="s">
        <v>36</v>
      </c>
      <c r="E395" s="11" t="s">
        <v>47</v>
      </c>
      <c r="F395" s="11" t="s">
        <v>432</v>
      </c>
      <c r="G395" s="11" t="s">
        <v>442</v>
      </c>
      <c r="H395" s="18">
        <v>11.5</v>
      </c>
      <c r="I395" s="5" t="s">
        <v>52</v>
      </c>
      <c r="J395" s="19">
        <v>13</v>
      </c>
      <c r="K395" s="5" t="s">
        <v>49</v>
      </c>
      <c r="L395" s="5" t="s">
        <v>53</v>
      </c>
      <c r="M395" s="23" t="s">
        <v>433</v>
      </c>
      <c r="N395" s="25"/>
      <c r="O395" s="25"/>
      <c r="P395" s="25"/>
      <c r="Q395" s="17" t="s">
        <v>43</v>
      </c>
    </row>
    <row r="396" spans="2:17">
      <c r="B396" s="11" t="s">
        <v>55</v>
      </c>
      <c r="D396" s="6" t="s">
        <v>36</v>
      </c>
      <c r="E396" s="11" t="s">
        <v>47</v>
      </c>
      <c r="F396" s="11" t="s">
        <v>432</v>
      </c>
      <c r="G396" s="11" t="s">
        <v>443</v>
      </c>
      <c r="H396" s="18">
        <v>11.5</v>
      </c>
      <c r="I396" s="5" t="s">
        <v>52</v>
      </c>
      <c r="J396" s="19">
        <v>13</v>
      </c>
      <c r="K396" s="5" t="s">
        <v>49</v>
      </c>
      <c r="L396" s="5" t="s">
        <v>53</v>
      </c>
      <c r="M396" s="23" t="s">
        <v>433</v>
      </c>
      <c r="N396" s="25"/>
      <c r="O396" s="25"/>
      <c r="P396" s="25"/>
      <c r="Q396" s="17" t="s">
        <v>43</v>
      </c>
    </row>
    <row r="397" spans="2:17">
      <c r="B397" s="11" t="s">
        <v>55</v>
      </c>
      <c r="D397" s="6" t="s">
        <v>36</v>
      </c>
      <c r="E397" s="11" t="s">
        <v>47</v>
      </c>
      <c r="F397" s="11" t="s">
        <v>432</v>
      </c>
      <c r="G397" s="11" t="s">
        <v>444</v>
      </c>
      <c r="H397" s="18">
        <v>11.5</v>
      </c>
      <c r="I397" s="5" t="s">
        <v>52</v>
      </c>
      <c r="J397" s="19">
        <v>13</v>
      </c>
      <c r="K397" s="5" t="s">
        <v>49</v>
      </c>
      <c r="L397" s="5" t="s">
        <v>53</v>
      </c>
      <c r="M397" s="23" t="s">
        <v>433</v>
      </c>
      <c r="N397" s="25"/>
      <c r="O397" s="25"/>
      <c r="P397" s="25"/>
      <c r="Q397" s="17" t="s">
        <v>43</v>
      </c>
    </row>
    <row r="398" spans="2:17">
      <c r="B398" s="11" t="s">
        <v>55</v>
      </c>
      <c r="D398" s="6" t="s">
        <v>36</v>
      </c>
      <c r="E398" s="11" t="s">
        <v>47</v>
      </c>
      <c r="F398" s="11" t="s">
        <v>432</v>
      </c>
      <c r="G398" s="11" t="s">
        <v>445</v>
      </c>
      <c r="H398" s="18">
        <v>11.5</v>
      </c>
      <c r="I398" s="5" t="s">
        <v>52</v>
      </c>
      <c r="J398" s="19">
        <v>13</v>
      </c>
      <c r="K398" s="5" t="s">
        <v>49</v>
      </c>
      <c r="L398" s="5" t="s">
        <v>53</v>
      </c>
      <c r="M398" s="23" t="s">
        <v>433</v>
      </c>
      <c r="N398" s="25"/>
      <c r="O398" s="25"/>
      <c r="P398" s="25"/>
      <c r="Q398" s="17" t="s">
        <v>43</v>
      </c>
    </row>
    <row r="399" spans="2:17">
      <c r="B399" s="11" t="s">
        <v>55</v>
      </c>
      <c r="D399" s="6" t="s">
        <v>36</v>
      </c>
      <c r="E399" s="11" t="s">
        <v>47</v>
      </c>
      <c r="F399" s="11" t="s">
        <v>432</v>
      </c>
      <c r="G399" s="11" t="s">
        <v>446</v>
      </c>
      <c r="H399" s="18">
        <v>11.5</v>
      </c>
      <c r="I399" s="5" t="s">
        <v>52</v>
      </c>
      <c r="J399" s="19">
        <v>13</v>
      </c>
      <c r="K399" s="5" t="s">
        <v>49</v>
      </c>
      <c r="L399" s="5" t="s">
        <v>53</v>
      </c>
      <c r="M399" s="23" t="s">
        <v>433</v>
      </c>
      <c r="N399" s="25"/>
      <c r="O399" s="25"/>
      <c r="P399" s="25"/>
      <c r="Q399" s="17" t="s">
        <v>43</v>
      </c>
    </row>
    <row r="400" spans="2:17">
      <c r="B400" s="11" t="s">
        <v>55</v>
      </c>
      <c r="D400" s="6" t="s">
        <v>36</v>
      </c>
      <c r="E400" s="11" t="s">
        <v>47</v>
      </c>
      <c r="F400" s="11" t="s">
        <v>432</v>
      </c>
      <c r="G400" s="11" t="s">
        <v>447</v>
      </c>
      <c r="H400" s="18">
        <v>11.5</v>
      </c>
      <c r="I400" s="5" t="s">
        <v>52</v>
      </c>
      <c r="J400" s="19">
        <v>13</v>
      </c>
      <c r="K400" s="5" t="s">
        <v>49</v>
      </c>
      <c r="L400" s="5" t="s">
        <v>53</v>
      </c>
      <c r="M400" s="23" t="s">
        <v>433</v>
      </c>
      <c r="N400" s="25"/>
      <c r="O400" s="25"/>
      <c r="P400" s="25"/>
      <c r="Q400" s="17" t="s">
        <v>43</v>
      </c>
    </row>
    <row r="401" spans="2:17">
      <c r="B401" s="11" t="s">
        <v>55</v>
      </c>
      <c r="D401" s="6" t="s">
        <v>36</v>
      </c>
      <c r="E401" s="11" t="s">
        <v>47</v>
      </c>
      <c r="F401" s="11" t="s">
        <v>432</v>
      </c>
      <c r="G401" s="11" t="s">
        <v>448</v>
      </c>
      <c r="H401" s="18">
        <v>11.5</v>
      </c>
      <c r="I401" s="5" t="s">
        <v>52</v>
      </c>
      <c r="J401" s="19">
        <v>13</v>
      </c>
      <c r="K401" s="5" t="s">
        <v>49</v>
      </c>
      <c r="L401" s="5" t="s">
        <v>53</v>
      </c>
      <c r="M401" s="23" t="s">
        <v>433</v>
      </c>
      <c r="N401" s="25"/>
      <c r="O401" s="25"/>
      <c r="P401" s="25"/>
      <c r="Q401" s="17" t="s">
        <v>43</v>
      </c>
    </row>
    <row r="402" spans="2:17">
      <c r="B402" s="11" t="s">
        <v>55</v>
      </c>
      <c r="D402" s="6" t="s">
        <v>36</v>
      </c>
      <c r="E402" s="11" t="s">
        <v>47</v>
      </c>
      <c r="F402" s="11" t="s">
        <v>432</v>
      </c>
      <c r="G402" s="11" t="s">
        <v>449</v>
      </c>
      <c r="H402" s="18">
        <v>11.5</v>
      </c>
      <c r="I402" s="5" t="s">
        <v>52</v>
      </c>
      <c r="J402" s="19">
        <v>13</v>
      </c>
      <c r="K402" s="5" t="s">
        <v>49</v>
      </c>
      <c r="L402" s="5" t="s">
        <v>53</v>
      </c>
      <c r="M402" s="23" t="s">
        <v>433</v>
      </c>
      <c r="N402" s="25"/>
      <c r="O402" s="25"/>
      <c r="P402" s="25"/>
      <c r="Q402" s="17" t="s">
        <v>43</v>
      </c>
    </row>
    <row r="403" spans="2:17">
      <c r="B403" s="11" t="s">
        <v>55</v>
      </c>
      <c r="D403" s="6" t="s">
        <v>36</v>
      </c>
      <c r="E403" s="11" t="s">
        <v>47</v>
      </c>
      <c r="F403" s="11" t="s">
        <v>432</v>
      </c>
      <c r="G403" s="11" t="s">
        <v>450</v>
      </c>
      <c r="H403" s="18">
        <v>11.5</v>
      </c>
      <c r="I403" s="5" t="s">
        <v>52</v>
      </c>
      <c r="J403" s="19">
        <v>13</v>
      </c>
      <c r="K403" s="5" t="s">
        <v>49</v>
      </c>
      <c r="L403" s="5" t="s">
        <v>53</v>
      </c>
      <c r="M403" s="23" t="s">
        <v>433</v>
      </c>
      <c r="N403" s="25"/>
      <c r="O403" s="25"/>
      <c r="P403" s="25"/>
      <c r="Q403" s="17" t="s">
        <v>43</v>
      </c>
    </row>
    <row r="404" spans="2:17">
      <c r="B404" s="11" t="s">
        <v>55</v>
      </c>
      <c r="D404" s="6" t="s">
        <v>36</v>
      </c>
      <c r="E404" s="11" t="s">
        <v>47</v>
      </c>
      <c r="F404" s="11" t="s">
        <v>432</v>
      </c>
      <c r="G404" s="11" t="s">
        <v>451</v>
      </c>
      <c r="H404" s="18">
        <v>11.5</v>
      </c>
      <c r="I404" s="5" t="s">
        <v>52</v>
      </c>
      <c r="J404" s="19">
        <v>13</v>
      </c>
      <c r="K404" s="5" t="s">
        <v>49</v>
      </c>
      <c r="L404" s="5" t="s">
        <v>53</v>
      </c>
      <c r="M404" s="23" t="s">
        <v>433</v>
      </c>
      <c r="N404" s="25"/>
      <c r="O404" s="25"/>
      <c r="P404" s="25"/>
      <c r="Q404" s="17" t="s">
        <v>43</v>
      </c>
    </row>
    <row r="405" spans="2:17">
      <c r="B405" s="11" t="s">
        <v>55</v>
      </c>
      <c r="D405" s="6" t="s">
        <v>36</v>
      </c>
      <c r="E405" s="11" t="s">
        <v>47</v>
      </c>
      <c r="F405" s="11" t="s">
        <v>432</v>
      </c>
      <c r="G405" s="11" t="s">
        <v>452</v>
      </c>
      <c r="H405" s="18">
        <v>11.5</v>
      </c>
      <c r="I405" s="5" t="s">
        <v>52</v>
      </c>
      <c r="J405" s="19">
        <v>13</v>
      </c>
      <c r="K405" s="5" t="s">
        <v>49</v>
      </c>
      <c r="L405" s="5" t="s">
        <v>53</v>
      </c>
      <c r="M405" s="23" t="s">
        <v>433</v>
      </c>
      <c r="N405" s="25"/>
      <c r="O405" s="25"/>
      <c r="P405" s="25"/>
      <c r="Q405" s="17" t="s">
        <v>43</v>
      </c>
    </row>
    <row r="406" spans="2:17">
      <c r="B406" s="11" t="s">
        <v>55</v>
      </c>
      <c r="D406" s="6" t="s">
        <v>36</v>
      </c>
      <c r="E406" s="11" t="s">
        <v>47</v>
      </c>
      <c r="F406" s="11" t="s">
        <v>432</v>
      </c>
      <c r="G406" s="11" t="s">
        <v>453</v>
      </c>
      <c r="H406" s="18">
        <v>11.5</v>
      </c>
      <c r="I406" s="5" t="s">
        <v>52</v>
      </c>
      <c r="J406" s="19">
        <v>13</v>
      </c>
      <c r="K406" s="5" t="s">
        <v>49</v>
      </c>
      <c r="L406" s="5" t="s">
        <v>53</v>
      </c>
      <c r="M406" s="23" t="s">
        <v>433</v>
      </c>
      <c r="N406" s="25"/>
      <c r="O406" s="25"/>
      <c r="P406" s="25"/>
      <c r="Q406" s="17" t="s">
        <v>43</v>
      </c>
    </row>
    <row r="407" spans="2:17">
      <c r="B407" s="11" t="s">
        <v>55</v>
      </c>
      <c r="D407" s="6" t="s">
        <v>36</v>
      </c>
      <c r="E407" s="11" t="s">
        <v>47</v>
      </c>
      <c r="F407" s="11" t="s">
        <v>432</v>
      </c>
      <c r="G407" s="11" t="s">
        <v>454</v>
      </c>
      <c r="H407" s="18">
        <v>11.5</v>
      </c>
      <c r="I407" s="5" t="s">
        <v>52</v>
      </c>
      <c r="J407" s="19">
        <v>13</v>
      </c>
      <c r="K407" s="5" t="s">
        <v>49</v>
      </c>
      <c r="L407" s="5" t="s">
        <v>53</v>
      </c>
      <c r="M407" s="23" t="s">
        <v>433</v>
      </c>
      <c r="N407" s="25"/>
      <c r="O407" s="25"/>
      <c r="P407" s="25"/>
      <c r="Q407" s="17" t="s">
        <v>43</v>
      </c>
    </row>
    <row r="408" spans="2:17">
      <c r="B408" s="11" t="s">
        <v>55</v>
      </c>
      <c r="D408" s="6" t="s">
        <v>36</v>
      </c>
      <c r="E408" s="11" t="s">
        <v>47</v>
      </c>
      <c r="F408" s="11" t="s">
        <v>432</v>
      </c>
      <c r="G408" s="11" t="s">
        <v>455</v>
      </c>
      <c r="H408" s="18">
        <v>11.5</v>
      </c>
      <c r="I408" s="5" t="s">
        <v>52</v>
      </c>
      <c r="J408" s="19">
        <v>13</v>
      </c>
      <c r="K408" s="5" t="s">
        <v>49</v>
      </c>
      <c r="L408" s="5" t="s">
        <v>53</v>
      </c>
      <c r="M408" s="23" t="s">
        <v>433</v>
      </c>
      <c r="N408" s="25"/>
      <c r="O408" s="25"/>
      <c r="P408" s="25"/>
      <c r="Q408" s="17" t="s">
        <v>43</v>
      </c>
    </row>
    <row r="409" spans="2:17">
      <c r="B409" s="11" t="s">
        <v>55</v>
      </c>
      <c r="D409" s="6" t="s">
        <v>36</v>
      </c>
      <c r="E409" s="11" t="s">
        <v>47</v>
      </c>
      <c r="F409" s="11" t="s">
        <v>432</v>
      </c>
      <c r="G409" s="11" t="s">
        <v>456</v>
      </c>
      <c r="H409" s="18">
        <v>11.5</v>
      </c>
      <c r="I409" s="5" t="s">
        <v>52</v>
      </c>
      <c r="J409" s="19">
        <v>13</v>
      </c>
      <c r="K409" s="5" t="s">
        <v>49</v>
      </c>
      <c r="L409" s="5" t="s">
        <v>53</v>
      </c>
      <c r="M409" s="23" t="s">
        <v>433</v>
      </c>
      <c r="N409" s="25"/>
      <c r="O409" s="25"/>
      <c r="P409" s="25"/>
      <c r="Q409" s="17" t="s">
        <v>43</v>
      </c>
    </row>
    <row r="410" spans="2:17">
      <c r="B410" s="11" t="s">
        <v>55</v>
      </c>
      <c r="D410" s="6" t="s">
        <v>36</v>
      </c>
      <c r="E410" s="11" t="s">
        <v>47</v>
      </c>
      <c r="F410" s="11" t="s">
        <v>432</v>
      </c>
      <c r="G410" s="11" t="s">
        <v>457</v>
      </c>
      <c r="H410" s="18">
        <v>11.5</v>
      </c>
      <c r="I410" s="5" t="s">
        <v>52</v>
      </c>
      <c r="J410" s="19">
        <v>13</v>
      </c>
      <c r="K410" s="5" t="s">
        <v>49</v>
      </c>
      <c r="L410" s="5" t="s">
        <v>53</v>
      </c>
      <c r="M410" s="23" t="s">
        <v>433</v>
      </c>
      <c r="N410" s="25"/>
      <c r="O410" s="25"/>
      <c r="P410" s="25"/>
      <c r="Q410" s="17" t="s">
        <v>43</v>
      </c>
    </row>
    <row r="411" spans="2:17">
      <c r="B411" s="11" t="s">
        <v>55</v>
      </c>
      <c r="D411" s="6" t="s">
        <v>36</v>
      </c>
      <c r="E411" s="11" t="s">
        <v>47</v>
      </c>
      <c r="F411" s="11" t="s">
        <v>432</v>
      </c>
      <c r="G411" s="11" t="s">
        <v>458</v>
      </c>
      <c r="H411" s="18">
        <v>11.5</v>
      </c>
      <c r="I411" s="5" t="s">
        <v>52</v>
      </c>
      <c r="J411" s="19">
        <v>13</v>
      </c>
      <c r="K411" s="5" t="s">
        <v>49</v>
      </c>
      <c r="L411" s="5" t="s">
        <v>53</v>
      </c>
      <c r="M411" s="23" t="s">
        <v>433</v>
      </c>
      <c r="N411" s="25"/>
      <c r="O411" s="25"/>
      <c r="P411" s="25"/>
      <c r="Q411" s="17" t="s">
        <v>43</v>
      </c>
    </row>
    <row r="412" spans="2:17">
      <c r="B412" s="11" t="s">
        <v>55</v>
      </c>
      <c r="D412" s="6" t="s">
        <v>36</v>
      </c>
      <c r="E412" s="11" t="s">
        <v>47</v>
      </c>
      <c r="F412" s="11" t="s">
        <v>432</v>
      </c>
      <c r="G412" s="11" t="s">
        <v>459</v>
      </c>
      <c r="H412" s="18">
        <v>11.5</v>
      </c>
      <c r="I412" s="5" t="s">
        <v>52</v>
      </c>
      <c r="J412" s="19">
        <v>13</v>
      </c>
      <c r="K412" s="5" t="s">
        <v>49</v>
      </c>
      <c r="L412" s="5" t="s">
        <v>53</v>
      </c>
      <c r="M412" s="23" t="s">
        <v>433</v>
      </c>
      <c r="N412" s="25"/>
      <c r="O412" s="25"/>
      <c r="P412" s="25"/>
      <c r="Q412" s="17" t="s">
        <v>43</v>
      </c>
    </row>
    <row r="413" spans="2:17">
      <c r="B413" s="11" t="s">
        <v>55</v>
      </c>
      <c r="D413" s="6" t="s">
        <v>36</v>
      </c>
      <c r="E413" s="11" t="s">
        <v>47</v>
      </c>
      <c r="F413" s="11" t="s">
        <v>432</v>
      </c>
      <c r="G413" s="11" t="s">
        <v>460</v>
      </c>
      <c r="H413" s="18">
        <v>11.5</v>
      </c>
      <c r="I413" s="5" t="s">
        <v>52</v>
      </c>
      <c r="J413" s="19">
        <v>13</v>
      </c>
      <c r="K413" s="5" t="s">
        <v>49</v>
      </c>
      <c r="L413" s="5" t="s">
        <v>53</v>
      </c>
      <c r="M413" s="23" t="s">
        <v>433</v>
      </c>
      <c r="N413" s="25"/>
      <c r="O413" s="25"/>
      <c r="P413" s="25"/>
      <c r="Q413" s="17" t="s">
        <v>43</v>
      </c>
    </row>
    <row r="414" spans="2:17">
      <c r="B414" s="11" t="s">
        <v>55</v>
      </c>
      <c r="D414" s="6" t="s">
        <v>36</v>
      </c>
      <c r="E414" s="11" t="s">
        <v>47</v>
      </c>
      <c r="F414" s="11" t="s">
        <v>432</v>
      </c>
      <c r="G414" s="11" t="s">
        <v>461</v>
      </c>
      <c r="H414" s="18">
        <v>11.5</v>
      </c>
      <c r="I414" s="5" t="s">
        <v>52</v>
      </c>
      <c r="J414" s="19">
        <v>13</v>
      </c>
      <c r="K414" s="5" t="s">
        <v>49</v>
      </c>
      <c r="L414" s="5" t="s">
        <v>53</v>
      </c>
      <c r="M414" s="23" t="s">
        <v>433</v>
      </c>
      <c r="N414" s="25"/>
      <c r="O414" s="25"/>
      <c r="P414" s="25"/>
      <c r="Q414" s="17" t="s">
        <v>43</v>
      </c>
    </row>
    <row r="415" spans="2:17">
      <c r="B415" s="11" t="s">
        <v>55</v>
      </c>
      <c r="D415" s="6" t="s">
        <v>36</v>
      </c>
      <c r="E415" s="11" t="s">
        <v>47</v>
      </c>
      <c r="F415" s="11" t="s">
        <v>432</v>
      </c>
      <c r="G415" s="11" t="s">
        <v>462</v>
      </c>
      <c r="H415" s="18">
        <v>11.5</v>
      </c>
      <c r="I415" s="5" t="s">
        <v>52</v>
      </c>
      <c r="J415" s="19">
        <v>13</v>
      </c>
      <c r="K415" s="5" t="s">
        <v>49</v>
      </c>
      <c r="L415" s="5" t="s">
        <v>53</v>
      </c>
      <c r="M415" s="23" t="s">
        <v>433</v>
      </c>
      <c r="N415" s="25"/>
      <c r="O415" s="25"/>
      <c r="P415" s="25"/>
      <c r="Q415" s="17" t="s">
        <v>43</v>
      </c>
    </row>
    <row r="416" spans="2:17">
      <c r="B416" s="11" t="s">
        <v>55</v>
      </c>
      <c r="D416" s="6" t="s">
        <v>36</v>
      </c>
      <c r="E416" s="11" t="s">
        <v>47</v>
      </c>
      <c r="F416" s="11" t="s">
        <v>432</v>
      </c>
      <c r="G416" s="11" t="s">
        <v>463</v>
      </c>
      <c r="H416" s="18">
        <v>11.5</v>
      </c>
      <c r="I416" s="5" t="s">
        <v>52</v>
      </c>
      <c r="J416" s="19">
        <v>13</v>
      </c>
      <c r="K416" s="5" t="s">
        <v>49</v>
      </c>
      <c r="L416" s="5" t="s">
        <v>53</v>
      </c>
      <c r="M416" s="23" t="s">
        <v>433</v>
      </c>
      <c r="N416" s="25"/>
      <c r="O416" s="25"/>
      <c r="P416" s="25"/>
      <c r="Q416" s="17" t="s">
        <v>43</v>
      </c>
    </row>
    <row r="417" spans="2:17">
      <c r="B417" s="11" t="s">
        <v>55</v>
      </c>
      <c r="D417" s="6" t="s">
        <v>36</v>
      </c>
      <c r="E417" s="11" t="s">
        <v>47</v>
      </c>
      <c r="F417" s="11" t="s">
        <v>432</v>
      </c>
      <c r="G417" s="11" t="s">
        <v>464</v>
      </c>
      <c r="H417" s="18">
        <v>11.5</v>
      </c>
      <c r="I417" s="5" t="s">
        <v>52</v>
      </c>
      <c r="J417" s="19">
        <v>13</v>
      </c>
      <c r="K417" s="5" t="s">
        <v>49</v>
      </c>
      <c r="L417" s="5" t="s">
        <v>53</v>
      </c>
      <c r="M417" s="23" t="s">
        <v>433</v>
      </c>
      <c r="N417" s="25"/>
      <c r="O417" s="25"/>
      <c r="P417" s="25"/>
      <c r="Q417" s="17" t="s">
        <v>43</v>
      </c>
    </row>
    <row r="418" spans="2:17">
      <c r="B418" s="11" t="s">
        <v>55</v>
      </c>
      <c r="D418" s="6" t="s">
        <v>36</v>
      </c>
      <c r="E418" s="11" t="s">
        <v>47</v>
      </c>
      <c r="F418" s="11" t="s">
        <v>432</v>
      </c>
      <c r="G418" s="11" t="s">
        <v>465</v>
      </c>
      <c r="H418" s="18">
        <v>11.5</v>
      </c>
      <c r="I418" s="5" t="s">
        <v>52</v>
      </c>
      <c r="J418" s="19">
        <v>13</v>
      </c>
      <c r="K418" s="5" t="s">
        <v>49</v>
      </c>
      <c r="L418" s="5" t="s">
        <v>53</v>
      </c>
      <c r="M418" s="23" t="s">
        <v>433</v>
      </c>
      <c r="N418" s="25"/>
      <c r="O418" s="25"/>
      <c r="P418" s="25"/>
      <c r="Q418" s="17" t="s">
        <v>43</v>
      </c>
    </row>
    <row r="419" spans="2:17">
      <c r="B419" s="11" t="s">
        <v>55</v>
      </c>
      <c r="D419" s="6" t="s">
        <v>36</v>
      </c>
      <c r="E419" s="11" t="s">
        <v>47</v>
      </c>
      <c r="F419" s="11" t="s">
        <v>432</v>
      </c>
      <c r="G419" s="11" t="s">
        <v>466</v>
      </c>
      <c r="H419" s="18">
        <v>11.5</v>
      </c>
      <c r="I419" s="5" t="s">
        <v>52</v>
      </c>
      <c r="J419" s="19">
        <v>13</v>
      </c>
      <c r="K419" s="5" t="s">
        <v>49</v>
      </c>
      <c r="L419" s="5" t="s">
        <v>53</v>
      </c>
      <c r="M419" s="23" t="s">
        <v>433</v>
      </c>
      <c r="N419" s="25"/>
      <c r="O419" s="25"/>
      <c r="P419" s="25"/>
      <c r="Q419" s="17" t="s">
        <v>43</v>
      </c>
    </row>
    <row r="420" spans="2:17">
      <c r="B420" s="11" t="s">
        <v>55</v>
      </c>
      <c r="D420" s="6" t="s">
        <v>36</v>
      </c>
      <c r="E420" s="11" t="s">
        <v>47</v>
      </c>
      <c r="F420" s="11" t="s">
        <v>432</v>
      </c>
      <c r="G420" s="11" t="s">
        <v>467</v>
      </c>
      <c r="H420" s="18">
        <v>11.5</v>
      </c>
      <c r="I420" s="5" t="s">
        <v>52</v>
      </c>
      <c r="J420" s="19">
        <v>13</v>
      </c>
      <c r="K420" s="5" t="s">
        <v>49</v>
      </c>
      <c r="L420" s="5" t="s">
        <v>53</v>
      </c>
      <c r="M420" s="23" t="s">
        <v>433</v>
      </c>
      <c r="N420" s="25"/>
      <c r="O420" s="25"/>
      <c r="P420" s="25"/>
      <c r="Q420" s="17" t="s">
        <v>43</v>
      </c>
    </row>
    <row r="421" spans="2:17">
      <c r="B421" s="11" t="s">
        <v>55</v>
      </c>
      <c r="D421" s="6" t="s">
        <v>36</v>
      </c>
      <c r="E421" s="11" t="s">
        <v>47</v>
      </c>
      <c r="F421" s="11" t="s">
        <v>432</v>
      </c>
      <c r="G421" s="11" t="s">
        <v>468</v>
      </c>
      <c r="H421" s="18">
        <v>11.5</v>
      </c>
      <c r="I421" s="5" t="s">
        <v>52</v>
      </c>
      <c r="J421" s="19">
        <v>13</v>
      </c>
      <c r="K421" s="5" t="s">
        <v>49</v>
      </c>
      <c r="L421" s="5" t="s">
        <v>53</v>
      </c>
      <c r="M421" s="23" t="s">
        <v>433</v>
      </c>
      <c r="N421" s="25"/>
      <c r="O421" s="25"/>
      <c r="P421" s="25"/>
      <c r="Q421" s="17" t="s">
        <v>43</v>
      </c>
    </row>
    <row r="422" spans="2:17">
      <c r="B422" s="11" t="s">
        <v>55</v>
      </c>
      <c r="D422" s="6" t="s">
        <v>36</v>
      </c>
      <c r="E422" s="11" t="s">
        <v>47</v>
      </c>
      <c r="F422" s="11" t="s">
        <v>432</v>
      </c>
      <c r="G422" s="11" t="s">
        <v>469</v>
      </c>
      <c r="H422" s="18">
        <v>11.5</v>
      </c>
      <c r="I422" s="5" t="s">
        <v>52</v>
      </c>
      <c r="J422" s="19">
        <v>13</v>
      </c>
      <c r="K422" s="5" t="s">
        <v>49</v>
      </c>
      <c r="L422" s="5" t="s">
        <v>53</v>
      </c>
      <c r="M422" s="23" t="s">
        <v>433</v>
      </c>
      <c r="N422" s="25"/>
      <c r="O422" s="25"/>
      <c r="P422" s="25"/>
      <c r="Q422" s="17" t="s">
        <v>43</v>
      </c>
    </row>
    <row r="423" spans="2:17">
      <c r="B423" s="11" t="s">
        <v>55</v>
      </c>
      <c r="D423" s="6" t="s">
        <v>36</v>
      </c>
      <c r="E423" s="11" t="s">
        <v>47</v>
      </c>
      <c r="F423" s="11" t="s">
        <v>432</v>
      </c>
      <c r="G423" s="11" t="s">
        <v>470</v>
      </c>
      <c r="H423" s="18">
        <v>11.5</v>
      </c>
      <c r="I423" s="5" t="s">
        <v>52</v>
      </c>
      <c r="J423" s="19">
        <v>13</v>
      </c>
      <c r="K423" s="5" t="s">
        <v>49</v>
      </c>
      <c r="L423" s="5" t="s">
        <v>53</v>
      </c>
      <c r="M423" s="23" t="s">
        <v>433</v>
      </c>
      <c r="N423" s="25"/>
      <c r="O423" s="25"/>
      <c r="P423" s="25"/>
      <c r="Q423" s="17" t="s">
        <v>43</v>
      </c>
    </row>
    <row r="424" spans="2:17">
      <c r="B424" s="11" t="s">
        <v>55</v>
      </c>
      <c r="D424" s="6" t="s">
        <v>36</v>
      </c>
      <c r="E424" s="11" t="s">
        <v>47</v>
      </c>
      <c r="F424" s="11" t="s">
        <v>432</v>
      </c>
      <c r="G424" s="11" t="s">
        <v>471</v>
      </c>
      <c r="H424" s="18">
        <v>11.5</v>
      </c>
      <c r="I424" s="5" t="s">
        <v>52</v>
      </c>
      <c r="J424" s="19">
        <v>13</v>
      </c>
      <c r="K424" s="5" t="s">
        <v>49</v>
      </c>
      <c r="L424" s="5" t="s">
        <v>53</v>
      </c>
      <c r="M424" s="23" t="s">
        <v>433</v>
      </c>
      <c r="N424" s="25"/>
      <c r="O424" s="25"/>
      <c r="P424" s="25"/>
      <c r="Q424" s="17" t="s">
        <v>43</v>
      </c>
    </row>
    <row r="425" spans="2:17">
      <c r="B425" s="11" t="s">
        <v>55</v>
      </c>
      <c r="D425" s="6" t="s">
        <v>36</v>
      </c>
      <c r="E425" s="11" t="s">
        <v>47</v>
      </c>
      <c r="F425" s="11" t="s">
        <v>432</v>
      </c>
      <c r="G425" s="11" t="s">
        <v>472</v>
      </c>
      <c r="H425" s="18">
        <v>11.5</v>
      </c>
      <c r="I425" s="5" t="s">
        <v>52</v>
      </c>
      <c r="J425" s="19">
        <v>13</v>
      </c>
      <c r="K425" s="5" t="s">
        <v>49</v>
      </c>
      <c r="L425" s="5" t="s">
        <v>53</v>
      </c>
      <c r="M425" s="23" t="s">
        <v>433</v>
      </c>
      <c r="N425" s="25"/>
      <c r="O425" s="25"/>
      <c r="P425" s="25"/>
      <c r="Q425" s="17" t="s">
        <v>43</v>
      </c>
    </row>
    <row r="426" spans="2:17">
      <c r="B426" s="11" t="s">
        <v>55</v>
      </c>
      <c r="D426" s="6" t="s">
        <v>36</v>
      </c>
      <c r="E426" s="11" t="s">
        <v>47</v>
      </c>
      <c r="F426" s="11" t="s">
        <v>432</v>
      </c>
      <c r="G426" s="11" t="s">
        <v>473</v>
      </c>
      <c r="H426" s="18">
        <v>11.5</v>
      </c>
      <c r="I426" s="5" t="s">
        <v>52</v>
      </c>
      <c r="J426" s="19">
        <v>13</v>
      </c>
      <c r="K426" s="5" t="s">
        <v>49</v>
      </c>
      <c r="L426" s="5" t="s">
        <v>53</v>
      </c>
      <c r="M426" s="23" t="s">
        <v>433</v>
      </c>
      <c r="N426" s="25"/>
      <c r="O426" s="25"/>
      <c r="P426" s="25"/>
      <c r="Q426" s="17" t="s">
        <v>43</v>
      </c>
    </row>
    <row r="427" spans="2:17">
      <c r="B427" s="11" t="s">
        <v>55</v>
      </c>
      <c r="D427" s="6" t="s">
        <v>36</v>
      </c>
      <c r="E427" s="11" t="s">
        <v>47</v>
      </c>
      <c r="F427" s="11" t="s">
        <v>432</v>
      </c>
      <c r="G427" s="11" t="s">
        <v>474</v>
      </c>
      <c r="H427" s="18">
        <v>11.5</v>
      </c>
      <c r="I427" s="5" t="s">
        <v>52</v>
      </c>
      <c r="J427" s="19">
        <v>13</v>
      </c>
      <c r="K427" s="5" t="s">
        <v>49</v>
      </c>
      <c r="L427" s="5" t="s">
        <v>53</v>
      </c>
      <c r="M427" s="23" t="s">
        <v>433</v>
      </c>
      <c r="N427" s="25"/>
      <c r="O427" s="25"/>
      <c r="P427" s="25"/>
      <c r="Q427" s="17" t="s">
        <v>43</v>
      </c>
    </row>
    <row r="428" spans="2:17">
      <c r="B428" s="11" t="s">
        <v>55</v>
      </c>
      <c r="D428" s="6" t="s">
        <v>36</v>
      </c>
      <c r="E428" s="11" t="s">
        <v>47</v>
      </c>
      <c r="F428" s="11" t="s">
        <v>432</v>
      </c>
      <c r="G428" s="11" t="s">
        <v>475</v>
      </c>
      <c r="H428" s="18">
        <v>11.5</v>
      </c>
      <c r="I428" s="5" t="s">
        <v>52</v>
      </c>
      <c r="J428" s="19">
        <v>13</v>
      </c>
      <c r="K428" s="5" t="s">
        <v>49</v>
      </c>
      <c r="L428" s="5" t="s">
        <v>53</v>
      </c>
      <c r="M428" s="23" t="s">
        <v>433</v>
      </c>
      <c r="N428" s="25"/>
      <c r="O428" s="25"/>
      <c r="P428" s="25"/>
      <c r="Q428" s="17" t="s">
        <v>43</v>
      </c>
    </row>
    <row r="429" spans="2:17">
      <c r="B429" s="11" t="s">
        <v>55</v>
      </c>
      <c r="D429" s="6" t="s">
        <v>36</v>
      </c>
      <c r="E429" s="11" t="s">
        <v>47</v>
      </c>
      <c r="F429" s="11" t="s">
        <v>432</v>
      </c>
      <c r="G429" s="11" t="s">
        <v>476</v>
      </c>
      <c r="H429" s="18">
        <v>11.5</v>
      </c>
      <c r="I429" s="5" t="s">
        <v>52</v>
      </c>
      <c r="J429" s="19">
        <v>13</v>
      </c>
      <c r="K429" s="5" t="s">
        <v>49</v>
      </c>
      <c r="L429" s="5" t="s">
        <v>53</v>
      </c>
      <c r="M429" s="23" t="s">
        <v>433</v>
      </c>
      <c r="N429" s="25"/>
      <c r="O429" s="25"/>
      <c r="P429" s="25"/>
      <c r="Q429" s="17" t="s">
        <v>43</v>
      </c>
    </row>
    <row r="430" spans="2:17">
      <c r="B430" s="11" t="s">
        <v>55</v>
      </c>
      <c r="D430" s="6" t="s">
        <v>36</v>
      </c>
      <c r="E430" s="11" t="s">
        <v>47</v>
      </c>
      <c r="F430" s="11" t="s">
        <v>432</v>
      </c>
      <c r="G430" s="11" t="s">
        <v>477</v>
      </c>
      <c r="H430" s="18">
        <v>11.5</v>
      </c>
      <c r="I430" s="5" t="s">
        <v>52</v>
      </c>
      <c r="J430" s="19">
        <v>13</v>
      </c>
      <c r="K430" s="5" t="s">
        <v>49</v>
      </c>
      <c r="L430" s="5" t="s">
        <v>53</v>
      </c>
      <c r="M430" s="23" t="s">
        <v>433</v>
      </c>
      <c r="N430" s="25"/>
      <c r="O430" s="25"/>
      <c r="P430" s="25"/>
      <c r="Q430" s="17" t="s">
        <v>43</v>
      </c>
    </row>
    <row r="431" spans="2:17">
      <c r="B431" s="11" t="s">
        <v>55</v>
      </c>
      <c r="D431" s="6" t="s">
        <v>36</v>
      </c>
      <c r="E431" s="11" t="s">
        <v>47</v>
      </c>
      <c r="F431" s="11" t="s">
        <v>432</v>
      </c>
      <c r="G431" s="11" t="s">
        <v>478</v>
      </c>
      <c r="H431" s="18">
        <v>11.5</v>
      </c>
      <c r="I431" s="5" t="s">
        <v>52</v>
      </c>
      <c r="J431" s="19">
        <v>13</v>
      </c>
      <c r="K431" s="5" t="s">
        <v>49</v>
      </c>
      <c r="L431" s="5" t="s">
        <v>53</v>
      </c>
      <c r="M431" s="23" t="s">
        <v>433</v>
      </c>
      <c r="N431" s="25"/>
      <c r="O431" s="25"/>
      <c r="P431" s="25"/>
      <c r="Q431" s="17" t="s">
        <v>43</v>
      </c>
    </row>
    <row r="432" spans="2:17">
      <c r="B432" s="11" t="s">
        <v>55</v>
      </c>
      <c r="D432" s="6" t="s">
        <v>36</v>
      </c>
      <c r="E432" s="11" t="s">
        <v>47</v>
      </c>
      <c r="F432" s="11" t="s">
        <v>432</v>
      </c>
      <c r="G432" s="11" t="s">
        <v>479</v>
      </c>
      <c r="H432" s="18">
        <v>11.5</v>
      </c>
      <c r="I432" s="5" t="s">
        <v>52</v>
      </c>
      <c r="J432" s="19">
        <v>13</v>
      </c>
      <c r="K432" s="5" t="s">
        <v>49</v>
      </c>
      <c r="L432" s="5" t="s">
        <v>53</v>
      </c>
      <c r="M432" s="23" t="s">
        <v>433</v>
      </c>
      <c r="N432" s="25"/>
      <c r="O432" s="25"/>
      <c r="P432" s="25"/>
      <c r="Q432" s="17" t="s">
        <v>43</v>
      </c>
    </row>
    <row r="433" spans="2:17">
      <c r="B433" s="11" t="s">
        <v>55</v>
      </c>
      <c r="D433" s="6" t="s">
        <v>36</v>
      </c>
      <c r="E433" s="11" t="s">
        <v>47</v>
      </c>
      <c r="F433" s="11" t="s">
        <v>432</v>
      </c>
      <c r="G433" s="11" t="s">
        <v>480</v>
      </c>
      <c r="H433" s="18">
        <v>11.5</v>
      </c>
      <c r="I433" s="5" t="s">
        <v>52</v>
      </c>
      <c r="J433" s="19">
        <v>13</v>
      </c>
      <c r="K433" s="5" t="s">
        <v>49</v>
      </c>
      <c r="L433" s="5" t="s">
        <v>53</v>
      </c>
      <c r="M433" s="23" t="s">
        <v>433</v>
      </c>
      <c r="N433" s="25"/>
      <c r="O433" s="25"/>
      <c r="P433" s="25"/>
      <c r="Q433" s="17" t="s">
        <v>43</v>
      </c>
    </row>
    <row r="434" spans="2:17">
      <c r="B434" s="11" t="s">
        <v>55</v>
      </c>
      <c r="D434" s="6" t="s">
        <v>36</v>
      </c>
      <c r="E434" s="11" t="s">
        <v>47</v>
      </c>
      <c r="F434" s="11" t="s">
        <v>432</v>
      </c>
      <c r="G434" s="11" t="s">
        <v>481</v>
      </c>
      <c r="H434" s="18">
        <v>11.5</v>
      </c>
      <c r="I434" s="5" t="s">
        <v>52</v>
      </c>
      <c r="J434" s="19">
        <v>13</v>
      </c>
      <c r="K434" s="5" t="s">
        <v>49</v>
      </c>
      <c r="L434" s="5" t="s">
        <v>53</v>
      </c>
      <c r="M434" s="23" t="s">
        <v>433</v>
      </c>
      <c r="N434" s="25"/>
      <c r="O434" s="25"/>
      <c r="P434" s="25"/>
      <c r="Q434" s="17" t="s">
        <v>43</v>
      </c>
    </row>
    <row r="435" spans="2:17">
      <c r="B435" s="11" t="s">
        <v>55</v>
      </c>
      <c r="D435" s="6" t="s">
        <v>36</v>
      </c>
      <c r="E435" s="11" t="s">
        <v>47</v>
      </c>
      <c r="F435" s="11" t="s">
        <v>432</v>
      </c>
      <c r="G435" s="11" t="s">
        <v>482</v>
      </c>
      <c r="H435" s="18">
        <v>11.5</v>
      </c>
      <c r="I435" s="5" t="s">
        <v>52</v>
      </c>
      <c r="J435" s="19">
        <v>13</v>
      </c>
      <c r="K435" s="5" t="s">
        <v>49</v>
      </c>
      <c r="L435" s="5" t="s">
        <v>53</v>
      </c>
      <c r="M435" s="23" t="s">
        <v>433</v>
      </c>
      <c r="N435" s="25"/>
      <c r="O435" s="25"/>
      <c r="P435" s="25"/>
      <c r="Q435" s="17" t="s">
        <v>43</v>
      </c>
    </row>
    <row r="436" spans="2:17">
      <c r="B436" s="11" t="s">
        <v>55</v>
      </c>
      <c r="D436" s="6" t="s">
        <v>36</v>
      </c>
      <c r="E436" s="11" t="s">
        <v>47</v>
      </c>
      <c r="F436" s="11" t="s">
        <v>432</v>
      </c>
      <c r="G436" s="11" t="s">
        <v>483</v>
      </c>
      <c r="H436" s="18">
        <v>11.5</v>
      </c>
      <c r="I436" s="5" t="s">
        <v>52</v>
      </c>
      <c r="J436" s="19">
        <v>13</v>
      </c>
      <c r="K436" s="5" t="s">
        <v>49</v>
      </c>
      <c r="L436" s="5" t="s">
        <v>53</v>
      </c>
      <c r="M436" s="23" t="s">
        <v>433</v>
      </c>
      <c r="N436" s="25"/>
      <c r="O436" s="25"/>
      <c r="P436" s="25"/>
      <c r="Q436" s="17" t="s">
        <v>43</v>
      </c>
    </row>
    <row r="437" spans="2:17">
      <c r="B437" s="11" t="s">
        <v>55</v>
      </c>
      <c r="D437" s="6" t="s">
        <v>36</v>
      </c>
      <c r="E437" s="11" t="s">
        <v>47</v>
      </c>
      <c r="F437" s="11" t="s">
        <v>432</v>
      </c>
      <c r="G437" s="11" t="s">
        <v>484</v>
      </c>
      <c r="H437" s="18">
        <v>11.5</v>
      </c>
      <c r="I437" s="5" t="s">
        <v>52</v>
      </c>
      <c r="J437" s="19">
        <v>13</v>
      </c>
      <c r="K437" s="5" t="s">
        <v>49</v>
      </c>
      <c r="L437" s="5" t="s">
        <v>53</v>
      </c>
      <c r="M437" s="23" t="s">
        <v>433</v>
      </c>
      <c r="N437" s="25"/>
      <c r="O437" s="25"/>
      <c r="P437" s="25"/>
      <c r="Q437" s="17" t="s">
        <v>43</v>
      </c>
    </row>
    <row r="438" spans="2:17">
      <c r="B438" s="11" t="s">
        <v>55</v>
      </c>
      <c r="D438" s="6" t="s">
        <v>36</v>
      </c>
      <c r="E438" s="11" t="s">
        <v>47</v>
      </c>
      <c r="F438" s="11" t="s">
        <v>432</v>
      </c>
      <c r="G438" s="11" t="s">
        <v>485</v>
      </c>
      <c r="H438" s="18">
        <v>11.5</v>
      </c>
      <c r="I438" s="5" t="s">
        <v>52</v>
      </c>
      <c r="J438" s="19">
        <v>13</v>
      </c>
      <c r="K438" s="5" t="s">
        <v>49</v>
      </c>
      <c r="L438" s="5" t="s">
        <v>53</v>
      </c>
      <c r="M438" s="23" t="s">
        <v>433</v>
      </c>
      <c r="N438" s="25"/>
      <c r="O438" s="25"/>
      <c r="P438" s="25"/>
      <c r="Q438" s="17" t="s">
        <v>43</v>
      </c>
    </row>
    <row r="440" spans="2:17">
      <c r="B440" s="11" t="s">
        <v>50</v>
      </c>
      <c r="D440" s="6" t="s">
        <v>36</v>
      </c>
      <c r="E440" s="11" t="s">
        <v>47</v>
      </c>
      <c r="F440" s="11" t="s">
        <v>486</v>
      </c>
      <c r="G440" s="11"/>
      <c r="H440" s="18">
        <v>598</v>
      </c>
      <c r="I440" s="5" t="s">
        <v>52</v>
      </c>
      <c r="J440" s="19">
        <v>312</v>
      </c>
      <c r="K440" s="5" t="s">
        <v>49</v>
      </c>
      <c r="L440" s="5" t="s">
        <v>53</v>
      </c>
      <c r="M440" s="23" t="s">
        <v>487</v>
      </c>
      <c r="N440" s="25">
        <v>5800</v>
      </c>
      <c r="O440" s="25">
        <v>5</v>
      </c>
      <c r="P440" s="25">
        <v>4</v>
      </c>
      <c r="Q440" s="17" t="s">
        <v>43</v>
      </c>
    </row>
    <row r="441" spans="2:17">
      <c r="B441" s="11" t="s">
        <v>55</v>
      </c>
      <c r="D441" s="6" t="s">
        <v>36</v>
      </c>
      <c r="E441" s="11" t="s">
        <v>47</v>
      </c>
      <c r="F441" s="11" t="s">
        <v>486</v>
      </c>
      <c r="G441" s="11" t="s">
        <v>488</v>
      </c>
      <c r="H441" s="18">
        <v>11.5</v>
      </c>
      <c r="I441" s="5" t="s">
        <v>52</v>
      </c>
      <c r="J441" s="19">
        <v>13</v>
      </c>
      <c r="K441" s="5" t="s">
        <v>49</v>
      </c>
      <c r="L441" s="5" t="s">
        <v>53</v>
      </c>
      <c r="M441" s="23" t="s">
        <v>487</v>
      </c>
      <c r="N441" s="25"/>
      <c r="O441" s="25"/>
      <c r="P441" s="25"/>
      <c r="Q441" s="17" t="s">
        <v>43</v>
      </c>
    </row>
    <row r="442" spans="2:17">
      <c r="B442" s="11" t="s">
        <v>55</v>
      </c>
      <c r="D442" s="6" t="s">
        <v>36</v>
      </c>
      <c r="E442" s="11" t="s">
        <v>47</v>
      </c>
      <c r="F442" s="11" t="s">
        <v>486</v>
      </c>
      <c r="G442" s="11" t="s">
        <v>489</v>
      </c>
      <c r="H442" s="18">
        <v>11.5</v>
      </c>
      <c r="I442" s="5" t="s">
        <v>52</v>
      </c>
      <c r="J442" s="19">
        <v>13</v>
      </c>
      <c r="K442" s="5" t="s">
        <v>49</v>
      </c>
      <c r="L442" s="5" t="s">
        <v>53</v>
      </c>
      <c r="M442" s="23" t="s">
        <v>487</v>
      </c>
      <c r="N442" s="25"/>
      <c r="O442" s="25"/>
      <c r="P442" s="25"/>
      <c r="Q442" s="17" t="s">
        <v>43</v>
      </c>
    </row>
    <row r="443" spans="2:17">
      <c r="B443" s="11" t="s">
        <v>55</v>
      </c>
      <c r="D443" s="6" t="s">
        <v>36</v>
      </c>
      <c r="E443" s="11" t="s">
        <v>47</v>
      </c>
      <c r="F443" s="11" t="s">
        <v>486</v>
      </c>
      <c r="G443" s="11" t="s">
        <v>490</v>
      </c>
      <c r="H443" s="18">
        <v>11.5</v>
      </c>
      <c r="I443" s="5" t="s">
        <v>52</v>
      </c>
      <c r="J443" s="19">
        <v>13</v>
      </c>
      <c r="K443" s="5" t="s">
        <v>49</v>
      </c>
      <c r="L443" s="5" t="s">
        <v>53</v>
      </c>
      <c r="M443" s="23" t="s">
        <v>487</v>
      </c>
      <c r="N443" s="25"/>
      <c r="O443" s="25"/>
      <c r="P443" s="25"/>
      <c r="Q443" s="17" t="s">
        <v>43</v>
      </c>
    </row>
    <row r="444" spans="2:17">
      <c r="B444" s="11" t="s">
        <v>55</v>
      </c>
      <c r="D444" s="6" t="s">
        <v>36</v>
      </c>
      <c r="E444" s="11" t="s">
        <v>47</v>
      </c>
      <c r="F444" s="11" t="s">
        <v>486</v>
      </c>
      <c r="G444" s="11" t="s">
        <v>491</v>
      </c>
      <c r="H444" s="18">
        <v>11.5</v>
      </c>
      <c r="I444" s="5" t="s">
        <v>52</v>
      </c>
      <c r="J444" s="19">
        <v>13</v>
      </c>
      <c r="K444" s="5" t="s">
        <v>49</v>
      </c>
      <c r="L444" s="5" t="s">
        <v>53</v>
      </c>
      <c r="M444" s="23" t="s">
        <v>487</v>
      </c>
      <c r="N444" s="25"/>
      <c r="O444" s="25"/>
      <c r="P444" s="25"/>
      <c r="Q444" s="17" t="s">
        <v>43</v>
      </c>
    </row>
    <row r="445" spans="2:17">
      <c r="B445" s="11" t="s">
        <v>55</v>
      </c>
      <c r="D445" s="6" t="s">
        <v>36</v>
      </c>
      <c r="E445" s="11" t="s">
        <v>47</v>
      </c>
      <c r="F445" s="11" t="s">
        <v>486</v>
      </c>
      <c r="G445" s="11" t="s">
        <v>492</v>
      </c>
      <c r="H445" s="18">
        <v>11.5</v>
      </c>
      <c r="I445" s="5" t="s">
        <v>52</v>
      </c>
      <c r="J445" s="19">
        <v>13</v>
      </c>
      <c r="K445" s="5" t="s">
        <v>49</v>
      </c>
      <c r="L445" s="5" t="s">
        <v>53</v>
      </c>
      <c r="M445" s="23" t="s">
        <v>487</v>
      </c>
      <c r="N445" s="25"/>
      <c r="O445" s="25"/>
      <c r="P445" s="25"/>
      <c r="Q445" s="17" t="s">
        <v>43</v>
      </c>
    </row>
    <row r="446" spans="2:17">
      <c r="B446" s="11" t="s">
        <v>55</v>
      </c>
      <c r="D446" s="6" t="s">
        <v>36</v>
      </c>
      <c r="E446" s="11" t="s">
        <v>47</v>
      </c>
      <c r="F446" s="11" t="s">
        <v>486</v>
      </c>
      <c r="G446" s="11" t="s">
        <v>493</v>
      </c>
      <c r="H446" s="18">
        <v>11.5</v>
      </c>
      <c r="I446" s="5" t="s">
        <v>52</v>
      </c>
      <c r="J446" s="19">
        <v>13</v>
      </c>
      <c r="K446" s="5" t="s">
        <v>49</v>
      </c>
      <c r="L446" s="5" t="s">
        <v>53</v>
      </c>
      <c r="M446" s="23" t="s">
        <v>487</v>
      </c>
      <c r="N446" s="25"/>
      <c r="O446" s="25"/>
      <c r="P446" s="25"/>
      <c r="Q446" s="17" t="s">
        <v>43</v>
      </c>
    </row>
    <row r="447" spans="2:17">
      <c r="B447" s="11" t="s">
        <v>55</v>
      </c>
      <c r="D447" s="6" t="s">
        <v>36</v>
      </c>
      <c r="E447" s="11" t="s">
        <v>47</v>
      </c>
      <c r="F447" s="11" t="s">
        <v>486</v>
      </c>
      <c r="G447" s="11" t="s">
        <v>494</v>
      </c>
      <c r="H447" s="18">
        <v>11.5</v>
      </c>
      <c r="I447" s="5" t="s">
        <v>52</v>
      </c>
      <c r="J447" s="19">
        <v>13</v>
      </c>
      <c r="K447" s="5" t="s">
        <v>49</v>
      </c>
      <c r="L447" s="5" t="s">
        <v>53</v>
      </c>
      <c r="M447" s="23" t="s">
        <v>487</v>
      </c>
      <c r="N447" s="25"/>
      <c r="O447" s="25"/>
      <c r="P447" s="25"/>
      <c r="Q447" s="17" t="s">
        <v>43</v>
      </c>
    </row>
    <row r="448" spans="2:17">
      <c r="B448" s="11" t="s">
        <v>55</v>
      </c>
      <c r="D448" s="6" t="s">
        <v>36</v>
      </c>
      <c r="E448" s="11" t="s">
        <v>47</v>
      </c>
      <c r="F448" s="11" t="s">
        <v>486</v>
      </c>
      <c r="G448" s="11" t="s">
        <v>495</v>
      </c>
      <c r="H448" s="18">
        <v>11.5</v>
      </c>
      <c r="I448" s="5" t="s">
        <v>52</v>
      </c>
      <c r="J448" s="19">
        <v>13</v>
      </c>
      <c r="K448" s="5" t="s">
        <v>49</v>
      </c>
      <c r="L448" s="5" t="s">
        <v>53</v>
      </c>
      <c r="M448" s="23" t="s">
        <v>487</v>
      </c>
      <c r="N448" s="25"/>
      <c r="O448" s="25"/>
      <c r="P448" s="25"/>
      <c r="Q448" s="17" t="s">
        <v>43</v>
      </c>
    </row>
    <row r="449" spans="2:17">
      <c r="B449" s="11" t="s">
        <v>55</v>
      </c>
      <c r="D449" s="6" t="s">
        <v>36</v>
      </c>
      <c r="E449" s="11" t="s">
        <v>47</v>
      </c>
      <c r="F449" s="11" t="s">
        <v>486</v>
      </c>
      <c r="G449" s="11" t="s">
        <v>496</v>
      </c>
      <c r="H449" s="18">
        <v>11.5</v>
      </c>
      <c r="I449" s="5" t="s">
        <v>52</v>
      </c>
      <c r="J449" s="19">
        <v>13</v>
      </c>
      <c r="K449" s="5" t="s">
        <v>49</v>
      </c>
      <c r="L449" s="5" t="s">
        <v>53</v>
      </c>
      <c r="M449" s="23" t="s">
        <v>487</v>
      </c>
      <c r="N449" s="25"/>
      <c r="O449" s="25"/>
      <c r="P449" s="25"/>
      <c r="Q449" s="17" t="s">
        <v>43</v>
      </c>
    </row>
    <row r="450" spans="2:17">
      <c r="B450" s="11" t="s">
        <v>55</v>
      </c>
      <c r="D450" s="6" t="s">
        <v>36</v>
      </c>
      <c r="E450" s="11" t="s">
        <v>47</v>
      </c>
      <c r="F450" s="11" t="s">
        <v>486</v>
      </c>
      <c r="G450" s="11" t="s">
        <v>497</v>
      </c>
      <c r="H450" s="18">
        <v>11.5</v>
      </c>
      <c r="I450" s="5" t="s">
        <v>52</v>
      </c>
      <c r="J450" s="19">
        <v>13</v>
      </c>
      <c r="K450" s="5" t="s">
        <v>49</v>
      </c>
      <c r="L450" s="5" t="s">
        <v>53</v>
      </c>
      <c r="M450" s="23" t="s">
        <v>487</v>
      </c>
      <c r="N450" s="25"/>
      <c r="O450" s="25"/>
      <c r="P450" s="25"/>
      <c r="Q450" s="17" t="s">
        <v>43</v>
      </c>
    </row>
    <row r="451" spans="2:17">
      <c r="B451" s="11" t="s">
        <v>55</v>
      </c>
      <c r="D451" s="6" t="s">
        <v>36</v>
      </c>
      <c r="E451" s="11" t="s">
        <v>47</v>
      </c>
      <c r="F451" s="11" t="s">
        <v>486</v>
      </c>
      <c r="G451" s="11" t="s">
        <v>498</v>
      </c>
      <c r="H451" s="18">
        <v>11.5</v>
      </c>
      <c r="I451" s="5" t="s">
        <v>52</v>
      </c>
      <c r="J451" s="19">
        <v>13</v>
      </c>
      <c r="K451" s="5" t="s">
        <v>49</v>
      </c>
      <c r="L451" s="5" t="s">
        <v>53</v>
      </c>
      <c r="M451" s="23" t="s">
        <v>487</v>
      </c>
      <c r="N451" s="25"/>
      <c r="O451" s="25"/>
      <c r="P451" s="25"/>
      <c r="Q451" s="17" t="s">
        <v>43</v>
      </c>
    </row>
    <row r="452" spans="2:17">
      <c r="B452" s="11" t="s">
        <v>55</v>
      </c>
      <c r="D452" s="6" t="s">
        <v>36</v>
      </c>
      <c r="E452" s="11" t="s">
        <v>47</v>
      </c>
      <c r="F452" s="11" t="s">
        <v>486</v>
      </c>
      <c r="G452" s="11" t="s">
        <v>499</v>
      </c>
      <c r="H452" s="18">
        <v>11.5</v>
      </c>
      <c r="I452" s="5" t="s">
        <v>52</v>
      </c>
      <c r="J452" s="19">
        <v>13</v>
      </c>
      <c r="K452" s="5" t="s">
        <v>49</v>
      </c>
      <c r="L452" s="5" t="s">
        <v>53</v>
      </c>
      <c r="M452" s="23" t="s">
        <v>487</v>
      </c>
      <c r="N452" s="25"/>
      <c r="O452" s="25"/>
      <c r="P452" s="25"/>
      <c r="Q452" s="17" t="s">
        <v>43</v>
      </c>
    </row>
    <row r="453" spans="2:17">
      <c r="B453" s="11" t="s">
        <v>55</v>
      </c>
      <c r="D453" s="6" t="s">
        <v>36</v>
      </c>
      <c r="E453" s="11" t="s">
        <v>47</v>
      </c>
      <c r="F453" s="11" t="s">
        <v>486</v>
      </c>
      <c r="G453" s="11" t="s">
        <v>500</v>
      </c>
      <c r="H453" s="18">
        <v>11.5</v>
      </c>
      <c r="I453" s="5" t="s">
        <v>52</v>
      </c>
      <c r="J453" s="19">
        <v>13</v>
      </c>
      <c r="K453" s="5" t="s">
        <v>49</v>
      </c>
      <c r="L453" s="5" t="s">
        <v>53</v>
      </c>
      <c r="M453" s="23" t="s">
        <v>487</v>
      </c>
      <c r="N453" s="25"/>
      <c r="O453" s="25"/>
      <c r="P453" s="25"/>
      <c r="Q453" s="17" t="s">
        <v>43</v>
      </c>
    </row>
    <row r="454" spans="2:17">
      <c r="B454" s="11" t="s">
        <v>55</v>
      </c>
      <c r="D454" s="6" t="s">
        <v>36</v>
      </c>
      <c r="E454" s="11" t="s">
        <v>47</v>
      </c>
      <c r="F454" s="11" t="s">
        <v>486</v>
      </c>
      <c r="G454" s="11" t="s">
        <v>501</v>
      </c>
      <c r="H454" s="18">
        <v>11.5</v>
      </c>
      <c r="I454" s="5" t="s">
        <v>52</v>
      </c>
      <c r="J454" s="19">
        <v>13</v>
      </c>
      <c r="K454" s="5" t="s">
        <v>49</v>
      </c>
      <c r="L454" s="5" t="s">
        <v>53</v>
      </c>
      <c r="M454" s="23" t="s">
        <v>487</v>
      </c>
      <c r="N454" s="25"/>
      <c r="O454" s="25"/>
      <c r="P454" s="25"/>
      <c r="Q454" s="17" t="s">
        <v>43</v>
      </c>
    </row>
    <row r="455" spans="2:17">
      <c r="B455" s="11" t="s">
        <v>55</v>
      </c>
      <c r="D455" s="6" t="s">
        <v>36</v>
      </c>
      <c r="E455" s="11" t="s">
        <v>47</v>
      </c>
      <c r="F455" s="11" t="s">
        <v>486</v>
      </c>
      <c r="G455" s="11" t="s">
        <v>502</v>
      </c>
      <c r="H455" s="18">
        <v>11.5</v>
      </c>
      <c r="I455" s="5" t="s">
        <v>52</v>
      </c>
      <c r="J455" s="19">
        <v>13</v>
      </c>
      <c r="K455" s="5" t="s">
        <v>49</v>
      </c>
      <c r="L455" s="5" t="s">
        <v>53</v>
      </c>
      <c r="M455" s="23" t="s">
        <v>487</v>
      </c>
      <c r="N455" s="25"/>
      <c r="O455" s="25"/>
      <c r="P455" s="25"/>
      <c r="Q455" s="17" t="s">
        <v>43</v>
      </c>
    </row>
    <row r="456" spans="2:17">
      <c r="B456" s="11" t="s">
        <v>55</v>
      </c>
      <c r="D456" s="6" t="s">
        <v>36</v>
      </c>
      <c r="E456" s="11" t="s">
        <v>47</v>
      </c>
      <c r="F456" s="11" t="s">
        <v>486</v>
      </c>
      <c r="G456" s="11" t="s">
        <v>503</v>
      </c>
      <c r="H456" s="18">
        <v>11.5</v>
      </c>
      <c r="I456" s="5" t="s">
        <v>52</v>
      </c>
      <c r="J456" s="19">
        <v>13</v>
      </c>
      <c r="K456" s="5" t="s">
        <v>49</v>
      </c>
      <c r="L456" s="5" t="s">
        <v>53</v>
      </c>
      <c r="M456" s="23" t="s">
        <v>487</v>
      </c>
      <c r="N456" s="25"/>
      <c r="O456" s="25"/>
      <c r="P456" s="25"/>
      <c r="Q456" s="17" t="s">
        <v>43</v>
      </c>
    </row>
    <row r="457" spans="2:17">
      <c r="B457" s="11" t="s">
        <v>55</v>
      </c>
      <c r="D457" s="6" t="s">
        <v>36</v>
      </c>
      <c r="E457" s="11" t="s">
        <v>47</v>
      </c>
      <c r="F457" s="11" t="s">
        <v>486</v>
      </c>
      <c r="G457" s="11" t="s">
        <v>504</v>
      </c>
      <c r="H457" s="18">
        <v>11.5</v>
      </c>
      <c r="I457" s="5" t="s">
        <v>52</v>
      </c>
      <c r="J457" s="19">
        <v>13</v>
      </c>
      <c r="K457" s="5" t="s">
        <v>49</v>
      </c>
      <c r="L457" s="5" t="s">
        <v>53</v>
      </c>
      <c r="M457" s="23" t="s">
        <v>487</v>
      </c>
      <c r="N457" s="25"/>
      <c r="O457" s="25"/>
      <c r="P457" s="25"/>
      <c r="Q457" s="17" t="s">
        <v>43</v>
      </c>
    </row>
    <row r="458" spans="2:17">
      <c r="B458" s="11" t="s">
        <v>55</v>
      </c>
      <c r="D458" s="6" t="s">
        <v>36</v>
      </c>
      <c r="E458" s="11" t="s">
        <v>47</v>
      </c>
      <c r="F458" s="11" t="s">
        <v>486</v>
      </c>
      <c r="G458" s="11" t="s">
        <v>505</v>
      </c>
      <c r="H458" s="18">
        <v>11.5</v>
      </c>
      <c r="I458" s="5" t="s">
        <v>52</v>
      </c>
      <c r="J458" s="19">
        <v>13</v>
      </c>
      <c r="K458" s="5" t="s">
        <v>49</v>
      </c>
      <c r="L458" s="5" t="s">
        <v>53</v>
      </c>
      <c r="M458" s="23" t="s">
        <v>487</v>
      </c>
      <c r="N458" s="25"/>
      <c r="O458" s="25"/>
      <c r="P458" s="25"/>
      <c r="Q458" s="17" t="s">
        <v>43</v>
      </c>
    </row>
    <row r="459" spans="2:17">
      <c r="B459" s="11" t="s">
        <v>55</v>
      </c>
      <c r="D459" s="6" t="s">
        <v>36</v>
      </c>
      <c r="E459" s="11" t="s">
        <v>47</v>
      </c>
      <c r="F459" s="11" t="s">
        <v>486</v>
      </c>
      <c r="G459" s="11" t="s">
        <v>506</v>
      </c>
      <c r="H459" s="18">
        <v>11.5</v>
      </c>
      <c r="I459" s="5" t="s">
        <v>52</v>
      </c>
      <c r="J459" s="19">
        <v>13</v>
      </c>
      <c r="K459" s="5" t="s">
        <v>49</v>
      </c>
      <c r="L459" s="5" t="s">
        <v>53</v>
      </c>
      <c r="M459" s="23" t="s">
        <v>487</v>
      </c>
      <c r="N459" s="25"/>
      <c r="O459" s="25"/>
      <c r="P459" s="25"/>
      <c r="Q459" s="17" t="s">
        <v>43</v>
      </c>
    </row>
    <row r="460" spans="2:17">
      <c r="B460" s="11" t="s">
        <v>55</v>
      </c>
      <c r="D460" s="6" t="s">
        <v>36</v>
      </c>
      <c r="E460" s="11" t="s">
        <v>47</v>
      </c>
      <c r="F460" s="11" t="s">
        <v>486</v>
      </c>
      <c r="G460" s="11" t="s">
        <v>507</v>
      </c>
      <c r="H460" s="18">
        <v>11.5</v>
      </c>
      <c r="I460" s="5" t="s">
        <v>52</v>
      </c>
      <c r="J460" s="19">
        <v>13</v>
      </c>
      <c r="K460" s="5" t="s">
        <v>49</v>
      </c>
      <c r="L460" s="5" t="s">
        <v>53</v>
      </c>
      <c r="M460" s="23" t="s">
        <v>487</v>
      </c>
      <c r="N460" s="25"/>
      <c r="O460" s="25"/>
      <c r="P460" s="25"/>
      <c r="Q460" s="17" t="s">
        <v>43</v>
      </c>
    </row>
    <row r="461" spans="2:17">
      <c r="B461" s="11" t="s">
        <v>55</v>
      </c>
      <c r="D461" s="6" t="s">
        <v>36</v>
      </c>
      <c r="E461" s="11" t="s">
        <v>47</v>
      </c>
      <c r="F461" s="11" t="s">
        <v>486</v>
      </c>
      <c r="G461" s="11" t="s">
        <v>508</v>
      </c>
      <c r="H461" s="18">
        <v>11.5</v>
      </c>
      <c r="I461" s="5" t="s">
        <v>52</v>
      </c>
      <c r="J461" s="19">
        <v>13</v>
      </c>
      <c r="K461" s="5" t="s">
        <v>49</v>
      </c>
      <c r="L461" s="5" t="s">
        <v>53</v>
      </c>
      <c r="M461" s="23" t="s">
        <v>487</v>
      </c>
      <c r="N461" s="25"/>
      <c r="O461" s="25"/>
      <c r="P461" s="25"/>
      <c r="Q461" s="17" t="s">
        <v>43</v>
      </c>
    </row>
    <row r="462" spans="2:17">
      <c r="B462" s="11" t="s">
        <v>55</v>
      </c>
      <c r="D462" s="6" t="s">
        <v>36</v>
      </c>
      <c r="E462" s="11" t="s">
        <v>47</v>
      </c>
      <c r="F462" s="11" t="s">
        <v>486</v>
      </c>
      <c r="G462" s="11" t="s">
        <v>509</v>
      </c>
      <c r="H462" s="18">
        <v>11.5</v>
      </c>
      <c r="I462" s="5" t="s">
        <v>52</v>
      </c>
      <c r="J462" s="19">
        <v>13</v>
      </c>
      <c r="K462" s="5" t="s">
        <v>49</v>
      </c>
      <c r="L462" s="5" t="s">
        <v>53</v>
      </c>
      <c r="M462" s="23" t="s">
        <v>487</v>
      </c>
      <c r="N462" s="25"/>
      <c r="O462" s="25"/>
      <c r="P462" s="25"/>
      <c r="Q462" s="17" t="s">
        <v>43</v>
      </c>
    </row>
    <row r="463" spans="2:17">
      <c r="B463" s="11" t="s">
        <v>55</v>
      </c>
      <c r="D463" s="6" t="s">
        <v>36</v>
      </c>
      <c r="E463" s="11" t="s">
        <v>47</v>
      </c>
      <c r="F463" s="11" t="s">
        <v>486</v>
      </c>
      <c r="G463" s="11" t="s">
        <v>510</v>
      </c>
      <c r="H463" s="18">
        <v>11.5</v>
      </c>
      <c r="I463" s="5" t="s">
        <v>52</v>
      </c>
      <c r="J463" s="19">
        <v>13</v>
      </c>
      <c r="K463" s="5" t="s">
        <v>49</v>
      </c>
      <c r="L463" s="5" t="s">
        <v>53</v>
      </c>
      <c r="M463" s="23" t="s">
        <v>487</v>
      </c>
      <c r="N463" s="25"/>
      <c r="O463" s="25"/>
      <c r="P463" s="25"/>
      <c r="Q463" s="17" t="s">
        <v>43</v>
      </c>
    </row>
    <row r="464" spans="2:17">
      <c r="B464" s="11" t="s">
        <v>55</v>
      </c>
      <c r="D464" s="6" t="s">
        <v>36</v>
      </c>
      <c r="E464" s="11" t="s">
        <v>47</v>
      </c>
      <c r="F464" s="11" t="s">
        <v>486</v>
      </c>
      <c r="G464" s="11" t="s">
        <v>511</v>
      </c>
      <c r="H464" s="18">
        <v>11.5</v>
      </c>
      <c r="I464" s="5" t="s">
        <v>52</v>
      </c>
      <c r="J464" s="19">
        <v>13</v>
      </c>
      <c r="K464" s="5" t="s">
        <v>49</v>
      </c>
      <c r="L464" s="5" t="s">
        <v>53</v>
      </c>
      <c r="M464" s="23" t="s">
        <v>487</v>
      </c>
      <c r="N464" s="25"/>
      <c r="O464" s="25"/>
      <c r="P464" s="25"/>
      <c r="Q464" s="17" t="s">
        <v>43</v>
      </c>
    </row>
    <row r="465" spans="2:17">
      <c r="B465" s="11"/>
      <c r="D465" s="6"/>
      <c r="E465" s="11"/>
      <c r="F465" s="11"/>
      <c r="G465" s="11"/>
      <c r="H465" s="18"/>
      <c r="J465" s="19"/>
      <c r="M465" s="23"/>
      <c r="N465" s="20"/>
      <c r="O465" s="20"/>
      <c r="P465" s="20"/>
      <c r="Q465" s="17"/>
    </row>
    <row r="466" spans="2:17">
      <c r="B466" s="11" t="s">
        <v>50</v>
      </c>
      <c r="D466" s="6" t="s">
        <v>36</v>
      </c>
      <c r="E466" s="11" t="s">
        <v>47</v>
      </c>
      <c r="F466" s="11" t="s">
        <v>512</v>
      </c>
      <c r="G466" s="11"/>
      <c r="H466" s="18">
        <v>598</v>
      </c>
      <c r="I466" s="5" t="s">
        <v>52</v>
      </c>
      <c r="J466" s="19">
        <v>676</v>
      </c>
      <c r="K466" s="5" t="s">
        <v>49</v>
      </c>
      <c r="L466" s="5" t="s">
        <v>53</v>
      </c>
      <c r="M466" s="23" t="s">
        <v>513</v>
      </c>
      <c r="N466" s="25">
        <v>10700</v>
      </c>
      <c r="O466" s="25">
        <v>4</v>
      </c>
      <c r="P466" s="25">
        <v>4</v>
      </c>
      <c r="Q466" s="17" t="s">
        <v>43</v>
      </c>
    </row>
    <row r="467" spans="2:17">
      <c r="B467" s="11" t="s">
        <v>55</v>
      </c>
      <c r="D467" s="6" t="s">
        <v>36</v>
      </c>
      <c r="E467" s="11" t="s">
        <v>47</v>
      </c>
      <c r="F467" s="11" t="s">
        <v>512</v>
      </c>
      <c r="G467" s="11" t="s">
        <v>514</v>
      </c>
      <c r="H467" s="18">
        <v>11.5</v>
      </c>
      <c r="I467" s="5" t="s">
        <v>52</v>
      </c>
      <c r="J467" s="19">
        <v>13</v>
      </c>
      <c r="K467" s="5" t="s">
        <v>49</v>
      </c>
      <c r="L467" s="5" t="s">
        <v>53</v>
      </c>
      <c r="M467" s="23" t="s">
        <v>513</v>
      </c>
      <c r="N467" s="25"/>
      <c r="O467" s="25"/>
      <c r="P467" s="25"/>
      <c r="Q467" s="17" t="s">
        <v>43</v>
      </c>
    </row>
    <row r="468" spans="2:17">
      <c r="B468" s="11" t="s">
        <v>55</v>
      </c>
      <c r="D468" s="6" t="s">
        <v>36</v>
      </c>
      <c r="E468" s="11" t="s">
        <v>47</v>
      </c>
      <c r="F468" s="11" t="s">
        <v>512</v>
      </c>
      <c r="G468" s="11" t="s">
        <v>515</v>
      </c>
      <c r="H468" s="18">
        <v>11.5</v>
      </c>
      <c r="I468" s="5" t="s">
        <v>52</v>
      </c>
      <c r="J468" s="19">
        <v>13</v>
      </c>
      <c r="K468" s="5" t="s">
        <v>49</v>
      </c>
      <c r="L468" s="5" t="s">
        <v>53</v>
      </c>
      <c r="M468" s="23" t="s">
        <v>513</v>
      </c>
      <c r="N468" s="25"/>
      <c r="O468" s="25"/>
      <c r="P468" s="25"/>
      <c r="Q468" s="17" t="s">
        <v>43</v>
      </c>
    </row>
    <row r="469" spans="2:17">
      <c r="B469" s="11" t="s">
        <v>55</v>
      </c>
      <c r="D469" s="6" t="s">
        <v>36</v>
      </c>
      <c r="E469" s="11" t="s">
        <v>47</v>
      </c>
      <c r="F469" s="11" t="s">
        <v>512</v>
      </c>
      <c r="G469" s="11" t="s">
        <v>516</v>
      </c>
      <c r="H469" s="18">
        <v>11.5</v>
      </c>
      <c r="I469" s="5" t="s">
        <v>52</v>
      </c>
      <c r="J469" s="19">
        <v>13</v>
      </c>
      <c r="K469" s="5" t="s">
        <v>49</v>
      </c>
      <c r="L469" s="5" t="s">
        <v>53</v>
      </c>
      <c r="M469" s="23" t="s">
        <v>513</v>
      </c>
      <c r="N469" s="25"/>
      <c r="O469" s="25"/>
      <c r="P469" s="25"/>
      <c r="Q469" s="17" t="s">
        <v>43</v>
      </c>
    </row>
    <row r="470" spans="2:17">
      <c r="B470" s="11" t="s">
        <v>55</v>
      </c>
      <c r="D470" s="6" t="s">
        <v>36</v>
      </c>
      <c r="E470" s="11" t="s">
        <v>47</v>
      </c>
      <c r="F470" s="11" t="s">
        <v>512</v>
      </c>
      <c r="G470" s="11" t="s">
        <v>517</v>
      </c>
      <c r="H470" s="18">
        <v>11.5</v>
      </c>
      <c r="I470" s="5" t="s">
        <v>52</v>
      </c>
      <c r="J470" s="19">
        <v>13</v>
      </c>
      <c r="K470" s="5" t="s">
        <v>49</v>
      </c>
      <c r="L470" s="5" t="s">
        <v>53</v>
      </c>
      <c r="M470" s="23" t="s">
        <v>513</v>
      </c>
      <c r="N470" s="25"/>
      <c r="O470" s="25"/>
      <c r="P470" s="25"/>
      <c r="Q470" s="17" t="s">
        <v>43</v>
      </c>
    </row>
    <row r="471" spans="2:17">
      <c r="B471" s="11" t="s">
        <v>55</v>
      </c>
      <c r="D471" s="6" t="s">
        <v>36</v>
      </c>
      <c r="E471" s="11" t="s">
        <v>47</v>
      </c>
      <c r="F471" s="11" t="s">
        <v>512</v>
      </c>
      <c r="G471" s="11" t="s">
        <v>518</v>
      </c>
      <c r="H471" s="18">
        <v>11.5</v>
      </c>
      <c r="I471" s="5" t="s">
        <v>52</v>
      </c>
      <c r="J471" s="19">
        <v>13</v>
      </c>
      <c r="K471" s="5" t="s">
        <v>49</v>
      </c>
      <c r="L471" s="5" t="s">
        <v>53</v>
      </c>
      <c r="M471" s="23" t="s">
        <v>513</v>
      </c>
      <c r="N471" s="25"/>
      <c r="O471" s="25"/>
      <c r="P471" s="25"/>
      <c r="Q471" s="17" t="s">
        <v>43</v>
      </c>
    </row>
    <row r="472" spans="2:17">
      <c r="B472" s="11" t="s">
        <v>55</v>
      </c>
      <c r="D472" s="6" t="s">
        <v>36</v>
      </c>
      <c r="E472" s="11" t="s">
        <v>47</v>
      </c>
      <c r="F472" s="11" t="s">
        <v>512</v>
      </c>
      <c r="G472" s="11" t="s">
        <v>519</v>
      </c>
      <c r="H472" s="18">
        <v>11.5</v>
      </c>
      <c r="I472" s="5" t="s">
        <v>52</v>
      </c>
      <c r="J472" s="19">
        <v>13</v>
      </c>
      <c r="K472" s="5" t="s">
        <v>49</v>
      </c>
      <c r="L472" s="5" t="s">
        <v>53</v>
      </c>
      <c r="M472" s="23" t="s">
        <v>513</v>
      </c>
      <c r="N472" s="25"/>
      <c r="O472" s="25"/>
      <c r="P472" s="25"/>
      <c r="Q472" s="17" t="s">
        <v>43</v>
      </c>
    </row>
    <row r="473" spans="2:17">
      <c r="B473" s="11" t="s">
        <v>55</v>
      </c>
      <c r="D473" s="6" t="s">
        <v>36</v>
      </c>
      <c r="E473" s="11" t="s">
        <v>47</v>
      </c>
      <c r="F473" s="11" t="s">
        <v>512</v>
      </c>
      <c r="G473" s="11" t="s">
        <v>520</v>
      </c>
      <c r="H473" s="18">
        <v>11.5</v>
      </c>
      <c r="I473" s="5" t="s">
        <v>52</v>
      </c>
      <c r="J473" s="19">
        <v>13</v>
      </c>
      <c r="K473" s="5" t="s">
        <v>49</v>
      </c>
      <c r="L473" s="5" t="s">
        <v>53</v>
      </c>
      <c r="M473" s="23" t="s">
        <v>513</v>
      </c>
      <c r="N473" s="25"/>
      <c r="O473" s="25"/>
      <c r="P473" s="25"/>
      <c r="Q473" s="17" t="s">
        <v>43</v>
      </c>
    </row>
    <row r="474" spans="2:17">
      <c r="B474" s="11" t="s">
        <v>55</v>
      </c>
      <c r="D474" s="6" t="s">
        <v>36</v>
      </c>
      <c r="E474" s="11" t="s">
        <v>47</v>
      </c>
      <c r="F474" s="11" t="s">
        <v>512</v>
      </c>
      <c r="G474" s="11" t="s">
        <v>521</v>
      </c>
      <c r="H474" s="18">
        <v>11.5</v>
      </c>
      <c r="I474" s="5" t="s">
        <v>52</v>
      </c>
      <c r="J474" s="19">
        <v>13</v>
      </c>
      <c r="K474" s="5" t="s">
        <v>49</v>
      </c>
      <c r="L474" s="5" t="s">
        <v>53</v>
      </c>
      <c r="M474" s="23" t="s">
        <v>513</v>
      </c>
      <c r="N474" s="25"/>
      <c r="O474" s="25"/>
      <c r="P474" s="25"/>
      <c r="Q474" s="17" t="s">
        <v>43</v>
      </c>
    </row>
    <row r="475" spans="2:17">
      <c r="B475" s="11" t="s">
        <v>55</v>
      </c>
      <c r="D475" s="6" t="s">
        <v>36</v>
      </c>
      <c r="E475" s="11" t="s">
        <v>47</v>
      </c>
      <c r="F475" s="11" t="s">
        <v>512</v>
      </c>
      <c r="G475" s="11" t="s">
        <v>522</v>
      </c>
      <c r="H475" s="18">
        <v>11.5</v>
      </c>
      <c r="I475" s="5" t="s">
        <v>52</v>
      </c>
      <c r="J475" s="19">
        <v>13</v>
      </c>
      <c r="K475" s="5" t="s">
        <v>49</v>
      </c>
      <c r="L475" s="5" t="s">
        <v>53</v>
      </c>
      <c r="M475" s="23" t="s">
        <v>513</v>
      </c>
      <c r="N475" s="25"/>
      <c r="O475" s="25"/>
      <c r="P475" s="25"/>
      <c r="Q475" s="17" t="s">
        <v>43</v>
      </c>
    </row>
    <row r="476" spans="2:17">
      <c r="B476" s="11" t="s">
        <v>55</v>
      </c>
      <c r="D476" s="6" t="s">
        <v>36</v>
      </c>
      <c r="E476" s="11" t="s">
        <v>47</v>
      </c>
      <c r="F476" s="11" t="s">
        <v>512</v>
      </c>
      <c r="G476" s="11" t="s">
        <v>523</v>
      </c>
      <c r="H476" s="18">
        <v>11.5</v>
      </c>
      <c r="I476" s="5" t="s">
        <v>52</v>
      </c>
      <c r="J476" s="19">
        <v>13</v>
      </c>
      <c r="K476" s="5" t="s">
        <v>49</v>
      </c>
      <c r="L476" s="5" t="s">
        <v>53</v>
      </c>
      <c r="M476" s="23" t="s">
        <v>513</v>
      </c>
      <c r="N476" s="25"/>
      <c r="O476" s="25"/>
      <c r="P476" s="25"/>
      <c r="Q476" s="17" t="s">
        <v>43</v>
      </c>
    </row>
    <row r="477" spans="2:17">
      <c r="B477" s="11" t="s">
        <v>55</v>
      </c>
      <c r="D477" s="6" t="s">
        <v>36</v>
      </c>
      <c r="E477" s="11" t="s">
        <v>47</v>
      </c>
      <c r="F477" s="11" t="s">
        <v>512</v>
      </c>
      <c r="G477" s="11" t="s">
        <v>524</v>
      </c>
      <c r="H477" s="18">
        <v>11.5</v>
      </c>
      <c r="I477" s="5" t="s">
        <v>52</v>
      </c>
      <c r="J477" s="19">
        <v>13</v>
      </c>
      <c r="K477" s="5" t="s">
        <v>49</v>
      </c>
      <c r="L477" s="5" t="s">
        <v>53</v>
      </c>
      <c r="M477" s="23" t="s">
        <v>513</v>
      </c>
      <c r="N477" s="25"/>
      <c r="O477" s="25"/>
      <c r="P477" s="25"/>
      <c r="Q477" s="17" t="s">
        <v>43</v>
      </c>
    </row>
    <row r="478" spans="2:17">
      <c r="B478" s="11" t="s">
        <v>55</v>
      </c>
      <c r="D478" s="6" t="s">
        <v>36</v>
      </c>
      <c r="E478" s="11" t="s">
        <v>47</v>
      </c>
      <c r="F478" s="11" t="s">
        <v>512</v>
      </c>
      <c r="G478" s="11" t="s">
        <v>525</v>
      </c>
      <c r="H478" s="18">
        <v>11.5</v>
      </c>
      <c r="I478" s="5" t="s">
        <v>52</v>
      </c>
      <c r="J478" s="19">
        <v>13</v>
      </c>
      <c r="K478" s="5" t="s">
        <v>49</v>
      </c>
      <c r="L478" s="5" t="s">
        <v>53</v>
      </c>
      <c r="M478" s="23" t="s">
        <v>513</v>
      </c>
      <c r="N478" s="25"/>
      <c r="O478" s="25"/>
      <c r="P478" s="25"/>
      <c r="Q478" s="17" t="s">
        <v>43</v>
      </c>
    </row>
    <row r="479" spans="2:17">
      <c r="B479" s="11" t="s">
        <v>55</v>
      </c>
      <c r="D479" s="6" t="s">
        <v>36</v>
      </c>
      <c r="E479" s="11" t="s">
        <v>47</v>
      </c>
      <c r="F479" s="11" t="s">
        <v>512</v>
      </c>
      <c r="G479" s="11" t="s">
        <v>526</v>
      </c>
      <c r="H479" s="18">
        <v>11.5</v>
      </c>
      <c r="I479" s="5" t="s">
        <v>52</v>
      </c>
      <c r="J479" s="19">
        <v>13</v>
      </c>
      <c r="K479" s="5" t="s">
        <v>49</v>
      </c>
      <c r="L479" s="5" t="s">
        <v>53</v>
      </c>
      <c r="M479" s="23" t="s">
        <v>513</v>
      </c>
      <c r="N479" s="25"/>
      <c r="O479" s="25"/>
      <c r="P479" s="25"/>
      <c r="Q479" s="17" t="s">
        <v>43</v>
      </c>
    </row>
    <row r="480" spans="2:17">
      <c r="B480" s="11" t="s">
        <v>55</v>
      </c>
      <c r="D480" s="6" t="s">
        <v>36</v>
      </c>
      <c r="E480" s="11" t="s">
        <v>47</v>
      </c>
      <c r="F480" s="11" t="s">
        <v>512</v>
      </c>
      <c r="G480" s="11" t="s">
        <v>527</v>
      </c>
      <c r="H480" s="18">
        <v>11.5</v>
      </c>
      <c r="I480" s="5" t="s">
        <v>52</v>
      </c>
      <c r="J480" s="19">
        <v>13</v>
      </c>
      <c r="K480" s="5" t="s">
        <v>49</v>
      </c>
      <c r="L480" s="5" t="s">
        <v>53</v>
      </c>
      <c r="M480" s="23" t="s">
        <v>513</v>
      </c>
      <c r="N480" s="25"/>
      <c r="O480" s="25"/>
      <c r="P480" s="25"/>
      <c r="Q480" s="17" t="s">
        <v>43</v>
      </c>
    </row>
    <row r="481" spans="2:17">
      <c r="B481" s="11" t="s">
        <v>55</v>
      </c>
      <c r="D481" s="6" t="s">
        <v>36</v>
      </c>
      <c r="E481" s="11" t="s">
        <v>47</v>
      </c>
      <c r="F481" s="11" t="s">
        <v>512</v>
      </c>
      <c r="G481" s="11" t="s">
        <v>528</v>
      </c>
      <c r="H481" s="18">
        <v>11.5</v>
      </c>
      <c r="I481" s="5" t="s">
        <v>52</v>
      </c>
      <c r="J481" s="19">
        <v>13</v>
      </c>
      <c r="K481" s="5" t="s">
        <v>49</v>
      </c>
      <c r="L481" s="5" t="s">
        <v>53</v>
      </c>
      <c r="M481" s="23" t="s">
        <v>513</v>
      </c>
      <c r="N481" s="25"/>
      <c r="O481" s="25"/>
      <c r="P481" s="25"/>
      <c r="Q481" s="17" t="s">
        <v>43</v>
      </c>
    </row>
    <row r="482" spans="2:17">
      <c r="B482" s="11" t="s">
        <v>55</v>
      </c>
      <c r="D482" s="6" t="s">
        <v>36</v>
      </c>
      <c r="E482" s="11" t="s">
        <v>47</v>
      </c>
      <c r="F482" s="11" t="s">
        <v>512</v>
      </c>
      <c r="G482" s="11" t="s">
        <v>529</v>
      </c>
      <c r="H482" s="18">
        <v>11.5</v>
      </c>
      <c r="I482" s="5" t="s">
        <v>52</v>
      </c>
      <c r="J482" s="19">
        <v>13</v>
      </c>
      <c r="K482" s="5" t="s">
        <v>49</v>
      </c>
      <c r="L482" s="5" t="s">
        <v>53</v>
      </c>
      <c r="M482" s="23" t="s">
        <v>513</v>
      </c>
      <c r="N482" s="25"/>
      <c r="O482" s="25"/>
      <c r="P482" s="25"/>
      <c r="Q482" s="17" t="s">
        <v>43</v>
      </c>
    </row>
    <row r="483" spans="2:17">
      <c r="B483" s="11" t="s">
        <v>55</v>
      </c>
      <c r="D483" s="6" t="s">
        <v>36</v>
      </c>
      <c r="E483" s="11" t="s">
        <v>47</v>
      </c>
      <c r="F483" s="11" t="s">
        <v>512</v>
      </c>
      <c r="G483" s="11" t="s">
        <v>530</v>
      </c>
      <c r="H483" s="18">
        <v>11.5</v>
      </c>
      <c r="I483" s="5" t="s">
        <v>52</v>
      </c>
      <c r="J483" s="19">
        <v>13</v>
      </c>
      <c r="K483" s="5" t="s">
        <v>49</v>
      </c>
      <c r="L483" s="5" t="s">
        <v>53</v>
      </c>
      <c r="M483" s="23" t="s">
        <v>513</v>
      </c>
      <c r="N483" s="25"/>
      <c r="O483" s="25"/>
      <c r="P483" s="25"/>
      <c r="Q483" s="17" t="s">
        <v>43</v>
      </c>
    </row>
    <row r="484" spans="2:17">
      <c r="B484" s="11" t="s">
        <v>55</v>
      </c>
      <c r="D484" s="6" t="s">
        <v>36</v>
      </c>
      <c r="E484" s="11" t="s">
        <v>47</v>
      </c>
      <c r="F484" s="11" t="s">
        <v>512</v>
      </c>
      <c r="G484" s="11" t="s">
        <v>531</v>
      </c>
      <c r="H484" s="18">
        <v>11.5</v>
      </c>
      <c r="I484" s="5" t="s">
        <v>52</v>
      </c>
      <c r="J484" s="19">
        <v>13</v>
      </c>
      <c r="K484" s="5" t="s">
        <v>49</v>
      </c>
      <c r="L484" s="5" t="s">
        <v>53</v>
      </c>
      <c r="M484" s="23" t="s">
        <v>513</v>
      </c>
      <c r="N484" s="25"/>
      <c r="O484" s="25"/>
      <c r="P484" s="25"/>
      <c r="Q484" s="17" t="s">
        <v>43</v>
      </c>
    </row>
    <row r="485" spans="2:17">
      <c r="B485" s="11" t="s">
        <v>55</v>
      </c>
      <c r="D485" s="6" t="s">
        <v>36</v>
      </c>
      <c r="E485" s="11" t="s">
        <v>47</v>
      </c>
      <c r="F485" s="11" t="s">
        <v>512</v>
      </c>
      <c r="G485" s="11" t="s">
        <v>532</v>
      </c>
      <c r="H485" s="18">
        <v>11.5</v>
      </c>
      <c r="I485" s="5" t="s">
        <v>52</v>
      </c>
      <c r="J485" s="19">
        <v>13</v>
      </c>
      <c r="K485" s="5" t="s">
        <v>49</v>
      </c>
      <c r="L485" s="5" t="s">
        <v>53</v>
      </c>
      <c r="M485" s="23" t="s">
        <v>513</v>
      </c>
      <c r="N485" s="25"/>
      <c r="O485" s="25"/>
      <c r="P485" s="25"/>
      <c r="Q485" s="17" t="s">
        <v>43</v>
      </c>
    </row>
    <row r="486" spans="2:17">
      <c r="B486" s="11" t="s">
        <v>55</v>
      </c>
      <c r="D486" s="6" t="s">
        <v>36</v>
      </c>
      <c r="E486" s="11" t="s">
        <v>47</v>
      </c>
      <c r="F486" s="11" t="s">
        <v>512</v>
      </c>
      <c r="G486" s="11" t="s">
        <v>533</v>
      </c>
      <c r="H486" s="18">
        <v>11.5</v>
      </c>
      <c r="I486" s="5" t="s">
        <v>52</v>
      </c>
      <c r="J486" s="19">
        <v>13</v>
      </c>
      <c r="K486" s="5" t="s">
        <v>49</v>
      </c>
      <c r="L486" s="5" t="s">
        <v>53</v>
      </c>
      <c r="M486" s="23" t="s">
        <v>513</v>
      </c>
      <c r="N486" s="25"/>
      <c r="O486" s="25"/>
      <c r="P486" s="25"/>
      <c r="Q486" s="17" t="s">
        <v>43</v>
      </c>
    </row>
    <row r="487" spans="2:17">
      <c r="B487" s="11" t="s">
        <v>55</v>
      </c>
      <c r="D487" s="6" t="s">
        <v>36</v>
      </c>
      <c r="E487" s="11" t="s">
        <v>47</v>
      </c>
      <c r="F487" s="11" t="s">
        <v>512</v>
      </c>
      <c r="G487" s="11" t="s">
        <v>534</v>
      </c>
      <c r="H487" s="18">
        <v>11.5</v>
      </c>
      <c r="I487" s="5" t="s">
        <v>52</v>
      </c>
      <c r="J487" s="19">
        <v>13</v>
      </c>
      <c r="K487" s="5" t="s">
        <v>49</v>
      </c>
      <c r="L487" s="5" t="s">
        <v>53</v>
      </c>
      <c r="M487" s="23" t="s">
        <v>513</v>
      </c>
      <c r="N487" s="25"/>
      <c r="O487" s="25"/>
      <c r="P487" s="25"/>
      <c r="Q487" s="17" t="s">
        <v>43</v>
      </c>
    </row>
    <row r="488" spans="2:17">
      <c r="B488" s="11" t="s">
        <v>55</v>
      </c>
      <c r="D488" s="6" t="s">
        <v>36</v>
      </c>
      <c r="E488" s="11" t="s">
        <v>47</v>
      </c>
      <c r="F488" s="11" t="s">
        <v>512</v>
      </c>
      <c r="G488" s="11" t="s">
        <v>535</v>
      </c>
      <c r="H488" s="18">
        <v>11.5</v>
      </c>
      <c r="I488" s="5" t="s">
        <v>52</v>
      </c>
      <c r="J488" s="19">
        <v>13</v>
      </c>
      <c r="K488" s="5" t="s">
        <v>49</v>
      </c>
      <c r="L488" s="5" t="s">
        <v>53</v>
      </c>
      <c r="M488" s="23" t="s">
        <v>513</v>
      </c>
      <c r="N488" s="25"/>
      <c r="O488" s="25"/>
      <c r="P488" s="25"/>
      <c r="Q488" s="17" t="s">
        <v>43</v>
      </c>
    </row>
    <row r="489" spans="2:17">
      <c r="B489" s="11" t="s">
        <v>55</v>
      </c>
      <c r="D489" s="6" t="s">
        <v>36</v>
      </c>
      <c r="E489" s="11" t="s">
        <v>47</v>
      </c>
      <c r="F489" s="11" t="s">
        <v>512</v>
      </c>
      <c r="G489" s="11" t="s">
        <v>536</v>
      </c>
      <c r="H489" s="18">
        <v>11.5</v>
      </c>
      <c r="I489" s="5" t="s">
        <v>52</v>
      </c>
      <c r="J489" s="19">
        <v>13</v>
      </c>
      <c r="K489" s="5" t="s">
        <v>49</v>
      </c>
      <c r="L489" s="5" t="s">
        <v>53</v>
      </c>
      <c r="M489" s="23" t="s">
        <v>513</v>
      </c>
      <c r="N489" s="25"/>
      <c r="O489" s="25"/>
      <c r="P489" s="25"/>
      <c r="Q489" s="17" t="s">
        <v>43</v>
      </c>
    </row>
    <row r="490" spans="2:17">
      <c r="B490" s="11" t="s">
        <v>55</v>
      </c>
      <c r="D490" s="6" t="s">
        <v>36</v>
      </c>
      <c r="E490" s="11" t="s">
        <v>47</v>
      </c>
      <c r="F490" s="11" t="s">
        <v>512</v>
      </c>
      <c r="G490" s="11" t="s">
        <v>537</v>
      </c>
      <c r="H490" s="18">
        <v>11.5</v>
      </c>
      <c r="I490" s="5" t="s">
        <v>52</v>
      </c>
      <c r="J490" s="19">
        <v>13</v>
      </c>
      <c r="K490" s="5" t="s">
        <v>49</v>
      </c>
      <c r="L490" s="5" t="s">
        <v>53</v>
      </c>
      <c r="M490" s="23" t="s">
        <v>513</v>
      </c>
      <c r="N490" s="25"/>
      <c r="O490" s="25"/>
      <c r="P490" s="25"/>
      <c r="Q490" s="17" t="s">
        <v>43</v>
      </c>
    </row>
    <row r="491" spans="2:17">
      <c r="B491" s="11" t="s">
        <v>55</v>
      </c>
      <c r="D491" s="6" t="s">
        <v>36</v>
      </c>
      <c r="E491" s="11" t="s">
        <v>47</v>
      </c>
      <c r="F491" s="11" t="s">
        <v>512</v>
      </c>
      <c r="G491" s="11" t="s">
        <v>538</v>
      </c>
      <c r="H491" s="18">
        <v>11.5</v>
      </c>
      <c r="I491" s="5" t="s">
        <v>52</v>
      </c>
      <c r="J491" s="19">
        <v>13</v>
      </c>
      <c r="K491" s="5" t="s">
        <v>49</v>
      </c>
      <c r="L491" s="5" t="s">
        <v>53</v>
      </c>
      <c r="M491" s="23" t="s">
        <v>513</v>
      </c>
      <c r="N491" s="25"/>
      <c r="O491" s="25"/>
      <c r="P491" s="25"/>
      <c r="Q491" s="17" t="s">
        <v>43</v>
      </c>
    </row>
    <row r="492" spans="2:17">
      <c r="B492" s="11" t="s">
        <v>55</v>
      </c>
      <c r="D492" s="6" t="s">
        <v>36</v>
      </c>
      <c r="E492" s="11" t="s">
        <v>47</v>
      </c>
      <c r="F492" s="11" t="s">
        <v>512</v>
      </c>
      <c r="G492" s="11" t="s">
        <v>539</v>
      </c>
      <c r="H492" s="18">
        <v>11.5</v>
      </c>
      <c r="I492" s="5" t="s">
        <v>52</v>
      </c>
      <c r="J492" s="19">
        <v>13</v>
      </c>
      <c r="K492" s="5" t="s">
        <v>49</v>
      </c>
      <c r="L492" s="5" t="s">
        <v>53</v>
      </c>
      <c r="M492" s="23" t="s">
        <v>513</v>
      </c>
      <c r="N492" s="25"/>
      <c r="O492" s="25"/>
      <c r="P492" s="25"/>
      <c r="Q492" s="17" t="s">
        <v>43</v>
      </c>
    </row>
    <row r="493" spans="2:17">
      <c r="B493" s="11" t="s">
        <v>55</v>
      </c>
      <c r="D493" s="6" t="s">
        <v>36</v>
      </c>
      <c r="E493" s="11" t="s">
        <v>47</v>
      </c>
      <c r="F493" s="11" t="s">
        <v>512</v>
      </c>
      <c r="G493" s="11" t="s">
        <v>540</v>
      </c>
      <c r="H493" s="18">
        <v>11.5</v>
      </c>
      <c r="I493" s="5" t="s">
        <v>52</v>
      </c>
      <c r="J493" s="19">
        <v>13</v>
      </c>
      <c r="K493" s="5" t="s">
        <v>49</v>
      </c>
      <c r="L493" s="5" t="s">
        <v>53</v>
      </c>
      <c r="M493" s="23" t="s">
        <v>513</v>
      </c>
      <c r="N493" s="25"/>
      <c r="O493" s="25"/>
      <c r="P493" s="25"/>
      <c r="Q493" s="17" t="s">
        <v>43</v>
      </c>
    </row>
    <row r="494" spans="2:17">
      <c r="B494" s="11" t="s">
        <v>55</v>
      </c>
      <c r="D494" s="6" t="s">
        <v>36</v>
      </c>
      <c r="E494" s="11" t="s">
        <v>47</v>
      </c>
      <c r="F494" s="11" t="s">
        <v>512</v>
      </c>
      <c r="G494" s="11" t="s">
        <v>541</v>
      </c>
      <c r="H494" s="18">
        <v>11.5</v>
      </c>
      <c r="I494" s="5" t="s">
        <v>52</v>
      </c>
      <c r="J494" s="19">
        <v>13</v>
      </c>
      <c r="K494" s="5" t="s">
        <v>49</v>
      </c>
      <c r="L494" s="5" t="s">
        <v>53</v>
      </c>
      <c r="M494" s="23" t="s">
        <v>513</v>
      </c>
      <c r="N494" s="25"/>
      <c r="O494" s="25"/>
      <c r="P494" s="25"/>
      <c r="Q494" s="17" t="s">
        <v>43</v>
      </c>
    </row>
    <row r="495" spans="2:17">
      <c r="B495" s="11" t="s">
        <v>55</v>
      </c>
      <c r="D495" s="6" t="s">
        <v>36</v>
      </c>
      <c r="E495" s="11" t="s">
        <v>47</v>
      </c>
      <c r="F495" s="11" t="s">
        <v>512</v>
      </c>
      <c r="G495" s="11" t="s">
        <v>542</v>
      </c>
      <c r="H495" s="18">
        <v>11.5</v>
      </c>
      <c r="I495" s="5" t="s">
        <v>52</v>
      </c>
      <c r="J495" s="19">
        <v>13</v>
      </c>
      <c r="K495" s="5" t="s">
        <v>49</v>
      </c>
      <c r="L495" s="5" t="s">
        <v>53</v>
      </c>
      <c r="M495" s="23" t="s">
        <v>513</v>
      </c>
      <c r="N495" s="25"/>
      <c r="O495" s="25"/>
      <c r="P495" s="25"/>
      <c r="Q495" s="17" t="s">
        <v>43</v>
      </c>
    </row>
    <row r="496" spans="2:17">
      <c r="B496" s="11" t="s">
        <v>55</v>
      </c>
      <c r="D496" s="6" t="s">
        <v>36</v>
      </c>
      <c r="E496" s="11" t="s">
        <v>47</v>
      </c>
      <c r="F496" s="11" t="s">
        <v>512</v>
      </c>
      <c r="G496" s="11" t="s">
        <v>543</v>
      </c>
      <c r="H496" s="18">
        <v>11.5</v>
      </c>
      <c r="I496" s="5" t="s">
        <v>52</v>
      </c>
      <c r="J496" s="19">
        <v>13</v>
      </c>
      <c r="K496" s="5" t="s">
        <v>49</v>
      </c>
      <c r="L496" s="5" t="s">
        <v>53</v>
      </c>
      <c r="M496" s="23" t="s">
        <v>513</v>
      </c>
      <c r="N496" s="25"/>
      <c r="O496" s="25"/>
      <c r="P496" s="25"/>
      <c r="Q496" s="17" t="s">
        <v>43</v>
      </c>
    </row>
    <row r="497" spans="2:17">
      <c r="B497" s="11" t="s">
        <v>55</v>
      </c>
      <c r="D497" s="6" t="s">
        <v>36</v>
      </c>
      <c r="E497" s="11" t="s">
        <v>47</v>
      </c>
      <c r="F497" s="11" t="s">
        <v>512</v>
      </c>
      <c r="G497" s="11" t="s">
        <v>544</v>
      </c>
      <c r="H497" s="18">
        <v>11.5</v>
      </c>
      <c r="I497" s="5" t="s">
        <v>52</v>
      </c>
      <c r="J497" s="19">
        <v>13</v>
      </c>
      <c r="K497" s="5" t="s">
        <v>49</v>
      </c>
      <c r="L497" s="5" t="s">
        <v>53</v>
      </c>
      <c r="M497" s="23" t="s">
        <v>513</v>
      </c>
      <c r="N497" s="25"/>
      <c r="O497" s="25"/>
      <c r="P497" s="25"/>
      <c r="Q497" s="17" t="s">
        <v>43</v>
      </c>
    </row>
    <row r="498" spans="2:17">
      <c r="B498" s="11" t="s">
        <v>55</v>
      </c>
      <c r="D498" s="6" t="s">
        <v>36</v>
      </c>
      <c r="E498" s="11" t="s">
        <v>47</v>
      </c>
      <c r="F498" s="11" t="s">
        <v>512</v>
      </c>
      <c r="G498" s="11" t="s">
        <v>545</v>
      </c>
      <c r="H498" s="18">
        <v>11.5</v>
      </c>
      <c r="I498" s="5" t="s">
        <v>52</v>
      </c>
      <c r="J498" s="19">
        <v>13</v>
      </c>
      <c r="K498" s="5" t="s">
        <v>49</v>
      </c>
      <c r="L498" s="5" t="s">
        <v>53</v>
      </c>
      <c r="M498" s="23" t="s">
        <v>513</v>
      </c>
      <c r="N498" s="25"/>
      <c r="O498" s="25"/>
      <c r="P498" s="25"/>
      <c r="Q498" s="17" t="s">
        <v>43</v>
      </c>
    </row>
    <row r="499" spans="2:17">
      <c r="B499" s="11" t="s">
        <v>55</v>
      </c>
      <c r="D499" s="6" t="s">
        <v>36</v>
      </c>
      <c r="E499" s="11" t="s">
        <v>47</v>
      </c>
      <c r="F499" s="11" t="s">
        <v>512</v>
      </c>
      <c r="G499" s="11" t="s">
        <v>546</v>
      </c>
      <c r="H499" s="18">
        <v>11.5</v>
      </c>
      <c r="I499" s="5" t="s">
        <v>52</v>
      </c>
      <c r="J499" s="19">
        <v>13</v>
      </c>
      <c r="K499" s="5" t="s">
        <v>49</v>
      </c>
      <c r="L499" s="5" t="s">
        <v>53</v>
      </c>
      <c r="M499" s="23" t="s">
        <v>513</v>
      </c>
      <c r="N499" s="25"/>
      <c r="O499" s="25"/>
      <c r="P499" s="25"/>
      <c r="Q499" s="17" t="s">
        <v>43</v>
      </c>
    </row>
    <row r="500" spans="2:17">
      <c r="B500" s="11" t="s">
        <v>55</v>
      </c>
      <c r="D500" s="6" t="s">
        <v>36</v>
      </c>
      <c r="E500" s="11" t="s">
        <v>47</v>
      </c>
      <c r="F500" s="11" t="s">
        <v>512</v>
      </c>
      <c r="G500" s="11" t="s">
        <v>547</v>
      </c>
      <c r="H500" s="18">
        <v>11.5</v>
      </c>
      <c r="I500" s="5" t="s">
        <v>52</v>
      </c>
      <c r="J500" s="19">
        <v>13</v>
      </c>
      <c r="K500" s="5" t="s">
        <v>49</v>
      </c>
      <c r="L500" s="5" t="s">
        <v>53</v>
      </c>
      <c r="M500" s="23" t="s">
        <v>513</v>
      </c>
      <c r="N500" s="25"/>
      <c r="O500" s="25"/>
      <c r="P500" s="25"/>
      <c r="Q500" s="17" t="s">
        <v>43</v>
      </c>
    </row>
    <row r="501" spans="2:17">
      <c r="B501" s="11" t="s">
        <v>55</v>
      </c>
      <c r="D501" s="6" t="s">
        <v>36</v>
      </c>
      <c r="E501" s="11" t="s">
        <v>47</v>
      </c>
      <c r="F501" s="11" t="s">
        <v>512</v>
      </c>
      <c r="G501" s="11" t="s">
        <v>548</v>
      </c>
      <c r="H501" s="18">
        <v>11.5</v>
      </c>
      <c r="I501" s="5" t="s">
        <v>52</v>
      </c>
      <c r="J501" s="19">
        <v>13</v>
      </c>
      <c r="K501" s="5" t="s">
        <v>49</v>
      </c>
      <c r="L501" s="5" t="s">
        <v>53</v>
      </c>
      <c r="M501" s="23" t="s">
        <v>513</v>
      </c>
      <c r="N501" s="25"/>
      <c r="O501" s="25"/>
      <c r="P501" s="25"/>
      <c r="Q501" s="17" t="s">
        <v>43</v>
      </c>
    </row>
    <row r="502" spans="2:17">
      <c r="B502" s="11" t="s">
        <v>55</v>
      </c>
      <c r="D502" s="6" t="s">
        <v>36</v>
      </c>
      <c r="E502" s="11" t="s">
        <v>47</v>
      </c>
      <c r="F502" s="11" t="s">
        <v>512</v>
      </c>
      <c r="G502" s="11" t="s">
        <v>549</v>
      </c>
      <c r="H502" s="18">
        <v>11.5</v>
      </c>
      <c r="I502" s="5" t="s">
        <v>52</v>
      </c>
      <c r="J502" s="19">
        <v>13</v>
      </c>
      <c r="K502" s="5" t="s">
        <v>49</v>
      </c>
      <c r="L502" s="5" t="s">
        <v>53</v>
      </c>
      <c r="M502" s="23" t="s">
        <v>513</v>
      </c>
      <c r="N502" s="25"/>
      <c r="O502" s="25"/>
      <c r="P502" s="25"/>
      <c r="Q502" s="17" t="s">
        <v>43</v>
      </c>
    </row>
    <row r="503" spans="2:17">
      <c r="B503" s="11" t="s">
        <v>55</v>
      </c>
      <c r="D503" s="6" t="s">
        <v>36</v>
      </c>
      <c r="E503" s="11" t="s">
        <v>47</v>
      </c>
      <c r="F503" s="11" t="s">
        <v>512</v>
      </c>
      <c r="G503" s="11" t="s">
        <v>550</v>
      </c>
      <c r="H503" s="18">
        <v>11.5</v>
      </c>
      <c r="I503" s="5" t="s">
        <v>52</v>
      </c>
      <c r="J503" s="19">
        <v>13</v>
      </c>
      <c r="K503" s="5" t="s">
        <v>49</v>
      </c>
      <c r="L503" s="5" t="s">
        <v>53</v>
      </c>
      <c r="M503" s="23" t="s">
        <v>513</v>
      </c>
      <c r="N503" s="25"/>
      <c r="O503" s="25"/>
      <c r="P503" s="25"/>
      <c r="Q503" s="17" t="s">
        <v>43</v>
      </c>
    </row>
    <row r="504" spans="2:17">
      <c r="B504" s="11" t="s">
        <v>55</v>
      </c>
      <c r="D504" s="6" t="s">
        <v>36</v>
      </c>
      <c r="E504" s="11" t="s">
        <v>47</v>
      </c>
      <c r="F504" s="11" t="s">
        <v>512</v>
      </c>
      <c r="G504" s="11" t="s">
        <v>551</v>
      </c>
      <c r="H504" s="18">
        <v>11.5</v>
      </c>
      <c r="I504" s="5" t="s">
        <v>52</v>
      </c>
      <c r="J504" s="19">
        <v>13</v>
      </c>
      <c r="K504" s="5" t="s">
        <v>49</v>
      </c>
      <c r="L504" s="5" t="s">
        <v>53</v>
      </c>
      <c r="M504" s="23" t="s">
        <v>513</v>
      </c>
      <c r="N504" s="25"/>
      <c r="O504" s="25"/>
      <c r="P504" s="25"/>
      <c r="Q504" s="17" t="s">
        <v>43</v>
      </c>
    </row>
    <row r="505" spans="2:17">
      <c r="B505" s="11" t="s">
        <v>55</v>
      </c>
      <c r="D505" s="6" t="s">
        <v>36</v>
      </c>
      <c r="E505" s="11" t="s">
        <v>47</v>
      </c>
      <c r="F505" s="11" t="s">
        <v>512</v>
      </c>
      <c r="G505" s="11" t="s">
        <v>552</v>
      </c>
      <c r="H505" s="18">
        <v>11.5</v>
      </c>
      <c r="I505" s="5" t="s">
        <v>52</v>
      </c>
      <c r="J505" s="19">
        <v>13</v>
      </c>
      <c r="K505" s="5" t="s">
        <v>49</v>
      </c>
      <c r="L505" s="5" t="s">
        <v>53</v>
      </c>
      <c r="M505" s="23" t="s">
        <v>513</v>
      </c>
      <c r="N505" s="25"/>
      <c r="O505" s="25"/>
      <c r="P505" s="25"/>
      <c r="Q505" s="17" t="s">
        <v>43</v>
      </c>
    </row>
    <row r="506" spans="2:17">
      <c r="B506" s="11" t="s">
        <v>55</v>
      </c>
      <c r="D506" s="6" t="s">
        <v>36</v>
      </c>
      <c r="E506" s="11" t="s">
        <v>47</v>
      </c>
      <c r="F506" s="11" t="s">
        <v>512</v>
      </c>
      <c r="G506" s="11" t="s">
        <v>553</v>
      </c>
      <c r="H506" s="18">
        <v>11.5</v>
      </c>
      <c r="I506" s="5" t="s">
        <v>52</v>
      </c>
      <c r="J506" s="19">
        <v>13</v>
      </c>
      <c r="K506" s="5" t="s">
        <v>49</v>
      </c>
      <c r="L506" s="5" t="s">
        <v>53</v>
      </c>
      <c r="M506" s="23" t="s">
        <v>513</v>
      </c>
      <c r="N506" s="25"/>
      <c r="O506" s="25"/>
      <c r="P506" s="25"/>
      <c r="Q506" s="17" t="s">
        <v>43</v>
      </c>
    </row>
    <row r="507" spans="2:17">
      <c r="B507" s="11" t="s">
        <v>55</v>
      </c>
      <c r="D507" s="6" t="s">
        <v>36</v>
      </c>
      <c r="E507" s="11" t="s">
        <v>47</v>
      </c>
      <c r="F507" s="11" t="s">
        <v>512</v>
      </c>
      <c r="G507" s="11" t="s">
        <v>554</v>
      </c>
      <c r="H507" s="18">
        <v>11.5</v>
      </c>
      <c r="I507" s="5" t="s">
        <v>52</v>
      </c>
      <c r="J507" s="19">
        <v>13</v>
      </c>
      <c r="K507" s="5" t="s">
        <v>49</v>
      </c>
      <c r="L507" s="5" t="s">
        <v>53</v>
      </c>
      <c r="M507" s="23" t="s">
        <v>513</v>
      </c>
      <c r="N507" s="25"/>
      <c r="O507" s="25"/>
      <c r="P507" s="25"/>
      <c r="Q507" s="17" t="s">
        <v>43</v>
      </c>
    </row>
    <row r="508" spans="2:17">
      <c r="B508" s="11" t="s">
        <v>55</v>
      </c>
      <c r="D508" s="6" t="s">
        <v>36</v>
      </c>
      <c r="E508" s="11" t="s">
        <v>47</v>
      </c>
      <c r="F508" s="11" t="s">
        <v>512</v>
      </c>
      <c r="G508" s="11" t="s">
        <v>555</v>
      </c>
      <c r="H508" s="18">
        <v>11.5</v>
      </c>
      <c r="I508" s="5" t="s">
        <v>52</v>
      </c>
      <c r="J508" s="19">
        <v>13</v>
      </c>
      <c r="K508" s="5" t="s">
        <v>49</v>
      </c>
      <c r="L508" s="5" t="s">
        <v>53</v>
      </c>
      <c r="M508" s="23" t="s">
        <v>513</v>
      </c>
      <c r="N508" s="25"/>
      <c r="O508" s="25"/>
      <c r="P508" s="25"/>
      <c r="Q508" s="17" t="s">
        <v>43</v>
      </c>
    </row>
    <row r="509" spans="2:17">
      <c r="B509" s="11" t="s">
        <v>55</v>
      </c>
      <c r="D509" s="6" t="s">
        <v>36</v>
      </c>
      <c r="E509" s="11" t="s">
        <v>47</v>
      </c>
      <c r="F509" s="11" t="s">
        <v>512</v>
      </c>
      <c r="G509" s="11" t="s">
        <v>556</v>
      </c>
      <c r="H509" s="18">
        <v>11.5</v>
      </c>
      <c r="I509" s="5" t="s">
        <v>52</v>
      </c>
      <c r="J509" s="19">
        <v>13</v>
      </c>
      <c r="K509" s="5" t="s">
        <v>49</v>
      </c>
      <c r="L509" s="5" t="s">
        <v>53</v>
      </c>
      <c r="M509" s="23" t="s">
        <v>513</v>
      </c>
      <c r="N509" s="25"/>
      <c r="O509" s="25"/>
      <c r="P509" s="25"/>
      <c r="Q509" s="17" t="s">
        <v>43</v>
      </c>
    </row>
    <row r="510" spans="2:17">
      <c r="B510" s="11" t="s">
        <v>55</v>
      </c>
      <c r="D510" s="6" t="s">
        <v>36</v>
      </c>
      <c r="E510" s="11" t="s">
        <v>47</v>
      </c>
      <c r="F510" s="11" t="s">
        <v>512</v>
      </c>
      <c r="G510" s="11" t="s">
        <v>557</v>
      </c>
      <c r="H510" s="18">
        <v>11.5</v>
      </c>
      <c r="I510" s="5" t="s">
        <v>52</v>
      </c>
      <c r="J510" s="19">
        <v>13</v>
      </c>
      <c r="K510" s="5" t="s">
        <v>49</v>
      </c>
      <c r="L510" s="5" t="s">
        <v>53</v>
      </c>
      <c r="M510" s="23" t="s">
        <v>513</v>
      </c>
      <c r="N510" s="25"/>
      <c r="O510" s="25"/>
      <c r="P510" s="25"/>
      <c r="Q510" s="17" t="s">
        <v>43</v>
      </c>
    </row>
    <row r="511" spans="2:17">
      <c r="B511" s="11" t="s">
        <v>55</v>
      </c>
      <c r="D511" s="6" t="s">
        <v>36</v>
      </c>
      <c r="E511" s="11" t="s">
        <v>47</v>
      </c>
      <c r="F511" s="11" t="s">
        <v>512</v>
      </c>
      <c r="G511" s="11" t="s">
        <v>558</v>
      </c>
      <c r="H511" s="18">
        <v>11.5</v>
      </c>
      <c r="I511" s="5" t="s">
        <v>52</v>
      </c>
      <c r="J511" s="19">
        <v>13</v>
      </c>
      <c r="K511" s="5" t="s">
        <v>49</v>
      </c>
      <c r="L511" s="5" t="s">
        <v>53</v>
      </c>
      <c r="M511" s="23" t="s">
        <v>513</v>
      </c>
      <c r="N511" s="25"/>
      <c r="O511" s="25"/>
      <c r="P511" s="25"/>
      <c r="Q511" s="17" t="s">
        <v>43</v>
      </c>
    </row>
    <row r="512" spans="2:17">
      <c r="B512" s="11" t="s">
        <v>55</v>
      </c>
      <c r="D512" s="6" t="s">
        <v>36</v>
      </c>
      <c r="E512" s="11" t="s">
        <v>47</v>
      </c>
      <c r="F512" s="11" t="s">
        <v>512</v>
      </c>
      <c r="G512" s="11" t="s">
        <v>559</v>
      </c>
      <c r="H512" s="18">
        <v>11.5</v>
      </c>
      <c r="I512" s="5" t="s">
        <v>52</v>
      </c>
      <c r="J512" s="19">
        <v>13</v>
      </c>
      <c r="K512" s="5" t="s">
        <v>49</v>
      </c>
      <c r="L512" s="5" t="s">
        <v>53</v>
      </c>
      <c r="M512" s="23" t="s">
        <v>513</v>
      </c>
      <c r="N512" s="25"/>
      <c r="O512" s="25"/>
      <c r="P512" s="25"/>
      <c r="Q512" s="17" t="s">
        <v>43</v>
      </c>
    </row>
    <row r="513" spans="2:17">
      <c r="B513" s="11" t="s">
        <v>55</v>
      </c>
      <c r="D513" s="6" t="s">
        <v>36</v>
      </c>
      <c r="E513" s="11" t="s">
        <v>47</v>
      </c>
      <c r="F513" s="11" t="s">
        <v>512</v>
      </c>
      <c r="G513" s="11" t="s">
        <v>560</v>
      </c>
      <c r="H513" s="18">
        <v>11.5</v>
      </c>
      <c r="I513" s="5" t="s">
        <v>52</v>
      </c>
      <c r="J513" s="19">
        <v>13</v>
      </c>
      <c r="K513" s="5" t="s">
        <v>49</v>
      </c>
      <c r="L513" s="5" t="s">
        <v>53</v>
      </c>
      <c r="M513" s="23" t="s">
        <v>513</v>
      </c>
      <c r="N513" s="25"/>
      <c r="O513" s="25"/>
      <c r="P513" s="25"/>
      <c r="Q513" s="17" t="s">
        <v>43</v>
      </c>
    </row>
    <row r="514" spans="2:17">
      <c r="B514" s="11" t="s">
        <v>55</v>
      </c>
      <c r="D514" s="6" t="s">
        <v>36</v>
      </c>
      <c r="E514" s="11" t="s">
        <v>47</v>
      </c>
      <c r="F514" s="11" t="s">
        <v>512</v>
      </c>
      <c r="G514" s="11" t="s">
        <v>561</v>
      </c>
      <c r="H514" s="18">
        <v>11.5</v>
      </c>
      <c r="I514" s="5" t="s">
        <v>52</v>
      </c>
      <c r="J514" s="19">
        <v>13</v>
      </c>
      <c r="K514" s="5" t="s">
        <v>49</v>
      </c>
      <c r="L514" s="5" t="s">
        <v>53</v>
      </c>
      <c r="M514" s="23" t="s">
        <v>513</v>
      </c>
      <c r="N514" s="25"/>
      <c r="O514" s="25"/>
      <c r="P514" s="25"/>
      <c r="Q514" s="17" t="s">
        <v>43</v>
      </c>
    </row>
    <row r="515" spans="2:17">
      <c r="B515" s="11" t="s">
        <v>55</v>
      </c>
      <c r="D515" s="6" t="s">
        <v>36</v>
      </c>
      <c r="E515" s="11" t="s">
        <v>47</v>
      </c>
      <c r="F515" s="11" t="s">
        <v>512</v>
      </c>
      <c r="G515" s="11" t="s">
        <v>562</v>
      </c>
      <c r="H515" s="18">
        <v>11.5</v>
      </c>
      <c r="I515" s="5" t="s">
        <v>52</v>
      </c>
      <c r="J515" s="19">
        <v>13</v>
      </c>
      <c r="K515" s="5" t="s">
        <v>49</v>
      </c>
      <c r="L515" s="5" t="s">
        <v>53</v>
      </c>
      <c r="M515" s="23" t="s">
        <v>513</v>
      </c>
      <c r="N515" s="25"/>
      <c r="O515" s="25"/>
      <c r="P515" s="25"/>
      <c r="Q515" s="17" t="s">
        <v>43</v>
      </c>
    </row>
    <row r="516" spans="2:17">
      <c r="B516" s="11" t="s">
        <v>55</v>
      </c>
      <c r="D516" s="6" t="s">
        <v>36</v>
      </c>
      <c r="E516" s="11" t="s">
        <v>47</v>
      </c>
      <c r="F516" s="11" t="s">
        <v>512</v>
      </c>
      <c r="G516" s="11" t="s">
        <v>563</v>
      </c>
      <c r="H516" s="18">
        <v>11.5</v>
      </c>
      <c r="I516" s="5" t="s">
        <v>52</v>
      </c>
      <c r="J516" s="19">
        <v>13</v>
      </c>
      <c r="K516" s="5" t="s">
        <v>49</v>
      </c>
      <c r="L516" s="5" t="s">
        <v>53</v>
      </c>
      <c r="M516" s="23" t="s">
        <v>513</v>
      </c>
      <c r="N516" s="25"/>
      <c r="O516" s="25"/>
      <c r="P516" s="25"/>
      <c r="Q516" s="17" t="s">
        <v>43</v>
      </c>
    </row>
    <row r="517" spans="2:17">
      <c r="B517" s="11" t="s">
        <v>55</v>
      </c>
      <c r="D517" s="6" t="s">
        <v>36</v>
      </c>
      <c r="E517" s="11" t="s">
        <v>47</v>
      </c>
      <c r="F517" s="11" t="s">
        <v>512</v>
      </c>
      <c r="G517" s="11" t="s">
        <v>564</v>
      </c>
      <c r="H517" s="18">
        <v>11.5</v>
      </c>
      <c r="I517" s="5" t="s">
        <v>52</v>
      </c>
      <c r="J517" s="19">
        <v>13</v>
      </c>
      <c r="K517" s="5" t="s">
        <v>49</v>
      </c>
      <c r="L517" s="5" t="s">
        <v>53</v>
      </c>
      <c r="M517" s="23" t="s">
        <v>513</v>
      </c>
      <c r="N517" s="25"/>
      <c r="O517" s="25"/>
      <c r="P517" s="25"/>
      <c r="Q517" s="17" t="s">
        <v>43</v>
      </c>
    </row>
    <row r="518" spans="2:17">
      <c r="B518" s="11" t="s">
        <v>55</v>
      </c>
      <c r="D518" s="6" t="s">
        <v>36</v>
      </c>
      <c r="E518" s="11" t="s">
        <v>47</v>
      </c>
      <c r="F518" s="11" t="s">
        <v>512</v>
      </c>
      <c r="G518" s="11" t="s">
        <v>565</v>
      </c>
      <c r="H518" s="18">
        <v>11.5</v>
      </c>
      <c r="I518" s="5" t="s">
        <v>52</v>
      </c>
      <c r="J518" s="19">
        <v>13</v>
      </c>
      <c r="K518" s="5" t="s">
        <v>49</v>
      </c>
      <c r="L518" s="5" t="s">
        <v>53</v>
      </c>
      <c r="M518" s="23" t="s">
        <v>513</v>
      </c>
      <c r="N518" s="25"/>
      <c r="O518" s="25"/>
      <c r="P518" s="25"/>
      <c r="Q518" s="17" t="s">
        <v>43</v>
      </c>
    </row>
    <row r="520" spans="2:17">
      <c r="B520" s="11" t="s">
        <v>50</v>
      </c>
      <c r="D520" s="6" t="s">
        <v>36</v>
      </c>
      <c r="E520" s="11" t="s">
        <v>47</v>
      </c>
      <c r="F520" s="11" t="s">
        <v>566</v>
      </c>
      <c r="G520" s="11"/>
      <c r="H520" s="18">
        <v>598</v>
      </c>
      <c r="I520" s="5" t="s">
        <v>52</v>
      </c>
      <c r="J520" s="19">
        <v>338</v>
      </c>
      <c r="K520" s="5" t="s">
        <v>49</v>
      </c>
      <c r="L520" s="5" t="s">
        <v>53</v>
      </c>
      <c r="M520" s="23" t="s">
        <v>567</v>
      </c>
      <c r="N520" s="25">
        <v>5500</v>
      </c>
      <c r="O520" s="25">
        <v>4</v>
      </c>
      <c r="P520" s="25">
        <v>4</v>
      </c>
      <c r="Q520" s="17" t="s">
        <v>43</v>
      </c>
    </row>
    <row r="521" spans="2:17">
      <c r="B521" s="11" t="s">
        <v>55</v>
      </c>
      <c r="D521" s="6" t="s">
        <v>36</v>
      </c>
      <c r="E521" s="11" t="s">
        <v>47</v>
      </c>
      <c r="F521" s="11" t="s">
        <v>566</v>
      </c>
      <c r="G521" s="11" t="s">
        <v>568</v>
      </c>
      <c r="H521" s="18">
        <v>11.5</v>
      </c>
      <c r="I521" s="5" t="s">
        <v>52</v>
      </c>
      <c r="J521" s="19">
        <v>13</v>
      </c>
      <c r="K521" s="5" t="s">
        <v>49</v>
      </c>
      <c r="L521" s="5" t="s">
        <v>53</v>
      </c>
      <c r="M521" s="23" t="s">
        <v>567</v>
      </c>
      <c r="N521" s="25"/>
      <c r="O521" s="25"/>
      <c r="P521" s="25"/>
      <c r="Q521" s="17" t="s">
        <v>43</v>
      </c>
    </row>
    <row r="522" spans="2:17">
      <c r="B522" s="11" t="s">
        <v>55</v>
      </c>
      <c r="D522" s="6" t="s">
        <v>36</v>
      </c>
      <c r="E522" s="11" t="s">
        <v>47</v>
      </c>
      <c r="F522" s="11" t="s">
        <v>566</v>
      </c>
      <c r="G522" s="11" t="s">
        <v>569</v>
      </c>
      <c r="H522" s="18">
        <v>11.5</v>
      </c>
      <c r="I522" s="5" t="s">
        <v>52</v>
      </c>
      <c r="J522" s="19">
        <v>13</v>
      </c>
      <c r="K522" s="5" t="s">
        <v>49</v>
      </c>
      <c r="L522" s="5" t="s">
        <v>53</v>
      </c>
      <c r="M522" s="23" t="s">
        <v>567</v>
      </c>
      <c r="N522" s="25"/>
      <c r="O522" s="25"/>
      <c r="P522" s="25"/>
      <c r="Q522" s="17" t="s">
        <v>43</v>
      </c>
    </row>
    <row r="523" spans="2:17">
      <c r="B523" s="11" t="s">
        <v>55</v>
      </c>
      <c r="D523" s="6" t="s">
        <v>36</v>
      </c>
      <c r="E523" s="11" t="s">
        <v>47</v>
      </c>
      <c r="F523" s="11" t="s">
        <v>566</v>
      </c>
      <c r="G523" s="11" t="s">
        <v>570</v>
      </c>
      <c r="H523" s="18">
        <v>11.5</v>
      </c>
      <c r="I523" s="5" t="s">
        <v>52</v>
      </c>
      <c r="J523" s="19">
        <v>13</v>
      </c>
      <c r="K523" s="5" t="s">
        <v>49</v>
      </c>
      <c r="L523" s="5" t="s">
        <v>53</v>
      </c>
      <c r="M523" s="23" t="s">
        <v>567</v>
      </c>
      <c r="N523" s="25"/>
      <c r="O523" s="25"/>
      <c r="P523" s="25"/>
      <c r="Q523" s="17" t="s">
        <v>43</v>
      </c>
    </row>
    <row r="524" spans="2:17">
      <c r="B524" s="11" t="s">
        <v>55</v>
      </c>
      <c r="D524" s="6" t="s">
        <v>36</v>
      </c>
      <c r="E524" s="11" t="s">
        <v>47</v>
      </c>
      <c r="F524" s="11" t="s">
        <v>566</v>
      </c>
      <c r="G524" s="11" t="s">
        <v>571</v>
      </c>
      <c r="H524" s="18">
        <v>11.5</v>
      </c>
      <c r="I524" s="5" t="s">
        <v>52</v>
      </c>
      <c r="J524" s="19">
        <v>13</v>
      </c>
      <c r="K524" s="5" t="s">
        <v>49</v>
      </c>
      <c r="L524" s="5" t="s">
        <v>53</v>
      </c>
      <c r="M524" s="23" t="s">
        <v>567</v>
      </c>
      <c r="N524" s="25"/>
      <c r="O524" s="25"/>
      <c r="P524" s="25"/>
      <c r="Q524" s="17" t="s">
        <v>43</v>
      </c>
    </row>
    <row r="525" spans="2:17">
      <c r="B525" s="11" t="s">
        <v>55</v>
      </c>
      <c r="D525" s="6" t="s">
        <v>36</v>
      </c>
      <c r="E525" s="11" t="s">
        <v>47</v>
      </c>
      <c r="F525" s="11" t="s">
        <v>566</v>
      </c>
      <c r="G525" s="11" t="s">
        <v>572</v>
      </c>
      <c r="H525" s="18">
        <v>11.5</v>
      </c>
      <c r="I525" s="5" t="s">
        <v>52</v>
      </c>
      <c r="J525" s="19">
        <v>13</v>
      </c>
      <c r="K525" s="5" t="s">
        <v>49</v>
      </c>
      <c r="L525" s="5" t="s">
        <v>53</v>
      </c>
      <c r="M525" s="23" t="s">
        <v>567</v>
      </c>
      <c r="N525" s="25"/>
      <c r="O525" s="25"/>
      <c r="P525" s="25"/>
      <c r="Q525" s="17" t="s">
        <v>43</v>
      </c>
    </row>
    <row r="526" spans="2:17">
      <c r="B526" s="11" t="s">
        <v>55</v>
      </c>
      <c r="D526" s="6" t="s">
        <v>36</v>
      </c>
      <c r="E526" s="11" t="s">
        <v>47</v>
      </c>
      <c r="F526" s="11" t="s">
        <v>566</v>
      </c>
      <c r="G526" s="11" t="s">
        <v>573</v>
      </c>
      <c r="H526" s="18">
        <v>11.5</v>
      </c>
      <c r="I526" s="5" t="s">
        <v>52</v>
      </c>
      <c r="J526" s="19">
        <v>13</v>
      </c>
      <c r="K526" s="5" t="s">
        <v>49</v>
      </c>
      <c r="L526" s="5" t="s">
        <v>53</v>
      </c>
      <c r="M526" s="23" t="s">
        <v>567</v>
      </c>
      <c r="N526" s="25"/>
      <c r="O526" s="25"/>
      <c r="P526" s="25"/>
      <c r="Q526" s="17" t="s">
        <v>43</v>
      </c>
    </row>
    <row r="527" spans="2:17">
      <c r="B527" s="11" t="s">
        <v>55</v>
      </c>
      <c r="D527" s="6" t="s">
        <v>36</v>
      </c>
      <c r="E527" s="11" t="s">
        <v>47</v>
      </c>
      <c r="F527" s="11" t="s">
        <v>566</v>
      </c>
      <c r="G527" s="11" t="s">
        <v>574</v>
      </c>
      <c r="H527" s="18">
        <v>11.5</v>
      </c>
      <c r="I527" s="5" t="s">
        <v>52</v>
      </c>
      <c r="J527" s="19">
        <v>13</v>
      </c>
      <c r="K527" s="5" t="s">
        <v>49</v>
      </c>
      <c r="L527" s="5" t="s">
        <v>53</v>
      </c>
      <c r="M527" s="23" t="s">
        <v>567</v>
      </c>
      <c r="N527" s="25"/>
      <c r="O527" s="25"/>
      <c r="P527" s="25"/>
      <c r="Q527" s="17" t="s">
        <v>43</v>
      </c>
    </row>
    <row r="528" spans="2:17">
      <c r="B528" s="11" t="s">
        <v>55</v>
      </c>
      <c r="D528" s="6" t="s">
        <v>36</v>
      </c>
      <c r="E528" s="11" t="s">
        <v>47</v>
      </c>
      <c r="F528" s="11" t="s">
        <v>566</v>
      </c>
      <c r="G528" s="11" t="s">
        <v>575</v>
      </c>
      <c r="H528" s="18">
        <v>11.5</v>
      </c>
      <c r="I528" s="5" t="s">
        <v>52</v>
      </c>
      <c r="J528" s="19">
        <v>13</v>
      </c>
      <c r="K528" s="5" t="s">
        <v>49</v>
      </c>
      <c r="L528" s="5" t="s">
        <v>53</v>
      </c>
      <c r="M528" s="23" t="s">
        <v>567</v>
      </c>
      <c r="N528" s="25"/>
      <c r="O528" s="25"/>
      <c r="P528" s="25"/>
      <c r="Q528" s="17" t="s">
        <v>43</v>
      </c>
    </row>
    <row r="529" spans="2:17">
      <c r="B529" s="11" t="s">
        <v>55</v>
      </c>
      <c r="D529" s="6" t="s">
        <v>36</v>
      </c>
      <c r="E529" s="11" t="s">
        <v>47</v>
      </c>
      <c r="F529" s="11" t="s">
        <v>566</v>
      </c>
      <c r="G529" s="11" t="s">
        <v>576</v>
      </c>
      <c r="H529" s="18">
        <v>11.5</v>
      </c>
      <c r="I529" s="5" t="s">
        <v>52</v>
      </c>
      <c r="J529" s="19">
        <v>13</v>
      </c>
      <c r="K529" s="5" t="s">
        <v>49</v>
      </c>
      <c r="L529" s="5" t="s">
        <v>53</v>
      </c>
      <c r="M529" s="23" t="s">
        <v>567</v>
      </c>
      <c r="N529" s="25"/>
      <c r="O529" s="25"/>
      <c r="P529" s="25"/>
      <c r="Q529" s="17" t="s">
        <v>43</v>
      </c>
    </row>
    <row r="530" spans="2:17">
      <c r="B530" s="11" t="s">
        <v>55</v>
      </c>
      <c r="D530" s="6" t="s">
        <v>36</v>
      </c>
      <c r="E530" s="11" t="s">
        <v>47</v>
      </c>
      <c r="F530" s="11" t="s">
        <v>566</v>
      </c>
      <c r="G530" s="11" t="s">
        <v>577</v>
      </c>
      <c r="H530" s="18">
        <v>11.5</v>
      </c>
      <c r="I530" s="5" t="s">
        <v>52</v>
      </c>
      <c r="J530" s="19">
        <v>13</v>
      </c>
      <c r="K530" s="5" t="s">
        <v>49</v>
      </c>
      <c r="L530" s="5" t="s">
        <v>53</v>
      </c>
      <c r="M530" s="23" t="s">
        <v>567</v>
      </c>
      <c r="N530" s="25"/>
      <c r="O530" s="25"/>
      <c r="P530" s="25"/>
      <c r="Q530" s="17" t="s">
        <v>43</v>
      </c>
    </row>
    <row r="531" spans="2:17">
      <c r="B531" s="11" t="s">
        <v>55</v>
      </c>
      <c r="D531" s="6" t="s">
        <v>36</v>
      </c>
      <c r="E531" s="11" t="s">
        <v>47</v>
      </c>
      <c r="F531" s="11" t="s">
        <v>566</v>
      </c>
      <c r="G531" s="11" t="s">
        <v>578</v>
      </c>
      <c r="H531" s="18">
        <v>11.5</v>
      </c>
      <c r="I531" s="5" t="s">
        <v>52</v>
      </c>
      <c r="J531" s="19">
        <v>13</v>
      </c>
      <c r="K531" s="5" t="s">
        <v>49</v>
      </c>
      <c r="L531" s="5" t="s">
        <v>53</v>
      </c>
      <c r="M531" s="23" t="s">
        <v>567</v>
      </c>
      <c r="N531" s="25"/>
      <c r="O531" s="25"/>
      <c r="P531" s="25"/>
      <c r="Q531" s="17" t="s">
        <v>43</v>
      </c>
    </row>
    <row r="532" spans="2:17">
      <c r="B532" s="11" t="s">
        <v>55</v>
      </c>
      <c r="D532" s="6" t="s">
        <v>36</v>
      </c>
      <c r="E532" s="11" t="s">
        <v>47</v>
      </c>
      <c r="F532" s="11" t="s">
        <v>566</v>
      </c>
      <c r="G532" s="11" t="s">
        <v>579</v>
      </c>
      <c r="H532" s="18">
        <v>11.5</v>
      </c>
      <c r="I532" s="5" t="s">
        <v>52</v>
      </c>
      <c r="J532" s="19">
        <v>13</v>
      </c>
      <c r="K532" s="5" t="s">
        <v>49</v>
      </c>
      <c r="L532" s="5" t="s">
        <v>53</v>
      </c>
      <c r="M532" s="23" t="s">
        <v>567</v>
      </c>
      <c r="N532" s="25"/>
      <c r="O532" s="25"/>
      <c r="P532" s="25"/>
      <c r="Q532" s="17" t="s">
        <v>43</v>
      </c>
    </row>
    <row r="533" spans="2:17">
      <c r="B533" s="11" t="s">
        <v>55</v>
      </c>
      <c r="D533" s="6" t="s">
        <v>36</v>
      </c>
      <c r="E533" s="11" t="s">
        <v>47</v>
      </c>
      <c r="F533" s="11" t="s">
        <v>566</v>
      </c>
      <c r="G533" s="11" t="s">
        <v>580</v>
      </c>
      <c r="H533" s="18">
        <v>11.5</v>
      </c>
      <c r="I533" s="5" t="s">
        <v>52</v>
      </c>
      <c r="J533" s="19">
        <v>13</v>
      </c>
      <c r="K533" s="5" t="s">
        <v>49</v>
      </c>
      <c r="L533" s="5" t="s">
        <v>53</v>
      </c>
      <c r="M533" s="23" t="s">
        <v>567</v>
      </c>
      <c r="N533" s="25"/>
      <c r="O533" s="25"/>
      <c r="P533" s="25"/>
      <c r="Q533" s="17" t="s">
        <v>43</v>
      </c>
    </row>
    <row r="534" spans="2:17">
      <c r="B534" s="11" t="s">
        <v>55</v>
      </c>
      <c r="D534" s="6" t="s">
        <v>36</v>
      </c>
      <c r="E534" s="11" t="s">
        <v>47</v>
      </c>
      <c r="F534" s="11" t="s">
        <v>566</v>
      </c>
      <c r="G534" s="11" t="s">
        <v>581</v>
      </c>
      <c r="H534" s="18">
        <v>11.5</v>
      </c>
      <c r="I534" s="5" t="s">
        <v>52</v>
      </c>
      <c r="J534" s="19">
        <v>13</v>
      </c>
      <c r="K534" s="5" t="s">
        <v>49</v>
      </c>
      <c r="L534" s="5" t="s">
        <v>53</v>
      </c>
      <c r="M534" s="23" t="s">
        <v>567</v>
      </c>
      <c r="N534" s="25"/>
      <c r="O534" s="25"/>
      <c r="P534" s="25"/>
      <c r="Q534" s="17" t="s">
        <v>43</v>
      </c>
    </row>
    <row r="535" spans="2:17">
      <c r="B535" s="11" t="s">
        <v>55</v>
      </c>
      <c r="D535" s="6" t="s">
        <v>36</v>
      </c>
      <c r="E535" s="11" t="s">
        <v>47</v>
      </c>
      <c r="F535" s="11" t="s">
        <v>566</v>
      </c>
      <c r="G535" s="11" t="s">
        <v>582</v>
      </c>
      <c r="H535" s="18">
        <v>11.5</v>
      </c>
      <c r="I535" s="5" t="s">
        <v>52</v>
      </c>
      <c r="J535" s="19">
        <v>13</v>
      </c>
      <c r="K535" s="5" t="s">
        <v>49</v>
      </c>
      <c r="L535" s="5" t="s">
        <v>53</v>
      </c>
      <c r="M535" s="23" t="s">
        <v>567</v>
      </c>
      <c r="N535" s="25"/>
      <c r="O535" s="25"/>
      <c r="P535" s="25"/>
      <c r="Q535" s="17" t="s">
        <v>43</v>
      </c>
    </row>
    <row r="536" spans="2:17">
      <c r="B536" s="11" t="s">
        <v>55</v>
      </c>
      <c r="D536" s="6" t="s">
        <v>36</v>
      </c>
      <c r="E536" s="11" t="s">
        <v>47</v>
      </c>
      <c r="F536" s="11" t="s">
        <v>566</v>
      </c>
      <c r="G536" s="11" t="s">
        <v>583</v>
      </c>
      <c r="H536" s="18">
        <v>11.5</v>
      </c>
      <c r="I536" s="5" t="s">
        <v>52</v>
      </c>
      <c r="J536" s="19">
        <v>13</v>
      </c>
      <c r="K536" s="5" t="s">
        <v>49</v>
      </c>
      <c r="L536" s="5" t="s">
        <v>53</v>
      </c>
      <c r="M536" s="23" t="s">
        <v>567</v>
      </c>
      <c r="N536" s="25"/>
      <c r="O536" s="25"/>
      <c r="P536" s="25"/>
      <c r="Q536" s="17" t="s">
        <v>43</v>
      </c>
    </row>
    <row r="537" spans="2:17">
      <c r="B537" s="11" t="s">
        <v>55</v>
      </c>
      <c r="D537" s="6" t="s">
        <v>36</v>
      </c>
      <c r="E537" s="11" t="s">
        <v>47</v>
      </c>
      <c r="F537" s="11" t="s">
        <v>566</v>
      </c>
      <c r="G537" s="11" t="s">
        <v>584</v>
      </c>
      <c r="H537" s="18">
        <v>11.5</v>
      </c>
      <c r="I537" s="5" t="s">
        <v>52</v>
      </c>
      <c r="J537" s="19">
        <v>13</v>
      </c>
      <c r="K537" s="5" t="s">
        <v>49</v>
      </c>
      <c r="L537" s="5" t="s">
        <v>53</v>
      </c>
      <c r="M537" s="23" t="s">
        <v>567</v>
      </c>
      <c r="N537" s="25"/>
      <c r="O537" s="25"/>
      <c r="P537" s="25"/>
      <c r="Q537" s="17" t="s">
        <v>43</v>
      </c>
    </row>
    <row r="538" spans="2:17">
      <c r="B538" s="11" t="s">
        <v>55</v>
      </c>
      <c r="D538" s="6" t="s">
        <v>36</v>
      </c>
      <c r="E538" s="11" t="s">
        <v>47</v>
      </c>
      <c r="F538" s="11" t="s">
        <v>566</v>
      </c>
      <c r="G538" s="11" t="s">
        <v>585</v>
      </c>
      <c r="H538" s="18">
        <v>11.5</v>
      </c>
      <c r="I538" s="5" t="s">
        <v>52</v>
      </c>
      <c r="J538" s="19">
        <v>13</v>
      </c>
      <c r="K538" s="5" t="s">
        <v>49</v>
      </c>
      <c r="L538" s="5" t="s">
        <v>53</v>
      </c>
      <c r="M538" s="23" t="s">
        <v>567</v>
      </c>
      <c r="N538" s="25"/>
      <c r="O538" s="25"/>
      <c r="P538" s="25"/>
      <c r="Q538" s="17" t="s">
        <v>43</v>
      </c>
    </row>
    <row r="539" spans="2:17">
      <c r="B539" s="11" t="s">
        <v>55</v>
      </c>
      <c r="D539" s="6" t="s">
        <v>36</v>
      </c>
      <c r="E539" s="11" t="s">
        <v>47</v>
      </c>
      <c r="F539" s="11" t="s">
        <v>566</v>
      </c>
      <c r="G539" s="11" t="s">
        <v>586</v>
      </c>
      <c r="H539" s="18">
        <v>11.5</v>
      </c>
      <c r="I539" s="5" t="s">
        <v>52</v>
      </c>
      <c r="J539" s="19">
        <v>13</v>
      </c>
      <c r="K539" s="5" t="s">
        <v>49</v>
      </c>
      <c r="L539" s="5" t="s">
        <v>53</v>
      </c>
      <c r="M539" s="23" t="s">
        <v>567</v>
      </c>
      <c r="N539" s="25"/>
      <c r="O539" s="25"/>
      <c r="P539" s="25"/>
      <c r="Q539" s="17" t="s">
        <v>43</v>
      </c>
    </row>
    <row r="540" spans="2:17">
      <c r="B540" s="11" t="s">
        <v>55</v>
      </c>
      <c r="D540" s="6" t="s">
        <v>36</v>
      </c>
      <c r="E540" s="11" t="s">
        <v>47</v>
      </c>
      <c r="F540" s="11" t="s">
        <v>566</v>
      </c>
      <c r="G540" s="11" t="s">
        <v>587</v>
      </c>
      <c r="H540" s="18">
        <v>11.5</v>
      </c>
      <c r="I540" s="5" t="s">
        <v>52</v>
      </c>
      <c r="J540" s="19">
        <v>13</v>
      </c>
      <c r="K540" s="5" t="s">
        <v>49</v>
      </c>
      <c r="L540" s="5" t="s">
        <v>53</v>
      </c>
      <c r="M540" s="23" t="s">
        <v>567</v>
      </c>
      <c r="N540" s="25"/>
      <c r="O540" s="25"/>
      <c r="P540" s="25"/>
      <c r="Q540" s="17" t="s">
        <v>43</v>
      </c>
    </row>
    <row r="541" spans="2:17">
      <c r="B541" s="11" t="s">
        <v>55</v>
      </c>
      <c r="D541" s="6" t="s">
        <v>36</v>
      </c>
      <c r="E541" s="11" t="s">
        <v>47</v>
      </c>
      <c r="F541" s="11" t="s">
        <v>566</v>
      </c>
      <c r="G541" s="11" t="s">
        <v>588</v>
      </c>
      <c r="H541" s="18">
        <v>11.5</v>
      </c>
      <c r="I541" s="5" t="s">
        <v>52</v>
      </c>
      <c r="J541" s="19">
        <v>13</v>
      </c>
      <c r="K541" s="5" t="s">
        <v>49</v>
      </c>
      <c r="L541" s="5" t="s">
        <v>53</v>
      </c>
      <c r="M541" s="23" t="s">
        <v>567</v>
      </c>
      <c r="N541" s="25"/>
      <c r="O541" s="25"/>
      <c r="P541" s="25"/>
      <c r="Q541" s="17" t="s">
        <v>43</v>
      </c>
    </row>
    <row r="542" spans="2:17">
      <c r="B542" s="11" t="s">
        <v>55</v>
      </c>
      <c r="D542" s="6" t="s">
        <v>36</v>
      </c>
      <c r="E542" s="11" t="s">
        <v>47</v>
      </c>
      <c r="F542" s="11" t="s">
        <v>566</v>
      </c>
      <c r="G542" s="11" t="s">
        <v>589</v>
      </c>
      <c r="H542" s="18">
        <v>11.5</v>
      </c>
      <c r="I542" s="5" t="s">
        <v>52</v>
      </c>
      <c r="J542" s="19">
        <v>13</v>
      </c>
      <c r="K542" s="5" t="s">
        <v>49</v>
      </c>
      <c r="L542" s="5" t="s">
        <v>53</v>
      </c>
      <c r="M542" s="23" t="s">
        <v>567</v>
      </c>
      <c r="N542" s="25"/>
      <c r="O542" s="25"/>
      <c r="P542" s="25"/>
      <c r="Q542" s="17" t="s">
        <v>43</v>
      </c>
    </row>
    <row r="543" spans="2:17">
      <c r="B543" s="11" t="s">
        <v>55</v>
      </c>
      <c r="D543" s="6" t="s">
        <v>36</v>
      </c>
      <c r="E543" s="11" t="s">
        <v>47</v>
      </c>
      <c r="F543" s="11" t="s">
        <v>566</v>
      </c>
      <c r="G543" s="11" t="s">
        <v>590</v>
      </c>
      <c r="H543" s="18">
        <v>11.5</v>
      </c>
      <c r="I543" s="5" t="s">
        <v>52</v>
      </c>
      <c r="J543" s="19">
        <v>13</v>
      </c>
      <c r="K543" s="5" t="s">
        <v>49</v>
      </c>
      <c r="L543" s="5" t="s">
        <v>53</v>
      </c>
      <c r="M543" s="23" t="s">
        <v>567</v>
      </c>
      <c r="N543" s="25"/>
      <c r="O543" s="25"/>
      <c r="P543" s="25"/>
      <c r="Q543" s="17" t="s">
        <v>43</v>
      </c>
    </row>
    <row r="544" spans="2:17">
      <c r="B544" s="11" t="s">
        <v>55</v>
      </c>
      <c r="D544" s="6" t="s">
        <v>36</v>
      </c>
      <c r="E544" s="11" t="s">
        <v>47</v>
      </c>
      <c r="F544" s="11" t="s">
        <v>566</v>
      </c>
      <c r="G544" s="11" t="s">
        <v>591</v>
      </c>
      <c r="H544" s="18">
        <v>11.5</v>
      </c>
      <c r="I544" s="5" t="s">
        <v>52</v>
      </c>
      <c r="J544" s="19">
        <v>13</v>
      </c>
      <c r="K544" s="5" t="s">
        <v>49</v>
      </c>
      <c r="L544" s="5" t="s">
        <v>53</v>
      </c>
      <c r="M544" s="23" t="s">
        <v>567</v>
      </c>
      <c r="N544" s="25"/>
      <c r="O544" s="25"/>
      <c r="P544" s="25"/>
      <c r="Q544" s="17" t="s">
        <v>43</v>
      </c>
    </row>
    <row r="545" spans="2:17">
      <c r="B545" s="11" t="s">
        <v>55</v>
      </c>
      <c r="D545" s="6" t="s">
        <v>36</v>
      </c>
      <c r="E545" s="11" t="s">
        <v>47</v>
      </c>
      <c r="F545" s="11" t="s">
        <v>566</v>
      </c>
      <c r="G545" s="11" t="s">
        <v>592</v>
      </c>
      <c r="H545" s="18">
        <v>11.5</v>
      </c>
      <c r="I545" s="5" t="s">
        <v>52</v>
      </c>
      <c r="J545" s="19">
        <v>13</v>
      </c>
      <c r="K545" s="5" t="s">
        <v>49</v>
      </c>
      <c r="L545" s="5" t="s">
        <v>53</v>
      </c>
      <c r="M545" s="23" t="s">
        <v>567</v>
      </c>
      <c r="N545" s="25"/>
      <c r="O545" s="25"/>
      <c r="P545" s="25"/>
      <c r="Q545" s="17" t="s">
        <v>43</v>
      </c>
    </row>
    <row r="546" spans="2:17">
      <c r="B546" s="11" t="s">
        <v>55</v>
      </c>
      <c r="D546" s="6" t="s">
        <v>36</v>
      </c>
      <c r="E546" s="11" t="s">
        <v>47</v>
      </c>
      <c r="F546" s="11" t="s">
        <v>566</v>
      </c>
      <c r="G546" s="11" t="s">
        <v>593</v>
      </c>
      <c r="H546" s="18">
        <v>11.5</v>
      </c>
      <c r="I546" s="5" t="s">
        <v>52</v>
      </c>
      <c r="J546" s="19">
        <v>13</v>
      </c>
      <c r="K546" s="5" t="s">
        <v>49</v>
      </c>
      <c r="L546" s="5" t="s">
        <v>53</v>
      </c>
      <c r="M546" s="23" t="s">
        <v>567</v>
      </c>
      <c r="N546" s="25"/>
      <c r="O546" s="25"/>
      <c r="P546" s="25"/>
      <c r="Q546" s="17" t="s">
        <v>43</v>
      </c>
    </row>
  </sheetData>
  <autoFilter ref="C1:C546" xr:uid="{C2D61CBE-60C0-4310-9952-F4BCAA75FA6E}"/>
  <mergeCells count="39">
    <mergeCell ref="N7:N47"/>
    <mergeCell ref="O7:O47"/>
    <mergeCell ref="P7:P47"/>
    <mergeCell ref="N50:N90"/>
    <mergeCell ref="O50:O90"/>
    <mergeCell ref="P50:P90"/>
    <mergeCell ref="N92:N132"/>
    <mergeCell ref="O92:O132"/>
    <mergeCell ref="P92:P132"/>
    <mergeCell ref="N134:N174"/>
    <mergeCell ref="O134:O174"/>
    <mergeCell ref="P134:P174"/>
    <mergeCell ref="N176:N216"/>
    <mergeCell ref="O176:O216"/>
    <mergeCell ref="P176:P216"/>
    <mergeCell ref="N218:N258"/>
    <mergeCell ref="O218:O258"/>
    <mergeCell ref="P218:P258"/>
    <mergeCell ref="N260:N300"/>
    <mergeCell ref="O260:O300"/>
    <mergeCell ref="P260:P300"/>
    <mergeCell ref="N302:N342"/>
    <mergeCell ref="O302:O342"/>
    <mergeCell ref="P302:P342"/>
    <mergeCell ref="N344:N384"/>
    <mergeCell ref="O344:O384"/>
    <mergeCell ref="P344:P384"/>
    <mergeCell ref="N386:N438"/>
    <mergeCell ref="O386:O438"/>
    <mergeCell ref="P386:P438"/>
    <mergeCell ref="N520:N546"/>
    <mergeCell ref="O520:O546"/>
    <mergeCell ref="P520:P546"/>
    <mergeCell ref="N440:N464"/>
    <mergeCell ref="O440:O464"/>
    <mergeCell ref="P440:P464"/>
    <mergeCell ref="N466:N518"/>
    <mergeCell ref="O466:O518"/>
    <mergeCell ref="P466:P518"/>
  </mergeCells>
  <dataValidations count="4">
    <dataValidation type="list" allowBlank="1" showInputMessage="1" showErrorMessage="1" sqref="B5:B216 B218:B258 B260:B300 B302:B342 B344:B384 B386:B438 B440:B518 B520:B546" xr:uid="{AA75F852-4B17-4256-85D5-84727C482E77}">
      <formula1>"MAIN FARM, SHED/HOUSE, PEN, CAGE, STORE, QUARANTINE, SILO"</formula1>
    </dataValidation>
    <dataValidation type="list" allowBlank="1" showInputMessage="1" showErrorMessage="1" sqref="M5 M259 L5:L300 L302:L342 L344:L384 L386:L438 L440:L518 L520:L546" xr:uid="{4CFFB42F-38FE-4C19-9C58-41DCAA13E817}">
      <formula1>"STORE, SILO"</formula1>
    </dataValidation>
    <dataValidation type="list" allowBlank="1" showInputMessage="1" showErrorMessage="1" sqref="I5:I384 I386:I438 I440:I518 I520:I546" xr:uid="{80187286-1AA5-4FB2-B662-6D75E9073251}">
      <formula1>"M2-Square Meter, FT2-Square Foot, YD2- Square Yard, ACRE, HECTARE"</formula1>
    </dataValidation>
    <dataValidation type="list" allowBlank="1" showInputMessage="1" showErrorMessage="1" sqref="B217 B259 B301 B343" xr:uid="{228FAD6C-681E-4816-B437-266EC9E8A817}">
      <formula1>"MAIN FARM, SHED, PEN, CAGE, STORE, QUARANTINE, SILO"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72B9-5E62-4A3E-BA4C-96016B8DA251}">
  <dimension ref="A1:Q653"/>
  <sheetViews>
    <sheetView topLeftCell="A207" workbookViewId="0">
      <selection activeCell="P301" sqref="P301"/>
    </sheetView>
  </sheetViews>
  <sheetFormatPr defaultColWidth="53.28515625" defaultRowHeight="12"/>
  <cols>
    <col min="1" max="1" width="12.42578125" style="5" bestFit="1" customWidth="1"/>
    <col min="2" max="2" width="16.140625" style="5" bestFit="1" customWidth="1"/>
    <col min="3" max="3" width="29.85546875" style="5" bestFit="1" customWidth="1"/>
    <col min="4" max="4" width="15.42578125" style="5" customWidth="1"/>
    <col min="5" max="5" width="22" style="5" customWidth="1"/>
    <col min="6" max="6" width="13.7109375" style="5" customWidth="1"/>
    <col min="7" max="7" width="12" style="5" bestFit="1" customWidth="1"/>
    <col min="8" max="8" width="11.42578125" style="5" bestFit="1" customWidth="1"/>
    <col min="9" max="9" width="18.28515625" style="5" customWidth="1"/>
    <col min="10" max="10" width="17.85546875" style="5" customWidth="1"/>
    <col min="11" max="11" width="21.28515625" style="5" customWidth="1"/>
    <col min="12" max="12" width="13.85546875" style="5" bestFit="1" customWidth="1"/>
    <col min="13" max="13" width="13.85546875" style="5" customWidth="1"/>
    <col min="14" max="16" width="24.140625" style="5" customWidth="1"/>
    <col min="17" max="17" width="20.42578125" style="5" customWidth="1"/>
    <col min="18" max="16384" width="53.28515625" style="5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5" t="s">
        <v>15</v>
      </c>
    </row>
    <row r="2" spans="1:17" ht="50.25">
      <c r="A2" s="1" t="s">
        <v>16</v>
      </c>
      <c r="B2" s="6" t="s">
        <v>17</v>
      </c>
      <c r="C2" s="7" t="s">
        <v>18</v>
      </c>
      <c r="D2" s="6" t="s">
        <v>19</v>
      </c>
      <c r="E2" s="6" t="s">
        <v>594</v>
      </c>
      <c r="F2" s="6" t="s">
        <v>21</v>
      </c>
      <c r="G2" s="6" t="s">
        <v>22</v>
      </c>
      <c r="H2" s="6" t="s">
        <v>23</v>
      </c>
      <c r="I2" s="8" t="s">
        <v>24</v>
      </c>
      <c r="J2" s="6" t="s">
        <v>25</v>
      </c>
      <c r="K2" s="8" t="s">
        <v>26</v>
      </c>
      <c r="L2" s="9" t="s">
        <v>27</v>
      </c>
      <c r="M2" s="9" t="s">
        <v>28</v>
      </c>
      <c r="N2" s="7" t="s">
        <v>29</v>
      </c>
      <c r="O2" s="6" t="s">
        <v>30</v>
      </c>
      <c r="P2" s="7" t="s">
        <v>31</v>
      </c>
      <c r="Q2" s="10" t="s">
        <v>32</v>
      </c>
    </row>
    <row r="3" spans="1:17">
      <c r="A3" s="1" t="s">
        <v>33</v>
      </c>
      <c r="B3" s="6" t="s">
        <v>34</v>
      </c>
      <c r="C3" s="7" t="s">
        <v>35</v>
      </c>
      <c r="D3" s="6" t="s">
        <v>36</v>
      </c>
      <c r="E3" s="6" t="s">
        <v>37</v>
      </c>
      <c r="F3" s="11" t="s">
        <v>38</v>
      </c>
      <c r="G3" s="11" t="s">
        <v>39</v>
      </c>
      <c r="H3" s="6">
        <v>0.5</v>
      </c>
      <c r="I3" s="8" t="s">
        <v>40</v>
      </c>
      <c r="J3" s="6">
        <v>10000</v>
      </c>
      <c r="K3" s="8" t="s">
        <v>41</v>
      </c>
      <c r="N3" s="12">
        <v>2000</v>
      </c>
      <c r="O3" s="13">
        <v>3</v>
      </c>
      <c r="P3" s="12">
        <v>14</v>
      </c>
    </row>
    <row r="4" spans="1:17">
      <c r="A4" s="1" t="s">
        <v>42</v>
      </c>
      <c r="B4" s="14" t="s">
        <v>43</v>
      </c>
      <c r="C4" s="15" t="s">
        <v>43</v>
      </c>
      <c r="D4" s="14"/>
      <c r="E4" s="14" t="s">
        <v>43</v>
      </c>
      <c r="F4" s="14"/>
      <c r="G4" s="14"/>
      <c r="H4" s="13" t="s">
        <v>44</v>
      </c>
      <c r="I4" s="16" t="s">
        <v>44</v>
      </c>
      <c r="J4" s="13" t="s">
        <v>43</v>
      </c>
      <c r="K4" s="16" t="s">
        <v>43</v>
      </c>
      <c r="N4" s="12" t="s">
        <v>43</v>
      </c>
      <c r="O4" s="13" t="s">
        <v>43</v>
      </c>
      <c r="P4" s="12" t="s">
        <v>44</v>
      </c>
      <c r="Q4" s="17" t="s">
        <v>43</v>
      </c>
    </row>
    <row r="5" spans="1:17">
      <c r="A5" s="11"/>
      <c r="B5" s="11"/>
      <c r="C5" s="11"/>
      <c r="D5" s="11"/>
      <c r="E5" s="11"/>
      <c r="F5" s="11"/>
      <c r="G5" s="11"/>
    </row>
    <row r="6" spans="1:17">
      <c r="B6" s="11" t="s">
        <v>50</v>
      </c>
      <c r="C6" s="5" t="str">
        <f>IF(E6="","",IF(G6&lt;&gt;"",SUBSTITUTE(SUBSTITUTE(G6," ",""),"-",""),IF(F6&lt;&gt;"",SUBSTITUTE(SUBSTITUTE(F6," ",""),"-",""),"")))</f>
        <v>RDSH02</v>
      </c>
      <c r="D6" s="6" t="s">
        <v>36</v>
      </c>
      <c r="E6" s="11" t="s">
        <v>47</v>
      </c>
      <c r="F6" s="11" t="s">
        <v>595</v>
      </c>
      <c r="G6" s="11"/>
      <c r="H6" s="18">
        <v>553.79999999999995</v>
      </c>
      <c r="I6" s="5" t="s">
        <v>52</v>
      </c>
      <c r="J6" s="19">
        <v>208</v>
      </c>
      <c r="K6" s="5" t="s">
        <v>49</v>
      </c>
      <c r="L6" s="5" t="s">
        <v>53</v>
      </c>
      <c r="M6" s="23" t="s">
        <v>596</v>
      </c>
      <c r="N6" s="25">
        <v>5800</v>
      </c>
      <c r="O6" s="25">
        <v>8</v>
      </c>
      <c r="P6" s="25">
        <v>1</v>
      </c>
      <c r="Q6" s="17" t="s">
        <v>43</v>
      </c>
    </row>
    <row r="7" spans="1:17">
      <c r="B7" s="11" t="s">
        <v>55</v>
      </c>
      <c r="C7" s="5" t="str">
        <f>IF(E7="","",IF(G7&lt;&gt;"",SUBSTITUTE(SUBSTITUTE(G7," ",""),"-",""),IF(F7&lt;&gt;"",SUBSTITUTE(SUBSTITUTE(F7," ",""),"-",""),"")))</f>
        <v>RDSH2P01</v>
      </c>
      <c r="D7" s="6" t="s">
        <v>36</v>
      </c>
      <c r="E7" s="11" t="s">
        <v>47</v>
      </c>
      <c r="F7" s="11" t="s">
        <v>595</v>
      </c>
      <c r="G7" s="11" t="s">
        <v>597</v>
      </c>
      <c r="H7" s="18">
        <v>10.65</v>
      </c>
      <c r="I7" s="5" t="s">
        <v>52</v>
      </c>
      <c r="J7" s="19">
        <v>4</v>
      </c>
      <c r="K7" s="5" t="s">
        <v>49</v>
      </c>
      <c r="L7" s="5" t="s">
        <v>53</v>
      </c>
      <c r="M7" s="23" t="s">
        <v>596</v>
      </c>
      <c r="N7" s="25"/>
      <c r="O7" s="25"/>
      <c r="P7" s="25"/>
      <c r="Q7" s="17" t="s">
        <v>43</v>
      </c>
    </row>
    <row r="8" spans="1:17">
      <c r="B8" s="11" t="s">
        <v>55</v>
      </c>
      <c r="C8" s="5" t="str">
        <f>IF(E8="","",IF(G8&lt;&gt;"",SUBSTITUTE(SUBSTITUTE(G8," ",""),"-",""),IF(F8&lt;&gt;"",SUBSTITUTE(SUBSTITUTE(F8," ",""),"-",""),"")))</f>
        <v>RDSH2P02</v>
      </c>
      <c r="D8" s="6" t="s">
        <v>36</v>
      </c>
      <c r="E8" s="11" t="s">
        <v>47</v>
      </c>
      <c r="F8" s="11" t="s">
        <v>595</v>
      </c>
      <c r="G8" s="11" t="s">
        <v>598</v>
      </c>
      <c r="H8" s="18">
        <v>10.65</v>
      </c>
      <c r="I8" s="5" t="s">
        <v>52</v>
      </c>
      <c r="J8" s="19">
        <v>4</v>
      </c>
      <c r="K8" s="5" t="s">
        <v>49</v>
      </c>
      <c r="L8" s="5" t="s">
        <v>53</v>
      </c>
      <c r="M8" s="23" t="s">
        <v>596</v>
      </c>
      <c r="N8" s="25"/>
      <c r="O8" s="25"/>
      <c r="P8" s="25"/>
      <c r="Q8" s="17" t="s">
        <v>43</v>
      </c>
    </row>
    <row r="9" spans="1:17">
      <c r="B9" s="11" t="s">
        <v>55</v>
      </c>
      <c r="C9" s="5" t="str">
        <f>IF(E9="","",IF(G9&lt;&gt;"",SUBSTITUTE(SUBSTITUTE(G9," ",""),"-",""),IF(F9&lt;&gt;"",SUBSTITUTE(SUBSTITUTE(F9," ",""),"-",""),"")))</f>
        <v>RDSH2P03</v>
      </c>
      <c r="D9" s="6" t="s">
        <v>36</v>
      </c>
      <c r="E9" s="11" t="s">
        <v>47</v>
      </c>
      <c r="F9" s="11" t="s">
        <v>595</v>
      </c>
      <c r="G9" s="11" t="s">
        <v>599</v>
      </c>
      <c r="H9" s="18">
        <v>10.65</v>
      </c>
      <c r="I9" s="5" t="s">
        <v>52</v>
      </c>
      <c r="J9" s="19">
        <v>4</v>
      </c>
      <c r="K9" s="5" t="s">
        <v>49</v>
      </c>
      <c r="L9" s="5" t="s">
        <v>53</v>
      </c>
      <c r="M9" s="23" t="s">
        <v>596</v>
      </c>
      <c r="N9" s="25"/>
      <c r="O9" s="25"/>
      <c r="P9" s="25"/>
      <c r="Q9" s="17" t="s">
        <v>43</v>
      </c>
    </row>
    <row r="10" spans="1:17">
      <c r="B10" s="11" t="s">
        <v>55</v>
      </c>
      <c r="C10" s="5" t="str">
        <f>IF(E10="","",IF(G10&lt;&gt;"",SUBSTITUTE(SUBSTITUTE(G10," ",""),"-",""),IF(F10&lt;&gt;"",SUBSTITUTE(SUBSTITUTE(F10," ",""),"-",""),"")))</f>
        <v>RDSH2P04</v>
      </c>
      <c r="D10" s="6" t="s">
        <v>36</v>
      </c>
      <c r="E10" s="11" t="s">
        <v>47</v>
      </c>
      <c r="F10" s="11" t="s">
        <v>595</v>
      </c>
      <c r="G10" s="11" t="s">
        <v>600</v>
      </c>
      <c r="H10" s="18">
        <v>10.65</v>
      </c>
      <c r="I10" s="5" t="s">
        <v>52</v>
      </c>
      <c r="J10" s="19">
        <v>4</v>
      </c>
      <c r="K10" s="5" t="s">
        <v>49</v>
      </c>
      <c r="L10" s="5" t="s">
        <v>53</v>
      </c>
      <c r="M10" s="23" t="s">
        <v>596</v>
      </c>
      <c r="N10" s="25"/>
      <c r="O10" s="25"/>
      <c r="P10" s="25"/>
      <c r="Q10" s="17" t="s">
        <v>43</v>
      </c>
    </row>
    <row r="11" spans="1:17">
      <c r="B11" s="11" t="s">
        <v>55</v>
      </c>
      <c r="C11" s="5" t="str">
        <f>IF(E11="","",IF(G11&lt;&gt;"",SUBSTITUTE(SUBSTITUTE(G11," ",""),"-",""),IF(F11&lt;&gt;"",SUBSTITUTE(SUBSTITUTE(F11," ",""),"-",""),"")))</f>
        <v>RDSH2P05</v>
      </c>
      <c r="D11" s="6" t="s">
        <v>36</v>
      </c>
      <c r="E11" s="11" t="s">
        <v>47</v>
      </c>
      <c r="F11" s="11" t="s">
        <v>595</v>
      </c>
      <c r="G11" s="11" t="s">
        <v>601</v>
      </c>
      <c r="H11" s="18">
        <v>10.65</v>
      </c>
      <c r="I11" s="5" t="s">
        <v>52</v>
      </c>
      <c r="J11" s="19">
        <v>4</v>
      </c>
      <c r="K11" s="5" t="s">
        <v>49</v>
      </c>
      <c r="L11" s="5" t="s">
        <v>53</v>
      </c>
      <c r="M11" s="23" t="s">
        <v>596</v>
      </c>
      <c r="N11" s="25"/>
      <c r="O11" s="25"/>
      <c r="P11" s="25"/>
      <c r="Q11" s="17" t="s">
        <v>43</v>
      </c>
    </row>
    <row r="12" spans="1:17">
      <c r="B12" s="11" t="s">
        <v>55</v>
      </c>
      <c r="C12" s="5" t="str">
        <f>IF(E12="","",IF(G12&lt;&gt;"",SUBSTITUTE(SUBSTITUTE(G12," ",""),"-",""),IF(F12&lt;&gt;"",SUBSTITUTE(SUBSTITUTE(F12," ",""),"-",""),"")))</f>
        <v>RDSH2P06</v>
      </c>
      <c r="D12" s="6" t="s">
        <v>36</v>
      </c>
      <c r="E12" s="11" t="s">
        <v>47</v>
      </c>
      <c r="F12" s="11" t="s">
        <v>595</v>
      </c>
      <c r="G12" s="11" t="s">
        <v>602</v>
      </c>
      <c r="H12" s="18">
        <v>10.65</v>
      </c>
      <c r="I12" s="5" t="s">
        <v>52</v>
      </c>
      <c r="J12" s="19">
        <v>4</v>
      </c>
      <c r="K12" s="5" t="s">
        <v>49</v>
      </c>
      <c r="L12" s="5" t="s">
        <v>53</v>
      </c>
      <c r="M12" s="23" t="s">
        <v>596</v>
      </c>
      <c r="N12" s="25"/>
      <c r="O12" s="25"/>
      <c r="P12" s="25"/>
      <c r="Q12" s="17" t="s">
        <v>43</v>
      </c>
    </row>
    <row r="13" spans="1:17">
      <c r="B13" s="11" t="s">
        <v>55</v>
      </c>
      <c r="C13" s="5" t="str">
        <f>IF(E13="","",IF(G13&lt;&gt;"",SUBSTITUTE(SUBSTITUTE(G13," ",""),"-",""),IF(F13&lt;&gt;"",SUBSTITUTE(SUBSTITUTE(F13," ",""),"-",""),"")))</f>
        <v>RDSH2P07</v>
      </c>
      <c r="D13" s="6" t="s">
        <v>36</v>
      </c>
      <c r="E13" s="11" t="s">
        <v>47</v>
      </c>
      <c r="F13" s="11" t="s">
        <v>595</v>
      </c>
      <c r="G13" s="11" t="s">
        <v>603</v>
      </c>
      <c r="H13" s="18">
        <v>10.65</v>
      </c>
      <c r="I13" s="5" t="s">
        <v>52</v>
      </c>
      <c r="J13" s="19">
        <v>4</v>
      </c>
      <c r="K13" s="5" t="s">
        <v>49</v>
      </c>
      <c r="L13" s="5" t="s">
        <v>53</v>
      </c>
      <c r="M13" s="23" t="s">
        <v>596</v>
      </c>
      <c r="N13" s="25"/>
      <c r="O13" s="25"/>
      <c r="P13" s="25"/>
      <c r="Q13" s="17" t="s">
        <v>43</v>
      </c>
    </row>
    <row r="14" spans="1:17">
      <c r="B14" s="11" t="s">
        <v>55</v>
      </c>
      <c r="C14" s="5" t="str">
        <f>IF(E14="","",IF(G14&lt;&gt;"",SUBSTITUTE(SUBSTITUTE(G14," ",""),"-",""),IF(F14&lt;&gt;"",SUBSTITUTE(SUBSTITUTE(F14," ",""),"-",""),"")))</f>
        <v>RDSH2P08</v>
      </c>
      <c r="D14" s="6" t="s">
        <v>36</v>
      </c>
      <c r="E14" s="11" t="s">
        <v>47</v>
      </c>
      <c r="F14" s="11" t="s">
        <v>595</v>
      </c>
      <c r="G14" s="11" t="s">
        <v>604</v>
      </c>
      <c r="H14" s="18">
        <v>10.65</v>
      </c>
      <c r="I14" s="5" t="s">
        <v>52</v>
      </c>
      <c r="J14" s="19">
        <v>4</v>
      </c>
      <c r="K14" s="5" t="s">
        <v>49</v>
      </c>
      <c r="L14" s="5" t="s">
        <v>53</v>
      </c>
      <c r="M14" s="23" t="s">
        <v>596</v>
      </c>
      <c r="N14" s="25"/>
      <c r="O14" s="25"/>
      <c r="P14" s="25"/>
      <c r="Q14" s="17" t="s">
        <v>43</v>
      </c>
    </row>
    <row r="15" spans="1:17">
      <c r="B15" s="11" t="s">
        <v>55</v>
      </c>
      <c r="C15" s="5" t="str">
        <f>IF(E15="","",IF(G15&lt;&gt;"",SUBSTITUTE(SUBSTITUTE(G15," ",""),"-",""),IF(F15&lt;&gt;"",SUBSTITUTE(SUBSTITUTE(F15," ",""),"-",""),"")))</f>
        <v>RDSH2P09</v>
      </c>
      <c r="D15" s="6" t="s">
        <v>36</v>
      </c>
      <c r="E15" s="11" t="s">
        <v>47</v>
      </c>
      <c r="F15" s="11" t="s">
        <v>595</v>
      </c>
      <c r="G15" s="11" t="s">
        <v>605</v>
      </c>
      <c r="H15" s="18">
        <v>10.65</v>
      </c>
      <c r="I15" s="5" t="s">
        <v>52</v>
      </c>
      <c r="J15" s="19">
        <v>4</v>
      </c>
      <c r="K15" s="5" t="s">
        <v>49</v>
      </c>
      <c r="L15" s="5" t="s">
        <v>53</v>
      </c>
      <c r="M15" s="23" t="s">
        <v>596</v>
      </c>
      <c r="N15" s="25"/>
      <c r="O15" s="25"/>
      <c r="P15" s="25"/>
      <c r="Q15" s="17" t="s">
        <v>43</v>
      </c>
    </row>
    <row r="16" spans="1:17">
      <c r="B16" s="11" t="s">
        <v>55</v>
      </c>
      <c r="C16" s="5" t="str">
        <f>IF(E16="","",IF(G16&lt;&gt;"",SUBSTITUTE(SUBSTITUTE(G16," ",""),"-",""),IF(F16&lt;&gt;"",SUBSTITUTE(SUBSTITUTE(F16," ",""),"-",""),"")))</f>
        <v>RDSH2P10</v>
      </c>
      <c r="D16" s="6" t="s">
        <v>36</v>
      </c>
      <c r="E16" s="11" t="s">
        <v>47</v>
      </c>
      <c r="F16" s="11" t="s">
        <v>595</v>
      </c>
      <c r="G16" s="11" t="s">
        <v>606</v>
      </c>
      <c r="H16" s="18">
        <v>10.65</v>
      </c>
      <c r="I16" s="5" t="s">
        <v>52</v>
      </c>
      <c r="J16" s="19">
        <v>4</v>
      </c>
      <c r="K16" s="5" t="s">
        <v>49</v>
      </c>
      <c r="L16" s="5" t="s">
        <v>53</v>
      </c>
      <c r="M16" s="23" t="s">
        <v>596</v>
      </c>
      <c r="N16" s="25"/>
      <c r="O16" s="25"/>
      <c r="P16" s="25"/>
      <c r="Q16" s="17" t="s">
        <v>43</v>
      </c>
    </row>
    <row r="17" spans="2:17">
      <c r="B17" s="11" t="s">
        <v>55</v>
      </c>
      <c r="C17" s="5" t="str">
        <f>IF(E17="","",IF(G17&lt;&gt;"",SUBSTITUTE(SUBSTITUTE(G17," ",""),"-",""),IF(F17&lt;&gt;"",SUBSTITUTE(SUBSTITUTE(F17," ",""),"-",""),"")))</f>
        <v>RDSH2P11</v>
      </c>
      <c r="D17" s="6" t="s">
        <v>36</v>
      </c>
      <c r="E17" s="11" t="s">
        <v>47</v>
      </c>
      <c r="F17" s="11" t="s">
        <v>595</v>
      </c>
      <c r="G17" s="11" t="s">
        <v>607</v>
      </c>
      <c r="H17" s="18">
        <v>10.65</v>
      </c>
      <c r="I17" s="5" t="s">
        <v>52</v>
      </c>
      <c r="J17" s="19">
        <v>4</v>
      </c>
      <c r="K17" s="5" t="s">
        <v>49</v>
      </c>
      <c r="L17" s="5" t="s">
        <v>53</v>
      </c>
      <c r="M17" s="23" t="s">
        <v>596</v>
      </c>
      <c r="N17" s="25"/>
      <c r="O17" s="25"/>
      <c r="P17" s="25"/>
      <c r="Q17" s="17" t="s">
        <v>43</v>
      </c>
    </row>
    <row r="18" spans="2:17">
      <c r="B18" s="11" t="s">
        <v>55</v>
      </c>
      <c r="C18" s="5" t="str">
        <f>IF(E18="","",IF(G18&lt;&gt;"",SUBSTITUTE(SUBSTITUTE(G18," ",""),"-",""),IF(F18&lt;&gt;"",SUBSTITUTE(SUBSTITUTE(F18," ",""),"-",""),"")))</f>
        <v>RDSH2P12</v>
      </c>
      <c r="D18" s="6" t="s">
        <v>36</v>
      </c>
      <c r="E18" s="11" t="s">
        <v>47</v>
      </c>
      <c r="F18" s="11" t="s">
        <v>595</v>
      </c>
      <c r="G18" s="11" t="s">
        <v>608</v>
      </c>
      <c r="H18" s="18">
        <v>10.65</v>
      </c>
      <c r="I18" s="5" t="s">
        <v>52</v>
      </c>
      <c r="J18" s="19">
        <v>4</v>
      </c>
      <c r="K18" s="5" t="s">
        <v>49</v>
      </c>
      <c r="L18" s="5" t="s">
        <v>53</v>
      </c>
      <c r="M18" s="23" t="s">
        <v>596</v>
      </c>
      <c r="N18" s="25"/>
      <c r="O18" s="25"/>
      <c r="P18" s="25"/>
      <c r="Q18" s="17" t="s">
        <v>43</v>
      </c>
    </row>
    <row r="19" spans="2:17">
      <c r="B19" s="11" t="s">
        <v>55</v>
      </c>
      <c r="C19" s="5" t="str">
        <f>IF(E19="","",IF(G19&lt;&gt;"",SUBSTITUTE(SUBSTITUTE(G19," ",""),"-",""),IF(F19&lt;&gt;"",SUBSTITUTE(SUBSTITUTE(F19," ",""),"-",""),"")))</f>
        <v>RDSH2P13</v>
      </c>
      <c r="D19" s="6" t="s">
        <v>36</v>
      </c>
      <c r="E19" s="11" t="s">
        <v>47</v>
      </c>
      <c r="F19" s="11" t="s">
        <v>595</v>
      </c>
      <c r="G19" s="11" t="s">
        <v>609</v>
      </c>
      <c r="H19" s="18">
        <v>10.65</v>
      </c>
      <c r="I19" s="5" t="s">
        <v>52</v>
      </c>
      <c r="J19" s="19">
        <v>4</v>
      </c>
      <c r="K19" s="5" t="s">
        <v>49</v>
      </c>
      <c r="L19" s="5" t="s">
        <v>53</v>
      </c>
      <c r="M19" s="23" t="s">
        <v>596</v>
      </c>
      <c r="N19" s="25"/>
      <c r="O19" s="25"/>
      <c r="P19" s="25"/>
      <c r="Q19" s="17" t="s">
        <v>43</v>
      </c>
    </row>
    <row r="20" spans="2:17">
      <c r="B20" s="11" t="s">
        <v>55</v>
      </c>
      <c r="C20" s="5" t="str">
        <f>IF(E20="","",IF(G20&lt;&gt;"",SUBSTITUTE(SUBSTITUTE(G20," ",""),"-",""),IF(F20&lt;&gt;"",SUBSTITUTE(SUBSTITUTE(F20," ",""),"-",""),"")))</f>
        <v>RDSH2P14</v>
      </c>
      <c r="D20" s="6" t="s">
        <v>36</v>
      </c>
      <c r="E20" s="11" t="s">
        <v>47</v>
      </c>
      <c r="F20" s="11" t="s">
        <v>595</v>
      </c>
      <c r="G20" s="11" t="s">
        <v>610</v>
      </c>
      <c r="H20" s="18">
        <v>10.65</v>
      </c>
      <c r="I20" s="5" t="s">
        <v>52</v>
      </c>
      <c r="J20" s="19">
        <v>4</v>
      </c>
      <c r="K20" s="5" t="s">
        <v>49</v>
      </c>
      <c r="L20" s="5" t="s">
        <v>53</v>
      </c>
      <c r="M20" s="23" t="s">
        <v>596</v>
      </c>
      <c r="N20" s="25"/>
      <c r="O20" s="25"/>
      <c r="P20" s="25"/>
      <c r="Q20" s="17" t="s">
        <v>43</v>
      </c>
    </row>
    <row r="21" spans="2:17">
      <c r="B21" s="11" t="s">
        <v>55</v>
      </c>
      <c r="C21" s="5" t="str">
        <f>IF(E21="","",IF(G21&lt;&gt;"",SUBSTITUTE(SUBSTITUTE(G21," ",""),"-",""),IF(F21&lt;&gt;"",SUBSTITUTE(SUBSTITUTE(F21," ",""),"-",""),"")))</f>
        <v>RDSH2P15</v>
      </c>
      <c r="D21" s="6" t="s">
        <v>36</v>
      </c>
      <c r="E21" s="11" t="s">
        <v>47</v>
      </c>
      <c r="F21" s="11" t="s">
        <v>595</v>
      </c>
      <c r="G21" s="11" t="s">
        <v>611</v>
      </c>
      <c r="H21" s="18">
        <v>10.65</v>
      </c>
      <c r="I21" s="5" t="s">
        <v>52</v>
      </c>
      <c r="J21" s="19">
        <v>4</v>
      </c>
      <c r="K21" s="5" t="s">
        <v>49</v>
      </c>
      <c r="L21" s="5" t="s">
        <v>53</v>
      </c>
      <c r="M21" s="23" t="s">
        <v>596</v>
      </c>
      <c r="N21" s="25"/>
      <c r="O21" s="25"/>
      <c r="P21" s="25"/>
      <c r="Q21" s="17" t="s">
        <v>43</v>
      </c>
    </row>
    <row r="22" spans="2:17">
      <c r="B22" s="11" t="s">
        <v>55</v>
      </c>
      <c r="C22" s="5" t="str">
        <f>IF(E22="","",IF(G22&lt;&gt;"",SUBSTITUTE(SUBSTITUTE(G22," ",""),"-",""),IF(F22&lt;&gt;"",SUBSTITUTE(SUBSTITUTE(F22," ",""),"-",""),"")))</f>
        <v>RDSH2P16</v>
      </c>
      <c r="D22" s="6" t="s">
        <v>36</v>
      </c>
      <c r="E22" s="11" t="s">
        <v>47</v>
      </c>
      <c r="F22" s="11" t="s">
        <v>595</v>
      </c>
      <c r="G22" s="11" t="s">
        <v>612</v>
      </c>
      <c r="H22" s="18">
        <v>10.65</v>
      </c>
      <c r="I22" s="5" t="s">
        <v>52</v>
      </c>
      <c r="J22" s="19">
        <v>4</v>
      </c>
      <c r="K22" s="5" t="s">
        <v>49</v>
      </c>
      <c r="L22" s="5" t="s">
        <v>53</v>
      </c>
      <c r="M22" s="23" t="s">
        <v>596</v>
      </c>
      <c r="N22" s="25"/>
      <c r="O22" s="25"/>
      <c r="P22" s="25"/>
      <c r="Q22" s="17" t="s">
        <v>43</v>
      </c>
    </row>
    <row r="23" spans="2:17">
      <c r="B23" s="11" t="s">
        <v>55</v>
      </c>
      <c r="C23" s="5" t="str">
        <f>IF(E23="","",IF(G23&lt;&gt;"",SUBSTITUTE(SUBSTITUTE(G23," ",""),"-",""),IF(F23&lt;&gt;"",SUBSTITUTE(SUBSTITUTE(F23," ",""),"-",""),"")))</f>
        <v>RDSH2P17</v>
      </c>
      <c r="D23" s="6" t="s">
        <v>36</v>
      </c>
      <c r="E23" s="11" t="s">
        <v>47</v>
      </c>
      <c r="F23" s="11" t="s">
        <v>595</v>
      </c>
      <c r="G23" s="11" t="s">
        <v>613</v>
      </c>
      <c r="H23" s="18">
        <v>10.65</v>
      </c>
      <c r="I23" s="5" t="s">
        <v>52</v>
      </c>
      <c r="J23" s="19">
        <v>4</v>
      </c>
      <c r="K23" s="5" t="s">
        <v>49</v>
      </c>
      <c r="L23" s="5" t="s">
        <v>53</v>
      </c>
      <c r="M23" s="23" t="s">
        <v>596</v>
      </c>
      <c r="N23" s="25"/>
      <c r="O23" s="25"/>
      <c r="P23" s="25"/>
      <c r="Q23" s="17" t="s">
        <v>43</v>
      </c>
    </row>
    <row r="24" spans="2:17">
      <c r="B24" s="11" t="s">
        <v>55</v>
      </c>
      <c r="C24" s="5" t="str">
        <f>IF(E24="","",IF(G24&lt;&gt;"",SUBSTITUTE(SUBSTITUTE(G24," ",""),"-",""),IF(F24&lt;&gt;"",SUBSTITUTE(SUBSTITUTE(F24," ",""),"-",""),"")))</f>
        <v>RDSH2P18</v>
      </c>
      <c r="D24" s="6" t="s">
        <v>36</v>
      </c>
      <c r="E24" s="11" t="s">
        <v>47</v>
      </c>
      <c r="F24" s="11" t="s">
        <v>595</v>
      </c>
      <c r="G24" s="11" t="s">
        <v>614</v>
      </c>
      <c r="H24" s="18">
        <v>10.65</v>
      </c>
      <c r="I24" s="5" t="s">
        <v>52</v>
      </c>
      <c r="J24" s="19">
        <v>4</v>
      </c>
      <c r="K24" s="5" t="s">
        <v>49</v>
      </c>
      <c r="L24" s="5" t="s">
        <v>53</v>
      </c>
      <c r="M24" s="23" t="s">
        <v>596</v>
      </c>
      <c r="N24" s="25"/>
      <c r="O24" s="25"/>
      <c r="P24" s="25"/>
      <c r="Q24" s="17" t="s">
        <v>43</v>
      </c>
    </row>
    <row r="25" spans="2:17">
      <c r="B25" s="11" t="s">
        <v>55</v>
      </c>
      <c r="C25" s="5" t="str">
        <f>IF(E25="","",IF(G25&lt;&gt;"",SUBSTITUTE(SUBSTITUTE(G25," ",""),"-",""),IF(F25&lt;&gt;"",SUBSTITUTE(SUBSTITUTE(F25," ",""),"-",""),"")))</f>
        <v>RDSH2P19</v>
      </c>
      <c r="D25" s="6" t="s">
        <v>36</v>
      </c>
      <c r="E25" s="11" t="s">
        <v>47</v>
      </c>
      <c r="F25" s="11" t="s">
        <v>595</v>
      </c>
      <c r="G25" s="11" t="s">
        <v>615</v>
      </c>
      <c r="H25" s="18">
        <v>10.65</v>
      </c>
      <c r="I25" s="5" t="s">
        <v>52</v>
      </c>
      <c r="J25" s="19">
        <v>4</v>
      </c>
      <c r="K25" s="5" t="s">
        <v>49</v>
      </c>
      <c r="L25" s="5" t="s">
        <v>53</v>
      </c>
      <c r="M25" s="23" t="s">
        <v>596</v>
      </c>
      <c r="N25" s="25"/>
      <c r="O25" s="25"/>
      <c r="P25" s="25"/>
      <c r="Q25" s="17" t="s">
        <v>43</v>
      </c>
    </row>
    <row r="26" spans="2:17">
      <c r="B26" s="11" t="s">
        <v>55</v>
      </c>
      <c r="C26" s="5" t="str">
        <f>IF(E26="","",IF(G26&lt;&gt;"",SUBSTITUTE(SUBSTITUTE(G26," ",""),"-",""),IF(F26&lt;&gt;"",SUBSTITUTE(SUBSTITUTE(F26," ",""),"-",""),"")))</f>
        <v>RDSH2P20</v>
      </c>
      <c r="D26" s="6" t="s">
        <v>36</v>
      </c>
      <c r="E26" s="11" t="s">
        <v>47</v>
      </c>
      <c r="F26" s="11" t="s">
        <v>595</v>
      </c>
      <c r="G26" s="11" t="s">
        <v>616</v>
      </c>
      <c r="H26" s="18">
        <v>10.65</v>
      </c>
      <c r="I26" s="5" t="s">
        <v>52</v>
      </c>
      <c r="J26" s="19">
        <v>4</v>
      </c>
      <c r="K26" s="5" t="s">
        <v>49</v>
      </c>
      <c r="L26" s="5" t="s">
        <v>53</v>
      </c>
      <c r="M26" s="23" t="s">
        <v>596</v>
      </c>
      <c r="N26" s="25"/>
      <c r="O26" s="25"/>
      <c r="P26" s="25"/>
      <c r="Q26" s="17" t="s">
        <v>43</v>
      </c>
    </row>
    <row r="27" spans="2:17">
      <c r="B27" s="11" t="s">
        <v>55</v>
      </c>
      <c r="C27" s="5" t="str">
        <f>IF(E27="","",IF(G27&lt;&gt;"",SUBSTITUTE(SUBSTITUTE(G27," ",""),"-",""),IF(F27&lt;&gt;"",SUBSTITUTE(SUBSTITUTE(F27," ",""),"-",""),"")))</f>
        <v>RDSH2P21</v>
      </c>
      <c r="D27" s="6" t="s">
        <v>36</v>
      </c>
      <c r="E27" s="11" t="s">
        <v>47</v>
      </c>
      <c r="F27" s="11" t="s">
        <v>595</v>
      </c>
      <c r="G27" s="11" t="s">
        <v>617</v>
      </c>
      <c r="H27" s="18">
        <v>10.65</v>
      </c>
      <c r="I27" s="5" t="s">
        <v>52</v>
      </c>
      <c r="J27" s="19">
        <v>4</v>
      </c>
      <c r="K27" s="5" t="s">
        <v>49</v>
      </c>
      <c r="L27" s="5" t="s">
        <v>53</v>
      </c>
      <c r="M27" s="23" t="s">
        <v>596</v>
      </c>
      <c r="N27" s="25"/>
      <c r="O27" s="25"/>
      <c r="P27" s="25"/>
      <c r="Q27" s="17" t="s">
        <v>43</v>
      </c>
    </row>
    <row r="28" spans="2:17">
      <c r="B28" s="11" t="s">
        <v>55</v>
      </c>
      <c r="C28" s="5" t="str">
        <f>IF(E28="","",IF(G28&lt;&gt;"",SUBSTITUTE(SUBSTITUTE(G28," ",""),"-",""),IF(F28&lt;&gt;"",SUBSTITUTE(SUBSTITUTE(F28," ",""),"-",""),"")))</f>
        <v>RDSH2P22</v>
      </c>
      <c r="D28" s="6" t="s">
        <v>36</v>
      </c>
      <c r="E28" s="11" t="s">
        <v>47</v>
      </c>
      <c r="F28" s="11" t="s">
        <v>595</v>
      </c>
      <c r="G28" s="11" t="s">
        <v>618</v>
      </c>
      <c r="H28" s="18">
        <v>10.65</v>
      </c>
      <c r="I28" s="5" t="s">
        <v>52</v>
      </c>
      <c r="J28" s="19">
        <v>4</v>
      </c>
      <c r="K28" s="5" t="s">
        <v>49</v>
      </c>
      <c r="L28" s="5" t="s">
        <v>53</v>
      </c>
      <c r="M28" s="23" t="s">
        <v>596</v>
      </c>
      <c r="N28" s="25"/>
      <c r="O28" s="25"/>
      <c r="P28" s="25"/>
      <c r="Q28" s="17" t="s">
        <v>43</v>
      </c>
    </row>
    <row r="29" spans="2:17">
      <c r="B29" s="11" t="s">
        <v>55</v>
      </c>
      <c r="C29" s="5" t="str">
        <f>IF(E29="","",IF(G29&lt;&gt;"",SUBSTITUTE(SUBSTITUTE(G29," ",""),"-",""),IF(F29&lt;&gt;"",SUBSTITUTE(SUBSTITUTE(F29," ",""),"-",""),"")))</f>
        <v>RDSH2P23</v>
      </c>
      <c r="D29" s="6" t="s">
        <v>36</v>
      </c>
      <c r="E29" s="11" t="s">
        <v>47</v>
      </c>
      <c r="F29" s="11" t="s">
        <v>595</v>
      </c>
      <c r="G29" s="11" t="s">
        <v>619</v>
      </c>
      <c r="H29" s="18">
        <v>10.65</v>
      </c>
      <c r="I29" s="5" t="s">
        <v>52</v>
      </c>
      <c r="J29" s="19">
        <v>4</v>
      </c>
      <c r="K29" s="5" t="s">
        <v>49</v>
      </c>
      <c r="L29" s="5" t="s">
        <v>53</v>
      </c>
      <c r="M29" s="23" t="s">
        <v>596</v>
      </c>
      <c r="N29" s="25"/>
      <c r="O29" s="25"/>
      <c r="P29" s="25"/>
      <c r="Q29" s="17" t="s">
        <v>43</v>
      </c>
    </row>
    <row r="30" spans="2:17">
      <c r="B30" s="11" t="s">
        <v>55</v>
      </c>
      <c r="C30" s="5" t="str">
        <f>IF(E30="","",IF(G30&lt;&gt;"",SUBSTITUTE(SUBSTITUTE(G30," ",""),"-",""),IF(F30&lt;&gt;"",SUBSTITUTE(SUBSTITUTE(F30," ",""),"-",""),"")))</f>
        <v>RDSH2P24</v>
      </c>
      <c r="D30" s="6" t="s">
        <v>36</v>
      </c>
      <c r="E30" s="11" t="s">
        <v>47</v>
      </c>
      <c r="F30" s="11" t="s">
        <v>595</v>
      </c>
      <c r="G30" s="11" t="s">
        <v>620</v>
      </c>
      <c r="H30" s="18">
        <v>10.65</v>
      </c>
      <c r="I30" s="5" t="s">
        <v>52</v>
      </c>
      <c r="J30" s="19">
        <v>4</v>
      </c>
      <c r="K30" s="5" t="s">
        <v>49</v>
      </c>
      <c r="L30" s="5" t="s">
        <v>53</v>
      </c>
      <c r="M30" s="23" t="s">
        <v>596</v>
      </c>
      <c r="N30" s="25"/>
      <c r="O30" s="25"/>
      <c r="P30" s="25"/>
      <c r="Q30" s="17" t="s">
        <v>43</v>
      </c>
    </row>
    <row r="31" spans="2:17">
      <c r="B31" s="11" t="s">
        <v>55</v>
      </c>
      <c r="C31" s="5" t="str">
        <f>IF(E31="","",IF(G31&lt;&gt;"",SUBSTITUTE(SUBSTITUTE(G31," ",""),"-",""),IF(F31&lt;&gt;"",SUBSTITUTE(SUBSTITUTE(F31," ",""),"-",""),"")))</f>
        <v>RDSH2P25</v>
      </c>
      <c r="D31" s="6" t="s">
        <v>36</v>
      </c>
      <c r="E31" s="11" t="s">
        <v>47</v>
      </c>
      <c r="F31" s="11" t="s">
        <v>595</v>
      </c>
      <c r="G31" s="11" t="s">
        <v>621</v>
      </c>
      <c r="H31" s="18">
        <v>10.65</v>
      </c>
      <c r="I31" s="5" t="s">
        <v>52</v>
      </c>
      <c r="J31" s="19">
        <v>4</v>
      </c>
      <c r="K31" s="5" t="s">
        <v>49</v>
      </c>
      <c r="L31" s="5" t="s">
        <v>53</v>
      </c>
      <c r="M31" s="23" t="s">
        <v>596</v>
      </c>
      <c r="N31" s="25"/>
      <c r="O31" s="25"/>
      <c r="P31" s="25"/>
      <c r="Q31" s="17" t="s">
        <v>43</v>
      </c>
    </row>
    <row r="32" spans="2:17">
      <c r="B32" s="11" t="s">
        <v>55</v>
      </c>
      <c r="C32" s="5" t="str">
        <f>IF(E32="","",IF(G32&lt;&gt;"",SUBSTITUTE(SUBSTITUTE(G32," ",""),"-",""),IF(F32&lt;&gt;"",SUBSTITUTE(SUBSTITUTE(F32," ",""),"-",""),"")))</f>
        <v>RDSH2P26</v>
      </c>
      <c r="D32" s="6" t="s">
        <v>36</v>
      </c>
      <c r="E32" s="11" t="s">
        <v>47</v>
      </c>
      <c r="F32" s="11" t="s">
        <v>595</v>
      </c>
      <c r="G32" s="11" t="s">
        <v>622</v>
      </c>
      <c r="H32" s="18">
        <v>10.65</v>
      </c>
      <c r="I32" s="5" t="s">
        <v>52</v>
      </c>
      <c r="J32" s="19">
        <v>4</v>
      </c>
      <c r="K32" s="5" t="s">
        <v>49</v>
      </c>
      <c r="L32" s="5" t="s">
        <v>53</v>
      </c>
      <c r="M32" s="23" t="s">
        <v>596</v>
      </c>
      <c r="N32" s="25"/>
      <c r="O32" s="25"/>
      <c r="P32" s="25"/>
      <c r="Q32" s="17" t="s">
        <v>43</v>
      </c>
    </row>
    <row r="33" spans="2:17">
      <c r="B33" s="11" t="s">
        <v>55</v>
      </c>
      <c r="C33" s="5" t="str">
        <f>IF(E33="","",IF(G33&lt;&gt;"",SUBSTITUTE(SUBSTITUTE(G33," ",""),"-",""),IF(F33&lt;&gt;"",SUBSTITUTE(SUBSTITUTE(F33," ",""),"-",""),"")))</f>
        <v>RDSH2P27</v>
      </c>
      <c r="D33" s="6" t="s">
        <v>36</v>
      </c>
      <c r="E33" s="11" t="s">
        <v>47</v>
      </c>
      <c r="F33" s="11" t="s">
        <v>595</v>
      </c>
      <c r="G33" s="11" t="s">
        <v>623</v>
      </c>
      <c r="H33" s="18">
        <v>10.65</v>
      </c>
      <c r="I33" s="5" t="s">
        <v>52</v>
      </c>
      <c r="J33" s="19">
        <v>4</v>
      </c>
      <c r="K33" s="5" t="s">
        <v>49</v>
      </c>
      <c r="L33" s="5" t="s">
        <v>53</v>
      </c>
      <c r="M33" s="23" t="s">
        <v>596</v>
      </c>
      <c r="N33" s="25"/>
      <c r="O33" s="25"/>
      <c r="P33" s="25"/>
      <c r="Q33" s="17" t="s">
        <v>43</v>
      </c>
    </row>
    <row r="34" spans="2:17">
      <c r="B34" s="11" t="s">
        <v>55</v>
      </c>
      <c r="C34" s="5" t="str">
        <f>IF(E34="","",IF(G34&lt;&gt;"",SUBSTITUTE(SUBSTITUTE(G34," ",""),"-",""),IF(F34&lt;&gt;"",SUBSTITUTE(SUBSTITUTE(F34," ",""),"-",""),"")))</f>
        <v>RDSH2P28</v>
      </c>
      <c r="D34" s="6" t="s">
        <v>36</v>
      </c>
      <c r="E34" s="11" t="s">
        <v>47</v>
      </c>
      <c r="F34" s="11" t="s">
        <v>595</v>
      </c>
      <c r="G34" s="11" t="s">
        <v>624</v>
      </c>
      <c r="H34" s="18">
        <v>10.65</v>
      </c>
      <c r="I34" s="5" t="s">
        <v>52</v>
      </c>
      <c r="J34" s="19">
        <v>4</v>
      </c>
      <c r="K34" s="5" t="s">
        <v>49</v>
      </c>
      <c r="L34" s="5" t="s">
        <v>53</v>
      </c>
      <c r="M34" s="23" t="s">
        <v>596</v>
      </c>
      <c r="N34" s="25"/>
      <c r="O34" s="25"/>
      <c r="P34" s="25"/>
      <c r="Q34" s="17" t="s">
        <v>43</v>
      </c>
    </row>
    <row r="35" spans="2:17">
      <c r="B35" s="11" t="s">
        <v>55</v>
      </c>
      <c r="C35" s="5" t="str">
        <f>IF(E35="","",IF(G35&lt;&gt;"",SUBSTITUTE(SUBSTITUTE(G35," ",""),"-",""),IF(F35&lt;&gt;"",SUBSTITUTE(SUBSTITUTE(F35," ",""),"-",""),"")))</f>
        <v>RDSH2P29</v>
      </c>
      <c r="D35" s="6" t="s">
        <v>36</v>
      </c>
      <c r="E35" s="11" t="s">
        <v>47</v>
      </c>
      <c r="F35" s="11" t="s">
        <v>595</v>
      </c>
      <c r="G35" s="11" t="s">
        <v>625</v>
      </c>
      <c r="H35" s="18">
        <v>10.65</v>
      </c>
      <c r="I35" s="5" t="s">
        <v>52</v>
      </c>
      <c r="J35" s="19">
        <v>4</v>
      </c>
      <c r="K35" s="5" t="s">
        <v>49</v>
      </c>
      <c r="L35" s="5" t="s">
        <v>53</v>
      </c>
      <c r="M35" s="23" t="s">
        <v>596</v>
      </c>
      <c r="N35" s="25"/>
      <c r="O35" s="25"/>
      <c r="P35" s="25"/>
      <c r="Q35" s="17" t="s">
        <v>43</v>
      </c>
    </row>
    <row r="36" spans="2:17">
      <c r="B36" s="11" t="s">
        <v>55</v>
      </c>
      <c r="C36" s="5" t="str">
        <f>IF(E36="","",IF(G36&lt;&gt;"",SUBSTITUTE(SUBSTITUTE(G36," ",""),"-",""),IF(F36&lt;&gt;"",SUBSTITUTE(SUBSTITUTE(F36," ",""),"-",""),"")))</f>
        <v>RDSH2P30</v>
      </c>
      <c r="D36" s="6" t="s">
        <v>36</v>
      </c>
      <c r="E36" s="11" t="s">
        <v>47</v>
      </c>
      <c r="F36" s="11" t="s">
        <v>595</v>
      </c>
      <c r="G36" s="11" t="s">
        <v>626</v>
      </c>
      <c r="H36" s="18">
        <v>10.65</v>
      </c>
      <c r="I36" s="5" t="s">
        <v>52</v>
      </c>
      <c r="J36" s="19">
        <v>4</v>
      </c>
      <c r="K36" s="5" t="s">
        <v>49</v>
      </c>
      <c r="L36" s="5" t="s">
        <v>53</v>
      </c>
      <c r="M36" s="23" t="s">
        <v>596</v>
      </c>
      <c r="N36" s="25"/>
      <c r="O36" s="25"/>
      <c r="P36" s="25"/>
      <c r="Q36" s="17" t="s">
        <v>43</v>
      </c>
    </row>
    <row r="37" spans="2:17">
      <c r="B37" s="11" t="s">
        <v>55</v>
      </c>
      <c r="C37" s="5" t="str">
        <f>IF(E37="","",IF(G37&lt;&gt;"",SUBSTITUTE(SUBSTITUTE(G37," ",""),"-",""),IF(F37&lt;&gt;"",SUBSTITUTE(SUBSTITUTE(F37," ",""),"-",""),"")))</f>
        <v>RDSH2P31</v>
      </c>
      <c r="D37" s="6" t="s">
        <v>36</v>
      </c>
      <c r="E37" s="11" t="s">
        <v>47</v>
      </c>
      <c r="F37" s="11" t="s">
        <v>595</v>
      </c>
      <c r="G37" s="11" t="s">
        <v>627</v>
      </c>
      <c r="H37" s="18">
        <v>10.65</v>
      </c>
      <c r="I37" s="5" t="s">
        <v>52</v>
      </c>
      <c r="J37" s="19">
        <v>4</v>
      </c>
      <c r="K37" s="5" t="s">
        <v>49</v>
      </c>
      <c r="L37" s="5" t="s">
        <v>53</v>
      </c>
      <c r="M37" s="23" t="s">
        <v>596</v>
      </c>
      <c r="N37" s="25"/>
      <c r="O37" s="25"/>
      <c r="P37" s="25"/>
      <c r="Q37" s="17" t="s">
        <v>43</v>
      </c>
    </row>
    <row r="38" spans="2:17">
      <c r="B38" s="11" t="s">
        <v>55</v>
      </c>
      <c r="C38" s="5" t="str">
        <f>IF(E38="","",IF(G38&lt;&gt;"",SUBSTITUTE(SUBSTITUTE(G38," ",""),"-",""),IF(F38&lt;&gt;"",SUBSTITUTE(SUBSTITUTE(F38," ",""),"-",""),"")))</f>
        <v>RDSH2P32</v>
      </c>
      <c r="D38" s="6" t="s">
        <v>36</v>
      </c>
      <c r="E38" s="11" t="s">
        <v>47</v>
      </c>
      <c r="F38" s="11" t="s">
        <v>595</v>
      </c>
      <c r="G38" s="11" t="s">
        <v>628</v>
      </c>
      <c r="H38" s="18">
        <v>10.65</v>
      </c>
      <c r="I38" s="5" t="s">
        <v>52</v>
      </c>
      <c r="J38" s="19">
        <v>4</v>
      </c>
      <c r="K38" s="5" t="s">
        <v>49</v>
      </c>
      <c r="L38" s="5" t="s">
        <v>53</v>
      </c>
      <c r="M38" s="23" t="s">
        <v>596</v>
      </c>
      <c r="N38" s="25"/>
      <c r="O38" s="25"/>
      <c r="P38" s="25"/>
      <c r="Q38" s="17" t="s">
        <v>43</v>
      </c>
    </row>
    <row r="39" spans="2:17">
      <c r="B39" s="11" t="s">
        <v>55</v>
      </c>
      <c r="C39" s="5" t="str">
        <f>IF(E39="","",IF(G39&lt;&gt;"",SUBSTITUTE(SUBSTITUTE(G39," ",""),"-",""),IF(F39&lt;&gt;"",SUBSTITUTE(SUBSTITUTE(F39," ",""),"-",""),"")))</f>
        <v>RDSH2P33</v>
      </c>
      <c r="D39" s="6" t="s">
        <v>36</v>
      </c>
      <c r="E39" s="11" t="s">
        <v>47</v>
      </c>
      <c r="F39" s="11" t="s">
        <v>595</v>
      </c>
      <c r="G39" s="11" t="s">
        <v>629</v>
      </c>
      <c r="H39" s="18">
        <v>10.65</v>
      </c>
      <c r="I39" s="5" t="s">
        <v>52</v>
      </c>
      <c r="J39" s="19">
        <v>4</v>
      </c>
      <c r="K39" s="5" t="s">
        <v>49</v>
      </c>
      <c r="L39" s="5" t="s">
        <v>53</v>
      </c>
      <c r="M39" s="23" t="s">
        <v>596</v>
      </c>
      <c r="N39" s="25"/>
      <c r="O39" s="25"/>
      <c r="P39" s="25"/>
      <c r="Q39" s="17" t="s">
        <v>43</v>
      </c>
    </row>
    <row r="40" spans="2:17">
      <c r="B40" s="11" t="s">
        <v>55</v>
      </c>
      <c r="C40" s="5" t="str">
        <f>IF(E40="","",IF(G40&lt;&gt;"",SUBSTITUTE(SUBSTITUTE(G40," ",""),"-",""),IF(F40&lt;&gt;"",SUBSTITUTE(SUBSTITUTE(F40," ",""),"-",""),"")))</f>
        <v>RDSH2P34</v>
      </c>
      <c r="D40" s="6" t="s">
        <v>36</v>
      </c>
      <c r="E40" s="11" t="s">
        <v>47</v>
      </c>
      <c r="F40" s="11" t="s">
        <v>595</v>
      </c>
      <c r="G40" s="11" t="s">
        <v>630</v>
      </c>
      <c r="H40" s="18">
        <v>10.65</v>
      </c>
      <c r="I40" s="5" t="s">
        <v>52</v>
      </c>
      <c r="J40" s="19">
        <v>4</v>
      </c>
      <c r="K40" s="5" t="s">
        <v>49</v>
      </c>
      <c r="L40" s="5" t="s">
        <v>53</v>
      </c>
      <c r="M40" s="23" t="s">
        <v>596</v>
      </c>
      <c r="N40" s="25"/>
      <c r="O40" s="25"/>
      <c r="P40" s="25"/>
      <c r="Q40" s="17" t="s">
        <v>43</v>
      </c>
    </row>
    <row r="41" spans="2:17">
      <c r="B41" s="11" t="s">
        <v>55</v>
      </c>
      <c r="C41" s="5" t="str">
        <f>IF(E41="","",IF(G41&lt;&gt;"",SUBSTITUTE(SUBSTITUTE(G41," ",""),"-",""),IF(F41&lt;&gt;"",SUBSTITUTE(SUBSTITUTE(F41," ",""),"-",""),"")))</f>
        <v>RDSH2P35</v>
      </c>
      <c r="D41" s="6" t="s">
        <v>36</v>
      </c>
      <c r="E41" s="11" t="s">
        <v>47</v>
      </c>
      <c r="F41" s="11" t="s">
        <v>595</v>
      </c>
      <c r="G41" s="11" t="s">
        <v>631</v>
      </c>
      <c r="H41" s="18">
        <v>10.65</v>
      </c>
      <c r="I41" s="5" t="s">
        <v>52</v>
      </c>
      <c r="J41" s="19">
        <v>4</v>
      </c>
      <c r="K41" s="5" t="s">
        <v>49</v>
      </c>
      <c r="L41" s="5" t="s">
        <v>53</v>
      </c>
      <c r="M41" s="23" t="s">
        <v>596</v>
      </c>
      <c r="N41" s="25"/>
      <c r="O41" s="25"/>
      <c r="P41" s="25"/>
      <c r="Q41" s="17" t="s">
        <v>43</v>
      </c>
    </row>
    <row r="42" spans="2:17">
      <c r="B42" s="11" t="s">
        <v>55</v>
      </c>
      <c r="C42" s="5" t="str">
        <f>IF(E42="","",IF(G42&lt;&gt;"",SUBSTITUTE(SUBSTITUTE(G42," ",""),"-",""),IF(F42&lt;&gt;"",SUBSTITUTE(SUBSTITUTE(F42," ",""),"-",""),"")))</f>
        <v>RDSH2P36</v>
      </c>
      <c r="D42" s="6" t="s">
        <v>36</v>
      </c>
      <c r="E42" s="11" t="s">
        <v>47</v>
      </c>
      <c r="F42" s="11" t="s">
        <v>595</v>
      </c>
      <c r="G42" s="11" t="s">
        <v>632</v>
      </c>
      <c r="H42" s="18">
        <v>10.65</v>
      </c>
      <c r="I42" s="5" t="s">
        <v>52</v>
      </c>
      <c r="J42" s="19">
        <v>4</v>
      </c>
      <c r="K42" s="5" t="s">
        <v>49</v>
      </c>
      <c r="L42" s="5" t="s">
        <v>53</v>
      </c>
      <c r="M42" s="23" t="s">
        <v>596</v>
      </c>
      <c r="N42" s="25"/>
      <c r="O42" s="25"/>
      <c r="P42" s="25"/>
      <c r="Q42" s="17" t="s">
        <v>43</v>
      </c>
    </row>
    <row r="43" spans="2:17">
      <c r="B43" s="11" t="s">
        <v>55</v>
      </c>
      <c r="C43" s="5" t="str">
        <f>IF(E43="","",IF(G43&lt;&gt;"",SUBSTITUTE(SUBSTITUTE(G43," ",""),"-",""),IF(F43&lt;&gt;"",SUBSTITUTE(SUBSTITUTE(F43," ",""),"-",""),"")))</f>
        <v>RDSH2P37</v>
      </c>
      <c r="D43" s="6" t="s">
        <v>36</v>
      </c>
      <c r="E43" s="11" t="s">
        <v>47</v>
      </c>
      <c r="F43" s="11" t="s">
        <v>595</v>
      </c>
      <c r="G43" s="11" t="s">
        <v>633</v>
      </c>
      <c r="H43" s="18">
        <v>10.65</v>
      </c>
      <c r="I43" s="5" t="s">
        <v>52</v>
      </c>
      <c r="J43" s="19">
        <v>4</v>
      </c>
      <c r="K43" s="5" t="s">
        <v>49</v>
      </c>
      <c r="L43" s="5" t="s">
        <v>53</v>
      </c>
      <c r="M43" s="23" t="s">
        <v>596</v>
      </c>
      <c r="N43" s="25"/>
      <c r="O43" s="25"/>
      <c r="P43" s="25"/>
      <c r="Q43" s="17" t="s">
        <v>43</v>
      </c>
    </row>
    <row r="44" spans="2:17">
      <c r="B44" s="11" t="s">
        <v>55</v>
      </c>
      <c r="C44" s="5" t="str">
        <f>IF(E44="","",IF(G44&lt;&gt;"",SUBSTITUTE(SUBSTITUTE(G44," ",""),"-",""),IF(F44&lt;&gt;"",SUBSTITUTE(SUBSTITUTE(F44," ",""),"-",""),"")))</f>
        <v>RDSH2P38</v>
      </c>
      <c r="D44" s="6" t="s">
        <v>36</v>
      </c>
      <c r="E44" s="11" t="s">
        <v>47</v>
      </c>
      <c r="F44" s="11" t="s">
        <v>595</v>
      </c>
      <c r="G44" s="11" t="s">
        <v>634</v>
      </c>
      <c r="H44" s="18">
        <v>10.65</v>
      </c>
      <c r="I44" s="5" t="s">
        <v>52</v>
      </c>
      <c r="J44" s="19">
        <v>4</v>
      </c>
      <c r="K44" s="5" t="s">
        <v>49</v>
      </c>
      <c r="L44" s="5" t="s">
        <v>53</v>
      </c>
      <c r="M44" s="23" t="s">
        <v>596</v>
      </c>
      <c r="N44" s="25"/>
      <c r="O44" s="25"/>
      <c r="P44" s="25"/>
      <c r="Q44" s="17" t="s">
        <v>43</v>
      </c>
    </row>
    <row r="45" spans="2:17">
      <c r="B45" s="11" t="s">
        <v>55</v>
      </c>
      <c r="C45" s="5" t="str">
        <f>IF(E45="","",IF(G45&lt;&gt;"",SUBSTITUTE(SUBSTITUTE(G45," ",""),"-",""),IF(F45&lt;&gt;"",SUBSTITUTE(SUBSTITUTE(F45," ",""),"-",""),"")))</f>
        <v>RDSH2P39</v>
      </c>
      <c r="D45" s="6" t="s">
        <v>36</v>
      </c>
      <c r="E45" s="11" t="s">
        <v>47</v>
      </c>
      <c r="F45" s="11" t="s">
        <v>595</v>
      </c>
      <c r="G45" s="11" t="s">
        <v>635</v>
      </c>
      <c r="H45" s="18">
        <v>10.65</v>
      </c>
      <c r="I45" s="5" t="s">
        <v>52</v>
      </c>
      <c r="J45" s="19">
        <v>4</v>
      </c>
      <c r="K45" s="5" t="s">
        <v>49</v>
      </c>
      <c r="L45" s="5" t="s">
        <v>53</v>
      </c>
      <c r="M45" s="23" t="s">
        <v>596</v>
      </c>
      <c r="N45" s="25"/>
      <c r="O45" s="25"/>
      <c r="P45" s="25"/>
      <c r="Q45" s="17" t="s">
        <v>43</v>
      </c>
    </row>
    <row r="46" spans="2:17">
      <c r="B46" s="11" t="s">
        <v>55</v>
      </c>
      <c r="C46" s="5" t="str">
        <f>IF(E46="","",IF(G46&lt;&gt;"",SUBSTITUTE(SUBSTITUTE(G46," ",""),"-",""),IF(F46&lt;&gt;"",SUBSTITUTE(SUBSTITUTE(F46," ",""),"-",""),"")))</f>
        <v>RDSH2P40</v>
      </c>
      <c r="D46" s="6" t="s">
        <v>36</v>
      </c>
      <c r="E46" s="11" t="s">
        <v>47</v>
      </c>
      <c r="F46" s="11" t="s">
        <v>595</v>
      </c>
      <c r="G46" s="11" t="s">
        <v>636</v>
      </c>
      <c r="H46" s="18">
        <v>10.65</v>
      </c>
      <c r="I46" s="5" t="s">
        <v>52</v>
      </c>
      <c r="J46" s="19">
        <v>4</v>
      </c>
      <c r="K46" s="5" t="s">
        <v>49</v>
      </c>
      <c r="L46" s="5" t="s">
        <v>53</v>
      </c>
      <c r="M46" s="23" t="s">
        <v>596</v>
      </c>
      <c r="N46" s="25"/>
      <c r="O46" s="25"/>
      <c r="P46" s="25"/>
      <c r="Q46" s="17" t="s">
        <v>43</v>
      </c>
    </row>
    <row r="47" spans="2:17">
      <c r="B47" s="11" t="s">
        <v>55</v>
      </c>
      <c r="C47" s="5" t="str">
        <f>IF(E47="","",IF(G47&lt;&gt;"",SUBSTITUTE(SUBSTITUTE(G47," ",""),"-",""),IF(F47&lt;&gt;"",SUBSTITUTE(SUBSTITUTE(F47," ",""),"-",""),"")))</f>
        <v>RDSH2P41</v>
      </c>
      <c r="D47" s="6" t="s">
        <v>36</v>
      </c>
      <c r="E47" s="11" t="s">
        <v>47</v>
      </c>
      <c r="F47" s="11" t="s">
        <v>595</v>
      </c>
      <c r="G47" s="11" t="s">
        <v>637</v>
      </c>
      <c r="H47" s="18">
        <v>10.65</v>
      </c>
      <c r="I47" s="5" t="s">
        <v>52</v>
      </c>
      <c r="J47" s="19">
        <v>4</v>
      </c>
      <c r="K47" s="5" t="s">
        <v>49</v>
      </c>
      <c r="L47" s="5" t="s">
        <v>53</v>
      </c>
      <c r="M47" s="23" t="s">
        <v>596</v>
      </c>
      <c r="N47" s="25"/>
      <c r="O47" s="25"/>
      <c r="P47" s="25"/>
      <c r="Q47" s="17" t="s">
        <v>43</v>
      </c>
    </row>
    <row r="48" spans="2:17">
      <c r="B48" s="11" t="s">
        <v>55</v>
      </c>
      <c r="C48" s="5" t="str">
        <f>IF(E48="","",IF(G48&lt;&gt;"",SUBSTITUTE(SUBSTITUTE(G48," ",""),"-",""),IF(F48&lt;&gt;"",SUBSTITUTE(SUBSTITUTE(F48," ",""),"-",""),"")))</f>
        <v>RDSH2P42</v>
      </c>
      <c r="D48" s="6" t="s">
        <v>36</v>
      </c>
      <c r="E48" s="11" t="s">
        <v>47</v>
      </c>
      <c r="F48" s="11" t="s">
        <v>595</v>
      </c>
      <c r="G48" s="11" t="s">
        <v>638</v>
      </c>
      <c r="H48" s="18">
        <v>10.65</v>
      </c>
      <c r="I48" s="5" t="s">
        <v>52</v>
      </c>
      <c r="J48" s="19">
        <v>4</v>
      </c>
      <c r="K48" s="5" t="s">
        <v>49</v>
      </c>
      <c r="L48" s="5" t="s">
        <v>53</v>
      </c>
      <c r="M48" s="23" t="s">
        <v>596</v>
      </c>
      <c r="N48" s="25"/>
      <c r="O48" s="25"/>
      <c r="P48" s="25"/>
      <c r="Q48" s="17" t="s">
        <v>43</v>
      </c>
    </row>
    <row r="49" spans="2:17">
      <c r="B49" s="11" t="s">
        <v>55</v>
      </c>
      <c r="C49" s="5" t="str">
        <f>IF(E49="","",IF(G49&lt;&gt;"",SUBSTITUTE(SUBSTITUTE(G49," ",""),"-",""),IF(F49&lt;&gt;"",SUBSTITUTE(SUBSTITUTE(F49," ",""),"-",""),"")))</f>
        <v>RDSH2P43</v>
      </c>
      <c r="D49" s="6" t="s">
        <v>36</v>
      </c>
      <c r="E49" s="11" t="s">
        <v>47</v>
      </c>
      <c r="F49" s="11" t="s">
        <v>595</v>
      </c>
      <c r="G49" s="11" t="s">
        <v>639</v>
      </c>
      <c r="H49" s="18">
        <v>10.65</v>
      </c>
      <c r="I49" s="5" t="s">
        <v>52</v>
      </c>
      <c r="J49" s="19">
        <v>4</v>
      </c>
      <c r="K49" s="5" t="s">
        <v>49</v>
      </c>
      <c r="L49" s="5" t="s">
        <v>53</v>
      </c>
      <c r="M49" s="23" t="s">
        <v>596</v>
      </c>
      <c r="N49" s="25"/>
      <c r="O49" s="25"/>
      <c r="P49" s="25"/>
      <c r="Q49" s="17" t="s">
        <v>43</v>
      </c>
    </row>
    <row r="50" spans="2:17">
      <c r="B50" s="11" t="s">
        <v>55</v>
      </c>
      <c r="C50" s="5" t="str">
        <f>IF(E50="","",IF(G50&lt;&gt;"",SUBSTITUTE(SUBSTITUTE(G50," ",""),"-",""),IF(F50&lt;&gt;"",SUBSTITUTE(SUBSTITUTE(F50," ",""),"-",""),"")))</f>
        <v>RDSH2P44</v>
      </c>
      <c r="D50" s="6" t="s">
        <v>36</v>
      </c>
      <c r="E50" s="11" t="s">
        <v>47</v>
      </c>
      <c r="F50" s="11" t="s">
        <v>595</v>
      </c>
      <c r="G50" s="11" t="s">
        <v>640</v>
      </c>
      <c r="H50" s="18">
        <v>10.65</v>
      </c>
      <c r="I50" s="5" t="s">
        <v>52</v>
      </c>
      <c r="J50" s="19">
        <v>4</v>
      </c>
      <c r="K50" s="5" t="s">
        <v>49</v>
      </c>
      <c r="L50" s="5" t="s">
        <v>53</v>
      </c>
      <c r="M50" s="23" t="s">
        <v>596</v>
      </c>
      <c r="N50" s="25"/>
      <c r="O50" s="25"/>
      <c r="P50" s="25"/>
      <c r="Q50" s="17" t="s">
        <v>43</v>
      </c>
    </row>
    <row r="51" spans="2:17">
      <c r="B51" s="11" t="s">
        <v>55</v>
      </c>
      <c r="C51" s="5" t="str">
        <f>IF(E51="","",IF(G51&lt;&gt;"",SUBSTITUTE(SUBSTITUTE(G51," ",""),"-",""),IF(F51&lt;&gt;"",SUBSTITUTE(SUBSTITUTE(F51," ",""),"-",""),"")))</f>
        <v>RDSH2P45</v>
      </c>
      <c r="D51" s="6" t="s">
        <v>36</v>
      </c>
      <c r="E51" s="11" t="s">
        <v>47</v>
      </c>
      <c r="F51" s="11" t="s">
        <v>595</v>
      </c>
      <c r="G51" s="11" t="s">
        <v>641</v>
      </c>
      <c r="H51" s="18">
        <v>10.65</v>
      </c>
      <c r="I51" s="5" t="s">
        <v>52</v>
      </c>
      <c r="J51" s="19">
        <v>4</v>
      </c>
      <c r="K51" s="5" t="s">
        <v>49</v>
      </c>
      <c r="L51" s="5" t="s">
        <v>53</v>
      </c>
      <c r="M51" s="23" t="s">
        <v>596</v>
      </c>
      <c r="N51" s="25"/>
      <c r="O51" s="25"/>
      <c r="P51" s="25"/>
      <c r="Q51" s="17" t="s">
        <v>43</v>
      </c>
    </row>
    <row r="52" spans="2:17">
      <c r="B52" s="11" t="s">
        <v>55</v>
      </c>
      <c r="C52" s="5" t="str">
        <f>IF(E52="","",IF(G52&lt;&gt;"",SUBSTITUTE(SUBSTITUTE(G52," ",""),"-",""),IF(F52&lt;&gt;"",SUBSTITUTE(SUBSTITUTE(F52," ",""),"-",""),"")))</f>
        <v>RDSH2P46</v>
      </c>
      <c r="D52" s="6" t="s">
        <v>36</v>
      </c>
      <c r="E52" s="11" t="s">
        <v>47</v>
      </c>
      <c r="F52" s="11" t="s">
        <v>595</v>
      </c>
      <c r="G52" s="11" t="s">
        <v>642</v>
      </c>
      <c r="H52" s="18">
        <v>10.65</v>
      </c>
      <c r="I52" s="5" t="s">
        <v>52</v>
      </c>
      <c r="J52" s="19">
        <v>4</v>
      </c>
      <c r="K52" s="5" t="s">
        <v>49</v>
      </c>
      <c r="L52" s="5" t="s">
        <v>53</v>
      </c>
      <c r="M52" s="23" t="s">
        <v>596</v>
      </c>
      <c r="N52" s="25"/>
      <c r="O52" s="25"/>
      <c r="P52" s="25"/>
      <c r="Q52" s="17" t="s">
        <v>43</v>
      </c>
    </row>
    <row r="53" spans="2:17">
      <c r="B53" s="11" t="s">
        <v>55</v>
      </c>
      <c r="C53" s="5" t="str">
        <f>IF(E53="","",IF(G53&lt;&gt;"",SUBSTITUTE(SUBSTITUTE(G53," ",""),"-",""),IF(F53&lt;&gt;"",SUBSTITUTE(SUBSTITUTE(F53," ",""),"-",""),"")))</f>
        <v>RDSH2P47</v>
      </c>
      <c r="D53" s="6" t="s">
        <v>36</v>
      </c>
      <c r="E53" s="11" t="s">
        <v>47</v>
      </c>
      <c r="F53" s="11" t="s">
        <v>595</v>
      </c>
      <c r="G53" s="11" t="s">
        <v>643</v>
      </c>
      <c r="H53" s="18">
        <v>10.65</v>
      </c>
      <c r="I53" s="5" t="s">
        <v>52</v>
      </c>
      <c r="J53" s="19">
        <v>4</v>
      </c>
      <c r="K53" s="5" t="s">
        <v>49</v>
      </c>
      <c r="L53" s="5" t="s">
        <v>53</v>
      </c>
      <c r="M53" s="23" t="s">
        <v>596</v>
      </c>
      <c r="N53" s="25"/>
      <c r="O53" s="25"/>
      <c r="P53" s="25"/>
      <c r="Q53" s="17" t="s">
        <v>43</v>
      </c>
    </row>
    <row r="54" spans="2:17">
      <c r="B54" s="11" t="s">
        <v>55</v>
      </c>
      <c r="C54" s="5" t="str">
        <f>IF(E54="","",IF(G54&lt;&gt;"",SUBSTITUTE(SUBSTITUTE(G54," ",""),"-",""),IF(F54&lt;&gt;"",SUBSTITUTE(SUBSTITUTE(F54," ",""),"-",""),"")))</f>
        <v>RDSH2P48</v>
      </c>
      <c r="D54" s="6" t="s">
        <v>36</v>
      </c>
      <c r="E54" s="11" t="s">
        <v>47</v>
      </c>
      <c r="F54" s="11" t="s">
        <v>595</v>
      </c>
      <c r="G54" s="11" t="s">
        <v>644</v>
      </c>
      <c r="H54" s="18">
        <v>10.65</v>
      </c>
      <c r="I54" s="5" t="s">
        <v>52</v>
      </c>
      <c r="J54" s="19">
        <v>4</v>
      </c>
      <c r="K54" s="5" t="s">
        <v>49</v>
      </c>
      <c r="L54" s="5" t="s">
        <v>53</v>
      </c>
      <c r="M54" s="23" t="s">
        <v>596</v>
      </c>
      <c r="N54" s="25"/>
      <c r="O54" s="25"/>
      <c r="P54" s="25"/>
      <c r="Q54" s="17" t="s">
        <v>43</v>
      </c>
    </row>
    <row r="55" spans="2:17">
      <c r="B55" s="11" t="s">
        <v>55</v>
      </c>
      <c r="C55" s="5" t="str">
        <f>IF(E55="","",IF(G55&lt;&gt;"",SUBSTITUTE(SUBSTITUTE(G55," ",""),"-",""),IF(F55&lt;&gt;"",SUBSTITUTE(SUBSTITUTE(F55," ",""),"-",""),"")))</f>
        <v>RDSH2P49</v>
      </c>
      <c r="D55" s="6" t="s">
        <v>36</v>
      </c>
      <c r="E55" s="11" t="s">
        <v>47</v>
      </c>
      <c r="F55" s="11" t="s">
        <v>595</v>
      </c>
      <c r="G55" s="11" t="s">
        <v>645</v>
      </c>
      <c r="H55" s="18">
        <v>10.65</v>
      </c>
      <c r="I55" s="5" t="s">
        <v>52</v>
      </c>
      <c r="J55" s="19">
        <v>4</v>
      </c>
      <c r="K55" s="5" t="s">
        <v>49</v>
      </c>
      <c r="L55" s="5" t="s">
        <v>53</v>
      </c>
      <c r="M55" s="23" t="s">
        <v>596</v>
      </c>
      <c r="N55" s="25"/>
      <c r="O55" s="25"/>
      <c r="P55" s="25"/>
      <c r="Q55" s="17" t="s">
        <v>43</v>
      </c>
    </row>
    <row r="56" spans="2:17">
      <c r="B56" s="11" t="s">
        <v>55</v>
      </c>
      <c r="C56" s="5" t="str">
        <f>IF(E56="","",IF(G56&lt;&gt;"",SUBSTITUTE(SUBSTITUTE(G56," ",""),"-",""),IF(F56&lt;&gt;"",SUBSTITUTE(SUBSTITUTE(F56," ",""),"-",""),"")))</f>
        <v>RDSH2P50</v>
      </c>
      <c r="D56" s="6" t="s">
        <v>36</v>
      </c>
      <c r="E56" s="11" t="s">
        <v>47</v>
      </c>
      <c r="F56" s="11" t="s">
        <v>595</v>
      </c>
      <c r="G56" s="11" t="s">
        <v>646</v>
      </c>
      <c r="H56" s="18">
        <v>10.65</v>
      </c>
      <c r="I56" s="5" t="s">
        <v>52</v>
      </c>
      <c r="J56" s="19">
        <v>4</v>
      </c>
      <c r="K56" s="5" t="s">
        <v>49</v>
      </c>
      <c r="L56" s="5" t="s">
        <v>53</v>
      </c>
      <c r="M56" s="23" t="s">
        <v>596</v>
      </c>
      <c r="N56" s="25"/>
      <c r="O56" s="25"/>
      <c r="P56" s="25"/>
      <c r="Q56" s="17" t="s">
        <v>43</v>
      </c>
    </row>
    <row r="57" spans="2:17">
      <c r="B57" s="11" t="s">
        <v>55</v>
      </c>
      <c r="C57" s="5" t="str">
        <f>IF(E57="","",IF(G57&lt;&gt;"",SUBSTITUTE(SUBSTITUTE(G57," ",""),"-",""),IF(F57&lt;&gt;"",SUBSTITUTE(SUBSTITUTE(F57," ",""),"-",""),"")))</f>
        <v>RDSH2P51</v>
      </c>
      <c r="D57" s="6" t="s">
        <v>36</v>
      </c>
      <c r="E57" s="11" t="s">
        <v>47</v>
      </c>
      <c r="F57" s="11" t="s">
        <v>595</v>
      </c>
      <c r="G57" s="11" t="s">
        <v>647</v>
      </c>
      <c r="H57" s="18">
        <v>10.65</v>
      </c>
      <c r="I57" s="5" t="s">
        <v>52</v>
      </c>
      <c r="J57" s="19">
        <v>4</v>
      </c>
      <c r="K57" s="5" t="s">
        <v>49</v>
      </c>
      <c r="L57" s="5" t="s">
        <v>53</v>
      </c>
      <c r="M57" s="23" t="s">
        <v>596</v>
      </c>
      <c r="N57" s="25"/>
      <c r="O57" s="25"/>
      <c r="P57" s="25"/>
      <c r="Q57" s="17" t="s">
        <v>43</v>
      </c>
    </row>
    <row r="58" spans="2:17">
      <c r="B58" s="11" t="s">
        <v>55</v>
      </c>
      <c r="C58" s="5" t="str">
        <f>IF(E58="","",IF(G58&lt;&gt;"",SUBSTITUTE(SUBSTITUTE(G58," ",""),"-",""),IF(F58&lt;&gt;"",SUBSTITUTE(SUBSTITUTE(F58," ",""),"-",""),"")))</f>
        <v>RDSH2P52</v>
      </c>
      <c r="D58" s="6" t="s">
        <v>36</v>
      </c>
      <c r="E58" s="11" t="s">
        <v>47</v>
      </c>
      <c r="F58" s="11" t="s">
        <v>595</v>
      </c>
      <c r="G58" s="11" t="s">
        <v>648</v>
      </c>
      <c r="H58" s="18">
        <v>10.65</v>
      </c>
      <c r="I58" s="5" t="s">
        <v>52</v>
      </c>
      <c r="J58" s="19">
        <v>4</v>
      </c>
      <c r="K58" s="5" t="s">
        <v>49</v>
      </c>
      <c r="L58" s="5" t="s">
        <v>53</v>
      </c>
      <c r="M58" s="23" t="s">
        <v>596</v>
      </c>
      <c r="N58" s="25"/>
      <c r="O58" s="25"/>
      <c r="P58" s="25"/>
      <c r="Q58" s="17" t="s">
        <v>43</v>
      </c>
    </row>
    <row r="59" spans="2:17">
      <c r="B59" s="11"/>
      <c r="C59" s="5" t="str">
        <f>IF(E59="","",IF(G59&lt;&gt;"",SUBSTITUTE(SUBSTITUTE(G59," ",""),"-",""),IF(F59&lt;&gt;"",SUBSTITUTE(SUBSTITUTE(F59," ",""),"-",""),"")))</f>
        <v/>
      </c>
      <c r="D59" s="6"/>
      <c r="E59" s="11"/>
      <c r="F59" s="11"/>
      <c r="G59" s="11"/>
      <c r="H59" s="18"/>
      <c r="J59" s="19"/>
      <c r="M59" s="23"/>
      <c r="N59" s="23"/>
      <c r="O59" s="23"/>
      <c r="P59" s="23"/>
      <c r="Q59" s="17"/>
    </row>
    <row r="60" spans="2:17">
      <c r="B60" s="11"/>
      <c r="C60" s="5" t="str">
        <f>IF(E60="","",IF(G60&lt;&gt;"",SUBSTITUTE(SUBSTITUTE(G60," ",""),"-",""),IF(F60&lt;&gt;"",SUBSTITUTE(SUBSTITUTE(F60," ",""),"-",""),"")))</f>
        <v/>
      </c>
      <c r="D60" s="6"/>
      <c r="E60" s="11"/>
      <c r="F60" s="11"/>
      <c r="G60" s="11"/>
      <c r="H60" s="18"/>
      <c r="J60" s="19"/>
      <c r="M60" s="23"/>
      <c r="N60" s="23"/>
      <c r="O60" s="23"/>
      <c r="P60" s="23"/>
      <c r="Q60" s="17"/>
    </row>
    <row r="61" spans="2:17">
      <c r="B61" s="11"/>
      <c r="C61" s="5" t="str">
        <f>IF(E61="","",IF(G61&lt;&gt;"",SUBSTITUTE(SUBSTITUTE(G61," ",""),"-",""),IF(F61&lt;&gt;"",SUBSTITUTE(SUBSTITUTE(F61," ",""),"-",""),"")))</f>
        <v/>
      </c>
      <c r="D61" s="6"/>
      <c r="E61" s="11"/>
      <c r="F61" s="11"/>
      <c r="G61" s="11"/>
      <c r="H61" s="18"/>
      <c r="J61" s="19"/>
      <c r="M61" s="23"/>
      <c r="N61" s="23"/>
      <c r="O61" s="23"/>
      <c r="P61" s="23"/>
      <c r="Q61" s="17"/>
    </row>
    <row r="62" spans="2:17">
      <c r="B62" s="11" t="s">
        <v>50</v>
      </c>
      <c r="C62" s="5" t="str">
        <f>IF(E62="","",IF(G62&lt;&gt;"",SUBSTITUTE(SUBSTITUTE(G62," ",""),"-",""),IF(F62&lt;&gt;"",SUBSTITUTE(SUBSTITUTE(F62," ",""),"-",""),"")))</f>
        <v>RDSH03</v>
      </c>
      <c r="D62" s="6" t="s">
        <v>36</v>
      </c>
      <c r="E62" s="11" t="s">
        <v>47</v>
      </c>
      <c r="F62" s="11" t="s">
        <v>649</v>
      </c>
      <c r="G62" s="11"/>
      <c r="H62" s="18">
        <v>553.79999999999995</v>
      </c>
      <c r="I62" s="5" t="s">
        <v>52</v>
      </c>
      <c r="J62" s="19">
        <v>208</v>
      </c>
      <c r="K62" s="5" t="s">
        <v>49</v>
      </c>
      <c r="L62" s="5" t="s">
        <v>53</v>
      </c>
      <c r="M62" s="23" t="s">
        <v>650</v>
      </c>
      <c r="N62" s="25">
        <v>5800</v>
      </c>
      <c r="O62" s="25">
        <v>8</v>
      </c>
      <c r="P62" s="25">
        <v>1</v>
      </c>
      <c r="Q62" s="17" t="s">
        <v>43</v>
      </c>
    </row>
    <row r="63" spans="2:17">
      <c r="B63" s="11" t="s">
        <v>55</v>
      </c>
      <c r="C63" s="5" t="str">
        <f>IF(E63="","",IF(G63&lt;&gt;"",SUBSTITUTE(SUBSTITUTE(G63," ",""),"-",""),IF(F63&lt;&gt;"",SUBSTITUTE(SUBSTITUTE(F63," ",""),"-",""),"")))</f>
        <v>RDSH3P01</v>
      </c>
      <c r="D63" s="6" t="s">
        <v>36</v>
      </c>
      <c r="E63" s="11" t="s">
        <v>47</v>
      </c>
      <c r="F63" s="11" t="s">
        <v>649</v>
      </c>
      <c r="G63" s="11" t="s">
        <v>651</v>
      </c>
      <c r="H63" s="18">
        <v>10.65</v>
      </c>
      <c r="I63" s="5" t="s">
        <v>52</v>
      </c>
      <c r="J63" s="19">
        <v>4</v>
      </c>
      <c r="K63" s="5" t="s">
        <v>49</v>
      </c>
      <c r="L63" s="5" t="s">
        <v>53</v>
      </c>
      <c r="M63" s="23" t="s">
        <v>650</v>
      </c>
      <c r="N63" s="25"/>
      <c r="O63" s="25"/>
      <c r="P63" s="25"/>
      <c r="Q63" s="17" t="s">
        <v>43</v>
      </c>
    </row>
    <row r="64" spans="2:17">
      <c r="B64" s="11" t="s">
        <v>55</v>
      </c>
      <c r="C64" s="5" t="str">
        <f>IF(E64="","",IF(G64&lt;&gt;"",SUBSTITUTE(SUBSTITUTE(G64," ",""),"-",""),IF(F64&lt;&gt;"",SUBSTITUTE(SUBSTITUTE(F64," ",""),"-",""),"")))</f>
        <v>RDSH3P02</v>
      </c>
      <c r="D64" s="6" t="s">
        <v>36</v>
      </c>
      <c r="E64" s="11" t="s">
        <v>47</v>
      </c>
      <c r="F64" s="11" t="s">
        <v>649</v>
      </c>
      <c r="G64" s="11" t="s">
        <v>652</v>
      </c>
      <c r="H64" s="18">
        <v>10.65</v>
      </c>
      <c r="I64" s="5" t="s">
        <v>52</v>
      </c>
      <c r="J64" s="19">
        <v>4</v>
      </c>
      <c r="K64" s="5" t="s">
        <v>49</v>
      </c>
      <c r="L64" s="5" t="s">
        <v>53</v>
      </c>
      <c r="M64" s="23" t="s">
        <v>650</v>
      </c>
      <c r="N64" s="25"/>
      <c r="O64" s="25"/>
      <c r="P64" s="25"/>
      <c r="Q64" s="17" t="s">
        <v>43</v>
      </c>
    </row>
    <row r="65" spans="2:17">
      <c r="B65" s="11" t="s">
        <v>55</v>
      </c>
      <c r="C65" s="5" t="str">
        <f>IF(E65="","",IF(G65&lt;&gt;"",SUBSTITUTE(SUBSTITUTE(G65," ",""),"-",""),IF(F65&lt;&gt;"",SUBSTITUTE(SUBSTITUTE(F65," ",""),"-",""),"")))</f>
        <v>RDSH3P03</v>
      </c>
      <c r="D65" s="6" t="s">
        <v>36</v>
      </c>
      <c r="E65" s="11" t="s">
        <v>47</v>
      </c>
      <c r="F65" s="11" t="s">
        <v>649</v>
      </c>
      <c r="G65" s="11" t="s">
        <v>653</v>
      </c>
      <c r="H65" s="18">
        <v>10.65</v>
      </c>
      <c r="I65" s="5" t="s">
        <v>52</v>
      </c>
      <c r="J65" s="19">
        <v>4</v>
      </c>
      <c r="K65" s="5" t="s">
        <v>49</v>
      </c>
      <c r="L65" s="5" t="s">
        <v>53</v>
      </c>
      <c r="M65" s="23" t="s">
        <v>650</v>
      </c>
      <c r="N65" s="25"/>
      <c r="O65" s="25"/>
      <c r="P65" s="25"/>
      <c r="Q65" s="17" t="s">
        <v>43</v>
      </c>
    </row>
    <row r="66" spans="2:17">
      <c r="B66" s="11" t="s">
        <v>55</v>
      </c>
      <c r="C66" s="5" t="str">
        <f>IF(E66="","",IF(G66&lt;&gt;"",SUBSTITUTE(SUBSTITUTE(G66," ",""),"-",""),IF(F66&lt;&gt;"",SUBSTITUTE(SUBSTITUTE(F66," ",""),"-",""),"")))</f>
        <v>RDSH3P04</v>
      </c>
      <c r="D66" s="6" t="s">
        <v>36</v>
      </c>
      <c r="E66" s="11" t="s">
        <v>47</v>
      </c>
      <c r="F66" s="11" t="s">
        <v>649</v>
      </c>
      <c r="G66" s="11" t="s">
        <v>654</v>
      </c>
      <c r="H66" s="18">
        <v>10.65</v>
      </c>
      <c r="I66" s="5" t="s">
        <v>52</v>
      </c>
      <c r="J66" s="19">
        <v>4</v>
      </c>
      <c r="K66" s="5" t="s">
        <v>49</v>
      </c>
      <c r="L66" s="5" t="s">
        <v>53</v>
      </c>
      <c r="M66" s="23" t="s">
        <v>650</v>
      </c>
      <c r="N66" s="25"/>
      <c r="O66" s="25"/>
      <c r="P66" s="25"/>
      <c r="Q66" s="17" t="s">
        <v>43</v>
      </c>
    </row>
    <row r="67" spans="2:17">
      <c r="B67" s="11" t="s">
        <v>55</v>
      </c>
      <c r="C67" s="5" t="str">
        <f>IF(E67="","",IF(G67&lt;&gt;"",SUBSTITUTE(SUBSTITUTE(G67," ",""),"-",""),IF(F67&lt;&gt;"",SUBSTITUTE(SUBSTITUTE(F67," ",""),"-",""),"")))</f>
        <v>RDSH3P05</v>
      </c>
      <c r="D67" s="6" t="s">
        <v>36</v>
      </c>
      <c r="E67" s="11" t="s">
        <v>47</v>
      </c>
      <c r="F67" s="11" t="s">
        <v>649</v>
      </c>
      <c r="G67" s="11" t="s">
        <v>655</v>
      </c>
      <c r="H67" s="18">
        <v>10.65</v>
      </c>
      <c r="I67" s="5" t="s">
        <v>52</v>
      </c>
      <c r="J67" s="19">
        <v>4</v>
      </c>
      <c r="K67" s="5" t="s">
        <v>49</v>
      </c>
      <c r="L67" s="5" t="s">
        <v>53</v>
      </c>
      <c r="M67" s="23" t="s">
        <v>650</v>
      </c>
      <c r="N67" s="25"/>
      <c r="O67" s="25"/>
      <c r="P67" s="25"/>
      <c r="Q67" s="17" t="s">
        <v>43</v>
      </c>
    </row>
    <row r="68" spans="2:17">
      <c r="B68" s="11" t="s">
        <v>55</v>
      </c>
      <c r="C68" s="5" t="str">
        <f>IF(E68="","",IF(G68&lt;&gt;"",SUBSTITUTE(SUBSTITUTE(G68," ",""),"-",""),IF(F68&lt;&gt;"",SUBSTITUTE(SUBSTITUTE(F68," ",""),"-",""),"")))</f>
        <v>RDSH3P06</v>
      </c>
      <c r="D68" s="6" t="s">
        <v>36</v>
      </c>
      <c r="E68" s="11" t="s">
        <v>47</v>
      </c>
      <c r="F68" s="11" t="s">
        <v>649</v>
      </c>
      <c r="G68" s="11" t="s">
        <v>656</v>
      </c>
      <c r="H68" s="18">
        <v>10.65</v>
      </c>
      <c r="I68" s="5" t="s">
        <v>52</v>
      </c>
      <c r="J68" s="19">
        <v>4</v>
      </c>
      <c r="K68" s="5" t="s">
        <v>49</v>
      </c>
      <c r="L68" s="5" t="s">
        <v>53</v>
      </c>
      <c r="M68" s="23" t="s">
        <v>650</v>
      </c>
      <c r="N68" s="25"/>
      <c r="O68" s="25"/>
      <c r="P68" s="25"/>
      <c r="Q68" s="17" t="s">
        <v>43</v>
      </c>
    </row>
    <row r="69" spans="2:17">
      <c r="B69" s="11" t="s">
        <v>55</v>
      </c>
      <c r="C69" s="5" t="str">
        <f>IF(E69="","",IF(G69&lt;&gt;"",SUBSTITUTE(SUBSTITUTE(G69," ",""),"-",""),IF(F69&lt;&gt;"",SUBSTITUTE(SUBSTITUTE(F69," ",""),"-",""),"")))</f>
        <v>RDSH3P07</v>
      </c>
      <c r="D69" s="6" t="s">
        <v>36</v>
      </c>
      <c r="E69" s="11" t="s">
        <v>47</v>
      </c>
      <c r="F69" s="11" t="s">
        <v>649</v>
      </c>
      <c r="G69" s="11" t="s">
        <v>657</v>
      </c>
      <c r="H69" s="18">
        <v>10.65</v>
      </c>
      <c r="I69" s="5" t="s">
        <v>52</v>
      </c>
      <c r="J69" s="19">
        <v>4</v>
      </c>
      <c r="K69" s="5" t="s">
        <v>49</v>
      </c>
      <c r="L69" s="5" t="s">
        <v>53</v>
      </c>
      <c r="M69" s="23" t="s">
        <v>650</v>
      </c>
      <c r="N69" s="25"/>
      <c r="O69" s="25"/>
      <c r="P69" s="25"/>
      <c r="Q69" s="17" t="s">
        <v>43</v>
      </c>
    </row>
    <row r="70" spans="2:17">
      <c r="B70" s="11" t="s">
        <v>55</v>
      </c>
      <c r="C70" s="5" t="str">
        <f>IF(E70="","",IF(G70&lt;&gt;"",SUBSTITUTE(SUBSTITUTE(G70," ",""),"-",""),IF(F70&lt;&gt;"",SUBSTITUTE(SUBSTITUTE(F70," ",""),"-",""),"")))</f>
        <v>RDSH3P08</v>
      </c>
      <c r="D70" s="6" t="s">
        <v>36</v>
      </c>
      <c r="E70" s="11" t="s">
        <v>47</v>
      </c>
      <c r="F70" s="11" t="s">
        <v>649</v>
      </c>
      <c r="G70" s="11" t="s">
        <v>658</v>
      </c>
      <c r="H70" s="18">
        <v>10.65</v>
      </c>
      <c r="I70" s="5" t="s">
        <v>52</v>
      </c>
      <c r="J70" s="19">
        <v>4</v>
      </c>
      <c r="K70" s="5" t="s">
        <v>49</v>
      </c>
      <c r="L70" s="5" t="s">
        <v>53</v>
      </c>
      <c r="M70" s="23" t="s">
        <v>650</v>
      </c>
      <c r="N70" s="25"/>
      <c r="O70" s="25"/>
      <c r="P70" s="25"/>
      <c r="Q70" s="17" t="s">
        <v>43</v>
      </c>
    </row>
    <row r="71" spans="2:17">
      <c r="B71" s="11" t="s">
        <v>55</v>
      </c>
      <c r="C71" s="5" t="str">
        <f>IF(E71="","",IF(G71&lt;&gt;"",SUBSTITUTE(SUBSTITUTE(G71," ",""),"-",""),IF(F71&lt;&gt;"",SUBSTITUTE(SUBSTITUTE(F71," ",""),"-",""),"")))</f>
        <v>RDSH3P09</v>
      </c>
      <c r="D71" s="6" t="s">
        <v>36</v>
      </c>
      <c r="E71" s="11" t="s">
        <v>47</v>
      </c>
      <c r="F71" s="11" t="s">
        <v>649</v>
      </c>
      <c r="G71" s="11" t="s">
        <v>659</v>
      </c>
      <c r="H71" s="18">
        <v>10.65</v>
      </c>
      <c r="I71" s="5" t="s">
        <v>52</v>
      </c>
      <c r="J71" s="19">
        <v>4</v>
      </c>
      <c r="K71" s="5" t="s">
        <v>49</v>
      </c>
      <c r="L71" s="5" t="s">
        <v>53</v>
      </c>
      <c r="M71" s="23" t="s">
        <v>650</v>
      </c>
      <c r="N71" s="25"/>
      <c r="O71" s="25"/>
      <c r="P71" s="25"/>
      <c r="Q71" s="17" t="s">
        <v>43</v>
      </c>
    </row>
    <row r="72" spans="2:17">
      <c r="B72" s="11" t="s">
        <v>55</v>
      </c>
      <c r="C72" s="5" t="str">
        <f>IF(E72="","",IF(G72&lt;&gt;"",SUBSTITUTE(SUBSTITUTE(G72," ",""),"-",""),IF(F72&lt;&gt;"",SUBSTITUTE(SUBSTITUTE(F72," ",""),"-",""),"")))</f>
        <v>RDSH3P10</v>
      </c>
      <c r="D72" s="6" t="s">
        <v>36</v>
      </c>
      <c r="E72" s="11" t="s">
        <v>47</v>
      </c>
      <c r="F72" s="11" t="s">
        <v>649</v>
      </c>
      <c r="G72" s="11" t="s">
        <v>660</v>
      </c>
      <c r="H72" s="18">
        <v>10.65</v>
      </c>
      <c r="I72" s="5" t="s">
        <v>52</v>
      </c>
      <c r="J72" s="19">
        <v>4</v>
      </c>
      <c r="K72" s="5" t="s">
        <v>49</v>
      </c>
      <c r="L72" s="5" t="s">
        <v>53</v>
      </c>
      <c r="M72" s="23" t="s">
        <v>650</v>
      </c>
      <c r="N72" s="25"/>
      <c r="O72" s="25"/>
      <c r="P72" s="25"/>
      <c r="Q72" s="17" t="s">
        <v>43</v>
      </c>
    </row>
    <row r="73" spans="2:17">
      <c r="B73" s="11" t="s">
        <v>55</v>
      </c>
      <c r="C73" s="5" t="str">
        <f>IF(E73="","",IF(G73&lt;&gt;"",SUBSTITUTE(SUBSTITUTE(G73," ",""),"-",""),IF(F73&lt;&gt;"",SUBSTITUTE(SUBSTITUTE(F73," ",""),"-",""),"")))</f>
        <v>RDSH3P11</v>
      </c>
      <c r="D73" s="6" t="s">
        <v>36</v>
      </c>
      <c r="E73" s="11" t="s">
        <v>47</v>
      </c>
      <c r="F73" s="11" t="s">
        <v>649</v>
      </c>
      <c r="G73" s="11" t="s">
        <v>661</v>
      </c>
      <c r="H73" s="18">
        <v>10.65</v>
      </c>
      <c r="I73" s="5" t="s">
        <v>52</v>
      </c>
      <c r="J73" s="19">
        <v>4</v>
      </c>
      <c r="K73" s="5" t="s">
        <v>49</v>
      </c>
      <c r="L73" s="5" t="s">
        <v>53</v>
      </c>
      <c r="M73" s="23" t="s">
        <v>650</v>
      </c>
      <c r="N73" s="25"/>
      <c r="O73" s="25"/>
      <c r="P73" s="25"/>
      <c r="Q73" s="17" t="s">
        <v>43</v>
      </c>
    </row>
    <row r="74" spans="2:17">
      <c r="B74" s="11" t="s">
        <v>55</v>
      </c>
      <c r="C74" s="5" t="str">
        <f>IF(E74="","",IF(G74&lt;&gt;"",SUBSTITUTE(SUBSTITUTE(G74," ",""),"-",""),IF(F74&lt;&gt;"",SUBSTITUTE(SUBSTITUTE(F74," ",""),"-",""),"")))</f>
        <v>RDSH3P12</v>
      </c>
      <c r="D74" s="6" t="s">
        <v>36</v>
      </c>
      <c r="E74" s="11" t="s">
        <v>47</v>
      </c>
      <c r="F74" s="11" t="s">
        <v>649</v>
      </c>
      <c r="G74" s="11" t="s">
        <v>662</v>
      </c>
      <c r="H74" s="18">
        <v>10.65</v>
      </c>
      <c r="I74" s="5" t="s">
        <v>52</v>
      </c>
      <c r="J74" s="19">
        <v>4</v>
      </c>
      <c r="K74" s="5" t="s">
        <v>49</v>
      </c>
      <c r="L74" s="5" t="s">
        <v>53</v>
      </c>
      <c r="M74" s="23" t="s">
        <v>650</v>
      </c>
      <c r="N74" s="25"/>
      <c r="O74" s="25"/>
      <c r="P74" s="25"/>
      <c r="Q74" s="17" t="s">
        <v>43</v>
      </c>
    </row>
    <row r="75" spans="2:17">
      <c r="B75" s="11" t="s">
        <v>55</v>
      </c>
      <c r="C75" s="5" t="str">
        <f>IF(E75="","",IF(G75&lt;&gt;"",SUBSTITUTE(SUBSTITUTE(G75," ",""),"-",""),IF(F75&lt;&gt;"",SUBSTITUTE(SUBSTITUTE(F75," ",""),"-",""),"")))</f>
        <v>RDSH3P13</v>
      </c>
      <c r="D75" s="6" t="s">
        <v>36</v>
      </c>
      <c r="E75" s="11" t="s">
        <v>47</v>
      </c>
      <c r="F75" s="11" t="s">
        <v>649</v>
      </c>
      <c r="G75" s="11" t="s">
        <v>663</v>
      </c>
      <c r="H75" s="18">
        <v>10.65</v>
      </c>
      <c r="I75" s="5" t="s">
        <v>52</v>
      </c>
      <c r="J75" s="19">
        <v>4</v>
      </c>
      <c r="K75" s="5" t="s">
        <v>49</v>
      </c>
      <c r="L75" s="5" t="s">
        <v>53</v>
      </c>
      <c r="M75" s="23" t="s">
        <v>650</v>
      </c>
      <c r="N75" s="25"/>
      <c r="O75" s="25"/>
      <c r="P75" s="25"/>
      <c r="Q75" s="17" t="s">
        <v>43</v>
      </c>
    </row>
    <row r="76" spans="2:17">
      <c r="B76" s="11" t="s">
        <v>55</v>
      </c>
      <c r="C76" s="5" t="str">
        <f>IF(E76="","",IF(G76&lt;&gt;"",SUBSTITUTE(SUBSTITUTE(G76," ",""),"-",""),IF(F76&lt;&gt;"",SUBSTITUTE(SUBSTITUTE(F76," ",""),"-",""),"")))</f>
        <v>RDSH3P14</v>
      </c>
      <c r="D76" s="6" t="s">
        <v>36</v>
      </c>
      <c r="E76" s="11" t="s">
        <v>47</v>
      </c>
      <c r="F76" s="11" t="s">
        <v>649</v>
      </c>
      <c r="G76" s="11" t="s">
        <v>664</v>
      </c>
      <c r="H76" s="18">
        <v>10.65</v>
      </c>
      <c r="I76" s="5" t="s">
        <v>52</v>
      </c>
      <c r="J76" s="19">
        <v>4</v>
      </c>
      <c r="K76" s="5" t="s">
        <v>49</v>
      </c>
      <c r="L76" s="5" t="s">
        <v>53</v>
      </c>
      <c r="M76" s="23" t="s">
        <v>650</v>
      </c>
      <c r="N76" s="25"/>
      <c r="O76" s="25"/>
      <c r="P76" s="25"/>
      <c r="Q76" s="17" t="s">
        <v>43</v>
      </c>
    </row>
    <row r="77" spans="2:17">
      <c r="B77" s="11" t="s">
        <v>55</v>
      </c>
      <c r="C77" s="5" t="str">
        <f>IF(E77="","",IF(G77&lt;&gt;"",SUBSTITUTE(SUBSTITUTE(G77," ",""),"-",""),IF(F77&lt;&gt;"",SUBSTITUTE(SUBSTITUTE(F77," ",""),"-",""),"")))</f>
        <v>RDSH3P15</v>
      </c>
      <c r="D77" s="6" t="s">
        <v>36</v>
      </c>
      <c r="E77" s="11" t="s">
        <v>47</v>
      </c>
      <c r="F77" s="11" t="s">
        <v>649</v>
      </c>
      <c r="G77" s="11" t="s">
        <v>665</v>
      </c>
      <c r="H77" s="18">
        <v>10.65</v>
      </c>
      <c r="I77" s="5" t="s">
        <v>52</v>
      </c>
      <c r="J77" s="19">
        <v>4</v>
      </c>
      <c r="K77" s="5" t="s">
        <v>49</v>
      </c>
      <c r="L77" s="5" t="s">
        <v>53</v>
      </c>
      <c r="M77" s="23" t="s">
        <v>650</v>
      </c>
      <c r="N77" s="25"/>
      <c r="O77" s="25"/>
      <c r="P77" s="25"/>
      <c r="Q77" s="17" t="s">
        <v>43</v>
      </c>
    </row>
    <row r="78" spans="2:17">
      <c r="B78" s="11" t="s">
        <v>55</v>
      </c>
      <c r="C78" s="5" t="str">
        <f>IF(E78="","",IF(G78&lt;&gt;"",SUBSTITUTE(SUBSTITUTE(G78," ",""),"-",""),IF(F78&lt;&gt;"",SUBSTITUTE(SUBSTITUTE(F78," ",""),"-",""),"")))</f>
        <v>RDSH3P16</v>
      </c>
      <c r="D78" s="6" t="s">
        <v>36</v>
      </c>
      <c r="E78" s="11" t="s">
        <v>47</v>
      </c>
      <c r="F78" s="11" t="s">
        <v>649</v>
      </c>
      <c r="G78" s="11" t="s">
        <v>666</v>
      </c>
      <c r="H78" s="18">
        <v>10.65</v>
      </c>
      <c r="I78" s="5" t="s">
        <v>52</v>
      </c>
      <c r="J78" s="19">
        <v>4</v>
      </c>
      <c r="K78" s="5" t="s">
        <v>49</v>
      </c>
      <c r="L78" s="5" t="s">
        <v>53</v>
      </c>
      <c r="M78" s="23" t="s">
        <v>650</v>
      </c>
      <c r="N78" s="25"/>
      <c r="O78" s="25"/>
      <c r="P78" s="25"/>
      <c r="Q78" s="17" t="s">
        <v>43</v>
      </c>
    </row>
    <row r="79" spans="2:17">
      <c r="B79" s="11" t="s">
        <v>55</v>
      </c>
      <c r="C79" s="5" t="str">
        <f>IF(E79="","",IF(G79&lt;&gt;"",SUBSTITUTE(SUBSTITUTE(G79," ",""),"-",""),IF(F79&lt;&gt;"",SUBSTITUTE(SUBSTITUTE(F79," ",""),"-",""),"")))</f>
        <v>RDSH3P17</v>
      </c>
      <c r="D79" s="6" t="s">
        <v>36</v>
      </c>
      <c r="E79" s="11" t="s">
        <v>47</v>
      </c>
      <c r="F79" s="11" t="s">
        <v>649</v>
      </c>
      <c r="G79" s="11" t="s">
        <v>667</v>
      </c>
      <c r="H79" s="18">
        <v>10.65</v>
      </c>
      <c r="I79" s="5" t="s">
        <v>52</v>
      </c>
      <c r="J79" s="19">
        <v>4</v>
      </c>
      <c r="K79" s="5" t="s">
        <v>49</v>
      </c>
      <c r="L79" s="5" t="s">
        <v>53</v>
      </c>
      <c r="M79" s="23" t="s">
        <v>650</v>
      </c>
      <c r="N79" s="25"/>
      <c r="O79" s="25"/>
      <c r="P79" s="25"/>
      <c r="Q79" s="17" t="s">
        <v>43</v>
      </c>
    </row>
    <row r="80" spans="2:17">
      <c r="B80" s="11" t="s">
        <v>55</v>
      </c>
      <c r="C80" s="5" t="str">
        <f>IF(E80="","",IF(G80&lt;&gt;"",SUBSTITUTE(SUBSTITUTE(G80," ",""),"-",""),IF(F80&lt;&gt;"",SUBSTITUTE(SUBSTITUTE(F80," ",""),"-",""),"")))</f>
        <v>RDSH3P18</v>
      </c>
      <c r="D80" s="6" t="s">
        <v>36</v>
      </c>
      <c r="E80" s="11" t="s">
        <v>47</v>
      </c>
      <c r="F80" s="11" t="s">
        <v>649</v>
      </c>
      <c r="G80" s="11" t="s">
        <v>668</v>
      </c>
      <c r="H80" s="18">
        <v>10.65</v>
      </c>
      <c r="I80" s="5" t="s">
        <v>52</v>
      </c>
      <c r="J80" s="19">
        <v>4</v>
      </c>
      <c r="K80" s="5" t="s">
        <v>49</v>
      </c>
      <c r="L80" s="5" t="s">
        <v>53</v>
      </c>
      <c r="M80" s="23" t="s">
        <v>650</v>
      </c>
      <c r="N80" s="25"/>
      <c r="O80" s="25"/>
      <c r="P80" s="25"/>
      <c r="Q80" s="17" t="s">
        <v>43</v>
      </c>
    </row>
    <row r="81" spans="2:17">
      <c r="B81" s="11" t="s">
        <v>55</v>
      </c>
      <c r="C81" s="5" t="str">
        <f>IF(E81="","",IF(G81&lt;&gt;"",SUBSTITUTE(SUBSTITUTE(G81," ",""),"-",""),IF(F81&lt;&gt;"",SUBSTITUTE(SUBSTITUTE(F81," ",""),"-",""),"")))</f>
        <v>RDSH3P19</v>
      </c>
      <c r="D81" s="6" t="s">
        <v>36</v>
      </c>
      <c r="E81" s="11" t="s">
        <v>47</v>
      </c>
      <c r="F81" s="11" t="s">
        <v>649</v>
      </c>
      <c r="G81" s="11" t="s">
        <v>669</v>
      </c>
      <c r="H81" s="18">
        <v>10.65</v>
      </c>
      <c r="I81" s="5" t="s">
        <v>52</v>
      </c>
      <c r="J81" s="19">
        <v>4</v>
      </c>
      <c r="K81" s="5" t="s">
        <v>49</v>
      </c>
      <c r="L81" s="5" t="s">
        <v>53</v>
      </c>
      <c r="M81" s="23" t="s">
        <v>650</v>
      </c>
      <c r="N81" s="25"/>
      <c r="O81" s="25"/>
      <c r="P81" s="25"/>
      <c r="Q81" s="17" t="s">
        <v>43</v>
      </c>
    </row>
    <row r="82" spans="2:17">
      <c r="B82" s="11" t="s">
        <v>55</v>
      </c>
      <c r="C82" s="5" t="str">
        <f>IF(E82="","",IF(G82&lt;&gt;"",SUBSTITUTE(SUBSTITUTE(G82," ",""),"-",""),IF(F82&lt;&gt;"",SUBSTITUTE(SUBSTITUTE(F82," ",""),"-",""),"")))</f>
        <v>RDSH3P20</v>
      </c>
      <c r="D82" s="6" t="s">
        <v>36</v>
      </c>
      <c r="E82" s="11" t="s">
        <v>47</v>
      </c>
      <c r="F82" s="11" t="s">
        <v>649</v>
      </c>
      <c r="G82" s="11" t="s">
        <v>670</v>
      </c>
      <c r="H82" s="18">
        <v>10.65</v>
      </c>
      <c r="I82" s="5" t="s">
        <v>52</v>
      </c>
      <c r="J82" s="19">
        <v>4</v>
      </c>
      <c r="K82" s="5" t="s">
        <v>49</v>
      </c>
      <c r="L82" s="5" t="s">
        <v>53</v>
      </c>
      <c r="M82" s="23" t="s">
        <v>650</v>
      </c>
      <c r="N82" s="25"/>
      <c r="O82" s="25"/>
      <c r="P82" s="25"/>
      <c r="Q82" s="17" t="s">
        <v>43</v>
      </c>
    </row>
    <row r="83" spans="2:17">
      <c r="B83" s="11" t="s">
        <v>55</v>
      </c>
      <c r="C83" s="5" t="str">
        <f>IF(E83="","",IF(G83&lt;&gt;"",SUBSTITUTE(SUBSTITUTE(G83," ",""),"-",""),IF(F83&lt;&gt;"",SUBSTITUTE(SUBSTITUTE(F83," ",""),"-",""),"")))</f>
        <v>RDSH3P21</v>
      </c>
      <c r="D83" s="6" t="s">
        <v>36</v>
      </c>
      <c r="E83" s="11" t="s">
        <v>47</v>
      </c>
      <c r="F83" s="11" t="s">
        <v>649</v>
      </c>
      <c r="G83" s="11" t="s">
        <v>671</v>
      </c>
      <c r="H83" s="18">
        <v>10.65</v>
      </c>
      <c r="I83" s="5" t="s">
        <v>52</v>
      </c>
      <c r="J83" s="19">
        <v>4</v>
      </c>
      <c r="K83" s="5" t="s">
        <v>49</v>
      </c>
      <c r="L83" s="5" t="s">
        <v>53</v>
      </c>
      <c r="M83" s="23" t="s">
        <v>650</v>
      </c>
      <c r="N83" s="25"/>
      <c r="O83" s="25"/>
      <c r="P83" s="25"/>
      <c r="Q83" s="17" t="s">
        <v>43</v>
      </c>
    </row>
    <row r="84" spans="2:17">
      <c r="B84" s="11" t="s">
        <v>55</v>
      </c>
      <c r="C84" s="5" t="str">
        <f>IF(E84="","",IF(G84&lt;&gt;"",SUBSTITUTE(SUBSTITUTE(G84," ",""),"-",""),IF(F84&lt;&gt;"",SUBSTITUTE(SUBSTITUTE(F84," ",""),"-",""),"")))</f>
        <v>RDSH3P22</v>
      </c>
      <c r="D84" s="6" t="s">
        <v>36</v>
      </c>
      <c r="E84" s="11" t="s">
        <v>47</v>
      </c>
      <c r="F84" s="11" t="s">
        <v>649</v>
      </c>
      <c r="G84" s="11" t="s">
        <v>672</v>
      </c>
      <c r="H84" s="18">
        <v>10.65</v>
      </c>
      <c r="I84" s="5" t="s">
        <v>52</v>
      </c>
      <c r="J84" s="19">
        <v>4</v>
      </c>
      <c r="K84" s="5" t="s">
        <v>49</v>
      </c>
      <c r="L84" s="5" t="s">
        <v>53</v>
      </c>
      <c r="M84" s="23" t="s">
        <v>650</v>
      </c>
      <c r="N84" s="25"/>
      <c r="O84" s="25"/>
      <c r="P84" s="25"/>
      <c r="Q84" s="17" t="s">
        <v>43</v>
      </c>
    </row>
    <row r="85" spans="2:17">
      <c r="B85" s="11" t="s">
        <v>55</v>
      </c>
      <c r="C85" s="5" t="str">
        <f>IF(E85="","",IF(G85&lt;&gt;"",SUBSTITUTE(SUBSTITUTE(G85," ",""),"-",""),IF(F85&lt;&gt;"",SUBSTITUTE(SUBSTITUTE(F85," ",""),"-",""),"")))</f>
        <v>RDSH3P23</v>
      </c>
      <c r="D85" s="6" t="s">
        <v>36</v>
      </c>
      <c r="E85" s="11" t="s">
        <v>47</v>
      </c>
      <c r="F85" s="11" t="s">
        <v>649</v>
      </c>
      <c r="G85" s="11" t="s">
        <v>673</v>
      </c>
      <c r="H85" s="18">
        <v>10.65</v>
      </c>
      <c r="I85" s="5" t="s">
        <v>52</v>
      </c>
      <c r="J85" s="19">
        <v>4</v>
      </c>
      <c r="K85" s="5" t="s">
        <v>49</v>
      </c>
      <c r="L85" s="5" t="s">
        <v>53</v>
      </c>
      <c r="M85" s="23" t="s">
        <v>650</v>
      </c>
      <c r="N85" s="25"/>
      <c r="O85" s="25"/>
      <c r="P85" s="25"/>
      <c r="Q85" s="17" t="s">
        <v>43</v>
      </c>
    </row>
    <row r="86" spans="2:17">
      <c r="B86" s="11" t="s">
        <v>55</v>
      </c>
      <c r="C86" s="5" t="str">
        <f>IF(E86="","",IF(G86&lt;&gt;"",SUBSTITUTE(SUBSTITUTE(G86," ",""),"-",""),IF(F86&lt;&gt;"",SUBSTITUTE(SUBSTITUTE(F86," ",""),"-",""),"")))</f>
        <v>RDSH3P24</v>
      </c>
      <c r="D86" s="6" t="s">
        <v>36</v>
      </c>
      <c r="E86" s="11" t="s">
        <v>47</v>
      </c>
      <c r="F86" s="11" t="s">
        <v>649</v>
      </c>
      <c r="G86" s="11" t="s">
        <v>674</v>
      </c>
      <c r="H86" s="18">
        <v>10.65</v>
      </c>
      <c r="I86" s="5" t="s">
        <v>52</v>
      </c>
      <c r="J86" s="19">
        <v>4</v>
      </c>
      <c r="K86" s="5" t="s">
        <v>49</v>
      </c>
      <c r="L86" s="5" t="s">
        <v>53</v>
      </c>
      <c r="M86" s="23" t="s">
        <v>650</v>
      </c>
      <c r="N86" s="25"/>
      <c r="O86" s="25"/>
      <c r="P86" s="25"/>
      <c r="Q86" s="17" t="s">
        <v>43</v>
      </c>
    </row>
    <row r="87" spans="2:17">
      <c r="B87" s="11" t="s">
        <v>55</v>
      </c>
      <c r="C87" s="5" t="str">
        <f>IF(E87="","",IF(G87&lt;&gt;"",SUBSTITUTE(SUBSTITUTE(G87," ",""),"-",""),IF(F87&lt;&gt;"",SUBSTITUTE(SUBSTITUTE(F87," ",""),"-",""),"")))</f>
        <v>RDSH3P25</v>
      </c>
      <c r="D87" s="6" t="s">
        <v>36</v>
      </c>
      <c r="E87" s="11" t="s">
        <v>47</v>
      </c>
      <c r="F87" s="11" t="s">
        <v>649</v>
      </c>
      <c r="G87" s="11" t="s">
        <v>675</v>
      </c>
      <c r="H87" s="18">
        <v>10.65</v>
      </c>
      <c r="I87" s="5" t="s">
        <v>52</v>
      </c>
      <c r="J87" s="19">
        <v>4</v>
      </c>
      <c r="K87" s="5" t="s">
        <v>49</v>
      </c>
      <c r="L87" s="5" t="s">
        <v>53</v>
      </c>
      <c r="M87" s="23" t="s">
        <v>650</v>
      </c>
      <c r="N87" s="25"/>
      <c r="O87" s="25"/>
      <c r="P87" s="25"/>
      <c r="Q87" s="17" t="s">
        <v>43</v>
      </c>
    </row>
    <row r="88" spans="2:17">
      <c r="B88" s="11" t="s">
        <v>55</v>
      </c>
      <c r="C88" s="5" t="str">
        <f>IF(E88="","",IF(G88&lt;&gt;"",SUBSTITUTE(SUBSTITUTE(G88," ",""),"-",""),IF(F88&lt;&gt;"",SUBSTITUTE(SUBSTITUTE(F88," ",""),"-",""),"")))</f>
        <v>RDSH3P26</v>
      </c>
      <c r="D88" s="6" t="s">
        <v>36</v>
      </c>
      <c r="E88" s="11" t="s">
        <v>47</v>
      </c>
      <c r="F88" s="11" t="s">
        <v>649</v>
      </c>
      <c r="G88" s="11" t="s">
        <v>676</v>
      </c>
      <c r="H88" s="18">
        <v>10.65</v>
      </c>
      <c r="I88" s="5" t="s">
        <v>52</v>
      </c>
      <c r="J88" s="19">
        <v>4</v>
      </c>
      <c r="K88" s="5" t="s">
        <v>49</v>
      </c>
      <c r="L88" s="5" t="s">
        <v>53</v>
      </c>
      <c r="M88" s="23" t="s">
        <v>650</v>
      </c>
      <c r="N88" s="25"/>
      <c r="O88" s="25"/>
      <c r="P88" s="25"/>
      <c r="Q88" s="17" t="s">
        <v>43</v>
      </c>
    </row>
    <row r="89" spans="2:17">
      <c r="B89" s="11" t="s">
        <v>55</v>
      </c>
      <c r="C89" s="5" t="str">
        <f>IF(E89="","",IF(G89&lt;&gt;"",SUBSTITUTE(SUBSTITUTE(G89," ",""),"-",""),IF(F89&lt;&gt;"",SUBSTITUTE(SUBSTITUTE(F89," ",""),"-",""),"")))</f>
        <v>RDSH3P27</v>
      </c>
      <c r="D89" s="6" t="s">
        <v>36</v>
      </c>
      <c r="E89" s="11" t="s">
        <v>47</v>
      </c>
      <c r="F89" s="11" t="s">
        <v>649</v>
      </c>
      <c r="G89" s="11" t="s">
        <v>677</v>
      </c>
      <c r="H89" s="18">
        <v>10.65</v>
      </c>
      <c r="I89" s="5" t="s">
        <v>52</v>
      </c>
      <c r="J89" s="19">
        <v>4</v>
      </c>
      <c r="K89" s="5" t="s">
        <v>49</v>
      </c>
      <c r="L89" s="5" t="s">
        <v>53</v>
      </c>
      <c r="M89" s="23" t="s">
        <v>650</v>
      </c>
      <c r="N89" s="25"/>
      <c r="O89" s="25"/>
      <c r="P89" s="25"/>
      <c r="Q89" s="17" t="s">
        <v>43</v>
      </c>
    </row>
    <row r="90" spans="2:17">
      <c r="B90" s="11" t="s">
        <v>55</v>
      </c>
      <c r="C90" s="5" t="str">
        <f>IF(E90="","",IF(G90&lt;&gt;"",SUBSTITUTE(SUBSTITUTE(G90," ",""),"-",""),IF(F90&lt;&gt;"",SUBSTITUTE(SUBSTITUTE(F90," ",""),"-",""),"")))</f>
        <v>RDSH3P28</v>
      </c>
      <c r="D90" s="6" t="s">
        <v>36</v>
      </c>
      <c r="E90" s="11" t="s">
        <v>47</v>
      </c>
      <c r="F90" s="11" t="s">
        <v>649</v>
      </c>
      <c r="G90" s="11" t="s">
        <v>678</v>
      </c>
      <c r="H90" s="18">
        <v>10.65</v>
      </c>
      <c r="I90" s="5" t="s">
        <v>52</v>
      </c>
      <c r="J90" s="19">
        <v>4</v>
      </c>
      <c r="K90" s="5" t="s">
        <v>49</v>
      </c>
      <c r="L90" s="5" t="s">
        <v>53</v>
      </c>
      <c r="M90" s="23" t="s">
        <v>650</v>
      </c>
      <c r="N90" s="25"/>
      <c r="O90" s="25"/>
      <c r="P90" s="25"/>
      <c r="Q90" s="17" t="s">
        <v>43</v>
      </c>
    </row>
    <row r="91" spans="2:17">
      <c r="B91" s="11" t="s">
        <v>55</v>
      </c>
      <c r="C91" s="5" t="str">
        <f>IF(E91="","",IF(G91&lt;&gt;"",SUBSTITUTE(SUBSTITUTE(G91," ",""),"-",""),IF(F91&lt;&gt;"",SUBSTITUTE(SUBSTITUTE(F91," ",""),"-",""),"")))</f>
        <v>RDSH3P29</v>
      </c>
      <c r="D91" s="6" t="s">
        <v>36</v>
      </c>
      <c r="E91" s="11" t="s">
        <v>47</v>
      </c>
      <c r="F91" s="11" t="s">
        <v>649</v>
      </c>
      <c r="G91" s="11" t="s">
        <v>679</v>
      </c>
      <c r="H91" s="18">
        <v>10.65</v>
      </c>
      <c r="I91" s="5" t="s">
        <v>52</v>
      </c>
      <c r="J91" s="19">
        <v>4</v>
      </c>
      <c r="K91" s="5" t="s">
        <v>49</v>
      </c>
      <c r="L91" s="5" t="s">
        <v>53</v>
      </c>
      <c r="M91" s="23" t="s">
        <v>650</v>
      </c>
      <c r="N91" s="25"/>
      <c r="O91" s="25"/>
      <c r="P91" s="25"/>
      <c r="Q91" s="17" t="s">
        <v>43</v>
      </c>
    </row>
    <row r="92" spans="2:17">
      <c r="B92" s="11" t="s">
        <v>55</v>
      </c>
      <c r="C92" s="5" t="str">
        <f>IF(E92="","",IF(G92&lt;&gt;"",SUBSTITUTE(SUBSTITUTE(G92," ",""),"-",""),IF(F92&lt;&gt;"",SUBSTITUTE(SUBSTITUTE(F92," ",""),"-",""),"")))</f>
        <v>RDSH3P30</v>
      </c>
      <c r="D92" s="6" t="s">
        <v>36</v>
      </c>
      <c r="E92" s="11" t="s">
        <v>47</v>
      </c>
      <c r="F92" s="11" t="s">
        <v>649</v>
      </c>
      <c r="G92" s="11" t="s">
        <v>680</v>
      </c>
      <c r="H92" s="18">
        <v>10.65</v>
      </c>
      <c r="I92" s="5" t="s">
        <v>52</v>
      </c>
      <c r="J92" s="19">
        <v>4</v>
      </c>
      <c r="K92" s="5" t="s">
        <v>49</v>
      </c>
      <c r="L92" s="5" t="s">
        <v>53</v>
      </c>
      <c r="M92" s="23" t="s">
        <v>650</v>
      </c>
      <c r="N92" s="25"/>
      <c r="O92" s="25"/>
      <c r="P92" s="25"/>
      <c r="Q92" s="17" t="s">
        <v>43</v>
      </c>
    </row>
    <row r="93" spans="2:17">
      <c r="B93" s="11" t="s">
        <v>55</v>
      </c>
      <c r="C93" s="5" t="str">
        <f>IF(E93="","",IF(G93&lt;&gt;"",SUBSTITUTE(SUBSTITUTE(G93," ",""),"-",""),IF(F93&lt;&gt;"",SUBSTITUTE(SUBSTITUTE(F93," ",""),"-",""),"")))</f>
        <v>RDSH3P31</v>
      </c>
      <c r="D93" s="6" t="s">
        <v>36</v>
      </c>
      <c r="E93" s="11" t="s">
        <v>47</v>
      </c>
      <c r="F93" s="11" t="s">
        <v>649</v>
      </c>
      <c r="G93" s="11" t="s">
        <v>681</v>
      </c>
      <c r="H93" s="18">
        <v>10.65</v>
      </c>
      <c r="I93" s="5" t="s">
        <v>52</v>
      </c>
      <c r="J93" s="19">
        <v>4</v>
      </c>
      <c r="K93" s="5" t="s">
        <v>49</v>
      </c>
      <c r="L93" s="5" t="s">
        <v>53</v>
      </c>
      <c r="M93" s="23" t="s">
        <v>650</v>
      </c>
      <c r="N93" s="25"/>
      <c r="O93" s="25"/>
      <c r="P93" s="25"/>
      <c r="Q93" s="17" t="s">
        <v>43</v>
      </c>
    </row>
    <row r="94" spans="2:17">
      <c r="B94" s="11" t="s">
        <v>55</v>
      </c>
      <c r="C94" s="5" t="str">
        <f>IF(E94="","",IF(G94&lt;&gt;"",SUBSTITUTE(SUBSTITUTE(G94," ",""),"-",""),IF(F94&lt;&gt;"",SUBSTITUTE(SUBSTITUTE(F94," ",""),"-",""),"")))</f>
        <v>RDSH3P32</v>
      </c>
      <c r="D94" s="6" t="s">
        <v>36</v>
      </c>
      <c r="E94" s="11" t="s">
        <v>47</v>
      </c>
      <c r="F94" s="11" t="s">
        <v>649</v>
      </c>
      <c r="G94" s="11" t="s">
        <v>682</v>
      </c>
      <c r="H94" s="18">
        <v>10.65</v>
      </c>
      <c r="I94" s="5" t="s">
        <v>52</v>
      </c>
      <c r="J94" s="19">
        <v>4</v>
      </c>
      <c r="K94" s="5" t="s">
        <v>49</v>
      </c>
      <c r="L94" s="5" t="s">
        <v>53</v>
      </c>
      <c r="M94" s="23" t="s">
        <v>650</v>
      </c>
      <c r="N94" s="25"/>
      <c r="O94" s="25"/>
      <c r="P94" s="25"/>
      <c r="Q94" s="17" t="s">
        <v>43</v>
      </c>
    </row>
    <row r="95" spans="2:17">
      <c r="B95" s="11" t="s">
        <v>55</v>
      </c>
      <c r="C95" s="5" t="str">
        <f>IF(E95="","",IF(G95&lt;&gt;"",SUBSTITUTE(SUBSTITUTE(G95," ",""),"-",""),IF(F95&lt;&gt;"",SUBSTITUTE(SUBSTITUTE(F95," ",""),"-",""),"")))</f>
        <v>RDSH3P33</v>
      </c>
      <c r="D95" s="6" t="s">
        <v>36</v>
      </c>
      <c r="E95" s="11" t="s">
        <v>47</v>
      </c>
      <c r="F95" s="11" t="s">
        <v>649</v>
      </c>
      <c r="G95" s="11" t="s">
        <v>683</v>
      </c>
      <c r="H95" s="18">
        <v>10.65</v>
      </c>
      <c r="I95" s="5" t="s">
        <v>52</v>
      </c>
      <c r="J95" s="19">
        <v>4</v>
      </c>
      <c r="K95" s="5" t="s">
        <v>49</v>
      </c>
      <c r="L95" s="5" t="s">
        <v>53</v>
      </c>
      <c r="M95" s="23" t="s">
        <v>650</v>
      </c>
      <c r="N95" s="25"/>
      <c r="O95" s="25"/>
      <c r="P95" s="25"/>
      <c r="Q95" s="17" t="s">
        <v>43</v>
      </c>
    </row>
    <row r="96" spans="2:17">
      <c r="B96" s="11" t="s">
        <v>55</v>
      </c>
      <c r="C96" s="5" t="str">
        <f>IF(E96="","",IF(G96&lt;&gt;"",SUBSTITUTE(SUBSTITUTE(G96," ",""),"-",""),IF(F96&lt;&gt;"",SUBSTITUTE(SUBSTITUTE(F96," ",""),"-",""),"")))</f>
        <v>RDSH3P34</v>
      </c>
      <c r="D96" s="6" t="s">
        <v>36</v>
      </c>
      <c r="E96" s="11" t="s">
        <v>47</v>
      </c>
      <c r="F96" s="11" t="s">
        <v>649</v>
      </c>
      <c r="G96" s="11" t="s">
        <v>684</v>
      </c>
      <c r="H96" s="18">
        <v>10.65</v>
      </c>
      <c r="I96" s="5" t="s">
        <v>52</v>
      </c>
      <c r="J96" s="19">
        <v>4</v>
      </c>
      <c r="K96" s="5" t="s">
        <v>49</v>
      </c>
      <c r="L96" s="5" t="s">
        <v>53</v>
      </c>
      <c r="M96" s="23" t="s">
        <v>650</v>
      </c>
      <c r="N96" s="25"/>
      <c r="O96" s="25"/>
      <c r="P96" s="25"/>
      <c r="Q96" s="17" t="s">
        <v>43</v>
      </c>
    </row>
    <row r="97" spans="2:17">
      <c r="B97" s="11" t="s">
        <v>55</v>
      </c>
      <c r="C97" s="5" t="str">
        <f>IF(E97="","",IF(G97&lt;&gt;"",SUBSTITUTE(SUBSTITUTE(G97," ",""),"-",""),IF(F97&lt;&gt;"",SUBSTITUTE(SUBSTITUTE(F97," ",""),"-",""),"")))</f>
        <v>RDSH3P35</v>
      </c>
      <c r="D97" s="6" t="s">
        <v>36</v>
      </c>
      <c r="E97" s="11" t="s">
        <v>47</v>
      </c>
      <c r="F97" s="11" t="s">
        <v>649</v>
      </c>
      <c r="G97" s="11" t="s">
        <v>685</v>
      </c>
      <c r="H97" s="18">
        <v>10.65</v>
      </c>
      <c r="I97" s="5" t="s">
        <v>52</v>
      </c>
      <c r="J97" s="19">
        <v>4</v>
      </c>
      <c r="K97" s="5" t="s">
        <v>49</v>
      </c>
      <c r="L97" s="5" t="s">
        <v>53</v>
      </c>
      <c r="M97" s="23" t="s">
        <v>650</v>
      </c>
      <c r="N97" s="25"/>
      <c r="O97" s="25"/>
      <c r="P97" s="25"/>
      <c r="Q97" s="17" t="s">
        <v>43</v>
      </c>
    </row>
    <row r="98" spans="2:17">
      <c r="B98" s="11" t="s">
        <v>55</v>
      </c>
      <c r="C98" s="5" t="str">
        <f>IF(E98="","",IF(G98&lt;&gt;"",SUBSTITUTE(SUBSTITUTE(G98," ",""),"-",""),IF(F98&lt;&gt;"",SUBSTITUTE(SUBSTITUTE(F98," ",""),"-",""),"")))</f>
        <v>RDSH3P36</v>
      </c>
      <c r="D98" s="6" t="s">
        <v>36</v>
      </c>
      <c r="E98" s="11" t="s">
        <v>47</v>
      </c>
      <c r="F98" s="11" t="s">
        <v>649</v>
      </c>
      <c r="G98" s="11" t="s">
        <v>686</v>
      </c>
      <c r="H98" s="18">
        <v>10.65</v>
      </c>
      <c r="I98" s="5" t="s">
        <v>52</v>
      </c>
      <c r="J98" s="19">
        <v>4</v>
      </c>
      <c r="K98" s="5" t="s">
        <v>49</v>
      </c>
      <c r="L98" s="5" t="s">
        <v>53</v>
      </c>
      <c r="M98" s="23" t="s">
        <v>650</v>
      </c>
      <c r="N98" s="25"/>
      <c r="O98" s="25"/>
      <c r="P98" s="25"/>
      <c r="Q98" s="17" t="s">
        <v>43</v>
      </c>
    </row>
    <row r="99" spans="2:17">
      <c r="B99" s="11" t="s">
        <v>55</v>
      </c>
      <c r="C99" s="5" t="str">
        <f>IF(E99="","",IF(G99&lt;&gt;"",SUBSTITUTE(SUBSTITUTE(G99," ",""),"-",""),IF(F99&lt;&gt;"",SUBSTITUTE(SUBSTITUTE(F99," ",""),"-",""),"")))</f>
        <v>RDSH3P37</v>
      </c>
      <c r="D99" s="6" t="s">
        <v>36</v>
      </c>
      <c r="E99" s="11" t="s">
        <v>47</v>
      </c>
      <c r="F99" s="11" t="s">
        <v>649</v>
      </c>
      <c r="G99" s="11" t="s">
        <v>687</v>
      </c>
      <c r="H99" s="18">
        <v>10.65</v>
      </c>
      <c r="I99" s="5" t="s">
        <v>52</v>
      </c>
      <c r="J99" s="19">
        <v>4</v>
      </c>
      <c r="K99" s="5" t="s">
        <v>49</v>
      </c>
      <c r="L99" s="5" t="s">
        <v>53</v>
      </c>
      <c r="M99" s="23" t="s">
        <v>650</v>
      </c>
      <c r="N99" s="25"/>
      <c r="O99" s="25"/>
      <c r="P99" s="25"/>
      <c r="Q99" s="17" t="s">
        <v>43</v>
      </c>
    </row>
    <row r="100" spans="2:17">
      <c r="B100" s="11" t="s">
        <v>55</v>
      </c>
      <c r="C100" s="5" t="str">
        <f>IF(E100="","",IF(G100&lt;&gt;"",SUBSTITUTE(SUBSTITUTE(G100," ",""),"-",""),IF(F100&lt;&gt;"",SUBSTITUTE(SUBSTITUTE(F100," ",""),"-",""),"")))</f>
        <v>RDSH3P38</v>
      </c>
      <c r="D100" s="6" t="s">
        <v>36</v>
      </c>
      <c r="E100" s="11" t="s">
        <v>47</v>
      </c>
      <c r="F100" s="11" t="s">
        <v>649</v>
      </c>
      <c r="G100" s="11" t="s">
        <v>688</v>
      </c>
      <c r="H100" s="18">
        <v>10.65</v>
      </c>
      <c r="I100" s="5" t="s">
        <v>52</v>
      </c>
      <c r="J100" s="19">
        <v>4</v>
      </c>
      <c r="K100" s="5" t="s">
        <v>49</v>
      </c>
      <c r="L100" s="5" t="s">
        <v>53</v>
      </c>
      <c r="M100" s="23" t="s">
        <v>650</v>
      </c>
      <c r="N100" s="25"/>
      <c r="O100" s="25"/>
      <c r="P100" s="25"/>
      <c r="Q100" s="17" t="s">
        <v>43</v>
      </c>
    </row>
    <row r="101" spans="2:17">
      <c r="B101" s="11" t="s">
        <v>55</v>
      </c>
      <c r="C101" s="5" t="str">
        <f>IF(E101="","",IF(G101&lt;&gt;"",SUBSTITUTE(SUBSTITUTE(G101," ",""),"-",""),IF(F101&lt;&gt;"",SUBSTITUTE(SUBSTITUTE(F101," ",""),"-",""),"")))</f>
        <v>RDSH3P39</v>
      </c>
      <c r="D101" s="6" t="s">
        <v>36</v>
      </c>
      <c r="E101" s="11" t="s">
        <v>47</v>
      </c>
      <c r="F101" s="11" t="s">
        <v>649</v>
      </c>
      <c r="G101" s="11" t="s">
        <v>689</v>
      </c>
      <c r="H101" s="18">
        <v>10.65</v>
      </c>
      <c r="I101" s="5" t="s">
        <v>52</v>
      </c>
      <c r="J101" s="19">
        <v>4</v>
      </c>
      <c r="K101" s="5" t="s">
        <v>49</v>
      </c>
      <c r="L101" s="5" t="s">
        <v>53</v>
      </c>
      <c r="M101" s="23" t="s">
        <v>650</v>
      </c>
      <c r="N101" s="25"/>
      <c r="O101" s="25"/>
      <c r="P101" s="25"/>
      <c r="Q101" s="17" t="s">
        <v>43</v>
      </c>
    </row>
    <row r="102" spans="2:17">
      <c r="B102" s="11" t="s">
        <v>55</v>
      </c>
      <c r="C102" s="5" t="str">
        <f>IF(E102="","",IF(G102&lt;&gt;"",SUBSTITUTE(SUBSTITUTE(G102," ",""),"-",""),IF(F102&lt;&gt;"",SUBSTITUTE(SUBSTITUTE(F102," ",""),"-",""),"")))</f>
        <v>RDSH3P40</v>
      </c>
      <c r="D102" s="6" t="s">
        <v>36</v>
      </c>
      <c r="E102" s="11" t="s">
        <v>47</v>
      </c>
      <c r="F102" s="11" t="s">
        <v>649</v>
      </c>
      <c r="G102" s="11" t="s">
        <v>690</v>
      </c>
      <c r="H102" s="18">
        <v>10.65</v>
      </c>
      <c r="I102" s="5" t="s">
        <v>52</v>
      </c>
      <c r="J102" s="19">
        <v>4</v>
      </c>
      <c r="K102" s="5" t="s">
        <v>49</v>
      </c>
      <c r="L102" s="5" t="s">
        <v>53</v>
      </c>
      <c r="M102" s="23" t="s">
        <v>650</v>
      </c>
      <c r="N102" s="25"/>
      <c r="O102" s="25"/>
      <c r="P102" s="25"/>
      <c r="Q102" s="17" t="s">
        <v>43</v>
      </c>
    </row>
    <row r="103" spans="2:17">
      <c r="B103" s="11" t="s">
        <v>55</v>
      </c>
      <c r="C103" s="5" t="str">
        <f>IF(E103="","",IF(G103&lt;&gt;"",SUBSTITUTE(SUBSTITUTE(G103," ",""),"-",""),IF(F103&lt;&gt;"",SUBSTITUTE(SUBSTITUTE(F103," ",""),"-",""),"")))</f>
        <v>RDSH3P41</v>
      </c>
      <c r="D103" s="6" t="s">
        <v>36</v>
      </c>
      <c r="E103" s="11" t="s">
        <v>47</v>
      </c>
      <c r="F103" s="11" t="s">
        <v>649</v>
      </c>
      <c r="G103" s="11" t="s">
        <v>691</v>
      </c>
      <c r="H103" s="18">
        <v>10.65</v>
      </c>
      <c r="I103" s="5" t="s">
        <v>52</v>
      </c>
      <c r="J103" s="19">
        <v>4</v>
      </c>
      <c r="K103" s="5" t="s">
        <v>49</v>
      </c>
      <c r="L103" s="5" t="s">
        <v>53</v>
      </c>
      <c r="M103" s="23" t="s">
        <v>650</v>
      </c>
      <c r="N103" s="25"/>
      <c r="O103" s="25"/>
      <c r="P103" s="25"/>
      <c r="Q103" s="17" t="s">
        <v>43</v>
      </c>
    </row>
    <row r="104" spans="2:17">
      <c r="B104" s="11" t="s">
        <v>55</v>
      </c>
      <c r="C104" s="5" t="str">
        <f>IF(E104="","",IF(G104&lt;&gt;"",SUBSTITUTE(SUBSTITUTE(G104," ",""),"-",""),IF(F104&lt;&gt;"",SUBSTITUTE(SUBSTITUTE(F104," ",""),"-",""),"")))</f>
        <v>RDSH3P42</v>
      </c>
      <c r="D104" s="6" t="s">
        <v>36</v>
      </c>
      <c r="E104" s="11" t="s">
        <v>47</v>
      </c>
      <c r="F104" s="11" t="s">
        <v>649</v>
      </c>
      <c r="G104" s="11" t="s">
        <v>692</v>
      </c>
      <c r="H104" s="18">
        <v>10.65</v>
      </c>
      <c r="I104" s="5" t="s">
        <v>52</v>
      </c>
      <c r="J104" s="19">
        <v>4</v>
      </c>
      <c r="K104" s="5" t="s">
        <v>49</v>
      </c>
      <c r="L104" s="5" t="s">
        <v>53</v>
      </c>
      <c r="M104" s="23" t="s">
        <v>650</v>
      </c>
      <c r="N104" s="25"/>
      <c r="O104" s="25"/>
      <c r="P104" s="25"/>
      <c r="Q104" s="17" t="s">
        <v>43</v>
      </c>
    </row>
    <row r="105" spans="2:17">
      <c r="B105" s="11" t="s">
        <v>55</v>
      </c>
      <c r="C105" s="5" t="str">
        <f>IF(E105="","",IF(G105&lt;&gt;"",SUBSTITUTE(SUBSTITUTE(G105," ",""),"-",""),IF(F105&lt;&gt;"",SUBSTITUTE(SUBSTITUTE(F105," ",""),"-",""),"")))</f>
        <v>RDSH3P43</v>
      </c>
      <c r="D105" s="6" t="s">
        <v>36</v>
      </c>
      <c r="E105" s="11" t="s">
        <v>47</v>
      </c>
      <c r="F105" s="11" t="s">
        <v>649</v>
      </c>
      <c r="G105" s="11" t="s">
        <v>693</v>
      </c>
      <c r="H105" s="18">
        <v>10.65</v>
      </c>
      <c r="I105" s="5" t="s">
        <v>52</v>
      </c>
      <c r="J105" s="19">
        <v>4</v>
      </c>
      <c r="K105" s="5" t="s">
        <v>49</v>
      </c>
      <c r="L105" s="5" t="s">
        <v>53</v>
      </c>
      <c r="M105" s="23" t="s">
        <v>650</v>
      </c>
      <c r="N105" s="25"/>
      <c r="O105" s="25"/>
      <c r="P105" s="25"/>
      <c r="Q105" s="17" t="s">
        <v>43</v>
      </c>
    </row>
    <row r="106" spans="2:17">
      <c r="B106" s="11" t="s">
        <v>55</v>
      </c>
      <c r="C106" s="5" t="str">
        <f>IF(E106="","",IF(G106&lt;&gt;"",SUBSTITUTE(SUBSTITUTE(G106," ",""),"-",""),IF(F106&lt;&gt;"",SUBSTITUTE(SUBSTITUTE(F106," ",""),"-",""),"")))</f>
        <v>RDSH3P44</v>
      </c>
      <c r="D106" s="6" t="s">
        <v>36</v>
      </c>
      <c r="E106" s="11" t="s">
        <v>47</v>
      </c>
      <c r="F106" s="11" t="s">
        <v>649</v>
      </c>
      <c r="G106" s="11" t="s">
        <v>694</v>
      </c>
      <c r="H106" s="18">
        <v>10.65</v>
      </c>
      <c r="I106" s="5" t="s">
        <v>52</v>
      </c>
      <c r="J106" s="19">
        <v>4</v>
      </c>
      <c r="K106" s="5" t="s">
        <v>49</v>
      </c>
      <c r="L106" s="5" t="s">
        <v>53</v>
      </c>
      <c r="M106" s="23" t="s">
        <v>650</v>
      </c>
      <c r="N106" s="25"/>
      <c r="O106" s="25"/>
      <c r="P106" s="25"/>
      <c r="Q106" s="17" t="s">
        <v>43</v>
      </c>
    </row>
    <row r="107" spans="2:17">
      <c r="B107" s="11" t="s">
        <v>55</v>
      </c>
      <c r="C107" s="5" t="str">
        <f>IF(E107="","",IF(G107&lt;&gt;"",SUBSTITUTE(SUBSTITUTE(G107," ",""),"-",""),IF(F107&lt;&gt;"",SUBSTITUTE(SUBSTITUTE(F107," ",""),"-",""),"")))</f>
        <v>RDSH3P45</v>
      </c>
      <c r="D107" s="6" t="s">
        <v>36</v>
      </c>
      <c r="E107" s="11" t="s">
        <v>47</v>
      </c>
      <c r="F107" s="11" t="s">
        <v>649</v>
      </c>
      <c r="G107" s="11" t="s">
        <v>695</v>
      </c>
      <c r="H107" s="18">
        <v>10.65</v>
      </c>
      <c r="I107" s="5" t="s">
        <v>52</v>
      </c>
      <c r="J107" s="19">
        <v>4</v>
      </c>
      <c r="K107" s="5" t="s">
        <v>49</v>
      </c>
      <c r="L107" s="5" t="s">
        <v>53</v>
      </c>
      <c r="M107" s="23" t="s">
        <v>650</v>
      </c>
      <c r="N107" s="25"/>
      <c r="O107" s="25"/>
      <c r="P107" s="25"/>
      <c r="Q107" s="17" t="s">
        <v>43</v>
      </c>
    </row>
    <row r="108" spans="2:17">
      <c r="B108" s="11" t="s">
        <v>55</v>
      </c>
      <c r="C108" s="5" t="str">
        <f>IF(E108="","",IF(G108&lt;&gt;"",SUBSTITUTE(SUBSTITUTE(G108," ",""),"-",""),IF(F108&lt;&gt;"",SUBSTITUTE(SUBSTITUTE(F108," ",""),"-",""),"")))</f>
        <v>RDSH3P46</v>
      </c>
      <c r="D108" s="6" t="s">
        <v>36</v>
      </c>
      <c r="E108" s="11" t="s">
        <v>47</v>
      </c>
      <c r="F108" s="11" t="s">
        <v>649</v>
      </c>
      <c r="G108" s="11" t="s">
        <v>696</v>
      </c>
      <c r="H108" s="18">
        <v>10.65</v>
      </c>
      <c r="I108" s="5" t="s">
        <v>52</v>
      </c>
      <c r="J108" s="19">
        <v>4</v>
      </c>
      <c r="K108" s="5" t="s">
        <v>49</v>
      </c>
      <c r="L108" s="5" t="s">
        <v>53</v>
      </c>
      <c r="M108" s="23" t="s">
        <v>650</v>
      </c>
      <c r="N108" s="25"/>
      <c r="O108" s="25"/>
      <c r="P108" s="25"/>
      <c r="Q108" s="17" t="s">
        <v>43</v>
      </c>
    </row>
    <row r="109" spans="2:17">
      <c r="B109" s="11" t="s">
        <v>55</v>
      </c>
      <c r="C109" s="5" t="str">
        <f>IF(E109="","",IF(G109&lt;&gt;"",SUBSTITUTE(SUBSTITUTE(G109," ",""),"-",""),IF(F109&lt;&gt;"",SUBSTITUTE(SUBSTITUTE(F109," ",""),"-",""),"")))</f>
        <v>RDSH3P47</v>
      </c>
      <c r="D109" s="6" t="s">
        <v>36</v>
      </c>
      <c r="E109" s="11" t="s">
        <v>47</v>
      </c>
      <c r="F109" s="11" t="s">
        <v>649</v>
      </c>
      <c r="G109" s="11" t="s">
        <v>697</v>
      </c>
      <c r="H109" s="18">
        <v>10.65</v>
      </c>
      <c r="I109" s="5" t="s">
        <v>52</v>
      </c>
      <c r="J109" s="19">
        <v>4</v>
      </c>
      <c r="K109" s="5" t="s">
        <v>49</v>
      </c>
      <c r="L109" s="5" t="s">
        <v>53</v>
      </c>
      <c r="M109" s="23" t="s">
        <v>650</v>
      </c>
      <c r="N109" s="25"/>
      <c r="O109" s="25"/>
      <c r="P109" s="25"/>
      <c r="Q109" s="17" t="s">
        <v>43</v>
      </c>
    </row>
    <row r="110" spans="2:17">
      <c r="B110" s="11" t="s">
        <v>55</v>
      </c>
      <c r="C110" s="5" t="str">
        <f>IF(E110="","",IF(G110&lt;&gt;"",SUBSTITUTE(SUBSTITUTE(G110," ",""),"-",""),IF(F110&lt;&gt;"",SUBSTITUTE(SUBSTITUTE(F110," ",""),"-",""),"")))</f>
        <v>RDSH3P48</v>
      </c>
      <c r="D110" s="6" t="s">
        <v>36</v>
      </c>
      <c r="E110" s="11" t="s">
        <v>47</v>
      </c>
      <c r="F110" s="11" t="s">
        <v>649</v>
      </c>
      <c r="G110" s="11" t="s">
        <v>698</v>
      </c>
      <c r="H110" s="18">
        <v>10.65</v>
      </c>
      <c r="I110" s="5" t="s">
        <v>52</v>
      </c>
      <c r="J110" s="19">
        <v>4</v>
      </c>
      <c r="K110" s="5" t="s">
        <v>49</v>
      </c>
      <c r="L110" s="5" t="s">
        <v>53</v>
      </c>
      <c r="M110" s="23" t="s">
        <v>650</v>
      </c>
      <c r="N110" s="25"/>
      <c r="O110" s="25"/>
      <c r="P110" s="25"/>
      <c r="Q110" s="17" t="s">
        <v>43</v>
      </c>
    </row>
    <row r="111" spans="2:17">
      <c r="B111" s="11" t="s">
        <v>55</v>
      </c>
      <c r="C111" s="5" t="str">
        <f>IF(E111="","",IF(G111&lt;&gt;"",SUBSTITUTE(SUBSTITUTE(G111," ",""),"-",""),IF(F111&lt;&gt;"",SUBSTITUTE(SUBSTITUTE(F111," ",""),"-",""),"")))</f>
        <v>RDSH3P49</v>
      </c>
      <c r="D111" s="6" t="s">
        <v>36</v>
      </c>
      <c r="E111" s="11" t="s">
        <v>47</v>
      </c>
      <c r="F111" s="11" t="s">
        <v>649</v>
      </c>
      <c r="G111" s="11" t="s">
        <v>699</v>
      </c>
      <c r="H111" s="18">
        <v>10.65</v>
      </c>
      <c r="I111" s="5" t="s">
        <v>52</v>
      </c>
      <c r="J111" s="19">
        <v>4</v>
      </c>
      <c r="K111" s="5" t="s">
        <v>49</v>
      </c>
      <c r="L111" s="5" t="s">
        <v>53</v>
      </c>
      <c r="M111" s="23" t="s">
        <v>650</v>
      </c>
      <c r="N111" s="25"/>
      <c r="O111" s="25"/>
      <c r="P111" s="25"/>
      <c r="Q111" s="17" t="s">
        <v>43</v>
      </c>
    </row>
    <row r="112" spans="2:17">
      <c r="B112" s="11" t="s">
        <v>55</v>
      </c>
      <c r="C112" s="5" t="str">
        <f>IF(E112="","",IF(G112&lt;&gt;"",SUBSTITUTE(SUBSTITUTE(G112," ",""),"-",""),IF(F112&lt;&gt;"",SUBSTITUTE(SUBSTITUTE(F112," ",""),"-",""),"")))</f>
        <v>RDSH3P50</v>
      </c>
      <c r="D112" s="6" t="s">
        <v>36</v>
      </c>
      <c r="E112" s="11" t="s">
        <v>47</v>
      </c>
      <c r="F112" s="11" t="s">
        <v>649</v>
      </c>
      <c r="G112" s="11" t="s">
        <v>700</v>
      </c>
      <c r="H112" s="18">
        <v>10.65</v>
      </c>
      <c r="I112" s="5" t="s">
        <v>52</v>
      </c>
      <c r="J112" s="19">
        <v>4</v>
      </c>
      <c r="K112" s="5" t="s">
        <v>49</v>
      </c>
      <c r="L112" s="5" t="s">
        <v>53</v>
      </c>
      <c r="M112" s="23" t="s">
        <v>650</v>
      </c>
      <c r="N112" s="25"/>
      <c r="O112" s="25"/>
      <c r="P112" s="25"/>
      <c r="Q112" s="17" t="s">
        <v>43</v>
      </c>
    </row>
    <row r="113" spans="2:17">
      <c r="B113" s="11" t="s">
        <v>55</v>
      </c>
      <c r="C113" s="5" t="str">
        <f>IF(E113="","",IF(G113&lt;&gt;"",SUBSTITUTE(SUBSTITUTE(G113," ",""),"-",""),IF(F113&lt;&gt;"",SUBSTITUTE(SUBSTITUTE(F113," ",""),"-",""),"")))</f>
        <v>RDSH3P51</v>
      </c>
      <c r="D113" s="6" t="s">
        <v>36</v>
      </c>
      <c r="E113" s="11" t="s">
        <v>47</v>
      </c>
      <c r="F113" s="11" t="s">
        <v>649</v>
      </c>
      <c r="G113" s="11" t="s">
        <v>701</v>
      </c>
      <c r="H113" s="18">
        <v>10.65</v>
      </c>
      <c r="I113" s="5" t="s">
        <v>52</v>
      </c>
      <c r="J113" s="19">
        <v>4</v>
      </c>
      <c r="K113" s="5" t="s">
        <v>49</v>
      </c>
      <c r="L113" s="5" t="s">
        <v>53</v>
      </c>
      <c r="M113" s="23" t="s">
        <v>650</v>
      </c>
      <c r="N113" s="25"/>
      <c r="O113" s="25"/>
      <c r="P113" s="25"/>
      <c r="Q113" s="17" t="s">
        <v>43</v>
      </c>
    </row>
    <row r="114" spans="2:17">
      <c r="B114" s="11" t="s">
        <v>55</v>
      </c>
      <c r="C114" s="5" t="str">
        <f>IF(E114="","",IF(G114&lt;&gt;"",SUBSTITUTE(SUBSTITUTE(G114," ",""),"-",""),IF(F114&lt;&gt;"",SUBSTITUTE(SUBSTITUTE(F114," ",""),"-",""),"")))</f>
        <v>RDSH3P52</v>
      </c>
      <c r="D114" s="6" t="s">
        <v>36</v>
      </c>
      <c r="E114" s="11" t="s">
        <v>47</v>
      </c>
      <c r="F114" s="11" t="s">
        <v>649</v>
      </c>
      <c r="G114" s="11" t="s">
        <v>702</v>
      </c>
      <c r="H114" s="18">
        <v>10.65</v>
      </c>
      <c r="I114" s="5" t="s">
        <v>52</v>
      </c>
      <c r="J114" s="19">
        <v>4</v>
      </c>
      <c r="K114" s="5" t="s">
        <v>49</v>
      </c>
      <c r="L114" s="5" t="s">
        <v>53</v>
      </c>
      <c r="M114" s="23" t="s">
        <v>650</v>
      </c>
      <c r="N114" s="25"/>
      <c r="O114" s="25"/>
      <c r="P114" s="25"/>
      <c r="Q114" s="17" t="s">
        <v>43</v>
      </c>
    </row>
    <row r="115" spans="2:17">
      <c r="B115" s="11"/>
      <c r="C115" s="5" t="str">
        <f>IF(E115="","",IF(G115&lt;&gt;"",SUBSTITUTE(SUBSTITUTE(G115," ",""),"-",""),IF(F115&lt;&gt;"",SUBSTITUTE(SUBSTITUTE(F115," ",""),"-",""),"")))</f>
        <v/>
      </c>
      <c r="D115" s="6"/>
      <c r="E115" s="11"/>
      <c r="F115" s="11"/>
      <c r="G115" s="11"/>
      <c r="H115" s="18"/>
      <c r="J115" s="19"/>
      <c r="M115" s="23"/>
      <c r="N115" s="23"/>
      <c r="O115" s="23"/>
      <c r="P115" s="23"/>
      <c r="Q115" s="17"/>
    </row>
    <row r="116" spans="2:17">
      <c r="B116" s="11"/>
      <c r="C116" s="5" t="str">
        <f>IF(E116="","",IF(G116&lt;&gt;"",SUBSTITUTE(SUBSTITUTE(G116," ",""),"-",""),IF(F116&lt;&gt;"",SUBSTITUTE(SUBSTITUTE(F116," ",""),"-",""),"")))</f>
        <v/>
      </c>
      <c r="D116" s="6"/>
      <c r="E116" s="11"/>
      <c r="F116" s="11"/>
      <c r="G116" s="11"/>
      <c r="H116" s="18"/>
      <c r="J116" s="19"/>
      <c r="M116" s="23"/>
      <c r="N116" s="23"/>
      <c r="O116" s="23"/>
      <c r="P116" s="23"/>
      <c r="Q116" s="17"/>
    </row>
    <row r="117" spans="2:17">
      <c r="B117" s="11"/>
      <c r="C117" s="5" t="str">
        <f>IF(E117="","",IF(G117&lt;&gt;"",SUBSTITUTE(SUBSTITUTE(G117," ",""),"-",""),IF(F117&lt;&gt;"",SUBSTITUTE(SUBSTITUTE(F117," ",""),"-",""),"")))</f>
        <v/>
      </c>
      <c r="D117" s="6"/>
      <c r="E117" s="11"/>
      <c r="F117" s="11"/>
      <c r="G117" s="11"/>
      <c r="H117" s="18"/>
      <c r="J117" s="19"/>
      <c r="M117" s="23"/>
      <c r="N117" s="23"/>
      <c r="O117" s="23"/>
      <c r="P117" s="23"/>
      <c r="Q117" s="17"/>
    </row>
    <row r="118" spans="2:17">
      <c r="B118" s="11" t="s">
        <v>50</v>
      </c>
      <c r="C118" s="5" t="str">
        <f>IF(E118="","",IF(G118&lt;&gt;"",SUBSTITUTE(SUBSTITUTE(G118," ",""),"-",""),IF(F118&lt;&gt;"",SUBSTITUTE(SUBSTITUTE(F118," ",""),"-",""),"")))</f>
        <v>RDSH04</v>
      </c>
      <c r="D118" s="6" t="s">
        <v>36</v>
      </c>
      <c r="E118" s="11" t="s">
        <v>47</v>
      </c>
      <c r="F118" s="11" t="s">
        <v>703</v>
      </c>
      <c r="G118" s="11"/>
      <c r="H118" s="18">
        <v>553.79999999999995</v>
      </c>
      <c r="I118" s="5" t="s">
        <v>52</v>
      </c>
      <c r="J118" s="19">
        <f>52*4</f>
        <v>208</v>
      </c>
      <c r="K118" s="5" t="s">
        <v>49</v>
      </c>
      <c r="L118" s="5" t="s">
        <v>53</v>
      </c>
      <c r="M118" s="23" t="s">
        <v>704</v>
      </c>
      <c r="N118" s="25">
        <v>5800</v>
      </c>
      <c r="O118" s="25">
        <v>8</v>
      </c>
      <c r="P118" s="25">
        <v>1</v>
      </c>
      <c r="Q118" s="17" t="s">
        <v>43</v>
      </c>
    </row>
    <row r="119" spans="2:17">
      <c r="B119" s="11" t="s">
        <v>55</v>
      </c>
      <c r="C119" s="5" t="str">
        <f>IF(E119="","",IF(G119&lt;&gt;"",SUBSTITUTE(SUBSTITUTE(G119," ",""),"-",""),IF(F119&lt;&gt;"",SUBSTITUTE(SUBSTITUTE(F119," ",""),"-",""),"")))</f>
        <v>RDSH4P01</v>
      </c>
      <c r="D119" s="6" t="s">
        <v>36</v>
      </c>
      <c r="E119" s="11" t="s">
        <v>47</v>
      </c>
      <c r="F119" s="11" t="s">
        <v>703</v>
      </c>
      <c r="G119" s="11" t="s">
        <v>705</v>
      </c>
      <c r="H119" s="18">
        <v>10.65</v>
      </c>
      <c r="I119" s="5" t="s">
        <v>52</v>
      </c>
      <c r="J119" s="19">
        <v>4</v>
      </c>
      <c r="K119" s="5" t="s">
        <v>49</v>
      </c>
      <c r="L119" s="5" t="s">
        <v>53</v>
      </c>
      <c r="M119" s="23" t="s">
        <v>704</v>
      </c>
      <c r="N119" s="25"/>
      <c r="O119" s="25"/>
      <c r="P119" s="25"/>
      <c r="Q119" s="17" t="s">
        <v>43</v>
      </c>
    </row>
    <row r="120" spans="2:17">
      <c r="B120" s="11" t="s">
        <v>55</v>
      </c>
      <c r="C120" s="5" t="str">
        <f>IF(E120="","",IF(G120&lt;&gt;"",SUBSTITUTE(SUBSTITUTE(G120," ",""),"-",""),IF(F120&lt;&gt;"",SUBSTITUTE(SUBSTITUTE(F120," ",""),"-",""),"")))</f>
        <v>RDSH4P02</v>
      </c>
      <c r="D120" s="6" t="s">
        <v>36</v>
      </c>
      <c r="E120" s="11" t="s">
        <v>47</v>
      </c>
      <c r="F120" s="11" t="s">
        <v>703</v>
      </c>
      <c r="G120" s="11" t="s">
        <v>706</v>
      </c>
      <c r="H120" s="18">
        <v>10.65</v>
      </c>
      <c r="I120" s="5" t="s">
        <v>52</v>
      </c>
      <c r="J120" s="19">
        <v>4</v>
      </c>
      <c r="K120" s="5" t="s">
        <v>49</v>
      </c>
      <c r="L120" s="5" t="s">
        <v>53</v>
      </c>
      <c r="M120" s="23" t="s">
        <v>704</v>
      </c>
      <c r="N120" s="25"/>
      <c r="O120" s="25"/>
      <c r="P120" s="25"/>
      <c r="Q120" s="17" t="s">
        <v>43</v>
      </c>
    </row>
    <row r="121" spans="2:17">
      <c r="B121" s="11" t="s">
        <v>55</v>
      </c>
      <c r="C121" s="5" t="str">
        <f>IF(E121="","",IF(G121&lt;&gt;"",SUBSTITUTE(SUBSTITUTE(G121," ",""),"-",""),IF(F121&lt;&gt;"",SUBSTITUTE(SUBSTITUTE(F121," ",""),"-",""),"")))</f>
        <v>RDSH4P03</v>
      </c>
      <c r="D121" s="6" t="s">
        <v>36</v>
      </c>
      <c r="E121" s="11" t="s">
        <v>47</v>
      </c>
      <c r="F121" s="11" t="s">
        <v>703</v>
      </c>
      <c r="G121" s="11" t="s">
        <v>707</v>
      </c>
      <c r="H121" s="18">
        <v>10.65</v>
      </c>
      <c r="I121" s="5" t="s">
        <v>52</v>
      </c>
      <c r="J121" s="19">
        <v>4</v>
      </c>
      <c r="K121" s="5" t="s">
        <v>49</v>
      </c>
      <c r="L121" s="5" t="s">
        <v>53</v>
      </c>
      <c r="M121" s="23" t="s">
        <v>704</v>
      </c>
      <c r="N121" s="25"/>
      <c r="O121" s="25"/>
      <c r="P121" s="25"/>
      <c r="Q121" s="17" t="s">
        <v>43</v>
      </c>
    </row>
    <row r="122" spans="2:17">
      <c r="B122" s="11" t="s">
        <v>55</v>
      </c>
      <c r="C122" s="5" t="str">
        <f>IF(E122="","",IF(G122&lt;&gt;"",SUBSTITUTE(SUBSTITUTE(G122," ",""),"-",""),IF(F122&lt;&gt;"",SUBSTITUTE(SUBSTITUTE(F122," ",""),"-",""),"")))</f>
        <v>RDSH4P04</v>
      </c>
      <c r="D122" s="6" t="s">
        <v>36</v>
      </c>
      <c r="E122" s="11" t="s">
        <v>47</v>
      </c>
      <c r="F122" s="11" t="s">
        <v>703</v>
      </c>
      <c r="G122" s="11" t="s">
        <v>708</v>
      </c>
      <c r="H122" s="18">
        <v>10.65</v>
      </c>
      <c r="I122" s="5" t="s">
        <v>52</v>
      </c>
      <c r="J122" s="19">
        <v>4</v>
      </c>
      <c r="K122" s="5" t="s">
        <v>49</v>
      </c>
      <c r="L122" s="5" t="s">
        <v>53</v>
      </c>
      <c r="M122" s="23" t="s">
        <v>704</v>
      </c>
      <c r="N122" s="25"/>
      <c r="O122" s="25"/>
      <c r="P122" s="25"/>
      <c r="Q122" s="17" t="s">
        <v>43</v>
      </c>
    </row>
    <row r="123" spans="2:17">
      <c r="B123" s="11" t="s">
        <v>55</v>
      </c>
      <c r="C123" s="5" t="str">
        <f>IF(E123="","",IF(G123&lt;&gt;"",SUBSTITUTE(SUBSTITUTE(G123," ",""),"-",""),IF(F123&lt;&gt;"",SUBSTITUTE(SUBSTITUTE(F123," ",""),"-",""),"")))</f>
        <v>RDSH4P05</v>
      </c>
      <c r="D123" s="6" t="s">
        <v>36</v>
      </c>
      <c r="E123" s="11" t="s">
        <v>47</v>
      </c>
      <c r="F123" s="11" t="s">
        <v>703</v>
      </c>
      <c r="G123" s="11" t="s">
        <v>709</v>
      </c>
      <c r="H123" s="18">
        <v>10.65</v>
      </c>
      <c r="I123" s="5" t="s">
        <v>52</v>
      </c>
      <c r="J123" s="19">
        <v>4</v>
      </c>
      <c r="K123" s="5" t="s">
        <v>49</v>
      </c>
      <c r="L123" s="5" t="s">
        <v>53</v>
      </c>
      <c r="M123" s="23" t="s">
        <v>704</v>
      </c>
      <c r="N123" s="25"/>
      <c r="O123" s="25"/>
      <c r="P123" s="25"/>
      <c r="Q123" s="17" t="s">
        <v>43</v>
      </c>
    </row>
    <row r="124" spans="2:17">
      <c r="B124" s="11" t="s">
        <v>55</v>
      </c>
      <c r="C124" s="5" t="str">
        <f>IF(E124="","",IF(G124&lt;&gt;"",SUBSTITUTE(SUBSTITUTE(G124," ",""),"-",""),IF(F124&lt;&gt;"",SUBSTITUTE(SUBSTITUTE(F124," ",""),"-",""),"")))</f>
        <v>RDSH4P06</v>
      </c>
      <c r="D124" s="6" t="s">
        <v>36</v>
      </c>
      <c r="E124" s="11" t="s">
        <v>47</v>
      </c>
      <c r="F124" s="11" t="s">
        <v>703</v>
      </c>
      <c r="G124" s="11" t="s">
        <v>710</v>
      </c>
      <c r="H124" s="18">
        <v>10.65</v>
      </c>
      <c r="I124" s="5" t="s">
        <v>52</v>
      </c>
      <c r="J124" s="19">
        <v>4</v>
      </c>
      <c r="K124" s="5" t="s">
        <v>49</v>
      </c>
      <c r="L124" s="5" t="s">
        <v>53</v>
      </c>
      <c r="M124" s="23" t="s">
        <v>704</v>
      </c>
      <c r="N124" s="25"/>
      <c r="O124" s="25"/>
      <c r="P124" s="25"/>
      <c r="Q124" s="17" t="s">
        <v>43</v>
      </c>
    </row>
    <row r="125" spans="2:17">
      <c r="B125" s="11" t="s">
        <v>55</v>
      </c>
      <c r="C125" s="5" t="str">
        <f>IF(E125="","",IF(G125&lt;&gt;"",SUBSTITUTE(SUBSTITUTE(G125," ",""),"-",""),IF(F125&lt;&gt;"",SUBSTITUTE(SUBSTITUTE(F125," ",""),"-",""),"")))</f>
        <v>RDSH4P07</v>
      </c>
      <c r="D125" s="6" t="s">
        <v>36</v>
      </c>
      <c r="E125" s="11" t="s">
        <v>47</v>
      </c>
      <c r="F125" s="11" t="s">
        <v>703</v>
      </c>
      <c r="G125" s="11" t="s">
        <v>711</v>
      </c>
      <c r="H125" s="18">
        <v>10.65</v>
      </c>
      <c r="I125" s="5" t="s">
        <v>52</v>
      </c>
      <c r="J125" s="19">
        <v>4</v>
      </c>
      <c r="K125" s="5" t="s">
        <v>49</v>
      </c>
      <c r="L125" s="5" t="s">
        <v>53</v>
      </c>
      <c r="M125" s="23" t="s">
        <v>704</v>
      </c>
      <c r="N125" s="25"/>
      <c r="O125" s="25"/>
      <c r="P125" s="25"/>
      <c r="Q125" s="17" t="s">
        <v>43</v>
      </c>
    </row>
    <row r="126" spans="2:17">
      <c r="B126" s="11" t="s">
        <v>55</v>
      </c>
      <c r="C126" s="5" t="str">
        <f>IF(E126="","",IF(G126&lt;&gt;"",SUBSTITUTE(SUBSTITUTE(G126," ",""),"-",""),IF(F126&lt;&gt;"",SUBSTITUTE(SUBSTITUTE(F126," ",""),"-",""),"")))</f>
        <v>RDSH4P08</v>
      </c>
      <c r="D126" s="6" t="s">
        <v>36</v>
      </c>
      <c r="E126" s="11" t="s">
        <v>47</v>
      </c>
      <c r="F126" s="11" t="s">
        <v>703</v>
      </c>
      <c r="G126" s="11" t="s">
        <v>712</v>
      </c>
      <c r="H126" s="18">
        <v>10.65</v>
      </c>
      <c r="I126" s="5" t="s">
        <v>52</v>
      </c>
      <c r="J126" s="19">
        <v>4</v>
      </c>
      <c r="K126" s="5" t="s">
        <v>49</v>
      </c>
      <c r="L126" s="5" t="s">
        <v>53</v>
      </c>
      <c r="M126" s="23" t="s">
        <v>704</v>
      </c>
      <c r="N126" s="25"/>
      <c r="O126" s="25"/>
      <c r="P126" s="25"/>
      <c r="Q126" s="17" t="s">
        <v>43</v>
      </c>
    </row>
    <row r="127" spans="2:17">
      <c r="B127" s="11" t="s">
        <v>55</v>
      </c>
      <c r="C127" s="5" t="str">
        <f>IF(E127="","",IF(G127&lt;&gt;"",SUBSTITUTE(SUBSTITUTE(G127," ",""),"-",""),IF(F127&lt;&gt;"",SUBSTITUTE(SUBSTITUTE(F127," ",""),"-",""),"")))</f>
        <v>RDSH4P09</v>
      </c>
      <c r="D127" s="6" t="s">
        <v>36</v>
      </c>
      <c r="E127" s="11" t="s">
        <v>47</v>
      </c>
      <c r="F127" s="11" t="s">
        <v>703</v>
      </c>
      <c r="G127" s="11" t="s">
        <v>713</v>
      </c>
      <c r="H127" s="18">
        <v>10.65</v>
      </c>
      <c r="I127" s="5" t="s">
        <v>52</v>
      </c>
      <c r="J127" s="19">
        <v>4</v>
      </c>
      <c r="K127" s="5" t="s">
        <v>49</v>
      </c>
      <c r="L127" s="5" t="s">
        <v>53</v>
      </c>
      <c r="M127" s="23" t="s">
        <v>704</v>
      </c>
      <c r="N127" s="25"/>
      <c r="O127" s="25"/>
      <c r="P127" s="25"/>
      <c r="Q127" s="17" t="s">
        <v>43</v>
      </c>
    </row>
    <row r="128" spans="2:17">
      <c r="B128" s="11" t="s">
        <v>55</v>
      </c>
      <c r="C128" s="5" t="str">
        <f>IF(E128="","",IF(G128&lt;&gt;"",SUBSTITUTE(SUBSTITUTE(G128," ",""),"-",""),IF(F128&lt;&gt;"",SUBSTITUTE(SUBSTITUTE(F128," ",""),"-",""),"")))</f>
        <v>RDSH4P10</v>
      </c>
      <c r="D128" s="6" t="s">
        <v>36</v>
      </c>
      <c r="E128" s="11" t="s">
        <v>47</v>
      </c>
      <c r="F128" s="11" t="s">
        <v>703</v>
      </c>
      <c r="G128" s="11" t="s">
        <v>714</v>
      </c>
      <c r="H128" s="18">
        <v>10.65</v>
      </c>
      <c r="I128" s="5" t="s">
        <v>52</v>
      </c>
      <c r="J128" s="19">
        <v>4</v>
      </c>
      <c r="K128" s="5" t="s">
        <v>49</v>
      </c>
      <c r="L128" s="5" t="s">
        <v>53</v>
      </c>
      <c r="M128" s="23" t="s">
        <v>704</v>
      </c>
      <c r="N128" s="25"/>
      <c r="O128" s="25"/>
      <c r="P128" s="25"/>
      <c r="Q128" s="17" t="s">
        <v>43</v>
      </c>
    </row>
    <row r="129" spans="2:17">
      <c r="B129" s="11" t="s">
        <v>55</v>
      </c>
      <c r="C129" s="5" t="str">
        <f>IF(E129="","",IF(G129&lt;&gt;"",SUBSTITUTE(SUBSTITUTE(G129," ",""),"-",""),IF(F129&lt;&gt;"",SUBSTITUTE(SUBSTITUTE(F129," ",""),"-",""),"")))</f>
        <v>RDSH4P11</v>
      </c>
      <c r="D129" s="6" t="s">
        <v>36</v>
      </c>
      <c r="E129" s="11" t="s">
        <v>47</v>
      </c>
      <c r="F129" s="11" t="s">
        <v>703</v>
      </c>
      <c r="G129" s="11" t="s">
        <v>715</v>
      </c>
      <c r="H129" s="18">
        <v>10.65</v>
      </c>
      <c r="I129" s="5" t="s">
        <v>52</v>
      </c>
      <c r="J129" s="19">
        <v>4</v>
      </c>
      <c r="K129" s="5" t="s">
        <v>49</v>
      </c>
      <c r="L129" s="5" t="s">
        <v>53</v>
      </c>
      <c r="M129" s="23" t="s">
        <v>704</v>
      </c>
      <c r="N129" s="25"/>
      <c r="O129" s="25"/>
      <c r="P129" s="25"/>
      <c r="Q129" s="17" t="s">
        <v>43</v>
      </c>
    </row>
    <row r="130" spans="2:17">
      <c r="B130" s="11" t="s">
        <v>55</v>
      </c>
      <c r="C130" s="5" t="str">
        <f>IF(E130="","",IF(G130&lt;&gt;"",SUBSTITUTE(SUBSTITUTE(G130," ",""),"-",""),IF(F130&lt;&gt;"",SUBSTITUTE(SUBSTITUTE(F130," ",""),"-",""),"")))</f>
        <v>RDSH4P12</v>
      </c>
      <c r="D130" s="6" t="s">
        <v>36</v>
      </c>
      <c r="E130" s="11" t="s">
        <v>47</v>
      </c>
      <c r="F130" s="11" t="s">
        <v>703</v>
      </c>
      <c r="G130" s="11" t="s">
        <v>716</v>
      </c>
      <c r="H130" s="18">
        <v>10.65</v>
      </c>
      <c r="I130" s="5" t="s">
        <v>52</v>
      </c>
      <c r="J130" s="19">
        <v>4</v>
      </c>
      <c r="K130" s="5" t="s">
        <v>49</v>
      </c>
      <c r="L130" s="5" t="s">
        <v>53</v>
      </c>
      <c r="M130" s="23" t="s">
        <v>704</v>
      </c>
      <c r="N130" s="25"/>
      <c r="O130" s="25"/>
      <c r="P130" s="25"/>
      <c r="Q130" s="17" t="s">
        <v>43</v>
      </c>
    </row>
    <row r="131" spans="2:17">
      <c r="B131" s="11" t="s">
        <v>55</v>
      </c>
      <c r="C131" s="5" t="str">
        <f>IF(E131="","",IF(G131&lt;&gt;"",SUBSTITUTE(SUBSTITUTE(G131," ",""),"-",""),IF(F131&lt;&gt;"",SUBSTITUTE(SUBSTITUTE(F131," ",""),"-",""),"")))</f>
        <v>RDSH4P13</v>
      </c>
      <c r="D131" s="6" t="s">
        <v>36</v>
      </c>
      <c r="E131" s="11" t="s">
        <v>47</v>
      </c>
      <c r="F131" s="11" t="s">
        <v>703</v>
      </c>
      <c r="G131" s="11" t="s">
        <v>717</v>
      </c>
      <c r="H131" s="18">
        <v>10.65</v>
      </c>
      <c r="I131" s="5" t="s">
        <v>52</v>
      </c>
      <c r="J131" s="19">
        <v>4</v>
      </c>
      <c r="K131" s="5" t="s">
        <v>49</v>
      </c>
      <c r="L131" s="5" t="s">
        <v>53</v>
      </c>
      <c r="M131" s="23" t="s">
        <v>704</v>
      </c>
      <c r="N131" s="25"/>
      <c r="O131" s="25"/>
      <c r="P131" s="25"/>
      <c r="Q131" s="17" t="s">
        <v>43</v>
      </c>
    </row>
    <row r="132" spans="2:17">
      <c r="B132" s="11" t="s">
        <v>55</v>
      </c>
      <c r="C132" s="5" t="str">
        <f>IF(E132="","",IF(G132&lt;&gt;"",SUBSTITUTE(SUBSTITUTE(G132," ",""),"-",""),IF(F132&lt;&gt;"",SUBSTITUTE(SUBSTITUTE(F132," ",""),"-",""),"")))</f>
        <v>RDSH4P14</v>
      </c>
      <c r="D132" s="6" t="s">
        <v>36</v>
      </c>
      <c r="E132" s="11" t="s">
        <v>47</v>
      </c>
      <c r="F132" s="11" t="s">
        <v>703</v>
      </c>
      <c r="G132" s="11" t="s">
        <v>718</v>
      </c>
      <c r="H132" s="18">
        <v>10.65</v>
      </c>
      <c r="I132" s="5" t="s">
        <v>52</v>
      </c>
      <c r="J132" s="19">
        <v>4</v>
      </c>
      <c r="K132" s="5" t="s">
        <v>49</v>
      </c>
      <c r="L132" s="5" t="s">
        <v>53</v>
      </c>
      <c r="M132" s="23" t="s">
        <v>704</v>
      </c>
      <c r="N132" s="25"/>
      <c r="O132" s="25"/>
      <c r="P132" s="25"/>
      <c r="Q132" s="17" t="s">
        <v>43</v>
      </c>
    </row>
    <row r="133" spans="2:17">
      <c r="B133" s="11" t="s">
        <v>55</v>
      </c>
      <c r="C133" s="5" t="str">
        <f>IF(E133="","",IF(G133&lt;&gt;"",SUBSTITUTE(SUBSTITUTE(G133," ",""),"-",""),IF(F133&lt;&gt;"",SUBSTITUTE(SUBSTITUTE(F133," ",""),"-",""),"")))</f>
        <v>RDSH4P15</v>
      </c>
      <c r="D133" s="6" t="s">
        <v>36</v>
      </c>
      <c r="E133" s="11" t="s">
        <v>47</v>
      </c>
      <c r="F133" s="11" t="s">
        <v>703</v>
      </c>
      <c r="G133" s="11" t="s">
        <v>719</v>
      </c>
      <c r="H133" s="18">
        <v>10.65</v>
      </c>
      <c r="I133" s="5" t="s">
        <v>52</v>
      </c>
      <c r="J133" s="19">
        <v>4</v>
      </c>
      <c r="K133" s="5" t="s">
        <v>49</v>
      </c>
      <c r="L133" s="5" t="s">
        <v>53</v>
      </c>
      <c r="M133" s="23" t="s">
        <v>704</v>
      </c>
      <c r="N133" s="25"/>
      <c r="O133" s="25"/>
      <c r="P133" s="25"/>
      <c r="Q133" s="17" t="s">
        <v>43</v>
      </c>
    </row>
    <row r="134" spans="2:17">
      <c r="B134" s="11" t="s">
        <v>55</v>
      </c>
      <c r="C134" s="5" t="str">
        <f>IF(E134="","",IF(G134&lt;&gt;"",SUBSTITUTE(SUBSTITUTE(G134," ",""),"-",""),IF(F134&lt;&gt;"",SUBSTITUTE(SUBSTITUTE(F134," ",""),"-",""),"")))</f>
        <v>RDSH4P16</v>
      </c>
      <c r="D134" s="6" t="s">
        <v>36</v>
      </c>
      <c r="E134" s="11" t="s">
        <v>47</v>
      </c>
      <c r="F134" s="11" t="s">
        <v>703</v>
      </c>
      <c r="G134" s="11" t="s">
        <v>720</v>
      </c>
      <c r="H134" s="18">
        <v>10.65</v>
      </c>
      <c r="I134" s="5" t="s">
        <v>52</v>
      </c>
      <c r="J134" s="19">
        <v>4</v>
      </c>
      <c r="K134" s="5" t="s">
        <v>49</v>
      </c>
      <c r="L134" s="5" t="s">
        <v>53</v>
      </c>
      <c r="M134" s="23" t="s">
        <v>704</v>
      </c>
      <c r="N134" s="25"/>
      <c r="O134" s="25"/>
      <c r="P134" s="25"/>
      <c r="Q134" s="17" t="s">
        <v>43</v>
      </c>
    </row>
    <row r="135" spans="2:17">
      <c r="B135" s="11" t="s">
        <v>55</v>
      </c>
      <c r="C135" s="5" t="str">
        <f>IF(E135="","",IF(G135&lt;&gt;"",SUBSTITUTE(SUBSTITUTE(G135," ",""),"-",""),IF(F135&lt;&gt;"",SUBSTITUTE(SUBSTITUTE(F135," ",""),"-",""),"")))</f>
        <v>RDSH4P17</v>
      </c>
      <c r="D135" s="6" t="s">
        <v>36</v>
      </c>
      <c r="E135" s="11" t="s">
        <v>47</v>
      </c>
      <c r="F135" s="11" t="s">
        <v>703</v>
      </c>
      <c r="G135" s="11" t="s">
        <v>721</v>
      </c>
      <c r="H135" s="18">
        <v>10.65</v>
      </c>
      <c r="I135" s="5" t="s">
        <v>52</v>
      </c>
      <c r="J135" s="19">
        <v>4</v>
      </c>
      <c r="K135" s="5" t="s">
        <v>49</v>
      </c>
      <c r="L135" s="5" t="s">
        <v>53</v>
      </c>
      <c r="M135" s="23" t="s">
        <v>704</v>
      </c>
      <c r="N135" s="25"/>
      <c r="O135" s="25"/>
      <c r="P135" s="25"/>
      <c r="Q135" s="17" t="s">
        <v>43</v>
      </c>
    </row>
    <row r="136" spans="2:17">
      <c r="B136" s="11" t="s">
        <v>55</v>
      </c>
      <c r="C136" s="5" t="str">
        <f>IF(E136="","",IF(G136&lt;&gt;"",SUBSTITUTE(SUBSTITUTE(G136," ",""),"-",""),IF(F136&lt;&gt;"",SUBSTITUTE(SUBSTITUTE(F136," ",""),"-",""),"")))</f>
        <v>RDSH4P18</v>
      </c>
      <c r="D136" s="6" t="s">
        <v>36</v>
      </c>
      <c r="E136" s="11" t="s">
        <v>47</v>
      </c>
      <c r="F136" s="11" t="s">
        <v>703</v>
      </c>
      <c r="G136" s="11" t="s">
        <v>722</v>
      </c>
      <c r="H136" s="18">
        <v>10.65</v>
      </c>
      <c r="I136" s="5" t="s">
        <v>52</v>
      </c>
      <c r="J136" s="19">
        <v>4</v>
      </c>
      <c r="K136" s="5" t="s">
        <v>49</v>
      </c>
      <c r="L136" s="5" t="s">
        <v>53</v>
      </c>
      <c r="M136" s="23" t="s">
        <v>704</v>
      </c>
      <c r="N136" s="25"/>
      <c r="O136" s="25"/>
      <c r="P136" s="25"/>
      <c r="Q136" s="17" t="s">
        <v>43</v>
      </c>
    </row>
    <row r="137" spans="2:17">
      <c r="B137" s="11" t="s">
        <v>55</v>
      </c>
      <c r="C137" s="5" t="str">
        <f>IF(E137="","",IF(G137&lt;&gt;"",SUBSTITUTE(SUBSTITUTE(G137," ",""),"-",""),IF(F137&lt;&gt;"",SUBSTITUTE(SUBSTITUTE(F137," ",""),"-",""),"")))</f>
        <v>RDSH4P19</v>
      </c>
      <c r="D137" s="6" t="s">
        <v>36</v>
      </c>
      <c r="E137" s="11" t="s">
        <v>47</v>
      </c>
      <c r="F137" s="11" t="s">
        <v>703</v>
      </c>
      <c r="G137" s="11" t="s">
        <v>723</v>
      </c>
      <c r="H137" s="18">
        <v>10.65</v>
      </c>
      <c r="I137" s="5" t="s">
        <v>52</v>
      </c>
      <c r="J137" s="19">
        <v>4</v>
      </c>
      <c r="K137" s="5" t="s">
        <v>49</v>
      </c>
      <c r="L137" s="5" t="s">
        <v>53</v>
      </c>
      <c r="M137" s="23" t="s">
        <v>704</v>
      </c>
      <c r="N137" s="25"/>
      <c r="O137" s="25"/>
      <c r="P137" s="25"/>
      <c r="Q137" s="17" t="s">
        <v>43</v>
      </c>
    </row>
    <row r="138" spans="2:17">
      <c r="B138" s="11" t="s">
        <v>55</v>
      </c>
      <c r="C138" s="5" t="str">
        <f>IF(E138="","",IF(G138&lt;&gt;"",SUBSTITUTE(SUBSTITUTE(G138," ",""),"-",""),IF(F138&lt;&gt;"",SUBSTITUTE(SUBSTITUTE(F138," ",""),"-",""),"")))</f>
        <v>RDSH4P20</v>
      </c>
      <c r="D138" s="6" t="s">
        <v>36</v>
      </c>
      <c r="E138" s="11" t="s">
        <v>47</v>
      </c>
      <c r="F138" s="11" t="s">
        <v>703</v>
      </c>
      <c r="G138" s="11" t="s">
        <v>724</v>
      </c>
      <c r="H138" s="18">
        <v>10.65</v>
      </c>
      <c r="I138" s="5" t="s">
        <v>52</v>
      </c>
      <c r="J138" s="19">
        <v>4</v>
      </c>
      <c r="K138" s="5" t="s">
        <v>49</v>
      </c>
      <c r="L138" s="5" t="s">
        <v>53</v>
      </c>
      <c r="M138" s="23" t="s">
        <v>704</v>
      </c>
      <c r="N138" s="25"/>
      <c r="O138" s="25"/>
      <c r="P138" s="25"/>
      <c r="Q138" s="17" t="s">
        <v>43</v>
      </c>
    </row>
    <row r="139" spans="2:17">
      <c r="B139" s="11" t="s">
        <v>55</v>
      </c>
      <c r="C139" s="5" t="str">
        <f>IF(E139="","",IF(G139&lt;&gt;"",SUBSTITUTE(SUBSTITUTE(G139," ",""),"-",""),IF(F139&lt;&gt;"",SUBSTITUTE(SUBSTITUTE(F139," ",""),"-",""),"")))</f>
        <v>RDSH4P21</v>
      </c>
      <c r="D139" s="6" t="s">
        <v>36</v>
      </c>
      <c r="E139" s="11" t="s">
        <v>47</v>
      </c>
      <c r="F139" s="11" t="s">
        <v>703</v>
      </c>
      <c r="G139" s="11" t="s">
        <v>725</v>
      </c>
      <c r="H139" s="18">
        <v>10.65</v>
      </c>
      <c r="I139" s="5" t="s">
        <v>52</v>
      </c>
      <c r="J139" s="19">
        <v>4</v>
      </c>
      <c r="K139" s="5" t="s">
        <v>49</v>
      </c>
      <c r="L139" s="5" t="s">
        <v>53</v>
      </c>
      <c r="M139" s="23" t="s">
        <v>704</v>
      </c>
      <c r="N139" s="25"/>
      <c r="O139" s="25"/>
      <c r="P139" s="25"/>
      <c r="Q139" s="17" t="s">
        <v>43</v>
      </c>
    </row>
    <row r="140" spans="2:17">
      <c r="B140" s="11" t="s">
        <v>55</v>
      </c>
      <c r="C140" s="5" t="str">
        <f>IF(E140="","",IF(G140&lt;&gt;"",SUBSTITUTE(SUBSTITUTE(G140," ",""),"-",""),IF(F140&lt;&gt;"",SUBSTITUTE(SUBSTITUTE(F140," ",""),"-",""),"")))</f>
        <v>RDSH4P22</v>
      </c>
      <c r="D140" s="6" t="s">
        <v>36</v>
      </c>
      <c r="E140" s="11" t="s">
        <v>47</v>
      </c>
      <c r="F140" s="11" t="s">
        <v>703</v>
      </c>
      <c r="G140" s="11" t="s">
        <v>726</v>
      </c>
      <c r="H140" s="18">
        <v>10.65</v>
      </c>
      <c r="I140" s="5" t="s">
        <v>52</v>
      </c>
      <c r="J140" s="19">
        <v>4</v>
      </c>
      <c r="K140" s="5" t="s">
        <v>49</v>
      </c>
      <c r="L140" s="5" t="s">
        <v>53</v>
      </c>
      <c r="M140" s="23" t="s">
        <v>704</v>
      </c>
      <c r="N140" s="25"/>
      <c r="O140" s="25"/>
      <c r="P140" s="25"/>
      <c r="Q140" s="17" t="s">
        <v>43</v>
      </c>
    </row>
    <row r="141" spans="2:17">
      <c r="B141" s="11" t="s">
        <v>55</v>
      </c>
      <c r="C141" s="5" t="str">
        <f>IF(E141="","",IF(G141&lt;&gt;"",SUBSTITUTE(SUBSTITUTE(G141," ",""),"-",""),IF(F141&lt;&gt;"",SUBSTITUTE(SUBSTITUTE(F141," ",""),"-",""),"")))</f>
        <v>RDSH4P23</v>
      </c>
      <c r="D141" s="6" t="s">
        <v>36</v>
      </c>
      <c r="E141" s="11" t="s">
        <v>47</v>
      </c>
      <c r="F141" s="11" t="s">
        <v>703</v>
      </c>
      <c r="G141" s="11" t="s">
        <v>727</v>
      </c>
      <c r="H141" s="18">
        <v>10.65</v>
      </c>
      <c r="I141" s="5" t="s">
        <v>52</v>
      </c>
      <c r="J141" s="19">
        <v>4</v>
      </c>
      <c r="K141" s="5" t="s">
        <v>49</v>
      </c>
      <c r="L141" s="5" t="s">
        <v>53</v>
      </c>
      <c r="M141" s="23" t="s">
        <v>704</v>
      </c>
      <c r="N141" s="25"/>
      <c r="O141" s="25"/>
      <c r="P141" s="25"/>
      <c r="Q141" s="17" t="s">
        <v>43</v>
      </c>
    </row>
    <row r="142" spans="2:17">
      <c r="B142" s="11" t="s">
        <v>55</v>
      </c>
      <c r="C142" s="5" t="str">
        <f>IF(E142="","",IF(G142&lt;&gt;"",SUBSTITUTE(SUBSTITUTE(G142," ",""),"-",""),IF(F142&lt;&gt;"",SUBSTITUTE(SUBSTITUTE(F142," ",""),"-",""),"")))</f>
        <v>RDSH4P24</v>
      </c>
      <c r="D142" s="6" t="s">
        <v>36</v>
      </c>
      <c r="E142" s="11" t="s">
        <v>47</v>
      </c>
      <c r="F142" s="11" t="s">
        <v>703</v>
      </c>
      <c r="G142" s="11" t="s">
        <v>728</v>
      </c>
      <c r="H142" s="18">
        <v>10.65</v>
      </c>
      <c r="I142" s="5" t="s">
        <v>52</v>
      </c>
      <c r="J142" s="19">
        <v>4</v>
      </c>
      <c r="K142" s="5" t="s">
        <v>49</v>
      </c>
      <c r="L142" s="5" t="s">
        <v>53</v>
      </c>
      <c r="M142" s="23" t="s">
        <v>704</v>
      </c>
      <c r="N142" s="25"/>
      <c r="O142" s="25"/>
      <c r="P142" s="25"/>
      <c r="Q142" s="17" t="s">
        <v>43</v>
      </c>
    </row>
    <row r="143" spans="2:17">
      <c r="B143" s="11" t="s">
        <v>55</v>
      </c>
      <c r="C143" s="5" t="str">
        <f>IF(E143="","",IF(G143&lt;&gt;"",SUBSTITUTE(SUBSTITUTE(G143," ",""),"-",""),IF(F143&lt;&gt;"",SUBSTITUTE(SUBSTITUTE(F143," ",""),"-",""),"")))</f>
        <v>RDSH4P25</v>
      </c>
      <c r="D143" s="6" t="s">
        <v>36</v>
      </c>
      <c r="E143" s="11" t="s">
        <v>47</v>
      </c>
      <c r="F143" s="11" t="s">
        <v>703</v>
      </c>
      <c r="G143" s="11" t="s">
        <v>729</v>
      </c>
      <c r="H143" s="18">
        <v>10.65</v>
      </c>
      <c r="I143" s="5" t="s">
        <v>52</v>
      </c>
      <c r="J143" s="19">
        <v>4</v>
      </c>
      <c r="K143" s="5" t="s">
        <v>49</v>
      </c>
      <c r="L143" s="5" t="s">
        <v>53</v>
      </c>
      <c r="M143" s="23" t="s">
        <v>704</v>
      </c>
      <c r="N143" s="25"/>
      <c r="O143" s="25"/>
      <c r="P143" s="25"/>
      <c r="Q143" s="17" t="s">
        <v>43</v>
      </c>
    </row>
    <row r="144" spans="2:17">
      <c r="B144" s="11" t="s">
        <v>55</v>
      </c>
      <c r="C144" s="5" t="str">
        <f>IF(E144="","",IF(G144&lt;&gt;"",SUBSTITUTE(SUBSTITUTE(G144," ",""),"-",""),IF(F144&lt;&gt;"",SUBSTITUTE(SUBSTITUTE(F144," ",""),"-",""),"")))</f>
        <v>RDSH4P26</v>
      </c>
      <c r="D144" s="6" t="s">
        <v>36</v>
      </c>
      <c r="E144" s="11" t="s">
        <v>47</v>
      </c>
      <c r="F144" s="11" t="s">
        <v>703</v>
      </c>
      <c r="G144" s="11" t="s">
        <v>730</v>
      </c>
      <c r="H144" s="18">
        <v>10.65</v>
      </c>
      <c r="I144" s="5" t="s">
        <v>52</v>
      </c>
      <c r="J144" s="19">
        <v>4</v>
      </c>
      <c r="K144" s="5" t="s">
        <v>49</v>
      </c>
      <c r="L144" s="5" t="s">
        <v>53</v>
      </c>
      <c r="M144" s="23" t="s">
        <v>704</v>
      </c>
      <c r="N144" s="25"/>
      <c r="O144" s="25"/>
      <c r="P144" s="25"/>
      <c r="Q144" s="17" t="s">
        <v>43</v>
      </c>
    </row>
    <row r="145" spans="2:17">
      <c r="B145" s="11" t="s">
        <v>55</v>
      </c>
      <c r="C145" s="5" t="str">
        <f>IF(E145="","",IF(G145&lt;&gt;"",SUBSTITUTE(SUBSTITUTE(G145," ",""),"-",""),IF(F145&lt;&gt;"",SUBSTITUTE(SUBSTITUTE(F145," ",""),"-",""),"")))</f>
        <v>RDSH4P27</v>
      </c>
      <c r="D145" s="6" t="s">
        <v>36</v>
      </c>
      <c r="E145" s="11" t="s">
        <v>47</v>
      </c>
      <c r="F145" s="11" t="s">
        <v>703</v>
      </c>
      <c r="G145" s="11" t="s">
        <v>731</v>
      </c>
      <c r="H145" s="18">
        <v>10.65</v>
      </c>
      <c r="I145" s="5" t="s">
        <v>52</v>
      </c>
      <c r="J145" s="19">
        <v>4</v>
      </c>
      <c r="K145" s="5" t="s">
        <v>49</v>
      </c>
      <c r="L145" s="5" t="s">
        <v>53</v>
      </c>
      <c r="M145" s="23" t="s">
        <v>704</v>
      </c>
      <c r="N145" s="25"/>
      <c r="O145" s="25"/>
      <c r="P145" s="25"/>
      <c r="Q145" s="17" t="s">
        <v>43</v>
      </c>
    </row>
    <row r="146" spans="2:17">
      <c r="B146" s="11" t="s">
        <v>55</v>
      </c>
      <c r="C146" s="5" t="str">
        <f>IF(E146="","",IF(G146&lt;&gt;"",SUBSTITUTE(SUBSTITUTE(G146," ",""),"-",""),IF(F146&lt;&gt;"",SUBSTITUTE(SUBSTITUTE(F146," ",""),"-",""),"")))</f>
        <v>RDSH4P28</v>
      </c>
      <c r="D146" s="6" t="s">
        <v>36</v>
      </c>
      <c r="E146" s="11" t="s">
        <v>47</v>
      </c>
      <c r="F146" s="11" t="s">
        <v>703</v>
      </c>
      <c r="G146" s="11" t="s">
        <v>732</v>
      </c>
      <c r="H146" s="18">
        <v>10.65</v>
      </c>
      <c r="I146" s="5" t="s">
        <v>52</v>
      </c>
      <c r="J146" s="19">
        <v>4</v>
      </c>
      <c r="K146" s="5" t="s">
        <v>49</v>
      </c>
      <c r="L146" s="5" t="s">
        <v>53</v>
      </c>
      <c r="M146" s="23" t="s">
        <v>704</v>
      </c>
      <c r="N146" s="25"/>
      <c r="O146" s="25"/>
      <c r="P146" s="25"/>
      <c r="Q146" s="17" t="s">
        <v>43</v>
      </c>
    </row>
    <row r="147" spans="2:17">
      <c r="B147" s="11" t="s">
        <v>55</v>
      </c>
      <c r="C147" s="5" t="str">
        <f>IF(E147="","",IF(G147&lt;&gt;"",SUBSTITUTE(SUBSTITUTE(G147," ",""),"-",""),IF(F147&lt;&gt;"",SUBSTITUTE(SUBSTITUTE(F147," ",""),"-",""),"")))</f>
        <v>RDSH4P29</v>
      </c>
      <c r="D147" s="6" t="s">
        <v>36</v>
      </c>
      <c r="E147" s="11" t="s">
        <v>47</v>
      </c>
      <c r="F147" s="11" t="s">
        <v>703</v>
      </c>
      <c r="G147" s="11" t="s">
        <v>733</v>
      </c>
      <c r="H147" s="18">
        <v>10.65</v>
      </c>
      <c r="I147" s="5" t="s">
        <v>52</v>
      </c>
      <c r="J147" s="19">
        <v>4</v>
      </c>
      <c r="K147" s="5" t="s">
        <v>49</v>
      </c>
      <c r="L147" s="5" t="s">
        <v>53</v>
      </c>
      <c r="M147" s="23" t="s">
        <v>704</v>
      </c>
      <c r="N147" s="25"/>
      <c r="O147" s="25"/>
      <c r="P147" s="25"/>
      <c r="Q147" s="17" t="s">
        <v>43</v>
      </c>
    </row>
    <row r="148" spans="2:17">
      <c r="B148" s="11" t="s">
        <v>55</v>
      </c>
      <c r="C148" s="5" t="str">
        <f>IF(E148="","",IF(G148&lt;&gt;"",SUBSTITUTE(SUBSTITUTE(G148," ",""),"-",""),IF(F148&lt;&gt;"",SUBSTITUTE(SUBSTITUTE(F148," ",""),"-",""),"")))</f>
        <v>RDSH4P30</v>
      </c>
      <c r="D148" s="6" t="s">
        <v>36</v>
      </c>
      <c r="E148" s="11" t="s">
        <v>47</v>
      </c>
      <c r="F148" s="11" t="s">
        <v>703</v>
      </c>
      <c r="G148" s="11" t="s">
        <v>734</v>
      </c>
      <c r="H148" s="18">
        <v>10.65</v>
      </c>
      <c r="I148" s="5" t="s">
        <v>52</v>
      </c>
      <c r="J148" s="19">
        <v>4</v>
      </c>
      <c r="K148" s="5" t="s">
        <v>49</v>
      </c>
      <c r="L148" s="5" t="s">
        <v>53</v>
      </c>
      <c r="M148" s="23" t="s">
        <v>704</v>
      </c>
      <c r="N148" s="25"/>
      <c r="O148" s="25"/>
      <c r="P148" s="25"/>
      <c r="Q148" s="17" t="s">
        <v>43</v>
      </c>
    </row>
    <row r="149" spans="2:17">
      <c r="B149" s="11" t="s">
        <v>55</v>
      </c>
      <c r="C149" s="5" t="str">
        <f>IF(E149="","",IF(G149&lt;&gt;"",SUBSTITUTE(SUBSTITUTE(G149," ",""),"-",""),IF(F149&lt;&gt;"",SUBSTITUTE(SUBSTITUTE(F149," ",""),"-",""),"")))</f>
        <v>RDSH4P31</v>
      </c>
      <c r="D149" s="6" t="s">
        <v>36</v>
      </c>
      <c r="E149" s="11" t="s">
        <v>47</v>
      </c>
      <c r="F149" s="11" t="s">
        <v>703</v>
      </c>
      <c r="G149" s="11" t="s">
        <v>735</v>
      </c>
      <c r="H149" s="18">
        <v>10.65</v>
      </c>
      <c r="I149" s="5" t="s">
        <v>52</v>
      </c>
      <c r="J149" s="19">
        <v>4</v>
      </c>
      <c r="K149" s="5" t="s">
        <v>49</v>
      </c>
      <c r="L149" s="5" t="s">
        <v>53</v>
      </c>
      <c r="M149" s="23" t="s">
        <v>704</v>
      </c>
      <c r="N149" s="25"/>
      <c r="O149" s="25"/>
      <c r="P149" s="25"/>
      <c r="Q149" s="17" t="s">
        <v>43</v>
      </c>
    </row>
    <row r="150" spans="2:17">
      <c r="B150" s="11" t="s">
        <v>55</v>
      </c>
      <c r="C150" s="5" t="str">
        <f>IF(E150="","",IF(G150&lt;&gt;"",SUBSTITUTE(SUBSTITUTE(G150," ",""),"-",""),IF(F150&lt;&gt;"",SUBSTITUTE(SUBSTITUTE(F150," ",""),"-",""),"")))</f>
        <v>RDSH4P32</v>
      </c>
      <c r="D150" s="6" t="s">
        <v>36</v>
      </c>
      <c r="E150" s="11" t="s">
        <v>47</v>
      </c>
      <c r="F150" s="11" t="s">
        <v>703</v>
      </c>
      <c r="G150" s="11" t="s">
        <v>736</v>
      </c>
      <c r="H150" s="18">
        <v>10.65</v>
      </c>
      <c r="I150" s="5" t="s">
        <v>52</v>
      </c>
      <c r="J150" s="19">
        <v>4</v>
      </c>
      <c r="K150" s="5" t="s">
        <v>49</v>
      </c>
      <c r="L150" s="5" t="s">
        <v>53</v>
      </c>
      <c r="M150" s="23" t="s">
        <v>704</v>
      </c>
      <c r="N150" s="25"/>
      <c r="O150" s="25"/>
      <c r="P150" s="25"/>
      <c r="Q150" s="17" t="s">
        <v>43</v>
      </c>
    </row>
    <row r="151" spans="2:17">
      <c r="B151" s="11" t="s">
        <v>55</v>
      </c>
      <c r="C151" s="5" t="str">
        <f>IF(E151="","",IF(G151&lt;&gt;"",SUBSTITUTE(SUBSTITUTE(G151," ",""),"-",""),IF(F151&lt;&gt;"",SUBSTITUTE(SUBSTITUTE(F151," ",""),"-",""),"")))</f>
        <v>RDSH4P33</v>
      </c>
      <c r="D151" s="6" t="s">
        <v>36</v>
      </c>
      <c r="E151" s="11" t="s">
        <v>47</v>
      </c>
      <c r="F151" s="11" t="s">
        <v>703</v>
      </c>
      <c r="G151" s="11" t="s">
        <v>737</v>
      </c>
      <c r="H151" s="18">
        <v>10.65</v>
      </c>
      <c r="I151" s="5" t="s">
        <v>52</v>
      </c>
      <c r="J151" s="19">
        <v>4</v>
      </c>
      <c r="K151" s="5" t="s">
        <v>49</v>
      </c>
      <c r="L151" s="5" t="s">
        <v>53</v>
      </c>
      <c r="M151" s="23" t="s">
        <v>704</v>
      </c>
      <c r="N151" s="25"/>
      <c r="O151" s="25"/>
      <c r="P151" s="25"/>
      <c r="Q151" s="17" t="s">
        <v>43</v>
      </c>
    </row>
    <row r="152" spans="2:17">
      <c r="B152" s="11" t="s">
        <v>55</v>
      </c>
      <c r="C152" s="5" t="str">
        <f>IF(E152="","",IF(G152&lt;&gt;"",SUBSTITUTE(SUBSTITUTE(G152," ",""),"-",""),IF(F152&lt;&gt;"",SUBSTITUTE(SUBSTITUTE(F152," ",""),"-",""),"")))</f>
        <v>RDSH4P34</v>
      </c>
      <c r="D152" s="6" t="s">
        <v>36</v>
      </c>
      <c r="E152" s="11" t="s">
        <v>47</v>
      </c>
      <c r="F152" s="11" t="s">
        <v>703</v>
      </c>
      <c r="G152" s="11" t="s">
        <v>738</v>
      </c>
      <c r="H152" s="18">
        <v>10.65</v>
      </c>
      <c r="I152" s="5" t="s">
        <v>52</v>
      </c>
      <c r="J152" s="19">
        <v>4</v>
      </c>
      <c r="K152" s="5" t="s">
        <v>49</v>
      </c>
      <c r="L152" s="5" t="s">
        <v>53</v>
      </c>
      <c r="M152" s="23" t="s">
        <v>704</v>
      </c>
      <c r="N152" s="25"/>
      <c r="O152" s="25"/>
      <c r="P152" s="25"/>
      <c r="Q152" s="17" t="s">
        <v>43</v>
      </c>
    </row>
    <row r="153" spans="2:17">
      <c r="B153" s="11" t="s">
        <v>55</v>
      </c>
      <c r="C153" s="5" t="str">
        <f>IF(E153="","",IF(G153&lt;&gt;"",SUBSTITUTE(SUBSTITUTE(G153," ",""),"-",""),IF(F153&lt;&gt;"",SUBSTITUTE(SUBSTITUTE(F153," ",""),"-",""),"")))</f>
        <v>RDSH4P35</v>
      </c>
      <c r="D153" s="6" t="s">
        <v>36</v>
      </c>
      <c r="E153" s="11" t="s">
        <v>47</v>
      </c>
      <c r="F153" s="11" t="s">
        <v>703</v>
      </c>
      <c r="G153" s="11" t="s">
        <v>739</v>
      </c>
      <c r="H153" s="18">
        <v>10.65</v>
      </c>
      <c r="I153" s="5" t="s">
        <v>52</v>
      </c>
      <c r="J153" s="19">
        <v>4</v>
      </c>
      <c r="K153" s="5" t="s">
        <v>49</v>
      </c>
      <c r="L153" s="5" t="s">
        <v>53</v>
      </c>
      <c r="M153" s="23" t="s">
        <v>704</v>
      </c>
      <c r="N153" s="25"/>
      <c r="O153" s="25"/>
      <c r="P153" s="25"/>
      <c r="Q153" s="17" t="s">
        <v>43</v>
      </c>
    </row>
    <row r="154" spans="2:17">
      <c r="B154" s="11" t="s">
        <v>55</v>
      </c>
      <c r="C154" s="5" t="str">
        <f>IF(E154="","",IF(G154&lt;&gt;"",SUBSTITUTE(SUBSTITUTE(G154," ",""),"-",""),IF(F154&lt;&gt;"",SUBSTITUTE(SUBSTITUTE(F154," ",""),"-",""),"")))</f>
        <v>RDSH4P36</v>
      </c>
      <c r="D154" s="6" t="s">
        <v>36</v>
      </c>
      <c r="E154" s="11" t="s">
        <v>47</v>
      </c>
      <c r="F154" s="11" t="s">
        <v>703</v>
      </c>
      <c r="G154" s="11" t="s">
        <v>740</v>
      </c>
      <c r="H154" s="18">
        <v>10.65</v>
      </c>
      <c r="I154" s="5" t="s">
        <v>52</v>
      </c>
      <c r="J154" s="19">
        <v>4</v>
      </c>
      <c r="K154" s="5" t="s">
        <v>49</v>
      </c>
      <c r="L154" s="5" t="s">
        <v>53</v>
      </c>
      <c r="M154" s="23" t="s">
        <v>704</v>
      </c>
      <c r="N154" s="25"/>
      <c r="O154" s="25"/>
      <c r="P154" s="25"/>
      <c r="Q154" s="17" t="s">
        <v>43</v>
      </c>
    </row>
    <row r="155" spans="2:17">
      <c r="B155" s="11" t="s">
        <v>55</v>
      </c>
      <c r="C155" s="5" t="str">
        <f>IF(E155="","",IF(G155&lt;&gt;"",SUBSTITUTE(SUBSTITUTE(G155," ",""),"-",""),IF(F155&lt;&gt;"",SUBSTITUTE(SUBSTITUTE(F155," ",""),"-",""),"")))</f>
        <v>RDSH4P37</v>
      </c>
      <c r="D155" s="6" t="s">
        <v>36</v>
      </c>
      <c r="E155" s="11" t="s">
        <v>47</v>
      </c>
      <c r="F155" s="11" t="s">
        <v>703</v>
      </c>
      <c r="G155" s="11" t="s">
        <v>741</v>
      </c>
      <c r="H155" s="18">
        <v>10.65</v>
      </c>
      <c r="I155" s="5" t="s">
        <v>52</v>
      </c>
      <c r="J155" s="19">
        <v>4</v>
      </c>
      <c r="K155" s="5" t="s">
        <v>49</v>
      </c>
      <c r="L155" s="5" t="s">
        <v>53</v>
      </c>
      <c r="M155" s="23" t="s">
        <v>704</v>
      </c>
      <c r="N155" s="25"/>
      <c r="O155" s="25"/>
      <c r="P155" s="25"/>
      <c r="Q155" s="17" t="s">
        <v>43</v>
      </c>
    </row>
    <row r="156" spans="2:17">
      <c r="B156" s="11" t="s">
        <v>55</v>
      </c>
      <c r="C156" s="5" t="str">
        <f>IF(E156="","",IF(G156&lt;&gt;"",SUBSTITUTE(SUBSTITUTE(G156," ",""),"-",""),IF(F156&lt;&gt;"",SUBSTITUTE(SUBSTITUTE(F156," ",""),"-",""),"")))</f>
        <v>RDSH4P38</v>
      </c>
      <c r="D156" s="6" t="s">
        <v>36</v>
      </c>
      <c r="E156" s="11" t="s">
        <v>47</v>
      </c>
      <c r="F156" s="11" t="s">
        <v>703</v>
      </c>
      <c r="G156" s="11" t="s">
        <v>742</v>
      </c>
      <c r="H156" s="18">
        <v>10.65</v>
      </c>
      <c r="I156" s="5" t="s">
        <v>52</v>
      </c>
      <c r="J156" s="19">
        <v>4</v>
      </c>
      <c r="K156" s="5" t="s">
        <v>49</v>
      </c>
      <c r="L156" s="5" t="s">
        <v>53</v>
      </c>
      <c r="M156" s="23" t="s">
        <v>704</v>
      </c>
      <c r="N156" s="25"/>
      <c r="O156" s="25"/>
      <c r="P156" s="25"/>
      <c r="Q156" s="17" t="s">
        <v>43</v>
      </c>
    </row>
    <row r="157" spans="2:17">
      <c r="B157" s="11" t="s">
        <v>55</v>
      </c>
      <c r="C157" s="5" t="str">
        <f>IF(E157="","",IF(G157&lt;&gt;"",SUBSTITUTE(SUBSTITUTE(G157," ",""),"-",""),IF(F157&lt;&gt;"",SUBSTITUTE(SUBSTITUTE(F157," ",""),"-",""),"")))</f>
        <v>RDSH4P39</v>
      </c>
      <c r="D157" s="6" t="s">
        <v>36</v>
      </c>
      <c r="E157" s="11" t="s">
        <v>47</v>
      </c>
      <c r="F157" s="11" t="s">
        <v>703</v>
      </c>
      <c r="G157" s="11" t="s">
        <v>743</v>
      </c>
      <c r="H157" s="18">
        <v>10.65</v>
      </c>
      <c r="I157" s="5" t="s">
        <v>52</v>
      </c>
      <c r="J157" s="19">
        <v>4</v>
      </c>
      <c r="K157" s="5" t="s">
        <v>49</v>
      </c>
      <c r="L157" s="5" t="s">
        <v>53</v>
      </c>
      <c r="M157" s="23" t="s">
        <v>704</v>
      </c>
      <c r="N157" s="25"/>
      <c r="O157" s="25"/>
      <c r="P157" s="25"/>
      <c r="Q157" s="17" t="s">
        <v>43</v>
      </c>
    </row>
    <row r="158" spans="2:17">
      <c r="B158" s="11" t="s">
        <v>55</v>
      </c>
      <c r="C158" s="5" t="str">
        <f>IF(E158="","",IF(G158&lt;&gt;"",SUBSTITUTE(SUBSTITUTE(G158," ",""),"-",""),IF(F158&lt;&gt;"",SUBSTITUTE(SUBSTITUTE(F158," ",""),"-",""),"")))</f>
        <v>RDSH4P40</v>
      </c>
      <c r="D158" s="6" t="s">
        <v>36</v>
      </c>
      <c r="E158" s="11" t="s">
        <v>47</v>
      </c>
      <c r="F158" s="11" t="s">
        <v>703</v>
      </c>
      <c r="G158" s="11" t="s">
        <v>744</v>
      </c>
      <c r="H158" s="18">
        <v>10.65</v>
      </c>
      <c r="I158" s="5" t="s">
        <v>52</v>
      </c>
      <c r="J158" s="19">
        <v>4</v>
      </c>
      <c r="K158" s="5" t="s">
        <v>49</v>
      </c>
      <c r="L158" s="5" t="s">
        <v>53</v>
      </c>
      <c r="M158" s="23" t="s">
        <v>704</v>
      </c>
      <c r="N158" s="25"/>
      <c r="O158" s="25"/>
      <c r="P158" s="25"/>
      <c r="Q158" s="17" t="s">
        <v>43</v>
      </c>
    </row>
    <row r="159" spans="2:17">
      <c r="B159" s="11" t="s">
        <v>55</v>
      </c>
      <c r="C159" s="5" t="str">
        <f>IF(E159="","",IF(G159&lt;&gt;"",SUBSTITUTE(SUBSTITUTE(G159," ",""),"-",""),IF(F159&lt;&gt;"",SUBSTITUTE(SUBSTITUTE(F159," ",""),"-",""),"")))</f>
        <v>RDSH4P41</v>
      </c>
      <c r="D159" s="6" t="s">
        <v>36</v>
      </c>
      <c r="E159" s="11" t="s">
        <v>47</v>
      </c>
      <c r="F159" s="11" t="s">
        <v>703</v>
      </c>
      <c r="G159" s="11" t="s">
        <v>745</v>
      </c>
      <c r="H159" s="18">
        <v>10.65</v>
      </c>
      <c r="I159" s="5" t="s">
        <v>52</v>
      </c>
      <c r="J159" s="19">
        <v>4</v>
      </c>
      <c r="K159" s="5" t="s">
        <v>49</v>
      </c>
      <c r="L159" s="5" t="s">
        <v>53</v>
      </c>
      <c r="M159" s="23" t="s">
        <v>704</v>
      </c>
      <c r="N159" s="25"/>
      <c r="O159" s="25"/>
      <c r="P159" s="25"/>
      <c r="Q159" s="17" t="s">
        <v>43</v>
      </c>
    </row>
    <row r="160" spans="2:17">
      <c r="B160" s="11" t="s">
        <v>55</v>
      </c>
      <c r="C160" s="5" t="str">
        <f>IF(E160="","",IF(G160&lt;&gt;"",SUBSTITUTE(SUBSTITUTE(G160," ",""),"-",""),IF(F160&lt;&gt;"",SUBSTITUTE(SUBSTITUTE(F160," ",""),"-",""),"")))</f>
        <v>RDSH4P42</v>
      </c>
      <c r="D160" s="6" t="s">
        <v>36</v>
      </c>
      <c r="E160" s="11" t="s">
        <v>47</v>
      </c>
      <c r="F160" s="11" t="s">
        <v>703</v>
      </c>
      <c r="G160" s="11" t="s">
        <v>746</v>
      </c>
      <c r="H160" s="18">
        <v>10.65</v>
      </c>
      <c r="I160" s="5" t="s">
        <v>52</v>
      </c>
      <c r="J160" s="19">
        <v>4</v>
      </c>
      <c r="K160" s="5" t="s">
        <v>49</v>
      </c>
      <c r="L160" s="5" t="s">
        <v>53</v>
      </c>
      <c r="M160" s="23" t="s">
        <v>704</v>
      </c>
      <c r="N160" s="25"/>
      <c r="O160" s="25"/>
      <c r="P160" s="25"/>
      <c r="Q160" s="17" t="s">
        <v>43</v>
      </c>
    </row>
    <row r="161" spans="2:17">
      <c r="B161" s="11" t="s">
        <v>55</v>
      </c>
      <c r="C161" s="5" t="str">
        <f>IF(E161="","",IF(G161&lt;&gt;"",SUBSTITUTE(SUBSTITUTE(G161," ",""),"-",""),IF(F161&lt;&gt;"",SUBSTITUTE(SUBSTITUTE(F161," ",""),"-",""),"")))</f>
        <v>RDSH4P43</v>
      </c>
      <c r="D161" s="6" t="s">
        <v>36</v>
      </c>
      <c r="E161" s="11" t="s">
        <v>47</v>
      </c>
      <c r="F161" s="11" t="s">
        <v>703</v>
      </c>
      <c r="G161" s="11" t="s">
        <v>747</v>
      </c>
      <c r="H161" s="18">
        <v>10.65</v>
      </c>
      <c r="I161" s="5" t="s">
        <v>52</v>
      </c>
      <c r="J161" s="19">
        <v>4</v>
      </c>
      <c r="K161" s="5" t="s">
        <v>49</v>
      </c>
      <c r="L161" s="5" t="s">
        <v>53</v>
      </c>
      <c r="M161" s="23" t="s">
        <v>704</v>
      </c>
      <c r="N161" s="25"/>
      <c r="O161" s="25"/>
      <c r="P161" s="25"/>
      <c r="Q161" s="17" t="s">
        <v>43</v>
      </c>
    </row>
    <row r="162" spans="2:17">
      <c r="B162" s="11" t="s">
        <v>55</v>
      </c>
      <c r="C162" s="5" t="str">
        <f>IF(E162="","",IF(G162&lt;&gt;"",SUBSTITUTE(SUBSTITUTE(G162," ",""),"-",""),IF(F162&lt;&gt;"",SUBSTITUTE(SUBSTITUTE(F162," ",""),"-",""),"")))</f>
        <v>RDSH4P44</v>
      </c>
      <c r="D162" s="6" t="s">
        <v>36</v>
      </c>
      <c r="E162" s="11" t="s">
        <v>47</v>
      </c>
      <c r="F162" s="11" t="s">
        <v>703</v>
      </c>
      <c r="G162" s="11" t="s">
        <v>748</v>
      </c>
      <c r="H162" s="18">
        <v>10.65</v>
      </c>
      <c r="I162" s="5" t="s">
        <v>52</v>
      </c>
      <c r="J162" s="19">
        <v>4</v>
      </c>
      <c r="K162" s="5" t="s">
        <v>49</v>
      </c>
      <c r="L162" s="5" t="s">
        <v>53</v>
      </c>
      <c r="M162" s="23" t="s">
        <v>704</v>
      </c>
      <c r="N162" s="25"/>
      <c r="O162" s="25"/>
      <c r="P162" s="25"/>
      <c r="Q162" s="17" t="s">
        <v>43</v>
      </c>
    </row>
    <row r="163" spans="2:17">
      <c r="B163" s="11" t="s">
        <v>55</v>
      </c>
      <c r="C163" s="5" t="str">
        <f>IF(E163="","",IF(G163&lt;&gt;"",SUBSTITUTE(SUBSTITUTE(G163," ",""),"-",""),IF(F163&lt;&gt;"",SUBSTITUTE(SUBSTITUTE(F163," ",""),"-",""),"")))</f>
        <v>RDSH4P45</v>
      </c>
      <c r="D163" s="6" t="s">
        <v>36</v>
      </c>
      <c r="E163" s="11" t="s">
        <v>47</v>
      </c>
      <c r="F163" s="11" t="s">
        <v>703</v>
      </c>
      <c r="G163" s="11" t="s">
        <v>749</v>
      </c>
      <c r="H163" s="18">
        <v>10.65</v>
      </c>
      <c r="I163" s="5" t="s">
        <v>52</v>
      </c>
      <c r="J163" s="19">
        <v>4</v>
      </c>
      <c r="K163" s="5" t="s">
        <v>49</v>
      </c>
      <c r="L163" s="5" t="s">
        <v>53</v>
      </c>
      <c r="M163" s="23" t="s">
        <v>704</v>
      </c>
      <c r="N163" s="25"/>
      <c r="O163" s="25"/>
      <c r="P163" s="25"/>
      <c r="Q163" s="17" t="s">
        <v>43</v>
      </c>
    </row>
    <row r="164" spans="2:17">
      <c r="B164" s="11" t="s">
        <v>55</v>
      </c>
      <c r="C164" s="5" t="str">
        <f>IF(E164="","",IF(G164&lt;&gt;"",SUBSTITUTE(SUBSTITUTE(G164," ",""),"-",""),IF(F164&lt;&gt;"",SUBSTITUTE(SUBSTITUTE(F164," ",""),"-",""),"")))</f>
        <v>RDSH4P46</v>
      </c>
      <c r="D164" s="6" t="s">
        <v>36</v>
      </c>
      <c r="E164" s="11" t="s">
        <v>47</v>
      </c>
      <c r="F164" s="11" t="s">
        <v>703</v>
      </c>
      <c r="G164" s="11" t="s">
        <v>750</v>
      </c>
      <c r="H164" s="18">
        <v>10.65</v>
      </c>
      <c r="I164" s="5" t="s">
        <v>52</v>
      </c>
      <c r="J164" s="19">
        <v>4</v>
      </c>
      <c r="K164" s="5" t="s">
        <v>49</v>
      </c>
      <c r="L164" s="5" t="s">
        <v>53</v>
      </c>
      <c r="M164" s="23" t="s">
        <v>704</v>
      </c>
      <c r="N164" s="25"/>
      <c r="O164" s="25"/>
      <c r="P164" s="25"/>
      <c r="Q164" s="17" t="s">
        <v>43</v>
      </c>
    </row>
    <row r="165" spans="2:17">
      <c r="B165" s="11" t="s">
        <v>55</v>
      </c>
      <c r="C165" s="5" t="str">
        <f>IF(E165="","",IF(G165&lt;&gt;"",SUBSTITUTE(SUBSTITUTE(G165," ",""),"-",""),IF(F165&lt;&gt;"",SUBSTITUTE(SUBSTITUTE(F165," ",""),"-",""),"")))</f>
        <v>RDSH4P47</v>
      </c>
      <c r="D165" s="6" t="s">
        <v>36</v>
      </c>
      <c r="E165" s="11" t="s">
        <v>47</v>
      </c>
      <c r="F165" s="11" t="s">
        <v>703</v>
      </c>
      <c r="G165" s="11" t="s">
        <v>751</v>
      </c>
      <c r="H165" s="18">
        <v>10.65</v>
      </c>
      <c r="I165" s="5" t="s">
        <v>52</v>
      </c>
      <c r="J165" s="19">
        <v>4</v>
      </c>
      <c r="K165" s="5" t="s">
        <v>49</v>
      </c>
      <c r="L165" s="5" t="s">
        <v>53</v>
      </c>
      <c r="M165" s="23" t="s">
        <v>704</v>
      </c>
      <c r="N165" s="25"/>
      <c r="O165" s="25"/>
      <c r="P165" s="25"/>
      <c r="Q165" s="17" t="s">
        <v>43</v>
      </c>
    </row>
    <row r="166" spans="2:17">
      <c r="B166" s="11" t="s">
        <v>55</v>
      </c>
      <c r="C166" s="5" t="str">
        <f>IF(E166="","",IF(G166&lt;&gt;"",SUBSTITUTE(SUBSTITUTE(G166," ",""),"-",""),IF(F166&lt;&gt;"",SUBSTITUTE(SUBSTITUTE(F166," ",""),"-",""),"")))</f>
        <v>RDSH4P48</v>
      </c>
      <c r="D166" s="6" t="s">
        <v>36</v>
      </c>
      <c r="E166" s="11" t="s">
        <v>47</v>
      </c>
      <c r="F166" s="11" t="s">
        <v>703</v>
      </c>
      <c r="G166" s="11" t="s">
        <v>752</v>
      </c>
      <c r="H166" s="18">
        <v>10.65</v>
      </c>
      <c r="I166" s="5" t="s">
        <v>52</v>
      </c>
      <c r="J166" s="19">
        <v>4</v>
      </c>
      <c r="K166" s="5" t="s">
        <v>49</v>
      </c>
      <c r="L166" s="5" t="s">
        <v>53</v>
      </c>
      <c r="M166" s="23" t="s">
        <v>704</v>
      </c>
      <c r="N166" s="25"/>
      <c r="O166" s="25"/>
      <c r="P166" s="25"/>
      <c r="Q166" s="17" t="s">
        <v>43</v>
      </c>
    </row>
    <row r="167" spans="2:17">
      <c r="B167" s="11" t="s">
        <v>55</v>
      </c>
      <c r="C167" s="5" t="str">
        <f>IF(E167="","",IF(G167&lt;&gt;"",SUBSTITUTE(SUBSTITUTE(G167," ",""),"-",""),IF(F167&lt;&gt;"",SUBSTITUTE(SUBSTITUTE(F167," ",""),"-",""),"")))</f>
        <v>RDSH4P49</v>
      </c>
      <c r="D167" s="6" t="s">
        <v>36</v>
      </c>
      <c r="E167" s="11" t="s">
        <v>47</v>
      </c>
      <c r="F167" s="11" t="s">
        <v>703</v>
      </c>
      <c r="G167" s="11" t="s">
        <v>753</v>
      </c>
      <c r="H167" s="18">
        <v>10.65</v>
      </c>
      <c r="I167" s="5" t="s">
        <v>52</v>
      </c>
      <c r="J167" s="19">
        <v>4</v>
      </c>
      <c r="K167" s="5" t="s">
        <v>49</v>
      </c>
      <c r="L167" s="5" t="s">
        <v>53</v>
      </c>
      <c r="M167" s="23" t="s">
        <v>704</v>
      </c>
      <c r="N167" s="25"/>
      <c r="O167" s="25"/>
      <c r="P167" s="25"/>
      <c r="Q167" s="17" t="s">
        <v>43</v>
      </c>
    </row>
    <row r="168" spans="2:17">
      <c r="B168" s="11" t="s">
        <v>55</v>
      </c>
      <c r="C168" s="5" t="str">
        <f>IF(E168="","",IF(G168&lt;&gt;"",SUBSTITUTE(SUBSTITUTE(G168," ",""),"-",""),IF(F168&lt;&gt;"",SUBSTITUTE(SUBSTITUTE(F168," ",""),"-",""),"")))</f>
        <v>RDSH4P50</v>
      </c>
      <c r="D168" s="6" t="s">
        <v>36</v>
      </c>
      <c r="E168" s="11" t="s">
        <v>47</v>
      </c>
      <c r="F168" s="11" t="s">
        <v>703</v>
      </c>
      <c r="G168" s="11" t="s">
        <v>754</v>
      </c>
      <c r="H168" s="18">
        <v>10.65</v>
      </c>
      <c r="I168" s="5" t="s">
        <v>52</v>
      </c>
      <c r="J168" s="19">
        <v>4</v>
      </c>
      <c r="K168" s="5" t="s">
        <v>49</v>
      </c>
      <c r="L168" s="5" t="s">
        <v>53</v>
      </c>
      <c r="M168" s="23" t="s">
        <v>704</v>
      </c>
      <c r="N168" s="25"/>
      <c r="O168" s="25"/>
      <c r="P168" s="25"/>
      <c r="Q168" s="17" t="s">
        <v>43</v>
      </c>
    </row>
    <row r="169" spans="2:17">
      <c r="B169" s="11" t="s">
        <v>55</v>
      </c>
      <c r="C169" s="5" t="str">
        <f>IF(E169="","",IF(G169&lt;&gt;"",SUBSTITUTE(SUBSTITUTE(G169," ",""),"-",""),IF(F169&lt;&gt;"",SUBSTITUTE(SUBSTITUTE(F169," ",""),"-",""),"")))</f>
        <v>RDSH4P51</v>
      </c>
      <c r="D169" s="6" t="s">
        <v>36</v>
      </c>
      <c r="E169" s="11" t="s">
        <v>47</v>
      </c>
      <c r="F169" s="11" t="s">
        <v>703</v>
      </c>
      <c r="G169" s="11" t="s">
        <v>755</v>
      </c>
      <c r="H169" s="18">
        <v>10.65</v>
      </c>
      <c r="I169" s="5" t="s">
        <v>52</v>
      </c>
      <c r="J169" s="19">
        <v>4</v>
      </c>
      <c r="K169" s="5" t="s">
        <v>49</v>
      </c>
      <c r="L169" s="5" t="s">
        <v>53</v>
      </c>
      <c r="M169" s="23" t="s">
        <v>704</v>
      </c>
      <c r="N169" s="25"/>
      <c r="O169" s="25"/>
      <c r="P169" s="25"/>
      <c r="Q169" s="17" t="s">
        <v>43</v>
      </c>
    </row>
    <row r="170" spans="2:17">
      <c r="B170" s="11" t="s">
        <v>55</v>
      </c>
      <c r="C170" s="5" t="str">
        <f>IF(E170="","",IF(G170&lt;&gt;"",SUBSTITUTE(SUBSTITUTE(G170," ",""),"-",""),IF(F170&lt;&gt;"",SUBSTITUTE(SUBSTITUTE(F170," ",""),"-",""),"")))</f>
        <v>RDSH4P52</v>
      </c>
      <c r="D170" s="6" t="s">
        <v>36</v>
      </c>
      <c r="E170" s="11" t="s">
        <v>47</v>
      </c>
      <c r="F170" s="11" t="s">
        <v>703</v>
      </c>
      <c r="G170" s="11" t="s">
        <v>756</v>
      </c>
      <c r="H170" s="18">
        <v>10.65</v>
      </c>
      <c r="I170" s="5" t="s">
        <v>52</v>
      </c>
      <c r="J170" s="19">
        <v>4</v>
      </c>
      <c r="K170" s="5" t="s">
        <v>49</v>
      </c>
      <c r="L170" s="5" t="s">
        <v>53</v>
      </c>
      <c r="M170" s="23" t="s">
        <v>704</v>
      </c>
      <c r="N170" s="25"/>
      <c r="O170" s="25"/>
      <c r="P170" s="25"/>
      <c r="Q170" s="17" t="s">
        <v>43</v>
      </c>
    </row>
    <row r="171" spans="2:17">
      <c r="B171" s="11"/>
      <c r="C171" s="5" t="str">
        <f>IF(E171="","",IF(G171&lt;&gt;"",SUBSTITUTE(SUBSTITUTE(G171," ",""),"-",""),IF(F171&lt;&gt;"",SUBSTITUTE(SUBSTITUTE(F171," ",""),"-",""),"")))</f>
        <v/>
      </c>
      <c r="D171" s="6"/>
      <c r="E171" s="11"/>
      <c r="F171" s="11"/>
      <c r="G171" s="11"/>
      <c r="H171" s="18"/>
      <c r="J171" s="19"/>
      <c r="M171" s="23"/>
      <c r="N171" s="20"/>
      <c r="O171" s="20"/>
      <c r="P171" s="20"/>
      <c r="Q171" s="17"/>
    </row>
    <row r="172" spans="2:17">
      <c r="B172" s="11"/>
      <c r="C172" s="5" t="str">
        <f>IF(E172="","",IF(G172&lt;&gt;"",SUBSTITUTE(SUBSTITUTE(G172," ",""),"-",""),IF(F172&lt;&gt;"",SUBSTITUTE(SUBSTITUTE(F172," ",""),"-",""),"")))</f>
        <v/>
      </c>
      <c r="D172" s="6"/>
      <c r="E172" s="11"/>
      <c r="F172" s="11"/>
      <c r="G172" s="11"/>
      <c r="H172" s="18"/>
      <c r="J172" s="19"/>
      <c r="M172" s="23"/>
      <c r="N172" s="20"/>
      <c r="O172" s="20"/>
      <c r="P172" s="20"/>
      <c r="Q172" s="17"/>
    </row>
    <row r="173" spans="2:17">
      <c r="B173" s="11"/>
      <c r="C173" s="5" t="str">
        <f>IF(E173="","",IF(G173&lt;&gt;"",SUBSTITUTE(SUBSTITUTE(G173," ",""),"-",""),IF(F173&lt;&gt;"",SUBSTITUTE(SUBSTITUTE(F173," ",""),"-",""),"")))</f>
        <v/>
      </c>
      <c r="D173" s="6"/>
      <c r="E173" s="11"/>
      <c r="F173" s="11"/>
      <c r="G173" s="11"/>
      <c r="H173" s="18"/>
      <c r="J173" s="19"/>
      <c r="M173" s="23"/>
      <c r="N173" s="20"/>
      <c r="O173" s="20"/>
      <c r="P173" s="20"/>
      <c r="Q173" s="17"/>
    </row>
    <row r="174" spans="2:17">
      <c r="B174" s="11" t="s">
        <v>50</v>
      </c>
      <c r="C174" s="5" t="str">
        <f>IF(E174="","",IF(G174&lt;&gt;"",SUBSTITUTE(SUBSTITUTE(G174," ",""),"-",""),IF(F174&lt;&gt;"",SUBSTITUTE(SUBSTITUTE(F174," ",""),"-",""),"")))</f>
        <v>RDSH01</v>
      </c>
      <c r="D174" s="6" t="s">
        <v>36</v>
      </c>
      <c r="E174" s="11" t="s">
        <v>47</v>
      </c>
      <c r="F174" s="11" t="s">
        <v>757</v>
      </c>
      <c r="G174" s="11"/>
      <c r="H174" s="18">
        <v>292.24</v>
      </c>
      <c r="I174" s="5" t="s">
        <v>52</v>
      </c>
      <c r="J174" s="19">
        <f>4*26</f>
        <v>104</v>
      </c>
      <c r="K174" s="5" t="s">
        <v>49</v>
      </c>
      <c r="L174" s="5" t="s">
        <v>53</v>
      </c>
      <c r="M174" s="23" t="s">
        <v>758</v>
      </c>
      <c r="N174" s="25">
        <v>5800</v>
      </c>
      <c r="O174" s="25">
        <v>15</v>
      </c>
      <c r="P174" s="25">
        <v>1</v>
      </c>
      <c r="Q174" s="17" t="s">
        <v>43</v>
      </c>
    </row>
    <row r="175" spans="2:17">
      <c r="B175" s="11" t="s">
        <v>55</v>
      </c>
      <c r="C175" s="5" t="str">
        <f>IF(E175="","",IF(G175&lt;&gt;"",SUBSTITUTE(SUBSTITUTE(G175," ",""),"-",""),IF(F175&lt;&gt;"",SUBSTITUTE(SUBSTITUTE(F175," ",""),"-",""),"")))</f>
        <v>RDSH1P01</v>
      </c>
      <c r="D175" s="6" t="s">
        <v>36</v>
      </c>
      <c r="E175" s="11" t="s">
        <v>47</v>
      </c>
      <c r="F175" s="11" t="s">
        <v>757</v>
      </c>
      <c r="G175" s="11" t="s">
        <v>759</v>
      </c>
      <c r="H175" s="18">
        <v>11.24</v>
      </c>
      <c r="I175" s="5" t="s">
        <v>52</v>
      </c>
      <c r="J175" s="19">
        <v>4</v>
      </c>
      <c r="K175" s="5" t="s">
        <v>49</v>
      </c>
      <c r="L175" s="5" t="s">
        <v>53</v>
      </c>
      <c r="M175" s="23" t="s">
        <v>758</v>
      </c>
      <c r="N175" s="25"/>
      <c r="O175" s="25"/>
      <c r="P175" s="25"/>
      <c r="Q175" s="17" t="s">
        <v>43</v>
      </c>
    </row>
    <row r="176" spans="2:17">
      <c r="B176" s="11" t="s">
        <v>55</v>
      </c>
      <c r="C176" s="5" t="str">
        <f>IF(E176="","",IF(G176&lt;&gt;"",SUBSTITUTE(SUBSTITUTE(G176," ",""),"-",""),IF(F176&lt;&gt;"",SUBSTITUTE(SUBSTITUTE(F176," ",""),"-",""),"")))</f>
        <v>RDSH1P02</v>
      </c>
      <c r="D176" s="6" t="s">
        <v>36</v>
      </c>
      <c r="E176" s="11" t="s">
        <v>47</v>
      </c>
      <c r="F176" s="11" t="s">
        <v>757</v>
      </c>
      <c r="G176" s="11" t="s">
        <v>760</v>
      </c>
      <c r="H176" s="18">
        <v>11.24</v>
      </c>
      <c r="I176" s="5" t="s">
        <v>52</v>
      </c>
      <c r="J176" s="19">
        <v>4</v>
      </c>
      <c r="K176" s="5" t="s">
        <v>49</v>
      </c>
      <c r="L176" s="5" t="s">
        <v>53</v>
      </c>
      <c r="M176" s="23" t="s">
        <v>758</v>
      </c>
      <c r="N176" s="25"/>
      <c r="O176" s="25"/>
      <c r="P176" s="25"/>
      <c r="Q176" s="17" t="s">
        <v>43</v>
      </c>
    </row>
    <row r="177" spans="2:17">
      <c r="B177" s="11" t="s">
        <v>55</v>
      </c>
      <c r="C177" s="5" t="str">
        <f>IF(E177="","",IF(G177&lt;&gt;"",SUBSTITUTE(SUBSTITUTE(G177," ",""),"-",""),IF(F177&lt;&gt;"",SUBSTITUTE(SUBSTITUTE(F177," ",""),"-",""),"")))</f>
        <v>RDSH1P03</v>
      </c>
      <c r="D177" s="6" t="s">
        <v>36</v>
      </c>
      <c r="E177" s="11" t="s">
        <v>47</v>
      </c>
      <c r="F177" s="11" t="s">
        <v>757</v>
      </c>
      <c r="G177" s="11" t="s">
        <v>761</v>
      </c>
      <c r="H177" s="18">
        <v>11.24</v>
      </c>
      <c r="I177" s="5" t="s">
        <v>52</v>
      </c>
      <c r="J177" s="19">
        <v>4</v>
      </c>
      <c r="K177" s="5" t="s">
        <v>49</v>
      </c>
      <c r="L177" s="5" t="s">
        <v>53</v>
      </c>
      <c r="M177" s="23" t="s">
        <v>758</v>
      </c>
      <c r="N177" s="25"/>
      <c r="O177" s="25"/>
      <c r="P177" s="25"/>
      <c r="Q177" s="17" t="s">
        <v>43</v>
      </c>
    </row>
    <row r="178" spans="2:17">
      <c r="B178" s="11" t="s">
        <v>55</v>
      </c>
      <c r="C178" s="5" t="str">
        <f>IF(E178="","",IF(G178&lt;&gt;"",SUBSTITUTE(SUBSTITUTE(G178," ",""),"-",""),IF(F178&lt;&gt;"",SUBSTITUTE(SUBSTITUTE(F178," ",""),"-",""),"")))</f>
        <v>RDSH1P04</v>
      </c>
      <c r="D178" s="6" t="s">
        <v>36</v>
      </c>
      <c r="E178" s="11" t="s">
        <v>47</v>
      </c>
      <c r="F178" s="11" t="s">
        <v>757</v>
      </c>
      <c r="G178" s="11" t="s">
        <v>762</v>
      </c>
      <c r="H178" s="18">
        <v>11.24</v>
      </c>
      <c r="I178" s="5" t="s">
        <v>52</v>
      </c>
      <c r="J178" s="19">
        <v>4</v>
      </c>
      <c r="K178" s="5" t="s">
        <v>49</v>
      </c>
      <c r="L178" s="5" t="s">
        <v>53</v>
      </c>
      <c r="M178" s="23" t="s">
        <v>758</v>
      </c>
      <c r="N178" s="25"/>
      <c r="O178" s="25"/>
      <c r="P178" s="25"/>
      <c r="Q178" s="17" t="s">
        <v>43</v>
      </c>
    </row>
    <row r="179" spans="2:17">
      <c r="B179" s="11" t="s">
        <v>55</v>
      </c>
      <c r="C179" s="5" t="str">
        <f>IF(E179="","",IF(G179&lt;&gt;"",SUBSTITUTE(SUBSTITUTE(G179," ",""),"-",""),IF(F179&lt;&gt;"",SUBSTITUTE(SUBSTITUTE(F179," ",""),"-",""),"")))</f>
        <v>RDSH1P05</v>
      </c>
      <c r="D179" s="6" t="s">
        <v>36</v>
      </c>
      <c r="E179" s="11" t="s">
        <v>47</v>
      </c>
      <c r="F179" s="11" t="s">
        <v>757</v>
      </c>
      <c r="G179" s="11" t="s">
        <v>763</v>
      </c>
      <c r="H179" s="18">
        <v>11.24</v>
      </c>
      <c r="I179" s="5" t="s">
        <v>52</v>
      </c>
      <c r="J179" s="19">
        <v>4</v>
      </c>
      <c r="K179" s="5" t="s">
        <v>49</v>
      </c>
      <c r="L179" s="5" t="s">
        <v>53</v>
      </c>
      <c r="M179" s="23" t="s">
        <v>758</v>
      </c>
      <c r="N179" s="25"/>
      <c r="O179" s="25"/>
      <c r="P179" s="25"/>
      <c r="Q179" s="17" t="s">
        <v>43</v>
      </c>
    </row>
    <row r="180" spans="2:17">
      <c r="B180" s="11" t="s">
        <v>55</v>
      </c>
      <c r="C180" s="5" t="str">
        <f>IF(E180="","",IF(G180&lt;&gt;"",SUBSTITUTE(SUBSTITUTE(G180," ",""),"-",""),IF(F180&lt;&gt;"",SUBSTITUTE(SUBSTITUTE(F180," ",""),"-",""),"")))</f>
        <v>RDSH1P06</v>
      </c>
      <c r="D180" s="6" t="s">
        <v>36</v>
      </c>
      <c r="E180" s="11" t="s">
        <v>47</v>
      </c>
      <c r="F180" s="11" t="s">
        <v>757</v>
      </c>
      <c r="G180" s="11" t="s">
        <v>764</v>
      </c>
      <c r="H180" s="18">
        <v>11.24</v>
      </c>
      <c r="I180" s="5" t="s">
        <v>52</v>
      </c>
      <c r="J180" s="19">
        <v>4</v>
      </c>
      <c r="K180" s="5" t="s">
        <v>49</v>
      </c>
      <c r="L180" s="5" t="s">
        <v>53</v>
      </c>
      <c r="M180" s="23" t="s">
        <v>758</v>
      </c>
      <c r="N180" s="25"/>
      <c r="O180" s="25"/>
      <c r="P180" s="25"/>
      <c r="Q180" s="17" t="s">
        <v>43</v>
      </c>
    </row>
    <row r="181" spans="2:17">
      <c r="B181" s="11" t="s">
        <v>55</v>
      </c>
      <c r="C181" s="5" t="str">
        <f>IF(E181="","",IF(G181&lt;&gt;"",SUBSTITUTE(SUBSTITUTE(G181," ",""),"-",""),IF(F181&lt;&gt;"",SUBSTITUTE(SUBSTITUTE(F181," ",""),"-",""),"")))</f>
        <v>RDSH1P07</v>
      </c>
      <c r="D181" s="6" t="s">
        <v>36</v>
      </c>
      <c r="E181" s="11" t="s">
        <v>47</v>
      </c>
      <c r="F181" s="11" t="s">
        <v>757</v>
      </c>
      <c r="G181" s="11" t="s">
        <v>765</v>
      </c>
      <c r="H181" s="18">
        <v>11.24</v>
      </c>
      <c r="I181" s="5" t="s">
        <v>52</v>
      </c>
      <c r="J181" s="19">
        <v>4</v>
      </c>
      <c r="K181" s="5" t="s">
        <v>49</v>
      </c>
      <c r="L181" s="5" t="s">
        <v>53</v>
      </c>
      <c r="M181" s="23" t="s">
        <v>758</v>
      </c>
      <c r="N181" s="25"/>
      <c r="O181" s="25"/>
      <c r="P181" s="25"/>
      <c r="Q181" s="17" t="s">
        <v>43</v>
      </c>
    </row>
    <row r="182" spans="2:17">
      <c r="B182" s="11" t="s">
        <v>55</v>
      </c>
      <c r="C182" s="5" t="str">
        <f>IF(E182="","",IF(G182&lt;&gt;"",SUBSTITUTE(SUBSTITUTE(G182," ",""),"-",""),IF(F182&lt;&gt;"",SUBSTITUTE(SUBSTITUTE(F182," ",""),"-",""),"")))</f>
        <v>RDSH1P08</v>
      </c>
      <c r="D182" s="6" t="s">
        <v>36</v>
      </c>
      <c r="E182" s="11" t="s">
        <v>47</v>
      </c>
      <c r="F182" s="11" t="s">
        <v>757</v>
      </c>
      <c r="G182" s="11" t="s">
        <v>766</v>
      </c>
      <c r="H182" s="18">
        <v>11.24</v>
      </c>
      <c r="I182" s="5" t="s">
        <v>52</v>
      </c>
      <c r="J182" s="19">
        <v>4</v>
      </c>
      <c r="K182" s="5" t="s">
        <v>49</v>
      </c>
      <c r="L182" s="5" t="s">
        <v>53</v>
      </c>
      <c r="M182" s="23" t="s">
        <v>758</v>
      </c>
      <c r="N182" s="25"/>
      <c r="O182" s="25"/>
      <c r="P182" s="25"/>
      <c r="Q182" s="17" t="s">
        <v>43</v>
      </c>
    </row>
    <row r="183" spans="2:17">
      <c r="B183" s="11" t="s">
        <v>55</v>
      </c>
      <c r="C183" s="5" t="str">
        <f>IF(E183="","",IF(G183&lt;&gt;"",SUBSTITUTE(SUBSTITUTE(G183," ",""),"-",""),IF(F183&lt;&gt;"",SUBSTITUTE(SUBSTITUTE(F183," ",""),"-",""),"")))</f>
        <v>RDSH1P09</v>
      </c>
      <c r="D183" s="6" t="s">
        <v>36</v>
      </c>
      <c r="E183" s="11" t="s">
        <v>47</v>
      </c>
      <c r="F183" s="11" t="s">
        <v>757</v>
      </c>
      <c r="G183" s="11" t="s">
        <v>767</v>
      </c>
      <c r="H183" s="18">
        <v>11.24</v>
      </c>
      <c r="I183" s="5" t="s">
        <v>52</v>
      </c>
      <c r="J183" s="19">
        <v>4</v>
      </c>
      <c r="K183" s="5" t="s">
        <v>49</v>
      </c>
      <c r="L183" s="5" t="s">
        <v>53</v>
      </c>
      <c r="M183" s="23" t="s">
        <v>758</v>
      </c>
      <c r="N183" s="25"/>
      <c r="O183" s="25"/>
      <c r="P183" s="25"/>
      <c r="Q183" s="17" t="s">
        <v>43</v>
      </c>
    </row>
    <row r="184" spans="2:17">
      <c r="B184" s="11" t="s">
        <v>55</v>
      </c>
      <c r="C184" s="5" t="str">
        <f>IF(E184="","",IF(G184&lt;&gt;"",SUBSTITUTE(SUBSTITUTE(G184," ",""),"-",""),IF(F184&lt;&gt;"",SUBSTITUTE(SUBSTITUTE(F184," ",""),"-",""),"")))</f>
        <v>RDSH1P10</v>
      </c>
      <c r="D184" s="6" t="s">
        <v>36</v>
      </c>
      <c r="E184" s="11" t="s">
        <v>47</v>
      </c>
      <c r="F184" s="11" t="s">
        <v>757</v>
      </c>
      <c r="G184" s="11" t="s">
        <v>768</v>
      </c>
      <c r="H184" s="18">
        <v>11.24</v>
      </c>
      <c r="I184" s="5" t="s">
        <v>52</v>
      </c>
      <c r="J184" s="19">
        <v>4</v>
      </c>
      <c r="K184" s="5" t="s">
        <v>49</v>
      </c>
      <c r="L184" s="5" t="s">
        <v>53</v>
      </c>
      <c r="M184" s="23" t="s">
        <v>758</v>
      </c>
      <c r="N184" s="25"/>
      <c r="O184" s="25"/>
      <c r="P184" s="25"/>
      <c r="Q184" s="17" t="s">
        <v>43</v>
      </c>
    </row>
    <row r="185" spans="2:17">
      <c r="B185" s="11" t="s">
        <v>55</v>
      </c>
      <c r="C185" s="5" t="str">
        <f>IF(E185="","",IF(G185&lt;&gt;"",SUBSTITUTE(SUBSTITUTE(G185," ",""),"-",""),IF(F185&lt;&gt;"",SUBSTITUTE(SUBSTITUTE(F185," ",""),"-",""),"")))</f>
        <v>RDSH1P11</v>
      </c>
      <c r="D185" s="6" t="s">
        <v>36</v>
      </c>
      <c r="E185" s="11" t="s">
        <v>47</v>
      </c>
      <c r="F185" s="11" t="s">
        <v>757</v>
      </c>
      <c r="G185" s="11" t="s">
        <v>769</v>
      </c>
      <c r="H185" s="18">
        <v>11.24</v>
      </c>
      <c r="I185" s="5" t="s">
        <v>52</v>
      </c>
      <c r="J185" s="19">
        <v>4</v>
      </c>
      <c r="K185" s="5" t="s">
        <v>49</v>
      </c>
      <c r="L185" s="5" t="s">
        <v>53</v>
      </c>
      <c r="M185" s="23" t="s">
        <v>758</v>
      </c>
      <c r="N185" s="25"/>
      <c r="O185" s="25"/>
      <c r="P185" s="25"/>
      <c r="Q185" s="17" t="s">
        <v>43</v>
      </c>
    </row>
    <row r="186" spans="2:17">
      <c r="B186" s="11" t="s">
        <v>55</v>
      </c>
      <c r="C186" s="5" t="str">
        <f>IF(E186="","",IF(G186&lt;&gt;"",SUBSTITUTE(SUBSTITUTE(G186," ",""),"-",""),IF(F186&lt;&gt;"",SUBSTITUTE(SUBSTITUTE(F186," ",""),"-",""),"")))</f>
        <v>RDSH1P12</v>
      </c>
      <c r="D186" s="6" t="s">
        <v>36</v>
      </c>
      <c r="E186" s="11" t="s">
        <v>47</v>
      </c>
      <c r="F186" s="11" t="s">
        <v>757</v>
      </c>
      <c r="G186" s="11" t="s">
        <v>770</v>
      </c>
      <c r="H186" s="18">
        <v>11.24</v>
      </c>
      <c r="I186" s="5" t="s">
        <v>52</v>
      </c>
      <c r="J186" s="19">
        <v>4</v>
      </c>
      <c r="K186" s="5" t="s">
        <v>49</v>
      </c>
      <c r="L186" s="5" t="s">
        <v>53</v>
      </c>
      <c r="M186" s="23" t="s">
        <v>758</v>
      </c>
      <c r="N186" s="25"/>
      <c r="O186" s="25"/>
      <c r="P186" s="25"/>
      <c r="Q186" s="17" t="s">
        <v>43</v>
      </c>
    </row>
    <row r="187" spans="2:17">
      <c r="B187" s="11" t="s">
        <v>55</v>
      </c>
      <c r="C187" s="5" t="str">
        <f>IF(E187="","",IF(G187&lt;&gt;"",SUBSTITUTE(SUBSTITUTE(G187," ",""),"-",""),IF(F187&lt;&gt;"",SUBSTITUTE(SUBSTITUTE(F187," ",""),"-",""),"")))</f>
        <v>RDSH1P13</v>
      </c>
      <c r="D187" s="6" t="s">
        <v>36</v>
      </c>
      <c r="E187" s="11" t="s">
        <v>47</v>
      </c>
      <c r="F187" s="11" t="s">
        <v>757</v>
      </c>
      <c r="G187" s="11" t="s">
        <v>771</v>
      </c>
      <c r="H187" s="18">
        <v>11.24</v>
      </c>
      <c r="I187" s="5" t="s">
        <v>52</v>
      </c>
      <c r="J187" s="19">
        <v>4</v>
      </c>
      <c r="K187" s="5" t="s">
        <v>49</v>
      </c>
      <c r="L187" s="5" t="s">
        <v>53</v>
      </c>
      <c r="M187" s="23" t="s">
        <v>758</v>
      </c>
      <c r="N187" s="25"/>
      <c r="O187" s="25"/>
      <c r="P187" s="25"/>
      <c r="Q187" s="17" t="s">
        <v>43</v>
      </c>
    </row>
    <row r="188" spans="2:17">
      <c r="B188" s="11" t="s">
        <v>55</v>
      </c>
      <c r="C188" s="5" t="str">
        <f>IF(E188="","",IF(G188&lt;&gt;"",SUBSTITUTE(SUBSTITUTE(G188," ",""),"-",""),IF(F188&lt;&gt;"",SUBSTITUTE(SUBSTITUTE(F188," ",""),"-",""),"")))</f>
        <v>RDSH1P14</v>
      </c>
      <c r="D188" s="6" t="s">
        <v>36</v>
      </c>
      <c r="E188" s="11" t="s">
        <v>47</v>
      </c>
      <c r="F188" s="11" t="s">
        <v>757</v>
      </c>
      <c r="G188" s="11" t="s">
        <v>772</v>
      </c>
      <c r="H188" s="18">
        <v>11.24</v>
      </c>
      <c r="I188" s="5" t="s">
        <v>52</v>
      </c>
      <c r="J188" s="19">
        <v>4</v>
      </c>
      <c r="K188" s="5" t="s">
        <v>49</v>
      </c>
      <c r="L188" s="5" t="s">
        <v>53</v>
      </c>
      <c r="M188" s="23" t="s">
        <v>758</v>
      </c>
      <c r="N188" s="25"/>
      <c r="O188" s="25"/>
      <c r="P188" s="25"/>
      <c r="Q188" s="17" t="s">
        <v>43</v>
      </c>
    </row>
    <row r="189" spans="2:17">
      <c r="B189" s="11" t="s">
        <v>55</v>
      </c>
      <c r="C189" s="5" t="str">
        <f>IF(E189="","",IF(G189&lt;&gt;"",SUBSTITUTE(SUBSTITUTE(G189," ",""),"-",""),IF(F189&lt;&gt;"",SUBSTITUTE(SUBSTITUTE(F189," ",""),"-",""),"")))</f>
        <v>RDSH1P15</v>
      </c>
      <c r="D189" s="6" t="s">
        <v>36</v>
      </c>
      <c r="E189" s="11" t="s">
        <v>47</v>
      </c>
      <c r="F189" s="11" t="s">
        <v>757</v>
      </c>
      <c r="G189" s="11" t="s">
        <v>773</v>
      </c>
      <c r="H189" s="18">
        <v>11.24</v>
      </c>
      <c r="I189" s="5" t="s">
        <v>52</v>
      </c>
      <c r="J189" s="19">
        <v>4</v>
      </c>
      <c r="K189" s="5" t="s">
        <v>49</v>
      </c>
      <c r="L189" s="5" t="s">
        <v>53</v>
      </c>
      <c r="M189" s="23" t="s">
        <v>758</v>
      </c>
      <c r="N189" s="25"/>
      <c r="O189" s="25"/>
      <c r="P189" s="25"/>
      <c r="Q189" s="17" t="s">
        <v>43</v>
      </c>
    </row>
    <row r="190" spans="2:17">
      <c r="B190" s="11" t="s">
        <v>55</v>
      </c>
      <c r="C190" s="5" t="str">
        <f>IF(E190="","",IF(G190&lt;&gt;"",SUBSTITUTE(SUBSTITUTE(G190," ",""),"-",""),IF(F190&lt;&gt;"",SUBSTITUTE(SUBSTITUTE(F190," ",""),"-",""),"")))</f>
        <v>RDSH1P16</v>
      </c>
      <c r="D190" s="6" t="s">
        <v>36</v>
      </c>
      <c r="E190" s="11" t="s">
        <v>47</v>
      </c>
      <c r="F190" s="11" t="s">
        <v>757</v>
      </c>
      <c r="G190" s="11" t="s">
        <v>774</v>
      </c>
      <c r="H190" s="18">
        <v>11.24</v>
      </c>
      <c r="I190" s="5" t="s">
        <v>52</v>
      </c>
      <c r="J190" s="19">
        <v>4</v>
      </c>
      <c r="K190" s="5" t="s">
        <v>49</v>
      </c>
      <c r="L190" s="5" t="s">
        <v>53</v>
      </c>
      <c r="M190" s="23" t="s">
        <v>758</v>
      </c>
      <c r="N190" s="25"/>
      <c r="O190" s="25"/>
      <c r="P190" s="25"/>
      <c r="Q190" s="17" t="s">
        <v>43</v>
      </c>
    </row>
    <row r="191" spans="2:17">
      <c r="B191" s="11" t="s">
        <v>55</v>
      </c>
      <c r="C191" s="5" t="str">
        <f>IF(E191="","",IF(G191&lt;&gt;"",SUBSTITUTE(SUBSTITUTE(G191," ",""),"-",""),IF(F191&lt;&gt;"",SUBSTITUTE(SUBSTITUTE(F191," ",""),"-",""),"")))</f>
        <v>RDSH1P17</v>
      </c>
      <c r="D191" s="6" t="s">
        <v>36</v>
      </c>
      <c r="E191" s="11" t="s">
        <v>47</v>
      </c>
      <c r="F191" s="11" t="s">
        <v>757</v>
      </c>
      <c r="G191" s="11" t="s">
        <v>775</v>
      </c>
      <c r="H191" s="18">
        <v>11.24</v>
      </c>
      <c r="I191" s="5" t="s">
        <v>52</v>
      </c>
      <c r="J191" s="19">
        <v>4</v>
      </c>
      <c r="K191" s="5" t="s">
        <v>49</v>
      </c>
      <c r="L191" s="5" t="s">
        <v>53</v>
      </c>
      <c r="M191" s="23" t="s">
        <v>758</v>
      </c>
      <c r="N191" s="25"/>
      <c r="O191" s="25"/>
      <c r="P191" s="25"/>
      <c r="Q191" s="17" t="s">
        <v>43</v>
      </c>
    </row>
    <row r="192" spans="2:17">
      <c r="B192" s="11" t="s">
        <v>55</v>
      </c>
      <c r="C192" s="5" t="str">
        <f>IF(E192="","",IF(G192&lt;&gt;"",SUBSTITUTE(SUBSTITUTE(G192," ",""),"-",""),IF(F192&lt;&gt;"",SUBSTITUTE(SUBSTITUTE(F192," ",""),"-",""),"")))</f>
        <v>RDSH1P18</v>
      </c>
      <c r="D192" s="6" t="s">
        <v>36</v>
      </c>
      <c r="E192" s="11" t="s">
        <v>47</v>
      </c>
      <c r="F192" s="11" t="s">
        <v>757</v>
      </c>
      <c r="G192" s="11" t="s">
        <v>776</v>
      </c>
      <c r="H192" s="18">
        <v>11.24</v>
      </c>
      <c r="I192" s="5" t="s">
        <v>52</v>
      </c>
      <c r="J192" s="19">
        <v>4</v>
      </c>
      <c r="K192" s="5" t="s">
        <v>49</v>
      </c>
      <c r="L192" s="5" t="s">
        <v>53</v>
      </c>
      <c r="M192" s="23" t="s">
        <v>758</v>
      </c>
      <c r="N192" s="25"/>
      <c r="O192" s="25"/>
      <c r="P192" s="25"/>
      <c r="Q192" s="17" t="s">
        <v>43</v>
      </c>
    </row>
    <row r="193" spans="2:17">
      <c r="B193" s="11" t="s">
        <v>55</v>
      </c>
      <c r="C193" s="5" t="str">
        <f>IF(E193="","",IF(G193&lt;&gt;"",SUBSTITUTE(SUBSTITUTE(G193," ",""),"-",""),IF(F193&lt;&gt;"",SUBSTITUTE(SUBSTITUTE(F193," ",""),"-",""),"")))</f>
        <v>RDSH1P19</v>
      </c>
      <c r="D193" s="6" t="s">
        <v>36</v>
      </c>
      <c r="E193" s="11" t="s">
        <v>47</v>
      </c>
      <c r="F193" s="11" t="s">
        <v>757</v>
      </c>
      <c r="G193" s="11" t="s">
        <v>777</v>
      </c>
      <c r="H193" s="18">
        <v>11.24</v>
      </c>
      <c r="I193" s="5" t="s">
        <v>52</v>
      </c>
      <c r="J193" s="19">
        <v>4</v>
      </c>
      <c r="K193" s="5" t="s">
        <v>49</v>
      </c>
      <c r="L193" s="5" t="s">
        <v>53</v>
      </c>
      <c r="M193" s="23" t="s">
        <v>758</v>
      </c>
      <c r="N193" s="25"/>
      <c r="O193" s="25"/>
      <c r="P193" s="25"/>
      <c r="Q193" s="17" t="s">
        <v>43</v>
      </c>
    </row>
    <row r="194" spans="2:17">
      <c r="B194" s="11" t="s">
        <v>55</v>
      </c>
      <c r="C194" s="5" t="str">
        <f>IF(E194="","",IF(G194&lt;&gt;"",SUBSTITUTE(SUBSTITUTE(G194," ",""),"-",""),IF(F194&lt;&gt;"",SUBSTITUTE(SUBSTITUTE(F194," ",""),"-",""),"")))</f>
        <v>RDSH1P20</v>
      </c>
      <c r="D194" s="6" t="s">
        <v>36</v>
      </c>
      <c r="E194" s="11" t="s">
        <v>47</v>
      </c>
      <c r="F194" s="11" t="s">
        <v>757</v>
      </c>
      <c r="G194" s="11" t="s">
        <v>778</v>
      </c>
      <c r="H194" s="18">
        <v>11.24</v>
      </c>
      <c r="I194" s="5" t="s">
        <v>52</v>
      </c>
      <c r="J194" s="19">
        <v>4</v>
      </c>
      <c r="K194" s="5" t="s">
        <v>49</v>
      </c>
      <c r="L194" s="5" t="s">
        <v>53</v>
      </c>
      <c r="M194" s="23" t="s">
        <v>758</v>
      </c>
      <c r="N194" s="25"/>
      <c r="O194" s="25"/>
      <c r="P194" s="25"/>
      <c r="Q194" s="17" t="s">
        <v>43</v>
      </c>
    </row>
    <row r="195" spans="2:17">
      <c r="B195" s="11" t="s">
        <v>55</v>
      </c>
      <c r="C195" s="5" t="str">
        <f>IF(E195="","",IF(G195&lt;&gt;"",SUBSTITUTE(SUBSTITUTE(G195," ",""),"-",""),IF(F195&lt;&gt;"",SUBSTITUTE(SUBSTITUTE(F195," ",""),"-",""),"")))</f>
        <v>RDSH1P21</v>
      </c>
      <c r="D195" s="6" t="s">
        <v>36</v>
      </c>
      <c r="E195" s="11" t="s">
        <v>47</v>
      </c>
      <c r="F195" s="11" t="s">
        <v>757</v>
      </c>
      <c r="G195" s="11" t="s">
        <v>779</v>
      </c>
      <c r="H195" s="18">
        <v>11.24</v>
      </c>
      <c r="I195" s="5" t="s">
        <v>52</v>
      </c>
      <c r="J195" s="19">
        <v>4</v>
      </c>
      <c r="K195" s="5" t="s">
        <v>49</v>
      </c>
      <c r="L195" s="5" t="s">
        <v>53</v>
      </c>
      <c r="M195" s="23" t="s">
        <v>758</v>
      </c>
      <c r="N195" s="25"/>
      <c r="O195" s="25"/>
      <c r="P195" s="25"/>
      <c r="Q195" s="17" t="s">
        <v>43</v>
      </c>
    </row>
    <row r="196" spans="2:17">
      <c r="B196" s="11" t="s">
        <v>55</v>
      </c>
      <c r="C196" s="5" t="str">
        <f>IF(E196="","",IF(G196&lt;&gt;"",SUBSTITUTE(SUBSTITUTE(G196," ",""),"-",""),IF(F196&lt;&gt;"",SUBSTITUTE(SUBSTITUTE(F196," ",""),"-",""),"")))</f>
        <v>RDSH1P22</v>
      </c>
      <c r="D196" s="6" t="s">
        <v>36</v>
      </c>
      <c r="E196" s="11" t="s">
        <v>47</v>
      </c>
      <c r="F196" s="11" t="s">
        <v>757</v>
      </c>
      <c r="G196" s="11" t="s">
        <v>780</v>
      </c>
      <c r="H196" s="18">
        <v>11.24</v>
      </c>
      <c r="I196" s="5" t="s">
        <v>52</v>
      </c>
      <c r="J196" s="19">
        <v>4</v>
      </c>
      <c r="K196" s="5" t="s">
        <v>49</v>
      </c>
      <c r="L196" s="5" t="s">
        <v>53</v>
      </c>
      <c r="M196" s="23" t="s">
        <v>758</v>
      </c>
      <c r="N196" s="25"/>
      <c r="O196" s="25"/>
      <c r="P196" s="25"/>
      <c r="Q196" s="17" t="s">
        <v>43</v>
      </c>
    </row>
    <row r="197" spans="2:17">
      <c r="B197" s="11" t="s">
        <v>55</v>
      </c>
      <c r="C197" s="5" t="str">
        <f>IF(E197="","",IF(G197&lt;&gt;"",SUBSTITUTE(SUBSTITUTE(G197," ",""),"-",""),IF(F197&lt;&gt;"",SUBSTITUTE(SUBSTITUTE(F197," ",""),"-",""),"")))</f>
        <v>RDSH1P23</v>
      </c>
      <c r="D197" s="6" t="s">
        <v>36</v>
      </c>
      <c r="E197" s="11" t="s">
        <v>47</v>
      </c>
      <c r="F197" s="11" t="s">
        <v>757</v>
      </c>
      <c r="G197" s="11" t="s">
        <v>781</v>
      </c>
      <c r="H197" s="18">
        <v>11.24</v>
      </c>
      <c r="I197" s="5" t="s">
        <v>52</v>
      </c>
      <c r="J197" s="19">
        <v>4</v>
      </c>
      <c r="K197" s="5" t="s">
        <v>49</v>
      </c>
      <c r="L197" s="5" t="s">
        <v>53</v>
      </c>
      <c r="M197" s="23" t="s">
        <v>758</v>
      </c>
      <c r="N197" s="25"/>
      <c r="O197" s="25"/>
      <c r="P197" s="25"/>
      <c r="Q197" s="17" t="s">
        <v>43</v>
      </c>
    </row>
    <row r="198" spans="2:17">
      <c r="B198" s="11" t="s">
        <v>55</v>
      </c>
      <c r="C198" s="5" t="str">
        <f>IF(E198="","",IF(G198&lt;&gt;"",SUBSTITUTE(SUBSTITUTE(G198," ",""),"-",""),IF(F198&lt;&gt;"",SUBSTITUTE(SUBSTITUTE(F198," ",""),"-",""),"")))</f>
        <v>RDSH1P24</v>
      </c>
      <c r="D198" s="6" t="s">
        <v>36</v>
      </c>
      <c r="E198" s="11" t="s">
        <v>47</v>
      </c>
      <c r="F198" s="11" t="s">
        <v>757</v>
      </c>
      <c r="G198" s="11" t="s">
        <v>782</v>
      </c>
      <c r="H198" s="18">
        <v>11.24</v>
      </c>
      <c r="I198" s="5" t="s">
        <v>52</v>
      </c>
      <c r="J198" s="19">
        <v>4</v>
      </c>
      <c r="K198" s="5" t="s">
        <v>49</v>
      </c>
      <c r="L198" s="5" t="s">
        <v>53</v>
      </c>
      <c r="M198" s="23" t="s">
        <v>758</v>
      </c>
      <c r="N198" s="25"/>
      <c r="O198" s="25"/>
      <c r="P198" s="25"/>
      <c r="Q198" s="17" t="s">
        <v>43</v>
      </c>
    </row>
    <row r="199" spans="2:17">
      <c r="B199" s="11" t="s">
        <v>55</v>
      </c>
      <c r="C199" s="5" t="str">
        <f>IF(E199="","",IF(G199&lt;&gt;"",SUBSTITUTE(SUBSTITUTE(G199," ",""),"-",""),IF(F199&lt;&gt;"",SUBSTITUTE(SUBSTITUTE(F199," ",""),"-",""),"")))</f>
        <v>RDSH1P25</v>
      </c>
      <c r="D199" s="6" t="s">
        <v>36</v>
      </c>
      <c r="E199" s="11" t="s">
        <v>47</v>
      </c>
      <c r="F199" s="11" t="s">
        <v>757</v>
      </c>
      <c r="G199" s="11" t="s">
        <v>783</v>
      </c>
      <c r="H199" s="18">
        <v>11.24</v>
      </c>
      <c r="I199" s="5" t="s">
        <v>52</v>
      </c>
      <c r="J199" s="19">
        <v>4</v>
      </c>
      <c r="K199" s="5" t="s">
        <v>49</v>
      </c>
      <c r="L199" s="5" t="s">
        <v>53</v>
      </c>
      <c r="M199" s="23" t="s">
        <v>758</v>
      </c>
      <c r="N199" s="25"/>
      <c r="O199" s="25"/>
      <c r="P199" s="25"/>
      <c r="Q199" s="17" t="s">
        <v>43</v>
      </c>
    </row>
    <row r="200" spans="2:17">
      <c r="B200" s="11" t="s">
        <v>55</v>
      </c>
      <c r="C200" s="5" t="str">
        <f>IF(E200="","",IF(G200&lt;&gt;"",SUBSTITUTE(SUBSTITUTE(G200," ",""),"-",""),IF(F200&lt;&gt;"",SUBSTITUTE(SUBSTITUTE(F200," ",""),"-",""),"")))</f>
        <v>RDSH1P26</v>
      </c>
      <c r="D200" s="6" t="s">
        <v>36</v>
      </c>
      <c r="E200" s="11" t="s">
        <v>47</v>
      </c>
      <c r="F200" s="11" t="s">
        <v>757</v>
      </c>
      <c r="G200" s="11" t="s">
        <v>784</v>
      </c>
      <c r="H200" s="18">
        <v>11.24</v>
      </c>
      <c r="I200" s="5" t="s">
        <v>52</v>
      </c>
      <c r="J200" s="19">
        <v>4</v>
      </c>
      <c r="K200" s="5" t="s">
        <v>49</v>
      </c>
      <c r="L200" s="5" t="s">
        <v>53</v>
      </c>
      <c r="M200" s="23" t="s">
        <v>758</v>
      </c>
      <c r="N200" s="25"/>
      <c r="O200" s="25"/>
      <c r="P200" s="25"/>
      <c r="Q200" s="17" t="s">
        <v>43</v>
      </c>
    </row>
    <row r="201" spans="2:17">
      <c r="B201" s="11"/>
      <c r="C201" s="5" t="str">
        <f>IF(E201="","",IF(G201&lt;&gt;"",SUBSTITUTE(SUBSTITUTE(G201," ",""),"-",""),IF(F201&lt;&gt;"",SUBSTITUTE(SUBSTITUTE(F201," ",""),"-",""),"")))</f>
        <v/>
      </c>
      <c r="D201" s="6"/>
      <c r="E201" s="11"/>
      <c r="F201" s="11"/>
      <c r="G201" s="11"/>
      <c r="H201" s="18"/>
      <c r="J201" s="19"/>
      <c r="M201" s="23"/>
      <c r="N201" s="20"/>
      <c r="O201" s="20"/>
      <c r="P201" s="20"/>
      <c r="Q201" s="17"/>
    </row>
    <row r="202" spans="2:17">
      <c r="B202" s="11"/>
      <c r="C202" s="5" t="str">
        <f>IF(E202="","",IF(G202&lt;&gt;"",SUBSTITUTE(SUBSTITUTE(G202," ",""),"-",""),IF(F202&lt;&gt;"",SUBSTITUTE(SUBSTITUTE(F202," ",""),"-",""),"")))</f>
        <v/>
      </c>
      <c r="D202" s="6"/>
      <c r="E202" s="11"/>
      <c r="F202" s="11"/>
      <c r="G202" s="11"/>
      <c r="H202" s="18"/>
      <c r="J202" s="19"/>
      <c r="M202" s="23"/>
      <c r="N202" s="20"/>
      <c r="O202" s="20"/>
      <c r="P202" s="20"/>
      <c r="Q202" s="17"/>
    </row>
    <row r="203" spans="2:17">
      <c r="B203" s="11"/>
      <c r="C203" s="5" t="str">
        <f>IF(E203="","",IF(G203&lt;&gt;"",SUBSTITUTE(SUBSTITUTE(G203," ",""),"-",""),IF(F203&lt;&gt;"",SUBSTITUTE(SUBSTITUTE(F203," ",""),"-",""),"")))</f>
        <v/>
      </c>
      <c r="D203" s="6"/>
      <c r="E203" s="11"/>
      <c r="F203" s="11"/>
      <c r="G203" s="11"/>
      <c r="H203" s="18"/>
      <c r="J203" s="19"/>
      <c r="M203" s="23"/>
      <c r="N203" s="20"/>
      <c r="O203" s="20"/>
      <c r="P203" s="20"/>
      <c r="Q203" s="17"/>
    </row>
    <row r="204" spans="2:17">
      <c r="B204" s="11" t="s">
        <v>50</v>
      </c>
      <c r="C204" s="5" t="str">
        <f>IF(E204="","",IF(G204&lt;&gt;"",SUBSTITUTE(SUBSTITUTE(G204," ",""),"-",""),IF(F204&lt;&gt;"",SUBSTITUTE(SUBSTITUTE(F204," ",""),"-",""),"")))</f>
        <v>RBL</v>
      </c>
      <c r="D204" s="6" t="s">
        <v>36</v>
      </c>
      <c r="E204" s="11" t="s">
        <v>47</v>
      </c>
      <c r="F204" s="11" t="s">
        <v>785</v>
      </c>
      <c r="G204" s="11"/>
      <c r="H204" s="18">
        <v>146.12</v>
      </c>
      <c r="I204" s="5" t="s">
        <v>52</v>
      </c>
      <c r="J204" s="19">
        <v>13</v>
      </c>
      <c r="K204" s="5" t="s">
        <v>49</v>
      </c>
      <c r="L204" s="5" t="s">
        <v>786</v>
      </c>
      <c r="M204" s="23" t="s">
        <v>787</v>
      </c>
      <c r="N204" s="25"/>
      <c r="O204" s="25"/>
      <c r="P204" s="25"/>
      <c r="Q204" s="17" t="s">
        <v>43</v>
      </c>
    </row>
    <row r="205" spans="2:17">
      <c r="B205" s="11" t="s">
        <v>55</v>
      </c>
      <c r="C205" s="5" t="str">
        <f>IF(E205="","",IF(G205&lt;&gt;"",SUBSTITUTE(SUBSTITUTE(G205," ",""),"-",""),IF(F205&lt;&gt;"",SUBSTITUTE(SUBSTITUTE(F205," ",""),"-",""),"")))</f>
        <v>RBLP01</v>
      </c>
      <c r="D205" s="6" t="s">
        <v>36</v>
      </c>
      <c r="E205" s="11" t="s">
        <v>47</v>
      </c>
      <c r="F205" s="11" t="s">
        <v>785</v>
      </c>
      <c r="G205" s="11" t="s">
        <v>788</v>
      </c>
      <c r="H205" s="18">
        <v>11.24</v>
      </c>
      <c r="I205" s="5" t="s">
        <v>52</v>
      </c>
      <c r="J205" s="19">
        <v>1</v>
      </c>
      <c r="K205" s="5" t="s">
        <v>49</v>
      </c>
      <c r="L205" s="5" t="s">
        <v>786</v>
      </c>
      <c r="M205" s="23" t="s">
        <v>787</v>
      </c>
      <c r="N205" s="25"/>
      <c r="O205" s="25"/>
      <c r="P205" s="25"/>
      <c r="Q205" s="17" t="s">
        <v>43</v>
      </c>
    </row>
    <row r="206" spans="2:17">
      <c r="B206" s="11" t="s">
        <v>55</v>
      </c>
      <c r="C206" s="5" t="str">
        <f>IF(E206="","",IF(G206&lt;&gt;"",SUBSTITUTE(SUBSTITUTE(G206," ",""),"-",""),IF(F206&lt;&gt;"",SUBSTITUTE(SUBSTITUTE(F206," ",""),"-",""),"")))</f>
        <v>RBLP02</v>
      </c>
      <c r="D206" s="6" t="s">
        <v>36</v>
      </c>
      <c r="E206" s="11" t="s">
        <v>47</v>
      </c>
      <c r="F206" s="11" t="s">
        <v>785</v>
      </c>
      <c r="G206" s="11" t="s">
        <v>789</v>
      </c>
      <c r="H206" s="18">
        <v>11.24</v>
      </c>
      <c r="I206" s="5" t="s">
        <v>52</v>
      </c>
      <c r="J206" s="19">
        <v>1</v>
      </c>
      <c r="K206" s="5" t="s">
        <v>49</v>
      </c>
      <c r="L206" s="5" t="s">
        <v>786</v>
      </c>
      <c r="M206" s="23" t="s">
        <v>787</v>
      </c>
      <c r="N206" s="25"/>
      <c r="O206" s="25"/>
      <c r="P206" s="25"/>
      <c r="Q206" s="17" t="s">
        <v>43</v>
      </c>
    </row>
    <row r="207" spans="2:17">
      <c r="B207" s="11" t="s">
        <v>55</v>
      </c>
      <c r="C207" s="5" t="str">
        <f>IF(E207="","",IF(G207&lt;&gt;"",SUBSTITUTE(SUBSTITUTE(G207," ",""),"-",""),IF(F207&lt;&gt;"",SUBSTITUTE(SUBSTITUTE(F207," ",""),"-",""),"")))</f>
        <v>RBLP03</v>
      </c>
      <c r="D207" s="6" t="s">
        <v>36</v>
      </c>
      <c r="E207" s="11" t="s">
        <v>47</v>
      </c>
      <c r="F207" s="11" t="s">
        <v>785</v>
      </c>
      <c r="G207" s="11" t="s">
        <v>790</v>
      </c>
      <c r="H207" s="18">
        <v>11.24</v>
      </c>
      <c r="I207" s="5" t="s">
        <v>52</v>
      </c>
      <c r="J207" s="19">
        <v>1</v>
      </c>
      <c r="K207" s="5" t="s">
        <v>49</v>
      </c>
      <c r="L207" s="5" t="s">
        <v>786</v>
      </c>
      <c r="M207" s="23" t="s">
        <v>787</v>
      </c>
      <c r="N207" s="25"/>
      <c r="O207" s="25"/>
      <c r="P207" s="25"/>
      <c r="Q207" s="17" t="s">
        <v>43</v>
      </c>
    </row>
    <row r="208" spans="2:17">
      <c r="B208" s="11" t="s">
        <v>55</v>
      </c>
      <c r="C208" s="5" t="str">
        <f>IF(E208="","",IF(G208&lt;&gt;"",SUBSTITUTE(SUBSTITUTE(G208," ",""),"-",""),IF(F208&lt;&gt;"",SUBSTITUTE(SUBSTITUTE(F208," ",""),"-",""),"")))</f>
        <v>RBLP04</v>
      </c>
      <c r="D208" s="6" t="s">
        <v>36</v>
      </c>
      <c r="E208" s="11" t="s">
        <v>47</v>
      </c>
      <c r="F208" s="11" t="s">
        <v>785</v>
      </c>
      <c r="G208" s="11" t="s">
        <v>791</v>
      </c>
      <c r="H208" s="18">
        <v>11.24</v>
      </c>
      <c r="I208" s="5" t="s">
        <v>52</v>
      </c>
      <c r="J208" s="19">
        <v>1</v>
      </c>
      <c r="K208" s="5" t="s">
        <v>49</v>
      </c>
      <c r="L208" s="5" t="s">
        <v>786</v>
      </c>
      <c r="M208" s="23" t="s">
        <v>787</v>
      </c>
      <c r="N208" s="25"/>
      <c r="O208" s="25"/>
      <c r="P208" s="25"/>
      <c r="Q208" s="17" t="s">
        <v>43</v>
      </c>
    </row>
    <row r="209" spans="2:17">
      <c r="B209" s="11" t="s">
        <v>55</v>
      </c>
      <c r="C209" s="5" t="str">
        <f>IF(E209="","",IF(G209&lt;&gt;"",SUBSTITUTE(SUBSTITUTE(G209," ",""),"-",""),IF(F209&lt;&gt;"",SUBSTITUTE(SUBSTITUTE(F209," ",""),"-",""),"")))</f>
        <v>RBLP05</v>
      </c>
      <c r="D209" s="6" t="s">
        <v>36</v>
      </c>
      <c r="E209" s="11" t="s">
        <v>47</v>
      </c>
      <c r="F209" s="11" t="s">
        <v>785</v>
      </c>
      <c r="G209" s="11" t="s">
        <v>792</v>
      </c>
      <c r="H209" s="18">
        <v>11.24</v>
      </c>
      <c r="I209" s="5" t="s">
        <v>52</v>
      </c>
      <c r="J209" s="19">
        <v>1</v>
      </c>
      <c r="K209" s="5" t="s">
        <v>49</v>
      </c>
      <c r="L209" s="5" t="s">
        <v>786</v>
      </c>
      <c r="M209" s="23" t="s">
        <v>787</v>
      </c>
      <c r="N209" s="25"/>
      <c r="O209" s="25"/>
      <c r="P209" s="25"/>
      <c r="Q209" s="17" t="s">
        <v>43</v>
      </c>
    </row>
    <row r="210" spans="2:17">
      <c r="B210" s="11" t="s">
        <v>55</v>
      </c>
      <c r="C210" s="5" t="str">
        <f>IF(E210="","",IF(G210&lt;&gt;"",SUBSTITUTE(SUBSTITUTE(G210," ",""),"-",""),IF(F210&lt;&gt;"",SUBSTITUTE(SUBSTITUTE(F210," ",""),"-",""),"")))</f>
        <v>RBLP06</v>
      </c>
      <c r="D210" s="6" t="s">
        <v>36</v>
      </c>
      <c r="E210" s="11" t="s">
        <v>47</v>
      </c>
      <c r="F210" s="11" t="s">
        <v>785</v>
      </c>
      <c r="G210" s="11" t="s">
        <v>793</v>
      </c>
      <c r="H210" s="18">
        <v>11.24</v>
      </c>
      <c r="I210" s="5" t="s">
        <v>52</v>
      </c>
      <c r="J210" s="19">
        <v>1</v>
      </c>
      <c r="K210" s="5" t="s">
        <v>49</v>
      </c>
      <c r="L210" s="5" t="s">
        <v>786</v>
      </c>
      <c r="M210" s="23" t="s">
        <v>787</v>
      </c>
      <c r="N210" s="25"/>
      <c r="O210" s="25"/>
      <c r="P210" s="25"/>
      <c r="Q210" s="17" t="s">
        <v>43</v>
      </c>
    </row>
    <row r="211" spans="2:17">
      <c r="B211" s="11" t="s">
        <v>55</v>
      </c>
      <c r="C211" s="5" t="str">
        <f>IF(E211="","",IF(G211&lt;&gt;"",SUBSTITUTE(SUBSTITUTE(G211," ",""),"-",""),IF(F211&lt;&gt;"",SUBSTITUTE(SUBSTITUTE(F211," ",""),"-",""),"")))</f>
        <v>RBLP07</v>
      </c>
      <c r="D211" s="6" t="s">
        <v>36</v>
      </c>
      <c r="E211" s="11" t="s">
        <v>47</v>
      </c>
      <c r="F211" s="11" t="s">
        <v>785</v>
      </c>
      <c r="G211" s="11" t="s">
        <v>794</v>
      </c>
      <c r="H211" s="18">
        <v>11.24</v>
      </c>
      <c r="I211" s="5" t="s">
        <v>52</v>
      </c>
      <c r="J211" s="19">
        <v>1</v>
      </c>
      <c r="K211" s="5" t="s">
        <v>49</v>
      </c>
      <c r="L211" s="5" t="s">
        <v>786</v>
      </c>
      <c r="M211" s="23" t="s">
        <v>787</v>
      </c>
      <c r="N211" s="25"/>
      <c r="O211" s="25"/>
      <c r="P211" s="25"/>
      <c r="Q211" s="17" t="s">
        <v>43</v>
      </c>
    </row>
    <row r="212" spans="2:17">
      <c r="B212" s="11" t="s">
        <v>55</v>
      </c>
      <c r="C212" s="5" t="str">
        <f>IF(E212="","",IF(G212&lt;&gt;"",SUBSTITUTE(SUBSTITUTE(G212," ",""),"-",""),IF(F212&lt;&gt;"",SUBSTITUTE(SUBSTITUTE(F212," ",""),"-",""),"")))</f>
        <v>RBLP08</v>
      </c>
      <c r="D212" s="6" t="s">
        <v>36</v>
      </c>
      <c r="E212" s="11" t="s">
        <v>47</v>
      </c>
      <c r="F212" s="11" t="s">
        <v>785</v>
      </c>
      <c r="G212" s="11" t="s">
        <v>795</v>
      </c>
      <c r="H212" s="18">
        <v>11.24</v>
      </c>
      <c r="I212" s="5" t="s">
        <v>52</v>
      </c>
      <c r="J212" s="19">
        <v>1</v>
      </c>
      <c r="K212" s="5" t="s">
        <v>49</v>
      </c>
      <c r="L212" s="5" t="s">
        <v>786</v>
      </c>
      <c r="M212" s="23" t="s">
        <v>787</v>
      </c>
      <c r="N212" s="25"/>
      <c r="O212" s="25"/>
      <c r="P212" s="25"/>
      <c r="Q212" s="17" t="s">
        <v>43</v>
      </c>
    </row>
    <row r="213" spans="2:17">
      <c r="B213" s="11" t="s">
        <v>55</v>
      </c>
      <c r="C213" s="5" t="str">
        <f>IF(E213="","",IF(G213&lt;&gt;"",SUBSTITUTE(SUBSTITUTE(G213," ",""),"-",""),IF(F213&lt;&gt;"",SUBSTITUTE(SUBSTITUTE(F213," ",""),"-",""),"")))</f>
        <v>RBLP09</v>
      </c>
      <c r="D213" s="6" t="s">
        <v>36</v>
      </c>
      <c r="E213" s="11" t="s">
        <v>47</v>
      </c>
      <c r="F213" s="11" t="s">
        <v>785</v>
      </c>
      <c r="G213" s="11" t="s">
        <v>796</v>
      </c>
      <c r="H213" s="18">
        <v>11.24</v>
      </c>
      <c r="I213" s="5" t="s">
        <v>52</v>
      </c>
      <c r="J213" s="19">
        <v>1</v>
      </c>
      <c r="K213" s="5" t="s">
        <v>49</v>
      </c>
      <c r="L213" s="5" t="s">
        <v>786</v>
      </c>
      <c r="M213" s="23" t="s">
        <v>787</v>
      </c>
      <c r="N213" s="25"/>
      <c r="O213" s="25"/>
      <c r="P213" s="25"/>
      <c r="Q213" s="17" t="s">
        <v>43</v>
      </c>
    </row>
    <row r="214" spans="2:17">
      <c r="B214" s="11" t="s">
        <v>55</v>
      </c>
      <c r="C214" s="5" t="str">
        <f>IF(E214="","",IF(G214&lt;&gt;"",SUBSTITUTE(SUBSTITUTE(G214," ",""),"-",""),IF(F214&lt;&gt;"",SUBSTITUTE(SUBSTITUTE(F214," ",""),"-",""),"")))</f>
        <v>RBLP10</v>
      </c>
      <c r="D214" s="6" t="s">
        <v>36</v>
      </c>
      <c r="E214" s="11" t="s">
        <v>47</v>
      </c>
      <c r="F214" s="11" t="s">
        <v>785</v>
      </c>
      <c r="G214" s="11" t="s">
        <v>797</v>
      </c>
      <c r="H214" s="18">
        <v>11.24</v>
      </c>
      <c r="I214" s="5" t="s">
        <v>52</v>
      </c>
      <c r="J214" s="19">
        <v>1</v>
      </c>
      <c r="K214" s="5" t="s">
        <v>49</v>
      </c>
      <c r="L214" s="5" t="s">
        <v>786</v>
      </c>
      <c r="M214" s="23" t="s">
        <v>787</v>
      </c>
      <c r="N214" s="25"/>
      <c r="O214" s="25"/>
      <c r="P214" s="25"/>
      <c r="Q214" s="17" t="s">
        <v>43</v>
      </c>
    </row>
    <row r="215" spans="2:17">
      <c r="B215" s="11" t="s">
        <v>55</v>
      </c>
      <c r="C215" s="5" t="str">
        <f>IF(E215="","",IF(G215&lt;&gt;"",SUBSTITUTE(SUBSTITUTE(G215," ",""),"-",""),IF(F215&lt;&gt;"",SUBSTITUTE(SUBSTITUTE(F215," ",""),"-",""),"")))</f>
        <v>RBLP11</v>
      </c>
      <c r="D215" s="6" t="s">
        <v>36</v>
      </c>
      <c r="E215" s="11" t="s">
        <v>47</v>
      </c>
      <c r="F215" s="11" t="s">
        <v>785</v>
      </c>
      <c r="G215" s="11" t="s">
        <v>798</v>
      </c>
      <c r="H215" s="18">
        <v>11.24</v>
      </c>
      <c r="I215" s="5" t="s">
        <v>52</v>
      </c>
      <c r="J215" s="19">
        <v>1</v>
      </c>
      <c r="K215" s="5" t="s">
        <v>49</v>
      </c>
      <c r="L215" s="5" t="s">
        <v>786</v>
      </c>
      <c r="M215" s="23" t="s">
        <v>787</v>
      </c>
      <c r="N215" s="25"/>
      <c r="O215" s="25"/>
      <c r="P215" s="25"/>
      <c r="Q215" s="17" t="s">
        <v>43</v>
      </c>
    </row>
    <row r="216" spans="2:17">
      <c r="B216" s="11" t="s">
        <v>55</v>
      </c>
      <c r="C216" s="5" t="str">
        <f>IF(E216="","",IF(G216&lt;&gt;"",SUBSTITUTE(SUBSTITUTE(G216," ",""),"-",""),IF(F216&lt;&gt;"",SUBSTITUTE(SUBSTITUTE(F216," ",""),"-",""),"")))</f>
        <v>RBLP12</v>
      </c>
      <c r="D216" s="6" t="s">
        <v>36</v>
      </c>
      <c r="E216" s="11" t="s">
        <v>47</v>
      </c>
      <c r="F216" s="11" t="s">
        <v>785</v>
      </c>
      <c r="G216" s="11" t="s">
        <v>799</v>
      </c>
      <c r="H216" s="18">
        <v>11.24</v>
      </c>
      <c r="I216" s="5" t="s">
        <v>52</v>
      </c>
      <c r="J216" s="19">
        <v>1</v>
      </c>
      <c r="K216" s="5" t="s">
        <v>49</v>
      </c>
      <c r="L216" s="5" t="s">
        <v>786</v>
      </c>
      <c r="M216" s="23" t="s">
        <v>787</v>
      </c>
      <c r="N216" s="25"/>
      <c r="O216" s="25"/>
      <c r="P216" s="25"/>
      <c r="Q216" s="17" t="s">
        <v>43</v>
      </c>
    </row>
    <row r="217" spans="2:17">
      <c r="B217" s="11" t="s">
        <v>55</v>
      </c>
      <c r="C217" s="5" t="str">
        <f>IF(E217="","",IF(G217&lt;&gt;"",SUBSTITUTE(SUBSTITUTE(G217," ",""),"-",""),IF(F217&lt;&gt;"",SUBSTITUTE(SUBSTITUTE(F217," ",""),"-",""),"")))</f>
        <v>RBLP13</v>
      </c>
      <c r="D217" s="6" t="s">
        <v>36</v>
      </c>
      <c r="E217" s="11" t="s">
        <v>47</v>
      </c>
      <c r="F217" s="11" t="s">
        <v>785</v>
      </c>
      <c r="G217" s="11" t="s">
        <v>800</v>
      </c>
      <c r="H217" s="18">
        <v>11.24</v>
      </c>
      <c r="I217" s="5" t="s">
        <v>52</v>
      </c>
      <c r="J217" s="19">
        <v>1</v>
      </c>
      <c r="K217" s="5" t="s">
        <v>49</v>
      </c>
      <c r="L217" s="5" t="s">
        <v>786</v>
      </c>
      <c r="M217" s="23" t="s">
        <v>787</v>
      </c>
      <c r="N217" s="25"/>
      <c r="O217" s="25"/>
      <c r="P217" s="25"/>
      <c r="Q217" s="17" t="s">
        <v>43</v>
      </c>
    </row>
    <row r="218" spans="2:17">
      <c r="B218" s="11"/>
      <c r="C218" s="5" t="str">
        <f>IF(E218="","",IF(G218&lt;&gt;"",SUBSTITUTE(SUBSTITUTE(G218," ",""),"-",""),IF(F218&lt;&gt;"",SUBSTITUTE(SUBSTITUTE(F218," ",""),"-",""),"")))</f>
        <v/>
      </c>
      <c r="D218" s="6"/>
      <c r="E218" s="11"/>
      <c r="F218" s="11"/>
      <c r="G218" s="11"/>
      <c r="H218" s="18"/>
      <c r="J218" s="19"/>
      <c r="M218" s="23"/>
      <c r="N218" s="20"/>
      <c r="O218" s="20"/>
      <c r="P218" s="20"/>
      <c r="Q218" s="17"/>
    </row>
    <row r="219" spans="2:17">
      <c r="B219" s="11"/>
      <c r="C219" s="5" t="str">
        <f>IF(E219="","",IF(G219&lt;&gt;"",SUBSTITUTE(SUBSTITUTE(G219," ",""),"-",""),IF(F219&lt;&gt;"",SUBSTITUTE(SUBSTITUTE(F219," ",""),"-",""),"")))</f>
        <v/>
      </c>
      <c r="D219" s="6"/>
      <c r="E219" s="11"/>
      <c r="F219" s="11"/>
      <c r="G219" s="11"/>
      <c r="H219" s="18"/>
      <c r="J219" s="19"/>
      <c r="M219" s="23"/>
      <c r="N219" s="20"/>
      <c r="O219" s="20"/>
      <c r="P219" s="20"/>
      <c r="Q219" s="17"/>
    </row>
    <row r="220" spans="2:17">
      <c r="B220" s="11"/>
      <c r="C220" s="5" t="str">
        <f>IF(E220="","",IF(G220&lt;&gt;"",SUBSTITUTE(SUBSTITUTE(G220," ",""),"-",""),IF(F220&lt;&gt;"",SUBSTITUTE(SUBSTITUTE(F220," ",""),"-",""),"")))</f>
        <v/>
      </c>
      <c r="D220" s="6"/>
      <c r="E220" s="11"/>
      <c r="F220" s="11"/>
      <c r="G220" s="11"/>
      <c r="H220" s="18"/>
      <c r="J220" s="19"/>
      <c r="M220" s="23"/>
      <c r="N220" s="20"/>
      <c r="O220" s="20"/>
      <c r="P220" s="20"/>
      <c r="Q220" s="17"/>
    </row>
    <row r="221" spans="2:17">
      <c r="B221" s="11"/>
      <c r="C221" s="5" t="str">
        <f>IF(E221="","",IF(G221&lt;&gt;"",SUBSTITUTE(SUBSTITUTE(G221," ",""),"-",""),IF(F221&lt;&gt;"",SUBSTITUTE(SUBSTITUTE(F221," ",""),"-",""),"")))</f>
        <v/>
      </c>
      <c r="D221" s="6"/>
      <c r="E221" s="11"/>
      <c r="F221" s="11"/>
      <c r="G221" s="11"/>
      <c r="H221" s="18"/>
      <c r="J221" s="19"/>
      <c r="M221" s="23"/>
      <c r="N221" s="20"/>
      <c r="O221" s="20"/>
      <c r="P221" s="20"/>
      <c r="Q221" s="17"/>
    </row>
    <row r="222" spans="2:17">
      <c r="B222" s="11" t="s">
        <v>50</v>
      </c>
      <c r="C222" s="5" t="str">
        <f>IF(E222="","",IF(G222&lt;&gt;"",SUBSTITUTE(SUBSTITUTE(G222," ",""),"-",""),IF(F222&lt;&gt;"",SUBSTITUTE(SUBSTITUTE(F222," ",""),"-",""),"")))</f>
        <v>RSHC01</v>
      </c>
      <c r="D222" s="6" t="s">
        <v>36</v>
      </c>
      <c r="E222" s="11" t="s">
        <v>47</v>
      </c>
      <c r="F222" s="11" t="s">
        <v>801</v>
      </c>
      <c r="G222" s="11"/>
      <c r="H222" s="18">
        <v>125.58</v>
      </c>
      <c r="I222" s="5" t="s">
        <v>52</v>
      </c>
      <c r="J222" s="19">
        <v>78</v>
      </c>
      <c r="K222" s="5" t="s">
        <v>49</v>
      </c>
      <c r="L222" s="5" t="s">
        <v>53</v>
      </c>
      <c r="M222" s="23" t="s">
        <v>802</v>
      </c>
      <c r="N222" s="25">
        <v>5800</v>
      </c>
      <c r="O222" s="25">
        <v>20</v>
      </c>
      <c r="P222" s="25">
        <v>1</v>
      </c>
      <c r="Q222" s="17" t="s">
        <v>43</v>
      </c>
    </row>
    <row r="223" spans="2:17">
      <c r="B223" s="11" t="s">
        <v>803</v>
      </c>
      <c r="C223" s="5" t="str">
        <f>IF(E223="","",IF(G223&lt;&gt;"",SUBSTITUTE(SUBSTITUTE(G223," ",""),"-",""),IF(F223&lt;&gt;"",SUBSTITUTE(SUBSTITUTE(F223," ",""),"-",""),"")))</f>
        <v>RSHC01Cr01</v>
      </c>
      <c r="D223" s="6" t="s">
        <v>36</v>
      </c>
      <c r="E223" s="11" t="s">
        <v>47</v>
      </c>
      <c r="F223" s="11" t="s">
        <v>801</v>
      </c>
      <c r="G223" s="11" t="s">
        <v>804</v>
      </c>
      <c r="H223" s="18">
        <v>1.61</v>
      </c>
      <c r="I223" s="5" t="s">
        <v>52</v>
      </c>
      <c r="J223" s="19">
        <v>1</v>
      </c>
      <c r="K223" s="5" t="s">
        <v>49</v>
      </c>
      <c r="L223" s="5" t="s">
        <v>53</v>
      </c>
      <c r="M223" s="23" t="s">
        <v>802</v>
      </c>
      <c r="N223" s="25"/>
      <c r="O223" s="25"/>
      <c r="P223" s="25"/>
      <c r="Q223" s="17" t="s">
        <v>43</v>
      </c>
    </row>
    <row r="224" spans="2:17">
      <c r="B224" s="11" t="s">
        <v>803</v>
      </c>
      <c r="C224" s="5" t="str">
        <f>IF(E224="","",IF(G224&lt;&gt;"",SUBSTITUTE(SUBSTITUTE(G224," ",""),"-",""),IF(F224&lt;&gt;"",SUBSTITUTE(SUBSTITUTE(F224," ",""),"-",""),"")))</f>
        <v>RSHC01Cr02</v>
      </c>
      <c r="D224" s="6" t="s">
        <v>36</v>
      </c>
      <c r="E224" s="11" t="s">
        <v>47</v>
      </c>
      <c r="F224" s="11" t="s">
        <v>801</v>
      </c>
      <c r="G224" s="11" t="s">
        <v>805</v>
      </c>
      <c r="H224" s="18">
        <v>1.61</v>
      </c>
      <c r="I224" s="5" t="s">
        <v>52</v>
      </c>
      <c r="J224" s="19">
        <v>1</v>
      </c>
      <c r="K224" s="5" t="s">
        <v>49</v>
      </c>
      <c r="L224" s="5" t="s">
        <v>53</v>
      </c>
      <c r="M224" s="23" t="s">
        <v>802</v>
      </c>
      <c r="N224" s="25"/>
      <c r="O224" s="25"/>
      <c r="P224" s="25"/>
      <c r="Q224" s="17" t="s">
        <v>43</v>
      </c>
    </row>
    <row r="225" spans="2:17">
      <c r="B225" s="11" t="s">
        <v>803</v>
      </c>
      <c r="C225" s="5" t="str">
        <f>IF(E225="","",IF(G225&lt;&gt;"",SUBSTITUTE(SUBSTITUTE(G225," ",""),"-",""),IF(F225&lt;&gt;"",SUBSTITUTE(SUBSTITUTE(F225," ",""),"-",""),"")))</f>
        <v>RSHC01Cr03</v>
      </c>
      <c r="D225" s="6" t="s">
        <v>36</v>
      </c>
      <c r="E225" s="11" t="s">
        <v>47</v>
      </c>
      <c r="F225" s="11" t="s">
        <v>801</v>
      </c>
      <c r="G225" s="11" t="s">
        <v>806</v>
      </c>
      <c r="H225" s="18">
        <v>1.61</v>
      </c>
      <c r="I225" s="5" t="s">
        <v>52</v>
      </c>
      <c r="J225" s="19">
        <v>1</v>
      </c>
      <c r="K225" s="5" t="s">
        <v>49</v>
      </c>
      <c r="L225" s="5" t="s">
        <v>53</v>
      </c>
      <c r="M225" s="23" t="s">
        <v>802</v>
      </c>
      <c r="N225" s="25"/>
      <c r="O225" s="25"/>
      <c r="P225" s="25"/>
      <c r="Q225" s="17" t="s">
        <v>43</v>
      </c>
    </row>
    <row r="226" spans="2:17">
      <c r="B226" s="11" t="s">
        <v>803</v>
      </c>
      <c r="C226" s="5" t="str">
        <f>IF(E226="","",IF(G226&lt;&gt;"",SUBSTITUTE(SUBSTITUTE(G226," ",""),"-",""),IF(F226&lt;&gt;"",SUBSTITUTE(SUBSTITUTE(F226," ",""),"-",""),"")))</f>
        <v>RSHC01Cr04</v>
      </c>
      <c r="D226" s="6" t="s">
        <v>36</v>
      </c>
      <c r="E226" s="11" t="s">
        <v>47</v>
      </c>
      <c r="F226" s="11" t="s">
        <v>801</v>
      </c>
      <c r="G226" s="11" t="s">
        <v>807</v>
      </c>
      <c r="H226" s="18">
        <v>1.61</v>
      </c>
      <c r="I226" s="5" t="s">
        <v>52</v>
      </c>
      <c r="J226" s="19">
        <v>1</v>
      </c>
      <c r="K226" s="5" t="s">
        <v>49</v>
      </c>
      <c r="L226" s="5" t="s">
        <v>53</v>
      </c>
      <c r="M226" s="23" t="s">
        <v>802</v>
      </c>
      <c r="N226" s="25"/>
      <c r="O226" s="25"/>
      <c r="P226" s="25"/>
      <c r="Q226" s="17" t="s">
        <v>43</v>
      </c>
    </row>
    <row r="227" spans="2:17">
      <c r="B227" s="11" t="s">
        <v>803</v>
      </c>
      <c r="C227" s="5" t="str">
        <f>IF(E227="","",IF(G227&lt;&gt;"",SUBSTITUTE(SUBSTITUTE(G227," ",""),"-",""),IF(F227&lt;&gt;"",SUBSTITUTE(SUBSTITUTE(F227," ",""),"-",""),"")))</f>
        <v>RSHC01Cr05</v>
      </c>
      <c r="D227" s="6" t="s">
        <v>36</v>
      </c>
      <c r="E227" s="11" t="s">
        <v>47</v>
      </c>
      <c r="F227" s="11" t="s">
        <v>801</v>
      </c>
      <c r="G227" s="11" t="s">
        <v>808</v>
      </c>
      <c r="H227" s="18">
        <v>1.61</v>
      </c>
      <c r="I227" s="5" t="s">
        <v>52</v>
      </c>
      <c r="J227" s="19">
        <v>1</v>
      </c>
      <c r="K227" s="5" t="s">
        <v>49</v>
      </c>
      <c r="L227" s="5" t="s">
        <v>53</v>
      </c>
      <c r="M227" s="23" t="s">
        <v>802</v>
      </c>
      <c r="N227" s="25"/>
      <c r="O227" s="25"/>
      <c r="P227" s="25"/>
      <c r="Q227" s="17" t="s">
        <v>43</v>
      </c>
    </row>
    <row r="228" spans="2:17">
      <c r="B228" s="11" t="s">
        <v>803</v>
      </c>
      <c r="C228" s="5" t="str">
        <f>IF(E228="","",IF(G228&lt;&gt;"",SUBSTITUTE(SUBSTITUTE(G228," ",""),"-",""),IF(F228&lt;&gt;"",SUBSTITUTE(SUBSTITUTE(F228," ",""),"-",""),"")))</f>
        <v>RSHC01Cr06</v>
      </c>
      <c r="D228" s="6" t="s">
        <v>36</v>
      </c>
      <c r="E228" s="11" t="s">
        <v>47</v>
      </c>
      <c r="F228" s="11" t="s">
        <v>801</v>
      </c>
      <c r="G228" s="11" t="s">
        <v>809</v>
      </c>
      <c r="H228" s="18">
        <v>1.61</v>
      </c>
      <c r="I228" s="5" t="s">
        <v>52</v>
      </c>
      <c r="J228" s="19">
        <v>1</v>
      </c>
      <c r="K228" s="5" t="s">
        <v>49</v>
      </c>
      <c r="L228" s="5" t="s">
        <v>53</v>
      </c>
      <c r="M228" s="23" t="s">
        <v>802</v>
      </c>
      <c r="N228" s="25"/>
      <c r="O228" s="25"/>
      <c r="P228" s="25"/>
      <c r="Q228" s="17" t="s">
        <v>43</v>
      </c>
    </row>
    <row r="229" spans="2:17">
      <c r="B229" s="11" t="s">
        <v>803</v>
      </c>
      <c r="C229" s="5" t="str">
        <f>IF(E229="","",IF(G229&lt;&gt;"",SUBSTITUTE(SUBSTITUTE(G229," ",""),"-",""),IF(F229&lt;&gt;"",SUBSTITUTE(SUBSTITUTE(F229," ",""),"-",""),"")))</f>
        <v>RSHC01Cr07</v>
      </c>
      <c r="D229" s="6" t="s">
        <v>36</v>
      </c>
      <c r="E229" s="11" t="s">
        <v>47</v>
      </c>
      <c r="F229" s="11" t="s">
        <v>801</v>
      </c>
      <c r="G229" s="11" t="s">
        <v>810</v>
      </c>
      <c r="H229" s="18">
        <v>1.61</v>
      </c>
      <c r="I229" s="5" t="s">
        <v>52</v>
      </c>
      <c r="J229" s="19">
        <v>1</v>
      </c>
      <c r="K229" s="5" t="s">
        <v>49</v>
      </c>
      <c r="L229" s="5" t="s">
        <v>53</v>
      </c>
      <c r="M229" s="23" t="s">
        <v>802</v>
      </c>
      <c r="N229" s="25"/>
      <c r="O229" s="25"/>
      <c r="P229" s="25"/>
      <c r="Q229" s="17" t="s">
        <v>43</v>
      </c>
    </row>
    <row r="230" spans="2:17">
      <c r="B230" s="11" t="s">
        <v>803</v>
      </c>
      <c r="C230" s="5" t="str">
        <f>IF(E230="","",IF(G230&lt;&gt;"",SUBSTITUTE(SUBSTITUTE(G230," ",""),"-",""),IF(F230&lt;&gt;"",SUBSTITUTE(SUBSTITUTE(F230," ",""),"-",""),"")))</f>
        <v>RSHC01Cr08</v>
      </c>
      <c r="D230" s="6" t="s">
        <v>36</v>
      </c>
      <c r="E230" s="11" t="s">
        <v>47</v>
      </c>
      <c r="F230" s="11" t="s">
        <v>801</v>
      </c>
      <c r="G230" s="11" t="s">
        <v>811</v>
      </c>
      <c r="H230" s="18">
        <v>1.61</v>
      </c>
      <c r="I230" s="5" t="s">
        <v>52</v>
      </c>
      <c r="J230" s="19">
        <v>1</v>
      </c>
      <c r="K230" s="5" t="s">
        <v>49</v>
      </c>
      <c r="L230" s="5" t="s">
        <v>53</v>
      </c>
      <c r="M230" s="23" t="s">
        <v>802</v>
      </c>
      <c r="N230" s="25"/>
      <c r="O230" s="25"/>
      <c r="P230" s="25"/>
      <c r="Q230" s="17" t="s">
        <v>43</v>
      </c>
    </row>
    <row r="231" spans="2:17">
      <c r="B231" s="11" t="s">
        <v>803</v>
      </c>
      <c r="C231" s="5" t="str">
        <f>IF(E231="","",IF(G231&lt;&gt;"",SUBSTITUTE(SUBSTITUTE(G231," ",""),"-",""),IF(F231&lt;&gt;"",SUBSTITUTE(SUBSTITUTE(F231," ",""),"-",""),"")))</f>
        <v>RSHC01Cr09</v>
      </c>
      <c r="D231" s="6" t="s">
        <v>36</v>
      </c>
      <c r="E231" s="11" t="s">
        <v>47</v>
      </c>
      <c r="F231" s="11" t="s">
        <v>801</v>
      </c>
      <c r="G231" s="11" t="s">
        <v>812</v>
      </c>
      <c r="H231" s="18">
        <v>1.61</v>
      </c>
      <c r="I231" s="5" t="s">
        <v>52</v>
      </c>
      <c r="J231" s="19">
        <v>1</v>
      </c>
      <c r="K231" s="5" t="s">
        <v>49</v>
      </c>
      <c r="L231" s="5" t="s">
        <v>53</v>
      </c>
      <c r="M231" s="23" t="s">
        <v>802</v>
      </c>
      <c r="N231" s="25"/>
      <c r="O231" s="25"/>
      <c r="P231" s="25"/>
      <c r="Q231" s="17" t="s">
        <v>43</v>
      </c>
    </row>
    <row r="232" spans="2:17">
      <c r="B232" s="11" t="s">
        <v>803</v>
      </c>
      <c r="C232" s="5" t="str">
        <f>IF(E232="","",IF(G232&lt;&gt;"",SUBSTITUTE(SUBSTITUTE(G232," ",""),"-",""),IF(F232&lt;&gt;"",SUBSTITUTE(SUBSTITUTE(F232," ",""),"-",""),"")))</f>
        <v>RSHC01Cr10</v>
      </c>
      <c r="D232" s="6" t="s">
        <v>36</v>
      </c>
      <c r="E232" s="11" t="s">
        <v>47</v>
      </c>
      <c r="F232" s="11" t="s">
        <v>801</v>
      </c>
      <c r="G232" s="11" t="s">
        <v>813</v>
      </c>
      <c r="H232" s="18">
        <v>1.61</v>
      </c>
      <c r="I232" s="5" t="s">
        <v>52</v>
      </c>
      <c r="J232" s="19">
        <v>1</v>
      </c>
      <c r="K232" s="5" t="s">
        <v>49</v>
      </c>
      <c r="L232" s="5" t="s">
        <v>53</v>
      </c>
      <c r="M232" s="23" t="s">
        <v>802</v>
      </c>
      <c r="N232" s="25"/>
      <c r="O232" s="25"/>
      <c r="P232" s="25"/>
      <c r="Q232" s="17" t="s">
        <v>43</v>
      </c>
    </row>
    <row r="233" spans="2:17">
      <c r="B233" s="11" t="s">
        <v>803</v>
      </c>
      <c r="C233" s="5" t="str">
        <f>IF(E233="","",IF(G233&lt;&gt;"",SUBSTITUTE(SUBSTITUTE(G233," ",""),"-",""),IF(F233&lt;&gt;"",SUBSTITUTE(SUBSTITUTE(F233," ",""),"-",""),"")))</f>
        <v>RSHC01Cr11</v>
      </c>
      <c r="D233" s="6" t="s">
        <v>36</v>
      </c>
      <c r="E233" s="11" t="s">
        <v>47</v>
      </c>
      <c r="F233" s="11" t="s">
        <v>801</v>
      </c>
      <c r="G233" s="11" t="s">
        <v>814</v>
      </c>
      <c r="H233" s="18">
        <v>1.61</v>
      </c>
      <c r="I233" s="5" t="s">
        <v>52</v>
      </c>
      <c r="J233" s="19">
        <v>1</v>
      </c>
      <c r="K233" s="5" t="s">
        <v>49</v>
      </c>
      <c r="L233" s="5" t="s">
        <v>53</v>
      </c>
      <c r="M233" s="23" t="s">
        <v>802</v>
      </c>
      <c r="N233" s="25"/>
      <c r="O233" s="25"/>
      <c r="P233" s="25"/>
      <c r="Q233" s="17" t="s">
        <v>43</v>
      </c>
    </row>
    <row r="234" spans="2:17">
      <c r="B234" s="11" t="s">
        <v>803</v>
      </c>
      <c r="C234" s="5" t="str">
        <f>IF(E234="","",IF(G234&lt;&gt;"",SUBSTITUTE(SUBSTITUTE(G234," ",""),"-",""),IF(F234&lt;&gt;"",SUBSTITUTE(SUBSTITUTE(F234," ",""),"-",""),"")))</f>
        <v>RSHC01Cr12</v>
      </c>
      <c r="D234" s="6" t="s">
        <v>36</v>
      </c>
      <c r="E234" s="11" t="s">
        <v>47</v>
      </c>
      <c r="F234" s="11" t="s">
        <v>801</v>
      </c>
      <c r="G234" s="11" t="s">
        <v>815</v>
      </c>
      <c r="H234" s="18">
        <v>1.61</v>
      </c>
      <c r="I234" s="5" t="s">
        <v>52</v>
      </c>
      <c r="J234" s="19">
        <v>1</v>
      </c>
      <c r="K234" s="5" t="s">
        <v>49</v>
      </c>
      <c r="L234" s="5" t="s">
        <v>53</v>
      </c>
      <c r="M234" s="23" t="s">
        <v>802</v>
      </c>
      <c r="N234" s="25"/>
      <c r="O234" s="25"/>
      <c r="P234" s="25"/>
      <c r="Q234" s="17" t="s">
        <v>43</v>
      </c>
    </row>
    <row r="235" spans="2:17">
      <c r="B235" s="11" t="s">
        <v>803</v>
      </c>
      <c r="C235" s="5" t="str">
        <f>IF(E235="","",IF(G235&lt;&gt;"",SUBSTITUTE(SUBSTITUTE(G235," ",""),"-",""),IF(F235&lt;&gt;"",SUBSTITUTE(SUBSTITUTE(F235," ",""),"-",""),"")))</f>
        <v>RSHC01Cr13</v>
      </c>
      <c r="D235" s="6" t="s">
        <v>36</v>
      </c>
      <c r="E235" s="11" t="s">
        <v>47</v>
      </c>
      <c r="F235" s="11" t="s">
        <v>801</v>
      </c>
      <c r="G235" s="11" t="s">
        <v>816</v>
      </c>
      <c r="H235" s="18">
        <v>1.61</v>
      </c>
      <c r="I235" s="5" t="s">
        <v>52</v>
      </c>
      <c r="J235" s="19">
        <v>1</v>
      </c>
      <c r="K235" s="5" t="s">
        <v>49</v>
      </c>
      <c r="L235" s="5" t="s">
        <v>53</v>
      </c>
      <c r="M235" s="23" t="s">
        <v>802</v>
      </c>
      <c r="N235" s="25"/>
      <c r="O235" s="25"/>
      <c r="P235" s="25"/>
      <c r="Q235" s="17" t="s">
        <v>43</v>
      </c>
    </row>
    <row r="236" spans="2:17">
      <c r="B236" s="11" t="s">
        <v>803</v>
      </c>
      <c r="C236" s="5" t="str">
        <f>IF(E236="","",IF(G236&lt;&gt;"",SUBSTITUTE(SUBSTITUTE(G236," ",""),"-",""),IF(F236&lt;&gt;"",SUBSTITUTE(SUBSTITUTE(F236," ",""),"-",""),"")))</f>
        <v>RSHC01Cr14</v>
      </c>
      <c r="D236" s="6" t="s">
        <v>36</v>
      </c>
      <c r="E236" s="11" t="s">
        <v>47</v>
      </c>
      <c r="F236" s="11" t="s">
        <v>801</v>
      </c>
      <c r="G236" s="11" t="s">
        <v>817</v>
      </c>
      <c r="H236" s="18">
        <v>1.61</v>
      </c>
      <c r="I236" s="5" t="s">
        <v>52</v>
      </c>
      <c r="J236" s="19">
        <v>1</v>
      </c>
      <c r="K236" s="5" t="s">
        <v>49</v>
      </c>
      <c r="L236" s="5" t="s">
        <v>53</v>
      </c>
      <c r="M236" s="23" t="s">
        <v>802</v>
      </c>
      <c r="N236" s="25"/>
      <c r="O236" s="25"/>
      <c r="P236" s="25"/>
      <c r="Q236" s="17" t="s">
        <v>43</v>
      </c>
    </row>
    <row r="237" spans="2:17">
      <c r="B237" s="11" t="s">
        <v>803</v>
      </c>
      <c r="C237" s="5" t="str">
        <f>IF(E237="","",IF(G237&lt;&gt;"",SUBSTITUTE(SUBSTITUTE(G237," ",""),"-",""),IF(F237&lt;&gt;"",SUBSTITUTE(SUBSTITUTE(F237," ",""),"-",""),"")))</f>
        <v>RSHC01Cr15</v>
      </c>
      <c r="D237" s="6" t="s">
        <v>36</v>
      </c>
      <c r="E237" s="11" t="s">
        <v>47</v>
      </c>
      <c r="F237" s="11" t="s">
        <v>801</v>
      </c>
      <c r="G237" s="11" t="s">
        <v>818</v>
      </c>
      <c r="H237" s="18">
        <v>1.61</v>
      </c>
      <c r="I237" s="5" t="s">
        <v>52</v>
      </c>
      <c r="J237" s="19">
        <v>1</v>
      </c>
      <c r="K237" s="5" t="s">
        <v>49</v>
      </c>
      <c r="L237" s="5" t="s">
        <v>53</v>
      </c>
      <c r="M237" s="23" t="s">
        <v>802</v>
      </c>
      <c r="N237" s="25"/>
      <c r="O237" s="25"/>
      <c r="P237" s="25"/>
      <c r="Q237" s="17" t="s">
        <v>43</v>
      </c>
    </row>
    <row r="238" spans="2:17">
      <c r="B238" s="11" t="s">
        <v>803</v>
      </c>
      <c r="C238" s="5" t="str">
        <f>IF(E238="","",IF(G238&lt;&gt;"",SUBSTITUTE(SUBSTITUTE(G238," ",""),"-",""),IF(F238&lt;&gt;"",SUBSTITUTE(SUBSTITUTE(F238," ",""),"-",""),"")))</f>
        <v>RSHC01Cr16</v>
      </c>
      <c r="D238" s="6" t="s">
        <v>36</v>
      </c>
      <c r="E238" s="11" t="s">
        <v>47</v>
      </c>
      <c r="F238" s="11" t="s">
        <v>801</v>
      </c>
      <c r="G238" s="11" t="s">
        <v>819</v>
      </c>
      <c r="H238" s="18">
        <v>1.61</v>
      </c>
      <c r="I238" s="5" t="s">
        <v>52</v>
      </c>
      <c r="J238" s="19">
        <v>1</v>
      </c>
      <c r="K238" s="5" t="s">
        <v>49</v>
      </c>
      <c r="L238" s="5" t="s">
        <v>53</v>
      </c>
      <c r="M238" s="23" t="s">
        <v>802</v>
      </c>
      <c r="N238" s="25"/>
      <c r="O238" s="25"/>
      <c r="P238" s="25"/>
      <c r="Q238" s="17" t="s">
        <v>43</v>
      </c>
    </row>
    <row r="239" spans="2:17">
      <c r="B239" s="11" t="s">
        <v>803</v>
      </c>
      <c r="C239" s="5" t="str">
        <f>IF(E239="","",IF(G239&lt;&gt;"",SUBSTITUTE(SUBSTITUTE(G239," ",""),"-",""),IF(F239&lt;&gt;"",SUBSTITUTE(SUBSTITUTE(F239," ",""),"-",""),"")))</f>
        <v>RSHC01Cr17</v>
      </c>
      <c r="D239" s="6" t="s">
        <v>36</v>
      </c>
      <c r="E239" s="11" t="s">
        <v>47</v>
      </c>
      <c r="F239" s="11" t="s">
        <v>801</v>
      </c>
      <c r="G239" s="11" t="s">
        <v>820</v>
      </c>
      <c r="H239" s="18">
        <v>1.61</v>
      </c>
      <c r="I239" s="5" t="s">
        <v>52</v>
      </c>
      <c r="J239" s="19">
        <v>1</v>
      </c>
      <c r="K239" s="5" t="s">
        <v>49</v>
      </c>
      <c r="L239" s="5" t="s">
        <v>53</v>
      </c>
      <c r="M239" s="23" t="s">
        <v>802</v>
      </c>
      <c r="N239" s="25"/>
      <c r="O239" s="25"/>
      <c r="P239" s="25"/>
      <c r="Q239" s="17" t="s">
        <v>43</v>
      </c>
    </row>
    <row r="240" spans="2:17">
      <c r="B240" s="11" t="s">
        <v>803</v>
      </c>
      <c r="C240" s="5" t="str">
        <f>IF(E240="","",IF(G240&lt;&gt;"",SUBSTITUTE(SUBSTITUTE(G240," ",""),"-",""),IF(F240&lt;&gt;"",SUBSTITUTE(SUBSTITUTE(F240," ",""),"-",""),"")))</f>
        <v>RSHC01Cr18</v>
      </c>
      <c r="D240" s="6" t="s">
        <v>36</v>
      </c>
      <c r="E240" s="11" t="s">
        <v>47</v>
      </c>
      <c r="F240" s="11" t="s">
        <v>801</v>
      </c>
      <c r="G240" s="11" t="s">
        <v>821</v>
      </c>
      <c r="H240" s="18">
        <v>1.61</v>
      </c>
      <c r="I240" s="5" t="s">
        <v>52</v>
      </c>
      <c r="J240" s="19">
        <v>1</v>
      </c>
      <c r="K240" s="5" t="s">
        <v>49</v>
      </c>
      <c r="L240" s="5" t="s">
        <v>53</v>
      </c>
      <c r="M240" s="23" t="s">
        <v>802</v>
      </c>
      <c r="N240" s="25"/>
      <c r="O240" s="25"/>
      <c r="P240" s="25"/>
      <c r="Q240" s="17" t="s">
        <v>43</v>
      </c>
    </row>
    <row r="241" spans="2:17">
      <c r="B241" s="11" t="s">
        <v>803</v>
      </c>
      <c r="C241" s="5" t="str">
        <f>IF(E241="","",IF(G241&lt;&gt;"",SUBSTITUTE(SUBSTITUTE(G241," ",""),"-",""),IF(F241&lt;&gt;"",SUBSTITUTE(SUBSTITUTE(F241," ",""),"-",""),"")))</f>
        <v>RSHC01Cr19</v>
      </c>
      <c r="D241" s="6" t="s">
        <v>36</v>
      </c>
      <c r="E241" s="11" t="s">
        <v>47</v>
      </c>
      <c r="F241" s="11" t="s">
        <v>801</v>
      </c>
      <c r="G241" s="11" t="s">
        <v>822</v>
      </c>
      <c r="H241" s="18">
        <v>1.61</v>
      </c>
      <c r="I241" s="5" t="s">
        <v>52</v>
      </c>
      <c r="J241" s="19">
        <v>1</v>
      </c>
      <c r="K241" s="5" t="s">
        <v>49</v>
      </c>
      <c r="L241" s="5" t="s">
        <v>53</v>
      </c>
      <c r="M241" s="23" t="s">
        <v>802</v>
      </c>
      <c r="N241" s="25"/>
      <c r="O241" s="25"/>
      <c r="P241" s="25"/>
      <c r="Q241" s="17" t="s">
        <v>43</v>
      </c>
    </row>
    <row r="242" spans="2:17">
      <c r="B242" s="11" t="s">
        <v>803</v>
      </c>
      <c r="C242" s="5" t="str">
        <f>IF(E242="","",IF(G242&lt;&gt;"",SUBSTITUTE(SUBSTITUTE(G242," ",""),"-",""),IF(F242&lt;&gt;"",SUBSTITUTE(SUBSTITUTE(F242," ",""),"-",""),"")))</f>
        <v>RSHC01Cr20</v>
      </c>
      <c r="D242" s="6" t="s">
        <v>36</v>
      </c>
      <c r="E242" s="11" t="s">
        <v>47</v>
      </c>
      <c r="F242" s="11" t="s">
        <v>801</v>
      </c>
      <c r="G242" s="11" t="s">
        <v>823</v>
      </c>
      <c r="H242" s="18">
        <v>1.61</v>
      </c>
      <c r="I242" s="5" t="s">
        <v>52</v>
      </c>
      <c r="J242" s="19">
        <v>1</v>
      </c>
      <c r="K242" s="5" t="s">
        <v>49</v>
      </c>
      <c r="L242" s="5" t="s">
        <v>53</v>
      </c>
      <c r="M242" s="23" t="s">
        <v>802</v>
      </c>
      <c r="N242" s="25"/>
      <c r="O242" s="25"/>
      <c r="P242" s="25"/>
      <c r="Q242" s="17" t="s">
        <v>43</v>
      </c>
    </row>
    <row r="243" spans="2:17">
      <c r="B243" s="11" t="s">
        <v>803</v>
      </c>
      <c r="C243" s="5" t="str">
        <f>IF(E243="","",IF(G243&lt;&gt;"",SUBSTITUTE(SUBSTITUTE(G243," ",""),"-",""),IF(F243&lt;&gt;"",SUBSTITUTE(SUBSTITUTE(F243," ",""),"-",""),"")))</f>
        <v>RSHC01Cr21</v>
      </c>
      <c r="D243" s="6" t="s">
        <v>36</v>
      </c>
      <c r="E243" s="11" t="s">
        <v>47</v>
      </c>
      <c r="F243" s="11" t="s">
        <v>801</v>
      </c>
      <c r="G243" s="11" t="s">
        <v>824</v>
      </c>
      <c r="H243" s="18">
        <v>1.61</v>
      </c>
      <c r="I243" s="5" t="s">
        <v>52</v>
      </c>
      <c r="J243" s="19">
        <v>1</v>
      </c>
      <c r="K243" s="5" t="s">
        <v>49</v>
      </c>
      <c r="L243" s="5" t="s">
        <v>53</v>
      </c>
      <c r="M243" s="23" t="s">
        <v>802</v>
      </c>
      <c r="N243" s="25"/>
      <c r="O243" s="25"/>
      <c r="P243" s="25"/>
      <c r="Q243" s="17" t="s">
        <v>43</v>
      </c>
    </row>
    <row r="244" spans="2:17">
      <c r="B244" s="11" t="s">
        <v>803</v>
      </c>
      <c r="C244" s="5" t="str">
        <f>IF(E244="","",IF(G244&lt;&gt;"",SUBSTITUTE(SUBSTITUTE(G244," ",""),"-",""),IF(F244&lt;&gt;"",SUBSTITUTE(SUBSTITUTE(F244," ",""),"-",""),"")))</f>
        <v>RSHC01Cr22</v>
      </c>
      <c r="D244" s="6" t="s">
        <v>36</v>
      </c>
      <c r="E244" s="11" t="s">
        <v>47</v>
      </c>
      <c r="F244" s="11" t="s">
        <v>801</v>
      </c>
      <c r="G244" s="11" t="s">
        <v>825</v>
      </c>
      <c r="H244" s="18">
        <v>1.61</v>
      </c>
      <c r="I244" s="5" t="s">
        <v>52</v>
      </c>
      <c r="J244" s="19">
        <v>1</v>
      </c>
      <c r="K244" s="5" t="s">
        <v>49</v>
      </c>
      <c r="L244" s="5" t="s">
        <v>53</v>
      </c>
      <c r="M244" s="23" t="s">
        <v>802</v>
      </c>
      <c r="N244" s="25"/>
      <c r="O244" s="25"/>
      <c r="P244" s="25"/>
      <c r="Q244" s="17" t="s">
        <v>43</v>
      </c>
    </row>
    <row r="245" spans="2:17">
      <c r="B245" s="11" t="s">
        <v>803</v>
      </c>
      <c r="C245" s="5" t="str">
        <f>IF(E245="","",IF(G245&lt;&gt;"",SUBSTITUTE(SUBSTITUTE(G245," ",""),"-",""),IF(F245&lt;&gt;"",SUBSTITUTE(SUBSTITUTE(F245," ",""),"-",""),"")))</f>
        <v>RSHC01Cr23</v>
      </c>
      <c r="D245" s="6" t="s">
        <v>36</v>
      </c>
      <c r="E245" s="11" t="s">
        <v>47</v>
      </c>
      <c r="F245" s="11" t="s">
        <v>801</v>
      </c>
      <c r="G245" s="11" t="s">
        <v>826</v>
      </c>
      <c r="H245" s="18">
        <v>1.61</v>
      </c>
      <c r="I245" s="5" t="s">
        <v>52</v>
      </c>
      <c r="J245" s="19">
        <v>1</v>
      </c>
      <c r="K245" s="5" t="s">
        <v>49</v>
      </c>
      <c r="L245" s="5" t="s">
        <v>53</v>
      </c>
      <c r="M245" s="23" t="s">
        <v>802</v>
      </c>
      <c r="N245" s="25"/>
      <c r="O245" s="25"/>
      <c r="P245" s="25"/>
      <c r="Q245" s="17" t="s">
        <v>43</v>
      </c>
    </row>
    <row r="246" spans="2:17">
      <c r="B246" s="11" t="s">
        <v>803</v>
      </c>
      <c r="C246" s="5" t="str">
        <f>IF(E246="","",IF(G246&lt;&gt;"",SUBSTITUTE(SUBSTITUTE(G246," ",""),"-",""),IF(F246&lt;&gt;"",SUBSTITUTE(SUBSTITUTE(F246," ",""),"-",""),"")))</f>
        <v>RSHC01Cr24</v>
      </c>
      <c r="D246" s="6" t="s">
        <v>36</v>
      </c>
      <c r="E246" s="11" t="s">
        <v>47</v>
      </c>
      <c r="F246" s="11" t="s">
        <v>801</v>
      </c>
      <c r="G246" s="11" t="s">
        <v>827</v>
      </c>
      <c r="H246" s="18">
        <v>1.61</v>
      </c>
      <c r="I246" s="5" t="s">
        <v>52</v>
      </c>
      <c r="J246" s="19">
        <v>1</v>
      </c>
      <c r="K246" s="5" t="s">
        <v>49</v>
      </c>
      <c r="L246" s="5" t="s">
        <v>53</v>
      </c>
      <c r="M246" s="23" t="s">
        <v>802</v>
      </c>
      <c r="N246" s="25"/>
      <c r="O246" s="25"/>
      <c r="P246" s="25"/>
      <c r="Q246" s="17" t="s">
        <v>43</v>
      </c>
    </row>
    <row r="247" spans="2:17">
      <c r="B247" s="11" t="s">
        <v>803</v>
      </c>
      <c r="C247" s="5" t="str">
        <f>IF(E247="","",IF(G247&lt;&gt;"",SUBSTITUTE(SUBSTITUTE(G247," ",""),"-",""),IF(F247&lt;&gt;"",SUBSTITUTE(SUBSTITUTE(F247," ",""),"-",""),"")))</f>
        <v>RSHC01Cr25</v>
      </c>
      <c r="D247" s="6" t="s">
        <v>36</v>
      </c>
      <c r="E247" s="11" t="s">
        <v>47</v>
      </c>
      <c r="F247" s="11" t="s">
        <v>801</v>
      </c>
      <c r="G247" s="11" t="s">
        <v>828</v>
      </c>
      <c r="H247" s="18">
        <v>1.61</v>
      </c>
      <c r="I247" s="5" t="s">
        <v>52</v>
      </c>
      <c r="J247" s="19">
        <v>1</v>
      </c>
      <c r="K247" s="5" t="s">
        <v>49</v>
      </c>
      <c r="L247" s="5" t="s">
        <v>53</v>
      </c>
      <c r="M247" s="23" t="s">
        <v>802</v>
      </c>
      <c r="N247" s="25"/>
      <c r="O247" s="25"/>
      <c r="P247" s="25"/>
      <c r="Q247" s="17" t="s">
        <v>43</v>
      </c>
    </row>
    <row r="248" spans="2:17">
      <c r="B248" s="11" t="s">
        <v>803</v>
      </c>
      <c r="C248" s="5" t="str">
        <f>IF(E248="","",IF(G248&lt;&gt;"",SUBSTITUTE(SUBSTITUTE(G248," ",""),"-",""),IF(F248&lt;&gt;"",SUBSTITUTE(SUBSTITUTE(F248," ",""),"-",""),"")))</f>
        <v>RSHC01Cr26</v>
      </c>
      <c r="D248" s="6" t="s">
        <v>36</v>
      </c>
      <c r="E248" s="11" t="s">
        <v>47</v>
      </c>
      <c r="F248" s="11" t="s">
        <v>801</v>
      </c>
      <c r="G248" s="11" t="s">
        <v>829</v>
      </c>
      <c r="H248" s="18">
        <v>1.61</v>
      </c>
      <c r="I248" s="5" t="s">
        <v>52</v>
      </c>
      <c r="J248" s="19">
        <v>1</v>
      </c>
      <c r="K248" s="5" t="s">
        <v>49</v>
      </c>
      <c r="L248" s="5" t="s">
        <v>53</v>
      </c>
      <c r="M248" s="23" t="s">
        <v>802</v>
      </c>
      <c r="N248" s="25"/>
      <c r="O248" s="25"/>
      <c r="P248" s="25"/>
      <c r="Q248" s="17" t="s">
        <v>43</v>
      </c>
    </row>
    <row r="249" spans="2:17">
      <c r="B249" s="11" t="s">
        <v>803</v>
      </c>
      <c r="C249" s="5" t="str">
        <f>IF(E249="","",IF(G249&lt;&gt;"",SUBSTITUTE(SUBSTITUTE(G249," ",""),"-",""),IF(F249&lt;&gt;"",SUBSTITUTE(SUBSTITUTE(F249," ",""),"-",""),"")))</f>
        <v>RSHC01Cr27</v>
      </c>
      <c r="D249" s="6" t="s">
        <v>36</v>
      </c>
      <c r="E249" s="11" t="s">
        <v>47</v>
      </c>
      <c r="F249" s="11" t="s">
        <v>801</v>
      </c>
      <c r="G249" s="11" t="s">
        <v>830</v>
      </c>
      <c r="H249" s="18">
        <v>1.61</v>
      </c>
      <c r="I249" s="5" t="s">
        <v>52</v>
      </c>
      <c r="J249" s="19">
        <v>1</v>
      </c>
      <c r="K249" s="5" t="s">
        <v>49</v>
      </c>
      <c r="L249" s="5" t="s">
        <v>53</v>
      </c>
      <c r="M249" s="23" t="s">
        <v>802</v>
      </c>
      <c r="N249" s="25"/>
      <c r="O249" s="25"/>
      <c r="P249" s="25"/>
      <c r="Q249" s="17" t="s">
        <v>43</v>
      </c>
    </row>
    <row r="250" spans="2:17">
      <c r="B250" s="11" t="s">
        <v>803</v>
      </c>
      <c r="C250" s="5" t="str">
        <f>IF(E250="","",IF(G250&lt;&gt;"",SUBSTITUTE(SUBSTITUTE(G250," ",""),"-",""),IF(F250&lt;&gt;"",SUBSTITUTE(SUBSTITUTE(F250," ",""),"-",""),"")))</f>
        <v>RSHC01Cr28</v>
      </c>
      <c r="D250" s="6" t="s">
        <v>36</v>
      </c>
      <c r="E250" s="11" t="s">
        <v>47</v>
      </c>
      <c r="F250" s="11" t="s">
        <v>801</v>
      </c>
      <c r="G250" s="11" t="s">
        <v>831</v>
      </c>
      <c r="H250" s="18">
        <v>1.61</v>
      </c>
      <c r="I250" s="5" t="s">
        <v>52</v>
      </c>
      <c r="J250" s="19">
        <v>1</v>
      </c>
      <c r="K250" s="5" t="s">
        <v>49</v>
      </c>
      <c r="L250" s="5" t="s">
        <v>53</v>
      </c>
      <c r="M250" s="23" t="s">
        <v>802</v>
      </c>
      <c r="N250" s="25"/>
      <c r="O250" s="25"/>
      <c r="P250" s="25"/>
      <c r="Q250" s="17" t="s">
        <v>43</v>
      </c>
    </row>
    <row r="251" spans="2:17">
      <c r="B251" s="11" t="s">
        <v>803</v>
      </c>
      <c r="C251" s="5" t="str">
        <f>IF(E251="","",IF(G251&lt;&gt;"",SUBSTITUTE(SUBSTITUTE(G251," ",""),"-",""),IF(F251&lt;&gt;"",SUBSTITUTE(SUBSTITUTE(F251," ",""),"-",""),"")))</f>
        <v>RSHC01Cr29</v>
      </c>
      <c r="D251" s="6" t="s">
        <v>36</v>
      </c>
      <c r="E251" s="11" t="s">
        <v>47</v>
      </c>
      <c r="F251" s="11" t="s">
        <v>801</v>
      </c>
      <c r="G251" s="11" t="s">
        <v>832</v>
      </c>
      <c r="H251" s="18">
        <v>1.61</v>
      </c>
      <c r="I251" s="5" t="s">
        <v>52</v>
      </c>
      <c r="J251" s="19">
        <v>1</v>
      </c>
      <c r="K251" s="5" t="s">
        <v>49</v>
      </c>
      <c r="L251" s="5" t="s">
        <v>53</v>
      </c>
      <c r="M251" s="23" t="s">
        <v>802</v>
      </c>
      <c r="N251" s="25"/>
      <c r="O251" s="25"/>
      <c r="P251" s="25"/>
      <c r="Q251" s="17" t="s">
        <v>43</v>
      </c>
    </row>
    <row r="252" spans="2:17">
      <c r="B252" s="11" t="s">
        <v>803</v>
      </c>
      <c r="C252" s="5" t="str">
        <f>IF(E252="","",IF(G252&lt;&gt;"",SUBSTITUTE(SUBSTITUTE(G252," ",""),"-",""),IF(F252&lt;&gt;"",SUBSTITUTE(SUBSTITUTE(F252," ",""),"-",""),"")))</f>
        <v>RSHC01Cr30</v>
      </c>
      <c r="D252" s="6" t="s">
        <v>36</v>
      </c>
      <c r="E252" s="11" t="s">
        <v>47</v>
      </c>
      <c r="F252" s="11" t="s">
        <v>801</v>
      </c>
      <c r="G252" s="11" t="s">
        <v>833</v>
      </c>
      <c r="H252" s="18">
        <v>1.61</v>
      </c>
      <c r="I252" s="5" t="s">
        <v>52</v>
      </c>
      <c r="J252" s="19">
        <v>1</v>
      </c>
      <c r="K252" s="5" t="s">
        <v>49</v>
      </c>
      <c r="L252" s="5" t="s">
        <v>53</v>
      </c>
      <c r="M252" s="23" t="s">
        <v>802</v>
      </c>
      <c r="N252" s="25"/>
      <c r="O252" s="25"/>
      <c r="P252" s="25"/>
      <c r="Q252" s="17" t="s">
        <v>43</v>
      </c>
    </row>
    <row r="253" spans="2:17">
      <c r="B253" s="11" t="s">
        <v>803</v>
      </c>
      <c r="C253" s="5" t="str">
        <f>IF(E253="","",IF(G253&lt;&gt;"",SUBSTITUTE(SUBSTITUTE(G253," ",""),"-",""),IF(F253&lt;&gt;"",SUBSTITUTE(SUBSTITUTE(F253," ",""),"-",""),"")))</f>
        <v>RSHC01Cr31</v>
      </c>
      <c r="D253" s="6" t="s">
        <v>36</v>
      </c>
      <c r="E253" s="11" t="s">
        <v>47</v>
      </c>
      <c r="F253" s="11" t="s">
        <v>801</v>
      </c>
      <c r="G253" s="11" t="s">
        <v>834</v>
      </c>
      <c r="H253" s="18">
        <v>1.61</v>
      </c>
      <c r="I253" s="5" t="s">
        <v>52</v>
      </c>
      <c r="J253" s="19">
        <v>1</v>
      </c>
      <c r="K253" s="5" t="s">
        <v>49</v>
      </c>
      <c r="L253" s="5" t="s">
        <v>53</v>
      </c>
      <c r="M253" s="23" t="s">
        <v>802</v>
      </c>
      <c r="N253" s="25"/>
      <c r="O253" s="25"/>
      <c r="P253" s="25"/>
      <c r="Q253" s="17" t="s">
        <v>43</v>
      </c>
    </row>
    <row r="254" spans="2:17">
      <c r="B254" s="11" t="s">
        <v>803</v>
      </c>
      <c r="C254" s="5" t="str">
        <f>IF(E254="","",IF(G254&lt;&gt;"",SUBSTITUTE(SUBSTITUTE(G254," ",""),"-",""),IF(F254&lt;&gt;"",SUBSTITUTE(SUBSTITUTE(F254," ",""),"-",""),"")))</f>
        <v>RSHC01Cr32</v>
      </c>
      <c r="D254" s="6" t="s">
        <v>36</v>
      </c>
      <c r="E254" s="11" t="s">
        <v>47</v>
      </c>
      <c r="F254" s="11" t="s">
        <v>801</v>
      </c>
      <c r="G254" s="11" t="s">
        <v>835</v>
      </c>
      <c r="H254" s="18">
        <v>1.61</v>
      </c>
      <c r="I254" s="5" t="s">
        <v>52</v>
      </c>
      <c r="J254" s="19">
        <v>1</v>
      </c>
      <c r="K254" s="5" t="s">
        <v>49</v>
      </c>
      <c r="L254" s="5" t="s">
        <v>53</v>
      </c>
      <c r="M254" s="23" t="s">
        <v>802</v>
      </c>
      <c r="N254" s="25"/>
      <c r="O254" s="25"/>
      <c r="P254" s="25"/>
      <c r="Q254" s="17" t="s">
        <v>43</v>
      </c>
    </row>
    <row r="255" spans="2:17">
      <c r="B255" s="11" t="s">
        <v>803</v>
      </c>
      <c r="C255" s="5" t="str">
        <f>IF(E255="","",IF(G255&lt;&gt;"",SUBSTITUTE(SUBSTITUTE(G255," ",""),"-",""),IF(F255&lt;&gt;"",SUBSTITUTE(SUBSTITUTE(F255," ",""),"-",""),"")))</f>
        <v>RSHC01Cr33</v>
      </c>
      <c r="D255" s="6" t="s">
        <v>36</v>
      </c>
      <c r="E255" s="11" t="s">
        <v>47</v>
      </c>
      <c r="F255" s="11" t="s">
        <v>801</v>
      </c>
      <c r="G255" s="11" t="s">
        <v>836</v>
      </c>
      <c r="H255" s="18">
        <v>1.61</v>
      </c>
      <c r="I255" s="5" t="s">
        <v>52</v>
      </c>
      <c r="J255" s="19">
        <v>1</v>
      </c>
      <c r="K255" s="5" t="s">
        <v>49</v>
      </c>
      <c r="L255" s="5" t="s">
        <v>53</v>
      </c>
      <c r="M255" s="23" t="s">
        <v>802</v>
      </c>
      <c r="N255" s="25"/>
      <c r="O255" s="25"/>
      <c r="P255" s="25"/>
      <c r="Q255" s="17" t="s">
        <v>43</v>
      </c>
    </row>
    <row r="256" spans="2:17">
      <c r="B256" s="11" t="s">
        <v>803</v>
      </c>
      <c r="C256" s="5" t="str">
        <f>IF(E256="","",IF(G256&lt;&gt;"",SUBSTITUTE(SUBSTITUTE(G256," ",""),"-",""),IF(F256&lt;&gt;"",SUBSTITUTE(SUBSTITUTE(F256," ",""),"-",""),"")))</f>
        <v>RSHC01Cr34</v>
      </c>
      <c r="D256" s="6" t="s">
        <v>36</v>
      </c>
      <c r="E256" s="11" t="s">
        <v>47</v>
      </c>
      <c r="F256" s="11" t="s">
        <v>801</v>
      </c>
      <c r="G256" s="11" t="s">
        <v>837</v>
      </c>
      <c r="H256" s="18">
        <v>1.61</v>
      </c>
      <c r="I256" s="5" t="s">
        <v>52</v>
      </c>
      <c r="J256" s="19">
        <v>1</v>
      </c>
      <c r="K256" s="5" t="s">
        <v>49</v>
      </c>
      <c r="L256" s="5" t="s">
        <v>53</v>
      </c>
      <c r="M256" s="23" t="s">
        <v>802</v>
      </c>
      <c r="N256" s="25"/>
      <c r="O256" s="25"/>
      <c r="P256" s="25"/>
      <c r="Q256" s="17" t="s">
        <v>43</v>
      </c>
    </row>
    <row r="257" spans="2:17">
      <c r="B257" s="11" t="s">
        <v>803</v>
      </c>
      <c r="C257" s="5" t="str">
        <f>IF(E257="","",IF(G257&lt;&gt;"",SUBSTITUTE(SUBSTITUTE(G257," ",""),"-",""),IF(F257&lt;&gt;"",SUBSTITUTE(SUBSTITUTE(F257," ",""),"-",""),"")))</f>
        <v>RSHC01Cr35</v>
      </c>
      <c r="D257" s="6" t="s">
        <v>36</v>
      </c>
      <c r="E257" s="11" t="s">
        <v>47</v>
      </c>
      <c r="F257" s="11" t="s">
        <v>801</v>
      </c>
      <c r="G257" s="11" t="s">
        <v>838</v>
      </c>
      <c r="H257" s="18">
        <v>1.61</v>
      </c>
      <c r="I257" s="5" t="s">
        <v>52</v>
      </c>
      <c r="J257" s="19">
        <v>1</v>
      </c>
      <c r="K257" s="5" t="s">
        <v>49</v>
      </c>
      <c r="L257" s="5" t="s">
        <v>53</v>
      </c>
      <c r="M257" s="23" t="s">
        <v>802</v>
      </c>
      <c r="N257" s="25"/>
      <c r="O257" s="25"/>
      <c r="P257" s="25"/>
      <c r="Q257" s="17" t="s">
        <v>43</v>
      </c>
    </row>
    <row r="258" spans="2:17">
      <c r="B258" s="11" t="s">
        <v>803</v>
      </c>
      <c r="C258" s="5" t="str">
        <f>IF(E258="","",IF(G258&lt;&gt;"",SUBSTITUTE(SUBSTITUTE(G258," ",""),"-",""),IF(F258&lt;&gt;"",SUBSTITUTE(SUBSTITUTE(F258," ",""),"-",""),"")))</f>
        <v>RSHC01Cr36</v>
      </c>
      <c r="D258" s="6" t="s">
        <v>36</v>
      </c>
      <c r="E258" s="11" t="s">
        <v>47</v>
      </c>
      <c r="F258" s="11" t="s">
        <v>801</v>
      </c>
      <c r="G258" s="11" t="s">
        <v>839</v>
      </c>
      <c r="H258" s="18">
        <v>1.61</v>
      </c>
      <c r="I258" s="5" t="s">
        <v>52</v>
      </c>
      <c r="J258" s="19">
        <v>1</v>
      </c>
      <c r="K258" s="5" t="s">
        <v>49</v>
      </c>
      <c r="L258" s="5" t="s">
        <v>53</v>
      </c>
      <c r="M258" s="23" t="s">
        <v>802</v>
      </c>
      <c r="N258" s="25"/>
      <c r="O258" s="25"/>
      <c r="P258" s="25"/>
      <c r="Q258" s="17" t="s">
        <v>43</v>
      </c>
    </row>
    <row r="259" spans="2:17">
      <c r="B259" s="11" t="s">
        <v>803</v>
      </c>
      <c r="C259" s="5" t="str">
        <f>IF(E259="","",IF(G259&lt;&gt;"",SUBSTITUTE(SUBSTITUTE(G259," ",""),"-",""),IF(F259&lt;&gt;"",SUBSTITUTE(SUBSTITUTE(F259," ",""),"-",""),"")))</f>
        <v>RSHC01Cr37</v>
      </c>
      <c r="D259" s="6" t="s">
        <v>36</v>
      </c>
      <c r="E259" s="11" t="s">
        <v>47</v>
      </c>
      <c r="F259" s="11" t="s">
        <v>801</v>
      </c>
      <c r="G259" s="11" t="s">
        <v>840</v>
      </c>
      <c r="H259" s="18">
        <v>1.61</v>
      </c>
      <c r="I259" s="5" t="s">
        <v>52</v>
      </c>
      <c r="J259" s="19">
        <v>1</v>
      </c>
      <c r="K259" s="5" t="s">
        <v>49</v>
      </c>
      <c r="L259" s="5" t="s">
        <v>53</v>
      </c>
      <c r="M259" s="23" t="s">
        <v>802</v>
      </c>
      <c r="N259" s="25"/>
      <c r="O259" s="25"/>
      <c r="P259" s="25"/>
      <c r="Q259" s="17" t="s">
        <v>43</v>
      </c>
    </row>
    <row r="260" spans="2:17">
      <c r="B260" s="11" t="s">
        <v>803</v>
      </c>
      <c r="C260" s="5" t="str">
        <f>IF(E260="","",IF(G260&lt;&gt;"",SUBSTITUTE(SUBSTITUTE(G260," ",""),"-",""),IF(F260&lt;&gt;"",SUBSTITUTE(SUBSTITUTE(F260," ",""),"-",""),"")))</f>
        <v>RSHC01Cr38</v>
      </c>
      <c r="D260" s="6" t="s">
        <v>36</v>
      </c>
      <c r="E260" s="11" t="s">
        <v>47</v>
      </c>
      <c r="F260" s="11" t="s">
        <v>801</v>
      </c>
      <c r="G260" s="11" t="s">
        <v>841</v>
      </c>
      <c r="H260" s="18">
        <v>1.61</v>
      </c>
      <c r="I260" s="5" t="s">
        <v>52</v>
      </c>
      <c r="J260" s="19">
        <v>1</v>
      </c>
      <c r="K260" s="5" t="s">
        <v>49</v>
      </c>
      <c r="L260" s="5" t="s">
        <v>53</v>
      </c>
      <c r="M260" s="23" t="s">
        <v>802</v>
      </c>
      <c r="N260" s="25"/>
      <c r="O260" s="25"/>
      <c r="P260" s="25"/>
      <c r="Q260" s="17" t="s">
        <v>43</v>
      </c>
    </row>
    <row r="261" spans="2:17">
      <c r="B261" s="11" t="s">
        <v>803</v>
      </c>
      <c r="C261" s="5" t="str">
        <f>IF(E261="","",IF(G261&lt;&gt;"",SUBSTITUTE(SUBSTITUTE(G261," ",""),"-",""),IF(F261&lt;&gt;"",SUBSTITUTE(SUBSTITUTE(F261," ",""),"-",""),"")))</f>
        <v>RSHC01Cr39</v>
      </c>
      <c r="D261" s="6" t="s">
        <v>36</v>
      </c>
      <c r="E261" s="11" t="s">
        <v>47</v>
      </c>
      <c r="F261" s="11" t="s">
        <v>801</v>
      </c>
      <c r="G261" s="11" t="s">
        <v>842</v>
      </c>
      <c r="H261" s="18">
        <v>1.61</v>
      </c>
      <c r="I261" s="5" t="s">
        <v>52</v>
      </c>
      <c r="J261" s="19">
        <v>1</v>
      </c>
      <c r="K261" s="5" t="s">
        <v>49</v>
      </c>
      <c r="L261" s="5" t="s">
        <v>53</v>
      </c>
      <c r="M261" s="23" t="s">
        <v>802</v>
      </c>
      <c r="N261" s="25"/>
      <c r="O261" s="25"/>
      <c r="P261" s="25"/>
      <c r="Q261" s="17" t="s">
        <v>43</v>
      </c>
    </row>
    <row r="262" spans="2:17">
      <c r="B262" s="11" t="s">
        <v>803</v>
      </c>
      <c r="C262" s="5" t="str">
        <f>IF(E262="","",IF(G262&lt;&gt;"",SUBSTITUTE(SUBSTITUTE(G262," ",""),"-",""),IF(F262&lt;&gt;"",SUBSTITUTE(SUBSTITUTE(F262," ",""),"-",""),"")))</f>
        <v>RSHC01Cr40</v>
      </c>
      <c r="D262" s="6" t="s">
        <v>36</v>
      </c>
      <c r="E262" s="11" t="s">
        <v>47</v>
      </c>
      <c r="F262" s="11" t="s">
        <v>801</v>
      </c>
      <c r="G262" s="11" t="s">
        <v>843</v>
      </c>
      <c r="H262" s="18">
        <v>1.61</v>
      </c>
      <c r="I262" s="5" t="s">
        <v>52</v>
      </c>
      <c r="J262" s="19">
        <v>1</v>
      </c>
      <c r="K262" s="5" t="s">
        <v>49</v>
      </c>
      <c r="L262" s="5" t="s">
        <v>53</v>
      </c>
      <c r="M262" s="23" t="s">
        <v>802</v>
      </c>
      <c r="N262" s="25"/>
      <c r="O262" s="25"/>
      <c r="P262" s="25"/>
      <c r="Q262" s="17" t="s">
        <v>43</v>
      </c>
    </row>
    <row r="263" spans="2:17">
      <c r="B263" s="11" t="s">
        <v>803</v>
      </c>
      <c r="C263" s="5" t="str">
        <f>IF(E263="","",IF(G263&lt;&gt;"",SUBSTITUTE(SUBSTITUTE(G263," ",""),"-",""),IF(F263&lt;&gt;"",SUBSTITUTE(SUBSTITUTE(F263," ",""),"-",""),"")))</f>
        <v>RSHC01Cr41</v>
      </c>
      <c r="D263" s="6" t="s">
        <v>36</v>
      </c>
      <c r="E263" s="11" t="s">
        <v>47</v>
      </c>
      <c r="F263" s="11" t="s">
        <v>801</v>
      </c>
      <c r="G263" s="11" t="s">
        <v>844</v>
      </c>
      <c r="H263" s="18">
        <v>1.61</v>
      </c>
      <c r="I263" s="5" t="s">
        <v>52</v>
      </c>
      <c r="J263" s="19">
        <v>1</v>
      </c>
      <c r="K263" s="5" t="s">
        <v>49</v>
      </c>
      <c r="L263" s="5" t="s">
        <v>53</v>
      </c>
      <c r="M263" s="23" t="s">
        <v>802</v>
      </c>
      <c r="N263" s="25"/>
      <c r="O263" s="25"/>
      <c r="P263" s="25"/>
      <c r="Q263" s="17" t="s">
        <v>43</v>
      </c>
    </row>
    <row r="264" spans="2:17">
      <c r="B264" s="11" t="s">
        <v>803</v>
      </c>
      <c r="C264" s="5" t="str">
        <f>IF(E264="","",IF(G264&lt;&gt;"",SUBSTITUTE(SUBSTITUTE(G264," ",""),"-",""),IF(F264&lt;&gt;"",SUBSTITUTE(SUBSTITUTE(F264," ",""),"-",""),"")))</f>
        <v>RSHC01Cr42</v>
      </c>
      <c r="D264" s="6" t="s">
        <v>36</v>
      </c>
      <c r="E264" s="11" t="s">
        <v>47</v>
      </c>
      <c r="F264" s="11" t="s">
        <v>801</v>
      </c>
      <c r="G264" s="11" t="s">
        <v>845</v>
      </c>
      <c r="H264" s="18">
        <v>1.61</v>
      </c>
      <c r="I264" s="5" t="s">
        <v>52</v>
      </c>
      <c r="J264" s="19">
        <v>1</v>
      </c>
      <c r="K264" s="5" t="s">
        <v>49</v>
      </c>
      <c r="L264" s="5" t="s">
        <v>53</v>
      </c>
      <c r="M264" s="23" t="s">
        <v>802</v>
      </c>
      <c r="N264" s="25"/>
      <c r="O264" s="25"/>
      <c r="P264" s="25"/>
      <c r="Q264" s="17" t="s">
        <v>43</v>
      </c>
    </row>
    <row r="265" spans="2:17">
      <c r="B265" s="11" t="s">
        <v>803</v>
      </c>
      <c r="C265" s="5" t="str">
        <f>IF(E265="","",IF(G265&lt;&gt;"",SUBSTITUTE(SUBSTITUTE(G265," ",""),"-",""),IF(F265&lt;&gt;"",SUBSTITUTE(SUBSTITUTE(F265," ",""),"-",""),"")))</f>
        <v>RSHC01Cr43</v>
      </c>
      <c r="D265" s="6" t="s">
        <v>36</v>
      </c>
      <c r="E265" s="11" t="s">
        <v>47</v>
      </c>
      <c r="F265" s="11" t="s">
        <v>801</v>
      </c>
      <c r="G265" s="11" t="s">
        <v>846</v>
      </c>
      <c r="H265" s="18">
        <v>1.61</v>
      </c>
      <c r="I265" s="5" t="s">
        <v>52</v>
      </c>
      <c r="J265" s="19">
        <v>1</v>
      </c>
      <c r="K265" s="5" t="s">
        <v>49</v>
      </c>
      <c r="L265" s="5" t="s">
        <v>53</v>
      </c>
      <c r="M265" s="23" t="s">
        <v>802</v>
      </c>
      <c r="N265" s="25"/>
      <c r="O265" s="25"/>
      <c r="P265" s="25"/>
      <c r="Q265" s="17" t="s">
        <v>43</v>
      </c>
    </row>
    <row r="266" spans="2:17">
      <c r="B266" s="11" t="s">
        <v>803</v>
      </c>
      <c r="C266" s="5" t="str">
        <f>IF(E266="","",IF(G266&lt;&gt;"",SUBSTITUTE(SUBSTITUTE(G266," ",""),"-",""),IF(F266&lt;&gt;"",SUBSTITUTE(SUBSTITUTE(F266," ",""),"-",""),"")))</f>
        <v>RSHC01Cr44</v>
      </c>
      <c r="D266" s="6" t="s">
        <v>36</v>
      </c>
      <c r="E266" s="11" t="s">
        <v>47</v>
      </c>
      <c r="F266" s="11" t="s">
        <v>801</v>
      </c>
      <c r="G266" s="11" t="s">
        <v>847</v>
      </c>
      <c r="H266" s="18">
        <v>1.61</v>
      </c>
      <c r="I266" s="5" t="s">
        <v>52</v>
      </c>
      <c r="J266" s="19">
        <v>1</v>
      </c>
      <c r="K266" s="5" t="s">
        <v>49</v>
      </c>
      <c r="L266" s="5" t="s">
        <v>53</v>
      </c>
      <c r="M266" s="23" t="s">
        <v>802</v>
      </c>
      <c r="N266" s="25"/>
      <c r="O266" s="25"/>
      <c r="P266" s="25"/>
      <c r="Q266" s="17" t="s">
        <v>43</v>
      </c>
    </row>
    <row r="267" spans="2:17">
      <c r="B267" s="11" t="s">
        <v>803</v>
      </c>
      <c r="C267" s="5" t="str">
        <f>IF(E267="","",IF(G267&lt;&gt;"",SUBSTITUTE(SUBSTITUTE(G267," ",""),"-",""),IF(F267&lt;&gt;"",SUBSTITUTE(SUBSTITUTE(F267," ",""),"-",""),"")))</f>
        <v>RSHC01Cr45</v>
      </c>
      <c r="D267" s="6" t="s">
        <v>36</v>
      </c>
      <c r="E267" s="11" t="s">
        <v>47</v>
      </c>
      <c r="F267" s="11" t="s">
        <v>801</v>
      </c>
      <c r="G267" s="11" t="s">
        <v>848</v>
      </c>
      <c r="H267" s="18">
        <v>1.61</v>
      </c>
      <c r="I267" s="5" t="s">
        <v>52</v>
      </c>
      <c r="J267" s="19">
        <v>1</v>
      </c>
      <c r="K267" s="5" t="s">
        <v>49</v>
      </c>
      <c r="L267" s="5" t="s">
        <v>53</v>
      </c>
      <c r="M267" s="23" t="s">
        <v>802</v>
      </c>
      <c r="N267" s="25"/>
      <c r="O267" s="25"/>
      <c r="P267" s="25"/>
      <c r="Q267" s="17" t="s">
        <v>43</v>
      </c>
    </row>
    <row r="268" spans="2:17">
      <c r="B268" s="11" t="s">
        <v>803</v>
      </c>
      <c r="C268" s="5" t="str">
        <f>IF(E268="","",IF(G268&lt;&gt;"",SUBSTITUTE(SUBSTITUTE(G268," ",""),"-",""),IF(F268&lt;&gt;"",SUBSTITUTE(SUBSTITUTE(F268," ",""),"-",""),"")))</f>
        <v>RSHC01Cr46</v>
      </c>
      <c r="D268" s="6" t="s">
        <v>36</v>
      </c>
      <c r="E268" s="11" t="s">
        <v>47</v>
      </c>
      <c r="F268" s="11" t="s">
        <v>801</v>
      </c>
      <c r="G268" s="11" t="s">
        <v>849</v>
      </c>
      <c r="H268" s="18">
        <v>1.61</v>
      </c>
      <c r="I268" s="5" t="s">
        <v>52</v>
      </c>
      <c r="J268" s="19">
        <v>1</v>
      </c>
      <c r="K268" s="5" t="s">
        <v>49</v>
      </c>
      <c r="L268" s="5" t="s">
        <v>53</v>
      </c>
      <c r="M268" s="23" t="s">
        <v>802</v>
      </c>
      <c r="N268" s="25"/>
      <c r="O268" s="25"/>
      <c r="P268" s="25"/>
      <c r="Q268" s="17" t="s">
        <v>43</v>
      </c>
    </row>
    <row r="269" spans="2:17">
      <c r="B269" s="11" t="s">
        <v>803</v>
      </c>
      <c r="C269" s="5" t="str">
        <f>IF(E269="","",IF(G269&lt;&gt;"",SUBSTITUTE(SUBSTITUTE(G269," ",""),"-",""),IF(F269&lt;&gt;"",SUBSTITUTE(SUBSTITUTE(F269," ",""),"-",""),"")))</f>
        <v>RSHC01Cr47</v>
      </c>
      <c r="D269" s="6" t="s">
        <v>36</v>
      </c>
      <c r="E269" s="11" t="s">
        <v>47</v>
      </c>
      <c r="F269" s="11" t="s">
        <v>801</v>
      </c>
      <c r="G269" s="11" t="s">
        <v>850</v>
      </c>
      <c r="H269" s="18">
        <v>1.61</v>
      </c>
      <c r="I269" s="5" t="s">
        <v>52</v>
      </c>
      <c r="J269" s="19">
        <v>1</v>
      </c>
      <c r="K269" s="5" t="s">
        <v>49</v>
      </c>
      <c r="L269" s="5" t="s">
        <v>53</v>
      </c>
      <c r="M269" s="23" t="s">
        <v>802</v>
      </c>
      <c r="N269" s="25"/>
      <c r="O269" s="25"/>
      <c r="P269" s="25"/>
      <c r="Q269" s="17" t="s">
        <v>43</v>
      </c>
    </row>
    <row r="270" spans="2:17">
      <c r="B270" s="11" t="s">
        <v>803</v>
      </c>
      <c r="C270" s="5" t="str">
        <f>IF(E270="","",IF(G270&lt;&gt;"",SUBSTITUTE(SUBSTITUTE(G270," ",""),"-",""),IF(F270&lt;&gt;"",SUBSTITUTE(SUBSTITUTE(F270," ",""),"-",""),"")))</f>
        <v>RSHC01Cr48</v>
      </c>
      <c r="D270" s="6" t="s">
        <v>36</v>
      </c>
      <c r="E270" s="11" t="s">
        <v>47</v>
      </c>
      <c r="F270" s="11" t="s">
        <v>801</v>
      </c>
      <c r="G270" s="11" t="s">
        <v>851</v>
      </c>
      <c r="H270" s="18">
        <v>1.61</v>
      </c>
      <c r="I270" s="5" t="s">
        <v>52</v>
      </c>
      <c r="J270" s="19">
        <v>1</v>
      </c>
      <c r="K270" s="5" t="s">
        <v>49</v>
      </c>
      <c r="L270" s="5" t="s">
        <v>53</v>
      </c>
      <c r="M270" s="23" t="s">
        <v>802</v>
      </c>
      <c r="N270" s="25"/>
      <c r="O270" s="25"/>
      <c r="P270" s="25"/>
      <c r="Q270" s="17" t="s">
        <v>43</v>
      </c>
    </row>
    <row r="271" spans="2:17">
      <c r="B271" s="11" t="s">
        <v>803</v>
      </c>
      <c r="C271" s="5" t="str">
        <f>IF(E271="","",IF(G271&lt;&gt;"",SUBSTITUTE(SUBSTITUTE(G271," ",""),"-",""),IF(F271&lt;&gt;"",SUBSTITUTE(SUBSTITUTE(F271," ",""),"-",""),"")))</f>
        <v>RSHC01Cr49</v>
      </c>
      <c r="D271" s="6" t="s">
        <v>36</v>
      </c>
      <c r="E271" s="11" t="s">
        <v>47</v>
      </c>
      <c r="F271" s="11" t="s">
        <v>801</v>
      </c>
      <c r="G271" s="11" t="s">
        <v>852</v>
      </c>
      <c r="H271" s="18">
        <v>1.61</v>
      </c>
      <c r="I271" s="5" t="s">
        <v>52</v>
      </c>
      <c r="J271" s="19">
        <v>1</v>
      </c>
      <c r="K271" s="5" t="s">
        <v>49</v>
      </c>
      <c r="L271" s="5" t="s">
        <v>53</v>
      </c>
      <c r="M271" s="23" t="s">
        <v>802</v>
      </c>
      <c r="N271" s="25"/>
      <c r="O271" s="25"/>
      <c r="P271" s="25"/>
      <c r="Q271" s="17" t="s">
        <v>43</v>
      </c>
    </row>
    <row r="272" spans="2:17">
      <c r="B272" s="11" t="s">
        <v>803</v>
      </c>
      <c r="C272" s="5" t="str">
        <f>IF(E272="","",IF(G272&lt;&gt;"",SUBSTITUTE(SUBSTITUTE(G272," ",""),"-",""),IF(F272&lt;&gt;"",SUBSTITUTE(SUBSTITUTE(F272," ",""),"-",""),"")))</f>
        <v>RSHC01Cr50</v>
      </c>
      <c r="D272" s="6" t="s">
        <v>36</v>
      </c>
      <c r="E272" s="11" t="s">
        <v>47</v>
      </c>
      <c r="F272" s="11" t="s">
        <v>801</v>
      </c>
      <c r="G272" s="11" t="s">
        <v>853</v>
      </c>
      <c r="H272" s="18">
        <v>1.61</v>
      </c>
      <c r="I272" s="5" t="s">
        <v>52</v>
      </c>
      <c r="J272" s="19">
        <v>1</v>
      </c>
      <c r="K272" s="5" t="s">
        <v>49</v>
      </c>
      <c r="L272" s="5" t="s">
        <v>53</v>
      </c>
      <c r="M272" s="23" t="s">
        <v>802</v>
      </c>
      <c r="N272" s="25"/>
      <c r="O272" s="25"/>
      <c r="P272" s="25"/>
      <c r="Q272" s="17" t="s">
        <v>43</v>
      </c>
    </row>
    <row r="273" spans="2:17">
      <c r="B273" s="11" t="s">
        <v>803</v>
      </c>
      <c r="C273" s="5" t="str">
        <f>IF(E273="","",IF(G273&lt;&gt;"",SUBSTITUTE(SUBSTITUTE(G273," ",""),"-",""),IF(F273&lt;&gt;"",SUBSTITUTE(SUBSTITUTE(F273," ",""),"-",""),"")))</f>
        <v>RSHC01Cr51</v>
      </c>
      <c r="D273" s="6" t="s">
        <v>36</v>
      </c>
      <c r="E273" s="11" t="s">
        <v>47</v>
      </c>
      <c r="F273" s="11" t="s">
        <v>801</v>
      </c>
      <c r="G273" s="11" t="s">
        <v>854</v>
      </c>
      <c r="H273" s="18">
        <v>1.61</v>
      </c>
      <c r="I273" s="5" t="s">
        <v>52</v>
      </c>
      <c r="J273" s="19">
        <v>1</v>
      </c>
      <c r="K273" s="5" t="s">
        <v>49</v>
      </c>
      <c r="L273" s="5" t="s">
        <v>53</v>
      </c>
      <c r="M273" s="23" t="s">
        <v>802</v>
      </c>
      <c r="N273" s="25"/>
      <c r="O273" s="25"/>
      <c r="P273" s="25"/>
      <c r="Q273" s="17" t="s">
        <v>43</v>
      </c>
    </row>
    <row r="274" spans="2:17">
      <c r="B274" s="11" t="s">
        <v>803</v>
      </c>
      <c r="C274" s="5" t="str">
        <f>IF(E274="","",IF(G274&lt;&gt;"",SUBSTITUTE(SUBSTITUTE(G274," ",""),"-",""),IF(F274&lt;&gt;"",SUBSTITUTE(SUBSTITUTE(F274," ",""),"-",""),"")))</f>
        <v>RSHC01Cr52</v>
      </c>
      <c r="D274" s="6" t="s">
        <v>36</v>
      </c>
      <c r="E274" s="11" t="s">
        <v>47</v>
      </c>
      <c r="F274" s="11" t="s">
        <v>801</v>
      </c>
      <c r="G274" s="11" t="s">
        <v>855</v>
      </c>
      <c r="H274" s="18">
        <v>1.61</v>
      </c>
      <c r="I274" s="5" t="s">
        <v>52</v>
      </c>
      <c r="J274" s="19">
        <v>1</v>
      </c>
      <c r="K274" s="5" t="s">
        <v>49</v>
      </c>
      <c r="L274" s="5" t="s">
        <v>53</v>
      </c>
      <c r="M274" s="23" t="s">
        <v>802</v>
      </c>
      <c r="N274" s="25"/>
      <c r="O274" s="25"/>
      <c r="P274" s="25"/>
      <c r="Q274" s="17" t="s">
        <v>43</v>
      </c>
    </row>
    <row r="275" spans="2:17">
      <c r="B275" s="11" t="s">
        <v>803</v>
      </c>
      <c r="C275" s="5" t="str">
        <f>IF(E275="","",IF(G275&lt;&gt;"",SUBSTITUTE(SUBSTITUTE(G275," ",""),"-",""),IF(F275&lt;&gt;"",SUBSTITUTE(SUBSTITUTE(F275," ",""),"-",""),"")))</f>
        <v>RSHC01Cr53</v>
      </c>
      <c r="D275" s="6" t="s">
        <v>36</v>
      </c>
      <c r="E275" s="11" t="s">
        <v>47</v>
      </c>
      <c r="F275" s="11" t="s">
        <v>801</v>
      </c>
      <c r="G275" s="11" t="s">
        <v>856</v>
      </c>
      <c r="H275" s="18">
        <v>1.61</v>
      </c>
      <c r="I275" s="5" t="s">
        <v>52</v>
      </c>
      <c r="J275" s="19">
        <v>1</v>
      </c>
      <c r="K275" s="5" t="s">
        <v>49</v>
      </c>
      <c r="L275" s="5" t="s">
        <v>53</v>
      </c>
      <c r="M275" s="23" t="s">
        <v>802</v>
      </c>
      <c r="N275" s="25"/>
      <c r="O275" s="25"/>
      <c r="P275" s="25"/>
      <c r="Q275" s="17" t="s">
        <v>43</v>
      </c>
    </row>
    <row r="276" spans="2:17">
      <c r="B276" s="11" t="s">
        <v>803</v>
      </c>
      <c r="C276" s="5" t="str">
        <f>IF(E276="","",IF(G276&lt;&gt;"",SUBSTITUTE(SUBSTITUTE(G276," ",""),"-",""),IF(F276&lt;&gt;"",SUBSTITUTE(SUBSTITUTE(F276," ",""),"-",""),"")))</f>
        <v>RSHC01Cr54</v>
      </c>
      <c r="D276" s="6" t="s">
        <v>36</v>
      </c>
      <c r="E276" s="11" t="s">
        <v>47</v>
      </c>
      <c r="F276" s="11" t="s">
        <v>801</v>
      </c>
      <c r="G276" s="11" t="s">
        <v>857</v>
      </c>
      <c r="H276" s="18">
        <v>1.61</v>
      </c>
      <c r="I276" s="5" t="s">
        <v>52</v>
      </c>
      <c r="J276" s="19">
        <v>1</v>
      </c>
      <c r="K276" s="5" t="s">
        <v>49</v>
      </c>
      <c r="L276" s="5" t="s">
        <v>53</v>
      </c>
      <c r="M276" s="23" t="s">
        <v>802</v>
      </c>
      <c r="N276" s="25"/>
      <c r="O276" s="25"/>
      <c r="P276" s="25"/>
      <c r="Q276" s="17" t="s">
        <v>43</v>
      </c>
    </row>
    <row r="277" spans="2:17">
      <c r="B277" s="11" t="s">
        <v>803</v>
      </c>
      <c r="C277" s="5" t="str">
        <f>IF(E277="","",IF(G277&lt;&gt;"",SUBSTITUTE(SUBSTITUTE(G277," ",""),"-",""),IF(F277&lt;&gt;"",SUBSTITUTE(SUBSTITUTE(F277," ",""),"-",""),"")))</f>
        <v>RSHC01Cr55</v>
      </c>
      <c r="D277" s="6" t="s">
        <v>36</v>
      </c>
      <c r="E277" s="11" t="s">
        <v>47</v>
      </c>
      <c r="F277" s="11" t="s">
        <v>801</v>
      </c>
      <c r="G277" s="11" t="s">
        <v>858</v>
      </c>
      <c r="H277" s="18">
        <v>1.61</v>
      </c>
      <c r="I277" s="5" t="s">
        <v>52</v>
      </c>
      <c r="J277" s="19">
        <v>1</v>
      </c>
      <c r="K277" s="5" t="s">
        <v>49</v>
      </c>
      <c r="L277" s="5" t="s">
        <v>53</v>
      </c>
      <c r="M277" s="23" t="s">
        <v>802</v>
      </c>
      <c r="N277" s="25"/>
      <c r="O277" s="25"/>
      <c r="P277" s="25"/>
      <c r="Q277" s="17" t="s">
        <v>43</v>
      </c>
    </row>
    <row r="278" spans="2:17">
      <c r="B278" s="11" t="s">
        <v>803</v>
      </c>
      <c r="C278" s="5" t="str">
        <f>IF(E278="","",IF(G278&lt;&gt;"",SUBSTITUTE(SUBSTITUTE(G278," ",""),"-",""),IF(F278&lt;&gt;"",SUBSTITUTE(SUBSTITUTE(F278," ",""),"-",""),"")))</f>
        <v>RSHC01Cr56</v>
      </c>
      <c r="D278" s="6" t="s">
        <v>36</v>
      </c>
      <c r="E278" s="11" t="s">
        <v>47</v>
      </c>
      <c r="F278" s="11" t="s">
        <v>801</v>
      </c>
      <c r="G278" s="11" t="s">
        <v>859</v>
      </c>
      <c r="H278" s="18">
        <v>1.61</v>
      </c>
      <c r="I278" s="5" t="s">
        <v>52</v>
      </c>
      <c r="J278" s="19">
        <v>1</v>
      </c>
      <c r="K278" s="5" t="s">
        <v>49</v>
      </c>
      <c r="L278" s="5" t="s">
        <v>53</v>
      </c>
      <c r="M278" s="23" t="s">
        <v>802</v>
      </c>
      <c r="N278" s="25"/>
      <c r="O278" s="25"/>
      <c r="P278" s="25"/>
      <c r="Q278" s="17" t="s">
        <v>43</v>
      </c>
    </row>
    <row r="279" spans="2:17">
      <c r="B279" s="11" t="s">
        <v>803</v>
      </c>
      <c r="C279" s="5" t="str">
        <f>IF(E279="","",IF(G279&lt;&gt;"",SUBSTITUTE(SUBSTITUTE(G279," ",""),"-",""),IF(F279&lt;&gt;"",SUBSTITUTE(SUBSTITUTE(F279," ",""),"-",""),"")))</f>
        <v>RSHC01Cr57</v>
      </c>
      <c r="D279" s="6" t="s">
        <v>36</v>
      </c>
      <c r="E279" s="11" t="s">
        <v>47</v>
      </c>
      <c r="F279" s="11" t="s">
        <v>801</v>
      </c>
      <c r="G279" s="11" t="s">
        <v>860</v>
      </c>
      <c r="H279" s="18">
        <v>1.61</v>
      </c>
      <c r="I279" s="5" t="s">
        <v>52</v>
      </c>
      <c r="J279" s="19">
        <v>1</v>
      </c>
      <c r="K279" s="5" t="s">
        <v>49</v>
      </c>
      <c r="L279" s="5" t="s">
        <v>53</v>
      </c>
      <c r="M279" s="23" t="s">
        <v>802</v>
      </c>
      <c r="N279" s="25"/>
      <c r="O279" s="25"/>
      <c r="P279" s="25"/>
      <c r="Q279" s="17" t="s">
        <v>43</v>
      </c>
    </row>
    <row r="280" spans="2:17">
      <c r="B280" s="11" t="s">
        <v>803</v>
      </c>
      <c r="C280" s="5" t="str">
        <f>IF(E280="","",IF(G280&lt;&gt;"",SUBSTITUTE(SUBSTITUTE(G280," ",""),"-",""),IF(F280&lt;&gt;"",SUBSTITUTE(SUBSTITUTE(F280," ",""),"-",""),"")))</f>
        <v>RSHC01Cr58</v>
      </c>
      <c r="D280" s="6" t="s">
        <v>36</v>
      </c>
      <c r="E280" s="11" t="s">
        <v>47</v>
      </c>
      <c r="F280" s="11" t="s">
        <v>801</v>
      </c>
      <c r="G280" s="11" t="s">
        <v>861</v>
      </c>
      <c r="H280" s="18">
        <v>1.61</v>
      </c>
      <c r="I280" s="5" t="s">
        <v>52</v>
      </c>
      <c r="J280" s="19">
        <v>1</v>
      </c>
      <c r="K280" s="5" t="s">
        <v>49</v>
      </c>
      <c r="L280" s="5" t="s">
        <v>53</v>
      </c>
      <c r="M280" s="23" t="s">
        <v>802</v>
      </c>
      <c r="N280" s="25"/>
      <c r="O280" s="25"/>
      <c r="P280" s="25"/>
      <c r="Q280" s="17" t="s">
        <v>43</v>
      </c>
    </row>
    <row r="281" spans="2:17">
      <c r="B281" s="11" t="s">
        <v>803</v>
      </c>
      <c r="C281" s="5" t="str">
        <f>IF(E281="","",IF(G281&lt;&gt;"",SUBSTITUTE(SUBSTITUTE(G281," ",""),"-",""),IF(F281&lt;&gt;"",SUBSTITUTE(SUBSTITUTE(F281," ",""),"-",""),"")))</f>
        <v>RSHC01Cr59</v>
      </c>
      <c r="D281" s="6" t="s">
        <v>36</v>
      </c>
      <c r="E281" s="11" t="s">
        <v>47</v>
      </c>
      <c r="F281" s="11" t="s">
        <v>801</v>
      </c>
      <c r="G281" s="11" t="s">
        <v>862</v>
      </c>
      <c r="H281" s="18">
        <v>1.61</v>
      </c>
      <c r="I281" s="5" t="s">
        <v>52</v>
      </c>
      <c r="J281" s="19">
        <v>1</v>
      </c>
      <c r="K281" s="5" t="s">
        <v>49</v>
      </c>
      <c r="L281" s="5" t="s">
        <v>53</v>
      </c>
      <c r="M281" s="23" t="s">
        <v>802</v>
      </c>
      <c r="N281" s="25"/>
      <c r="O281" s="25"/>
      <c r="P281" s="25"/>
      <c r="Q281" s="17" t="s">
        <v>43</v>
      </c>
    </row>
    <row r="282" spans="2:17">
      <c r="B282" s="11" t="s">
        <v>803</v>
      </c>
      <c r="C282" s="5" t="str">
        <f>IF(E282="","",IF(G282&lt;&gt;"",SUBSTITUTE(SUBSTITUTE(G282," ",""),"-",""),IF(F282&lt;&gt;"",SUBSTITUTE(SUBSTITUTE(F282," ",""),"-",""),"")))</f>
        <v>RSHC01Cr60</v>
      </c>
      <c r="D282" s="6" t="s">
        <v>36</v>
      </c>
      <c r="E282" s="11" t="s">
        <v>47</v>
      </c>
      <c r="F282" s="11" t="s">
        <v>801</v>
      </c>
      <c r="G282" s="11" t="s">
        <v>863</v>
      </c>
      <c r="H282" s="18">
        <v>1.61</v>
      </c>
      <c r="I282" s="5" t="s">
        <v>52</v>
      </c>
      <c r="J282" s="19">
        <v>1</v>
      </c>
      <c r="K282" s="5" t="s">
        <v>49</v>
      </c>
      <c r="L282" s="5" t="s">
        <v>53</v>
      </c>
      <c r="M282" s="23" t="s">
        <v>802</v>
      </c>
      <c r="N282" s="25"/>
      <c r="O282" s="25"/>
      <c r="P282" s="25"/>
      <c r="Q282" s="17" t="s">
        <v>43</v>
      </c>
    </row>
    <row r="283" spans="2:17">
      <c r="B283" s="11" t="s">
        <v>803</v>
      </c>
      <c r="C283" s="5" t="str">
        <f>IF(E283="","",IF(G283&lt;&gt;"",SUBSTITUTE(SUBSTITUTE(G283," ",""),"-",""),IF(F283&lt;&gt;"",SUBSTITUTE(SUBSTITUTE(F283," ",""),"-",""),"")))</f>
        <v>RSHC01Cr61</v>
      </c>
      <c r="D283" s="6" t="s">
        <v>36</v>
      </c>
      <c r="E283" s="11" t="s">
        <v>47</v>
      </c>
      <c r="F283" s="11" t="s">
        <v>801</v>
      </c>
      <c r="G283" s="11" t="s">
        <v>864</v>
      </c>
      <c r="H283" s="18">
        <v>1.61</v>
      </c>
      <c r="I283" s="5" t="s">
        <v>52</v>
      </c>
      <c r="J283" s="19">
        <v>1</v>
      </c>
      <c r="K283" s="5" t="s">
        <v>49</v>
      </c>
      <c r="L283" s="5" t="s">
        <v>53</v>
      </c>
      <c r="M283" s="23" t="s">
        <v>802</v>
      </c>
      <c r="N283" s="25"/>
      <c r="O283" s="25"/>
      <c r="P283" s="25"/>
      <c r="Q283" s="17" t="s">
        <v>43</v>
      </c>
    </row>
    <row r="284" spans="2:17">
      <c r="B284" s="11" t="s">
        <v>803</v>
      </c>
      <c r="C284" s="5" t="str">
        <f>IF(E284="","",IF(G284&lt;&gt;"",SUBSTITUTE(SUBSTITUTE(G284," ",""),"-",""),IF(F284&lt;&gt;"",SUBSTITUTE(SUBSTITUTE(F284," ",""),"-",""),"")))</f>
        <v>RSHC01Cr62</v>
      </c>
      <c r="D284" s="6" t="s">
        <v>36</v>
      </c>
      <c r="E284" s="11" t="s">
        <v>47</v>
      </c>
      <c r="F284" s="11" t="s">
        <v>801</v>
      </c>
      <c r="G284" s="11" t="s">
        <v>865</v>
      </c>
      <c r="H284" s="18">
        <v>1.61</v>
      </c>
      <c r="I284" s="5" t="s">
        <v>52</v>
      </c>
      <c r="J284" s="19">
        <v>1</v>
      </c>
      <c r="K284" s="5" t="s">
        <v>49</v>
      </c>
      <c r="L284" s="5" t="s">
        <v>53</v>
      </c>
      <c r="M284" s="23" t="s">
        <v>802</v>
      </c>
      <c r="N284" s="25"/>
      <c r="O284" s="25"/>
      <c r="P284" s="25"/>
      <c r="Q284" s="17" t="s">
        <v>43</v>
      </c>
    </row>
    <row r="285" spans="2:17">
      <c r="B285" s="11" t="s">
        <v>803</v>
      </c>
      <c r="C285" s="5" t="str">
        <f>IF(E285="","",IF(G285&lt;&gt;"",SUBSTITUTE(SUBSTITUTE(G285," ",""),"-",""),IF(F285&lt;&gt;"",SUBSTITUTE(SUBSTITUTE(F285," ",""),"-",""),"")))</f>
        <v>RSHC01Cr63</v>
      </c>
      <c r="D285" s="6" t="s">
        <v>36</v>
      </c>
      <c r="E285" s="11" t="s">
        <v>47</v>
      </c>
      <c r="F285" s="11" t="s">
        <v>801</v>
      </c>
      <c r="G285" s="11" t="s">
        <v>866</v>
      </c>
      <c r="H285" s="18">
        <v>1.61</v>
      </c>
      <c r="I285" s="5" t="s">
        <v>52</v>
      </c>
      <c r="J285" s="19">
        <v>1</v>
      </c>
      <c r="K285" s="5" t="s">
        <v>49</v>
      </c>
      <c r="L285" s="5" t="s">
        <v>53</v>
      </c>
      <c r="M285" s="23" t="s">
        <v>802</v>
      </c>
      <c r="N285" s="25"/>
      <c r="O285" s="25"/>
      <c r="P285" s="25"/>
      <c r="Q285" s="17" t="s">
        <v>43</v>
      </c>
    </row>
    <row r="286" spans="2:17">
      <c r="B286" s="11" t="s">
        <v>803</v>
      </c>
      <c r="C286" s="5" t="str">
        <f>IF(E286="","",IF(G286&lt;&gt;"",SUBSTITUTE(SUBSTITUTE(G286," ",""),"-",""),IF(F286&lt;&gt;"",SUBSTITUTE(SUBSTITUTE(F286," ",""),"-",""),"")))</f>
        <v>RSHC01Cr64</v>
      </c>
      <c r="D286" s="6" t="s">
        <v>36</v>
      </c>
      <c r="E286" s="11" t="s">
        <v>47</v>
      </c>
      <c r="F286" s="11" t="s">
        <v>801</v>
      </c>
      <c r="G286" s="11" t="s">
        <v>867</v>
      </c>
      <c r="H286" s="18">
        <v>1.61</v>
      </c>
      <c r="I286" s="5" t="s">
        <v>52</v>
      </c>
      <c r="J286" s="19">
        <v>1</v>
      </c>
      <c r="K286" s="5" t="s">
        <v>49</v>
      </c>
      <c r="L286" s="5" t="s">
        <v>53</v>
      </c>
      <c r="M286" s="23" t="s">
        <v>802</v>
      </c>
      <c r="N286" s="25"/>
      <c r="O286" s="25"/>
      <c r="P286" s="25"/>
      <c r="Q286" s="17" t="s">
        <v>43</v>
      </c>
    </row>
    <row r="287" spans="2:17">
      <c r="B287" s="11" t="s">
        <v>803</v>
      </c>
      <c r="C287" s="5" t="str">
        <f>IF(E287="","",IF(G287&lt;&gt;"",SUBSTITUTE(SUBSTITUTE(G287," ",""),"-",""),IF(F287&lt;&gt;"",SUBSTITUTE(SUBSTITUTE(F287," ",""),"-",""),"")))</f>
        <v>RSHC01Cr65</v>
      </c>
      <c r="D287" s="6" t="s">
        <v>36</v>
      </c>
      <c r="E287" s="11" t="s">
        <v>47</v>
      </c>
      <c r="F287" s="11" t="s">
        <v>801</v>
      </c>
      <c r="G287" s="11" t="s">
        <v>868</v>
      </c>
      <c r="H287" s="18">
        <v>1.61</v>
      </c>
      <c r="I287" s="5" t="s">
        <v>52</v>
      </c>
      <c r="J287" s="19">
        <v>1</v>
      </c>
      <c r="K287" s="5" t="s">
        <v>49</v>
      </c>
      <c r="L287" s="5" t="s">
        <v>53</v>
      </c>
      <c r="M287" s="23" t="s">
        <v>802</v>
      </c>
      <c r="N287" s="25"/>
      <c r="O287" s="25"/>
      <c r="P287" s="25"/>
      <c r="Q287" s="17" t="s">
        <v>43</v>
      </c>
    </row>
    <row r="288" spans="2:17">
      <c r="B288" s="11" t="s">
        <v>803</v>
      </c>
      <c r="C288" s="5" t="str">
        <f>IF(E288="","",IF(G288&lt;&gt;"",SUBSTITUTE(SUBSTITUTE(G288," ",""),"-",""),IF(F288&lt;&gt;"",SUBSTITUTE(SUBSTITUTE(F288," ",""),"-",""),"")))</f>
        <v>RSHC01Cr66</v>
      </c>
      <c r="D288" s="6" t="s">
        <v>36</v>
      </c>
      <c r="E288" s="11" t="s">
        <v>47</v>
      </c>
      <c r="F288" s="11" t="s">
        <v>801</v>
      </c>
      <c r="G288" s="11" t="s">
        <v>869</v>
      </c>
      <c r="H288" s="18">
        <v>1.61</v>
      </c>
      <c r="I288" s="5" t="s">
        <v>52</v>
      </c>
      <c r="J288" s="19">
        <v>1</v>
      </c>
      <c r="K288" s="5" t="s">
        <v>49</v>
      </c>
      <c r="L288" s="5" t="s">
        <v>53</v>
      </c>
      <c r="M288" s="23" t="s">
        <v>802</v>
      </c>
      <c r="N288" s="25"/>
      <c r="O288" s="25"/>
      <c r="P288" s="25"/>
      <c r="Q288" s="17" t="s">
        <v>43</v>
      </c>
    </row>
    <row r="289" spans="2:17">
      <c r="B289" s="11" t="s">
        <v>803</v>
      </c>
      <c r="C289" s="5" t="str">
        <f>IF(E289="","",IF(G289&lt;&gt;"",SUBSTITUTE(SUBSTITUTE(G289," ",""),"-",""),IF(F289&lt;&gt;"",SUBSTITUTE(SUBSTITUTE(F289," ",""),"-",""),"")))</f>
        <v>RSHC01Cr67</v>
      </c>
      <c r="D289" s="6" t="s">
        <v>36</v>
      </c>
      <c r="E289" s="11" t="s">
        <v>47</v>
      </c>
      <c r="F289" s="11" t="s">
        <v>801</v>
      </c>
      <c r="G289" s="11" t="s">
        <v>870</v>
      </c>
      <c r="H289" s="18">
        <v>1.61</v>
      </c>
      <c r="I289" s="5" t="s">
        <v>52</v>
      </c>
      <c r="J289" s="19">
        <v>1</v>
      </c>
      <c r="K289" s="5" t="s">
        <v>49</v>
      </c>
      <c r="L289" s="5" t="s">
        <v>53</v>
      </c>
      <c r="M289" s="23" t="s">
        <v>802</v>
      </c>
      <c r="N289" s="25"/>
      <c r="O289" s="25"/>
      <c r="P289" s="25"/>
      <c r="Q289" s="17" t="s">
        <v>43</v>
      </c>
    </row>
    <row r="290" spans="2:17">
      <c r="B290" s="11" t="s">
        <v>803</v>
      </c>
      <c r="C290" s="5" t="str">
        <f>IF(E290="","",IF(G290&lt;&gt;"",SUBSTITUTE(SUBSTITUTE(G290," ",""),"-",""),IF(F290&lt;&gt;"",SUBSTITUTE(SUBSTITUTE(F290," ",""),"-",""),"")))</f>
        <v>RSHC01Cr68</v>
      </c>
      <c r="D290" s="6" t="s">
        <v>36</v>
      </c>
      <c r="E290" s="11" t="s">
        <v>47</v>
      </c>
      <c r="F290" s="11" t="s">
        <v>801</v>
      </c>
      <c r="G290" s="11" t="s">
        <v>871</v>
      </c>
      <c r="H290" s="18">
        <v>1.61</v>
      </c>
      <c r="I290" s="5" t="s">
        <v>52</v>
      </c>
      <c r="J290" s="19">
        <v>1</v>
      </c>
      <c r="K290" s="5" t="s">
        <v>49</v>
      </c>
      <c r="L290" s="5" t="s">
        <v>53</v>
      </c>
      <c r="M290" s="23" t="s">
        <v>802</v>
      </c>
      <c r="N290" s="25"/>
      <c r="O290" s="25"/>
      <c r="P290" s="25"/>
      <c r="Q290" s="17" t="s">
        <v>43</v>
      </c>
    </row>
    <row r="291" spans="2:17">
      <c r="B291" s="11" t="s">
        <v>803</v>
      </c>
      <c r="C291" s="5" t="str">
        <f>IF(E291="","",IF(G291&lt;&gt;"",SUBSTITUTE(SUBSTITUTE(G291," ",""),"-",""),IF(F291&lt;&gt;"",SUBSTITUTE(SUBSTITUTE(F291," ",""),"-",""),"")))</f>
        <v>RSHC01Cr69</v>
      </c>
      <c r="D291" s="6" t="s">
        <v>36</v>
      </c>
      <c r="E291" s="11" t="s">
        <v>47</v>
      </c>
      <c r="F291" s="11" t="s">
        <v>801</v>
      </c>
      <c r="G291" s="11" t="s">
        <v>872</v>
      </c>
      <c r="H291" s="18">
        <v>1.61</v>
      </c>
      <c r="I291" s="5" t="s">
        <v>52</v>
      </c>
      <c r="J291" s="19">
        <v>1</v>
      </c>
      <c r="K291" s="5" t="s">
        <v>49</v>
      </c>
      <c r="L291" s="5" t="s">
        <v>53</v>
      </c>
      <c r="M291" s="23" t="s">
        <v>802</v>
      </c>
      <c r="N291" s="25"/>
      <c r="O291" s="25"/>
      <c r="P291" s="25"/>
      <c r="Q291" s="17" t="s">
        <v>43</v>
      </c>
    </row>
    <row r="292" spans="2:17">
      <c r="B292" s="11" t="s">
        <v>803</v>
      </c>
      <c r="C292" s="5" t="str">
        <f>IF(E292="","",IF(G292&lt;&gt;"",SUBSTITUTE(SUBSTITUTE(G292," ",""),"-",""),IF(F292&lt;&gt;"",SUBSTITUTE(SUBSTITUTE(F292," ",""),"-",""),"")))</f>
        <v>RSHC01Cr70</v>
      </c>
      <c r="D292" s="6" t="s">
        <v>36</v>
      </c>
      <c r="E292" s="11" t="s">
        <v>47</v>
      </c>
      <c r="F292" s="11" t="s">
        <v>801</v>
      </c>
      <c r="G292" s="11" t="s">
        <v>873</v>
      </c>
      <c r="H292" s="18">
        <v>1.61</v>
      </c>
      <c r="I292" s="5" t="s">
        <v>52</v>
      </c>
      <c r="J292" s="19">
        <v>1</v>
      </c>
      <c r="K292" s="5" t="s">
        <v>49</v>
      </c>
      <c r="L292" s="5" t="s">
        <v>53</v>
      </c>
      <c r="M292" s="23" t="s">
        <v>802</v>
      </c>
      <c r="N292" s="25"/>
      <c r="O292" s="25"/>
      <c r="P292" s="25"/>
      <c r="Q292" s="17" t="s">
        <v>43</v>
      </c>
    </row>
    <row r="293" spans="2:17">
      <c r="B293" s="11" t="s">
        <v>803</v>
      </c>
      <c r="C293" s="5" t="str">
        <f>IF(E293="","",IF(G293&lt;&gt;"",SUBSTITUTE(SUBSTITUTE(G293," ",""),"-",""),IF(F293&lt;&gt;"",SUBSTITUTE(SUBSTITUTE(F293," ",""),"-",""),"")))</f>
        <v>RSHC01Cr71</v>
      </c>
      <c r="D293" s="6" t="s">
        <v>36</v>
      </c>
      <c r="E293" s="11" t="s">
        <v>47</v>
      </c>
      <c r="F293" s="11" t="s">
        <v>801</v>
      </c>
      <c r="G293" s="11" t="s">
        <v>874</v>
      </c>
      <c r="H293" s="18">
        <v>1.61</v>
      </c>
      <c r="I293" s="5" t="s">
        <v>52</v>
      </c>
      <c r="J293" s="19">
        <v>1</v>
      </c>
      <c r="K293" s="5" t="s">
        <v>49</v>
      </c>
      <c r="L293" s="5" t="s">
        <v>53</v>
      </c>
      <c r="M293" s="23" t="s">
        <v>802</v>
      </c>
      <c r="N293" s="25"/>
      <c r="O293" s="25"/>
      <c r="P293" s="25"/>
      <c r="Q293" s="17" t="s">
        <v>43</v>
      </c>
    </row>
    <row r="294" spans="2:17">
      <c r="B294" s="11" t="s">
        <v>803</v>
      </c>
      <c r="C294" s="5" t="str">
        <f>IF(E294="","",IF(G294&lt;&gt;"",SUBSTITUTE(SUBSTITUTE(G294," ",""),"-",""),IF(F294&lt;&gt;"",SUBSTITUTE(SUBSTITUTE(F294," ",""),"-",""),"")))</f>
        <v>RSHC01Cr72</v>
      </c>
      <c r="D294" s="6" t="s">
        <v>36</v>
      </c>
      <c r="E294" s="11" t="s">
        <v>47</v>
      </c>
      <c r="F294" s="11" t="s">
        <v>801</v>
      </c>
      <c r="G294" s="11" t="s">
        <v>875</v>
      </c>
      <c r="H294" s="18">
        <v>1.61</v>
      </c>
      <c r="I294" s="5" t="s">
        <v>52</v>
      </c>
      <c r="J294" s="19">
        <v>1</v>
      </c>
      <c r="K294" s="5" t="s">
        <v>49</v>
      </c>
      <c r="L294" s="5" t="s">
        <v>53</v>
      </c>
      <c r="M294" s="23" t="s">
        <v>802</v>
      </c>
      <c r="N294" s="25"/>
      <c r="O294" s="25"/>
      <c r="P294" s="25"/>
      <c r="Q294" s="17" t="s">
        <v>43</v>
      </c>
    </row>
    <row r="295" spans="2:17">
      <c r="B295" s="11" t="s">
        <v>803</v>
      </c>
      <c r="C295" s="5" t="str">
        <f>IF(E295="","",IF(G295&lt;&gt;"",SUBSTITUTE(SUBSTITUTE(G295," ",""),"-",""),IF(F295&lt;&gt;"",SUBSTITUTE(SUBSTITUTE(F295," ",""),"-",""),"")))</f>
        <v>RSHC01Cr73</v>
      </c>
      <c r="D295" s="6" t="s">
        <v>36</v>
      </c>
      <c r="E295" s="11" t="s">
        <v>47</v>
      </c>
      <c r="F295" s="11" t="s">
        <v>801</v>
      </c>
      <c r="G295" s="11" t="s">
        <v>876</v>
      </c>
      <c r="H295" s="18">
        <v>1.61</v>
      </c>
      <c r="I295" s="5" t="s">
        <v>52</v>
      </c>
      <c r="J295" s="19">
        <v>1</v>
      </c>
      <c r="K295" s="5" t="s">
        <v>49</v>
      </c>
      <c r="L295" s="5" t="s">
        <v>53</v>
      </c>
      <c r="M295" s="23" t="s">
        <v>802</v>
      </c>
      <c r="N295" s="25"/>
      <c r="O295" s="25"/>
      <c r="P295" s="25"/>
      <c r="Q295" s="17" t="s">
        <v>43</v>
      </c>
    </row>
    <row r="296" spans="2:17">
      <c r="B296" s="11" t="s">
        <v>803</v>
      </c>
      <c r="C296" s="5" t="str">
        <f>IF(E296="","",IF(G296&lt;&gt;"",SUBSTITUTE(SUBSTITUTE(G296," ",""),"-",""),IF(F296&lt;&gt;"",SUBSTITUTE(SUBSTITUTE(F296," ",""),"-",""),"")))</f>
        <v>RSHC01Cr74</v>
      </c>
      <c r="D296" s="6" t="s">
        <v>36</v>
      </c>
      <c r="E296" s="11" t="s">
        <v>47</v>
      </c>
      <c r="F296" s="11" t="s">
        <v>801</v>
      </c>
      <c r="G296" s="11" t="s">
        <v>877</v>
      </c>
      <c r="H296" s="18">
        <v>1.61</v>
      </c>
      <c r="I296" s="5" t="s">
        <v>52</v>
      </c>
      <c r="J296" s="19">
        <v>1</v>
      </c>
      <c r="K296" s="5" t="s">
        <v>49</v>
      </c>
      <c r="L296" s="5" t="s">
        <v>53</v>
      </c>
      <c r="M296" s="23" t="s">
        <v>802</v>
      </c>
      <c r="N296" s="25"/>
      <c r="O296" s="25"/>
      <c r="P296" s="25"/>
      <c r="Q296" s="17" t="s">
        <v>43</v>
      </c>
    </row>
    <row r="297" spans="2:17">
      <c r="B297" s="11" t="s">
        <v>803</v>
      </c>
      <c r="C297" s="5" t="str">
        <f>IF(E297="","",IF(G297&lt;&gt;"",SUBSTITUTE(SUBSTITUTE(G297," ",""),"-",""),IF(F297&lt;&gt;"",SUBSTITUTE(SUBSTITUTE(F297," ",""),"-",""),"")))</f>
        <v>RSHC01Cr75</v>
      </c>
      <c r="D297" s="6" t="s">
        <v>36</v>
      </c>
      <c r="E297" s="11" t="s">
        <v>47</v>
      </c>
      <c r="F297" s="11" t="s">
        <v>801</v>
      </c>
      <c r="G297" s="11" t="s">
        <v>878</v>
      </c>
      <c r="H297" s="18">
        <v>1.61</v>
      </c>
      <c r="I297" s="5" t="s">
        <v>52</v>
      </c>
      <c r="J297" s="19">
        <v>1</v>
      </c>
      <c r="K297" s="5" t="s">
        <v>49</v>
      </c>
      <c r="L297" s="5" t="s">
        <v>53</v>
      </c>
      <c r="M297" s="23" t="s">
        <v>802</v>
      </c>
      <c r="N297" s="25"/>
      <c r="O297" s="25"/>
      <c r="P297" s="25"/>
      <c r="Q297" s="17" t="s">
        <v>43</v>
      </c>
    </row>
    <row r="298" spans="2:17">
      <c r="B298" s="11" t="s">
        <v>803</v>
      </c>
      <c r="C298" s="5" t="str">
        <f>IF(E298="","",IF(G298&lt;&gt;"",SUBSTITUTE(SUBSTITUTE(G298," ",""),"-",""),IF(F298&lt;&gt;"",SUBSTITUTE(SUBSTITUTE(F298," ",""),"-",""),"")))</f>
        <v>RSHC01Cr76</v>
      </c>
      <c r="D298" s="6" t="s">
        <v>36</v>
      </c>
      <c r="E298" s="11" t="s">
        <v>47</v>
      </c>
      <c r="F298" s="11" t="s">
        <v>801</v>
      </c>
      <c r="G298" s="11" t="s">
        <v>879</v>
      </c>
      <c r="H298" s="18">
        <v>1.61</v>
      </c>
      <c r="I298" s="5" t="s">
        <v>52</v>
      </c>
      <c r="J298" s="19">
        <v>1</v>
      </c>
      <c r="K298" s="5" t="s">
        <v>49</v>
      </c>
      <c r="L298" s="5" t="s">
        <v>53</v>
      </c>
      <c r="M298" s="23" t="s">
        <v>802</v>
      </c>
      <c r="N298" s="25"/>
      <c r="O298" s="25"/>
      <c r="P298" s="25"/>
      <c r="Q298" s="17" t="s">
        <v>43</v>
      </c>
    </row>
    <row r="299" spans="2:17">
      <c r="B299" s="11" t="s">
        <v>803</v>
      </c>
      <c r="C299" s="5" t="str">
        <f>IF(E299="","",IF(G299&lt;&gt;"",SUBSTITUTE(SUBSTITUTE(G299," ",""),"-",""),IF(F299&lt;&gt;"",SUBSTITUTE(SUBSTITUTE(F299," ",""),"-",""),"")))</f>
        <v>RSHC01Cr77</v>
      </c>
      <c r="D299" s="6" t="s">
        <v>36</v>
      </c>
      <c r="E299" s="11" t="s">
        <v>47</v>
      </c>
      <c r="F299" s="11" t="s">
        <v>801</v>
      </c>
      <c r="G299" s="11" t="s">
        <v>880</v>
      </c>
      <c r="H299" s="18">
        <v>1.61</v>
      </c>
      <c r="I299" s="5" t="s">
        <v>52</v>
      </c>
      <c r="J299" s="19">
        <v>1</v>
      </c>
      <c r="K299" s="5" t="s">
        <v>49</v>
      </c>
      <c r="L299" s="5" t="s">
        <v>53</v>
      </c>
      <c r="M299" s="23" t="s">
        <v>802</v>
      </c>
      <c r="N299" s="25"/>
      <c r="O299" s="25"/>
      <c r="P299" s="25"/>
      <c r="Q299" s="17" t="s">
        <v>43</v>
      </c>
    </row>
    <row r="300" spans="2:17">
      <c r="B300" s="11" t="s">
        <v>803</v>
      </c>
      <c r="C300" s="5" t="str">
        <f>IF(E300="","",IF(G300&lt;&gt;"",SUBSTITUTE(SUBSTITUTE(G300," ",""),"-",""),IF(F300&lt;&gt;"",SUBSTITUTE(SUBSTITUTE(F300," ",""),"-",""),"")))</f>
        <v>RSHC01Cr78</v>
      </c>
      <c r="D300" s="6" t="s">
        <v>36</v>
      </c>
      <c r="E300" s="11" t="s">
        <v>47</v>
      </c>
      <c r="F300" s="11" t="s">
        <v>801</v>
      </c>
      <c r="G300" s="11" t="s">
        <v>881</v>
      </c>
      <c r="H300" s="18">
        <v>1.61</v>
      </c>
      <c r="I300" s="5" t="s">
        <v>52</v>
      </c>
      <c r="J300" s="19">
        <v>1</v>
      </c>
      <c r="K300" s="5" t="s">
        <v>49</v>
      </c>
      <c r="L300" s="5" t="s">
        <v>53</v>
      </c>
      <c r="M300" s="23" t="s">
        <v>802</v>
      </c>
      <c r="N300" s="25"/>
      <c r="O300" s="25"/>
      <c r="P300" s="25"/>
      <c r="Q300" s="17" t="s">
        <v>43</v>
      </c>
    </row>
    <row r="301" spans="2:17">
      <c r="B301" s="11"/>
      <c r="C301" s="5" t="str">
        <f>IF(E301="","",IF(G301&lt;&gt;"",SUBSTITUTE(SUBSTITUTE(G301," ",""),"-",""),IF(F301&lt;&gt;"",SUBSTITUTE(SUBSTITUTE(F301," ",""),"-",""),"")))</f>
        <v/>
      </c>
      <c r="D301" s="6"/>
      <c r="E301" s="11"/>
      <c r="F301" s="11"/>
      <c r="G301" s="11"/>
      <c r="H301" s="18"/>
      <c r="J301" s="19"/>
      <c r="M301" s="23"/>
      <c r="N301" s="20"/>
      <c r="O301" s="20"/>
      <c r="P301" s="20"/>
      <c r="Q301" s="17"/>
    </row>
    <row r="302" spans="2:17">
      <c r="B302" s="11"/>
      <c r="C302" s="5" t="str">
        <f>IF(E302="","",IF(G302&lt;&gt;"",SUBSTITUTE(SUBSTITUTE(G302," ",""),"-",""),IF(F302&lt;&gt;"",SUBSTITUTE(SUBSTITUTE(F302," ",""),"-",""),"")))</f>
        <v/>
      </c>
      <c r="D302" s="6"/>
      <c r="E302" s="11"/>
      <c r="F302" s="11"/>
      <c r="G302" s="11"/>
      <c r="H302" s="18"/>
      <c r="J302" s="19"/>
      <c r="M302" s="23"/>
      <c r="N302" s="20"/>
      <c r="O302" s="20"/>
      <c r="P302" s="20"/>
      <c r="Q302" s="17"/>
    </row>
    <row r="303" spans="2:17">
      <c r="B303" s="11" t="s">
        <v>50</v>
      </c>
      <c r="C303" s="5" t="str">
        <f>IF(E303="","",IF(G303&lt;&gt;"",SUBSTITUTE(SUBSTITUTE(G303," ",""),"-",""),IF(F303&lt;&gt;"",SUBSTITUTE(SUBSTITUTE(F303," ",""),"-",""),"")))</f>
        <v>RSHC02</v>
      </c>
      <c r="D303" s="6" t="s">
        <v>36</v>
      </c>
      <c r="E303" s="11" t="s">
        <v>47</v>
      </c>
      <c r="F303" s="11" t="s">
        <v>882</v>
      </c>
      <c r="G303" s="11"/>
      <c r="H303" s="18">
        <v>68.25</v>
      </c>
      <c r="I303" s="5" t="s">
        <v>52</v>
      </c>
      <c r="J303" s="19">
        <v>39</v>
      </c>
      <c r="K303" s="5" t="s">
        <v>49</v>
      </c>
      <c r="L303" s="5" t="s">
        <v>53</v>
      </c>
      <c r="M303" s="23" t="s">
        <v>883</v>
      </c>
      <c r="N303" s="25">
        <v>5800</v>
      </c>
      <c r="O303" s="25">
        <v>30</v>
      </c>
      <c r="P303" s="25">
        <v>1</v>
      </c>
      <c r="Q303" s="17" t="s">
        <v>43</v>
      </c>
    </row>
    <row r="304" spans="2:17">
      <c r="B304" s="11" t="s">
        <v>803</v>
      </c>
      <c r="C304" s="5" t="str">
        <f>IF(E304="","",IF(G304&lt;&gt;"",SUBSTITUTE(SUBSTITUTE(G304," ",""),"-",""),IF(F304&lt;&gt;"",SUBSTITUTE(SUBSTITUTE(F304," ",""),"-",""),"")))</f>
        <v>RSHC02Cr01</v>
      </c>
      <c r="D304" s="6" t="s">
        <v>36</v>
      </c>
      <c r="E304" s="11" t="s">
        <v>47</v>
      </c>
      <c r="F304" s="11" t="s">
        <v>882</v>
      </c>
      <c r="G304" s="11" t="s">
        <v>884</v>
      </c>
      <c r="H304" s="18">
        <v>1.75</v>
      </c>
      <c r="I304" s="5" t="s">
        <v>52</v>
      </c>
      <c r="J304" s="19">
        <v>1</v>
      </c>
      <c r="K304" s="5" t="s">
        <v>49</v>
      </c>
      <c r="L304" s="5" t="s">
        <v>53</v>
      </c>
      <c r="M304" s="23" t="s">
        <v>883</v>
      </c>
      <c r="N304" s="25"/>
      <c r="O304" s="25"/>
      <c r="P304" s="25"/>
      <c r="Q304" s="17" t="s">
        <v>43</v>
      </c>
    </row>
    <row r="305" spans="2:17">
      <c r="B305" s="11" t="s">
        <v>803</v>
      </c>
      <c r="C305" s="5" t="str">
        <f>IF(E305="","",IF(G305&lt;&gt;"",SUBSTITUTE(SUBSTITUTE(G305," ",""),"-",""),IF(F305&lt;&gt;"",SUBSTITUTE(SUBSTITUTE(F305," ",""),"-",""),"")))</f>
        <v>RSHC02Cr02</v>
      </c>
      <c r="D305" s="6" t="s">
        <v>36</v>
      </c>
      <c r="E305" s="11" t="s">
        <v>47</v>
      </c>
      <c r="F305" s="11" t="s">
        <v>882</v>
      </c>
      <c r="G305" s="11" t="s">
        <v>885</v>
      </c>
      <c r="H305" s="18">
        <v>1.75</v>
      </c>
      <c r="I305" s="5" t="s">
        <v>52</v>
      </c>
      <c r="J305" s="19">
        <v>1</v>
      </c>
      <c r="K305" s="5" t="s">
        <v>49</v>
      </c>
      <c r="L305" s="5" t="s">
        <v>53</v>
      </c>
      <c r="M305" s="23" t="s">
        <v>883</v>
      </c>
      <c r="N305" s="25"/>
      <c r="O305" s="25"/>
      <c r="P305" s="25"/>
      <c r="Q305" s="17" t="s">
        <v>43</v>
      </c>
    </row>
    <row r="306" spans="2:17">
      <c r="B306" s="11" t="s">
        <v>803</v>
      </c>
      <c r="C306" s="5" t="str">
        <f>IF(E306="","",IF(G306&lt;&gt;"",SUBSTITUTE(SUBSTITUTE(G306," ",""),"-",""),IF(F306&lt;&gt;"",SUBSTITUTE(SUBSTITUTE(F306," ",""),"-",""),"")))</f>
        <v>RSHC02Cr03</v>
      </c>
      <c r="D306" s="6" t="s">
        <v>36</v>
      </c>
      <c r="E306" s="11" t="s">
        <v>47</v>
      </c>
      <c r="F306" s="11" t="s">
        <v>882</v>
      </c>
      <c r="G306" s="11" t="s">
        <v>886</v>
      </c>
      <c r="H306" s="18">
        <v>1.75</v>
      </c>
      <c r="I306" s="5" t="s">
        <v>52</v>
      </c>
      <c r="J306" s="19">
        <v>1</v>
      </c>
      <c r="K306" s="5" t="s">
        <v>49</v>
      </c>
      <c r="L306" s="5" t="s">
        <v>53</v>
      </c>
      <c r="M306" s="23" t="s">
        <v>883</v>
      </c>
      <c r="N306" s="25"/>
      <c r="O306" s="25"/>
      <c r="P306" s="25"/>
      <c r="Q306" s="17" t="s">
        <v>43</v>
      </c>
    </row>
    <row r="307" spans="2:17">
      <c r="B307" s="11" t="s">
        <v>803</v>
      </c>
      <c r="C307" s="5" t="str">
        <f>IF(E307="","",IF(G307&lt;&gt;"",SUBSTITUTE(SUBSTITUTE(G307," ",""),"-",""),IF(F307&lt;&gt;"",SUBSTITUTE(SUBSTITUTE(F307," ",""),"-",""),"")))</f>
        <v>RSHC02Cr04</v>
      </c>
      <c r="D307" s="6" t="s">
        <v>36</v>
      </c>
      <c r="E307" s="11" t="s">
        <v>47</v>
      </c>
      <c r="F307" s="11" t="s">
        <v>882</v>
      </c>
      <c r="G307" s="11" t="s">
        <v>887</v>
      </c>
      <c r="H307" s="18">
        <v>1.75</v>
      </c>
      <c r="I307" s="5" t="s">
        <v>52</v>
      </c>
      <c r="J307" s="19">
        <v>1</v>
      </c>
      <c r="K307" s="5" t="s">
        <v>49</v>
      </c>
      <c r="L307" s="5" t="s">
        <v>53</v>
      </c>
      <c r="M307" s="23" t="s">
        <v>883</v>
      </c>
      <c r="N307" s="25"/>
      <c r="O307" s="25"/>
      <c r="P307" s="25"/>
      <c r="Q307" s="17" t="s">
        <v>43</v>
      </c>
    </row>
    <row r="308" spans="2:17">
      <c r="B308" s="11" t="s">
        <v>803</v>
      </c>
      <c r="C308" s="5" t="str">
        <f>IF(E308="","",IF(G308&lt;&gt;"",SUBSTITUTE(SUBSTITUTE(G308," ",""),"-",""),IF(F308&lt;&gt;"",SUBSTITUTE(SUBSTITUTE(F308," ",""),"-",""),"")))</f>
        <v>RSHC02Cr05</v>
      </c>
      <c r="D308" s="6" t="s">
        <v>36</v>
      </c>
      <c r="E308" s="11" t="s">
        <v>47</v>
      </c>
      <c r="F308" s="11" t="s">
        <v>882</v>
      </c>
      <c r="G308" s="11" t="s">
        <v>888</v>
      </c>
      <c r="H308" s="18">
        <v>1.75</v>
      </c>
      <c r="I308" s="5" t="s">
        <v>52</v>
      </c>
      <c r="J308" s="19">
        <v>1</v>
      </c>
      <c r="K308" s="5" t="s">
        <v>49</v>
      </c>
      <c r="L308" s="5" t="s">
        <v>53</v>
      </c>
      <c r="M308" s="23" t="s">
        <v>883</v>
      </c>
      <c r="N308" s="25"/>
      <c r="O308" s="25"/>
      <c r="P308" s="25"/>
      <c r="Q308" s="17" t="s">
        <v>43</v>
      </c>
    </row>
    <row r="309" spans="2:17">
      <c r="B309" s="11" t="s">
        <v>803</v>
      </c>
      <c r="C309" s="5" t="str">
        <f>IF(E309="","",IF(G309&lt;&gt;"",SUBSTITUTE(SUBSTITUTE(G309," ",""),"-",""),IF(F309&lt;&gt;"",SUBSTITUTE(SUBSTITUTE(F309," ",""),"-",""),"")))</f>
        <v>RSHC02Cr06</v>
      </c>
      <c r="D309" s="6" t="s">
        <v>36</v>
      </c>
      <c r="E309" s="11" t="s">
        <v>47</v>
      </c>
      <c r="F309" s="11" t="s">
        <v>882</v>
      </c>
      <c r="G309" s="11" t="s">
        <v>889</v>
      </c>
      <c r="H309" s="18">
        <v>1.75</v>
      </c>
      <c r="I309" s="5" t="s">
        <v>52</v>
      </c>
      <c r="J309" s="19">
        <v>1</v>
      </c>
      <c r="K309" s="5" t="s">
        <v>49</v>
      </c>
      <c r="L309" s="5" t="s">
        <v>53</v>
      </c>
      <c r="M309" s="23" t="s">
        <v>883</v>
      </c>
      <c r="N309" s="25"/>
      <c r="O309" s="25"/>
      <c r="P309" s="25"/>
      <c r="Q309" s="17" t="s">
        <v>43</v>
      </c>
    </row>
    <row r="310" spans="2:17">
      <c r="B310" s="11" t="s">
        <v>803</v>
      </c>
      <c r="C310" s="5" t="str">
        <f>IF(E310="","",IF(G310&lt;&gt;"",SUBSTITUTE(SUBSTITUTE(G310," ",""),"-",""),IF(F310&lt;&gt;"",SUBSTITUTE(SUBSTITUTE(F310," ",""),"-",""),"")))</f>
        <v>RSHC02Cr07</v>
      </c>
      <c r="D310" s="6" t="s">
        <v>36</v>
      </c>
      <c r="E310" s="11" t="s">
        <v>47</v>
      </c>
      <c r="F310" s="11" t="s">
        <v>882</v>
      </c>
      <c r="G310" s="11" t="s">
        <v>890</v>
      </c>
      <c r="H310" s="18">
        <v>1.75</v>
      </c>
      <c r="I310" s="5" t="s">
        <v>52</v>
      </c>
      <c r="J310" s="19">
        <v>1</v>
      </c>
      <c r="K310" s="5" t="s">
        <v>49</v>
      </c>
      <c r="L310" s="5" t="s">
        <v>53</v>
      </c>
      <c r="M310" s="23" t="s">
        <v>883</v>
      </c>
      <c r="N310" s="25"/>
      <c r="O310" s="25"/>
      <c r="P310" s="25"/>
      <c r="Q310" s="17" t="s">
        <v>43</v>
      </c>
    </row>
    <row r="311" spans="2:17">
      <c r="B311" s="11" t="s">
        <v>803</v>
      </c>
      <c r="C311" s="5" t="str">
        <f>IF(E311="","",IF(G311&lt;&gt;"",SUBSTITUTE(SUBSTITUTE(G311," ",""),"-",""),IF(F311&lt;&gt;"",SUBSTITUTE(SUBSTITUTE(F311," ",""),"-",""),"")))</f>
        <v>RSHC02Cr08</v>
      </c>
      <c r="D311" s="6" t="s">
        <v>36</v>
      </c>
      <c r="E311" s="11" t="s">
        <v>47</v>
      </c>
      <c r="F311" s="11" t="s">
        <v>882</v>
      </c>
      <c r="G311" s="11" t="s">
        <v>891</v>
      </c>
      <c r="H311" s="18">
        <v>1.75</v>
      </c>
      <c r="I311" s="5" t="s">
        <v>52</v>
      </c>
      <c r="J311" s="19">
        <v>1</v>
      </c>
      <c r="K311" s="5" t="s">
        <v>49</v>
      </c>
      <c r="L311" s="5" t="s">
        <v>53</v>
      </c>
      <c r="M311" s="23" t="s">
        <v>883</v>
      </c>
      <c r="N311" s="25"/>
      <c r="O311" s="25"/>
      <c r="P311" s="25"/>
      <c r="Q311" s="17" t="s">
        <v>43</v>
      </c>
    </row>
    <row r="312" spans="2:17">
      <c r="B312" s="11" t="s">
        <v>803</v>
      </c>
      <c r="C312" s="5" t="str">
        <f>IF(E312="","",IF(G312&lt;&gt;"",SUBSTITUTE(SUBSTITUTE(G312," ",""),"-",""),IF(F312&lt;&gt;"",SUBSTITUTE(SUBSTITUTE(F312," ",""),"-",""),"")))</f>
        <v>RSHC02Cr09</v>
      </c>
      <c r="D312" s="6" t="s">
        <v>36</v>
      </c>
      <c r="E312" s="11" t="s">
        <v>47</v>
      </c>
      <c r="F312" s="11" t="s">
        <v>882</v>
      </c>
      <c r="G312" s="11" t="s">
        <v>892</v>
      </c>
      <c r="H312" s="18">
        <v>1.75</v>
      </c>
      <c r="I312" s="5" t="s">
        <v>52</v>
      </c>
      <c r="J312" s="19">
        <v>1</v>
      </c>
      <c r="K312" s="5" t="s">
        <v>49</v>
      </c>
      <c r="L312" s="5" t="s">
        <v>53</v>
      </c>
      <c r="M312" s="23" t="s">
        <v>883</v>
      </c>
      <c r="N312" s="25"/>
      <c r="O312" s="25"/>
      <c r="P312" s="25"/>
      <c r="Q312" s="17" t="s">
        <v>43</v>
      </c>
    </row>
    <row r="313" spans="2:17">
      <c r="B313" s="11" t="s">
        <v>803</v>
      </c>
      <c r="C313" s="5" t="str">
        <f>IF(E313="","",IF(G313&lt;&gt;"",SUBSTITUTE(SUBSTITUTE(G313," ",""),"-",""),IF(F313&lt;&gt;"",SUBSTITUTE(SUBSTITUTE(F313," ",""),"-",""),"")))</f>
        <v>RSHC02Cr10</v>
      </c>
      <c r="D313" s="6" t="s">
        <v>36</v>
      </c>
      <c r="E313" s="11" t="s">
        <v>47</v>
      </c>
      <c r="F313" s="11" t="s">
        <v>882</v>
      </c>
      <c r="G313" s="11" t="s">
        <v>893</v>
      </c>
      <c r="H313" s="18">
        <v>1.75</v>
      </c>
      <c r="I313" s="5" t="s">
        <v>52</v>
      </c>
      <c r="J313" s="19">
        <v>1</v>
      </c>
      <c r="K313" s="5" t="s">
        <v>49</v>
      </c>
      <c r="L313" s="5" t="s">
        <v>53</v>
      </c>
      <c r="M313" s="23" t="s">
        <v>883</v>
      </c>
      <c r="N313" s="25"/>
      <c r="O313" s="25"/>
      <c r="P313" s="25"/>
      <c r="Q313" s="17" t="s">
        <v>43</v>
      </c>
    </row>
    <row r="314" spans="2:17">
      <c r="B314" s="11" t="s">
        <v>803</v>
      </c>
      <c r="C314" s="5" t="str">
        <f>IF(E314="","",IF(G314&lt;&gt;"",SUBSTITUTE(SUBSTITUTE(G314," ",""),"-",""),IF(F314&lt;&gt;"",SUBSTITUTE(SUBSTITUTE(F314," ",""),"-",""),"")))</f>
        <v>RSHC02Cr11</v>
      </c>
      <c r="D314" s="6" t="s">
        <v>36</v>
      </c>
      <c r="E314" s="11" t="s">
        <v>47</v>
      </c>
      <c r="F314" s="11" t="s">
        <v>882</v>
      </c>
      <c r="G314" s="11" t="s">
        <v>894</v>
      </c>
      <c r="H314" s="18">
        <v>1.75</v>
      </c>
      <c r="I314" s="5" t="s">
        <v>52</v>
      </c>
      <c r="J314" s="19">
        <v>1</v>
      </c>
      <c r="K314" s="5" t="s">
        <v>49</v>
      </c>
      <c r="L314" s="5" t="s">
        <v>53</v>
      </c>
      <c r="M314" s="23" t="s">
        <v>883</v>
      </c>
      <c r="N314" s="25"/>
      <c r="O314" s="25"/>
      <c r="P314" s="25"/>
      <c r="Q314" s="17" t="s">
        <v>43</v>
      </c>
    </row>
    <row r="315" spans="2:17">
      <c r="B315" s="11" t="s">
        <v>803</v>
      </c>
      <c r="C315" s="5" t="str">
        <f>IF(E315="","",IF(G315&lt;&gt;"",SUBSTITUTE(SUBSTITUTE(G315," ",""),"-",""),IF(F315&lt;&gt;"",SUBSTITUTE(SUBSTITUTE(F315," ",""),"-",""),"")))</f>
        <v>RSHC02Cr12</v>
      </c>
      <c r="D315" s="6" t="s">
        <v>36</v>
      </c>
      <c r="E315" s="11" t="s">
        <v>47</v>
      </c>
      <c r="F315" s="11" t="s">
        <v>882</v>
      </c>
      <c r="G315" s="11" t="s">
        <v>895</v>
      </c>
      <c r="H315" s="18">
        <v>1.75</v>
      </c>
      <c r="I315" s="5" t="s">
        <v>52</v>
      </c>
      <c r="J315" s="19">
        <v>1</v>
      </c>
      <c r="K315" s="5" t="s">
        <v>49</v>
      </c>
      <c r="L315" s="5" t="s">
        <v>53</v>
      </c>
      <c r="M315" s="23" t="s">
        <v>883</v>
      </c>
      <c r="N315" s="25"/>
      <c r="O315" s="25"/>
      <c r="P315" s="25"/>
      <c r="Q315" s="17" t="s">
        <v>43</v>
      </c>
    </row>
    <row r="316" spans="2:17">
      <c r="B316" s="11" t="s">
        <v>803</v>
      </c>
      <c r="C316" s="5" t="str">
        <f>IF(E316="","",IF(G316&lt;&gt;"",SUBSTITUTE(SUBSTITUTE(G316," ",""),"-",""),IF(F316&lt;&gt;"",SUBSTITUTE(SUBSTITUTE(F316," ",""),"-",""),"")))</f>
        <v>RSHC02Cr13</v>
      </c>
      <c r="D316" s="6" t="s">
        <v>36</v>
      </c>
      <c r="E316" s="11" t="s">
        <v>47</v>
      </c>
      <c r="F316" s="11" t="s">
        <v>882</v>
      </c>
      <c r="G316" s="11" t="s">
        <v>896</v>
      </c>
      <c r="H316" s="18">
        <v>1.75</v>
      </c>
      <c r="I316" s="5" t="s">
        <v>52</v>
      </c>
      <c r="J316" s="19">
        <v>1</v>
      </c>
      <c r="K316" s="5" t="s">
        <v>49</v>
      </c>
      <c r="L316" s="5" t="s">
        <v>53</v>
      </c>
      <c r="M316" s="23" t="s">
        <v>883</v>
      </c>
      <c r="N316" s="25"/>
      <c r="O316" s="25"/>
      <c r="P316" s="25"/>
      <c r="Q316" s="17" t="s">
        <v>43</v>
      </c>
    </row>
    <row r="317" spans="2:17">
      <c r="B317" s="11" t="s">
        <v>803</v>
      </c>
      <c r="C317" s="5" t="str">
        <f>IF(E317="","",IF(G317&lt;&gt;"",SUBSTITUTE(SUBSTITUTE(G317," ",""),"-",""),IF(F317&lt;&gt;"",SUBSTITUTE(SUBSTITUTE(F317," ",""),"-",""),"")))</f>
        <v>RSHC02Cr14</v>
      </c>
      <c r="D317" s="6" t="s">
        <v>36</v>
      </c>
      <c r="E317" s="11" t="s">
        <v>47</v>
      </c>
      <c r="F317" s="11" t="s">
        <v>882</v>
      </c>
      <c r="G317" s="11" t="s">
        <v>897</v>
      </c>
      <c r="H317" s="18">
        <v>1.75</v>
      </c>
      <c r="I317" s="5" t="s">
        <v>52</v>
      </c>
      <c r="J317" s="19">
        <v>1</v>
      </c>
      <c r="K317" s="5" t="s">
        <v>49</v>
      </c>
      <c r="L317" s="5" t="s">
        <v>53</v>
      </c>
      <c r="M317" s="23" t="s">
        <v>883</v>
      </c>
      <c r="N317" s="25"/>
      <c r="O317" s="25"/>
      <c r="P317" s="25"/>
      <c r="Q317" s="17" t="s">
        <v>43</v>
      </c>
    </row>
    <row r="318" spans="2:17">
      <c r="B318" s="11" t="s">
        <v>803</v>
      </c>
      <c r="C318" s="5" t="str">
        <f>IF(E318="","",IF(G318&lt;&gt;"",SUBSTITUTE(SUBSTITUTE(G318," ",""),"-",""),IF(F318&lt;&gt;"",SUBSTITUTE(SUBSTITUTE(F318," ",""),"-",""),"")))</f>
        <v>RSHC02Cr15</v>
      </c>
      <c r="D318" s="6" t="s">
        <v>36</v>
      </c>
      <c r="E318" s="11" t="s">
        <v>47</v>
      </c>
      <c r="F318" s="11" t="s">
        <v>882</v>
      </c>
      <c r="G318" s="11" t="s">
        <v>898</v>
      </c>
      <c r="H318" s="18">
        <v>1.75</v>
      </c>
      <c r="I318" s="5" t="s">
        <v>52</v>
      </c>
      <c r="J318" s="19">
        <v>1</v>
      </c>
      <c r="K318" s="5" t="s">
        <v>49</v>
      </c>
      <c r="L318" s="5" t="s">
        <v>53</v>
      </c>
      <c r="M318" s="23" t="s">
        <v>883</v>
      </c>
      <c r="N318" s="25"/>
      <c r="O318" s="25"/>
      <c r="P318" s="25"/>
      <c r="Q318" s="17" t="s">
        <v>43</v>
      </c>
    </row>
    <row r="319" spans="2:17">
      <c r="B319" s="11" t="s">
        <v>803</v>
      </c>
      <c r="C319" s="5" t="str">
        <f>IF(E319="","",IF(G319&lt;&gt;"",SUBSTITUTE(SUBSTITUTE(G319," ",""),"-",""),IF(F319&lt;&gt;"",SUBSTITUTE(SUBSTITUTE(F319," ",""),"-",""),"")))</f>
        <v>RSHC02Cr16</v>
      </c>
      <c r="D319" s="6" t="s">
        <v>36</v>
      </c>
      <c r="E319" s="11" t="s">
        <v>47</v>
      </c>
      <c r="F319" s="11" t="s">
        <v>882</v>
      </c>
      <c r="G319" s="11" t="s">
        <v>899</v>
      </c>
      <c r="H319" s="18">
        <v>1.75</v>
      </c>
      <c r="I319" s="5" t="s">
        <v>52</v>
      </c>
      <c r="J319" s="19">
        <v>1</v>
      </c>
      <c r="K319" s="5" t="s">
        <v>49</v>
      </c>
      <c r="L319" s="5" t="s">
        <v>53</v>
      </c>
      <c r="M319" s="23" t="s">
        <v>883</v>
      </c>
      <c r="N319" s="25"/>
      <c r="O319" s="25"/>
      <c r="P319" s="25"/>
      <c r="Q319" s="17" t="s">
        <v>43</v>
      </c>
    </row>
    <row r="320" spans="2:17">
      <c r="B320" s="11" t="s">
        <v>803</v>
      </c>
      <c r="C320" s="5" t="str">
        <f>IF(E320="","",IF(G320&lt;&gt;"",SUBSTITUTE(SUBSTITUTE(G320," ",""),"-",""),IF(F320&lt;&gt;"",SUBSTITUTE(SUBSTITUTE(F320," ",""),"-",""),"")))</f>
        <v>RSHC02Cr17</v>
      </c>
      <c r="D320" s="6" t="s">
        <v>36</v>
      </c>
      <c r="E320" s="11" t="s">
        <v>47</v>
      </c>
      <c r="F320" s="11" t="s">
        <v>882</v>
      </c>
      <c r="G320" s="11" t="s">
        <v>900</v>
      </c>
      <c r="H320" s="18">
        <v>1.75</v>
      </c>
      <c r="I320" s="5" t="s">
        <v>52</v>
      </c>
      <c r="J320" s="19">
        <v>1</v>
      </c>
      <c r="K320" s="5" t="s">
        <v>49</v>
      </c>
      <c r="L320" s="5" t="s">
        <v>53</v>
      </c>
      <c r="M320" s="23" t="s">
        <v>883</v>
      </c>
      <c r="N320" s="25"/>
      <c r="O320" s="25"/>
      <c r="P320" s="25"/>
      <c r="Q320" s="17" t="s">
        <v>43</v>
      </c>
    </row>
    <row r="321" spans="2:17">
      <c r="B321" s="11" t="s">
        <v>803</v>
      </c>
      <c r="C321" s="5" t="str">
        <f>IF(E321="","",IF(G321&lt;&gt;"",SUBSTITUTE(SUBSTITUTE(G321," ",""),"-",""),IF(F321&lt;&gt;"",SUBSTITUTE(SUBSTITUTE(F321," ",""),"-",""),"")))</f>
        <v>RSHC02Cr18</v>
      </c>
      <c r="D321" s="6" t="s">
        <v>36</v>
      </c>
      <c r="E321" s="11" t="s">
        <v>47</v>
      </c>
      <c r="F321" s="11" t="s">
        <v>882</v>
      </c>
      <c r="G321" s="11" t="s">
        <v>901</v>
      </c>
      <c r="H321" s="18">
        <v>1.75</v>
      </c>
      <c r="I321" s="5" t="s">
        <v>52</v>
      </c>
      <c r="J321" s="19">
        <v>1</v>
      </c>
      <c r="K321" s="5" t="s">
        <v>49</v>
      </c>
      <c r="L321" s="5" t="s">
        <v>53</v>
      </c>
      <c r="M321" s="23" t="s">
        <v>883</v>
      </c>
      <c r="N321" s="25"/>
      <c r="O321" s="25"/>
      <c r="P321" s="25"/>
      <c r="Q321" s="17" t="s">
        <v>43</v>
      </c>
    </row>
    <row r="322" spans="2:17">
      <c r="B322" s="11" t="s">
        <v>803</v>
      </c>
      <c r="C322" s="5" t="str">
        <f>IF(E322="","",IF(G322&lt;&gt;"",SUBSTITUTE(SUBSTITUTE(G322," ",""),"-",""),IF(F322&lt;&gt;"",SUBSTITUTE(SUBSTITUTE(F322," ",""),"-",""),"")))</f>
        <v>RSHC02Cr19</v>
      </c>
      <c r="D322" s="6" t="s">
        <v>36</v>
      </c>
      <c r="E322" s="11" t="s">
        <v>47</v>
      </c>
      <c r="F322" s="11" t="s">
        <v>882</v>
      </c>
      <c r="G322" s="11" t="s">
        <v>902</v>
      </c>
      <c r="H322" s="18">
        <v>1.75</v>
      </c>
      <c r="I322" s="5" t="s">
        <v>52</v>
      </c>
      <c r="J322" s="19">
        <v>1</v>
      </c>
      <c r="K322" s="5" t="s">
        <v>49</v>
      </c>
      <c r="L322" s="5" t="s">
        <v>53</v>
      </c>
      <c r="M322" s="23" t="s">
        <v>883</v>
      </c>
      <c r="N322" s="25"/>
      <c r="O322" s="25"/>
      <c r="P322" s="25"/>
      <c r="Q322" s="17" t="s">
        <v>43</v>
      </c>
    </row>
    <row r="323" spans="2:17">
      <c r="B323" s="11" t="s">
        <v>803</v>
      </c>
      <c r="C323" s="5" t="str">
        <f>IF(E323="","",IF(G323&lt;&gt;"",SUBSTITUTE(SUBSTITUTE(G323," ",""),"-",""),IF(F323&lt;&gt;"",SUBSTITUTE(SUBSTITUTE(F323," ",""),"-",""),"")))</f>
        <v>RSHC02Cr20</v>
      </c>
      <c r="D323" s="6" t="s">
        <v>36</v>
      </c>
      <c r="E323" s="11" t="s">
        <v>47</v>
      </c>
      <c r="F323" s="11" t="s">
        <v>882</v>
      </c>
      <c r="G323" s="11" t="s">
        <v>903</v>
      </c>
      <c r="H323" s="18">
        <v>1.75</v>
      </c>
      <c r="I323" s="5" t="s">
        <v>52</v>
      </c>
      <c r="J323" s="19">
        <v>1</v>
      </c>
      <c r="K323" s="5" t="s">
        <v>49</v>
      </c>
      <c r="L323" s="5" t="s">
        <v>53</v>
      </c>
      <c r="M323" s="23" t="s">
        <v>883</v>
      </c>
      <c r="N323" s="25"/>
      <c r="O323" s="25"/>
      <c r="P323" s="25"/>
      <c r="Q323" s="17" t="s">
        <v>43</v>
      </c>
    </row>
    <row r="324" spans="2:17">
      <c r="B324" s="11" t="s">
        <v>803</v>
      </c>
      <c r="C324" s="5" t="str">
        <f>IF(E324="","",IF(G324&lt;&gt;"",SUBSTITUTE(SUBSTITUTE(G324," ",""),"-",""),IF(F324&lt;&gt;"",SUBSTITUTE(SUBSTITUTE(F324," ",""),"-",""),"")))</f>
        <v>RSHC02Cr21</v>
      </c>
      <c r="D324" s="6" t="s">
        <v>36</v>
      </c>
      <c r="E324" s="11" t="s">
        <v>47</v>
      </c>
      <c r="F324" s="11" t="s">
        <v>882</v>
      </c>
      <c r="G324" s="11" t="s">
        <v>904</v>
      </c>
      <c r="H324" s="18">
        <v>1.75</v>
      </c>
      <c r="I324" s="5" t="s">
        <v>52</v>
      </c>
      <c r="J324" s="19">
        <v>1</v>
      </c>
      <c r="K324" s="5" t="s">
        <v>49</v>
      </c>
      <c r="L324" s="5" t="s">
        <v>53</v>
      </c>
      <c r="M324" s="23" t="s">
        <v>883</v>
      </c>
      <c r="N324" s="25"/>
      <c r="O324" s="25"/>
      <c r="P324" s="25"/>
      <c r="Q324" s="17" t="s">
        <v>43</v>
      </c>
    </row>
    <row r="325" spans="2:17">
      <c r="B325" s="11" t="s">
        <v>803</v>
      </c>
      <c r="C325" s="5" t="str">
        <f>IF(E325="","",IF(G325&lt;&gt;"",SUBSTITUTE(SUBSTITUTE(G325," ",""),"-",""),IF(F325&lt;&gt;"",SUBSTITUTE(SUBSTITUTE(F325," ",""),"-",""),"")))</f>
        <v>RSHC02Cr22</v>
      </c>
      <c r="D325" s="6" t="s">
        <v>36</v>
      </c>
      <c r="E325" s="11" t="s">
        <v>47</v>
      </c>
      <c r="F325" s="11" t="s">
        <v>882</v>
      </c>
      <c r="G325" s="11" t="s">
        <v>905</v>
      </c>
      <c r="H325" s="18">
        <v>1.75</v>
      </c>
      <c r="I325" s="5" t="s">
        <v>52</v>
      </c>
      <c r="J325" s="19">
        <v>1</v>
      </c>
      <c r="K325" s="5" t="s">
        <v>49</v>
      </c>
      <c r="L325" s="5" t="s">
        <v>53</v>
      </c>
      <c r="M325" s="23" t="s">
        <v>883</v>
      </c>
      <c r="N325" s="25"/>
      <c r="O325" s="25"/>
      <c r="P325" s="25"/>
      <c r="Q325" s="17" t="s">
        <v>43</v>
      </c>
    </row>
    <row r="326" spans="2:17">
      <c r="B326" s="11" t="s">
        <v>803</v>
      </c>
      <c r="C326" s="5" t="str">
        <f>IF(E326="","",IF(G326&lt;&gt;"",SUBSTITUTE(SUBSTITUTE(G326," ",""),"-",""),IF(F326&lt;&gt;"",SUBSTITUTE(SUBSTITUTE(F326," ",""),"-",""),"")))</f>
        <v>RSHC02Cr23</v>
      </c>
      <c r="D326" s="6" t="s">
        <v>36</v>
      </c>
      <c r="E326" s="11" t="s">
        <v>47</v>
      </c>
      <c r="F326" s="11" t="s">
        <v>882</v>
      </c>
      <c r="G326" s="11" t="s">
        <v>906</v>
      </c>
      <c r="H326" s="18">
        <v>1.75</v>
      </c>
      <c r="I326" s="5" t="s">
        <v>52</v>
      </c>
      <c r="J326" s="19">
        <v>1</v>
      </c>
      <c r="K326" s="5" t="s">
        <v>49</v>
      </c>
      <c r="L326" s="5" t="s">
        <v>53</v>
      </c>
      <c r="M326" s="23" t="s">
        <v>883</v>
      </c>
      <c r="N326" s="25"/>
      <c r="O326" s="25"/>
      <c r="P326" s="25"/>
      <c r="Q326" s="17" t="s">
        <v>43</v>
      </c>
    </row>
    <row r="327" spans="2:17">
      <c r="B327" s="11" t="s">
        <v>803</v>
      </c>
      <c r="C327" s="5" t="str">
        <f>IF(E327="","",IF(G327&lt;&gt;"",SUBSTITUTE(SUBSTITUTE(G327," ",""),"-",""),IF(F327&lt;&gt;"",SUBSTITUTE(SUBSTITUTE(F327," ",""),"-",""),"")))</f>
        <v>RSHC02Cr24</v>
      </c>
      <c r="D327" s="6" t="s">
        <v>36</v>
      </c>
      <c r="E327" s="11" t="s">
        <v>47</v>
      </c>
      <c r="F327" s="11" t="s">
        <v>882</v>
      </c>
      <c r="G327" s="11" t="s">
        <v>907</v>
      </c>
      <c r="H327" s="18">
        <v>1.75</v>
      </c>
      <c r="I327" s="5" t="s">
        <v>52</v>
      </c>
      <c r="J327" s="19">
        <v>1</v>
      </c>
      <c r="K327" s="5" t="s">
        <v>49</v>
      </c>
      <c r="L327" s="5" t="s">
        <v>53</v>
      </c>
      <c r="M327" s="23" t="s">
        <v>883</v>
      </c>
      <c r="N327" s="25"/>
      <c r="O327" s="25"/>
      <c r="P327" s="25"/>
      <c r="Q327" s="17" t="s">
        <v>43</v>
      </c>
    </row>
    <row r="328" spans="2:17">
      <c r="B328" s="11" t="s">
        <v>803</v>
      </c>
      <c r="C328" s="5" t="str">
        <f>IF(E328="","",IF(G328&lt;&gt;"",SUBSTITUTE(SUBSTITUTE(G328," ",""),"-",""),IF(F328&lt;&gt;"",SUBSTITUTE(SUBSTITUTE(F328," ",""),"-",""),"")))</f>
        <v>RSHC02Cr25</v>
      </c>
      <c r="D328" s="6" t="s">
        <v>36</v>
      </c>
      <c r="E328" s="11" t="s">
        <v>47</v>
      </c>
      <c r="F328" s="11" t="s">
        <v>882</v>
      </c>
      <c r="G328" s="11" t="s">
        <v>908</v>
      </c>
      <c r="H328" s="18">
        <v>1.75</v>
      </c>
      <c r="I328" s="5" t="s">
        <v>52</v>
      </c>
      <c r="J328" s="19">
        <v>1</v>
      </c>
      <c r="K328" s="5" t="s">
        <v>49</v>
      </c>
      <c r="L328" s="5" t="s">
        <v>53</v>
      </c>
      <c r="M328" s="23" t="s">
        <v>883</v>
      </c>
      <c r="N328" s="25"/>
      <c r="O328" s="25"/>
      <c r="P328" s="25"/>
      <c r="Q328" s="17" t="s">
        <v>43</v>
      </c>
    </row>
    <row r="329" spans="2:17">
      <c r="B329" s="11" t="s">
        <v>803</v>
      </c>
      <c r="C329" s="5" t="str">
        <f>IF(E329="","",IF(G329&lt;&gt;"",SUBSTITUTE(SUBSTITUTE(G329," ",""),"-",""),IF(F329&lt;&gt;"",SUBSTITUTE(SUBSTITUTE(F329," ",""),"-",""),"")))</f>
        <v>RSHC02Cr26</v>
      </c>
      <c r="D329" s="6" t="s">
        <v>36</v>
      </c>
      <c r="E329" s="11" t="s">
        <v>47</v>
      </c>
      <c r="F329" s="11" t="s">
        <v>882</v>
      </c>
      <c r="G329" s="11" t="s">
        <v>909</v>
      </c>
      <c r="H329" s="18">
        <v>1.75</v>
      </c>
      <c r="I329" s="5" t="s">
        <v>52</v>
      </c>
      <c r="J329" s="19">
        <v>1</v>
      </c>
      <c r="K329" s="5" t="s">
        <v>49</v>
      </c>
      <c r="L329" s="5" t="s">
        <v>53</v>
      </c>
      <c r="M329" s="23" t="s">
        <v>883</v>
      </c>
      <c r="N329" s="25"/>
      <c r="O329" s="25"/>
      <c r="P329" s="25"/>
      <c r="Q329" s="17" t="s">
        <v>43</v>
      </c>
    </row>
    <row r="330" spans="2:17">
      <c r="B330" s="11" t="s">
        <v>803</v>
      </c>
      <c r="C330" s="5" t="str">
        <f>IF(E330="","",IF(G330&lt;&gt;"",SUBSTITUTE(SUBSTITUTE(G330," ",""),"-",""),IF(F330&lt;&gt;"",SUBSTITUTE(SUBSTITUTE(F330," ",""),"-",""),"")))</f>
        <v>RSHC02Cr27</v>
      </c>
      <c r="D330" s="6" t="s">
        <v>36</v>
      </c>
      <c r="E330" s="11" t="s">
        <v>47</v>
      </c>
      <c r="F330" s="11" t="s">
        <v>882</v>
      </c>
      <c r="G330" s="11" t="s">
        <v>910</v>
      </c>
      <c r="H330" s="18">
        <v>1.75</v>
      </c>
      <c r="I330" s="5" t="s">
        <v>52</v>
      </c>
      <c r="J330" s="19">
        <v>1</v>
      </c>
      <c r="K330" s="5" t="s">
        <v>49</v>
      </c>
      <c r="L330" s="5" t="s">
        <v>53</v>
      </c>
      <c r="M330" s="23" t="s">
        <v>883</v>
      </c>
      <c r="N330" s="25"/>
      <c r="O330" s="25"/>
      <c r="P330" s="25"/>
      <c r="Q330" s="17" t="s">
        <v>43</v>
      </c>
    </row>
    <row r="331" spans="2:17">
      <c r="B331" s="11" t="s">
        <v>803</v>
      </c>
      <c r="C331" s="5" t="str">
        <f>IF(E331="","",IF(G331&lt;&gt;"",SUBSTITUTE(SUBSTITUTE(G331," ",""),"-",""),IF(F331&lt;&gt;"",SUBSTITUTE(SUBSTITUTE(F331," ",""),"-",""),"")))</f>
        <v>RSHC02Cr28</v>
      </c>
      <c r="D331" s="6" t="s">
        <v>36</v>
      </c>
      <c r="E331" s="11" t="s">
        <v>47</v>
      </c>
      <c r="F331" s="11" t="s">
        <v>882</v>
      </c>
      <c r="G331" s="11" t="s">
        <v>911</v>
      </c>
      <c r="H331" s="18">
        <v>1.75</v>
      </c>
      <c r="I331" s="5" t="s">
        <v>52</v>
      </c>
      <c r="J331" s="19">
        <v>1</v>
      </c>
      <c r="K331" s="5" t="s">
        <v>49</v>
      </c>
      <c r="L331" s="5" t="s">
        <v>53</v>
      </c>
      <c r="M331" s="23" t="s">
        <v>883</v>
      </c>
      <c r="N331" s="25"/>
      <c r="O331" s="25"/>
      <c r="P331" s="25"/>
      <c r="Q331" s="17" t="s">
        <v>43</v>
      </c>
    </row>
    <row r="332" spans="2:17">
      <c r="B332" s="11" t="s">
        <v>803</v>
      </c>
      <c r="C332" s="5" t="str">
        <f>IF(E332="","",IF(G332&lt;&gt;"",SUBSTITUTE(SUBSTITUTE(G332," ",""),"-",""),IF(F332&lt;&gt;"",SUBSTITUTE(SUBSTITUTE(F332," ",""),"-",""),"")))</f>
        <v>RSHC02Cr29</v>
      </c>
      <c r="D332" s="6" t="s">
        <v>36</v>
      </c>
      <c r="E332" s="11" t="s">
        <v>47</v>
      </c>
      <c r="F332" s="11" t="s">
        <v>882</v>
      </c>
      <c r="G332" s="11" t="s">
        <v>912</v>
      </c>
      <c r="H332" s="18">
        <v>1.75</v>
      </c>
      <c r="I332" s="5" t="s">
        <v>52</v>
      </c>
      <c r="J332" s="19">
        <v>1</v>
      </c>
      <c r="K332" s="5" t="s">
        <v>49</v>
      </c>
      <c r="L332" s="5" t="s">
        <v>53</v>
      </c>
      <c r="M332" s="23" t="s">
        <v>883</v>
      </c>
      <c r="N332" s="25"/>
      <c r="O332" s="25"/>
      <c r="P332" s="25"/>
      <c r="Q332" s="17" t="s">
        <v>43</v>
      </c>
    </row>
    <row r="333" spans="2:17">
      <c r="B333" s="11" t="s">
        <v>803</v>
      </c>
      <c r="C333" s="5" t="str">
        <f>IF(E333="","",IF(G333&lt;&gt;"",SUBSTITUTE(SUBSTITUTE(G333," ",""),"-",""),IF(F333&lt;&gt;"",SUBSTITUTE(SUBSTITUTE(F333," ",""),"-",""),"")))</f>
        <v>RSHC02Cr30</v>
      </c>
      <c r="D333" s="6" t="s">
        <v>36</v>
      </c>
      <c r="E333" s="11" t="s">
        <v>47</v>
      </c>
      <c r="F333" s="11" t="s">
        <v>882</v>
      </c>
      <c r="G333" s="11" t="s">
        <v>913</v>
      </c>
      <c r="H333" s="18">
        <v>1.75</v>
      </c>
      <c r="I333" s="5" t="s">
        <v>52</v>
      </c>
      <c r="J333" s="19">
        <v>1</v>
      </c>
      <c r="K333" s="5" t="s">
        <v>49</v>
      </c>
      <c r="L333" s="5" t="s">
        <v>53</v>
      </c>
      <c r="M333" s="23" t="s">
        <v>883</v>
      </c>
      <c r="N333" s="25"/>
      <c r="O333" s="25"/>
      <c r="P333" s="25"/>
      <c r="Q333" s="17" t="s">
        <v>43</v>
      </c>
    </row>
    <row r="334" spans="2:17">
      <c r="B334" s="11" t="s">
        <v>803</v>
      </c>
      <c r="C334" s="5" t="str">
        <f>IF(E334="","",IF(G334&lt;&gt;"",SUBSTITUTE(SUBSTITUTE(G334," ",""),"-",""),IF(F334&lt;&gt;"",SUBSTITUTE(SUBSTITUTE(F334," ",""),"-",""),"")))</f>
        <v>RSHC02Cr31</v>
      </c>
      <c r="D334" s="6" t="s">
        <v>36</v>
      </c>
      <c r="E334" s="11" t="s">
        <v>47</v>
      </c>
      <c r="F334" s="11" t="s">
        <v>882</v>
      </c>
      <c r="G334" s="11" t="s">
        <v>914</v>
      </c>
      <c r="H334" s="18">
        <v>1.75</v>
      </c>
      <c r="I334" s="5" t="s">
        <v>52</v>
      </c>
      <c r="J334" s="19">
        <v>1</v>
      </c>
      <c r="K334" s="5" t="s">
        <v>49</v>
      </c>
      <c r="L334" s="5" t="s">
        <v>53</v>
      </c>
      <c r="M334" s="23" t="s">
        <v>883</v>
      </c>
      <c r="N334" s="25"/>
      <c r="O334" s="25"/>
      <c r="P334" s="25"/>
      <c r="Q334" s="17" t="s">
        <v>43</v>
      </c>
    </row>
    <row r="335" spans="2:17">
      <c r="B335" s="11" t="s">
        <v>803</v>
      </c>
      <c r="C335" s="5" t="str">
        <f>IF(E335="","",IF(G335&lt;&gt;"",SUBSTITUTE(SUBSTITUTE(G335," ",""),"-",""),IF(F335&lt;&gt;"",SUBSTITUTE(SUBSTITUTE(F335," ",""),"-",""),"")))</f>
        <v>RSHC02Cr32</v>
      </c>
      <c r="D335" s="6" t="s">
        <v>36</v>
      </c>
      <c r="E335" s="11" t="s">
        <v>47</v>
      </c>
      <c r="F335" s="11" t="s">
        <v>882</v>
      </c>
      <c r="G335" s="11" t="s">
        <v>915</v>
      </c>
      <c r="H335" s="18">
        <v>1.75</v>
      </c>
      <c r="I335" s="5" t="s">
        <v>52</v>
      </c>
      <c r="J335" s="19">
        <v>1</v>
      </c>
      <c r="K335" s="5" t="s">
        <v>49</v>
      </c>
      <c r="L335" s="5" t="s">
        <v>53</v>
      </c>
      <c r="M335" s="23" t="s">
        <v>883</v>
      </c>
      <c r="N335" s="25"/>
      <c r="O335" s="25"/>
      <c r="P335" s="25"/>
      <c r="Q335" s="17" t="s">
        <v>43</v>
      </c>
    </row>
    <row r="336" spans="2:17">
      <c r="B336" s="11" t="s">
        <v>803</v>
      </c>
      <c r="C336" s="5" t="str">
        <f>IF(E336="","",IF(G336&lt;&gt;"",SUBSTITUTE(SUBSTITUTE(G336," ",""),"-",""),IF(F336&lt;&gt;"",SUBSTITUTE(SUBSTITUTE(F336," ",""),"-",""),"")))</f>
        <v>RSHC02Cr33</v>
      </c>
      <c r="D336" s="6" t="s">
        <v>36</v>
      </c>
      <c r="E336" s="11" t="s">
        <v>47</v>
      </c>
      <c r="F336" s="11" t="s">
        <v>882</v>
      </c>
      <c r="G336" s="11" t="s">
        <v>916</v>
      </c>
      <c r="H336" s="18">
        <v>1.75</v>
      </c>
      <c r="I336" s="5" t="s">
        <v>52</v>
      </c>
      <c r="J336" s="19">
        <v>1</v>
      </c>
      <c r="K336" s="5" t="s">
        <v>49</v>
      </c>
      <c r="L336" s="5" t="s">
        <v>53</v>
      </c>
      <c r="M336" s="23" t="s">
        <v>883</v>
      </c>
      <c r="N336" s="25"/>
      <c r="O336" s="25"/>
      <c r="P336" s="25"/>
      <c r="Q336" s="17" t="s">
        <v>43</v>
      </c>
    </row>
    <row r="337" spans="2:17">
      <c r="B337" s="11" t="s">
        <v>803</v>
      </c>
      <c r="C337" s="5" t="str">
        <f>IF(E337="","",IF(G337&lt;&gt;"",SUBSTITUTE(SUBSTITUTE(G337," ",""),"-",""),IF(F337&lt;&gt;"",SUBSTITUTE(SUBSTITUTE(F337," ",""),"-",""),"")))</f>
        <v>RSHC02Cr34</v>
      </c>
      <c r="D337" s="6" t="s">
        <v>36</v>
      </c>
      <c r="E337" s="11" t="s">
        <v>47</v>
      </c>
      <c r="F337" s="11" t="s">
        <v>882</v>
      </c>
      <c r="G337" s="11" t="s">
        <v>917</v>
      </c>
      <c r="H337" s="18">
        <v>1.75</v>
      </c>
      <c r="I337" s="5" t="s">
        <v>52</v>
      </c>
      <c r="J337" s="19">
        <v>1</v>
      </c>
      <c r="K337" s="5" t="s">
        <v>49</v>
      </c>
      <c r="L337" s="5" t="s">
        <v>53</v>
      </c>
      <c r="M337" s="23" t="s">
        <v>883</v>
      </c>
      <c r="N337" s="25"/>
      <c r="O337" s="25"/>
      <c r="P337" s="25"/>
      <c r="Q337" s="17" t="s">
        <v>43</v>
      </c>
    </row>
    <row r="338" spans="2:17">
      <c r="B338" s="11" t="s">
        <v>803</v>
      </c>
      <c r="C338" s="5" t="str">
        <f>IF(E338="","",IF(G338&lt;&gt;"",SUBSTITUTE(SUBSTITUTE(G338," ",""),"-",""),IF(F338&lt;&gt;"",SUBSTITUTE(SUBSTITUTE(F338," ",""),"-",""),"")))</f>
        <v>RSHC02Cr35</v>
      </c>
      <c r="D338" s="6" t="s">
        <v>36</v>
      </c>
      <c r="E338" s="11" t="s">
        <v>47</v>
      </c>
      <c r="F338" s="11" t="s">
        <v>882</v>
      </c>
      <c r="G338" s="11" t="s">
        <v>918</v>
      </c>
      <c r="H338" s="18">
        <v>1.75</v>
      </c>
      <c r="I338" s="5" t="s">
        <v>52</v>
      </c>
      <c r="J338" s="19">
        <v>1</v>
      </c>
      <c r="K338" s="5" t="s">
        <v>49</v>
      </c>
      <c r="L338" s="5" t="s">
        <v>53</v>
      </c>
      <c r="M338" s="23" t="s">
        <v>883</v>
      </c>
      <c r="N338" s="25"/>
      <c r="O338" s="25"/>
      <c r="P338" s="25"/>
      <c r="Q338" s="17" t="s">
        <v>43</v>
      </c>
    </row>
    <row r="339" spans="2:17">
      <c r="B339" s="11" t="s">
        <v>803</v>
      </c>
      <c r="C339" s="5" t="str">
        <f>IF(E339="","",IF(G339&lt;&gt;"",SUBSTITUTE(SUBSTITUTE(G339," ",""),"-",""),IF(F339&lt;&gt;"",SUBSTITUTE(SUBSTITUTE(F339," ",""),"-",""),"")))</f>
        <v>RSHC02Cr36</v>
      </c>
      <c r="D339" s="6" t="s">
        <v>36</v>
      </c>
      <c r="E339" s="11" t="s">
        <v>47</v>
      </c>
      <c r="F339" s="11" t="s">
        <v>882</v>
      </c>
      <c r="G339" s="11" t="s">
        <v>919</v>
      </c>
      <c r="H339" s="18">
        <v>1.75</v>
      </c>
      <c r="I339" s="5" t="s">
        <v>52</v>
      </c>
      <c r="J339" s="19">
        <v>1</v>
      </c>
      <c r="K339" s="5" t="s">
        <v>49</v>
      </c>
      <c r="L339" s="5" t="s">
        <v>53</v>
      </c>
      <c r="M339" s="23" t="s">
        <v>883</v>
      </c>
      <c r="N339" s="25"/>
      <c r="O339" s="25"/>
      <c r="P339" s="25"/>
      <c r="Q339" s="17" t="s">
        <v>43</v>
      </c>
    </row>
    <row r="340" spans="2:17">
      <c r="B340" s="11" t="s">
        <v>803</v>
      </c>
      <c r="C340" s="5" t="str">
        <f>IF(E340="","",IF(G340&lt;&gt;"",SUBSTITUTE(SUBSTITUTE(G340," ",""),"-",""),IF(F340&lt;&gt;"",SUBSTITUTE(SUBSTITUTE(F340," ",""),"-",""),"")))</f>
        <v>RSHC02Cr37</v>
      </c>
      <c r="D340" s="6" t="s">
        <v>36</v>
      </c>
      <c r="E340" s="11" t="s">
        <v>47</v>
      </c>
      <c r="F340" s="11" t="s">
        <v>882</v>
      </c>
      <c r="G340" s="11" t="s">
        <v>920</v>
      </c>
      <c r="H340" s="18">
        <v>1.75</v>
      </c>
      <c r="I340" s="5" t="s">
        <v>52</v>
      </c>
      <c r="J340" s="19">
        <v>1</v>
      </c>
      <c r="K340" s="5" t="s">
        <v>49</v>
      </c>
      <c r="L340" s="5" t="s">
        <v>53</v>
      </c>
      <c r="M340" s="23" t="s">
        <v>883</v>
      </c>
      <c r="N340" s="25"/>
      <c r="O340" s="25"/>
      <c r="P340" s="25"/>
      <c r="Q340" s="17" t="s">
        <v>43</v>
      </c>
    </row>
    <row r="341" spans="2:17">
      <c r="B341" s="11" t="s">
        <v>803</v>
      </c>
      <c r="C341" s="5" t="str">
        <f>IF(E341="","",IF(G341&lt;&gt;"",SUBSTITUTE(SUBSTITUTE(G341," ",""),"-",""),IF(F341&lt;&gt;"",SUBSTITUTE(SUBSTITUTE(F341," ",""),"-",""),"")))</f>
        <v>RSHC02Cr38</v>
      </c>
      <c r="D341" s="6" t="s">
        <v>36</v>
      </c>
      <c r="E341" s="11" t="s">
        <v>47</v>
      </c>
      <c r="F341" s="11" t="s">
        <v>882</v>
      </c>
      <c r="G341" s="11" t="s">
        <v>921</v>
      </c>
      <c r="H341" s="18">
        <v>1.75</v>
      </c>
      <c r="I341" s="5" t="s">
        <v>52</v>
      </c>
      <c r="J341" s="19">
        <v>1</v>
      </c>
      <c r="K341" s="5" t="s">
        <v>49</v>
      </c>
      <c r="L341" s="5" t="s">
        <v>53</v>
      </c>
      <c r="M341" s="23" t="s">
        <v>883</v>
      </c>
      <c r="N341" s="25"/>
      <c r="O341" s="25"/>
      <c r="P341" s="25"/>
      <c r="Q341" s="17" t="s">
        <v>43</v>
      </c>
    </row>
    <row r="342" spans="2:17">
      <c r="B342" s="11" t="s">
        <v>803</v>
      </c>
      <c r="C342" s="5" t="str">
        <f>IF(E342="","",IF(G342&lt;&gt;"",SUBSTITUTE(SUBSTITUTE(G342," ",""),"-",""),IF(F342&lt;&gt;"",SUBSTITUTE(SUBSTITUTE(F342," ",""),"-",""),"")))</f>
        <v>RSHC02Cr39</v>
      </c>
      <c r="D342" s="6" t="s">
        <v>36</v>
      </c>
      <c r="E342" s="11" t="s">
        <v>47</v>
      </c>
      <c r="F342" s="11" t="s">
        <v>882</v>
      </c>
      <c r="G342" s="11" t="s">
        <v>922</v>
      </c>
      <c r="H342" s="18">
        <v>1.75</v>
      </c>
      <c r="I342" s="5" t="s">
        <v>52</v>
      </c>
      <c r="J342" s="19">
        <v>1</v>
      </c>
      <c r="K342" s="5" t="s">
        <v>49</v>
      </c>
      <c r="L342" s="5" t="s">
        <v>53</v>
      </c>
      <c r="M342" s="23" t="s">
        <v>883</v>
      </c>
      <c r="N342" s="25"/>
      <c r="O342" s="25"/>
      <c r="P342" s="25"/>
      <c r="Q342" s="17" t="s">
        <v>43</v>
      </c>
    </row>
    <row r="343" spans="2:17">
      <c r="B343" s="11"/>
      <c r="C343" s="5" t="str">
        <f>IF(E343="","",IF(G343&lt;&gt;"",SUBSTITUTE(SUBSTITUTE(G343," ",""),"-",""),IF(F343&lt;&gt;"",SUBSTITUTE(SUBSTITUTE(F343," ",""),"-",""),"")))</f>
        <v/>
      </c>
      <c r="D343" s="6"/>
      <c r="E343" s="11"/>
      <c r="F343" s="11"/>
      <c r="G343" s="11"/>
      <c r="H343" s="18"/>
      <c r="J343" s="19"/>
      <c r="M343" s="23"/>
      <c r="N343" s="20"/>
      <c r="O343" s="20"/>
      <c r="P343" s="20"/>
      <c r="Q343" s="17"/>
    </row>
    <row r="344" spans="2:17">
      <c r="B344" s="11"/>
      <c r="C344" s="5" t="str">
        <f>IF(E344="","",IF(G344&lt;&gt;"",SUBSTITUTE(SUBSTITUTE(G344," ",""),"-",""),IF(F344&lt;&gt;"",SUBSTITUTE(SUBSTITUTE(F344," ",""),"-",""),"")))</f>
        <v/>
      </c>
      <c r="D344" s="6"/>
      <c r="E344" s="11"/>
      <c r="F344" s="11"/>
      <c r="G344" s="11"/>
      <c r="H344" s="18"/>
      <c r="J344" s="19"/>
      <c r="M344" s="23"/>
      <c r="N344" s="20"/>
      <c r="O344" s="20"/>
      <c r="P344" s="20"/>
      <c r="Q344" s="17"/>
    </row>
    <row r="345" spans="2:17">
      <c r="B345" s="11" t="s">
        <v>50</v>
      </c>
      <c r="C345" s="5" t="str">
        <f>IF(E345="","",IF(G345&lt;&gt;"",SUBSTITUTE(SUBSTITUTE(G345," ",""),"-",""),IF(F345&lt;&gt;"",SUBSTITUTE(SUBSTITUTE(F345," ",""),"-",""),"")))</f>
        <v>RSSL</v>
      </c>
      <c r="D345" s="6" t="s">
        <v>36</v>
      </c>
      <c r="E345" s="11" t="s">
        <v>47</v>
      </c>
      <c r="F345" s="11" t="s">
        <v>923</v>
      </c>
      <c r="G345" s="11"/>
      <c r="H345" s="18">
        <v>125.58</v>
      </c>
      <c r="I345" s="5" t="s">
        <v>52</v>
      </c>
      <c r="J345" s="19">
        <v>78</v>
      </c>
      <c r="K345" s="5" t="s">
        <v>49</v>
      </c>
      <c r="L345" s="5" t="s">
        <v>53</v>
      </c>
      <c r="M345" s="23" t="s">
        <v>924</v>
      </c>
      <c r="N345" s="25">
        <v>5500</v>
      </c>
      <c r="O345" s="25">
        <v>11</v>
      </c>
      <c r="P345" s="25">
        <v>1</v>
      </c>
      <c r="Q345" s="17" t="s">
        <v>43</v>
      </c>
    </row>
    <row r="346" spans="2:17">
      <c r="B346" s="11" t="s">
        <v>803</v>
      </c>
      <c r="C346" s="5" t="str">
        <f>IF(E346="","",IF(G346&lt;&gt;"",SUBSTITUTE(SUBSTITUTE(G346," ",""),"-",""),IF(F346&lt;&gt;"",SUBSTITUTE(SUBSTITUTE(F346," ",""),"-",""),"")))</f>
        <v>RSSLCr01</v>
      </c>
      <c r="D346" s="6" t="s">
        <v>36</v>
      </c>
      <c r="E346" s="11" t="s">
        <v>47</v>
      </c>
      <c r="F346" s="11" t="s">
        <v>923</v>
      </c>
      <c r="G346" s="11" t="s">
        <v>925</v>
      </c>
      <c r="H346" s="18">
        <v>1.61</v>
      </c>
      <c r="I346" s="5" t="s">
        <v>52</v>
      </c>
      <c r="J346" s="19">
        <v>1</v>
      </c>
      <c r="K346" s="5" t="s">
        <v>49</v>
      </c>
      <c r="L346" s="5" t="s">
        <v>53</v>
      </c>
      <c r="M346" s="23" t="s">
        <v>924</v>
      </c>
      <c r="N346" s="25"/>
      <c r="O346" s="25"/>
      <c r="P346" s="25"/>
      <c r="Q346" s="17" t="s">
        <v>43</v>
      </c>
    </row>
    <row r="347" spans="2:17">
      <c r="B347" s="11" t="s">
        <v>803</v>
      </c>
      <c r="C347" s="5" t="str">
        <f>IF(E347="","",IF(G347&lt;&gt;"",SUBSTITUTE(SUBSTITUTE(G347," ",""),"-",""),IF(F347&lt;&gt;"",SUBSTITUTE(SUBSTITUTE(F347," ",""),"-",""),"")))</f>
        <v>RSSLCr02</v>
      </c>
      <c r="D347" s="6" t="s">
        <v>36</v>
      </c>
      <c r="E347" s="11" t="s">
        <v>47</v>
      </c>
      <c r="F347" s="11" t="s">
        <v>923</v>
      </c>
      <c r="G347" s="11" t="s">
        <v>926</v>
      </c>
      <c r="H347" s="18">
        <v>1.61</v>
      </c>
      <c r="I347" s="5" t="s">
        <v>52</v>
      </c>
      <c r="J347" s="19">
        <v>1</v>
      </c>
      <c r="K347" s="5" t="s">
        <v>49</v>
      </c>
      <c r="L347" s="5" t="s">
        <v>53</v>
      </c>
      <c r="M347" s="23" t="s">
        <v>924</v>
      </c>
      <c r="N347" s="25"/>
      <c r="O347" s="25"/>
      <c r="P347" s="25"/>
      <c r="Q347" s="17" t="s">
        <v>43</v>
      </c>
    </row>
    <row r="348" spans="2:17">
      <c r="B348" s="11" t="s">
        <v>803</v>
      </c>
      <c r="C348" s="5" t="str">
        <f>IF(E348="","",IF(G348&lt;&gt;"",SUBSTITUTE(SUBSTITUTE(G348," ",""),"-",""),IF(F348&lt;&gt;"",SUBSTITUTE(SUBSTITUTE(F348," ",""),"-",""),"")))</f>
        <v>RSSLCr03</v>
      </c>
      <c r="D348" s="6" t="s">
        <v>36</v>
      </c>
      <c r="E348" s="11" t="s">
        <v>47</v>
      </c>
      <c r="F348" s="11" t="s">
        <v>923</v>
      </c>
      <c r="G348" s="11" t="s">
        <v>927</v>
      </c>
      <c r="H348" s="18">
        <v>1.61</v>
      </c>
      <c r="I348" s="5" t="s">
        <v>52</v>
      </c>
      <c r="J348" s="19">
        <v>1</v>
      </c>
      <c r="K348" s="5" t="s">
        <v>49</v>
      </c>
      <c r="L348" s="5" t="s">
        <v>53</v>
      </c>
      <c r="M348" s="23" t="s">
        <v>924</v>
      </c>
      <c r="N348" s="25"/>
      <c r="O348" s="25"/>
      <c r="P348" s="25"/>
      <c r="Q348" s="17" t="s">
        <v>43</v>
      </c>
    </row>
    <row r="349" spans="2:17">
      <c r="B349" s="11" t="s">
        <v>803</v>
      </c>
      <c r="C349" s="5" t="str">
        <f>IF(E349="","",IF(G349&lt;&gt;"",SUBSTITUTE(SUBSTITUTE(G349," ",""),"-",""),IF(F349&lt;&gt;"",SUBSTITUTE(SUBSTITUTE(F349," ",""),"-",""),"")))</f>
        <v>RSSLCr04</v>
      </c>
      <c r="D349" s="6" t="s">
        <v>36</v>
      </c>
      <c r="E349" s="11" t="s">
        <v>47</v>
      </c>
      <c r="F349" s="11" t="s">
        <v>923</v>
      </c>
      <c r="G349" s="11" t="s">
        <v>928</v>
      </c>
      <c r="H349" s="18">
        <v>1.61</v>
      </c>
      <c r="I349" s="5" t="s">
        <v>52</v>
      </c>
      <c r="J349" s="19">
        <v>1</v>
      </c>
      <c r="K349" s="5" t="s">
        <v>49</v>
      </c>
      <c r="L349" s="5" t="s">
        <v>53</v>
      </c>
      <c r="M349" s="23" t="s">
        <v>924</v>
      </c>
      <c r="N349" s="25"/>
      <c r="O349" s="25"/>
      <c r="P349" s="25"/>
      <c r="Q349" s="17" t="s">
        <v>43</v>
      </c>
    </row>
    <row r="350" spans="2:17">
      <c r="B350" s="11" t="s">
        <v>803</v>
      </c>
      <c r="C350" s="5" t="str">
        <f>IF(E350="","",IF(G350&lt;&gt;"",SUBSTITUTE(SUBSTITUTE(G350," ",""),"-",""),IF(F350&lt;&gt;"",SUBSTITUTE(SUBSTITUTE(F350," ",""),"-",""),"")))</f>
        <v>RSSLCr05</v>
      </c>
      <c r="D350" s="6" t="s">
        <v>36</v>
      </c>
      <c r="E350" s="11" t="s">
        <v>47</v>
      </c>
      <c r="F350" s="11" t="s">
        <v>923</v>
      </c>
      <c r="G350" s="11" t="s">
        <v>929</v>
      </c>
      <c r="H350" s="18">
        <v>1.61</v>
      </c>
      <c r="I350" s="5" t="s">
        <v>52</v>
      </c>
      <c r="J350" s="19">
        <v>1</v>
      </c>
      <c r="K350" s="5" t="s">
        <v>49</v>
      </c>
      <c r="L350" s="5" t="s">
        <v>53</v>
      </c>
      <c r="M350" s="23" t="s">
        <v>924</v>
      </c>
      <c r="N350" s="25"/>
      <c r="O350" s="25"/>
      <c r="P350" s="25"/>
      <c r="Q350" s="17" t="s">
        <v>43</v>
      </c>
    </row>
    <row r="351" spans="2:17">
      <c r="B351" s="11" t="s">
        <v>803</v>
      </c>
      <c r="C351" s="5" t="str">
        <f>IF(E351="","",IF(G351&lt;&gt;"",SUBSTITUTE(SUBSTITUTE(G351," ",""),"-",""),IF(F351&lt;&gt;"",SUBSTITUTE(SUBSTITUTE(F351," ",""),"-",""),"")))</f>
        <v>RSSLCr06</v>
      </c>
      <c r="D351" s="6" t="s">
        <v>36</v>
      </c>
      <c r="E351" s="11" t="s">
        <v>47</v>
      </c>
      <c r="F351" s="11" t="s">
        <v>923</v>
      </c>
      <c r="G351" s="11" t="s">
        <v>930</v>
      </c>
      <c r="H351" s="18">
        <v>1.61</v>
      </c>
      <c r="I351" s="5" t="s">
        <v>52</v>
      </c>
      <c r="J351" s="19">
        <v>1</v>
      </c>
      <c r="K351" s="5" t="s">
        <v>49</v>
      </c>
      <c r="L351" s="5" t="s">
        <v>53</v>
      </c>
      <c r="M351" s="23" t="s">
        <v>924</v>
      </c>
      <c r="N351" s="25"/>
      <c r="O351" s="25"/>
      <c r="P351" s="25"/>
      <c r="Q351" s="17" t="s">
        <v>43</v>
      </c>
    </row>
    <row r="352" spans="2:17">
      <c r="B352" s="11" t="s">
        <v>803</v>
      </c>
      <c r="C352" s="5" t="str">
        <f>IF(E352="","",IF(G352&lt;&gt;"",SUBSTITUTE(SUBSTITUTE(G352," ",""),"-",""),IF(F352&lt;&gt;"",SUBSTITUTE(SUBSTITUTE(F352," ",""),"-",""),"")))</f>
        <v>RSSLCr07</v>
      </c>
      <c r="D352" s="6" t="s">
        <v>36</v>
      </c>
      <c r="E352" s="11" t="s">
        <v>47</v>
      </c>
      <c r="F352" s="11" t="s">
        <v>923</v>
      </c>
      <c r="G352" s="11" t="s">
        <v>931</v>
      </c>
      <c r="H352" s="18">
        <v>1.61</v>
      </c>
      <c r="I352" s="5" t="s">
        <v>52</v>
      </c>
      <c r="J352" s="19">
        <v>1</v>
      </c>
      <c r="K352" s="5" t="s">
        <v>49</v>
      </c>
      <c r="L352" s="5" t="s">
        <v>53</v>
      </c>
      <c r="M352" s="23" t="s">
        <v>924</v>
      </c>
      <c r="N352" s="25"/>
      <c r="O352" s="25"/>
      <c r="P352" s="25"/>
      <c r="Q352" s="17" t="s">
        <v>43</v>
      </c>
    </row>
    <row r="353" spans="2:17">
      <c r="B353" s="11" t="s">
        <v>803</v>
      </c>
      <c r="C353" s="5" t="str">
        <f>IF(E353="","",IF(G353&lt;&gt;"",SUBSTITUTE(SUBSTITUTE(G353," ",""),"-",""),IF(F353&lt;&gt;"",SUBSTITUTE(SUBSTITUTE(F353," ",""),"-",""),"")))</f>
        <v>RSSLCr08</v>
      </c>
      <c r="D353" s="6" t="s">
        <v>36</v>
      </c>
      <c r="E353" s="11" t="s">
        <v>47</v>
      </c>
      <c r="F353" s="11" t="s">
        <v>923</v>
      </c>
      <c r="G353" s="11" t="s">
        <v>932</v>
      </c>
      <c r="H353" s="18">
        <v>1.61</v>
      </c>
      <c r="I353" s="5" t="s">
        <v>52</v>
      </c>
      <c r="J353" s="19">
        <v>1</v>
      </c>
      <c r="K353" s="5" t="s">
        <v>49</v>
      </c>
      <c r="L353" s="5" t="s">
        <v>53</v>
      </c>
      <c r="M353" s="23" t="s">
        <v>924</v>
      </c>
      <c r="N353" s="25"/>
      <c r="O353" s="25"/>
      <c r="P353" s="25"/>
      <c r="Q353" s="17" t="s">
        <v>43</v>
      </c>
    </row>
    <row r="354" spans="2:17">
      <c r="B354" s="11" t="s">
        <v>803</v>
      </c>
      <c r="C354" s="5" t="str">
        <f>IF(E354="","",IF(G354&lt;&gt;"",SUBSTITUTE(SUBSTITUTE(G354," ",""),"-",""),IF(F354&lt;&gt;"",SUBSTITUTE(SUBSTITUTE(F354," ",""),"-",""),"")))</f>
        <v>RSSLCr09</v>
      </c>
      <c r="D354" s="6" t="s">
        <v>36</v>
      </c>
      <c r="E354" s="11" t="s">
        <v>47</v>
      </c>
      <c r="F354" s="11" t="s">
        <v>923</v>
      </c>
      <c r="G354" s="11" t="s">
        <v>933</v>
      </c>
      <c r="H354" s="18">
        <v>1.61</v>
      </c>
      <c r="I354" s="5" t="s">
        <v>52</v>
      </c>
      <c r="J354" s="19">
        <v>1</v>
      </c>
      <c r="K354" s="5" t="s">
        <v>49</v>
      </c>
      <c r="L354" s="5" t="s">
        <v>53</v>
      </c>
      <c r="M354" s="23" t="s">
        <v>924</v>
      </c>
      <c r="N354" s="25"/>
      <c r="O354" s="25"/>
      <c r="P354" s="25"/>
      <c r="Q354" s="17" t="s">
        <v>43</v>
      </c>
    </row>
    <row r="355" spans="2:17">
      <c r="B355" s="11" t="s">
        <v>803</v>
      </c>
      <c r="C355" s="5" t="str">
        <f>IF(E355="","",IF(G355&lt;&gt;"",SUBSTITUTE(SUBSTITUTE(G355," ",""),"-",""),IF(F355&lt;&gt;"",SUBSTITUTE(SUBSTITUTE(F355," ",""),"-",""),"")))</f>
        <v>RSSLCr10</v>
      </c>
      <c r="D355" s="6" t="s">
        <v>36</v>
      </c>
      <c r="E355" s="11" t="s">
        <v>47</v>
      </c>
      <c r="F355" s="11" t="s">
        <v>923</v>
      </c>
      <c r="G355" s="11" t="s">
        <v>934</v>
      </c>
      <c r="H355" s="18">
        <v>1.61</v>
      </c>
      <c r="I355" s="5" t="s">
        <v>52</v>
      </c>
      <c r="J355" s="19">
        <v>1</v>
      </c>
      <c r="K355" s="5" t="s">
        <v>49</v>
      </c>
      <c r="L355" s="5" t="s">
        <v>53</v>
      </c>
      <c r="M355" s="23" t="s">
        <v>924</v>
      </c>
      <c r="N355" s="25"/>
      <c r="O355" s="25"/>
      <c r="P355" s="25"/>
      <c r="Q355" s="17" t="s">
        <v>43</v>
      </c>
    </row>
    <row r="356" spans="2:17">
      <c r="B356" s="11" t="s">
        <v>803</v>
      </c>
      <c r="C356" s="5" t="str">
        <f>IF(E356="","",IF(G356&lt;&gt;"",SUBSTITUTE(SUBSTITUTE(G356," ",""),"-",""),IF(F356&lt;&gt;"",SUBSTITUTE(SUBSTITUTE(F356," ",""),"-",""),"")))</f>
        <v>RSSLCr11</v>
      </c>
      <c r="D356" s="6" t="s">
        <v>36</v>
      </c>
      <c r="E356" s="11" t="s">
        <v>47</v>
      </c>
      <c r="F356" s="11" t="s">
        <v>923</v>
      </c>
      <c r="G356" s="11" t="s">
        <v>935</v>
      </c>
      <c r="H356" s="18">
        <v>1.61</v>
      </c>
      <c r="I356" s="5" t="s">
        <v>52</v>
      </c>
      <c r="J356" s="19">
        <v>1</v>
      </c>
      <c r="K356" s="5" t="s">
        <v>49</v>
      </c>
      <c r="L356" s="5" t="s">
        <v>53</v>
      </c>
      <c r="M356" s="23" t="s">
        <v>924</v>
      </c>
      <c r="N356" s="25"/>
      <c r="O356" s="25"/>
      <c r="P356" s="25"/>
      <c r="Q356" s="17" t="s">
        <v>43</v>
      </c>
    </row>
    <row r="357" spans="2:17">
      <c r="B357" s="11" t="s">
        <v>803</v>
      </c>
      <c r="C357" s="5" t="str">
        <f>IF(E357="","",IF(G357&lt;&gt;"",SUBSTITUTE(SUBSTITUTE(G357," ",""),"-",""),IF(F357&lt;&gt;"",SUBSTITUTE(SUBSTITUTE(F357," ",""),"-",""),"")))</f>
        <v>RSSLCr12</v>
      </c>
      <c r="D357" s="6" t="s">
        <v>36</v>
      </c>
      <c r="E357" s="11" t="s">
        <v>47</v>
      </c>
      <c r="F357" s="11" t="s">
        <v>923</v>
      </c>
      <c r="G357" s="11" t="s">
        <v>936</v>
      </c>
      <c r="H357" s="18">
        <v>1.61</v>
      </c>
      <c r="I357" s="5" t="s">
        <v>52</v>
      </c>
      <c r="J357" s="19">
        <v>1</v>
      </c>
      <c r="K357" s="5" t="s">
        <v>49</v>
      </c>
      <c r="L357" s="5" t="s">
        <v>53</v>
      </c>
      <c r="M357" s="23" t="s">
        <v>924</v>
      </c>
      <c r="N357" s="25"/>
      <c r="O357" s="25"/>
      <c r="P357" s="25"/>
      <c r="Q357" s="17" t="s">
        <v>43</v>
      </c>
    </row>
    <row r="358" spans="2:17">
      <c r="B358" s="11" t="s">
        <v>803</v>
      </c>
      <c r="C358" s="5" t="str">
        <f>IF(E358="","",IF(G358&lt;&gt;"",SUBSTITUTE(SUBSTITUTE(G358," ",""),"-",""),IF(F358&lt;&gt;"",SUBSTITUTE(SUBSTITUTE(F358," ",""),"-",""),"")))</f>
        <v>RSSLCr13</v>
      </c>
      <c r="D358" s="6" t="s">
        <v>36</v>
      </c>
      <c r="E358" s="11" t="s">
        <v>47</v>
      </c>
      <c r="F358" s="11" t="s">
        <v>923</v>
      </c>
      <c r="G358" s="11" t="s">
        <v>937</v>
      </c>
      <c r="H358" s="18">
        <v>1.61</v>
      </c>
      <c r="I358" s="5" t="s">
        <v>52</v>
      </c>
      <c r="J358" s="19">
        <v>1</v>
      </c>
      <c r="K358" s="5" t="s">
        <v>49</v>
      </c>
      <c r="L358" s="5" t="s">
        <v>53</v>
      </c>
      <c r="M358" s="23" t="s">
        <v>924</v>
      </c>
      <c r="N358" s="25"/>
      <c r="O358" s="25"/>
      <c r="P358" s="25"/>
      <c r="Q358" s="17" t="s">
        <v>43</v>
      </c>
    </row>
    <row r="359" spans="2:17">
      <c r="B359" s="11" t="s">
        <v>803</v>
      </c>
      <c r="C359" s="5" t="str">
        <f>IF(E359="","",IF(G359&lt;&gt;"",SUBSTITUTE(SUBSTITUTE(G359," ",""),"-",""),IF(F359&lt;&gt;"",SUBSTITUTE(SUBSTITUTE(F359," ",""),"-",""),"")))</f>
        <v>RSSLCr14</v>
      </c>
      <c r="D359" s="6" t="s">
        <v>36</v>
      </c>
      <c r="E359" s="11" t="s">
        <v>47</v>
      </c>
      <c r="F359" s="11" t="s">
        <v>923</v>
      </c>
      <c r="G359" s="11" t="s">
        <v>938</v>
      </c>
      <c r="H359" s="18">
        <v>1.61</v>
      </c>
      <c r="I359" s="5" t="s">
        <v>52</v>
      </c>
      <c r="J359" s="19">
        <v>1</v>
      </c>
      <c r="K359" s="5" t="s">
        <v>49</v>
      </c>
      <c r="L359" s="5" t="s">
        <v>53</v>
      </c>
      <c r="M359" s="23" t="s">
        <v>924</v>
      </c>
      <c r="N359" s="25"/>
      <c r="O359" s="25"/>
      <c r="P359" s="25"/>
      <c r="Q359" s="17" t="s">
        <v>43</v>
      </c>
    </row>
    <row r="360" spans="2:17">
      <c r="B360" s="11" t="s">
        <v>803</v>
      </c>
      <c r="C360" s="5" t="str">
        <f>IF(E360="","",IF(G360&lt;&gt;"",SUBSTITUTE(SUBSTITUTE(G360," ",""),"-",""),IF(F360&lt;&gt;"",SUBSTITUTE(SUBSTITUTE(F360," ",""),"-",""),"")))</f>
        <v>RSSLCr15</v>
      </c>
      <c r="D360" s="6" t="s">
        <v>36</v>
      </c>
      <c r="E360" s="11" t="s">
        <v>47</v>
      </c>
      <c r="F360" s="11" t="s">
        <v>923</v>
      </c>
      <c r="G360" s="11" t="s">
        <v>939</v>
      </c>
      <c r="H360" s="18">
        <v>1.61</v>
      </c>
      <c r="I360" s="5" t="s">
        <v>52</v>
      </c>
      <c r="J360" s="19">
        <v>1</v>
      </c>
      <c r="K360" s="5" t="s">
        <v>49</v>
      </c>
      <c r="L360" s="5" t="s">
        <v>53</v>
      </c>
      <c r="M360" s="23" t="s">
        <v>924</v>
      </c>
      <c r="N360" s="25"/>
      <c r="O360" s="25"/>
      <c r="P360" s="25"/>
      <c r="Q360" s="17" t="s">
        <v>43</v>
      </c>
    </row>
    <row r="361" spans="2:17">
      <c r="B361" s="11" t="s">
        <v>803</v>
      </c>
      <c r="C361" s="5" t="str">
        <f>IF(E361="","",IF(G361&lt;&gt;"",SUBSTITUTE(SUBSTITUTE(G361," ",""),"-",""),IF(F361&lt;&gt;"",SUBSTITUTE(SUBSTITUTE(F361," ",""),"-",""),"")))</f>
        <v>RSSLCr16</v>
      </c>
      <c r="D361" s="6" t="s">
        <v>36</v>
      </c>
      <c r="E361" s="11" t="s">
        <v>47</v>
      </c>
      <c r="F361" s="11" t="s">
        <v>923</v>
      </c>
      <c r="G361" s="11" t="s">
        <v>940</v>
      </c>
      <c r="H361" s="18">
        <v>1.61</v>
      </c>
      <c r="I361" s="5" t="s">
        <v>52</v>
      </c>
      <c r="J361" s="19">
        <v>1</v>
      </c>
      <c r="K361" s="5" t="s">
        <v>49</v>
      </c>
      <c r="L361" s="5" t="s">
        <v>53</v>
      </c>
      <c r="M361" s="23" t="s">
        <v>924</v>
      </c>
      <c r="N361" s="25"/>
      <c r="O361" s="25"/>
      <c r="P361" s="25"/>
      <c r="Q361" s="17" t="s">
        <v>43</v>
      </c>
    </row>
    <row r="362" spans="2:17">
      <c r="B362" s="11" t="s">
        <v>803</v>
      </c>
      <c r="C362" s="5" t="str">
        <f>IF(E362="","",IF(G362&lt;&gt;"",SUBSTITUTE(SUBSTITUTE(G362," ",""),"-",""),IF(F362&lt;&gt;"",SUBSTITUTE(SUBSTITUTE(F362," ",""),"-",""),"")))</f>
        <v>RSSLCr17</v>
      </c>
      <c r="D362" s="6" t="s">
        <v>36</v>
      </c>
      <c r="E362" s="11" t="s">
        <v>47</v>
      </c>
      <c r="F362" s="11" t="s">
        <v>923</v>
      </c>
      <c r="G362" s="11" t="s">
        <v>941</v>
      </c>
      <c r="H362" s="18">
        <v>1.61</v>
      </c>
      <c r="I362" s="5" t="s">
        <v>52</v>
      </c>
      <c r="J362" s="19">
        <v>1</v>
      </c>
      <c r="K362" s="5" t="s">
        <v>49</v>
      </c>
      <c r="L362" s="5" t="s">
        <v>53</v>
      </c>
      <c r="M362" s="23" t="s">
        <v>924</v>
      </c>
      <c r="N362" s="25"/>
      <c r="O362" s="25"/>
      <c r="P362" s="25"/>
      <c r="Q362" s="17" t="s">
        <v>43</v>
      </c>
    </row>
    <row r="363" spans="2:17">
      <c r="B363" s="11" t="s">
        <v>803</v>
      </c>
      <c r="C363" s="5" t="str">
        <f>IF(E363="","",IF(G363&lt;&gt;"",SUBSTITUTE(SUBSTITUTE(G363," ",""),"-",""),IF(F363&lt;&gt;"",SUBSTITUTE(SUBSTITUTE(F363," ",""),"-",""),"")))</f>
        <v>RSSLCr18</v>
      </c>
      <c r="D363" s="6" t="s">
        <v>36</v>
      </c>
      <c r="E363" s="11" t="s">
        <v>47</v>
      </c>
      <c r="F363" s="11" t="s">
        <v>923</v>
      </c>
      <c r="G363" s="11" t="s">
        <v>942</v>
      </c>
      <c r="H363" s="18">
        <v>1.61</v>
      </c>
      <c r="I363" s="5" t="s">
        <v>52</v>
      </c>
      <c r="J363" s="19">
        <v>1</v>
      </c>
      <c r="K363" s="5" t="s">
        <v>49</v>
      </c>
      <c r="L363" s="5" t="s">
        <v>53</v>
      </c>
      <c r="M363" s="23" t="s">
        <v>924</v>
      </c>
      <c r="N363" s="25"/>
      <c r="O363" s="25"/>
      <c r="P363" s="25"/>
      <c r="Q363" s="17" t="s">
        <v>43</v>
      </c>
    </row>
    <row r="364" spans="2:17">
      <c r="B364" s="11" t="s">
        <v>803</v>
      </c>
      <c r="C364" s="5" t="str">
        <f>IF(E364="","",IF(G364&lt;&gt;"",SUBSTITUTE(SUBSTITUTE(G364," ",""),"-",""),IF(F364&lt;&gt;"",SUBSTITUTE(SUBSTITUTE(F364," ",""),"-",""),"")))</f>
        <v>RSSLCr19</v>
      </c>
      <c r="D364" s="6" t="s">
        <v>36</v>
      </c>
      <c r="E364" s="11" t="s">
        <v>47</v>
      </c>
      <c r="F364" s="11" t="s">
        <v>923</v>
      </c>
      <c r="G364" s="11" t="s">
        <v>943</v>
      </c>
      <c r="H364" s="18">
        <v>1.61</v>
      </c>
      <c r="I364" s="5" t="s">
        <v>52</v>
      </c>
      <c r="J364" s="19">
        <v>1</v>
      </c>
      <c r="K364" s="5" t="s">
        <v>49</v>
      </c>
      <c r="L364" s="5" t="s">
        <v>53</v>
      </c>
      <c r="M364" s="23" t="s">
        <v>924</v>
      </c>
      <c r="N364" s="25"/>
      <c r="O364" s="25"/>
      <c r="P364" s="25"/>
      <c r="Q364" s="17" t="s">
        <v>43</v>
      </c>
    </row>
    <row r="365" spans="2:17">
      <c r="B365" s="11" t="s">
        <v>803</v>
      </c>
      <c r="C365" s="5" t="str">
        <f>IF(E365="","",IF(G365&lt;&gt;"",SUBSTITUTE(SUBSTITUTE(G365," ",""),"-",""),IF(F365&lt;&gt;"",SUBSTITUTE(SUBSTITUTE(F365," ",""),"-",""),"")))</f>
        <v>RSSLCr20</v>
      </c>
      <c r="D365" s="6" t="s">
        <v>36</v>
      </c>
      <c r="E365" s="11" t="s">
        <v>47</v>
      </c>
      <c r="F365" s="11" t="s">
        <v>923</v>
      </c>
      <c r="G365" s="11" t="s">
        <v>944</v>
      </c>
      <c r="H365" s="18">
        <v>1.61</v>
      </c>
      <c r="I365" s="5" t="s">
        <v>52</v>
      </c>
      <c r="J365" s="19">
        <v>1</v>
      </c>
      <c r="K365" s="5" t="s">
        <v>49</v>
      </c>
      <c r="L365" s="5" t="s">
        <v>53</v>
      </c>
      <c r="M365" s="23" t="s">
        <v>924</v>
      </c>
      <c r="N365" s="25"/>
      <c r="O365" s="25"/>
      <c r="P365" s="25"/>
      <c r="Q365" s="17" t="s">
        <v>43</v>
      </c>
    </row>
    <row r="366" spans="2:17">
      <c r="B366" s="11" t="s">
        <v>803</v>
      </c>
      <c r="C366" s="5" t="str">
        <f>IF(E366="","",IF(G366&lt;&gt;"",SUBSTITUTE(SUBSTITUTE(G366," ",""),"-",""),IF(F366&lt;&gt;"",SUBSTITUTE(SUBSTITUTE(F366," ",""),"-",""),"")))</f>
        <v>RSSLCr21</v>
      </c>
      <c r="D366" s="6" t="s">
        <v>36</v>
      </c>
      <c r="E366" s="11" t="s">
        <v>47</v>
      </c>
      <c r="F366" s="11" t="s">
        <v>923</v>
      </c>
      <c r="G366" s="11" t="s">
        <v>945</v>
      </c>
      <c r="H366" s="18">
        <v>1.61</v>
      </c>
      <c r="I366" s="5" t="s">
        <v>52</v>
      </c>
      <c r="J366" s="19">
        <v>1</v>
      </c>
      <c r="K366" s="5" t="s">
        <v>49</v>
      </c>
      <c r="L366" s="5" t="s">
        <v>53</v>
      </c>
      <c r="M366" s="23" t="s">
        <v>924</v>
      </c>
      <c r="N366" s="25"/>
      <c r="O366" s="25"/>
      <c r="P366" s="25"/>
      <c r="Q366" s="17" t="s">
        <v>43</v>
      </c>
    </row>
    <row r="367" spans="2:17">
      <c r="B367" s="11" t="s">
        <v>803</v>
      </c>
      <c r="C367" s="5" t="str">
        <f>IF(E367="","",IF(G367&lt;&gt;"",SUBSTITUTE(SUBSTITUTE(G367," ",""),"-",""),IF(F367&lt;&gt;"",SUBSTITUTE(SUBSTITUTE(F367," ",""),"-",""),"")))</f>
        <v>RSSLCr22</v>
      </c>
      <c r="D367" s="6" t="s">
        <v>36</v>
      </c>
      <c r="E367" s="11" t="s">
        <v>47</v>
      </c>
      <c r="F367" s="11" t="s">
        <v>923</v>
      </c>
      <c r="G367" s="11" t="s">
        <v>946</v>
      </c>
      <c r="H367" s="18">
        <v>1.61</v>
      </c>
      <c r="I367" s="5" t="s">
        <v>52</v>
      </c>
      <c r="J367" s="19">
        <v>1</v>
      </c>
      <c r="K367" s="5" t="s">
        <v>49</v>
      </c>
      <c r="L367" s="5" t="s">
        <v>53</v>
      </c>
      <c r="M367" s="23" t="s">
        <v>924</v>
      </c>
      <c r="N367" s="25"/>
      <c r="O367" s="25"/>
      <c r="P367" s="25"/>
      <c r="Q367" s="17" t="s">
        <v>43</v>
      </c>
    </row>
    <row r="368" spans="2:17">
      <c r="B368" s="11" t="s">
        <v>803</v>
      </c>
      <c r="C368" s="5" t="str">
        <f>IF(E368="","",IF(G368&lt;&gt;"",SUBSTITUTE(SUBSTITUTE(G368," ",""),"-",""),IF(F368&lt;&gt;"",SUBSTITUTE(SUBSTITUTE(F368," ",""),"-",""),"")))</f>
        <v>RSSLCr23</v>
      </c>
      <c r="D368" s="6" t="s">
        <v>36</v>
      </c>
      <c r="E368" s="11" t="s">
        <v>47</v>
      </c>
      <c r="F368" s="11" t="s">
        <v>923</v>
      </c>
      <c r="G368" s="11" t="s">
        <v>947</v>
      </c>
      <c r="H368" s="18">
        <v>1.61</v>
      </c>
      <c r="I368" s="5" t="s">
        <v>52</v>
      </c>
      <c r="J368" s="19">
        <v>1</v>
      </c>
      <c r="K368" s="5" t="s">
        <v>49</v>
      </c>
      <c r="L368" s="5" t="s">
        <v>53</v>
      </c>
      <c r="M368" s="23" t="s">
        <v>924</v>
      </c>
      <c r="N368" s="25"/>
      <c r="O368" s="25"/>
      <c r="P368" s="25"/>
      <c r="Q368" s="17" t="s">
        <v>43</v>
      </c>
    </row>
    <row r="369" spans="2:17">
      <c r="B369" s="11" t="s">
        <v>803</v>
      </c>
      <c r="C369" s="5" t="str">
        <f>IF(E369="","",IF(G369&lt;&gt;"",SUBSTITUTE(SUBSTITUTE(G369," ",""),"-",""),IF(F369&lt;&gt;"",SUBSTITUTE(SUBSTITUTE(F369," ",""),"-",""),"")))</f>
        <v>RSSLCr24</v>
      </c>
      <c r="D369" s="6" t="s">
        <v>36</v>
      </c>
      <c r="E369" s="11" t="s">
        <v>47</v>
      </c>
      <c r="F369" s="11" t="s">
        <v>923</v>
      </c>
      <c r="G369" s="11" t="s">
        <v>948</v>
      </c>
      <c r="H369" s="18">
        <v>1.61</v>
      </c>
      <c r="I369" s="5" t="s">
        <v>52</v>
      </c>
      <c r="J369" s="19">
        <v>1</v>
      </c>
      <c r="K369" s="5" t="s">
        <v>49</v>
      </c>
      <c r="L369" s="5" t="s">
        <v>53</v>
      </c>
      <c r="M369" s="23" t="s">
        <v>924</v>
      </c>
      <c r="N369" s="25"/>
      <c r="O369" s="25"/>
      <c r="P369" s="25"/>
      <c r="Q369" s="17" t="s">
        <v>43</v>
      </c>
    </row>
    <row r="370" spans="2:17">
      <c r="B370" s="11" t="s">
        <v>803</v>
      </c>
      <c r="C370" s="5" t="str">
        <f>IF(E370="","",IF(G370&lt;&gt;"",SUBSTITUTE(SUBSTITUTE(G370," ",""),"-",""),IF(F370&lt;&gt;"",SUBSTITUTE(SUBSTITUTE(F370," ",""),"-",""),"")))</f>
        <v>RSSLCr25</v>
      </c>
      <c r="D370" s="6" t="s">
        <v>36</v>
      </c>
      <c r="E370" s="11" t="s">
        <v>47</v>
      </c>
      <c r="F370" s="11" t="s">
        <v>923</v>
      </c>
      <c r="G370" s="11" t="s">
        <v>949</v>
      </c>
      <c r="H370" s="18">
        <v>1.61</v>
      </c>
      <c r="I370" s="5" t="s">
        <v>52</v>
      </c>
      <c r="J370" s="19">
        <v>1</v>
      </c>
      <c r="K370" s="5" t="s">
        <v>49</v>
      </c>
      <c r="L370" s="5" t="s">
        <v>53</v>
      </c>
      <c r="M370" s="23" t="s">
        <v>924</v>
      </c>
      <c r="N370" s="25"/>
      <c r="O370" s="25"/>
      <c r="P370" s="25"/>
      <c r="Q370" s="17" t="s">
        <v>43</v>
      </c>
    </row>
    <row r="371" spans="2:17">
      <c r="B371" s="11" t="s">
        <v>803</v>
      </c>
      <c r="C371" s="5" t="str">
        <f>IF(E371="","",IF(G371&lt;&gt;"",SUBSTITUTE(SUBSTITUTE(G371," ",""),"-",""),IF(F371&lt;&gt;"",SUBSTITUTE(SUBSTITUTE(F371," ",""),"-",""),"")))</f>
        <v>RSSLCr26</v>
      </c>
      <c r="D371" s="6" t="s">
        <v>36</v>
      </c>
      <c r="E371" s="11" t="s">
        <v>47</v>
      </c>
      <c r="F371" s="11" t="s">
        <v>923</v>
      </c>
      <c r="G371" s="11" t="s">
        <v>950</v>
      </c>
      <c r="H371" s="18">
        <v>1.61</v>
      </c>
      <c r="I371" s="5" t="s">
        <v>52</v>
      </c>
      <c r="J371" s="19">
        <v>1</v>
      </c>
      <c r="K371" s="5" t="s">
        <v>49</v>
      </c>
      <c r="L371" s="5" t="s">
        <v>53</v>
      </c>
      <c r="M371" s="23" t="s">
        <v>924</v>
      </c>
      <c r="N371" s="25"/>
      <c r="O371" s="25"/>
      <c r="P371" s="25"/>
      <c r="Q371" s="17" t="s">
        <v>43</v>
      </c>
    </row>
    <row r="372" spans="2:17">
      <c r="B372" s="11" t="s">
        <v>803</v>
      </c>
      <c r="C372" s="5" t="str">
        <f>IF(E372="","",IF(G372&lt;&gt;"",SUBSTITUTE(SUBSTITUTE(G372," ",""),"-",""),IF(F372&lt;&gt;"",SUBSTITUTE(SUBSTITUTE(F372," ",""),"-",""),"")))</f>
        <v>RSSLCr27</v>
      </c>
      <c r="D372" s="6" t="s">
        <v>36</v>
      </c>
      <c r="E372" s="11" t="s">
        <v>47</v>
      </c>
      <c r="F372" s="11" t="s">
        <v>923</v>
      </c>
      <c r="G372" s="11" t="s">
        <v>951</v>
      </c>
      <c r="H372" s="18">
        <v>1.61</v>
      </c>
      <c r="I372" s="5" t="s">
        <v>52</v>
      </c>
      <c r="J372" s="19">
        <v>1</v>
      </c>
      <c r="K372" s="5" t="s">
        <v>49</v>
      </c>
      <c r="L372" s="5" t="s">
        <v>53</v>
      </c>
      <c r="M372" s="23" t="s">
        <v>924</v>
      </c>
      <c r="N372" s="25"/>
      <c r="O372" s="25"/>
      <c r="P372" s="25"/>
      <c r="Q372" s="17" t="s">
        <v>43</v>
      </c>
    </row>
    <row r="373" spans="2:17">
      <c r="B373" s="11" t="s">
        <v>803</v>
      </c>
      <c r="C373" s="5" t="str">
        <f>IF(E373="","",IF(G373&lt;&gt;"",SUBSTITUTE(SUBSTITUTE(G373," ",""),"-",""),IF(F373&lt;&gt;"",SUBSTITUTE(SUBSTITUTE(F373," ",""),"-",""),"")))</f>
        <v>RSSLCr28</v>
      </c>
      <c r="D373" s="6" t="s">
        <v>36</v>
      </c>
      <c r="E373" s="11" t="s">
        <v>47</v>
      </c>
      <c r="F373" s="11" t="s">
        <v>923</v>
      </c>
      <c r="G373" s="11" t="s">
        <v>952</v>
      </c>
      <c r="H373" s="18">
        <v>1.61</v>
      </c>
      <c r="I373" s="5" t="s">
        <v>52</v>
      </c>
      <c r="J373" s="19">
        <v>1</v>
      </c>
      <c r="K373" s="5" t="s">
        <v>49</v>
      </c>
      <c r="L373" s="5" t="s">
        <v>53</v>
      </c>
      <c r="M373" s="23" t="s">
        <v>924</v>
      </c>
      <c r="N373" s="25"/>
      <c r="O373" s="25"/>
      <c r="P373" s="25"/>
      <c r="Q373" s="17" t="s">
        <v>43</v>
      </c>
    </row>
    <row r="374" spans="2:17">
      <c r="B374" s="11" t="s">
        <v>803</v>
      </c>
      <c r="C374" s="5" t="str">
        <f>IF(E374="","",IF(G374&lt;&gt;"",SUBSTITUTE(SUBSTITUTE(G374," ",""),"-",""),IF(F374&lt;&gt;"",SUBSTITUTE(SUBSTITUTE(F374," ",""),"-",""),"")))</f>
        <v>RSSLCr29</v>
      </c>
      <c r="D374" s="6" t="s">
        <v>36</v>
      </c>
      <c r="E374" s="11" t="s">
        <v>47</v>
      </c>
      <c r="F374" s="11" t="s">
        <v>923</v>
      </c>
      <c r="G374" s="11" t="s">
        <v>953</v>
      </c>
      <c r="H374" s="18">
        <v>1.61</v>
      </c>
      <c r="I374" s="5" t="s">
        <v>52</v>
      </c>
      <c r="J374" s="19">
        <v>1</v>
      </c>
      <c r="K374" s="5" t="s">
        <v>49</v>
      </c>
      <c r="L374" s="5" t="s">
        <v>53</v>
      </c>
      <c r="M374" s="23" t="s">
        <v>924</v>
      </c>
      <c r="N374" s="25"/>
      <c r="O374" s="25"/>
      <c r="P374" s="25"/>
      <c r="Q374" s="17" t="s">
        <v>43</v>
      </c>
    </row>
    <row r="375" spans="2:17">
      <c r="B375" s="11" t="s">
        <v>803</v>
      </c>
      <c r="C375" s="5" t="str">
        <f>IF(E375="","",IF(G375&lt;&gt;"",SUBSTITUTE(SUBSTITUTE(G375," ",""),"-",""),IF(F375&lt;&gt;"",SUBSTITUTE(SUBSTITUTE(F375," ",""),"-",""),"")))</f>
        <v>RSSLCr30</v>
      </c>
      <c r="D375" s="6" t="s">
        <v>36</v>
      </c>
      <c r="E375" s="11" t="s">
        <v>47</v>
      </c>
      <c r="F375" s="11" t="s">
        <v>923</v>
      </c>
      <c r="G375" s="11" t="s">
        <v>954</v>
      </c>
      <c r="H375" s="18">
        <v>1.61</v>
      </c>
      <c r="I375" s="5" t="s">
        <v>52</v>
      </c>
      <c r="J375" s="19">
        <v>1</v>
      </c>
      <c r="K375" s="5" t="s">
        <v>49</v>
      </c>
      <c r="L375" s="5" t="s">
        <v>53</v>
      </c>
      <c r="M375" s="23" t="s">
        <v>924</v>
      </c>
      <c r="N375" s="25"/>
      <c r="O375" s="25"/>
      <c r="P375" s="25"/>
      <c r="Q375" s="17" t="s">
        <v>43</v>
      </c>
    </row>
    <row r="376" spans="2:17">
      <c r="B376" s="11" t="s">
        <v>803</v>
      </c>
      <c r="C376" s="5" t="str">
        <f>IF(E376="","",IF(G376&lt;&gt;"",SUBSTITUTE(SUBSTITUTE(G376," ",""),"-",""),IF(F376&lt;&gt;"",SUBSTITUTE(SUBSTITUTE(F376," ",""),"-",""),"")))</f>
        <v>RSSLCr31</v>
      </c>
      <c r="D376" s="6" t="s">
        <v>36</v>
      </c>
      <c r="E376" s="11" t="s">
        <v>47</v>
      </c>
      <c r="F376" s="11" t="s">
        <v>923</v>
      </c>
      <c r="G376" s="11" t="s">
        <v>955</v>
      </c>
      <c r="H376" s="18">
        <v>1.61</v>
      </c>
      <c r="I376" s="5" t="s">
        <v>52</v>
      </c>
      <c r="J376" s="19">
        <v>1</v>
      </c>
      <c r="K376" s="5" t="s">
        <v>49</v>
      </c>
      <c r="L376" s="5" t="s">
        <v>53</v>
      </c>
      <c r="M376" s="23" t="s">
        <v>924</v>
      </c>
      <c r="N376" s="25"/>
      <c r="O376" s="25"/>
      <c r="P376" s="25"/>
      <c r="Q376" s="17" t="s">
        <v>43</v>
      </c>
    </row>
    <row r="377" spans="2:17">
      <c r="B377" s="11" t="s">
        <v>803</v>
      </c>
      <c r="C377" s="5" t="str">
        <f>IF(E377="","",IF(G377&lt;&gt;"",SUBSTITUTE(SUBSTITUTE(G377," ",""),"-",""),IF(F377&lt;&gt;"",SUBSTITUTE(SUBSTITUTE(F377," ",""),"-",""),"")))</f>
        <v>RSSLCr32</v>
      </c>
      <c r="D377" s="6" t="s">
        <v>36</v>
      </c>
      <c r="E377" s="11" t="s">
        <v>47</v>
      </c>
      <c r="F377" s="11" t="s">
        <v>923</v>
      </c>
      <c r="G377" s="11" t="s">
        <v>956</v>
      </c>
      <c r="H377" s="18">
        <v>1.61</v>
      </c>
      <c r="I377" s="5" t="s">
        <v>52</v>
      </c>
      <c r="J377" s="19">
        <v>1</v>
      </c>
      <c r="K377" s="5" t="s">
        <v>49</v>
      </c>
      <c r="L377" s="5" t="s">
        <v>53</v>
      </c>
      <c r="M377" s="23" t="s">
        <v>924</v>
      </c>
      <c r="N377" s="25"/>
      <c r="O377" s="25"/>
      <c r="P377" s="25"/>
      <c r="Q377" s="17" t="s">
        <v>43</v>
      </c>
    </row>
    <row r="378" spans="2:17">
      <c r="B378" s="11" t="s">
        <v>803</v>
      </c>
      <c r="C378" s="5" t="str">
        <f>IF(E378="","",IF(G378&lt;&gt;"",SUBSTITUTE(SUBSTITUTE(G378," ",""),"-",""),IF(F378&lt;&gt;"",SUBSTITUTE(SUBSTITUTE(F378," ",""),"-",""),"")))</f>
        <v>RSSLCr33</v>
      </c>
      <c r="D378" s="6" t="s">
        <v>36</v>
      </c>
      <c r="E378" s="11" t="s">
        <v>47</v>
      </c>
      <c r="F378" s="11" t="s">
        <v>923</v>
      </c>
      <c r="G378" s="11" t="s">
        <v>957</v>
      </c>
      <c r="H378" s="18">
        <v>1.61</v>
      </c>
      <c r="I378" s="5" t="s">
        <v>52</v>
      </c>
      <c r="J378" s="19">
        <v>1</v>
      </c>
      <c r="K378" s="5" t="s">
        <v>49</v>
      </c>
      <c r="L378" s="5" t="s">
        <v>53</v>
      </c>
      <c r="M378" s="23" t="s">
        <v>924</v>
      </c>
      <c r="N378" s="25"/>
      <c r="O378" s="25"/>
      <c r="P378" s="25"/>
      <c r="Q378" s="17" t="s">
        <v>43</v>
      </c>
    </row>
    <row r="379" spans="2:17">
      <c r="B379" s="11" t="s">
        <v>803</v>
      </c>
      <c r="C379" s="5" t="str">
        <f>IF(E379="","",IF(G379&lt;&gt;"",SUBSTITUTE(SUBSTITUTE(G379," ",""),"-",""),IF(F379&lt;&gt;"",SUBSTITUTE(SUBSTITUTE(F379," ",""),"-",""),"")))</f>
        <v>RSSLCr34</v>
      </c>
      <c r="D379" s="6" t="s">
        <v>36</v>
      </c>
      <c r="E379" s="11" t="s">
        <v>47</v>
      </c>
      <c r="F379" s="11" t="s">
        <v>923</v>
      </c>
      <c r="G379" s="11" t="s">
        <v>958</v>
      </c>
      <c r="H379" s="18">
        <v>1.61</v>
      </c>
      <c r="I379" s="5" t="s">
        <v>52</v>
      </c>
      <c r="J379" s="19">
        <v>1</v>
      </c>
      <c r="K379" s="5" t="s">
        <v>49</v>
      </c>
      <c r="L379" s="5" t="s">
        <v>53</v>
      </c>
      <c r="M379" s="23" t="s">
        <v>924</v>
      </c>
      <c r="N379" s="25"/>
      <c r="O379" s="25"/>
      <c r="P379" s="25"/>
      <c r="Q379" s="17" t="s">
        <v>43</v>
      </c>
    </row>
    <row r="380" spans="2:17">
      <c r="B380" s="11" t="s">
        <v>803</v>
      </c>
      <c r="C380" s="5" t="str">
        <f>IF(E380="","",IF(G380&lt;&gt;"",SUBSTITUTE(SUBSTITUTE(G380," ",""),"-",""),IF(F380&lt;&gt;"",SUBSTITUTE(SUBSTITUTE(F380," ",""),"-",""),"")))</f>
        <v>RSSLCr35</v>
      </c>
      <c r="D380" s="6" t="s">
        <v>36</v>
      </c>
      <c r="E380" s="11" t="s">
        <v>47</v>
      </c>
      <c r="F380" s="11" t="s">
        <v>923</v>
      </c>
      <c r="G380" s="11" t="s">
        <v>959</v>
      </c>
      <c r="H380" s="18">
        <v>1.61</v>
      </c>
      <c r="I380" s="5" t="s">
        <v>52</v>
      </c>
      <c r="J380" s="19">
        <v>1</v>
      </c>
      <c r="K380" s="5" t="s">
        <v>49</v>
      </c>
      <c r="L380" s="5" t="s">
        <v>53</v>
      </c>
      <c r="M380" s="23" t="s">
        <v>924</v>
      </c>
      <c r="N380" s="25"/>
      <c r="O380" s="25"/>
      <c r="P380" s="25"/>
      <c r="Q380" s="17" t="s">
        <v>43</v>
      </c>
    </row>
    <row r="381" spans="2:17">
      <c r="B381" s="11" t="s">
        <v>803</v>
      </c>
      <c r="C381" s="5" t="str">
        <f>IF(E381="","",IF(G381&lt;&gt;"",SUBSTITUTE(SUBSTITUTE(G381," ",""),"-",""),IF(F381&lt;&gt;"",SUBSTITUTE(SUBSTITUTE(F381," ",""),"-",""),"")))</f>
        <v>RSSLCr36</v>
      </c>
      <c r="D381" s="6" t="s">
        <v>36</v>
      </c>
      <c r="E381" s="11" t="s">
        <v>47</v>
      </c>
      <c r="F381" s="11" t="s">
        <v>923</v>
      </c>
      <c r="G381" s="11" t="s">
        <v>960</v>
      </c>
      <c r="H381" s="18">
        <v>1.61</v>
      </c>
      <c r="I381" s="5" t="s">
        <v>52</v>
      </c>
      <c r="J381" s="19">
        <v>1</v>
      </c>
      <c r="K381" s="5" t="s">
        <v>49</v>
      </c>
      <c r="L381" s="5" t="s">
        <v>53</v>
      </c>
      <c r="M381" s="23" t="s">
        <v>924</v>
      </c>
      <c r="N381" s="25"/>
      <c r="O381" s="25"/>
      <c r="P381" s="25"/>
      <c r="Q381" s="17" t="s">
        <v>43</v>
      </c>
    </row>
    <row r="382" spans="2:17">
      <c r="B382" s="11" t="s">
        <v>803</v>
      </c>
      <c r="C382" s="5" t="str">
        <f>IF(E382="","",IF(G382&lt;&gt;"",SUBSTITUTE(SUBSTITUTE(G382," ",""),"-",""),IF(F382&lt;&gt;"",SUBSTITUTE(SUBSTITUTE(F382," ",""),"-",""),"")))</f>
        <v>RSSLCr37</v>
      </c>
      <c r="D382" s="6" t="s">
        <v>36</v>
      </c>
      <c r="E382" s="11" t="s">
        <v>47</v>
      </c>
      <c r="F382" s="11" t="s">
        <v>923</v>
      </c>
      <c r="G382" s="11" t="s">
        <v>961</v>
      </c>
      <c r="H382" s="18">
        <v>1.61</v>
      </c>
      <c r="I382" s="5" t="s">
        <v>52</v>
      </c>
      <c r="J382" s="19">
        <v>1</v>
      </c>
      <c r="K382" s="5" t="s">
        <v>49</v>
      </c>
      <c r="L382" s="5" t="s">
        <v>53</v>
      </c>
      <c r="M382" s="23" t="s">
        <v>924</v>
      </c>
      <c r="N382" s="25"/>
      <c r="O382" s="25"/>
      <c r="P382" s="25"/>
      <c r="Q382" s="17" t="s">
        <v>43</v>
      </c>
    </row>
    <row r="383" spans="2:17">
      <c r="B383" s="11" t="s">
        <v>803</v>
      </c>
      <c r="C383" s="5" t="str">
        <f>IF(E383="","",IF(G383&lt;&gt;"",SUBSTITUTE(SUBSTITUTE(G383," ",""),"-",""),IF(F383&lt;&gt;"",SUBSTITUTE(SUBSTITUTE(F383," ",""),"-",""),"")))</f>
        <v>RSSLCr38</v>
      </c>
      <c r="D383" s="6" t="s">
        <v>36</v>
      </c>
      <c r="E383" s="11" t="s">
        <v>47</v>
      </c>
      <c r="F383" s="11" t="s">
        <v>923</v>
      </c>
      <c r="G383" s="11" t="s">
        <v>962</v>
      </c>
      <c r="H383" s="18">
        <v>1.61</v>
      </c>
      <c r="I383" s="5" t="s">
        <v>52</v>
      </c>
      <c r="J383" s="19">
        <v>1</v>
      </c>
      <c r="K383" s="5" t="s">
        <v>49</v>
      </c>
      <c r="L383" s="5" t="s">
        <v>53</v>
      </c>
      <c r="M383" s="23" t="s">
        <v>924</v>
      </c>
      <c r="N383" s="25"/>
      <c r="O383" s="25"/>
      <c r="P383" s="25"/>
      <c r="Q383" s="17" t="s">
        <v>43</v>
      </c>
    </row>
    <row r="384" spans="2:17">
      <c r="B384" s="11" t="s">
        <v>803</v>
      </c>
      <c r="C384" s="5" t="str">
        <f>IF(E384="","",IF(G384&lt;&gt;"",SUBSTITUTE(SUBSTITUTE(G384," ",""),"-",""),IF(F384&lt;&gt;"",SUBSTITUTE(SUBSTITUTE(F384," ",""),"-",""),"")))</f>
        <v>RSSLCr39</v>
      </c>
      <c r="D384" s="6" t="s">
        <v>36</v>
      </c>
      <c r="E384" s="11" t="s">
        <v>47</v>
      </c>
      <c r="F384" s="11" t="s">
        <v>923</v>
      </c>
      <c r="G384" s="11" t="s">
        <v>963</v>
      </c>
      <c r="H384" s="18">
        <v>1.61</v>
      </c>
      <c r="I384" s="5" t="s">
        <v>52</v>
      </c>
      <c r="J384" s="19">
        <v>1</v>
      </c>
      <c r="K384" s="5" t="s">
        <v>49</v>
      </c>
      <c r="L384" s="5" t="s">
        <v>53</v>
      </c>
      <c r="M384" s="23" t="s">
        <v>924</v>
      </c>
      <c r="N384" s="25"/>
      <c r="O384" s="25"/>
      <c r="P384" s="25"/>
      <c r="Q384" s="17" t="s">
        <v>43</v>
      </c>
    </row>
    <row r="385" spans="2:17">
      <c r="B385" s="11" t="s">
        <v>803</v>
      </c>
      <c r="C385" s="5" t="str">
        <f>IF(E385="","",IF(G385&lt;&gt;"",SUBSTITUTE(SUBSTITUTE(G385," ",""),"-",""),IF(F385&lt;&gt;"",SUBSTITUTE(SUBSTITUTE(F385," ",""),"-",""),"")))</f>
        <v>RSSLCr40</v>
      </c>
      <c r="D385" s="6" t="s">
        <v>36</v>
      </c>
      <c r="E385" s="11" t="s">
        <v>47</v>
      </c>
      <c r="F385" s="11" t="s">
        <v>923</v>
      </c>
      <c r="G385" s="11" t="s">
        <v>964</v>
      </c>
      <c r="H385" s="18">
        <v>1.61</v>
      </c>
      <c r="I385" s="5" t="s">
        <v>52</v>
      </c>
      <c r="J385" s="19">
        <v>1</v>
      </c>
      <c r="K385" s="5" t="s">
        <v>49</v>
      </c>
      <c r="L385" s="5" t="s">
        <v>53</v>
      </c>
      <c r="M385" s="23" t="s">
        <v>924</v>
      </c>
      <c r="N385" s="25"/>
      <c r="O385" s="25"/>
      <c r="P385" s="25"/>
      <c r="Q385" s="17" t="s">
        <v>43</v>
      </c>
    </row>
    <row r="386" spans="2:17">
      <c r="B386" s="11" t="s">
        <v>803</v>
      </c>
      <c r="C386" s="5" t="str">
        <f>IF(E386="","",IF(G386&lt;&gt;"",SUBSTITUTE(SUBSTITUTE(G386," ",""),"-",""),IF(F386&lt;&gt;"",SUBSTITUTE(SUBSTITUTE(F386," ",""),"-",""),"")))</f>
        <v>RSSLCr41</v>
      </c>
      <c r="D386" s="6" t="s">
        <v>36</v>
      </c>
      <c r="E386" s="11" t="s">
        <v>47</v>
      </c>
      <c r="F386" s="11" t="s">
        <v>923</v>
      </c>
      <c r="G386" s="11" t="s">
        <v>965</v>
      </c>
      <c r="H386" s="18">
        <v>1.61</v>
      </c>
      <c r="I386" s="5" t="s">
        <v>52</v>
      </c>
      <c r="J386" s="19">
        <v>1</v>
      </c>
      <c r="K386" s="5" t="s">
        <v>49</v>
      </c>
      <c r="L386" s="5" t="s">
        <v>53</v>
      </c>
      <c r="M386" s="23" t="s">
        <v>924</v>
      </c>
      <c r="N386" s="25"/>
      <c r="O386" s="25"/>
      <c r="P386" s="25"/>
      <c r="Q386" s="17" t="s">
        <v>43</v>
      </c>
    </row>
    <row r="387" spans="2:17">
      <c r="B387" s="11" t="s">
        <v>803</v>
      </c>
      <c r="C387" s="5" t="str">
        <f>IF(E387="","",IF(G387&lt;&gt;"",SUBSTITUTE(SUBSTITUTE(G387," ",""),"-",""),IF(F387&lt;&gt;"",SUBSTITUTE(SUBSTITUTE(F387," ",""),"-",""),"")))</f>
        <v>RSSLCr42</v>
      </c>
      <c r="D387" s="6" t="s">
        <v>36</v>
      </c>
      <c r="E387" s="11" t="s">
        <v>47</v>
      </c>
      <c r="F387" s="11" t="s">
        <v>923</v>
      </c>
      <c r="G387" s="11" t="s">
        <v>966</v>
      </c>
      <c r="H387" s="18">
        <v>1.61</v>
      </c>
      <c r="I387" s="5" t="s">
        <v>52</v>
      </c>
      <c r="J387" s="19">
        <v>1</v>
      </c>
      <c r="K387" s="5" t="s">
        <v>49</v>
      </c>
      <c r="L387" s="5" t="s">
        <v>53</v>
      </c>
      <c r="M387" s="23" t="s">
        <v>924</v>
      </c>
      <c r="N387" s="25"/>
      <c r="O387" s="25"/>
      <c r="P387" s="25"/>
      <c r="Q387" s="17" t="s">
        <v>43</v>
      </c>
    </row>
    <row r="388" spans="2:17">
      <c r="B388" s="11" t="s">
        <v>803</v>
      </c>
      <c r="C388" s="5" t="str">
        <f>IF(E388="","",IF(G388&lt;&gt;"",SUBSTITUTE(SUBSTITUTE(G388," ",""),"-",""),IF(F388&lt;&gt;"",SUBSTITUTE(SUBSTITUTE(F388," ",""),"-",""),"")))</f>
        <v>RSSLCr43</v>
      </c>
      <c r="D388" s="6" t="s">
        <v>36</v>
      </c>
      <c r="E388" s="11" t="s">
        <v>47</v>
      </c>
      <c r="F388" s="11" t="s">
        <v>923</v>
      </c>
      <c r="G388" s="11" t="s">
        <v>967</v>
      </c>
      <c r="H388" s="18">
        <v>1.61</v>
      </c>
      <c r="I388" s="5" t="s">
        <v>52</v>
      </c>
      <c r="J388" s="19">
        <v>1</v>
      </c>
      <c r="K388" s="5" t="s">
        <v>49</v>
      </c>
      <c r="L388" s="5" t="s">
        <v>53</v>
      </c>
      <c r="M388" s="23" t="s">
        <v>924</v>
      </c>
      <c r="N388" s="25"/>
      <c r="O388" s="25"/>
      <c r="P388" s="25"/>
      <c r="Q388" s="17" t="s">
        <v>43</v>
      </c>
    </row>
    <row r="389" spans="2:17">
      <c r="B389" s="11" t="s">
        <v>803</v>
      </c>
      <c r="C389" s="5" t="str">
        <f>IF(E389="","",IF(G389&lt;&gt;"",SUBSTITUTE(SUBSTITUTE(G389," ",""),"-",""),IF(F389&lt;&gt;"",SUBSTITUTE(SUBSTITUTE(F389," ",""),"-",""),"")))</f>
        <v>RSSLCr44</v>
      </c>
      <c r="D389" s="6" t="s">
        <v>36</v>
      </c>
      <c r="E389" s="11" t="s">
        <v>47</v>
      </c>
      <c r="F389" s="11" t="s">
        <v>923</v>
      </c>
      <c r="G389" s="11" t="s">
        <v>968</v>
      </c>
      <c r="H389" s="18">
        <v>1.61</v>
      </c>
      <c r="I389" s="5" t="s">
        <v>52</v>
      </c>
      <c r="J389" s="19">
        <v>1</v>
      </c>
      <c r="K389" s="5" t="s">
        <v>49</v>
      </c>
      <c r="L389" s="5" t="s">
        <v>53</v>
      </c>
      <c r="M389" s="23" t="s">
        <v>924</v>
      </c>
      <c r="N389" s="25"/>
      <c r="O389" s="25"/>
      <c r="P389" s="25"/>
      <c r="Q389" s="17" t="s">
        <v>43</v>
      </c>
    </row>
    <row r="390" spans="2:17">
      <c r="B390" s="11" t="s">
        <v>803</v>
      </c>
      <c r="C390" s="5" t="str">
        <f>IF(E390="","",IF(G390&lt;&gt;"",SUBSTITUTE(SUBSTITUTE(G390," ",""),"-",""),IF(F390&lt;&gt;"",SUBSTITUTE(SUBSTITUTE(F390," ",""),"-",""),"")))</f>
        <v>RSSLCr45</v>
      </c>
      <c r="D390" s="6" t="s">
        <v>36</v>
      </c>
      <c r="E390" s="11" t="s">
        <v>47</v>
      </c>
      <c r="F390" s="11" t="s">
        <v>923</v>
      </c>
      <c r="G390" s="11" t="s">
        <v>969</v>
      </c>
      <c r="H390" s="18">
        <v>1.61</v>
      </c>
      <c r="I390" s="5" t="s">
        <v>52</v>
      </c>
      <c r="J390" s="19">
        <v>1</v>
      </c>
      <c r="K390" s="5" t="s">
        <v>49</v>
      </c>
      <c r="L390" s="5" t="s">
        <v>53</v>
      </c>
      <c r="M390" s="23" t="s">
        <v>924</v>
      </c>
      <c r="N390" s="25"/>
      <c r="O390" s="25"/>
      <c r="P390" s="25"/>
      <c r="Q390" s="17" t="s">
        <v>43</v>
      </c>
    </row>
    <row r="391" spans="2:17">
      <c r="B391" s="11" t="s">
        <v>803</v>
      </c>
      <c r="C391" s="5" t="str">
        <f>IF(E391="","",IF(G391&lt;&gt;"",SUBSTITUTE(SUBSTITUTE(G391," ",""),"-",""),IF(F391&lt;&gt;"",SUBSTITUTE(SUBSTITUTE(F391," ",""),"-",""),"")))</f>
        <v>RSSLCr46</v>
      </c>
      <c r="D391" s="6" t="s">
        <v>36</v>
      </c>
      <c r="E391" s="11" t="s">
        <v>47</v>
      </c>
      <c r="F391" s="11" t="s">
        <v>923</v>
      </c>
      <c r="G391" s="11" t="s">
        <v>970</v>
      </c>
      <c r="H391" s="18">
        <v>1.61</v>
      </c>
      <c r="I391" s="5" t="s">
        <v>52</v>
      </c>
      <c r="J391" s="19">
        <v>1</v>
      </c>
      <c r="K391" s="5" t="s">
        <v>49</v>
      </c>
      <c r="L391" s="5" t="s">
        <v>53</v>
      </c>
      <c r="M391" s="23" t="s">
        <v>924</v>
      </c>
      <c r="N391" s="25"/>
      <c r="O391" s="25"/>
      <c r="P391" s="25"/>
      <c r="Q391" s="17" t="s">
        <v>43</v>
      </c>
    </row>
    <row r="392" spans="2:17">
      <c r="B392" s="11" t="s">
        <v>803</v>
      </c>
      <c r="C392" s="5" t="str">
        <f>IF(E392="","",IF(G392&lt;&gt;"",SUBSTITUTE(SUBSTITUTE(G392," ",""),"-",""),IF(F392&lt;&gt;"",SUBSTITUTE(SUBSTITUTE(F392," ",""),"-",""),"")))</f>
        <v>RSSLCr47</v>
      </c>
      <c r="D392" s="6" t="s">
        <v>36</v>
      </c>
      <c r="E392" s="11" t="s">
        <v>47</v>
      </c>
      <c r="F392" s="11" t="s">
        <v>923</v>
      </c>
      <c r="G392" s="11" t="s">
        <v>971</v>
      </c>
      <c r="H392" s="18">
        <v>1.61</v>
      </c>
      <c r="I392" s="5" t="s">
        <v>52</v>
      </c>
      <c r="J392" s="19">
        <v>1</v>
      </c>
      <c r="K392" s="5" t="s">
        <v>49</v>
      </c>
      <c r="L392" s="5" t="s">
        <v>53</v>
      </c>
      <c r="M392" s="23" t="s">
        <v>924</v>
      </c>
      <c r="N392" s="25"/>
      <c r="O392" s="25"/>
      <c r="P392" s="25"/>
      <c r="Q392" s="17" t="s">
        <v>43</v>
      </c>
    </row>
    <row r="393" spans="2:17">
      <c r="B393" s="11" t="s">
        <v>803</v>
      </c>
      <c r="C393" s="5" t="str">
        <f>IF(E393="","",IF(G393&lt;&gt;"",SUBSTITUTE(SUBSTITUTE(G393," ",""),"-",""),IF(F393&lt;&gt;"",SUBSTITUTE(SUBSTITUTE(F393," ",""),"-",""),"")))</f>
        <v>RSSLCr48</v>
      </c>
      <c r="D393" s="6" t="s">
        <v>36</v>
      </c>
      <c r="E393" s="11" t="s">
        <v>47</v>
      </c>
      <c r="F393" s="11" t="s">
        <v>923</v>
      </c>
      <c r="G393" s="11" t="s">
        <v>972</v>
      </c>
      <c r="H393" s="18">
        <v>1.61</v>
      </c>
      <c r="I393" s="5" t="s">
        <v>52</v>
      </c>
      <c r="J393" s="19">
        <v>1</v>
      </c>
      <c r="K393" s="5" t="s">
        <v>49</v>
      </c>
      <c r="L393" s="5" t="s">
        <v>53</v>
      </c>
      <c r="M393" s="23" t="s">
        <v>924</v>
      </c>
      <c r="N393" s="25"/>
      <c r="O393" s="25"/>
      <c r="P393" s="25"/>
      <c r="Q393" s="17" t="s">
        <v>43</v>
      </c>
    </row>
    <row r="394" spans="2:17">
      <c r="B394" s="11" t="s">
        <v>803</v>
      </c>
      <c r="C394" s="5" t="str">
        <f>IF(E394="","",IF(G394&lt;&gt;"",SUBSTITUTE(SUBSTITUTE(G394," ",""),"-",""),IF(F394&lt;&gt;"",SUBSTITUTE(SUBSTITUTE(F394," ",""),"-",""),"")))</f>
        <v>RSSLCr49</v>
      </c>
      <c r="D394" s="6" t="s">
        <v>36</v>
      </c>
      <c r="E394" s="11" t="s">
        <v>47</v>
      </c>
      <c r="F394" s="11" t="s">
        <v>923</v>
      </c>
      <c r="G394" s="11" t="s">
        <v>973</v>
      </c>
      <c r="H394" s="18">
        <v>1.61</v>
      </c>
      <c r="I394" s="5" t="s">
        <v>52</v>
      </c>
      <c r="J394" s="19">
        <v>1</v>
      </c>
      <c r="K394" s="5" t="s">
        <v>49</v>
      </c>
      <c r="L394" s="5" t="s">
        <v>53</v>
      </c>
      <c r="M394" s="23" t="s">
        <v>924</v>
      </c>
      <c r="N394" s="25"/>
      <c r="O394" s="25"/>
      <c r="P394" s="25"/>
      <c r="Q394" s="17" t="s">
        <v>43</v>
      </c>
    </row>
    <row r="395" spans="2:17">
      <c r="B395" s="11" t="s">
        <v>803</v>
      </c>
      <c r="C395" s="5" t="str">
        <f>IF(E395="","",IF(G395&lt;&gt;"",SUBSTITUTE(SUBSTITUTE(G395," ",""),"-",""),IF(F395&lt;&gt;"",SUBSTITUTE(SUBSTITUTE(F395," ",""),"-",""),"")))</f>
        <v>RSSLCr50</v>
      </c>
      <c r="D395" s="6" t="s">
        <v>36</v>
      </c>
      <c r="E395" s="11" t="s">
        <v>47</v>
      </c>
      <c r="F395" s="11" t="s">
        <v>923</v>
      </c>
      <c r="G395" s="11" t="s">
        <v>974</v>
      </c>
      <c r="H395" s="18">
        <v>1.61</v>
      </c>
      <c r="I395" s="5" t="s">
        <v>52</v>
      </c>
      <c r="J395" s="19">
        <v>1</v>
      </c>
      <c r="K395" s="5" t="s">
        <v>49</v>
      </c>
      <c r="L395" s="5" t="s">
        <v>53</v>
      </c>
      <c r="M395" s="23" t="s">
        <v>924</v>
      </c>
      <c r="N395" s="25"/>
      <c r="O395" s="25"/>
      <c r="P395" s="25"/>
      <c r="Q395" s="17" t="s">
        <v>43</v>
      </c>
    </row>
    <row r="396" spans="2:17">
      <c r="B396" s="11" t="s">
        <v>803</v>
      </c>
      <c r="C396" s="5" t="str">
        <f>IF(E396="","",IF(G396&lt;&gt;"",SUBSTITUTE(SUBSTITUTE(G396," ",""),"-",""),IF(F396&lt;&gt;"",SUBSTITUTE(SUBSTITUTE(F396," ",""),"-",""),"")))</f>
        <v>RSSLCr51</v>
      </c>
      <c r="D396" s="6" t="s">
        <v>36</v>
      </c>
      <c r="E396" s="11" t="s">
        <v>47</v>
      </c>
      <c r="F396" s="11" t="s">
        <v>923</v>
      </c>
      <c r="G396" s="11" t="s">
        <v>975</v>
      </c>
      <c r="H396" s="18">
        <v>1.61</v>
      </c>
      <c r="I396" s="5" t="s">
        <v>52</v>
      </c>
      <c r="J396" s="19">
        <v>1</v>
      </c>
      <c r="K396" s="5" t="s">
        <v>49</v>
      </c>
      <c r="L396" s="5" t="s">
        <v>53</v>
      </c>
      <c r="M396" s="23" t="s">
        <v>924</v>
      </c>
      <c r="N396" s="25"/>
      <c r="O396" s="25"/>
      <c r="P396" s="25"/>
      <c r="Q396" s="17" t="s">
        <v>43</v>
      </c>
    </row>
    <row r="397" spans="2:17">
      <c r="B397" s="11" t="s">
        <v>803</v>
      </c>
      <c r="C397" s="5" t="str">
        <f>IF(E397="","",IF(G397&lt;&gt;"",SUBSTITUTE(SUBSTITUTE(G397," ",""),"-",""),IF(F397&lt;&gt;"",SUBSTITUTE(SUBSTITUTE(F397," ",""),"-",""),"")))</f>
        <v>RSSLCr52</v>
      </c>
      <c r="D397" s="6" t="s">
        <v>36</v>
      </c>
      <c r="E397" s="11" t="s">
        <v>47</v>
      </c>
      <c r="F397" s="11" t="s">
        <v>923</v>
      </c>
      <c r="G397" s="11" t="s">
        <v>976</v>
      </c>
      <c r="H397" s="18">
        <v>1.61</v>
      </c>
      <c r="I397" s="5" t="s">
        <v>52</v>
      </c>
      <c r="J397" s="19">
        <v>1</v>
      </c>
      <c r="K397" s="5" t="s">
        <v>49</v>
      </c>
      <c r="L397" s="5" t="s">
        <v>53</v>
      </c>
      <c r="M397" s="23" t="s">
        <v>924</v>
      </c>
      <c r="N397" s="25"/>
      <c r="O397" s="25"/>
      <c r="P397" s="25"/>
      <c r="Q397" s="17" t="s">
        <v>43</v>
      </c>
    </row>
    <row r="398" spans="2:17">
      <c r="B398" s="11" t="s">
        <v>803</v>
      </c>
      <c r="C398" s="5" t="str">
        <f>IF(E398="","",IF(G398&lt;&gt;"",SUBSTITUTE(SUBSTITUTE(G398," ",""),"-",""),IF(F398&lt;&gt;"",SUBSTITUTE(SUBSTITUTE(F398," ",""),"-",""),"")))</f>
        <v>RSSLCr53</v>
      </c>
      <c r="D398" s="6" t="s">
        <v>36</v>
      </c>
      <c r="E398" s="11" t="s">
        <v>47</v>
      </c>
      <c r="F398" s="11" t="s">
        <v>923</v>
      </c>
      <c r="G398" s="11" t="s">
        <v>977</v>
      </c>
      <c r="H398" s="18">
        <v>1.61</v>
      </c>
      <c r="I398" s="5" t="s">
        <v>52</v>
      </c>
      <c r="J398" s="19">
        <v>1</v>
      </c>
      <c r="K398" s="5" t="s">
        <v>49</v>
      </c>
      <c r="L398" s="5" t="s">
        <v>53</v>
      </c>
      <c r="M398" s="23" t="s">
        <v>924</v>
      </c>
      <c r="N398" s="25"/>
      <c r="O398" s="25"/>
      <c r="P398" s="25"/>
      <c r="Q398" s="17" t="s">
        <v>43</v>
      </c>
    </row>
    <row r="399" spans="2:17">
      <c r="B399" s="11" t="s">
        <v>803</v>
      </c>
      <c r="C399" s="5" t="str">
        <f>IF(E399="","",IF(G399&lt;&gt;"",SUBSTITUTE(SUBSTITUTE(G399," ",""),"-",""),IF(F399&lt;&gt;"",SUBSTITUTE(SUBSTITUTE(F399," ",""),"-",""),"")))</f>
        <v>RSSLCr54</v>
      </c>
      <c r="D399" s="6" t="s">
        <v>36</v>
      </c>
      <c r="E399" s="11" t="s">
        <v>47</v>
      </c>
      <c r="F399" s="11" t="s">
        <v>923</v>
      </c>
      <c r="G399" s="11" t="s">
        <v>978</v>
      </c>
      <c r="H399" s="18">
        <v>1.61</v>
      </c>
      <c r="I399" s="5" t="s">
        <v>52</v>
      </c>
      <c r="J399" s="19">
        <v>1</v>
      </c>
      <c r="K399" s="5" t="s">
        <v>49</v>
      </c>
      <c r="L399" s="5" t="s">
        <v>53</v>
      </c>
      <c r="M399" s="23" t="s">
        <v>924</v>
      </c>
      <c r="N399" s="25"/>
      <c r="O399" s="25"/>
      <c r="P399" s="25"/>
      <c r="Q399" s="17" t="s">
        <v>43</v>
      </c>
    </row>
    <row r="400" spans="2:17">
      <c r="B400" s="11" t="s">
        <v>803</v>
      </c>
      <c r="C400" s="5" t="str">
        <f>IF(E400="","",IF(G400&lt;&gt;"",SUBSTITUTE(SUBSTITUTE(G400," ",""),"-",""),IF(F400&lt;&gt;"",SUBSTITUTE(SUBSTITUTE(F400," ",""),"-",""),"")))</f>
        <v>RSSLCr55</v>
      </c>
      <c r="D400" s="6" t="s">
        <v>36</v>
      </c>
      <c r="E400" s="11" t="s">
        <v>47</v>
      </c>
      <c r="F400" s="11" t="s">
        <v>923</v>
      </c>
      <c r="G400" s="11" t="s">
        <v>979</v>
      </c>
      <c r="H400" s="18">
        <v>1.61</v>
      </c>
      <c r="I400" s="5" t="s">
        <v>52</v>
      </c>
      <c r="J400" s="19">
        <v>1</v>
      </c>
      <c r="K400" s="5" t="s">
        <v>49</v>
      </c>
      <c r="L400" s="5" t="s">
        <v>53</v>
      </c>
      <c r="M400" s="23" t="s">
        <v>924</v>
      </c>
      <c r="N400" s="25"/>
      <c r="O400" s="25"/>
      <c r="P400" s="25"/>
      <c r="Q400" s="17" t="s">
        <v>43</v>
      </c>
    </row>
    <row r="401" spans="2:17">
      <c r="B401" s="11" t="s">
        <v>803</v>
      </c>
      <c r="C401" s="5" t="str">
        <f>IF(E401="","",IF(G401&lt;&gt;"",SUBSTITUTE(SUBSTITUTE(G401," ",""),"-",""),IF(F401&lt;&gt;"",SUBSTITUTE(SUBSTITUTE(F401," ",""),"-",""),"")))</f>
        <v>RSSLCr56</v>
      </c>
      <c r="D401" s="6" t="s">
        <v>36</v>
      </c>
      <c r="E401" s="11" t="s">
        <v>47</v>
      </c>
      <c r="F401" s="11" t="s">
        <v>923</v>
      </c>
      <c r="G401" s="11" t="s">
        <v>980</v>
      </c>
      <c r="H401" s="18">
        <v>1.61</v>
      </c>
      <c r="I401" s="5" t="s">
        <v>52</v>
      </c>
      <c r="J401" s="19">
        <v>1</v>
      </c>
      <c r="K401" s="5" t="s">
        <v>49</v>
      </c>
      <c r="L401" s="5" t="s">
        <v>53</v>
      </c>
      <c r="M401" s="23" t="s">
        <v>924</v>
      </c>
      <c r="N401" s="25"/>
      <c r="O401" s="25"/>
      <c r="P401" s="25"/>
      <c r="Q401" s="17" t="s">
        <v>43</v>
      </c>
    </row>
    <row r="402" spans="2:17">
      <c r="B402" s="11" t="s">
        <v>803</v>
      </c>
      <c r="C402" s="5" t="str">
        <f>IF(E402="","",IF(G402&lt;&gt;"",SUBSTITUTE(SUBSTITUTE(G402," ",""),"-",""),IF(F402&lt;&gt;"",SUBSTITUTE(SUBSTITUTE(F402," ",""),"-",""),"")))</f>
        <v>RSSLCr57</v>
      </c>
      <c r="D402" s="6" t="s">
        <v>36</v>
      </c>
      <c r="E402" s="11" t="s">
        <v>47</v>
      </c>
      <c r="F402" s="11" t="s">
        <v>923</v>
      </c>
      <c r="G402" s="11" t="s">
        <v>981</v>
      </c>
      <c r="H402" s="18">
        <v>1.61</v>
      </c>
      <c r="I402" s="5" t="s">
        <v>52</v>
      </c>
      <c r="J402" s="19">
        <v>1</v>
      </c>
      <c r="K402" s="5" t="s">
        <v>49</v>
      </c>
      <c r="L402" s="5" t="s">
        <v>53</v>
      </c>
      <c r="M402" s="23" t="s">
        <v>924</v>
      </c>
      <c r="N402" s="25"/>
      <c r="O402" s="25"/>
      <c r="P402" s="25"/>
      <c r="Q402" s="17" t="s">
        <v>43</v>
      </c>
    </row>
    <row r="403" spans="2:17">
      <c r="B403" s="11" t="s">
        <v>803</v>
      </c>
      <c r="C403" s="5" t="str">
        <f>IF(E403="","",IF(G403&lt;&gt;"",SUBSTITUTE(SUBSTITUTE(G403," ",""),"-",""),IF(F403&lt;&gt;"",SUBSTITUTE(SUBSTITUTE(F403," ",""),"-",""),"")))</f>
        <v>RSSLCr58</v>
      </c>
      <c r="D403" s="6" t="s">
        <v>36</v>
      </c>
      <c r="E403" s="11" t="s">
        <v>47</v>
      </c>
      <c r="F403" s="11" t="s">
        <v>923</v>
      </c>
      <c r="G403" s="11" t="s">
        <v>982</v>
      </c>
      <c r="H403" s="18">
        <v>1.61</v>
      </c>
      <c r="I403" s="5" t="s">
        <v>52</v>
      </c>
      <c r="J403" s="19">
        <v>1</v>
      </c>
      <c r="K403" s="5" t="s">
        <v>49</v>
      </c>
      <c r="L403" s="5" t="s">
        <v>53</v>
      </c>
      <c r="M403" s="23" t="s">
        <v>924</v>
      </c>
      <c r="N403" s="25"/>
      <c r="O403" s="25"/>
      <c r="P403" s="25"/>
      <c r="Q403" s="17" t="s">
        <v>43</v>
      </c>
    </row>
    <row r="404" spans="2:17">
      <c r="B404" s="11" t="s">
        <v>803</v>
      </c>
      <c r="C404" s="5" t="str">
        <f>IF(E404="","",IF(G404&lt;&gt;"",SUBSTITUTE(SUBSTITUTE(G404," ",""),"-",""),IF(F404&lt;&gt;"",SUBSTITUTE(SUBSTITUTE(F404," ",""),"-",""),"")))</f>
        <v>RSSLCr59</v>
      </c>
      <c r="D404" s="6" t="s">
        <v>36</v>
      </c>
      <c r="E404" s="11" t="s">
        <v>47</v>
      </c>
      <c r="F404" s="11" t="s">
        <v>923</v>
      </c>
      <c r="G404" s="11" t="s">
        <v>983</v>
      </c>
      <c r="H404" s="18">
        <v>1.61</v>
      </c>
      <c r="I404" s="5" t="s">
        <v>52</v>
      </c>
      <c r="J404" s="19">
        <v>1</v>
      </c>
      <c r="K404" s="5" t="s">
        <v>49</v>
      </c>
      <c r="L404" s="5" t="s">
        <v>53</v>
      </c>
      <c r="M404" s="23" t="s">
        <v>924</v>
      </c>
      <c r="N404" s="25"/>
      <c r="O404" s="25"/>
      <c r="P404" s="25"/>
      <c r="Q404" s="17" t="s">
        <v>43</v>
      </c>
    </row>
    <row r="405" spans="2:17">
      <c r="B405" s="11" t="s">
        <v>803</v>
      </c>
      <c r="C405" s="5" t="str">
        <f>IF(E405="","",IF(G405&lt;&gt;"",SUBSTITUTE(SUBSTITUTE(G405," ",""),"-",""),IF(F405&lt;&gt;"",SUBSTITUTE(SUBSTITUTE(F405," ",""),"-",""),"")))</f>
        <v>RSSLCr60</v>
      </c>
      <c r="D405" s="6" t="s">
        <v>36</v>
      </c>
      <c r="E405" s="11" t="s">
        <v>47</v>
      </c>
      <c r="F405" s="11" t="s">
        <v>923</v>
      </c>
      <c r="G405" s="11" t="s">
        <v>984</v>
      </c>
      <c r="H405" s="18">
        <v>1.61</v>
      </c>
      <c r="I405" s="5" t="s">
        <v>52</v>
      </c>
      <c r="J405" s="19">
        <v>1</v>
      </c>
      <c r="K405" s="5" t="s">
        <v>49</v>
      </c>
      <c r="L405" s="5" t="s">
        <v>53</v>
      </c>
      <c r="M405" s="23" t="s">
        <v>924</v>
      </c>
      <c r="N405" s="25"/>
      <c r="O405" s="25"/>
      <c r="P405" s="25"/>
      <c r="Q405" s="17" t="s">
        <v>43</v>
      </c>
    </row>
    <row r="406" spans="2:17">
      <c r="B406" s="11" t="s">
        <v>803</v>
      </c>
      <c r="C406" s="5" t="str">
        <f>IF(E406="","",IF(G406&lt;&gt;"",SUBSTITUTE(SUBSTITUTE(G406," ",""),"-",""),IF(F406&lt;&gt;"",SUBSTITUTE(SUBSTITUTE(F406," ",""),"-",""),"")))</f>
        <v>RSSLCr61</v>
      </c>
      <c r="D406" s="6" t="s">
        <v>36</v>
      </c>
      <c r="E406" s="11" t="s">
        <v>47</v>
      </c>
      <c r="F406" s="11" t="s">
        <v>923</v>
      </c>
      <c r="G406" s="11" t="s">
        <v>985</v>
      </c>
      <c r="H406" s="18">
        <v>1.61</v>
      </c>
      <c r="I406" s="5" t="s">
        <v>52</v>
      </c>
      <c r="J406" s="19">
        <v>1</v>
      </c>
      <c r="K406" s="5" t="s">
        <v>49</v>
      </c>
      <c r="L406" s="5" t="s">
        <v>53</v>
      </c>
      <c r="M406" s="23" t="s">
        <v>924</v>
      </c>
      <c r="N406" s="25"/>
      <c r="O406" s="25"/>
      <c r="P406" s="25"/>
      <c r="Q406" s="17" t="s">
        <v>43</v>
      </c>
    </row>
    <row r="407" spans="2:17">
      <c r="B407" s="11" t="s">
        <v>803</v>
      </c>
      <c r="C407" s="5" t="str">
        <f>IF(E407="","",IF(G407&lt;&gt;"",SUBSTITUTE(SUBSTITUTE(G407," ",""),"-",""),IF(F407&lt;&gt;"",SUBSTITUTE(SUBSTITUTE(F407," ",""),"-",""),"")))</f>
        <v>RSSLCr62</v>
      </c>
      <c r="D407" s="6" t="s">
        <v>36</v>
      </c>
      <c r="E407" s="11" t="s">
        <v>47</v>
      </c>
      <c r="F407" s="11" t="s">
        <v>923</v>
      </c>
      <c r="G407" s="11" t="s">
        <v>986</v>
      </c>
      <c r="H407" s="18">
        <v>1.61</v>
      </c>
      <c r="I407" s="5" t="s">
        <v>52</v>
      </c>
      <c r="J407" s="19">
        <v>1</v>
      </c>
      <c r="K407" s="5" t="s">
        <v>49</v>
      </c>
      <c r="L407" s="5" t="s">
        <v>53</v>
      </c>
      <c r="M407" s="23" t="s">
        <v>924</v>
      </c>
      <c r="N407" s="25"/>
      <c r="O407" s="25"/>
      <c r="P407" s="25"/>
      <c r="Q407" s="17" t="s">
        <v>43</v>
      </c>
    </row>
    <row r="408" spans="2:17">
      <c r="B408" s="11" t="s">
        <v>803</v>
      </c>
      <c r="C408" s="5" t="str">
        <f>IF(E408="","",IF(G408&lt;&gt;"",SUBSTITUTE(SUBSTITUTE(G408," ",""),"-",""),IF(F408&lt;&gt;"",SUBSTITUTE(SUBSTITUTE(F408," ",""),"-",""),"")))</f>
        <v>RSSLCr63</v>
      </c>
      <c r="D408" s="6" t="s">
        <v>36</v>
      </c>
      <c r="E408" s="11" t="s">
        <v>47</v>
      </c>
      <c r="F408" s="11" t="s">
        <v>923</v>
      </c>
      <c r="G408" s="11" t="s">
        <v>987</v>
      </c>
      <c r="H408" s="18">
        <v>1.61</v>
      </c>
      <c r="I408" s="5" t="s">
        <v>52</v>
      </c>
      <c r="J408" s="19">
        <v>1</v>
      </c>
      <c r="K408" s="5" t="s">
        <v>49</v>
      </c>
      <c r="L408" s="5" t="s">
        <v>53</v>
      </c>
      <c r="M408" s="23" t="s">
        <v>924</v>
      </c>
      <c r="N408" s="25"/>
      <c r="O408" s="25"/>
      <c r="P408" s="25"/>
      <c r="Q408" s="17" t="s">
        <v>43</v>
      </c>
    </row>
    <row r="409" spans="2:17">
      <c r="B409" s="11" t="s">
        <v>803</v>
      </c>
      <c r="C409" s="5" t="str">
        <f>IF(E409="","",IF(G409&lt;&gt;"",SUBSTITUTE(SUBSTITUTE(G409," ",""),"-",""),IF(F409&lt;&gt;"",SUBSTITUTE(SUBSTITUTE(F409," ",""),"-",""),"")))</f>
        <v>RSSLCr64</v>
      </c>
      <c r="D409" s="6" t="s">
        <v>36</v>
      </c>
      <c r="E409" s="11" t="s">
        <v>47</v>
      </c>
      <c r="F409" s="11" t="s">
        <v>923</v>
      </c>
      <c r="G409" s="11" t="s">
        <v>988</v>
      </c>
      <c r="H409" s="18">
        <v>1.61</v>
      </c>
      <c r="I409" s="5" t="s">
        <v>52</v>
      </c>
      <c r="J409" s="19">
        <v>1</v>
      </c>
      <c r="K409" s="5" t="s">
        <v>49</v>
      </c>
      <c r="L409" s="5" t="s">
        <v>53</v>
      </c>
      <c r="M409" s="23" t="s">
        <v>924</v>
      </c>
      <c r="N409" s="25"/>
      <c r="O409" s="25"/>
      <c r="P409" s="25"/>
      <c r="Q409" s="17" t="s">
        <v>43</v>
      </c>
    </row>
    <row r="410" spans="2:17">
      <c r="B410" s="11" t="s">
        <v>803</v>
      </c>
      <c r="C410" s="5" t="str">
        <f>IF(E410="","",IF(G410&lt;&gt;"",SUBSTITUTE(SUBSTITUTE(G410," ",""),"-",""),IF(F410&lt;&gt;"",SUBSTITUTE(SUBSTITUTE(F410," ",""),"-",""),"")))</f>
        <v>RSSLCr65</v>
      </c>
      <c r="D410" s="6" t="s">
        <v>36</v>
      </c>
      <c r="E410" s="11" t="s">
        <v>47</v>
      </c>
      <c r="F410" s="11" t="s">
        <v>923</v>
      </c>
      <c r="G410" s="11" t="s">
        <v>989</v>
      </c>
      <c r="H410" s="18">
        <v>1.61</v>
      </c>
      <c r="I410" s="5" t="s">
        <v>52</v>
      </c>
      <c r="J410" s="19">
        <v>1</v>
      </c>
      <c r="K410" s="5" t="s">
        <v>49</v>
      </c>
      <c r="L410" s="5" t="s">
        <v>53</v>
      </c>
      <c r="M410" s="23" t="s">
        <v>924</v>
      </c>
      <c r="N410" s="25"/>
      <c r="O410" s="25"/>
      <c r="P410" s="25"/>
      <c r="Q410" s="17" t="s">
        <v>43</v>
      </c>
    </row>
    <row r="411" spans="2:17">
      <c r="B411" s="11" t="s">
        <v>803</v>
      </c>
      <c r="C411" s="5" t="str">
        <f>IF(E411="","",IF(G411&lt;&gt;"",SUBSTITUTE(SUBSTITUTE(G411," ",""),"-",""),IF(F411&lt;&gt;"",SUBSTITUTE(SUBSTITUTE(F411," ",""),"-",""),"")))</f>
        <v>RSSLCr66</v>
      </c>
      <c r="D411" s="6" t="s">
        <v>36</v>
      </c>
      <c r="E411" s="11" t="s">
        <v>47</v>
      </c>
      <c r="F411" s="11" t="s">
        <v>923</v>
      </c>
      <c r="G411" s="11" t="s">
        <v>990</v>
      </c>
      <c r="H411" s="18">
        <v>1.61</v>
      </c>
      <c r="I411" s="5" t="s">
        <v>52</v>
      </c>
      <c r="J411" s="19">
        <v>1</v>
      </c>
      <c r="K411" s="5" t="s">
        <v>49</v>
      </c>
      <c r="L411" s="5" t="s">
        <v>53</v>
      </c>
      <c r="M411" s="23" t="s">
        <v>924</v>
      </c>
      <c r="N411" s="25"/>
      <c r="O411" s="25"/>
      <c r="P411" s="25"/>
      <c r="Q411" s="17" t="s">
        <v>43</v>
      </c>
    </row>
    <row r="412" spans="2:17">
      <c r="B412" s="11" t="s">
        <v>803</v>
      </c>
      <c r="C412" s="5" t="str">
        <f>IF(E412="","",IF(G412&lt;&gt;"",SUBSTITUTE(SUBSTITUTE(G412," ",""),"-",""),IF(F412&lt;&gt;"",SUBSTITUTE(SUBSTITUTE(F412," ",""),"-",""),"")))</f>
        <v>RSSLCr67</v>
      </c>
      <c r="D412" s="6" t="s">
        <v>36</v>
      </c>
      <c r="E412" s="11" t="s">
        <v>47</v>
      </c>
      <c r="F412" s="11" t="s">
        <v>923</v>
      </c>
      <c r="G412" s="11" t="s">
        <v>991</v>
      </c>
      <c r="H412" s="18">
        <v>1.61</v>
      </c>
      <c r="I412" s="5" t="s">
        <v>52</v>
      </c>
      <c r="J412" s="19">
        <v>1</v>
      </c>
      <c r="K412" s="5" t="s">
        <v>49</v>
      </c>
      <c r="L412" s="5" t="s">
        <v>53</v>
      </c>
      <c r="M412" s="23" t="s">
        <v>924</v>
      </c>
      <c r="N412" s="25"/>
      <c r="O412" s="25"/>
      <c r="P412" s="25"/>
      <c r="Q412" s="17" t="s">
        <v>43</v>
      </c>
    </row>
    <row r="413" spans="2:17">
      <c r="B413" s="11" t="s">
        <v>803</v>
      </c>
      <c r="C413" s="5" t="str">
        <f>IF(E413="","",IF(G413&lt;&gt;"",SUBSTITUTE(SUBSTITUTE(G413," ",""),"-",""),IF(F413&lt;&gt;"",SUBSTITUTE(SUBSTITUTE(F413," ",""),"-",""),"")))</f>
        <v>RSSLCr68</v>
      </c>
      <c r="D413" s="6" t="s">
        <v>36</v>
      </c>
      <c r="E413" s="11" t="s">
        <v>47</v>
      </c>
      <c r="F413" s="11" t="s">
        <v>923</v>
      </c>
      <c r="G413" s="11" t="s">
        <v>992</v>
      </c>
      <c r="H413" s="18">
        <v>1.61</v>
      </c>
      <c r="I413" s="5" t="s">
        <v>52</v>
      </c>
      <c r="J413" s="19">
        <v>1</v>
      </c>
      <c r="K413" s="5" t="s">
        <v>49</v>
      </c>
      <c r="L413" s="5" t="s">
        <v>53</v>
      </c>
      <c r="M413" s="23" t="s">
        <v>924</v>
      </c>
      <c r="N413" s="25"/>
      <c r="O413" s="25"/>
      <c r="P413" s="25"/>
      <c r="Q413" s="17" t="s">
        <v>43</v>
      </c>
    </row>
    <row r="414" spans="2:17">
      <c r="B414" s="11" t="s">
        <v>803</v>
      </c>
      <c r="C414" s="5" t="str">
        <f>IF(E414="","",IF(G414&lt;&gt;"",SUBSTITUTE(SUBSTITUTE(G414," ",""),"-",""),IF(F414&lt;&gt;"",SUBSTITUTE(SUBSTITUTE(F414," ",""),"-",""),"")))</f>
        <v>RSSLCr69</v>
      </c>
      <c r="D414" s="6" t="s">
        <v>36</v>
      </c>
      <c r="E414" s="11" t="s">
        <v>47</v>
      </c>
      <c r="F414" s="11" t="s">
        <v>923</v>
      </c>
      <c r="G414" s="11" t="s">
        <v>993</v>
      </c>
      <c r="H414" s="18">
        <v>1.61</v>
      </c>
      <c r="I414" s="5" t="s">
        <v>52</v>
      </c>
      <c r="J414" s="19">
        <v>1</v>
      </c>
      <c r="K414" s="5" t="s">
        <v>49</v>
      </c>
      <c r="L414" s="5" t="s">
        <v>53</v>
      </c>
      <c r="M414" s="23" t="s">
        <v>924</v>
      </c>
      <c r="N414" s="25"/>
      <c r="O414" s="25"/>
      <c r="P414" s="25"/>
      <c r="Q414" s="17" t="s">
        <v>43</v>
      </c>
    </row>
    <row r="415" spans="2:17">
      <c r="B415" s="11" t="s">
        <v>803</v>
      </c>
      <c r="C415" s="5" t="str">
        <f>IF(E415="","",IF(G415&lt;&gt;"",SUBSTITUTE(SUBSTITUTE(G415," ",""),"-",""),IF(F415&lt;&gt;"",SUBSTITUTE(SUBSTITUTE(F415," ",""),"-",""),"")))</f>
        <v>RSSLCr70</v>
      </c>
      <c r="D415" s="6" t="s">
        <v>36</v>
      </c>
      <c r="E415" s="11" t="s">
        <v>47</v>
      </c>
      <c r="F415" s="11" t="s">
        <v>923</v>
      </c>
      <c r="G415" s="11" t="s">
        <v>994</v>
      </c>
      <c r="H415" s="18">
        <v>1.61</v>
      </c>
      <c r="I415" s="5" t="s">
        <v>52</v>
      </c>
      <c r="J415" s="19">
        <v>1</v>
      </c>
      <c r="K415" s="5" t="s">
        <v>49</v>
      </c>
      <c r="L415" s="5" t="s">
        <v>53</v>
      </c>
      <c r="M415" s="23" t="s">
        <v>924</v>
      </c>
      <c r="N415" s="25"/>
      <c r="O415" s="25"/>
      <c r="P415" s="25"/>
      <c r="Q415" s="17" t="s">
        <v>43</v>
      </c>
    </row>
    <row r="416" spans="2:17">
      <c r="B416" s="11" t="s">
        <v>803</v>
      </c>
      <c r="C416" s="5" t="str">
        <f>IF(E416="","",IF(G416&lt;&gt;"",SUBSTITUTE(SUBSTITUTE(G416," ",""),"-",""),IF(F416&lt;&gt;"",SUBSTITUTE(SUBSTITUTE(F416," ",""),"-",""),"")))</f>
        <v>RSSLCr71</v>
      </c>
      <c r="D416" s="6" t="s">
        <v>36</v>
      </c>
      <c r="E416" s="11" t="s">
        <v>47</v>
      </c>
      <c r="F416" s="11" t="s">
        <v>923</v>
      </c>
      <c r="G416" s="11" t="s">
        <v>995</v>
      </c>
      <c r="H416" s="18">
        <v>1.61</v>
      </c>
      <c r="I416" s="5" t="s">
        <v>52</v>
      </c>
      <c r="J416" s="19">
        <v>1</v>
      </c>
      <c r="K416" s="5" t="s">
        <v>49</v>
      </c>
      <c r="L416" s="5" t="s">
        <v>53</v>
      </c>
      <c r="M416" s="23" t="s">
        <v>924</v>
      </c>
      <c r="N416" s="25"/>
      <c r="O416" s="25"/>
      <c r="P416" s="25"/>
      <c r="Q416" s="17" t="s">
        <v>43</v>
      </c>
    </row>
    <row r="417" spans="2:17">
      <c r="B417" s="11" t="s">
        <v>803</v>
      </c>
      <c r="C417" s="5" t="str">
        <f>IF(E417="","",IF(G417&lt;&gt;"",SUBSTITUTE(SUBSTITUTE(G417," ",""),"-",""),IF(F417&lt;&gt;"",SUBSTITUTE(SUBSTITUTE(F417," ",""),"-",""),"")))</f>
        <v>RSSLCr72</v>
      </c>
      <c r="D417" s="6" t="s">
        <v>36</v>
      </c>
      <c r="E417" s="11" t="s">
        <v>47</v>
      </c>
      <c r="F417" s="11" t="s">
        <v>923</v>
      </c>
      <c r="G417" s="11" t="s">
        <v>996</v>
      </c>
      <c r="H417" s="18">
        <v>1.61</v>
      </c>
      <c r="I417" s="5" t="s">
        <v>52</v>
      </c>
      <c r="J417" s="19">
        <v>1</v>
      </c>
      <c r="K417" s="5" t="s">
        <v>49</v>
      </c>
      <c r="L417" s="5" t="s">
        <v>53</v>
      </c>
      <c r="M417" s="23" t="s">
        <v>924</v>
      </c>
      <c r="N417" s="25"/>
      <c r="O417" s="25"/>
      <c r="P417" s="25"/>
      <c r="Q417" s="17" t="s">
        <v>43</v>
      </c>
    </row>
    <row r="418" spans="2:17">
      <c r="B418" s="11" t="s">
        <v>803</v>
      </c>
      <c r="C418" s="5" t="str">
        <f>IF(E418="","",IF(G418&lt;&gt;"",SUBSTITUTE(SUBSTITUTE(G418," ",""),"-",""),IF(F418&lt;&gt;"",SUBSTITUTE(SUBSTITUTE(F418," ",""),"-",""),"")))</f>
        <v>RSSLCr73</v>
      </c>
      <c r="D418" s="6" t="s">
        <v>36</v>
      </c>
      <c r="E418" s="11" t="s">
        <v>47</v>
      </c>
      <c r="F418" s="11" t="s">
        <v>923</v>
      </c>
      <c r="G418" s="11" t="s">
        <v>997</v>
      </c>
      <c r="H418" s="18">
        <v>1.61</v>
      </c>
      <c r="I418" s="5" t="s">
        <v>52</v>
      </c>
      <c r="J418" s="19">
        <v>1</v>
      </c>
      <c r="K418" s="5" t="s">
        <v>49</v>
      </c>
      <c r="L418" s="5" t="s">
        <v>53</v>
      </c>
      <c r="M418" s="23" t="s">
        <v>924</v>
      </c>
      <c r="N418" s="25"/>
      <c r="O418" s="25"/>
      <c r="P418" s="25"/>
      <c r="Q418" s="17" t="s">
        <v>43</v>
      </c>
    </row>
    <row r="419" spans="2:17">
      <c r="B419" s="11" t="s">
        <v>803</v>
      </c>
      <c r="C419" s="5" t="str">
        <f>IF(E419="","",IF(G419&lt;&gt;"",SUBSTITUTE(SUBSTITUTE(G419," ",""),"-",""),IF(F419&lt;&gt;"",SUBSTITUTE(SUBSTITUTE(F419," ",""),"-",""),"")))</f>
        <v>RSSLCr74</v>
      </c>
      <c r="D419" s="6" t="s">
        <v>36</v>
      </c>
      <c r="E419" s="11" t="s">
        <v>47</v>
      </c>
      <c r="F419" s="11" t="s">
        <v>923</v>
      </c>
      <c r="G419" s="11" t="s">
        <v>998</v>
      </c>
      <c r="H419" s="18">
        <v>1.61</v>
      </c>
      <c r="I419" s="5" t="s">
        <v>52</v>
      </c>
      <c r="J419" s="19">
        <v>1</v>
      </c>
      <c r="K419" s="5" t="s">
        <v>49</v>
      </c>
      <c r="L419" s="5" t="s">
        <v>53</v>
      </c>
      <c r="M419" s="23" t="s">
        <v>924</v>
      </c>
      <c r="N419" s="25"/>
      <c r="O419" s="25"/>
      <c r="P419" s="25"/>
      <c r="Q419" s="17" t="s">
        <v>43</v>
      </c>
    </row>
    <row r="420" spans="2:17">
      <c r="B420" s="11" t="s">
        <v>803</v>
      </c>
      <c r="C420" s="5" t="str">
        <f>IF(E420="","",IF(G420&lt;&gt;"",SUBSTITUTE(SUBSTITUTE(G420," ",""),"-",""),IF(F420&lt;&gt;"",SUBSTITUTE(SUBSTITUTE(F420," ",""),"-",""),"")))</f>
        <v>RSSLCr75</v>
      </c>
      <c r="D420" s="6" t="s">
        <v>36</v>
      </c>
      <c r="E420" s="11" t="s">
        <v>47</v>
      </c>
      <c r="F420" s="11" t="s">
        <v>923</v>
      </c>
      <c r="G420" s="11" t="s">
        <v>999</v>
      </c>
      <c r="H420" s="18">
        <v>1.61</v>
      </c>
      <c r="I420" s="5" t="s">
        <v>52</v>
      </c>
      <c r="J420" s="19">
        <v>1</v>
      </c>
      <c r="K420" s="5" t="s">
        <v>49</v>
      </c>
      <c r="L420" s="5" t="s">
        <v>53</v>
      </c>
      <c r="M420" s="23" t="s">
        <v>924</v>
      </c>
      <c r="N420" s="25"/>
      <c r="O420" s="25"/>
      <c r="P420" s="25"/>
      <c r="Q420" s="17" t="s">
        <v>43</v>
      </c>
    </row>
    <row r="421" spans="2:17">
      <c r="B421" s="11" t="s">
        <v>803</v>
      </c>
      <c r="C421" s="5" t="str">
        <f>IF(E421="","",IF(G421&lt;&gt;"",SUBSTITUTE(SUBSTITUTE(G421," ",""),"-",""),IF(F421&lt;&gt;"",SUBSTITUTE(SUBSTITUTE(F421," ",""),"-",""),"")))</f>
        <v>RSSLCr76</v>
      </c>
      <c r="D421" s="6" t="s">
        <v>36</v>
      </c>
      <c r="E421" s="11" t="s">
        <v>47</v>
      </c>
      <c r="F421" s="11" t="s">
        <v>923</v>
      </c>
      <c r="G421" s="11" t="s">
        <v>1000</v>
      </c>
      <c r="H421" s="18">
        <v>1.61</v>
      </c>
      <c r="I421" s="5" t="s">
        <v>52</v>
      </c>
      <c r="J421" s="19">
        <v>1</v>
      </c>
      <c r="K421" s="5" t="s">
        <v>49</v>
      </c>
      <c r="L421" s="5" t="s">
        <v>53</v>
      </c>
      <c r="M421" s="23" t="s">
        <v>924</v>
      </c>
      <c r="N421" s="25"/>
      <c r="O421" s="25"/>
      <c r="P421" s="25"/>
      <c r="Q421" s="17" t="s">
        <v>43</v>
      </c>
    </row>
    <row r="422" spans="2:17">
      <c r="B422" s="11" t="s">
        <v>803</v>
      </c>
      <c r="C422" s="5" t="str">
        <f>IF(E422="","",IF(G422&lt;&gt;"",SUBSTITUTE(SUBSTITUTE(G422," ",""),"-",""),IF(F422&lt;&gt;"",SUBSTITUTE(SUBSTITUTE(F422," ",""),"-",""),"")))</f>
        <v>RSSLCr77</v>
      </c>
      <c r="D422" s="6" t="s">
        <v>36</v>
      </c>
      <c r="E422" s="11" t="s">
        <v>47</v>
      </c>
      <c r="F422" s="11" t="s">
        <v>923</v>
      </c>
      <c r="G422" s="11" t="s">
        <v>1001</v>
      </c>
      <c r="H422" s="18">
        <v>1.61</v>
      </c>
      <c r="I422" s="5" t="s">
        <v>52</v>
      </c>
      <c r="J422" s="19">
        <v>1</v>
      </c>
      <c r="K422" s="5" t="s">
        <v>49</v>
      </c>
      <c r="L422" s="5" t="s">
        <v>53</v>
      </c>
      <c r="M422" s="23" t="s">
        <v>924</v>
      </c>
      <c r="N422" s="25"/>
      <c r="O422" s="25"/>
      <c r="P422" s="25"/>
      <c r="Q422" s="17" t="s">
        <v>43</v>
      </c>
    </row>
    <row r="423" spans="2:17">
      <c r="B423" s="11" t="s">
        <v>803</v>
      </c>
      <c r="C423" s="5" t="str">
        <f>IF(E423="","",IF(G423&lt;&gt;"",SUBSTITUTE(SUBSTITUTE(G423," ",""),"-",""),IF(F423&lt;&gt;"",SUBSTITUTE(SUBSTITUTE(F423," ",""),"-",""),"")))</f>
        <v>RSSLCr78</v>
      </c>
      <c r="D423" s="6" t="s">
        <v>36</v>
      </c>
      <c r="E423" s="11" t="s">
        <v>47</v>
      </c>
      <c r="F423" s="11" t="s">
        <v>923</v>
      </c>
      <c r="G423" s="11" t="s">
        <v>1002</v>
      </c>
      <c r="H423" s="18">
        <v>1.61</v>
      </c>
      <c r="I423" s="5" t="s">
        <v>52</v>
      </c>
      <c r="J423" s="19">
        <v>1</v>
      </c>
      <c r="K423" s="5" t="s">
        <v>49</v>
      </c>
      <c r="L423" s="5" t="s">
        <v>53</v>
      </c>
      <c r="M423" s="23" t="s">
        <v>924</v>
      </c>
      <c r="N423" s="25"/>
      <c r="O423" s="25"/>
      <c r="P423" s="25"/>
      <c r="Q423" s="17" t="s">
        <v>43</v>
      </c>
    </row>
    <row r="424" spans="2:17">
      <c r="B424" s="11"/>
      <c r="C424" s="5" t="str">
        <f>IF(E424="","",IF(G424&lt;&gt;"",SUBSTITUTE(SUBSTITUTE(G424," ",""),"-",""),IF(F424&lt;&gt;"",SUBSTITUTE(SUBSTITUTE(F424," ",""),"-",""),"")))</f>
        <v/>
      </c>
      <c r="D424" s="6"/>
      <c r="E424" s="11"/>
      <c r="F424" s="11"/>
      <c r="G424" s="11"/>
      <c r="H424" s="18"/>
      <c r="J424" s="19"/>
      <c r="M424" s="23"/>
      <c r="N424" s="20"/>
      <c r="O424" s="20"/>
      <c r="P424" s="20"/>
      <c r="Q424" s="17"/>
    </row>
    <row r="425" spans="2:17">
      <c r="B425" s="11"/>
      <c r="C425" s="5" t="str">
        <f>IF(E425="","",IF(G425&lt;&gt;"",SUBSTITUTE(SUBSTITUTE(G425," ",""),"-",""),IF(F425&lt;&gt;"",SUBSTITUTE(SUBSTITUTE(F425," ",""),"-",""),"")))</f>
        <v/>
      </c>
      <c r="D425" s="6"/>
      <c r="E425" s="11"/>
      <c r="F425" s="11"/>
      <c r="G425" s="11"/>
      <c r="H425" s="18"/>
      <c r="J425" s="19"/>
      <c r="M425" s="23"/>
      <c r="N425" s="20"/>
      <c r="O425" s="20"/>
      <c r="P425" s="20"/>
      <c r="Q425" s="17"/>
    </row>
    <row r="426" spans="2:17">
      <c r="B426" s="11"/>
      <c r="C426" s="5" t="str">
        <f>IF(E426="","",IF(G426&lt;&gt;"",SUBSTITUTE(SUBSTITUTE(G426," ",""),"-",""),IF(F426&lt;&gt;"",SUBSTITUTE(SUBSTITUTE(F426," ",""),"-",""),"")))</f>
        <v/>
      </c>
      <c r="D426" s="6"/>
      <c r="E426" s="11"/>
      <c r="F426" s="11"/>
      <c r="G426" s="11"/>
      <c r="H426" s="18"/>
      <c r="J426" s="19"/>
      <c r="M426" s="23"/>
      <c r="N426" s="20"/>
      <c r="O426" s="20"/>
      <c r="P426" s="20"/>
      <c r="Q426" s="17"/>
    </row>
    <row r="427" spans="2:17">
      <c r="B427" s="11" t="s">
        <v>50</v>
      </c>
      <c r="C427" s="5" t="str">
        <f>IF(E427="","",IF(G427&lt;&gt;"",SUBSTITUTE(SUBSTITUTE(G427," ",""),"-",""),IF(F427&lt;&gt;"",SUBSTITUTE(SUBSTITUTE(F427," ",""),"-",""),"")))</f>
        <v>RGSL</v>
      </c>
      <c r="D427" s="6" t="s">
        <v>36</v>
      </c>
      <c r="E427" s="11" t="s">
        <v>47</v>
      </c>
      <c r="F427" s="11" t="s">
        <v>1003</v>
      </c>
      <c r="G427" s="11"/>
      <c r="H427" s="18">
        <v>111.28</v>
      </c>
      <c r="I427" s="5" t="s">
        <v>52</v>
      </c>
      <c r="J427" s="19">
        <v>104</v>
      </c>
      <c r="K427" s="5" t="s">
        <v>49</v>
      </c>
      <c r="L427" s="5" t="s">
        <v>53</v>
      </c>
      <c r="M427" s="23" t="s">
        <v>1004</v>
      </c>
      <c r="N427" s="25">
        <v>5500</v>
      </c>
      <c r="O427" s="25">
        <v>10</v>
      </c>
      <c r="P427" s="25">
        <v>1</v>
      </c>
      <c r="Q427" s="17" t="s">
        <v>43</v>
      </c>
    </row>
    <row r="428" spans="2:17">
      <c r="B428" s="11" t="s">
        <v>803</v>
      </c>
      <c r="C428" s="5" t="str">
        <f>IF(E428="","",IF(G428&lt;&gt;"",SUBSTITUTE(SUBSTITUTE(G428," ",""),"-",""),IF(F428&lt;&gt;"",SUBSTITUTE(SUBSTITUTE(F428," ",""),"-",""),"")))</f>
        <v>RGSLCr01</v>
      </c>
      <c r="D428" s="6" t="s">
        <v>36</v>
      </c>
      <c r="E428" s="11" t="s">
        <v>47</v>
      </c>
      <c r="F428" s="11" t="s">
        <v>1003</v>
      </c>
      <c r="G428" s="11" t="s">
        <v>1005</v>
      </c>
      <c r="H428" s="18">
        <v>1.07</v>
      </c>
      <c r="I428" s="5" t="s">
        <v>52</v>
      </c>
      <c r="J428" s="19">
        <v>1</v>
      </c>
      <c r="K428" s="5" t="s">
        <v>49</v>
      </c>
      <c r="L428" s="5" t="s">
        <v>53</v>
      </c>
      <c r="M428" s="23" t="s">
        <v>1004</v>
      </c>
      <c r="N428" s="25"/>
      <c r="O428" s="25"/>
      <c r="P428" s="25"/>
      <c r="Q428" s="17" t="s">
        <v>43</v>
      </c>
    </row>
    <row r="429" spans="2:17">
      <c r="B429" s="11" t="s">
        <v>803</v>
      </c>
      <c r="C429" s="5" t="str">
        <f>IF(E429="","",IF(G429&lt;&gt;"",SUBSTITUTE(SUBSTITUTE(G429," ",""),"-",""),IF(F429&lt;&gt;"",SUBSTITUTE(SUBSTITUTE(F429," ",""),"-",""),"")))</f>
        <v>RGSLCr02</v>
      </c>
      <c r="D429" s="6" t="s">
        <v>36</v>
      </c>
      <c r="E429" s="11" t="s">
        <v>47</v>
      </c>
      <c r="F429" s="11" t="s">
        <v>1003</v>
      </c>
      <c r="G429" s="11" t="s">
        <v>1006</v>
      </c>
      <c r="H429" s="18">
        <v>1.07</v>
      </c>
      <c r="I429" s="5" t="s">
        <v>52</v>
      </c>
      <c r="J429" s="19">
        <v>1</v>
      </c>
      <c r="K429" s="5" t="s">
        <v>49</v>
      </c>
      <c r="L429" s="5" t="s">
        <v>53</v>
      </c>
      <c r="M429" s="23" t="s">
        <v>1004</v>
      </c>
      <c r="N429" s="25"/>
      <c r="O429" s="25"/>
      <c r="P429" s="25"/>
      <c r="Q429" s="17" t="s">
        <v>43</v>
      </c>
    </row>
    <row r="430" spans="2:17">
      <c r="B430" s="11" t="s">
        <v>803</v>
      </c>
      <c r="C430" s="5" t="str">
        <f>IF(E430="","",IF(G430&lt;&gt;"",SUBSTITUTE(SUBSTITUTE(G430," ",""),"-",""),IF(F430&lt;&gt;"",SUBSTITUTE(SUBSTITUTE(F430," ",""),"-",""),"")))</f>
        <v>RGSLCr03</v>
      </c>
      <c r="D430" s="6" t="s">
        <v>36</v>
      </c>
      <c r="E430" s="11" t="s">
        <v>47</v>
      </c>
      <c r="F430" s="11" t="s">
        <v>1003</v>
      </c>
      <c r="G430" s="11" t="s">
        <v>1007</v>
      </c>
      <c r="H430" s="18">
        <v>1.07</v>
      </c>
      <c r="I430" s="5" t="s">
        <v>52</v>
      </c>
      <c r="J430" s="19">
        <v>1</v>
      </c>
      <c r="K430" s="5" t="s">
        <v>49</v>
      </c>
      <c r="L430" s="5" t="s">
        <v>53</v>
      </c>
      <c r="M430" s="23" t="s">
        <v>1004</v>
      </c>
      <c r="N430" s="25"/>
      <c r="O430" s="25"/>
      <c r="P430" s="25"/>
      <c r="Q430" s="17" t="s">
        <v>43</v>
      </c>
    </row>
    <row r="431" spans="2:17">
      <c r="B431" s="11" t="s">
        <v>803</v>
      </c>
      <c r="C431" s="5" t="str">
        <f>IF(E431="","",IF(G431&lt;&gt;"",SUBSTITUTE(SUBSTITUTE(G431," ",""),"-",""),IF(F431&lt;&gt;"",SUBSTITUTE(SUBSTITUTE(F431," ",""),"-",""),"")))</f>
        <v>RGSLCr04</v>
      </c>
      <c r="D431" s="6" t="s">
        <v>36</v>
      </c>
      <c r="E431" s="11" t="s">
        <v>47</v>
      </c>
      <c r="F431" s="11" t="s">
        <v>1003</v>
      </c>
      <c r="G431" s="11" t="s">
        <v>1008</v>
      </c>
      <c r="H431" s="18">
        <v>1.07</v>
      </c>
      <c r="I431" s="5" t="s">
        <v>52</v>
      </c>
      <c r="J431" s="19">
        <v>1</v>
      </c>
      <c r="K431" s="5" t="s">
        <v>49</v>
      </c>
      <c r="L431" s="5" t="s">
        <v>53</v>
      </c>
      <c r="M431" s="23" t="s">
        <v>1004</v>
      </c>
      <c r="N431" s="25"/>
      <c r="O431" s="25"/>
      <c r="P431" s="25"/>
      <c r="Q431" s="17" t="s">
        <v>43</v>
      </c>
    </row>
    <row r="432" spans="2:17">
      <c r="B432" s="11" t="s">
        <v>803</v>
      </c>
      <c r="C432" s="5" t="str">
        <f>IF(E432="","",IF(G432&lt;&gt;"",SUBSTITUTE(SUBSTITUTE(G432," ",""),"-",""),IF(F432&lt;&gt;"",SUBSTITUTE(SUBSTITUTE(F432," ",""),"-",""),"")))</f>
        <v>RGSLCr05</v>
      </c>
      <c r="D432" s="6" t="s">
        <v>36</v>
      </c>
      <c r="E432" s="11" t="s">
        <v>47</v>
      </c>
      <c r="F432" s="11" t="s">
        <v>1003</v>
      </c>
      <c r="G432" s="11" t="s">
        <v>1009</v>
      </c>
      <c r="H432" s="18">
        <v>1.07</v>
      </c>
      <c r="I432" s="5" t="s">
        <v>52</v>
      </c>
      <c r="J432" s="19">
        <v>1</v>
      </c>
      <c r="K432" s="5" t="s">
        <v>49</v>
      </c>
      <c r="L432" s="5" t="s">
        <v>53</v>
      </c>
      <c r="M432" s="23" t="s">
        <v>1004</v>
      </c>
      <c r="N432" s="25"/>
      <c r="O432" s="25"/>
      <c r="P432" s="25"/>
      <c r="Q432" s="17" t="s">
        <v>43</v>
      </c>
    </row>
    <row r="433" spans="2:17">
      <c r="B433" s="11" t="s">
        <v>803</v>
      </c>
      <c r="C433" s="5" t="str">
        <f>IF(E433="","",IF(G433&lt;&gt;"",SUBSTITUTE(SUBSTITUTE(G433," ",""),"-",""),IF(F433&lt;&gt;"",SUBSTITUTE(SUBSTITUTE(F433," ",""),"-",""),"")))</f>
        <v>RGSLCr06</v>
      </c>
      <c r="D433" s="6" t="s">
        <v>36</v>
      </c>
      <c r="E433" s="11" t="s">
        <v>47</v>
      </c>
      <c r="F433" s="11" t="s">
        <v>1003</v>
      </c>
      <c r="G433" s="11" t="s">
        <v>1010</v>
      </c>
      <c r="H433" s="18">
        <v>1.07</v>
      </c>
      <c r="I433" s="5" t="s">
        <v>52</v>
      </c>
      <c r="J433" s="19">
        <v>1</v>
      </c>
      <c r="K433" s="5" t="s">
        <v>49</v>
      </c>
      <c r="L433" s="5" t="s">
        <v>53</v>
      </c>
      <c r="M433" s="23" t="s">
        <v>1004</v>
      </c>
      <c r="N433" s="25"/>
      <c r="O433" s="25"/>
      <c r="P433" s="25"/>
      <c r="Q433" s="17" t="s">
        <v>43</v>
      </c>
    </row>
    <row r="434" spans="2:17">
      <c r="B434" s="11" t="s">
        <v>803</v>
      </c>
      <c r="C434" s="5" t="str">
        <f>IF(E434="","",IF(G434&lt;&gt;"",SUBSTITUTE(SUBSTITUTE(G434," ",""),"-",""),IF(F434&lt;&gt;"",SUBSTITUTE(SUBSTITUTE(F434," ",""),"-",""),"")))</f>
        <v>RGSLCr07</v>
      </c>
      <c r="D434" s="6" t="s">
        <v>36</v>
      </c>
      <c r="E434" s="11" t="s">
        <v>47</v>
      </c>
      <c r="F434" s="11" t="s">
        <v>1003</v>
      </c>
      <c r="G434" s="11" t="s">
        <v>1011</v>
      </c>
      <c r="H434" s="18">
        <v>1.07</v>
      </c>
      <c r="I434" s="5" t="s">
        <v>52</v>
      </c>
      <c r="J434" s="19">
        <v>1</v>
      </c>
      <c r="K434" s="5" t="s">
        <v>49</v>
      </c>
      <c r="L434" s="5" t="s">
        <v>53</v>
      </c>
      <c r="M434" s="23" t="s">
        <v>1004</v>
      </c>
      <c r="N434" s="25"/>
      <c r="O434" s="25"/>
      <c r="P434" s="25"/>
      <c r="Q434" s="17" t="s">
        <v>43</v>
      </c>
    </row>
    <row r="435" spans="2:17">
      <c r="B435" s="11" t="s">
        <v>803</v>
      </c>
      <c r="C435" s="5" t="str">
        <f>IF(E435="","",IF(G435&lt;&gt;"",SUBSTITUTE(SUBSTITUTE(G435," ",""),"-",""),IF(F435&lt;&gt;"",SUBSTITUTE(SUBSTITUTE(F435," ",""),"-",""),"")))</f>
        <v>RGSLCr08</v>
      </c>
      <c r="D435" s="6" t="s">
        <v>36</v>
      </c>
      <c r="E435" s="11" t="s">
        <v>47</v>
      </c>
      <c r="F435" s="11" t="s">
        <v>1003</v>
      </c>
      <c r="G435" s="11" t="s">
        <v>1012</v>
      </c>
      <c r="H435" s="18">
        <v>1.07</v>
      </c>
      <c r="I435" s="5" t="s">
        <v>52</v>
      </c>
      <c r="J435" s="19">
        <v>1</v>
      </c>
      <c r="K435" s="5" t="s">
        <v>49</v>
      </c>
      <c r="L435" s="5" t="s">
        <v>53</v>
      </c>
      <c r="M435" s="23" t="s">
        <v>1004</v>
      </c>
      <c r="N435" s="25"/>
      <c r="O435" s="25"/>
      <c r="P435" s="25"/>
      <c r="Q435" s="17" t="s">
        <v>43</v>
      </c>
    </row>
    <row r="436" spans="2:17">
      <c r="B436" s="11" t="s">
        <v>803</v>
      </c>
      <c r="C436" s="5" t="str">
        <f>IF(E436="","",IF(G436&lt;&gt;"",SUBSTITUTE(SUBSTITUTE(G436," ",""),"-",""),IF(F436&lt;&gt;"",SUBSTITUTE(SUBSTITUTE(F436," ",""),"-",""),"")))</f>
        <v>RGSLCr09</v>
      </c>
      <c r="D436" s="6" t="s">
        <v>36</v>
      </c>
      <c r="E436" s="11" t="s">
        <v>47</v>
      </c>
      <c r="F436" s="11" t="s">
        <v>1003</v>
      </c>
      <c r="G436" s="11" t="s">
        <v>1013</v>
      </c>
      <c r="H436" s="18">
        <v>1.07</v>
      </c>
      <c r="I436" s="5" t="s">
        <v>52</v>
      </c>
      <c r="J436" s="19">
        <v>1</v>
      </c>
      <c r="K436" s="5" t="s">
        <v>49</v>
      </c>
      <c r="L436" s="5" t="s">
        <v>53</v>
      </c>
      <c r="M436" s="23" t="s">
        <v>1004</v>
      </c>
      <c r="N436" s="25"/>
      <c r="O436" s="25"/>
      <c r="P436" s="25"/>
      <c r="Q436" s="17" t="s">
        <v>43</v>
      </c>
    </row>
    <row r="437" spans="2:17">
      <c r="B437" s="11" t="s">
        <v>803</v>
      </c>
      <c r="C437" s="5" t="str">
        <f>IF(E437="","",IF(G437&lt;&gt;"",SUBSTITUTE(SUBSTITUTE(G437," ",""),"-",""),IF(F437&lt;&gt;"",SUBSTITUTE(SUBSTITUTE(F437," ",""),"-",""),"")))</f>
        <v>RGSLCr10</v>
      </c>
      <c r="D437" s="6" t="s">
        <v>36</v>
      </c>
      <c r="E437" s="11" t="s">
        <v>47</v>
      </c>
      <c r="F437" s="11" t="s">
        <v>1003</v>
      </c>
      <c r="G437" s="11" t="s">
        <v>1014</v>
      </c>
      <c r="H437" s="18">
        <v>1.07</v>
      </c>
      <c r="I437" s="5" t="s">
        <v>52</v>
      </c>
      <c r="J437" s="19">
        <v>1</v>
      </c>
      <c r="K437" s="5" t="s">
        <v>49</v>
      </c>
      <c r="L437" s="5" t="s">
        <v>53</v>
      </c>
      <c r="M437" s="23" t="s">
        <v>1004</v>
      </c>
      <c r="N437" s="25"/>
      <c r="O437" s="25"/>
      <c r="P437" s="25"/>
      <c r="Q437" s="17" t="s">
        <v>43</v>
      </c>
    </row>
    <row r="438" spans="2:17">
      <c r="B438" s="11" t="s">
        <v>803</v>
      </c>
      <c r="C438" s="5" t="str">
        <f>IF(E438="","",IF(G438&lt;&gt;"",SUBSTITUTE(SUBSTITUTE(G438," ",""),"-",""),IF(F438&lt;&gt;"",SUBSTITUTE(SUBSTITUTE(F438," ",""),"-",""),"")))</f>
        <v>RGSLCr11</v>
      </c>
      <c r="D438" s="6" t="s">
        <v>36</v>
      </c>
      <c r="E438" s="11" t="s">
        <v>47</v>
      </c>
      <c r="F438" s="11" t="s">
        <v>1003</v>
      </c>
      <c r="G438" s="11" t="s">
        <v>1015</v>
      </c>
      <c r="H438" s="18">
        <v>1.07</v>
      </c>
      <c r="I438" s="5" t="s">
        <v>52</v>
      </c>
      <c r="J438" s="19">
        <v>1</v>
      </c>
      <c r="K438" s="5" t="s">
        <v>49</v>
      </c>
      <c r="L438" s="5" t="s">
        <v>53</v>
      </c>
      <c r="M438" s="23" t="s">
        <v>1004</v>
      </c>
      <c r="N438" s="25"/>
      <c r="O438" s="25"/>
      <c r="P438" s="25"/>
      <c r="Q438" s="17" t="s">
        <v>43</v>
      </c>
    </row>
    <row r="439" spans="2:17">
      <c r="B439" s="11" t="s">
        <v>803</v>
      </c>
      <c r="C439" s="5" t="str">
        <f>IF(E439="","",IF(G439&lt;&gt;"",SUBSTITUTE(SUBSTITUTE(G439," ",""),"-",""),IF(F439&lt;&gt;"",SUBSTITUTE(SUBSTITUTE(F439," ",""),"-",""),"")))</f>
        <v>RGSLCr12</v>
      </c>
      <c r="D439" s="6" t="s">
        <v>36</v>
      </c>
      <c r="E439" s="11" t="s">
        <v>47</v>
      </c>
      <c r="F439" s="11" t="s">
        <v>1003</v>
      </c>
      <c r="G439" s="11" t="s">
        <v>1016</v>
      </c>
      <c r="H439" s="18">
        <v>1.07</v>
      </c>
      <c r="I439" s="5" t="s">
        <v>52</v>
      </c>
      <c r="J439" s="19">
        <v>1</v>
      </c>
      <c r="K439" s="5" t="s">
        <v>49</v>
      </c>
      <c r="L439" s="5" t="s">
        <v>53</v>
      </c>
      <c r="M439" s="23" t="s">
        <v>1004</v>
      </c>
      <c r="N439" s="25"/>
      <c r="O439" s="25"/>
      <c r="P439" s="25"/>
      <c r="Q439" s="17" t="s">
        <v>43</v>
      </c>
    </row>
    <row r="440" spans="2:17">
      <c r="B440" s="11" t="s">
        <v>803</v>
      </c>
      <c r="C440" s="5" t="str">
        <f>IF(E440="","",IF(G440&lt;&gt;"",SUBSTITUTE(SUBSTITUTE(G440," ",""),"-",""),IF(F440&lt;&gt;"",SUBSTITUTE(SUBSTITUTE(F440," ",""),"-",""),"")))</f>
        <v>RGSLCr13</v>
      </c>
      <c r="D440" s="6" t="s">
        <v>36</v>
      </c>
      <c r="E440" s="11" t="s">
        <v>47</v>
      </c>
      <c r="F440" s="11" t="s">
        <v>1003</v>
      </c>
      <c r="G440" s="11" t="s">
        <v>1017</v>
      </c>
      <c r="H440" s="18">
        <v>1.07</v>
      </c>
      <c r="I440" s="5" t="s">
        <v>52</v>
      </c>
      <c r="J440" s="19">
        <v>1</v>
      </c>
      <c r="K440" s="5" t="s">
        <v>49</v>
      </c>
      <c r="L440" s="5" t="s">
        <v>53</v>
      </c>
      <c r="M440" s="23" t="s">
        <v>1004</v>
      </c>
      <c r="N440" s="25"/>
      <c r="O440" s="25"/>
      <c r="P440" s="25"/>
      <c r="Q440" s="17" t="s">
        <v>43</v>
      </c>
    </row>
    <row r="441" spans="2:17">
      <c r="B441" s="11" t="s">
        <v>803</v>
      </c>
      <c r="C441" s="5" t="str">
        <f>IF(E441="","",IF(G441&lt;&gt;"",SUBSTITUTE(SUBSTITUTE(G441," ",""),"-",""),IF(F441&lt;&gt;"",SUBSTITUTE(SUBSTITUTE(F441," ",""),"-",""),"")))</f>
        <v>RGSLCr14</v>
      </c>
      <c r="D441" s="6" t="s">
        <v>36</v>
      </c>
      <c r="E441" s="11" t="s">
        <v>47</v>
      </c>
      <c r="F441" s="11" t="s">
        <v>1003</v>
      </c>
      <c r="G441" s="11" t="s">
        <v>1018</v>
      </c>
      <c r="H441" s="18">
        <v>1.07</v>
      </c>
      <c r="I441" s="5" t="s">
        <v>52</v>
      </c>
      <c r="J441" s="19">
        <v>1</v>
      </c>
      <c r="K441" s="5" t="s">
        <v>49</v>
      </c>
      <c r="L441" s="5" t="s">
        <v>53</v>
      </c>
      <c r="M441" s="23" t="s">
        <v>1004</v>
      </c>
      <c r="N441" s="25"/>
      <c r="O441" s="25"/>
      <c r="P441" s="25"/>
      <c r="Q441" s="17" t="s">
        <v>43</v>
      </c>
    </row>
    <row r="442" spans="2:17">
      <c r="B442" s="11" t="s">
        <v>803</v>
      </c>
      <c r="C442" s="5" t="str">
        <f>IF(E442="","",IF(G442&lt;&gt;"",SUBSTITUTE(SUBSTITUTE(G442," ",""),"-",""),IF(F442&lt;&gt;"",SUBSTITUTE(SUBSTITUTE(F442," ",""),"-",""),"")))</f>
        <v>RGSLCr15</v>
      </c>
      <c r="D442" s="6" t="s">
        <v>36</v>
      </c>
      <c r="E442" s="11" t="s">
        <v>47</v>
      </c>
      <c r="F442" s="11" t="s">
        <v>1003</v>
      </c>
      <c r="G442" s="11" t="s">
        <v>1019</v>
      </c>
      <c r="H442" s="18">
        <v>1.07</v>
      </c>
      <c r="I442" s="5" t="s">
        <v>52</v>
      </c>
      <c r="J442" s="19">
        <v>1</v>
      </c>
      <c r="K442" s="5" t="s">
        <v>49</v>
      </c>
      <c r="L442" s="5" t="s">
        <v>53</v>
      </c>
      <c r="M442" s="23" t="s">
        <v>1004</v>
      </c>
      <c r="N442" s="25"/>
      <c r="O442" s="25"/>
      <c r="P442" s="25"/>
      <c r="Q442" s="17" t="s">
        <v>43</v>
      </c>
    </row>
    <row r="443" spans="2:17">
      <c r="B443" s="11" t="s">
        <v>803</v>
      </c>
      <c r="C443" s="5" t="str">
        <f>IF(E443="","",IF(G443&lt;&gt;"",SUBSTITUTE(SUBSTITUTE(G443," ",""),"-",""),IF(F443&lt;&gt;"",SUBSTITUTE(SUBSTITUTE(F443," ",""),"-",""),"")))</f>
        <v>RGSLCr16</v>
      </c>
      <c r="D443" s="6" t="s">
        <v>36</v>
      </c>
      <c r="E443" s="11" t="s">
        <v>47</v>
      </c>
      <c r="F443" s="11" t="s">
        <v>1003</v>
      </c>
      <c r="G443" s="11" t="s">
        <v>1020</v>
      </c>
      <c r="H443" s="18">
        <v>1.07</v>
      </c>
      <c r="I443" s="5" t="s">
        <v>52</v>
      </c>
      <c r="J443" s="19">
        <v>1</v>
      </c>
      <c r="K443" s="5" t="s">
        <v>49</v>
      </c>
      <c r="L443" s="5" t="s">
        <v>53</v>
      </c>
      <c r="M443" s="23" t="s">
        <v>1004</v>
      </c>
      <c r="N443" s="25"/>
      <c r="O443" s="25"/>
      <c r="P443" s="25"/>
      <c r="Q443" s="17" t="s">
        <v>43</v>
      </c>
    </row>
    <row r="444" spans="2:17">
      <c r="B444" s="11" t="s">
        <v>803</v>
      </c>
      <c r="C444" s="5" t="str">
        <f>IF(E444="","",IF(G444&lt;&gt;"",SUBSTITUTE(SUBSTITUTE(G444," ",""),"-",""),IF(F444&lt;&gt;"",SUBSTITUTE(SUBSTITUTE(F444," ",""),"-",""),"")))</f>
        <v>RGSLCr17</v>
      </c>
      <c r="D444" s="6" t="s">
        <v>36</v>
      </c>
      <c r="E444" s="11" t="s">
        <v>47</v>
      </c>
      <c r="F444" s="11" t="s">
        <v>1003</v>
      </c>
      <c r="G444" s="11" t="s">
        <v>1021</v>
      </c>
      <c r="H444" s="18">
        <v>1.07</v>
      </c>
      <c r="I444" s="5" t="s">
        <v>52</v>
      </c>
      <c r="J444" s="19">
        <v>1</v>
      </c>
      <c r="K444" s="5" t="s">
        <v>49</v>
      </c>
      <c r="L444" s="5" t="s">
        <v>53</v>
      </c>
      <c r="M444" s="23" t="s">
        <v>1004</v>
      </c>
      <c r="N444" s="25"/>
      <c r="O444" s="25"/>
      <c r="P444" s="25"/>
      <c r="Q444" s="17" t="s">
        <v>43</v>
      </c>
    </row>
    <row r="445" spans="2:17">
      <c r="B445" s="11" t="s">
        <v>803</v>
      </c>
      <c r="C445" s="5" t="str">
        <f>IF(E445="","",IF(G445&lt;&gt;"",SUBSTITUTE(SUBSTITUTE(G445," ",""),"-",""),IF(F445&lt;&gt;"",SUBSTITUTE(SUBSTITUTE(F445," ",""),"-",""),"")))</f>
        <v>RGSLCr18</v>
      </c>
      <c r="D445" s="6" t="s">
        <v>36</v>
      </c>
      <c r="E445" s="11" t="s">
        <v>47</v>
      </c>
      <c r="F445" s="11" t="s">
        <v>1003</v>
      </c>
      <c r="G445" s="11" t="s">
        <v>1022</v>
      </c>
      <c r="H445" s="18">
        <v>1.07</v>
      </c>
      <c r="I445" s="5" t="s">
        <v>52</v>
      </c>
      <c r="J445" s="19">
        <v>1</v>
      </c>
      <c r="K445" s="5" t="s">
        <v>49</v>
      </c>
      <c r="L445" s="5" t="s">
        <v>53</v>
      </c>
      <c r="M445" s="23" t="s">
        <v>1004</v>
      </c>
      <c r="N445" s="25"/>
      <c r="O445" s="25"/>
      <c r="P445" s="25"/>
      <c r="Q445" s="17" t="s">
        <v>43</v>
      </c>
    </row>
    <row r="446" spans="2:17">
      <c r="B446" s="11" t="s">
        <v>803</v>
      </c>
      <c r="C446" s="5" t="str">
        <f>IF(E446="","",IF(G446&lt;&gt;"",SUBSTITUTE(SUBSTITUTE(G446," ",""),"-",""),IF(F446&lt;&gt;"",SUBSTITUTE(SUBSTITUTE(F446," ",""),"-",""),"")))</f>
        <v>RGSLCr19</v>
      </c>
      <c r="D446" s="6" t="s">
        <v>36</v>
      </c>
      <c r="E446" s="11" t="s">
        <v>47</v>
      </c>
      <c r="F446" s="11" t="s">
        <v>1003</v>
      </c>
      <c r="G446" s="11" t="s">
        <v>1023</v>
      </c>
      <c r="H446" s="18">
        <v>1.07</v>
      </c>
      <c r="I446" s="5" t="s">
        <v>52</v>
      </c>
      <c r="J446" s="19">
        <v>1</v>
      </c>
      <c r="K446" s="5" t="s">
        <v>49</v>
      </c>
      <c r="L446" s="5" t="s">
        <v>53</v>
      </c>
      <c r="M446" s="23" t="s">
        <v>1004</v>
      </c>
      <c r="N446" s="25"/>
      <c r="O446" s="25"/>
      <c r="P446" s="25"/>
      <c r="Q446" s="17" t="s">
        <v>43</v>
      </c>
    </row>
    <row r="447" spans="2:17">
      <c r="B447" s="11" t="s">
        <v>803</v>
      </c>
      <c r="C447" s="5" t="str">
        <f>IF(E447="","",IF(G447&lt;&gt;"",SUBSTITUTE(SUBSTITUTE(G447," ",""),"-",""),IF(F447&lt;&gt;"",SUBSTITUTE(SUBSTITUTE(F447," ",""),"-",""),"")))</f>
        <v>RGSLCr20</v>
      </c>
      <c r="D447" s="6" t="s">
        <v>36</v>
      </c>
      <c r="E447" s="11" t="s">
        <v>47</v>
      </c>
      <c r="F447" s="11" t="s">
        <v>1003</v>
      </c>
      <c r="G447" s="11" t="s">
        <v>1024</v>
      </c>
      <c r="H447" s="18">
        <v>1.07</v>
      </c>
      <c r="I447" s="5" t="s">
        <v>52</v>
      </c>
      <c r="J447" s="19">
        <v>1</v>
      </c>
      <c r="K447" s="5" t="s">
        <v>49</v>
      </c>
      <c r="L447" s="5" t="s">
        <v>53</v>
      </c>
      <c r="M447" s="23" t="s">
        <v>1004</v>
      </c>
      <c r="N447" s="25"/>
      <c r="O447" s="25"/>
      <c r="P447" s="25"/>
      <c r="Q447" s="17" t="s">
        <v>43</v>
      </c>
    </row>
    <row r="448" spans="2:17">
      <c r="B448" s="11" t="s">
        <v>803</v>
      </c>
      <c r="C448" s="5" t="str">
        <f>IF(E448="","",IF(G448&lt;&gt;"",SUBSTITUTE(SUBSTITUTE(G448," ",""),"-",""),IF(F448&lt;&gt;"",SUBSTITUTE(SUBSTITUTE(F448," ",""),"-",""),"")))</f>
        <v>RGSLCr21</v>
      </c>
      <c r="D448" s="6" t="s">
        <v>36</v>
      </c>
      <c r="E448" s="11" t="s">
        <v>47</v>
      </c>
      <c r="F448" s="11" t="s">
        <v>1003</v>
      </c>
      <c r="G448" s="11" t="s">
        <v>1025</v>
      </c>
      <c r="H448" s="18">
        <v>1.07</v>
      </c>
      <c r="I448" s="5" t="s">
        <v>52</v>
      </c>
      <c r="J448" s="19">
        <v>1</v>
      </c>
      <c r="K448" s="5" t="s">
        <v>49</v>
      </c>
      <c r="L448" s="5" t="s">
        <v>53</v>
      </c>
      <c r="M448" s="23" t="s">
        <v>1004</v>
      </c>
      <c r="N448" s="25"/>
      <c r="O448" s="25"/>
      <c r="P448" s="25"/>
      <c r="Q448" s="17" t="s">
        <v>43</v>
      </c>
    </row>
    <row r="449" spans="2:17">
      <c r="B449" s="11" t="s">
        <v>803</v>
      </c>
      <c r="C449" s="5" t="str">
        <f>IF(E449="","",IF(G449&lt;&gt;"",SUBSTITUTE(SUBSTITUTE(G449," ",""),"-",""),IF(F449&lt;&gt;"",SUBSTITUTE(SUBSTITUTE(F449," ",""),"-",""),"")))</f>
        <v>RGSLCr22</v>
      </c>
      <c r="D449" s="6" t="s">
        <v>36</v>
      </c>
      <c r="E449" s="11" t="s">
        <v>47</v>
      </c>
      <c r="F449" s="11" t="s">
        <v>1003</v>
      </c>
      <c r="G449" s="11" t="s">
        <v>1026</v>
      </c>
      <c r="H449" s="18">
        <v>1.07</v>
      </c>
      <c r="I449" s="5" t="s">
        <v>52</v>
      </c>
      <c r="J449" s="19">
        <v>1</v>
      </c>
      <c r="K449" s="5" t="s">
        <v>49</v>
      </c>
      <c r="L449" s="5" t="s">
        <v>53</v>
      </c>
      <c r="M449" s="23" t="s">
        <v>1004</v>
      </c>
      <c r="N449" s="25"/>
      <c r="O449" s="25"/>
      <c r="P449" s="25"/>
      <c r="Q449" s="17" t="s">
        <v>43</v>
      </c>
    </row>
    <row r="450" spans="2:17">
      <c r="B450" s="11" t="s">
        <v>803</v>
      </c>
      <c r="C450" s="5" t="str">
        <f>IF(E450="","",IF(G450&lt;&gt;"",SUBSTITUTE(SUBSTITUTE(G450," ",""),"-",""),IF(F450&lt;&gt;"",SUBSTITUTE(SUBSTITUTE(F450," ",""),"-",""),"")))</f>
        <v>RGSLCr23</v>
      </c>
      <c r="D450" s="6" t="s">
        <v>36</v>
      </c>
      <c r="E450" s="11" t="s">
        <v>47</v>
      </c>
      <c r="F450" s="11" t="s">
        <v>1003</v>
      </c>
      <c r="G450" s="11" t="s">
        <v>1027</v>
      </c>
      <c r="H450" s="18">
        <v>1.07</v>
      </c>
      <c r="I450" s="5" t="s">
        <v>52</v>
      </c>
      <c r="J450" s="19">
        <v>1</v>
      </c>
      <c r="K450" s="5" t="s">
        <v>49</v>
      </c>
      <c r="L450" s="5" t="s">
        <v>53</v>
      </c>
      <c r="M450" s="23" t="s">
        <v>1004</v>
      </c>
      <c r="N450" s="25"/>
      <c r="O450" s="25"/>
      <c r="P450" s="25"/>
      <c r="Q450" s="17" t="s">
        <v>43</v>
      </c>
    </row>
    <row r="451" spans="2:17">
      <c r="B451" s="11" t="s">
        <v>803</v>
      </c>
      <c r="C451" s="5" t="str">
        <f>IF(E451="","",IF(G451&lt;&gt;"",SUBSTITUTE(SUBSTITUTE(G451," ",""),"-",""),IF(F451&lt;&gt;"",SUBSTITUTE(SUBSTITUTE(F451," ",""),"-",""),"")))</f>
        <v>RGSLCr24</v>
      </c>
      <c r="D451" s="6" t="s">
        <v>36</v>
      </c>
      <c r="E451" s="11" t="s">
        <v>47</v>
      </c>
      <c r="F451" s="11" t="s">
        <v>1003</v>
      </c>
      <c r="G451" s="11" t="s">
        <v>1028</v>
      </c>
      <c r="H451" s="18">
        <v>1.07</v>
      </c>
      <c r="I451" s="5" t="s">
        <v>52</v>
      </c>
      <c r="J451" s="19">
        <v>1</v>
      </c>
      <c r="K451" s="5" t="s">
        <v>49</v>
      </c>
      <c r="L451" s="5" t="s">
        <v>53</v>
      </c>
      <c r="M451" s="23" t="s">
        <v>1004</v>
      </c>
      <c r="N451" s="25"/>
      <c r="O451" s="25"/>
      <c r="P451" s="25"/>
      <c r="Q451" s="17" t="s">
        <v>43</v>
      </c>
    </row>
    <row r="452" spans="2:17">
      <c r="B452" s="11" t="s">
        <v>803</v>
      </c>
      <c r="C452" s="5" t="str">
        <f>IF(E452="","",IF(G452&lt;&gt;"",SUBSTITUTE(SUBSTITUTE(G452," ",""),"-",""),IF(F452&lt;&gt;"",SUBSTITUTE(SUBSTITUTE(F452," ",""),"-",""),"")))</f>
        <v>RGSLCr25</v>
      </c>
      <c r="D452" s="6" t="s">
        <v>36</v>
      </c>
      <c r="E452" s="11" t="s">
        <v>47</v>
      </c>
      <c r="F452" s="11" t="s">
        <v>1003</v>
      </c>
      <c r="G452" s="11" t="s">
        <v>1029</v>
      </c>
      <c r="H452" s="18">
        <v>1.07</v>
      </c>
      <c r="I452" s="5" t="s">
        <v>52</v>
      </c>
      <c r="J452" s="19">
        <v>1</v>
      </c>
      <c r="K452" s="5" t="s">
        <v>49</v>
      </c>
      <c r="L452" s="5" t="s">
        <v>53</v>
      </c>
      <c r="M452" s="23" t="s">
        <v>1004</v>
      </c>
      <c r="N452" s="25"/>
      <c r="O452" s="25"/>
      <c r="P452" s="25"/>
      <c r="Q452" s="17" t="s">
        <v>43</v>
      </c>
    </row>
    <row r="453" spans="2:17">
      <c r="B453" s="11" t="s">
        <v>803</v>
      </c>
      <c r="C453" s="5" t="str">
        <f>IF(E453="","",IF(G453&lt;&gt;"",SUBSTITUTE(SUBSTITUTE(G453," ",""),"-",""),IF(F453&lt;&gt;"",SUBSTITUTE(SUBSTITUTE(F453," ",""),"-",""),"")))</f>
        <v>RGSLCr26</v>
      </c>
      <c r="D453" s="6" t="s">
        <v>36</v>
      </c>
      <c r="E453" s="11" t="s">
        <v>47</v>
      </c>
      <c r="F453" s="11" t="s">
        <v>1003</v>
      </c>
      <c r="G453" s="11" t="s">
        <v>1030</v>
      </c>
      <c r="H453" s="18">
        <v>1.07</v>
      </c>
      <c r="I453" s="5" t="s">
        <v>52</v>
      </c>
      <c r="J453" s="19">
        <v>1</v>
      </c>
      <c r="K453" s="5" t="s">
        <v>49</v>
      </c>
      <c r="L453" s="5" t="s">
        <v>53</v>
      </c>
      <c r="M453" s="23" t="s">
        <v>1004</v>
      </c>
      <c r="N453" s="25"/>
      <c r="O453" s="25"/>
      <c r="P453" s="25"/>
      <c r="Q453" s="17" t="s">
        <v>43</v>
      </c>
    </row>
    <row r="454" spans="2:17">
      <c r="B454" s="11" t="s">
        <v>803</v>
      </c>
      <c r="C454" s="5" t="str">
        <f>IF(E454="","",IF(G454&lt;&gt;"",SUBSTITUTE(SUBSTITUTE(G454," ",""),"-",""),IF(F454&lt;&gt;"",SUBSTITUTE(SUBSTITUTE(F454," ",""),"-",""),"")))</f>
        <v>RGSLCr27</v>
      </c>
      <c r="D454" s="6" t="s">
        <v>36</v>
      </c>
      <c r="E454" s="11" t="s">
        <v>47</v>
      </c>
      <c r="F454" s="11" t="s">
        <v>1003</v>
      </c>
      <c r="G454" s="11" t="s">
        <v>1031</v>
      </c>
      <c r="H454" s="18">
        <v>1.07</v>
      </c>
      <c r="I454" s="5" t="s">
        <v>52</v>
      </c>
      <c r="J454" s="19">
        <v>1</v>
      </c>
      <c r="K454" s="5" t="s">
        <v>49</v>
      </c>
      <c r="L454" s="5" t="s">
        <v>53</v>
      </c>
      <c r="M454" s="23" t="s">
        <v>1004</v>
      </c>
      <c r="N454" s="25"/>
      <c r="O454" s="25"/>
      <c r="P454" s="25"/>
      <c r="Q454" s="17" t="s">
        <v>43</v>
      </c>
    </row>
    <row r="455" spans="2:17">
      <c r="B455" s="11" t="s">
        <v>803</v>
      </c>
      <c r="C455" s="5" t="str">
        <f>IF(E455="","",IF(G455&lt;&gt;"",SUBSTITUTE(SUBSTITUTE(G455," ",""),"-",""),IF(F455&lt;&gt;"",SUBSTITUTE(SUBSTITUTE(F455," ",""),"-",""),"")))</f>
        <v>RGSLCr28</v>
      </c>
      <c r="D455" s="6" t="s">
        <v>36</v>
      </c>
      <c r="E455" s="11" t="s">
        <v>47</v>
      </c>
      <c r="F455" s="11" t="s">
        <v>1003</v>
      </c>
      <c r="G455" s="11" t="s">
        <v>1032</v>
      </c>
      <c r="H455" s="18">
        <v>1.07</v>
      </c>
      <c r="I455" s="5" t="s">
        <v>52</v>
      </c>
      <c r="J455" s="19">
        <v>1</v>
      </c>
      <c r="K455" s="5" t="s">
        <v>49</v>
      </c>
      <c r="L455" s="5" t="s">
        <v>53</v>
      </c>
      <c r="M455" s="23" t="s">
        <v>1004</v>
      </c>
      <c r="N455" s="25"/>
      <c r="O455" s="25"/>
      <c r="P455" s="25"/>
      <c r="Q455" s="17" t="s">
        <v>43</v>
      </c>
    </row>
    <row r="456" spans="2:17">
      <c r="B456" s="11" t="s">
        <v>803</v>
      </c>
      <c r="C456" s="5" t="str">
        <f>IF(E456="","",IF(G456&lt;&gt;"",SUBSTITUTE(SUBSTITUTE(G456," ",""),"-",""),IF(F456&lt;&gt;"",SUBSTITUTE(SUBSTITUTE(F456," ",""),"-",""),"")))</f>
        <v>RGSLCr29</v>
      </c>
      <c r="D456" s="6" t="s">
        <v>36</v>
      </c>
      <c r="E456" s="11" t="s">
        <v>47</v>
      </c>
      <c r="F456" s="11" t="s">
        <v>1003</v>
      </c>
      <c r="G456" s="11" t="s">
        <v>1033</v>
      </c>
      <c r="H456" s="18">
        <v>1.07</v>
      </c>
      <c r="I456" s="5" t="s">
        <v>52</v>
      </c>
      <c r="J456" s="19">
        <v>1</v>
      </c>
      <c r="K456" s="5" t="s">
        <v>49</v>
      </c>
      <c r="L456" s="5" t="s">
        <v>53</v>
      </c>
      <c r="M456" s="23" t="s">
        <v>1004</v>
      </c>
      <c r="N456" s="25"/>
      <c r="O456" s="25"/>
      <c r="P456" s="25"/>
      <c r="Q456" s="17" t="s">
        <v>43</v>
      </c>
    </row>
    <row r="457" spans="2:17">
      <c r="B457" s="11" t="s">
        <v>803</v>
      </c>
      <c r="C457" s="5" t="str">
        <f>IF(E457="","",IF(G457&lt;&gt;"",SUBSTITUTE(SUBSTITUTE(G457," ",""),"-",""),IF(F457&lt;&gt;"",SUBSTITUTE(SUBSTITUTE(F457," ",""),"-",""),"")))</f>
        <v>RGSLCr30</v>
      </c>
      <c r="D457" s="6" t="s">
        <v>36</v>
      </c>
      <c r="E457" s="11" t="s">
        <v>47</v>
      </c>
      <c r="F457" s="11" t="s">
        <v>1003</v>
      </c>
      <c r="G457" s="11" t="s">
        <v>1034</v>
      </c>
      <c r="H457" s="18">
        <v>1.07</v>
      </c>
      <c r="I457" s="5" t="s">
        <v>52</v>
      </c>
      <c r="J457" s="19">
        <v>1</v>
      </c>
      <c r="K457" s="5" t="s">
        <v>49</v>
      </c>
      <c r="L457" s="5" t="s">
        <v>53</v>
      </c>
      <c r="M457" s="23" t="s">
        <v>1004</v>
      </c>
      <c r="N457" s="25"/>
      <c r="O457" s="25"/>
      <c r="P457" s="25"/>
      <c r="Q457" s="17" t="s">
        <v>43</v>
      </c>
    </row>
    <row r="458" spans="2:17">
      <c r="B458" s="11" t="s">
        <v>803</v>
      </c>
      <c r="C458" s="5" t="str">
        <f>IF(E458="","",IF(G458&lt;&gt;"",SUBSTITUTE(SUBSTITUTE(G458," ",""),"-",""),IF(F458&lt;&gt;"",SUBSTITUTE(SUBSTITUTE(F458," ",""),"-",""),"")))</f>
        <v>RGSLCr31</v>
      </c>
      <c r="D458" s="6" t="s">
        <v>36</v>
      </c>
      <c r="E458" s="11" t="s">
        <v>47</v>
      </c>
      <c r="F458" s="11" t="s">
        <v>1003</v>
      </c>
      <c r="G458" s="11" t="s">
        <v>1035</v>
      </c>
      <c r="H458" s="18">
        <v>1.07</v>
      </c>
      <c r="I458" s="5" t="s">
        <v>52</v>
      </c>
      <c r="J458" s="19">
        <v>1</v>
      </c>
      <c r="K458" s="5" t="s">
        <v>49</v>
      </c>
      <c r="L458" s="5" t="s">
        <v>53</v>
      </c>
      <c r="M458" s="23" t="s">
        <v>1004</v>
      </c>
      <c r="N458" s="25"/>
      <c r="O458" s="25"/>
      <c r="P458" s="25"/>
      <c r="Q458" s="17" t="s">
        <v>43</v>
      </c>
    </row>
    <row r="459" spans="2:17">
      <c r="B459" s="11" t="s">
        <v>803</v>
      </c>
      <c r="C459" s="5" t="str">
        <f>IF(E459="","",IF(G459&lt;&gt;"",SUBSTITUTE(SUBSTITUTE(G459," ",""),"-",""),IF(F459&lt;&gt;"",SUBSTITUTE(SUBSTITUTE(F459," ",""),"-",""),"")))</f>
        <v>RGSLCr32</v>
      </c>
      <c r="D459" s="6" t="s">
        <v>36</v>
      </c>
      <c r="E459" s="11" t="s">
        <v>47</v>
      </c>
      <c r="F459" s="11" t="s">
        <v>1003</v>
      </c>
      <c r="G459" s="11" t="s">
        <v>1036</v>
      </c>
      <c r="H459" s="18">
        <v>1.07</v>
      </c>
      <c r="I459" s="5" t="s">
        <v>52</v>
      </c>
      <c r="J459" s="19">
        <v>1</v>
      </c>
      <c r="K459" s="5" t="s">
        <v>49</v>
      </c>
      <c r="L459" s="5" t="s">
        <v>53</v>
      </c>
      <c r="M459" s="23" t="s">
        <v>1004</v>
      </c>
      <c r="N459" s="25"/>
      <c r="O459" s="25"/>
      <c r="P459" s="25"/>
      <c r="Q459" s="17" t="s">
        <v>43</v>
      </c>
    </row>
    <row r="460" spans="2:17">
      <c r="B460" s="11" t="s">
        <v>803</v>
      </c>
      <c r="C460" s="5" t="str">
        <f>IF(E460="","",IF(G460&lt;&gt;"",SUBSTITUTE(SUBSTITUTE(G460," ",""),"-",""),IF(F460&lt;&gt;"",SUBSTITUTE(SUBSTITUTE(F460," ",""),"-",""),"")))</f>
        <v>RGSLCr33</v>
      </c>
      <c r="D460" s="6" t="s">
        <v>36</v>
      </c>
      <c r="E460" s="11" t="s">
        <v>47</v>
      </c>
      <c r="F460" s="11" t="s">
        <v>1003</v>
      </c>
      <c r="G460" s="11" t="s">
        <v>1037</v>
      </c>
      <c r="H460" s="18">
        <v>1.07</v>
      </c>
      <c r="I460" s="5" t="s">
        <v>52</v>
      </c>
      <c r="J460" s="19">
        <v>1</v>
      </c>
      <c r="K460" s="5" t="s">
        <v>49</v>
      </c>
      <c r="L460" s="5" t="s">
        <v>53</v>
      </c>
      <c r="M460" s="23" t="s">
        <v>1004</v>
      </c>
      <c r="N460" s="25"/>
      <c r="O460" s="25"/>
      <c r="P460" s="25"/>
      <c r="Q460" s="17" t="s">
        <v>43</v>
      </c>
    </row>
    <row r="461" spans="2:17">
      <c r="B461" s="11" t="s">
        <v>803</v>
      </c>
      <c r="C461" s="5" t="str">
        <f>IF(E461="","",IF(G461&lt;&gt;"",SUBSTITUTE(SUBSTITUTE(G461," ",""),"-",""),IF(F461&lt;&gt;"",SUBSTITUTE(SUBSTITUTE(F461," ",""),"-",""),"")))</f>
        <v>RGSLCr34</v>
      </c>
      <c r="D461" s="6" t="s">
        <v>36</v>
      </c>
      <c r="E461" s="11" t="s">
        <v>47</v>
      </c>
      <c r="F461" s="11" t="s">
        <v>1003</v>
      </c>
      <c r="G461" s="11" t="s">
        <v>1038</v>
      </c>
      <c r="H461" s="18">
        <v>1.07</v>
      </c>
      <c r="I461" s="5" t="s">
        <v>52</v>
      </c>
      <c r="J461" s="19">
        <v>1</v>
      </c>
      <c r="K461" s="5" t="s">
        <v>49</v>
      </c>
      <c r="L461" s="5" t="s">
        <v>53</v>
      </c>
      <c r="M461" s="23" t="s">
        <v>1004</v>
      </c>
      <c r="N461" s="25"/>
      <c r="O461" s="25"/>
      <c r="P461" s="25"/>
      <c r="Q461" s="17" t="s">
        <v>43</v>
      </c>
    </row>
    <row r="462" spans="2:17">
      <c r="B462" s="11" t="s">
        <v>803</v>
      </c>
      <c r="C462" s="5" t="str">
        <f>IF(E462="","",IF(G462&lt;&gt;"",SUBSTITUTE(SUBSTITUTE(G462," ",""),"-",""),IF(F462&lt;&gt;"",SUBSTITUTE(SUBSTITUTE(F462," ",""),"-",""),"")))</f>
        <v>RGSLCr35</v>
      </c>
      <c r="D462" s="6" t="s">
        <v>36</v>
      </c>
      <c r="E462" s="11" t="s">
        <v>47</v>
      </c>
      <c r="F462" s="11" t="s">
        <v>1003</v>
      </c>
      <c r="G462" s="11" t="s">
        <v>1039</v>
      </c>
      <c r="H462" s="18">
        <v>1.07</v>
      </c>
      <c r="I462" s="5" t="s">
        <v>52</v>
      </c>
      <c r="J462" s="19">
        <v>1</v>
      </c>
      <c r="K462" s="5" t="s">
        <v>49</v>
      </c>
      <c r="L462" s="5" t="s">
        <v>53</v>
      </c>
      <c r="M462" s="23" t="s">
        <v>1004</v>
      </c>
      <c r="N462" s="25"/>
      <c r="O462" s="25"/>
      <c r="P462" s="25"/>
      <c r="Q462" s="17" t="s">
        <v>43</v>
      </c>
    </row>
    <row r="463" spans="2:17">
      <c r="B463" s="11" t="s">
        <v>803</v>
      </c>
      <c r="C463" s="5" t="str">
        <f>IF(E463="","",IF(G463&lt;&gt;"",SUBSTITUTE(SUBSTITUTE(G463," ",""),"-",""),IF(F463&lt;&gt;"",SUBSTITUTE(SUBSTITUTE(F463," ",""),"-",""),"")))</f>
        <v>RGSLCr36</v>
      </c>
      <c r="D463" s="6" t="s">
        <v>36</v>
      </c>
      <c r="E463" s="11" t="s">
        <v>47</v>
      </c>
      <c r="F463" s="11" t="s">
        <v>1003</v>
      </c>
      <c r="G463" s="11" t="s">
        <v>1040</v>
      </c>
      <c r="H463" s="18">
        <v>1.07</v>
      </c>
      <c r="I463" s="5" t="s">
        <v>52</v>
      </c>
      <c r="J463" s="19">
        <v>1</v>
      </c>
      <c r="K463" s="5" t="s">
        <v>49</v>
      </c>
      <c r="L463" s="5" t="s">
        <v>53</v>
      </c>
      <c r="M463" s="23" t="s">
        <v>1004</v>
      </c>
      <c r="N463" s="25"/>
      <c r="O463" s="25"/>
      <c r="P463" s="25"/>
      <c r="Q463" s="17" t="s">
        <v>43</v>
      </c>
    </row>
    <row r="464" spans="2:17">
      <c r="B464" s="11" t="s">
        <v>803</v>
      </c>
      <c r="C464" s="5" t="str">
        <f>IF(E464="","",IF(G464&lt;&gt;"",SUBSTITUTE(SUBSTITUTE(G464," ",""),"-",""),IF(F464&lt;&gt;"",SUBSTITUTE(SUBSTITUTE(F464," ",""),"-",""),"")))</f>
        <v>RGSLCr37</v>
      </c>
      <c r="D464" s="6" t="s">
        <v>36</v>
      </c>
      <c r="E464" s="11" t="s">
        <v>47</v>
      </c>
      <c r="F464" s="11" t="s">
        <v>1003</v>
      </c>
      <c r="G464" s="11" t="s">
        <v>1041</v>
      </c>
      <c r="H464" s="18">
        <v>1.07</v>
      </c>
      <c r="I464" s="5" t="s">
        <v>52</v>
      </c>
      <c r="J464" s="19">
        <v>1</v>
      </c>
      <c r="K464" s="5" t="s">
        <v>49</v>
      </c>
      <c r="L464" s="5" t="s">
        <v>53</v>
      </c>
      <c r="M464" s="23" t="s">
        <v>1004</v>
      </c>
      <c r="N464" s="25"/>
      <c r="O464" s="25"/>
      <c r="P464" s="25"/>
      <c r="Q464" s="17" t="s">
        <v>43</v>
      </c>
    </row>
    <row r="465" spans="2:17">
      <c r="B465" s="11" t="s">
        <v>803</v>
      </c>
      <c r="C465" s="5" t="str">
        <f>IF(E465="","",IF(G465&lt;&gt;"",SUBSTITUTE(SUBSTITUTE(G465," ",""),"-",""),IF(F465&lt;&gt;"",SUBSTITUTE(SUBSTITUTE(F465," ",""),"-",""),"")))</f>
        <v>RGSLCr38</v>
      </c>
      <c r="D465" s="6" t="s">
        <v>36</v>
      </c>
      <c r="E465" s="11" t="s">
        <v>47</v>
      </c>
      <c r="F465" s="11" t="s">
        <v>1003</v>
      </c>
      <c r="G465" s="11" t="s">
        <v>1042</v>
      </c>
      <c r="H465" s="18">
        <v>1.07</v>
      </c>
      <c r="I465" s="5" t="s">
        <v>52</v>
      </c>
      <c r="J465" s="19">
        <v>1</v>
      </c>
      <c r="K465" s="5" t="s">
        <v>49</v>
      </c>
      <c r="L465" s="5" t="s">
        <v>53</v>
      </c>
      <c r="M465" s="23" t="s">
        <v>1004</v>
      </c>
      <c r="N465" s="25"/>
      <c r="O465" s="25"/>
      <c r="P465" s="25"/>
      <c r="Q465" s="17" t="s">
        <v>43</v>
      </c>
    </row>
    <row r="466" spans="2:17">
      <c r="B466" s="11" t="s">
        <v>803</v>
      </c>
      <c r="C466" s="5" t="str">
        <f>IF(E466="","",IF(G466&lt;&gt;"",SUBSTITUTE(SUBSTITUTE(G466," ",""),"-",""),IF(F466&lt;&gt;"",SUBSTITUTE(SUBSTITUTE(F466," ",""),"-",""),"")))</f>
        <v>RGSLCr39</v>
      </c>
      <c r="D466" s="6" t="s">
        <v>36</v>
      </c>
      <c r="E466" s="11" t="s">
        <v>47</v>
      </c>
      <c r="F466" s="11" t="s">
        <v>1003</v>
      </c>
      <c r="G466" s="11" t="s">
        <v>1043</v>
      </c>
      <c r="H466" s="18">
        <v>1.07</v>
      </c>
      <c r="I466" s="5" t="s">
        <v>52</v>
      </c>
      <c r="J466" s="19">
        <v>1</v>
      </c>
      <c r="K466" s="5" t="s">
        <v>49</v>
      </c>
      <c r="L466" s="5" t="s">
        <v>53</v>
      </c>
      <c r="M466" s="23" t="s">
        <v>1004</v>
      </c>
      <c r="N466" s="25"/>
      <c r="O466" s="25"/>
      <c r="P466" s="25"/>
      <c r="Q466" s="17" t="s">
        <v>43</v>
      </c>
    </row>
    <row r="467" spans="2:17">
      <c r="B467" s="11" t="s">
        <v>803</v>
      </c>
      <c r="C467" s="5" t="str">
        <f>IF(E467="","",IF(G467&lt;&gt;"",SUBSTITUTE(SUBSTITUTE(G467," ",""),"-",""),IF(F467&lt;&gt;"",SUBSTITUTE(SUBSTITUTE(F467," ",""),"-",""),"")))</f>
        <v>RGSLCr40</v>
      </c>
      <c r="D467" s="6" t="s">
        <v>36</v>
      </c>
      <c r="E467" s="11" t="s">
        <v>47</v>
      </c>
      <c r="F467" s="11" t="s">
        <v>1003</v>
      </c>
      <c r="G467" s="11" t="s">
        <v>1044</v>
      </c>
      <c r="H467" s="18">
        <v>1.07</v>
      </c>
      <c r="I467" s="5" t="s">
        <v>52</v>
      </c>
      <c r="J467" s="19">
        <v>1</v>
      </c>
      <c r="K467" s="5" t="s">
        <v>49</v>
      </c>
      <c r="L467" s="5" t="s">
        <v>53</v>
      </c>
      <c r="M467" s="23" t="s">
        <v>1004</v>
      </c>
      <c r="N467" s="25"/>
      <c r="O467" s="25"/>
      <c r="P467" s="25"/>
      <c r="Q467" s="17" t="s">
        <v>43</v>
      </c>
    </row>
    <row r="468" spans="2:17">
      <c r="B468" s="11" t="s">
        <v>803</v>
      </c>
      <c r="C468" s="5" t="str">
        <f>IF(E468="","",IF(G468&lt;&gt;"",SUBSTITUTE(SUBSTITUTE(G468," ",""),"-",""),IF(F468&lt;&gt;"",SUBSTITUTE(SUBSTITUTE(F468," ",""),"-",""),"")))</f>
        <v>RGSLCr41</v>
      </c>
      <c r="D468" s="6" t="s">
        <v>36</v>
      </c>
      <c r="E468" s="11" t="s">
        <v>47</v>
      </c>
      <c r="F468" s="11" t="s">
        <v>1003</v>
      </c>
      <c r="G468" s="11" t="s">
        <v>1045</v>
      </c>
      <c r="H468" s="18">
        <v>1.07</v>
      </c>
      <c r="I468" s="5" t="s">
        <v>52</v>
      </c>
      <c r="J468" s="19">
        <v>1</v>
      </c>
      <c r="K468" s="5" t="s">
        <v>49</v>
      </c>
      <c r="L468" s="5" t="s">
        <v>53</v>
      </c>
      <c r="M468" s="23" t="s">
        <v>1004</v>
      </c>
      <c r="N468" s="25"/>
      <c r="O468" s="25"/>
      <c r="P468" s="25"/>
      <c r="Q468" s="17" t="s">
        <v>43</v>
      </c>
    </row>
    <row r="469" spans="2:17">
      <c r="B469" s="11" t="s">
        <v>803</v>
      </c>
      <c r="C469" s="5" t="str">
        <f>IF(E469="","",IF(G469&lt;&gt;"",SUBSTITUTE(SUBSTITUTE(G469," ",""),"-",""),IF(F469&lt;&gt;"",SUBSTITUTE(SUBSTITUTE(F469," ",""),"-",""),"")))</f>
        <v>RGSLCr42</v>
      </c>
      <c r="D469" s="6" t="s">
        <v>36</v>
      </c>
      <c r="E469" s="11" t="s">
        <v>47</v>
      </c>
      <c r="F469" s="11" t="s">
        <v>1003</v>
      </c>
      <c r="G469" s="11" t="s">
        <v>1046</v>
      </c>
      <c r="H469" s="18">
        <v>1.07</v>
      </c>
      <c r="I469" s="5" t="s">
        <v>52</v>
      </c>
      <c r="J469" s="19">
        <v>1</v>
      </c>
      <c r="K469" s="5" t="s">
        <v>49</v>
      </c>
      <c r="L469" s="5" t="s">
        <v>53</v>
      </c>
      <c r="M469" s="23" t="s">
        <v>1004</v>
      </c>
      <c r="N469" s="25"/>
      <c r="O469" s="25"/>
      <c r="P469" s="25"/>
      <c r="Q469" s="17" t="s">
        <v>43</v>
      </c>
    </row>
    <row r="470" spans="2:17">
      <c r="B470" s="11" t="s">
        <v>803</v>
      </c>
      <c r="C470" s="5" t="str">
        <f>IF(E470="","",IF(G470&lt;&gt;"",SUBSTITUTE(SUBSTITUTE(G470," ",""),"-",""),IF(F470&lt;&gt;"",SUBSTITUTE(SUBSTITUTE(F470," ",""),"-",""),"")))</f>
        <v>RGSLCr43</v>
      </c>
      <c r="D470" s="6" t="s">
        <v>36</v>
      </c>
      <c r="E470" s="11" t="s">
        <v>47</v>
      </c>
      <c r="F470" s="11" t="s">
        <v>1003</v>
      </c>
      <c r="G470" s="11" t="s">
        <v>1047</v>
      </c>
      <c r="H470" s="18">
        <v>1.07</v>
      </c>
      <c r="I470" s="5" t="s">
        <v>52</v>
      </c>
      <c r="J470" s="19">
        <v>1</v>
      </c>
      <c r="K470" s="5" t="s">
        <v>49</v>
      </c>
      <c r="L470" s="5" t="s">
        <v>53</v>
      </c>
      <c r="M470" s="23" t="s">
        <v>1004</v>
      </c>
      <c r="N470" s="25"/>
      <c r="O470" s="25"/>
      <c r="P470" s="25"/>
      <c r="Q470" s="17" t="s">
        <v>43</v>
      </c>
    </row>
    <row r="471" spans="2:17">
      <c r="B471" s="11" t="s">
        <v>803</v>
      </c>
      <c r="C471" s="5" t="str">
        <f>IF(E471="","",IF(G471&lt;&gt;"",SUBSTITUTE(SUBSTITUTE(G471," ",""),"-",""),IF(F471&lt;&gt;"",SUBSTITUTE(SUBSTITUTE(F471," ",""),"-",""),"")))</f>
        <v>RGSLCr44</v>
      </c>
      <c r="D471" s="6" t="s">
        <v>36</v>
      </c>
      <c r="E471" s="11" t="s">
        <v>47</v>
      </c>
      <c r="F471" s="11" t="s">
        <v>1003</v>
      </c>
      <c r="G471" s="11" t="s">
        <v>1048</v>
      </c>
      <c r="H471" s="18">
        <v>1.07</v>
      </c>
      <c r="I471" s="5" t="s">
        <v>52</v>
      </c>
      <c r="J471" s="19">
        <v>1</v>
      </c>
      <c r="K471" s="5" t="s">
        <v>49</v>
      </c>
      <c r="L471" s="5" t="s">
        <v>53</v>
      </c>
      <c r="M471" s="23" t="s">
        <v>1004</v>
      </c>
      <c r="N471" s="25"/>
      <c r="O471" s="25"/>
      <c r="P471" s="25"/>
      <c r="Q471" s="17" t="s">
        <v>43</v>
      </c>
    </row>
    <row r="472" spans="2:17">
      <c r="B472" s="11" t="s">
        <v>803</v>
      </c>
      <c r="C472" s="5" t="str">
        <f>IF(E472="","",IF(G472&lt;&gt;"",SUBSTITUTE(SUBSTITUTE(G472," ",""),"-",""),IF(F472&lt;&gt;"",SUBSTITUTE(SUBSTITUTE(F472," ",""),"-",""),"")))</f>
        <v>RGSLCr45</v>
      </c>
      <c r="D472" s="6" t="s">
        <v>36</v>
      </c>
      <c r="E472" s="11" t="s">
        <v>47</v>
      </c>
      <c r="F472" s="11" t="s">
        <v>1003</v>
      </c>
      <c r="G472" s="11" t="s">
        <v>1049</v>
      </c>
      <c r="H472" s="18">
        <v>1.07</v>
      </c>
      <c r="I472" s="5" t="s">
        <v>52</v>
      </c>
      <c r="J472" s="19">
        <v>1</v>
      </c>
      <c r="K472" s="5" t="s">
        <v>49</v>
      </c>
      <c r="L472" s="5" t="s">
        <v>53</v>
      </c>
      <c r="M472" s="23" t="s">
        <v>1004</v>
      </c>
      <c r="N472" s="25"/>
      <c r="O472" s="25"/>
      <c r="P472" s="25"/>
      <c r="Q472" s="17" t="s">
        <v>43</v>
      </c>
    </row>
    <row r="473" spans="2:17">
      <c r="B473" s="11" t="s">
        <v>803</v>
      </c>
      <c r="C473" s="5" t="str">
        <f>IF(E473="","",IF(G473&lt;&gt;"",SUBSTITUTE(SUBSTITUTE(G473," ",""),"-",""),IF(F473&lt;&gt;"",SUBSTITUTE(SUBSTITUTE(F473," ",""),"-",""),"")))</f>
        <v>RGSLCr46</v>
      </c>
      <c r="D473" s="6" t="s">
        <v>36</v>
      </c>
      <c r="E473" s="11" t="s">
        <v>47</v>
      </c>
      <c r="F473" s="11" t="s">
        <v>1003</v>
      </c>
      <c r="G473" s="11" t="s">
        <v>1050</v>
      </c>
      <c r="H473" s="18">
        <v>1.07</v>
      </c>
      <c r="I473" s="5" t="s">
        <v>52</v>
      </c>
      <c r="J473" s="19">
        <v>1</v>
      </c>
      <c r="K473" s="5" t="s">
        <v>49</v>
      </c>
      <c r="L473" s="5" t="s">
        <v>53</v>
      </c>
      <c r="M473" s="23" t="s">
        <v>1004</v>
      </c>
      <c r="N473" s="25"/>
      <c r="O473" s="25"/>
      <c r="P473" s="25"/>
      <c r="Q473" s="17" t="s">
        <v>43</v>
      </c>
    </row>
    <row r="474" spans="2:17">
      <c r="B474" s="11" t="s">
        <v>803</v>
      </c>
      <c r="C474" s="5" t="str">
        <f>IF(E474="","",IF(G474&lt;&gt;"",SUBSTITUTE(SUBSTITUTE(G474," ",""),"-",""),IF(F474&lt;&gt;"",SUBSTITUTE(SUBSTITUTE(F474," ",""),"-",""),"")))</f>
        <v>RGSLCr47</v>
      </c>
      <c r="D474" s="6" t="s">
        <v>36</v>
      </c>
      <c r="E474" s="11" t="s">
        <v>47</v>
      </c>
      <c r="F474" s="11" t="s">
        <v>1003</v>
      </c>
      <c r="G474" s="11" t="s">
        <v>1051</v>
      </c>
      <c r="H474" s="18">
        <v>1.07</v>
      </c>
      <c r="I474" s="5" t="s">
        <v>52</v>
      </c>
      <c r="J474" s="19">
        <v>1</v>
      </c>
      <c r="K474" s="5" t="s">
        <v>49</v>
      </c>
      <c r="L474" s="5" t="s">
        <v>53</v>
      </c>
      <c r="M474" s="23" t="s">
        <v>1004</v>
      </c>
      <c r="N474" s="25"/>
      <c r="O474" s="25"/>
      <c r="P474" s="25"/>
      <c r="Q474" s="17" t="s">
        <v>43</v>
      </c>
    </row>
    <row r="475" spans="2:17">
      <c r="B475" s="11" t="s">
        <v>803</v>
      </c>
      <c r="C475" s="5" t="str">
        <f>IF(E475="","",IF(G475&lt;&gt;"",SUBSTITUTE(SUBSTITUTE(G475," ",""),"-",""),IF(F475&lt;&gt;"",SUBSTITUTE(SUBSTITUTE(F475," ",""),"-",""),"")))</f>
        <v>RGSLCr48</v>
      </c>
      <c r="D475" s="6" t="s">
        <v>36</v>
      </c>
      <c r="E475" s="11" t="s">
        <v>47</v>
      </c>
      <c r="F475" s="11" t="s">
        <v>1003</v>
      </c>
      <c r="G475" s="11" t="s">
        <v>1052</v>
      </c>
      <c r="H475" s="18">
        <v>1.07</v>
      </c>
      <c r="I475" s="5" t="s">
        <v>52</v>
      </c>
      <c r="J475" s="19">
        <v>1</v>
      </c>
      <c r="K475" s="5" t="s">
        <v>49</v>
      </c>
      <c r="L475" s="5" t="s">
        <v>53</v>
      </c>
      <c r="M475" s="23" t="s">
        <v>1004</v>
      </c>
      <c r="N475" s="25"/>
      <c r="O475" s="25"/>
      <c r="P475" s="25"/>
      <c r="Q475" s="17" t="s">
        <v>43</v>
      </c>
    </row>
    <row r="476" spans="2:17">
      <c r="B476" s="11" t="s">
        <v>803</v>
      </c>
      <c r="C476" s="5" t="str">
        <f>IF(E476="","",IF(G476&lt;&gt;"",SUBSTITUTE(SUBSTITUTE(G476," ",""),"-",""),IF(F476&lt;&gt;"",SUBSTITUTE(SUBSTITUTE(F476," ",""),"-",""),"")))</f>
        <v>RGSLCr49</v>
      </c>
      <c r="D476" s="6" t="s">
        <v>36</v>
      </c>
      <c r="E476" s="11" t="s">
        <v>47</v>
      </c>
      <c r="F476" s="11" t="s">
        <v>1003</v>
      </c>
      <c r="G476" s="11" t="s">
        <v>1053</v>
      </c>
      <c r="H476" s="18">
        <v>1.07</v>
      </c>
      <c r="I476" s="5" t="s">
        <v>52</v>
      </c>
      <c r="J476" s="19">
        <v>1</v>
      </c>
      <c r="K476" s="5" t="s">
        <v>49</v>
      </c>
      <c r="L476" s="5" t="s">
        <v>53</v>
      </c>
      <c r="M476" s="23" t="s">
        <v>1004</v>
      </c>
      <c r="N476" s="25"/>
      <c r="O476" s="25"/>
      <c r="P476" s="25"/>
      <c r="Q476" s="17" t="s">
        <v>43</v>
      </c>
    </row>
    <row r="477" spans="2:17">
      <c r="B477" s="11" t="s">
        <v>803</v>
      </c>
      <c r="C477" s="5" t="str">
        <f>IF(E477="","",IF(G477&lt;&gt;"",SUBSTITUTE(SUBSTITUTE(G477," ",""),"-",""),IF(F477&lt;&gt;"",SUBSTITUTE(SUBSTITUTE(F477," ",""),"-",""),"")))</f>
        <v>RGSLCr50</v>
      </c>
      <c r="D477" s="6" t="s">
        <v>36</v>
      </c>
      <c r="E477" s="11" t="s">
        <v>47</v>
      </c>
      <c r="F477" s="11" t="s">
        <v>1003</v>
      </c>
      <c r="G477" s="11" t="s">
        <v>1054</v>
      </c>
      <c r="H477" s="18">
        <v>1.07</v>
      </c>
      <c r="I477" s="5" t="s">
        <v>52</v>
      </c>
      <c r="J477" s="19">
        <v>1</v>
      </c>
      <c r="K477" s="5" t="s">
        <v>49</v>
      </c>
      <c r="L477" s="5" t="s">
        <v>53</v>
      </c>
      <c r="M477" s="23" t="s">
        <v>1004</v>
      </c>
      <c r="N477" s="25"/>
      <c r="O477" s="25"/>
      <c r="P477" s="25"/>
      <c r="Q477" s="17" t="s">
        <v>43</v>
      </c>
    </row>
    <row r="478" spans="2:17">
      <c r="B478" s="11" t="s">
        <v>803</v>
      </c>
      <c r="C478" s="5" t="str">
        <f>IF(E478="","",IF(G478&lt;&gt;"",SUBSTITUTE(SUBSTITUTE(G478," ",""),"-",""),IF(F478&lt;&gt;"",SUBSTITUTE(SUBSTITUTE(F478," ",""),"-",""),"")))</f>
        <v>RGSLCr51</v>
      </c>
      <c r="D478" s="6" t="s">
        <v>36</v>
      </c>
      <c r="E478" s="11" t="s">
        <v>47</v>
      </c>
      <c r="F478" s="11" t="s">
        <v>1003</v>
      </c>
      <c r="G478" s="11" t="s">
        <v>1055</v>
      </c>
      <c r="H478" s="18">
        <v>1.07</v>
      </c>
      <c r="I478" s="5" t="s">
        <v>52</v>
      </c>
      <c r="J478" s="19">
        <v>1</v>
      </c>
      <c r="K478" s="5" t="s">
        <v>49</v>
      </c>
      <c r="L478" s="5" t="s">
        <v>53</v>
      </c>
      <c r="M478" s="23" t="s">
        <v>1004</v>
      </c>
      <c r="N478" s="25"/>
      <c r="O478" s="25"/>
      <c r="P478" s="25"/>
      <c r="Q478" s="17" t="s">
        <v>43</v>
      </c>
    </row>
    <row r="479" spans="2:17">
      <c r="B479" s="11" t="s">
        <v>803</v>
      </c>
      <c r="C479" s="5" t="str">
        <f>IF(E479="","",IF(G479&lt;&gt;"",SUBSTITUTE(SUBSTITUTE(G479," ",""),"-",""),IF(F479&lt;&gt;"",SUBSTITUTE(SUBSTITUTE(F479," ",""),"-",""),"")))</f>
        <v>RGSLCr52</v>
      </c>
      <c r="D479" s="6" t="s">
        <v>36</v>
      </c>
      <c r="E479" s="11" t="s">
        <v>47</v>
      </c>
      <c r="F479" s="11" t="s">
        <v>1003</v>
      </c>
      <c r="G479" s="11" t="s">
        <v>1056</v>
      </c>
      <c r="H479" s="18">
        <v>1.07</v>
      </c>
      <c r="I479" s="5" t="s">
        <v>52</v>
      </c>
      <c r="J479" s="19">
        <v>1</v>
      </c>
      <c r="K479" s="5" t="s">
        <v>49</v>
      </c>
      <c r="L479" s="5" t="s">
        <v>53</v>
      </c>
      <c r="M479" s="23" t="s">
        <v>1004</v>
      </c>
      <c r="N479" s="25"/>
      <c r="O479" s="25"/>
      <c r="P479" s="25"/>
      <c r="Q479" s="17" t="s">
        <v>43</v>
      </c>
    </row>
    <row r="480" spans="2:17">
      <c r="B480" s="11" t="s">
        <v>803</v>
      </c>
      <c r="C480" s="5" t="str">
        <f>IF(E480="","",IF(G480&lt;&gt;"",SUBSTITUTE(SUBSTITUTE(G480," ",""),"-",""),IF(F480&lt;&gt;"",SUBSTITUTE(SUBSTITUTE(F480," ",""),"-",""),"")))</f>
        <v>RGSLCr53</v>
      </c>
      <c r="D480" s="6" t="s">
        <v>36</v>
      </c>
      <c r="E480" s="11" t="s">
        <v>47</v>
      </c>
      <c r="F480" s="11" t="s">
        <v>1003</v>
      </c>
      <c r="G480" s="11" t="s">
        <v>1057</v>
      </c>
      <c r="H480" s="18">
        <v>1.07</v>
      </c>
      <c r="I480" s="5" t="s">
        <v>52</v>
      </c>
      <c r="J480" s="19">
        <v>1</v>
      </c>
      <c r="K480" s="5" t="s">
        <v>49</v>
      </c>
      <c r="L480" s="5" t="s">
        <v>53</v>
      </c>
      <c r="M480" s="23" t="s">
        <v>1004</v>
      </c>
      <c r="N480" s="25"/>
      <c r="O480" s="25"/>
      <c r="P480" s="25"/>
      <c r="Q480" s="17" t="s">
        <v>43</v>
      </c>
    </row>
    <row r="481" spans="2:17">
      <c r="B481" s="11" t="s">
        <v>803</v>
      </c>
      <c r="C481" s="5" t="str">
        <f>IF(E481="","",IF(G481&lt;&gt;"",SUBSTITUTE(SUBSTITUTE(G481," ",""),"-",""),IF(F481&lt;&gt;"",SUBSTITUTE(SUBSTITUTE(F481," ",""),"-",""),"")))</f>
        <v>RGSLCr54</v>
      </c>
      <c r="D481" s="6" t="s">
        <v>36</v>
      </c>
      <c r="E481" s="11" t="s">
        <v>47</v>
      </c>
      <c r="F481" s="11" t="s">
        <v>1003</v>
      </c>
      <c r="G481" s="11" t="s">
        <v>1058</v>
      </c>
      <c r="H481" s="18">
        <v>1.07</v>
      </c>
      <c r="I481" s="5" t="s">
        <v>52</v>
      </c>
      <c r="J481" s="19">
        <v>1</v>
      </c>
      <c r="K481" s="5" t="s">
        <v>49</v>
      </c>
      <c r="L481" s="5" t="s">
        <v>53</v>
      </c>
      <c r="M481" s="23" t="s">
        <v>1004</v>
      </c>
      <c r="N481" s="25"/>
      <c r="O481" s="25"/>
      <c r="P481" s="25"/>
      <c r="Q481" s="17" t="s">
        <v>43</v>
      </c>
    </row>
    <row r="482" spans="2:17">
      <c r="B482" s="11" t="s">
        <v>803</v>
      </c>
      <c r="C482" s="5" t="str">
        <f>IF(E482="","",IF(G482&lt;&gt;"",SUBSTITUTE(SUBSTITUTE(G482," ",""),"-",""),IF(F482&lt;&gt;"",SUBSTITUTE(SUBSTITUTE(F482," ",""),"-",""),"")))</f>
        <v>RGSLCr55</v>
      </c>
      <c r="D482" s="6" t="s">
        <v>36</v>
      </c>
      <c r="E482" s="11" t="s">
        <v>47</v>
      </c>
      <c r="F482" s="11" t="s">
        <v>1003</v>
      </c>
      <c r="G482" s="11" t="s">
        <v>1059</v>
      </c>
      <c r="H482" s="18">
        <v>1.07</v>
      </c>
      <c r="I482" s="5" t="s">
        <v>52</v>
      </c>
      <c r="J482" s="19">
        <v>1</v>
      </c>
      <c r="K482" s="5" t="s">
        <v>49</v>
      </c>
      <c r="L482" s="5" t="s">
        <v>53</v>
      </c>
      <c r="M482" s="23" t="s">
        <v>1004</v>
      </c>
      <c r="N482" s="25"/>
      <c r="O482" s="25"/>
      <c r="P482" s="25"/>
      <c r="Q482" s="17" t="s">
        <v>43</v>
      </c>
    </row>
    <row r="483" spans="2:17">
      <c r="B483" s="11" t="s">
        <v>803</v>
      </c>
      <c r="C483" s="5" t="str">
        <f>IF(E483="","",IF(G483&lt;&gt;"",SUBSTITUTE(SUBSTITUTE(G483," ",""),"-",""),IF(F483&lt;&gt;"",SUBSTITUTE(SUBSTITUTE(F483," ",""),"-",""),"")))</f>
        <v>RGSLCr56</v>
      </c>
      <c r="D483" s="6" t="s">
        <v>36</v>
      </c>
      <c r="E483" s="11" t="s">
        <v>47</v>
      </c>
      <c r="F483" s="11" t="s">
        <v>1003</v>
      </c>
      <c r="G483" s="11" t="s">
        <v>1060</v>
      </c>
      <c r="H483" s="18">
        <v>1.07</v>
      </c>
      <c r="I483" s="5" t="s">
        <v>52</v>
      </c>
      <c r="J483" s="19">
        <v>1</v>
      </c>
      <c r="K483" s="5" t="s">
        <v>49</v>
      </c>
      <c r="L483" s="5" t="s">
        <v>53</v>
      </c>
      <c r="M483" s="23" t="s">
        <v>1004</v>
      </c>
      <c r="N483" s="25"/>
      <c r="O483" s="25"/>
      <c r="P483" s="25"/>
      <c r="Q483" s="17" t="s">
        <v>43</v>
      </c>
    </row>
    <row r="484" spans="2:17">
      <c r="B484" s="11" t="s">
        <v>803</v>
      </c>
      <c r="C484" s="5" t="str">
        <f>IF(E484="","",IF(G484&lt;&gt;"",SUBSTITUTE(SUBSTITUTE(G484," ",""),"-",""),IF(F484&lt;&gt;"",SUBSTITUTE(SUBSTITUTE(F484," ",""),"-",""),"")))</f>
        <v>RGSLCr57</v>
      </c>
      <c r="D484" s="6" t="s">
        <v>36</v>
      </c>
      <c r="E484" s="11" t="s">
        <v>47</v>
      </c>
      <c r="F484" s="11" t="s">
        <v>1003</v>
      </c>
      <c r="G484" s="11" t="s">
        <v>1061</v>
      </c>
      <c r="H484" s="18">
        <v>1.07</v>
      </c>
      <c r="I484" s="5" t="s">
        <v>52</v>
      </c>
      <c r="J484" s="19">
        <v>1</v>
      </c>
      <c r="K484" s="5" t="s">
        <v>49</v>
      </c>
      <c r="L484" s="5" t="s">
        <v>53</v>
      </c>
      <c r="M484" s="23" t="s">
        <v>1004</v>
      </c>
      <c r="N484" s="25"/>
      <c r="O484" s="25"/>
      <c r="P484" s="25"/>
      <c r="Q484" s="17" t="s">
        <v>43</v>
      </c>
    </row>
    <row r="485" spans="2:17">
      <c r="B485" s="11" t="s">
        <v>803</v>
      </c>
      <c r="C485" s="5" t="str">
        <f>IF(E485="","",IF(G485&lt;&gt;"",SUBSTITUTE(SUBSTITUTE(G485," ",""),"-",""),IF(F485&lt;&gt;"",SUBSTITUTE(SUBSTITUTE(F485," ",""),"-",""),"")))</f>
        <v>RGSLCr58</v>
      </c>
      <c r="D485" s="6" t="s">
        <v>36</v>
      </c>
      <c r="E485" s="11" t="s">
        <v>47</v>
      </c>
      <c r="F485" s="11" t="s">
        <v>1003</v>
      </c>
      <c r="G485" s="11" t="s">
        <v>1062</v>
      </c>
      <c r="H485" s="18">
        <v>1.07</v>
      </c>
      <c r="I485" s="5" t="s">
        <v>52</v>
      </c>
      <c r="J485" s="19">
        <v>1</v>
      </c>
      <c r="K485" s="5" t="s">
        <v>49</v>
      </c>
      <c r="L485" s="5" t="s">
        <v>53</v>
      </c>
      <c r="M485" s="23" t="s">
        <v>1004</v>
      </c>
      <c r="N485" s="25"/>
      <c r="O485" s="25"/>
      <c r="P485" s="25"/>
      <c r="Q485" s="17" t="s">
        <v>43</v>
      </c>
    </row>
    <row r="486" spans="2:17">
      <c r="B486" s="11" t="s">
        <v>803</v>
      </c>
      <c r="C486" s="5" t="str">
        <f>IF(E486="","",IF(G486&lt;&gt;"",SUBSTITUTE(SUBSTITUTE(G486," ",""),"-",""),IF(F486&lt;&gt;"",SUBSTITUTE(SUBSTITUTE(F486," ",""),"-",""),"")))</f>
        <v>RGSLCr59</v>
      </c>
      <c r="D486" s="6" t="s">
        <v>36</v>
      </c>
      <c r="E486" s="11" t="s">
        <v>47</v>
      </c>
      <c r="F486" s="11" t="s">
        <v>1003</v>
      </c>
      <c r="G486" s="11" t="s">
        <v>1063</v>
      </c>
      <c r="H486" s="18">
        <v>1.07</v>
      </c>
      <c r="I486" s="5" t="s">
        <v>52</v>
      </c>
      <c r="J486" s="19">
        <v>1</v>
      </c>
      <c r="K486" s="5" t="s">
        <v>49</v>
      </c>
      <c r="L486" s="5" t="s">
        <v>53</v>
      </c>
      <c r="M486" s="23" t="s">
        <v>1004</v>
      </c>
      <c r="N486" s="25"/>
      <c r="O486" s="25"/>
      <c r="P486" s="25"/>
      <c r="Q486" s="17" t="s">
        <v>43</v>
      </c>
    </row>
    <row r="487" spans="2:17">
      <c r="B487" s="11" t="s">
        <v>803</v>
      </c>
      <c r="C487" s="5" t="str">
        <f>IF(E487="","",IF(G487&lt;&gt;"",SUBSTITUTE(SUBSTITUTE(G487," ",""),"-",""),IF(F487&lt;&gt;"",SUBSTITUTE(SUBSTITUTE(F487," ",""),"-",""),"")))</f>
        <v>RGSLCr60</v>
      </c>
      <c r="D487" s="6" t="s">
        <v>36</v>
      </c>
      <c r="E487" s="11" t="s">
        <v>47</v>
      </c>
      <c r="F487" s="11" t="s">
        <v>1003</v>
      </c>
      <c r="G487" s="11" t="s">
        <v>1064</v>
      </c>
      <c r="H487" s="18">
        <v>1.07</v>
      </c>
      <c r="I487" s="5" t="s">
        <v>52</v>
      </c>
      <c r="J487" s="19">
        <v>1</v>
      </c>
      <c r="K487" s="5" t="s">
        <v>49</v>
      </c>
      <c r="L487" s="5" t="s">
        <v>53</v>
      </c>
      <c r="M487" s="23" t="s">
        <v>1004</v>
      </c>
      <c r="N487" s="25"/>
      <c r="O487" s="25"/>
      <c r="P487" s="25"/>
      <c r="Q487" s="17" t="s">
        <v>43</v>
      </c>
    </row>
    <row r="488" spans="2:17">
      <c r="B488" s="11" t="s">
        <v>803</v>
      </c>
      <c r="C488" s="5" t="str">
        <f>IF(E488="","",IF(G488&lt;&gt;"",SUBSTITUTE(SUBSTITUTE(G488," ",""),"-",""),IF(F488&lt;&gt;"",SUBSTITUTE(SUBSTITUTE(F488," ",""),"-",""),"")))</f>
        <v>RGSLCr61</v>
      </c>
      <c r="D488" s="6" t="s">
        <v>36</v>
      </c>
      <c r="E488" s="11" t="s">
        <v>47</v>
      </c>
      <c r="F488" s="11" t="s">
        <v>1003</v>
      </c>
      <c r="G488" s="11" t="s">
        <v>1065</v>
      </c>
      <c r="H488" s="18">
        <v>1.07</v>
      </c>
      <c r="I488" s="5" t="s">
        <v>52</v>
      </c>
      <c r="J488" s="19">
        <v>1</v>
      </c>
      <c r="K488" s="5" t="s">
        <v>49</v>
      </c>
      <c r="L488" s="5" t="s">
        <v>53</v>
      </c>
      <c r="M488" s="23" t="s">
        <v>1004</v>
      </c>
      <c r="N488" s="25"/>
      <c r="O488" s="25"/>
      <c r="P488" s="25"/>
      <c r="Q488" s="17" t="s">
        <v>43</v>
      </c>
    </row>
    <row r="489" spans="2:17">
      <c r="B489" s="11" t="s">
        <v>803</v>
      </c>
      <c r="C489" s="5" t="str">
        <f>IF(E489="","",IF(G489&lt;&gt;"",SUBSTITUTE(SUBSTITUTE(G489," ",""),"-",""),IF(F489&lt;&gt;"",SUBSTITUTE(SUBSTITUTE(F489," ",""),"-",""),"")))</f>
        <v>RGSLCr62</v>
      </c>
      <c r="D489" s="6" t="s">
        <v>36</v>
      </c>
      <c r="E489" s="11" t="s">
        <v>47</v>
      </c>
      <c r="F489" s="11" t="s">
        <v>1003</v>
      </c>
      <c r="G489" s="11" t="s">
        <v>1066</v>
      </c>
      <c r="H489" s="18">
        <v>1.07</v>
      </c>
      <c r="I489" s="5" t="s">
        <v>52</v>
      </c>
      <c r="J489" s="19">
        <v>1</v>
      </c>
      <c r="K489" s="5" t="s">
        <v>49</v>
      </c>
      <c r="L489" s="5" t="s">
        <v>53</v>
      </c>
      <c r="M489" s="23" t="s">
        <v>1004</v>
      </c>
      <c r="N489" s="25"/>
      <c r="O489" s="25"/>
      <c r="P489" s="25"/>
      <c r="Q489" s="17" t="s">
        <v>43</v>
      </c>
    </row>
    <row r="490" spans="2:17">
      <c r="B490" s="11" t="s">
        <v>803</v>
      </c>
      <c r="C490" s="5" t="str">
        <f>IF(E490="","",IF(G490&lt;&gt;"",SUBSTITUTE(SUBSTITUTE(G490," ",""),"-",""),IF(F490&lt;&gt;"",SUBSTITUTE(SUBSTITUTE(F490," ",""),"-",""),"")))</f>
        <v>RGSLCr63</v>
      </c>
      <c r="D490" s="6" t="s">
        <v>36</v>
      </c>
      <c r="E490" s="11" t="s">
        <v>47</v>
      </c>
      <c r="F490" s="11" t="s">
        <v>1003</v>
      </c>
      <c r="G490" s="11" t="s">
        <v>1067</v>
      </c>
      <c r="H490" s="18">
        <v>1.07</v>
      </c>
      <c r="I490" s="5" t="s">
        <v>52</v>
      </c>
      <c r="J490" s="19">
        <v>1</v>
      </c>
      <c r="K490" s="5" t="s">
        <v>49</v>
      </c>
      <c r="L490" s="5" t="s">
        <v>53</v>
      </c>
      <c r="M490" s="23" t="s">
        <v>1004</v>
      </c>
      <c r="N490" s="25"/>
      <c r="O490" s="25"/>
      <c r="P490" s="25"/>
      <c r="Q490" s="17" t="s">
        <v>43</v>
      </c>
    </row>
    <row r="491" spans="2:17">
      <c r="B491" s="11" t="s">
        <v>803</v>
      </c>
      <c r="C491" s="5" t="str">
        <f>IF(E491="","",IF(G491&lt;&gt;"",SUBSTITUTE(SUBSTITUTE(G491," ",""),"-",""),IF(F491&lt;&gt;"",SUBSTITUTE(SUBSTITUTE(F491," ",""),"-",""),"")))</f>
        <v>RGSLCr64</v>
      </c>
      <c r="D491" s="6" t="s">
        <v>36</v>
      </c>
      <c r="E491" s="11" t="s">
        <v>47</v>
      </c>
      <c r="F491" s="11" t="s">
        <v>1003</v>
      </c>
      <c r="G491" s="11" t="s">
        <v>1068</v>
      </c>
      <c r="H491" s="18">
        <v>1.07</v>
      </c>
      <c r="I491" s="5" t="s">
        <v>52</v>
      </c>
      <c r="J491" s="19">
        <v>1</v>
      </c>
      <c r="K491" s="5" t="s">
        <v>49</v>
      </c>
      <c r="L491" s="5" t="s">
        <v>53</v>
      </c>
      <c r="M491" s="23" t="s">
        <v>1004</v>
      </c>
      <c r="N491" s="25"/>
      <c r="O491" s="25"/>
      <c r="P491" s="25"/>
      <c r="Q491" s="17" t="s">
        <v>43</v>
      </c>
    </row>
    <row r="492" spans="2:17">
      <c r="B492" s="11" t="s">
        <v>803</v>
      </c>
      <c r="C492" s="5" t="str">
        <f>IF(E492="","",IF(G492&lt;&gt;"",SUBSTITUTE(SUBSTITUTE(G492," ",""),"-",""),IF(F492&lt;&gt;"",SUBSTITUTE(SUBSTITUTE(F492," ",""),"-",""),"")))</f>
        <v>RGSLCr65</v>
      </c>
      <c r="D492" s="6" t="s">
        <v>36</v>
      </c>
      <c r="E492" s="11" t="s">
        <v>47</v>
      </c>
      <c r="F492" s="11" t="s">
        <v>1003</v>
      </c>
      <c r="G492" s="11" t="s">
        <v>1069</v>
      </c>
      <c r="H492" s="18">
        <v>1.07</v>
      </c>
      <c r="I492" s="5" t="s">
        <v>52</v>
      </c>
      <c r="J492" s="19">
        <v>1</v>
      </c>
      <c r="K492" s="5" t="s">
        <v>49</v>
      </c>
      <c r="L492" s="5" t="s">
        <v>53</v>
      </c>
      <c r="M492" s="23" t="s">
        <v>1004</v>
      </c>
      <c r="N492" s="25"/>
      <c r="O492" s="25"/>
      <c r="P492" s="25"/>
      <c r="Q492" s="17" t="s">
        <v>43</v>
      </c>
    </row>
    <row r="493" spans="2:17">
      <c r="B493" s="11" t="s">
        <v>803</v>
      </c>
      <c r="C493" s="5" t="str">
        <f>IF(E493="","",IF(G493&lt;&gt;"",SUBSTITUTE(SUBSTITUTE(G493," ",""),"-",""),IF(F493&lt;&gt;"",SUBSTITUTE(SUBSTITUTE(F493," ",""),"-",""),"")))</f>
        <v>RGSLCr66</v>
      </c>
      <c r="D493" s="6" t="s">
        <v>36</v>
      </c>
      <c r="E493" s="11" t="s">
        <v>47</v>
      </c>
      <c r="F493" s="11" t="s">
        <v>1003</v>
      </c>
      <c r="G493" s="11" t="s">
        <v>1070</v>
      </c>
      <c r="H493" s="18">
        <v>1.07</v>
      </c>
      <c r="I493" s="5" t="s">
        <v>52</v>
      </c>
      <c r="J493" s="19">
        <v>1</v>
      </c>
      <c r="K493" s="5" t="s">
        <v>49</v>
      </c>
      <c r="L493" s="5" t="s">
        <v>53</v>
      </c>
      <c r="M493" s="23" t="s">
        <v>1004</v>
      </c>
      <c r="N493" s="25"/>
      <c r="O493" s="25"/>
      <c r="P493" s="25"/>
      <c r="Q493" s="17" t="s">
        <v>43</v>
      </c>
    </row>
    <row r="494" spans="2:17">
      <c r="B494" s="11" t="s">
        <v>803</v>
      </c>
      <c r="C494" s="5" t="str">
        <f>IF(E494="","",IF(G494&lt;&gt;"",SUBSTITUTE(SUBSTITUTE(G494," ",""),"-",""),IF(F494&lt;&gt;"",SUBSTITUTE(SUBSTITUTE(F494," ",""),"-",""),"")))</f>
        <v>RGSLCr67</v>
      </c>
      <c r="D494" s="6" t="s">
        <v>36</v>
      </c>
      <c r="E494" s="11" t="s">
        <v>47</v>
      </c>
      <c r="F494" s="11" t="s">
        <v>1003</v>
      </c>
      <c r="G494" s="11" t="s">
        <v>1071</v>
      </c>
      <c r="H494" s="18">
        <v>1.07</v>
      </c>
      <c r="I494" s="5" t="s">
        <v>52</v>
      </c>
      <c r="J494" s="19">
        <v>1</v>
      </c>
      <c r="K494" s="5" t="s">
        <v>49</v>
      </c>
      <c r="L494" s="5" t="s">
        <v>53</v>
      </c>
      <c r="M494" s="23" t="s">
        <v>1004</v>
      </c>
      <c r="N494" s="25"/>
      <c r="O494" s="25"/>
      <c r="P494" s="25"/>
      <c r="Q494" s="17" t="s">
        <v>43</v>
      </c>
    </row>
    <row r="495" spans="2:17">
      <c r="B495" s="11" t="s">
        <v>803</v>
      </c>
      <c r="C495" s="5" t="str">
        <f>IF(E495="","",IF(G495&lt;&gt;"",SUBSTITUTE(SUBSTITUTE(G495," ",""),"-",""),IF(F495&lt;&gt;"",SUBSTITUTE(SUBSTITUTE(F495," ",""),"-",""),"")))</f>
        <v>RGSLCr68</v>
      </c>
      <c r="D495" s="6" t="s">
        <v>36</v>
      </c>
      <c r="E495" s="11" t="s">
        <v>47</v>
      </c>
      <c r="F495" s="11" t="s">
        <v>1003</v>
      </c>
      <c r="G495" s="11" t="s">
        <v>1072</v>
      </c>
      <c r="H495" s="18">
        <v>1.07</v>
      </c>
      <c r="I495" s="5" t="s">
        <v>52</v>
      </c>
      <c r="J495" s="19">
        <v>1</v>
      </c>
      <c r="K495" s="5" t="s">
        <v>49</v>
      </c>
      <c r="L495" s="5" t="s">
        <v>53</v>
      </c>
      <c r="M495" s="23" t="s">
        <v>1004</v>
      </c>
      <c r="N495" s="25"/>
      <c r="O495" s="25"/>
      <c r="P495" s="25"/>
      <c r="Q495" s="17" t="s">
        <v>43</v>
      </c>
    </row>
    <row r="496" spans="2:17">
      <c r="B496" s="11" t="s">
        <v>803</v>
      </c>
      <c r="C496" s="5" t="str">
        <f>IF(E496="","",IF(G496&lt;&gt;"",SUBSTITUTE(SUBSTITUTE(G496," ",""),"-",""),IF(F496&lt;&gt;"",SUBSTITUTE(SUBSTITUTE(F496," ",""),"-",""),"")))</f>
        <v>RGSLCr69</v>
      </c>
      <c r="D496" s="6" t="s">
        <v>36</v>
      </c>
      <c r="E496" s="11" t="s">
        <v>47</v>
      </c>
      <c r="F496" s="11" t="s">
        <v>1003</v>
      </c>
      <c r="G496" s="11" t="s">
        <v>1073</v>
      </c>
      <c r="H496" s="18">
        <v>1.07</v>
      </c>
      <c r="I496" s="5" t="s">
        <v>52</v>
      </c>
      <c r="J496" s="19">
        <v>1</v>
      </c>
      <c r="K496" s="5" t="s">
        <v>49</v>
      </c>
      <c r="L496" s="5" t="s">
        <v>53</v>
      </c>
      <c r="M496" s="23" t="s">
        <v>1004</v>
      </c>
      <c r="N496" s="25"/>
      <c r="O496" s="25"/>
      <c r="P496" s="25"/>
      <c r="Q496" s="17" t="s">
        <v>43</v>
      </c>
    </row>
    <row r="497" spans="2:17">
      <c r="B497" s="11" t="s">
        <v>803</v>
      </c>
      <c r="C497" s="5" t="str">
        <f>IF(E497="","",IF(G497&lt;&gt;"",SUBSTITUTE(SUBSTITUTE(G497," ",""),"-",""),IF(F497&lt;&gt;"",SUBSTITUTE(SUBSTITUTE(F497," ",""),"-",""),"")))</f>
        <v>RGSLCr70</v>
      </c>
      <c r="D497" s="6" t="s">
        <v>36</v>
      </c>
      <c r="E497" s="11" t="s">
        <v>47</v>
      </c>
      <c r="F497" s="11" t="s">
        <v>1003</v>
      </c>
      <c r="G497" s="11" t="s">
        <v>1074</v>
      </c>
      <c r="H497" s="18">
        <v>1.07</v>
      </c>
      <c r="I497" s="5" t="s">
        <v>52</v>
      </c>
      <c r="J497" s="19">
        <v>1</v>
      </c>
      <c r="K497" s="5" t="s">
        <v>49</v>
      </c>
      <c r="L497" s="5" t="s">
        <v>53</v>
      </c>
      <c r="M497" s="23" t="s">
        <v>1004</v>
      </c>
      <c r="N497" s="25"/>
      <c r="O497" s="25"/>
      <c r="P497" s="25"/>
      <c r="Q497" s="17" t="s">
        <v>43</v>
      </c>
    </row>
    <row r="498" spans="2:17">
      <c r="B498" s="11" t="s">
        <v>803</v>
      </c>
      <c r="C498" s="5" t="str">
        <f>IF(E498="","",IF(G498&lt;&gt;"",SUBSTITUTE(SUBSTITUTE(G498," ",""),"-",""),IF(F498&lt;&gt;"",SUBSTITUTE(SUBSTITUTE(F498," ",""),"-",""),"")))</f>
        <v>RGSLCr71</v>
      </c>
      <c r="D498" s="6" t="s">
        <v>36</v>
      </c>
      <c r="E498" s="11" t="s">
        <v>47</v>
      </c>
      <c r="F498" s="11" t="s">
        <v>1003</v>
      </c>
      <c r="G498" s="11" t="s">
        <v>1075</v>
      </c>
      <c r="H498" s="18">
        <v>1.07</v>
      </c>
      <c r="I498" s="5" t="s">
        <v>52</v>
      </c>
      <c r="J498" s="19">
        <v>1</v>
      </c>
      <c r="K498" s="5" t="s">
        <v>49</v>
      </c>
      <c r="L498" s="5" t="s">
        <v>53</v>
      </c>
      <c r="M498" s="23" t="s">
        <v>1004</v>
      </c>
      <c r="N498" s="25"/>
      <c r="O498" s="25"/>
      <c r="P498" s="25"/>
      <c r="Q498" s="17" t="s">
        <v>43</v>
      </c>
    </row>
    <row r="499" spans="2:17">
      <c r="B499" s="11" t="s">
        <v>803</v>
      </c>
      <c r="C499" s="5" t="str">
        <f>IF(E499="","",IF(G499&lt;&gt;"",SUBSTITUTE(SUBSTITUTE(G499," ",""),"-",""),IF(F499&lt;&gt;"",SUBSTITUTE(SUBSTITUTE(F499," ",""),"-",""),"")))</f>
        <v>RGSLCr72</v>
      </c>
      <c r="D499" s="6" t="s">
        <v>36</v>
      </c>
      <c r="E499" s="11" t="s">
        <v>47</v>
      </c>
      <c r="F499" s="11" t="s">
        <v>1003</v>
      </c>
      <c r="G499" s="11" t="s">
        <v>1076</v>
      </c>
      <c r="H499" s="18">
        <v>1.07</v>
      </c>
      <c r="I499" s="5" t="s">
        <v>52</v>
      </c>
      <c r="J499" s="19">
        <v>1</v>
      </c>
      <c r="K499" s="5" t="s">
        <v>49</v>
      </c>
      <c r="L499" s="5" t="s">
        <v>53</v>
      </c>
      <c r="M499" s="23" t="s">
        <v>1004</v>
      </c>
      <c r="N499" s="25"/>
      <c r="O499" s="25"/>
      <c r="P499" s="25"/>
      <c r="Q499" s="17" t="s">
        <v>43</v>
      </c>
    </row>
    <row r="500" spans="2:17">
      <c r="B500" s="11" t="s">
        <v>803</v>
      </c>
      <c r="C500" s="5" t="str">
        <f>IF(E500="","",IF(G500&lt;&gt;"",SUBSTITUTE(SUBSTITUTE(G500," ",""),"-",""),IF(F500&lt;&gt;"",SUBSTITUTE(SUBSTITUTE(F500," ",""),"-",""),"")))</f>
        <v>RGSLCr73</v>
      </c>
      <c r="D500" s="6" t="s">
        <v>36</v>
      </c>
      <c r="E500" s="11" t="s">
        <v>47</v>
      </c>
      <c r="F500" s="11" t="s">
        <v>1003</v>
      </c>
      <c r="G500" s="11" t="s">
        <v>1077</v>
      </c>
      <c r="H500" s="18">
        <v>1.07</v>
      </c>
      <c r="I500" s="5" t="s">
        <v>52</v>
      </c>
      <c r="J500" s="19">
        <v>1</v>
      </c>
      <c r="K500" s="5" t="s">
        <v>49</v>
      </c>
      <c r="L500" s="5" t="s">
        <v>53</v>
      </c>
      <c r="M500" s="23" t="s">
        <v>1004</v>
      </c>
      <c r="N500" s="25"/>
      <c r="O500" s="25"/>
      <c r="P500" s="25"/>
      <c r="Q500" s="17" t="s">
        <v>43</v>
      </c>
    </row>
    <row r="501" spans="2:17">
      <c r="B501" s="11" t="s">
        <v>803</v>
      </c>
      <c r="C501" s="5" t="str">
        <f>IF(E501="","",IF(G501&lt;&gt;"",SUBSTITUTE(SUBSTITUTE(G501," ",""),"-",""),IF(F501&lt;&gt;"",SUBSTITUTE(SUBSTITUTE(F501," ",""),"-",""),"")))</f>
        <v>RGSLCr74</v>
      </c>
      <c r="D501" s="6" t="s">
        <v>36</v>
      </c>
      <c r="E501" s="11" t="s">
        <v>47</v>
      </c>
      <c r="F501" s="11" t="s">
        <v>1003</v>
      </c>
      <c r="G501" s="11" t="s">
        <v>1078</v>
      </c>
      <c r="H501" s="18">
        <v>1.07</v>
      </c>
      <c r="I501" s="5" t="s">
        <v>52</v>
      </c>
      <c r="J501" s="19">
        <v>1</v>
      </c>
      <c r="K501" s="5" t="s">
        <v>49</v>
      </c>
      <c r="L501" s="5" t="s">
        <v>53</v>
      </c>
      <c r="M501" s="23" t="s">
        <v>1004</v>
      </c>
      <c r="N501" s="25"/>
      <c r="O501" s="25"/>
      <c r="P501" s="25"/>
      <c r="Q501" s="17" t="s">
        <v>43</v>
      </c>
    </row>
    <row r="502" spans="2:17">
      <c r="B502" s="11" t="s">
        <v>803</v>
      </c>
      <c r="C502" s="5" t="str">
        <f>IF(E502="","",IF(G502&lt;&gt;"",SUBSTITUTE(SUBSTITUTE(G502," ",""),"-",""),IF(F502&lt;&gt;"",SUBSTITUTE(SUBSTITUTE(F502," ",""),"-",""),"")))</f>
        <v>RGSLCr75</v>
      </c>
      <c r="D502" s="6" t="s">
        <v>36</v>
      </c>
      <c r="E502" s="11" t="s">
        <v>47</v>
      </c>
      <c r="F502" s="11" t="s">
        <v>1003</v>
      </c>
      <c r="G502" s="11" t="s">
        <v>1079</v>
      </c>
      <c r="H502" s="18">
        <v>1.07</v>
      </c>
      <c r="I502" s="5" t="s">
        <v>52</v>
      </c>
      <c r="J502" s="19">
        <v>1</v>
      </c>
      <c r="K502" s="5" t="s">
        <v>49</v>
      </c>
      <c r="L502" s="5" t="s">
        <v>53</v>
      </c>
      <c r="M502" s="23" t="s">
        <v>1004</v>
      </c>
      <c r="N502" s="25"/>
      <c r="O502" s="25"/>
      <c r="P502" s="25"/>
      <c r="Q502" s="17" t="s">
        <v>43</v>
      </c>
    </row>
    <row r="503" spans="2:17">
      <c r="B503" s="11" t="s">
        <v>803</v>
      </c>
      <c r="C503" s="5" t="str">
        <f>IF(E503="","",IF(G503&lt;&gt;"",SUBSTITUTE(SUBSTITUTE(G503," ",""),"-",""),IF(F503&lt;&gt;"",SUBSTITUTE(SUBSTITUTE(F503," ",""),"-",""),"")))</f>
        <v>RGSLCr76</v>
      </c>
      <c r="D503" s="6" t="s">
        <v>36</v>
      </c>
      <c r="E503" s="11" t="s">
        <v>47</v>
      </c>
      <c r="F503" s="11" t="s">
        <v>1003</v>
      </c>
      <c r="G503" s="11" t="s">
        <v>1080</v>
      </c>
      <c r="H503" s="18">
        <v>1.07</v>
      </c>
      <c r="I503" s="5" t="s">
        <v>52</v>
      </c>
      <c r="J503" s="19">
        <v>1</v>
      </c>
      <c r="K503" s="5" t="s">
        <v>49</v>
      </c>
      <c r="L503" s="5" t="s">
        <v>53</v>
      </c>
      <c r="M503" s="23" t="s">
        <v>1004</v>
      </c>
      <c r="N503" s="25"/>
      <c r="O503" s="25"/>
      <c r="P503" s="25"/>
      <c r="Q503" s="17" t="s">
        <v>43</v>
      </c>
    </row>
    <row r="504" spans="2:17">
      <c r="B504" s="11" t="s">
        <v>803</v>
      </c>
      <c r="C504" s="5" t="str">
        <f>IF(E504="","",IF(G504&lt;&gt;"",SUBSTITUTE(SUBSTITUTE(G504," ",""),"-",""),IF(F504&lt;&gt;"",SUBSTITUTE(SUBSTITUTE(F504," ",""),"-",""),"")))</f>
        <v>RGSLCr77</v>
      </c>
      <c r="D504" s="6" t="s">
        <v>36</v>
      </c>
      <c r="E504" s="11" t="s">
        <v>47</v>
      </c>
      <c r="F504" s="11" t="s">
        <v>1003</v>
      </c>
      <c r="G504" s="11" t="s">
        <v>1081</v>
      </c>
      <c r="H504" s="18">
        <v>1.07</v>
      </c>
      <c r="I504" s="5" t="s">
        <v>52</v>
      </c>
      <c r="J504" s="19">
        <v>1</v>
      </c>
      <c r="K504" s="5" t="s">
        <v>49</v>
      </c>
      <c r="L504" s="5" t="s">
        <v>53</v>
      </c>
      <c r="M504" s="23" t="s">
        <v>1004</v>
      </c>
      <c r="N504" s="25"/>
      <c r="O504" s="25"/>
      <c r="P504" s="25"/>
      <c r="Q504" s="17" t="s">
        <v>43</v>
      </c>
    </row>
    <row r="505" spans="2:17">
      <c r="B505" s="11" t="s">
        <v>803</v>
      </c>
      <c r="C505" s="5" t="str">
        <f>IF(E505="","",IF(G505&lt;&gt;"",SUBSTITUTE(SUBSTITUTE(G505," ",""),"-",""),IF(F505&lt;&gt;"",SUBSTITUTE(SUBSTITUTE(F505," ",""),"-",""),"")))</f>
        <v>RGSLCr78</v>
      </c>
      <c r="D505" s="6" t="s">
        <v>36</v>
      </c>
      <c r="E505" s="11" t="s">
        <v>47</v>
      </c>
      <c r="F505" s="11" t="s">
        <v>1003</v>
      </c>
      <c r="G505" s="11" t="s">
        <v>1082</v>
      </c>
      <c r="H505" s="18">
        <v>1.07</v>
      </c>
      <c r="I505" s="5" t="s">
        <v>52</v>
      </c>
      <c r="J505" s="19">
        <v>1</v>
      </c>
      <c r="K505" s="5" t="s">
        <v>49</v>
      </c>
      <c r="L505" s="5" t="s">
        <v>53</v>
      </c>
      <c r="M505" s="23" t="s">
        <v>1004</v>
      </c>
      <c r="N505" s="25"/>
      <c r="O505" s="25"/>
      <c r="P505" s="25"/>
      <c r="Q505" s="17" t="s">
        <v>43</v>
      </c>
    </row>
    <row r="506" spans="2:17">
      <c r="B506" s="11" t="s">
        <v>803</v>
      </c>
      <c r="C506" s="5" t="str">
        <f>IF(E506="","",IF(G506&lt;&gt;"",SUBSTITUTE(SUBSTITUTE(G506," ",""),"-",""),IF(F506&lt;&gt;"",SUBSTITUTE(SUBSTITUTE(F506," ",""),"-",""),"")))</f>
        <v>RGSLCr79</v>
      </c>
      <c r="D506" s="6" t="s">
        <v>36</v>
      </c>
      <c r="E506" s="11" t="s">
        <v>47</v>
      </c>
      <c r="F506" s="11" t="s">
        <v>1003</v>
      </c>
      <c r="G506" s="11" t="s">
        <v>1083</v>
      </c>
      <c r="H506" s="18">
        <v>1.07</v>
      </c>
      <c r="I506" s="5" t="s">
        <v>52</v>
      </c>
      <c r="J506" s="19">
        <v>1</v>
      </c>
      <c r="K506" s="5" t="s">
        <v>49</v>
      </c>
      <c r="L506" s="5" t="s">
        <v>53</v>
      </c>
      <c r="M506" s="23" t="s">
        <v>1004</v>
      </c>
      <c r="N506" s="25"/>
      <c r="O506" s="25"/>
      <c r="P506" s="25"/>
      <c r="Q506" s="17" t="s">
        <v>43</v>
      </c>
    </row>
    <row r="507" spans="2:17">
      <c r="B507" s="11" t="s">
        <v>803</v>
      </c>
      <c r="C507" s="5" t="str">
        <f>IF(E507="","",IF(G507&lt;&gt;"",SUBSTITUTE(SUBSTITUTE(G507," ",""),"-",""),IF(F507&lt;&gt;"",SUBSTITUTE(SUBSTITUTE(F507," ",""),"-",""),"")))</f>
        <v>RGSLCr80</v>
      </c>
      <c r="D507" s="6" t="s">
        <v>36</v>
      </c>
      <c r="E507" s="11" t="s">
        <v>47</v>
      </c>
      <c r="F507" s="11" t="s">
        <v>1003</v>
      </c>
      <c r="G507" s="11" t="s">
        <v>1084</v>
      </c>
      <c r="H507" s="18">
        <v>1.07</v>
      </c>
      <c r="I507" s="5" t="s">
        <v>52</v>
      </c>
      <c r="J507" s="19">
        <v>1</v>
      </c>
      <c r="K507" s="5" t="s">
        <v>49</v>
      </c>
      <c r="L507" s="5" t="s">
        <v>53</v>
      </c>
      <c r="M507" s="23" t="s">
        <v>1004</v>
      </c>
      <c r="N507" s="25"/>
      <c r="O507" s="25"/>
      <c r="P507" s="25"/>
      <c r="Q507" s="17" t="s">
        <v>43</v>
      </c>
    </row>
    <row r="508" spans="2:17">
      <c r="B508" s="11" t="s">
        <v>803</v>
      </c>
      <c r="C508" s="5" t="str">
        <f>IF(E508="","",IF(G508&lt;&gt;"",SUBSTITUTE(SUBSTITUTE(G508," ",""),"-",""),IF(F508&lt;&gt;"",SUBSTITUTE(SUBSTITUTE(F508," ",""),"-",""),"")))</f>
        <v>RGSLCr81</v>
      </c>
      <c r="D508" s="6" t="s">
        <v>36</v>
      </c>
      <c r="E508" s="11" t="s">
        <v>47</v>
      </c>
      <c r="F508" s="11" t="s">
        <v>1003</v>
      </c>
      <c r="G508" s="11" t="s">
        <v>1085</v>
      </c>
      <c r="H508" s="18">
        <v>1.07</v>
      </c>
      <c r="I508" s="5" t="s">
        <v>52</v>
      </c>
      <c r="J508" s="19">
        <v>1</v>
      </c>
      <c r="K508" s="5" t="s">
        <v>49</v>
      </c>
      <c r="L508" s="5" t="s">
        <v>53</v>
      </c>
      <c r="M508" s="23" t="s">
        <v>1004</v>
      </c>
      <c r="N508" s="25"/>
      <c r="O508" s="25"/>
      <c r="P508" s="25"/>
      <c r="Q508" s="17" t="s">
        <v>43</v>
      </c>
    </row>
    <row r="509" spans="2:17">
      <c r="B509" s="11" t="s">
        <v>803</v>
      </c>
      <c r="C509" s="5" t="str">
        <f>IF(E509="","",IF(G509&lt;&gt;"",SUBSTITUTE(SUBSTITUTE(G509," ",""),"-",""),IF(F509&lt;&gt;"",SUBSTITUTE(SUBSTITUTE(F509," ",""),"-",""),"")))</f>
        <v>RGSLCr82</v>
      </c>
      <c r="D509" s="6" t="s">
        <v>36</v>
      </c>
      <c r="E509" s="11" t="s">
        <v>47</v>
      </c>
      <c r="F509" s="11" t="s">
        <v>1003</v>
      </c>
      <c r="G509" s="11" t="s">
        <v>1086</v>
      </c>
      <c r="H509" s="18">
        <v>1.07</v>
      </c>
      <c r="I509" s="5" t="s">
        <v>52</v>
      </c>
      <c r="J509" s="19">
        <v>1</v>
      </c>
      <c r="K509" s="5" t="s">
        <v>49</v>
      </c>
      <c r="L509" s="5" t="s">
        <v>53</v>
      </c>
      <c r="M509" s="23" t="s">
        <v>1004</v>
      </c>
      <c r="N509" s="25"/>
      <c r="O509" s="25"/>
      <c r="P509" s="25"/>
      <c r="Q509" s="17" t="s">
        <v>43</v>
      </c>
    </row>
    <row r="510" spans="2:17">
      <c r="B510" s="11" t="s">
        <v>803</v>
      </c>
      <c r="C510" s="5" t="str">
        <f>IF(E510="","",IF(G510&lt;&gt;"",SUBSTITUTE(SUBSTITUTE(G510," ",""),"-",""),IF(F510&lt;&gt;"",SUBSTITUTE(SUBSTITUTE(F510," ",""),"-",""),"")))</f>
        <v>RGSLCr83</v>
      </c>
      <c r="D510" s="6" t="s">
        <v>36</v>
      </c>
      <c r="E510" s="11" t="s">
        <v>47</v>
      </c>
      <c r="F510" s="11" t="s">
        <v>1003</v>
      </c>
      <c r="G510" s="11" t="s">
        <v>1087</v>
      </c>
      <c r="H510" s="18">
        <v>1.07</v>
      </c>
      <c r="I510" s="5" t="s">
        <v>52</v>
      </c>
      <c r="J510" s="19">
        <v>1</v>
      </c>
      <c r="K510" s="5" t="s">
        <v>49</v>
      </c>
      <c r="L510" s="5" t="s">
        <v>53</v>
      </c>
      <c r="M510" s="23" t="s">
        <v>1004</v>
      </c>
      <c r="N510" s="25"/>
      <c r="O510" s="25"/>
      <c r="P510" s="25"/>
      <c r="Q510" s="17" t="s">
        <v>43</v>
      </c>
    </row>
    <row r="511" spans="2:17">
      <c r="B511" s="11" t="s">
        <v>803</v>
      </c>
      <c r="C511" s="5" t="str">
        <f>IF(E511="","",IF(G511&lt;&gt;"",SUBSTITUTE(SUBSTITUTE(G511," ",""),"-",""),IF(F511&lt;&gt;"",SUBSTITUTE(SUBSTITUTE(F511," ",""),"-",""),"")))</f>
        <v>RGSLCr84</v>
      </c>
      <c r="D511" s="6" t="s">
        <v>36</v>
      </c>
      <c r="E511" s="11" t="s">
        <v>47</v>
      </c>
      <c r="F511" s="11" t="s">
        <v>1003</v>
      </c>
      <c r="G511" s="11" t="s">
        <v>1088</v>
      </c>
      <c r="H511" s="18">
        <v>1.07</v>
      </c>
      <c r="I511" s="5" t="s">
        <v>52</v>
      </c>
      <c r="J511" s="19">
        <v>1</v>
      </c>
      <c r="K511" s="5" t="s">
        <v>49</v>
      </c>
      <c r="L511" s="5" t="s">
        <v>53</v>
      </c>
      <c r="M511" s="23" t="s">
        <v>1004</v>
      </c>
      <c r="N511" s="25"/>
      <c r="O511" s="25"/>
      <c r="P511" s="25"/>
      <c r="Q511" s="17" t="s">
        <v>43</v>
      </c>
    </row>
    <row r="512" spans="2:17">
      <c r="B512" s="11" t="s">
        <v>803</v>
      </c>
      <c r="C512" s="5" t="str">
        <f>IF(E512="","",IF(G512&lt;&gt;"",SUBSTITUTE(SUBSTITUTE(G512," ",""),"-",""),IF(F512&lt;&gt;"",SUBSTITUTE(SUBSTITUTE(F512," ",""),"-",""),"")))</f>
        <v>RGSLCr85</v>
      </c>
      <c r="D512" s="6" t="s">
        <v>36</v>
      </c>
      <c r="E512" s="11" t="s">
        <v>47</v>
      </c>
      <c r="F512" s="11" t="s">
        <v>1003</v>
      </c>
      <c r="G512" s="11" t="s">
        <v>1089</v>
      </c>
      <c r="H512" s="18">
        <v>1.07</v>
      </c>
      <c r="I512" s="5" t="s">
        <v>52</v>
      </c>
      <c r="J512" s="19">
        <v>1</v>
      </c>
      <c r="K512" s="5" t="s">
        <v>49</v>
      </c>
      <c r="L512" s="5" t="s">
        <v>53</v>
      </c>
      <c r="M512" s="23" t="s">
        <v>1004</v>
      </c>
      <c r="N512" s="25"/>
      <c r="O512" s="25"/>
      <c r="P512" s="25"/>
      <c r="Q512" s="17" t="s">
        <v>43</v>
      </c>
    </row>
    <row r="513" spans="2:17">
      <c r="B513" s="11" t="s">
        <v>803</v>
      </c>
      <c r="C513" s="5" t="str">
        <f>IF(E513="","",IF(G513&lt;&gt;"",SUBSTITUTE(SUBSTITUTE(G513," ",""),"-",""),IF(F513&lt;&gt;"",SUBSTITUTE(SUBSTITUTE(F513," ",""),"-",""),"")))</f>
        <v>RGSLCr86</v>
      </c>
      <c r="D513" s="6" t="s">
        <v>36</v>
      </c>
      <c r="E513" s="11" t="s">
        <v>47</v>
      </c>
      <c r="F513" s="11" t="s">
        <v>1003</v>
      </c>
      <c r="G513" s="11" t="s">
        <v>1090</v>
      </c>
      <c r="H513" s="18">
        <v>1.07</v>
      </c>
      <c r="I513" s="5" t="s">
        <v>52</v>
      </c>
      <c r="J513" s="19">
        <v>1</v>
      </c>
      <c r="K513" s="5" t="s">
        <v>49</v>
      </c>
      <c r="L513" s="5" t="s">
        <v>53</v>
      </c>
      <c r="M513" s="23" t="s">
        <v>1004</v>
      </c>
      <c r="N513" s="25"/>
      <c r="O513" s="25"/>
      <c r="P513" s="25"/>
      <c r="Q513" s="17" t="s">
        <v>43</v>
      </c>
    </row>
    <row r="514" spans="2:17">
      <c r="B514" s="11" t="s">
        <v>803</v>
      </c>
      <c r="C514" s="5" t="str">
        <f>IF(E514="","",IF(G514&lt;&gt;"",SUBSTITUTE(SUBSTITUTE(G514," ",""),"-",""),IF(F514&lt;&gt;"",SUBSTITUTE(SUBSTITUTE(F514," ",""),"-",""),"")))</f>
        <v>RGSLCr87</v>
      </c>
      <c r="D514" s="6" t="s">
        <v>36</v>
      </c>
      <c r="E514" s="11" t="s">
        <v>47</v>
      </c>
      <c r="F514" s="11" t="s">
        <v>1003</v>
      </c>
      <c r="G514" s="11" t="s">
        <v>1091</v>
      </c>
      <c r="H514" s="18">
        <v>1.07</v>
      </c>
      <c r="I514" s="5" t="s">
        <v>52</v>
      </c>
      <c r="J514" s="19">
        <v>1</v>
      </c>
      <c r="K514" s="5" t="s">
        <v>49</v>
      </c>
      <c r="L514" s="5" t="s">
        <v>53</v>
      </c>
      <c r="M514" s="23" t="s">
        <v>1004</v>
      </c>
      <c r="N514" s="25"/>
      <c r="O514" s="25"/>
      <c r="P514" s="25"/>
      <c r="Q514" s="17" t="s">
        <v>43</v>
      </c>
    </row>
    <row r="515" spans="2:17">
      <c r="B515" s="11" t="s">
        <v>803</v>
      </c>
      <c r="C515" s="5" t="str">
        <f>IF(E515="","",IF(G515&lt;&gt;"",SUBSTITUTE(SUBSTITUTE(G515," ",""),"-",""),IF(F515&lt;&gt;"",SUBSTITUTE(SUBSTITUTE(F515," ",""),"-",""),"")))</f>
        <v>RGSLCr88</v>
      </c>
      <c r="D515" s="6" t="s">
        <v>36</v>
      </c>
      <c r="E515" s="11" t="s">
        <v>47</v>
      </c>
      <c r="F515" s="11" t="s">
        <v>1003</v>
      </c>
      <c r="G515" s="11" t="s">
        <v>1092</v>
      </c>
      <c r="H515" s="18">
        <v>1.07</v>
      </c>
      <c r="I515" s="5" t="s">
        <v>52</v>
      </c>
      <c r="J515" s="19">
        <v>1</v>
      </c>
      <c r="K515" s="5" t="s">
        <v>49</v>
      </c>
      <c r="L515" s="5" t="s">
        <v>53</v>
      </c>
      <c r="M515" s="23" t="s">
        <v>1004</v>
      </c>
      <c r="N515" s="25"/>
      <c r="O515" s="25"/>
      <c r="P515" s="25"/>
      <c r="Q515" s="17" t="s">
        <v>43</v>
      </c>
    </row>
    <row r="516" spans="2:17">
      <c r="B516" s="11" t="s">
        <v>803</v>
      </c>
      <c r="C516" s="5" t="str">
        <f>IF(E516="","",IF(G516&lt;&gt;"",SUBSTITUTE(SUBSTITUTE(G516," ",""),"-",""),IF(F516&lt;&gt;"",SUBSTITUTE(SUBSTITUTE(F516," ",""),"-",""),"")))</f>
        <v>RGSLCr89</v>
      </c>
      <c r="D516" s="6" t="s">
        <v>36</v>
      </c>
      <c r="E516" s="11" t="s">
        <v>47</v>
      </c>
      <c r="F516" s="11" t="s">
        <v>1003</v>
      </c>
      <c r="G516" s="11" t="s">
        <v>1093</v>
      </c>
      <c r="H516" s="18">
        <v>1.07</v>
      </c>
      <c r="I516" s="5" t="s">
        <v>52</v>
      </c>
      <c r="J516" s="19">
        <v>1</v>
      </c>
      <c r="K516" s="5" t="s">
        <v>49</v>
      </c>
      <c r="L516" s="5" t="s">
        <v>53</v>
      </c>
      <c r="M516" s="23" t="s">
        <v>1004</v>
      </c>
      <c r="N516" s="25"/>
      <c r="O516" s="25"/>
      <c r="P516" s="25"/>
      <c r="Q516" s="17" t="s">
        <v>43</v>
      </c>
    </row>
    <row r="517" spans="2:17">
      <c r="B517" s="11" t="s">
        <v>803</v>
      </c>
      <c r="C517" s="5" t="str">
        <f>IF(E517="","",IF(G517&lt;&gt;"",SUBSTITUTE(SUBSTITUTE(G517," ",""),"-",""),IF(F517&lt;&gt;"",SUBSTITUTE(SUBSTITUTE(F517," ",""),"-",""),"")))</f>
        <v>RGSLCr90</v>
      </c>
      <c r="D517" s="6" t="s">
        <v>36</v>
      </c>
      <c r="E517" s="11" t="s">
        <v>47</v>
      </c>
      <c r="F517" s="11" t="s">
        <v>1003</v>
      </c>
      <c r="G517" s="11" t="s">
        <v>1094</v>
      </c>
      <c r="H517" s="18">
        <v>1.07</v>
      </c>
      <c r="I517" s="5" t="s">
        <v>52</v>
      </c>
      <c r="J517" s="19">
        <v>1</v>
      </c>
      <c r="K517" s="5" t="s">
        <v>49</v>
      </c>
      <c r="L517" s="5" t="s">
        <v>53</v>
      </c>
      <c r="M517" s="23" t="s">
        <v>1004</v>
      </c>
      <c r="N517" s="25"/>
      <c r="O517" s="25"/>
      <c r="P517" s="25"/>
      <c r="Q517" s="17" t="s">
        <v>43</v>
      </c>
    </row>
    <row r="518" spans="2:17">
      <c r="B518" s="11" t="s">
        <v>803</v>
      </c>
      <c r="C518" s="5" t="str">
        <f>IF(E518="","",IF(G518&lt;&gt;"",SUBSTITUTE(SUBSTITUTE(G518," ",""),"-",""),IF(F518&lt;&gt;"",SUBSTITUTE(SUBSTITUTE(F518," ",""),"-",""),"")))</f>
        <v>RGSLCr91</v>
      </c>
      <c r="D518" s="6" t="s">
        <v>36</v>
      </c>
      <c r="E518" s="11" t="s">
        <v>47</v>
      </c>
      <c r="F518" s="11" t="s">
        <v>1003</v>
      </c>
      <c r="G518" s="11" t="s">
        <v>1095</v>
      </c>
      <c r="H518" s="18">
        <v>1.07</v>
      </c>
      <c r="I518" s="5" t="s">
        <v>52</v>
      </c>
      <c r="J518" s="19">
        <v>1</v>
      </c>
      <c r="K518" s="5" t="s">
        <v>49</v>
      </c>
      <c r="L518" s="5" t="s">
        <v>53</v>
      </c>
      <c r="M518" s="23" t="s">
        <v>1004</v>
      </c>
      <c r="N518" s="25"/>
      <c r="O518" s="25"/>
      <c r="P518" s="25"/>
      <c r="Q518" s="17" t="s">
        <v>43</v>
      </c>
    </row>
    <row r="519" spans="2:17">
      <c r="B519" s="11" t="s">
        <v>803</v>
      </c>
      <c r="C519" s="5" t="str">
        <f>IF(E519="","",IF(G519&lt;&gt;"",SUBSTITUTE(SUBSTITUTE(G519," ",""),"-",""),IF(F519&lt;&gt;"",SUBSTITUTE(SUBSTITUTE(F519," ",""),"-",""),"")))</f>
        <v>RGSLCr92</v>
      </c>
      <c r="D519" s="6" t="s">
        <v>36</v>
      </c>
      <c r="E519" s="11" t="s">
        <v>47</v>
      </c>
      <c r="F519" s="11" t="s">
        <v>1003</v>
      </c>
      <c r="G519" s="11" t="s">
        <v>1096</v>
      </c>
      <c r="H519" s="18">
        <v>1.07</v>
      </c>
      <c r="I519" s="5" t="s">
        <v>52</v>
      </c>
      <c r="J519" s="19">
        <v>1</v>
      </c>
      <c r="K519" s="5" t="s">
        <v>49</v>
      </c>
      <c r="L519" s="5" t="s">
        <v>53</v>
      </c>
      <c r="M519" s="23" t="s">
        <v>1004</v>
      </c>
      <c r="N519" s="25"/>
      <c r="O519" s="25"/>
      <c r="P519" s="25"/>
      <c r="Q519" s="17" t="s">
        <v>43</v>
      </c>
    </row>
    <row r="520" spans="2:17">
      <c r="B520" s="11" t="s">
        <v>803</v>
      </c>
      <c r="C520" s="5" t="str">
        <f>IF(E520="","",IF(G520&lt;&gt;"",SUBSTITUTE(SUBSTITUTE(G520," ",""),"-",""),IF(F520&lt;&gt;"",SUBSTITUTE(SUBSTITUTE(F520," ",""),"-",""),"")))</f>
        <v>RGSLCr93</v>
      </c>
      <c r="D520" s="6" t="s">
        <v>36</v>
      </c>
      <c r="E520" s="11" t="s">
        <v>47</v>
      </c>
      <c r="F520" s="11" t="s">
        <v>1003</v>
      </c>
      <c r="G520" s="11" t="s">
        <v>1097</v>
      </c>
      <c r="H520" s="18">
        <v>1.07</v>
      </c>
      <c r="I520" s="5" t="s">
        <v>52</v>
      </c>
      <c r="J520" s="19">
        <v>1</v>
      </c>
      <c r="K520" s="5" t="s">
        <v>49</v>
      </c>
      <c r="L520" s="5" t="s">
        <v>53</v>
      </c>
      <c r="M520" s="23" t="s">
        <v>1004</v>
      </c>
      <c r="N520" s="25"/>
      <c r="O520" s="25"/>
      <c r="P520" s="25"/>
      <c r="Q520" s="17" t="s">
        <v>43</v>
      </c>
    </row>
    <row r="521" spans="2:17">
      <c r="B521" s="11" t="s">
        <v>803</v>
      </c>
      <c r="C521" s="5" t="str">
        <f>IF(E521="","",IF(G521&lt;&gt;"",SUBSTITUTE(SUBSTITUTE(G521," ",""),"-",""),IF(F521&lt;&gt;"",SUBSTITUTE(SUBSTITUTE(F521," ",""),"-",""),"")))</f>
        <v>RGSLCr94</v>
      </c>
      <c r="D521" s="6" t="s">
        <v>36</v>
      </c>
      <c r="E521" s="11" t="s">
        <v>47</v>
      </c>
      <c r="F521" s="11" t="s">
        <v>1003</v>
      </c>
      <c r="G521" s="11" t="s">
        <v>1098</v>
      </c>
      <c r="H521" s="18">
        <v>1.07</v>
      </c>
      <c r="I521" s="5" t="s">
        <v>52</v>
      </c>
      <c r="J521" s="19">
        <v>1</v>
      </c>
      <c r="K521" s="5" t="s">
        <v>49</v>
      </c>
      <c r="L521" s="5" t="s">
        <v>53</v>
      </c>
      <c r="M521" s="23" t="s">
        <v>1004</v>
      </c>
      <c r="N521" s="25"/>
      <c r="O521" s="25"/>
      <c r="P521" s="25"/>
      <c r="Q521" s="17" t="s">
        <v>43</v>
      </c>
    </row>
    <row r="522" spans="2:17">
      <c r="B522" s="11" t="s">
        <v>803</v>
      </c>
      <c r="C522" s="5" t="str">
        <f>IF(E522="","",IF(G522&lt;&gt;"",SUBSTITUTE(SUBSTITUTE(G522," ",""),"-",""),IF(F522&lt;&gt;"",SUBSTITUTE(SUBSTITUTE(F522," ",""),"-",""),"")))</f>
        <v>RGSLCr95</v>
      </c>
      <c r="D522" s="6" t="s">
        <v>36</v>
      </c>
      <c r="E522" s="11" t="s">
        <v>47</v>
      </c>
      <c r="F522" s="11" t="s">
        <v>1003</v>
      </c>
      <c r="G522" s="11" t="s">
        <v>1099</v>
      </c>
      <c r="H522" s="18">
        <v>1.07</v>
      </c>
      <c r="I522" s="5" t="s">
        <v>52</v>
      </c>
      <c r="J522" s="19">
        <v>1</v>
      </c>
      <c r="K522" s="5" t="s">
        <v>49</v>
      </c>
      <c r="L522" s="5" t="s">
        <v>53</v>
      </c>
      <c r="M522" s="23" t="s">
        <v>1004</v>
      </c>
      <c r="N522" s="25"/>
      <c r="O522" s="25"/>
      <c r="P522" s="25"/>
      <c r="Q522" s="17" t="s">
        <v>43</v>
      </c>
    </row>
    <row r="523" spans="2:17">
      <c r="B523" s="11" t="s">
        <v>803</v>
      </c>
      <c r="C523" s="5" t="str">
        <f>IF(E523="","",IF(G523&lt;&gt;"",SUBSTITUTE(SUBSTITUTE(G523," ",""),"-",""),IF(F523&lt;&gt;"",SUBSTITUTE(SUBSTITUTE(F523," ",""),"-",""),"")))</f>
        <v>RGSLCr96</v>
      </c>
      <c r="D523" s="6" t="s">
        <v>36</v>
      </c>
      <c r="E523" s="11" t="s">
        <v>47</v>
      </c>
      <c r="F523" s="11" t="s">
        <v>1003</v>
      </c>
      <c r="G523" s="11" t="s">
        <v>1100</v>
      </c>
      <c r="H523" s="18">
        <v>1.07</v>
      </c>
      <c r="I523" s="5" t="s">
        <v>52</v>
      </c>
      <c r="J523" s="19">
        <v>1</v>
      </c>
      <c r="K523" s="5" t="s">
        <v>49</v>
      </c>
      <c r="L523" s="5" t="s">
        <v>53</v>
      </c>
      <c r="M523" s="23" t="s">
        <v>1004</v>
      </c>
      <c r="N523" s="25"/>
      <c r="O523" s="25"/>
      <c r="P523" s="25"/>
      <c r="Q523" s="17" t="s">
        <v>43</v>
      </c>
    </row>
    <row r="524" spans="2:17">
      <c r="B524" s="11" t="s">
        <v>803</v>
      </c>
      <c r="C524" s="5" t="str">
        <f>IF(E524="","",IF(G524&lt;&gt;"",SUBSTITUTE(SUBSTITUTE(G524," ",""),"-",""),IF(F524&lt;&gt;"",SUBSTITUTE(SUBSTITUTE(F524," ",""),"-",""),"")))</f>
        <v>RGSLCr97</v>
      </c>
      <c r="D524" s="6" t="s">
        <v>36</v>
      </c>
      <c r="E524" s="11" t="s">
        <v>47</v>
      </c>
      <c r="F524" s="11" t="s">
        <v>1003</v>
      </c>
      <c r="G524" s="11" t="s">
        <v>1101</v>
      </c>
      <c r="H524" s="18">
        <v>1.07</v>
      </c>
      <c r="I524" s="5" t="s">
        <v>52</v>
      </c>
      <c r="J524" s="19">
        <v>1</v>
      </c>
      <c r="K524" s="5" t="s">
        <v>49</v>
      </c>
      <c r="L524" s="5" t="s">
        <v>53</v>
      </c>
      <c r="M524" s="23" t="s">
        <v>1004</v>
      </c>
      <c r="N524" s="25"/>
      <c r="O524" s="25"/>
      <c r="P524" s="25"/>
      <c r="Q524" s="17" t="s">
        <v>43</v>
      </c>
    </row>
    <row r="525" spans="2:17">
      <c r="B525" s="11" t="s">
        <v>803</v>
      </c>
      <c r="C525" s="5" t="str">
        <f>IF(E525="","",IF(G525&lt;&gt;"",SUBSTITUTE(SUBSTITUTE(G525," ",""),"-",""),IF(F525&lt;&gt;"",SUBSTITUTE(SUBSTITUTE(F525," ",""),"-",""),"")))</f>
        <v>RGSLCr98</v>
      </c>
      <c r="D525" s="6" t="s">
        <v>36</v>
      </c>
      <c r="E525" s="11" t="s">
        <v>47</v>
      </c>
      <c r="F525" s="11" t="s">
        <v>1003</v>
      </c>
      <c r="G525" s="11" t="s">
        <v>1102</v>
      </c>
      <c r="H525" s="18">
        <v>1.07</v>
      </c>
      <c r="I525" s="5" t="s">
        <v>52</v>
      </c>
      <c r="J525" s="19">
        <v>1</v>
      </c>
      <c r="K525" s="5" t="s">
        <v>49</v>
      </c>
      <c r="L525" s="5" t="s">
        <v>53</v>
      </c>
      <c r="M525" s="23" t="s">
        <v>1004</v>
      </c>
      <c r="N525" s="25"/>
      <c r="O525" s="25"/>
      <c r="P525" s="25"/>
      <c r="Q525" s="17" t="s">
        <v>43</v>
      </c>
    </row>
    <row r="526" spans="2:17">
      <c r="B526" s="11" t="s">
        <v>803</v>
      </c>
      <c r="C526" s="5" t="str">
        <f>IF(E526="","",IF(G526&lt;&gt;"",SUBSTITUTE(SUBSTITUTE(G526," ",""),"-",""),IF(F526&lt;&gt;"",SUBSTITUTE(SUBSTITUTE(F526," ",""),"-",""),"")))</f>
        <v>RGSLCr99</v>
      </c>
      <c r="D526" s="6" t="s">
        <v>36</v>
      </c>
      <c r="E526" s="11" t="s">
        <v>47</v>
      </c>
      <c r="F526" s="11" t="s">
        <v>1003</v>
      </c>
      <c r="G526" s="11" t="s">
        <v>1103</v>
      </c>
      <c r="H526" s="18">
        <v>1.07</v>
      </c>
      <c r="I526" s="5" t="s">
        <v>52</v>
      </c>
      <c r="J526" s="19">
        <v>1</v>
      </c>
      <c r="K526" s="5" t="s">
        <v>49</v>
      </c>
      <c r="L526" s="5" t="s">
        <v>53</v>
      </c>
      <c r="M526" s="23" t="s">
        <v>1004</v>
      </c>
      <c r="N526" s="25"/>
      <c r="O526" s="25"/>
      <c r="P526" s="25"/>
      <c r="Q526" s="17" t="s">
        <v>43</v>
      </c>
    </row>
    <row r="527" spans="2:17">
      <c r="B527" s="11" t="s">
        <v>803</v>
      </c>
      <c r="C527" s="5" t="str">
        <f>IF(E527="","",IF(G527&lt;&gt;"",SUBSTITUTE(SUBSTITUTE(G527," ",""),"-",""),IF(F527&lt;&gt;"",SUBSTITUTE(SUBSTITUTE(F527," ",""),"-",""),"")))</f>
        <v>RGSLCr100</v>
      </c>
      <c r="D527" s="6" t="s">
        <v>36</v>
      </c>
      <c r="E527" s="11" t="s">
        <v>47</v>
      </c>
      <c r="F527" s="11" t="s">
        <v>1003</v>
      </c>
      <c r="G527" s="11" t="s">
        <v>1104</v>
      </c>
      <c r="H527" s="18">
        <v>1.07</v>
      </c>
      <c r="I527" s="5" t="s">
        <v>52</v>
      </c>
      <c r="J527" s="19">
        <v>1</v>
      </c>
      <c r="K527" s="5" t="s">
        <v>49</v>
      </c>
      <c r="L527" s="5" t="s">
        <v>53</v>
      </c>
      <c r="M527" s="23" t="s">
        <v>1004</v>
      </c>
      <c r="N527" s="25"/>
      <c r="O527" s="25"/>
      <c r="P527" s="25"/>
      <c r="Q527" s="17" t="s">
        <v>43</v>
      </c>
    </row>
    <row r="528" spans="2:17">
      <c r="B528" s="11" t="s">
        <v>803</v>
      </c>
      <c r="C528" s="5" t="str">
        <f>IF(E528="","",IF(G528&lt;&gt;"",SUBSTITUTE(SUBSTITUTE(G528," ",""),"-",""),IF(F528&lt;&gt;"",SUBSTITUTE(SUBSTITUTE(F528," ",""),"-",""),"")))</f>
        <v>RGSLCr101</v>
      </c>
      <c r="D528" s="6" t="s">
        <v>36</v>
      </c>
      <c r="E528" s="11" t="s">
        <v>47</v>
      </c>
      <c r="F528" s="11" t="s">
        <v>1003</v>
      </c>
      <c r="G528" s="11" t="s">
        <v>1105</v>
      </c>
      <c r="H528" s="18">
        <v>1.07</v>
      </c>
      <c r="I528" s="5" t="s">
        <v>52</v>
      </c>
      <c r="J528" s="19">
        <v>1</v>
      </c>
      <c r="K528" s="5" t="s">
        <v>49</v>
      </c>
      <c r="L528" s="5" t="s">
        <v>53</v>
      </c>
      <c r="M528" s="23" t="s">
        <v>1004</v>
      </c>
      <c r="N528" s="25"/>
      <c r="O528" s="25"/>
      <c r="P528" s="25"/>
      <c r="Q528" s="17" t="s">
        <v>43</v>
      </c>
    </row>
    <row r="529" spans="2:17">
      <c r="B529" s="11" t="s">
        <v>803</v>
      </c>
      <c r="C529" s="5" t="str">
        <f>IF(E529="","",IF(G529&lt;&gt;"",SUBSTITUTE(SUBSTITUTE(G529," ",""),"-",""),IF(F529&lt;&gt;"",SUBSTITUTE(SUBSTITUTE(F529," ",""),"-",""),"")))</f>
        <v>RGSLCr102</v>
      </c>
      <c r="D529" s="6" t="s">
        <v>36</v>
      </c>
      <c r="E529" s="11" t="s">
        <v>47</v>
      </c>
      <c r="F529" s="11" t="s">
        <v>1003</v>
      </c>
      <c r="G529" s="11" t="s">
        <v>1106</v>
      </c>
      <c r="H529" s="18">
        <v>1.07</v>
      </c>
      <c r="I529" s="5" t="s">
        <v>52</v>
      </c>
      <c r="J529" s="19">
        <v>1</v>
      </c>
      <c r="K529" s="5" t="s">
        <v>49</v>
      </c>
      <c r="L529" s="5" t="s">
        <v>53</v>
      </c>
      <c r="M529" s="23" t="s">
        <v>1004</v>
      </c>
      <c r="N529" s="25"/>
      <c r="O529" s="25"/>
      <c r="P529" s="25"/>
      <c r="Q529" s="17" t="s">
        <v>43</v>
      </c>
    </row>
    <row r="530" spans="2:17">
      <c r="B530" s="11" t="s">
        <v>803</v>
      </c>
      <c r="C530" s="5" t="str">
        <f>IF(E530="","",IF(G530&lt;&gt;"",SUBSTITUTE(SUBSTITUTE(G530," ",""),"-",""),IF(F530&lt;&gt;"",SUBSTITUTE(SUBSTITUTE(F530," ",""),"-",""),"")))</f>
        <v>RGSLCr103</v>
      </c>
      <c r="D530" s="6" t="s">
        <v>36</v>
      </c>
      <c r="E530" s="11" t="s">
        <v>47</v>
      </c>
      <c r="F530" s="11" t="s">
        <v>1003</v>
      </c>
      <c r="G530" s="11" t="s">
        <v>1107</v>
      </c>
      <c r="H530" s="18">
        <v>1.07</v>
      </c>
      <c r="I530" s="5" t="s">
        <v>52</v>
      </c>
      <c r="J530" s="19">
        <v>1</v>
      </c>
      <c r="K530" s="5" t="s">
        <v>49</v>
      </c>
      <c r="L530" s="5" t="s">
        <v>53</v>
      </c>
      <c r="M530" s="23" t="s">
        <v>1004</v>
      </c>
      <c r="N530" s="25"/>
      <c r="O530" s="25"/>
      <c r="P530" s="25"/>
      <c r="Q530" s="17" t="s">
        <v>43</v>
      </c>
    </row>
    <row r="531" spans="2:17">
      <c r="B531" s="11" t="s">
        <v>803</v>
      </c>
      <c r="C531" s="5" t="str">
        <f>IF(E531="","",IF(G531&lt;&gt;"",SUBSTITUTE(SUBSTITUTE(G531," ",""),"-",""),IF(F531&lt;&gt;"",SUBSTITUTE(SUBSTITUTE(F531," ",""),"-",""),"")))</f>
        <v>RGSLCr104</v>
      </c>
      <c r="D531" s="6" t="s">
        <v>36</v>
      </c>
      <c r="E531" s="11" t="s">
        <v>47</v>
      </c>
      <c r="F531" s="11" t="s">
        <v>1003</v>
      </c>
      <c r="G531" s="11" t="s">
        <v>1108</v>
      </c>
      <c r="H531" s="18">
        <v>1.07</v>
      </c>
      <c r="I531" s="5" t="s">
        <v>52</v>
      </c>
      <c r="J531" s="19">
        <v>1</v>
      </c>
      <c r="K531" s="5" t="s">
        <v>49</v>
      </c>
      <c r="L531" s="5" t="s">
        <v>53</v>
      </c>
      <c r="M531" s="23" t="s">
        <v>1004</v>
      </c>
      <c r="N531" s="25"/>
      <c r="O531" s="25"/>
      <c r="P531" s="25"/>
      <c r="Q531" s="17" t="s">
        <v>43</v>
      </c>
    </row>
    <row r="532" spans="2:17">
      <c r="B532" s="11"/>
      <c r="C532" s="5" t="str">
        <f>IF(E532="","",IF(G532&lt;&gt;"",SUBSTITUTE(SUBSTITUTE(G532," ",""),"-",""),IF(F532&lt;&gt;"",SUBSTITUTE(SUBSTITUTE(F532," ",""),"-",""),"")))</f>
        <v/>
      </c>
      <c r="D532" s="6"/>
      <c r="E532" s="11"/>
      <c r="F532" s="11"/>
      <c r="G532" s="11"/>
      <c r="H532" s="18"/>
      <c r="J532" s="19"/>
      <c r="M532" s="23"/>
      <c r="N532" s="20"/>
      <c r="O532" s="20"/>
      <c r="P532" s="20"/>
      <c r="Q532" s="17"/>
    </row>
    <row r="533" spans="2:17">
      <c r="B533" s="11" t="s">
        <v>50</v>
      </c>
      <c r="C533" s="5" t="str">
        <f>IF(E533="","",IF(G533&lt;&gt;"",SUBSTITUTE(SUBSTITUTE(G533," ",""),"-",""),IF(F533&lt;&gt;"",SUBSTITUTE(SUBSTITUTE(F533," ",""),"-",""),"")))</f>
        <v>RGH26</v>
      </c>
      <c r="D533" s="6" t="s">
        <v>36</v>
      </c>
      <c r="E533" s="11" t="s">
        <v>47</v>
      </c>
      <c r="F533" s="11" t="s">
        <v>1109</v>
      </c>
      <c r="G533" s="11"/>
      <c r="H533" s="18">
        <v>292.2</v>
      </c>
      <c r="I533" s="5" t="s">
        <v>52</v>
      </c>
      <c r="J533" s="19">
        <f>4*26</f>
        <v>104</v>
      </c>
      <c r="K533" s="5" t="s">
        <v>49</v>
      </c>
      <c r="L533" s="5" t="s">
        <v>786</v>
      </c>
      <c r="M533" s="23" t="s">
        <v>1110</v>
      </c>
      <c r="N533" s="25"/>
      <c r="O533" s="25"/>
      <c r="P533" s="25"/>
      <c r="Q533" s="17" t="s">
        <v>43</v>
      </c>
    </row>
    <row r="534" spans="2:17">
      <c r="B534" s="11" t="s">
        <v>55</v>
      </c>
      <c r="C534" s="5" t="str">
        <f>IF(E534="","",IF(G534&lt;&gt;"",SUBSTITUTE(SUBSTITUTE(G534," ",""),"-",""),IF(F534&lt;&gt;"",SUBSTITUTE(SUBSTITUTE(F534," ",""),"-",""),"")))</f>
        <v>RGH26P01</v>
      </c>
      <c r="D534" s="6" t="s">
        <v>36</v>
      </c>
      <c r="E534" s="11" t="s">
        <v>47</v>
      </c>
      <c r="F534" s="11" t="s">
        <v>1109</v>
      </c>
      <c r="G534" s="11" t="s">
        <v>1111</v>
      </c>
      <c r="H534" s="18">
        <v>11.24</v>
      </c>
      <c r="I534" s="5" t="s">
        <v>52</v>
      </c>
      <c r="J534" s="19">
        <v>4</v>
      </c>
      <c r="K534" s="5" t="s">
        <v>49</v>
      </c>
      <c r="L534" s="5" t="s">
        <v>786</v>
      </c>
      <c r="M534" s="23" t="s">
        <v>1110</v>
      </c>
      <c r="N534" s="25"/>
      <c r="O534" s="25"/>
      <c r="P534" s="25"/>
      <c r="Q534" s="17" t="s">
        <v>43</v>
      </c>
    </row>
    <row r="535" spans="2:17">
      <c r="B535" s="11" t="s">
        <v>55</v>
      </c>
      <c r="C535" s="5" t="str">
        <f>IF(E535="","",IF(G535&lt;&gt;"",SUBSTITUTE(SUBSTITUTE(G535," ",""),"-",""),IF(F535&lt;&gt;"",SUBSTITUTE(SUBSTITUTE(F535," ",""),"-",""),"")))</f>
        <v>RGH26P02</v>
      </c>
      <c r="D535" s="6" t="s">
        <v>36</v>
      </c>
      <c r="E535" s="11" t="s">
        <v>47</v>
      </c>
      <c r="F535" s="11" t="s">
        <v>1109</v>
      </c>
      <c r="G535" s="11" t="s">
        <v>1112</v>
      </c>
      <c r="H535" s="18">
        <v>11.24</v>
      </c>
      <c r="I535" s="5" t="s">
        <v>52</v>
      </c>
      <c r="J535" s="19">
        <v>4</v>
      </c>
      <c r="K535" s="5" t="s">
        <v>49</v>
      </c>
      <c r="L535" s="5" t="s">
        <v>786</v>
      </c>
      <c r="M535" s="23" t="s">
        <v>1110</v>
      </c>
      <c r="N535" s="25"/>
      <c r="O535" s="25"/>
      <c r="P535" s="25"/>
      <c r="Q535" s="17" t="s">
        <v>43</v>
      </c>
    </row>
    <row r="536" spans="2:17">
      <c r="B536" s="11" t="s">
        <v>55</v>
      </c>
      <c r="C536" s="5" t="str">
        <f>IF(E536="","",IF(G536&lt;&gt;"",SUBSTITUTE(SUBSTITUTE(G536," ",""),"-",""),IF(F536&lt;&gt;"",SUBSTITUTE(SUBSTITUTE(F536," ",""),"-",""),"")))</f>
        <v>RGH26P03</v>
      </c>
      <c r="D536" s="6" t="s">
        <v>36</v>
      </c>
      <c r="E536" s="11" t="s">
        <v>47</v>
      </c>
      <c r="F536" s="11" t="s">
        <v>1109</v>
      </c>
      <c r="G536" s="11" t="s">
        <v>1113</v>
      </c>
      <c r="H536" s="18">
        <v>11.24</v>
      </c>
      <c r="I536" s="5" t="s">
        <v>52</v>
      </c>
      <c r="J536" s="19">
        <v>4</v>
      </c>
      <c r="K536" s="5" t="s">
        <v>49</v>
      </c>
      <c r="L536" s="5" t="s">
        <v>786</v>
      </c>
      <c r="M536" s="23" t="s">
        <v>1110</v>
      </c>
      <c r="N536" s="25"/>
      <c r="O536" s="25"/>
      <c r="P536" s="25"/>
      <c r="Q536" s="17" t="s">
        <v>43</v>
      </c>
    </row>
    <row r="537" spans="2:17">
      <c r="B537" s="11" t="s">
        <v>55</v>
      </c>
      <c r="C537" s="5" t="str">
        <f>IF(E537="","",IF(G537&lt;&gt;"",SUBSTITUTE(SUBSTITUTE(G537," ",""),"-",""),IF(F537&lt;&gt;"",SUBSTITUTE(SUBSTITUTE(F537," ",""),"-",""),"")))</f>
        <v>RGH26P04</v>
      </c>
      <c r="D537" s="6" t="s">
        <v>36</v>
      </c>
      <c r="E537" s="11" t="s">
        <v>47</v>
      </c>
      <c r="F537" s="11" t="s">
        <v>1109</v>
      </c>
      <c r="G537" s="11" t="s">
        <v>1114</v>
      </c>
      <c r="H537" s="18">
        <v>11.24</v>
      </c>
      <c r="I537" s="5" t="s">
        <v>52</v>
      </c>
      <c r="J537" s="19">
        <v>4</v>
      </c>
      <c r="K537" s="5" t="s">
        <v>49</v>
      </c>
      <c r="L537" s="5" t="s">
        <v>786</v>
      </c>
      <c r="M537" s="23" t="s">
        <v>1110</v>
      </c>
      <c r="N537" s="25"/>
      <c r="O537" s="25"/>
      <c r="P537" s="25"/>
      <c r="Q537" s="17" t="s">
        <v>43</v>
      </c>
    </row>
    <row r="538" spans="2:17">
      <c r="B538" s="11" t="s">
        <v>55</v>
      </c>
      <c r="C538" s="5" t="str">
        <f>IF(E538="","",IF(G538&lt;&gt;"",SUBSTITUTE(SUBSTITUTE(G538," ",""),"-",""),IF(F538&lt;&gt;"",SUBSTITUTE(SUBSTITUTE(F538," ",""),"-",""),"")))</f>
        <v>RGH26P05</v>
      </c>
      <c r="D538" s="6" t="s">
        <v>36</v>
      </c>
      <c r="E538" s="11" t="s">
        <v>47</v>
      </c>
      <c r="F538" s="11" t="s">
        <v>1109</v>
      </c>
      <c r="G538" s="11" t="s">
        <v>1115</v>
      </c>
      <c r="H538" s="18">
        <v>11.24</v>
      </c>
      <c r="I538" s="5" t="s">
        <v>52</v>
      </c>
      <c r="J538" s="19">
        <v>4</v>
      </c>
      <c r="K538" s="5" t="s">
        <v>49</v>
      </c>
      <c r="L538" s="5" t="s">
        <v>786</v>
      </c>
      <c r="M538" s="23" t="s">
        <v>1110</v>
      </c>
      <c r="N538" s="25"/>
      <c r="O538" s="25"/>
      <c r="P538" s="25"/>
      <c r="Q538" s="17" t="s">
        <v>43</v>
      </c>
    </row>
    <row r="539" spans="2:17">
      <c r="B539" s="11" t="s">
        <v>55</v>
      </c>
      <c r="C539" s="5" t="str">
        <f>IF(E539="","",IF(G539&lt;&gt;"",SUBSTITUTE(SUBSTITUTE(G539," ",""),"-",""),IF(F539&lt;&gt;"",SUBSTITUTE(SUBSTITUTE(F539," ",""),"-",""),"")))</f>
        <v>RGH26P06</v>
      </c>
      <c r="D539" s="6" t="s">
        <v>36</v>
      </c>
      <c r="E539" s="11" t="s">
        <v>47</v>
      </c>
      <c r="F539" s="11" t="s">
        <v>1109</v>
      </c>
      <c r="G539" s="11" t="s">
        <v>1116</v>
      </c>
      <c r="H539" s="18">
        <v>11.24</v>
      </c>
      <c r="I539" s="5" t="s">
        <v>52</v>
      </c>
      <c r="J539" s="19">
        <v>4</v>
      </c>
      <c r="K539" s="5" t="s">
        <v>49</v>
      </c>
      <c r="L539" s="5" t="s">
        <v>786</v>
      </c>
      <c r="M539" s="23" t="s">
        <v>1110</v>
      </c>
      <c r="N539" s="25"/>
      <c r="O539" s="25"/>
      <c r="P539" s="25"/>
      <c r="Q539" s="17" t="s">
        <v>43</v>
      </c>
    </row>
    <row r="540" spans="2:17">
      <c r="B540" s="11" t="s">
        <v>55</v>
      </c>
      <c r="C540" s="5" t="str">
        <f>IF(E540="","",IF(G540&lt;&gt;"",SUBSTITUTE(SUBSTITUTE(G540," ",""),"-",""),IF(F540&lt;&gt;"",SUBSTITUTE(SUBSTITUTE(F540," ",""),"-",""),"")))</f>
        <v>RGH26P07</v>
      </c>
      <c r="D540" s="6" t="s">
        <v>36</v>
      </c>
      <c r="E540" s="11" t="s">
        <v>47</v>
      </c>
      <c r="F540" s="11" t="s">
        <v>1109</v>
      </c>
      <c r="G540" s="11" t="s">
        <v>1117</v>
      </c>
      <c r="H540" s="18">
        <v>11.24</v>
      </c>
      <c r="I540" s="5" t="s">
        <v>52</v>
      </c>
      <c r="J540" s="19">
        <v>4</v>
      </c>
      <c r="K540" s="5" t="s">
        <v>49</v>
      </c>
      <c r="L540" s="5" t="s">
        <v>786</v>
      </c>
      <c r="M540" s="23" t="s">
        <v>1110</v>
      </c>
      <c r="N540" s="25"/>
      <c r="O540" s="25"/>
      <c r="P540" s="25"/>
      <c r="Q540" s="17" t="s">
        <v>43</v>
      </c>
    </row>
    <row r="541" spans="2:17">
      <c r="B541" s="11" t="s">
        <v>55</v>
      </c>
      <c r="C541" s="5" t="str">
        <f>IF(E541="","",IF(G541&lt;&gt;"",SUBSTITUTE(SUBSTITUTE(G541," ",""),"-",""),IF(F541&lt;&gt;"",SUBSTITUTE(SUBSTITUTE(F541," ",""),"-",""),"")))</f>
        <v>RGH26P08</v>
      </c>
      <c r="D541" s="6" t="s">
        <v>36</v>
      </c>
      <c r="E541" s="11" t="s">
        <v>47</v>
      </c>
      <c r="F541" s="11" t="s">
        <v>1109</v>
      </c>
      <c r="G541" s="11" t="s">
        <v>1118</v>
      </c>
      <c r="H541" s="18">
        <v>11.24</v>
      </c>
      <c r="I541" s="5" t="s">
        <v>52</v>
      </c>
      <c r="J541" s="19">
        <v>4</v>
      </c>
      <c r="K541" s="5" t="s">
        <v>49</v>
      </c>
      <c r="L541" s="5" t="s">
        <v>786</v>
      </c>
      <c r="M541" s="23" t="s">
        <v>1110</v>
      </c>
      <c r="N541" s="25"/>
      <c r="O541" s="25"/>
      <c r="P541" s="25"/>
      <c r="Q541" s="17" t="s">
        <v>43</v>
      </c>
    </row>
    <row r="542" spans="2:17">
      <c r="B542" s="11" t="s">
        <v>55</v>
      </c>
      <c r="C542" s="5" t="str">
        <f>IF(E542="","",IF(G542&lt;&gt;"",SUBSTITUTE(SUBSTITUTE(G542," ",""),"-",""),IF(F542&lt;&gt;"",SUBSTITUTE(SUBSTITUTE(F542," ",""),"-",""),"")))</f>
        <v>RGH26P09</v>
      </c>
      <c r="D542" s="6" t="s">
        <v>36</v>
      </c>
      <c r="E542" s="11" t="s">
        <v>47</v>
      </c>
      <c r="F542" s="11" t="s">
        <v>1109</v>
      </c>
      <c r="G542" s="11" t="s">
        <v>1119</v>
      </c>
      <c r="H542" s="18">
        <v>11.24</v>
      </c>
      <c r="I542" s="5" t="s">
        <v>52</v>
      </c>
      <c r="J542" s="19">
        <v>4</v>
      </c>
      <c r="K542" s="5" t="s">
        <v>49</v>
      </c>
      <c r="L542" s="5" t="s">
        <v>786</v>
      </c>
      <c r="M542" s="23" t="s">
        <v>1110</v>
      </c>
      <c r="N542" s="25"/>
      <c r="O542" s="25"/>
      <c r="P542" s="25"/>
      <c r="Q542" s="17" t="s">
        <v>43</v>
      </c>
    </row>
    <row r="543" spans="2:17">
      <c r="B543" s="11" t="s">
        <v>55</v>
      </c>
      <c r="C543" s="5" t="str">
        <f>IF(E543="","",IF(G543&lt;&gt;"",SUBSTITUTE(SUBSTITUTE(G543," ",""),"-",""),IF(F543&lt;&gt;"",SUBSTITUTE(SUBSTITUTE(F543," ",""),"-",""),"")))</f>
        <v>RGH26P10</v>
      </c>
      <c r="D543" s="6" t="s">
        <v>36</v>
      </c>
      <c r="E543" s="11" t="s">
        <v>47</v>
      </c>
      <c r="F543" s="11" t="s">
        <v>1109</v>
      </c>
      <c r="G543" s="11" t="s">
        <v>1120</v>
      </c>
      <c r="H543" s="18">
        <v>11.24</v>
      </c>
      <c r="I543" s="5" t="s">
        <v>52</v>
      </c>
      <c r="J543" s="19">
        <v>4</v>
      </c>
      <c r="K543" s="5" t="s">
        <v>49</v>
      </c>
      <c r="L543" s="5" t="s">
        <v>786</v>
      </c>
      <c r="M543" s="23" t="s">
        <v>1110</v>
      </c>
      <c r="N543" s="25"/>
      <c r="O543" s="25"/>
      <c r="P543" s="25"/>
      <c r="Q543" s="17" t="s">
        <v>43</v>
      </c>
    </row>
    <row r="544" spans="2:17">
      <c r="B544" s="11" t="s">
        <v>55</v>
      </c>
      <c r="C544" s="5" t="str">
        <f>IF(E544="","",IF(G544&lt;&gt;"",SUBSTITUTE(SUBSTITUTE(G544," ",""),"-",""),IF(F544&lt;&gt;"",SUBSTITUTE(SUBSTITUTE(F544," ",""),"-",""),"")))</f>
        <v>RGH26P11</v>
      </c>
      <c r="D544" s="6" t="s">
        <v>36</v>
      </c>
      <c r="E544" s="11" t="s">
        <v>47</v>
      </c>
      <c r="F544" s="11" t="s">
        <v>1109</v>
      </c>
      <c r="G544" s="11" t="s">
        <v>1121</v>
      </c>
      <c r="H544" s="18">
        <v>11.24</v>
      </c>
      <c r="I544" s="5" t="s">
        <v>52</v>
      </c>
      <c r="J544" s="19">
        <v>4</v>
      </c>
      <c r="K544" s="5" t="s">
        <v>49</v>
      </c>
      <c r="L544" s="5" t="s">
        <v>786</v>
      </c>
      <c r="M544" s="23" t="s">
        <v>1110</v>
      </c>
      <c r="N544" s="25"/>
      <c r="O544" s="25"/>
      <c r="P544" s="25"/>
      <c r="Q544" s="17" t="s">
        <v>43</v>
      </c>
    </row>
    <row r="545" spans="2:17">
      <c r="B545" s="11" t="s">
        <v>55</v>
      </c>
      <c r="C545" s="5" t="str">
        <f>IF(E545="","",IF(G545&lt;&gt;"",SUBSTITUTE(SUBSTITUTE(G545," ",""),"-",""),IF(F545&lt;&gt;"",SUBSTITUTE(SUBSTITUTE(F545," ",""),"-",""),"")))</f>
        <v>RGH26P12</v>
      </c>
      <c r="D545" s="6" t="s">
        <v>36</v>
      </c>
      <c r="E545" s="11" t="s">
        <v>47</v>
      </c>
      <c r="F545" s="11" t="s">
        <v>1109</v>
      </c>
      <c r="G545" s="11" t="s">
        <v>1122</v>
      </c>
      <c r="H545" s="18">
        <v>11.24</v>
      </c>
      <c r="I545" s="5" t="s">
        <v>52</v>
      </c>
      <c r="J545" s="19">
        <v>4</v>
      </c>
      <c r="K545" s="5" t="s">
        <v>49</v>
      </c>
      <c r="L545" s="5" t="s">
        <v>786</v>
      </c>
      <c r="M545" s="23" t="s">
        <v>1110</v>
      </c>
      <c r="N545" s="25"/>
      <c r="O545" s="25"/>
      <c r="P545" s="25"/>
      <c r="Q545" s="17" t="s">
        <v>43</v>
      </c>
    </row>
    <row r="546" spans="2:17">
      <c r="B546" s="11" t="s">
        <v>55</v>
      </c>
      <c r="C546" s="5" t="str">
        <f>IF(E546="","",IF(G546&lt;&gt;"",SUBSTITUTE(SUBSTITUTE(G546," ",""),"-",""),IF(F546&lt;&gt;"",SUBSTITUTE(SUBSTITUTE(F546," ",""),"-",""),"")))</f>
        <v>RGH26P13</v>
      </c>
      <c r="D546" s="6" t="s">
        <v>36</v>
      </c>
      <c r="E546" s="11" t="s">
        <v>47</v>
      </c>
      <c r="F546" s="11" t="s">
        <v>1109</v>
      </c>
      <c r="G546" s="11" t="s">
        <v>1123</v>
      </c>
      <c r="H546" s="18">
        <v>11.24</v>
      </c>
      <c r="I546" s="5" t="s">
        <v>52</v>
      </c>
      <c r="J546" s="19">
        <v>4</v>
      </c>
      <c r="K546" s="5" t="s">
        <v>49</v>
      </c>
      <c r="L546" s="5" t="s">
        <v>786</v>
      </c>
      <c r="M546" s="23" t="s">
        <v>1110</v>
      </c>
      <c r="N546" s="25"/>
      <c r="O546" s="25"/>
      <c r="P546" s="25"/>
      <c r="Q546" s="17" t="s">
        <v>43</v>
      </c>
    </row>
    <row r="547" spans="2:17">
      <c r="B547" s="11" t="s">
        <v>55</v>
      </c>
      <c r="C547" s="5" t="str">
        <f>IF(E547="","",IF(G547&lt;&gt;"",SUBSTITUTE(SUBSTITUTE(G547," ",""),"-",""),IF(F547&lt;&gt;"",SUBSTITUTE(SUBSTITUTE(F547," ",""),"-",""),"")))</f>
        <v>RGH26P14</v>
      </c>
      <c r="D547" s="6" t="s">
        <v>36</v>
      </c>
      <c r="E547" s="11" t="s">
        <v>47</v>
      </c>
      <c r="F547" s="11" t="s">
        <v>1109</v>
      </c>
      <c r="G547" s="11" t="s">
        <v>1124</v>
      </c>
      <c r="H547" s="18">
        <v>11.24</v>
      </c>
      <c r="I547" s="5" t="s">
        <v>52</v>
      </c>
      <c r="J547" s="19">
        <v>4</v>
      </c>
      <c r="K547" s="5" t="s">
        <v>49</v>
      </c>
      <c r="L547" s="5" t="s">
        <v>786</v>
      </c>
      <c r="M547" s="23" t="s">
        <v>1110</v>
      </c>
      <c r="N547" s="25"/>
      <c r="O547" s="25"/>
      <c r="P547" s="25"/>
      <c r="Q547" s="17" t="s">
        <v>43</v>
      </c>
    </row>
    <row r="548" spans="2:17">
      <c r="B548" s="11" t="s">
        <v>55</v>
      </c>
      <c r="C548" s="5" t="str">
        <f>IF(E548="","",IF(G548&lt;&gt;"",SUBSTITUTE(SUBSTITUTE(G548," ",""),"-",""),IF(F548&lt;&gt;"",SUBSTITUTE(SUBSTITUTE(F548," ",""),"-",""),"")))</f>
        <v>RGH26P15</v>
      </c>
      <c r="D548" s="6" t="s">
        <v>36</v>
      </c>
      <c r="E548" s="11" t="s">
        <v>47</v>
      </c>
      <c r="F548" s="11" t="s">
        <v>1109</v>
      </c>
      <c r="G548" s="11" t="s">
        <v>1125</v>
      </c>
      <c r="H548" s="18">
        <v>11.24</v>
      </c>
      <c r="I548" s="5" t="s">
        <v>52</v>
      </c>
      <c r="J548" s="19">
        <v>4</v>
      </c>
      <c r="K548" s="5" t="s">
        <v>49</v>
      </c>
      <c r="L548" s="5" t="s">
        <v>786</v>
      </c>
      <c r="M548" s="23" t="s">
        <v>1110</v>
      </c>
      <c r="N548" s="25"/>
      <c r="O548" s="25"/>
      <c r="P548" s="25"/>
      <c r="Q548" s="17" t="s">
        <v>43</v>
      </c>
    </row>
    <row r="549" spans="2:17">
      <c r="B549" s="11" t="s">
        <v>55</v>
      </c>
      <c r="C549" s="5" t="str">
        <f>IF(E549="","",IF(G549&lt;&gt;"",SUBSTITUTE(SUBSTITUTE(G549," ",""),"-",""),IF(F549&lt;&gt;"",SUBSTITUTE(SUBSTITUTE(F549," ",""),"-",""),"")))</f>
        <v>RGH26P16</v>
      </c>
      <c r="D549" s="6" t="s">
        <v>36</v>
      </c>
      <c r="E549" s="11" t="s">
        <v>47</v>
      </c>
      <c r="F549" s="11" t="s">
        <v>1109</v>
      </c>
      <c r="G549" s="11" t="s">
        <v>1126</v>
      </c>
      <c r="H549" s="18">
        <v>11.24</v>
      </c>
      <c r="I549" s="5" t="s">
        <v>52</v>
      </c>
      <c r="J549" s="19">
        <v>4</v>
      </c>
      <c r="K549" s="5" t="s">
        <v>49</v>
      </c>
      <c r="L549" s="5" t="s">
        <v>786</v>
      </c>
      <c r="M549" s="23" t="s">
        <v>1110</v>
      </c>
      <c r="N549" s="25"/>
      <c r="O549" s="25"/>
      <c r="P549" s="25"/>
      <c r="Q549" s="17" t="s">
        <v>43</v>
      </c>
    </row>
    <row r="550" spans="2:17">
      <c r="B550" s="11" t="s">
        <v>55</v>
      </c>
      <c r="C550" s="5" t="str">
        <f>IF(E550="","",IF(G550&lt;&gt;"",SUBSTITUTE(SUBSTITUTE(G550," ",""),"-",""),IF(F550&lt;&gt;"",SUBSTITUTE(SUBSTITUTE(F550," ",""),"-",""),"")))</f>
        <v>RGH26P17</v>
      </c>
      <c r="D550" s="6" t="s">
        <v>36</v>
      </c>
      <c r="E550" s="11" t="s">
        <v>47</v>
      </c>
      <c r="F550" s="11" t="s">
        <v>1109</v>
      </c>
      <c r="G550" s="11" t="s">
        <v>1127</v>
      </c>
      <c r="H550" s="18">
        <v>11.24</v>
      </c>
      <c r="I550" s="5" t="s">
        <v>52</v>
      </c>
      <c r="J550" s="19">
        <v>4</v>
      </c>
      <c r="K550" s="5" t="s">
        <v>49</v>
      </c>
      <c r="L550" s="5" t="s">
        <v>786</v>
      </c>
      <c r="M550" s="23" t="s">
        <v>1110</v>
      </c>
      <c r="N550" s="25"/>
      <c r="O550" s="25"/>
      <c r="P550" s="25"/>
      <c r="Q550" s="17" t="s">
        <v>43</v>
      </c>
    </row>
    <row r="551" spans="2:17">
      <c r="B551" s="11" t="s">
        <v>55</v>
      </c>
      <c r="C551" s="5" t="str">
        <f>IF(E551="","",IF(G551&lt;&gt;"",SUBSTITUTE(SUBSTITUTE(G551," ",""),"-",""),IF(F551&lt;&gt;"",SUBSTITUTE(SUBSTITUTE(F551," ",""),"-",""),"")))</f>
        <v>RGH26P18</v>
      </c>
      <c r="D551" s="6" t="s">
        <v>36</v>
      </c>
      <c r="E551" s="11" t="s">
        <v>47</v>
      </c>
      <c r="F551" s="11" t="s">
        <v>1109</v>
      </c>
      <c r="G551" s="11" t="s">
        <v>1128</v>
      </c>
      <c r="H551" s="18">
        <v>11.24</v>
      </c>
      <c r="I551" s="5" t="s">
        <v>52</v>
      </c>
      <c r="J551" s="19">
        <v>4</v>
      </c>
      <c r="K551" s="5" t="s">
        <v>49</v>
      </c>
      <c r="L551" s="5" t="s">
        <v>786</v>
      </c>
      <c r="M551" s="23" t="s">
        <v>1110</v>
      </c>
      <c r="N551" s="25"/>
      <c r="O551" s="25"/>
      <c r="P551" s="25"/>
      <c r="Q551" s="17" t="s">
        <v>43</v>
      </c>
    </row>
    <row r="552" spans="2:17">
      <c r="B552" s="11" t="s">
        <v>55</v>
      </c>
      <c r="C552" s="5" t="str">
        <f>IF(E552="","",IF(G552&lt;&gt;"",SUBSTITUTE(SUBSTITUTE(G552," ",""),"-",""),IF(F552&lt;&gt;"",SUBSTITUTE(SUBSTITUTE(F552," ",""),"-",""),"")))</f>
        <v>RGH26P19</v>
      </c>
      <c r="D552" s="6" t="s">
        <v>36</v>
      </c>
      <c r="E552" s="11" t="s">
        <v>47</v>
      </c>
      <c r="F552" s="11" t="s">
        <v>1109</v>
      </c>
      <c r="G552" s="11" t="s">
        <v>1129</v>
      </c>
      <c r="H552" s="18">
        <v>11.24</v>
      </c>
      <c r="I552" s="5" t="s">
        <v>52</v>
      </c>
      <c r="J552" s="19">
        <v>4</v>
      </c>
      <c r="K552" s="5" t="s">
        <v>49</v>
      </c>
      <c r="L552" s="5" t="s">
        <v>786</v>
      </c>
      <c r="M552" s="23" t="s">
        <v>1110</v>
      </c>
      <c r="N552" s="25"/>
      <c r="O552" s="25"/>
      <c r="P552" s="25"/>
      <c r="Q552" s="17" t="s">
        <v>43</v>
      </c>
    </row>
    <row r="553" spans="2:17">
      <c r="B553" s="11" t="s">
        <v>55</v>
      </c>
      <c r="C553" s="5" t="str">
        <f>IF(E553="","",IF(G553&lt;&gt;"",SUBSTITUTE(SUBSTITUTE(G553," ",""),"-",""),IF(F553&lt;&gt;"",SUBSTITUTE(SUBSTITUTE(F553," ",""),"-",""),"")))</f>
        <v>RGH26P20</v>
      </c>
      <c r="D553" s="6" t="s">
        <v>36</v>
      </c>
      <c r="E553" s="11" t="s">
        <v>47</v>
      </c>
      <c r="F553" s="11" t="s">
        <v>1109</v>
      </c>
      <c r="G553" s="11" t="s">
        <v>1130</v>
      </c>
      <c r="H553" s="18">
        <v>11.24</v>
      </c>
      <c r="I553" s="5" t="s">
        <v>52</v>
      </c>
      <c r="J553" s="19">
        <v>4</v>
      </c>
      <c r="K553" s="5" t="s">
        <v>49</v>
      </c>
      <c r="L553" s="5" t="s">
        <v>786</v>
      </c>
      <c r="M553" s="23" t="s">
        <v>1110</v>
      </c>
      <c r="N553" s="25"/>
      <c r="O553" s="25"/>
      <c r="P553" s="25"/>
      <c r="Q553" s="17" t="s">
        <v>43</v>
      </c>
    </row>
    <row r="554" spans="2:17">
      <c r="B554" s="11" t="s">
        <v>55</v>
      </c>
      <c r="C554" s="5" t="str">
        <f>IF(E554="","",IF(G554&lt;&gt;"",SUBSTITUTE(SUBSTITUTE(G554," ",""),"-",""),IF(F554&lt;&gt;"",SUBSTITUTE(SUBSTITUTE(F554," ",""),"-",""),"")))</f>
        <v>RGH26P21</v>
      </c>
      <c r="D554" s="6" t="s">
        <v>36</v>
      </c>
      <c r="E554" s="11" t="s">
        <v>47</v>
      </c>
      <c r="F554" s="11" t="s">
        <v>1109</v>
      </c>
      <c r="G554" s="11" t="s">
        <v>1131</v>
      </c>
      <c r="H554" s="18">
        <v>11.24</v>
      </c>
      <c r="I554" s="5" t="s">
        <v>52</v>
      </c>
      <c r="J554" s="19">
        <v>4</v>
      </c>
      <c r="K554" s="5" t="s">
        <v>49</v>
      </c>
      <c r="L554" s="5" t="s">
        <v>786</v>
      </c>
      <c r="M554" s="23" t="s">
        <v>1110</v>
      </c>
      <c r="N554" s="25"/>
      <c r="O554" s="25"/>
      <c r="P554" s="25"/>
      <c r="Q554" s="17" t="s">
        <v>43</v>
      </c>
    </row>
    <row r="555" spans="2:17">
      <c r="B555" s="11" t="s">
        <v>55</v>
      </c>
      <c r="C555" s="5" t="str">
        <f>IF(E555="","",IF(G555&lt;&gt;"",SUBSTITUTE(SUBSTITUTE(G555," ",""),"-",""),IF(F555&lt;&gt;"",SUBSTITUTE(SUBSTITUTE(F555," ",""),"-",""),"")))</f>
        <v>RGH26P22</v>
      </c>
      <c r="D555" s="6" t="s">
        <v>36</v>
      </c>
      <c r="E555" s="11" t="s">
        <v>47</v>
      </c>
      <c r="F555" s="11" t="s">
        <v>1109</v>
      </c>
      <c r="G555" s="11" t="s">
        <v>1132</v>
      </c>
      <c r="H555" s="18">
        <v>11.24</v>
      </c>
      <c r="I555" s="5" t="s">
        <v>52</v>
      </c>
      <c r="J555" s="19">
        <v>4</v>
      </c>
      <c r="K555" s="5" t="s">
        <v>49</v>
      </c>
      <c r="L555" s="5" t="s">
        <v>786</v>
      </c>
      <c r="M555" s="23" t="s">
        <v>1110</v>
      </c>
      <c r="N555" s="25"/>
      <c r="O555" s="25"/>
      <c r="P555" s="25"/>
      <c r="Q555" s="17" t="s">
        <v>43</v>
      </c>
    </row>
    <row r="556" spans="2:17">
      <c r="B556" s="11" t="s">
        <v>55</v>
      </c>
      <c r="C556" s="5" t="str">
        <f>IF(E556="","",IF(G556&lt;&gt;"",SUBSTITUTE(SUBSTITUTE(G556," ",""),"-",""),IF(F556&lt;&gt;"",SUBSTITUTE(SUBSTITUTE(F556," ",""),"-",""),"")))</f>
        <v>RGH26P23</v>
      </c>
      <c r="D556" s="6" t="s">
        <v>36</v>
      </c>
      <c r="E556" s="11" t="s">
        <v>47</v>
      </c>
      <c r="F556" s="11" t="s">
        <v>1109</v>
      </c>
      <c r="G556" s="11" t="s">
        <v>1133</v>
      </c>
      <c r="H556" s="18">
        <v>11.24</v>
      </c>
      <c r="I556" s="5" t="s">
        <v>52</v>
      </c>
      <c r="J556" s="19">
        <v>4</v>
      </c>
      <c r="K556" s="5" t="s">
        <v>49</v>
      </c>
      <c r="L556" s="5" t="s">
        <v>786</v>
      </c>
      <c r="M556" s="23" t="s">
        <v>1110</v>
      </c>
      <c r="N556" s="25"/>
      <c r="O556" s="25"/>
      <c r="P556" s="25"/>
      <c r="Q556" s="17" t="s">
        <v>43</v>
      </c>
    </row>
    <row r="557" spans="2:17">
      <c r="B557" s="11" t="s">
        <v>55</v>
      </c>
      <c r="C557" s="5" t="str">
        <f>IF(E557="","",IF(G557&lt;&gt;"",SUBSTITUTE(SUBSTITUTE(G557," ",""),"-",""),IF(F557&lt;&gt;"",SUBSTITUTE(SUBSTITUTE(F557," ",""),"-",""),"")))</f>
        <v>RGH26P24</v>
      </c>
      <c r="D557" s="6" t="s">
        <v>36</v>
      </c>
      <c r="E557" s="11" t="s">
        <v>47</v>
      </c>
      <c r="F557" s="11" t="s">
        <v>1109</v>
      </c>
      <c r="G557" s="11" t="s">
        <v>1134</v>
      </c>
      <c r="H557" s="18">
        <v>11.24</v>
      </c>
      <c r="I557" s="5" t="s">
        <v>52</v>
      </c>
      <c r="J557" s="19">
        <v>4</v>
      </c>
      <c r="K557" s="5" t="s">
        <v>49</v>
      </c>
      <c r="L557" s="5" t="s">
        <v>786</v>
      </c>
      <c r="M557" s="23" t="s">
        <v>1110</v>
      </c>
      <c r="N557" s="25"/>
      <c r="O557" s="25"/>
      <c r="P557" s="25"/>
      <c r="Q557" s="17" t="s">
        <v>43</v>
      </c>
    </row>
    <row r="558" spans="2:17">
      <c r="B558" s="11" t="s">
        <v>55</v>
      </c>
      <c r="C558" s="5" t="str">
        <f>IF(E558="","",IF(G558&lt;&gt;"",SUBSTITUTE(SUBSTITUTE(G558," ",""),"-",""),IF(F558&lt;&gt;"",SUBSTITUTE(SUBSTITUTE(F558," ",""),"-",""),"")))</f>
        <v>RGH26P25</v>
      </c>
      <c r="D558" s="6" t="s">
        <v>36</v>
      </c>
      <c r="E558" s="11" t="s">
        <v>47</v>
      </c>
      <c r="F558" s="11" t="s">
        <v>1109</v>
      </c>
      <c r="G558" s="11" t="s">
        <v>1135</v>
      </c>
      <c r="H558" s="18">
        <v>11.24</v>
      </c>
      <c r="I558" s="5" t="s">
        <v>52</v>
      </c>
      <c r="J558" s="19">
        <v>4</v>
      </c>
      <c r="K558" s="5" t="s">
        <v>49</v>
      </c>
      <c r="L558" s="5" t="s">
        <v>786</v>
      </c>
      <c r="M558" s="23" t="s">
        <v>1110</v>
      </c>
      <c r="N558" s="25"/>
      <c r="O558" s="25"/>
      <c r="P558" s="25"/>
      <c r="Q558" s="17" t="s">
        <v>43</v>
      </c>
    </row>
    <row r="559" spans="2:17">
      <c r="B559" s="11" t="s">
        <v>55</v>
      </c>
      <c r="C559" s="5" t="str">
        <f>IF(E559="","",IF(G559&lt;&gt;"",SUBSTITUTE(SUBSTITUTE(G559," ",""),"-",""),IF(F559&lt;&gt;"",SUBSTITUTE(SUBSTITUTE(F559," ",""),"-",""),"")))</f>
        <v>RGH26P26</v>
      </c>
      <c r="D559" s="6" t="s">
        <v>36</v>
      </c>
      <c r="E559" s="11" t="s">
        <v>47</v>
      </c>
      <c r="F559" s="11" t="s">
        <v>1109</v>
      </c>
      <c r="G559" s="11" t="s">
        <v>1136</v>
      </c>
      <c r="H559" s="18">
        <v>11.24</v>
      </c>
      <c r="I559" s="5" t="s">
        <v>52</v>
      </c>
      <c r="J559" s="19">
        <v>4</v>
      </c>
      <c r="K559" s="5" t="s">
        <v>49</v>
      </c>
      <c r="L559" s="5" t="s">
        <v>786</v>
      </c>
      <c r="M559" s="23" t="s">
        <v>1110</v>
      </c>
      <c r="N559" s="20"/>
      <c r="O559" s="20"/>
      <c r="P559" s="20"/>
      <c r="Q559" s="17"/>
    </row>
    <row r="560" spans="2:17">
      <c r="B560" s="11"/>
      <c r="C560" s="5" t="str">
        <f>IF(E560="","",IF(G560&lt;&gt;"",SUBSTITUTE(SUBSTITUTE(G560," ",""),"-",""),IF(F560&lt;&gt;"",SUBSTITUTE(SUBSTITUTE(F560," ",""),"-",""),"")))</f>
        <v/>
      </c>
      <c r="D560" s="6"/>
      <c r="E560" s="11"/>
      <c r="F560" s="11"/>
      <c r="G560" s="11"/>
      <c r="H560" s="18"/>
      <c r="J560" s="19"/>
      <c r="M560" s="23"/>
      <c r="N560" s="20"/>
      <c r="O560" s="20"/>
      <c r="P560" s="20"/>
      <c r="Q560" s="17"/>
    </row>
    <row r="561" spans="2:17">
      <c r="B561" s="11"/>
      <c r="C561" s="5" t="str">
        <f>IF(E561="","",IF(G561&lt;&gt;"",SUBSTITUTE(SUBSTITUTE(G561," ",""),"-",""),IF(F561&lt;&gt;"",SUBSTITUTE(SUBSTITUTE(F561," ",""),"-",""),"")))</f>
        <v/>
      </c>
      <c r="D561" s="6"/>
      <c r="E561" s="11"/>
      <c r="F561" s="11"/>
      <c r="G561" s="11"/>
      <c r="H561" s="18"/>
      <c r="J561" s="19"/>
      <c r="M561" s="23"/>
      <c r="N561" s="20"/>
      <c r="O561" s="20"/>
      <c r="P561" s="20"/>
      <c r="Q561" s="17"/>
    </row>
    <row r="562" spans="2:17">
      <c r="B562" s="11"/>
      <c r="C562" s="5" t="str">
        <f>IF(E562="","",IF(G562&lt;&gt;"",SUBSTITUTE(SUBSTITUTE(G562," ",""),"-",""),IF(F562&lt;&gt;"",SUBSTITUTE(SUBSTITUTE(F562," ",""),"-",""),"")))</f>
        <v/>
      </c>
      <c r="D562" s="6"/>
      <c r="E562" s="11"/>
      <c r="F562" s="11"/>
      <c r="G562" s="11"/>
      <c r="H562" s="18"/>
      <c r="J562" s="19"/>
      <c r="M562" s="23"/>
      <c r="N562" s="20"/>
      <c r="O562" s="20"/>
      <c r="P562" s="20"/>
      <c r="Q562" s="17"/>
    </row>
    <row r="563" spans="2:17">
      <c r="B563" s="11"/>
      <c r="C563" s="5" t="str">
        <f>IF(E563="","",IF(G563&lt;&gt;"",SUBSTITUTE(SUBSTITUTE(G563," ",""),"-",""),IF(F563&lt;&gt;"",SUBSTITUTE(SUBSTITUTE(F563," ",""),"-",""),"")))</f>
        <v/>
      </c>
      <c r="D563" s="6"/>
      <c r="E563" s="11"/>
      <c r="F563" s="11"/>
      <c r="G563" s="11"/>
      <c r="H563" s="18"/>
      <c r="J563" s="19"/>
      <c r="M563" s="23"/>
      <c r="N563" s="20"/>
      <c r="O563" s="20"/>
      <c r="P563" s="20"/>
      <c r="Q563" s="17"/>
    </row>
    <row r="564" spans="2:17">
      <c r="B564" s="11" t="s">
        <v>50</v>
      </c>
      <c r="C564" s="5" t="str">
        <f>IF(E564="","",IF(G564&lt;&gt;"",SUBSTITUTE(SUBSTITUTE(G564," ",""),"-",""),IF(F564&lt;&gt;"",SUBSTITUTE(SUBSTITUTE(F564," ",""),"-",""),"")))</f>
        <v>RGHC</v>
      </c>
      <c r="D564" s="6" t="s">
        <v>36</v>
      </c>
      <c r="E564" s="11" t="s">
        <v>47</v>
      </c>
      <c r="F564" s="11" t="s">
        <v>1137</v>
      </c>
      <c r="G564" s="11"/>
      <c r="H564" s="18">
        <v>124.28</v>
      </c>
      <c r="I564" s="5" t="s">
        <v>52</v>
      </c>
      <c r="J564" s="19">
        <v>52</v>
      </c>
      <c r="K564" s="5" t="s">
        <v>49</v>
      </c>
      <c r="L564" s="5" t="s">
        <v>786</v>
      </c>
      <c r="M564" s="23" t="s">
        <v>1138</v>
      </c>
      <c r="N564" s="25"/>
      <c r="O564" s="25"/>
      <c r="P564" s="25"/>
      <c r="Q564" s="17" t="s">
        <v>43</v>
      </c>
    </row>
    <row r="565" spans="2:17">
      <c r="B565" s="11" t="s">
        <v>55</v>
      </c>
      <c r="C565" s="5" t="str">
        <f>IF(E565="","",IF(G565&lt;&gt;"",SUBSTITUTE(SUBSTITUTE(G565," ",""),"-",""),IF(F565&lt;&gt;"",SUBSTITUTE(SUBSTITUTE(F565," ",""),"-",""),"")))</f>
        <v>RGHC01</v>
      </c>
      <c r="D565" s="6" t="s">
        <v>36</v>
      </c>
      <c r="E565" s="11" t="s">
        <v>47</v>
      </c>
      <c r="F565" s="11" t="s">
        <v>1137</v>
      </c>
      <c r="G565" s="11" t="s">
        <v>1139</v>
      </c>
      <c r="H565" s="18">
        <v>4.78</v>
      </c>
      <c r="I565" s="5" t="s">
        <v>52</v>
      </c>
      <c r="J565" s="19">
        <v>2</v>
      </c>
      <c r="K565" s="5" t="s">
        <v>49</v>
      </c>
      <c r="L565" s="5" t="s">
        <v>786</v>
      </c>
      <c r="M565" s="23" t="s">
        <v>1138</v>
      </c>
      <c r="N565" s="25"/>
      <c r="O565" s="25"/>
      <c r="P565" s="25"/>
      <c r="Q565" s="17" t="s">
        <v>43</v>
      </c>
    </row>
    <row r="566" spans="2:17">
      <c r="B566" s="11" t="s">
        <v>55</v>
      </c>
      <c r="C566" s="5" t="str">
        <f>IF(E566="","",IF(G566&lt;&gt;"",SUBSTITUTE(SUBSTITUTE(G566," ",""),"-",""),IF(F566&lt;&gt;"",SUBSTITUTE(SUBSTITUTE(F566," ",""),"-",""),"")))</f>
        <v>RGHC02</v>
      </c>
      <c r="D566" s="6" t="s">
        <v>36</v>
      </c>
      <c r="E566" s="11" t="s">
        <v>47</v>
      </c>
      <c r="F566" s="11" t="s">
        <v>1137</v>
      </c>
      <c r="G566" s="11" t="s">
        <v>1140</v>
      </c>
      <c r="H566" s="18">
        <v>4.78</v>
      </c>
      <c r="I566" s="5" t="s">
        <v>52</v>
      </c>
      <c r="J566" s="19">
        <v>2</v>
      </c>
      <c r="K566" s="5" t="s">
        <v>49</v>
      </c>
      <c r="L566" s="5" t="s">
        <v>786</v>
      </c>
      <c r="M566" s="23" t="s">
        <v>1138</v>
      </c>
      <c r="N566" s="25"/>
      <c r="O566" s="25"/>
      <c r="P566" s="25"/>
      <c r="Q566" s="17" t="s">
        <v>43</v>
      </c>
    </row>
    <row r="567" spans="2:17">
      <c r="B567" s="11" t="s">
        <v>55</v>
      </c>
      <c r="C567" s="5" t="str">
        <f>IF(E567="","",IF(G567&lt;&gt;"",SUBSTITUTE(SUBSTITUTE(G567," ",""),"-",""),IF(F567&lt;&gt;"",SUBSTITUTE(SUBSTITUTE(F567," ",""),"-",""),"")))</f>
        <v>RGHC03</v>
      </c>
      <c r="D567" s="6" t="s">
        <v>36</v>
      </c>
      <c r="E567" s="11" t="s">
        <v>47</v>
      </c>
      <c r="F567" s="11" t="s">
        <v>1137</v>
      </c>
      <c r="G567" s="11" t="s">
        <v>1141</v>
      </c>
      <c r="H567" s="18">
        <v>4.78</v>
      </c>
      <c r="I567" s="5" t="s">
        <v>52</v>
      </c>
      <c r="J567" s="19">
        <v>2</v>
      </c>
      <c r="K567" s="5" t="s">
        <v>49</v>
      </c>
      <c r="L567" s="5" t="s">
        <v>786</v>
      </c>
      <c r="M567" s="23" t="s">
        <v>1138</v>
      </c>
      <c r="N567" s="25"/>
      <c r="O567" s="25"/>
      <c r="P567" s="25"/>
      <c r="Q567" s="17" t="s">
        <v>43</v>
      </c>
    </row>
    <row r="568" spans="2:17">
      <c r="B568" s="11" t="s">
        <v>55</v>
      </c>
      <c r="C568" s="5" t="str">
        <f>IF(E568="","",IF(G568&lt;&gt;"",SUBSTITUTE(SUBSTITUTE(G568," ",""),"-",""),IF(F568&lt;&gt;"",SUBSTITUTE(SUBSTITUTE(F568," ",""),"-",""),"")))</f>
        <v>RGHC04</v>
      </c>
      <c r="D568" s="6" t="s">
        <v>36</v>
      </c>
      <c r="E568" s="11" t="s">
        <v>47</v>
      </c>
      <c r="F568" s="11" t="s">
        <v>1137</v>
      </c>
      <c r="G568" s="11" t="s">
        <v>1142</v>
      </c>
      <c r="H568" s="18">
        <v>4.78</v>
      </c>
      <c r="I568" s="5" t="s">
        <v>52</v>
      </c>
      <c r="J568" s="19">
        <v>2</v>
      </c>
      <c r="K568" s="5" t="s">
        <v>49</v>
      </c>
      <c r="L568" s="5" t="s">
        <v>786</v>
      </c>
      <c r="M568" s="23" t="s">
        <v>1138</v>
      </c>
      <c r="N568" s="25"/>
      <c r="O568" s="25"/>
      <c r="P568" s="25"/>
      <c r="Q568" s="17" t="s">
        <v>43</v>
      </c>
    </row>
    <row r="569" spans="2:17">
      <c r="B569" s="11" t="s">
        <v>55</v>
      </c>
      <c r="C569" s="5" t="str">
        <f>IF(E569="","",IF(G569&lt;&gt;"",SUBSTITUTE(SUBSTITUTE(G569," ",""),"-",""),IF(F569&lt;&gt;"",SUBSTITUTE(SUBSTITUTE(F569," ",""),"-",""),"")))</f>
        <v>RGHC05</v>
      </c>
      <c r="D569" s="6" t="s">
        <v>36</v>
      </c>
      <c r="E569" s="11" t="s">
        <v>47</v>
      </c>
      <c r="F569" s="11" t="s">
        <v>1137</v>
      </c>
      <c r="G569" s="11" t="s">
        <v>1143</v>
      </c>
      <c r="H569" s="18">
        <v>4.78</v>
      </c>
      <c r="I569" s="5" t="s">
        <v>52</v>
      </c>
      <c r="J569" s="19">
        <v>2</v>
      </c>
      <c r="K569" s="5" t="s">
        <v>49</v>
      </c>
      <c r="L569" s="5" t="s">
        <v>786</v>
      </c>
      <c r="M569" s="23" t="s">
        <v>1138</v>
      </c>
      <c r="N569" s="25"/>
      <c r="O569" s="25"/>
      <c r="P569" s="25"/>
      <c r="Q569" s="17" t="s">
        <v>43</v>
      </c>
    </row>
    <row r="570" spans="2:17">
      <c r="B570" s="11" t="s">
        <v>55</v>
      </c>
      <c r="C570" s="5" t="str">
        <f>IF(E570="","",IF(G570&lt;&gt;"",SUBSTITUTE(SUBSTITUTE(G570," ",""),"-",""),IF(F570&lt;&gt;"",SUBSTITUTE(SUBSTITUTE(F570," ",""),"-",""),"")))</f>
        <v>RGHC06</v>
      </c>
      <c r="D570" s="6" t="s">
        <v>36</v>
      </c>
      <c r="E570" s="11" t="s">
        <v>47</v>
      </c>
      <c r="F570" s="11" t="s">
        <v>1137</v>
      </c>
      <c r="G570" s="11" t="s">
        <v>1144</v>
      </c>
      <c r="H570" s="18">
        <v>4.78</v>
      </c>
      <c r="I570" s="5" t="s">
        <v>52</v>
      </c>
      <c r="J570" s="19">
        <v>2</v>
      </c>
      <c r="K570" s="5" t="s">
        <v>49</v>
      </c>
      <c r="L570" s="5" t="s">
        <v>786</v>
      </c>
      <c r="M570" s="23" t="s">
        <v>1138</v>
      </c>
      <c r="N570" s="25"/>
      <c r="O570" s="25"/>
      <c r="P570" s="25"/>
      <c r="Q570" s="17" t="s">
        <v>43</v>
      </c>
    </row>
    <row r="571" spans="2:17">
      <c r="B571" s="11" t="s">
        <v>55</v>
      </c>
      <c r="C571" s="5" t="str">
        <f>IF(E571="","",IF(G571&lt;&gt;"",SUBSTITUTE(SUBSTITUTE(G571," ",""),"-",""),IF(F571&lt;&gt;"",SUBSTITUTE(SUBSTITUTE(F571," ",""),"-",""),"")))</f>
        <v>RGHC07</v>
      </c>
      <c r="D571" s="6" t="s">
        <v>36</v>
      </c>
      <c r="E571" s="11" t="s">
        <v>47</v>
      </c>
      <c r="F571" s="11" t="s">
        <v>1137</v>
      </c>
      <c r="G571" s="11" t="s">
        <v>1145</v>
      </c>
      <c r="H571" s="18">
        <v>4.78</v>
      </c>
      <c r="I571" s="5" t="s">
        <v>52</v>
      </c>
      <c r="J571" s="19">
        <v>2</v>
      </c>
      <c r="K571" s="5" t="s">
        <v>49</v>
      </c>
      <c r="L571" s="5" t="s">
        <v>786</v>
      </c>
      <c r="M571" s="23" t="s">
        <v>1138</v>
      </c>
      <c r="N571" s="25"/>
      <c r="O571" s="25"/>
      <c r="P571" s="25"/>
      <c r="Q571" s="17" t="s">
        <v>43</v>
      </c>
    </row>
    <row r="572" spans="2:17">
      <c r="B572" s="11" t="s">
        <v>55</v>
      </c>
      <c r="C572" s="5" t="str">
        <f>IF(E572="","",IF(G572&lt;&gt;"",SUBSTITUTE(SUBSTITUTE(G572," ",""),"-",""),IF(F572&lt;&gt;"",SUBSTITUTE(SUBSTITUTE(F572," ",""),"-",""),"")))</f>
        <v>RGHC08</v>
      </c>
      <c r="D572" s="6" t="s">
        <v>36</v>
      </c>
      <c r="E572" s="11" t="s">
        <v>47</v>
      </c>
      <c r="F572" s="11" t="s">
        <v>1137</v>
      </c>
      <c r="G572" s="11" t="s">
        <v>1146</v>
      </c>
      <c r="H572" s="18">
        <v>4.78</v>
      </c>
      <c r="I572" s="5" t="s">
        <v>52</v>
      </c>
      <c r="J572" s="19">
        <v>2</v>
      </c>
      <c r="K572" s="5" t="s">
        <v>49</v>
      </c>
      <c r="L572" s="5" t="s">
        <v>786</v>
      </c>
      <c r="M572" s="23" t="s">
        <v>1138</v>
      </c>
      <c r="N572" s="25"/>
      <c r="O572" s="25"/>
      <c r="P572" s="25"/>
      <c r="Q572" s="17" t="s">
        <v>43</v>
      </c>
    </row>
    <row r="573" spans="2:17">
      <c r="B573" s="11" t="s">
        <v>55</v>
      </c>
      <c r="C573" s="5" t="str">
        <f>IF(E573="","",IF(G573&lt;&gt;"",SUBSTITUTE(SUBSTITUTE(G573," ",""),"-",""),IF(F573&lt;&gt;"",SUBSTITUTE(SUBSTITUTE(F573," ",""),"-",""),"")))</f>
        <v>RGHC09</v>
      </c>
      <c r="D573" s="6" t="s">
        <v>36</v>
      </c>
      <c r="E573" s="11" t="s">
        <v>47</v>
      </c>
      <c r="F573" s="11" t="s">
        <v>1137</v>
      </c>
      <c r="G573" s="11" t="s">
        <v>1147</v>
      </c>
      <c r="H573" s="18">
        <v>4.78</v>
      </c>
      <c r="I573" s="5" t="s">
        <v>52</v>
      </c>
      <c r="J573" s="19">
        <v>2</v>
      </c>
      <c r="K573" s="5" t="s">
        <v>49</v>
      </c>
      <c r="L573" s="5" t="s">
        <v>786</v>
      </c>
      <c r="M573" s="23" t="s">
        <v>1138</v>
      </c>
      <c r="N573" s="25"/>
      <c r="O573" s="25"/>
      <c r="P573" s="25"/>
      <c r="Q573" s="17" t="s">
        <v>43</v>
      </c>
    </row>
    <row r="574" spans="2:17">
      <c r="B574" s="11" t="s">
        <v>55</v>
      </c>
      <c r="C574" s="5" t="str">
        <f>IF(E574="","",IF(G574&lt;&gt;"",SUBSTITUTE(SUBSTITUTE(G574," ",""),"-",""),IF(F574&lt;&gt;"",SUBSTITUTE(SUBSTITUTE(F574," ",""),"-",""),"")))</f>
        <v>RGHC10</v>
      </c>
      <c r="D574" s="6" t="s">
        <v>36</v>
      </c>
      <c r="E574" s="11" t="s">
        <v>47</v>
      </c>
      <c r="F574" s="11" t="s">
        <v>1137</v>
      </c>
      <c r="G574" s="11" t="s">
        <v>1148</v>
      </c>
      <c r="H574" s="18">
        <v>4.78</v>
      </c>
      <c r="I574" s="5" t="s">
        <v>52</v>
      </c>
      <c r="J574" s="19">
        <v>2</v>
      </c>
      <c r="K574" s="5" t="s">
        <v>49</v>
      </c>
      <c r="L574" s="5" t="s">
        <v>786</v>
      </c>
      <c r="M574" s="23" t="s">
        <v>1138</v>
      </c>
      <c r="N574" s="25"/>
      <c r="O574" s="25"/>
      <c r="P574" s="25"/>
      <c r="Q574" s="17" t="s">
        <v>43</v>
      </c>
    </row>
    <row r="575" spans="2:17">
      <c r="B575" s="11" t="s">
        <v>55</v>
      </c>
      <c r="C575" s="5" t="str">
        <f>IF(E575="","",IF(G575&lt;&gt;"",SUBSTITUTE(SUBSTITUTE(G575," ",""),"-",""),IF(F575&lt;&gt;"",SUBSTITUTE(SUBSTITUTE(F575," ",""),"-",""),"")))</f>
        <v>RGHC11</v>
      </c>
      <c r="D575" s="6" t="s">
        <v>36</v>
      </c>
      <c r="E575" s="11" t="s">
        <v>47</v>
      </c>
      <c r="F575" s="11" t="s">
        <v>1137</v>
      </c>
      <c r="G575" s="11" t="s">
        <v>1149</v>
      </c>
      <c r="H575" s="18">
        <v>4.78</v>
      </c>
      <c r="I575" s="5" t="s">
        <v>52</v>
      </c>
      <c r="J575" s="19">
        <v>2</v>
      </c>
      <c r="K575" s="5" t="s">
        <v>49</v>
      </c>
      <c r="L575" s="5" t="s">
        <v>786</v>
      </c>
      <c r="M575" s="23" t="s">
        <v>1138</v>
      </c>
      <c r="N575" s="25"/>
      <c r="O575" s="25"/>
      <c r="P575" s="25"/>
      <c r="Q575" s="17" t="s">
        <v>43</v>
      </c>
    </row>
    <row r="576" spans="2:17">
      <c r="B576" s="11" t="s">
        <v>55</v>
      </c>
      <c r="C576" s="5" t="str">
        <f>IF(E576="","",IF(G576&lt;&gt;"",SUBSTITUTE(SUBSTITUTE(G576," ",""),"-",""),IF(F576&lt;&gt;"",SUBSTITUTE(SUBSTITUTE(F576," ",""),"-",""),"")))</f>
        <v>RGHC12</v>
      </c>
      <c r="D576" s="6" t="s">
        <v>36</v>
      </c>
      <c r="E576" s="11" t="s">
        <v>47</v>
      </c>
      <c r="F576" s="11" t="s">
        <v>1137</v>
      </c>
      <c r="G576" s="11" t="s">
        <v>1150</v>
      </c>
      <c r="H576" s="18">
        <v>4.78</v>
      </c>
      <c r="I576" s="5" t="s">
        <v>52</v>
      </c>
      <c r="J576" s="19">
        <v>2</v>
      </c>
      <c r="K576" s="5" t="s">
        <v>49</v>
      </c>
      <c r="L576" s="5" t="s">
        <v>786</v>
      </c>
      <c r="M576" s="23" t="s">
        <v>1138</v>
      </c>
      <c r="N576" s="25"/>
      <c r="O576" s="25"/>
      <c r="P576" s="25"/>
      <c r="Q576" s="17" t="s">
        <v>43</v>
      </c>
    </row>
    <row r="577" spans="2:17">
      <c r="B577" s="11" t="s">
        <v>55</v>
      </c>
      <c r="C577" s="5" t="str">
        <f>IF(E577="","",IF(G577&lt;&gt;"",SUBSTITUTE(SUBSTITUTE(G577," ",""),"-",""),IF(F577&lt;&gt;"",SUBSTITUTE(SUBSTITUTE(F577," ",""),"-",""),"")))</f>
        <v>RGHC13</v>
      </c>
      <c r="D577" s="6" t="s">
        <v>36</v>
      </c>
      <c r="E577" s="11" t="s">
        <v>47</v>
      </c>
      <c r="F577" s="11" t="s">
        <v>1137</v>
      </c>
      <c r="G577" s="11" t="s">
        <v>1151</v>
      </c>
      <c r="H577" s="18">
        <v>4.78</v>
      </c>
      <c r="I577" s="5" t="s">
        <v>52</v>
      </c>
      <c r="J577" s="19">
        <v>2</v>
      </c>
      <c r="K577" s="5" t="s">
        <v>49</v>
      </c>
      <c r="L577" s="5" t="s">
        <v>786</v>
      </c>
      <c r="M577" s="23" t="s">
        <v>1138</v>
      </c>
      <c r="N577" s="25"/>
      <c r="O577" s="25"/>
      <c r="P577" s="25"/>
      <c r="Q577" s="17" t="s">
        <v>43</v>
      </c>
    </row>
    <row r="578" spans="2:17">
      <c r="B578" s="11" t="s">
        <v>55</v>
      </c>
      <c r="C578" s="5" t="str">
        <f>IF(E578="","",IF(G578&lt;&gt;"",SUBSTITUTE(SUBSTITUTE(G578," ",""),"-",""),IF(F578&lt;&gt;"",SUBSTITUTE(SUBSTITUTE(F578," ",""),"-",""),"")))</f>
        <v>RGHC14</v>
      </c>
      <c r="D578" s="6" t="s">
        <v>36</v>
      </c>
      <c r="E578" s="11" t="s">
        <v>47</v>
      </c>
      <c r="F578" s="11" t="s">
        <v>1137</v>
      </c>
      <c r="G578" s="11" t="s">
        <v>1152</v>
      </c>
      <c r="H578" s="18">
        <v>4.78</v>
      </c>
      <c r="I578" s="5" t="s">
        <v>52</v>
      </c>
      <c r="J578" s="19">
        <v>2</v>
      </c>
      <c r="K578" s="5" t="s">
        <v>49</v>
      </c>
      <c r="L578" s="5" t="s">
        <v>786</v>
      </c>
      <c r="M578" s="23" t="s">
        <v>1138</v>
      </c>
      <c r="N578" s="25"/>
      <c r="O578" s="25"/>
      <c r="P578" s="25"/>
      <c r="Q578" s="17" t="s">
        <v>43</v>
      </c>
    </row>
    <row r="579" spans="2:17">
      <c r="B579" s="11" t="s">
        <v>55</v>
      </c>
      <c r="C579" s="5" t="str">
        <f>IF(E579="","",IF(G579&lt;&gt;"",SUBSTITUTE(SUBSTITUTE(G579," ",""),"-",""),IF(F579&lt;&gt;"",SUBSTITUTE(SUBSTITUTE(F579," ",""),"-",""),"")))</f>
        <v>RGHC15</v>
      </c>
      <c r="D579" s="6" t="s">
        <v>36</v>
      </c>
      <c r="E579" s="11" t="s">
        <v>47</v>
      </c>
      <c r="F579" s="11" t="s">
        <v>1137</v>
      </c>
      <c r="G579" s="11" t="s">
        <v>1153</v>
      </c>
      <c r="H579" s="18">
        <v>4.78</v>
      </c>
      <c r="I579" s="5" t="s">
        <v>52</v>
      </c>
      <c r="J579" s="19">
        <v>2</v>
      </c>
      <c r="K579" s="5" t="s">
        <v>49</v>
      </c>
      <c r="L579" s="5" t="s">
        <v>786</v>
      </c>
      <c r="M579" s="23" t="s">
        <v>1138</v>
      </c>
      <c r="N579" s="25"/>
      <c r="O579" s="25"/>
      <c r="P579" s="25"/>
      <c r="Q579" s="17" t="s">
        <v>43</v>
      </c>
    </row>
    <row r="580" spans="2:17">
      <c r="B580" s="11" t="s">
        <v>55</v>
      </c>
      <c r="C580" s="5" t="str">
        <f>IF(E580="","",IF(G580&lt;&gt;"",SUBSTITUTE(SUBSTITUTE(G580," ",""),"-",""),IF(F580&lt;&gt;"",SUBSTITUTE(SUBSTITUTE(F580," ",""),"-",""),"")))</f>
        <v>RGHC16</v>
      </c>
      <c r="D580" s="6" t="s">
        <v>36</v>
      </c>
      <c r="E580" s="11" t="s">
        <v>47</v>
      </c>
      <c r="F580" s="11" t="s">
        <v>1137</v>
      </c>
      <c r="G580" s="11" t="s">
        <v>1154</v>
      </c>
      <c r="H580" s="18">
        <v>4.78</v>
      </c>
      <c r="I580" s="5" t="s">
        <v>52</v>
      </c>
      <c r="J580" s="19">
        <v>2</v>
      </c>
      <c r="K580" s="5" t="s">
        <v>49</v>
      </c>
      <c r="L580" s="5" t="s">
        <v>786</v>
      </c>
      <c r="M580" s="23" t="s">
        <v>1138</v>
      </c>
      <c r="N580" s="25"/>
      <c r="O580" s="25"/>
      <c r="P580" s="25"/>
      <c r="Q580" s="17" t="s">
        <v>43</v>
      </c>
    </row>
    <row r="581" spans="2:17">
      <c r="B581" s="11" t="s">
        <v>55</v>
      </c>
      <c r="C581" s="5" t="str">
        <f>IF(E581="","",IF(G581&lt;&gt;"",SUBSTITUTE(SUBSTITUTE(G581," ",""),"-",""),IF(F581&lt;&gt;"",SUBSTITUTE(SUBSTITUTE(F581," ",""),"-",""),"")))</f>
        <v>RGHC17</v>
      </c>
      <c r="D581" s="6" t="s">
        <v>36</v>
      </c>
      <c r="E581" s="11" t="s">
        <v>47</v>
      </c>
      <c r="F581" s="11" t="s">
        <v>1137</v>
      </c>
      <c r="G581" s="11" t="s">
        <v>1155</v>
      </c>
      <c r="H581" s="18">
        <v>4.78</v>
      </c>
      <c r="I581" s="5" t="s">
        <v>52</v>
      </c>
      <c r="J581" s="19">
        <v>2</v>
      </c>
      <c r="K581" s="5" t="s">
        <v>49</v>
      </c>
      <c r="L581" s="5" t="s">
        <v>786</v>
      </c>
      <c r="M581" s="23" t="s">
        <v>1138</v>
      </c>
      <c r="N581" s="25"/>
      <c r="O581" s="25"/>
      <c r="P581" s="25"/>
      <c r="Q581" s="17" t="s">
        <v>43</v>
      </c>
    </row>
    <row r="582" spans="2:17">
      <c r="B582" s="11" t="s">
        <v>55</v>
      </c>
      <c r="C582" s="5" t="str">
        <f>IF(E582="","",IF(G582&lt;&gt;"",SUBSTITUTE(SUBSTITUTE(G582," ",""),"-",""),IF(F582&lt;&gt;"",SUBSTITUTE(SUBSTITUTE(F582," ",""),"-",""),"")))</f>
        <v>RGHC18</v>
      </c>
      <c r="D582" s="6" t="s">
        <v>36</v>
      </c>
      <c r="E582" s="11" t="s">
        <v>47</v>
      </c>
      <c r="F582" s="11" t="s">
        <v>1137</v>
      </c>
      <c r="G582" s="11" t="s">
        <v>1156</v>
      </c>
      <c r="H582" s="18">
        <v>4.78</v>
      </c>
      <c r="I582" s="5" t="s">
        <v>52</v>
      </c>
      <c r="J582" s="19">
        <v>2</v>
      </c>
      <c r="K582" s="5" t="s">
        <v>49</v>
      </c>
      <c r="L582" s="5" t="s">
        <v>786</v>
      </c>
      <c r="M582" s="23" t="s">
        <v>1138</v>
      </c>
      <c r="N582" s="25"/>
      <c r="O582" s="25"/>
      <c r="P582" s="25"/>
      <c r="Q582" s="17" t="s">
        <v>43</v>
      </c>
    </row>
    <row r="583" spans="2:17">
      <c r="B583" s="11" t="s">
        <v>55</v>
      </c>
      <c r="C583" s="5" t="str">
        <f>IF(E583="","",IF(G583&lt;&gt;"",SUBSTITUTE(SUBSTITUTE(G583," ",""),"-",""),IF(F583&lt;&gt;"",SUBSTITUTE(SUBSTITUTE(F583," ",""),"-",""),"")))</f>
        <v>RGHC19</v>
      </c>
      <c r="D583" s="6" t="s">
        <v>36</v>
      </c>
      <c r="E583" s="11" t="s">
        <v>47</v>
      </c>
      <c r="F583" s="11" t="s">
        <v>1137</v>
      </c>
      <c r="G583" s="11" t="s">
        <v>1157</v>
      </c>
      <c r="H583" s="18">
        <v>4.78</v>
      </c>
      <c r="I583" s="5" t="s">
        <v>52</v>
      </c>
      <c r="J583" s="19">
        <v>2</v>
      </c>
      <c r="K583" s="5" t="s">
        <v>49</v>
      </c>
      <c r="L583" s="5" t="s">
        <v>786</v>
      </c>
      <c r="M583" s="23" t="s">
        <v>1138</v>
      </c>
      <c r="N583" s="25"/>
      <c r="O583" s="25"/>
      <c r="P583" s="25"/>
      <c r="Q583" s="17" t="s">
        <v>43</v>
      </c>
    </row>
    <row r="584" spans="2:17">
      <c r="B584" s="11" t="s">
        <v>55</v>
      </c>
      <c r="C584" s="5" t="str">
        <f>IF(E584="","",IF(G584&lt;&gt;"",SUBSTITUTE(SUBSTITUTE(G584," ",""),"-",""),IF(F584&lt;&gt;"",SUBSTITUTE(SUBSTITUTE(F584," ",""),"-",""),"")))</f>
        <v>RGHC20</v>
      </c>
      <c r="D584" s="6" t="s">
        <v>36</v>
      </c>
      <c r="E584" s="11" t="s">
        <v>47</v>
      </c>
      <c r="F584" s="11" t="s">
        <v>1137</v>
      </c>
      <c r="G584" s="11" t="s">
        <v>1158</v>
      </c>
      <c r="H584" s="18">
        <v>4.78</v>
      </c>
      <c r="I584" s="5" t="s">
        <v>52</v>
      </c>
      <c r="J584" s="19">
        <v>2</v>
      </c>
      <c r="K584" s="5" t="s">
        <v>49</v>
      </c>
      <c r="L584" s="5" t="s">
        <v>786</v>
      </c>
      <c r="M584" s="23" t="s">
        <v>1138</v>
      </c>
      <c r="N584" s="25"/>
      <c r="O584" s="25"/>
      <c r="P584" s="25"/>
      <c r="Q584" s="17" t="s">
        <v>43</v>
      </c>
    </row>
    <row r="585" spans="2:17">
      <c r="B585" s="11" t="s">
        <v>55</v>
      </c>
      <c r="C585" s="5" t="str">
        <f>IF(E585="","",IF(G585&lt;&gt;"",SUBSTITUTE(SUBSTITUTE(G585," ",""),"-",""),IF(F585&lt;&gt;"",SUBSTITUTE(SUBSTITUTE(F585," ",""),"-",""),"")))</f>
        <v>RGHC21</v>
      </c>
      <c r="D585" s="6" t="s">
        <v>36</v>
      </c>
      <c r="E585" s="11" t="s">
        <v>47</v>
      </c>
      <c r="F585" s="11" t="s">
        <v>1137</v>
      </c>
      <c r="G585" s="11" t="s">
        <v>1159</v>
      </c>
      <c r="H585" s="18">
        <v>4.78</v>
      </c>
      <c r="I585" s="5" t="s">
        <v>52</v>
      </c>
      <c r="J585" s="19">
        <v>2</v>
      </c>
      <c r="K585" s="5" t="s">
        <v>49</v>
      </c>
      <c r="L585" s="5" t="s">
        <v>786</v>
      </c>
      <c r="M585" s="23" t="s">
        <v>1138</v>
      </c>
      <c r="N585" s="25"/>
      <c r="O585" s="25"/>
      <c r="P585" s="25"/>
      <c r="Q585" s="17" t="s">
        <v>43</v>
      </c>
    </row>
    <row r="586" spans="2:17">
      <c r="B586" s="11" t="s">
        <v>55</v>
      </c>
      <c r="C586" s="5" t="str">
        <f>IF(E586="","",IF(G586&lt;&gt;"",SUBSTITUTE(SUBSTITUTE(G586," ",""),"-",""),IF(F586&lt;&gt;"",SUBSTITUTE(SUBSTITUTE(F586," ",""),"-",""),"")))</f>
        <v>RGHC22</v>
      </c>
      <c r="D586" s="6" t="s">
        <v>36</v>
      </c>
      <c r="E586" s="11" t="s">
        <v>47</v>
      </c>
      <c r="F586" s="11" t="s">
        <v>1137</v>
      </c>
      <c r="G586" s="11" t="s">
        <v>1160</v>
      </c>
      <c r="H586" s="18">
        <v>4.78</v>
      </c>
      <c r="I586" s="5" t="s">
        <v>52</v>
      </c>
      <c r="J586" s="19">
        <v>2</v>
      </c>
      <c r="K586" s="5" t="s">
        <v>49</v>
      </c>
      <c r="L586" s="5" t="s">
        <v>786</v>
      </c>
      <c r="M586" s="23" t="s">
        <v>1138</v>
      </c>
      <c r="N586" s="25"/>
      <c r="O586" s="25"/>
      <c r="P586" s="25"/>
      <c r="Q586" s="17" t="s">
        <v>43</v>
      </c>
    </row>
    <row r="587" spans="2:17">
      <c r="B587" s="11" t="s">
        <v>55</v>
      </c>
      <c r="C587" s="5" t="str">
        <f>IF(E587="","",IF(G587&lt;&gt;"",SUBSTITUTE(SUBSTITUTE(G587," ",""),"-",""),IF(F587&lt;&gt;"",SUBSTITUTE(SUBSTITUTE(F587," ",""),"-",""),"")))</f>
        <v>RGHC23</v>
      </c>
      <c r="D587" s="6" t="s">
        <v>36</v>
      </c>
      <c r="E587" s="11" t="s">
        <v>47</v>
      </c>
      <c r="F587" s="11" t="s">
        <v>1137</v>
      </c>
      <c r="G587" s="11" t="s">
        <v>1161</v>
      </c>
      <c r="H587" s="18">
        <v>4.78</v>
      </c>
      <c r="I587" s="5" t="s">
        <v>52</v>
      </c>
      <c r="J587" s="19">
        <v>2</v>
      </c>
      <c r="K587" s="5" t="s">
        <v>49</v>
      </c>
      <c r="L587" s="5" t="s">
        <v>786</v>
      </c>
      <c r="M587" s="23" t="s">
        <v>1138</v>
      </c>
      <c r="N587" s="25"/>
      <c r="O587" s="25"/>
      <c r="P587" s="25"/>
      <c r="Q587" s="17" t="s">
        <v>43</v>
      </c>
    </row>
    <row r="588" spans="2:17">
      <c r="B588" s="11" t="s">
        <v>55</v>
      </c>
      <c r="C588" s="5" t="str">
        <f>IF(E588="","",IF(G588&lt;&gt;"",SUBSTITUTE(SUBSTITUTE(G588," ",""),"-",""),IF(F588&lt;&gt;"",SUBSTITUTE(SUBSTITUTE(F588," ",""),"-",""),"")))</f>
        <v>RGHC24</v>
      </c>
      <c r="D588" s="6" t="s">
        <v>36</v>
      </c>
      <c r="E588" s="11" t="s">
        <v>47</v>
      </c>
      <c r="F588" s="11" t="s">
        <v>1137</v>
      </c>
      <c r="G588" s="11" t="s">
        <v>1162</v>
      </c>
      <c r="H588" s="18">
        <v>4.78</v>
      </c>
      <c r="I588" s="5" t="s">
        <v>52</v>
      </c>
      <c r="J588" s="19">
        <v>2</v>
      </c>
      <c r="K588" s="5" t="s">
        <v>49</v>
      </c>
      <c r="L588" s="5" t="s">
        <v>786</v>
      </c>
      <c r="M588" s="23" t="s">
        <v>1138</v>
      </c>
      <c r="N588" s="25"/>
      <c r="O588" s="25"/>
      <c r="P588" s="25"/>
      <c r="Q588" s="17" t="s">
        <v>43</v>
      </c>
    </row>
    <row r="589" spans="2:17">
      <c r="B589" s="11" t="s">
        <v>55</v>
      </c>
      <c r="C589" s="5" t="str">
        <f>IF(E589="","",IF(G589&lt;&gt;"",SUBSTITUTE(SUBSTITUTE(G589," ",""),"-",""),IF(F589&lt;&gt;"",SUBSTITUTE(SUBSTITUTE(F589," ",""),"-",""),"")))</f>
        <v>RGHC25</v>
      </c>
      <c r="D589" s="6" t="s">
        <v>36</v>
      </c>
      <c r="E589" s="11" t="s">
        <v>47</v>
      </c>
      <c r="F589" s="11" t="s">
        <v>1137</v>
      </c>
      <c r="G589" s="11" t="s">
        <v>1163</v>
      </c>
      <c r="H589" s="18">
        <v>4.78</v>
      </c>
      <c r="I589" s="5" t="s">
        <v>52</v>
      </c>
      <c r="J589" s="19">
        <v>2</v>
      </c>
      <c r="K589" s="5" t="s">
        <v>49</v>
      </c>
      <c r="L589" s="5" t="s">
        <v>786</v>
      </c>
      <c r="M589" s="23" t="s">
        <v>1138</v>
      </c>
      <c r="N589" s="25"/>
      <c r="O589" s="25"/>
      <c r="P589" s="25"/>
      <c r="Q589" s="17" t="s">
        <v>43</v>
      </c>
    </row>
    <row r="590" spans="2:17">
      <c r="B590" s="11" t="s">
        <v>55</v>
      </c>
      <c r="C590" s="5" t="str">
        <f>IF(E590="","",IF(G590&lt;&gt;"",SUBSTITUTE(SUBSTITUTE(G590," ",""),"-",""),IF(F590&lt;&gt;"",SUBSTITUTE(SUBSTITUTE(F590," ",""),"-",""),"")))</f>
        <v>RGHC26</v>
      </c>
      <c r="D590" s="6" t="s">
        <v>36</v>
      </c>
      <c r="E590" s="11" t="s">
        <v>47</v>
      </c>
      <c r="F590" s="11" t="s">
        <v>1137</v>
      </c>
      <c r="G590" s="11" t="s">
        <v>1164</v>
      </c>
      <c r="H590" s="18">
        <v>4.78</v>
      </c>
      <c r="I590" s="5" t="s">
        <v>52</v>
      </c>
      <c r="J590" s="19">
        <v>2</v>
      </c>
      <c r="K590" s="5" t="s">
        <v>49</v>
      </c>
      <c r="L590" s="5" t="s">
        <v>786</v>
      </c>
      <c r="M590" s="23" t="s">
        <v>1138</v>
      </c>
      <c r="N590" s="25"/>
      <c r="O590" s="25"/>
      <c r="P590" s="25"/>
      <c r="Q590" s="17" t="s">
        <v>43</v>
      </c>
    </row>
    <row r="591" spans="2:17">
      <c r="B591" s="11"/>
      <c r="C591" s="5" t="str">
        <f>IF(E591="","",IF(G591&lt;&gt;"",SUBSTITUTE(SUBSTITUTE(G591," ",""),"-",""),IF(F591&lt;&gt;"",SUBSTITUTE(SUBSTITUTE(F591," ",""),"-",""),"")))</f>
        <v/>
      </c>
      <c r="D591" s="6"/>
      <c r="E591" s="11"/>
      <c r="F591" s="11"/>
      <c r="G591" s="11"/>
      <c r="H591" s="18"/>
      <c r="J591" s="19"/>
      <c r="M591" s="23"/>
      <c r="N591" s="20"/>
      <c r="O591" s="20"/>
      <c r="P591" s="20"/>
      <c r="Q591" s="17"/>
    </row>
    <row r="592" spans="2:17">
      <c r="B592" s="11"/>
      <c r="C592" s="5" t="str">
        <f>IF(E592="","",IF(G592&lt;&gt;"",SUBSTITUTE(SUBSTITUTE(G592," ",""),"-",""),IF(F592&lt;&gt;"",SUBSTITUTE(SUBSTITUTE(F592," ",""),"-",""),"")))</f>
        <v/>
      </c>
      <c r="D592" s="6"/>
      <c r="E592" s="11"/>
      <c r="F592" s="11"/>
      <c r="G592" s="11"/>
      <c r="H592" s="18"/>
      <c r="J592" s="19"/>
      <c r="M592" s="23"/>
      <c r="N592" s="20"/>
      <c r="O592" s="20"/>
      <c r="P592" s="20"/>
      <c r="Q592" s="17"/>
    </row>
    <row r="593" spans="2:17">
      <c r="B593" s="11"/>
      <c r="C593" s="5" t="str">
        <f>IF(E593="","",IF(G593&lt;&gt;"",SUBSTITUTE(SUBSTITUTE(G593," ",""),"-",""),IF(F593&lt;&gt;"",SUBSTITUTE(SUBSTITUTE(F593," ",""),"-",""),"")))</f>
        <v/>
      </c>
      <c r="D593" s="6"/>
      <c r="E593" s="11"/>
      <c r="F593" s="11"/>
      <c r="G593" s="11"/>
      <c r="H593" s="18"/>
      <c r="J593" s="19"/>
      <c r="M593" s="23"/>
      <c r="N593" s="20"/>
      <c r="O593" s="20"/>
      <c r="P593" s="20"/>
      <c r="Q593" s="17"/>
    </row>
    <row r="594" spans="2:17">
      <c r="B594" s="11" t="s">
        <v>50</v>
      </c>
      <c r="C594" s="5" t="str">
        <f>IF(E594="","",IF(G594&lt;&gt;"",SUBSTITUTE(SUBSTITUTE(G594," ",""),"-",""),IF(F594&lt;&gt;"",SUBSTITUTE(SUBSTITUTE(F594," ",""),"-",""),"")))</f>
        <v>RGH12</v>
      </c>
      <c r="D594" s="6" t="s">
        <v>36</v>
      </c>
      <c r="E594" s="11" t="s">
        <v>47</v>
      </c>
      <c r="F594" s="11" t="s">
        <v>1165</v>
      </c>
      <c r="G594" s="11"/>
      <c r="H594" s="18">
        <v>299</v>
      </c>
      <c r="I594" s="5" t="s">
        <v>52</v>
      </c>
      <c r="J594" s="19">
        <f>7*26</f>
        <v>182</v>
      </c>
      <c r="K594" s="5" t="s">
        <v>49</v>
      </c>
      <c r="L594" s="5" t="s">
        <v>786</v>
      </c>
      <c r="M594" s="23" t="s">
        <v>1138</v>
      </c>
      <c r="N594" s="25"/>
      <c r="O594" s="25"/>
      <c r="P594" s="25"/>
      <c r="Q594" s="17" t="s">
        <v>43</v>
      </c>
    </row>
    <row r="595" spans="2:17">
      <c r="B595" s="11" t="s">
        <v>55</v>
      </c>
      <c r="C595" s="5" t="str">
        <f>IF(E595="","",IF(G595&lt;&gt;"",SUBSTITUTE(SUBSTITUTE(G595," ",""),"-",""),IF(F595&lt;&gt;"",SUBSTITUTE(SUBSTITUTE(F595," ",""),"-",""),"")))</f>
        <v>RGRH12P01</v>
      </c>
      <c r="D595" s="6" t="s">
        <v>36</v>
      </c>
      <c r="E595" s="11" t="s">
        <v>47</v>
      </c>
      <c r="F595" s="11" t="s">
        <v>1165</v>
      </c>
      <c r="G595" s="11" t="s">
        <v>1166</v>
      </c>
      <c r="H595" s="18">
        <v>11.5</v>
      </c>
      <c r="I595" s="5" t="s">
        <v>52</v>
      </c>
      <c r="J595" s="19">
        <v>7</v>
      </c>
      <c r="K595" s="5" t="s">
        <v>49</v>
      </c>
      <c r="L595" s="5" t="s">
        <v>786</v>
      </c>
      <c r="M595" s="23" t="s">
        <v>1138</v>
      </c>
      <c r="N595" s="25"/>
      <c r="O595" s="25"/>
      <c r="P595" s="25"/>
      <c r="Q595" s="17" t="s">
        <v>43</v>
      </c>
    </row>
    <row r="596" spans="2:17">
      <c r="B596" s="11" t="s">
        <v>55</v>
      </c>
      <c r="C596" s="5" t="str">
        <f>IF(E596="","",IF(G596&lt;&gt;"",SUBSTITUTE(SUBSTITUTE(G596," ",""),"-",""),IF(F596&lt;&gt;"",SUBSTITUTE(SUBSTITUTE(F596," ",""),"-",""),"")))</f>
        <v>RGRH12P02</v>
      </c>
      <c r="D596" s="6" t="s">
        <v>36</v>
      </c>
      <c r="E596" s="11" t="s">
        <v>47</v>
      </c>
      <c r="F596" s="11" t="s">
        <v>1165</v>
      </c>
      <c r="G596" s="11" t="s">
        <v>1167</v>
      </c>
      <c r="H596" s="18">
        <v>11.5</v>
      </c>
      <c r="I596" s="5" t="s">
        <v>52</v>
      </c>
      <c r="J596" s="19">
        <v>7</v>
      </c>
      <c r="K596" s="5" t="s">
        <v>49</v>
      </c>
      <c r="L596" s="5" t="s">
        <v>786</v>
      </c>
      <c r="M596" s="23" t="s">
        <v>1138</v>
      </c>
      <c r="N596" s="25"/>
      <c r="O596" s="25"/>
      <c r="P596" s="25"/>
      <c r="Q596" s="17" t="s">
        <v>43</v>
      </c>
    </row>
    <row r="597" spans="2:17">
      <c r="B597" s="11" t="s">
        <v>55</v>
      </c>
      <c r="C597" s="5" t="str">
        <f>IF(E597="","",IF(G597&lt;&gt;"",SUBSTITUTE(SUBSTITUTE(G597," ",""),"-",""),IF(F597&lt;&gt;"",SUBSTITUTE(SUBSTITUTE(F597," ",""),"-",""),"")))</f>
        <v>RGRH12P03</v>
      </c>
      <c r="D597" s="6" t="s">
        <v>36</v>
      </c>
      <c r="E597" s="11" t="s">
        <v>47</v>
      </c>
      <c r="F597" s="11" t="s">
        <v>1165</v>
      </c>
      <c r="G597" s="11" t="s">
        <v>1168</v>
      </c>
      <c r="H597" s="18">
        <v>11.5</v>
      </c>
      <c r="I597" s="5" t="s">
        <v>52</v>
      </c>
      <c r="J597" s="19">
        <v>7</v>
      </c>
      <c r="K597" s="5" t="s">
        <v>49</v>
      </c>
      <c r="L597" s="5" t="s">
        <v>786</v>
      </c>
      <c r="M597" s="23" t="s">
        <v>1138</v>
      </c>
      <c r="N597" s="25"/>
      <c r="O597" s="25"/>
      <c r="P597" s="25"/>
      <c r="Q597" s="17" t="s">
        <v>43</v>
      </c>
    </row>
    <row r="598" spans="2:17">
      <c r="B598" s="11" t="s">
        <v>55</v>
      </c>
      <c r="C598" s="5" t="str">
        <f>IF(E598="","",IF(G598&lt;&gt;"",SUBSTITUTE(SUBSTITUTE(G598," ",""),"-",""),IF(F598&lt;&gt;"",SUBSTITUTE(SUBSTITUTE(F598," ",""),"-",""),"")))</f>
        <v>RGRH12P04</v>
      </c>
      <c r="D598" s="6" t="s">
        <v>36</v>
      </c>
      <c r="E598" s="11" t="s">
        <v>47</v>
      </c>
      <c r="F598" s="11" t="s">
        <v>1165</v>
      </c>
      <c r="G598" s="11" t="s">
        <v>1169</v>
      </c>
      <c r="H598" s="18">
        <v>11.5</v>
      </c>
      <c r="I598" s="5" t="s">
        <v>52</v>
      </c>
      <c r="J598" s="19">
        <v>7</v>
      </c>
      <c r="K598" s="5" t="s">
        <v>49</v>
      </c>
      <c r="L598" s="5" t="s">
        <v>786</v>
      </c>
      <c r="M598" s="23" t="s">
        <v>1138</v>
      </c>
      <c r="N598" s="25"/>
      <c r="O598" s="25"/>
      <c r="P598" s="25"/>
      <c r="Q598" s="17" t="s">
        <v>43</v>
      </c>
    </row>
    <row r="599" spans="2:17">
      <c r="B599" s="11" t="s">
        <v>55</v>
      </c>
      <c r="C599" s="5" t="str">
        <f>IF(E599="","",IF(G599&lt;&gt;"",SUBSTITUTE(SUBSTITUTE(G599," ",""),"-",""),IF(F599&lt;&gt;"",SUBSTITUTE(SUBSTITUTE(F599," ",""),"-",""),"")))</f>
        <v>RGRH12P05</v>
      </c>
      <c r="D599" s="6" t="s">
        <v>36</v>
      </c>
      <c r="E599" s="11" t="s">
        <v>47</v>
      </c>
      <c r="F599" s="11" t="s">
        <v>1165</v>
      </c>
      <c r="G599" s="11" t="s">
        <v>1170</v>
      </c>
      <c r="H599" s="18">
        <v>11.5</v>
      </c>
      <c r="I599" s="5" t="s">
        <v>52</v>
      </c>
      <c r="J599" s="19">
        <v>7</v>
      </c>
      <c r="K599" s="5" t="s">
        <v>49</v>
      </c>
      <c r="L599" s="5" t="s">
        <v>786</v>
      </c>
      <c r="M599" s="23" t="s">
        <v>1138</v>
      </c>
      <c r="N599" s="25"/>
      <c r="O599" s="25"/>
      <c r="P599" s="25"/>
      <c r="Q599" s="17" t="s">
        <v>43</v>
      </c>
    </row>
    <row r="600" spans="2:17">
      <c r="B600" s="11" t="s">
        <v>55</v>
      </c>
      <c r="C600" s="5" t="str">
        <f>IF(E600="","",IF(G600&lt;&gt;"",SUBSTITUTE(SUBSTITUTE(G600," ",""),"-",""),IF(F600&lt;&gt;"",SUBSTITUTE(SUBSTITUTE(F600," ",""),"-",""),"")))</f>
        <v>RGRH12P06</v>
      </c>
      <c r="D600" s="6" t="s">
        <v>36</v>
      </c>
      <c r="E600" s="11" t="s">
        <v>47</v>
      </c>
      <c r="F600" s="11" t="s">
        <v>1165</v>
      </c>
      <c r="G600" s="11" t="s">
        <v>1171</v>
      </c>
      <c r="H600" s="18">
        <v>11.5</v>
      </c>
      <c r="I600" s="5" t="s">
        <v>52</v>
      </c>
      <c r="J600" s="19">
        <v>7</v>
      </c>
      <c r="K600" s="5" t="s">
        <v>49</v>
      </c>
      <c r="L600" s="5" t="s">
        <v>786</v>
      </c>
      <c r="M600" s="23" t="s">
        <v>1138</v>
      </c>
      <c r="N600" s="25"/>
      <c r="O600" s="25"/>
      <c r="P600" s="25"/>
      <c r="Q600" s="17" t="s">
        <v>43</v>
      </c>
    </row>
    <row r="601" spans="2:17">
      <c r="B601" s="11" t="s">
        <v>55</v>
      </c>
      <c r="C601" s="5" t="str">
        <f>IF(E601="","",IF(G601&lt;&gt;"",SUBSTITUTE(SUBSTITUTE(G601," ",""),"-",""),IF(F601&lt;&gt;"",SUBSTITUTE(SUBSTITUTE(F601," ",""),"-",""),"")))</f>
        <v>RGRH12P07</v>
      </c>
      <c r="D601" s="6" t="s">
        <v>36</v>
      </c>
      <c r="E601" s="11" t="s">
        <v>47</v>
      </c>
      <c r="F601" s="11" t="s">
        <v>1165</v>
      </c>
      <c r="G601" s="11" t="s">
        <v>1172</v>
      </c>
      <c r="H601" s="18">
        <v>11.5</v>
      </c>
      <c r="I601" s="5" t="s">
        <v>52</v>
      </c>
      <c r="J601" s="19">
        <v>7</v>
      </c>
      <c r="K601" s="5" t="s">
        <v>49</v>
      </c>
      <c r="L601" s="5" t="s">
        <v>786</v>
      </c>
      <c r="M601" s="23" t="s">
        <v>1138</v>
      </c>
      <c r="N601" s="25"/>
      <c r="O601" s="25"/>
      <c r="P601" s="25"/>
      <c r="Q601" s="17" t="s">
        <v>43</v>
      </c>
    </row>
    <row r="602" spans="2:17">
      <c r="B602" s="11" t="s">
        <v>55</v>
      </c>
      <c r="C602" s="5" t="str">
        <f>IF(E602="","",IF(G602&lt;&gt;"",SUBSTITUTE(SUBSTITUTE(G602," ",""),"-",""),IF(F602&lt;&gt;"",SUBSTITUTE(SUBSTITUTE(F602," ",""),"-",""),"")))</f>
        <v>RGRH12P08</v>
      </c>
      <c r="D602" s="6" t="s">
        <v>36</v>
      </c>
      <c r="E602" s="11" t="s">
        <v>47</v>
      </c>
      <c r="F602" s="11" t="s">
        <v>1165</v>
      </c>
      <c r="G602" s="11" t="s">
        <v>1173</v>
      </c>
      <c r="H602" s="18">
        <v>11.5</v>
      </c>
      <c r="I602" s="5" t="s">
        <v>52</v>
      </c>
      <c r="J602" s="19">
        <v>7</v>
      </c>
      <c r="K602" s="5" t="s">
        <v>49</v>
      </c>
      <c r="L602" s="5" t="s">
        <v>786</v>
      </c>
      <c r="M602" s="23" t="s">
        <v>1138</v>
      </c>
      <c r="N602" s="25"/>
      <c r="O602" s="25"/>
      <c r="P602" s="25"/>
      <c r="Q602" s="17" t="s">
        <v>43</v>
      </c>
    </row>
    <row r="603" spans="2:17">
      <c r="B603" s="11" t="s">
        <v>55</v>
      </c>
      <c r="C603" s="5" t="str">
        <f>IF(E603="","",IF(G603&lt;&gt;"",SUBSTITUTE(SUBSTITUTE(G603," ",""),"-",""),IF(F603&lt;&gt;"",SUBSTITUTE(SUBSTITUTE(F603," ",""),"-",""),"")))</f>
        <v>RGRH12P09</v>
      </c>
      <c r="D603" s="6" t="s">
        <v>36</v>
      </c>
      <c r="E603" s="11" t="s">
        <v>47</v>
      </c>
      <c r="F603" s="11" t="s">
        <v>1165</v>
      </c>
      <c r="G603" s="11" t="s">
        <v>1174</v>
      </c>
      <c r="H603" s="18">
        <v>11.5</v>
      </c>
      <c r="I603" s="5" t="s">
        <v>52</v>
      </c>
      <c r="J603" s="19">
        <v>7</v>
      </c>
      <c r="K603" s="5" t="s">
        <v>49</v>
      </c>
      <c r="L603" s="5" t="s">
        <v>786</v>
      </c>
      <c r="M603" s="23" t="s">
        <v>1138</v>
      </c>
      <c r="N603" s="25"/>
      <c r="O603" s="25"/>
      <c r="P603" s="25"/>
      <c r="Q603" s="17" t="s">
        <v>43</v>
      </c>
    </row>
    <row r="604" spans="2:17">
      <c r="B604" s="11" t="s">
        <v>55</v>
      </c>
      <c r="C604" s="5" t="str">
        <f>IF(E604="","",IF(G604&lt;&gt;"",SUBSTITUTE(SUBSTITUTE(G604," ",""),"-",""),IF(F604&lt;&gt;"",SUBSTITUTE(SUBSTITUTE(F604," ",""),"-",""),"")))</f>
        <v>RGRH12P10</v>
      </c>
      <c r="D604" s="6" t="s">
        <v>36</v>
      </c>
      <c r="E604" s="11" t="s">
        <v>47</v>
      </c>
      <c r="F604" s="11" t="s">
        <v>1165</v>
      </c>
      <c r="G604" s="11" t="s">
        <v>1175</v>
      </c>
      <c r="H604" s="18">
        <v>11.5</v>
      </c>
      <c r="I604" s="5" t="s">
        <v>52</v>
      </c>
      <c r="J604" s="19">
        <v>7</v>
      </c>
      <c r="K604" s="5" t="s">
        <v>49</v>
      </c>
      <c r="L604" s="5" t="s">
        <v>786</v>
      </c>
      <c r="M604" s="23" t="s">
        <v>1138</v>
      </c>
      <c r="N604" s="25"/>
      <c r="O604" s="25"/>
      <c r="P604" s="25"/>
      <c r="Q604" s="17" t="s">
        <v>43</v>
      </c>
    </row>
    <row r="605" spans="2:17">
      <c r="B605" s="11" t="s">
        <v>55</v>
      </c>
      <c r="C605" s="5" t="str">
        <f>IF(E605="","",IF(G605&lt;&gt;"",SUBSTITUTE(SUBSTITUTE(G605," ",""),"-",""),IF(F605&lt;&gt;"",SUBSTITUTE(SUBSTITUTE(F605," ",""),"-",""),"")))</f>
        <v>RGRH12P11</v>
      </c>
      <c r="D605" s="6" t="s">
        <v>36</v>
      </c>
      <c r="E605" s="11" t="s">
        <v>47</v>
      </c>
      <c r="F605" s="11" t="s">
        <v>1165</v>
      </c>
      <c r="G605" s="11" t="s">
        <v>1176</v>
      </c>
      <c r="H605" s="18">
        <v>11.5</v>
      </c>
      <c r="I605" s="5" t="s">
        <v>52</v>
      </c>
      <c r="J605" s="19">
        <v>7</v>
      </c>
      <c r="K605" s="5" t="s">
        <v>49</v>
      </c>
      <c r="L605" s="5" t="s">
        <v>786</v>
      </c>
      <c r="M605" s="23" t="s">
        <v>1138</v>
      </c>
      <c r="N605" s="25"/>
      <c r="O605" s="25"/>
      <c r="P605" s="25"/>
      <c r="Q605" s="17" t="s">
        <v>43</v>
      </c>
    </row>
    <row r="606" spans="2:17">
      <c r="B606" s="11" t="s">
        <v>55</v>
      </c>
      <c r="C606" s="5" t="str">
        <f>IF(E606="","",IF(G606&lt;&gt;"",SUBSTITUTE(SUBSTITUTE(G606," ",""),"-",""),IF(F606&lt;&gt;"",SUBSTITUTE(SUBSTITUTE(F606," ",""),"-",""),"")))</f>
        <v>RGRH12P12</v>
      </c>
      <c r="D606" s="6" t="s">
        <v>36</v>
      </c>
      <c r="E606" s="11" t="s">
        <v>47</v>
      </c>
      <c r="F606" s="11" t="s">
        <v>1165</v>
      </c>
      <c r="G606" s="11" t="s">
        <v>1177</v>
      </c>
      <c r="H606" s="18">
        <v>11.5</v>
      </c>
      <c r="I606" s="5" t="s">
        <v>52</v>
      </c>
      <c r="J606" s="19">
        <v>7</v>
      </c>
      <c r="K606" s="5" t="s">
        <v>49</v>
      </c>
      <c r="L606" s="5" t="s">
        <v>786</v>
      </c>
      <c r="M606" s="23" t="s">
        <v>1138</v>
      </c>
      <c r="N606" s="25"/>
      <c r="O606" s="25"/>
      <c r="P606" s="25"/>
      <c r="Q606" s="17" t="s">
        <v>43</v>
      </c>
    </row>
    <row r="607" spans="2:17">
      <c r="B607" s="11" t="s">
        <v>55</v>
      </c>
      <c r="C607" s="5" t="str">
        <f>IF(E607="","",IF(G607&lt;&gt;"",SUBSTITUTE(SUBSTITUTE(G607," ",""),"-",""),IF(F607&lt;&gt;"",SUBSTITUTE(SUBSTITUTE(F607," ",""),"-",""),"")))</f>
        <v>RGRH12P13</v>
      </c>
      <c r="D607" s="6" t="s">
        <v>36</v>
      </c>
      <c r="E607" s="11" t="s">
        <v>47</v>
      </c>
      <c r="F607" s="11" t="s">
        <v>1165</v>
      </c>
      <c r="G607" s="11" t="s">
        <v>1178</v>
      </c>
      <c r="H607" s="18">
        <v>11.5</v>
      </c>
      <c r="I607" s="5" t="s">
        <v>52</v>
      </c>
      <c r="J607" s="19">
        <v>7</v>
      </c>
      <c r="K607" s="5" t="s">
        <v>49</v>
      </c>
      <c r="L607" s="5" t="s">
        <v>786</v>
      </c>
      <c r="M607" s="23" t="s">
        <v>1138</v>
      </c>
      <c r="N607" s="25"/>
      <c r="O607" s="25"/>
      <c r="P607" s="25"/>
      <c r="Q607" s="17" t="s">
        <v>43</v>
      </c>
    </row>
    <row r="608" spans="2:17">
      <c r="B608" s="11" t="s">
        <v>55</v>
      </c>
      <c r="C608" s="5" t="str">
        <f>IF(E608="","",IF(G608&lt;&gt;"",SUBSTITUTE(SUBSTITUTE(G608," ",""),"-",""),IF(F608&lt;&gt;"",SUBSTITUTE(SUBSTITUTE(F608," ",""),"-",""),"")))</f>
        <v>RGRH12P14</v>
      </c>
      <c r="D608" s="6" t="s">
        <v>36</v>
      </c>
      <c r="E608" s="11" t="s">
        <v>47</v>
      </c>
      <c r="F608" s="11" t="s">
        <v>1165</v>
      </c>
      <c r="G608" s="11" t="s">
        <v>1179</v>
      </c>
      <c r="H608" s="18">
        <v>11.5</v>
      </c>
      <c r="I608" s="5" t="s">
        <v>52</v>
      </c>
      <c r="J608" s="19">
        <v>7</v>
      </c>
      <c r="K608" s="5" t="s">
        <v>49</v>
      </c>
      <c r="L608" s="5" t="s">
        <v>786</v>
      </c>
      <c r="M608" s="23" t="s">
        <v>1138</v>
      </c>
      <c r="N608" s="25"/>
      <c r="O608" s="25"/>
      <c r="P608" s="25"/>
      <c r="Q608" s="17" t="s">
        <v>43</v>
      </c>
    </row>
    <row r="609" spans="2:17">
      <c r="B609" s="11" t="s">
        <v>55</v>
      </c>
      <c r="C609" s="5" t="str">
        <f>IF(E609="","",IF(G609&lt;&gt;"",SUBSTITUTE(SUBSTITUTE(G609," ",""),"-",""),IF(F609&lt;&gt;"",SUBSTITUTE(SUBSTITUTE(F609," ",""),"-",""),"")))</f>
        <v>RGRH12P15</v>
      </c>
      <c r="D609" s="6" t="s">
        <v>36</v>
      </c>
      <c r="E609" s="11" t="s">
        <v>47</v>
      </c>
      <c r="F609" s="11" t="s">
        <v>1165</v>
      </c>
      <c r="G609" s="11" t="s">
        <v>1180</v>
      </c>
      <c r="H609" s="18">
        <v>11.5</v>
      </c>
      <c r="I609" s="5" t="s">
        <v>52</v>
      </c>
      <c r="J609" s="19">
        <v>7</v>
      </c>
      <c r="K609" s="5" t="s">
        <v>49</v>
      </c>
      <c r="L609" s="5" t="s">
        <v>786</v>
      </c>
      <c r="M609" s="23" t="s">
        <v>1138</v>
      </c>
      <c r="N609" s="25"/>
      <c r="O609" s="25"/>
      <c r="P609" s="25"/>
      <c r="Q609" s="17" t="s">
        <v>43</v>
      </c>
    </row>
    <row r="610" spans="2:17">
      <c r="B610" s="11" t="s">
        <v>55</v>
      </c>
      <c r="C610" s="5" t="str">
        <f>IF(E610="","",IF(G610&lt;&gt;"",SUBSTITUTE(SUBSTITUTE(G610," ",""),"-",""),IF(F610&lt;&gt;"",SUBSTITUTE(SUBSTITUTE(F610," ",""),"-",""),"")))</f>
        <v>RGRH12P16</v>
      </c>
      <c r="D610" s="6" t="s">
        <v>36</v>
      </c>
      <c r="E610" s="11" t="s">
        <v>47</v>
      </c>
      <c r="F610" s="11" t="s">
        <v>1165</v>
      </c>
      <c r="G610" s="11" t="s">
        <v>1181</v>
      </c>
      <c r="H610" s="18">
        <v>11.5</v>
      </c>
      <c r="I610" s="5" t="s">
        <v>52</v>
      </c>
      <c r="J610" s="19">
        <v>7</v>
      </c>
      <c r="K610" s="5" t="s">
        <v>49</v>
      </c>
      <c r="L610" s="5" t="s">
        <v>786</v>
      </c>
      <c r="M610" s="23" t="s">
        <v>1138</v>
      </c>
      <c r="N610" s="25"/>
      <c r="O610" s="25"/>
      <c r="P610" s="25"/>
      <c r="Q610" s="17" t="s">
        <v>43</v>
      </c>
    </row>
    <row r="611" spans="2:17">
      <c r="B611" s="11" t="s">
        <v>55</v>
      </c>
      <c r="C611" s="5" t="str">
        <f>IF(E611="","",IF(G611&lt;&gt;"",SUBSTITUTE(SUBSTITUTE(G611," ",""),"-",""),IF(F611&lt;&gt;"",SUBSTITUTE(SUBSTITUTE(F611," ",""),"-",""),"")))</f>
        <v>RGRH12P17</v>
      </c>
      <c r="D611" s="6" t="s">
        <v>36</v>
      </c>
      <c r="E611" s="11" t="s">
        <v>47</v>
      </c>
      <c r="F611" s="11" t="s">
        <v>1165</v>
      </c>
      <c r="G611" s="11" t="s">
        <v>1182</v>
      </c>
      <c r="H611" s="18">
        <v>11.5</v>
      </c>
      <c r="I611" s="5" t="s">
        <v>52</v>
      </c>
      <c r="J611" s="19">
        <v>7</v>
      </c>
      <c r="K611" s="5" t="s">
        <v>49</v>
      </c>
      <c r="L611" s="5" t="s">
        <v>786</v>
      </c>
      <c r="M611" s="23" t="s">
        <v>1138</v>
      </c>
      <c r="N611" s="25"/>
      <c r="O611" s="25"/>
      <c r="P611" s="25"/>
      <c r="Q611" s="17" t="s">
        <v>43</v>
      </c>
    </row>
    <row r="612" spans="2:17">
      <c r="B612" s="11" t="s">
        <v>55</v>
      </c>
      <c r="C612" s="5" t="str">
        <f>IF(E612="","",IF(G612&lt;&gt;"",SUBSTITUTE(SUBSTITUTE(G612," ",""),"-",""),IF(F612&lt;&gt;"",SUBSTITUTE(SUBSTITUTE(F612," ",""),"-",""),"")))</f>
        <v>RGRH12P18</v>
      </c>
      <c r="D612" s="6" t="s">
        <v>36</v>
      </c>
      <c r="E612" s="11" t="s">
        <v>47</v>
      </c>
      <c r="F612" s="11" t="s">
        <v>1165</v>
      </c>
      <c r="G612" s="11" t="s">
        <v>1183</v>
      </c>
      <c r="H612" s="18">
        <v>11.5</v>
      </c>
      <c r="I612" s="5" t="s">
        <v>52</v>
      </c>
      <c r="J612" s="19">
        <v>7</v>
      </c>
      <c r="K612" s="5" t="s">
        <v>49</v>
      </c>
      <c r="L612" s="5" t="s">
        <v>786</v>
      </c>
      <c r="M612" s="23" t="s">
        <v>1138</v>
      </c>
      <c r="N612" s="25"/>
      <c r="O612" s="25"/>
      <c r="P612" s="25"/>
      <c r="Q612" s="17" t="s">
        <v>43</v>
      </c>
    </row>
    <row r="613" spans="2:17">
      <c r="B613" s="11" t="s">
        <v>55</v>
      </c>
      <c r="C613" s="5" t="str">
        <f>IF(E613="","",IF(G613&lt;&gt;"",SUBSTITUTE(SUBSTITUTE(G613," ",""),"-",""),IF(F613&lt;&gt;"",SUBSTITUTE(SUBSTITUTE(F613," ",""),"-",""),"")))</f>
        <v>RGRH12P19</v>
      </c>
      <c r="D613" s="6" t="s">
        <v>36</v>
      </c>
      <c r="E613" s="11" t="s">
        <v>47</v>
      </c>
      <c r="F613" s="11" t="s">
        <v>1165</v>
      </c>
      <c r="G613" s="11" t="s">
        <v>1184</v>
      </c>
      <c r="H613" s="18">
        <v>11.5</v>
      </c>
      <c r="I613" s="5" t="s">
        <v>52</v>
      </c>
      <c r="J613" s="19">
        <v>7</v>
      </c>
      <c r="K613" s="5" t="s">
        <v>49</v>
      </c>
      <c r="L613" s="5" t="s">
        <v>786</v>
      </c>
      <c r="M613" s="23" t="s">
        <v>1138</v>
      </c>
      <c r="N613" s="25"/>
      <c r="O613" s="25"/>
      <c r="P613" s="25"/>
      <c r="Q613" s="17" t="s">
        <v>43</v>
      </c>
    </row>
    <row r="614" spans="2:17">
      <c r="B614" s="11" t="s">
        <v>55</v>
      </c>
      <c r="C614" s="5" t="str">
        <f>IF(E614="","",IF(G614&lt;&gt;"",SUBSTITUTE(SUBSTITUTE(G614," ",""),"-",""),IF(F614&lt;&gt;"",SUBSTITUTE(SUBSTITUTE(F614," ",""),"-",""),"")))</f>
        <v>RGRH12P20</v>
      </c>
      <c r="D614" s="6" t="s">
        <v>36</v>
      </c>
      <c r="E614" s="11" t="s">
        <v>47</v>
      </c>
      <c r="F614" s="11" t="s">
        <v>1165</v>
      </c>
      <c r="G614" s="11" t="s">
        <v>1185</v>
      </c>
      <c r="H614" s="18">
        <v>11.5</v>
      </c>
      <c r="I614" s="5" t="s">
        <v>52</v>
      </c>
      <c r="J614" s="19">
        <v>7</v>
      </c>
      <c r="K614" s="5" t="s">
        <v>49</v>
      </c>
      <c r="L614" s="5" t="s">
        <v>786</v>
      </c>
      <c r="M614" s="23" t="s">
        <v>1138</v>
      </c>
      <c r="N614" s="25"/>
      <c r="O614" s="25"/>
      <c r="P614" s="25"/>
      <c r="Q614" s="17" t="s">
        <v>43</v>
      </c>
    </row>
    <row r="615" spans="2:17">
      <c r="B615" s="11" t="s">
        <v>55</v>
      </c>
      <c r="C615" s="5" t="str">
        <f>IF(E615="","",IF(G615&lt;&gt;"",SUBSTITUTE(SUBSTITUTE(G615," ",""),"-",""),IF(F615&lt;&gt;"",SUBSTITUTE(SUBSTITUTE(F615," ",""),"-",""),"")))</f>
        <v>RGRH12P21</v>
      </c>
      <c r="D615" s="6" t="s">
        <v>36</v>
      </c>
      <c r="E615" s="11" t="s">
        <v>47</v>
      </c>
      <c r="F615" s="11" t="s">
        <v>1165</v>
      </c>
      <c r="G615" s="11" t="s">
        <v>1186</v>
      </c>
      <c r="H615" s="18">
        <v>11.5</v>
      </c>
      <c r="I615" s="5" t="s">
        <v>52</v>
      </c>
      <c r="J615" s="19">
        <v>7</v>
      </c>
      <c r="K615" s="5" t="s">
        <v>49</v>
      </c>
      <c r="L615" s="5" t="s">
        <v>786</v>
      </c>
      <c r="M615" s="23" t="s">
        <v>1138</v>
      </c>
      <c r="N615" s="25"/>
      <c r="O615" s="25"/>
      <c r="P615" s="25"/>
      <c r="Q615" s="17" t="s">
        <v>43</v>
      </c>
    </row>
    <row r="616" spans="2:17">
      <c r="B616" s="11" t="s">
        <v>55</v>
      </c>
      <c r="C616" s="5" t="str">
        <f>IF(E616="","",IF(G616&lt;&gt;"",SUBSTITUTE(SUBSTITUTE(G616," ",""),"-",""),IF(F616&lt;&gt;"",SUBSTITUTE(SUBSTITUTE(F616," ",""),"-",""),"")))</f>
        <v>RGRH12P22</v>
      </c>
      <c r="D616" s="6" t="s">
        <v>36</v>
      </c>
      <c r="E616" s="11" t="s">
        <v>47</v>
      </c>
      <c r="F616" s="11" t="s">
        <v>1165</v>
      </c>
      <c r="G616" s="11" t="s">
        <v>1187</v>
      </c>
      <c r="H616" s="18">
        <v>11.5</v>
      </c>
      <c r="I616" s="5" t="s">
        <v>52</v>
      </c>
      <c r="J616" s="19">
        <v>7</v>
      </c>
      <c r="K616" s="5" t="s">
        <v>49</v>
      </c>
      <c r="L616" s="5" t="s">
        <v>786</v>
      </c>
      <c r="M616" s="23" t="s">
        <v>1138</v>
      </c>
      <c r="N616" s="25"/>
      <c r="O616" s="25"/>
      <c r="P616" s="25"/>
      <c r="Q616" s="17" t="s">
        <v>43</v>
      </c>
    </row>
    <row r="617" spans="2:17">
      <c r="B617" s="11" t="s">
        <v>55</v>
      </c>
      <c r="C617" s="5" t="str">
        <f>IF(E617="","",IF(G617&lt;&gt;"",SUBSTITUTE(SUBSTITUTE(G617," ",""),"-",""),IF(F617&lt;&gt;"",SUBSTITUTE(SUBSTITUTE(F617," ",""),"-",""),"")))</f>
        <v>RGRH12P23</v>
      </c>
      <c r="D617" s="6" t="s">
        <v>36</v>
      </c>
      <c r="E617" s="11" t="s">
        <v>47</v>
      </c>
      <c r="F617" s="11" t="s">
        <v>1165</v>
      </c>
      <c r="G617" s="11" t="s">
        <v>1188</v>
      </c>
      <c r="H617" s="18">
        <v>11.5</v>
      </c>
      <c r="I617" s="5" t="s">
        <v>52</v>
      </c>
      <c r="J617" s="19">
        <v>7</v>
      </c>
      <c r="K617" s="5" t="s">
        <v>49</v>
      </c>
      <c r="L617" s="5" t="s">
        <v>786</v>
      </c>
      <c r="M617" s="23" t="s">
        <v>1138</v>
      </c>
      <c r="N617" s="25"/>
      <c r="O617" s="25"/>
      <c r="P617" s="25"/>
      <c r="Q617" s="17" t="s">
        <v>43</v>
      </c>
    </row>
    <row r="618" spans="2:17">
      <c r="B618" s="11" t="s">
        <v>55</v>
      </c>
      <c r="C618" s="5" t="str">
        <f>IF(E618="","",IF(G618&lt;&gt;"",SUBSTITUTE(SUBSTITUTE(G618," ",""),"-",""),IF(F618&lt;&gt;"",SUBSTITUTE(SUBSTITUTE(F618," ",""),"-",""),"")))</f>
        <v>RGRH12P24</v>
      </c>
      <c r="D618" s="6" t="s">
        <v>36</v>
      </c>
      <c r="E618" s="11" t="s">
        <v>47</v>
      </c>
      <c r="F618" s="11" t="s">
        <v>1165</v>
      </c>
      <c r="G618" s="11" t="s">
        <v>1189</v>
      </c>
      <c r="H618" s="18">
        <v>11.5</v>
      </c>
      <c r="I618" s="5" t="s">
        <v>52</v>
      </c>
      <c r="J618" s="19">
        <v>7</v>
      </c>
      <c r="K618" s="5" t="s">
        <v>49</v>
      </c>
      <c r="L618" s="5" t="s">
        <v>786</v>
      </c>
      <c r="M618" s="23" t="s">
        <v>1138</v>
      </c>
      <c r="N618" s="25"/>
      <c r="O618" s="25"/>
      <c r="P618" s="25"/>
      <c r="Q618" s="17" t="s">
        <v>43</v>
      </c>
    </row>
    <row r="619" spans="2:17">
      <c r="B619" s="11" t="s">
        <v>55</v>
      </c>
      <c r="C619" s="5" t="str">
        <f>IF(E619="","",IF(G619&lt;&gt;"",SUBSTITUTE(SUBSTITUTE(G619," ",""),"-",""),IF(F619&lt;&gt;"",SUBSTITUTE(SUBSTITUTE(F619," ",""),"-",""),"")))</f>
        <v>RGRH12P25</v>
      </c>
      <c r="D619" s="6" t="s">
        <v>36</v>
      </c>
      <c r="E619" s="11" t="s">
        <v>47</v>
      </c>
      <c r="F619" s="11" t="s">
        <v>1165</v>
      </c>
      <c r="G619" s="11" t="s">
        <v>1190</v>
      </c>
      <c r="H619" s="18">
        <v>11.5</v>
      </c>
      <c r="I619" s="5" t="s">
        <v>52</v>
      </c>
      <c r="J619" s="19">
        <v>7</v>
      </c>
      <c r="K619" s="5" t="s">
        <v>49</v>
      </c>
      <c r="L619" s="5" t="s">
        <v>786</v>
      </c>
      <c r="M619" s="23" t="s">
        <v>1138</v>
      </c>
      <c r="N619" s="25"/>
      <c r="O619" s="25"/>
      <c r="P619" s="25"/>
      <c r="Q619" s="17" t="s">
        <v>43</v>
      </c>
    </row>
    <row r="620" spans="2:17">
      <c r="B620" s="11" t="s">
        <v>55</v>
      </c>
      <c r="C620" s="5" t="str">
        <f>IF(E620="","",IF(G620&lt;&gt;"",SUBSTITUTE(SUBSTITUTE(G620," ",""),"-",""),IF(F620&lt;&gt;"",SUBSTITUTE(SUBSTITUTE(F620," ",""),"-",""),"")))</f>
        <v>RGRH12P26</v>
      </c>
      <c r="D620" s="6" t="s">
        <v>36</v>
      </c>
      <c r="E620" s="11" t="s">
        <v>47</v>
      </c>
      <c r="F620" s="11" t="s">
        <v>1165</v>
      </c>
      <c r="G620" s="11" t="s">
        <v>1191</v>
      </c>
      <c r="H620" s="18">
        <v>11.5</v>
      </c>
      <c r="I620" s="5" t="s">
        <v>52</v>
      </c>
      <c r="J620" s="19">
        <v>7</v>
      </c>
      <c r="K620" s="5" t="s">
        <v>49</v>
      </c>
      <c r="L620" s="5" t="s">
        <v>786</v>
      </c>
      <c r="M620" s="23" t="s">
        <v>1138</v>
      </c>
      <c r="N620" s="25"/>
      <c r="O620" s="25"/>
      <c r="P620" s="25"/>
      <c r="Q620" s="17" t="s">
        <v>43</v>
      </c>
    </row>
    <row r="621" spans="2:17">
      <c r="B621" s="11"/>
      <c r="C621" s="5" t="str">
        <f>IF(E621="","",IF(G621&lt;&gt;"",SUBSTITUTE(SUBSTITUTE(G621," ",""),"-",""),IF(F621&lt;&gt;"",SUBSTITUTE(SUBSTITUTE(F621," ",""),"-",""),"")))</f>
        <v/>
      </c>
      <c r="D621" s="6"/>
      <c r="E621" s="11"/>
      <c r="F621" s="11"/>
      <c r="G621" s="11"/>
      <c r="H621" s="18"/>
      <c r="J621" s="19"/>
      <c r="M621" s="23"/>
      <c r="N621" s="20"/>
      <c r="O621" s="20"/>
      <c r="P621" s="20"/>
      <c r="Q621" s="17"/>
    </row>
    <row r="622" spans="2:17">
      <c r="B622" s="11" t="s">
        <v>50</v>
      </c>
      <c r="C622" s="5" t="str">
        <f>IF(E622="","",IF(G622&lt;&gt;"",SUBSTITUTE(SUBSTITUTE(G622," ",""),"-",""),IF(F622&lt;&gt;"",SUBSTITUTE(SUBSTITUTE(F622," ",""),"-",""),"")))</f>
        <v>RNGHC</v>
      </c>
      <c r="D622" s="6" t="s">
        <v>36</v>
      </c>
      <c r="E622" s="11" t="s">
        <v>47</v>
      </c>
      <c r="F622" s="11" t="s">
        <v>1192</v>
      </c>
      <c r="G622" s="11"/>
      <c r="H622" s="18">
        <v>135.80000000000001</v>
      </c>
      <c r="I622" s="5" t="s">
        <v>52</v>
      </c>
      <c r="J622" s="19">
        <v>140</v>
      </c>
      <c r="K622" s="5" t="s">
        <v>49</v>
      </c>
      <c r="L622" s="5" t="s">
        <v>786</v>
      </c>
      <c r="M622" s="23" t="s">
        <v>1138</v>
      </c>
      <c r="N622" s="25"/>
      <c r="O622" s="25"/>
      <c r="P622" s="25"/>
      <c r="Q622" s="17" t="s">
        <v>43</v>
      </c>
    </row>
    <row r="623" spans="2:17">
      <c r="B623" s="11" t="s">
        <v>55</v>
      </c>
      <c r="C623" s="5" t="str">
        <f>IF(E623="","",IF(G623&lt;&gt;"",SUBSTITUTE(SUBSTITUTE(G623," ",""),"-",""),IF(F623&lt;&gt;"",SUBSTITUTE(SUBSTITUTE(F623," ",""),"-",""),"")))</f>
        <v>RNGHCP01</v>
      </c>
      <c r="D623" s="6" t="s">
        <v>36</v>
      </c>
      <c r="E623" s="11" t="s">
        <v>47</v>
      </c>
      <c r="F623" s="11" t="s">
        <v>1192</v>
      </c>
      <c r="G623" s="11" t="s">
        <v>1193</v>
      </c>
      <c r="H623" s="18">
        <v>6.79</v>
      </c>
      <c r="I623" s="5" t="s">
        <v>52</v>
      </c>
      <c r="J623" s="19">
        <v>7</v>
      </c>
      <c r="K623" s="5" t="s">
        <v>49</v>
      </c>
      <c r="L623" s="5" t="s">
        <v>786</v>
      </c>
      <c r="M623" s="23" t="s">
        <v>1138</v>
      </c>
      <c r="N623" s="25"/>
      <c r="O623" s="25"/>
      <c r="P623" s="25"/>
      <c r="Q623" s="17" t="s">
        <v>43</v>
      </c>
    </row>
    <row r="624" spans="2:17">
      <c r="B624" s="11" t="s">
        <v>55</v>
      </c>
      <c r="C624" s="5" t="str">
        <f>IF(E624="","",IF(G624&lt;&gt;"",SUBSTITUTE(SUBSTITUTE(G624," ",""),"-",""),IF(F624&lt;&gt;"",SUBSTITUTE(SUBSTITUTE(F624," ",""),"-",""),"")))</f>
        <v>RNGHCP02</v>
      </c>
      <c r="D624" s="6" t="s">
        <v>36</v>
      </c>
      <c r="E624" s="11" t="s">
        <v>47</v>
      </c>
      <c r="F624" s="11" t="s">
        <v>1192</v>
      </c>
      <c r="G624" s="11" t="s">
        <v>1194</v>
      </c>
      <c r="H624" s="18">
        <v>6.79</v>
      </c>
      <c r="I624" s="5" t="s">
        <v>52</v>
      </c>
      <c r="J624" s="19">
        <v>7</v>
      </c>
      <c r="K624" s="5" t="s">
        <v>49</v>
      </c>
      <c r="L624" s="5" t="s">
        <v>786</v>
      </c>
      <c r="M624" s="23" t="s">
        <v>1138</v>
      </c>
      <c r="N624" s="25"/>
      <c r="O624" s="25"/>
      <c r="P624" s="25"/>
      <c r="Q624" s="17" t="s">
        <v>43</v>
      </c>
    </row>
    <row r="625" spans="2:17">
      <c r="B625" s="11" t="s">
        <v>55</v>
      </c>
      <c r="C625" s="5" t="str">
        <f>IF(E625="","",IF(G625&lt;&gt;"",SUBSTITUTE(SUBSTITUTE(G625," ",""),"-",""),IF(F625&lt;&gt;"",SUBSTITUTE(SUBSTITUTE(F625," ",""),"-",""),"")))</f>
        <v>RNGHCP03</v>
      </c>
      <c r="D625" s="6" t="s">
        <v>36</v>
      </c>
      <c r="E625" s="11" t="s">
        <v>47</v>
      </c>
      <c r="F625" s="11" t="s">
        <v>1192</v>
      </c>
      <c r="G625" s="11" t="s">
        <v>1195</v>
      </c>
      <c r="H625" s="18">
        <v>6.79</v>
      </c>
      <c r="I625" s="5" t="s">
        <v>52</v>
      </c>
      <c r="J625" s="19">
        <v>7</v>
      </c>
      <c r="K625" s="5" t="s">
        <v>49</v>
      </c>
      <c r="L625" s="5" t="s">
        <v>786</v>
      </c>
      <c r="M625" s="23" t="s">
        <v>1138</v>
      </c>
      <c r="N625" s="25"/>
      <c r="O625" s="25"/>
      <c r="P625" s="25"/>
      <c r="Q625" s="17" t="s">
        <v>43</v>
      </c>
    </row>
    <row r="626" spans="2:17">
      <c r="B626" s="11" t="s">
        <v>55</v>
      </c>
      <c r="C626" s="5" t="str">
        <f>IF(E626="","",IF(G626&lt;&gt;"",SUBSTITUTE(SUBSTITUTE(G626," ",""),"-",""),IF(F626&lt;&gt;"",SUBSTITUTE(SUBSTITUTE(F626," ",""),"-",""),"")))</f>
        <v>RNGHCP04</v>
      </c>
      <c r="D626" s="6" t="s">
        <v>36</v>
      </c>
      <c r="E626" s="11" t="s">
        <v>47</v>
      </c>
      <c r="F626" s="11" t="s">
        <v>1192</v>
      </c>
      <c r="G626" s="11" t="s">
        <v>1196</v>
      </c>
      <c r="H626" s="18">
        <v>6.79</v>
      </c>
      <c r="I626" s="5" t="s">
        <v>52</v>
      </c>
      <c r="J626" s="19">
        <v>7</v>
      </c>
      <c r="K626" s="5" t="s">
        <v>49</v>
      </c>
      <c r="L626" s="5" t="s">
        <v>786</v>
      </c>
      <c r="M626" s="23" t="s">
        <v>1138</v>
      </c>
      <c r="N626" s="25"/>
      <c r="O626" s="25"/>
      <c r="P626" s="25"/>
      <c r="Q626" s="17" t="s">
        <v>43</v>
      </c>
    </row>
    <row r="627" spans="2:17">
      <c r="B627" s="11" t="s">
        <v>55</v>
      </c>
      <c r="C627" s="5" t="str">
        <f>IF(E627="","",IF(G627&lt;&gt;"",SUBSTITUTE(SUBSTITUTE(G627," ",""),"-",""),IF(F627&lt;&gt;"",SUBSTITUTE(SUBSTITUTE(F627," ",""),"-",""),"")))</f>
        <v>RNGHCP05</v>
      </c>
      <c r="D627" s="6" t="s">
        <v>36</v>
      </c>
      <c r="E627" s="11" t="s">
        <v>47</v>
      </c>
      <c r="F627" s="11" t="s">
        <v>1192</v>
      </c>
      <c r="G627" s="11" t="s">
        <v>1197</v>
      </c>
      <c r="H627" s="18">
        <v>6.79</v>
      </c>
      <c r="I627" s="5" t="s">
        <v>52</v>
      </c>
      <c r="J627" s="19">
        <v>7</v>
      </c>
      <c r="K627" s="5" t="s">
        <v>49</v>
      </c>
      <c r="L627" s="5" t="s">
        <v>786</v>
      </c>
      <c r="M627" s="23" t="s">
        <v>1138</v>
      </c>
      <c r="N627" s="25"/>
      <c r="O627" s="25"/>
      <c r="P627" s="25"/>
      <c r="Q627" s="17" t="s">
        <v>43</v>
      </c>
    </row>
    <row r="628" spans="2:17">
      <c r="B628" s="11" t="s">
        <v>55</v>
      </c>
      <c r="C628" s="5" t="str">
        <f>IF(E628="","",IF(G628&lt;&gt;"",SUBSTITUTE(SUBSTITUTE(G628," ",""),"-",""),IF(F628&lt;&gt;"",SUBSTITUTE(SUBSTITUTE(F628," ",""),"-",""),"")))</f>
        <v>RNGHCP06</v>
      </c>
      <c r="D628" s="6" t="s">
        <v>36</v>
      </c>
      <c r="E628" s="11" t="s">
        <v>47</v>
      </c>
      <c r="F628" s="11" t="s">
        <v>1192</v>
      </c>
      <c r="G628" s="11" t="s">
        <v>1198</v>
      </c>
      <c r="H628" s="18">
        <v>6.79</v>
      </c>
      <c r="I628" s="5" t="s">
        <v>52</v>
      </c>
      <c r="J628" s="19">
        <v>7</v>
      </c>
      <c r="K628" s="5" t="s">
        <v>49</v>
      </c>
      <c r="L628" s="5" t="s">
        <v>786</v>
      </c>
      <c r="M628" s="23" t="s">
        <v>1138</v>
      </c>
      <c r="N628" s="25"/>
      <c r="O628" s="25"/>
      <c r="P628" s="25"/>
      <c r="Q628" s="17" t="s">
        <v>43</v>
      </c>
    </row>
    <row r="629" spans="2:17">
      <c r="B629" s="11" t="s">
        <v>55</v>
      </c>
      <c r="C629" s="5" t="str">
        <f>IF(E629="","",IF(G629&lt;&gt;"",SUBSTITUTE(SUBSTITUTE(G629," ",""),"-",""),IF(F629&lt;&gt;"",SUBSTITUTE(SUBSTITUTE(F629," ",""),"-",""),"")))</f>
        <v>RNGHCP07</v>
      </c>
      <c r="D629" s="6" t="s">
        <v>36</v>
      </c>
      <c r="E629" s="11" t="s">
        <v>47</v>
      </c>
      <c r="F629" s="11" t="s">
        <v>1192</v>
      </c>
      <c r="G629" s="11" t="s">
        <v>1199</v>
      </c>
      <c r="H629" s="18">
        <v>6.79</v>
      </c>
      <c r="I629" s="5" t="s">
        <v>52</v>
      </c>
      <c r="J629" s="19">
        <v>7</v>
      </c>
      <c r="K629" s="5" t="s">
        <v>49</v>
      </c>
      <c r="L629" s="5" t="s">
        <v>786</v>
      </c>
      <c r="M629" s="23" t="s">
        <v>1138</v>
      </c>
      <c r="N629" s="25"/>
      <c r="O629" s="25"/>
      <c r="P629" s="25"/>
      <c r="Q629" s="17" t="s">
        <v>43</v>
      </c>
    </row>
    <row r="630" spans="2:17">
      <c r="B630" s="11" t="s">
        <v>55</v>
      </c>
      <c r="C630" s="5" t="str">
        <f>IF(E630="","",IF(G630&lt;&gt;"",SUBSTITUTE(SUBSTITUTE(G630," ",""),"-",""),IF(F630&lt;&gt;"",SUBSTITUTE(SUBSTITUTE(F630," ",""),"-",""),"")))</f>
        <v>RNGHCP08</v>
      </c>
      <c r="D630" s="6" t="s">
        <v>36</v>
      </c>
      <c r="E630" s="11" t="s">
        <v>47</v>
      </c>
      <c r="F630" s="11" t="s">
        <v>1192</v>
      </c>
      <c r="G630" s="11" t="s">
        <v>1200</v>
      </c>
      <c r="H630" s="18">
        <v>6.79</v>
      </c>
      <c r="I630" s="5" t="s">
        <v>52</v>
      </c>
      <c r="J630" s="19">
        <v>7</v>
      </c>
      <c r="K630" s="5" t="s">
        <v>49</v>
      </c>
      <c r="L630" s="5" t="s">
        <v>786</v>
      </c>
      <c r="M630" s="23" t="s">
        <v>1138</v>
      </c>
      <c r="N630" s="25"/>
      <c r="O630" s="25"/>
      <c r="P630" s="25"/>
      <c r="Q630" s="17" t="s">
        <v>43</v>
      </c>
    </row>
    <row r="631" spans="2:17">
      <c r="B631" s="11" t="s">
        <v>55</v>
      </c>
      <c r="C631" s="5" t="str">
        <f>IF(E631="","",IF(G631&lt;&gt;"",SUBSTITUTE(SUBSTITUTE(G631," ",""),"-",""),IF(F631&lt;&gt;"",SUBSTITUTE(SUBSTITUTE(F631," ",""),"-",""),"")))</f>
        <v>RNGHCP09</v>
      </c>
      <c r="D631" s="6" t="s">
        <v>36</v>
      </c>
      <c r="E631" s="11" t="s">
        <v>47</v>
      </c>
      <c r="F631" s="11" t="s">
        <v>1192</v>
      </c>
      <c r="G631" s="11" t="s">
        <v>1201</v>
      </c>
      <c r="H631" s="18">
        <v>6.79</v>
      </c>
      <c r="I631" s="5" t="s">
        <v>52</v>
      </c>
      <c r="J631" s="19">
        <v>7</v>
      </c>
      <c r="K631" s="5" t="s">
        <v>49</v>
      </c>
      <c r="L631" s="5" t="s">
        <v>786</v>
      </c>
      <c r="M631" s="23" t="s">
        <v>1138</v>
      </c>
      <c r="N631" s="25"/>
      <c r="O631" s="25"/>
      <c r="P631" s="25"/>
      <c r="Q631" s="17" t="s">
        <v>43</v>
      </c>
    </row>
    <row r="632" spans="2:17">
      <c r="B632" s="11" t="s">
        <v>55</v>
      </c>
      <c r="C632" s="5" t="str">
        <f>IF(E632="","",IF(G632&lt;&gt;"",SUBSTITUTE(SUBSTITUTE(G632," ",""),"-",""),IF(F632&lt;&gt;"",SUBSTITUTE(SUBSTITUTE(F632," ",""),"-",""),"")))</f>
        <v>RNGHCP10</v>
      </c>
      <c r="D632" s="6" t="s">
        <v>36</v>
      </c>
      <c r="E632" s="11" t="s">
        <v>47</v>
      </c>
      <c r="F632" s="11" t="s">
        <v>1192</v>
      </c>
      <c r="G632" s="11" t="s">
        <v>1202</v>
      </c>
      <c r="H632" s="18">
        <v>6.79</v>
      </c>
      <c r="I632" s="5" t="s">
        <v>52</v>
      </c>
      <c r="J632" s="19">
        <v>7</v>
      </c>
      <c r="K632" s="5" t="s">
        <v>49</v>
      </c>
      <c r="L632" s="5" t="s">
        <v>786</v>
      </c>
      <c r="M632" s="23" t="s">
        <v>1138</v>
      </c>
      <c r="N632" s="25"/>
      <c r="O632" s="25"/>
      <c r="P632" s="25"/>
      <c r="Q632" s="17" t="s">
        <v>43</v>
      </c>
    </row>
    <row r="633" spans="2:17">
      <c r="B633" s="11" t="s">
        <v>55</v>
      </c>
      <c r="C633" s="5" t="str">
        <f>IF(E633="","",IF(G633&lt;&gt;"",SUBSTITUTE(SUBSTITUTE(G633," ",""),"-",""),IF(F633&lt;&gt;"",SUBSTITUTE(SUBSTITUTE(F633," ",""),"-",""),"")))</f>
        <v>RNGHCP11</v>
      </c>
      <c r="D633" s="6" t="s">
        <v>36</v>
      </c>
      <c r="E633" s="11" t="s">
        <v>47</v>
      </c>
      <c r="F633" s="11" t="s">
        <v>1192</v>
      </c>
      <c r="G633" s="11" t="s">
        <v>1203</v>
      </c>
      <c r="H633" s="18">
        <v>6.79</v>
      </c>
      <c r="I633" s="5" t="s">
        <v>52</v>
      </c>
      <c r="J633" s="19">
        <v>7</v>
      </c>
      <c r="K633" s="5" t="s">
        <v>49</v>
      </c>
      <c r="L633" s="5" t="s">
        <v>786</v>
      </c>
      <c r="M633" s="23" t="s">
        <v>1138</v>
      </c>
      <c r="N633" s="25"/>
      <c r="O633" s="25"/>
      <c r="P633" s="25"/>
      <c r="Q633" s="17" t="s">
        <v>43</v>
      </c>
    </row>
    <row r="634" spans="2:17">
      <c r="B634" s="11" t="s">
        <v>55</v>
      </c>
      <c r="C634" s="5" t="str">
        <f>IF(E634="","",IF(G634&lt;&gt;"",SUBSTITUTE(SUBSTITUTE(G634," ",""),"-",""),IF(F634&lt;&gt;"",SUBSTITUTE(SUBSTITUTE(F634," ",""),"-",""),"")))</f>
        <v>RNGHCP12</v>
      </c>
      <c r="D634" s="6" t="s">
        <v>36</v>
      </c>
      <c r="E634" s="11" t="s">
        <v>47</v>
      </c>
      <c r="F634" s="11" t="s">
        <v>1192</v>
      </c>
      <c r="G634" s="11" t="s">
        <v>1204</v>
      </c>
      <c r="H634" s="18">
        <v>6.79</v>
      </c>
      <c r="I634" s="5" t="s">
        <v>52</v>
      </c>
      <c r="J634" s="19">
        <v>7</v>
      </c>
      <c r="K634" s="5" t="s">
        <v>49</v>
      </c>
      <c r="L634" s="5" t="s">
        <v>786</v>
      </c>
      <c r="M634" s="23" t="s">
        <v>1138</v>
      </c>
      <c r="N634" s="25"/>
      <c r="O634" s="25"/>
      <c r="P634" s="25"/>
      <c r="Q634" s="17" t="s">
        <v>43</v>
      </c>
    </row>
    <row r="635" spans="2:17">
      <c r="B635" s="11" t="s">
        <v>55</v>
      </c>
      <c r="C635" s="5" t="str">
        <f>IF(E635="","",IF(G635&lt;&gt;"",SUBSTITUTE(SUBSTITUTE(G635," ",""),"-",""),IF(F635&lt;&gt;"",SUBSTITUTE(SUBSTITUTE(F635," ",""),"-",""),"")))</f>
        <v>RNGHCP13</v>
      </c>
      <c r="D635" s="6" t="s">
        <v>36</v>
      </c>
      <c r="E635" s="11" t="s">
        <v>47</v>
      </c>
      <c r="F635" s="11" t="s">
        <v>1192</v>
      </c>
      <c r="G635" s="11" t="s">
        <v>1205</v>
      </c>
      <c r="H635" s="18">
        <v>6.79</v>
      </c>
      <c r="I635" s="5" t="s">
        <v>52</v>
      </c>
      <c r="J635" s="19">
        <v>7</v>
      </c>
      <c r="K635" s="5" t="s">
        <v>49</v>
      </c>
      <c r="L635" s="5" t="s">
        <v>786</v>
      </c>
      <c r="M635" s="23" t="s">
        <v>1138</v>
      </c>
      <c r="N635" s="25"/>
      <c r="O635" s="25"/>
      <c r="P635" s="25"/>
      <c r="Q635" s="17" t="s">
        <v>43</v>
      </c>
    </row>
    <row r="636" spans="2:17">
      <c r="B636" s="11" t="s">
        <v>55</v>
      </c>
      <c r="C636" s="5" t="str">
        <f>IF(E636="","",IF(G636&lt;&gt;"",SUBSTITUTE(SUBSTITUTE(G636," ",""),"-",""),IF(F636&lt;&gt;"",SUBSTITUTE(SUBSTITUTE(F636," ",""),"-",""),"")))</f>
        <v>RNGHCP14</v>
      </c>
      <c r="D636" s="6" t="s">
        <v>36</v>
      </c>
      <c r="E636" s="11" t="s">
        <v>47</v>
      </c>
      <c r="F636" s="11" t="s">
        <v>1192</v>
      </c>
      <c r="G636" s="11" t="s">
        <v>1206</v>
      </c>
      <c r="H636" s="18">
        <v>6.79</v>
      </c>
      <c r="I636" s="5" t="s">
        <v>52</v>
      </c>
      <c r="J636" s="19">
        <v>7</v>
      </c>
      <c r="K636" s="5" t="s">
        <v>49</v>
      </c>
      <c r="L636" s="5" t="s">
        <v>786</v>
      </c>
      <c r="M636" s="23" t="s">
        <v>1138</v>
      </c>
      <c r="N636" s="25"/>
      <c r="O636" s="25"/>
      <c r="P636" s="25"/>
      <c r="Q636" s="17" t="s">
        <v>43</v>
      </c>
    </row>
    <row r="637" spans="2:17">
      <c r="B637" s="11" t="s">
        <v>55</v>
      </c>
      <c r="C637" s="5" t="str">
        <f>IF(E637="","",IF(G637&lt;&gt;"",SUBSTITUTE(SUBSTITUTE(G637," ",""),"-",""),IF(F637&lt;&gt;"",SUBSTITUTE(SUBSTITUTE(F637," ",""),"-",""),"")))</f>
        <v>RNGHCP15</v>
      </c>
      <c r="D637" s="6" t="s">
        <v>36</v>
      </c>
      <c r="E637" s="11" t="s">
        <v>47</v>
      </c>
      <c r="F637" s="11" t="s">
        <v>1192</v>
      </c>
      <c r="G637" s="11" t="s">
        <v>1207</v>
      </c>
      <c r="H637" s="18">
        <v>6.79</v>
      </c>
      <c r="I637" s="5" t="s">
        <v>52</v>
      </c>
      <c r="J637" s="19">
        <v>7</v>
      </c>
      <c r="K637" s="5" t="s">
        <v>49</v>
      </c>
      <c r="L637" s="5" t="s">
        <v>786</v>
      </c>
      <c r="M637" s="23" t="s">
        <v>1138</v>
      </c>
      <c r="N637" s="25"/>
      <c r="O637" s="25"/>
      <c r="P637" s="25"/>
      <c r="Q637" s="17" t="s">
        <v>43</v>
      </c>
    </row>
    <row r="638" spans="2:17">
      <c r="B638" s="11" t="s">
        <v>55</v>
      </c>
      <c r="C638" s="5" t="str">
        <f>IF(E638="","",IF(G638&lt;&gt;"",SUBSTITUTE(SUBSTITUTE(G638," ",""),"-",""),IF(F638&lt;&gt;"",SUBSTITUTE(SUBSTITUTE(F638," ",""),"-",""),"")))</f>
        <v>RNGHCP16</v>
      </c>
      <c r="D638" s="6" t="s">
        <v>36</v>
      </c>
      <c r="E638" s="11" t="s">
        <v>47</v>
      </c>
      <c r="F638" s="11" t="s">
        <v>1192</v>
      </c>
      <c r="G638" s="11" t="s">
        <v>1208</v>
      </c>
      <c r="H638" s="18">
        <v>6.79</v>
      </c>
      <c r="I638" s="5" t="s">
        <v>52</v>
      </c>
      <c r="J638" s="19">
        <v>7</v>
      </c>
      <c r="K638" s="5" t="s">
        <v>49</v>
      </c>
      <c r="L638" s="5" t="s">
        <v>786</v>
      </c>
      <c r="M638" s="23" t="s">
        <v>1138</v>
      </c>
      <c r="N638" s="25"/>
      <c r="O638" s="25"/>
      <c r="P638" s="25"/>
      <c r="Q638" s="17" t="s">
        <v>43</v>
      </c>
    </row>
    <row r="639" spans="2:17">
      <c r="B639" s="11" t="s">
        <v>55</v>
      </c>
      <c r="C639" s="5" t="str">
        <f>IF(E639="","",IF(G639&lt;&gt;"",SUBSTITUTE(SUBSTITUTE(G639," ",""),"-",""),IF(F639&lt;&gt;"",SUBSTITUTE(SUBSTITUTE(F639," ",""),"-",""),"")))</f>
        <v>RNGHCP17</v>
      </c>
      <c r="D639" s="6" t="s">
        <v>36</v>
      </c>
      <c r="E639" s="11" t="s">
        <v>47</v>
      </c>
      <c r="F639" s="11" t="s">
        <v>1192</v>
      </c>
      <c r="G639" s="11" t="s">
        <v>1209</v>
      </c>
      <c r="H639" s="18">
        <v>6.79</v>
      </c>
      <c r="I639" s="5" t="s">
        <v>52</v>
      </c>
      <c r="J639" s="19">
        <v>7</v>
      </c>
      <c r="K639" s="5" t="s">
        <v>49</v>
      </c>
      <c r="L639" s="5" t="s">
        <v>786</v>
      </c>
      <c r="M639" s="23" t="s">
        <v>1138</v>
      </c>
      <c r="N639" s="25"/>
      <c r="O639" s="25"/>
      <c r="P639" s="25"/>
      <c r="Q639" s="17" t="s">
        <v>43</v>
      </c>
    </row>
    <row r="640" spans="2:17">
      <c r="B640" s="11" t="s">
        <v>55</v>
      </c>
      <c r="C640" s="5" t="str">
        <f>IF(E640="","",IF(G640&lt;&gt;"",SUBSTITUTE(SUBSTITUTE(G640," ",""),"-",""),IF(F640&lt;&gt;"",SUBSTITUTE(SUBSTITUTE(F640," ",""),"-",""),"")))</f>
        <v>RNGHCP18</v>
      </c>
      <c r="D640" s="6" t="s">
        <v>36</v>
      </c>
      <c r="E640" s="11" t="s">
        <v>47</v>
      </c>
      <c r="F640" s="11" t="s">
        <v>1192</v>
      </c>
      <c r="G640" s="11" t="s">
        <v>1210</v>
      </c>
      <c r="H640" s="18">
        <v>6.79</v>
      </c>
      <c r="I640" s="5" t="s">
        <v>52</v>
      </c>
      <c r="J640" s="19">
        <v>7</v>
      </c>
      <c r="K640" s="5" t="s">
        <v>49</v>
      </c>
      <c r="L640" s="5" t="s">
        <v>786</v>
      </c>
      <c r="M640" s="23" t="s">
        <v>1138</v>
      </c>
      <c r="N640" s="25"/>
      <c r="O640" s="25"/>
      <c r="P640" s="25"/>
      <c r="Q640" s="17" t="s">
        <v>43</v>
      </c>
    </row>
    <row r="641" spans="2:17">
      <c r="B641" s="11" t="s">
        <v>55</v>
      </c>
      <c r="C641" s="5" t="str">
        <f>IF(E641="","",IF(G641&lt;&gt;"",SUBSTITUTE(SUBSTITUTE(G641," ",""),"-",""),IF(F641&lt;&gt;"",SUBSTITUTE(SUBSTITUTE(F641," ",""),"-",""),"")))</f>
        <v>RNGHCP19</v>
      </c>
      <c r="D641" s="6" t="s">
        <v>36</v>
      </c>
      <c r="E641" s="11" t="s">
        <v>47</v>
      </c>
      <c r="F641" s="11" t="s">
        <v>1192</v>
      </c>
      <c r="G641" s="11" t="s">
        <v>1211</v>
      </c>
      <c r="H641" s="18">
        <v>6.79</v>
      </c>
      <c r="I641" s="5" t="s">
        <v>52</v>
      </c>
      <c r="J641" s="19">
        <v>7</v>
      </c>
      <c r="K641" s="5" t="s">
        <v>49</v>
      </c>
      <c r="L641" s="5" t="s">
        <v>786</v>
      </c>
      <c r="M641" s="23" t="s">
        <v>1138</v>
      </c>
      <c r="N641" s="25"/>
      <c r="O641" s="25"/>
      <c r="P641" s="25"/>
      <c r="Q641" s="17" t="s">
        <v>43</v>
      </c>
    </row>
    <row r="642" spans="2:17">
      <c r="B642" s="11" t="s">
        <v>55</v>
      </c>
      <c r="C642" s="5" t="str">
        <f>IF(E642="","",IF(G642&lt;&gt;"",SUBSTITUTE(SUBSTITUTE(G642," ",""),"-",""),IF(F642&lt;&gt;"",SUBSTITUTE(SUBSTITUTE(F642," ",""),"-",""),"")))</f>
        <v>RNGHCP20</v>
      </c>
      <c r="D642" s="6" t="s">
        <v>36</v>
      </c>
      <c r="E642" s="11" t="s">
        <v>47</v>
      </c>
      <c r="F642" s="11" t="s">
        <v>1192</v>
      </c>
      <c r="G642" s="11" t="s">
        <v>1212</v>
      </c>
      <c r="H642" s="18">
        <v>6.79</v>
      </c>
      <c r="I642" s="5" t="s">
        <v>52</v>
      </c>
      <c r="J642" s="19">
        <v>7</v>
      </c>
      <c r="K642" s="5" t="s">
        <v>49</v>
      </c>
      <c r="L642" s="5" t="s">
        <v>786</v>
      </c>
      <c r="M642" s="23" t="s">
        <v>1138</v>
      </c>
      <c r="N642" s="25"/>
      <c r="O642" s="25"/>
      <c r="P642" s="25"/>
      <c r="Q642" s="17" t="s">
        <v>43</v>
      </c>
    </row>
    <row r="643" spans="2:17">
      <c r="B643" s="11"/>
      <c r="C643" s="5" t="str">
        <f>IF(E643="","",IF(G643&lt;&gt;"",SUBSTITUTE(SUBSTITUTE(G643," ",""),"-",""),IF(F643&lt;&gt;"",SUBSTITUTE(SUBSTITUTE(F643," ",""),"-",""),"")))</f>
        <v/>
      </c>
      <c r="D643" s="6"/>
      <c r="E643" s="11"/>
      <c r="F643" s="11"/>
      <c r="G643" s="11"/>
      <c r="H643" s="18"/>
      <c r="J643" s="19"/>
      <c r="M643" s="23"/>
      <c r="N643" s="20"/>
      <c r="O643" s="20"/>
      <c r="P643" s="20"/>
      <c r="Q643" s="17"/>
    </row>
    <row r="644" spans="2:17">
      <c r="B644" s="11" t="s">
        <v>50</v>
      </c>
      <c r="C644" s="5" t="str">
        <f>IF(E644="","",IF(G644&lt;&gt;"",SUBSTITUTE(SUBSTITUTE(G644," ",""),"-",""),IF(F644&lt;&gt;"",SUBSTITUTE(SUBSTITUTE(F644," ",""),"-",""),"")))</f>
        <v>RNGHC02</v>
      </c>
      <c r="D644" s="6" t="s">
        <v>36</v>
      </c>
      <c r="E644" s="11" t="s">
        <v>47</v>
      </c>
      <c r="F644" s="11" t="s">
        <v>1213</v>
      </c>
      <c r="G644" s="11"/>
      <c r="H644" s="18">
        <v>30</v>
      </c>
      <c r="I644" s="5" t="s">
        <v>52</v>
      </c>
      <c r="J644" s="19">
        <v>84</v>
      </c>
      <c r="K644" s="5" t="s">
        <v>49</v>
      </c>
      <c r="L644" s="5" t="s">
        <v>786</v>
      </c>
      <c r="M644" s="23" t="s">
        <v>1138</v>
      </c>
      <c r="N644" s="25"/>
      <c r="O644" s="25"/>
      <c r="P644" s="25"/>
      <c r="Q644" s="17" t="s">
        <v>43</v>
      </c>
    </row>
    <row r="645" spans="2:17">
      <c r="B645" s="11" t="s">
        <v>55</v>
      </c>
      <c r="C645" s="5" t="str">
        <f>IF(E645="","",IF(G645&lt;&gt;"",SUBSTITUTE(SUBSTITUTE(G645," ",""),"-",""),IF(F645&lt;&gt;"",SUBSTITUTE(SUBSTITUTE(F645," ",""),"-",""),"")))</f>
        <v>RNGHC02P01</v>
      </c>
      <c r="D645" s="6" t="s">
        <v>36</v>
      </c>
      <c r="E645" s="11" t="s">
        <v>47</v>
      </c>
      <c r="F645" s="11" t="s">
        <v>1213</v>
      </c>
      <c r="G645" s="11" t="s">
        <v>1214</v>
      </c>
      <c r="H645" s="18">
        <v>5</v>
      </c>
      <c r="I645" s="5" t="s">
        <v>52</v>
      </c>
      <c r="J645" s="19">
        <v>14</v>
      </c>
      <c r="K645" s="5" t="s">
        <v>49</v>
      </c>
      <c r="L645" s="5" t="s">
        <v>786</v>
      </c>
      <c r="M645" s="23" t="s">
        <v>1138</v>
      </c>
      <c r="N645" s="25"/>
      <c r="O645" s="25"/>
      <c r="P645" s="25"/>
      <c r="Q645" s="17" t="s">
        <v>43</v>
      </c>
    </row>
    <row r="646" spans="2:17">
      <c r="B646" s="11" t="s">
        <v>55</v>
      </c>
      <c r="C646" s="5" t="str">
        <f>IF(E646="","",IF(G646&lt;&gt;"",SUBSTITUTE(SUBSTITUTE(G646," ",""),"-",""),IF(F646&lt;&gt;"",SUBSTITUTE(SUBSTITUTE(F646," ",""),"-",""),"")))</f>
        <v>RNGHC02P02</v>
      </c>
      <c r="D646" s="6" t="s">
        <v>36</v>
      </c>
      <c r="E646" s="11" t="s">
        <v>47</v>
      </c>
      <c r="F646" s="11" t="s">
        <v>1213</v>
      </c>
      <c r="G646" s="11" t="s">
        <v>1215</v>
      </c>
      <c r="H646" s="18">
        <v>5</v>
      </c>
      <c r="I646" s="5" t="s">
        <v>52</v>
      </c>
      <c r="J646" s="19">
        <v>14</v>
      </c>
      <c r="K646" s="5" t="s">
        <v>49</v>
      </c>
      <c r="L646" s="5" t="s">
        <v>786</v>
      </c>
      <c r="M646" s="23" t="s">
        <v>1138</v>
      </c>
      <c r="N646" s="25"/>
      <c r="O646" s="25"/>
      <c r="P646" s="25"/>
      <c r="Q646" s="17" t="s">
        <v>43</v>
      </c>
    </row>
    <row r="647" spans="2:17">
      <c r="B647" s="11" t="s">
        <v>55</v>
      </c>
      <c r="C647" s="5" t="str">
        <f>IF(E647="","",IF(G647&lt;&gt;"",SUBSTITUTE(SUBSTITUTE(G647," ",""),"-",""),IF(F647&lt;&gt;"",SUBSTITUTE(SUBSTITUTE(F647," ",""),"-",""),"")))</f>
        <v>RNGHC02P03</v>
      </c>
      <c r="D647" s="6" t="s">
        <v>36</v>
      </c>
      <c r="E647" s="11" t="s">
        <v>47</v>
      </c>
      <c r="F647" s="11" t="s">
        <v>1213</v>
      </c>
      <c r="G647" s="11" t="s">
        <v>1216</v>
      </c>
      <c r="H647" s="18">
        <v>5</v>
      </c>
      <c r="I647" s="5" t="s">
        <v>52</v>
      </c>
      <c r="J647" s="19">
        <v>14</v>
      </c>
      <c r="K647" s="5" t="s">
        <v>49</v>
      </c>
      <c r="L647" s="5" t="s">
        <v>786</v>
      </c>
      <c r="M647" s="23" t="s">
        <v>1138</v>
      </c>
      <c r="N647" s="25"/>
      <c r="O647" s="25"/>
      <c r="P647" s="25"/>
      <c r="Q647" s="17" t="s">
        <v>43</v>
      </c>
    </row>
    <row r="648" spans="2:17">
      <c r="B648" s="11" t="s">
        <v>55</v>
      </c>
      <c r="C648" s="5" t="str">
        <f>IF(E648="","",IF(G648&lt;&gt;"",SUBSTITUTE(SUBSTITUTE(G648," ",""),"-",""),IF(F648&lt;&gt;"",SUBSTITUTE(SUBSTITUTE(F648," ",""),"-",""),"")))</f>
        <v>RNGHC02P04</v>
      </c>
      <c r="D648" s="6" t="s">
        <v>36</v>
      </c>
      <c r="E648" s="11" t="s">
        <v>47</v>
      </c>
      <c r="F648" s="11" t="s">
        <v>1213</v>
      </c>
      <c r="G648" s="11" t="s">
        <v>1217</v>
      </c>
      <c r="H648" s="18">
        <v>5</v>
      </c>
      <c r="I648" s="5" t="s">
        <v>52</v>
      </c>
      <c r="J648" s="19">
        <v>14</v>
      </c>
      <c r="K648" s="5" t="s">
        <v>49</v>
      </c>
      <c r="L648" s="5" t="s">
        <v>786</v>
      </c>
      <c r="M648" s="23" t="s">
        <v>1138</v>
      </c>
      <c r="N648" s="25"/>
      <c r="O648" s="25"/>
      <c r="P648" s="25"/>
      <c r="Q648" s="17" t="s">
        <v>43</v>
      </c>
    </row>
    <row r="649" spans="2:17">
      <c r="B649" s="11" t="s">
        <v>55</v>
      </c>
      <c r="C649" s="5" t="str">
        <f>IF(E649="","",IF(G649&lt;&gt;"",SUBSTITUTE(SUBSTITUTE(G649," ",""),"-",""),IF(F649&lt;&gt;"",SUBSTITUTE(SUBSTITUTE(F649," ",""),"-",""),"")))</f>
        <v>RNGHC02P05</v>
      </c>
      <c r="D649" s="6" t="s">
        <v>36</v>
      </c>
      <c r="E649" s="11" t="s">
        <v>47</v>
      </c>
      <c r="F649" s="11" t="s">
        <v>1213</v>
      </c>
      <c r="G649" s="11" t="s">
        <v>1218</v>
      </c>
      <c r="H649" s="18">
        <v>5</v>
      </c>
      <c r="I649" s="5" t="s">
        <v>52</v>
      </c>
      <c r="J649" s="19">
        <v>14</v>
      </c>
      <c r="K649" s="5" t="s">
        <v>49</v>
      </c>
      <c r="L649" s="5" t="s">
        <v>786</v>
      </c>
      <c r="M649" s="23" t="s">
        <v>1138</v>
      </c>
      <c r="N649" s="25"/>
      <c r="O649" s="25"/>
      <c r="P649" s="25"/>
      <c r="Q649" s="17" t="s">
        <v>43</v>
      </c>
    </row>
    <row r="650" spans="2:17">
      <c r="B650" s="11" t="s">
        <v>55</v>
      </c>
      <c r="C650" s="5" t="str">
        <f>IF(E650="","",IF(G650&lt;&gt;"",SUBSTITUTE(SUBSTITUTE(G650," ",""),"-",""),IF(F650&lt;&gt;"",SUBSTITUTE(SUBSTITUTE(F650," ",""),"-",""),"")))</f>
        <v>RNGHC02P06</v>
      </c>
      <c r="D650" s="6" t="s">
        <v>36</v>
      </c>
      <c r="E650" s="11" t="s">
        <v>47</v>
      </c>
      <c r="F650" s="11" t="s">
        <v>1213</v>
      </c>
      <c r="G650" s="11" t="s">
        <v>1219</v>
      </c>
      <c r="H650" s="18">
        <v>5</v>
      </c>
      <c r="I650" s="5" t="s">
        <v>52</v>
      </c>
      <c r="J650" s="19">
        <v>14</v>
      </c>
      <c r="K650" s="5" t="s">
        <v>49</v>
      </c>
      <c r="L650" s="5" t="s">
        <v>786</v>
      </c>
      <c r="M650" s="23" t="s">
        <v>1138</v>
      </c>
      <c r="N650" s="25"/>
      <c r="O650" s="25"/>
      <c r="P650" s="25"/>
      <c r="Q650" s="17" t="s">
        <v>43</v>
      </c>
    </row>
    <row r="651" spans="2:17">
      <c r="B651" s="11"/>
      <c r="D651" s="6"/>
      <c r="E651" s="11"/>
      <c r="F651" s="11"/>
      <c r="G651" s="11"/>
      <c r="H651" s="18"/>
      <c r="J651" s="19"/>
      <c r="M651" s="23"/>
      <c r="N651" s="20"/>
      <c r="O651" s="20"/>
      <c r="P651" s="20"/>
      <c r="Q651" s="17"/>
    </row>
    <row r="652" spans="2:17">
      <c r="B652" s="11"/>
      <c r="D652" s="6"/>
      <c r="E652" s="11"/>
      <c r="F652" s="11"/>
      <c r="G652" s="11"/>
      <c r="H652" s="18"/>
      <c r="J652" s="19"/>
      <c r="M652" s="23"/>
      <c r="N652" s="20"/>
      <c r="O652" s="20"/>
      <c r="P652" s="20"/>
      <c r="Q652" s="17"/>
    </row>
    <row r="653" spans="2:17">
      <c r="B653" s="11"/>
      <c r="D653" s="6"/>
      <c r="E653" s="11"/>
      <c r="F653" s="11"/>
      <c r="G653" s="11"/>
      <c r="H653" s="18"/>
      <c r="J653" s="19"/>
      <c r="M653" s="23"/>
      <c r="N653" s="20"/>
      <c r="O653" s="20"/>
      <c r="P653" s="20"/>
      <c r="Q653" s="17"/>
    </row>
  </sheetData>
  <mergeCells count="42">
    <mergeCell ref="N62:N114"/>
    <mergeCell ref="P62:P114"/>
    <mergeCell ref="O62:O114"/>
    <mergeCell ref="N174:N200"/>
    <mergeCell ref="O174:O200"/>
    <mergeCell ref="P174:P200"/>
    <mergeCell ref="N118:N170"/>
    <mergeCell ref="O118:O170"/>
    <mergeCell ref="P118:P170"/>
    <mergeCell ref="N222:N300"/>
    <mergeCell ref="O222:O300"/>
    <mergeCell ref="P222:P300"/>
    <mergeCell ref="N204:N217"/>
    <mergeCell ref="O204:O217"/>
    <mergeCell ref="P204:P217"/>
    <mergeCell ref="O345:O423"/>
    <mergeCell ref="P345:P423"/>
    <mergeCell ref="N303:N342"/>
    <mergeCell ref="N622:N642"/>
    <mergeCell ref="O622:O642"/>
    <mergeCell ref="P622:P642"/>
    <mergeCell ref="N594:N620"/>
    <mergeCell ref="O594:O620"/>
    <mergeCell ref="P594:P620"/>
    <mergeCell ref="O303:O342"/>
    <mergeCell ref="P303:P342"/>
    <mergeCell ref="N644:N650"/>
    <mergeCell ref="O644:O650"/>
    <mergeCell ref="P644:P650"/>
    <mergeCell ref="N6:N58"/>
    <mergeCell ref="O6:O58"/>
    <mergeCell ref="P6:P58"/>
    <mergeCell ref="N564:N590"/>
    <mergeCell ref="O564:O590"/>
    <mergeCell ref="P564:P590"/>
    <mergeCell ref="N533:N558"/>
    <mergeCell ref="O533:O558"/>
    <mergeCell ref="P533:P558"/>
    <mergeCell ref="N427:N531"/>
    <mergeCell ref="O427:O531"/>
    <mergeCell ref="P427:P531"/>
    <mergeCell ref="N345:N423"/>
  </mergeCells>
  <phoneticPr fontId="7" type="noConversion"/>
  <dataValidations count="3">
    <dataValidation type="list" allowBlank="1" showInputMessage="1" showErrorMessage="1" sqref="M5 L5:L653" xr:uid="{D258162A-954B-40D5-B5D1-B99724A09D07}">
      <formula1>"STORE, SILO"</formula1>
    </dataValidation>
    <dataValidation type="list" allowBlank="1" showInputMessage="1" showErrorMessage="1" sqref="I5:I653" xr:uid="{9AFFEECD-3B16-49AD-B603-75479C94DECB}">
      <formula1>"M2-Square Meter, FT2-Square Foot, YD2- Square Yard, ACRE, HECTARE"</formula1>
    </dataValidation>
    <dataValidation type="list" allowBlank="1" showInputMessage="1" showErrorMessage="1" sqref="B5:B653" xr:uid="{BC0F42BD-8EB0-47AA-B2A7-F438125A62B7}">
      <formula1>"MAIN FARM, SHED/HOUSE, PEN, CAGE, STORE, QUARANTINE, SILO"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E4DE-5A7E-45AF-B8EB-8E89F22E5BD0}">
  <dimension ref="A1:Q141"/>
  <sheetViews>
    <sheetView tabSelected="1" topLeftCell="A125" workbookViewId="0">
      <selection activeCell="C141" sqref="C141"/>
    </sheetView>
  </sheetViews>
  <sheetFormatPr defaultColWidth="53.28515625" defaultRowHeight="12"/>
  <cols>
    <col min="1" max="1" width="12.42578125" style="5" bestFit="1" customWidth="1"/>
    <col min="2" max="2" width="16.140625" style="5" bestFit="1" customWidth="1"/>
    <col min="3" max="3" width="29.85546875" style="5" bestFit="1" customWidth="1"/>
    <col min="4" max="4" width="15.42578125" style="5" customWidth="1"/>
    <col min="5" max="5" width="40" style="5" bestFit="1" customWidth="1"/>
    <col min="6" max="6" width="13.7109375" style="5" customWidth="1"/>
    <col min="7" max="7" width="13.85546875" style="5" customWidth="1"/>
    <col min="8" max="8" width="11.42578125" style="5" bestFit="1" customWidth="1"/>
    <col min="9" max="9" width="18.28515625" style="5" customWidth="1"/>
    <col min="10" max="10" width="17.85546875" style="5" customWidth="1"/>
    <col min="11" max="11" width="21.28515625" style="5" customWidth="1"/>
    <col min="12" max="12" width="13.85546875" style="5" bestFit="1" customWidth="1"/>
    <col min="13" max="13" width="13.85546875" style="5" customWidth="1"/>
    <col min="14" max="16" width="24.140625" style="5" customWidth="1"/>
    <col min="17" max="17" width="20.42578125" style="5" customWidth="1"/>
    <col min="18" max="16384" width="53.28515625" style="5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5" t="s">
        <v>15</v>
      </c>
    </row>
    <row r="2" spans="1:17" ht="36">
      <c r="A2" s="1" t="s">
        <v>16</v>
      </c>
      <c r="B2" s="6" t="s">
        <v>17</v>
      </c>
      <c r="C2" s="7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8" t="s">
        <v>24</v>
      </c>
      <c r="J2" s="6" t="s">
        <v>25</v>
      </c>
      <c r="K2" s="8" t="s">
        <v>26</v>
      </c>
      <c r="L2" s="9" t="s">
        <v>27</v>
      </c>
      <c r="M2" s="9" t="s">
        <v>28</v>
      </c>
      <c r="N2" s="7" t="s">
        <v>29</v>
      </c>
      <c r="O2" s="6" t="s">
        <v>30</v>
      </c>
      <c r="P2" s="7" t="s">
        <v>31</v>
      </c>
      <c r="Q2" s="10" t="s">
        <v>32</v>
      </c>
    </row>
    <row r="3" spans="1:17">
      <c r="A3" s="1" t="s">
        <v>33</v>
      </c>
      <c r="B3" s="6" t="s">
        <v>34</v>
      </c>
      <c r="C3" s="7" t="s">
        <v>35</v>
      </c>
      <c r="D3" s="6" t="s">
        <v>36</v>
      </c>
      <c r="E3" s="6" t="s">
        <v>37</v>
      </c>
      <c r="F3" s="11" t="s">
        <v>38</v>
      </c>
      <c r="G3" s="11" t="s">
        <v>39</v>
      </c>
      <c r="H3" s="6">
        <v>0.5</v>
      </c>
      <c r="I3" s="8" t="s">
        <v>40</v>
      </c>
      <c r="J3" s="6">
        <v>10000</v>
      </c>
      <c r="K3" s="8" t="s">
        <v>41</v>
      </c>
      <c r="N3" s="12">
        <v>2000</v>
      </c>
      <c r="O3" s="13">
        <v>3</v>
      </c>
      <c r="P3" s="12">
        <v>14</v>
      </c>
    </row>
    <row r="4" spans="1:17">
      <c r="A4" s="1" t="s">
        <v>42</v>
      </c>
      <c r="B4" s="14" t="s">
        <v>43</v>
      </c>
      <c r="C4" s="15" t="s">
        <v>43</v>
      </c>
      <c r="D4" s="14"/>
      <c r="E4" s="14" t="s">
        <v>43</v>
      </c>
      <c r="F4" s="14"/>
      <c r="G4" s="14"/>
      <c r="H4" s="13" t="s">
        <v>44</v>
      </c>
      <c r="I4" s="16" t="s">
        <v>44</v>
      </c>
      <c r="J4" s="13" t="s">
        <v>43</v>
      </c>
      <c r="K4" s="16" t="s">
        <v>43</v>
      </c>
      <c r="N4" s="12" t="s">
        <v>43</v>
      </c>
      <c r="O4" s="13" t="s">
        <v>43</v>
      </c>
      <c r="P4" s="12" t="s">
        <v>44</v>
      </c>
      <c r="Q4" s="17" t="s">
        <v>43</v>
      </c>
    </row>
    <row r="5" spans="1:17">
      <c r="A5" s="11"/>
      <c r="B5" s="11"/>
      <c r="C5" s="11"/>
      <c r="D5" s="11"/>
      <c r="E5" s="11"/>
      <c r="F5" s="11"/>
      <c r="G5" s="11"/>
    </row>
    <row r="6" spans="1:17">
      <c r="B6" s="11" t="s">
        <v>50</v>
      </c>
      <c r="C6" s="5" t="str">
        <f>IF(E6="","",IF(G6&lt;&gt;"",SUBSTITUTE(SUBSTITUTE(SUBSTITUTE(G6," ",""),"-",""),"N",""),IF(F6&lt;&gt;"",SUBSTITUTE(SUBSTITUTE(SUBSTITUTE(F6," ",""),"-",""),"N",""),"")))</f>
        <v>RWH1A</v>
      </c>
      <c r="D6" s="6" t="s">
        <v>36</v>
      </c>
      <c r="E6" s="11" t="s">
        <v>47</v>
      </c>
      <c r="F6" s="11" t="s">
        <v>1220</v>
      </c>
      <c r="G6" s="11"/>
      <c r="H6" s="18">
        <v>284</v>
      </c>
      <c r="I6" s="5" t="s">
        <v>52</v>
      </c>
      <c r="J6" s="19">
        <v>600</v>
      </c>
      <c r="K6" s="5" t="s">
        <v>49</v>
      </c>
      <c r="L6" s="5" t="s">
        <v>53</v>
      </c>
      <c r="M6" s="23" t="s">
        <v>1221</v>
      </c>
      <c r="N6" s="25">
        <v>5500</v>
      </c>
      <c r="O6" s="25">
        <v>4</v>
      </c>
      <c r="P6" s="25">
        <v>3</v>
      </c>
      <c r="Q6" s="17" t="s">
        <v>43</v>
      </c>
    </row>
    <row r="7" spans="1:17">
      <c r="B7" s="11" t="s">
        <v>55</v>
      </c>
      <c r="C7" s="5" t="str">
        <f t="shared" ref="C7:C70" si="0">IF(E7="","",IF(G7&lt;&gt;"",SUBSTITUTE(SUBSTITUTE(SUBSTITUTE(G7," ",""),"-",""),"N",""),IF(F7&lt;&gt;"",SUBSTITUTE(SUBSTITUTE(SUBSTITUTE(F7," ",""),"-",""),"N",""),"")))</f>
        <v>RWH1AP01</v>
      </c>
      <c r="D7" s="6" t="s">
        <v>36</v>
      </c>
      <c r="E7" s="11" t="s">
        <v>47</v>
      </c>
      <c r="F7" s="11" t="s">
        <v>1220</v>
      </c>
      <c r="G7" s="11" t="s">
        <v>1222</v>
      </c>
      <c r="H7" s="18">
        <v>14.2</v>
      </c>
      <c r="I7" s="5" t="s">
        <v>52</v>
      </c>
      <c r="J7" s="19">
        <v>35</v>
      </c>
      <c r="K7" s="5" t="s">
        <v>49</v>
      </c>
      <c r="L7" s="5" t="s">
        <v>53</v>
      </c>
      <c r="M7" s="23" t="s">
        <v>1221</v>
      </c>
      <c r="N7" s="25"/>
      <c r="O7" s="25"/>
      <c r="P7" s="25"/>
      <c r="Q7" s="17" t="s">
        <v>43</v>
      </c>
    </row>
    <row r="8" spans="1:17">
      <c r="B8" s="11" t="s">
        <v>55</v>
      </c>
      <c r="C8" s="5" t="str">
        <f t="shared" si="0"/>
        <v>RWH1AP02</v>
      </c>
      <c r="D8" s="6" t="s">
        <v>36</v>
      </c>
      <c r="E8" s="11" t="s">
        <v>47</v>
      </c>
      <c r="F8" s="11" t="s">
        <v>1220</v>
      </c>
      <c r="G8" s="11" t="s">
        <v>1223</v>
      </c>
      <c r="H8" s="18">
        <v>14.2</v>
      </c>
      <c r="I8" s="5" t="s">
        <v>52</v>
      </c>
      <c r="J8" s="19">
        <v>35</v>
      </c>
      <c r="K8" s="5" t="s">
        <v>49</v>
      </c>
      <c r="L8" s="5" t="s">
        <v>53</v>
      </c>
      <c r="M8" s="23" t="s">
        <v>1221</v>
      </c>
      <c r="N8" s="25"/>
      <c r="O8" s="25"/>
      <c r="P8" s="25"/>
      <c r="Q8" s="17" t="s">
        <v>43</v>
      </c>
    </row>
    <row r="9" spans="1:17">
      <c r="B9" s="11" t="s">
        <v>55</v>
      </c>
      <c r="C9" s="5" t="str">
        <f t="shared" si="0"/>
        <v>RWH1AP03</v>
      </c>
      <c r="D9" s="6" t="s">
        <v>36</v>
      </c>
      <c r="E9" s="11" t="s">
        <v>47</v>
      </c>
      <c r="F9" s="11" t="s">
        <v>1220</v>
      </c>
      <c r="G9" s="11" t="s">
        <v>1224</v>
      </c>
      <c r="H9" s="18">
        <v>14.2</v>
      </c>
      <c r="I9" s="5" t="s">
        <v>52</v>
      </c>
      <c r="J9" s="19">
        <v>35</v>
      </c>
      <c r="K9" s="5" t="s">
        <v>49</v>
      </c>
      <c r="L9" s="5" t="s">
        <v>53</v>
      </c>
      <c r="M9" s="23" t="s">
        <v>1221</v>
      </c>
      <c r="N9" s="25"/>
      <c r="O9" s="25"/>
      <c r="P9" s="25"/>
      <c r="Q9" s="17" t="s">
        <v>43</v>
      </c>
    </row>
    <row r="10" spans="1:17">
      <c r="B10" s="11" t="s">
        <v>55</v>
      </c>
      <c r="C10" s="5" t="str">
        <f t="shared" si="0"/>
        <v>RWH1AP04</v>
      </c>
      <c r="D10" s="6" t="s">
        <v>36</v>
      </c>
      <c r="E10" s="11" t="s">
        <v>47</v>
      </c>
      <c r="F10" s="11" t="s">
        <v>1220</v>
      </c>
      <c r="G10" s="11" t="s">
        <v>1225</v>
      </c>
      <c r="H10" s="18">
        <v>14.2</v>
      </c>
      <c r="I10" s="5" t="s">
        <v>52</v>
      </c>
      <c r="J10" s="19">
        <v>35</v>
      </c>
      <c r="K10" s="5" t="s">
        <v>49</v>
      </c>
      <c r="L10" s="5" t="s">
        <v>53</v>
      </c>
      <c r="M10" s="23" t="s">
        <v>1221</v>
      </c>
      <c r="N10" s="25"/>
      <c r="O10" s="25"/>
      <c r="P10" s="25"/>
      <c r="Q10" s="17" t="s">
        <v>43</v>
      </c>
    </row>
    <row r="11" spans="1:17">
      <c r="B11" s="11" t="s">
        <v>55</v>
      </c>
      <c r="C11" s="5" t="str">
        <f t="shared" si="0"/>
        <v>RWH1AP05</v>
      </c>
      <c r="D11" s="6" t="s">
        <v>36</v>
      </c>
      <c r="E11" s="11" t="s">
        <v>47</v>
      </c>
      <c r="F11" s="11" t="s">
        <v>1220</v>
      </c>
      <c r="G11" s="11" t="s">
        <v>1226</v>
      </c>
      <c r="H11" s="18">
        <v>14.2</v>
      </c>
      <c r="I11" s="5" t="s">
        <v>52</v>
      </c>
      <c r="J11" s="19">
        <v>35</v>
      </c>
      <c r="K11" s="5" t="s">
        <v>49</v>
      </c>
      <c r="L11" s="5" t="s">
        <v>53</v>
      </c>
      <c r="M11" s="23" t="s">
        <v>1221</v>
      </c>
      <c r="N11" s="25"/>
      <c r="O11" s="25"/>
      <c r="P11" s="25"/>
      <c r="Q11" s="17" t="s">
        <v>43</v>
      </c>
    </row>
    <row r="12" spans="1:17">
      <c r="B12" s="11" t="s">
        <v>55</v>
      </c>
      <c r="C12" s="5" t="str">
        <f t="shared" si="0"/>
        <v>RWH1AP06</v>
      </c>
      <c r="D12" s="6" t="s">
        <v>36</v>
      </c>
      <c r="E12" s="11" t="s">
        <v>47</v>
      </c>
      <c r="F12" s="11" t="s">
        <v>1220</v>
      </c>
      <c r="G12" s="11" t="s">
        <v>1227</v>
      </c>
      <c r="H12" s="18">
        <v>14.2</v>
      </c>
      <c r="I12" s="5" t="s">
        <v>52</v>
      </c>
      <c r="J12" s="19">
        <v>35</v>
      </c>
      <c r="K12" s="5" t="s">
        <v>49</v>
      </c>
      <c r="L12" s="5" t="s">
        <v>53</v>
      </c>
      <c r="M12" s="23" t="s">
        <v>1221</v>
      </c>
      <c r="N12" s="25"/>
      <c r="O12" s="25"/>
      <c r="P12" s="25"/>
      <c r="Q12" s="17" t="s">
        <v>43</v>
      </c>
    </row>
    <row r="13" spans="1:17">
      <c r="B13" s="11" t="s">
        <v>55</v>
      </c>
      <c r="C13" s="5" t="str">
        <f t="shared" si="0"/>
        <v>RWH1AP07</v>
      </c>
      <c r="D13" s="6" t="s">
        <v>36</v>
      </c>
      <c r="E13" s="11" t="s">
        <v>47</v>
      </c>
      <c r="F13" s="11" t="s">
        <v>1220</v>
      </c>
      <c r="G13" s="11" t="s">
        <v>1228</v>
      </c>
      <c r="H13" s="18">
        <v>14.2</v>
      </c>
      <c r="I13" s="5" t="s">
        <v>52</v>
      </c>
      <c r="J13" s="19">
        <v>35</v>
      </c>
      <c r="K13" s="5" t="s">
        <v>49</v>
      </c>
      <c r="L13" s="5" t="s">
        <v>53</v>
      </c>
      <c r="M13" s="23" t="s">
        <v>1221</v>
      </c>
      <c r="N13" s="25"/>
      <c r="O13" s="25"/>
      <c r="P13" s="25"/>
      <c r="Q13" s="17" t="s">
        <v>43</v>
      </c>
    </row>
    <row r="14" spans="1:17">
      <c r="B14" s="11" t="s">
        <v>55</v>
      </c>
      <c r="C14" s="5" t="str">
        <f t="shared" si="0"/>
        <v>RWH1AP08</v>
      </c>
      <c r="D14" s="6" t="s">
        <v>36</v>
      </c>
      <c r="E14" s="11" t="s">
        <v>47</v>
      </c>
      <c r="F14" s="11" t="s">
        <v>1220</v>
      </c>
      <c r="G14" s="11" t="s">
        <v>1229</v>
      </c>
      <c r="H14" s="18">
        <v>14.2</v>
      </c>
      <c r="I14" s="5" t="s">
        <v>52</v>
      </c>
      <c r="J14" s="19">
        <v>35</v>
      </c>
      <c r="K14" s="5" t="s">
        <v>49</v>
      </c>
      <c r="L14" s="5" t="s">
        <v>53</v>
      </c>
      <c r="M14" s="23" t="s">
        <v>1221</v>
      </c>
      <c r="N14" s="25"/>
      <c r="O14" s="25"/>
      <c r="P14" s="25"/>
      <c r="Q14" s="17" t="s">
        <v>43</v>
      </c>
    </row>
    <row r="15" spans="1:17">
      <c r="B15" s="11" t="s">
        <v>55</v>
      </c>
      <c r="C15" s="5" t="str">
        <f t="shared" si="0"/>
        <v>RWH1AP09</v>
      </c>
      <c r="D15" s="6" t="s">
        <v>36</v>
      </c>
      <c r="E15" s="11" t="s">
        <v>47</v>
      </c>
      <c r="F15" s="11" t="s">
        <v>1220</v>
      </c>
      <c r="G15" s="11" t="s">
        <v>1230</v>
      </c>
      <c r="H15" s="18">
        <v>14.2</v>
      </c>
      <c r="I15" s="5" t="s">
        <v>52</v>
      </c>
      <c r="J15" s="19">
        <v>35</v>
      </c>
      <c r="K15" s="5" t="s">
        <v>49</v>
      </c>
      <c r="L15" s="5" t="s">
        <v>53</v>
      </c>
      <c r="M15" s="23" t="s">
        <v>1221</v>
      </c>
      <c r="N15" s="25"/>
      <c r="O15" s="25"/>
      <c r="P15" s="25"/>
      <c r="Q15" s="17" t="s">
        <v>43</v>
      </c>
    </row>
    <row r="16" spans="1:17">
      <c r="B16" s="11" t="s">
        <v>55</v>
      </c>
      <c r="C16" s="5" t="str">
        <f t="shared" si="0"/>
        <v>RWH1AP10</v>
      </c>
      <c r="D16" s="6" t="s">
        <v>36</v>
      </c>
      <c r="E16" s="11" t="s">
        <v>47</v>
      </c>
      <c r="F16" s="11" t="s">
        <v>1220</v>
      </c>
      <c r="G16" s="11" t="s">
        <v>1231</v>
      </c>
      <c r="H16" s="18">
        <v>14.2</v>
      </c>
      <c r="I16" s="5" t="s">
        <v>52</v>
      </c>
      <c r="J16" s="19">
        <v>35</v>
      </c>
      <c r="K16" s="5" t="s">
        <v>49</v>
      </c>
      <c r="L16" s="5" t="s">
        <v>53</v>
      </c>
      <c r="M16" s="23" t="s">
        <v>1221</v>
      </c>
      <c r="N16" s="25"/>
      <c r="O16" s="25"/>
      <c r="P16" s="25"/>
      <c r="Q16" s="17" t="s">
        <v>43</v>
      </c>
    </row>
    <row r="17" spans="2:17">
      <c r="B17" s="11" t="s">
        <v>55</v>
      </c>
      <c r="C17" s="5" t="str">
        <f t="shared" si="0"/>
        <v>RWH1AP11</v>
      </c>
      <c r="D17" s="6" t="s">
        <v>36</v>
      </c>
      <c r="E17" s="11" t="s">
        <v>47</v>
      </c>
      <c r="F17" s="11" t="s">
        <v>1220</v>
      </c>
      <c r="G17" s="11" t="s">
        <v>1232</v>
      </c>
      <c r="H17" s="18">
        <v>14.2</v>
      </c>
      <c r="I17" s="5" t="s">
        <v>52</v>
      </c>
      <c r="J17" s="19">
        <v>35</v>
      </c>
      <c r="K17" s="5" t="s">
        <v>49</v>
      </c>
      <c r="L17" s="5" t="s">
        <v>53</v>
      </c>
      <c r="M17" s="23" t="s">
        <v>1221</v>
      </c>
      <c r="N17" s="25"/>
      <c r="O17" s="25"/>
      <c r="P17" s="25"/>
      <c r="Q17" s="17" t="s">
        <v>43</v>
      </c>
    </row>
    <row r="18" spans="2:17">
      <c r="B18" s="11" t="s">
        <v>55</v>
      </c>
      <c r="C18" s="5" t="str">
        <f t="shared" si="0"/>
        <v>RWH1AP12</v>
      </c>
      <c r="D18" s="6" t="s">
        <v>36</v>
      </c>
      <c r="E18" s="11" t="s">
        <v>47</v>
      </c>
      <c r="F18" s="11" t="s">
        <v>1220</v>
      </c>
      <c r="G18" s="11" t="s">
        <v>1233</v>
      </c>
      <c r="H18" s="18">
        <v>14.2</v>
      </c>
      <c r="I18" s="5" t="s">
        <v>52</v>
      </c>
      <c r="J18" s="19">
        <v>35</v>
      </c>
      <c r="K18" s="5" t="s">
        <v>49</v>
      </c>
      <c r="L18" s="5" t="s">
        <v>53</v>
      </c>
      <c r="M18" s="23" t="s">
        <v>1221</v>
      </c>
      <c r="N18" s="25"/>
      <c r="O18" s="25"/>
      <c r="P18" s="25"/>
      <c r="Q18" s="17" t="s">
        <v>43</v>
      </c>
    </row>
    <row r="19" spans="2:17">
      <c r="B19" s="11" t="s">
        <v>55</v>
      </c>
      <c r="C19" s="5" t="str">
        <f t="shared" si="0"/>
        <v>RWH1AP13</v>
      </c>
      <c r="D19" s="6" t="s">
        <v>36</v>
      </c>
      <c r="E19" s="11" t="s">
        <v>47</v>
      </c>
      <c r="F19" s="11" t="s">
        <v>1220</v>
      </c>
      <c r="G19" s="11" t="s">
        <v>1234</v>
      </c>
      <c r="H19" s="18">
        <v>14.2</v>
      </c>
      <c r="I19" s="5" t="s">
        <v>52</v>
      </c>
      <c r="J19" s="19">
        <v>35</v>
      </c>
      <c r="K19" s="5" t="s">
        <v>49</v>
      </c>
      <c r="L19" s="5" t="s">
        <v>53</v>
      </c>
      <c r="M19" s="23" t="s">
        <v>1221</v>
      </c>
      <c r="N19" s="25"/>
      <c r="O19" s="25"/>
      <c r="P19" s="25"/>
      <c r="Q19" s="17" t="s">
        <v>43</v>
      </c>
    </row>
    <row r="20" spans="2:17">
      <c r="B20" s="11" t="s">
        <v>55</v>
      </c>
      <c r="C20" s="5" t="str">
        <f t="shared" si="0"/>
        <v>RWH1AP14</v>
      </c>
      <c r="D20" s="6" t="s">
        <v>36</v>
      </c>
      <c r="E20" s="11" t="s">
        <v>47</v>
      </c>
      <c r="F20" s="11" t="s">
        <v>1220</v>
      </c>
      <c r="G20" s="11" t="s">
        <v>1235</v>
      </c>
      <c r="H20" s="18">
        <v>14.2</v>
      </c>
      <c r="I20" s="5" t="s">
        <v>52</v>
      </c>
      <c r="J20" s="19">
        <v>35</v>
      </c>
      <c r="K20" s="5" t="s">
        <v>49</v>
      </c>
      <c r="L20" s="5" t="s">
        <v>53</v>
      </c>
      <c r="M20" s="23" t="s">
        <v>1221</v>
      </c>
      <c r="N20" s="25"/>
      <c r="O20" s="25"/>
      <c r="P20" s="25"/>
      <c r="Q20" s="17" t="s">
        <v>43</v>
      </c>
    </row>
    <row r="21" spans="2:17">
      <c r="B21" s="11" t="s">
        <v>55</v>
      </c>
      <c r="C21" s="5" t="str">
        <f t="shared" si="0"/>
        <v>RWH1AP15</v>
      </c>
      <c r="D21" s="6" t="s">
        <v>36</v>
      </c>
      <c r="E21" s="11" t="s">
        <v>47</v>
      </c>
      <c r="F21" s="11" t="s">
        <v>1220</v>
      </c>
      <c r="G21" s="11" t="s">
        <v>1236</v>
      </c>
      <c r="H21" s="18">
        <v>14.2</v>
      </c>
      <c r="I21" s="5" t="s">
        <v>52</v>
      </c>
      <c r="J21" s="19">
        <v>35</v>
      </c>
      <c r="K21" s="5" t="s">
        <v>49</v>
      </c>
      <c r="L21" s="5" t="s">
        <v>53</v>
      </c>
      <c r="M21" s="23" t="s">
        <v>1221</v>
      </c>
      <c r="N21" s="25"/>
      <c r="O21" s="25"/>
      <c r="P21" s="25"/>
      <c r="Q21" s="17" t="s">
        <v>43</v>
      </c>
    </row>
    <row r="22" spans="2:17">
      <c r="B22" s="11" t="s">
        <v>55</v>
      </c>
      <c r="C22" s="5" t="str">
        <f t="shared" si="0"/>
        <v>RWH1AP16</v>
      </c>
      <c r="D22" s="6" t="s">
        <v>36</v>
      </c>
      <c r="E22" s="11" t="s">
        <v>47</v>
      </c>
      <c r="F22" s="11" t="s">
        <v>1220</v>
      </c>
      <c r="G22" s="11" t="s">
        <v>1237</v>
      </c>
      <c r="H22" s="18">
        <v>14.2</v>
      </c>
      <c r="I22" s="5" t="s">
        <v>52</v>
      </c>
      <c r="J22" s="19">
        <v>35</v>
      </c>
      <c r="K22" s="5" t="s">
        <v>49</v>
      </c>
      <c r="L22" s="5" t="s">
        <v>53</v>
      </c>
      <c r="M22" s="23" t="s">
        <v>1221</v>
      </c>
      <c r="N22" s="25"/>
      <c r="O22" s="25"/>
      <c r="P22" s="25"/>
      <c r="Q22" s="17" t="s">
        <v>43</v>
      </c>
    </row>
    <row r="23" spans="2:17">
      <c r="B23" s="11" t="s">
        <v>55</v>
      </c>
      <c r="C23" s="5" t="str">
        <f t="shared" si="0"/>
        <v>RWH1AP17</v>
      </c>
      <c r="D23" s="6" t="s">
        <v>36</v>
      </c>
      <c r="E23" s="11" t="s">
        <v>47</v>
      </c>
      <c r="F23" s="11" t="s">
        <v>1220</v>
      </c>
      <c r="G23" s="11" t="s">
        <v>1238</v>
      </c>
      <c r="H23" s="18">
        <v>14.2</v>
      </c>
      <c r="I23" s="5" t="s">
        <v>52</v>
      </c>
      <c r="J23" s="19">
        <v>35</v>
      </c>
      <c r="K23" s="5" t="s">
        <v>49</v>
      </c>
      <c r="L23" s="5" t="s">
        <v>53</v>
      </c>
      <c r="M23" s="23" t="s">
        <v>1221</v>
      </c>
      <c r="N23" s="25"/>
      <c r="O23" s="25"/>
      <c r="P23" s="25"/>
      <c r="Q23" s="17" t="s">
        <v>43</v>
      </c>
    </row>
    <row r="24" spans="2:17">
      <c r="B24" s="11" t="s">
        <v>55</v>
      </c>
      <c r="C24" s="5" t="str">
        <f t="shared" si="0"/>
        <v>RWH1AP18</v>
      </c>
      <c r="D24" s="6" t="s">
        <v>36</v>
      </c>
      <c r="E24" s="11" t="s">
        <v>47</v>
      </c>
      <c r="F24" s="11" t="s">
        <v>1220</v>
      </c>
      <c r="G24" s="11" t="s">
        <v>1239</v>
      </c>
      <c r="H24" s="18">
        <v>14.2</v>
      </c>
      <c r="I24" s="5" t="s">
        <v>52</v>
      </c>
      <c r="J24" s="19">
        <v>35</v>
      </c>
      <c r="K24" s="5" t="s">
        <v>49</v>
      </c>
      <c r="L24" s="5" t="s">
        <v>53</v>
      </c>
      <c r="M24" s="23" t="s">
        <v>1221</v>
      </c>
      <c r="N24" s="25"/>
      <c r="O24" s="25"/>
      <c r="P24" s="25"/>
      <c r="Q24" s="17" t="s">
        <v>43</v>
      </c>
    </row>
    <row r="25" spans="2:17">
      <c r="B25" s="11" t="s">
        <v>55</v>
      </c>
      <c r="C25" s="5" t="str">
        <f t="shared" si="0"/>
        <v>RWH1AP19</v>
      </c>
      <c r="D25" s="6" t="s">
        <v>36</v>
      </c>
      <c r="E25" s="11" t="s">
        <v>47</v>
      </c>
      <c r="F25" s="11" t="s">
        <v>1220</v>
      </c>
      <c r="G25" s="11" t="s">
        <v>1240</v>
      </c>
      <c r="H25" s="18">
        <v>14.2</v>
      </c>
      <c r="I25" s="5" t="s">
        <v>52</v>
      </c>
      <c r="J25" s="19">
        <v>35</v>
      </c>
      <c r="K25" s="5" t="s">
        <v>49</v>
      </c>
      <c r="L25" s="5" t="s">
        <v>53</v>
      </c>
      <c r="M25" s="23" t="s">
        <v>1221</v>
      </c>
      <c r="N25" s="25"/>
      <c r="O25" s="25"/>
      <c r="P25" s="25"/>
      <c r="Q25" s="17" t="s">
        <v>43</v>
      </c>
    </row>
    <row r="26" spans="2:17">
      <c r="B26" s="11" t="s">
        <v>55</v>
      </c>
      <c r="C26" s="5" t="str">
        <f t="shared" si="0"/>
        <v>RWH1AP20</v>
      </c>
      <c r="D26" s="6" t="s">
        <v>36</v>
      </c>
      <c r="E26" s="11" t="s">
        <v>47</v>
      </c>
      <c r="F26" s="11" t="s">
        <v>1220</v>
      </c>
      <c r="G26" s="11" t="s">
        <v>1241</v>
      </c>
      <c r="H26" s="18">
        <v>14.2</v>
      </c>
      <c r="I26" s="5" t="s">
        <v>52</v>
      </c>
      <c r="J26" s="19">
        <v>35</v>
      </c>
      <c r="K26" s="5" t="s">
        <v>49</v>
      </c>
      <c r="L26" s="5" t="s">
        <v>53</v>
      </c>
      <c r="M26" s="23" t="s">
        <v>1221</v>
      </c>
      <c r="N26" s="25"/>
      <c r="O26" s="25"/>
      <c r="P26" s="25"/>
      <c r="Q26" s="17" t="s">
        <v>43</v>
      </c>
    </row>
    <row r="27" spans="2:17">
      <c r="B27" s="11"/>
      <c r="C27" s="5" t="str">
        <f t="shared" si="0"/>
        <v/>
      </c>
      <c r="D27" s="6"/>
      <c r="E27" s="11"/>
      <c r="F27" s="11"/>
      <c r="G27" s="11"/>
      <c r="H27" s="18"/>
      <c r="J27" s="19"/>
      <c r="M27" s="23"/>
      <c r="N27" s="23"/>
      <c r="O27" s="23"/>
      <c r="P27" s="23"/>
      <c r="Q27" s="17"/>
    </row>
    <row r="28" spans="2:17">
      <c r="B28" s="11"/>
      <c r="C28" s="5" t="str">
        <f t="shared" si="0"/>
        <v/>
      </c>
      <c r="D28" s="6"/>
      <c r="E28" s="11"/>
      <c r="F28" s="11"/>
      <c r="G28" s="11"/>
      <c r="H28" s="18"/>
      <c r="J28" s="19"/>
      <c r="M28" s="23"/>
      <c r="N28" s="23"/>
      <c r="O28" s="23"/>
      <c r="P28" s="23"/>
      <c r="Q28" s="17"/>
    </row>
    <row r="29" spans="2:17">
      <c r="B29" s="11" t="s">
        <v>50</v>
      </c>
      <c r="C29" s="5" t="str">
        <f t="shared" si="0"/>
        <v>RWH1B</v>
      </c>
      <c r="D29" s="6" t="s">
        <v>36</v>
      </c>
      <c r="E29" s="11" t="s">
        <v>47</v>
      </c>
      <c r="F29" s="11" t="s">
        <v>1242</v>
      </c>
      <c r="G29" s="11"/>
      <c r="H29" s="18">
        <v>284</v>
      </c>
      <c r="I29" s="5" t="s">
        <v>52</v>
      </c>
      <c r="J29" s="19">
        <v>600</v>
      </c>
      <c r="K29" s="5" t="s">
        <v>49</v>
      </c>
      <c r="L29" s="5" t="s">
        <v>53</v>
      </c>
      <c r="M29" s="23" t="s">
        <v>1243</v>
      </c>
      <c r="N29" s="25">
        <v>5500</v>
      </c>
      <c r="O29" s="25">
        <v>4</v>
      </c>
      <c r="P29" s="25">
        <v>3</v>
      </c>
      <c r="Q29" s="17" t="s">
        <v>43</v>
      </c>
    </row>
    <row r="30" spans="2:17">
      <c r="B30" s="11" t="s">
        <v>55</v>
      </c>
      <c r="C30" s="5" t="str">
        <f t="shared" si="0"/>
        <v>RWH1BP01</v>
      </c>
      <c r="D30" s="6" t="s">
        <v>36</v>
      </c>
      <c r="E30" s="11" t="s">
        <v>47</v>
      </c>
      <c r="F30" s="11" t="s">
        <v>1242</v>
      </c>
      <c r="G30" s="11" t="s">
        <v>1244</v>
      </c>
      <c r="H30" s="18">
        <v>14.2</v>
      </c>
      <c r="I30" s="5" t="s">
        <v>52</v>
      </c>
      <c r="J30" s="19">
        <v>35</v>
      </c>
      <c r="K30" s="5" t="s">
        <v>49</v>
      </c>
      <c r="L30" s="5" t="s">
        <v>53</v>
      </c>
      <c r="M30" s="23" t="s">
        <v>1243</v>
      </c>
      <c r="N30" s="25"/>
      <c r="O30" s="25"/>
      <c r="P30" s="25"/>
      <c r="Q30" s="17" t="s">
        <v>43</v>
      </c>
    </row>
    <row r="31" spans="2:17">
      <c r="B31" s="11" t="s">
        <v>55</v>
      </c>
      <c r="C31" s="5" t="str">
        <f t="shared" si="0"/>
        <v>RWH1BP02</v>
      </c>
      <c r="D31" s="6" t="s">
        <v>36</v>
      </c>
      <c r="E31" s="11" t="s">
        <v>47</v>
      </c>
      <c r="F31" s="11" t="s">
        <v>1242</v>
      </c>
      <c r="G31" s="11" t="s">
        <v>1245</v>
      </c>
      <c r="H31" s="18">
        <v>14.2</v>
      </c>
      <c r="I31" s="5" t="s">
        <v>52</v>
      </c>
      <c r="J31" s="19">
        <v>35</v>
      </c>
      <c r="K31" s="5" t="s">
        <v>49</v>
      </c>
      <c r="L31" s="5" t="s">
        <v>53</v>
      </c>
      <c r="M31" s="23" t="s">
        <v>1243</v>
      </c>
      <c r="N31" s="25"/>
      <c r="O31" s="25"/>
      <c r="P31" s="25"/>
      <c r="Q31" s="17" t="s">
        <v>43</v>
      </c>
    </row>
    <row r="32" spans="2:17">
      <c r="B32" s="11" t="s">
        <v>55</v>
      </c>
      <c r="C32" s="5" t="str">
        <f t="shared" si="0"/>
        <v>RWH1BP03</v>
      </c>
      <c r="D32" s="6" t="s">
        <v>36</v>
      </c>
      <c r="E32" s="11" t="s">
        <v>47</v>
      </c>
      <c r="F32" s="11" t="s">
        <v>1242</v>
      </c>
      <c r="G32" s="11" t="s">
        <v>1246</v>
      </c>
      <c r="H32" s="18">
        <v>14.2</v>
      </c>
      <c r="I32" s="5" t="s">
        <v>52</v>
      </c>
      <c r="J32" s="19">
        <v>35</v>
      </c>
      <c r="K32" s="5" t="s">
        <v>49</v>
      </c>
      <c r="L32" s="5" t="s">
        <v>53</v>
      </c>
      <c r="M32" s="23" t="s">
        <v>1243</v>
      </c>
      <c r="N32" s="25"/>
      <c r="O32" s="25"/>
      <c r="P32" s="25"/>
      <c r="Q32" s="17" t="s">
        <v>43</v>
      </c>
    </row>
    <row r="33" spans="2:17">
      <c r="B33" s="11" t="s">
        <v>55</v>
      </c>
      <c r="C33" s="5" t="str">
        <f t="shared" si="0"/>
        <v>RWH1BP04</v>
      </c>
      <c r="D33" s="6" t="s">
        <v>36</v>
      </c>
      <c r="E33" s="11" t="s">
        <v>47</v>
      </c>
      <c r="F33" s="11" t="s">
        <v>1242</v>
      </c>
      <c r="G33" s="11" t="s">
        <v>1247</v>
      </c>
      <c r="H33" s="18">
        <v>14.2</v>
      </c>
      <c r="I33" s="5" t="s">
        <v>52</v>
      </c>
      <c r="J33" s="19">
        <v>35</v>
      </c>
      <c r="K33" s="5" t="s">
        <v>49</v>
      </c>
      <c r="L33" s="5" t="s">
        <v>53</v>
      </c>
      <c r="M33" s="23" t="s">
        <v>1243</v>
      </c>
      <c r="N33" s="25"/>
      <c r="O33" s="25"/>
      <c r="P33" s="25"/>
      <c r="Q33" s="17" t="s">
        <v>43</v>
      </c>
    </row>
    <row r="34" spans="2:17">
      <c r="B34" s="11" t="s">
        <v>55</v>
      </c>
      <c r="C34" s="5" t="str">
        <f t="shared" si="0"/>
        <v>RWH1BP05</v>
      </c>
      <c r="D34" s="6" t="s">
        <v>36</v>
      </c>
      <c r="E34" s="11" t="s">
        <v>47</v>
      </c>
      <c r="F34" s="11" t="s">
        <v>1242</v>
      </c>
      <c r="G34" s="11" t="s">
        <v>1248</v>
      </c>
      <c r="H34" s="18">
        <v>14.2</v>
      </c>
      <c r="I34" s="5" t="s">
        <v>52</v>
      </c>
      <c r="J34" s="19">
        <v>35</v>
      </c>
      <c r="K34" s="5" t="s">
        <v>49</v>
      </c>
      <c r="L34" s="5" t="s">
        <v>53</v>
      </c>
      <c r="M34" s="23" t="s">
        <v>1243</v>
      </c>
      <c r="N34" s="25"/>
      <c r="O34" s="25"/>
      <c r="P34" s="25"/>
      <c r="Q34" s="17" t="s">
        <v>43</v>
      </c>
    </row>
    <row r="35" spans="2:17">
      <c r="B35" s="11" t="s">
        <v>55</v>
      </c>
      <c r="C35" s="5" t="str">
        <f t="shared" si="0"/>
        <v>RWH1BP06</v>
      </c>
      <c r="D35" s="6" t="s">
        <v>36</v>
      </c>
      <c r="E35" s="11" t="s">
        <v>47</v>
      </c>
      <c r="F35" s="11" t="s">
        <v>1242</v>
      </c>
      <c r="G35" s="11" t="s">
        <v>1249</v>
      </c>
      <c r="H35" s="18">
        <v>14.2</v>
      </c>
      <c r="I35" s="5" t="s">
        <v>52</v>
      </c>
      <c r="J35" s="19">
        <v>35</v>
      </c>
      <c r="K35" s="5" t="s">
        <v>49</v>
      </c>
      <c r="L35" s="5" t="s">
        <v>53</v>
      </c>
      <c r="M35" s="23" t="s">
        <v>1243</v>
      </c>
      <c r="N35" s="25"/>
      <c r="O35" s="25"/>
      <c r="P35" s="25"/>
      <c r="Q35" s="17" t="s">
        <v>43</v>
      </c>
    </row>
    <row r="36" spans="2:17">
      <c r="B36" s="11" t="s">
        <v>55</v>
      </c>
      <c r="C36" s="5" t="str">
        <f t="shared" si="0"/>
        <v>RWH1BP07</v>
      </c>
      <c r="D36" s="6" t="s">
        <v>36</v>
      </c>
      <c r="E36" s="11" t="s">
        <v>47</v>
      </c>
      <c r="F36" s="11" t="s">
        <v>1242</v>
      </c>
      <c r="G36" s="11" t="s">
        <v>1250</v>
      </c>
      <c r="H36" s="18">
        <v>14.2</v>
      </c>
      <c r="I36" s="5" t="s">
        <v>52</v>
      </c>
      <c r="J36" s="19">
        <v>35</v>
      </c>
      <c r="K36" s="5" t="s">
        <v>49</v>
      </c>
      <c r="L36" s="5" t="s">
        <v>53</v>
      </c>
      <c r="M36" s="23" t="s">
        <v>1243</v>
      </c>
      <c r="N36" s="25"/>
      <c r="O36" s="25"/>
      <c r="P36" s="25"/>
      <c r="Q36" s="17" t="s">
        <v>43</v>
      </c>
    </row>
    <row r="37" spans="2:17">
      <c r="B37" s="11" t="s">
        <v>55</v>
      </c>
      <c r="C37" s="5" t="str">
        <f t="shared" si="0"/>
        <v>RWH1BP08</v>
      </c>
      <c r="D37" s="6" t="s">
        <v>36</v>
      </c>
      <c r="E37" s="11" t="s">
        <v>47</v>
      </c>
      <c r="F37" s="11" t="s">
        <v>1242</v>
      </c>
      <c r="G37" s="11" t="s">
        <v>1251</v>
      </c>
      <c r="H37" s="18">
        <v>14.2</v>
      </c>
      <c r="I37" s="5" t="s">
        <v>52</v>
      </c>
      <c r="J37" s="19">
        <v>35</v>
      </c>
      <c r="K37" s="5" t="s">
        <v>49</v>
      </c>
      <c r="L37" s="5" t="s">
        <v>53</v>
      </c>
      <c r="M37" s="23" t="s">
        <v>1243</v>
      </c>
      <c r="N37" s="25"/>
      <c r="O37" s="25"/>
      <c r="P37" s="25"/>
      <c r="Q37" s="17" t="s">
        <v>43</v>
      </c>
    </row>
    <row r="38" spans="2:17">
      <c r="B38" s="11" t="s">
        <v>55</v>
      </c>
      <c r="C38" s="5" t="str">
        <f t="shared" si="0"/>
        <v>RWH1BP09</v>
      </c>
      <c r="D38" s="6" t="s">
        <v>36</v>
      </c>
      <c r="E38" s="11" t="s">
        <v>47</v>
      </c>
      <c r="F38" s="11" t="s">
        <v>1242</v>
      </c>
      <c r="G38" s="11" t="s">
        <v>1252</v>
      </c>
      <c r="H38" s="18">
        <v>14.2</v>
      </c>
      <c r="I38" s="5" t="s">
        <v>52</v>
      </c>
      <c r="J38" s="19">
        <v>35</v>
      </c>
      <c r="K38" s="5" t="s">
        <v>49</v>
      </c>
      <c r="L38" s="5" t="s">
        <v>53</v>
      </c>
      <c r="M38" s="23" t="s">
        <v>1243</v>
      </c>
      <c r="N38" s="25"/>
      <c r="O38" s="25"/>
      <c r="P38" s="25"/>
      <c r="Q38" s="17" t="s">
        <v>43</v>
      </c>
    </row>
    <row r="39" spans="2:17">
      <c r="B39" s="11" t="s">
        <v>55</v>
      </c>
      <c r="C39" s="5" t="str">
        <f t="shared" si="0"/>
        <v>RWH1BP10</v>
      </c>
      <c r="D39" s="6" t="s">
        <v>36</v>
      </c>
      <c r="E39" s="11" t="s">
        <v>47</v>
      </c>
      <c r="F39" s="11" t="s">
        <v>1242</v>
      </c>
      <c r="G39" s="11" t="s">
        <v>1253</v>
      </c>
      <c r="H39" s="18">
        <v>14.2</v>
      </c>
      <c r="I39" s="5" t="s">
        <v>52</v>
      </c>
      <c r="J39" s="19">
        <v>35</v>
      </c>
      <c r="K39" s="5" t="s">
        <v>49</v>
      </c>
      <c r="L39" s="5" t="s">
        <v>53</v>
      </c>
      <c r="M39" s="23" t="s">
        <v>1243</v>
      </c>
      <c r="N39" s="25"/>
      <c r="O39" s="25"/>
      <c r="P39" s="25"/>
      <c r="Q39" s="17" t="s">
        <v>43</v>
      </c>
    </row>
    <row r="40" spans="2:17">
      <c r="B40" s="11" t="s">
        <v>55</v>
      </c>
      <c r="C40" s="5" t="str">
        <f t="shared" si="0"/>
        <v>RWH1BP11</v>
      </c>
      <c r="D40" s="6" t="s">
        <v>36</v>
      </c>
      <c r="E40" s="11" t="s">
        <v>47</v>
      </c>
      <c r="F40" s="11" t="s">
        <v>1242</v>
      </c>
      <c r="G40" s="11" t="s">
        <v>1254</v>
      </c>
      <c r="H40" s="18">
        <v>14.2</v>
      </c>
      <c r="I40" s="5" t="s">
        <v>52</v>
      </c>
      <c r="J40" s="19">
        <v>35</v>
      </c>
      <c r="K40" s="5" t="s">
        <v>49</v>
      </c>
      <c r="L40" s="5" t="s">
        <v>53</v>
      </c>
      <c r="M40" s="23" t="s">
        <v>1243</v>
      </c>
      <c r="N40" s="25"/>
      <c r="O40" s="25"/>
      <c r="P40" s="25"/>
      <c r="Q40" s="17" t="s">
        <v>43</v>
      </c>
    </row>
    <row r="41" spans="2:17">
      <c r="B41" s="11" t="s">
        <v>55</v>
      </c>
      <c r="C41" s="5" t="str">
        <f t="shared" si="0"/>
        <v>RWH1BP12</v>
      </c>
      <c r="D41" s="6" t="s">
        <v>36</v>
      </c>
      <c r="E41" s="11" t="s">
        <v>47</v>
      </c>
      <c r="F41" s="11" t="s">
        <v>1242</v>
      </c>
      <c r="G41" s="11" t="s">
        <v>1255</v>
      </c>
      <c r="H41" s="18">
        <v>14.2</v>
      </c>
      <c r="I41" s="5" t="s">
        <v>52</v>
      </c>
      <c r="J41" s="19">
        <v>35</v>
      </c>
      <c r="K41" s="5" t="s">
        <v>49</v>
      </c>
      <c r="L41" s="5" t="s">
        <v>53</v>
      </c>
      <c r="M41" s="23" t="s">
        <v>1243</v>
      </c>
      <c r="N41" s="25"/>
      <c r="O41" s="25"/>
      <c r="P41" s="25"/>
      <c r="Q41" s="17" t="s">
        <v>43</v>
      </c>
    </row>
    <row r="42" spans="2:17">
      <c r="B42" s="11" t="s">
        <v>55</v>
      </c>
      <c r="C42" s="5" t="str">
        <f t="shared" si="0"/>
        <v>RWH1BP13</v>
      </c>
      <c r="D42" s="6" t="s">
        <v>36</v>
      </c>
      <c r="E42" s="11" t="s">
        <v>47</v>
      </c>
      <c r="F42" s="11" t="s">
        <v>1242</v>
      </c>
      <c r="G42" s="11" t="s">
        <v>1256</v>
      </c>
      <c r="H42" s="18">
        <v>14.2</v>
      </c>
      <c r="I42" s="5" t="s">
        <v>52</v>
      </c>
      <c r="J42" s="19">
        <v>35</v>
      </c>
      <c r="K42" s="5" t="s">
        <v>49</v>
      </c>
      <c r="L42" s="5" t="s">
        <v>53</v>
      </c>
      <c r="M42" s="23" t="s">
        <v>1243</v>
      </c>
      <c r="N42" s="25"/>
      <c r="O42" s="25"/>
      <c r="P42" s="25"/>
      <c r="Q42" s="17" t="s">
        <v>43</v>
      </c>
    </row>
    <row r="43" spans="2:17">
      <c r="B43" s="11" t="s">
        <v>55</v>
      </c>
      <c r="C43" s="5" t="str">
        <f t="shared" si="0"/>
        <v>RWH1BP14</v>
      </c>
      <c r="D43" s="6" t="s">
        <v>36</v>
      </c>
      <c r="E43" s="11" t="s">
        <v>47</v>
      </c>
      <c r="F43" s="11" t="s">
        <v>1242</v>
      </c>
      <c r="G43" s="11" t="s">
        <v>1257</v>
      </c>
      <c r="H43" s="18">
        <v>14.2</v>
      </c>
      <c r="I43" s="5" t="s">
        <v>52</v>
      </c>
      <c r="J43" s="19">
        <v>35</v>
      </c>
      <c r="K43" s="5" t="s">
        <v>49</v>
      </c>
      <c r="L43" s="5" t="s">
        <v>53</v>
      </c>
      <c r="M43" s="23" t="s">
        <v>1243</v>
      </c>
      <c r="N43" s="25"/>
      <c r="O43" s="25"/>
      <c r="P43" s="25"/>
      <c r="Q43" s="17" t="s">
        <v>43</v>
      </c>
    </row>
    <row r="44" spans="2:17">
      <c r="B44" s="11" t="s">
        <v>55</v>
      </c>
      <c r="C44" s="5" t="str">
        <f t="shared" si="0"/>
        <v>RWH1BP15</v>
      </c>
      <c r="D44" s="6" t="s">
        <v>36</v>
      </c>
      <c r="E44" s="11" t="s">
        <v>47</v>
      </c>
      <c r="F44" s="11" t="s">
        <v>1242</v>
      </c>
      <c r="G44" s="11" t="s">
        <v>1258</v>
      </c>
      <c r="H44" s="18">
        <v>14.2</v>
      </c>
      <c r="I44" s="5" t="s">
        <v>52</v>
      </c>
      <c r="J44" s="19">
        <v>35</v>
      </c>
      <c r="K44" s="5" t="s">
        <v>49</v>
      </c>
      <c r="L44" s="5" t="s">
        <v>53</v>
      </c>
      <c r="M44" s="23" t="s">
        <v>1243</v>
      </c>
      <c r="N44" s="25"/>
      <c r="O44" s="25"/>
      <c r="P44" s="25"/>
      <c r="Q44" s="17" t="s">
        <v>43</v>
      </c>
    </row>
    <row r="45" spans="2:17">
      <c r="B45" s="11" t="s">
        <v>55</v>
      </c>
      <c r="C45" s="5" t="str">
        <f t="shared" si="0"/>
        <v>RWH1BP16</v>
      </c>
      <c r="D45" s="6" t="s">
        <v>36</v>
      </c>
      <c r="E45" s="11" t="s">
        <v>47</v>
      </c>
      <c r="F45" s="11" t="s">
        <v>1242</v>
      </c>
      <c r="G45" s="11" t="s">
        <v>1259</v>
      </c>
      <c r="H45" s="18">
        <v>14.2</v>
      </c>
      <c r="I45" s="5" t="s">
        <v>52</v>
      </c>
      <c r="J45" s="19">
        <v>35</v>
      </c>
      <c r="K45" s="5" t="s">
        <v>49</v>
      </c>
      <c r="L45" s="5" t="s">
        <v>53</v>
      </c>
      <c r="M45" s="23" t="s">
        <v>1243</v>
      </c>
      <c r="N45" s="25"/>
      <c r="O45" s="25"/>
      <c r="P45" s="25"/>
      <c r="Q45" s="17" t="s">
        <v>43</v>
      </c>
    </row>
    <row r="46" spans="2:17">
      <c r="B46" s="11" t="s">
        <v>55</v>
      </c>
      <c r="C46" s="5" t="str">
        <f t="shared" si="0"/>
        <v>RWH1BP17</v>
      </c>
      <c r="D46" s="6" t="s">
        <v>36</v>
      </c>
      <c r="E46" s="11" t="s">
        <v>47</v>
      </c>
      <c r="F46" s="11" t="s">
        <v>1242</v>
      </c>
      <c r="G46" s="11" t="s">
        <v>1260</v>
      </c>
      <c r="H46" s="18">
        <v>14.2</v>
      </c>
      <c r="I46" s="5" t="s">
        <v>52</v>
      </c>
      <c r="J46" s="19">
        <v>35</v>
      </c>
      <c r="K46" s="5" t="s">
        <v>49</v>
      </c>
      <c r="L46" s="5" t="s">
        <v>53</v>
      </c>
      <c r="M46" s="23" t="s">
        <v>1243</v>
      </c>
      <c r="N46" s="25"/>
      <c r="O46" s="25"/>
      <c r="P46" s="25"/>
      <c r="Q46" s="17" t="s">
        <v>43</v>
      </c>
    </row>
    <row r="47" spans="2:17">
      <c r="B47" s="11" t="s">
        <v>55</v>
      </c>
      <c r="C47" s="5" t="str">
        <f t="shared" si="0"/>
        <v>RWH1BP18</v>
      </c>
      <c r="D47" s="6" t="s">
        <v>36</v>
      </c>
      <c r="E47" s="11" t="s">
        <v>47</v>
      </c>
      <c r="F47" s="11" t="s">
        <v>1242</v>
      </c>
      <c r="G47" s="11" t="s">
        <v>1261</v>
      </c>
      <c r="H47" s="18">
        <v>14.2</v>
      </c>
      <c r="I47" s="5" t="s">
        <v>52</v>
      </c>
      <c r="J47" s="19">
        <v>35</v>
      </c>
      <c r="K47" s="5" t="s">
        <v>49</v>
      </c>
      <c r="L47" s="5" t="s">
        <v>53</v>
      </c>
      <c r="M47" s="23" t="s">
        <v>1243</v>
      </c>
      <c r="N47" s="25"/>
      <c r="O47" s="25"/>
      <c r="P47" s="25"/>
      <c r="Q47" s="17" t="s">
        <v>43</v>
      </c>
    </row>
    <row r="48" spans="2:17">
      <c r="B48" s="11" t="s">
        <v>55</v>
      </c>
      <c r="C48" s="5" t="str">
        <f t="shared" si="0"/>
        <v>RWH1BP19</v>
      </c>
      <c r="D48" s="6" t="s">
        <v>36</v>
      </c>
      <c r="E48" s="11" t="s">
        <v>47</v>
      </c>
      <c r="F48" s="11" t="s">
        <v>1242</v>
      </c>
      <c r="G48" s="11" t="s">
        <v>1262</v>
      </c>
      <c r="H48" s="18">
        <v>14.2</v>
      </c>
      <c r="I48" s="5" t="s">
        <v>52</v>
      </c>
      <c r="J48" s="19">
        <v>35</v>
      </c>
      <c r="K48" s="5" t="s">
        <v>49</v>
      </c>
      <c r="L48" s="5" t="s">
        <v>53</v>
      </c>
      <c r="M48" s="23" t="s">
        <v>1243</v>
      </c>
      <c r="N48" s="25"/>
      <c r="O48" s="25"/>
      <c r="P48" s="25"/>
      <c r="Q48" s="17" t="s">
        <v>43</v>
      </c>
    </row>
    <row r="49" spans="2:17">
      <c r="B49" s="11" t="s">
        <v>55</v>
      </c>
      <c r="C49" s="5" t="str">
        <f t="shared" si="0"/>
        <v>RWH1BP20</v>
      </c>
      <c r="D49" s="6" t="s">
        <v>36</v>
      </c>
      <c r="E49" s="11" t="s">
        <v>47</v>
      </c>
      <c r="F49" s="11" t="s">
        <v>1242</v>
      </c>
      <c r="G49" s="11" t="s">
        <v>1263</v>
      </c>
      <c r="H49" s="18">
        <v>14.2</v>
      </c>
      <c r="I49" s="5" t="s">
        <v>52</v>
      </c>
      <c r="J49" s="19">
        <v>35</v>
      </c>
      <c r="K49" s="5" t="s">
        <v>49</v>
      </c>
      <c r="L49" s="5" t="s">
        <v>53</v>
      </c>
      <c r="M49" s="23" t="s">
        <v>1243</v>
      </c>
      <c r="N49" s="25"/>
      <c r="O49" s="25"/>
      <c r="P49" s="25"/>
      <c r="Q49" s="17" t="s">
        <v>43</v>
      </c>
    </row>
    <row r="50" spans="2:17">
      <c r="B50" s="11"/>
      <c r="C50" s="5" t="str">
        <f t="shared" si="0"/>
        <v/>
      </c>
      <c r="D50" s="6"/>
      <c r="E50" s="11"/>
      <c r="F50" s="11"/>
      <c r="G50" s="11"/>
      <c r="H50" s="18"/>
      <c r="J50" s="19"/>
      <c r="M50" s="23"/>
      <c r="N50" s="23"/>
      <c r="O50" s="23"/>
      <c r="P50" s="23"/>
      <c r="Q50" s="17"/>
    </row>
    <row r="51" spans="2:17">
      <c r="C51" s="5" t="str">
        <f t="shared" si="0"/>
        <v/>
      </c>
    </row>
    <row r="52" spans="2:17">
      <c r="B52" s="11" t="s">
        <v>50</v>
      </c>
      <c r="C52" s="5" t="str">
        <f t="shared" si="0"/>
        <v>RWH2A</v>
      </c>
      <c r="D52" s="6" t="s">
        <v>36</v>
      </c>
      <c r="E52" s="11" t="s">
        <v>47</v>
      </c>
      <c r="F52" s="11" t="s">
        <v>1264</v>
      </c>
      <c r="G52" s="11"/>
      <c r="H52" s="18">
        <v>284</v>
      </c>
      <c r="I52" s="5" t="s">
        <v>52</v>
      </c>
      <c r="J52" s="19">
        <v>600</v>
      </c>
      <c r="K52" s="5" t="s">
        <v>49</v>
      </c>
      <c r="L52" s="5" t="s">
        <v>53</v>
      </c>
      <c r="M52" s="23" t="s">
        <v>1265</v>
      </c>
      <c r="N52" s="24">
        <v>5500</v>
      </c>
      <c r="O52" s="24">
        <v>4</v>
      </c>
      <c r="P52" s="24">
        <v>3</v>
      </c>
      <c r="Q52" s="17" t="s">
        <v>43</v>
      </c>
    </row>
    <row r="53" spans="2:17">
      <c r="B53" s="11" t="s">
        <v>55</v>
      </c>
      <c r="C53" s="5" t="str">
        <f t="shared" si="0"/>
        <v>RWH2AP01</v>
      </c>
      <c r="D53" s="6" t="s">
        <v>36</v>
      </c>
      <c r="E53" s="11" t="s">
        <v>47</v>
      </c>
      <c r="F53" s="11" t="s">
        <v>1264</v>
      </c>
      <c r="G53" s="11" t="s">
        <v>1266</v>
      </c>
      <c r="H53" s="18">
        <v>14.2</v>
      </c>
      <c r="I53" s="5" t="s">
        <v>52</v>
      </c>
      <c r="J53" s="19">
        <v>35</v>
      </c>
      <c r="K53" s="5" t="s">
        <v>49</v>
      </c>
      <c r="L53" s="5" t="s">
        <v>53</v>
      </c>
      <c r="M53" s="23" t="s">
        <v>1265</v>
      </c>
      <c r="N53" s="24"/>
      <c r="O53" s="24"/>
      <c r="P53" s="24"/>
      <c r="Q53" s="17" t="s">
        <v>43</v>
      </c>
    </row>
    <row r="54" spans="2:17">
      <c r="B54" s="11" t="s">
        <v>55</v>
      </c>
      <c r="C54" s="5" t="str">
        <f t="shared" si="0"/>
        <v>RWH2AP02</v>
      </c>
      <c r="D54" s="6" t="s">
        <v>36</v>
      </c>
      <c r="E54" s="11" t="s">
        <v>47</v>
      </c>
      <c r="F54" s="11" t="s">
        <v>1264</v>
      </c>
      <c r="G54" s="11" t="s">
        <v>1267</v>
      </c>
      <c r="H54" s="18">
        <v>14.2</v>
      </c>
      <c r="I54" s="5" t="s">
        <v>52</v>
      </c>
      <c r="J54" s="19">
        <v>35</v>
      </c>
      <c r="K54" s="5" t="s">
        <v>49</v>
      </c>
      <c r="L54" s="5" t="s">
        <v>53</v>
      </c>
      <c r="M54" s="23" t="s">
        <v>1265</v>
      </c>
      <c r="N54" s="24"/>
      <c r="O54" s="24"/>
      <c r="P54" s="24"/>
      <c r="Q54" s="17" t="s">
        <v>43</v>
      </c>
    </row>
    <row r="55" spans="2:17">
      <c r="B55" s="11" t="s">
        <v>55</v>
      </c>
      <c r="C55" s="5" t="str">
        <f t="shared" si="0"/>
        <v>RWH2AP03</v>
      </c>
      <c r="D55" s="6" t="s">
        <v>36</v>
      </c>
      <c r="E55" s="11" t="s">
        <v>47</v>
      </c>
      <c r="F55" s="11" t="s">
        <v>1264</v>
      </c>
      <c r="G55" s="11" t="s">
        <v>1268</v>
      </c>
      <c r="H55" s="18">
        <v>14.2</v>
      </c>
      <c r="I55" s="5" t="s">
        <v>52</v>
      </c>
      <c r="J55" s="19">
        <v>35</v>
      </c>
      <c r="K55" s="5" t="s">
        <v>49</v>
      </c>
      <c r="L55" s="5" t="s">
        <v>53</v>
      </c>
      <c r="M55" s="23" t="s">
        <v>1265</v>
      </c>
      <c r="N55" s="24"/>
      <c r="O55" s="24"/>
      <c r="P55" s="24"/>
      <c r="Q55" s="17" t="s">
        <v>43</v>
      </c>
    </row>
    <row r="56" spans="2:17">
      <c r="B56" s="11" t="s">
        <v>55</v>
      </c>
      <c r="C56" s="5" t="str">
        <f t="shared" si="0"/>
        <v>RWH2AP04</v>
      </c>
      <c r="D56" s="6" t="s">
        <v>36</v>
      </c>
      <c r="E56" s="11" t="s">
        <v>47</v>
      </c>
      <c r="F56" s="11" t="s">
        <v>1264</v>
      </c>
      <c r="G56" s="11" t="s">
        <v>1269</v>
      </c>
      <c r="H56" s="18">
        <v>14.2</v>
      </c>
      <c r="I56" s="5" t="s">
        <v>52</v>
      </c>
      <c r="J56" s="19">
        <v>35</v>
      </c>
      <c r="K56" s="5" t="s">
        <v>49</v>
      </c>
      <c r="L56" s="5" t="s">
        <v>53</v>
      </c>
      <c r="M56" s="23" t="s">
        <v>1265</v>
      </c>
      <c r="N56" s="24"/>
      <c r="O56" s="24"/>
      <c r="P56" s="24"/>
      <c r="Q56" s="17" t="s">
        <v>43</v>
      </c>
    </row>
    <row r="57" spans="2:17">
      <c r="B57" s="11" t="s">
        <v>55</v>
      </c>
      <c r="C57" s="5" t="str">
        <f t="shared" si="0"/>
        <v>RWH2AP05</v>
      </c>
      <c r="D57" s="6" t="s">
        <v>36</v>
      </c>
      <c r="E57" s="11" t="s">
        <v>47</v>
      </c>
      <c r="F57" s="11" t="s">
        <v>1264</v>
      </c>
      <c r="G57" s="11" t="s">
        <v>1270</v>
      </c>
      <c r="H57" s="18">
        <v>14.2</v>
      </c>
      <c r="I57" s="5" t="s">
        <v>52</v>
      </c>
      <c r="J57" s="19">
        <v>35</v>
      </c>
      <c r="K57" s="5" t="s">
        <v>49</v>
      </c>
      <c r="L57" s="5" t="s">
        <v>53</v>
      </c>
      <c r="M57" s="23" t="s">
        <v>1265</v>
      </c>
      <c r="N57" s="24"/>
      <c r="O57" s="24"/>
      <c r="P57" s="24"/>
      <c r="Q57" s="17" t="s">
        <v>43</v>
      </c>
    </row>
    <row r="58" spans="2:17">
      <c r="B58" s="11" t="s">
        <v>55</v>
      </c>
      <c r="C58" s="5" t="str">
        <f t="shared" si="0"/>
        <v>RWH2AP06</v>
      </c>
      <c r="D58" s="6" t="s">
        <v>36</v>
      </c>
      <c r="E58" s="11" t="s">
        <v>47</v>
      </c>
      <c r="F58" s="11" t="s">
        <v>1264</v>
      </c>
      <c r="G58" s="11" t="s">
        <v>1271</v>
      </c>
      <c r="H58" s="18">
        <v>14.2</v>
      </c>
      <c r="I58" s="5" t="s">
        <v>52</v>
      </c>
      <c r="J58" s="19">
        <v>35</v>
      </c>
      <c r="K58" s="5" t="s">
        <v>49</v>
      </c>
      <c r="L58" s="5" t="s">
        <v>53</v>
      </c>
      <c r="M58" s="23" t="s">
        <v>1265</v>
      </c>
      <c r="N58" s="24"/>
      <c r="O58" s="24"/>
      <c r="P58" s="24"/>
      <c r="Q58" s="17" t="s">
        <v>43</v>
      </c>
    </row>
    <row r="59" spans="2:17">
      <c r="B59" s="11" t="s">
        <v>55</v>
      </c>
      <c r="C59" s="5" t="str">
        <f t="shared" si="0"/>
        <v>RWH2AP07</v>
      </c>
      <c r="D59" s="6" t="s">
        <v>36</v>
      </c>
      <c r="E59" s="11" t="s">
        <v>47</v>
      </c>
      <c r="F59" s="11" t="s">
        <v>1264</v>
      </c>
      <c r="G59" s="11" t="s">
        <v>1272</v>
      </c>
      <c r="H59" s="18">
        <v>14.2</v>
      </c>
      <c r="I59" s="5" t="s">
        <v>52</v>
      </c>
      <c r="J59" s="19">
        <v>35</v>
      </c>
      <c r="K59" s="5" t="s">
        <v>49</v>
      </c>
      <c r="L59" s="5" t="s">
        <v>53</v>
      </c>
      <c r="M59" s="23" t="s">
        <v>1265</v>
      </c>
      <c r="N59" s="24"/>
      <c r="O59" s="24"/>
      <c r="P59" s="24"/>
      <c r="Q59" s="17" t="s">
        <v>43</v>
      </c>
    </row>
    <row r="60" spans="2:17">
      <c r="B60" s="11" t="s">
        <v>55</v>
      </c>
      <c r="C60" s="5" t="str">
        <f t="shared" si="0"/>
        <v>RWH2AP08</v>
      </c>
      <c r="D60" s="6" t="s">
        <v>36</v>
      </c>
      <c r="E60" s="11" t="s">
        <v>47</v>
      </c>
      <c r="F60" s="11" t="s">
        <v>1264</v>
      </c>
      <c r="G60" s="11" t="s">
        <v>1273</v>
      </c>
      <c r="H60" s="18">
        <v>14.2</v>
      </c>
      <c r="I60" s="5" t="s">
        <v>52</v>
      </c>
      <c r="J60" s="19">
        <v>35</v>
      </c>
      <c r="K60" s="5" t="s">
        <v>49</v>
      </c>
      <c r="L60" s="5" t="s">
        <v>53</v>
      </c>
      <c r="M60" s="23" t="s">
        <v>1265</v>
      </c>
      <c r="N60" s="24"/>
      <c r="O60" s="24"/>
      <c r="P60" s="24"/>
      <c r="Q60" s="17" t="s">
        <v>43</v>
      </c>
    </row>
    <row r="61" spans="2:17">
      <c r="B61" s="11" t="s">
        <v>55</v>
      </c>
      <c r="C61" s="5" t="str">
        <f t="shared" si="0"/>
        <v>RWH2AP09</v>
      </c>
      <c r="D61" s="6" t="s">
        <v>36</v>
      </c>
      <c r="E61" s="11" t="s">
        <v>47</v>
      </c>
      <c r="F61" s="11" t="s">
        <v>1264</v>
      </c>
      <c r="G61" s="11" t="s">
        <v>1274</v>
      </c>
      <c r="H61" s="18">
        <v>14.2</v>
      </c>
      <c r="I61" s="5" t="s">
        <v>52</v>
      </c>
      <c r="J61" s="19">
        <v>35</v>
      </c>
      <c r="K61" s="5" t="s">
        <v>49</v>
      </c>
      <c r="L61" s="5" t="s">
        <v>53</v>
      </c>
      <c r="M61" s="23" t="s">
        <v>1265</v>
      </c>
      <c r="N61" s="24"/>
      <c r="O61" s="24"/>
      <c r="P61" s="24"/>
      <c r="Q61" s="17" t="s">
        <v>43</v>
      </c>
    </row>
    <row r="62" spans="2:17">
      <c r="B62" s="11" t="s">
        <v>55</v>
      </c>
      <c r="C62" s="5" t="str">
        <f t="shared" si="0"/>
        <v>RWH2AP10</v>
      </c>
      <c r="D62" s="6" t="s">
        <v>36</v>
      </c>
      <c r="E62" s="11" t="s">
        <v>47</v>
      </c>
      <c r="F62" s="11" t="s">
        <v>1264</v>
      </c>
      <c r="G62" s="11" t="s">
        <v>1275</v>
      </c>
      <c r="H62" s="18">
        <v>14.2</v>
      </c>
      <c r="I62" s="5" t="s">
        <v>52</v>
      </c>
      <c r="J62" s="19">
        <v>35</v>
      </c>
      <c r="K62" s="5" t="s">
        <v>49</v>
      </c>
      <c r="L62" s="5" t="s">
        <v>53</v>
      </c>
      <c r="M62" s="23" t="s">
        <v>1265</v>
      </c>
      <c r="N62" s="24"/>
      <c r="O62" s="24"/>
      <c r="P62" s="24"/>
      <c r="Q62" s="17" t="s">
        <v>43</v>
      </c>
    </row>
    <row r="63" spans="2:17">
      <c r="B63" s="11" t="s">
        <v>55</v>
      </c>
      <c r="C63" s="5" t="str">
        <f t="shared" si="0"/>
        <v>RWH2AP11</v>
      </c>
      <c r="D63" s="6" t="s">
        <v>36</v>
      </c>
      <c r="E63" s="11" t="s">
        <v>47</v>
      </c>
      <c r="F63" s="11" t="s">
        <v>1264</v>
      </c>
      <c r="G63" s="11" t="s">
        <v>1276</v>
      </c>
      <c r="H63" s="18">
        <v>14.2</v>
      </c>
      <c r="I63" s="5" t="s">
        <v>52</v>
      </c>
      <c r="J63" s="19">
        <v>35</v>
      </c>
      <c r="K63" s="5" t="s">
        <v>49</v>
      </c>
      <c r="L63" s="5" t="s">
        <v>53</v>
      </c>
      <c r="M63" s="23" t="s">
        <v>1265</v>
      </c>
      <c r="N63" s="24"/>
      <c r="O63" s="24"/>
      <c r="P63" s="24"/>
      <c r="Q63" s="17" t="s">
        <v>43</v>
      </c>
    </row>
    <row r="64" spans="2:17">
      <c r="B64" s="11" t="s">
        <v>55</v>
      </c>
      <c r="C64" s="5" t="str">
        <f t="shared" si="0"/>
        <v>RWH2AP12</v>
      </c>
      <c r="D64" s="6" t="s">
        <v>36</v>
      </c>
      <c r="E64" s="11" t="s">
        <v>47</v>
      </c>
      <c r="F64" s="11" t="s">
        <v>1264</v>
      </c>
      <c r="G64" s="11" t="s">
        <v>1277</v>
      </c>
      <c r="H64" s="18">
        <v>14.2</v>
      </c>
      <c r="I64" s="5" t="s">
        <v>52</v>
      </c>
      <c r="J64" s="19">
        <v>35</v>
      </c>
      <c r="K64" s="5" t="s">
        <v>49</v>
      </c>
      <c r="L64" s="5" t="s">
        <v>53</v>
      </c>
      <c r="M64" s="23" t="s">
        <v>1265</v>
      </c>
      <c r="N64" s="24"/>
      <c r="O64" s="24"/>
      <c r="P64" s="24"/>
      <c r="Q64" s="17" t="s">
        <v>43</v>
      </c>
    </row>
    <row r="65" spans="2:17">
      <c r="B65" s="11" t="s">
        <v>55</v>
      </c>
      <c r="C65" s="5" t="str">
        <f t="shared" si="0"/>
        <v>RWH2AP13</v>
      </c>
      <c r="D65" s="6" t="s">
        <v>36</v>
      </c>
      <c r="E65" s="11" t="s">
        <v>47</v>
      </c>
      <c r="F65" s="11" t="s">
        <v>1264</v>
      </c>
      <c r="G65" s="11" t="s">
        <v>1278</v>
      </c>
      <c r="H65" s="18">
        <v>14.2</v>
      </c>
      <c r="I65" s="5" t="s">
        <v>52</v>
      </c>
      <c r="J65" s="19">
        <v>35</v>
      </c>
      <c r="K65" s="5" t="s">
        <v>49</v>
      </c>
      <c r="L65" s="5" t="s">
        <v>53</v>
      </c>
      <c r="M65" s="23" t="s">
        <v>1265</v>
      </c>
      <c r="N65" s="24"/>
      <c r="O65" s="24"/>
      <c r="P65" s="24"/>
      <c r="Q65" s="17" t="s">
        <v>43</v>
      </c>
    </row>
    <row r="66" spans="2:17">
      <c r="B66" s="11" t="s">
        <v>55</v>
      </c>
      <c r="C66" s="5" t="str">
        <f t="shared" si="0"/>
        <v>RWH2AP14</v>
      </c>
      <c r="D66" s="6" t="s">
        <v>36</v>
      </c>
      <c r="E66" s="11" t="s">
        <v>47</v>
      </c>
      <c r="F66" s="11" t="s">
        <v>1264</v>
      </c>
      <c r="G66" s="11" t="s">
        <v>1279</v>
      </c>
      <c r="H66" s="18">
        <v>14.2</v>
      </c>
      <c r="I66" s="5" t="s">
        <v>52</v>
      </c>
      <c r="J66" s="19">
        <v>35</v>
      </c>
      <c r="K66" s="5" t="s">
        <v>49</v>
      </c>
      <c r="L66" s="5" t="s">
        <v>53</v>
      </c>
      <c r="M66" s="23" t="s">
        <v>1265</v>
      </c>
      <c r="N66" s="24"/>
      <c r="O66" s="24"/>
      <c r="P66" s="24"/>
      <c r="Q66" s="17" t="s">
        <v>43</v>
      </c>
    </row>
    <row r="67" spans="2:17">
      <c r="B67" s="11" t="s">
        <v>55</v>
      </c>
      <c r="C67" s="5" t="str">
        <f t="shared" si="0"/>
        <v>RWH2AP15</v>
      </c>
      <c r="D67" s="6" t="s">
        <v>36</v>
      </c>
      <c r="E67" s="11" t="s">
        <v>47</v>
      </c>
      <c r="F67" s="11" t="s">
        <v>1264</v>
      </c>
      <c r="G67" s="11" t="s">
        <v>1280</v>
      </c>
      <c r="H67" s="18">
        <v>14.2</v>
      </c>
      <c r="I67" s="5" t="s">
        <v>52</v>
      </c>
      <c r="J67" s="19">
        <v>35</v>
      </c>
      <c r="K67" s="5" t="s">
        <v>49</v>
      </c>
      <c r="L67" s="5" t="s">
        <v>53</v>
      </c>
      <c r="M67" s="23" t="s">
        <v>1265</v>
      </c>
      <c r="N67" s="24"/>
      <c r="O67" s="24"/>
      <c r="P67" s="24"/>
      <c r="Q67" s="17" t="s">
        <v>43</v>
      </c>
    </row>
    <row r="68" spans="2:17">
      <c r="B68" s="11" t="s">
        <v>55</v>
      </c>
      <c r="C68" s="5" t="str">
        <f t="shared" si="0"/>
        <v>RWH2AP16</v>
      </c>
      <c r="D68" s="6" t="s">
        <v>36</v>
      </c>
      <c r="E68" s="11" t="s">
        <v>47</v>
      </c>
      <c r="F68" s="11" t="s">
        <v>1264</v>
      </c>
      <c r="G68" s="11" t="s">
        <v>1281</v>
      </c>
      <c r="H68" s="18">
        <v>14.2</v>
      </c>
      <c r="I68" s="5" t="s">
        <v>52</v>
      </c>
      <c r="J68" s="19">
        <v>35</v>
      </c>
      <c r="K68" s="5" t="s">
        <v>49</v>
      </c>
      <c r="L68" s="5" t="s">
        <v>53</v>
      </c>
      <c r="M68" s="23" t="s">
        <v>1265</v>
      </c>
      <c r="N68" s="24"/>
      <c r="O68" s="24"/>
      <c r="P68" s="24"/>
      <c r="Q68" s="17" t="s">
        <v>43</v>
      </c>
    </row>
    <row r="69" spans="2:17">
      <c r="B69" s="11" t="s">
        <v>55</v>
      </c>
      <c r="C69" s="5" t="str">
        <f t="shared" si="0"/>
        <v>RWH2AP17</v>
      </c>
      <c r="D69" s="6" t="s">
        <v>36</v>
      </c>
      <c r="E69" s="11" t="s">
        <v>47</v>
      </c>
      <c r="F69" s="11" t="s">
        <v>1264</v>
      </c>
      <c r="G69" s="11" t="s">
        <v>1282</v>
      </c>
      <c r="H69" s="18">
        <v>14.2</v>
      </c>
      <c r="I69" s="5" t="s">
        <v>52</v>
      </c>
      <c r="J69" s="19">
        <v>35</v>
      </c>
      <c r="K69" s="5" t="s">
        <v>49</v>
      </c>
      <c r="L69" s="5" t="s">
        <v>53</v>
      </c>
      <c r="M69" s="23" t="s">
        <v>1265</v>
      </c>
      <c r="N69" s="24"/>
      <c r="O69" s="24"/>
      <c r="P69" s="24"/>
      <c r="Q69" s="17" t="s">
        <v>43</v>
      </c>
    </row>
    <row r="70" spans="2:17">
      <c r="B70" s="11" t="s">
        <v>55</v>
      </c>
      <c r="C70" s="5" t="str">
        <f t="shared" si="0"/>
        <v>RWH2AP18</v>
      </c>
      <c r="D70" s="6" t="s">
        <v>36</v>
      </c>
      <c r="E70" s="11" t="s">
        <v>47</v>
      </c>
      <c r="F70" s="11" t="s">
        <v>1264</v>
      </c>
      <c r="G70" s="11" t="s">
        <v>1283</v>
      </c>
      <c r="H70" s="18">
        <v>14.2</v>
      </c>
      <c r="I70" s="5" t="s">
        <v>52</v>
      </c>
      <c r="J70" s="19">
        <v>35</v>
      </c>
      <c r="K70" s="5" t="s">
        <v>49</v>
      </c>
      <c r="L70" s="5" t="s">
        <v>53</v>
      </c>
      <c r="M70" s="23" t="s">
        <v>1265</v>
      </c>
      <c r="N70" s="24"/>
      <c r="O70" s="24"/>
      <c r="P70" s="24"/>
      <c r="Q70" s="17" t="s">
        <v>43</v>
      </c>
    </row>
    <row r="71" spans="2:17">
      <c r="B71" s="11" t="s">
        <v>55</v>
      </c>
      <c r="C71" s="5" t="str">
        <f t="shared" ref="C71:C134" si="1">IF(E71="","",IF(G71&lt;&gt;"",SUBSTITUTE(SUBSTITUTE(SUBSTITUTE(G71," ",""),"-",""),"N",""),IF(F71&lt;&gt;"",SUBSTITUTE(SUBSTITUTE(SUBSTITUTE(F71," ",""),"-",""),"N",""),"")))</f>
        <v>RWH2AP19</v>
      </c>
      <c r="D71" s="6" t="s">
        <v>36</v>
      </c>
      <c r="E71" s="11" t="s">
        <v>47</v>
      </c>
      <c r="F71" s="11" t="s">
        <v>1264</v>
      </c>
      <c r="G71" s="11" t="s">
        <v>1284</v>
      </c>
      <c r="H71" s="18">
        <v>14.2</v>
      </c>
      <c r="I71" s="5" t="s">
        <v>52</v>
      </c>
      <c r="J71" s="19">
        <v>35</v>
      </c>
      <c r="K71" s="5" t="s">
        <v>49</v>
      </c>
      <c r="L71" s="5" t="s">
        <v>53</v>
      </c>
      <c r="M71" s="23" t="s">
        <v>1265</v>
      </c>
      <c r="N71" s="24"/>
      <c r="O71" s="24"/>
      <c r="P71" s="24"/>
      <c r="Q71" s="17" t="s">
        <v>43</v>
      </c>
    </row>
    <row r="72" spans="2:17">
      <c r="B72" s="11" t="s">
        <v>55</v>
      </c>
      <c r="C72" s="5" t="str">
        <f t="shared" si="1"/>
        <v>RWH2AP20</v>
      </c>
      <c r="D72" s="6" t="s">
        <v>36</v>
      </c>
      <c r="E72" s="11" t="s">
        <v>47</v>
      </c>
      <c r="F72" s="11" t="s">
        <v>1264</v>
      </c>
      <c r="G72" s="11" t="s">
        <v>1285</v>
      </c>
      <c r="H72" s="18">
        <v>14.2</v>
      </c>
      <c r="I72" s="5" t="s">
        <v>52</v>
      </c>
      <c r="J72" s="19">
        <v>35</v>
      </c>
      <c r="K72" s="5" t="s">
        <v>49</v>
      </c>
      <c r="L72" s="5" t="s">
        <v>53</v>
      </c>
      <c r="M72" s="23" t="s">
        <v>1265</v>
      </c>
      <c r="N72" s="24"/>
      <c r="O72" s="24"/>
      <c r="P72" s="24"/>
      <c r="Q72" s="17" t="s">
        <v>43</v>
      </c>
    </row>
    <row r="73" spans="2:17">
      <c r="C73" s="5" t="str">
        <f t="shared" si="1"/>
        <v/>
      </c>
    </row>
    <row r="74" spans="2:17">
      <c r="C74" s="5" t="str">
        <f t="shared" si="1"/>
        <v/>
      </c>
    </row>
    <row r="75" spans="2:17">
      <c r="B75" s="11" t="s">
        <v>50</v>
      </c>
      <c r="C75" s="5" t="str">
        <f t="shared" si="1"/>
        <v>RWH2B</v>
      </c>
      <c r="D75" s="6" t="s">
        <v>36</v>
      </c>
      <c r="E75" s="11" t="s">
        <v>47</v>
      </c>
      <c r="F75" s="11" t="s">
        <v>1286</v>
      </c>
      <c r="G75" s="11"/>
      <c r="H75" s="18">
        <v>284</v>
      </c>
      <c r="I75" s="5" t="s">
        <v>52</v>
      </c>
      <c r="J75" s="19">
        <v>600</v>
      </c>
      <c r="K75" s="5" t="s">
        <v>49</v>
      </c>
      <c r="L75" s="5" t="s">
        <v>53</v>
      </c>
      <c r="M75" s="23" t="s">
        <v>1287</v>
      </c>
      <c r="N75" s="24">
        <v>5500</v>
      </c>
      <c r="O75" s="24">
        <v>4</v>
      </c>
      <c r="P75" s="24">
        <v>3</v>
      </c>
      <c r="Q75" s="17" t="s">
        <v>43</v>
      </c>
    </row>
    <row r="76" spans="2:17">
      <c r="B76" s="11" t="s">
        <v>55</v>
      </c>
      <c r="C76" s="5" t="str">
        <f t="shared" si="1"/>
        <v>RWH2BP01</v>
      </c>
      <c r="D76" s="6" t="s">
        <v>36</v>
      </c>
      <c r="E76" s="11" t="s">
        <v>47</v>
      </c>
      <c r="F76" s="11" t="s">
        <v>1286</v>
      </c>
      <c r="G76" s="11" t="s">
        <v>1288</v>
      </c>
      <c r="H76" s="18">
        <v>14.2</v>
      </c>
      <c r="I76" s="5" t="s">
        <v>52</v>
      </c>
      <c r="J76" s="19">
        <v>35</v>
      </c>
      <c r="K76" s="5" t="s">
        <v>49</v>
      </c>
      <c r="L76" s="5" t="s">
        <v>53</v>
      </c>
      <c r="M76" s="23" t="s">
        <v>1287</v>
      </c>
      <c r="N76" s="24"/>
      <c r="O76" s="24"/>
      <c r="P76" s="24"/>
      <c r="Q76" s="17" t="s">
        <v>43</v>
      </c>
    </row>
    <row r="77" spans="2:17">
      <c r="B77" s="11" t="s">
        <v>55</v>
      </c>
      <c r="C77" s="5" t="str">
        <f t="shared" si="1"/>
        <v>RWH2BP02</v>
      </c>
      <c r="D77" s="6" t="s">
        <v>36</v>
      </c>
      <c r="E77" s="11" t="s">
        <v>47</v>
      </c>
      <c r="F77" s="11" t="s">
        <v>1286</v>
      </c>
      <c r="G77" s="11" t="s">
        <v>1289</v>
      </c>
      <c r="H77" s="18">
        <v>14.2</v>
      </c>
      <c r="I77" s="5" t="s">
        <v>52</v>
      </c>
      <c r="J77" s="19">
        <v>35</v>
      </c>
      <c r="K77" s="5" t="s">
        <v>49</v>
      </c>
      <c r="L77" s="5" t="s">
        <v>53</v>
      </c>
      <c r="M77" s="23" t="s">
        <v>1287</v>
      </c>
      <c r="N77" s="24"/>
      <c r="O77" s="24"/>
      <c r="P77" s="24"/>
      <c r="Q77" s="17" t="s">
        <v>43</v>
      </c>
    </row>
    <row r="78" spans="2:17">
      <c r="B78" s="11" t="s">
        <v>55</v>
      </c>
      <c r="C78" s="5" t="str">
        <f t="shared" si="1"/>
        <v>RWH2BP03</v>
      </c>
      <c r="D78" s="6" t="s">
        <v>36</v>
      </c>
      <c r="E78" s="11" t="s">
        <v>47</v>
      </c>
      <c r="F78" s="11" t="s">
        <v>1286</v>
      </c>
      <c r="G78" s="11" t="s">
        <v>1290</v>
      </c>
      <c r="H78" s="18">
        <v>14.2</v>
      </c>
      <c r="I78" s="5" t="s">
        <v>52</v>
      </c>
      <c r="J78" s="19">
        <v>35</v>
      </c>
      <c r="K78" s="5" t="s">
        <v>49</v>
      </c>
      <c r="L78" s="5" t="s">
        <v>53</v>
      </c>
      <c r="M78" s="23" t="s">
        <v>1287</v>
      </c>
      <c r="N78" s="24"/>
      <c r="O78" s="24"/>
      <c r="P78" s="24"/>
      <c r="Q78" s="17" t="s">
        <v>43</v>
      </c>
    </row>
    <row r="79" spans="2:17">
      <c r="B79" s="11" t="s">
        <v>55</v>
      </c>
      <c r="C79" s="5" t="str">
        <f t="shared" si="1"/>
        <v>RWH2BP04</v>
      </c>
      <c r="D79" s="6" t="s">
        <v>36</v>
      </c>
      <c r="E79" s="11" t="s">
        <v>47</v>
      </c>
      <c r="F79" s="11" t="s">
        <v>1286</v>
      </c>
      <c r="G79" s="11" t="s">
        <v>1291</v>
      </c>
      <c r="H79" s="18">
        <v>14.2</v>
      </c>
      <c r="I79" s="5" t="s">
        <v>52</v>
      </c>
      <c r="J79" s="19">
        <v>35</v>
      </c>
      <c r="K79" s="5" t="s">
        <v>49</v>
      </c>
      <c r="L79" s="5" t="s">
        <v>53</v>
      </c>
      <c r="M79" s="23" t="s">
        <v>1287</v>
      </c>
      <c r="N79" s="24"/>
      <c r="O79" s="24"/>
      <c r="P79" s="24"/>
      <c r="Q79" s="17" t="s">
        <v>43</v>
      </c>
    </row>
    <row r="80" spans="2:17">
      <c r="B80" s="11" t="s">
        <v>55</v>
      </c>
      <c r="C80" s="5" t="str">
        <f t="shared" si="1"/>
        <v>RWH2BP05</v>
      </c>
      <c r="D80" s="6" t="s">
        <v>36</v>
      </c>
      <c r="E80" s="11" t="s">
        <v>47</v>
      </c>
      <c r="F80" s="11" t="s">
        <v>1286</v>
      </c>
      <c r="G80" s="11" t="s">
        <v>1292</v>
      </c>
      <c r="H80" s="18">
        <v>14.2</v>
      </c>
      <c r="I80" s="5" t="s">
        <v>52</v>
      </c>
      <c r="J80" s="19">
        <v>35</v>
      </c>
      <c r="K80" s="5" t="s">
        <v>49</v>
      </c>
      <c r="L80" s="5" t="s">
        <v>53</v>
      </c>
      <c r="M80" s="23" t="s">
        <v>1287</v>
      </c>
      <c r="N80" s="24"/>
      <c r="O80" s="24"/>
      <c r="P80" s="24"/>
      <c r="Q80" s="17" t="s">
        <v>43</v>
      </c>
    </row>
    <row r="81" spans="2:17">
      <c r="B81" s="11" t="s">
        <v>55</v>
      </c>
      <c r="C81" s="5" t="str">
        <f t="shared" si="1"/>
        <v>RWH2BP06</v>
      </c>
      <c r="D81" s="6" t="s">
        <v>36</v>
      </c>
      <c r="E81" s="11" t="s">
        <v>47</v>
      </c>
      <c r="F81" s="11" t="s">
        <v>1286</v>
      </c>
      <c r="G81" s="11" t="s">
        <v>1293</v>
      </c>
      <c r="H81" s="18">
        <v>14.2</v>
      </c>
      <c r="I81" s="5" t="s">
        <v>52</v>
      </c>
      <c r="J81" s="19">
        <v>35</v>
      </c>
      <c r="K81" s="5" t="s">
        <v>49</v>
      </c>
      <c r="L81" s="5" t="s">
        <v>53</v>
      </c>
      <c r="M81" s="23" t="s">
        <v>1287</v>
      </c>
      <c r="N81" s="24"/>
      <c r="O81" s="24"/>
      <c r="P81" s="24"/>
      <c r="Q81" s="17" t="s">
        <v>43</v>
      </c>
    </row>
    <row r="82" spans="2:17">
      <c r="B82" s="11" t="s">
        <v>55</v>
      </c>
      <c r="C82" s="5" t="str">
        <f t="shared" si="1"/>
        <v>RWH2BP07</v>
      </c>
      <c r="D82" s="6" t="s">
        <v>36</v>
      </c>
      <c r="E82" s="11" t="s">
        <v>47</v>
      </c>
      <c r="F82" s="11" t="s">
        <v>1286</v>
      </c>
      <c r="G82" s="11" t="s">
        <v>1294</v>
      </c>
      <c r="H82" s="18">
        <v>14.2</v>
      </c>
      <c r="I82" s="5" t="s">
        <v>52</v>
      </c>
      <c r="J82" s="19">
        <v>35</v>
      </c>
      <c r="K82" s="5" t="s">
        <v>49</v>
      </c>
      <c r="L82" s="5" t="s">
        <v>53</v>
      </c>
      <c r="M82" s="23" t="s">
        <v>1287</v>
      </c>
      <c r="N82" s="24"/>
      <c r="O82" s="24"/>
      <c r="P82" s="24"/>
      <c r="Q82" s="17" t="s">
        <v>43</v>
      </c>
    </row>
    <row r="83" spans="2:17">
      <c r="B83" s="11" t="s">
        <v>55</v>
      </c>
      <c r="C83" s="5" t="str">
        <f t="shared" si="1"/>
        <v>RWH2BP08</v>
      </c>
      <c r="D83" s="6" t="s">
        <v>36</v>
      </c>
      <c r="E83" s="11" t="s">
        <v>47</v>
      </c>
      <c r="F83" s="11" t="s">
        <v>1286</v>
      </c>
      <c r="G83" s="11" t="s">
        <v>1295</v>
      </c>
      <c r="H83" s="18">
        <v>14.2</v>
      </c>
      <c r="I83" s="5" t="s">
        <v>52</v>
      </c>
      <c r="J83" s="19">
        <v>35</v>
      </c>
      <c r="K83" s="5" t="s">
        <v>49</v>
      </c>
      <c r="L83" s="5" t="s">
        <v>53</v>
      </c>
      <c r="M83" s="23" t="s">
        <v>1287</v>
      </c>
      <c r="N83" s="24"/>
      <c r="O83" s="24"/>
      <c r="P83" s="24"/>
      <c r="Q83" s="17" t="s">
        <v>43</v>
      </c>
    </row>
    <row r="84" spans="2:17">
      <c r="B84" s="11" t="s">
        <v>55</v>
      </c>
      <c r="C84" s="5" t="str">
        <f t="shared" si="1"/>
        <v>RWH2BP09</v>
      </c>
      <c r="D84" s="6" t="s">
        <v>36</v>
      </c>
      <c r="E84" s="11" t="s">
        <v>47</v>
      </c>
      <c r="F84" s="11" t="s">
        <v>1286</v>
      </c>
      <c r="G84" s="11" t="s">
        <v>1296</v>
      </c>
      <c r="H84" s="18">
        <v>14.2</v>
      </c>
      <c r="I84" s="5" t="s">
        <v>52</v>
      </c>
      <c r="J84" s="19">
        <v>35</v>
      </c>
      <c r="K84" s="5" t="s">
        <v>49</v>
      </c>
      <c r="L84" s="5" t="s">
        <v>53</v>
      </c>
      <c r="M84" s="23" t="s">
        <v>1287</v>
      </c>
      <c r="N84" s="24"/>
      <c r="O84" s="24"/>
      <c r="P84" s="24"/>
      <c r="Q84" s="17" t="s">
        <v>43</v>
      </c>
    </row>
    <row r="85" spans="2:17">
      <c r="B85" s="11" t="s">
        <v>55</v>
      </c>
      <c r="C85" s="5" t="str">
        <f t="shared" si="1"/>
        <v>RWH2BP10</v>
      </c>
      <c r="D85" s="6" t="s">
        <v>36</v>
      </c>
      <c r="E85" s="11" t="s">
        <v>47</v>
      </c>
      <c r="F85" s="11" t="s">
        <v>1286</v>
      </c>
      <c r="G85" s="11" t="s">
        <v>1297</v>
      </c>
      <c r="H85" s="18">
        <v>14.2</v>
      </c>
      <c r="I85" s="5" t="s">
        <v>52</v>
      </c>
      <c r="J85" s="19">
        <v>35</v>
      </c>
      <c r="K85" s="5" t="s">
        <v>49</v>
      </c>
      <c r="L85" s="5" t="s">
        <v>53</v>
      </c>
      <c r="M85" s="23" t="s">
        <v>1287</v>
      </c>
      <c r="N85" s="24"/>
      <c r="O85" s="24"/>
      <c r="P85" s="24"/>
      <c r="Q85" s="17" t="s">
        <v>43</v>
      </c>
    </row>
    <row r="86" spans="2:17">
      <c r="B86" s="11" t="s">
        <v>55</v>
      </c>
      <c r="C86" s="5" t="str">
        <f t="shared" si="1"/>
        <v>RWH2BP11</v>
      </c>
      <c r="D86" s="6" t="s">
        <v>36</v>
      </c>
      <c r="E86" s="11" t="s">
        <v>47</v>
      </c>
      <c r="F86" s="11" t="s">
        <v>1286</v>
      </c>
      <c r="G86" s="11" t="s">
        <v>1298</v>
      </c>
      <c r="H86" s="18">
        <v>14.2</v>
      </c>
      <c r="I86" s="5" t="s">
        <v>52</v>
      </c>
      <c r="J86" s="19">
        <v>35</v>
      </c>
      <c r="K86" s="5" t="s">
        <v>49</v>
      </c>
      <c r="L86" s="5" t="s">
        <v>53</v>
      </c>
      <c r="M86" s="23" t="s">
        <v>1287</v>
      </c>
      <c r="N86" s="24"/>
      <c r="O86" s="24"/>
      <c r="P86" s="24"/>
      <c r="Q86" s="17" t="s">
        <v>43</v>
      </c>
    </row>
    <row r="87" spans="2:17">
      <c r="B87" s="11" t="s">
        <v>55</v>
      </c>
      <c r="C87" s="5" t="str">
        <f t="shared" si="1"/>
        <v>RWH2BP12</v>
      </c>
      <c r="D87" s="6" t="s">
        <v>36</v>
      </c>
      <c r="E87" s="11" t="s">
        <v>47</v>
      </c>
      <c r="F87" s="11" t="s">
        <v>1286</v>
      </c>
      <c r="G87" s="11" t="s">
        <v>1299</v>
      </c>
      <c r="H87" s="18">
        <v>14.2</v>
      </c>
      <c r="I87" s="5" t="s">
        <v>52</v>
      </c>
      <c r="J87" s="19">
        <v>35</v>
      </c>
      <c r="K87" s="5" t="s">
        <v>49</v>
      </c>
      <c r="L87" s="5" t="s">
        <v>53</v>
      </c>
      <c r="M87" s="23" t="s">
        <v>1287</v>
      </c>
      <c r="N87" s="24"/>
      <c r="O87" s="24"/>
      <c r="P87" s="24"/>
      <c r="Q87" s="17" t="s">
        <v>43</v>
      </c>
    </row>
    <row r="88" spans="2:17">
      <c r="B88" s="11" t="s">
        <v>55</v>
      </c>
      <c r="C88" s="5" t="str">
        <f t="shared" si="1"/>
        <v>RWH2BP13</v>
      </c>
      <c r="D88" s="6" t="s">
        <v>36</v>
      </c>
      <c r="E88" s="11" t="s">
        <v>47</v>
      </c>
      <c r="F88" s="11" t="s">
        <v>1286</v>
      </c>
      <c r="G88" s="11" t="s">
        <v>1300</v>
      </c>
      <c r="H88" s="18">
        <v>14.2</v>
      </c>
      <c r="I88" s="5" t="s">
        <v>52</v>
      </c>
      <c r="J88" s="19">
        <v>35</v>
      </c>
      <c r="K88" s="5" t="s">
        <v>49</v>
      </c>
      <c r="L88" s="5" t="s">
        <v>53</v>
      </c>
      <c r="M88" s="23" t="s">
        <v>1287</v>
      </c>
      <c r="N88" s="24"/>
      <c r="O88" s="24"/>
      <c r="P88" s="24"/>
      <c r="Q88" s="17" t="s">
        <v>43</v>
      </c>
    </row>
    <row r="89" spans="2:17">
      <c r="B89" s="11" t="s">
        <v>55</v>
      </c>
      <c r="C89" s="5" t="str">
        <f t="shared" si="1"/>
        <v>RWH2BP14</v>
      </c>
      <c r="D89" s="6" t="s">
        <v>36</v>
      </c>
      <c r="E89" s="11" t="s">
        <v>47</v>
      </c>
      <c r="F89" s="11" t="s">
        <v>1286</v>
      </c>
      <c r="G89" s="11" t="s">
        <v>1301</v>
      </c>
      <c r="H89" s="18">
        <v>14.2</v>
      </c>
      <c r="I89" s="5" t="s">
        <v>52</v>
      </c>
      <c r="J89" s="19">
        <v>35</v>
      </c>
      <c r="K89" s="5" t="s">
        <v>49</v>
      </c>
      <c r="L89" s="5" t="s">
        <v>53</v>
      </c>
      <c r="M89" s="23" t="s">
        <v>1287</v>
      </c>
      <c r="N89" s="24"/>
      <c r="O89" s="24"/>
      <c r="P89" s="24"/>
      <c r="Q89" s="17" t="s">
        <v>43</v>
      </c>
    </row>
    <row r="90" spans="2:17">
      <c r="B90" s="11" t="s">
        <v>55</v>
      </c>
      <c r="C90" s="5" t="str">
        <f t="shared" si="1"/>
        <v>RWH2BP15</v>
      </c>
      <c r="D90" s="6" t="s">
        <v>36</v>
      </c>
      <c r="E90" s="11" t="s">
        <v>47</v>
      </c>
      <c r="F90" s="11" t="s">
        <v>1286</v>
      </c>
      <c r="G90" s="11" t="s">
        <v>1302</v>
      </c>
      <c r="H90" s="18">
        <v>14.2</v>
      </c>
      <c r="I90" s="5" t="s">
        <v>52</v>
      </c>
      <c r="J90" s="19">
        <v>35</v>
      </c>
      <c r="K90" s="5" t="s">
        <v>49</v>
      </c>
      <c r="L90" s="5" t="s">
        <v>53</v>
      </c>
      <c r="M90" s="23" t="s">
        <v>1287</v>
      </c>
      <c r="N90" s="24"/>
      <c r="O90" s="24"/>
      <c r="P90" s="24"/>
      <c r="Q90" s="17" t="s">
        <v>43</v>
      </c>
    </row>
    <row r="91" spans="2:17">
      <c r="B91" s="11" t="s">
        <v>55</v>
      </c>
      <c r="C91" s="5" t="str">
        <f t="shared" si="1"/>
        <v>RWH2BP16</v>
      </c>
      <c r="D91" s="6" t="s">
        <v>36</v>
      </c>
      <c r="E91" s="11" t="s">
        <v>47</v>
      </c>
      <c r="F91" s="11" t="s">
        <v>1286</v>
      </c>
      <c r="G91" s="11" t="s">
        <v>1303</v>
      </c>
      <c r="H91" s="18">
        <v>14.2</v>
      </c>
      <c r="I91" s="5" t="s">
        <v>52</v>
      </c>
      <c r="J91" s="19">
        <v>35</v>
      </c>
      <c r="K91" s="5" t="s">
        <v>49</v>
      </c>
      <c r="L91" s="5" t="s">
        <v>53</v>
      </c>
      <c r="M91" s="23" t="s">
        <v>1287</v>
      </c>
      <c r="N91" s="24"/>
      <c r="O91" s="24"/>
      <c r="P91" s="24"/>
      <c r="Q91" s="17" t="s">
        <v>43</v>
      </c>
    </row>
    <row r="92" spans="2:17">
      <c r="B92" s="11" t="s">
        <v>55</v>
      </c>
      <c r="C92" s="5" t="str">
        <f t="shared" si="1"/>
        <v>RWH2BP17</v>
      </c>
      <c r="D92" s="6" t="s">
        <v>36</v>
      </c>
      <c r="E92" s="11" t="s">
        <v>47</v>
      </c>
      <c r="F92" s="11" t="s">
        <v>1286</v>
      </c>
      <c r="G92" s="11" t="s">
        <v>1304</v>
      </c>
      <c r="H92" s="18">
        <v>14.2</v>
      </c>
      <c r="I92" s="5" t="s">
        <v>52</v>
      </c>
      <c r="J92" s="19">
        <v>35</v>
      </c>
      <c r="K92" s="5" t="s">
        <v>49</v>
      </c>
      <c r="L92" s="5" t="s">
        <v>53</v>
      </c>
      <c r="M92" s="23" t="s">
        <v>1287</v>
      </c>
      <c r="N92" s="24"/>
      <c r="O92" s="24"/>
      <c r="P92" s="24"/>
      <c r="Q92" s="17" t="s">
        <v>43</v>
      </c>
    </row>
    <row r="93" spans="2:17">
      <c r="B93" s="11" t="s">
        <v>55</v>
      </c>
      <c r="C93" s="5" t="str">
        <f t="shared" si="1"/>
        <v>RWH2BP18</v>
      </c>
      <c r="D93" s="6" t="s">
        <v>36</v>
      </c>
      <c r="E93" s="11" t="s">
        <v>47</v>
      </c>
      <c r="F93" s="11" t="s">
        <v>1286</v>
      </c>
      <c r="G93" s="11" t="s">
        <v>1305</v>
      </c>
      <c r="H93" s="18">
        <v>14.2</v>
      </c>
      <c r="I93" s="5" t="s">
        <v>52</v>
      </c>
      <c r="J93" s="19">
        <v>35</v>
      </c>
      <c r="K93" s="5" t="s">
        <v>49</v>
      </c>
      <c r="L93" s="5" t="s">
        <v>53</v>
      </c>
      <c r="M93" s="23" t="s">
        <v>1287</v>
      </c>
      <c r="N93" s="24"/>
      <c r="O93" s="24"/>
      <c r="P93" s="24"/>
      <c r="Q93" s="17" t="s">
        <v>43</v>
      </c>
    </row>
    <row r="94" spans="2:17">
      <c r="B94" s="11" t="s">
        <v>55</v>
      </c>
      <c r="C94" s="5" t="str">
        <f t="shared" si="1"/>
        <v>RWH2BP19</v>
      </c>
      <c r="D94" s="6" t="s">
        <v>36</v>
      </c>
      <c r="E94" s="11" t="s">
        <v>47</v>
      </c>
      <c r="F94" s="11" t="s">
        <v>1286</v>
      </c>
      <c r="G94" s="11" t="s">
        <v>1306</v>
      </c>
      <c r="H94" s="18">
        <v>14.2</v>
      </c>
      <c r="I94" s="5" t="s">
        <v>52</v>
      </c>
      <c r="J94" s="19">
        <v>35</v>
      </c>
      <c r="K94" s="5" t="s">
        <v>49</v>
      </c>
      <c r="L94" s="5" t="s">
        <v>53</v>
      </c>
      <c r="M94" s="23" t="s">
        <v>1287</v>
      </c>
      <c r="N94" s="24"/>
      <c r="O94" s="24"/>
      <c r="P94" s="24"/>
      <c r="Q94" s="17" t="s">
        <v>43</v>
      </c>
    </row>
    <row r="95" spans="2:17">
      <c r="B95" s="11" t="s">
        <v>55</v>
      </c>
      <c r="C95" s="5" t="str">
        <f t="shared" si="1"/>
        <v>RWH2BP20</v>
      </c>
      <c r="D95" s="6" t="s">
        <v>36</v>
      </c>
      <c r="E95" s="11" t="s">
        <v>47</v>
      </c>
      <c r="F95" s="11" t="s">
        <v>1286</v>
      </c>
      <c r="G95" s="11" t="s">
        <v>1307</v>
      </c>
      <c r="H95" s="18">
        <v>14.2</v>
      </c>
      <c r="I95" s="5" t="s">
        <v>52</v>
      </c>
      <c r="J95" s="19">
        <v>35</v>
      </c>
      <c r="K95" s="5" t="s">
        <v>49</v>
      </c>
      <c r="L95" s="5" t="s">
        <v>53</v>
      </c>
      <c r="M95" s="23" t="s">
        <v>1287</v>
      </c>
      <c r="N95" s="24"/>
      <c r="O95" s="24"/>
      <c r="P95" s="24"/>
      <c r="Q95" s="17" t="s">
        <v>43</v>
      </c>
    </row>
    <row r="96" spans="2:17">
      <c r="C96" s="5" t="str">
        <f t="shared" si="1"/>
        <v/>
      </c>
    </row>
    <row r="97" spans="2:17">
      <c r="C97" s="5" t="str">
        <f t="shared" si="1"/>
        <v/>
      </c>
    </row>
    <row r="98" spans="2:17">
      <c r="B98" s="11" t="s">
        <v>50</v>
      </c>
      <c r="C98" s="5" t="str">
        <f t="shared" si="1"/>
        <v>RWH3A</v>
      </c>
      <c r="D98" s="6" t="s">
        <v>36</v>
      </c>
      <c r="E98" s="11" t="s">
        <v>47</v>
      </c>
      <c r="F98" s="11" t="s">
        <v>1308</v>
      </c>
      <c r="G98" s="11"/>
      <c r="H98" s="18">
        <v>284</v>
      </c>
      <c r="I98" s="5" t="s">
        <v>52</v>
      </c>
      <c r="J98" s="19">
        <v>600</v>
      </c>
      <c r="K98" s="5" t="s">
        <v>49</v>
      </c>
      <c r="L98" s="5" t="s">
        <v>53</v>
      </c>
      <c r="M98" s="23" t="s">
        <v>1309</v>
      </c>
      <c r="N98" s="24">
        <v>5500</v>
      </c>
      <c r="O98" s="24">
        <v>4</v>
      </c>
      <c r="P98" s="24">
        <v>3</v>
      </c>
      <c r="Q98" s="17" t="s">
        <v>43</v>
      </c>
    </row>
    <row r="99" spans="2:17">
      <c r="B99" s="11" t="s">
        <v>55</v>
      </c>
      <c r="C99" s="5" t="str">
        <f t="shared" si="1"/>
        <v>RWH3AP01</v>
      </c>
      <c r="D99" s="6" t="s">
        <v>36</v>
      </c>
      <c r="E99" s="11" t="s">
        <v>47</v>
      </c>
      <c r="F99" s="11" t="s">
        <v>1308</v>
      </c>
      <c r="G99" s="11" t="s">
        <v>1310</v>
      </c>
      <c r="H99" s="18">
        <v>14.2</v>
      </c>
      <c r="I99" s="5" t="s">
        <v>52</v>
      </c>
      <c r="J99" s="19">
        <v>35</v>
      </c>
      <c r="K99" s="5" t="s">
        <v>49</v>
      </c>
      <c r="L99" s="5" t="s">
        <v>53</v>
      </c>
      <c r="M99" s="23" t="s">
        <v>1309</v>
      </c>
      <c r="N99" s="24"/>
      <c r="O99" s="24"/>
      <c r="P99" s="24"/>
      <c r="Q99" s="17" t="s">
        <v>43</v>
      </c>
    </row>
    <row r="100" spans="2:17">
      <c r="B100" s="11" t="s">
        <v>55</v>
      </c>
      <c r="C100" s="5" t="str">
        <f t="shared" si="1"/>
        <v>RWH3AP02</v>
      </c>
      <c r="D100" s="6" t="s">
        <v>36</v>
      </c>
      <c r="E100" s="11" t="s">
        <v>47</v>
      </c>
      <c r="F100" s="11" t="s">
        <v>1308</v>
      </c>
      <c r="G100" s="11" t="s">
        <v>1311</v>
      </c>
      <c r="H100" s="18">
        <v>14.2</v>
      </c>
      <c r="I100" s="5" t="s">
        <v>52</v>
      </c>
      <c r="J100" s="19">
        <v>35</v>
      </c>
      <c r="K100" s="5" t="s">
        <v>49</v>
      </c>
      <c r="L100" s="5" t="s">
        <v>53</v>
      </c>
      <c r="M100" s="23" t="s">
        <v>1309</v>
      </c>
      <c r="N100" s="24"/>
      <c r="O100" s="24"/>
      <c r="P100" s="24"/>
      <c r="Q100" s="17" t="s">
        <v>43</v>
      </c>
    </row>
    <row r="101" spans="2:17">
      <c r="B101" s="11" t="s">
        <v>55</v>
      </c>
      <c r="C101" s="5" t="str">
        <f t="shared" si="1"/>
        <v>RWH3AP03</v>
      </c>
      <c r="D101" s="6" t="s">
        <v>36</v>
      </c>
      <c r="E101" s="11" t="s">
        <v>47</v>
      </c>
      <c r="F101" s="11" t="s">
        <v>1308</v>
      </c>
      <c r="G101" s="11" t="s">
        <v>1312</v>
      </c>
      <c r="H101" s="18">
        <v>14.2</v>
      </c>
      <c r="I101" s="5" t="s">
        <v>52</v>
      </c>
      <c r="J101" s="19">
        <v>35</v>
      </c>
      <c r="K101" s="5" t="s">
        <v>49</v>
      </c>
      <c r="L101" s="5" t="s">
        <v>53</v>
      </c>
      <c r="M101" s="23" t="s">
        <v>1309</v>
      </c>
      <c r="N101" s="24"/>
      <c r="O101" s="24"/>
      <c r="P101" s="24"/>
      <c r="Q101" s="17" t="s">
        <v>43</v>
      </c>
    </row>
    <row r="102" spans="2:17">
      <c r="B102" s="11" t="s">
        <v>55</v>
      </c>
      <c r="C102" s="5" t="str">
        <f t="shared" si="1"/>
        <v>RWH3AP04</v>
      </c>
      <c r="D102" s="6" t="s">
        <v>36</v>
      </c>
      <c r="E102" s="11" t="s">
        <v>47</v>
      </c>
      <c r="F102" s="11" t="s">
        <v>1308</v>
      </c>
      <c r="G102" s="11" t="s">
        <v>1313</v>
      </c>
      <c r="H102" s="18">
        <v>14.2</v>
      </c>
      <c r="I102" s="5" t="s">
        <v>52</v>
      </c>
      <c r="J102" s="19">
        <v>35</v>
      </c>
      <c r="K102" s="5" t="s">
        <v>49</v>
      </c>
      <c r="L102" s="5" t="s">
        <v>53</v>
      </c>
      <c r="M102" s="23" t="s">
        <v>1309</v>
      </c>
      <c r="N102" s="24"/>
      <c r="O102" s="24"/>
      <c r="P102" s="24"/>
      <c r="Q102" s="17" t="s">
        <v>43</v>
      </c>
    </row>
    <row r="103" spans="2:17">
      <c r="B103" s="11" t="s">
        <v>55</v>
      </c>
      <c r="C103" s="5" t="str">
        <f t="shared" si="1"/>
        <v>RWH3AP05</v>
      </c>
      <c r="D103" s="6" t="s">
        <v>36</v>
      </c>
      <c r="E103" s="11" t="s">
        <v>47</v>
      </c>
      <c r="F103" s="11" t="s">
        <v>1308</v>
      </c>
      <c r="G103" s="11" t="s">
        <v>1314</v>
      </c>
      <c r="H103" s="18">
        <v>14.2</v>
      </c>
      <c r="I103" s="5" t="s">
        <v>52</v>
      </c>
      <c r="J103" s="19">
        <v>35</v>
      </c>
      <c r="K103" s="5" t="s">
        <v>49</v>
      </c>
      <c r="L103" s="5" t="s">
        <v>53</v>
      </c>
      <c r="M103" s="23" t="s">
        <v>1309</v>
      </c>
      <c r="N103" s="24"/>
      <c r="O103" s="24"/>
      <c r="P103" s="24"/>
      <c r="Q103" s="17" t="s">
        <v>43</v>
      </c>
    </row>
    <row r="104" spans="2:17">
      <c r="B104" s="11" t="s">
        <v>55</v>
      </c>
      <c r="C104" s="5" t="str">
        <f t="shared" si="1"/>
        <v>RWH3AP06</v>
      </c>
      <c r="D104" s="6" t="s">
        <v>36</v>
      </c>
      <c r="E104" s="11" t="s">
        <v>47</v>
      </c>
      <c r="F104" s="11" t="s">
        <v>1308</v>
      </c>
      <c r="G104" s="11" t="s">
        <v>1315</v>
      </c>
      <c r="H104" s="18">
        <v>14.2</v>
      </c>
      <c r="I104" s="5" t="s">
        <v>52</v>
      </c>
      <c r="J104" s="19">
        <v>35</v>
      </c>
      <c r="K104" s="5" t="s">
        <v>49</v>
      </c>
      <c r="L104" s="5" t="s">
        <v>53</v>
      </c>
      <c r="M104" s="23" t="s">
        <v>1309</v>
      </c>
      <c r="N104" s="24"/>
      <c r="O104" s="24"/>
      <c r="P104" s="24"/>
      <c r="Q104" s="17" t="s">
        <v>43</v>
      </c>
    </row>
    <row r="105" spans="2:17">
      <c r="B105" s="11" t="s">
        <v>55</v>
      </c>
      <c r="C105" s="5" t="str">
        <f t="shared" si="1"/>
        <v>RWH3AP07</v>
      </c>
      <c r="D105" s="6" t="s">
        <v>36</v>
      </c>
      <c r="E105" s="11" t="s">
        <v>47</v>
      </c>
      <c r="F105" s="11" t="s">
        <v>1308</v>
      </c>
      <c r="G105" s="11" t="s">
        <v>1316</v>
      </c>
      <c r="H105" s="18">
        <v>14.2</v>
      </c>
      <c r="I105" s="5" t="s">
        <v>52</v>
      </c>
      <c r="J105" s="19">
        <v>35</v>
      </c>
      <c r="K105" s="5" t="s">
        <v>49</v>
      </c>
      <c r="L105" s="5" t="s">
        <v>53</v>
      </c>
      <c r="M105" s="23" t="s">
        <v>1309</v>
      </c>
      <c r="N105" s="24"/>
      <c r="O105" s="24"/>
      <c r="P105" s="24"/>
      <c r="Q105" s="17" t="s">
        <v>43</v>
      </c>
    </row>
    <row r="106" spans="2:17">
      <c r="B106" s="11" t="s">
        <v>55</v>
      </c>
      <c r="C106" s="5" t="str">
        <f t="shared" si="1"/>
        <v>RWH3AP08</v>
      </c>
      <c r="D106" s="6" t="s">
        <v>36</v>
      </c>
      <c r="E106" s="11" t="s">
        <v>47</v>
      </c>
      <c r="F106" s="11" t="s">
        <v>1308</v>
      </c>
      <c r="G106" s="11" t="s">
        <v>1317</v>
      </c>
      <c r="H106" s="18">
        <v>14.2</v>
      </c>
      <c r="I106" s="5" t="s">
        <v>52</v>
      </c>
      <c r="J106" s="19">
        <v>35</v>
      </c>
      <c r="K106" s="5" t="s">
        <v>49</v>
      </c>
      <c r="L106" s="5" t="s">
        <v>53</v>
      </c>
      <c r="M106" s="23" t="s">
        <v>1309</v>
      </c>
      <c r="N106" s="24"/>
      <c r="O106" s="24"/>
      <c r="P106" s="24"/>
      <c r="Q106" s="17" t="s">
        <v>43</v>
      </c>
    </row>
    <row r="107" spans="2:17">
      <c r="B107" s="11" t="s">
        <v>55</v>
      </c>
      <c r="C107" s="5" t="str">
        <f t="shared" si="1"/>
        <v>RWH3AP09</v>
      </c>
      <c r="D107" s="6" t="s">
        <v>36</v>
      </c>
      <c r="E107" s="11" t="s">
        <v>47</v>
      </c>
      <c r="F107" s="11" t="s">
        <v>1308</v>
      </c>
      <c r="G107" s="11" t="s">
        <v>1318</v>
      </c>
      <c r="H107" s="18">
        <v>14.2</v>
      </c>
      <c r="I107" s="5" t="s">
        <v>52</v>
      </c>
      <c r="J107" s="19">
        <v>35</v>
      </c>
      <c r="K107" s="5" t="s">
        <v>49</v>
      </c>
      <c r="L107" s="5" t="s">
        <v>53</v>
      </c>
      <c r="M107" s="23" t="s">
        <v>1309</v>
      </c>
      <c r="N107" s="24"/>
      <c r="O107" s="24"/>
      <c r="P107" s="24"/>
      <c r="Q107" s="17" t="s">
        <v>43</v>
      </c>
    </row>
    <row r="108" spans="2:17">
      <c r="B108" s="11" t="s">
        <v>55</v>
      </c>
      <c r="C108" s="5" t="str">
        <f t="shared" si="1"/>
        <v>RWH3AP10</v>
      </c>
      <c r="D108" s="6" t="s">
        <v>36</v>
      </c>
      <c r="E108" s="11" t="s">
        <v>47</v>
      </c>
      <c r="F108" s="11" t="s">
        <v>1308</v>
      </c>
      <c r="G108" s="11" t="s">
        <v>1319</v>
      </c>
      <c r="H108" s="18">
        <v>14.2</v>
      </c>
      <c r="I108" s="5" t="s">
        <v>52</v>
      </c>
      <c r="J108" s="19">
        <v>35</v>
      </c>
      <c r="K108" s="5" t="s">
        <v>49</v>
      </c>
      <c r="L108" s="5" t="s">
        <v>53</v>
      </c>
      <c r="M108" s="23" t="s">
        <v>1309</v>
      </c>
      <c r="N108" s="24"/>
      <c r="O108" s="24"/>
      <c r="P108" s="24"/>
      <c r="Q108" s="17" t="s">
        <v>43</v>
      </c>
    </row>
    <row r="109" spans="2:17">
      <c r="B109" s="11" t="s">
        <v>55</v>
      </c>
      <c r="C109" s="5" t="str">
        <f t="shared" si="1"/>
        <v>RWH3AP11</v>
      </c>
      <c r="D109" s="6" t="s">
        <v>36</v>
      </c>
      <c r="E109" s="11" t="s">
        <v>47</v>
      </c>
      <c r="F109" s="11" t="s">
        <v>1308</v>
      </c>
      <c r="G109" s="11" t="s">
        <v>1320</v>
      </c>
      <c r="H109" s="18">
        <v>14.2</v>
      </c>
      <c r="I109" s="5" t="s">
        <v>52</v>
      </c>
      <c r="J109" s="19">
        <v>35</v>
      </c>
      <c r="K109" s="5" t="s">
        <v>49</v>
      </c>
      <c r="L109" s="5" t="s">
        <v>53</v>
      </c>
      <c r="M109" s="23" t="s">
        <v>1309</v>
      </c>
      <c r="N109" s="24"/>
      <c r="O109" s="24"/>
      <c r="P109" s="24"/>
      <c r="Q109" s="17" t="s">
        <v>43</v>
      </c>
    </row>
    <row r="110" spans="2:17">
      <c r="B110" s="11" t="s">
        <v>55</v>
      </c>
      <c r="C110" s="5" t="str">
        <f t="shared" si="1"/>
        <v>RWH3AP12</v>
      </c>
      <c r="D110" s="6" t="s">
        <v>36</v>
      </c>
      <c r="E110" s="11" t="s">
        <v>47</v>
      </c>
      <c r="F110" s="11" t="s">
        <v>1308</v>
      </c>
      <c r="G110" s="11" t="s">
        <v>1321</v>
      </c>
      <c r="H110" s="18">
        <v>14.2</v>
      </c>
      <c r="I110" s="5" t="s">
        <v>52</v>
      </c>
      <c r="J110" s="19">
        <v>35</v>
      </c>
      <c r="K110" s="5" t="s">
        <v>49</v>
      </c>
      <c r="L110" s="5" t="s">
        <v>53</v>
      </c>
      <c r="M110" s="23" t="s">
        <v>1309</v>
      </c>
      <c r="N110" s="24"/>
      <c r="O110" s="24"/>
      <c r="P110" s="24"/>
      <c r="Q110" s="17" t="s">
        <v>43</v>
      </c>
    </row>
    <row r="111" spans="2:17">
      <c r="B111" s="11" t="s">
        <v>55</v>
      </c>
      <c r="C111" s="5" t="str">
        <f t="shared" si="1"/>
        <v>RWH3AP13</v>
      </c>
      <c r="D111" s="6" t="s">
        <v>36</v>
      </c>
      <c r="E111" s="11" t="s">
        <v>47</v>
      </c>
      <c r="F111" s="11" t="s">
        <v>1308</v>
      </c>
      <c r="G111" s="11" t="s">
        <v>1322</v>
      </c>
      <c r="H111" s="18">
        <v>14.2</v>
      </c>
      <c r="I111" s="5" t="s">
        <v>52</v>
      </c>
      <c r="J111" s="19">
        <v>35</v>
      </c>
      <c r="K111" s="5" t="s">
        <v>49</v>
      </c>
      <c r="L111" s="5" t="s">
        <v>53</v>
      </c>
      <c r="M111" s="23" t="s">
        <v>1309</v>
      </c>
      <c r="N111" s="24"/>
      <c r="O111" s="24"/>
      <c r="P111" s="24"/>
      <c r="Q111" s="17" t="s">
        <v>43</v>
      </c>
    </row>
    <row r="112" spans="2:17">
      <c r="B112" s="11" t="s">
        <v>55</v>
      </c>
      <c r="C112" s="5" t="str">
        <f t="shared" si="1"/>
        <v>RWH3AP14</v>
      </c>
      <c r="D112" s="6" t="s">
        <v>36</v>
      </c>
      <c r="E112" s="11" t="s">
        <v>47</v>
      </c>
      <c r="F112" s="11" t="s">
        <v>1308</v>
      </c>
      <c r="G112" s="11" t="s">
        <v>1323</v>
      </c>
      <c r="H112" s="18">
        <v>14.2</v>
      </c>
      <c r="I112" s="5" t="s">
        <v>52</v>
      </c>
      <c r="J112" s="19">
        <v>35</v>
      </c>
      <c r="K112" s="5" t="s">
        <v>49</v>
      </c>
      <c r="L112" s="5" t="s">
        <v>53</v>
      </c>
      <c r="M112" s="23" t="s">
        <v>1309</v>
      </c>
      <c r="N112" s="24"/>
      <c r="O112" s="24"/>
      <c r="P112" s="24"/>
      <c r="Q112" s="17" t="s">
        <v>43</v>
      </c>
    </row>
    <row r="113" spans="2:17">
      <c r="B113" s="11" t="s">
        <v>55</v>
      </c>
      <c r="C113" s="5" t="str">
        <f t="shared" si="1"/>
        <v>RWH3AP15</v>
      </c>
      <c r="D113" s="6" t="s">
        <v>36</v>
      </c>
      <c r="E113" s="11" t="s">
        <v>47</v>
      </c>
      <c r="F113" s="11" t="s">
        <v>1308</v>
      </c>
      <c r="G113" s="11" t="s">
        <v>1324</v>
      </c>
      <c r="H113" s="18">
        <v>14.2</v>
      </c>
      <c r="I113" s="5" t="s">
        <v>52</v>
      </c>
      <c r="J113" s="19">
        <v>35</v>
      </c>
      <c r="K113" s="5" t="s">
        <v>49</v>
      </c>
      <c r="L113" s="5" t="s">
        <v>53</v>
      </c>
      <c r="M113" s="23" t="s">
        <v>1309</v>
      </c>
      <c r="N113" s="24"/>
      <c r="O113" s="24"/>
      <c r="P113" s="24"/>
      <c r="Q113" s="17" t="s">
        <v>43</v>
      </c>
    </row>
    <row r="114" spans="2:17">
      <c r="B114" s="11" t="s">
        <v>55</v>
      </c>
      <c r="C114" s="5" t="str">
        <f t="shared" si="1"/>
        <v>RWH3AP16</v>
      </c>
      <c r="D114" s="6" t="s">
        <v>36</v>
      </c>
      <c r="E114" s="11" t="s">
        <v>47</v>
      </c>
      <c r="F114" s="11" t="s">
        <v>1308</v>
      </c>
      <c r="G114" s="11" t="s">
        <v>1325</v>
      </c>
      <c r="H114" s="18">
        <v>14.2</v>
      </c>
      <c r="I114" s="5" t="s">
        <v>52</v>
      </c>
      <c r="J114" s="19">
        <v>35</v>
      </c>
      <c r="K114" s="5" t="s">
        <v>49</v>
      </c>
      <c r="L114" s="5" t="s">
        <v>53</v>
      </c>
      <c r="M114" s="23" t="s">
        <v>1309</v>
      </c>
      <c r="N114" s="24"/>
      <c r="O114" s="24"/>
      <c r="P114" s="24"/>
      <c r="Q114" s="17" t="s">
        <v>43</v>
      </c>
    </row>
    <row r="115" spans="2:17">
      <c r="B115" s="11" t="s">
        <v>55</v>
      </c>
      <c r="C115" s="5" t="str">
        <f t="shared" si="1"/>
        <v>RWH3AP17</v>
      </c>
      <c r="D115" s="6" t="s">
        <v>36</v>
      </c>
      <c r="E115" s="11" t="s">
        <v>47</v>
      </c>
      <c r="F115" s="11" t="s">
        <v>1308</v>
      </c>
      <c r="G115" s="11" t="s">
        <v>1326</v>
      </c>
      <c r="H115" s="18">
        <v>14.2</v>
      </c>
      <c r="I115" s="5" t="s">
        <v>52</v>
      </c>
      <c r="J115" s="19">
        <v>35</v>
      </c>
      <c r="K115" s="5" t="s">
        <v>49</v>
      </c>
      <c r="L115" s="5" t="s">
        <v>53</v>
      </c>
      <c r="M115" s="23" t="s">
        <v>1309</v>
      </c>
      <c r="N115" s="24"/>
      <c r="O115" s="24"/>
      <c r="P115" s="24"/>
      <c r="Q115" s="17" t="s">
        <v>43</v>
      </c>
    </row>
    <row r="116" spans="2:17">
      <c r="B116" s="11" t="s">
        <v>55</v>
      </c>
      <c r="C116" s="5" t="str">
        <f t="shared" si="1"/>
        <v>RWH3AP18</v>
      </c>
      <c r="D116" s="6" t="s">
        <v>36</v>
      </c>
      <c r="E116" s="11" t="s">
        <v>47</v>
      </c>
      <c r="F116" s="11" t="s">
        <v>1308</v>
      </c>
      <c r="G116" s="11" t="s">
        <v>1327</v>
      </c>
      <c r="H116" s="18">
        <v>14.2</v>
      </c>
      <c r="I116" s="5" t="s">
        <v>52</v>
      </c>
      <c r="J116" s="19">
        <v>35</v>
      </c>
      <c r="K116" s="5" t="s">
        <v>49</v>
      </c>
      <c r="L116" s="5" t="s">
        <v>53</v>
      </c>
      <c r="M116" s="23" t="s">
        <v>1309</v>
      </c>
      <c r="N116" s="24"/>
      <c r="O116" s="24"/>
      <c r="P116" s="24"/>
      <c r="Q116" s="17" t="s">
        <v>43</v>
      </c>
    </row>
    <row r="117" spans="2:17">
      <c r="B117" s="11" t="s">
        <v>55</v>
      </c>
      <c r="C117" s="5" t="str">
        <f t="shared" si="1"/>
        <v>RWH3AP19</v>
      </c>
      <c r="D117" s="6" t="s">
        <v>36</v>
      </c>
      <c r="E117" s="11" t="s">
        <v>47</v>
      </c>
      <c r="F117" s="11" t="s">
        <v>1308</v>
      </c>
      <c r="G117" s="11" t="s">
        <v>1328</v>
      </c>
      <c r="H117" s="18">
        <v>14.2</v>
      </c>
      <c r="I117" s="5" t="s">
        <v>52</v>
      </c>
      <c r="J117" s="19">
        <v>35</v>
      </c>
      <c r="K117" s="5" t="s">
        <v>49</v>
      </c>
      <c r="L117" s="5" t="s">
        <v>53</v>
      </c>
      <c r="M117" s="23" t="s">
        <v>1309</v>
      </c>
      <c r="N117" s="24"/>
      <c r="O117" s="24"/>
      <c r="P117" s="24"/>
      <c r="Q117" s="17" t="s">
        <v>43</v>
      </c>
    </row>
    <row r="118" spans="2:17">
      <c r="B118" s="11" t="s">
        <v>55</v>
      </c>
      <c r="C118" s="5" t="str">
        <f t="shared" si="1"/>
        <v>RWH3AP20</v>
      </c>
      <c r="D118" s="6" t="s">
        <v>36</v>
      </c>
      <c r="E118" s="11" t="s">
        <v>47</v>
      </c>
      <c r="F118" s="11" t="s">
        <v>1308</v>
      </c>
      <c r="G118" s="11" t="s">
        <v>1329</v>
      </c>
      <c r="H118" s="18">
        <v>14.2</v>
      </c>
      <c r="I118" s="5" t="s">
        <v>52</v>
      </c>
      <c r="J118" s="19">
        <v>35</v>
      </c>
      <c r="K118" s="5" t="s">
        <v>49</v>
      </c>
      <c r="L118" s="5" t="s">
        <v>53</v>
      </c>
      <c r="M118" s="23" t="s">
        <v>1309</v>
      </c>
      <c r="N118" s="24"/>
      <c r="O118" s="24"/>
      <c r="P118" s="24"/>
      <c r="Q118" s="17" t="s">
        <v>43</v>
      </c>
    </row>
    <row r="119" spans="2:17">
      <c r="C119" s="5" t="str">
        <f t="shared" si="1"/>
        <v/>
      </c>
    </row>
    <row r="120" spans="2:17">
      <c r="C120" s="5" t="str">
        <f t="shared" si="1"/>
        <v/>
      </c>
    </row>
    <row r="121" spans="2:17">
      <c r="B121" s="11" t="s">
        <v>50</v>
      </c>
      <c r="C121" s="5" t="str">
        <f t="shared" si="1"/>
        <v>RWH3B</v>
      </c>
      <c r="D121" s="6" t="s">
        <v>36</v>
      </c>
      <c r="E121" s="11" t="s">
        <v>47</v>
      </c>
      <c r="F121" s="11" t="s">
        <v>1330</v>
      </c>
      <c r="G121" s="11"/>
      <c r="H121" s="18">
        <v>284</v>
      </c>
      <c r="I121" s="5" t="s">
        <v>52</v>
      </c>
      <c r="J121" s="19">
        <v>600</v>
      </c>
      <c r="K121" s="5" t="s">
        <v>49</v>
      </c>
      <c r="L121" s="5" t="s">
        <v>53</v>
      </c>
      <c r="M121" s="23" t="s">
        <v>1331</v>
      </c>
      <c r="N121" s="24">
        <v>5500</v>
      </c>
      <c r="O121" s="24">
        <v>4</v>
      </c>
      <c r="P121" s="24">
        <v>3</v>
      </c>
      <c r="Q121" s="17" t="s">
        <v>43</v>
      </c>
    </row>
    <row r="122" spans="2:17">
      <c r="B122" s="11" t="s">
        <v>55</v>
      </c>
      <c r="C122" s="5" t="str">
        <f t="shared" si="1"/>
        <v>RWH3BP01</v>
      </c>
      <c r="D122" s="6" t="s">
        <v>36</v>
      </c>
      <c r="E122" s="11" t="s">
        <v>47</v>
      </c>
      <c r="F122" s="11" t="s">
        <v>1330</v>
      </c>
      <c r="G122" s="11" t="s">
        <v>1332</v>
      </c>
      <c r="H122" s="18">
        <v>14.2</v>
      </c>
      <c r="I122" s="5" t="s">
        <v>52</v>
      </c>
      <c r="J122" s="19">
        <v>35</v>
      </c>
      <c r="K122" s="5" t="s">
        <v>49</v>
      </c>
      <c r="L122" s="5" t="s">
        <v>53</v>
      </c>
      <c r="M122" s="23" t="s">
        <v>1331</v>
      </c>
      <c r="N122" s="24"/>
      <c r="O122" s="24"/>
      <c r="P122" s="24"/>
      <c r="Q122" s="17" t="s">
        <v>43</v>
      </c>
    </row>
    <row r="123" spans="2:17">
      <c r="B123" s="11" t="s">
        <v>55</v>
      </c>
      <c r="C123" s="5" t="str">
        <f t="shared" si="1"/>
        <v>RWH3BP02</v>
      </c>
      <c r="D123" s="6" t="s">
        <v>36</v>
      </c>
      <c r="E123" s="11" t="s">
        <v>47</v>
      </c>
      <c r="F123" s="11" t="s">
        <v>1330</v>
      </c>
      <c r="G123" s="11" t="s">
        <v>1333</v>
      </c>
      <c r="H123" s="18">
        <v>14.2</v>
      </c>
      <c r="I123" s="5" t="s">
        <v>52</v>
      </c>
      <c r="J123" s="19">
        <v>35</v>
      </c>
      <c r="K123" s="5" t="s">
        <v>49</v>
      </c>
      <c r="L123" s="5" t="s">
        <v>53</v>
      </c>
      <c r="M123" s="23" t="s">
        <v>1331</v>
      </c>
      <c r="N123" s="24"/>
      <c r="O123" s="24"/>
      <c r="P123" s="24"/>
      <c r="Q123" s="17" t="s">
        <v>43</v>
      </c>
    </row>
    <row r="124" spans="2:17">
      <c r="B124" s="11" t="s">
        <v>55</v>
      </c>
      <c r="C124" s="5" t="str">
        <f t="shared" si="1"/>
        <v>RWH3BP03</v>
      </c>
      <c r="D124" s="6" t="s">
        <v>36</v>
      </c>
      <c r="E124" s="11" t="s">
        <v>47</v>
      </c>
      <c r="F124" s="11" t="s">
        <v>1330</v>
      </c>
      <c r="G124" s="11" t="s">
        <v>1334</v>
      </c>
      <c r="H124" s="18">
        <v>14.2</v>
      </c>
      <c r="I124" s="5" t="s">
        <v>52</v>
      </c>
      <c r="J124" s="19">
        <v>35</v>
      </c>
      <c r="K124" s="5" t="s">
        <v>49</v>
      </c>
      <c r="L124" s="5" t="s">
        <v>53</v>
      </c>
      <c r="M124" s="23" t="s">
        <v>1331</v>
      </c>
      <c r="N124" s="24"/>
      <c r="O124" s="24"/>
      <c r="P124" s="24"/>
      <c r="Q124" s="17" t="s">
        <v>43</v>
      </c>
    </row>
    <row r="125" spans="2:17">
      <c r="B125" s="11" t="s">
        <v>55</v>
      </c>
      <c r="C125" s="5" t="str">
        <f t="shared" si="1"/>
        <v>RWH3BP04</v>
      </c>
      <c r="D125" s="6" t="s">
        <v>36</v>
      </c>
      <c r="E125" s="11" t="s">
        <v>47</v>
      </c>
      <c r="F125" s="11" t="s">
        <v>1330</v>
      </c>
      <c r="G125" s="11" t="s">
        <v>1335</v>
      </c>
      <c r="H125" s="18">
        <v>14.2</v>
      </c>
      <c r="I125" s="5" t="s">
        <v>52</v>
      </c>
      <c r="J125" s="19">
        <v>35</v>
      </c>
      <c r="K125" s="5" t="s">
        <v>49</v>
      </c>
      <c r="L125" s="5" t="s">
        <v>53</v>
      </c>
      <c r="M125" s="23" t="s">
        <v>1331</v>
      </c>
      <c r="N125" s="24"/>
      <c r="O125" s="24"/>
      <c r="P125" s="24"/>
      <c r="Q125" s="17" t="s">
        <v>43</v>
      </c>
    </row>
    <row r="126" spans="2:17">
      <c r="B126" s="11" t="s">
        <v>55</v>
      </c>
      <c r="C126" s="5" t="str">
        <f t="shared" si="1"/>
        <v>RWH3BP05</v>
      </c>
      <c r="D126" s="6" t="s">
        <v>36</v>
      </c>
      <c r="E126" s="11" t="s">
        <v>47</v>
      </c>
      <c r="F126" s="11" t="s">
        <v>1330</v>
      </c>
      <c r="G126" s="11" t="s">
        <v>1336</v>
      </c>
      <c r="H126" s="18">
        <v>14.2</v>
      </c>
      <c r="I126" s="5" t="s">
        <v>52</v>
      </c>
      <c r="J126" s="19">
        <v>35</v>
      </c>
      <c r="K126" s="5" t="s">
        <v>49</v>
      </c>
      <c r="L126" s="5" t="s">
        <v>53</v>
      </c>
      <c r="M126" s="23" t="s">
        <v>1331</v>
      </c>
      <c r="N126" s="24"/>
      <c r="O126" s="24"/>
      <c r="P126" s="24"/>
      <c r="Q126" s="17" t="s">
        <v>43</v>
      </c>
    </row>
    <row r="127" spans="2:17">
      <c r="B127" s="11" t="s">
        <v>55</v>
      </c>
      <c r="C127" s="5" t="str">
        <f t="shared" si="1"/>
        <v>RWH3BP06</v>
      </c>
      <c r="D127" s="6" t="s">
        <v>36</v>
      </c>
      <c r="E127" s="11" t="s">
        <v>47</v>
      </c>
      <c r="F127" s="11" t="s">
        <v>1330</v>
      </c>
      <c r="G127" s="11" t="s">
        <v>1337</v>
      </c>
      <c r="H127" s="18">
        <v>14.2</v>
      </c>
      <c r="I127" s="5" t="s">
        <v>52</v>
      </c>
      <c r="J127" s="19">
        <v>35</v>
      </c>
      <c r="K127" s="5" t="s">
        <v>49</v>
      </c>
      <c r="L127" s="5" t="s">
        <v>53</v>
      </c>
      <c r="M127" s="23" t="s">
        <v>1331</v>
      </c>
      <c r="N127" s="24"/>
      <c r="O127" s="24"/>
      <c r="P127" s="24"/>
      <c r="Q127" s="17" t="s">
        <v>43</v>
      </c>
    </row>
    <row r="128" spans="2:17">
      <c r="B128" s="11" t="s">
        <v>55</v>
      </c>
      <c r="C128" s="5" t="str">
        <f t="shared" si="1"/>
        <v>RWH3BP07</v>
      </c>
      <c r="D128" s="6" t="s">
        <v>36</v>
      </c>
      <c r="E128" s="11" t="s">
        <v>47</v>
      </c>
      <c r="F128" s="11" t="s">
        <v>1330</v>
      </c>
      <c r="G128" s="11" t="s">
        <v>1338</v>
      </c>
      <c r="H128" s="18">
        <v>14.2</v>
      </c>
      <c r="I128" s="5" t="s">
        <v>52</v>
      </c>
      <c r="J128" s="19">
        <v>35</v>
      </c>
      <c r="K128" s="5" t="s">
        <v>49</v>
      </c>
      <c r="L128" s="5" t="s">
        <v>53</v>
      </c>
      <c r="M128" s="23" t="s">
        <v>1331</v>
      </c>
      <c r="N128" s="24"/>
      <c r="O128" s="24"/>
      <c r="P128" s="24"/>
      <c r="Q128" s="17" t="s">
        <v>43</v>
      </c>
    </row>
    <row r="129" spans="2:17">
      <c r="B129" s="11" t="s">
        <v>55</v>
      </c>
      <c r="C129" s="5" t="str">
        <f t="shared" si="1"/>
        <v>RWH3BP08</v>
      </c>
      <c r="D129" s="6" t="s">
        <v>36</v>
      </c>
      <c r="E129" s="11" t="s">
        <v>47</v>
      </c>
      <c r="F129" s="11" t="s">
        <v>1330</v>
      </c>
      <c r="G129" s="11" t="s">
        <v>1339</v>
      </c>
      <c r="H129" s="18">
        <v>14.2</v>
      </c>
      <c r="I129" s="5" t="s">
        <v>52</v>
      </c>
      <c r="J129" s="19">
        <v>35</v>
      </c>
      <c r="K129" s="5" t="s">
        <v>49</v>
      </c>
      <c r="L129" s="5" t="s">
        <v>53</v>
      </c>
      <c r="M129" s="23" t="s">
        <v>1331</v>
      </c>
      <c r="N129" s="24"/>
      <c r="O129" s="24"/>
      <c r="P129" s="24"/>
      <c r="Q129" s="17" t="s">
        <v>43</v>
      </c>
    </row>
    <row r="130" spans="2:17">
      <c r="B130" s="11" t="s">
        <v>55</v>
      </c>
      <c r="C130" s="5" t="str">
        <f t="shared" si="1"/>
        <v>RWH3BP09</v>
      </c>
      <c r="D130" s="6" t="s">
        <v>36</v>
      </c>
      <c r="E130" s="11" t="s">
        <v>47</v>
      </c>
      <c r="F130" s="11" t="s">
        <v>1330</v>
      </c>
      <c r="G130" s="11" t="s">
        <v>1340</v>
      </c>
      <c r="H130" s="18">
        <v>14.2</v>
      </c>
      <c r="I130" s="5" t="s">
        <v>52</v>
      </c>
      <c r="J130" s="19">
        <v>35</v>
      </c>
      <c r="K130" s="5" t="s">
        <v>49</v>
      </c>
      <c r="L130" s="5" t="s">
        <v>53</v>
      </c>
      <c r="M130" s="23" t="s">
        <v>1331</v>
      </c>
      <c r="N130" s="24"/>
      <c r="O130" s="24"/>
      <c r="P130" s="24"/>
      <c r="Q130" s="17" t="s">
        <v>43</v>
      </c>
    </row>
    <row r="131" spans="2:17">
      <c r="B131" s="11" t="s">
        <v>55</v>
      </c>
      <c r="C131" s="5" t="str">
        <f t="shared" si="1"/>
        <v>RWH3BP10</v>
      </c>
      <c r="D131" s="6" t="s">
        <v>36</v>
      </c>
      <c r="E131" s="11" t="s">
        <v>47</v>
      </c>
      <c r="F131" s="11" t="s">
        <v>1330</v>
      </c>
      <c r="G131" s="11" t="s">
        <v>1341</v>
      </c>
      <c r="H131" s="18">
        <v>14.2</v>
      </c>
      <c r="I131" s="5" t="s">
        <v>52</v>
      </c>
      <c r="J131" s="19">
        <v>35</v>
      </c>
      <c r="K131" s="5" t="s">
        <v>49</v>
      </c>
      <c r="L131" s="5" t="s">
        <v>53</v>
      </c>
      <c r="M131" s="23" t="s">
        <v>1331</v>
      </c>
      <c r="N131" s="24"/>
      <c r="O131" s="24"/>
      <c r="P131" s="24"/>
      <c r="Q131" s="17" t="s">
        <v>43</v>
      </c>
    </row>
    <row r="132" spans="2:17">
      <c r="B132" s="11" t="s">
        <v>55</v>
      </c>
      <c r="C132" s="5" t="str">
        <f t="shared" si="1"/>
        <v>RWH3BP11</v>
      </c>
      <c r="D132" s="6" t="s">
        <v>36</v>
      </c>
      <c r="E132" s="11" t="s">
        <v>47</v>
      </c>
      <c r="F132" s="11" t="s">
        <v>1330</v>
      </c>
      <c r="G132" s="11" t="s">
        <v>1342</v>
      </c>
      <c r="H132" s="18">
        <v>14.2</v>
      </c>
      <c r="I132" s="5" t="s">
        <v>52</v>
      </c>
      <c r="J132" s="19">
        <v>35</v>
      </c>
      <c r="K132" s="5" t="s">
        <v>49</v>
      </c>
      <c r="L132" s="5" t="s">
        <v>53</v>
      </c>
      <c r="M132" s="23" t="s">
        <v>1331</v>
      </c>
      <c r="N132" s="24"/>
      <c r="O132" s="24"/>
      <c r="P132" s="24"/>
      <c r="Q132" s="17" t="s">
        <v>43</v>
      </c>
    </row>
    <row r="133" spans="2:17">
      <c r="B133" s="11" t="s">
        <v>55</v>
      </c>
      <c r="C133" s="5" t="str">
        <f t="shared" si="1"/>
        <v>RWH3BP12</v>
      </c>
      <c r="D133" s="6" t="s">
        <v>36</v>
      </c>
      <c r="E133" s="11" t="s">
        <v>47</v>
      </c>
      <c r="F133" s="11" t="s">
        <v>1330</v>
      </c>
      <c r="G133" s="11" t="s">
        <v>1343</v>
      </c>
      <c r="H133" s="18">
        <v>14.2</v>
      </c>
      <c r="I133" s="5" t="s">
        <v>52</v>
      </c>
      <c r="J133" s="19">
        <v>35</v>
      </c>
      <c r="K133" s="5" t="s">
        <v>49</v>
      </c>
      <c r="L133" s="5" t="s">
        <v>53</v>
      </c>
      <c r="M133" s="23" t="s">
        <v>1331</v>
      </c>
      <c r="N133" s="24"/>
      <c r="O133" s="24"/>
      <c r="P133" s="24"/>
      <c r="Q133" s="17" t="s">
        <v>43</v>
      </c>
    </row>
    <row r="134" spans="2:17">
      <c r="B134" s="11" t="s">
        <v>55</v>
      </c>
      <c r="C134" s="5" t="str">
        <f t="shared" si="1"/>
        <v>RWH3BP13</v>
      </c>
      <c r="D134" s="6" t="s">
        <v>36</v>
      </c>
      <c r="E134" s="11" t="s">
        <v>47</v>
      </c>
      <c r="F134" s="11" t="s">
        <v>1330</v>
      </c>
      <c r="G134" s="11" t="s">
        <v>1344</v>
      </c>
      <c r="H134" s="18">
        <v>14.2</v>
      </c>
      <c r="I134" s="5" t="s">
        <v>52</v>
      </c>
      <c r="J134" s="19">
        <v>35</v>
      </c>
      <c r="K134" s="5" t="s">
        <v>49</v>
      </c>
      <c r="L134" s="5" t="s">
        <v>53</v>
      </c>
      <c r="M134" s="23" t="s">
        <v>1331</v>
      </c>
      <c r="N134" s="24"/>
      <c r="O134" s="24"/>
      <c r="P134" s="24"/>
      <c r="Q134" s="17" t="s">
        <v>43</v>
      </c>
    </row>
    <row r="135" spans="2:17">
      <c r="B135" s="11" t="s">
        <v>55</v>
      </c>
      <c r="C135" s="5" t="str">
        <f t="shared" ref="C135:C141" si="2">IF(E135="","",IF(G135&lt;&gt;"",SUBSTITUTE(SUBSTITUTE(SUBSTITUTE(G135," ",""),"-",""),"N",""),IF(F135&lt;&gt;"",SUBSTITUTE(SUBSTITUTE(SUBSTITUTE(F135," ",""),"-",""),"N",""),"")))</f>
        <v>RWH3BP14</v>
      </c>
      <c r="D135" s="6" t="s">
        <v>36</v>
      </c>
      <c r="E135" s="11" t="s">
        <v>47</v>
      </c>
      <c r="F135" s="11" t="s">
        <v>1330</v>
      </c>
      <c r="G135" s="11" t="s">
        <v>1345</v>
      </c>
      <c r="H135" s="18">
        <v>14.2</v>
      </c>
      <c r="I135" s="5" t="s">
        <v>52</v>
      </c>
      <c r="J135" s="19">
        <v>35</v>
      </c>
      <c r="K135" s="5" t="s">
        <v>49</v>
      </c>
      <c r="L135" s="5" t="s">
        <v>53</v>
      </c>
      <c r="M135" s="23" t="s">
        <v>1331</v>
      </c>
      <c r="N135" s="24"/>
      <c r="O135" s="24"/>
      <c r="P135" s="24"/>
      <c r="Q135" s="17" t="s">
        <v>43</v>
      </c>
    </row>
    <row r="136" spans="2:17">
      <c r="B136" s="11" t="s">
        <v>55</v>
      </c>
      <c r="C136" s="5" t="str">
        <f t="shared" si="2"/>
        <v>RWH3BP15</v>
      </c>
      <c r="D136" s="6" t="s">
        <v>36</v>
      </c>
      <c r="E136" s="11" t="s">
        <v>47</v>
      </c>
      <c r="F136" s="11" t="s">
        <v>1330</v>
      </c>
      <c r="G136" s="11" t="s">
        <v>1346</v>
      </c>
      <c r="H136" s="18">
        <v>14.2</v>
      </c>
      <c r="I136" s="5" t="s">
        <v>52</v>
      </c>
      <c r="J136" s="19">
        <v>35</v>
      </c>
      <c r="K136" s="5" t="s">
        <v>49</v>
      </c>
      <c r="L136" s="5" t="s">
        <v>53</v>
      </c>
      <c r="M136" s="23" t="s">
        <v>1331</v>
      </c>
      <c r="N136" s="24"/>
      <c r="O136" s="24"/>
      <c r="P136" s="24"/>
      <c r="Q136" s="17" t="s">
        <v>43</v>
      </c>
    </row>
    <row r="137" spans="2:17">
      <c r="B137" s="11" t="s">
        <v>55</v>
      </c>
      <c r="C137" s="5" t="str">
        <f t="shared" si="2"/>
        <v>RWH3BP16</v>
      </c>
      <c r="D137" s="6" t="s">
        <v>36</v>
      </c>
      <c r="E137" s="11" t="s">
        <v>47</v>
      </c>
      <c r="F137" s="11" t="s">
        <v>1330</v>
      </c>
      <c r="G137" s="11" t="s">
        <v>1347</v>
      </c>
      <c r="H137" s="18">
        <v>14.2</v>
      </c>
      <c r="I137" s="5" t="s">
        <v>52</v>
      </c>
      <c r="J137" s="19">
        <v>35</v>
      </c>
      <c r="K137" s="5" t="s">
        <v>49</v>
      </c>
      <c r="L137" s="5" t="s">
        <v>53</v>
      </c>
      <c r="M137" s="23" t="s">
        <v>1331</v>
      </c>
      <c r="N137" s="24"/>
      <c r="O137" s="24"/>
      <c r="P137" s="24"/>
      <c r="Q137" s="17" t="s">
        <v>43</v>
      </c>
    </row>
    <row r="138" spans="2:17">
      <c r="B138" s="11" t="s">
        <v>55</v>
      </c>
      <c r="C138" s="5" t="str">
        <f t="shared" si="2"/>
        <v>RWH3BP17</v>
      </c>
      <c r="D138" s="6" t="s">
        <v>36</v>
      </c>
      <c r="E138" s="11" t="s">
        <v>47</v>
      </c>
      <c r="F138" s="11" t="s">
        <v>1330</v>
      </c>
      <c r="G138" s="11" t="s">
        <v>1348</v>
      </c>
      <c r="H138" s="18">
        <v>14.2</v>
      </c>
      <c r="I138" s="5" t="s">
        <v>52</v>
      </c>
      <c r="J138" s="19">
        <v>35</v>
      </c>
      <c r="K138" s="5" t="s">
        <v>49</v>
      </c>
      <c r="L138" s="5" t="s">
        <v>53</v>
      </c>
      <c r="M138" s="23" t="s">
        <v>1331</v>
      </c>
      <c r="N138" s="24"/>
      <c r="O138" s="24"/>
      <c r="P138" s="24"/>
      <c r="Q138" s="17" t="s">
        <v>43</v>
      </c>
    </row>
    <row r="139" spans="2:17">
      <c r="B139" s="11" t="s">
        <v>55</v>
      </c>
      <c r="C139" s="5" t="str">
        <f t="shared" si="2"/>
        <v>RWH3BP18</v>
      </c>
      <c r="D139" s="6" t="s">
        <v>36</v>
      </c>
      <c r="E139" s="11" t="s">
        <v>47</v>
      </c>
      <c r="F139" s="11" t="s">
        <v>1330</v>
      </c>
      <c r="G139" s="11" t="s">
        <v>1349</v>
      </c>
      <c r="H139" s="18">
        <v>14.2</v>
      </c>
      <c r="I139" s="5" t="s">
        <v>52</v>
      </c>
      <c r="J139" s="19">
        <v>35</v>
      </c>
      <c r="K139" s="5" t="s">
        <v>49</v>
      </c>
      <c r="L139" s="5" t="s">
        <v>53</v>
      </c>
      <c r="M139" s="23" t="s">
        <v>1331</v>
      </c>
      <c r="N139" s="24"/>
      <c r="O139" s="24"/>
      <c r="P139" s="24"/>
      <c r="Q139" s="17" t="s">
        <v>43</v>
      </c>
    </row>
    <row r="140" spans="2:17">
      <c r="B140" s="11" t="s">
        <v>55</v>
      </c>
      <c r="C140" s="5" t="str">
        <f t="shared" si="2"/>
        <v>RWH3BP19</v>
      </c>
      <c r="D140" s="6" t="s">
        <v>36</v>
      </c>
      <c r="E140" s="11" t="s">
        <v>47</v>
      </c>
      <c r="F140" s="11" t="s">
        <v>1330</v>
      </c>
      <c r="G140" s="11" t="s">
        <v>1350</v>
      </c>
      <c r="H140" s="18">
        <v>14.2</v>
      </c>
      <c r="I140" s="5" t="s">
        <v>52</v>
      </c>
      <c r="J140" s="19">
        <v>35</v>
      </c>
      <c r="K140" s="5" t="s">
        <v>49</v>
      </c>
      <c r="L140" s="5" t="s">
        <v>53</v>
      </c>
      <c r="M140" s="23" t="s">
        <v>1331</v>
      </c>
      <c r="N140" s="24"/>
      <c r="O140" s="24"/>
      <c r="P140" s="24"/>
      <c r="Q140" s="17" t="s">
        <v>43</v>
      </c>
    </row>
    <row r="141" spans="2:17">
      <c r="B141" s="11" t="s">
        <v>55</v>
      </c>
      <c r="C141" s="5" t="str">
        <f t="shared" si="2"/>
        <v>RWH3BP20</v>
      </c>
      <c r="D141" s="6" t="s">
        <v>36</v>
      </c>
      <c r="E141" s="11" t="s">
        <v>47</v>
      </c>
      <c r="F141" s="11" t="s">
        <v>1330</v>
      </c>
      <c r="G141" s="11" t="s">
        <v>1351</v>
      </c>
      <c r="H141" s="18">
        <v>14.2</v>
      </c>
      <c r="I141" s="5" t="s">
        <v>52</v>
      </c>
      <c r="J141" s="19">
        <v>35</v>
      </c>
      <c r="K141" s="5" t="s">
        <v>49</v>
      </c>
      <c r="L141" s="5" t="s">
        <v>53</v>
      </c>
      <c r="M141" s="23" t="s">
        <v>1331</v>
      </c>
      <c r="N141" s="24"/>
      <c r="O141" s="24"/>
      <c r="P141" s="24"/>
      <c r="Q141" s="17" t="s">
        <v>43</v>
      </c>
    </row>
  </sheetData>
  <mergeCells count="18">
    <mergeCell ref="N6:N26"/>
    <mergeCell ref="O6:O26"/>
    <mergeCell ref="P6:P26"/>
    <mergeCell ref="N29:N49"/>
    <mergeCell ref="O29:O49"/>
    <mergeCell ref="P29:P49"/>
    <mergeCell ref="N52:N72"/>
    <mergeCell ref="O52:O72"/>
    <mergeCell ref="P52:P72"/>
    <mergeCell ref="N75:N95"/>
    <mergeCell ref="O75:O95"/>
    <mergeCell ref="P75:P95"/>
    <mergeCell ref="N98:N118"/>
    <mergeCell ref="O98:O118"/>
    <mergeCell ref="P98:P118"/>
    <mergeCell ref="N121:N141"/>
    <mergeCell ref="O121:O141"/>
    <mergeCell ref="P121:P141"/>
  </mergeCells>
  <dataValidations count="3">
    <dataValidation type="list" allowBlank="1" showInputMessage="1" showErrorMessage="1" sqref="M5 L5:L50 L52:L72 L75:L95 L98:L118 L121:L141" xr:uid="{006D0275-BCA2-4E81-85EE-FBF94BB9FED6}">
      <formula1>"STORE, SILO"</formula1>
    </dataValidation>
    <dataValidation type="list" allowBlank="1" showInputMessage="1" showErrorMessage="1" sqref="B5:B50 B52:B72 B75:B95 B98:B118 B121:B141" xr:uid="{BA7C3471-C867-4332-A5CC-B4FCAC7D5D27}">
      <formula1>"MAIN FARM, SHED/HOUSE, PEN, CAGE, STORE, QUARANTINE, SILO"</formula1>
    </dataValidation>
    <dataValidation type="list" allowBlank="1" showInputMessage="1" showErrorMessage="1" sqref="I5:I50 I52:I72 I75:I95 I98:I118 I121:I141" xr:uid="{37860FA5-5065-4190-8A30-D5E37BC85FE3}">
      <formula1>"M2-Square Meter, FT2-Square Foot, YD2- Square Yard, ACRE, HECTARE"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63F9-9E77-4DB6-9970-FD343D7E6F55}">
  <dimension ref="A1:Q263"/>
  <sheetViews>
    <sheetView workbookViewId="0">
      <selection activeCell="C264" sqref="C264"/>
    </sheetView>
  </sheetViews>
  <sheetFormatPr defaultColWidth="53.28515625" defaultRowHeight="12"/>
  <cols>
    <col min="1" max="1" width="12.42578125" style="5" bestFit="1" customWidth="1"/>
    <col min="2" max="2" width="16.140625" style="5" bestFit="1" customWidth="1"/>
    <col min="3" max="3" width="29.85546875" style="5" bestFit="1" customWidth="1"/>
    <col min="4" max="4" width="15.42578125" style="5" customWidth="1"/>
    <col min="5" max="5" width="40" style="5" bestFit="1" customWidth="1"/>
    <col min="6" max="6" width="13.7109375" style="5" customWidth="1"/>
    <col min="7" max="7" width="12" style="5" bestFit="1" customWidth="1"/>
    <col min="8" max="8" width="11.42578125" style="5" bestFit="1" customWidth="1"/>
    <col min="9" max="9" width="18.28515625" style="5" customWidth="1"/>
    <col min="10" max="10" width="17.85546875" style="5" customWidth="1"/>
    <col min="11" max="11" width="21.28515625" style="5" customWidth="1"/>
    <col min="12" max="12" width="13.85546875" style="5" bestFit="1" customWidth="1"/>
    <col min="13" max="13" width="13.85546875" style="5" customWidth="1"/>
    <col min="14" max="16" width="24.140625" style="5" customWidth="1"/>
    <col min="17" max="17" width="20.42578125" style="5" customWidth="1"/>
    <col min="18" max="16384" width="53.28515625" style="5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5" t="s">
        <v>15</v>
      </c>
    </row>
    <row r="2" spans="1:17" ht="48">
      <c r="A2" s="1" t="s">
        <v>16</v>
      </c>
      <c r="B2" s="6" t="s">
        <v>17</v>
      </c>
      <c r="C2" s="7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8" t="s">
        <v>24</v>
      </c>
      <c r="J2" s="6" t="s">
        <v>25</v>
      </c>
      <c r="K2" s="8" t="s">
        <v>26</v>
      </c>
      <c r="L2" s="9" t="s">
        <v>27</v>
      </c>
      <c r="M2" s="9" t="s">
        <v>28</v>
      </c>
      <c r="N2" s="7" t="s">
        <v>29</v>
      </c>
      <c r="O2" s="6" t="s">
        <v>30</v>
      </c>
      <c r="P2" s="7" t="s">
        <v>31</v>
      </c>
      <c r="Q2" s="10" t="s">
        <v>32</v>
      </c>
    </row>
    <row r="3" spans="1:17">
      <c r="A3" s="1" t="s">
        <v>33</v>
      </c>
      <c r="B3" s="6" t="s">
        <v>34</v>
      </c>
      <c r="C3" s="7" t="s">
        <v>35</v>
      </c>
      <c r="D3" s="6" t="s">
        <v>36</v>
      </c>
      <c r="E3" s="6" t="s">
        <v>37</v>
      </c>
      <c r="F3" s="11" t="s">
        <v>38</v>
      </c>
      <c r="G3" s="11" t="s">
        <v>39</v>
      </c>
      <c r="H3" s="6">
        <v>0.5</v>
      </c>
      <c r="I3" s="8" t="s">
        <v>40</v>
      </c>
      <c r="J3" s="6">
        <v>10000</v>
      </c>
      <c r="K3" s="8" t="s">
        <v>41</v>
      </c>
      <c r="N3" s="12">
        <v>2000</v>
      </c>
      <c r="O3" s="13">
        <v>3</v>
      </c>
      <c r="P3" s="12">
        <v>14</v>
      </c>
    </row>
    <row r="4" spans="1:17">
      <c r="A4" s="1" t="s">
        <v>42</v>
      </c>
      <c r="B4" s="14" t="s">
        <v>43</v>
      </c>
      <c r="C4" s="15" t="s">
        <v>43</v>
      </c>
      <c r="D4" s="14"/>
      <c r="E4" s="14" t="s">
        <v>43</v>
      </c>
      <c r="F4" s="14"/>
      <c r="G4" s="14"/>
      <c r="H4" s="13" t="s">
        <v>44</v>
      </c>
      <c r="I4" s="16" t="s">
        <v>44</v>
      </c>
      <c r="J4" s="13" t="s">
        <v>43</v>
      </c>
      <c r="K4" s="16" t="s">
        <v>43</v>
      </c>
      <c r="N4" s="12" t="s">
        <v>43</v>
      </c>
      <c r="O4" s="13" t="s">
        <v>43</v>
      </c>
      <c r="P4" s="12" t="s">
        <v>44</v>
      </c>
      <c r="Q4" s="17" t="s">
        <v>43</v>
      </c>
    </row>
    <row r="5" spans="1:17">
      <c r="A5" s="11"/>
      <c r="B5" s="11"/>
      <c r="C5" s="11"/>
      <c r="D5" s="11"/>
      <c r="E5" s="11"/>
      <c r="F5" s="11"/>
      <c r="G5" s="11"/>
    </row>
    <row r="6" spans="1:17">
      <c r="B6" s="11" t="s">
        <v>50</v>
      </c>
      <c r="C6" s="5" t="str">
        <f>IF(E6="","",IF(G6&lt;&gt;"",SUBSTITUTE(SUBSTITUTE(G6," ",""),"-",""),IF(F6&lt;&gt;"",SUBSTITUTE(SUBSTITUTE(F6," ",""),"-",""),"")))</f>
        <v>RFH01</v>
      </c>
      <c r="D6" s="6" t="s">
        <v>36</v>
      </c>
      <c r="E6" s="11" t="s">
        <v>47</v>
      </c>
      <c r="F6" s="11" t="s">
        <v>1352</v>
      </c>
      <c r="G6" s="11"/>
      <c r="H6" s="18">
        <v>376.92</v>
      </c>
      <c r="I6" s="5" t="s">
        <v>52</v>
      </c>
      <c r="J6" s="19">
        <v>54</v>
      </c>
      <c r="K6" s="5" t="s">
        <v>49</v>
      </c>
      <c r="L6" s="5" t="s">
        <v>53</v>
      </c>
      <c r="M6" s="23" t="s">
        <v>1353</v>
      </c>
      <c r="N6" s="25">
        <v>11000</v>
      </c>
      <c r="O6" s="25">
        <v>20</v>
      </c>
      <c r="P6" s="25">
        <v>1</v>
      </c>
      <c r="Q6" s="17" t="s">
        <v>43</v>
      </c>
    </row>
    <row r="7" spans="1:17">
      <c r="B7" s="11" t="s">
        <v>55</v>
      </c>
      <c r="C7" s="5" t="str">
        <f t="shared" ref="C7:C70" si="0">IF(E7="","",IF(G7&lt;&gt;"",SUBSTITUTE(SUBSTITUTE(G7," ",""),"-",""),IF(F7&lt;&gt;"",SUBSTITUTE(SUBSTITUTE(F7," ",""),"-",""),"")))</f>
        <v>RFH01P01</v>
      </c>
      <c r="D7" s="6" t="s">
        <v>36</v>
      </c>
      <c r="E7" s="11" t="s">
        <v>47</v>
      </c>
      <c r="F7" s="11" t="s">
        <v>1352</v>
      </c>
      <c r="G7" s="11" t="s">
        <v>1354</v>
      </c>
      <c r="H7" s="18">
        <v>6.98</v>
      </c>
      <c r="I7" s="5" t="s">
        <v>52</v>
      </c>
      <c r="J7" s="19">
        <v>1</v>
      </c>
      <c r="K7" s="5" t="s">
        <v>49</v>
      </c>
      <c r="L7" s="5" t="s">
        <v>53</v>
      </c>
      <c r="M7" s="23" t="s">
        <v>1353</v>
      </c>
      <c r="N7" s="25"/>
      <c r="O7" s="25"/>
      <c r="P7" s="25"/>
      <c r="Q7" s="17" t="s">
        <v>43</v>
      </c>
    </row>
    <row r="8" spans="1:17">
      <c r="B8" s="11" t="s">
        <v>55</v>
      </c>
      <c r="C8" s="5" t="str">
        <f t="shared" si="0"/>
        <v>RFH01P02</v>
      </c>
      <c r="D8" s="6" t="s">
        <v>36</v>
      </c>
      <c r="E8" s="11" t="s">
        <v>47</v>
      </c>
      <c r="F8" s="11" t="s">
        <v>1352</v>
      </c>
      <c r="G8" s="11" t="s">
        <v>1355</v>
      </c>
      <c r="H8" s="18">
        <v>6.98</v>
      </c>
      <c r="I8" s="5" t="s">
        <v>52</v>
      </c>
      <c r="J8" s="19">
        <v>1</v>
      </c>
      <c r="K8" s="5" t="s">
        <v>49</v>
      </c>
      <c r="L8" s="5" t="s">
        <v>53</v>
      </c>
      <c r="M8" s="23" t="s">
        <v>1353</v>
      </c>
      <c r="N8" s="25"/>
      <c r="O8" s="25"/>
      <c r="P8" s="25"/>
      <c r="Q8" s="17" t="s">
        <v>43</v>
      </c>
    </row>
    <row r="9" spans="1:17">
      <c r="B9" s="11" t="s">
        <v>55</v>
      </c>
      <c r="C9" s="5" t="str">
        <f t="shared" si="0"/>
        <v>RFH01P03</v>
      </c>
      <c r="D9" s="6" t="s">
        <v>36</v>
      </c>
      <c r="E9" s="11" t="s">
        <v>47</v>
      </c>
      <c r="F9" s="11" t="s">
        <v>1352</v>
      </c>
      <c r="G9" s="11" t="s">
        <v>1356</v>
      </c>
      <c r="H9" s="18">
        <v>6.98</v>
      </c>
      <c r="I9" s="5" t="s">
        <v>52</v>
      </c>
      <c r="J9" s="19">
        <v>1</v>
      </c>
      <c r="K9" s="5" t="s">
        <v>49</v>
      </c>
      <c r="L9" s="5" t="s">
        <v>53</v>
      </c>
      <c r="M9" s="23" t="s">
        <v>1353</v>
      </c>
      <c r="N9" s="25"/>
      <c r="O9" s="25"/>
      <c r="P9" s="25"/>
      <c r="Q9" s="17" t="s">
        <v>43</v>
      </c>
    </row>
    <row r="10" spans="1:17">
      <c r="B10" s="11" t="s">
        <v>55</v>
      </c>
      <c r="C10" s="5" t="str">
        <f t="shared" si="0"/>
        <v>RFH01P04</v>
      </c>
      <c r="D10" s="6" t="s">
        <v>36</v>
      </c>
      <c r="E10" s="11" t="s">
        <v>47</v>
      </c>
      <c r="F10" s="11" t="s">
        <v>1352</v>
      </c>
      <c r="G10" s="11" t="s">
        <v>1357</v>
      </c>
      <c r="H10" s="18">
        <v>6.98</v>
      </c>
      <c r="I10" s="5" t="s">
        <v>52</v>
      </c>
      <c r="J10" s="19">
        <v>1</v>
      </c>
      <c r="K10" s="5" t="s">
        <v>49</v>
      </c>
      <c r="L10" s="5" t="s">
        <v>53</v>
      </c>
      <c r="M10" s="23" t="s">
        <v>1353</v>
      </c>
      <c r="N10" s="25"/>
      <c r="O10" s="25"/>
      <c r="P10" s="25"/>
      <c r="Q10" s="17" t="s">
        <v>43</v>
      </c>
    </row>
    <row r="11" spans="1:17">
      <c r="B11" s="11" t="s">
        <v>55</v>
      </c>
      <c r="C11" s="5" t="str">
        <f t="shared" si="0"/>
        <v>RFH01P05</v>
      </c>
      <c r="D11" s="6" t="s">
        <v>36</v>
      </c>
      <c r="E11" s="11" t="s">
        <v>47</v>
      </c>
      <c r="F11" s="11" t="s">
        <v>1352</v>
      </c>
      <c r="G11" s="11" t="s">
        <v>1358</v>
      </c>
      <c r="H11" s="18">
        <v>6.98</v>
      </c>
      <c r="I11" s="5" t="s">
        <v>52</v>
      </c>
      <c r="J11" s="19">
        <v>1</v>
      </c>
      <c r="K11" s="5" t="s">
        <v>49</v>
      </c>
      <c r="L11" s="5" t="s">
        <v>53</v>
      </c>
      <c r="M11" s="23" t="s">
        <v>1353</v>
      </c>
      <c r="N11" s="25"/>
      <c r="O11" s="25"/>
      <c r="P11" s="25"/>
      <c r="Q11" s="17" t="s">
        <v>43</v>
      </c>
    </row>
    <row r="12" spans="1:17">
      <c r="B12" s="11" t="s">
        <v>55</v>
      </c>
      <c r="C12" s="5" t="str">
        <f t="shared" si="0"/>
        <v>RFH01P06</v>
      </c>
      <c r="D12" s="6" t="s">
        <v>36</v>
      </c>
      <c r="E12" s="11" t="s">
        <v>47</v>
      </c>
      <c r="F12" s="11" t="s">
        <v>1352</v>
      </c>
      <c r="G12" s="11" t="s">
        <v>1359</v>
      </c>
      <c r="H12" s="18">
        <v>6.98</v>
      </c>
      <c r="I12" s="5" t="s">
        <v>52</v>
      </c>
      <c r="J12" s="19">
        <v>1</v>
      </c>
      <c r="K12" s="5" t="s">
        <v>49</v>
      </c>
      <c r="L12" s="5" t="s">
        <v>53</v>
      </c>
      <c r="M12" s="23" t="s">
        <v>1353</v>
      </c>
      <c r="N12" s="25"/>
      <c r="O12" s="25"/>
      <c r="P12" s="25"/>
      <c r="Q12" s="17" t="s">
        <v>43</v>
      </c>
    </row>
    <row r="13" spans="1:17">
      <c r="B13" s="11" t="s">
        <v>55</v>
      </c>
      <c r="C13" s="5" t="str">
        <f t="shared" si="0"/>
        <v>RFH01P07</v>
      </c>
      <c r="D13" s="6" t="s">
        <v>36</v>
      </c>
      <c r="E13" s="11" t="s">
        <v>47</v>
      </c>
      <c r="F13" s="11" t="s">
        <v>1352</v>
      </c>
      <c r="G13" s="11" t="s">
        <v>1360</v>
      </c>
      <c r="H13" s="18">
        <v>6.98</v>
      </c>
      <c r="I13" s="5" t="s">
        <v>52</v>
      </c>
      <c r="J13" s="19">
        <v>1</v>
      </c>
      <c r="K13" s="5" t="s">
        <v>49</v>
      </c>
      <c r="L13" s="5" t="s">
        <v>53</v>
      </c>
      <c r="M13" s="23" t="s">
        <v>1353</v>
      </c>
      <c r="N13" s="25"/>
      <c r="O13" s="25"/>
      <c r="P13" s="25"/>
      <c r="Q13" s="17" t="s">
        <v>43</v>
      </c>
    </row>
    <row r="14" spans="1:17">
      <c r="B14" s="11" t="s">
        <v>55</v>
      </c>
      <c r="C14" s="5" t="str">
        <f t="shared" si="0"/>
        <v>RFH01P08</v>
      </c>
      <c r="D14" s="6" t="s">
        <v>36</v>
      </c>
      <c r="E14" s="11" t="s">
        <v>47</v>
      </c>
      <c r="F14" s="11" t="s">
        <v>1352</v>
      </c>
      <c r="G14" s="11" t="s">
        <v>1361</v>
      </c>
      <c r="H14" s="18">
        <v>6.98</v>
      </c>
      <c r="I14" s="5" t="s">
        <v>52</v>
      </c>
      <c r="J14" s="19">
        <v>1</v>
      </c>
      <c r="K14" s="5" t="s">
        <v>49</v>
      </c>
      <c r="L14" s="5" t="s">
        <v>53</v>
      </c>
      <c r="M14" s="23" t="s">
        <v>1353</v>
      </c>
      <c r="N14" s="25"/>
      <c r="O14" s="25"/>
      <c r="P14" s="25"/>
      <c r="Q14" s="17" t="s">
        <v>43</v>
      </c>
    </row>
    <row r="15" spans="1:17">
      <c r="B15" s="11" t="s">
        <v>55</v>
      </c>
      <c r="C15" s="5" t="str">
        <f t="shared" si="0"/>
        <v>RFH01P09</v>
      </c>
      <c r="D15" s="6" t="s">
        <v>36</v>
      </c>
      <c r="E15" s="11" t="s">
        <v>47</v>
      </c>
      <c r="F15" s="11" t="s">
        <v>1352</v>
      </c>
      <c r="G15" s="11" t="s">
        <v>1362</v>
      </c>
      <c r="H15" s="18">
        <v>6.98</v>
      </c>
      <c r="I15" s="5" t="s">
        <v>52</v>
      </c>
      <c r="J15" s="19">
        <v>1</v>
      </c>
      <c r="K15" s="5" t="s">
        <v>49</v>
      </c>
      <c r="L15" s="5" t="s">
        <v>53</v>
      </c>
      <c r="M15" s="23" t="s">
        <v>1353</v>
      </c>
      <c r="N15" s="25"/>
      <c r="O15" s="25"/>
      <c r="P15" s="25"/>
      <c r="Q15" s="17" t="s">
        <v>43</v>
      </c>
    </row>
    <row r="16" spans="1:17">
      <c r="B16" s="11" t="s">
        <v>55</v>
      </c>
      <c r="C16" s="5" t="str">
        <f t="shared" si="0"/>
        <v>RFH01P10</v>
      </c>
      <c r="D16" s="6" t="s">
        <v>36</v>
      </c>
      <c r="E16" s="11" t="s">
        <v>47</v>
      </c>
      <c r="F16" s="11" t="s">
        <v>1352</v>
      </c>
      <c r="G16" s="11" t="s">
        <v>1363</v>
      </c>
      <c r="H16" s="18">
        <v>6.98</v>
      </c>
      <c r="I16" s="5" t="s">
        <v>52</v>
      </c>
      <c r="J16" s="19">
        <v>1</v>
      </c>
      <c r="K16" s="5" t="s">
        <v>49</v>
      </c>
      <c r="L16" s="5" t="s">
        <v>53</v>
      </c>
      <c r="M16" s="23" t="s">
        <v>1353</v>
      </c>
      <c r="N16" s="25"/>
      <c r="O16" s="25"/>
      <c r="P16" s="25"/>
      <c r="Q16" s="17" t="s">
        <v>43</v>
      </c>
    </row>
    <row r="17" spans="2:17">
      <c r="B17" s="11" t="s">
        <v>55</v>
      </c>
      <c r="C17" s="5" t="str">
        <f t="shared" si="0"/>
        <v>RFH01P11</v>
      </c>
      <c r="D17" s="6" t="s">
        <v>36</v>
      </c>
      <c r="E17" s="11" t="s">
        <v>47</v>
      </c>
      <c r="F17" s="11" t="s">
        <v>1352</v>
      </c>
      <c r="G17" s="11" t="s">
        <v>1364</v>
      </c>
      <c r="H17" s="18">
        <v>6.98</v>
      </c>
      <c r="I17" s="5" t="s">
        <v>52</v>
      </c>
      <c r="J17" s="19">
        <v>1</v>
      </c>
      <c r="K17" s="5" t="s">
        <v>49</v>
      </c>
      <c r="L17" s="5" t="s">
        <v>53</v>
      </c>
      <c r="M17" s="23" t="s">
        <v>1353</v>
      </c>
      <c r="N17" s="25"/>
      <c r="O17" s="25"/>
      <c r="P17" s="25"/>
      <c r="Q17" s="17" t="s">
        <v>43</v>
      </c>
    </row>
    <row r="18" spans="2:17">
      <c r="B18" s="11" t="s">
        <v>55</v>
      </c>
      <c r="C18" s="5" t="str">
        <f t="shared" si="0"/>
        <v>RFH01P12</v>
      </c>
      <c r="D18" s="6" t="s">
        <v>36</v>
      </c>
      <c r="E18" s="11" t="s">
        <v>47</v>
      </c>
      <c r="F18" s="11" t="s">
        <v>1352</v>
      </c>
      <c r="G18" s="11" t="s">
        <v>1365</v>
      </c>
      <c r="H18" s="18">
        <v>6.98</v>
      </c>
      <c r="I18" s="5" t="s">
        <v>52</v>
      </c>
      <c r="J18" s="19">
        <v>1</v>
      </c>
      <c r="K18" s="5" t="s">
        <v>49</v>
      </c>
      <c r="L18" s="5" t="s">
        <v>53</v>
      </c>
      <c r="M18" s="23" t="s">
        <v>1353</v>
      </c>
      <c r="N18" s="25"/>
      <c r="O18" s="25"/>
      <c r="P18" s="25"/>
      <c r="Q18" s="17" t="s">
        <v>43</v>
      </c>
    </row>
    <row r="19" spans="2:17">
      <c r="B19" s="11" t="s">
        <v>55</v>
      </c>
      <c r="C19" s="5" t="str">
        <f t="shared" si="0"/>
        <v>RFH01P13</v>
      </c>
      <c r="D19" s="6" t="s">
        <v>36</v>
      </c>
      <c r="E19" s="11" t="s">
        <v>47</v>
      </c>
      <c r="F19" s="11" t="s">
        <v>1352</v>
      </c>
      <c r="G19" s="11" t="s">
        <v>1366</v>
      </c>
      <c r="H19" s="18">
        <v>6.98</v>
      </c>
      <c r="I19" s="5" t="s">
        <v>52</v>
      </c>
      <c r="J19" s="19">
        <v>1</v>
      </c>
      <c r="K19" s="5" t="s">
        <v>49</v>
      </c>
      <c r="L19" s="5" t="s">
        <v>53</v>
      </c>
      <c r="M19" s="23" t="s">
        <v>1353</v>
      </c>
      <c r="N19" s="25"/>
      <c r="O19" s="25"/>
      <c r="P19" s="25"/>
      <c r="Q19" s="17" t="s">
        <v>43</v>
      </c>
    </row>
    <row r="20" spans="2:17">
      <c r="B20" s="11" t="s">
        <v>55</v>
      </c>
      <c r="C20" s="5" t="str">
        <f t="shared" si="0"/>
        <v>RFH01P14</v>
      </c>
      <c r="D20" s="6" t="s">
        <v>36</v>
      </c>
      <c r="E20" s="11" t="s">
        <v>47</v>
      </c>
      <c r="F20" s="11" t="s">
        <v>1352</v>
      </c>
      <c r="G20" s="11" t="s">
        <v>1367</v>
      </c>
      <c r="H20" s="18">
        <v>6.98</v>
      </c>
      <c r="I20" s="5" t="s">
        <v>52</v>
      </c>
      <c r="J20" s="19">
        <v>1</v>
      </c>
      <c r="K20" s="5" t="s">
        <v>49</v>
      </c>
      <c r="L20" s="5" t="s">
        <v>53</v>
      </c>
      <c r="M20" s="23" t="s">
        <v>1353</v>
      </c>
      <c r="N20" s="25"/>
      <c r="O20" s="25"/>
      <c r="P20" s="25"/>
      <c r="Q20" s="17" t="s">
        <v>43</v>
      </c>
    </row>
    <row r="21" spans="2:17">
      <c r="B21" s="11" t="s">
        <v>55</v>
      </c>
      <c r="C21" s="5" t="str">
        <f t="shared" si="0"/>
        <v>RFH01P15</v>
      </c>
      <c r="D21" s="6" t="s">
        <v>36</v>
      </c>
      <c r="E21" s="11" t="s">
        <v>47</v>
      </c>
      <c r="F21" s="11" t="s">
        <v>1352</v>
      </c>
      <c r="G21" s="11" t="s">
        <v>1368</v>
      </c>
      <c r="H21" s="18">
        <v>6.98</v>
      </c>
      <c r="I21" s="5" t="s">
        <v>52</v>
      </c>
      <c r="J21" s="19">
        <v>1</v>
      </c>
      <c r="K21" s="5" t="s">
        <v>49</v>
      </c>
      <c r="L21" s="5" t="s">
        <v>53</v>
      </c>
      <c r="M21" s="23" t="s">
        <v>1353</v>
      </c>
      <c r="N21" s="25"/>
      <c r="O21" s="25"/>
      <c r="P21" s="25"/>
      <c r="Q21" s="17" t="s">
        <v>43</v>
      </c>
    </row>
    <row r="22" spans="2:17">
      <c r="B22" s="11" t="s">
        <v>55</v>
      </c>
      <c r="C22" s="5" t="str">
        <f t="shared" si="0"/>
        <v>RFH01P16</v>
      </c>
      <c r="D22" s="6" t="s">
        <v>36</v>
      </c>
      <c r="E22" s="11" t="s">
        <v>47</v>
      </c>
      <c r="F22" s="11" t="s">
        <v>1352</v>
      </c>
      <c r="G22" s="11" t="s">
        <v>1369</v>
      </c>
      <c r="H22" s="18">
        <v>6.98</v>
      </c>
      <c r="I22" s="5" t="s">
        <v>52</v>
      </c>
      <c r="J22" s="19">
        <v>1</v>
      </c>
      <c r="K22" s="5" t="s">
        <v>49</v>
      </c>
      <c r="L22" s="5" t="s">
        <v>53</v>
      </c>
      <c r="M22" s="23" t="s">
        <v>1353</v>
      </c>
      <c r="N22" s="25"/>
      <c r="O22" s="25"/>
      <c r="P22" s="25"/>
      <c r="Q22" s="17" t="s">
        <v>43</v>
      </c>
    </row>
    <row r="23" spans="2:17">
      <c r="B23" s="11" t="s">
        <v>55</v>
      </c>
      <c r="C23" s="5" t="str">
        <f t="shared" si="0"/>
        <v>RFH01P17</v>
      </c>
      <c r="D23" s="6" t="s">
        <v>36</v>
      </c>
      <c r="E23" s="11" t="s">
        <v>47</v>
      </c>
      <c r="F23" s="11" t="s">
        <v>1352</v>
      </c>
      <c r="G23" s="11" t="s">
        <v>1370</v>
      </c>
      <c r="H23" s="18">
        <v>6.98</v>
      </c>
      <c r="I23" s="5" t="s">
        <v>52</v>
      </c>
      <c r="J23" s="19">
        <v>1</v>
      </c>
      <c r="K23" s="5" t="s">
        <v>49</v>
      </c>
      <c r="L23" s="5" t="s">
        <v>53</v>
      </c>
      <c r="M23" s="23" t="s">
        <v>1353</v>
      </c>
      <c r="N23" s="25"/>
      <c r="O23" s="25"/>
      <c r="P23" s="25"/>
      <c r="Q23" s="17" t="s">
        <v>43</v>
      </c>
    </row>
    <row r="24" spans="2:17">
      <c r="B24" s="11" t="s">
        <v>55</v>
      </c>
      <c r="C24" s="5" t="str">
        <f t="shared" si="0"/>
        <v>RFH01P18</v>
      </c>
      <c r="D24" s="6" t="s">
        <v>36</v>
      </c>
      <c r="E24" s="11" t="s">
        <v>47</v>
      </c>
      <c r="F24" s="11" t="s">
        <v>1352</v>
      </c>
      <c r="G24" s="11" t="s">
        <v>1371</v>
      </c>
      <c r="H24" s="18">
        <v>6.98</v>
      </c>
      <c r="I24" s="5" t="s">
        <v>52</v>
      </c>
      <c r="J24" s="19">
        <v>1</v>
      </c>
      <c r="K24" s="5" t="s">
        <v>49</v>
      </c>
      <c r="L24" s="5" t="s">
        <v>53</v>
      </c>
      <c r="M24" s="23" t="s">
        <v>1353</v>
      </c>
      <c r="N24" s="25"/>
      <c r="O24" s="25"/>
      <c r="P24" s="25"/>
      <c r="Q24" s="17" t="s">
        <v>43</v>
      </c>
    </row>
    <row r="25" spans="2:17">
      <c r="B25" s="11" t="s">
        <v>55</v>
      </c>
      <c r="C25" s="5" t="str">
        <f t="shared" si="0"/>
        <v>RFH01P19</v>
      </c>
      <c r="D25" s="6" t="s">
        <v>36</v>
      </c>
      <c r="E25" s="11" t="s">
        <v>47</v>
      </c>
      <c r="F25" s="11" t="s">
        <v>1352</v>
      </c>
      <c r="G25" s="11" t="s">
        <v>1372</v>
      </c>
      <c r="H25" s="18">
        <v>6.98</v>
      </c>
      <c r="I25" s="5" t="s">
        <v>52</v>
      </c>
      <c r="J25" s="19">
        <v>1</v>
      </c>
      <c r="K25" s="5" t="s">
        <v>49</v>
      </c>
      <c r="L25" s="5" t="s">
        <v>53</v>
      </c>
      <c r="M25" s="23" t="s">
        <v>1353</v>
      </c>
      <c r="N25" s="25"/>
      <c r="O25" s="25"/>
      <c r="P25" s="25"/>
      <c r="Q25" s="17" t="s">
        <v>43</v>
      </c>
    </row>
    <row r="26" spans="2:17">
      <c r="B26" s="11" t="s">
        <v>55</v>
      </c>
      <c r="C26" s="5" t="str">
        <f t="shared" si="0"/>
        <v>RFH01P20</v>
      </c>
      <c r="D26" s="6" t="s">
        <v>36</v>
      </c>
      <c r="E26" s="11" t="s">
        <v>47</v>
      </c>
      <c r="F26" s="11" t="s">
        <v>1352</v>
      </c>
      <c r="G26" s="11" t="s">
        <v>1373</v>
      </c>
      <c r="H26" s="18">
        <v>6.98</v>
      </c>
      <c r="I26" s="5" t="s">
        <v>52</v>
      </c>
      <c r="J26" s="19">
        <v>1</v>
      </c>
      <c r="K26" s="5" t="s">
        <v>49</v>
      </c>
      <c r="L26" s="5" t="s">
        <v>53</v>
      </c>
      <c r="M26" s="23" t="s">
        <v>1353</v>
      </c>
      <c r="N26" s="25"/>
      <c r="O26" s="25"/>
      <c r="P26" s="25"/>
      <c r="Q26" s="17" t="s">
        <v>43</v>
      </c>
    </row>
    <row r="27" spans="2:17">
      <c r="B27" s="11" t="s">
        <v>55</v>
      </c>
      <c r="C27" s="5" t="str">
        <f t="shared" si="0"/>
        <v>RFH01P21</v>
      </c>
      <c r="D27" s="6" t="s">
        <v>36</v>
      </c>
      <c r="E27" s="11" t="s">
        <v>47</v>
      </c>
      <c r="F27" s="11" t="s">
        <v>1352</v>
      </c>
      <c r="G27" s="11" t="s">
        <v>1374</v>
      </c>
      <c r="H27" s="18">
        <v>6.98</v>
      </c>
      <c r="I27" s="5" t="s">
        <v>52</v>
      </c>
      <c r="J27" s="19">
        <v>1</v>
      </c>
      <c r="K27" s="5" t="s">
        <v>49</v>
      </c>
      <c r="L27" s="5" t="s">
        <v>53</v>
      </c>
      <c r="M27" s="23" t="s">
        <v>1353</v>
      </c>
      <c r="N27" s="25"/>
      <c r="O27" s="25"/>
      <c r="P27" s="25"/>
      <c r="Q27" s="17" t="s">
        <v>43</v>
      </c>
    </row>
    <row r="28" spans="2:17">
      <c r="B28" s="11" t="s">
        <v>55</v>
      </c>
      <c r="C28" s="5" t="str">
        <f t="shared" si="0"/>
        <v>RFH01P22</v>
      </c>
      <c r="D28" s="6" t="s">
        <v>36</v>
      </c>
      <c r="E28" s="11" t="s">
        <v>47</v>
      </c>
      <c r="F28" s="11" t="s">
        <v>1352</v>
      </c>
      <c r="G28" s="11" t="s">
        <v>1375</v>
      </c>
      <c r="H28" s="18">
        <v>6.98</v>
      </c>
      <c r="I28" s="5" t="s">
        <v>52</v>
      </c>
      <c r="J28" s="19">
        <v>1</v>
      </c>
      <c r="K28" s="5" t="s">
        <v>49</v>
      </c>
      <c r="L28" s="5" t="s">
        <v>53</v>
      </c>
      <c r="M28" s="23" t="s">
        <v>1353</v>
      </c>
      <c r="N28" s="25"/>
      <c r="O28" s="25"/>
      <c r="P28" s="25"/>
      <c r="Q28" s="17" t="s">
        <v>43</v>
      </c>
    </row>
    <row r="29" spans="2:17">
      <c r="B29" s="11" t="s">
        <v>55</v>
      </c>
      <c r="C29" s="5" t="str">
        <f t="shared" si="0"/>
        <v>RFH01P23</v>
      </c>
      <c r="D29" s="6" t="s">
        <v>36</v>
      </c>
      <c r="E29" s="11" t="s">
        <v>47</v>
      </c>
      <c r="F29" s="11" t="s">
        <v>1352</v>
      </c>
      <c r="G29" s="11" t="s">
        <v>1376</v>
      </c>
      <c r="H29" s="18">
        <v>6.98</v>
      </c>
      <c r="I29" s="5" t="s">
        <v>52</v>
      </c>
      <c r="J29" s="19">
        <v>1</v>
      </c>
      <c r="K29" s="5" t="s">
        <v>49</v>
      </c>
      <c r="L29" s="5" t="s">
        <v>53</v>
      </c>
      <c r="M29" s="23" t="s">
        <v>1353</v>
      </c>
      <c r="N29" s="25"/>
      <c r="O29" s="25"/>
      <c r="P29" s="25"/>
      <c r="Q29" s="17" t="s">
        <v>43</v>
      </c>
    </row>
    <row r="30" spans="2:17">
      <c r="B30" s="11" t="s">
        <v>55</v>
      </c>
      <c r="C30" s="5" t="str">
        <f t="shared" si="0"/>
        <v>RFH01P24</v>
      </c>
      <c r="D30" s="6" t="s">
        <v>36</v>
      </c>
      <c r="E30" s="11" t="s">
        <v>47</v>
      </c>
      <c r="F30" s="11" t="s">
        <v>1352</v>
      </c>
      <c r="G30" s="11" t="s">
        <v>1377</v>
      </c>
      <c r="H30" s="18">
        <v>6.98</v>
      </c>
      <c r="I30" s="5" t="s">
        <v>52</v>
      </c>
      <c r="J30" s="19">
        <v>1</v>
      </c>
      <c r="K30" s="5" t="s">
        <v>49</v>
      </c>
      <c r="L30" s="5" t="s">
        <v>53</v>
      </c>
      <c r="M30" s="23" t="s">
        <v>1353</v>
      </c>
      <c r="N30" s="25"/>
      <c r="O30" s="25"/>
      <c r="P30" s="25"/>
      <c r="Q30" s="17" t="s">
        <v>43</v>
      </c>
    </row>
    <row r="31" spans="2:17">
      <c r="B31" s="11" t="s">
        <v>55</v>
      </c>
      <c r="C31" s="5" t="str">
        <f t="shared" si="0"/>
        <v>RFH01P25</v>
      </c>
      <c r="D31" s="6" t="s">
        <v>36</v>
      </c>
      <c r="E31" s="11" t="s">
        <v>47</v>
      </c>
      <c r="F31" s="11" t="s">
        <v>1352</v>
      </c>
      <c r="G31" s="11" t="s">
        <v>1378</v>
      </c>
      <c r="H31" s="18">
        <v>6.98</v>
      </c>
      <c r="I31" s="5" t="s">
        <v>52</v>
      </c>
      <c r="J31" s="19">
        <v>1</v>
      </c>
      <c r="K31" s="5" t="s">
        <v>49</v>
      </c>
      <c r="L31" s="5" t="s">
        <v>53</v>
      </c>
      <c r="M31" s="23" t="s">
        <v>1353</v>
      </c>
      <c r="N31" s="25"/>
      <c r="O31" s="25"/>
      <c r="P31" s="25"/>
      <c r="Q31" s="17" t="s">
        <v>43</v>
      </c>
    </row>
    <row r="32" spans="2:17">
      <c r="B32" s="11" t="s">
        <v>55</v>
      </c>
      <c r="C32" s="5" t="str">
        <f t="shared" si="0"/>
        <v>RFH01P26</v>
      </c>
      <c r="D32" s="6" t="s">
        <v>36</v>
      </c>
      <c r="E32" s="11" t="s">
        <v>47</v>
      </c>
      <c r="F32" s="11" t="s">
        <v>1352</v>
      </c>
      <c r="G32" s="11" t="s">
        <v>1379</v>
      </c>
      <c r="H32" s="18">
        <v>6.98</v>
      </c>
      <c r="I32" s="5" t="s">
        <v>52</v>
      </c>
      <c r="J32" s="19">
        <v>1</v>
      </c>
      <c r="K32" s="5" t="s">
        <v>49</v>
      </c>
      <c r="L32" s="5" t="s">
        <v>53</v>
      </c>
      <c r="M32" s="23" t="s">
        <v>1353</v>
      </c>
      <c r="N32" s="25"/>
      <c r="O32" s="25"/>
      <c r="P32" s="25"/>
      <c r="Q32" s="17" t="s">
        <v>43</v>
      </c>
    </row>
    <row r="33" spans="2:17">
      <c r="B33" s="11" t="s">
        <v>55</v>
      </c>
      <c r="C33" s="5" t="str">
        <f t="shared" si="0"/>
        <v>RFH01P27</v>
      </c>
      <c r="D33" s="6" t="s">
        <v>36</v>
      </c>
      <c r="E33" s="11" t="s">
        <v>47</v>
      </c>
      <c r="F33" s="11" t="s">
        <v>1352</v>
      </c>
      <c r="G33" s="11" t="s">
        <v>1380</v>
      </c>
      <c r="H33" s="18">
        <v>6.98</v>
      </c>
      <c r="I33" s="5" t="s">
        <v>52</v>
      </c>
      <c r="J33" s="19">
        <v>1</v>
      </c>
      <c r="K33" s="5" t="s">
        <v>49</v>
      </c>
      <c r="L33" s="5" t="s">
        <v>53</v>
      </c>
      <c r="M33" s="23" t="s">
        <v>1353</v>
      </c>
      <c r="N33" s="25"/>
      <c r="O33" s="25"/>
      <c r="P33" s="25"/>
      <c r="Q33" s="17" t="s">
        <v>43</v>
      </c>
    </row>
    <row r="34" spans="2:17">
      <c r="B34" s="11" t="s">
        <v>55</v>
      </c>
      <c r="C34" s="5" t="str">
        <f t="shared" si="0"/>
        <v>RFH01P28</v>
      </c>
      <c r="D34" s="6" t="s">
        <v>36</v>
      </c>
      <c r="E34" s="11" t="s">
        <v>47</v>
      </c>
      <c r="F34" s="11" t="s">
        <v>1352</v>
      </c>
      <c r="G34" s="11" t="s">
        <v>1381</v>
      </c>
      <c r="H34" s="18">
        <v>6.98</v>
      </c>
      <c r="I34" s="5" t="s">
        <v>52</v>
      </c>
      <c r="J34" s="19">
        <v>1</v>
      </c>
      <c r="K34" s="5" t="s">
        <v>49</v>
      </c>
      <c r="L34" s="5" t="s">
        <v>53</v>
      </c>
      <c r="M34" s="23" t="s">
        <v>1353</v>
      </c>
      <c r="N34" s="25"/>
      <c r="O34" s="25"/>
      <c r="P34" s="25"/>
      <c r="Q34" s="17" t="s">
        <v>43</v>
      </c>
    </row>
    <row r="35" spans="2:17">
      <c r="B35" s="11" t="s">
        <v>55</v>
      </c>
      <c r="C35" s="5" t="str">
        <f t="shared" si="0"/>
        <v>RFH01P29</v>
      </c>
      <c r="D35" s="6" t="s">
        <v>36</v>
      </c>
      <c r="E35" s="11" t="s">
        <v>47</v>
      </c>
      <c r="F35" s="11" t="s">
        <v>1352</v>
      </c>
      <c r="G35" s="11" t="s">
        <v>1382</v>
      </c>
      <c r="H35" s="18">
        <v>6.98</v>
      </c>
      <c r="I35" s="5" t="s">
        <v>52</v>
      </c>
      <c r="J35" s="19">
        <v>1</v>
      </c>
      <c r="K35" s="5" t="s">
        <v>49</v>
      </c>
      <c r="L35" s="5" t="s">
        <v>53</v>
      </c>
      <c r="M35" s="23" t="s">
        <v>1353</v>
      </c>
      <c r="N35" s="25"/>
      <c r="O35" s="25"/>
      <c r="P35" s="25"/>
      <c r="Q35" s="17" t="s">
        <v>43</v>
      </c>
    </row>
    <row r="36" spans="2:17">
      <c r="B36" s="11" t="s">
        <v>55</v>
      </c>
      <c r="C36" s="5" t="str">
        <f t="shared" si="0"/>
        <v>RFH01P30</v>
      </c>
      <c r="D36" s="6" t="s">
        <v>36</v>
      </c>
      <c r="E36" s="11" t="s">
        <v>47</v>
      </c>
      <c r="F36" s="11" t="s">
        <v>1352</v>
      </c>
      <c r="G36" s="11" t="s">
        <v>1383</v>
      </c>
      <c r="H36" s="18">
        <v>6.98</v>
      </c>
      <c r="I36" s="5" t="s">
        <v>52</v>
      </c>
      <c r="J36" s="19">
        <v>1</v>
      </c>
      <c r="K36" s="5" t="s">
        <v>49</v>
      </c>
      <c r="L36" s="5" t="s">
        <v>53</v>
      </c>
      <c r="M36" s="23" t="s">
        <v>1353</v>
      </c>
      <c r="N36" s="25"/>
      <c r="O36" s="25"/>
      <c r="P36" s="25"/>
      <c r="Q36" s="17" t="s">
        <v>43</v>
      </c>
    </row>
    <row r="37" spans="2:17">
      <c r="B37" s="11" t="s">
        <v>55</v>
      </c>
      <c r="C37" s="5" t="str">
        <f t="shared" si="0"/>
        <v>RFH01P31</v>
      </c>
      <c r="D37" s="6" t="s">
        <v>36</v>
      </c>
      <c r="E37" s="11" t="s">
        <v>47</v>
      </c>
      <c r="F37" s="11" t="s">
        <v>1352</v>
      </c>
      <c r="G37" s="11" t="s">
        <v>1384</v>
      </c>
      <c r="H37" s="18">
        <v>6.98</v>
      </c>
      <c r="I37" s="5" t="s">
        <v>52</v>
      </c>
      <c r="J37" s="19">
        <v>1</v>
      </c>
      <c r="K37" s="5" t="s">
        <v>49</v>
      </c>
      <c r="L37" s="5" t="s">
        <v>53</v>
      </c>
      <c r="M37" s="23" t="s">
        <v>1353</v>
      </c>
      <c r="N37" s="25"/>
      <c r="O37" s="25"/>
      <c r="P37" s="25"/>
      <c r="Q37" s="17" t="s">
        <v>43</v>
      </c>
    </row>
    <row r="38" spans="2:17">
      <c r="B38" s="11" t="s">
        <v>55</v>
      </c>
      <c r="C38" s="5" t="str">
        <f t="shared" si="0"/>
        <v>RFH01P32</v>
      </c>
      <c r="D38" s="6" t="s">
        <v>36</v>
      </c>
      <c r="E38" s="11" t="s">
        <v>47</v>
      </c>
      <c r="F38" s="11" t="s">
        <v>1352</v>
      </c>
      <c r="G38" s="11" t="s">
        <v>1385</v>
      </c>
      <c r="H38" s="18">
        <v>6.98</v>
      </c>
      <c r="I38" s="5" t="s">
        <v>52</v>
      </c>
      <c r="J38" s="19">
        <v>1</v>
      </c>
      <c r="K38" s="5" t="s">
        <v>49</v>
      </c>
      <c r="L38" s="5" t="s">
        <v>53</v>
      </c>
      <c r="M38" s="23" t="s">
        <v>1353</v>
      </c>
      <c r="N38" s="25"/>
      <c r="O38" s="25"/>
      <c r="P38" s="25"/>
      <c r="Q38" s="17" t="s">
        <v>43</v>
      </c>
    </row>
    <row r="39" spans="2:17">
      <c r="B39" s="11" t="s">
        <v>55</v>
      </c>
      <c r="C39" s="5" t="str">
        <f t="shared" si="0"/>
        <v>RFH01P33</v>
      </c>
      <c r="D39" s="6" t="s">
        <v>36</v>
      </c>
      <c r="E39" s="11" t="s">
        <v>47</v>
      </c>
      <c r="F39" s="11" t="s">
        <v>1352</v>
      </c>
      <c r="G39" s="11" t="s">
        <v>1386</v>
      </c>
      <c r="H39" s="18">
        <v>6.98</v>
      </c>
      <c r="I39" s="5" t="s">
        <v>52</v>
      </c>
      <c r="J39" s="19">
        <v>1</v>
      </c>
      <c r="K39" s="5" t="s">
        <v>49</v>
      </c>
      <c r="L39" s="5" t="s">
        <v>53</v>
      </c>
      <c r="M39" s="23" t="s">
        <v>1353</v>
      </c>
      <c r="N39" s="25"/>
      <c r="O39" s="25"/>
      <c r="P39" s="25"/>
      <c r="Q39" s="17" t="s">
        <v>43</v>
      </c>
    </row>
    <row r="40" spans="2:17">
      <c r="B40" s="11" t="s">
        <v>55</v>
      </c>
      <c r="C40" s="5" t="str">
        <f t="shared" si="0"/>
        <v>RFH01P34</v>
      </c>
      <c r="D40" s="6" t="s">
        <v>36</v>
      </c>
      <c r="E40" s="11" t="s">
        <v>47</v>
      </c>
      <c r="F40" s="11" t="s">
        <v>1352</v>
      </c>
      <c r="G40" s="11" t="s">
        <v>1387</v>
      </c>
      <c r="H40" s="18">
        <v>6.98</v>
      </c>
      <c r="I40" s="5" t="s">
        <v>52</v>
      </c>
      <c r="J40" s="19">
        <v>1</v>
      </c>
      <c r="K40" s="5" t="s">
        <v>49</v>
      </c>
      <c r="L40" s="5" t="s">
        <v>53</v>
      </c>
      <c r="M40" s="23" t="s">
        <v>1353</v>
      </c>
      <c r="N40" s="25"/>
      <c r="O40" s="25"/>
      <c r="P40" s="25"/>
      <c r="Q40" s="17" t="s">
        <v>43</v>
      </c>
    </row>
    <row r="41" spans="2:17">
      <c r="B41" s="11" t="s">
        <v>55</v>
      </c>
      <c r="C41" s="5" t="str">
        <f t="shared" si="0"/>
        <v>RFH01P35</v>
      </c>
      <c r="D41" s="6" t="s">
        <v>36</v>
      </c>
      <c r="E41" s="11" t="s">
        <v>47</v>
      </c>
      <c r="F41" s="11" t="s">
        <v>1352</v>
      </c>
      <c r="G41" s="11" t="s">
        <v>1388</v>
      </c>
      <c r="H41" s="18">
        <v>6.98</v>
      </c>
      <c r="I41" s="5" t="s">
        <v>52</v>
      </c>
      <c r="J41" s="19">
        <v>1</v>
      </c>
      <c r="K41" s="5" t="s">
        <v>49</v>
      </c>
      <c r="L41" s="5" t="s">
        <v>53</v>
      </c>
      <c r="M41" s="23" t="s">
        <v>1353</v>
      </c>
      <c r="N41" s="25"/>
      <c r="O41" s="25"/>
      <c r="P41" s="25"/>
      <c r="Q41" s="17" t="s">
        <v>43</v>
      </c>
    </row>
    <row r="42" spans="2:17">
      <c r="B42" s="11" t="s">
        <v>55</v>
      </c>
      <c r="C42" s="5" t="str">
        <f t="shared" si="0"/>
        <v>RFH01P36</v>
      </c>
      <c r="D42" s="6" t="s">
        <v>36</v>
      </c>
      <c r="E42" s="11" t="s">
        <v>47</v>
      </c>
      <c r="F42" s="11" t="s">
        <v>1352</v>
      </c>
      <c r="G42" s="11" t="s">
        <v>1389</v>
      </c>
      <c r="H42" s="18">
        <v>6.98</v>
      </c>
      <c r="I42" s="5" t="s">
        <v>52</v>
      </c>
      <c r="J42" s="19">
        <v>1</v>
      </c>
      <c r="K42" s="5" t="s">
        <v>49</v>
      </c>
      <c r="L42" s="5" t="s">
        <v>53</v>
      </c>
      <c r="M42" s="23" t="s">
        <v>1353</v>
      </c>
      <c r="N42" s="25"/>
      <c r="O42" s="25"/>
      <c r="P42" s="25"/>
      <c r="Q42" s="17" t="s">
        <v>43</v>
      </c>
    </row>
    <row r="43" spans="2:17">
      <c r="B43" s="11" t="s">
        <v>55</v>
      </c>
      <c r="C43" s="5" t="str">
        <f t="shared" si="0"/>
        <v>RFH01P37</v>
      </c>
      <c r="D43" s="6" t="s">
        <v>36</v>
      </c>
      <c r="E43" s="11" t="s">
        <v>47</v>
      </c>
      <c r="F43" s="11" t="s">
        <v>1352</v>
      </c>
      <c r="G43" s="11" t="s">
        <v>1390</v>
      </c>
      <c r="H43" s="18">
        <v>6.98</v>
      </c>
      <c r="I43" s="5" t="s">
        <v>52</v>
      </c>
      <c r="J43" s="19">
        <v>1</v>
      </c>
      <c r="K43" s="5" t="s">
        <v>49</v>
      </c>
      <c r="L43" s="5" t="s">
        <v>53</v>
      </c>
      <c r="M43" s="23" t="s">
        <v>1353</v>
      </c>
      <c r="N43" s="25"/>
      <c r="O43" s="25"/>
      <c r="P43" s="25"/>
      <c r="Q43" s="17" t="s">
        <v>43</v>
      </c>
    </row>
    <row r="44" spans="2:17">
      <c r="B44" s="11" t="s">
        <v>55</v>
      </c>
      <c r="C44" s="5" t="str">
        <f t="shared" si="0"/>
        <v>RFH01P38</v>
      </c>
      <c r="D44" s="6" t="s">
        <v>36</v>
      </c>
      <c r="E44" s="11" t="s">
        <v>47</v>
      </c>
      <c r="F44" s="11" t="s">
        <v>1352</v>
      </c>
      <c r="G44" s="11" t="s">
        <v>1391</v>
      </c>
      <c r="H44" s="18">
        <v>6.98</v>
      </c>
      <c r="I44" s="5" t="s">
        <v>52</v>
      </c>
      <c r="J44" s="19">
        <v>1</v>
      </c>
      <c r="K44" s="5" t="s">
        <v>49</v>
      </c>
      <c r="L44" s="5" t="s">
        <v>53</v>
      </c>
      <c r="M44" s="23" t="s">
        <v>1353</v>
      </c>
      <c r="N44" s="25"/>
      <c r="O44" s="25"/>
      <c r="P44" s="25"/>
      <c r="Q44" s="17" t="s">
        <v>43</v>
      </c>
    </row>
    <row r="45" spans="2:17">
      <c r="B45" s="11" t="s">
        <v>55</v>
      </c>
      <c r="C45" s="5" t="str">
        <f t="shared" si="0"/>
        <v>RFH01P39</v>
      </c>
      <c r="D45" s="6" t="s">
        <v>36</v>
      </c>
      <c r="E45" s="11" t="s">
        <v>47</v>
      </c>
      <c r="F45" s="11" t="s">
        <v>1352</v>
      </c>
      <c r="G45" s="11" t="s">
        <v>1392</v>
      </c>
      <c r="H45" s="18">
        <v>6.98</v>
      </c>
      <c r="I45" s="5" t="s">
        <v>52</v>
      </c>
      <c r="J45" s="19">
        <v>1</v>
      </c>
      <c r="K45" s="5" t="s">
        <v>49</v>
      </c>
      <c r="L45" s="5" t="s">
        <v>53</v>
      </c>
      <c r="M45" s="23" t="s">
        <v>1353</v>
      </c>
      <c r="N45" s="25"/>
      <c r="O45" s="25"/>
      <c r="P45" s="25"/>
      <c r="Q45" s="17" t="s">
        <v>43</v>
      </c>
    </row>
    <row r="46" spans="2:17">
      <c r="B46" s="11" t="s">
        <v>55</v>
      </c>
      <c r="C46" s="5" t="str">
        <f t="shared" si="0"/>
        <v>RFH01P40</v>
      </c>
      <c r="D46" s="6" t="s">
        <v>36</v>
      </c>
      <c r="E46" s="11" t="s">
        <v>47</v>
      </c>
      <c r="F46" s="11" t="s">
        <v>1352</v>
      </c>
      <c r="G46" s="11" t="s">
        <v>1393</v>
      </c>
      <c r="H46" s="18">
        <v>6.98</v>
      </c>
      <c r="I46" s="5" t="s">
        <v>52</v>
      </c>
      <c r="J46" s="19">
        <v>1</v>
      </c>
      <c r="K46" s="5" t="s">
        <v>49</v>
      </c>
      <c r="L46" s="5" t="s">
        <v>53</v>
      </c>
      <c r="M46" s="23" t="s">
        <v>1353</v>
      </c>
      <c r="N46" s="25"/>
      <c r="O46" s="25"/>
      <c r="P46" s="25"/>
      <c r="Q46" s="17" t="s">
        <v>43</v>
      </c>
    </row>
    <row r="47" spans="2:17">
      <c r="B47" s="11" t="s">
        <v>55</v>
      </c>
      <c r="C47" s="5" t="str">
        <f t="shared" si="0"/>
        <v>RFH01P41</v>
      </c>
      <c r="D47" s="6" t="s">
        <v>36</v>
      </c>
      <c r="E47" s="11" t="s">
        <v>47</v>
      </c>
      <c r="F47" s="11" t="s">
        <v>1352</v>
      </c>
      <c r="G47" s="11" t="s">
        <v>1394</v>
      </c>
      <c r="H47" s="18">
        <v>6.98</v>
      </c>
      <c r="I47" s="5" t="s">
        <v>52</v>
      </c>
      <c r="J47" s="19">
        <v>1</v>
      </c>
      <c r="K47" s="5" t="s">
        <v>49</v>
      </c>
      <c r="L47" s="5" t="s">
        <v>53</v>
      </c>
      <c r="M47" s="23" t="s">
        <v>1353</v>
      </c>
      <c r="N47" s="25"/>
      <c r="O47" s="25"/>
      <c r="P47" s="25"/>
      <c r="Q47" s="17" t="s">
        <v>43</v>
      </c>
    </row>
    <row r="48" spans="2:17">
      <c r="B48" s="11" t="s">
        <v>55</v>
      </c>
      <c r="C48" s="5" t="str">
        <f t="shared" si="0"/>
        <v>RFH01P42</v>
      </c>
      <c r="D48" s="6" t="s">
        <v>36</v>
      </c>
      <c r="E48" s="11" t="s">
        <v>47</v>
      </c>
      <c r="F48" s="11" t="s">
        <v>1352</v>
      </c>
      <c r="G48" s="11" t="s">
        <v>1395</v>
      </c>
      <c r="H48" s="18">
        <v>6.98</v>
      </c>
      <c r="I48" s="5" t="s">
        <v>52</v>
      </c>
      <c r="J48" s="19">
        <v>1</v>
      </c>
      <c r="K48" s="5" t="s">
        <v>49</v>
      </c>
      <c r="L48" s="5" t="s">
        <v>53</v>
      </c>
      <c r="M48" s="23" t="s">
        <v>1353</v>
      </c>
      <c r="N48" s="25"/>
      <c r="O48" s="25"/>
      <c r="P48" s="25"/>
      <c r="Q48" s="17" t="s">
        <v>43</v>
      </c>
    </row>
    <row r="49" spans="2:17">
      <c r="B49" s="11" t="s">
        <v>55</v>
      </c>
      <c r="C49" s="5" t="str">
        <f t="shared" si="0"/>
        <v>RFH01P43</v>
      </c>
      <c r="D49" s="6" t="s">
        <v>36</v>
      </c>
      <c r="E49" s="11" t="s">
        <v>47</v>
      </c>
      <c r="F49" s="11" t="s">
        <v>1352</v>
      </c>
      <c r="G49" s="11" t="s">
        <v>1396</v>
      </c>
      <c r="H49" s="18">
        <v>6.98</v>
      </c>
      <c r="I49" s="5" t="s">
        <v>52</v>
      </c>
      <c r="J49" s="19">
        <v>1</v>
      </c>
      <c r="K49" s="5" t="s">
        <v>49</v>
      </c>
      <c r="L49" s="5" t="s">
        <v>53</v>
      </c>
      <c r="M49" s="23" t="s">
        <v>1353</v>
      </c>
      <c r="N49" s="25"/>
      <c r="O49" s="25"/>
      <c r="P49" s="25"/>
      <c r="Q49" s="17" t="s">
        <v>43</v>
      </c>
    </row>
    <row r="50" spans="2:17">
      <c r="B50" s="11" t="s">
        <v>55</v>
      </c>
      <c r="C50" s="5" t="str">
        <f t="shared" si="0"/>
        <v>RFH01P44</v>
      </c>
      <c r="D50" s="6" t="s">
        <v>36</v>
      </c>
      <c r="E50" s="11" t="s">
        <v>47</v>
      </c>
      <c r="F50" s="11" t="s">
        <v>1352</v>
      </c>
      <c r="G50" s="11" t="s">
        <v>1397</v>
      </c>
      <c r="H50" s="18">
        <v>6.98</v>
      </c>
      <c r="I50" s="5" t="s">
        <v>52</v>
      </c>
      <c r="J50" s="19">
        <v>1</v>
      </c>
      <c r="K50" s="5" t="s">
        <v>49</v>
      </c>
      <c r="L50" s="5" t="s">
        <v>53</v>
      </c>
      <c r="M50" s="23" t="s">
        <v>1353</v>
      </c>
      <c r="N50" s="25"/>
      <c r="O50" s="25"/>
      <c r="P50" s="25"/>
      <c r="Q50" s="17" t="s">
        <v>43</v>
      </c>
    </row>
    <row r="51" spans="2:17">
      <c r="B51" s="11" t="s">
        <v>55</v>
      </c>
      <c r="C51" s="5" t="str">
        <f t="shared" si="0"/>
        <v>RFH01P45</v>
      </c>
      <c r="D51" s="6" t="s">
        <v>36</v>
      </c>
      <c r="E51" s="11" t="s">
        <v>47</v>
      </c>
      <c r="F51" s="11" t="s">
        <v>1352</v>
      </c>
      <c r="G51" s="11" t="s">
        <v>1398</v>
      </c>
      <c r="H51" s="18">
        <v>6.98</v>
      </c>
      <c r="I51" s="5" t="s">
        <v>52</v>
      </c>
      <c r="J51" s="19">
        <v>1</v>
      </c>
      <c r="K51" s="5" t="s">
        <v>49</v>
      </c>
      <c r="L51" s="5" t="s">
        <v>53</v>
      </c>
      <c r="M51" s="23" t="s">
        <v>1353</v>
      </c>
      <c r="N51" s="25"/>
      <c r="O51" s="25"/>
      <c r="P51" s="25"/>
      <c r="Q51" s="17" t="s">
        <v>43</v>
      </c>
    </row>
    <row r="52" spans="2:17">
      <c r="B52" s="11" t="s">
        <v>55</v>
      </c>
      <c r="C52" s="5" t="str">
        <f t="shared" si="0"/>
        <v>RFH01P46</v>
      </c>
      <c r="D52" s="6" t="s">
        <v>36</v>
      </c>
      <c r="E52" s="11" t="s">
        <v>47</v>
      </c>
      <c r="F52" s="11" t="s">
        <v>1352</v>
      </c>
      <c r="G52" s="11" t="s">
        <v>1399</v>
      </c>
      <c r="H52" s="18">
        <v>6.98</v>
      </c>
      <c r="I52" s="5" t="s">
        <v>52</v>
      </c>
      <c r="J52" s="19">
        <v>1</v>
      </c>
      <c r="K52" s="5" t="s">
        <v>49</v>
      </c>
      <c r="L52" s="5" t="s">
        <v>53</v>
      </c>
      <c r="M52" s="23" t="s">
        <v>1353</v>
      </c>
      <c r="N52" s="25"/>
      <c r="O52" s="25"/>
      <c r="P52" s="25"/>
      <c r="Q52" s="17" t="s">
        <v>43</v>
      </c>
    </row>
    <row r="53" spans="2:17">
      <c r="B53" s="11" t="s">
        <v>55</v>
      </c>
      <c r="C53" s="5" t="str">
        <f t="shared" si="0"/>
        <v>RFH01P47</v>
      </c>
      <c r="D53" s="6" t="s">
        <v>36</v>
      </c>
      <c r="E53" s="11" t="s">
        <v>47</v>
      </c>
      <c r="F53" s="11" t="s">
        <v>1352</v>
      </c>
      <c r="G53" s="11" t="s">
        <v>1400</v>
      </c>
      <c r="H53" s="18">
        <v>6.98</v>
      </c>
      <c r="I53" s="5" t="s">
        <v>52</v>
      </c>
      <c r="J53" s="19">
        <v>1</v>
      </c>
      <c r="K53" s="5" t="s">
        <v>49</v>
      </c>
      <c r="L53" s="5" t="s">
        <v>53</v>
      </c>
      <c r="M53" s="23" t="s">
        <v>1353</v>
      </c>
      <c r="N53" s="25"/>
      <c r="O53" s="25"/>
      <c r="P53" s="25"/>
      <c r="Q53" s="17" t="s">
        <v>43</v>
      </c>
    </row>
    <row r="54" spans="2:17">
      <c r="B54" s="11" t="s">
        <v>55</v>
      </c>
      <c r="C54" s="5" t="str">
        <f t="shared" si="0"/>
        <v>RFH01P48</v>
      </c>
      <c r="D54" s="6" t="s">
        <v>36</v>
      </c>
      <c r="E54" s="11" t="s">
        <v>47</v>
      </c>
      <c r="F54" s="11" t="s">
        <v>1352</v>
      </c>
      <c r="G54" s="11" t="s">
        <v>1401</v>
      </c>
      <c r="H54" s="18">
        <v>6.98</v>
      </c>
      <c r="I54" s="5" t="s">
        <v>52</v>
      </c>
      <c r="J54" s="19">
        <v>1</v>
      </c>
      <c r="K54" s="5" t="s">
        <v>49</v>
      </c>
      <c r="L54" s="5" t="s">
        <v>53</v>
      </c>
      <c r="M54" s="23" t="s">
        <v>1353</v>
      </c>
      <c r="N54" s="25"/>
      <c r="O54" s="25"/>
      <c r="P54" s="25"/>
      <c r="Q54" s="17" t="s">
        <v>43</v>
      </c>
    </row>
    <row r="55" spans="2:17">
      <c r="B55" s="11" t="s">
        <v>55</v>
      </c>
      <c r="C55" s="5" t="str">
        <f t="shared" si="0"/>
        <v>RFH01P49</v>
      </c>
      <c r="D55" s="6" t="s">
        <v>36</v>
      </c>
      <c r="E55" s="11" t="s">
        <v>47</v>
      </c>
      <c r="F55" s="11" t="s">
        <v>1352</v>
      </c>
      <c r="G55" s="11" t="s">
        <v>1402</v>
      </c>
      <c r="H55" s="18">
        <v>6.98</v>
      </c>
      <c r="I55" s="5" t="s">
        <v>52</v>
      </c>
      <c r="J55" s="19">
        <v>1</v>
      </c>
      <c r="K55" s="5" t="s">
        <v>49</v>
      </c>
      <c r="L55" s="5" t="s">
        <v>53</v>
      </c>
      <c r="M55" s="23" t="s">
        <v>1353</v>
      </c>
      <c r="N55" s="25"/>
      <c r="O55" s="25"/>
      <c r="P55" s="25"/>
      <c r="Q55" s="17" t="s">
        <v>43</v>
      </c>
    </row>
    <row r="56" spans="2:17">
      <c r="B56" s="11" t="s">
        <v>55</v>
      </c>
      <c r="C56" s="5" t="str">
        <f t="shared" si="0"/>
        <v>RFH01P50</v>
      </c>
      <c r="D56" s="6" t="s">
        <v>36</v>
      </c>
      <c r="E56" s="11" t="s">
        <v>47</v>
      </c>
      <c r="F56" s="11" t="s">
        <v>1352</v>
      </c>
      <c r="G56" s="11" t="s">
        <v>1403</v>
      </c>
      <c r="H56" s="18">
        <v>6.98</v>
      </c>
      <c r="I56" s="5" t="s">
        <v>52</v>
      </c>
      <c r="J56" s="19">
        <v>1</v>
      </c>
      <c r="K56" s="5" t="s">
        <v>49</v>
      </c>
      <c r="L56" s="5" t="s">
        <v>53</v>
      </c>
      <c r="M56" s="23" t="s">
        <v>1353</v>
      </c>
      <c r="N56" s="25"/>
      <c r="O56" s="25"/>
      <c r="P56" s="25"/>
      <c r="Q56" s="17" t="s">
        <v>43</v>
      </c>
    </row>
    <row r="57" spans="2:17">
      <c r="B57" s="11" t="s">
        <v>55</v>
      </c>
      <c r="C57" s="5" t="str">
        <f t="shared" si="0"/>
        <v>RFH01P51</v>
      </c>
      <c r="D57" s="6" t="s">
        <v>36</v>
      </c>
      <c r="E57" s="11" t="s">
        <v>47</v>
      </c>
      <c r="F57" s="11" t="s">
        <v>1352</v>
      </c>
      <c r="G57" s="11" t="s">
        <v>1404</v>
      </c>
      <c r="H57" s="18">
        <v>6.98</v>
      </c>
      <c r="I57" s="5" t="s">
        <v>52</v>
      </c>
      <c r="J57" s="19">
        <v>1</v>
      </c>
      <c r="K57" s="5" t="s">
        <v>49</v>
      </c>
      <c r="L57" s="5" t="s">
        <v>53</v>
      </c>
      <c r="M57" s="23" t="s">
        <v>1353</v>
      </c>
      <c r="N57" s="25"/>
      <c r="O57" s="25"/>
      <c r="P57" s="25"/>
      <c r="Q57" s="17" t="s">
        <v>43</v>
      </c>
    </row>
    <row r="58" spans="2:17">
      <c r="B58" s="11" t="s">
        <v>55</v>
      </c>
      <c r="C58" s="5" t="str">
        <f t="shared" si="0"/>
        <v>RFH01P52</v>
      </c>
      <c r="D58" s="6" t="s">
        <v>36</v>
      </c>
      <c r="E58" s="11" t="s">
        <v>47</v>
      </c>
      <c r="F58" s="11" t="s">
        <v>1352</v>
      </c>
      <c r="G58" s="11" t="s">
        <v>1405</v>
      </c>
      <c r="H58" s="18">
        <v>6.98</v>
      </c>
      <c r="I58" s="5" t="s">
        <v>52</v>
      </c>
      <c r="J58" s="19">
        <v>1</v>
      </c>
      <c r="K58" s="5" t="s">
        <v>49</v>
      </c>
      <c r="L58" s="5" t="s">
        <v>53</v>
      </c>
      <c r="M58" s="23" t="s">
        <v>1353</v>
      </c>
      <c r="N58" s="25"/>
      <c r="O58" s="25"/>
      <c r="P58" s="25"/>
      <c r="Q58" s="17" t="s">
        <v>43</v>
      </c>
    </row>
    <row r="59" spans="2:17">
      <c r="B59" s="11" t="s">
        <v>55</v>
      </c>
      <c r="C59" s="5" t="str">
        <f t="shared" si="0"/>
        <v>RFH01P53</v>
      </c>
      <c r="D59" s="6" t="s">
        <v>36</v>
      </c>
      <c r="E59" s="11" t="s">
        <v>47</v>
      </c>
      <c r="F59" s="11" t="s">
        <v>1352</v>
      </c>
      <c r="G59" s="11" t="s">
        <v>1406</v>
      </c>
      <c r="H59" s="18">
        <v>6.98</v>
      </c>
      <c r="I59" s="5" t="s">
        <v>52</v>
      </c>
      <c r="J59" s="19">
        <v>1</v>
      </c>
      <c r="K59" s="5" t="s">
        <v>49</v>
      </c>
      <c r="L59" s="5" t="s">
        <v>53</v>
      </c>
      <c r="M59" s="23" t="s">
        <v>1353</v>
      </c>
      <c r="N59" s="25"/>
      <c r="O59" s="25"/>
      <c r="P59" s="25"/>
      <c r="Q59" s="17" t="s">
        <v>43</v>
      </c>
    </row>
    <row r="60" spans="2:17">
      <c r="B60" s="11" t="s">
        <v>55</v>
      </c>
      <c r="C60" s="5" t="str">
        <f t="shared" si="0"/>
        <v>RFH01P54</v>
      </c>
      <c r="D60" s="6" t="s">
        <v>36</v>
      </c>
      <c r="E60" s="11" t="s">
        <v>47</v>
      </c>
      <c r="F60" s="11" t="s">
        <v>1352</v>
      </c>
      <c r="G60" s="11" t="s">
        <v>1407</v>
      </c>
      <c r="H60" s="18">
        <v>6.98</v>
      </c>
      <c r="I60" s="5" t="s">
        <v>52</v>
      </c>
      <c r="J60" s="19">
        <v>1</v>
      </c>
      <c r="K60" s="5" t="s">
        <v>49</v>
      </c>
      <c r="L60" s="5" t="s">
        <v>53</v>
      </c>
      <c r="M60" s="23" t="s">
        <v>1353</v>
      </c>
      <c r="N60" s="25"/>
      <c r="O60" s="25"/>
      <c r="P60" s="25"/>
      <c r="Q60" s="17" t="s">
        <v>43</v>
      </c>
    </row>
    <row r="61" spans="2:17">
      <c r="B61" s="11"/>
      <c r="C61" s="5" t="str">
        <f t="shared" si="0"/>
        <v/>
      </c>
      <c r="D61" s="6"/>
      <c r="E61" s="11"/>
      <c r="F61" s="11"/>
      <c r="G61" s="11"/>
      <c r="H61" s="18"/>
      <c r="J61" s="19"/>
      <c r="M61" s="23"/>
    </row>
    <row r="62" spans="2:17">
      <c r="B62" s="11"/>
      <c r="C62" s="5" t="str">
        <f t="shared" si="0"/>
        <v/>
      </c>
      <c r="D62" s="6"/>
      <c r="E62" s="11"/>
      <c r="F62" s="11"/>
      <c r="G62" s="11"/>
      <c r="H62" s="18"/>
      <c r="J62" s="19"/>
      <c r="M62" s="23"/>
    </row>
    <row r="63" spans="2:17">
      <c r="B63" s="11" t="s">
        <v>50</v>
      </c>
      <c r="C63" s="5" t="str">
        <f t="shared" si="0"/>
        <v>RFH02</v>
      </c>
      <c r="D63" s="6" t="s">
        <v>36</v>
      </c>
      <c r="E63" s="11" t="s">
        <v>47</v>
      </c>
      <c r="F63" s="11" t="s">
        <v>1408</v>
      </c>
      <c r="G63" s="11"/>
      <c r="H63" s="18">
        <v>188.46</v>
      </c>
      <c r="I63" s="5" t="s">
        <v>52</v>
      </c>
      <c r="J63" s="19">
        <v>27</v>
      </c>
      <c r="K63" s="5" t="s">
        <v>49</v>
      </c>
      <c r="L63" s="5" t="s">
        <v>53</v>
      </c>
      <c r="M63" s="23" t="s">
        <v>1409</v>
      </c>
      <c r="N63" s="24">
        <v>5500</v>
      </c>
      <c r="O63" s="24">
        <v>20</v>
      </c>
      <c r="P63" s="24">
        <v>1</v>
      </c>
      <c r="Q63" s="17" t="s">
        <v>43</v>
      </c>
    </row>
    <row r="64" spans="2:17">
      <c r="B64" s="11" t="s">
        <v>55</v>
      </c>
      <c r="C64" s="5" t="str">
        <f t="shared" si="0"/>
        <v>RFH02P01</v>
      </c>
      <c r="D64" s="6" t="s">
        <v>36</v>
      </c>
      <c r="E64" s="11" t="s">
        <v>47</v>
      </c>
      <c r="F64" s="11" t="s">
        <v>1408</v>
      </c>
      <c r="G64" s="11" t="s">
        <v>1410</v>
      </c>
      <c r="H64" s="18">
        <v>6.98</v>
      </c>
      <c r="I64" s="5" t="s">
        <v>52</v>
      </c>
      <c r="J64" s="19">
        <v>1</v>
      </c>
      <c r="K64" s="5" t="s">
        <v>49</v>
      </c>
      <c r="L64" s="5" t="s">
        <v>53</v>
      </c>
      <c r="M64" s="23" t="s">
        <v>1409</v>
      </c>
      <c r="N64" s="24"/>
      <c r="O64" s="24"/>
      <c r="P64" s="24"/>
      <c r="Q64" s="17" t="s">
        <v>43</v>
      </c>
    </row>
    <row r="65" spans="2:17">
      <c r="B65" s="11" t="s">
        <v>55</v>
      </c>
      <c r="C65" s="5" t="str">
        <f t="shared" si="0"/>
        <v>RFH02P02</v>
      </c>
      <c r="D65" s="6" t="s">
        <v>36</v>
      </c>
      <c r="E65" s="11" t="s">
        <v>47</v>
      </c>
      <c r="F65" s="11" t="s">
        <v>1408</v>
      </c>
      <c r="G65" s="11" t="s">
        <v>1411</v>
      </c>
      <c r="H65" s="18">
        <v>6.98</v>
      </c>
      <c r="I65" s="5" t="s">
        <v>52</v>
      </c>
      <c r="J65" s="19">
        <v>1</v>
      </c>
      <c r="K65" s="5" t="s">
        <v>49</v>
      </c>
      <c r="L65" s="5" t="s">
        <v>53</v>
      </c>
      <c r="M65" s="23" t="s">
        <v>1409</v>
      </c>
      <c r="N65" s="24"/>
      <c r="O65" s="24"/>
      <c r="P65" s="24"/>
      <c r="Q65" s="17" t="s">
        <v>43</v>
      </c>
    </row>
    <row r="66" spans="2:17">
      <c r="B66" s="11" t="s">
        <v>55</v>
      </c>
      <c r="C66" s="5" t="str">
        <f t="shared" si="0"/>
        <v>RFH02P03</v>
      </c>
      <c r="D66" s="6" t="s">
        <v>36</v>
      </c>
      <c r="E66" s="11" t="s">
        <v>47</v>
      </c>
      <c r="F66" s="11" t="s">
        <v>1408</v>
      </c>
      <c r="G66" s="11" t="s">
        <v>1412</v>
      </c>
      <c r="H66" s="18">
        <v>6.98</v>
      </c>
      <c r="I66" s="5" t="s">
        <v>52</v>
      </c>
      <c r="J66" s="19">
        <v>1</v>
      </c>
      <c r="K66" s="5" t="s">
        <v>49</v>
      </c>
      <c r="L66" s="5" t="s">
        <v>53</v>
      </c>
      <c r="M66" s="23" t="s">
        <v>1409</v>
      </c>
      <c r="N66" s="24"/>
      <c r="O66" s="24"/>
      <c r="P66" s="24"/>
      <c r="Q66" s="17" t="s">
        <v>43</v>
      </c>
    </row>
    <row r="67" spans="2:17">
      <c r="B67" s="11" t="s">
        <v>55</v>
      </c>
      <c r="C67" s="5" t="str">
        <f t="shared" si="0"/>
        <v>RFH02P04</v>
      </c>
      <c r="D67" s="6" t="s">
        <v>36</v>
      </c>
      <c r="E67" s="11" t="s">
        <v>47</v>
      </c>
      <c r="F67" s="11" t="s">
        <v>1408</v>
      </c>
      <c r="G67" s="11" t="s">
        <v>1413</v>
      </c>
      <c r="H67" s="18">
        <v>6.98</v>
      </c>
      <c r="I67" s="5" t="s">
        <v>52</v>
      </c>
      <c r="J67" s="19">
        <v>1</v>
      </c>
      <c r="K67" s="5" t="s">
        <v>49</v>
      </c>
      <c r="L67" s="5" t="s">
        <v>53</v>
      </c>
      <c r="M67" s="23" t="s">
        <v>1409</v>
      </c>
      <c r="N67" s="24"/>
      <c r="O67" s="24"/>
      <c r="P67" s="24"/>
      <c r="Q67" s="17" t="s">
        <v>43</v>
      </c>
    </row>
    <row r="68" spans="2:17">
      <c r="B68" s="11" t="s">
        <v>55</v>
      </c>
      <c r="C68" s="5" t="str">
        <f t="shared" si="0"/>
        <v>RFH02P05</v>
      </c>
      <c r="D68" s="6" t="s">
        <v>36</v>
      </c>
      <c r="E68" s="11" t="s">
        <v>47</v>
      </c>
      <c r="F68" s="11" t="s">
        <v>1408</v>
      </c>
      <c r="G68" s="11" t="s">
        <v>1414</v>
      </c>
      <c r="H68" s="18">
        <v>6.98</v>
      </c>
      <c r="I68" s="5" t="s">
        <v>52</v>
      </c>
      <c r="J68" s="19">
        <v>1</v>
      </c>
      <c r="K68" s="5" t="s">
        <v>49</v>
      </c>
      <c r="L68" s="5" t="s">
        <v>53</v>
      </c>
      <c r="M68" s="23" t="s">
        <v>1409</v>
      </c>
      <c r="N68" s="24"/>
      <c r="O68" s="24"/>
      <c r="P68" s="24"/>
      <c r="Q68" s="17" t="s">
        <v>43</v>
      </c>
    </row>
    <row r="69" spans="2:17">
      <c r="B69" s="11" t="s">
        <v>55</v>
      </c>
      <c r="C69" s="5" t="str">
        <f t="shared" si="0"/>
        <v>RFH02P06</v>
      </c>
      <c r="D69" s="6" t="s">
        <v>36</v>
      </c>
      <c r="E69" s="11" t="s">
        <v>47</v>
      </c>
      <c r="F69" s="11" t="s">
        <v>1408</v>
      </c>
      <c r="G69" s="11" t="s">
        <v>1415</v>
      </c>
      <c r="H69" s="18">
        <v>6.98</v>
      </c>
      <c r="I69" s="5" t="s">
        <v>52</v>
      </c>
      <c r="J69" s="19">
        <v>1</v>
      </c>
      <c r="K69" s="5" t="s">
        <v>49</v>
      </c>
      <c r="L69" s="5" t="s">
        <v>53</v>
      </c>
      <c r="M69" s="23" t="s">
        <v>1409</v>
      </c>
      <c r="N69" s="24"/>
      <c r="O69" s="24"/>
      <c r="P69" s="24"/>
      <c r="Q69" s="17" t="s">
        <v>43</v>
      </c>
    </row>
    <row r="70" spans="2:17">
      <c r="B70" s="11" t="s">
        <v>55</v>
      </c>
      <c r="C70" s="5" t="str">
        <f t="shared" si="0"/>
        <v>RFH02P07</v>
      </c>
      <c r="D70" s="6" t="s">
        <v>36</v>
      </c>
      <c r="E70" s="11" t="s">
        <v>47</v>
      </c>
      <c r="F70" s="11" t="s">
        <v>1408</v>
      </c>
      <c r="G70" s="11" t="s">
        <v>1416</v>
      </c>
      <c r="H70" s="18">
        <v>6.98</v>
      </c>
      <c r="I70" s="5" t="s">
        <v>52</v>
      </c>
      <c r="J70" s="19">
        <v>1</v>
      </c>
      <c r="K70" s="5" t="s">
        <v>49</v>
      </c>
      <c r="L70" s="5" t="s">
        <v>53</v>
      </c>
      <c r="M70" s="23" t="s">
        <v>1409</v>
      </c>
      <c r="N70" s="24"/>
      <c r="O70" s="24"/>
      <c r="P70" s="24"/>
      <c r="Q70" s="17" t="s">
        <v>43</v>
      </c>
    </row>
    <row r="71" spans="2:17">
      <c r="B71" s="11" t="s">
        <v>55</v>
      </c>
      <c r="C71" s="5" t="str">
        <f t="shared" ref="C71:C134" si="1">IF(E71="","",IF(G71&lt;&gt;"",SUBSTITUTE(SUBSTITUTE(G71," ",""),"-",""),IF(F71&lt;&gt;"",SUBSTITUTE(SUBSTITUTE(F71," ",""),"-",""),"")))</f>
        <v>RFH02P08</v>
      </c>
      <c r="D71" s="6" t="s">
        <v>36</v>
      </c>
      <c r="E71" s="11" t="s">
        <v>47</v>
      </c>
      <c r="F71" s="11" t="s">
        <v>1408</v>
      </c>
      <c r="G71" s="11" t="s">
        <v>1417</v>
      </c>
      <c r="H71" s="18">
        <v>6.98</v>
      </c>
      <c r="I71" s="5" t="s">
        <v>52</v>
      </c>
      <c r="J71" s="19">
        <v>1</v>
      </c>
      <c r="K71" s="5" t="s">
        <v>49</v>
      </c>
      <c r="L71" s="5" t="s">
        <v>53</v>
      </c>
      <c r="M71" s="23" t="s">
        <v>1409</v>
      </c>
      <c r="N71" s="24"/>
      <c r="O71" s="24"/>
      <c r="P71" s="24"/>
      <c r="Q71" s="17" t="s">
        <v>43</v>
      </c>
    </row>
    <row r="72" spans="2:17">
      <c r="B72" s="11" t="s">
        <v>55</v>
      </c>
      <c r="C72" s="5" t="str">
        <f t="shared" si="1"/>
        <v>RFH02P09</v>
      </c>
      <c r="D72" s="6" t="s">
        <v>36</v>
      </c>
      <c r="E72" s="11" t="s">
        <v>47</v>
      </c>
      <c r="F72" s="11" t="s">
        <v>1408</v>
      </c>
      <c r="G72" s="11" t="s">
        <v>1418</v>
      </c>
      <c r="H72" s="18">
        <v>6.98</v>
      </c>
      <c r="I72" s="5" t="s">
        <v>52</v>
      </c>
      <c r="J72" s="19">
        <v>1</v>
      </c>
      <c r="K72" s="5" t="s">
        <v>49</v>
      </c>
      <c r="L72" s="5" t="s">
        <v>53</v>
      </c>
      <c r="M72" s="23" t="s">
        <v>1409</v>
      </c>
      <c r="N72" s="24"/>
      <c r="O72" s="24"/>
      <c r="P72" s="24"/>
      <c r="Q72" s="17" t="s">
        <v>43</v>
      </c>
    </row>
    <row r="73" spans="2:17">
      <c r="B73" s="11" t="s">
        <v>55</v>
      </c>
      <c r="C73" s="5" t="str">
        <f t="shared" si="1"/>
        <v>RFH02P10</v>
      </c>
      <c r="D73" s="6" t="s">
        <v>36</v>
      </c>
      <c r="E73" s="11" t="s">
        <v>47</v>
      </c>
      <c r="F73" s="11" t="s">
        <v>1408</v>
      </c>
      <c r="G73" s="11" t="s">
        <v>1419</v>
      </c>
      <c r="H73" s="18">
        <v>6.98</v>
      </c>
      <c r="I73" s="5" t="s">
        <v>52</v>
      </c>
      <c r="J73" s="19">
        <v>1</v>
      </c>
      <c r="K73" s="5" t="s">
        <v>49</v>
      </c>
      <c r="L73" s="5" t="s">
        <v>53</v>
      </c>
      <c r="M73" s="23" t="s">
        <v>1409</v>
      </c>
      <c r="N73" s="24"/>
      <c r="O73" s="24"/>
      <c r="P73" s="24"/>
      <c r="Q73" s="17" t="s">
        <v>43</v>
      </c>
    </row>
    <row r="74" spans="2:17">
      <c r="B74" s="11" t="s">
        <v>55</v>
      </c>
      <c r="C74" s="5" t="str">
        <f t="shared" si="1"/>
        <v>RFH02P11</v>
      </c>
      <c r="D74" s="6" t="s">
        <v>36</v>
      </c>
      <c r="E74" s="11" t="s">
        <v>47</v>
      </c>
      <c r="F74" s="11" t="s">
        <v>1408</v>
      </c>
      <c r="G74" s="11" t="s">
        <v>1420</v>
      </c>
      <c r="H74" s="18">
        <v>6.98</v>
      </c>
      <c r="I74" s="5" t="s">
        <v>52</v>
      </c>
      <c r="J74" s="19">
        <v>1</v>
      </c>
      <c r="K74" s="5" t="s">
        <v>49</v>
      </c>
      <c r="L74" s="5" t="s">
        <v>53</v>
      </c>
      <c r="M74" s="23" t="s">
        <v>1409</v>
      </c>
      <c r="N74" s="24"/>
      <c r="O74" s="24"/>
      <c r="P74" s="24"/>
      <c r="Q74" s="17" t="s">
        <v>43</v>
      </c>
    </row>
    <row r="75" spans="2:17">
      <c r="B75" s="11" t="s">
        <v>55</v>
      </c>
      <c r="C75" s="5" t="str">
        <f t="shared" si="1"/>
        <v>RFH02P12</v>
      </c>
      <c r="D75" s="6" t="s">
        <v>36</v>
      </c>
      <c r="E75" s="11" t="s">
        <v>47</v>
      </c>
      <c r="F75" s="11" t="s">
        <v>1408</v>
      </c>
      <c r="G75" s="11" t="s">
        <v>1421</v>
      </c>
      <c r="H75" s="18">
        <v>6.98</v>
      </c>
      <c r="I75" s="5" t="s">
        <v>52</v>
      </c>
      <c r="J75" s="19">
        <v>1</v>
      </c>
      <c r="K75" s="5" t="s">
        <v>49</v>
      </c>
      <c r="L75" s="5" t="s">
        <v>53</v>
      </c>
      <c r="M75" s="23" t="s">
        <v>1409</v>
      </c>
      <c r="N75" s="24"/>
      <c r="O75" s="24"/>
      <c r="P75" s="24"/>
      <c r="Q75" s="17" t="s">
        <v>43</v>
      </c>
    </row>
    <row r="76" spans="2:17">
      <c r="B76" s="11" t="s">
        <v>55</v>
      </c>
      <c r="C76" s="5" t="str">
        <f t="shared" si="1"/>
        <v>RFH02P13</v>
      </c>
      <c r="D76" s="6" t="s">
        <v>36</v>
      </c>
      <c r="E76" s="11" t="s">
        <v>47</v>
      </c>
      <c r="F76" s="11" t="s">
        <v>1408</v>
      </c>
      <c r="G76" s="11" t="s">
        <v>1422</v>
      </c>
      <c r="H76" s="18">
        <v>6.98</v>
      </c>
      <c r="I76" s="5" t="s">
        <v>52</v>
      </c>
      <c r="J76" s="19">
        <v>1</v>
      </c>
      <c r="K76" s="5" t="s">
        <v>49</v>
      </c>
      <c r="L76" s="5" t="s">
        <v>53</v>
      </c>
      <c r="M76" s="23" t="s">
        <v>1409</v>
      </c>
      <c r="N76" s="24"/>
      <c r="O76" s="24"/>
      <c r="P76" s="24"/>
      <c r="Q76" s="17" t="s">
        <v>43</v>
      </c>
    </row>
    <row r="77" spans="2:17">
      <c r="B77" s="11" t="s">
        <v>55</v>
      </c>
      <c r="C77" s="5" t="str">
        <f t="shared" si="1"/>
        <v>RFH02P14</v>
      </c>
      <c r="D77" s="6" t="s">
        <v>36</v>
      </c>
      <c r="E77" s="11" t="s">
        <v>47</v>
      </c>
      <c r="F77" s="11" t="s">
        <v>1408</v>
      </c>
      <c r="G77" s="11" t="s">
        <v>1423</v>
      </c>
      <c r="H77" s="18">
        <v>6.98</v>
      </c>
      <c r="I77" s="5" t="s">
        <v>52</v>
      </c>
      <c r="J77" s="19">
        <v>1</v>
      </c>
      <c r="K77" s="5" t="s">
        <v>49</v>
      </c>
      <c r="L77" s="5" t="s">
        <v>53</v>
      </c>
      <c r="M77" s="23" t="s">
        <v>1409</v>
      </c>
      <c r="N77" s="24"/>
      <c r="O77" s="24"/>
      <c r="P77" s="24"/>
      <c r="Q77" s="17" t="s">
        <v>43</v>
      </c>
    </row>
    <row r="78" spans="2:17">
      <c r="B78" s="11" t="s">
        <v>55</v>
      </c>
      <c r="C78" s="5" t="str">
        <f t="shared" si="1"/>
        <v>RFH02P15</v>
      </c>
      <c r="D78" s="6" t="s">
        <v>36</v>
      </c>
      <c r="E78" s="11" t="s">
        <v>47</v>
      </c>
      <c r="F78" s="11" t="s">
        <v>1408</v>
      </c>
      <c r="G78" s="11" t="s">
        <v>1424</v>
      </c>
      <c r="H78" s="18">
        <v>6.98</v>
      </c>
      <c r="I78" s="5" t="s">
        <v>52</v>
      </c>
      <c r="J78" s="19">
        <v>1</v>
      </c>
      <c r="K78" s="5" t="s">
        <v>49</v>
      </c>
      <c r="L78" s="5" t="s">
        <v>53</v>
      </c>
      <c r="M78" s="23" t="s">
        <v>1409</v>
      </c>
      <c r="N78" s="24"/>
      <c r="O78" s="24"/>
      <c r="P78" s="24"/>
      <c r="Q78" s="17" t="s">
        <v>43</v>
      </c>
    </row>
    <row r="79" spans="2:17">
      <c r="B79" s="11" t="s">
        <v>55</v>
      </c>
      <c r="C79" s="5" t="str">
        <f t="shared" si="1"/>
        <v>RFH02P16</v>
      </c>
      <c r="D79" s="6" t="s">
        <v>36</v>
      </c>
      <c r="E79" s="11" t="s">
        <v>47</v>
      </c>
      <c r="F79" s="11" t="s">
        <v>1408</v>
      </c>
      <c r="G79" s="11" t="s">
        <v>1425</v>
      </c>
      <c r="H79" s="18">
        <v>6.98</v>
      </c>
      <c r="I79" s="5" t="s">
        <v>52</v>
      </c>
      <c r="J79" s="19">
        <v>1</v>
      </c>
      <c r="K79" s="5" t="s">
        <v>49</v>
      </c>
      <c r="L79" s="5" t="s">
        <v>53</v>
      </c>
      <c r="M79" s="23" t="s">
        <v>1409</v>
      </c>
      <c r="N79" s="24"/>
      <c r="O79" s="24"/>
      <c r="P79" s="24"/>
      <c r="Q79" s="17" t="s">
        <v>43</v>
      </c>
    </row>
    <row r="80" spans="2:17">
      <c r="B80" s="11" t="s">
        <v>55</v>
      </c>
      <c r="C80" s="5" t="str">
        <f t="shared" si="1"/>
        <v>RFH02P17</v>
      </c>
      <c r="D80" s="6" t="s">
        <v>36</v>
      </c>
      <c r="E80" s="11" t="s">
        <v>47</v>
      </c>
      <c r="F80" s="11" t="s">
        <v>1408</v>
      </c>
      <c r="G80" s="11" t="s">
        <v>1426</v>
      </c>
      <c r="H80" s="18">
        <v>6.98</v>
      </c>
      <c r="I80" s="5" t="s">
        <v>52</v>
      </c>
      <c r="J80" s="19">
        <v>1</v>
      </c>
      <c r="K80" s="5" t="s">
        <v>49</v>
      </c>
      <c r="L80" s="5" t="s">
        <v>53</v>
      </c>
      <c r="M80" s="23" t="s">
        <v>1409</v>
      </c>
      <c r="N80" s="24"/>
      <c r="O80" s="24"/>
      <c r="P80" s="24"/>
      <c r="Q80" s="17" t="s">
        <v>43</v>
      </c>
    </row>
    <row r="81" spans="2:17">
      <c r="B81" s="11" t="s">
        <v>55</v>
      </c>
      <c r="C81" s="5" t="str">
        <f t="shared" si="1"/>
        <v>RFH02P18</v>
      </c>
      <c r="D81" s="6" t="s">
        <v>36</v>
      </c>
      <c r="E81" s="11" t="s">
        <v>47</v>
      </c>
      <c r="F81" s="11" t="s">
        <v>1408</v>
      </c>
      <c r="G81" s="11" t="s">
        <v>1427</v>
      </c>
      <c r="H81" s="18">
        <v>6.98</v>
      </c>
      <c r="I81" s="5" t="s">
        <v>52</v>
      </c>
      <c r="J81" s="19">
        <v>1</v>
      </c>
      <c r="K81" s="5" t="s">
        <v>49</v>
      </c>
      <c r="L81" s="5" t="s">
        <v>53</v>
      </c>
      <c r="M81" s="23" t="s">
        <v>1409</v>
      </c>
      <c r="N81" s="24"/>
      <c r="O81" s="24"/>
      <c r="P81" s="24"/>
      <c r="Q81" s="17" t="s">
        <v>43</v>
      </c>
    </row>
    <row r="82" spans="2:17">
      <c r="B82" s="11" t="s">
        <v>55</v>
      </c>
      <c r="C82" s="5" t="str">
        <f t="shared" si="1"/>
        <v>RFH02P19</v>
      </c>
      <c r="D82" s="6" t="s">
        <v>36</v>
      </c>
      <c r="E82" s="11" t="s">
        <v>47</v>
      </c>
      <c r="F82" s="11" t="s">
        <v>1408</v>
      </c>
      <c r="G82" s="11" t="s">
        <v>1428</v>
      </c>
      <c r="H82" s="18">
        <v>6.98</v>
      </c>
      <c r="I82" s="5" t="s">
        <v>52</v>
      </c>
      <c r="J82" s="19">
        <v>1</v>
      </c>
      <c r="K82" s="5" t="s">
        <v>49</v>
      </c>
      <c r="L82" s="5" t="s">
        <v>53</v>
      </c>
      <c r="M82" s="23" t="s">
        <v>1409</v>
      </c>
      <c r="N82" s="24"/>
      <c r="O82" s="24"/>
      <c r="P82" s="24"/>
      <c r="Q82" s="17" t="s">
        <v>43</v>
      </c>
    </row>
    <row r="83" spans="2:17">
      <c r="B83" s="11" t="s">
        <v>55</v>
      </c>
      <c r="C83" s="5" t="str">
        <f t="shared" si="1"/>
        <v>RFH02P20</v>
      </c>
      <c r="D83" s="6" t="s">
        <v>36</v>
      </c>
      <c r="E83" s="11" t="s">
        <v>47</v>
      </c>
      <c r="F83" s="11" t="s">
        <v>1408</v>
      </c>
      <c r="G83" s="11" t="s">
        <v>1429</v>
      </c>
      <c r="H83" s="18">
        <v>6.98</v>
      </c>
      <c r="I83" s="5" t="s">
        <v>52</v>
      </c>
      <c r="J83" s="19">
        <v>1</v>
      </c>
      <c r="K83" s="5" t="s">
        <v>49</v>
      </c>
      <c r="L83" s="5" t="s">
        <v>53</v>
      </c>
      <c r="M83" s="23" t="s">
        <v>1409</v>
      </c>
      <c r="N83" s="24"/>
      <c r="O83" s="24"/>
      <c r="P83" s="24"/>
      <c r="Q83" s="17" t="s">
        <v>43</v>
      </c>
    </row>
    <row r="84" spans="2:17">
      <c r="B84" s="11" t="s">
        <v>55</v>
      </c>
      <c r="C84" s="5" t="str">
        <f t="shared" si="1"/>
        <v>RFH02P21</v>
      </c>
      <c r="D84" s="6" t="s">
        <v>36</v>
      </c>
      <c r="E84" s="11" t="s">
        <v>47</v>
      </c>
      <c r="F84" s="11" t="s">
        <v>1408</v>
      </c>
      <c r="G84" s="11" t="s">
        <v>1430</v>
      </c>
      <c r="H84" s="18">
        <v>6.98</v>
      </c>
      <c r="I84" s="5" t="s">
        <v>52</v>
      </c>
      <c r="J84" s="19">
        <v>1</v>
      </c>
      <c r="K84" s="5" t="s">
        <v>49</v>
      </c>
      <c r="L84" s="5" t="s">
        <v>53</v>
      </c>
      <c r="M84" s="23" t="s">
        <v>1409</v>
      </c>
      <c r="N84" s="24"/>
      <c r="O84" s="24"/>
      <c r="P84" s="24"/>
      <c r="Q84" s="17" t="s">
        <v>43</v>
      </c>
    </row>
    <row r="85" spans="2:17">
      <c r="B85" s="11" t="s">
        <v>55</v>
      </c>
      <c r="C85" s="5" t="str">
        <f t="shared" si="1"/>
        <v>RFH02P22</v>
      </c>
      <c r="D85" s="6" t="s">
        <v>36</v>
      </c>
      <c r="E85" s="11" t="s">
        <v>47</v>
      </c>
      <c r="F85" s="11" t="s">
        <v>1408</v>
      </c>
      <c r="G85" s="11" t="s">
        <v>1431</v>
      </c>
      <c r="H85" s="18">
        <v>6.98</v>
      </c>
      <c r="I85" s="5" t="s">
        <v>52</v>
      </c>
      <c r="J85" s="19">
        <v>1</v>
      </c>
      <c r="K85" s="5" t="s">
        <v>49</v>
      </c>
      <c r="L85" s="5" t="s">
        <v>53</v>
      </c>
      <c r="M85" s="23" t="s">
        <v>1409</v>
      </c>
      <c r="N85" s="24"/>
      <c r="O85" s="24"/>
      <c r="P85" s="24"/>
      <c r="Q85" s="17" t="s">
        <v>43</v>
      </c>
    </row>
    <row r="86" spans="2:17">
      <c r="B86" s="11" t="s">
        <v>55</v>
      </c>
      <c r="C86" s="5" t="str">
        <f t="shared" si="1"/>
        <v>RFH02P23</v>
      </c>
      <c r="D86" s="6" t="s">
        <v>36</v>
      </c>
      <c r="E86" s="11" t="s">
        <v>47</v>
      </c>
      <c r="F86" s="11" t="s">
        <v>1408</v>
      </c>
      <c r="G86" s="11" t="s">
        <v>1432</v>
      </c>
      <c r="H86" s="18">
        <v>6.98</v>
      </c>
      <c r="I86" s="5" t="s">
        <v>52</v>
      </c>
      <c r="J86" s="19">
        <v>1</v>
      </c>
      <c r="K86" s="5" t="s">
        <v>49</v>
      </c>
      <c r="L86" s="5" t="s">
        <v>53</v>
      </c>
      <c r="M86" s="23" t="s">
        <v>1409</v>
      </c>
      <c r="N86" s="24"/>
      <c r="O86" s="24"/>
      <c r="P86" s="24"/>
      <c r="Q86" s="17" t="s">
        <v>43</v>
      </c>
    </row>
    <row r="87" spans="2:17">
      <c r="B87" s="11" t="s">
        <v>55</v>
      </c>
      <c r="C87" s="5" t="str">
        <f t="shared" si="1"/>
        <v>RFH02P24</v>
      </c>
      <c r="D87" s="6" t="s">
        <v>36</v>
      </c>
      <c r="E87" s="11" t="s">
        <v>47</v>
      </c>
      <c r="F87" s="11" t="s">
        <v>1408</v>
      </c>
      <c r="G87" s="11" t="s">
        <v>1433</v>
      </c>
      <c r="H87" s="18">
        <v>6.98</v>
      </c>
      <c r="I87" s="5" t="s">
        <v>52</v>
      </c>
      <c r="J87" s="19">
        <v>1</v>
      </c>
      <c r="K87" s="5" t="s">
        <v>49</v>
      </c>
      <c r="L87" s="5" t="s">
        <v>53</v>
      </c>
      <c r="M87" s="23" t="s">
        <v>1409</v>
      </c>
      <c r="N87" s="24"/>
      <c r="O87" s="24"/>
      <c r="P87" s="24"/>
      <c r="Q87" s="17" t="s">
        <v>43</v>
      </c>
    </row>
    <row r="88" spans="2:17">
      <c r="B88" s="11" t="s">
        <v>55</v>
      </c>
      <c r="C88" s="5" t="str">
        <f t="shared" si="1"/>
        <v>RFH02P25</v>
      </c>
      <c r="D88" s="6" t="s">
        <v>36</v>
      </c>
      <c r="E88" s="11" t="s">
        <v>47</v>
      </c>
      <c r="F88" s="11" t="s">
        <v>1408</v>
      </c>
      <c r="G88" s="11" t="s">
        <v>1434</v>
      </c>
      <c r="H88" s="18">
        <v>6.98</v>
      </c>
      <c r="I88" s="5" t="s">
        <v>52</v>
      </c>
      <c r="J88" s="19">
        <v>1</v>
      </c>
      <c r="K88" s="5" t="s">
        <v>49</v>
      </c>
      <c r="L88" s="5" t="s">
        <v>53</v>
      </c>
      <c r="M88" s="23" t="s">
        <v>1409</v>
      </c>
      <c r="N88" s="24"/>
      <c r="O88" s="24"/>
      <c r="P88" s="24"/>
      <c r="Q88" s="17" t="s">
        <v>43</v>
      </c>
    </row>
    <row r="89" spans="2:17">
      <c r="B89" s="11" t="s">
        <v>55</v>
      </c>
      <c r="C89" s="5" t="str">
        <f t="shared" si="1"/>
        <v>RFH02P26</v>
      </c>
      <c r="D89" s="6" t="s">
        <v>36</v>
      </c>
      <c r="E89" s="11" t="s">
        <v>47</v>
      </c>
      <c r="F89" s="11" t="s">
        <v>1408</v>
      </c>
      <c r="G89" s="11" t="s">
        <v>1435</v>
      </c>
      <c r="H89" s="18">
        <v>6.98</v>
      </c>
      <c r="I89" s="5" t="s">
        <v>52</v>
      </c>
      <c r="J89" s="19">
        <v>1</v>
      </c>
      <c r="K89" s="5" t="s">
        <v>49</v>
      </c>
      <c r="L89" s="5" t="s">
        <v>53</v>
      </c>
      <c r="M89" s="23" t="s">
        <v>1409</v>
      </c>
      <c r="N89" s="24"/>
      <c r="O89" s="24"/>
      <c r="P89" s="24"/>
      <c r="Q89" s="17" t="s">
        <v>43</v>
      </c>
    </row>
    <row r="90" spans="2:17">
      <c r="B90" s="11" t="s">
        <v>55</v>
      </c>
      <c r="C90" s="5" t="str">
        <f t="shared" si="1"/>
        <v>RFH02P27</v>
      </c>
      <c r="D90" s="6" t="s">
        <v>36</v>
      </c>
      <c r="E90" s="11" t="s">
        <v>47</v>
      </c>
      <c r="F90" s="11" t="s">
        <v>1408</v>
      </c>
      <c r="G90" s="11" t="s">
        <v>1436</v>
      </c>
      <c r="H90" s="18">
        <v>6.98</v>
      </c>
      <c r="I90" s="5" t="s">
        <v>52</v>
      </c>
      <c r="J90" s="19">
        <v>1</v>
      </c>
      <c r="K90" s="5" t="s">
        <v>49</v>
      </c>
      <c r="L90" s="5" t="s">
        <v>53</v>
      </c>
      <c r="M90" s="23" t="s">
        <v>1409</v>
      </c>
      <c r="N90" s="24"/>
      <c r="O90" s="24"/>
      <c r="P90" s="24"/>
      <c r="Q90" s="17" t="s">
        <v>43</v>
      </c>
    </row>
    <row r="91" spans="2:17">
      <c r="C91" s="5" t="str">
        <f t="shared" si="1"/>
        <v/>
      </c>
      <c r="N91" s="22"/>
      <c r="O91" s="22"/>
      <c r="P91" s="22"/>
    </row>
    <row r="92" spans="2:17">
      <c r="B92" s="11" t="s">
        <v>50</v>
      </c>
      <c r="C92" s="5" t="str">
        <f t="shared" si="1"/>
        <v>RFH03</v>
      </c>
      <c r="D92" s="6" t="s">
        <v>36</v>
      </c>
      <c r="E92" s="11" t="s">
        <v>47</v>
      </c>
      <c r="F92" s="11" t="s">
        <v>1437</v>
      </c>
      <c r="G92" s="11"/>
      <c r="H92" s="18">
        <v>376.92</v>
      </c>
      <c r="I92" s="5" t="s">
        <v>52</v>
      </c>
      <c r="J92" s="19">
        <v>54</v>
      </c>
      <c r="K92" s="5" t="s">
        <v>49</v>
      </c>
      <c r="L92" s="5" t="s">
        <v>53</v>
      </c>
      <c r="M92" s="23" t="s">
        <v>1438</v>
      </c>
      <c r="N92" s="24">
        <v>11000</v>
      </c>
      <c r="O92" s="24">
        <v>20</v>
      </c>
      <c r="P92" s="24">
        <v>1</v>
      </c>
      <c r="Q92" s="17" t="s">
        <v>43</v>
      </c>
    </row>
    <row r="93" spans="2:17">
      <c r="B93" s="11" t="s">
        <v>55</v>
      </c>
      <c r="C93" s="5" t="str">
        <f t="shared" si="1"/>
        <v>RFH03P01</v>
      </c>
      <c r="D93" s="6" t="s">
        <v>36</v>
      </c>
      <c r="E93" s="11" t="s">
        <v>47</v>
      </c>
      <c r="F93" s="11" t="s">
        <v>1437</v>
      </c>
      <c r="G93" s="11" t="s">
        <v>1439</v>
      </c>
      <c r="H93" s="18">
        <v>6.98</v>
      </c>
      <c r="I93" s="5" t="s">
        <v>52</v>
      </c>
      <c r="J93" s="19">
        <v>1</v>
      </c>
      <c r="K93" s="5" t="s">
        <v>49</v>
      </c>
      <c r="L93" s="5" t="s">
        <v>53</v>
      </c>
      <c r="M93" s="23" t="s">
        <v>1438</v>
      </c>
      <c r="N93" s="24"/>
      <c r="O93" s="24"/>
      <c r="P93" s="24"/>
      <c r="Q93" s="17" t="s">
        <v>43</v>
      </c>
    </row>
    <row r="94" spans="2:17">
      <c r="B94" s="11" t="s">
        <v>55</v>
      </c>
      <c r="C94" s="5" t="str">
        <f t="shared" si="1"/>
        <v>RFH03P02</v>
      </c>
      <c r="D94" s="6" t="s">
        <v>36</v>
      </c>
      <c r="E94" s="11" t="s">
        <v>47</v>
      </c>
      <c r="F94" s="11" t="s">
        <v>1437</v>
      </c>
      <c r="G94" s="11" t="s">
        <v>1440</v>
      </c>
      <c r="H94" s="18">
        <v>6.98</v>
      </c>
      <c r="I94" s="5" t="s">
        <v>52</v>
      </c>
      <c r="J94" s="19">
        <v>1</v>
      </c>
      <c r="K94" s="5" t="s">
        <v>49</v>
      </c>
      <c r="L94" s="5" t="s">
        <v>53</v>
      </c>
      <c r="M94" s="23" t="s">
        <v>1438</v>
      </c>
      <c r="N94" s="24"/>
      <c r="O94" s="24"/>
      <c r="P94" s="24"/>
      <c r="Q94" s="17" t="s">
        <v>43</v>
      </c>
    </row>
    <row r="95" spans="2:17">
      <c r="B95" s="11" t="s">
        <v>55</v>
      </c>
      <c r="C95" s="5" t="str">
        <f t="shared" si="1"/>
        <v>RFH03P03</v>
      </c>
      <c r="D95" s="6" t="s">
        <v>36</v>
      </c>
      <c r="E95" s="11" t="s">
        <v>47</v>
      </c>
      <c r="F95" s="11" t="s">
        <v>1437</v>
      </c>
      <c r="G95" s="11" t="s">
        <v>1441</v>
      </c>
      <c r="H95" s="18">
        <v>6.98</v>
      </c>
      <c r="I95" s="5" t="s">
        <v>52</v>
      </c>
      <c r="J95" s="19">
        <v>1</v>
      </c>
      <c r="K95" s="5" t="s">
        <v>49</v>
      </c>
      <c r="L95" s="5" t="s">
        <v>53</v>
      </c>
      <c r="M95" s="23" t="s">
        <v>1438</v>
      </c>
      <c r="N95" s="24"/>
      <c r="O95" s="24"/>
      <c r="P95" s="24"/>
      <c r="Q95" s="17" t="s">
        <v>43</v>
      </c>
    </row>
    <row r="96" spans="2:17">
      <c r="B96" s="11" t="s">
        <v>55</v>
      </c>
      <c r="C96" s="5" t="str">
        <f t="shared" si="1"/>
        <v>RFH03P04</v>
      </c>
      <c r="D96" s="6" t="s">
        <v>36</v>
      </c>
      <c r="E96" s="11" t="s">
        <v>47</v>
      </c>
      <c r="F96" s="11" t="s">
        <v>1437</v>
      </c>
      <c r="G96" s="11" t="s">
        <v>1442</v>
      </c>
      <c r="H96" s="18">
        <v>6.98</v>
      </c>
      <c r="I96" s="5" t="s">
        <v>52</v>
      </c>
      <c r="J96" s="19">
        <v>1</v>
      </c>
      <c r="K96" s="5" t="s">
        <v>49</v>
      </c>
      <c r="L96" s="5" t="s">
        <v>53</v>
      </c>
      <c r="M96" s="23" t="s">
        <v>1438</v>
      </c>
      <c r="N96" s="24"/>
      <c r="O96" s="24"/>
      <c r="P96" s="24"/>
      <c r="Q96" s="17" t="s">
        <v>43</v>
      </c>
    </row>
    <row r="97" spans="2:17">
      <c r="B97" s="11" t="s">
        <v>55</v>
      </c>
      <c r="C97" s="5" t="str">
        <f t="shared" si="1"/>
        <v>RFH03P05</v>
      </c>
      <c r="D97" s="6" t="s">
        <v>36</v>
      </c>
      <c r="E97" s="11" t="s">
        <v>47</v>
      </c>
      <c r="F97" s="11" t="s">
        <v>1437</v>
      </c>
      <c r="G97" s="11" t="s">
        <v>1443</v>
      </c>
      <c r="H97" s="18">
        <v>6.98</v>
      </c>
      <c r="I97" s="5" t="s">
        <v>52</v>
      </c>
      <c r="J97" s="19">
        <v>1</v>
      </c>
      <c r="K97" s="5" t="s">
        <v>49</v>
      </c>
      <c r="L97" s="5" t="s">
        <v>53</v>
      </c>
      <c r="M97" s="23" t="s">
        <v>1438</v>
      </c>
      <c r="N97" s="24"/>
      <c r="O97" s="24"/>
      <c r="P97" s="24"/>
      <c r="Q97" s="17" t="s">
        <v>43</v>
      </c>
    </row>
    <row r="98" spans="2:17">
      <c r="B98" s="11" t="s">
        <v>55</v>
      </c>
      <c r="C98" s="5" t="str">
        <f t="shared" si="1"/>
        <v>RFH03P06</v>
      </c>
      <c r="D98" s="6" t="s">
        <v>36</v>
      </c>
      <c r="E98" s="11" t="s">
        <v>47</v>
      </c>
      <c r="F98" s="11" t="s">
        <v>1437</v>
      </c>
      <c r="G98" s="11" t="s">
        <v>1444</v>
      </c>
      <c r="H98" s="18">
        <v>6.98</v>
      </c>
      <c r="I98" s="5" t="s">
        <v>52</v>
      </c>
      <c r="J98" s="19">
        <v>1</v>
      </c>
      <c r="K98" s="5" t="s">
        <v>49</v>
      </c>
      <c r="L98" s="5" t="s">
        <v>53</v>
      </c>
      <c r="M98" s="23" t="s">
        <v>1438</v>
      </c>
      <c r="N98" s="24"/>
      <c r="O98" s="24"/>
      <c r="P98" s="24"/>
      <c r="Q98" s="17" t="s">
        <v>43</v>
      </c>
    </row>
    <row r="99" spans="2:17">
      <c r="B99" s="11" t="s">
        <v>55</v>
      </c>
      <c r="C99" s="5" t="str">
        <f t="shared" si="1"/>
        <v>RFH03P07</v>
      </c>
      <c r="D99" s="6" t="s">
        <v>36</v>
      </c>
      <c r="E99" s="11" t="s">
        <v>47</v>
      </c>
      <c r="F99" s="11" t="s">
        <v>1437</v>
      </c>
      <c r="G99" s="11" t="s">
        <v>1445</v>
      </c>
      <c r="H99" s="18">
        <v>6.98</v>
      </c>
      <c r="I99" s="5" t="s">
        <v>52</v>
      </c>
      <c r="J99" s="19">
        <v>1</v>
      </c>
      <c r="K99" s="5" t="s">
        <v>49</v>
      </c>
      <c r="L99" s="5" t="s">
        <v>53</v>
      </c>
      <c r="M99" s="23" t="s">
        <v>1438</v>
      </c>
      <c r="N99" s="24"/>
      <c r="O99" s="24"/>
      <c r="P99" s="24"/>
      <c r="Q99" s="17" t="s">
        <v>43</v>
      </c>
    </row>
    <row r="100" spans="2:17">
      <c r="B100" s="11" t="s">
        <v>55</v>
      </c>
      <c r="C100" s="5" t="str">
        <f t="shared" si="1"/>
        <v>RFH03P08</v>
      </c>
      <c r="D100" s="6" t="s">
        <v>36</v>
      </c>
      <c r="E100" s="11" t="s">
        <v>47</v>
      </c>
      <c r="F100" s="11" t="s">
        <v>1437</v>
      </c>
      <c r="G100" s="11" t="s">
        <v>1446</v>
      </c>
      <c r="H100" s="18">
        <v>6.98</v>
      </c>
      <c r="I100" s="5" t="s">
        <v>52</v>
      </c>
      <c r="J100" s="19">
        <v>1</v>
      </c>
      <c r="K100" s="5" t="s">
        <v>49</v>
      </c>
      <c r="L100" s="5" t="s">
        <v>53</v>
      </c>
      <c r="M100" s="23" t="s">
        <v>1438</v>
      </c>
      <c r="N100" s="24"/>
      <c r="O100" s="24"/>
      <c r="P100" s="24"/>
      <c r="Q100" s="17" t="s">
        <v>43</v>
      </c>
    </row>
    <row r="101" spans="2:17">
      <c r="B101" s="11" t="s">
        <v>55</v>
      </c>
      <c r="C101" s="5" t="str">
        <f t="shared" si="1"/>
        <v>RFH03P09</v>
      </c>
      <c r="D101" s="6" t="s">
        <v>36</v>
      </c>
      <c r="E101" s="11" t="s">
        <v>47</v>
      </c>
      <c r="F101" s="11" t="s">
        <v>1437</v>
      </c>
      <c r="G101" s="11" t="s">
        <v>1447</v>
      </c>
      <c r="H101" s="18">
        <v>6.98</v>
      </c>
      <c r="I101" s="5" t="s">
        <v>52</v>
      </c>
      <c r="J101" s="19">
        <v>1</v>
      </c>
      <c r="K101" s="5" t="s">
        <v>49</v>
      </c>
      <c r="L101" s="5" t="s">
        <v>53</v>
      </c>
      <c r="M101" s="23" t="s">
        <v>1438</v>
      </c>
      <c r="N101" s="24"/>
      <c r="O101" s="24"/>
      <c r="P101" s="24"/>
      <c r="Q101" s="17" t="s">
        <v>43</v>
      </c>
    </row>
    <row r="102" spans="2:17">
      <c r="B102" s="11" t="s">
        <v>55</v>
      </c>
      <c r="C102" s="5" t="str">
        <f t="shared" si="1"/>
        <v>RFH03P10</v>
      </c>
      <c r="D102" s="6" t="s">
        <v>36</v>
      </c>
      <c r="E102" s="11" t="s">
        <v>47</v>
      </c>
      <c r="F102" s="11" t="s">
        <v>1437</v>
      </c>
      <c r="G102" s="11" t="s">
        <v>1448</v>
      </c>
      <c r="H102" s="18">
        <v>6.98</v>
      </c>
      <c r="I102" s="5" t="s">
        <v>52</v>
      </c>
      <c r="J102" s="19">
        <v>1</v>
      </c>
      <c r="K102" s="5" t="s">
        <v>49</v>
      </c>
      <c r="L102" s="5" t="s">
        <v>53</v>
      </c>
      <c r="M102" s="23" t="s">
        <v>1438</v>
      </c>
      <c r="N102" s="24"/>
      <c r="O102" s="24"/>
      <c r="P102" s="24"/>
      <c r="Q102" s="17" t="s">
        <v>43</v>
      </c>
    </row>
    <row r="103" spans="2:17">
      <c r="B103" s="11" t="s">
        <v>55</v>
      </c>
      <c r="C103" s="5" t="str">
        <f t="shared" si="1"/>
        <v>RFH03P11</v>
      </c>
      <c r="D103" s="6" t="s">
        <v>36</v>
      </c>
      <c r="E103" s="11" t="s">
        <v>47</v>
      </c>
      <c r="F103" s="11" t="s">
        <v>1437</v>
      </c>
      <c r="G103" s="11" t="s">
        <v>1449</v>
      </c>
      <c r="H103" s="18">
        <v>6.98</v>
      </c>
      <c r="I103" s="5" t="s">
        <v>52</v>
      </c>
      <c r="J103" s="19">
        <v>1</v>
      </c>
      <c r="K103" s="5" t="s">
        <v>49</v>
      </c>
      <c r="L103" s="5" t="s">
        <v>53</v>
      </c>
      <c r="M103" s="23" t="s">
        <v>1438</v>
      </c>
      <c r="N103" s="24"/>
      <c r="O103" s="24"/>
      <c r="P103" s="24"/>
      <c r="Q103" s="17" t="s">
        <v>43</v>
      </c>
    </row>
    <row r="104" spans="2:17">
      <c r="B104" s="11" t="s">
        <v>55</v>
      </c>
      <c r="C104" s="5" t="str">
        <f t="shared" si="1"/>
        <v>RFH03P12</v>
      </c>
      <c r="D104" s="6" t="s">
        <v>36</v>
      </c>
      <c r="E104" s="11" t="s">
        <v>47</v>
      </c>
      <c r="F104" s="11" t="s">
        <v>1437</v>
      </c>
      <c r="G104" s="11" t="s">
        <v>1450</v>
      </c>
      <c r="H104" s="18">
        <v>6.98</v>
      </c>
      <c r="I104" s="5" t="s">
        <v>52</v>
      </c>
      <c r="J104" s="19">
        <v>1</v>
      </c>
      <c r="K104" s="5" t="s">
        <v>49</v>
      </c>
      <c r="L104" s="5" t="s">
        <v>53</v>
      </c>
      <c r="M104" s="23" t="s">
        <v>1438</v>
      </c>
      <c r="N104" s="24"/>
      <c r="O104" s="24"/>
      <c r="P104" s="24"/>
      <c r="Q104" s="17" t="s">
        <v>43</v>
      </c>
    </row>
    <row r="105" spans="2:17">
      <c r="B105" s="11" t="s">
        <v>55</v>
      </c>
      <c r="C105" s="5" t="str">
        <f t="shared" si="1"/>
        <v>RFH03P13</v>
      </c>
      <c r="D105" s="6" t="s">
        <v>36</v>
      </c>
      <c r="E105" s="11" t="s">
        <v>47</v>
      </c>
      <c r="F105" s="11" t="s">
        <v>1437</v>
      </c>
      <c r="G105" s="11" t="s">
        <v>1451</v>
      </c>
      <c r="H105" s="18">
        <v>6.98</v>
      </c>
      <c r="I105" s="5" t="s">
        <v>52</v>
      </c>
      <c r="J105" s="19">
        <v>1</v>
      </c>
      <c r="K105" s="5" t="s">
        <v>49</v>
      </c>
      <c r="L105" s="5" t="s">
        <v>53</v>
      </c>
      <c r="M105" s="23" t="s">
        <v>1438</v>
      </c>
      <c r="N105" s="24"/>
      <c r="O105" s="24"/>
      <c r="P105" s="24"/>
      <c r="Q105" s="17" t="s">
        <v>43</v>
      </c>
    </row>
    <row r="106" spans="2:17">
      <c r="B106" s="11" t="s">
        <v>55</v>
      </c>
      <c r="C106" s="5" t="str">
        <f t="shared" si="1"/>
        <v>RFH03P14</v>
      </c>
      <c r="D106" s="6" t="s">
        <v>36</v>
      </c>
      <c r="E106" s="11" t="s">
        <v>47</v>
      </c>
      <c r="F106" s="11" t="s">
        <v>1437</v>
      </c>
      <c r="G106" s="11" t="s">
        <v>1452</v>
      </c>
      <c r="H106" s="18">
        <v>6.98</v>
      </c>
      <c r="I106" s="5" t="s">
        <v>52</v>
      </c>
      <c r="J106" s="19">
        <v>1</v>
      </c>
      <c r="K106" s="5" t="s">
        <v>49</v>
      </c>
      <c r="L106" s="5" t="s">
        <v>53</v>
      </c>
      <c r="M106" s="23" t="s">
        <v>1438</v>
      </c>
      <c r="N106" s="24"/>
      <c r="O106" s="24"/>
      <c r="P106" s="24"/>
      <c r="Q106" s="17" t="s">
        <v>43</v>
      </c>
    </row>
    <row r="107" spans="2:17">
      <c r="B107" s="11" t="s">
        <v>55</v>
      </c>
      <c r="C107" s="5" t="str">
        <f t="shared" si="1"/>
        <v>RFH03P15</v>
      </c>
      <c r="D107" s="6" t="s">
        <v>36</v>
      </c>
      <c r="E107" s="11" t="s">
        <v>47</v>
      </c>
      <c r="F107" s="11" t="s">
        <v>1437</v>
      </c>
      <c r="G107" s="11" t="s">
        <v>1453</v>
      </c>
      <c r="H107" s="18">
        <v>6.98</v>
      </c>
      <c r="I107" s="5" t="s">
        <v>52</v>
      </c>
      <c r="J107" s="19">
        <v>1</v>
      </c>
      <c r="K107" s="5" t="s">
        <v>49</v>
      </c>
      <c r="L107" s="5" t="s">
        <v>53</v>
      </c>
      <c r="M107" s="23" t="s">
        <v>1438</v>
      </c>
      <c r="N107" s="24"/>
      <c r="O107" s="24"/>
      <c r="P107" s="24"/>
      <c r="Q107" s="17" t="s">
        <v>43</v>
      </c>
    </row>
    <row r="108" spans="2:17">
      <c r="B108" s="11" t="s">
        <v>55</v>
      </c>
      <c r="C108" s="5" t="str">
        <f t="shared" si="1"/>
        <v>RFH03P16</v>
      </c>
      <c r="D108" s="6" t="s">
        <v>36</v>
      </c>
      <c r="E108" s="11" t="s">
        <v>47</v>
      </c>
      <c r="F108" s="11" t="s">
        <v>1437</v>
      </c>
      <c r="G108" s="11" t="s">
        <v>1454</v>
      </c>
      <c r="H108" s="18">
        <v>6.98</v>
      </c>
      <c r="I108" s="5" t="s">
        <v>52</v>
      </c>
      <c r="J108" s="19">
        <v>1</v>
      </c>
      <c r="K108" s="5" t="s">
        <v>49</v>
      </c>
      <c r="L108" s="5" t="s">
        <v>53</v>
      </c>
      <c r="M108" s="23" t="s">
        <v>1438</v>
      </c>
      <c r="N108" s="24"/>
      <c r="O108" s="24"/>
      <c r="P108" s="24"/>
      <c r="Q108" s="17" t="s">
        <v>43</v>
      </c>
    </row>
    <row r="109" spans="2:17">
      <c r="B109" s="11" t="s">
        <v>55</v>
      </c>
      <c r="C109" s="5" t="str">
        <f t="shared" si="1"/>
        <v>RFH03P17</v>
      </c>
      <c r="D109" s="6" t="s">
        <v>36</v>
      </c>
      <c r="E109" s="11" t="s">
        <v>47</v>
      </c>
      <c r="F109" s="11" t="s">
        <v>1437</v>
      </c>
      <c r="G109" s="11" t="s">
        <v>1455</v>
      </c>
      <c r="H109" s="18">
        <v>6.98</v>
      </c>
      <c r="I109" s="5" t="s">
        <v>52</v>
      </c>
      <c r="J109" s="19">
        <v>1</v>
      </c>
      <c r="K109" s="5" t="s">
        <v>49</v>
      </c>
      <c r="L109" s="5" t="s">
        <v>53</v>
      </c>
      <c r="M109" s="23" t="s">
        <v>1438</v>
      </c>
      <c r="N109" s="24"/>
      <c r="O109" s="24"/>
      <c r="P109" s="24"/>
      <c r="Q109" s="17" t="s">
        <v>43</v>
      </c>
    </row>
    <row r="110" spans="2:17">
      <c r="B110" s="11" t="s">
        <v>55</v>
      </c>
      <c r="C110" s="5" t="str">
        <f t="shared" si="1"/>
        <v>RFH03P18</v>
      </c>
      <c r="D110" s="6" t="s">
        <v>36</v>
      </c>
      <c r="E110" s="11" t="s">
        <v>47</v>
      </c>
      <c r="F110" s="11" t="s">
        <v>1437</v>
      </c>
      <c r="G110" s="11" t="s">
        <v>1456</v>
      </c>
      <c r="H110" s="18">
        <v>6.98</v>
      </c>
      <c r="I110" s="5" t="s">
        <v>52</v>
      </c>
      <c r="J110" s="19">
        <v>1</v>
      </c>
      <c r="K110" s="5" t="s">
        <v>49</v>
      </c>
      <c r="L110" s="5" t="s">
        <v>53</v>
      </c>
      <c r="M110" s="23" t="s">
        <v>1438</v>
      </c>
      <c r="N110" s="24"/>
      <c r="O110" s="24"/>
      <c r="P110" s="24"/>
      <c r="Q110" s="17" t="s">
        <v>43</v>
      </c>
    </row>
    <row r="111" spans="2:17">
      <c r="B111" s="11" t="s">
        <v>55</v>
      </c>
      <c r="C111" s="5" t="str">
        <f t="shared" si="1"/>
        <v>RFH03P19</v>
      </c>
      <c r="D111" s="6" t="s">
        <v>36</v>
      </c>
      <c r="E111" s="11" t="s">
        <v>47</v>
      </c>
      <c r="F111" s="11" t="s">
        <v>1437</v>
      </c>
      <c r="G111" s="11" t="s">
        <v>1457</v>
      </c>
      <c r="H111" s="18">
        <v>6.98</v>
      </c>
      <c r="I111" s="5" t="s">
        <v>52</v>
      </c>
      <c r="J111" s="19">
        <v>1</v>
      </c>
      <c r="K111" s="5" t="s">
        <v>49</v>
      </c>
      <c r="L111" s="5" t="s">
        <v>53</v>
      </c>
      <c r="M111" s="23" t="s">
        <v>1438</v>
      </c>
      <c r="N111" s="24"/>
      <c r="O111" s="24"/>
      <c r="P111" s="24"/>
      <c r="Q111" s="17" t="s">
        <v>43</v>
      </c>
    </row>
    <row r="112" spans="2:17">
      <c r="B112" s="11" t="s">
        <v>55</v>
      </c>
      <c r="C112" s="5" t="str">
        <f t="shared" si="1"/>
        <v>RFH03P20</v>
      </c>
      <c r="D112" s="6" t="s">
        <v>36</v>
      </c>
      <c r="E112" s="11" t="s">
        <v>47</v>
      </c>
      <c r="F112" s="11" t="s">
        <v>1437</v>
      </c>
      <c r="G112" s="11" t="s">
        <v>1458</v>
      </c>
      <c r="H112" s="18">
        <v>6.98</v>
      </c>
      <c r="I112" s="5" t="s">
        <v>52</v>
      </c>
      <c r="J112" s="19">
        <v>1</v>
      </c>
      <c r="K112" s="5" t="s">
        <v>49</v>
      </c>
      <c r="L112" s="5" t="s">
        <v>53</v>
      </c>
      <c r="M112" s="23" t="s">
        <v>1438</v>
      </c>
      <c r="N112" s="24"/>
      <c r="O112" s="24"/>
      <c r="P112" s="24"/>
      <c r="Q112" s="17" t="s">
        <v>43</v>
      </c>
    </row>
    <row r="113" spans="2:17">
      <c r="B113" s="11" t="s">
        <v>55</v>
      </c>
      <c r="C113" s="5" t="str">
        <f t="shared" si="1"/>
        <v>RFH03P21</v>
      </c>
      <c r="D113" s="6" t="s">
        <v>36</v>
      </c>
      <c r="E113" s="11" t="s">
        <v>47</v>
      </c>
      <c r="F113" s="11" t="s">
        <v>1437</v>
      </c>
      <c r="G113" s="11" t="s">
        <v>1459</v>
      </c>
      <c r="H113" s="18">
        <v>6.98</v>
      </c>
      <c r="I113" s="5" t="s">
        <v>52</v>
      </c>
      <c r="J113" s="19">
        <v>1</v>
      </c>
      <c r="K113" s="5" t="s">
        <v>49</v>
      </c>
      <c r="L113" s="5" t="s">
        <v>53</v>
      </c>
      <c r="M113" s="23" t="s">
        <v>1438</v>
      </c>
      <c r="N113" s="24"/>
      <c r="O113" s="24"/>
      <c r="P113" s="24"/>
      <c r="Q113" s="17" t="s">
        <v>43</v>
      </c>
    </row>
    <row r="114" spans="2:17">
      <c r="B114" s="11" t="s">
        <v>55</v>
      </c>
      <c r="C114" s="5" t="str">
        <f t="shared" si="1"/>
        <v>RFH03P22</v>
      </c>
      <c r="D114" s="6" t="s">
        <v>36</v>
      </c>
      <c r="E114" s="11" t="s">
        <v>47</v>
      </c>
      <c r="F114" s="11" t="s">
        <v>1437</v>
      </c>
      <c r="G114" s="11" t="s">
        <v>1460</v>
      </c>
      <c r="H114" s="18">
        <v>6.98</v>
      </c>
      <c r="I114" s="5" t="s">
        <v>52</v>
      </c>
      <c r="J114" s="19">
        <v>1</v>
      </c>
      <c r="K114" s="5" t="s">
        <v>49</v>
      </c>
      <c r="L114" s="5" t="s">
        <v>53</v>
      </c>
      <c r="M114" s="23" t="s">
        <v>1438</v>
      </c>
      <c r="N114" s="24"/>
      <c r="O114" s="24"/>
      <c r="P114" s="24"/>
      <c r="Q114" s="17" t="s">
        <v>43</v>
      </c>
    </row>
    <row r="115" spans="2:17">
      <c r="B115" s="11" t="s">
        <v>55</v>
      </c>
      <c r="C115" s="5" t="str">
        <f t="shared" si="1"/>
        <v>RFH03P23</v>
      </c>
      <c r="D115" s="6" t="s">
        <v>36</v>
      </c>
      <c r="E115" s="11" t="s">
        <v>47</v>
      </c>
      <c r="F115" s="11" t="s">
        <v>1437</v>
      </c>
      <c r="G115" s="11" t="s">
        <v>1461</v>
      </c>
      <c r="H115" s="18">
        <v>6.98</v>
      </c>
      <c r="I115" s="5" t="s">
        <v>52</v>
      </c>
      <c r="J115" s="19">
        <v>1</v>
      </c>
      <c r="K115" s="5" t="s">
        <v>49</v>
      </c>
      <c r="L115" s="5" t="s">
        <v>53</v>
      </c>
      <c r="M115" s="23" t="s">
        <v>1438</v>
      </c>
      <c r="N115" s="24"/>
      <c r="O115" s="24"/>
      <c r="P115" s="24"/>
      <c r="Q115" s="17" t="s">
        <v>43</v>
      </c>
    </row>
    <row r="116" spans="2:17">
      <c r="B116" s="11" t="s">
        <v>55</v>
      </c>
      <c r="C116" s="5" t="str">
        <f t="shared" si="1"/>
        <v>RFH03P24</v>
      </c>
      <c r="D116" s="6" t="s">
        <v>36</v>
      </c>
      <c r="E116" s="11" t="s">
        <v>47</v>
      </c>
      <c r="F116" s="11" t="s">
        <v>1437</v>
      </c>
      <c r="G116" s="11" t="s">
        <v>1462</v>
      </c>
      <c r="H116" s="18">
        <v>6.98</v>
      </c>
      <c r="I116" s="5" t="s">
        <v>52</v>
      </c>
      <c r="J116" s="19">
        <v>1</v>
      </c>
      <c r="K116" s="5" t="s">
        <v>49</v>
      </c>
      <c r="L116" s="5" t="s">
        <v>53</v>
      </c>
      <c r="M116" s="23" t="s">
        <v>1438</v>
      </c>
      <c r="N116" s="24"/>
      <c r="O116" s="24"/>
      <c r="P116" s="24"/>
      <c r="Q116" s="17" t="s">
        <v>43</v>
      </c>
    </row>
    <row r="117" spans="2:17">
      <c r="B117" s="11" t="s">
        <v>55</v>
      </c>
      <c r="C117" s="5" t="str">
        <f t="shared" si="1"/>
        <v>RFH03P25</v>
      </c>
      <c r="D117" s="6" t="s">
        <v>36</v>
      </c>
      <c r="E117" s="11" t="s">
        <v>47</v>
      </c>
      <c r="F117" s="11" t="s">
        <v>1437</v>
      </c>
      <c r="G117" s="11" t="s">
        <v>1463</v>
      </c>
      <c r="H117" s="18">
        <v>6.98</v>
      </c>
      <c r="I117" s="5" t="s">
        <v>52</v>
      </c>
      <c r="J117" s="19">
        <v>1</v>
      </c>
      <c r="K117" s="5" t="s">
        <v>49</v>
      </c>
      <c r="L117" s="5" t="s">
        <v>53</v>
      </c>
      <c r="M117" s="23" t="s">
        <v>1438</v>
      </c>
      <c r="N117" s="24"/>
      <c r="O117" s="24"/>
      <c r="P117" s="24"/>
      <c r="Q117" s="17" t="s">
        <v>43</v>
      </c>
    </row>
    <row r="118" spans="2:17">
      <c r="B118" s="11" t="s">
        <v>55</v>
      </c>
      <c r="C118" s="5" t="str">
        <f t="shared" si="1"/>
        <v>RFH03P26</v>
      </c>
      <c r="D118" s="6" t="s">
        <v>36</v>
      </c>
      <c r="E118" s="11" t="s">
        <v>47</v>
      </c>
      <c r="F118" s="11" t="s">
        <v>1437</v>
      </c>
      <c r="G118" s="11" t="s">
        <v>1464</v>
      </c>
      <c r="H118" s="18">
        <v>6.98</v>
      </c>
      <c r="I118" s="5" t="s">
        <v>52</v>
      </c>
      <c r="J118" s="19">
        <v>1</v>
      </c>
      <c r="K118" s="5" t="s">
        <v>49</v>
      </c>
      <c r="L118" s="5" t="s">
        <v>53</v>
      </c>
      <c r="M118" s="23" t="s">
        <v>1438</v>
      </c>
      <c r="N118" s="24"/>
      <c r="O118" s="24"/>
      <c r="P118" s="24"/>
      <c r="Q118" s="17" t="s">
        <v>43</v>
      </c>
    </row>
    <row r="119" spans="2:17">
      <c r="B119" s="11" t="s">
        <v>55</v>
      </c>
      <c r="C119" s="5" t="str">
        <f t="shared" si="1"/>
        <v>RFH03P27</v>
      </c>
      <c r="D119" s="6" t="s">
        <v>36</v>
      </c>
      <c r="E119" s="11" t="s">
        <v>47</v>
      </c>
      <c r="F119" s="11" t="s">
        <v>1437</v>
      </c>
      <c r="G119" s="11" t="s">
        <v>1465</v>
      </c>
      <c r="H119" s="18">
        <v>6.98</v>
      </c>
      <c r="I119" s="5" t="s">
        <v>52</v>
      </c>
      <c r="J119" s="19">
        <v>1</v>
      </c>
      <c r="K119" s="5" t="s">
        <v>49</v>
      </c>
      <c r="L119" s="5" t="s">
        <v>53</v>
      </c>
      <c r="M119" s="23" t="s">
        <v>1438</v>
      </c>
      <c r="N119" s="24"/>
      <c r="O119" s="24"/>
      <c r="P119" s="24"/>
      <c r="Q119" s="17" t="s">
        <v>43</v>
      </c>
    </row>
    <row r="120" spans="2:17">
      <c r="B120" s="11" t="s">
        <v>55</v>
      </c>
      <c r="C120" s="5" t="str">
        <f t="shared" si="1"/>
        <v>RFH03P28</v>
      </c>
      <c r="D120" s="6" t="s">
        <v>36</v>
      </c>
      <c r="E120" s="11" t="s">
        <v>47</v>
      </c>
      <c r="F120" s="11" t="s">
        <v>1437</v>
      </c>
      <c r="G120" s="11" t="s">
        <v>1466</v>
      </c>
      <c r="H120" s="18">
        <v>6.98</v>
      </c>
      <c r="I120" s="5" t="s">
        <v>52</v>
      </c>
      <c r="J120" s="19">
        <v>1</v>
      </c>
      <c r="K120" s="5" t="s">
        <v>49</v>
      </c>
      <c r="L120" s="5" t="s">
        <v>53</v>
      </c>
      <c r="M120" s="23" t="s">
        <v>1438</v>
      </c>
      <c r="N120" s="24"/>
      <c r="O120" s="24"/>
      <c r="P120" s="24"/>
      <c r="Q120" s="17" t="s">
        <v>43</v>
      </c>
    </row>
    <row r="121" spans="2:17">
      <c r="B121" s="11" t="s">
        <v>55</v>
      </c>
      <c r="C121" s="5" t="str">
        <f t="shared" si="1"/>
        <v>RFH03P29</v>
      </c>
      <c r="D121" s="6" t="s">
        <v>36</v>
      </c>
      <c r="E121" s="11" t="s">
        <v>47</v>
      </c>
      <c r="F121" s="11" t="s">
        <v>1437</v>
      </c>
      <c r="G121" s="11" t="s">
        <v>1467</v>
      </c>
      <c r="H121" s="18">
        <v>6.98</v>
      </c>
      <c r="I121" s="5" t="s">
        <v>52</v>
      </c>
      <c r="J121" s="19">
        <v>1</v>
      </c>
      <c r="K121" s="5" t="s">
        <v>49</v>
      </c>
      <c r="L121" s="5" t="s">
        <v>53</v>
      </c>
      <c r="M121" s="23" t="s">
        <v>1438</v>
      </c>
      <c r="N121" s="24"/>
      <c r="O121" s="24"/>
      <c r="P121" s="24"/>
      <c r="Q121" s="17" t="s">
        <v>43</v>
      </c>
    </row>
    <row r="122" spans="2:17">
      <c r="B122" s="11" t="s">
        <v>55</v>
      </c>
      <c r="C122" s="5" t="str">
        <f t="shared" si="1"/>
        <v>RFH03P30</v>
      </c>
      <c r="D122" s="6" t="s">
        <v>36</v>
      </c>
      <c r="E122" s="11" t="s">
        <v>47</v>
      </c>
      <c r="F122" s="11" t="s">
        <v>1437</v>
      </c>
      <c r="G122" s="11" t="s">
        <v>1468</v>
      </c>
      <c r="H122" s="18">
        <v>6.98</v>
      </c>
      <c r="I122" s="5" t="s">
        <v>52</v>
      </c>
      <c r="J122" s="19">
        <v>1</v>
      </c>
      <c r="K122" s="5" t="s">
        <v>49</v>
      </c>
      <c r="L122" s="5" t="s">
        <v>53</v>
      </c>
      <c r="M122" s="23" t="s">
        <v>1438</v>
      </c>
      <c r="N122" s="24"/>
      <c r="O122" s="24"/>
      <c r="P122" s="24"/>
      <c r="Q122" s="17" t="s">
        <v>43</v>
      </c>
    </row>
    <row r="123" spans="2:17">
      <c r="B123" s="11" t="s">
        <v>55</v>
      </c>
      <c r="C123" s="5" t="str">
        <f t="shared" si="1"/>
        <v>RFH03P31</v>
      </c>
      <c r="D123" s="6" t="s">
        <v>36</v>
      </c>
      <c r="E123" s="11" t="s">
        <v>47</v>
      </c>
      <c r="F123" s="11" t="s">
        <v>1437</v>
      </c>
      <c r="G123" s="11" t="s">
        <v>1469</v>
      </c>
      <c r="H123" s="18">
        <v>6.98</v>
      </c>
      <c r="I123" s="5" t="s">
        <v>52</v>
      </c>
      <c r="J123" s="19">
        <v>1</v>
      </c>
      <c r="K123" s="5" t="s">
        <v>49</v>
      </c>
      <c r="L123" s="5" t="s">
        <v>53</v>
      </c>
      <c r="M123" s="23" t="s">
        <v>1438</v>
      </c>
      <c r="N123" s="24"/>
      <c r="O123" s="24"/>
      <c r="P123" s="24"/>
      <c r="Q123" s="17" t="s">
        <v>43</v>
      </c>
    </row>
    <row r="124" spans="2:17">
      <c r="B124" s="11" t="s">
        <v>55</v>
      </c>
      <c r="C124" s="5" t="str">
        <f t="shared" si="1"/>
        <v>RFH03P32</v>
      </c>
      <c r="D124" s="6" t="s">
        <v>36</v>
      </c>
      <c r="E124" s="11" t="s">
        <v>47</v>
      </c>
      <c r="F124" s="11" t="s">
        <v>1437</v>
      </c>
      <c r="G124" s="11" t="s">
        <v>1470</v>
      </c>
      <c r="H124" s="18">
        <v>6.98</v>
      </c>
      <c r="I124" s="5" t="s">
        <v>52</v>
      </c>
      <c r="J124" s="19">
        <v>1</v>
      </c>
      <c r="K124" s="5" t="s">
        <v>49</v>
      </c>
      <c r="L124" s="5" t="s">
        <v>53</v>
      </c>
      <c r="M124" s="23" t="s">
        <v>1438</v>
      </c>
      <c r="N124" s="24"/>
      <c r="O124" s="24"/>
      <c r="P124" s="24"/>
      <c r="Q124" s="17" t="s">
        <v>43</v>
      </c>
    </row>
    <row r="125" spans="2:17">
      <c r="B125" s="11" t="s">
        <v>55</v>
      </c>
      <c r="C125" s="5" t="str">
        <f t="shared" si="1"/>
        <v>RFH03P33</v>
      </c>
      <c r="D125" s="6" t="s">
        <v>36</v>
      </c>
      <c r="E125" s="11" t="s">
        <v>47</v>
      </c>
      <c r="F125" s="11" t="s">
        <v>1437</v>
      </c>
      <c r="G125" s="11" t="s">
        <v>1471</v>
      </c>
      <c r="H125" s="18">
        <v>6.98</v>
      </c>
      <c r="I125" s="5" t="s">
        <v>52</v>
      </c>
      <c r="J125" s="19">
        <v>1</v>
      </c>
      <c r="K125" s="5" t="s">
        <v>49</v>
      </c>
      <c r="L125" s="5" t="s">
        <v>53</v>
      </c>
      <c r="M125" s="23" t="s">
        <v>1438</v>
      </c>
      <c r="N125" s="24"/>
      <c r="O125" s="24"/>
      <c r="P125" s="24"/>
      <c r="Q125" s="17" t="s">
        <v>43</v>
      </c>
    </row>
    <row r="126" spans="2:17">
      <c r="B126" s="11" t="s">
        <v>55</v>
      </c>
      <c r="C126" s="5" t="str">
        <f t="shared" si="1"/>
        <v>RFH03P34</v>
      </c>
      <c r="D126" s="6" t="s">
        <v>36</v>
      </c>
      <c r="E126" s="11" t="s">
        <v>47</v>
      </c>
      <c r="F126" s="11" t="s">
        <v>1437</v>
      </c>
      <c r="G126" s="11" t="s">
        <v>1472</v>
      </c>
      <c r="H126" s="18">
        <v>6.98</v>
      </c>
      <c r="I126" s="5" t="s">
        <v>52</v>
      </c>
      <c r="J126" s="19">
        <v>1</v>
      </c>
      <c r="K126" s="5" t="s">
        <v>49</v>
      </c>
      <c r="L126" s="5" t="s">
        <v>53</v>
      </c>
      <c r="M126" s="23" t="s">
        <v>1438</v>
      </c>
      <c r="N126" s="24"/>
      <c r="O126" s="24"/>
      <c r="P126" s="24"/>
      <c r="Q126" s="17" t="s">
        <v>43</v>
      </c>
    </row>
    <row r="127" spans="2:17">
      <c r="B127" s="11" t="s">
        <v>55</v>
      </c>
      <c r="C127" s="5" t="str">
        <f t="shared" si="1"/>
        <v>RFH03P35</v>
      </c>
      <c r="D127" s="6" t="s">
        <v>36</v>
      </c>
      <c r="E127" s="11" t="s">
        <v>47</v>
      </c>
      <c r="F127" s="11" t="s">
        <v>1437</v>
      </c>
      <c r="G127" s="11" t="s">
        <v>1473</v>
      </c>
      <c r="H127" s="18">
        <v>6.98</v>
      </c>
      <c r="I127" s="5" t="s">
        <v>52</v>
      </c>
      <c r="J127" s="19">
        <v>1</v>
      </c>
      <c r="K127" s="5" t="s">
        <v>49</v>
      </c>
      <c r="L127" s="5" t="s">
        <v>53</v>
      </c>
      <c r="M127" s="23" t="s">
        <v>1438</v>
      </c>
      <c r="N127" s="24"/>
      <c r="O127" s="24"/>
      <c r="P127" s="24"/>
      <c r="Q127" s="17" t="s">
        <v>43</v>
      </c>
    </row>
    <row r="128" spans="2:17">
      <c r="B128" s="11" t="s">
        <v>55</v>
      </c>
      <c r="C128" s="5" t="str">
        <f t="shared" si="1"/>
        <v>RFH03P36</v>
      </c>
      <c r="D128" s="6" t="s">
        <v>36</v>
      </c>
      <c r="E128" s="11" t="s">
        <v>47</v>
      </c>
      <c r="F128" s="11" t="s">
        <v>1437</v>
      </c>
      <c r="G128" s="11" t="s">
        <v>1474</v>
      </c>
      <c r="H128" s="18">
        <v>6.98</v>
      </c>
      <c r="I128" s="5" t="s">
        <v>52</v>
      </c>
      <c r="J128" s="19">
        <v>1</v>
      </c>
      <c r="K128" s="5" t="s">
        <v>49</v>
      </c>
      <c r="L128" s="5" t="s">
        <v>53</v>
      </c>
      <c r="M128" s="23" t="s">
        <v>1438</v>
      </c>
      <c r="N128" s="24"/>
      <c r="O128" s="24"/>
      <c r="P128" s="24"/>
      <c r="Q128" s="17" t="s">
        <v>43</v>
      </c>
    </row>
    <row r="129" spans="2:17">
      <c r="B129" s="11" t="s">
        <v>55</v>
      </c>
      <c r="C129" s="5" t="str">
        <f t="shared" si="1"/>
        <v>RFH03P37</v>
      </c>
      <c r="D129" s="6" t="s">
        <v>36</v>
      </c>
      <c r="E129" s="11" t="s">
        <v>47</v>
      </c>
      <c r="F129" s="11" t="s">
        <v>1437</v>
      </c>
      <c r="G129" s="11" t="s">
        <v>1475</v>
      </c>
      <c r="H129" s="18">
        <v>6.98</v>
      </c>
      <c r="I129" s="5" t="s">
        <v>52</v>
      </c>
      <c r="J129" s="19">
        <v>1</v>
      </c>
      <c r="K129" s="5" t="s">
        <v>49</v>
      </c>
      <c r="L129" s="5" t="s">
        <v>53</v>
      </c>
      <c r="M129" s="23" t="s">
        <v>1438</v>
      </c>
      <c r="N129" s="24"/>
      <c r="O129" s="24"/>
      <c r="P129" s="24"/>
      <c r="Q129" s="17" t="s">
        <v>43</v>
      </c>
    </row>
    <row r="130" spans="2:17">
      <c r="B130" s="11" t="s">
        <v>55</v>
      </c>
      <c r="C130" s="5" t="str">
        <f t="shared" si="1"/>
        <v>RFH03P38</v>
      </c>
      <c r="D130" s="6" t="s">
        <v>36</v>
      </c>
      <c r="E130" s="11" t="s">
        <v>47</v>
      </c>
      <c r="F130" s="11" t="s">
        <v>1437</v>
      </c>
      <c r="G130" s="11" t="s">
        <v>1476</v>
      </c>
      <c r="H130" s="18">
        <v>6.98</v>
      </c>
      <c r="I130" s="5" t="s">
        <v>52</v>
      </c>
      <c r="J130" s="19">
        <v>1</v>
      </c>
      <c r="K130" s="5" t="s">
        <v>49</v>
      </c>
      <c r="L130" s="5" t="s">
        <v>53</v>
      </c>
      <c r="M130" s="23" t="s">
        <v>1438</v>
      </c>
      <c r="N130" s="24"/>
      <c r="O130" s="24"/>
      <c r="P130" s="24"/>
      <c r="Q130" s="17" t="s">
        <v>43</v>
      </c>
    </row>
    <row r="131" spans="2:17">
      <c r="B131" s="11" t="s">
        <v>55</v>
      </c>
      <c r="C131" s="5" t="str">
        <f t="shared" si="1"/>
        <v>RFH03P39</v>
      </c>
      <c r="D131" s="6" t="s">
        <v>36</v>
      </c>
      <c r="E131" s="11" t="s">
        <v>47</v>
      </c>
      <c r="F131" s="11" t="s">
        <v>1437</v>
      </c>
      <c r="G131" s="11" t="s">
        <v>1477</v>
      </c>
      <c r="H131" s="18">
        <v>6.98</v>
      </c>
      <c r="I131" s="5" t="s">
        <v>52</v>
      </c>
      <c r="J131" s="19">
        <v>1</v>
      </c>
      <c r="K131" s="5" t="s">
        <v>49</v>
      </c>
      <c r="L131" s="5" t="s">
        <v>53</v>
      </c>
      <c r="M131" s="23" t="s">
        <v>1438</v>
      </c>
      <c r="N131" s="24"/>
      <c r="O131" s="24"/>
      <c r="P131" s="24"/>
      <c r="Q131" s="17" t="s">
        <v>43</v>
      </c>
    </row>
    <row r="132" spans="2:17">
      <c r="B132" s="11" t="s">
        <v>55</v>
      </c>
      <c r="C132" s="5" t="str">
        <f t="shared" si="1"/>
        <v>RFH03P40</v>
      </c>
      <c r="D132" s="6" t="s">
        <v>36</v>
      </c>
      <c r="E132" s="11" t="s">
        <v>47</v>
      </c>
      <c r="F132" s="11" t="s">
        <v>1437</v>
      </c>
      <c r="G132" s="11" t="s">
        <v>1478</v>
      </c>
      <c r="H132" s="18">
        <v>6.98</v>
      </c>
      <c r="I132" s="5" t="s">
        <v>52</v>
      </c>
      <c r="J132" s="19">
        <v>1</v>
      </c>
      <c r="K132" s="5" t="s">
        <v>49</v>
      </c>
      <c r="L132" s="5" t="s">
        <v>53</v>
      </c>
      <c r="M132" s="23" t="s">
        <v>1438</v>
      </c>
      <c r="N132" s="24"/>
      <c r="O132" s="24"/>
      <c r="P132" s="24"/>
      <c r="Q132" s="17" t="s">
        <v>43</v>
      </c>
    </row>
    <row r="133" spans="2:17">
      <c r="B133" s="11" t="s">
        <v>55</v>
      </c>
      <c r="C133" s="5" t="str">
        <f t="shared" si="1"/>
        <v>RFH03P41</v>
      </c>
      <c r="D133" s="6" t="s">
        <v>36</v>
      </c>
      <c r="E133" s="11" t="s">
        <v>47</v>
      </c>
      <c r="F133" s="11" t="s">
        <v>1437</v>
      </c>
      <c r="G133" s="11" t="s">
        <v>1479</v>
      </c>
      <c r="H133" s="18">
        <v>6.98</v>
      </c>
      <c r="I133" s="5" t="s">
        <v>52</v>
      </c>
      <c r="J133" s="19">
        <v>1</v>
      </c>
      <c r="K133" s="5" t="s">
        <v>49</v>
      </c>
      <c r="L133" s="5" t="s">
        <v>53</v>
      </c>
      <c r="M133" s="23" t="s">
        <v>1438</v>
      </c>
      <c r="N133" s="24"/>
      <c r="O133" s="24"/>
      <c r="P133" s="24"/>
      <c r="Q133" s="17" t="s">
        <v>43</v>
      </c>
    </row>
    <row r="134" spans="2:17">
      <c r="B134" s="11" t="s">
        <v>55</v>
      </c>
      <c r="C134" s="5" t="str">
        <f t="shared" si="1"/>
        <v>RFH03P42</v>
      </c>
      <c r="D134" s="6" t="s">
        <v>36</v>
      </c>
      <c r="E134" s="11" t="s">
        <v>47</v>
      </c>
      <c r="F134" s="11" t="s">
        <v>1437</v>
      </c>
      <c r="G134" s="11" t="s">
        <v>1480</v>
      </c>
      <c r="H134" s="18">
        <v>6.98</v>
      </c>
      <c r="I134" s="5" t="s">
        <v>52</v>
      </c>
      <c r="J134" s="19">
        <v>1</v>
      </c>
      <c r="K134" s="5" t="s">
        <v>49</v>
      </c>
      <c r="L134" s="5" t="s">
        <v>53</v>
      </c>
      <c r="M134" s="23" t="s">
        <v>1438</v>
      </c>
      <c r="N134" s="24"/>
      <c r="O134" s="24"/>
      <c r="P134" s="24"/>
      <c r="Q134" s="17" t="s">
        <v>43</v>
      </c>
    </row>
    <row r="135" spans="2:17">
      <c r="B135" s="11" t="s">
        <v>55</v>
      </c>
      <c r="C135" s="5" t="str">
        <f t="shared" ref="C135:C198" si="2">IF(E135="","",IF(G135&lt;&gt;"",SUBSTITUTE(SUBSTITUTE(G135," ",""),"-",""),IF(F135&lt;&gt;"",SUBSTITUTE(SUBSTITUTE(F135," ",""),"-",""),"")))</f>
        <v>RFH03P43</v>
      </c>
      <c r="D135" s="6" t="s">
        <v>36</v>
      </c>
      <c r="E135" s="11" t="s">
        <v>47</v>
      </c>
      <c r="F135" s="11" t="s">
        <v>1437</v>
      </c>
      <c r="G135" s="11" t="s">
        <v>1481</v>
      </c>
      <c r="H135" s="18">
        <v>6.98</v>
      </c>
      <c r="I135" s="5" t="s">
        <v>52</v>
      </c>
      <c r="J135" s="19">
        <v>1</v>
      </c>
      <c r="K135" s="5" t="s">
        <v>49</v>
      </c>
      <c r="L135" s="5" t="s">
        <v>53</v>
      </c>
      <c r="M135" s="23" t="s">
        <v>1438</v>
      </c>
      <c r="N135" s="24"/>
      <c r="O135" s="24"/>
      <c r="P135" s="24"/>
      <c r="Q135" s="17" t="s">
        <v>43</v>
      </c>
    </row>
    <row r="136" spans="2:17">
      <c r="B136" s="11" t="s">
        <v>55</v>
      </c>
      <c r="C136" s="5" t="str">
        <f t="shared" si="2"/>
        <v>RFH03P44</v>
      </c>
      <c r="D136" s="6" t="s">
        <v>36</v>
      </c>
      <c r="E136" s="11" t="s">
        <v>47</v>
      </c>
      <c r="F136" s="11" t="s">
        <v>1437</v>
      </c>
      <c r="G136" s="11" t="s">
        <v>1482</v>
      </c>
      <c r="H136" s="18">
        <v>6.98</v>
      </c>
      <c r="I136" s="5" t="s">
        <v>52</v>
      </c>
      <c r="J136" s="19">
        <v>1</v>
      </c>
      <c r="K136" s="5" t="s">
        <v>49</v>
      </c>
      <c r="L136" s="5" t="s">
        <v>53</v>
      </c>
      <c r="M136" s="23" t="s">
        <v>1438</v>
      </c>
      <c r="N136" s="24"/>
      <c r="O136" s="24"/>
      <c r="P136" s="24"/>
      <c r="Q136" s="17" t="s">
        <v>43</v>
      </c>
    </row>
    <row r="137" spans="2:17">
      <c r="B137" s="11" t="s">
        <v>55</v>
      </c>
      <c r="C137" s="5" t="str">
        <f t="shared" si="2"/>
        <v>RFH03P45</v>
      </c>
      <c r="D137" s="6" t="s">
        <v>36</v>
      </c>
      <c r="E137" s="11" t="s">
        <v>47</v>
      </c>
      <c r="F137" s="11" t="s">
        <v>1437</v>
      </c>
      <c r="G137" s="11" t="s">
        <v>1483</v>
      </c>
      <c r="H137" s="18">
        <v>6.98</v>
      </c>
      <c r="I137" s="5" t="s">
        <v>52</v>
      </c>
      <c r="J137" s="19">
        <v>1</v>
      </c>
      <c r="K137" s="5" t="s">
        <v>49</v>
      </c>
      <c r="L137" s="5" t="s">
        <v>53</v>
      </c>
      <c r="M137" s="23" t="s">
        <v>1438</v>
      </c>
      <c r="N137" s="24"/>
      <c r="O137" s="24"/>
      <c r="P137" s="24"/>
      <c r="Q137" s="17" t="s">
        <v>43</v>
      </c>
    </row>
    <row r="138" spans="2:17">
      <c r="B138" s="11" t="s">
        <v>55</v>
      </c>
      <c r="C138" s="5" t="str">
        <f t="shared" si="2"/>
        <v>RFH03P46</v>
      </c>
      <c r="D138" s="6" t="s">
        <v>36</v>
      </c>
      <c r="E138" s="11" t="s">
        <v>47</v>
      </c>
      <c r="F138" s="11" t="s">
        <v>1437</v>
      </c>
      <c r="G138" s="11" t="s">
        <v>1484</v>
      </c>
      <c r="H138" s="18">
        <v>6.98</v>
      </c>
      <c r="I138" s="5" t="s">
        <v>52</v>
      </c>
      <c r="J138" s="19">
        <v>1</v>
      </c>
      <c r="K138" s="5" t="s">
        <v>49</v>
      </c>
      <c r="L138" s="5" t="s">
        <v>53</v>
      </c>
      <c r="M138" s="23" t="s">
        <v>1438</v>
      </c>
      <c r="N138" s="24"/>
      <c r="O138" s="24"/>
      <c r="P138" s="24"/>
      <c r="Q138" s="17" t="s">
        <v>43</v>
      </c>
    </row>
    <row r="139" spans="2:17">
      <c r="B139" s="11" t="s">
        <v>55</v>
      </c>
      <c r="C139" s="5" t="str">
        <f t="shared" si="2"/>
        <v>RFH03P47</v>
      </c>
      <c r="D139" s="6" t="s">
        <v>36</v>
      </c>
      <c r="E139" s="11" t="s">
        <v>47</v>
      </c>
      <c r="F139" s="11" t="s">
        <v>1437</v>
      </c>
      <c r="G139" s="11" t="s">
        <v>1485</v>
      </c>
      <c r="H139" s="18">
        <v>6.98</v>
      </c>
      <c r="I139" s="5" t="s">
        <v>52</v>
      </c>
      <c r="J139" s="19">
        <v>1</v>
      </c>
      <c r="K139" s="5" t="s">
        <v>49</v>
      </c>
      <c r="L139" s="5" t="s">
        <v>53</v>
      </c>
      <c r="M139" s="23" t="s">
        <v>1438</v>
      </c>
      <c r="N139" s="24"/>
      <c r="O139" s="24"/>
      <c r="P139" s="24"/>
      <c r="Q139" s="17" t="s">
        <v>43</v>
      </c>
    </row>
    <row r="140" spans="2:17">
      <c r="B140" s="11" t="s">
        <v>55</v>
      </c>
      <c r="C140" s="5" t="str">
        <f t="shared" si="2"/>
        <v>RFH03P48</v>
      </c>
      <c r="D140" s="6" t="s">
        <v>36</v>
      </c>
      <c r="E140" s="11" t="s">
        <v>47</v>
      </c>
      <c r="F140" s="11" t="s">
        <v>1437</v>
      </c>
      <c r="G140" s="11" t="s">
        <v>1486</v>
      </c>
      <c r="H140" s="18">
        <v>6.98</v>
      </c>
      <c r="I140" s="5" t="s">
        <v>52</v>
      </c>
      <c r="J140" s="19">
        <v>1</v>
      </c>
      <c r="K140" s="5" t="s">
        <v>49</v>
      </c>
      <c r="L140" s="5" t="s">
        <v>53</v>
      </c>
      <c r="M140" s="23" t="s">
        <v>1438</v>
      </c>
      <c r="N140" s="24"/>
      <c r="O140" s="24"/>
      <c r="P140" s="24"/>
      <c r="Q140" s="17" t="s">
        <v>43</v>
      </c>
    </row>
    <row r="141" spans="2:17">
      <c r="B141" s="11" t="s">
        <v>55</v>
      </c>
      <c r="C141" s="5" t="str">
        <f t="shared" si="2"/>
        <v>RFH03P49</v>
      </c>
      <c r="D141" s="6" t="s">
        <v>36</v>
      </c>
      <c r="E141" s="11" t="s">
        <v>47</v>
      </c>
      <c r="F141" s="11" t="s">
        <v>1437</v>
      </c>
      <c r="G141" s="11" t="s">
        <v>1487</v>
      </c>
      <c r="H141" s="18">
        <v>6.98</v>
      </c>
      <c r="I141" s="5" t="s">
        <v>52</v>
      </c>
      <c r="J141" s="19">
        <v>1</v>
      </c>
      <c r="K141" s="5" t="s">
        <v>49</v>
      </c>
      <c r="L141" s="5" t="s">
        <v>53</v>
      </c>
      <c r="M141" s="23" t="s">
        <v>1438</v>
      </c>
      <c r="N141" s="24"/>
      <c r="O141" s="24"/>
      <c r="P141" s="24"/>
      <c r="Q141" s="17" t="s">
        <v>43</v>
      </c>
    </row>
    <row r="142" spans="2:17">
      <c r="B142" s="11" t="s">
        <v>55</v>
      </c>
      <c r="C142" s="5" t="str">
        <f t="shared" si="2"/>
        <v>RFH03P50</v>
      </c>
      <c r="D142" s="6" t="s">
        <v>36</v>
      </c>
      <c r="E142" s="11" t="s">
        <v>47</v>
      </c>
      <c r="F142" s="11" t="s">
        <v>1437</v>
      </c>
      <c r="G142" s="11" t="s">
        <v>1488</v>
      </c>
      <c r="H142" s="18">
        <v>6.98</v>
      </c>
      <c r="I142" s="5" t="s">
        <v>52</v>
      </c>
      <c r="J142" s="19">
        <v>1</v>
      </c>
      <c r="K142" s="5" t="s">
        <v>49</v>
      </c>
      <c r="L142" s="5" t="s">
        <v>53</v>
      </c>
      <c r="M142" s="23" t="s">
        <v>1438</v>
      </c>
      <c r="N142" s="24"/>
      <c r="O142" s="24"/>
      <c r="P142" s="24"/>
      <c r="Q142" s="17" t="s">
        <v>43</v>
      </c>
    </row>
    <row r="143" spans="2:17">
      <c r="B143" s="11" t="s">
        <v>55</v>
      </c>
      <c r="C143" s="5" t="str">
        <f t="shared" si="2"/>
        <v>RFH03P51</v>
      </c>
      <c r="D143" s="6" t="s">
        <v>36</v>
      </c>
      <c r="E143" s="11" t="s">
        <v>47</v>
      </c>
      <c r="F143" s="11" t="s">
        <v>1437</v>
      </c>
      <c r="G143" s="11" t="s">
        <v>1489</v>
      </c>
      <c r="H143" s="18">
        <v>6.98</v>
      </c>
      <c r="I143" s="5" t="s">
        <v>52</v>
      </c>
      <c r="J143" s="19">
        <v>1</v>
      </c>
      <c r="K143" s="5" t="s">
        <v>49</v>
      </c>
      <c r="L143" s="5" t="s">
        <v>53</v>
      </c>
      <c r="M143" s="23" t="s">
        <v>1438</v>
      </c>
      <c r="N143" s="24"/>
      <c r="O143" s="24"/>
      <c r="P143" s="24"/>
      <c r="Q143" s="17" t="s">
        <v>43</v>
      </c>
    </row>
    <row r="144" spans="2:17">
      <c r="B144" s="11" t="s">
        <v>55</v>
      </c>
      <c r="C144" s="5" t="str">
        <f t="shared" si="2"/>
        <v>RFH03P52</v>
      </c>
      <c r="D144" s="6" t="s">
        <v>36</v>
      </c>
      <c r="E144" s="11" t="s">
        <v>47</v>
      </c>
      <c r="F144" s="11" t="s">
        <v>1437</v>
      </c>
      <c r="G144" s="11" t="s">
        <v>1490</v>
      </c>
      <c r="H144" s="18">
        <v>6.98</v>
      </c>
      <c r="I144" s="5" t="s">
        <v>52</v>
      </c>
      <c r="J144" s="19">
        <v>1</v>
      </c>
      <c r="K144" s="5" t="s">
        <v>49</v>
      </c>
      <c r="L144" s="5" t="s">
        <v>53</v>
      </c>
      <c r="M144" s="23" t="s">
        <v>1438</v>
      </c>
      <c r="N144" s="24"/>
      <c r="O144" s="24"/>
      <c r="P144" s="24"/>
      <c r="Q144" s="17" t="s">
        <v>43</v>
      </c>
    </row>
    <row r="145" spans="2:17">
      <c r="B145" s="11" t="s">
        <v>55</v>
      </c>
      <c r="C145" s="5" t="str">
        <f t="shared" si="2"/>
        <v>RFH03P53</v>
      </c>
      <c r="D145" s="6" t="s">
        <v>36</v>
      </c>
      <c r="E145" s="11" t="s">
        <v>47</v>
      </c>
      <c r="F145" s="11" t="s">
        <v>1437</v>
      </c>
      <c r="G145" s="11" t="s">
        <v>1491</v>
      </c>
      <c r="H145" s="18">
        <v>6.98</v>
      </c>
      <c r="I145" s="5" t="s">
        <v>52</v>
      </c>
      <c r="J145" s="19">
        <v>1</v>
      </c>
      <c r="K145" s="5" t="s">
        <v>49</v>
      </c>
      <c r="L145" s="5" t="s">
        <v>53</v>
      </c>
      <c r="M145" s="23" t="s">
        <v>1438</v>
      </c>
      <c r="N145" s="24"/>
      <c r="O145" s="24"/>
      <c r="P145" s="24"/>
      <c r="Q145" s="17" t="s">
        <v>43</v>
      </c>
    </row>
    <row r="146" spans="2:17">
      <c r="B146" s="11" t="s">
        <v>55</v>
      </c>
      <c r="C146" s="5" t="str">
        <f t="shared" si="2"/>
        <v>RFH03P54</v>
      </c>
      <c r="D146" s="6" t="s">
        <v>36</v>
      </c>
      <c r="E146" s="11" t="s">
        <v>47</v>
      </c>
      <c r="F146" s="11" t="s">
        <v>1437</v>
      </c>
      <c r="G146" s="11" t="s">
        <v>1492</v>
      </c>
      <c r="H146" s="18">
        <v>6.98</v>
      </c>
      <c r="I146" s="5" t="s">
        <v>52</v>
      </c>
      <c r="J146" s="19">
        <v>1</v>
      </c>
      <c r="K146" s="5" t="s">
        <v>49</v>
      </c>
      <c r="L146" s="5" t="s">
        <v>53</v>
      </c>
      <c r="M146" s="23" t="s">
        <v>1438</v>
      </c>
      <c r="N146" s="24"/>
      <c r="O146" s="24"/>
      <c r="P146" s="24"/>
      <c r="Q146" s="17" t="s">
        <v>43</v>
      </c>
    </row>
    <row r="147" spans="2:17">
      <c r="B147" s="11"/>
      <c r="C147" s="5" t="str">
        <f t="shared" si="2"/>
        <v/>
      </c>
      <c r="D147" s="6"/>
      <c r="E147" s="11"/>
      <c r="F147" s="11"/>
      <c r="G147" s="11"/>
      <c r="H147" s="18"/>
      <c r="J147" s="19"/>
      <c r="M147" s="23"/>
      <c r="N147" s="22"/>
      <c r="O147" s="22"/>
      <c r="P147" s="22"/>
    </row>
    <row r="148" spans="2:17">
      <c r="B148" s="11"/>
      <c r="C148" s="5" t="str">
        <f t="shared" si="2"/>
        <v/>
      </c>
      <c r="D148" s="6"/>
      <c r="E148" s="11"/>
      <c r="F148" s="11"/>
      <c r="G148" s="11"/>
      <c r="H148" s="18"/>
      <c r="J148" s="19"/>
      <c r="M148" s="23"/>
      <c r="N148" s="22"/>
      <c r="O148" s="22"/>
      <c r="P148" s="22"/>
    </row>
    <row r="149" spans="2:17">
      <c r="B149" s="11" t="s">
        <v>50</v>
      </c>
      <c r="C149" s="5" t="str">
        <f t="shared" si="2"/>
        <v>RFH04</v>
      </c>
      <c r="D149" s="6" t="s">
        <v>36</v>
      </c>
      <c r="E149" s="11" t="s">
        <v>47</v>
      </c>
      <c r="F149" s="11" t="s">
        <v>1493</v>
      </c>
      <c r="G149" s="11"/>
      <c r="H149" s="18">
        <v>188.46</v>
      </c>
      <c r="I149" s="5" t="s">
        <v>52</v>
      </c>
      <c r="J149" s="19">
        <v>27</v>
      </c>
      <c r="K149" s="5" t="s">
        <v>49</v>
      </c>
      <c r="L149" s="5" t="s">
        <v>53</v>
      </c>
      <c r="M149" s="23" t="s">
        <v>1494</v>
      </c>
      <c r="N149" s="24">
        <v>5500</v>
      </c>
      <c r="O149" s="24">
        <v>20</v>
      </c>
      <c r="P149" s="24">
        <v>1</v>
      </c>
      <c r="Q149" s="17" t="s">
        <v>43</v>
      </c>
    </row>
    <row r="150" spans="2:17">
      <c r="B150" s="11" t="s">
        <v>55</v>
      </c>
      <c r="C150" s="5" t="str">
        <f t="shared" si="2"/>
        <v>RFH04P01</v>
      </c>
      <c r="D150" s="6" t="s">
        <v>36</v>
      </c>
      <c r="E150" s="11" t="s">
        <v>47</v>
      </c>
      <c r="F150" s="11" t="s">
        <v>1493</v>
      </c>
      <c r="G150" s="11" t="s">
        <v>1495</v>
      </c>
      <c r="H150" s="18">
        <v>6.98</v>
      </c>
      <c r="I150" s="5" t="s">
        <v>52</v>
      </c>
      <c r="J150" s="19">
        <v>1</v>
      </c>
      <c r="K150" s="5" t="s">
        <v>49</v>
      </c>
      <c r="L150" s="5" t="s">
        <v>53</v>
      </c>
      <c r="M150" s="23" t="s">
        <v>1494</v>
      </c>
      <c r="N150" s="24"/>
      <c r="O150" s="24"/>
      <c r="P150" s="24"/>
      <c r="Q150" s="17" t="s">
        <v>43</v>
      </c>
    </row>
    <row r="151" spans="2:17">
      <c r="B151" s="11" t="s">
        <v>55</v>
      </c>
      <c r="C151" s="5" t="str">
        <f t="shared" si="2"/>
        <v>RFH04P02</v>
      </c>
      <c r="D151" s="6" t="s">
        <v>36</v>
      </c>
      <c r="E151" s="11" t="s">
        <v>47</v>
      </c>
      <c r="F151" s="11" t="s">
        <v>1493</v>
      </c>
      <c r="G151" s="11" t="s">
        <v>1496</v>
      </c>
      <c r="H151" s="18">
        <v>6.98</v>
      </c>
      <c r="I151" s="5" t="s">
        <v>52</v>
      </c>
      <c r="J151" s="19">
        <v>1</v>
      </c>
      <c r="K151" s="5" t="s">
        <v>49</v>
      </c>
      <c r="L151" s="5" t="s">
        <v>53</v>
      </c>
      <c r="M151" s="23" t="s">
        <v>1494</v>
      </c>
      <c r="N151" s="24"/>
      <c r="O151" s="24"/>
      <c r="P151" s="24"/>
      <c r="Q151" s="17" t="s">
        <v>43</v>
      </c>
    </row>
    <row r="152" spans="2:17">
      <c r="B152" s="11" t="s">
        <v>55</v>
      </c>
      <c r="C152" s="5" t="str">
        <f t="shared" si="2"/>
        <v>RFH04P03</v>
      </c>
      <c r="D152" s="6" t="s">
        <v>36</v>
      </c>
      <c r="E152" s="11" t="s">
        <v>47</v>
      </c>
      <c r="F152" s="11" t="s">
        <v>1493</v>
      </c>
      <c r="G152" s="11" t="s">
        <v>1497</v>
      </c>
      <c r="H152" s="18">
        <v>6.98</v>
      </c>
      <c r="I152" s="5" t="s">
        <v>52</v>
      </c>
      <c r="J152" s="19">
        <v>1</v>
      </c>
      <c r="K152" s="5" t="s">
        <v>49</v>
      </c>
      <c r="L152" s="5" t="s">
        <v>53</v>
      </c>
      <c r="M152" s="23" t="s">
        <v>1494</v>
      </c>
      <c r="N152" s="24"/>
      <c r="O152" s="24"/>
      <c r="P152" s="24"/>
      <c r="Q152" s="17" t="s">
        <v>43</v>
      </c>
    </row>
    <row r="153" spans="2:17">
      <c r="B153" s="11" t="s">
        <v>55</v>
      </c>
      <c r="C153" s="5" t="str">
        <f t="shared" si="2"/>
        <v>RFH04P04</v>
      </c>
      <c r="D153" s="6" t="s">
        <v>36</v>
      </c>
      <c r="E153" s="11" t="s">
        <v>47</v>
      </c>
      <c r="F153" s="11" t="s">
        <v>1493</v>
      </c>
      <c r="G153" s="11" t="s">
        <v>1498</v>
      </c>
      <c r="H153" s="18">
        <v>6.98</v>
      </c>
      <c r="I153" s="5" t="s">
        <v>52</v>
      </c>
      <c r="J153" s="19">
        <v>1</v>
      </c>
      <c r="K153" s="5" t="s">
        <v>49</v>
      </c>
      <c r="L153" s="5" t="s">
        <v>53</v>
      </c>
      <c r="M153" s="23" t="s">
        <v>1494</v>
      </c>
      <c r="N153" s="24"/>
      <c r="O153" s="24"/>
      <c r="P153" s="24"/>
      <c r="Q153" s="17" t="s">
        <v>43</v>
      </c>
    </row>
    <row r="154" spans="2:17">
      <c r="B154" s="11" t="s">
        <v>55</v>
      </c>
      <c r="C154" s="5" t="str">
        <f t="shared" si="2"/>
        <v>RFH04P05</v>
      </c>
      <c r="D154" s="6" t="s">
        <v>36</v>
      </c>
      <c r="E154" s="11" t="s">
        <v>47</v>
      </c>
      <c r="F154" s="11" t="s">
        <v>1493</v>
      </c>
      <c r="G154" s="11" t="s">
        <v>1499</v>
      </c>
      <c r="H154" s="18">
        <v>6.98</v>
      </c>
      <c r="I154" s="5" t="s">
        <v>52</v>
      </c>
      <c r="J154" s="19">
        <v>1</v>
      </c>
      <c r="K154" s="5" t="s">
        <v>49</v>
      </c>
      <c r="L154" s="5" t="s">
        <v>53</v>
      </c>
      <c r="M154" s="23" t="s">
        <v>1494</v>
      </c>
      <c r="N154" s="24"/>
      <c r="O154" s="24"/>
      <c r="P154" s="24"/>
      <c r="Q154" s="17" t="s">
        <v>43</v>
      </c>
    </row>
    <row r="155" spans="2:17">
      <c r="B155" s="11" t="s">
        <v>55</v>
      </c>
      <c r="C155" s="5" t="str">
        <f t="shared" si="2"/>
        <v>RFH04P06</v>
      </c>
      <c r="D155" s="6" t="s">
        <v>36</v>
      </c>
      <c r="E155" s="11" t="s">
        <v>47</v>
      </c>
      <c r="F155" s="11" t="s">
        <v>1493</v>
      </c>
      <c r="G155" s="11" t="s">
        <v>1500</v>
      </c>
      <c r="H155" s="18">
        <v>6.98</v>
      </c>
      <c r="I155" s="5" t="s">
        <v>52</v>
      </c>
      <c r="J155" s="19">
        <v>1</v>
      </c>
      <c r="K155" s="5" t="s">
        <v>49</v>
      </c>
      <c r="L155" s="5" t="s">
        <v>53</v>
      </c>
      <c r="M155" s="23" t="s">
        <v>1494</v>
      </c>
      <c r="N155" s="24"/>
      <c r="O155" s="24"/>
      <c r="P155" s="24"/>
      <c r="Q155" s="17" t="s">
        <v>43</v>
      </c>
    </row>
    <row r="156" spans="2:17">
      <c r="B156" s="11" t="s">
        <v>55</v>
      </c>
      <c r="C156" s="5" t="str">
        <f t="shared" si="2"/>
        <v>RFH04P07</v>
      </c>
      <c r="D156" s="6" t="s">
        <v>36</v>
      </c>
      <c r="E156" s="11" t="s">
        <v>47</v>
      </c>
      <c r="F156" s="11" t="s">
        <v>1493</v>
      </c>
      <c r="G156" s="11" t="s">
        <v>1501</v>
      </c>
      <c r="H156" s="18">
        <v>6.98</v>
      </c>
      <c r="I156" s="5" t="s">
        <v>52</v>
      </c>
      <c r="J156" s="19">
        <v>1</v>
      </c>
      <c r="K156" s="5" t="s">
        <v>49</v>
      </c>
      <c r="L156" s="5" t="s">
        <v>53</v>
      </c>
      <c r="M156" s="23" t="s">
        <v>1494</v>
      </c>
      <c r="N156" s="24"/>
      <c r="O156" s="24"/>
      <c r="P156" s="24"/>
      <c r="Q156" s="17" t="s">
        <v>43</v>
      </c>
    </row>
    <row r="157" spans="2:17">
      <c r="B157" s="11" t="s">
        <v>55</v>
      </c>
      <c r="C157" s="5" t="str">
        <f t="shared" si="2"/>
        <v>RFH04P08</v>
      </c>
      <c r="D157" s="6" t="s">
        <v>36</v>
      </c>
      <c r="E157" s="11" t="s">
        <v>47</v>
      </c>
      <c r="F157" s="11" t="s">
        <v>1493</v>
      </c>
      <c r="G157" s="11" t="s">
        <v>1502</v>
      </c>
      <c r="H157" s="18">
        <v>6.98</v>
      </c>
      <c r="I157" s="5" t="s">
        <v>52</v>
      </c>
      <c r="J157" s="19">
        <v>1</v>
      </c>
      <c r="K157" s="5" t="s">
        <v>49</v>
      </c>
      <c r="L157" s="5" t="s">
        <v>53</v>
      </c>
      <c r="M157" s="23" t="s">
        <v>1494</v>
      </c>
      <c r="N157" s="24"/>
      <c r="O157" s="24"/>
      <c r="P157" s="24"/>
      <c r="Q157" s="17" t="s">
        <v>43</v>
      </c>
    </row>
    <row r="158" spans="2:17">
      <c r="B158" s="11" t="s">
        <v>55</v>
      </c>
      <c r="C158" s="5" t="str">
        <f t="shared" si="2"/>
        <v>RFH04P09</v>
      </c>
      <c r="D158" s="6" t="s">
        <v>36</v>
      </c>
      <c r="E158" s="11" t="s">
        <v>47</v>
      </c>
      <c r="F158" s="11" t="s">
        <v>1493</v>
      </c>
      <c r="G158" s="11" t="s">
        <v>1503</v>
      </c>
      <c r="H158" s="18">
        <v>6.98</v>
      </c>
      <c r="I158" s="5" t="s">
        <v>52</v>
      </c>
      <c r="J158" s="19">
        <v>1</v>
      </c>
      <c r="K158" s="5" t="s">
        <v>49</v>
      </c>
      <c r="L158" s="5" t="s">
        <v>53</v>
      </c>
      <c r="M158" s="23" t="s">
        <v>1494</v>
      </c>
      <c r="N158" s="24"/>
      <c r="O158" s="24"/>
      <c r="P158" s="24"/>
      <c r="Q158" s="17" t="s">
        <v>43</v>
      </c>
    </row>
    <row r="159" spans="2:17">
      <c r="B159" s="11" t="s">
        <v>55</v>
      </c>
      <c r="C159" s="5" t="str">
        <f t="shared" si="2"/>
        <v>RFH04P10</v>
      </c>
      <c r="D159" s="6" t="s">
        <v>36</v>
      </c>
      <c r="E159" s="11" t="s">
        <v>47</v>
      </c>
      <c r="F159" s="11" t="s">
        <v>1493</v>
      </c>
      <c r="G159" s="11" t="s">
        <v>1504</v>
      </c>
      <c r="H159" s="18">
        <v>6.98</v>
      </c>
      <c r="I159" s="5" t="s">
        <v>52</v>
      </c>
      <c r="J159" s="19">
        <v>1</v>
      </c>
      <c r="K159" s="5" t="s">
        <v>49</v>
      </c>
      <c r="L159" s="5" t="s">
        <v>53</v>
      </c>
      <c r="M159" s="23" t="s">
        <v>1494</v>
      </c>
      <c r="N159" s="24"/>
      <c r="O159" s="24"/>
      <c r="P159" s="24"/>
      <c r="Q159" s="17" t="s">
        <v>43</v>
      </c>
    </row>
    <row r="160" spans="2:17">
      <c r="B160" s="11" t="s">
        <v>55</v>
      </c>
      <c r="C160" s="5" t="str">
        <f t="shared" si="2"/>
        <v>RFH04P11</v>
      </c>
      <c r="D160" s="6" t="s">
        <v>36</v>
      </c>
      <c r="E160" s="11" t="s">
        <v>47</v>
      </c>
      <c r="F160" s="11" t="s">
        <v>1493</v>
      </c>
      <c r="G160" s="11" t="s">
        <v>1505</v>
      </c>
      <c r="H160" s="18">
        <v>6.98</v>
      </c>
      <c r="I160" s="5" t="s">
        <v>52</v>
      </c>
      <c r="J160" s="19">
        <v>1</v>
      </c>
      <c r="K160" s="5" t="s">
        <v>49</v>
      </c>
      <c r="L160" s="5" t="s">
        <v>53</v>
      </c>
      <c r="M160" s="23" t="s">
        <v>1494</v>
      </c>
      <c r="N160" s="24"/>
      <c r="O160" s="24"/>
      <c r="P160" s="24"/>
      <c r="Q160" s="17" t="s">
        <v>43</v>
      </c>
    </row>
    <row r="161" spans="2:17">
      <c r="B161" s="11" t="s">
        <v>55</v>
      </c>
      <c r="C161" s="5" t="str">
        <f t="shared" si="2"/>
        <v>RFH04P12</v>
      </c>
      <c r="D161" s="6" t="s">
        <v>36</v>
      </c>
      <c r="E161" s="11" t="s">
        <v>47</v>
      </c>
      <c r="F161" s="11" t="s">
        <v>1493</v>
      </c>
      <c r="G161" s="11" t="s">
        <v>1506</v>
      </c>
      <c r="H161" s="18">
        <v>6.98</v>
      </c>
      <c r="I161" s="5" t="s">
        <v>52</v>
      </c>
      <c r="J161" s="19">
        <v>1</v>
      </c>
      <c r="K161" s="5" t="s">
        <v>49</v>
      </c>
      <c r="L161" s="5" t="s">
        <v>53</v>
      </c>
      <c r="M161" s="23" t="s">
        <v>1494</v>
      </c>
      <c r="N161" s="24"/>
      <c r="O161" s="24"/>
      <c r="P161" s="24"/>
      <c r="Q161" s="17" t="s">
        <v>43</v>
      </c>
    </row>
    <row r="162" spans="2:17">
      <c r="B162" s="11" t="s">
        <v>55</v>
      </c>
      <c r="C162" s="5" t="str">
        <f t="shared" si="2"/>
        <v>RFH04P13</v>
      </c>
      <c r="D162" s="6" t="s">
        <v>36</v>
      </c>
      <c r="E162" s="11" t="s">
        <v>47</v>
      </c>
      <c r="F162" s="11" t="s">
        <v>1493</v>
      </c>
      <c r="G162" s="11" t="s">
        <v>1507</v>
      </c>
      <c r="H162" s="18">
        <v>6.98</v>
      </c>
      <c r="I162" s="5" t="s">
        <v>52</v>
      </c>
      <c r="J162" s="19">
        <v>1</v>
      </c>
      <c r="K162" s="5" t="s">
        <v>49</v>
      </c>
      <c r="L162" s="5" t="s">
        <v>53</v>
      </c>
      <c r="M162" s="23" t="s">
        <v>1494</v>
      </c>
      <c r="N162" s="24"/>
      <c r="O162" s="24"/>
      <c r="P162" s="24"/>
      <c r="Q162" s="17" t="s">
        <v>43</v>
      </c>
    </row>
    <row r="163" spans="2:17">
      <c r="B163" s="11" t="s">
        <v>55</v>
      </c>
      <c r="C163" s="5" t="str">
        <f t="shared" si="2"/>
        <v>RFH04P14</v>
      </c>
      <c r="D163" s="6" t="s">
        <v>36</v>
      </c>
      <c r="E163" s="11" t="s">
        <v>47</v>
      </c>
      <c r="F163" s="11" t="s">
        <v>1493</v>
      </c>
      <c r="G163" s="11" t="s">
        <v>1508</v>
      </c>
      <c r="H163" s="18">
        <v>6.98</v>
      </c>
      <c r="I163" s="5" t="s">
        <v>52</v>
      </c>
      <c r="J163" s="19">
        <v>1</v>
      </c>
      <c r="K163" s="5" t="s">
        <v>49</v>
      </c>
      <c r="L163" s="5" t="s">
        <v>53</v>
      </c>
      <c r="M163" s="23" t="s">
        <v>1494</v>
      </c>
      <c r="N163" s="24"/>
      <c r="O163" s="24"/>
      <c r="P163" s="24"/>
      <c r="Q163" s="17" t="s">
        <v>43</v>
      </c>
    </row>
    <row r="164" spans="2:17">
      <c r="B164" s="11" t="s">
        <v>55</v>
      </c>
      <c r="C164" s="5" t="str">
        <f t="shared" si="2"/>
        <v>RFH04P15</v>
      </c>
      <c r="D164" s="6" t="s">
        <v>36</v>
      </c>
      <c r="E164" s="11" t="s">
        <v>47</v>
      </c>
      <c r="F164" s="11" t="s">
        <v>1493</v>
      </c>
      <c r="G164" s="11" t="s">
        <v>1509</v>
      </c>
      <c r="H164" s="18">
        <v>6.98</v>
      </c>
      <c r="I164" s="5" t="s">
        <v>52</v>
      </c>
      <c r="J164" s="19">
        <v>1</v>
      </c>
      <c r="K164" s="5" t="s">
        <v>49</v>
      </c>
      <c r="L164" s="5" t="s">
        <v>53</v>
      </c>
      <c r="M164" s="23" t="s">
        <v>1494</v>
      </c>
      <c r="N164" s="24"/>
      <c r="O164" s="24"/>
      <c r="P164" s="24"/>
      <c r="Q164" s="17" t="s">
        <v>43</v>
      </c>
    </row>
    <row r="165" spans="2:17">
      <c r="B165" s="11" t="s">
        <v>55</v>
      </c>
      <c r="C165" s="5" t="str">
        <f t="shared" si="2"/>
        <v>RFH04P16</v>
      </c>
      <c r="D165" s="6" t="s">
        <v>36</v>
      </c>
      <c r="E165" s="11" t="s">
        <v>47</v>
      </c>
      <c r="F165" s="11" t="s">
        <v>1493</v>
      </c>
      <c r="G165" s="11" t="s">
        <v>1510</v>
      </c>
      <c r="H165" s="18">
        <v>6.98</v>
      </c>
      <c r="I165" s="5" t="s">
        <v>52</v>
      </c>
      <c r="J165" s="19">
        <v>1</v>
      </c>
      <c r="K165" s="5" t="s">
        <v>49</v>
      </c>
      <c r="L165" s="5" t="s">
        <v>53</v>
      </c>
      <c r="M165" s="23" t="s">
        <v>1494</v>
      </c>
      <c r="N165" s="24"/>
      <c r="O165" s="24"/>
      <c r="P165" s="24"/>
      <c r="Q165" s="17" t="s">
        <v>43</v>
      </c>
    </row>
    <row r="166" spans="2:17">
      <c r="B166" s="11" t="s">
        <v>55</v>
      </c>
      <c r="C166" s="5" t="str">
        <f t="shared" si="2"/>
        <v>RFH04P17</v>
      </c>
      <c r="D166" s="6" t="s">
        <v>36</v>
      </c>
      <c r="E166" s="11" t="s">
        <v>47</v>
      </c>
      <c r="F166" s="11" t="s">
        <v>1493</v>
      </c>
      <c r="G166" s="11" t="s">
        <v>1511</v>
      </c>
      <c r="H166" s="18">
        <v>6.98</v>
      </c>
      <c r="I166" s="5" t="s">
        <v>52</v>
      </c>
      <c r="J166" s="19">
        <v>1</v>
      </c>
      <c r="K166" s="5" t="s">
        <v>49</v>
      </c>
      <c r="L166" s="5" t="s">
        <v>53</v>
      </c>
      <c r="M166" s="23" t="s">
        <v>1494</v>
      </c>
      <c r="N166" s="24"/>
      <c r="O166" s="24"/>
      <c r="P166" s="24"/>
      <c r="Q166" s="17" t="s">
        <v>43</v>
      </c>
    </row>
    <row r="167" spans="2:17">
      <c r="B167" s="11" t="s">
        <v>55</v>
      </c>
      <c r="C167" s="5" t="str">
        <f t="shared" si="2"/>
        <v>RFH04P18</v>
      </c>
      <c r="D167" s="6" t="s">
        <v>36</v>
      </c>
      <c r="E167" s="11" t="s">
        <v>47</v>
      </c>
      <c r="F167" s="11" t="s">
        <v>1493</v>
      </c>
      <c r="G167" s="11" t="s">
        <v>1512</v>
      </c>
      <c r="H167" s="18">
        <v>6.98</v>
      </c>
      <c r="I167" s="5" t="s">
        <v>52</v>
      </c>
      <c r="J167" s="19">
        <v>1</v>
      </c>
      <c r="K167" s="5" t="s">
        <v>49</v>
      </c>
      <c r="L167" s="5" t="s">
        <v>53</v>
      </c>
      <c r="M167" s="23" t="s">
        <v>1494</v>
      </c>
      <c r="N167" s="24"/>
      <c r="O167" s="24"/>
      <c r="P167" s="24"/>
      <c r="Q167" s="17" t="s">
        <v>43</v>
      </c>
    </row>
    <row r="168" spans="2:17">
      <c r="B168" s="11" t="s">
        <v>55</v>
      </c>
      <c r="C168" s="5" t="str">
        <f t="shared" si="2"/>
        <v>RFH04P19</v>
      </c>
      <c r="D168" s="6" t="s">
        <v>36</v>
      </c>
      <c r="E168" s="11" t="s">
        <v>47</v>
      </c>
      <c r="F168" s="11" t="s">
        <v>1493</v>
      </c>
      <c r="G168" s="11" t="s">
        <v>1513</v>
      </c>
      <c r="H168" s="18">
        <v>6.98</v>
      </c>
      <c r="I168" s="5" t="s">
        <v>52</v>
      </c>
      <c r="J168" s="19">
        <v>1</v>
      </c>
      <c r="K168" s="5" t="s">
        <v>49</v>
      </c>
      <c r="L168" s="5" t="s">
        <v>53</v>
      </c>
      <c r="M168" s="23" t="s">
        <v>1494</v>
      </c>
      <c r="N168" s="24"/>
      <c r="O168" s="24"/>
      <c r="P168" s="24"/>
      <c r="Q168" s="17" t="s">
        <v>43</v>
      </c>
    </row>
    <row r="169" spans="2:17">
      <c r="B169" s="11" t="s">
        <v>55</v>
      </c>
      <c r="C169" s="5" t="str">
        <f t="shared" si="2"/>
        <v>RFH04P20</v>
      </c>
      <c r="D169" s="6" t="s">
        <v>36</v>
      </c>
      <c r="E169" s="11" t="s">
        <v>47</v>
      </c>
      <c r="F169" s="11" t="s">
        <v>1493</v>
      </c>
      <c r="G169" s="11" t="s">
        <v>1514</v>
      </c>
      <c r="H169" s="18">
        <v>6.98</v>
      </c>
      <c r="I169" s="5" t="s">
        <v>52</v>
      </c>
      <c r="J169" s="19">
        <v>1</v>
      </c>
      <c r="K169" s="5" t="s">
        <v>49</v>
      </c>
      <c r="L169" s="5" t="s">
        <v>53</v>
      </c>
      <c r="M169" s="23" t="s">
        <v>1494</v>
      </c>
      <c r="N169" s="24"/>
      <c r="O169" s="24"/>
      <c r="P169" s="24"/>
      <c r="Q169" s="17" t="s">
        <v>43</v>
      </c>
    </row>
    <row r="170" spans="2:17">
      <c r="B170" s="11" t="s">
        <v>55</v>
      </c>
      <c r="C170" s="5" t="str">
        <f t="shared" si="2"/>
        <v>RFH04P21</v>
      </c>
      <c r="D170" s="6" t="s">
        <v>36</v>
      </c>
      <c r="E170" s="11" t="s">
        <v>47</v>
      </c>
      <c r="F170" s="11" t="s">
        <v>1493</v>
      </c>
      <c r="G170" s="11" t="s">
        <v>1515</v>
      </c>
      <c r="H170" s="18">
        <v>6.98</v>
      </c>
      <c r="I170" s="5" t="s">
        <v>52</v>
      </c>
      <c r="J170" s="19">
        <v>1</v>
      </c>
      <c r="K170" s="5" t="s">
        <v>49</v>
      </c>
      <c r="L170" s="5" t="s">
        <v>53</v>
      </c>
      <c r="M170" s="23" t="s">
        <v>1494</v>
      </c>
      <c r="N170" s="24"/>
      <c r="O170" s="24"/>
      <c r="P170" s="24"/>
      <c r="Q170" s="17" t="s">
        <v>43</v>
      </c>
    </row>
    <row r="171" spans="2:17">
      <c r="B171" s="11" t="s">
        <v>55</v>
      </c>
      <c r="C171" s="5" t="str">
        <f t="shared" si="2"/>
        <v>RFH04P22</v>
      </c>
      <c r="D171" s="6" t="s">
        <v>36</v>
      </c>
      <c r="E171" s="11" t="s">
        <v>47</v>
      </c>
      <c r="F171" s="11" t="s">
        <v>1493</v>
      </c>
      <c r="G171" s="11" t="s">
        <v>1516</v>
      </c>
      <c r="H171" s="18">
        <v>6.98</v>
      </c>
      <c r="I171" s="5" t="s">
        <v>52</v>
      </c>
      <c r="J171" s="19">
        <v>1</v>
      </c>
      <c r="K171" s="5" t="s">
        <v>49</v>
      </c>
      <c r="L171" s="5" t="s">
        <v>53</v>
      </c>
      <c r="M171" s="23" t="s">
        <v>1494</v>
      </c>
      <c r="N171" s="24"/>
      <c r="O171" s="24"/>
      <c r="P171" s="24"/>
      <c r="Q171" s="17" t="s">
        <v>43</v>
      </c>
    </row>
    <row r="172" spans="2:17">
      <c r="B172" s="11" t="s">
        <v>55</v>
      </c>
      <c r="C172" s="5" t="str">
        <f t="shared" si="2"/>
        <v>RFH04P23</v>
      </c>
      <c r="D172" s="6" t="s">
        <v>36</v>
      </c>
      <c r="E172" s="11" t="s">
        <v>47</v>
      </c>
      <c r="F172" s="11" t="s">
        <v>1493</v>
      </c>
      <c r="G172" s="11" t="s">
        <v>1517</v>
      </c>
      <c r="H172" s="18">
        <v>6.98</v>
      </c>
      <c r="I172" s="5" t="s">
        <v>52</v>
      </c>
      <c r="J172" s="19">
        <v>1</v>
      </c>
      <c r="K172" s="5" t="s">
        <v>49</v>
      </c>
      <c r="L172" s="5" t="s">
        <v>53</v>
      </c>
      <c r="M172" s="23" t="s">
        <v>1494</v>
      </c>
      <c r="N172" s="24"/>
      <c r="O172" s="24"/>
      <c r="P172" s="24"/>
      <c r="Q172" s="17" t="s">
        <v>43</v>
      </c>
    </row>
    <row r="173" spans="2:17">
      <c r="B173" s="11" t="s">
        <v>55</v>
      </c>
      <c r="C173" s="5" t="str">
        <f t="shared" si="2"/>
        <v>RFH04P24</v>
      </c>
      <c r="D173" s="6" t="s">
        <v>36</v>
      </c>
      <c r="E173" s="11" t="s">
        <v>47</v>
      </c>
      <c r="F173" s="11" t="s">
        <v>1493</v>
      </c>
      <c r="G173" s="11" t="s">
        <v>1518</v>
      </c>
      <c r="H173" s="18">
        <v>6.98</v>
      </c>
      <c r="I173" s="5" t="s">
        <v>52</v>
      </c>
      <c r="J173" s="19">
        <v>1</v>
      </c>
      <c r="K173" s="5" t="s">
        <v>49</v>
      </c>
      <c r="L173" s="5" t="s">
        <v>53</v>
      </c>
      <c r="M173" s="23" t="s">
        <v>1494</v>
      </c>
      <c r="N173" s="24"/>
      <c r="O173" s="24"/>
      <c r="P173" s="24"/>
      <c r="Q173" s="17" t="s">
        <v>43</v>
      </c>
    </row>
    <row r="174" spans="2:17">
      <c r="B174" s="11" t="s">
        <v>55</v>
      </c>
      <c r="C174" s="5" t="str">
        <f t="shared" si="2"/>
        <v>RFH04P25</v>
      </c>
      <c r="D174" s="6" t="s">
        <v>36</v>
      </c>
      <c r="E174" s="11" t="s">
        <v>47</v>
      </c>
      <c r="F174" s="11" t="s">
        <v>1493</v>
      </c>
      <c r="G174" s="11" t="s">
        <v>1519</v>
      </c>
      <c r="H174" s="18">
        <v>6.98</v>
      </c>
      <c r="I174" s="5" t="s">
        <v>52</v>
      </c>
      <c r="J174" s="19">
        <v>1</v>
      </c>
      <c r="K174" s="5" t="s">
        <v>49</v>
      </c>
      <c r="L174" s="5" t="s">
        <v>53</v>
      </c>
      <c r="M174" s="23" t="s">
        <v>1494</v>
      </c>
      <c r="N174" s="24"/>
      <c r="O174" s="24"/>
      <c r="P174" s="24"/>
      <c r="Q174" s="17" t="s">
        <v>43</v>
      </c>
    </row>
    <row r="175" spans="2:17">
      <c r="B175" s="11" t="s">
        <v>55</v>
      </c>
      <c r="C175" s="5" t="str">
        <f t="shared" si="2"/>
        <v>RFH04P26</v>
      </c>
      <c r="D175" s="6" t="s">
        <v>36</v>
      </c>
      <c r="E175" s="11" t="s">
        <v>47</v>
      </c>
      <c r="F175" s="11" t="s">
        <v>1493</v>
      </c>
      <c r="G175" s="11" t="s">
        <v>1520</v>
      </c>
      <c r="H175" s="18">
        <v>6.98</v>
      </c>
      <c r="I175" s="5" t="s">
        <v>52</v>
      </c>
      <c r="J175" s="19">
        <v>1</v>
      </c>
      <c r="K175" s="5" t="s">
        <v>49</v>
      </c>
      <c r="L175" s="5" t="s">
        <v>53</v>
      </c>
      <c r="M175" s="23" t="s">
        <v>1494</v>
      </c>
      <c r="N175" s="24"/>
      <c r="O175" s="24"/>
      <c r="P175" s="24"/>
      <c r="Q175" s="17" t="s">
        <v>43</v>
      </c>
    </row>
    <row r="176" spans="2:17">
      <c r="B176" s="11" t="s">
        <v>55</v>
      </c>
      <c r="C176" s="5" t="str">
        <f t="shared" si="2"/>
        <v>RFH04P27</v>
      </c>
      <c r="D176" s="6" t="s">
        <v>36</v>
      </c>
      <c r="E176" s="11" t="s">
        <v>47</v>
      </c>
      <c r="F176" s="11" t="s">
        <v>1493</v>
      </c>
      <c r="G176" s="11" t="s">
        <v>1521</v>
      </c>
      <c r="H176" s="18">
        <v>6.98</v>
      </c>
      <c r="I176" s="5" t="s">
        <v>52</v>
      </c>
      <c r="J176" s="19">
        <v>1</v>
      </c>
      <c r="K176" s="5" t="s">
        <v>49</v>
      </c>
      <c r="L176" s="5" t="s">
        <v>53</v>
      </c>
      <c r="M176" s="23" t="s">
        <v>1494</v>
      </c>
      <c r="N176" s="24"/>
      <c r="O176" s="24"/>
      <c r="P176" s="24"/>
      <c r="Q176" s="17" t="s">
        <v>43</v>
      </c>
    </row>
    <row r="177" spans="2:17">
      <c r="C177" s="5" t="str">
        <f t="shared" si="2"/>
        <v/>
      </c>
      <c r="N177" s="22"/>
      <c r="O177" s="22"/>
      <c r="P177" s="22"/>
    </row>
    <row r="178" spans="2:17">
      <c r="B178" s="11" t="s">
        <v>50</v>
      </c>
      <c r="C178" s="5" t="str">
        <f t="shared" si="2"/>
        <v>RFH05</v>
      </c>
      <c r="D178" s="6" t="s">
        <v>36</v>
      </c>
      <c r="E178" s="11" t="s">
        <v>47</v>
      </c>
      <c r="F178" s="11" t="s">
        <v>1522</v>
      </c>
      <c r="G178" s="11"/>
      <c r="H178" s="18">
        <v>376.92</v>
      </c>
      <c r="I178" s="5" t="s">
        <v>52</v>
      </c>
      <c r="J178" s="19">
        <v>54</v>
      </c>
      <c r="K178" s="5" t="s">
        <v>49</v>
      </c>
      <c r="L178" s="5" t="s">
        <v>53</v>
      </c>
      <c r="M178" s="23" t="s">
        <v>1523</v>
      </c>
      <c r="N178" s="24">
        <v>11000</v>
      </c>
      <c r="O178" s="24">
        <v>20</v>
      </c>
      <c r="P178" s="24">
        <v>1</v>
      </c>
      <c r="Q178" s="17" t="s">
        <v>43</v>
      </c>
    </row>
    <row r="179" spans="2:17">
      <c r="B179" s="11" t="s">
        <v>55</v>
      </c>
      <c r="C179" s="5" t="str">
        <f t="shared" si="2"/>
        <v>RFH05P01</v>
      </c>
      <c r="D179" s="6" t="s">
        <v>36</v>
      </c>
      <c r="E179" s="11" t="s">
        <v>47</v>
      </c>
      <c r="F179" s="11" t="s">
        <v>1522</v>
      </c>
      <c r="G179" s="11" t="s">
        <v>1524</v>
      </c>
      <c r="H179" s="18">
        <v>6.98</v>
      </c>
      <c r="I179" s="5" t="s">
        <v>52</v>
      </c>
      <c r="J179" s="19">
        <v>1</v>
      </c>
      <c r="K179" s="5" t="s">
        <v>49</v>
      </c>
      <c r="L179" s="5" t="s">
        <v>53</v>
      </c>
      <c r="M179" s="23" t="s">
        <v>1523</v>
      </c>
      <c r="N179" s="24"/>
      <c r="O179" s="24"/>
      <c r="P179" s="24"/>
      <c r="Q179" s="17" t="s">
        <v>43</v>
      </c>
    </row>
    <row r="180" spans="2:17">
      <c r="B180" s="11" t="s">
        <v>55</v>
      </c>
      <c r="C180" s="5" t="str">
        <f t="shared" si="2"/>
        <v>RFH05P02</v>
      </c>
      <c r="D180" s="6" t="s">
        <v>36</v>
      </c>
      <c r="E180" s="11" t="s">
        <v>47</v>
      </c>
      <c r="F180" s="11" t="s">
        <v>1522</v>
      </c>
      <c r="G180" s="11" t="s">
        <v>1525</v>
      </c>
      <c r="H180" s="18">
        <v>6.98</v>
      </c>
      <c r="I180" s="5" t="s">
        <v>52</v>
      </c>
      <c r="J180" s="19">
        <v>1</v>
      </c>
      <c r="K180" s="5" t="s">
        <v>49</v>
      </c>
      <c r="L180" s="5" t="s">
        <v>53</v>
      </c>
      <c r="M180" s="23" t="s">
        <v>1523</v>
      </c>
      <c r="N180" s="24"/>
      <c r="O180" s="24"/>
      <c r="P180" s="24"/>
      <c r="Q180" s="17" t="s">
        <v>43</v>
      </c>
    </row>
    <row r="181" spans="2:17">
      <c r="B181" s="11" t="s">
        <v>55</v>
      </c>
      <c r="C181" s="5" t="str">
        <f t="shared" si="2"/>
        <v>RFH05P03</v>
      </c>
      <c r="D181" s="6" t="s">
        <v>36</v>
      </c>
      <c r="E181" s="11" t="s">
        <v>47</v>
      </c>
      <c r="F181" s="11" t="s">
        <v>1522</v>
      </c>
      <c r="G181" s="11" t="s">
        <v>1526</v>
      </c>
      <c r="H181" s="18">
        <v>6.98</v>
      </c>
      <c r="I181" s="5" t="s">
        <v>52</v>
      </c>
      <c r="J181" s="19">
        <v>1</v>
      </c>
      <c r="K181" s="5" t="s">
        <v>49</v>
      </c>
      <c r="L181" s="5" t="s">
        <v>53</v>
      </c>
      <c r="M181" s="23" t="s">
        <v>1523</v>
      </c>
      <c r="N181" s="24"/>
      <c r="O181" s="24"/>
      <c r="P181" s="24"/>
      <c r="Q181" s="17" t="s">
        <v>43</v>
      </c>
    </row>
    <row r="182" spans="2:17">
      <c r="B182" s="11" t="s">
        <v>55</v>
      </c>
      <c r="C182" s="5" t="str">
        <f t="shared" si="2"/>
        <v>RFH05P04</v>
      </c>
      <c r="D182" s="6" t="s">
        <v>36</v>
      </c>
      <c r="E182" s="11" t="s">
        <v>47</v>
      </c>
      <c r="F182" s="11" t="s">
        <v>1522</v>
      </c>
      <c r="G182" s="11" t="s">
        <v>1527</v>
      </c>
      <c r="H182" s="18">
        <v>6.98</v>
      </c>
      <c r="I182" s="5" t="s">
        <v>52</v>
      </c>
      <c r="J182" s="19">
        <v>1</v>
      </c>
      <c r="K182" s="5" t="s">
        <v>49</v>
      </c>
      <c r="L182" s="5" t="s">
        <v>53</v>
      </c>
      <c r="M182" s="23" t="s">
        <v>1523</v>
      </c>
      <c r="N182" s="24"/>
      <c r="O182" s="24"/>
      <c r="P182" s="24"/>
      <c r="Q182" s="17" t="s">
        <v>43</v>
      </c>
    </row>
    <row r="183" spans="2:17">
      <c r="B183" s="11" t="s">
        <v>55</v>
      </c>
      <c r="C183" s="5" t="str">
        <f t="shared" si="2"/>
        <v>RFH05P05</v>
      </c>
      <c r="D183" s="6" t="s">
        <v>36</v>
      </c>
      <c r="E183" s="11" t="s">
        <v>47</v>
      </c>
      <c r="F183" s="11" t="s">
        <v>1522</v>
      </c>
      <c r="G183" s="11" t="s">
        <v>1528</v>
      </c>
      <c r="H183" s="18">
        <v>6.98</v>
      </c>
      <c r="I183" s="5" t="s">
        <v>52</v>
      </c>
      <c r="J183" s="19">
        <v>1</v>
      </c>
      <c r="K183" s="5" t="s">
        <v>49</v>
      </c>
      <c r="L183" s="5" t="s">
        <v>53</v>
      </c>
      <c r="M183" s="23" t="s">
        <v>1523</v>
      </c>
      <c r="N183" s="24"/>
      <c r="O183" s="24"/>
      <c r="P183" s="24"/>
      <c r="Q183" s="17" t="s">
        <v>43</v>
      </c>
    </row>
    <row r="184" spans="2:17">
      <c r="B184" s="11" t="s">
        <v>55</v>
      </c>
      <c r="C184" s="5" t="str">
        <f t="shared" si="2"/>
        <v>RFH05P06</v>
      </c>
      <c r="D184" s="6" t="s">
        <v>36</v>
      </c>
      <c r="E184" s="11" t="s">
        <v>47</v>
      </c>
      <c r="F184" s="11" t="s">
        <v>1522</v>
      </c>
      <c r="G184" s="11" t="s">
        <v>1529</v>
      </c>
      <c r="H184" s="18">
        <v>6.98</v>
      </c>
      <c r="I184" s="5" t="s">
        <v>52</v>
      </c>
      <c r="J184" s="19">
        <v>1</v>
      </c>
      <c r="K184" s="5" t="s">
        <v>49</v>
      </c>
      <c r="L184" s="5" t="s">
        <v>53</v>
      </c>
      <c r="M184" s="23" t="s">
        <v>1523</v>
      </c>
      <c r="N184" s="24"/>
      <c r="O184" s="24"/>
      <c r="P184" s="24"/>
      <c r="Q184" s="17" t="s">
        <v>43</v>
      </c>
    </row>
    <row r="185" spans="2:17">
      <c r="B185" s="11" t="s">
        <v>55</v>
      </c>
      <c r="C185" s="5" t="str">
        <f t="shared" si="2"/>
        <v>RFH05P07</v>
      </c>
      <c r="D185" s="6" t="s">
        <v>36</v>
      </c>
      <c r="E185" s="11" t="s">
        <v>47</v>
      </c>
      <c r="F185" s="11" t="s">
        <v>1522</v>
      </c>
      <c r="G185" s="11" t="s">
        <v>1530</v>
      </c>
      <c r="H185" s="18">
        <v>6.98</v>
      </c>
      <c r="I185" s="5" t="s">
        <v>52</v>
      </c>
      <c r="J185" s="19">
        <v>1</v>
      </c>
      <c r="K185" s="5" t="s">
        <v>49</v>
      </c>
      <c r="L185" s="5" t="s">
        <v>53</v>
      </c>
      <c r="M185" s="23" t="s">
        <v>1523</v>
      </c>
      <c r="N185" s="24"/>
      <c r="O185" s="24"/>
      <c r="P185" s="24"/>
      <c r="Q185" s="17" t="s">
        <v>43</v>
      </c>
    </row>
    <row r="186" spans="2:17">
      <c r="B186" s="11" t="s">
        <v>55</v>
      </c>
      <c r="C186" s="5" t="str">
        <f t="shared" si="2"/>
        <v>RFH05P08</v>
      </c>
      <c r="D186" s="6" t="s">
        <v>36</v>
      </c>
      <c r="E186" s="11" t="s">
        <v>47</v>
      </c>
      <c r="F186" s="11" t="s">
        <v>1522</v>
      </c>
      <c r="G186" s="11" t="s">
        <v>1531</v>
      </c>
      <c r="H186" s="18">
        <v>6.98</v>
      </c>
      <c r="I186" s="5" t="s">
        <v>52</v>
      </c>
      <c r="J186" s="19">
        <v>1</v>
      </c>
      <c r="K186" s="5" t="s">
        <v>49</v>
      </c>
      <c r="L186" s="5" t="s">
        <v>53</v>
      </c>
      <c r="M186" s="23" t="s">
        <v>1523</v>
      </c>
      <c r="N186" s="24"/>
      <c r="O186" s="24"/>
      <c r="P186" s="24"/>
      <c r="Q186" s="17" t="s">
        <v>43</v>
      </c>
    </row>
    <row r="187" spans="2:17">
      <c r="B187" s="11" t="s">
        <v>55</v>
      </c>
      <c r="C187" s="5" t="str">
        <f t="shared" si="2"/>
        <v>RFH05P09</v>
      </c>
      <c r="D187" s="6" t="s">
        <v>36</v>
      </c>
      <c r="E187" s="11" t="s">
        <v>47</v>
      </c>
      <c r="F187" s="11" t="s">
        <v>1522</v>
      </c>
      <c r="G187" s="11" t="s">
        <v>1532</v>
      </c>
      <c r="H187" s="18">
        <v>6.98</v>
      </c>
      <c r="I187" s="5" t="s">
        <v>52</v>
      </c>
      <c r="J187" s="19">
        <v>1</v>
      </c>
      <c r="K187" s="5" t="s">
        <v>49</v>
      </c>
      <c r="L187" s="5" t="s">
        <v>53</v>
      </c>
      <c r="M187" s="23" t="s">
        <v>1523</v>
      </c>
      <c r="N187" s="24"/>
      <c r="O187" s="24"/>
      <c r="P187" s="24"/>
      <c r="Q187" s="17" t="s">
        <v>43</v>
      </c>
    </row>
    <row r="188" spans="2:17">
      <c r="B188" s="11" t="s">
        <v>55</v>
      </c>
      <c r="C188" s="5" t="str">
        <f t="shared" si="2"/>
        <v>RFH05P10</v>
      </c>
      <c r="D188" s="6" t="s">
        <v>36</v>
      </c>
      <c r="E188" s="11" t="s">
        <v>47</v>
      </c>
      <c r="F188" s="11" t="s">
        <v>1522</v>
      </c>
      <c r="G188" s="11" t="s">
        <v>1533</v>
      </c>
      <c r="H188" s="18">
        <v>6.98</v>
      </c>
      <c r="I188" s="5" t="s">
        <v>52</v>
      </c>
      <c r="J188" s="19">
        <v>1</v>
      </c>
      <c r="K188" s="5" t="s">
        <v>49</v>
      </c>
      <c r="L188" s="5" t="s">
        <v>53</v>
      </c>
      <c r="M188" s="23" t="s">
        <v>1523</v>
      </c>
      <c r="N188" s="24"/>
      <c r="O188" s="24"/>
      <c r="P188" s="24"/>
      <c r="Q188" s="17" t="s">
        <v>43</v>
      </c>
    </row>
    <row r="189" spans="2:17">
      <c r="B189" s="11" t="s">
        <v>55</v>
      </c>
      <c r="C189" s="5" t="str">
        <f t="shared" si="2"/>
        <v>RFH05P11</v>
      </c>
      <c r="D189" s="6" t="s">
        <v>36</v>
      </c>
      <c r="E189" s="11" t="s">
        <v>47</v>
      </c>
      <c r="F189" s="11" t="s">
        <v>1522</v>
      </c>
      <c r="G189" s="11" t="s">
        <v>1534</v>
      </c>
      <c r="H189" s="18">
        <v>6.98</v>
      </c>
      <c r="I189" s="5" t="s">
        <v>52</v>
      </c>
      <c r="J189" s="19">
        <v>1</v>
      </c>
      <c r="K189" s="5" t="s">
        <v>49</v>
      </c>
      <c r="L189" s="5" t="s">
        <v>53</v>
      </c>
      <c r="M189" s="23" t="s">
        <v>1523</v>
      </c>
      <c r="N189" s="24"/>
      <c r="O189" s="24"/>
      <c r="P189" s="24"/>
      <c r="Q189" s="17" t="s">
        <v>43</v>
      </c>
    </row>
    <row r="190" spans="2:17">
      <c r="B190" s="11" t="s">
        <v>55</v>
      </c>
      <c r="C190" s="5" t="str">
        <f t="shared" si="2"/>
        <v>RFH05P12</v>
      </c>
      <c r="D190" s="6" t="s">
        <v>36</v>
      </c>
      <c r="E190" s="11" t="s">
        <v>47</v>
      </c>
      <c r="F190" s="11" t="s">
        <v>1522</v>
      </c>
      <c r="G190" s="11" t="s">
        <v>1535</v>
      </c>
      <c r="H190" s="18">
        <v>6.98</v>
      </c>
      <c r="I190" s="5" t="s">
        <v>52</v>
      </c>
      <c r="J190" s="19">
        <v>1</v>
      </c>
      <c r="K190" s="5" t="s">
        <v>49</v>
      </c>
      <c r="L190" s="5" t="s">
        <v>53</v>
      </c>
      <c r="M190" s="23" t="s">
        <v>1523</v>
      </c>
      <c r="N190" s="24"/>
      <c r="O190" s="24"/>
      <c r="P190" s="24"/>
      <c r="Q190" s="17" t="s">
        <v>43</v>
      </c>
    </row>
    <row r="191" spans="2:17">
      <c r="B191" s="11" t="s">
        <v>55</v>
      </c>
      <c r="C191" s="5" t="str">
        <f t="shared" si="2"/>
        <v>RFH05P13</v>
      </c>
      <c r="D191" s="6" t="s">
        <v>36</v>
      </c>
      <c r="E191" s="11" t="s">
        <v>47</v>
      </c>
      <c r="F191" s="11" t="s">
        <v>1522</v>
      </c>
      <c r="G191" s="11" t="s">
        <v>1536</v>
      </c>
      <c r="H191" s="18">
        <v>6.98</v>
      </c>
      <c r="I191" s="5" t="s">
        <v>52</v>
      </c>
      <c r="J191" s="19">
        <v>1</v>
      </c>
      <c r="K191" s="5" t="s">
        <v>49</v>
      </c>
      <c r="L191" s="5" t="s">
        <v>53</v>
      </c>
      <c r="M191" s="23" t="s">
        <v>1523</v>
      </c>
      <c r="N191" s="24"/>
      <c r="O191" s="24"/>
      <c r="P191" s="24"/>
      <c r="Q191" s="17" t="s">
        <v>43</v>
      </c>
    </row>
    <row r="192" spans="2:17">
      <c r="B192" s="11" t="s">
        <v>55</v>
      </c>
      <c r="C192" s="5" t="str">
        <f t="shared" si="2"/>
        <v>RFH05P14</v>
      </c>
      <c r="D192" s="6" t="s">
        <v>36</v>
      </c>
      <c r="E192" s="11" t="s">
        <v>47</v>
      </c>
      <c r="F192" s="11" t="s">
        <v>1522</v>
      </c>
      <c r="G192" s="11" t="s">
        <v>1537</v>
      </c>
      <c r="H192" s="18">
        <v>6.98</v>
      </c>
      <c r="I192" s="5" t="s">
        <v>52</v>
      </c>
      <c r="J192" s="19">
        <v>1</v>
      </c>
      <c r="K192" s="5" t="s">
        <v>49</v>
      </c>
      <c r="L192" s="5" t="s">
        <v>53</v>
      </c>
      <c r="M192" s="23" t="s">
        <v>1523</v>
      </c>
      <c r="N192" s="24"/>
      <c r="O192" s="24"/>
      <c r="P192" s="24"/>
      <c r="Q192" s="17" t="s">
        <v>43</v>
      </c>
    </row>
    <row r="193" spans="2:17">
      <c r="B193" s="11" t="s">
        <v>55</v>
      </c>
      <c r="C193" s="5" t="str">
        <f t="shared" si="2"/>
        <v>RFH05P15</v>
      </c>
      <c r="D193" s="6" t="s">
        <v>36</v>
      </c>
      <c r="E193" s="11" t="s">
        <v>47</v>
      </c>
      <c r="F193" s="11" t="s">
        <v>1522</v>
      </c>
      <c r="G193" s="11" t="s">
        <v>1538</v>
      </c>
      <c r="H193" s="18">
        <v>6.98</v>
      </c>
      <c r="I193" s="5" t="s">
        <v>52</v>
      </c>
      <c r="J193" s="19">
        <v>1</v>
      </c>
      <c r="K193" s="5" t="s">
        <v>49</v>
      </c>
      <c r="L193" s="5" t="s">
        <v>53</v>
      </c>
      <c r="M193" s="23" t="s">
        <v>1523</v>
      </c>
      <c r="N193" s="24"/>
      <c r="O193" s="24"/>
      <c r="P193" s="24"/>
      <c r="Q193" s="17" t="s">
        <v>43</v>
      </c>
    </row>
    <row r="194" spans="2:17">
      <c r="B194" s="11" t="s">
        <v>55</v>
      </c>
      <c r="C194" s="5" t="str">
        <f t="shared" si="2"/>
        <v>RFH05P16</v>
      </c>
      <c r="D194" s="6" t="s">
        <v>36</v>
      </c>
      <c r="E194" s="11" t="s">
        <v>47</v>
      </c>
      <c r="F194" s="11" t="s">
        <v>1522</v>
      </c>
      <c r="G194" s="11" t="s">
        <v>1539</v>
      </c>
      <c r="H194" s="18">
        <v>6.98</v>
      </c>
      <c r="I194" s="5" t="s">
        <v>52</v>
      </c>
      <c r="J194" s="19">
        <v>1</v>
      </c>
      <c r="K194" s="5" t="s">
        <v>49</v>
      </c>
      <c r="L194" s="5" t="s">
        <v>53</v>
      </c>
      <c r="M194" s="23" t="s">
        <v>1523</v>
      </c>
      <c r="N194" s="24"/>
      <c r="O194" s="24"/>
      <c r="P194" s="24"/>
      <c r="Q194" s="17" t="s">
        <v>43</v>
      </c>
    </row>
    <row r="195" spans="2:17">
      <c r="B195" s="11" t="s">
        <v>55</v>
      </c>
      <c r="C195" s="5" t="str">
        <f t="shared" si="2"/>
        <v>RFH05P17</v>
      </c>
      <c r="D195" s="6" t="s">
        <v>36</v>
      </c>
      <c r="E195" s="11" t="s">
        <v>47</v>
      </c>
      <c r="F195" s="11" t="s">
        <v>1522</v>
      </c>
      <c r="G195" s="11" t="s">
        <v>1540</v>
      </c>
      <c r="H195" s="18">
        <v>6.98</v>
      </c>
      <c r="I195" s="5" t="s">
        <v>52</v>
      </c>
      <c r="J195" s="19">
        <v>1</v>
      </c>
      <c r="K195" s="5" t="s">
        <v>49</v>
      </c>
      <c r="L195" s="5" t="s">
        <v>53</v>
      </c>
      <c r="M195" s="23" t="s">
        <v>1523</v>
      </c>
      <c r="N195" s="24"/>
      <c r="O195" s="24"/>
      <c r="P195" s="24"/>
      <c r="Q195" s="17" t="s">
        <v>43</v>
      </c>
    </row>
    <row r="196" spans="2:17">
      <c r="B196" s="11" t="s">
        <v>55</v>
      </c>
      <c r="C196" s="5" t="str">
        <f t="shared" si="2"/>
        <v>RFH05P18</v>
      </c>
      <c r="D196" s="6" t="s">
        <v>36</v>
      </c>
      <c r="E196" s="11" t="s">
        <v>47</v>
      </c>
      <c r="F196" s="11" t="s">
        <v>1522</v>
      </c>
      <c r="G196" s="11" t="s">
        <v>1541</v>
      </c>
      <c r="H196" s="18">
        <v>6.98</v>
      </c>
      <c r="I196" s="5" t="s">
        <v>52</v>
      </c>
      <c r="J196" s="19">
        <v>1</v>
      </c>
      <c r="K196" s="5" t="s">
        <v>49</v>
      </c>
      <c r="L196" s="5" t="s">
        <v>53</v>
      </c>
      <c r="M196" s="23" t="s">
        <v>1523</v>
      </c>
      <c r="N196" s="24"/>
      <c r="O196" s="24"/>
      <c r="P196" s="24"/>
      <c r="Q196" s="17" t="s">
        <v>43</v>
      </c>
    </row>
    <row r="197" spans="2:17">
      <c r="B197" s="11" t="s">
        <v>55</v>
      </c>
      <c r="C197" s="5" t="str">
        <f t="shared" si="2"/>
        <v>RFH05P19</v>
      </c>
      <c r="D197" s="6" t="s">
        <v>36</v>
      </c>
      <c r="E197" s="11" t="s">
        <v>47</v>
      </c>
      <c r="F197" s="11" t="s">
        <v>1522</v>
      </c>
      <c r="G197" s="11" t="s">
        <v>1542</v>
      </c>
      <c r="H197" s="18">
        <v>6.98</v>
      </c>
      <c r="I197" s="5" t="s">
        <v>52</v>
      </c>
      <c r="J197" s="19">
        <v>1</v>
      </c>
      <c r="K197" s="5" t="s">
        <v>49</v>
      </c>
      <c r="L197" s="5" t="s">
        <v>53</v>
      </c>
      <c r="M197" s="23" t="s">
        <v>1523</v>
      </c>
      <c r="N197" s="24"/>
      <c r="O197" s="24"/>
      <c r="P197" s="24"/>
      <c r="Q197" s="17" t="s">
        <v>43</v>
      </c>
    </row>
    <row r="198" spans="2:17">
      <c r="B198" s="11" t="s">
        <v>55</v>
      </c>
      <c r="C198" s="5" t="str">
        <f t="shared" si="2"/>
        <v>RFH05P20</v>
      </c>
      <c r="D198" s="6" t="s">
        <v>36</v>
      </c>
      <c r="E198" s="11" t="s">
        <v>47</v>
      </c>
      <c r="F198" s="11" t="s">
        <v>1522</v>
      </c>
      <c r="G198" s="11" t="s">
        <v>1543</v>
      </c>
      <c r="H198" s="18">
        <v>6.98</v>
      </c>
      <c r="I198" s="5" t="s">
        <v>52</v>
      </c>
      <c r="J198" s="19">
        <v>1</v>
      </c>
      <c r="K198" s="5" t="s">
        <v>49</v>
      </c>
      <c r="L198" s="5" t="s">
        <v>53</v>
      </c>
      <c r="M198" s="23" t="s">
        <v>1523</v>
      </c>
      <c r="N198" s="24"/>
      <c r="O198" s="24"/>
      <c r="P198" s="24"/>
      <c r="Q198" s="17" t="s">
        <v>43</v>
      </c>
    </row>
    <row r="199" spans="2:17">
      <c r="B199" s="11" t="s">
        <v>55</v>
      </c>
      <c r="C199" s="5" t="str">
        <f t="shared" ref="C199:C261" si="3">IF(E199="","",IF(G199&lt;&gt;"",SUBSTITUTE(SUBSTITUTE(G199," ",""),"-",""),IF(F199&lt;&gt;"",SUBSTITUTE(SUBSTITUTE(F199," ",""),"-",""),"")))</f>
        <v>RFH05P21</v>
      </c>
      <c r="D199" s="6" t="s">
        <v>36</v>
      </c>
      <c r="E199" s="11" t="s">
        <v>47</v>
      </c>
      <c r="F199" s="11" t="s">
        <v>1522</v>
      </c>
      <c r="G199" s="11" t="s">
        <v>1544</v>
      </c>
      <c r="H199" s="18">
        <v>6.98</v>
      </c>
      <c r="I199" s="5" t="s">
        <v>52</v>
      </c>
      <c r="J199" s="19">
        <v>1</v>
      </c>
      <c r="K199" s="5" t="s">
        <v>49</v>
      </c>
      <c r="L199" s="5" t="s">
        <v>53</v>
      </c>
      <c r="M199" s="23" t="s">
        <v>1523</v>
      </c>
      <c r="N199" s="24"/>
      <c r="O199" s="24"/>
      <c r="P199" s="24"/>
      <c r="Q199" s="17" t="s">
        <v>43</v>
      </c>
    </row>
    <row r="200" spans="2:17">
      <c r="B200" s="11" t="s">
        <v>55</v>
      </c>
      <c r="C200" s="5" t="str">
        <f t="shared" si="3"/>
        <v>RFH05P22</v>
      </c>
      <c r="D200" s="6" t="s">
        <v>36</v>
      </c>
      <c r="E200" s="11" t="s">
        <v>47</v>
      </c>
      <c r="F200" s="11" t="s">
        <v>1522</v>
      </c>
      <c r="G200" s="11" t="s">
        <v>1545</v>
      </c>
      <c r="H200" s="18">
        <v>6.98</v>
      </c>
      <c r="I200" s="5" t="s">
        <v>52</v>
      </c>
      <c r="J200" s="19">
        <v>1</v>
      </c>
      <c r="K200" s="5" t="s">
        <v>49</v>
      </c>
      <c r="L200" s="5" t="s">
        <v>53</v>
      </c>
      <c r="M200" s="23" t="s">
        <v>1523</v>
      </c>
      <c r="N200" s="24"/>
      <c r="O200" s="24"/>
      <c r="P200" s="24"/>
      <c r="Q200" s="17" t="s">
        <v>43</v>
      </c>
    </row>
    <row r="201" spans="2:17">
      <c r="B201" s="11" t="s">
        <v>55</v>
      </c>
      <c r="C201" s="5" t="str">
        <f t="shared" si="3"/>
        <v>RFH05P23</v>
      </c>
      <c r="D201" s="6" t="s">
        <v>36</v>
      </c>
      <c r="E201" s="11" t="s">
        <v>47</v>
      </c>
      <c r="F201" s="11" t="s">
        <v>1522</v>
      </c>
      <c r="G201" s="11" t="s">
        <v>1546</v>
      </c>
      <c r="H201" s="18">
        <v>6.98</v>
      </c>
      <c r="I201" s="5" t="s">
        <v>52</v>
      </c>
      <c r="J201" s="19">
        <v>1</v>
      </c>
      <c r="K201" s="5" t="s">
        <v>49</v>
      </c>
      <c r="L201" s="5" t="s">
        <v>53</v>
      </c>
      <c r="M201" s="23" t="s">
        <v>1523</v>
      </c>
      <c r="N201" s="24"/>
      <c r="O201" s="24"/>
      <c r="P201" s="24"/>
      <c r="Q201" s="17" t="s">
        <v>43</v>
      </c>
    </row>
    <row r="202" spans="2:17">
      <c r="B202" s="11" t="s">
        <v>55</v>
      </c>
      <c r="C202" s="5" t="str">
        <f t="shared" si="3"/>
        <v>RFH05P24</v>
      </c>
      <c r="D202" s="6" t="s">
        <v>36</v>
      </c>
      <c r="E202" s="11" t="s">
        <v>47</v>
      </c>
      <c r="F202" s="11" t="s">
        <v>1522</v>
      </c>
      <c r="G202" s="11" t="s">
        <v>1547</v>
      </c>
      <c r="H202" s="18">
        <v>6.98</v>
      </c>
      <c r="I202" s="5" t="s">
        <v>52</v>
      </c>
      <c r="J202" s="19">
        <v>1</v>
      </c>
      <c r="K202" s="5" t="s">
        <v>49</v>
      </c>
      <c r="L202" s="5" t="s">
        <v>53</v>
      </c>
      <c r="M202" s="23" t="s">
        <v>1523</v>
      </c>
      <c r="N202" s="24"/>
      <c r="O202" s="24"/>
      <c r="P202" s="24"/>
      <c r="Q202" s="17" t="s">
        <v>43</v>
      </c>
    </row>
    <row r="203" spans="2:17">
      <c r="B203" s="11" t="s">
        <v>55</v>
      </c>
      <c r="C203" s="5" t="str">
        <f t="shared" si="3"/>
        <v>RFH05P25</v>
      </c>
      <c r="D203" s="6" t="s">
        <v>36</v>
      </c>
      <c r="E203" s="11" t="s">
        <v>47</v>
      </c>
      <c r="F203" s="11" t="s">
        <v>1522</v>
      </c>
      <c r="G203" s="11" t="s">
        <v>1548</v>
      </c>
      <c r="H203" s="18">
        <v>6.98</v>
      </c>
      <c r="I203" s="5" t="s">
        <v>52</v>
      </c>
      <c r="J203" s="19">
        <v>1</v>
      </c>
      <c r="K203" s="5" t="s">
        <v>49</v>
      </c>
      <c r="L203" s="5" t="s">
        <v>53</v>
      </c>
      <c r="M203" s="23" t="s">
        <v>1523</v>
      </c>
      <c r="N203" s="24"/>
      <c r="O203" s="24"/>
      <c r="P203" s="24"/>
      <c r="Q203" s="17" t="s">
        <v>43</v>
      </c>
    </row>
    <row r="204" spans="2:17">
      <c r="B204" s="11" t="s">
        <v>55</v>
      </c>
      <c r="C204" s="5" t="str">
        <f t="shared" si="3"/>
        <v>RFH05P26</v>
      </c>
      <c r="D204" s="6" t="s">
        <v>36</v>
      </c>
      <c r="E204" s="11" t="s">
        <v>47</v>
      </c>
      <c r="F204" s="11" t="s">
        <v>1522</v>
      </c>
      <c r="G204" s="11" t="s">
        <v>1549</v>
      </c>
      <c r="H204" s="18">
        <v>6.98</v>
      </c>
      <c r="I204" s="5" t="s">
        <v>52</v>
      </c>
      <c r="J204" s="19">
        <v>1</v>
      </c>
      <c r="K204" s="5" t="s">
        <v>49</v>
      </c>
      <c r="L204" s="5" t="s">
        <v>53</v>
      </c>
      <c r="M204" s="23" t="s">
        <v>1523</v>
      </c>
      <c r="N204" s="24"/>
      <c r="O204" s="24"/>
      <c r="P204" s="24"/>
      <c r="Q204" s="17" t="s">
        <v>43</v>
      </c>
    </row>
    <row r="205" spans="2:17">
      <c r="B205" s="11" t="s">
        <v>55</v>
      </c>
      <c r="C205" s="5" t="str">
        <f t="shared" si="3"/>
        <v>RFH05P27</v>
      </c>
      <c r="D205" s="6" t="s">
        <v>36</v>
      </c>
      <c r="E205" s="11" t="s">
        <v>47</v>
      </c>
      <c r="F205" s="11" t="s">
        <v>1522</v>
      </c>
      <c r="G205" s="11" t="s">
        <v>1550</v>
      </c>
      <c r="H205" s="18">
        <v>6.98</v>
      </c>
      <c r="I205" s="5" t="s">
        <v>52</v>
      </c>
      <c r="J205" s="19">
        <v>1</v>
      </c>
      <c r="K205" s="5" t="s">
        <v>49</v>
      </c>
      <c r="L205" s="5" t="s">
        <v>53</v>
      </c>
      <c r="M205" s="23" t="s">
        <v>1523</v>
      </c>
      <c r="N205" s="24"/>
      <c r="O205" s="24"/>
      <c r="P205" s="24"/>
      <c r="Q205" s="17" t="s">
        <v>43</v>
      </c>
    </row>
    <row r="206" spans="2:17">
      <c r="B206" s="11" t="s">
        <v>55</v>
      </c>
      <c r="C206" s="5" t="str">
        <f t="shared" si="3"/>
        <v>RFH05P28</v>
      </c>
      <c r="D206" s="6" t="s">
        <v>36</v>
      </c>
      <c r="E206" s="11" t="s">
        <v>47</v>
      </c>
      <c r="F206" s="11" t="s">
        <v>1522</v>
      </c>
      <c r="G206" s="11" t="s">
        <v>1551</v>
      </c>
      <c r="H206" s="18">
        <v>6.98</v>
      </c>
      <c r="I206" s="5" t="s">
        <v>52</v>
      </c>
      <c r="J206" s="19">
        <v>1</v>
      </c>
      <c r="K206" s="5" t="s">
        <v>49</v>
      </c>
      <c r="L206" s="5" t="s">
        <v>53</v>
      </c>
      <c r="M206" s="23" t="s">
        <v>1523</v>
      </c>
      <c r="N206" s="24"/>
      <c r="O206" s="24"/>
      <c r="P206" s="24"/>
      <c r="Q206" s="17" t="s">
        <v>43</v>
      </c>
    </row>
    <row r="207" spans="2:17">
      <c r="B207" s="11" t="s">
        <v>55</v>
      </c>
      <c r="C207" s="5" t="str">
        <f t="shared" si="3"/>
        <v>RFH05P29</v>
      </c>
      <c r="D207" s="6" t="s">
        <v>36</v>
      </c>
      <c r="E207" s="11" t="s">
        <v>47</v>
      </c>
      <c r="F207" s="11" t="s">
        <v>1522</v>
      </c>
      <c r="G207" s="11" t="s">
        <v>1552</v>
      </c>
      <c r="H207" s="18">
        <v>6.98</v>
      </c>
      <c r="I207" s="5" t="s">
        <v>52</v>
      </c>
      <c r="J207" s="19">
        <v>1</v>
      </c>
      <c r="K207" s="5" t="s">
        <v>49</v>
      </c>
      <c r="L207" s="5" t="s">
        <v>53</v>
      </c>
      <c r="M207" s="23" t="s">
        <v>1523</v>
      </c>
      <c r="N207" s="24"/>
      <c r="O207" s="24"/>
      <c r="P207" s="24"/>
      <c r="Q207" s="17" t="s">
        <v>43</v>
      </c>
    </row>
    <row r="208" spans="2:17">
      <c r="B208" s="11" t="s">
        <v>55</v>
      </c>
      <c r="C208" s="5" t="str">
        <f t="shared" si="3"/>
        <v>RFH05P30</v>
      </c>
      <c r="D208" s="6" t="s">
        <v>36</v>
      </c>
      <c r="E208" s="11" t="s">
        <v>47</v>
      </c>
      <c r="F208" s="11" t="s">
        <v>1522</v>
      </c>
      <c r="G208" s="11" t="s">
        <v>1553</v>
      </c>
      <c r="H208" s="18">
        <v>6.98</v>
      </c>
      <c r="I208" s="5" t="s">
        <v>52</v>
      </c>
      <c r="J208" s="19">
        <v>1</v>
      </c>
      <c r="K208" s="5" t="s">
        <v>49</v>
      </c>
      <c r="L208" s="5" t="s">
        <v>53</v>
      </c>
      <c r="M208" s="23" t="s">
        <v>1523</v>
      </c>
      <c r="N208" s="24"/>
      <c r="O208" s="24"/>
      <c r="P208" s="24"/>
      <c r="Q208" s="17" t="s">
        <v>43</v>
      </c>
    </row>
    <row r="209" spans="2:17">
      <c r="B209" s="11" t="s">
        <v>55</v>
      </c>
      <c r="C209" s="5" t="str">
        <f t="shared" si="3"/>
        <v>RFH05P31</v>
      </c>
      <c r="D209" s="6" t="s">
        <v>36</v>
      </c>
      <c r="E209" s="11" t="s">
        <v>47</v>
      </c>
      <c r="F209" s="11" t="s">
        <v>1522</v>
      </c>
      <c r="G209" s="11" t="s">
        <v>1554</v>
      </c>
      <c r="H209" s="18">
        <v>6.98</v>
      </c>
      <c r="I209" s="5" t="s">
        <v>52</v>
      </c>
      <c r="J209" s="19">
        <v>1</v>
      </c>
      <c r="K209" s="5" t="s">
        <v>49</v>
      </c>
      <c r="L209" s="5" t="s">
        <v>53</v>
      </c>
      <c r="M209" s="23" t="s">
        <v>1523</v>
      </c>
      <c r="N209" s="24"/>
      <c r="O209" s="24"/>
      <c r="P209" s="24"/>
      <c r="Q209" s="17" t="s">
        <v>43</v>
      </c>
    </row>
    <row r="210" spans="2:17">
      <c r="B210" s="11" t="s">
        <v>55</v>
      </c>
      <c r="C210" s="5" t="str">
        <f t="shared" si="3"/>
        <v>RFH05P32</v>
      </c>
      <c r="D210" s="6" t="s">
        <v>36</v>
      </c>
      <c r="E210" s="11" t="s">
        <v>47</v>
      </c>
      <c r="F210" s="11" t="s">
        <v>1522</v>
      </c>
      <c r="G210" s="11" t="s">
        <v>1555</v>
      </c>
      <c r="H210" s="18">
        <v>6.98</v>
      </c>
      <c r="I210" s="5" t="s">
        <v>52</v>
      </c>
      <c r="J210" s="19">
        <v>1</v>
      </c>
      <c r="K210" s="5" t="s">
        <v>49</v>
      </c>
      <c r="L210" s="5" t="s">
        <v>53</v>
      </c>
      <c r="M210" s="23" t="s">
        <v>1523</v>
      </c>
      <c r="N210" s="24"/>
      <c r="O210" s="24"/>
      <c r="P210" s="24"/>
      <c r="Q210" s="17" t="s">
        <v>43</v>
      </c>
    </row>
    <row r="211" spans="2:17">
      <c r="B211" s="11" t="s">
        <v>55</v>
      </c>
      <c r="C211" s="5" t="str">
        <f t="shared" si="3"/>
        <v>RFH05P33</v>
      </c>
      <c r="D211" s="6" t="s">
        <v>36</v>
      </c>
      <c r="E211" s="11" t="s">
        <v>47</v>
      </c>
      <c r="F211" s="11" t="s">
        <v>1522</v>
      </c>
      <c r="G211" s="11" t="s">
        <v>1556</v>
      </c>
      <c r="H211" s="18">
        <v>6.98</v>
      </c>
      <c r="I211" s="5" t="s">
        <v>52</v>
      </c>
      <c r="J211" s="19">
        <v>1</v>
      </c>
      <c r="K211" s="5" t="s">
        <v>49</v>
      </c>
      <c r="L211" s="5" t="s">
        <v>53</v>
      </c>
      <c r="M211" s="23" t="s">
        <v>1523</v>
      </c>
      <c r="N211" s="24"/>
      <c r="O211" s="24"/>
      <c r="P211" s="24"/>
      <c r="Q211" s="17" t="s">
        <v>43</v>
      </c>
    </row>
    <row r="212" spans="2:17">
      <c r="B212" s="11" t="s">
        <v>55</v>
      </c>
      <c r="C212" s="5" t="str">
        <f t="shared" si="3"/>
        <v>RFH05P34</v>
      </c>
      <c r="D212" s="6" t="s">
        <v>36</v>
      </c>
      <c r="E212" s="11" t="s">
        <v>47</v>
      </c>
      <c r="F212" s="11" t="s">
        <v>1522</v>
      </c>
      <c r="G212" s="11" t="s">
        <v>1557</v>
      </c>
      <c r="H212" s="18">
        <v>6.98</v>
      </c>
      <c r="I212" s="5" t="s">
        <v>52</v>
      </c>
      <c r="J212" s="19">
        <v>1</v>
      </c>
      <c r="K212" s="5" t="s">
        <v>49</v>
      </c>
      <c r="L212" s="5" t="s">
        <v>53</v>
      </c>
      <c r="M212" s="23" t="s">
        <v>1523</v>
      </c>
      <c r="N212" s="24"/>
      <c r="O212" s="24"/>
      <c r="P212" s="24"/>
      <c r="Q212" s="17" t="s">
        <v>43</v>
      </c>
    </row>
    <row r="213" spans="2:17">
      <c r="B213" s="11" t="s">
        <v>55</v>
      </c>
      <c r="C213" s="5" t="str">
        <f t="shared" si="3"/>
        <v>RFH05P35</v>
      </c>
      <c r="D213" s="6" t="s">
        <v>36</v>
      </c>
      <c r="E213" s="11" t="s">
        <v>47</v>
      </c>
      <c r="F213" s="11" t="s">
        <v>1522</v>
      </c>
      <c r="G213" s="11" t="s">
        <v>1558</v>
      </c>
      <c r="H213" s="18">
        <v>6.98</v>
      </c>
      <c r="I213" s="5" t="s">
        <v>52</v>
      </c>
      <c r="J213" s="19">
        <v>1</v>
      </c>
      <c r="K213" s="5" t="s">
        <v>49</v>
      </c>
      <c r="L213" s="5" t="s">
        <v>53</v>
      </c>
      <c r="M213" s="23" t="s">
        <v>1523</v>
      </c>
      <c r="N213" s="24"/>
      <c r="O213" s="24"/>
      <c r="P213" s="24"/>
      <c r="Q213" s="17" t="s">
        <v>43</v>
      </c>
    </row>
    <row r="214" spans="2:17">
      <c r="B214" s="11" t="s">
        <v>55</v>
      </c>
      <c r="C214" s="5" t="str">
        <f t="shared" si="3"/>
        <v>RFH05P36</v>
      </c>
      <c r="D214" s="6" t="s">
        <v>36</v>
      </c>
      <c r="E214" s="11" t="s">
        <v>47</v>
      </c>
      <c r="F214" s="11" t="s">
        <v>1522</v>
      </c>
      <c r="G214" s="11" t="s">
        <v>1559</v>
      </c>
      <c r="H214" s="18">
        <v>6.98</v>
      </c>
      <c r="I214" s="5" t="s">
        <v>52</v>
      </c>
      <c r="J214" s="19">
        <v>1</v>
      </c>
      <c r="K214" s="5" t="s">
        <v>49</v>
      </c>
      <c r="L214" s="5" t="s">
        <v>53</v>
      </c>
      <c r="M214" s="23" t="s">
        <v>1523</v>
      </c>
      <c r="N214" s="24"/>
      <c r="O214" s="24"/>
      <c r="P214" s="24"/>
      <c r="Q214" s="17" t="s">
        <v>43</v>
      </c>
    </row>
    <row r="215" spans="2:17">
      <c r="B215" s="11" t="s">
        <v>55</v>
      </c>
      <c r="C215" s="5" t="str">
        <f t="shared" si="3"/>
        <v>RFH05P37</v>
      </c>
      <c r="D215" s="6" t="s">
        <v>36</v>
      </c>
      <c r="E215" s="11" t="s">
        <v>47</v>
      </c>
      <c r="F215" s="11" t="s">
        <v>1522</v>
      </c>
      <c r="G215" s="11" t="s">
        <v>1560</v>
      </c>
      <c r="H215" s="18">
        <v>6.98</v>
      </c>
      <c r="I215" s="5" t="s">
        <v>52</v>
      </c>
      <c r="J215" s="19">
        <v>1</v>
      </c>
      <c r="K215" s="5" t="s">
        <v>49</v>
      </c>
      <c r="L215" s="5" t="s">
        <v>53</v>
      </c>
      <c r="M215" s="23" t="s">
        <v>1523</v>
      </c>
      <c r="N215" s="24"/>
      <c r="O215" s="24"/>
      <c r="P215" s="24"/>
      <c r="Q215" s="17" t="s">
        <v>43</v>
      </c>
    </row>
    <row r="216" spans="2:17">
      <c r="B216" s="11" t="s">
        <v>55</v>
      </c>
      <c r="C216" s="5" t="str">
        <f t="shared" si="3"/>
        <v>RFH05P38</v>
      </c>
      <c r="D216" s="6" t="s">
        <v>36</v>
      </c>
      <c r="E216" s="11" t="s">
        <v>47</v>
      </c>
      <c r="F216" s="11" t="s">
        <v>1522</v>
      </c>
      <c r="G216" s="11" t="s">
        <v>1561</v>
      </c>
      <c r="H216" s="18">
        <v>6.98</v>
      </c>
      <c r="I216" s="5" t="s">
        <v>52</v>
      </c>
      <c r="J216" s="19">
        <v>1</v>
      </c>
      <c r="K216" s="5" t="s">
        <v>49</v>
      </c>
      <c r="L216" s="5" t="s">
        <v>53</v>
      </c>
      <c r="M216" s="23" t="s">
        <v>1523</v>
      </c>
      <c r="N216" s="24"/>
      <c r="O216" s="24"/>
      <c r="P216" s="24"/>
      <c r="Q216" s="17" t="s">
        <v>43</v>
      </c>
    </row>
    <row r="217" spans="2:17">
      <c r="B217" s="11" t="s">
        <v>55</v>
      </c>
      <c r="C217" s="5" t="str">
        <f t="shared" si="3"/>
        <v>RFH05P39</v>
      </c>
      <c r="D217" s="6" t="s">
        <v>36</v>
      </c>
      <c r="E217" s="11" t="s">
        <v>47</v>
      </c>
      <c r="F217" s="11" t="s">
        <v>1522</v>
      </c>
      <c r="G217" s="11" t="s">
        <v>1562</v>
      </c>
      <c r="H217" s="18">
        <v>6.98</v>
      </c>
      <c r="I217" s="5" t="s">
        <v>52</v>
      </c>
      <c r="J217" s="19">
        <v>1</v>
      </c>
      <c r="K217" s="5" t="s">
        <v>49</v>
      </c>
      <c r="L217" s="5" t="s">
        <v>53</v>
      </c>
      <c r="M217" s="23" t="s">
        <v>1523</v>
      </c>
      <c r="N217" s="24"/>
      <c r="O217" s="24"/>
      <c r="P217" s="24"/>
      <c r="Q217" s="17" t="s">
        <v>43</v>
      </c>
    </row>
    <row r="218" spans="2:17">
      <c r="B218" s="11" t="s">
        <v>55</v>
      </c>
      <c r="C218" s="5" t="str">
        <f t="shared" si="3"/>
        <v>RFH05P40</v>
      </c>
      <c r="D218" s="6" t="s">
        <v>36</v>
      </c>
      <c r="E218" s="11" t="s">
        <v>47</v>
      </c>
      <c r="F218" s="11" t="s">
        <v>1522</v>
      </c>
      <c r="G218" s="11" t="s">
        <v>1563</v>
      </c>
      <c r="H218" s="18">
        <v>6.98</v>
      </c>
      <c r="I218" s="5" t="s">
        <v>52</v>
      </c>
      <c r="J218" s="19">
        <v>1</v>
      </c>
      <c r="K218" s="5" t="s">
        <v>49</v>
      </c>
      <c r="L218" s="5" t="s">
        <v>53</v>
      </c>
      <c r="M218" s="23" t="s">
        <v>1523</v>
      </c>
      <c r="N218" s="24"/>
      <c r="O218" s="24"/>
      <c r="P218" s="24"/>
      <c r="Q218" s="17" t="s">
        <v>43</v>
      </c>
    </row>
    <row r="219" spans="2:17">
      <c r="B219" s="11" t="s">
        <v>55</v>
      </c>
      <c r="C219" s="5" t="str">
        <f t="shared" si="3"/>
        <v>RFH05P41</v>
      </c>
      <c r="D219" s="6" t="s">
        <v>36</v>
      </c>
      <c r="E219" s="11" t="s">
        <v>47</v>
      </c>
      <c r="F219" s="11" t="s">
        <v>1522</v>
      </c>
      <c r="G219" s="11" t="s">
        <v>1564</v>
      </c>
      <c r="H219" s="18">
        <v>6.98</v>
      </c>
      <c r="I219" s="5" t="s">
        <v>52</v>
      </c>
      <c r="J219" s="19">
        <v>1</v>
      </c>
      <c r="K219" s="5" t="s">
        <v>49</v>
      </c>
      <c r="L219" s="5" t="s">
        <v>53</v>
      </c>
      <c r="M219" s="23" t="s">
        <v>1523</v>
      </c>
      <c r="N219" s="24"/>
      <c r="O219" s="24"/>
      <c r="P219" s="24"/>
      <c r="Q219" s="17" t="s">
        <v>43</v>
      </c>
    </row>
    <row r="220" spans="2:17">
      <c r="B220" s="11" t="s">
        <v>55</v>
      </c>
      <c r="C220" s="5" t="str">
        <f t="shared" si="3"/>
        <v>RFH05P42</v>
      </c>
      <c r="D220" s="6" t="s">
        <v>36</v>
      </c>
      <c r="E220" s="11" t="s">
        <v>47</v>
      </c>
      <c r="F220" s="11" t="s">
        <v>1522</v>
      </c>
      <c r="G220" s="11" t="s">
        <v>1565</v>
      </c>
      <c r="H220" s="18">
        <v>6.98</v>
      </c>
      <c r="I220" s="5" t="s">
        <v>52</v>
      </c>
      <c r="J220" s="19">
        <v>1</v>
      </c>
      <c r="K220" s="5" t="s">
        <v>49</v>
      </c>
      <c r="L220" s="5" t="s">
        <v>53</v>
      </c>
      <c r="M220" s="23" t="s">
        <v>1523</v>
      </c>
      <c r="N220" s="24"/>
      <c r="O220" s="24"/>
      <c r="P220" s="24"/>
      <c r="Q220" s="17" t="s">
        <v>43</v>
      </c>
    </row>
    <row r="221" spans="2:17">
      <c r="B221" s="11" t="s">
        <v>55</v>
      </c>
      <c r="C221" s="5" t="str">
        <f t="shared" si="3"/>
        <v>RFH05P43</v>
      </c>
      <c r="D221" s="6" t="s">
        <v>36</v>
      </c>
      <c r="E221" s="11" t="s">
        <v>47</v>
      </c>
      <c r="F221" s="11" t="s">
        <v>1522</v>
      </c>
      <c r="G221" s="11" t="s">
        <v>1566</v>
      </c>
      <c r="H221" s="18">
        <v>6.98</v>
      </c>
      <c r="I221" s="5" t="s">
        <v>52</v>
      </c>
      <c r="J221" s="19">
        <v>1</v>
      </c>
      <c r="K221" s="5" t="s">
        <v>49</v>
      </c>
      <c r="L221" s="5" t="s">
        <v>53</v>
      </c>
      <c r="M221" s="23" t="s">
        <v>1523</v>
      </c>
      <c r="N221" s="24"/>
      <c r="O221" s="24"/>
      <c r="P221" s="24"/>
      <c r="Q221" s="17" t="s">
        <v>43</v>
      </c>
    </row>
    <row r="222" spans="2:17">
      <c r="B222" s="11" t="s">
        <v>55</v>
      </c>
      <c r="C222" s="5" t="str">
        <f t="shared" si="3"/>
        <v>RFH05P44</v>
      </c>
      <c r="D222" s="6" t="s">
        <v>36</v>
      </c>
      <c r="E222" s="11" t="s">
        <v>47</v>
      </c>
      <c r="F222" s="11" t="s">
        <v>1522</v>
      </c>
      <c r="G222" s="11" t="s">
        <v>1567</v>
      </c>
      <c r="H222" s="18">
        <v>6.98</v>
      </c>
      <c r="I222" s="5" t="s">
        <v>52</v>
      </c>
      <c r="J222" s="19">
        <v>1</v>
      </c>
      <c r="K222" s="5" t="s">
        <v>49</v>
      </c>
      <c r="L222" s="5" t="s">
        <v>53</v>
      </c>
      <c r="M222" s="23" t="s">
        <v>1523</v>
      </c>
      <c r="N222" s="24"/>
      <c r="O222" s="24"/>
      <c r="P222" s="24"/>
      <c r="Q222" s="17" t="s">
        <v>43</v>
      </c>
    </row>
    <row r="223" spans="2:17">
      <c r="B223" s="11" t="s">
        <v>55</v>
      </c>
      <c r="C223" s="5" t="str">
        <f t="shared" si="3"/>
        <v>RFH05P45</v>
      </c>
      <c r="D223" s="6" t="s">
        <v>36</v>
      </c>
      <c r="E223" s="11" t="s">
        <v>47</v>
      </c>
      <c r="F223" s="11" t="s">
        <v>1522</v>
      </c>
      <c r="G223" s="11" t="s">
        <v>1568</v>
      </c>
      <c r="H223" s="18">
        <v>6.98</v>
      </c>
      <c r="I223" s="5" t="s">
        <v>52</v>
      </c>
      <c r="J223" s="19">
        <v>1</v>
      </c>
      <c r="K223" s="5" t="s">
        <v>49</v>
      </c>
      <c r="L223" s="5" t="s">
        <v>53</v>
      </c>
      <c r="M223" s="23" t="s">
        <v>1523</v>
      </c>
      <c r="N223" s="24"/>
      <c r="O223" s="24"/>
      <c r="P223" s="24"/>
      <c r="Q223" s="17" t="s">
        <v>43</v>
      </c>
    </row>
    <row r="224" spans="2:17">
      <c r="B224" s="11" t="s">
        <v>55</v>
      </c>
      <c r="C224" s="5" t="str">
        <f t="shared" si="3"/>
        <v>RFH05P46</v>
      </c>
      <c r="D224" s="6" t="s">
        <v>36</v>
      </c>
      <c r="E224" s="11" t="s">
        <v>47</v>
      </c>
      <c r="F224" s="11" t="s">
        <v>1522</v>
      </c>
      <c r="G224" s="11" t="s">
        <v>1569</v>
      </c>
      <c r="H224" s="18">
        <v>6.98</v>
      </c>
      <c r="I224" s="5" t="s">
        <v>52</v>
      </c>
      <c r="J224" s="19">
        <v>1</v>
      </c>
      <c r="K224" s="5" t="s">
        <v>49</v>
      </c>
      <c r="L224" s="5" t="s">
        <v>53</v>
      </c>
      <c r="M224" s="23" t="s">
        <v>1523</v>
      </c>
      <c r="N224" s="24"/>
      <c r="O224" s="24"/>
      <c r="P224" s="24"/>
      <c r="Q224" s="17" t="s">
        <v>43</v>
      </c>
    </row>
    <row r="225" spans="2:17">
      <c r="B225" s="11" t="s">
        <v>55</v>
      </c>
      <c r="C225" s="5" t="str">
        <f t="shared" si="3"/>
        <v>RFH05P47</v>
      </c>
      <c r="D225" s="6" t="s">
        <v>36</v>
      </c>
      <c r="E225" s="11" t="s">
        <v>47</v>
      </c>
      <c r="F225" s="11" t="s">
        <v>1522</v>
      </c>
      <c r="G225" s="11" t="s">
        <v>1570</v>
      </c>
      <c r="H225" s="18">
        <v>6.98</v>
      </c>
      <c r="I225" s="5" t="s">
        <v>52</v>
      </c>
      <c r="J225" s="19">
        <v>1</v>
      </c>
      <c r="K225" s="5" t="s">
        <v>49</v>
      </c>
      <c r="L225" s="5" t="s">
        <v>53</v>
      </c>
      <c r="M225" s="23" t="s">
        <v>1523</v>
      </c>
      <c r="N225" s="24"/>
      <c r="O225" s="24"/>
      <c r="P225" s="24"/>
      <c r="Q225" s="17" t="s">
        <v>43</v>
      </c>
    </row>
    <row r="226" spans="2:17">
      <c r="B226" s="11" t="s">
        <v>55</v>
      </c>
      <c r="C226" s="5" t="str">
        <f t="shared" si="3"/>
        <v>RFH05P48</v>
      </c>
      <c r="D226" s="6" t="s">
        <v>36</v>
      </c>
      <c r="E226" s="11" t="s">
        <v>47</v>
      </c>
      <c r="F226" s="11" t="s">
        <v>1522</v>
      </c>
      <c r="G226" s="11" t="s">
        <v>1571</v>
      </c>
      <c r="H226" s="18">
        <v>6.98</v>
      </c>
      <c r="I226" s="5" t="s">
        <v>52</v>
      </c>
      <c r="J226" s="19">
        <v>1</v>
      </c>
      <c r="K226" s="5" t="s">
        <v>49</v>
      </c>
      <c r="L226" s="5" t="s">
        <v>53</v>
      </c>
      <c r="M226" s="23" t="s">
        <v>1523</v>
      </c>
      <c r="N226" s="24"/>
      <c r="O226" s="24"/>
      <c r="P226" s="24"/>
      <c r="Q226" s="17" t="s">
        <v>43</v>
      </c>
    </row>
    <row r="227" spans="2:17">
      <c r="B227" s="11" t="s">
        <v>55</v>
      </c>
      <c r="C227" s="5" t="str">
        <f t="shared" si="3"/>
        <v>RFH05P49</v>
      </c>
      <c r="D227" s="6" t="s">
        <v>36</v>
      </c>
      <c r="E227" s="11" t="s">
        <v>47</v>
      </c>
      <c r="F227" s="11" t="s">
        <v>1522</v>
      </c>
      <c r="G227" s="11" t="s">
        <v>1572</v>
      </c>
      <c r="H227" s="18">
        <v>6.98</v>
      </c>
      <c r="I227" s="5" t="s">
        <v>52</v>
      </c>
      <c r="J227" s="19">
        <v>1</v>
      </c>
      <c r="K227" s="5" t="s">
        <v>49</v>
      </c>
      <c r="L227" s="5" t="s">
        <v>53</v>
      </c>
      <c r="M227" s="23" t="s">
        <v>1523</v>
      </c>
      <c r="N227" s="24"/>
      <c r="O227" s="24"/>
      <c r="P227" s="24"/>
      <c r="Q227" s="17" t="s">
        <v>43</v>
      </c>
    </row>
    <row r="228" spans="2:17">
      <c r="B228" s="11" t="s">
        <v>55</v>
      </c>
      <c r="C228" s="5" t="str">
        <f t="shared" si="3"/>
        <v>RFH05P50</v>
      </c>
      <c r="D228" s="6" t="s">
        <v>36</v>
      </c>
      <c r="E228" s="11" t="s">
        <v>47</v>
      </c>
      <c r="F228" s="11" t="s">
        <v>1522</v>
      </c>
      <c r="G228" s="11" t="s">
        <v>1573</v>
      </c>
      <c r="H228" s="18">
        <v>6.98</v>
      </c>
      <c r="I228" s="5" t="s">
        <v>52</v>
      </c>
      <c r="J228" s="19">
        <v>1</v>
      </c>
      <c r="K228" s="5" t="s">
        <v>49</v>
      </c>
      <c r="L228" s="5" t="s">
        <v>53</v>
      </c>
      <c r="M228" s="23" t="s">
        <v>1523</v>
      </c>
      <c r="N228" s="24"/>
      <c r="O228" s="24"/>
      <c r="P228" s="24"/>
      <c r="Q228" s="17" t="s">
        <v>43</v>
      </c>
    </row>
    <row r="229" spans="2:17">
      <c r="B229" s="11" t="s">
        <v>55</v>
      </c>
      <c r="C229" s="5" t="str">
        <f t="shared" si="3"/>
        <v>RFH05P51</v>
      </c>
      <c r="D229" s="6" t="s">
        <v>36</v>
      </c>
      <c r="E229" s="11" t="s">
        <v>47</v>
      </c>
      <c r="F229" s="11" t="s">
        <v>1522</v>
      </c>
      <c r="G229" s="11" t="s">
        <v>1574</v>
      </c>
      <c r="H229" s="18">
        <v>6.98</v>
      </c>
      <c r="I229" s="5" t="s">
        <v>52</v>
      </c>
      <c r="J229" s="19">
        <v>1</v>
      </c>
      <c r="K229" s="5" t="s">
        <v>49</v>
      </c>
      <c r="L229" s="5" t="s">
        <v>53</v>
      </c>
      <c r="M229" s="23" t="s">
        <v>1523</v>
      </c>
      <c r="N229" s="24"/>
      <c r="O229" s="24"/>
      <c r="P229" s="24"/>
      <c r="Q229" s="17" t="s">
        <v>43</v>
      </c>
    </row>
    <row r="230" spans="2:17">
      <c r="B230" s="11" t="s">
        <v>55</v>
      </c>
      <c r="C230" s="5" t="str">
        <f t="shared" si="3"/>
        <v>RFH05P52</v>
      </c>
      <c r="D230" s="6" t="s">
        <v>36</v>
      </c>
      <c r="E230" s="11" t="s">
        <v>47</v>
      </c>
      <c r="F230" s="11" t="s">
        <v>1522</v>
      </c>
      <c r="G230" s="11" t="s">
        <v>1575</v>
      </c>
      <c r="H230" s="18">
        <v>6.98</v>
      </c>
      <c r="I230" s="5" t="s">
        <v>52</v>
      </c>
      <c r="J230" s="19">
        <v>1</v>
      </c>
      <c r="K230" s="5" t="s">
        <v>49</v>
      </c>
      <c r="L230" s="5" t="s">
        <v>53</v>
      </c>
      <c r="M230" s="23" t="s">
        <v>1523</v>
      </c>
      <c r="N230" s="24"/>
      <c r="O230" s="24"/>
      <c r="P230" s="24"/>
      <c r="Q230" s="17" t="s">
        <v>43</v>
      </c>
    </row>
    <row r="231" spans="2:17">
      <c r="B231" s="11" t="s">
        <v>55</v>
      </c>
      <c r="C231" s="5" t="str">
        <f t="shared" si="3"/>
        <v>RFH05P53</v>
      </c>
      <c r="D231" s="6" t="s">
        <v>36</v>
      </c>
      <c r="E231" s="11" t="s">
        <v>47</v>
      </c>
      <c r="F231" s="11" t="s">
        <v>1522</v>
      </c>
      <c r="G231" s="11" t="s">
        <v>1576</v>
      </c>
      <c r="H231" s="18">
        <v>6.98</v>
      </c>
      <c r="I231" s="5" t="s">
        <v>52</v>
      </c>
      <c r="J231" s="19">
        <v>1</v>
      </c>
      <c r="K231" s="5" t="s">
        <v>49</v>
      </c>
      <c r="L231" s="5" t="s">
        <v>53</v>
      </c>
      <c r="M231" s="23" t="s">
        <v>1523</v>
      </c>
      <c r="N231" s="24"/>
      <c r="O231" s="24"/>
      <c r="P231" s="24"/>
      <c r="Q231" s="17" t="s">
        <v>43</v>
      </c>
    </row>
    <row r="232" spans="2:17">
      <c r="B232" s="11" t="s">
        <v>55</v>
      </c>
      <c r="C232" s="5" t="str">
        <f t="shared" si="3"/>
        <v>RFH05P54</v>
      </c>
      <c r="D232" s="6" t="s">
        <v>36</v>
      </c>
      <c r="E232" s="11" t="s">
        <v>47</v>
      </c>
      <c r="F232" s="11" t="s">
        <v>1522</v>
      </c>
      <c r="G232" s="11" t="s">
        <v>1577</v>
      </c>
      <c r="H232" s="18">
        <v>6.98</v>
      </c>
      <c r="I232" s="5" t="s">
        <v>52</v>
      </c>
      <c r="J232" s="19">
        <v>1</v>
      </c>
      <c r="K232" s="5" t="s">
        <v>49</v>
      </c>
      <c r="L232" s="5" t="s">
        <v>53</v>
      </c>
      <c r="M232" s="23" t="s">
        <v>1523</v>
      </c>
      <c r="N232" s="24"/>
      <c r="O232" s="24"/>
      <c r="P232" s="24"/>
      <c r="Q232" s="17" t="s">
        <v>43</v>
      </c>
    </row>
    <row r="233" spans="2:17">
      <c r="C233" s="5" t="str">
        <f t="shared" si="3"/>
        <v/>
      </c>
      <c r="N233" s="22"/>
      <c r="O233" s="22"/>
      <c r="P233" s="22"/>
    </row>
    <row r="234" spans="2:17">
      <c r="C234" s="5" t="str">
        <f t="shared" si="3"/>
        <v/>
      </c>
      <c r="N234" s="22"/>
      <c r="O234" s="22"/>
      <c r="P234" s="22"/>
    </row>
    <row r="235" spans="2:17">
      <c r="B235" s="11" t="s">
        <v>50</v>
      </c>
      <c r="C235" s="5" t="str">
        <f t="shared" si="3"/>
        <v>RFH06</v>
      </c>
      <c r="D235" s="6" t="s">
        <v>36</v>
      </c>
      <c r="E235" s="11" t="s">
        <v>47</v>
      </c>
      <c r="F235" s="11" t="s">
        <v>1578</v>
      </c>
      <c r="G235" s="11"/>
      <c r="H235" s="18">
        <v>188.46</v>
      </c>
      <c r="I235" s="5" t="s">
        <v>52</v>
      </c>
      <c r="J235" s="19">
        <v>26</v>
      </c>
      <c r="K235" s="5" t="s">
        <v>49</v>
      </c>
      <c r="L235" s="5" t="s">
        <v>53</v>
      </c>
      <c r="M235" s="23" t="s">
        <v>1579</v>
      </c>
      <c r="N235" s="24">
        <v>1100</v>
      </c>
      <c r="O235" s="24">
        <v>20</v>
      </c>
      <c r="P235" s="24">
        <v>1</v>
      </c>
      <c r="Q235" s="17" t="s">
        <v>43</v>
      </c>
    </row>
    <row r="236" spans="2:17">
      <c r="B236" s="11" t="s">
        <v>55</v>
      </c>
      <c r="C236" s="5" t="str">
        <f t="shared" si="3"/>
        <v>RFH06P01</v>
      </c>
      <c r="D236" s="6" t="s">
        <v>36</v>
      </c>
      <c r="E236" s="11" t="s">
        <v>47</v>
      </c>
      <c r="F236" s="11" t="s">
        <v>1578</v>
      </c>
      <c r="G236" s="11" t="s">
        <v>1580</v>
      </c>
      <c r="H236" s="18">
        <v>6.98</v>
      </c>
      <c r="I236" s="5" t="s">
        <v>52</v>
      </c>
      <c r="J236" s="19">
        <v>1</v>
      </c>
      <c r="K236" s="5" t="s">
        <v>49</v>
      </c>
      <c r="L236" s="5" t="s">
        <v>53</v>
      </c>
      <c r="M236" s="23" t="s">
        <v>1579</v>
      </c>
      <c r="N236" s="24"/>
      <c r="O236" s="24"/>
      <c r="P236" s="24"/>
      <c r="Q236" s="17" t="s">
        <v>43</v>
      </c>
    </row>
    <row r="237" spans="2:17">
      <c r="B237" s="11" t="s">
        <v>55</v>
      </c>
      <c r="C237" s="5" t="str">
        <f t="shared" si="3"/>
        <v>RFH06P02</v>
      </c>
      <c r="D237" s="6" t="s">
        <v>36</v>
      </c>
      <c r="E237" s="11" t="s">
        <v>47</v>
      </c>
      <c r="F237" s="11" t="s">
        <v>1578</v>
      </c>
      <c r="G237" s="11" t="s">
        <v>1581</v>
      </c>
      <c r="H237" s="18">
        <v>6.98</v>
      </c>
      <c r="I237" s="5" t="s">
        <v>52</v>
      </c>
      <c r="J237" s="19">
        <v>1</v>
      </c>
      <c r="K237" s="5" t="s">
        <v>49</v>
      </c>
      <c r="L237" s="5" t="s">
        <v>53</v>
      </c>
      <c r="M237" s="23" t="s">
        <v>1579</v>
      </c>
      <c r="N237" s="24"/>
      <c r="O237" s="24"/>
      <c r="P237" s="24"/>
      <c r="Q237" s="17" t="s">
        <v>43</v>
      </c>
    </row>
    <row r="238" spans="2:17">
      <c r="B238" s="11" t="s">
        <v>55</v>
      </c>
      <c r="C238" s="5" t="str">
        <f t="shared" si="3"/>
        <v>RFH06P03</v>
      </c>
      <c r="D238" s="6" t="s">
        <v>36</v>
      </c>
      <c r="E238" s="11" t="s">
        <v>47</v>
      </c>
      <c r="F238" s="11" t="s">
        <v>1578</v>
      </c>
      <c r="G238" s="11" t="s">
        <v>1582</v>
      </c>
      <c r="H238" s="18">
        <v>6.98</v>
      </c>
      <c r="I238" s="5" t="s">
        <v>52</v>
      </c>
      <c r="J238" s="19">
        <v>1</v>
      </c>
      <c r="K238" s="5" t="s">
        <v>49</v>
      </c>
      <c r="L238" s="5" t="s">
        <v>53</v>
      </c>
      <c r="M238" s="23" t="s">
        <v>1579</v>
      </c>
      <c r="N238" s="24"/>
      <c r="O238" s="24"/>
      <c r="P238" s="24"/>
      <c r="Q238" s="17" t="s">
        <v>43</v>
      </c>
    </row>
    <row r="239" spans="2:17">
      <c r="B239" s="11" t="s">
        <v>55</v>
      </c>
      <c r="C239" s="5" t="str">
        <f t="shared" si="3"/>
        <v>RFH06P04</v>
      </c>
      <c r="D239" s="6" t="s">
        <v>36</v>
      </c>
      <c r="E239" s="11" t="s">
        <v>47</v>
      </c>
      <c r="F239" s="11" t="s">
        <v>1578</v>
      </c>
      <c r="G239" s="11" t="s">
        <v>1583</v>
      </c>
      <c r="H239" s="18">
        <v>6.98</v>
      </c>
      <c r="I239" s="5" t="s">
        <v>52</v>
      </c>
      <c r="J239" s="19">
        <v>1</v>
      </c>
      <c r="K239" s="5" t="s">
        <v>49</v>
      </c>
      <c r="L239" s="5" t="s">
        <v>53</v>
      </c>
      <c r="M239" s="23" t="s">
        <v>1579</v>
      </c>
      <c r="N239" s="24"/>
      <c r="O239" s="24"/>
      <c r="P239" s="24"/>
      <c r="Q239" s="17" t="s">
        <v>43</v>
      </c>
    </row>
    <row r="240" spans="2:17">
      <c r="B240" s="11" t="s">
        <v>55</v>
      </c>
      <c r="C240" s="5" t="str">
        <f t="shared" si="3"/>
        <v>RFH06P05</v>
      </c>
      <c r="D240" s="6" t="s">
        <v>36</v>
      </c>
      <c r="E240" s="11" t="s">
        <v>47</v>
      </c>
      <c r="F240" s="11" t="s">
        <v>1578</v>
      </c>
      <c r="G240" s="11" t="s">
        <v>1584</v>
      </c>
      <c r="H240" s="18">
        <v>6.98</v>
      </c>
      <c r="I240" s="5" t="s">
        <v>52</v>
      </c>
      <c r="J240" s="19">
        <v>1</v>
      </c>
      <c r="K240" s="5" t="s">
        <v>49</v>
      </c>
      <c r="L240" s="5" t="s">
        <v>53</v>
      </c>
      <c r="M240" s="23" t="s">
        <v>1579</v>
      </c>
      <c r="N240" s="24"/>
      <c r="O240" s="24"/>
      <c r="P240" s="24"/>
      <c r="Q240" s="17" t="s">
        <v>43</v>
      </c>
    </row>
    <row r="241" spans="2:17">
      <c r="B241" s="11" t="s">
        <v>55</v>
      </c>
      <c r="C241" s="5" t="str">
        <f t="shared" si="3"/>
        <v>RFH06P06</v>
      </c>
      <c r="D241" s="6" t="s">
        <v>36</v>
      </c>
      <c r="E241" s="11" t="s">
        <v>47</v>
      </c>
      <c r="F241" s="11" t="s">
        <v>1578</v>
      </c>
      <c r="G241" s="11" t="s">
        <v>1585</v>
      </c>
      <c r="H241" s="18">
        <v>6.98</v>
      </c>
      <c r="I241" s="5" t="s">
        <v>52</v>
      </c>
      <c r="J241" s="19">
        <v>1</v>
      </c>
      <c r="K241" s="5" t="s">
        <v>49</v>
      </c>
      <c r="L241" s="5" t="s">
        <v>53</v>
      </c>
      <c r="M241" s="23" t="s">
        <v>1579</v>
      </c>
      <c r="N241" s="24"/>
      <c r="O241" s="24"/>
      <c r="P241" s="24"/>
      <c r="Q241" s="17" t="s">
        <v>43</v>
      </c>
    </row>
    <row r="242" spans="2:17">
      <c r="B242" s="11" t="s">
        <v>55</v>
      </c>
      <c r="C242" s="5" t="str">
        <f t="shared" si="3"/>
        <v>RFH06P07</v>
      </c>
      <c r="D242" s="6" t="s">
        <v>36</v>
      </c>
      <c r="E242" s="11" t="s">
        <v>47</v>
      </c>
      <c r="F242" s="11" t="s">
        <v>1578</v>
      </c>
      <c r="G242" s="11" t="s">
        <v>1586</v>
      </c>
      <c r="H242" s="18">
        <v>6.98</v>
      </c>
      <c r="I242" s="5" t="s">
        <v>52</v>
      </c>
      <c r="J242" s="19">
        <v>1</v>
      </c>
      <c r="K242" s="5" t="s">
        <v>49</v>
      </c>
      <c r="L242" s="5" t="s">
        <v>53</v>
      </c>
      <c r="M242" s="23" t="s">
        <v>1579</v>
      </c>
      <c r="N242" s="24"/>
      <c r="O242" s="24"/>
      <c r="P242" s="24"/>
      <c r="Q242" s="17" t="s">
        <v>43</v>
      </c>
    </row>
    <row r="243" spans="2:17">
      <c r="B243" s="11" t="s">
        <v>55</v>
      </c>
      <c r="C243" s="5" t="str">
        <f t="shared" si="3"/>
        <v>RFH06P08</v>
      </c>
      <c r="D243" s="6" t="s">
        <v>36</v>
      </c>
      <c r="E243" s="11" t="s">
        <v>47</v>
      </c>
      <c r="F243" s="11" t="s">
        <v>1578</v>
      </c>
      <c r="G243" s="11" t="s">
        <v>1587</v>
      </c>
      <c r="H243" s="18">
        <v>6.98</v>
      </c>
      <c r="I243" s="5" t="s">
        <v>52</v>
      </c>
      <c r="J243" s="19">
        <v>1</v>
      </c>
      <c r="K243" s="5" t="s">
        <v>49</v>
      </c>
      <c r="L243" s="5" t="s">
        <v>53</v>
      </c>
      <c r="M243" s="23" t="s">
        <v>1579</v>
      </c>
      <c r="N243" s="24"/>
      <c r="O243" s="24"/>
      <c r="P243" s="24"/>
      <c r="Q243" s="17" t="s">
        <v>43</v>
      </c>
    </row>
    <row r="244" spans="2:17">
      <c r="B244" s="11" t="s">
        <v>55</v>
      </c>
      <c r="C244" s="5" t="str">
        <f t="shared" si="3"/>
        <v>RFH06P09</v>
      </c>
      <c r="D244" s="6" t="s">
        <v>36</v>
      </c>
      <c r="E244" s="11" t="s">
        <v>47</v>
      </c>
      <c r="F244" s="11" t="s">
        <v>1578</v>
      </c>
      <c r="G244" s="11" t="s">
        <v>1588</v>
      </c>
      <c r="H244" s="18">
        <v>6.98</v>
      </c>
      <c r="I244" s="5" t="s">
        <v>52</v>
      </c>
      <c r="J244" s="19">
        <v>1</v>
      </c>
      <c r="K244" s="5" t="s">
        <v>49</v>
      </c>
      <c r="L244" s="5" t="s">
        <v>53</v>
      </c>
      <c r="M244" s="23" t="s">
        <v>1579</v>
      </c>
      <c r="N244" s="24"/>
      <c r="O244" s="24"/>
      <c r="P244" s="24"/>
      <c r="Q244" s="17" t="s">
        <v>43</v>
      </c>
    </row>
    <row r="245" spans="2:17">
      <c r="B245" s="11" t="s">
        <v>55</v>
      </c>
      <c r="C245" s="5" t="str">
        <f t="shared" si="3"/>
        <v>RFH06P10</v>
      </c>
      <c r="D245" s="6" t="s">
        <v>36</v>
      </c>
      <c r="E245" s="11" t="s">
        <v>47</v>
      </c>
      <c r="F245" s="11" t="s">
        <v>1578</v>
      </c>
      <c r="G245" s="11" t="s">
        <v>1589</v>
      </c>
      <c r="H245" s="18">
        <v>6.98</v>
      </c>
      <c r="I245" s="5" t="s">
        <v>52</v>
      </c>
      <c r="J245" s="19">
        <v>1</v>
      </c>
      <c r="K245" s="5" t="s">
        <v>49</v>
      </c>
      <c r="L245" s="5" t="s">
        <v>53</v>
      </c>
      <c r="M245" s="23" t="s">
        <v>1579</v>
      </c>
      <c r="N245" s="24"/>
      <c r="O245" s="24"/>
      <c r="P245" s="24"/>
      <c r="Q245" s="17" t="s">
        <v>43</v>
      </c>
    </row>
    <row r="246" spans="2:17">
      <c r="B246" s="11" t="s">
        <v>55</v>
      </c>
      <c r="C246" s="5" t="str">
        <f t="shared" si="3"/>
        <v>RFH06P11</v>
      </c>
      <c r="D246" s="6" t="s">
        <v>36</v>
      </c>
      <c r="E246" s="11" t="s">
        <v>47</v>
      </c>
      <c r="F246" s="11" t="s">
        <v>1578</v>
      </c>
      <c r="G246" s="11" t="s">
        <v>1590</v>
      </c>
      <c r="H246" s="18">
        <v>6.98</v>
      </c>
      <c r="I246" s="5" t="s">
        <v>52</v>
      </c>
      <c r="J246" s="19">
        <v>1</v>
      </c>
      <c r="K246" s="5" t="s">
        <v>49</v>
      </c>
      <c r="L246" s="5" t="s">
        <v>53</v>
      </c>
      <c r="M246" s="23" t="s">
        <v>1579</v>
      </c>
      <c r="N246" s="24"/>
      <c r="O246" s="24"/>
      <c r="P246" s="24"/>
      <c r="Q246" s="17" t="s">
        <v>43</v>
      </c>
    </row>
    <row r="247" spans="2:17">
      <c r="B247" s="11" t="s">
        <v>55</v>
      </c>
      <c r="C247" s="5" t="str">
        <f t="shared" si="3"/>
        <v>RFH06P12</v>
      </c>
      <c r="D247" s="6" t="s">
        <v>36</v>
      </c>
      <c r="E247" s="11" t="s">
        <v>47</v>
      </c>
      <c r="F247" s="11" t="s">
        <v>1578</v>
      </c>
      <c r="G247" s="11" t="s">
        <v>1591</v>
      </c>
      <c r="H247" s="18">
        <v>6.98</v>
      </c>
      <c r="I247" s="5" t="s">
        <v>52</v>
      </c>
      <c r="J247" s="19">
        <v>1</v>
      </c>
      <c r="K247" s="5" t="s">
        <v>49</v>
      </c>
      <c r="L247" s="5" t="s">
        <v>53</v>
      </c>
      <c r="M247" s="23" t="s">
        <v>1579</v>
      </c>
      <c r="N247" s="24"/>
      <c r="O247" s="24"/>
      <c r="P247" s="24"/>
      <c r="Q247" s="17" t="s">
        <v>43</v>
      </c>
    </row>
    <row r="248" spans="2:17">
      <c r="B248" s="11" t="s">
        <v>55</v>
      </c>
      <c r="C248" s="5" t="str">
        <f t="shared" si="3"/>
        <v>RFH06P13</v>
      </c>
      <c r="D248" s="6" t="s">
        <v>36</v>
      </c>
      <c r="E248" s="11" t="s">
        <v>47</v>
      </c>
      <c r="F248" s="11" t="s">
        <v>1578</v>
      </c>
      <c r="G248" s="11" t="s">
        <v>1592</v>
      </c>
      <c r="H248" s="18">
        <v>6.98</v>
      </c>
      <c r="I248" s="5" t="s">
        <v>52</v>
      </c>
      <c r="J248" s="19">
        <v>1</v>
      </c>
      <c r="K248" s="5" t="s">
        <v>49</v>
      </c>
      <c r="L248" s="5" t="s">
        <v>53</v>
      </c>
      <c r="M248" s="23" t="s">
        <v>1579</v>
      </c>
      <c r="N248" s="24"/>
      <c r="O248" s="24"/>
      <c r="P248" s="24"/>
      <c r="Q248" s="17" t="s">
        <v>43</v>
      </c>
    </row>
    <row r="249" spans="2:17">
      <c r="B249" s="11" t="s">
        <v>55</v>
      </c>
      <c r="C249" s="5" t="str">
        <f t="shared" si="3"/>
        <v>RFH06P14</v>
      </c>
      <c r="D249" s="6" t="s">
        <v>36</v>
      </c>
      <c r="E249" s="11" t="s">
        <v>47</v>
      </c>
      <c r="F249" s="11" t="s">
        <v>1578</v>
      </c>
      <c r="G249" s="11" t="s">
        <v>1593</v>
      </c>
      <c r="H249" s="18">
        <v>6.98</v>
      </c>
      <c r="I249" s="5" t="s">
        <v>52</v>
      </c>
      <c r="J249" s="19">
        <v>1</v>
      </c>
      <c r="K249" s="5" t="s">
        <v>49</v>
      </c>
      <c r="L249" s="5" t="s">
        <v>53</v>
      </c>
      <c r="M249" s="23" t="s">
        <v>1579</v>
      </c>
      <c r="N249" s="24"/>
      <c r="O249" s="24"/>
      <c r="P249" s="24"/>
      <c r="Q249" s="17" t="s">
        <v>43</v>
      </c>
    </row>
    <row r="250" spans="2:17">
      <c r="B250" s="11" t="s">
        <v>55</v>
      </c>
      <c r="C250" s="5" t="str">
        <f t="shared" si="3"/>
        <v>RFH06P15</v>
      </c>
      <c r="D250" s="6" t="s">
        <v>36</v>
      </c>
      <c r="E250" s="11" t="s">
        <v>47</v>
      </c>
      <c r="F250" s="11" t="s">
        <v>1578</v>
      </c>
      <c r="G250" s="11" t="s">
        <v>1594</v>
      </c>
      <c r="H250" s="18">
        <v>6.98</v>
      </c>
      <c r="I250" s="5" t="s">
        <v>52</v>
      </c>
      <c r="J250" s="19">
        <v>1</v>
      </c>
      <c r="K250" s="5" t="s">
        <v>49</v>
      </c>
      <c r="L250" s="5" t="s">
        <v>53</v>
      </c>
      <c r="M250" s="23" t="s">
        <v>1579</v>
      </c>
      <c r="N250" s="24"/>
      <c r="O250" s="24"/>
      <c r="P250" s="24"/>
      <c r="Q250" s="17" t="s">
        <v>43</v>
      </c>
    </row>
    <row r="251" spans="2:17">
      <c r="B251" s="11" t="s">
        <v>55</v>
      </c>
      <c r="C251" s="5" t="str">
        <f t="shared" si="3"/>
        <v>RFH06P16</v>
      </c>
      <c r="D251" s="6" t="s">
        <v>36</v>
      </c>
      <c r="E251" s="11" t="s">
        <v>47</v>
      </c>
      <c r="F251" s="11" t="s">
        <v>1578</v>
      </c>
      <c r="G251" s="11" t="s">
        <v>1595</v>
      </c>
      <c r="H251" s="18">
        <v>6.98</v>
      </c>
      <c r="I251" s="5" t="s">
        <v>52</v>
      </c>
      <c r="J251" s="19">
        <v>1</v>
      </c>
      <c r="K251" s="5" t="s">
        <v>49</v>
      </c>
      <c r="L251" s="5" t="s">
        <v>53</v>
      </c>
      <c r="M251" s="23" t="s">
        <v>1579</v>
      </c>
      <c r="N251" s="24"/>
      <c r="O251" s="24"/>
      <c r="P251" s="24"/>
      <c r="Q251" s="17" t="s">
        <v>43</v>
      </c>
    </row>
    <row r="252" spans="2:17">
      <c r="B252" s="11" t="s">
        <v>55</v>
      </c>
      <c r="C252" s="5" t="str">
        <f t="shared" si="3"/>
        <v>RFH06P17</v>
      </c>
      <c r="D252" s="6" t="s">
        <v>36</v>
      </c>
      <c r="E252" s="11" t="s">
        <v>47</v>
      </c>
      <c r="F252" s="11" t="s">
        <v>1578</v>
      </c>
      <c r="G252" s="11" t="s">
        <v>1596</v>
      </c>
      <c r="H252" s="18">
        <v>6.98</v>
      </c>
      <c r="I252" s="5" t="s">
        <v>52</v>
      </c>
      <c r="J252" s="19">
        <v>1</v>
      </c>
      <c r="K252" s="5" t="s">
        <v>49</v>
      </c>
      <c r="L252" s="5" t="s">
        <v>53</v>
      </c>
      <c r="M252" s="23" t="s">
        <v>1579</v>
      </c>
      <c r="N252" s="24"/>
      <c r="O252" s="24"/>
      <c r="P252" s="24"/>
      <c r="Q252" s="17" t="s">
        <v>43</v>
      </c>
    </row>
    <row r="253" spans="2:17">
      <c r="B253" s="11" t="s">
        <v>55</v>
      </c>
      <c r="C253" s="5" t="str">
        <f t="shared" si="3"/>
        <v>RFH06P18</v>
      </c>
      <c r="D253" s="6" t="s">
        <v>36</v>
      </c>
      <c r="E253" s="11" t="s">
        <v>47</v>
      </c>
      <c r="F253" s="11" t="s">
        <v>1578</v>
      </c>
      <c r="G253" s="11" t="s">
        <v>1597</v>
      </c>
      <c r="H253" s="18">
        <v>6.98</v>
      </c>
      <c r="I253" s="5" t="s">
        <v>52</v>
      </c>
      <c r="J253" s="19">
        <v>1</v>
      </c>
      <c r="K253" s="5" t="s">
        <v>49</v>
      </c>
      <c r="L253" s="5" t="s">
        <v>53</v>
      </c>
      <c r="M253" s="23" t="s">
        <v>1579</v>
      </c>
      <c r="N253" s="24"/>
      <c r="O253" s="24"/>
      <c r="P253" s="24"/>
      <c r="Q253" s="17" t="s">
        <v>43</v>
      </c>
    </row>
    <row r="254" spans="2:17">
      <c r="B254" s="11" t="s">
        <v>55</v>
      </c>
      <c r="C254" s="5" t="str">
        <f t="shared" si="3"/>
        <v>RFH06P19</v>
      </c>
      <c r="D254" s="6" t="s">
        <v>36</v>
      </c>
      <c r="E254" s="11" t="s">
        <v>47</v>
      </c>
      <c r="F254" s="11" t="s">
        <v>1578</v>
      </c>
      <c r="G254" s="11" t="s">
        <v>1598</v>
      </c>
      <c r="H254" s="18">
        <v>6.98</v>
      </c>
      <c r="I254" s="5" t="s">
        <v>52</v>
      </c>
      <c r="J254" s="19">
        <v>1</v>
      </c>
      <c r="K254" s="5" t="s">
        <v>49</v>
      </c>
      <c r="L254" s="5" t="s">
        <v>53</v>
      </c>
      <c r="M254" s="23" t="s">
        <v>1579</v>
      </c>
      <c r="N254" s="24"/>
      <c r="O254" s="24"/>
      <c r="P254" s="24"/>
      <c r="Q254" s="17" t="s">
        <v>43</v>
      </c>
    </row>
    <row r="255" spans="2:17">
      <c r="B255" s="11" t="s">
        <v>55</v>
      </c>
      <c r="C255" s="5" t="str">
        <f t="shared" si="3"/>
        <v>RFH06P20</v>
      </c>
      <c r="D255" s="6" t="s">
        <v>36</v>
      </c>
      <c r="E255" s="11" t="s">
        <v>47</v>
      </c>
      <c r="F255" s="11" t="s">
        <v>1578</v>
      </c>
      <c r="G255" s="11" t="s">
        <v>1599</v>
      </c>
      <c r="H255" s="18">
        <v>6.98</v>
      </c>
      <c r="I255" s="5" t="s">
        <v>52</v>
      </c>
      <c r="J255" s="19">
        <v>1</v>
      </c>
      <c r="K255" s="5" t="s">
        <v>49</v>
      </c>
      <c r="L255" s="5" t="s">
        <v>53</v>
      </c>
      <c r="M255" s="23" t="s">
        <v>1579</v>
      </c>
      <c r="N255" s="24"/>
      <c r="O255" s="24"/>
      <c r="P255" s="24"/>
      <c r="Q255" s="17" t="s">
        <v>43</v>
      </c>
    </row>
    <row r="256" spans="2:17">
      <c r="B256" s="11" t="s">
        <v>55</v>
      </c>
      <c r="C256" s="5" t="str">
        <f t="shared" si="3"/>
        <v>RFH06P21</v>
      </c>
      <c r="D256" s="6" t="s">
        <v>36</v>
      </c>
      <c r="E256" s="11" t="s">
        <v>47</v>
      </c>
      <c r="F256" s="11" t="s">
        <v>1578</v>
      </c>
      <c r="G256" s="11" t="s">
        <v>1600</v>
      </c>
      <c r="H256" s="18">
        <v>6.98</v>
      </c>
      <c r="I256" s="5" t="s">
        <v>52</v>
      </c>
      <c r="J256" s="19">
        <v>1</v>
      </c>
      <c r="K256" s="5" t="s">
        <v>49</v>
      </c>
      <c r="L256" s="5" t="s">
        <v>53</v>
      </c>
      <c r="M256" s="23" t="s">
        <v>1579</v>
      </c>
      <c r="N256" s="24"/>
      <c r="O256" s="24"/>
      <c r="P256" s="24"/>
      <c r="Q256" s="17" t="s">
        <v>43</v>
      </c>
    </row>
    <row r="257" spans="2:17">
      <c r="B257" s="11" t="s">
        <v>55</v>
      </c>
      <c r="C257" s="5" t="str">
        <f t="shared" si="3"/>
        <v>RFH06P22</v>
      </c>
      <c r="D257" s="6" t="s">
        <v>36</v>
      </c>
      <c r="E257" s="11" t="s">
        <v>47</v>
      </c>
      <c r="F257" s="11" t="s">
        <v>1578</v>
      </c>
      <c r="G257" s="11" t="s">
        <v>1601</v>
      </c>
      <c r="H257" s="18">
        <v>6.98</v>
      </c>
      <c r="I257" s="5" t="s">
        <v>52</v>
      </c>
      <c r="J257" s="19">
        <v>1</v>
      </c>
      <c r="K257" s="5" t="s">
        <v>49</v>
      </c>
      <c r="L257" s="5" t="s">
        <v>53</v>
      </c>
      <c r="M257" s="23" t="s">
        <v>1579</v>
      </c>
      <c r="N257" s="24"/>
      <c r="O257" s="24"/>
      <c r="P257" s="24"/>
      <c r="Q257" s="17" t="s">
        <v>43</v>
      </c>
    </row>
    <row r="258" spans="2:17">
      <c r="B258" s="11" t="s">
        <v>55</v>
      </c>
      <c r="C258" s="5" t="str">
        <f t="shared" si="3"/>
        <v>RFH06P23</v>
      </c>
      <c r="D258" s="6" t="s">
        <v>36</v>
      </c>
      <c r="E258" s="11" t="s">
        <v>47</v>
      </c>
      <c r="F258" s="11" t="s">
        <v>1578</v>
      </c>
      <c r="G258" s="11" t="s">
        <v>1602</v>
      </c>
      <c r="H258" s="18">
        <v>6.98</v>
      </c>
      <c r="I258" s="5" t="s">
        <v>52</v>
      </c>
      <c r="J258" s="19">
        <v>1</v>
      </c>
      <c r="K258" s="5" t="s">
        <v>49</v>
      </c>
      <c r="L258" s="5" t="s">
        <v>53</v>
      </c>
      <c r="M258" s="23" t="s">
        <v>1579</v>
      </c>
      <c r="N258" s="24"/>
      <c r="O258" s="24"/>
      <c r="P258" s="24"/>
      <c r="Q258" s="17" t="s">
        <v>43</v>
      </c>
    </row>
    <row r="259" spans="2:17">
      <c r="B259" s="11" t="s">
        <v>55</v>
      </c>
      <c r="C259" s="5" t="str">
        <f t="shared" si="3"/>
        <v>RFH06P24</v>
      </c>
      <c r="D259" s="6" t="s">
        <v>36</v>
      </c>
      <c r="E259" s="11" t="s">
        <v>47</v>
      </c>
      <c r="F259" s="11" t="s">
        <v>1578</v>
      </c>
      <c r="G259" s="11" t="s">
        <v>1603</v>
      </c>
      <c r="H259" s="18">
        <v>6.98</v>
      </c>
      <c r="I259" s="5" t="s">
        <v>52</v>
      </c>
      <c r="J259" s="19">
        <v>1</v>
      </c>
      <c r="K259" s="5" t="s">
        <v>49</v>
      </c>
      <c r="L259" s="5" t="s">
        <v>53</v>
      </c>
      <c r="M259" s="23" t="s">
        <v>1579</v>
      </c>
      <c r="N259" s="24"/>
      <c r="O259" s="24"/>
      <c r="P259" s="24"/>
      <c r="Q259" s="17" t="s">
        <v>43</v>
      </c>
    </row>
    <row r="260" spans="2:17">
      <c r="B260" s="11" t="s">
        <v>55</v>
      </c>
      <c r="C260" s="5" t="str">
        <f t="shared" si="3"/>
        <v>RFH06P25</v>
      </c>
      <c r="D260" s="6" t="s">
        <v>36</v>
      </c>
      <c r="E260" s="11" t="s">
        <v>47</v>
      </c>
      <c r="F260" s="11" t="s">
        <v>1578</v>
      </c>
      <c r="G260" s="11" t="s">
        <v>1604</v>
      </c>
      <c r="H260" s="18">
        <v>6.98</v>
      </c>
      <c r="I260" s="5" t="s">
        <v>52</v>
      </c>
      <c r="J260" s="19">
        <v>1</v>
      </c>
      <c r="K260" s="5" t="s">
        <v>49</v>
      </c>
      <c r="L260" s="5" t="s">
        <v>53</v>
      </c>
      <c r="M260" s="23" t="s">
        <v>1579</v>
      </c>
      <c r="N260" s="24"/>
      <c r="O260" s="24"/>
      <c r="P260" s="24"/>
      <c r="Q260" s="17" t="s">
        <v>43</v>
      </c>
    </row>
    <row r="261" spans="2:17">
      <c r="B261" s="11" t="s">
        <v>55</v>
      </c>
      <c r="C261" s="5" t="str">
        <f t="shared" si="3"/>
        <v>RFH06P26</v>
      </c>
      <c r="D261" s="6" t="s">
        <v>36</v>
      </c>
      <c r="E261" s="11" t="s">
        <v>47</v>
      </c>
      <c r="F261" s="11" t="s">
        <v>1578</v>
      </c>
      <c r="G261" s="11" t="s">
        <v>1605</v>
      </c>
      <c r="H261" s="18">
        <v>6.98</v>
      </c>
      <c r="I261" s="5" t="s">
        <v>52</v>
      </c>
      <c r="J261" s="19">
        <v>1</v>
      </c>
      <c r="K261" s="5" t="s">
        <v>49</v>
      </c>
      <c r="L261" s="5" t="s">
        <v>53</v>
      </c>
      <c r="M261" s="23" t="s">
        <v>1579</v>
      </c>
      <c r="N261" s="24"/>
      <c r="O261" s="24"/>
      <c r="P261" s="24"/>
      <c r="Q261" s="17" t="s">
        <v>43</v>
      </c>
    </row>
    <row r="262" spans="2:17">
      <c r="N262" s="22"/>
      <c r="O262" s="22"/>
      <c r="P262" s="22"/>
    </row>
    <row r="263" spans="2:17">
      <c r="N263" s="22"/>
      <c r="O263" s="22"/>
      <c r="P263" s="22"/>
    </row>
  </sheetData>
  <mergeCells count="18">
    <mergeCell ref="N92:N146"/>
    <mergeCell ref="O92:O146"/>
    <mergeCell ref="P92:P146"/>
    <mergeCell ref="N235:N261"/>
    <mergeCell ref="O235:O261"/>
    <mergeCell ref="P235:P261"/>
    <mergeCell ref="N149:N176"/>
    <mergeCell ref="O149:O176"/>
    <mergeCell ref="N178:N232"/>
    <mergeCell ref="O178:O232"/>
    <mergeCell ref="P178:P232"/>
    <mergeCell ref="P149:P176"/>
    <mergeCell ref="N6:N60"/>
    <mergeCell ref="O6:O60"/>
    <mergeCell ref="P6:P60"/>
    <mergeCell ref="N63:N90"/>
    <mergeCell ref="O63:O90"/>
    <mergeCell ref="P63:P90"/>
  </mergeCells>
  <dataValidations count="3">
    <dataValidation type="list" allowBlank="1" showInputMessage="1" showErrorMessage="1" sqref="I235:I261 I178:I232 I92:I176 I5:I90" xr:uid="{2AAE5E46-1490-41EF-9453-A99F4AE8900B}">
      <formula1>"M2-Square Meter, FT2-Square Foot, YD2- Square Yard, ACRE, HECTARE"</formula1>
    </dataValidation>
    <dataValidation type="list" allowBlank="1" showInputMessage="1" showErrorMessage="1" sqref="M5 L235:L261 L178:L232 L92:L176 L5:L90" xr:uid="{367BFA89-53A4-4452-A47F-26EA786EA585}">
      <formula1>"STORE, SILO"</formula1>
    </dataValidation>
    <dataValidation type="list" allowBlank="1" showInputMessage="1" showErrorMessage="1" sqref="B235:B261 B178:B232 B92:B176 B5:B90" xr:uid="{46740BD5-B41C-4505-AF06-D49370154805}">
      <formula1>"MAIN FARM, SHED/HOUSE, PEN, CAGE, STORE, QUARANTINE, SILO"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E48465B6-A250-4515-B1D8-9AF3634183E9}"/>
</file>

<file path=customXml/itemProps2.xml><?xml version="1.0" encoding="utf-8"?>
<ds:datastoreItem xmlns:ds="http://schemas.openxmlformats.org/officeDocument/2006/customXml" ds:itemID="{10926E6C-C258-4E8B-9DDC-E20107E3C95B}"/>
</file>

<file path=customXml/itemProps3.xml><?xml version="1.0" encoding="utf-8"?>
<ds:datastoreItem xmlns:ds="http://schemas.openxmlformats.org/officeDocument/2006/customXml" ds:itemID="{939E0A69-A9EC-477E-80F2-9927400C0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Taps Brighton</cp:lastModifiedBy>
  <cp:revision/>
  <dcterms:created xsi:type="dcterms:W3CDTF">2026-08-25T14:14:56Z</dcterms:created>
  <dcterms:modified xsi:type="dcterms:W3CDTF">2026-09-04T09:44:43Z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