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9e8b74a64f84a3fc/Documents/2026/September/07/Animal Registers/"/>
    </mc:Choice>
  </mc:AlternateContent>
  <xr:revisionPtr revIDLastSave="0" documentId="8_{5831FBFB-0150-4E4A-BC45-BD9394607572}" xr6:coauthVersionLast="36" xr6:coauthVersionMax="36" xr10:uidLastSave="{00000000-0000-0000-0000-000000000000}"/>
  <bookViews>
    <workbookView xWindow="0" yWindow="720" windowWidth="23040" windowHeight="9576" xr2:uid="{81873A3B-85A7-4A1B-B700-8442B273DBD0}"/>
  </bookViews>
  <sheets>
    <sheet name="Animal Register" sheetId="2" r:id="rId1"/>
    <sheet name=" Breeding Record" sheetId="1" r:id="rId2"/>
  </sheets>
  <definedNames>
    <definedName name="_xlnm._FilterDatabase" localSheetId="0" hidden="1">'Animal Register'!$H$1:$H$1318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95" i="2" l="1"/>
  <c r="AG1295" i="2" s="1"/>
  <c r="AF1296" i="2"/>
  <c r="AG1296" i="2" s="1"/>
  <c r="AF1297" i="2"/>
  <c r="AG1297" i="2" s="1"/>
  <c r="AF1298" i="2"/>
  <c r="AG1298" i="2"/>
  <c r="AF1299" i="2"/>
  <c r="AG1299" i="2" s="1"/>
  <c r="AF1300" i="2"/>
  <c r="AG1300" i="2" s="1"/>
  <c r="AF1301" i="2"/>
  <c r="AG1301" i="2" s="1"/>
  <c r="AF1302" i="2"/>
  <c r="AG1302" i="2" s="1"/>
  <c r="AF1303" i="2"/>
  <c r="AG1303" i="2" s="1"/>
  <c r="AF1304" i="2"/>
  <c r="AG1304" i="2" s="1"/>
  <c r="AF7" i="2"/>
  <c r="AG7" i="2" s="1"/>
  <c r="AF8" i="2"/>
  <c r="AG8" i="2" s="1"/>
  <c r="AF9" i="2"/>
  <c r="AG9" i="2" s="1"/>
  <c r="AF10" i="2"/>
  <c r="AG10" i="2"/>
  <c r="AF11" i="2"/>
  <c r="AG11" i="2" s="1"/>
  <c r="AF12" i="2"/>
  <c r="AG12" i="2" s="1"/>
  <c r="AF13" i="2"/>
  <c r="AG13" i="2"/>
  <c r="AF14" i="2"/>
  <c r="AG14" i="2" s="1"/>
  <c r="AF15" i="2"/>
  <c r="AG15" i="2" s="1"/>
  <c r="AF16" i="2"/>
  <c r="AG16" i="2" s="1"/>
  <c r="AF17" i="2"/>
  <c r="AG17" i="2" s="1"/>
  <c r="AF18" i="2"/>
  <c r="AG18" i="2"/>
  <c r="AF19" i="2"/>
  <c r="AG19" i="2" s="1"/>
  <c r="AF20" i="2"/>
  <c r="AG20" i="2" s="1"/>
  <c r="AF21" i="2"/>
  <c r="AG21" i="2" s="1"/>
  <c r="AF22" i="2"/>
  <c r="AG22" i="2" s="1"/>
  <c r="AF23" i="2"/>
  <c r="AG23" i="2" s="1"/>
  <c r="AF24" i="2"/>
  <c r="AG24" i="2" s="1"/>
  <c r="AF25" i="2"/>
  <c r="AG25" i="2" s="1"/>
  <c r="AF26" i="2"/>
  <c r="AG26" i="2" s="1"/>
  <c r="AF27" i="2"/>
  <c r="AG27" i="2" s="1"/>
  <c r="AF28" i="2"/>
  <c r="AG28" i="2" s="1"/>
  <c r="AF29" i="2"/>
  <c r="AG29" i="2" s="1"/>
  <c r="AF30" i="2"/>
  <c r="AG30" i="2" s="1"/>
  <c r="AF31" i="2"/>
  <c r="AG31" i="2" s="1"/>
  <c r="AF32" i="2"/>
  <c r="AG32" i="2" s="1"/>
  <c r="AF33" i="2"/>
  <c r="AG33" i="2" s="1"/>
  <c r="AF34" i="2"/>
  <c r="AG34" i="2" s="1"/>
  <c r="AF35" i="2"/>
  <c r="AG35" i="2" s="1"/>
  <c r="AF36" i="2"/>
  <c r="AG36" i="2" s="1"/>
  <c r="AF37" i="2"/>
  <c r="AG37" i="2" s="1"/>
  <c r="AF38" i="2"/>
  <c r="AG38" i="2" s="1"/>
  <c r="AF39" i="2"/>
  <c r="AG39" i="2" s="1"/>
  <c r="AF40" i="2"/>
  <c r="AG40" i="2" s="1"/>
  <c r="AF41" i="2"/>
  <c r="AG41" i="2" s="1"/>
  <c r="AF42" i="2"/>
  <c r="AG42" i="2" s="1"/>
  <c r="AF43" i="2"/>
  <c r="AG43" i="2" s="1"/>
  <c r="AF44" i="2"/>
  <c r="AG44" i="2" s="1"/>
  <c r="AF45" i="2"/>
  <c r="AG45" i="2" s="1"/>
  <c r="AF46" i="2"/>
  <c r="AG46" i="2" s="1"/>
  <c r="AF47" i="2"/>
  <c r="AG47" i="2" s="1"/>
  <c r="AF48" i="2"/>
  <c r="AG48" i="2" s="1"/>
  <c r="AF49" i="2"/>
  <c r="AG49" i="2" s="1"/>
  <c r="AF50" i="2"/>
  <c r="AG50" i="2" s="1"/>
  <c r="AF51" i="2"/>
  <c r="AG51" i="2" s="1"/>
  <c r="AF52" i="2"/>
  <c r="AG52" i="2" s="1"/>
  <c r="AF53" i="2"/>
  <c r="AG53" i="2" s="1"/>
  <c r="AF54" i="2"/>
  <c r="AG54" i="2" s="1"/>
  <c r="AF55" i="2"/>
  <c r="AG55" i="2" s="1"/>
  <c r="AF56" i="2"/>
  <c r="AG56" i="2" s="1"/>
  <c r="AF57" i="2"/>
  <c r="AG57" i="2" s="1"/>
  <c r="AF58" i="2"/>
  <c r="AG58" i="2" s="1"/>
  <c r="AF59" i="2"/>
  <c r="AG59" i="2" s="1"/>
  <c r="AF60" i="2"/>
  <c r="AG60" i="2" s="1"/>
  <c r="AF61" i="2"/>
  <c r="AG61" i="2" s="1"/>
  <c r="AF62" i="2"/>
  <c r="AG62" i="2" s="1"/>
  <c r="AF63" i="2"/>
  <c r="AG63" i="2" s="1"/>
  <c r="AF64" i="2"/>
  <c r="AG64" i="2" s="1"/>
  <c r="AF65" i="2"/>
  <c r="AG65" i="2" s="1"/>
  <c r="AF66" i="2"/>
  <c r="AG66" i="2" s="1"/>
  <c r="AF67" i="2"/>
  <c r="AG67" i="2" s="1"/>
  <c r="AF68" i="2"/>
  <c r="AG68" i="2" s="1"/>
  <c r="AF69" i="2"/>
  <c r="AG69" i="2" s="1"/>
  <c r="AF70" i="2"/>
  <c r="AG70" i="2" s="1"/>
  <c r="AF71" i="2"/>
  <c r="AG71" i="2" s="1"/>
  <c r="AF72" i="2"/>
  <c r="AG72" i="2" s="1"/>
  <c r="AF73" i="2"/>
  <c r="AG73" i="2" s="1"/>
  <c r="AF74" i="2"/>
  <c r="AG74" i="2" s="1"/>
  <c r="AF75" i="2"/>
  <c r="AG75" i="2" s="1"/>
  <c r="AF76" i="2"/>
  <c r="AG76" i="2" s="1"/>
  <c r="AF77" i="2"/>
  <c r="AG77" i="2" s="1"/>
  <c r="AF78" i="2"/>
  <c r="AG78" i="2" s="1"/>
  <c r="AF79" i="2"/>
  <c r="AG79" i="2" s="1"/>
  <c r="AF80" i="2"/>
  <c r="AG80" i="2" s="1"/>
  <c r="AF81" i="2"/>
  <c r="AG81" i="2" s="1"/>
  <c r="AF82" i="2"/>
  <c r="AG82" i="2" s="1"/>
  <c r="AF83" i="2"/>
  <c r="AG83" i="2" s="1"/>
  <c r="AF84" i="2"/>
  <c r="AG84" i="2" s="1"/>
  <c r="AF85" i="2"/>
  <c r="AG85" i="2" s="1"/>
  <c r="AF86" i="2"/>
  <c r="AG86" i="2" s="1"/>
  <c r="AF87" i="2"/>
  <c r="AG87" i="2" s="1"/>
  <c r="AF88" i="2"/>
  <c r="AG88" i="2" s="1"/>
  <c r="AF89" i="2"/>
  <c r="AG89" i="2" s="1"/>
  <c r="AF90" i="2"/>
  <c r="AG90" i="2"/>
  <c r="AF91" i="2"/>
  <c r="AG91" i="2" s="1"/>
  <c r="AF92" i="2"/>
  <c r="AG92" i="2" s="1"/>
  <c r="AF93" i="2"/>
  <c r="AG93" i="2" s="1"/>
  <c r="AF94" i="2"/>
  <c r="AG94" i="2" s="1"/>
  <c r="AF95" i="2"/>
  <c r="AG95" i="2" s="1"/>
  <c r="AF96" i="2"/>
  <c r="AG96" i="2" s="1"/>
  <c r="AF97" i="2"/>
  <c r="AG97" i="2" s="1"/>
  <c r="AF98" i="2"/>
  <c r="AG98" i="2" s="1"/>
  <c r="AF99" i="2"/>
  <c r="AG99" i="2" s="1"/>
  <c r="AF100" i="2"/>
  <c r="AG100" i="2" s="1"/>
  <c r="AF101" i="2"/>
  <c r="AG101" i="2" s="1"/>
  <c r="AF102" i="2"/>
  <c r="AG102" i="2" s="1"/>
  <c r="AF103" i="2"/>
  <c r="AG103" i="2" s="1"/>
  <c r="AF104" i="2"/>
  <c r="AG104" i="2" s="1"/>
  <c r="AF105" i="2"/>
  <c r="AG105" i="2" s="1"/>
  <c r="AF106" i="2"/>
  <c r="AG106" i="2" s="1"/>
  <c r="AF107" i="2"/>
  <c r="AG107" i="2" s="1"/>
  <c r="AF108" i="2"/>
  <c r="AG108" i="2"/>
  <c r="AF109" i="2"/>
  <c r="AG109" i="2" s="1"/>
  <c r="AF110" i="2"/>
  <c r="AG110" i="2" s="1"/>
  <c r="AF111" i="2"/>
  <c r="AG111" i="2" s="1"/>
  <c r="AF112" i="2"/>
  <c r="AG112" i="2" s="1"/>
  <c r="AF113" i="2"/>
  <c r="AG113" i="2" s="1"/>
  <c r="AF114" i="2"/>
  <c r="AG114" i="2" s="1"/>
  <c r="AF115" i="2"/>
  <c r="AG115" i="2" s="1"/>
  <c r="AF116" i="2"/>
  <c r="AG116" i="2" s="1"/>
  <c r="AF117" i="2"/>
  <c r="AG117" i="2" s="1"/>
  <c r="AF118" i="2"/>
  <c r="AG118" i="2" s="1"/>
  <c r="AF119" i="2"/>
  <c r="AG119" i="2" s="1"/>
  <c r="AF120" i="2"/>
  <c r="AG120" i="2" s="1"/>
  <c r="AF121" i="2"/>
  <c r="AG121" i="2" s="1"/>
  <c r="AF122" i="2"/>
  <c r="AG122" i="2" s="1"/>
  <c r="AF123" i="2"/>
  <c r="AG123" i="2" s="1"/>
  <c r="AF124" i="2"/>
  <c r="AG124" i="2" s="1"/>
  <c r="AF125" i="2"/>
  <c r="AG125" i="2" s="1"/>
  <c r="AF126" i="2"/>
  <c r="AG126" i="2" s="1"/>
  <c r="AF127" i="2"/>
  <c r="AG127" i="2" s="1"/>
  <c r="AF128" i="2"/>
  <c r="AG128" i="2" s="1"/>
  <c r="AF129" i="2"/>
  <c r="AG129" i="2" s="1"/>
  <c r="AF130" i="2"/>
  <c r="AG130" i="2" s="1"/>
  <c r="AF131" i="2"/>
  <c r="AG131" i="2" s="1"/>
  <c r="AF132" i="2"/>
  <c r="AG132" i="2" s="1"/>
  <c r="AF133" i="2"/>
  <c r="AG133" i="2" s="1"/>
  <c r="AF134" i="2"/>
  <c r="AG134" i="2" s="1"/>
  <c r="AF135" i="2"/>
  <c r="AG135" i="2" s="1"/>
  <c r="AF136" i="2"/>
  <c r="AG136" i="2" s="1"/>
  <c r="AF137" i="2"/>
  <c r="AG137" i="2" s="1"/>
  <c r="AF138" i="2"/>
  <c r="AG138" i="2" s="1"/>
  <c r="AF139" i="2"/>
  <c r="AG139" i="2" s="1"/>
  <c r="AF140" i="2"/>
  <c r="AG140" i="2" s="1"/>
  <c r="AF141" i="2"/>
  <c r="AG141" i="2" s="1"/>
  <c r="AF142" i="2"/>
  <c r="AG142" i="2" s="1"/>
  <c r="AF143" i="2"/>
  <c r="AG143" i="2" s="1"/>
  <c r="AF144" i="2"/>
  <c r="AG144" i="2" s="1"/>
  <c r="AF145" i="2"/>
  <c r="AG145" i="2" s="1"/>
  <c r="AF146" i="2"/>
  <c r="AG146" i="2" s="1"/>
  <c r="AF147" i="2"/>
  <c r="AG147" i="2" s="1"/>
  <c r="AF148" i="2"/>
  <c r="AG148" i="2" s="1"/>
  <c r="AF149" i="2"/>
  <c r="AG149" i="2" s="1"/>
  <c r="AF150" i="2"/>
  <c r="AG150" i="2" s="1"/>
  <c r="AF151" i="2"/>
  <c r="AG151" i="2" s="1"/>
  <c r="AF152" i="2"/>
  <c r="AG152" i="2" s="1"/>
  <c r="AF153" i="2"/>
  <c r="AG153" i="2" s="1"/>
  <c r="AF154" i="2"/>
  <c r="AG154" i="2" s="1"/>
  <c r="AF155" i="2"/>
  <c r="AG155" i="2" s="1"/>
  <c r="AF156" i="2"/>
  <c r="AG156" i="2" s="1"/>
  <c r="AF157" i="2"/>
  <c r="AG157" i="2" s="1"/>
  <c r="AF158" i="2"/>
  <c r="AG158" i="2" s="1"/>
  <c r="AF159" i="2"/>
  <c r="AG159" i="2" s="1"/>
  <c r="AF160" i="2"/>
  <c r="AG160" i="2" s="1"/>
  <c r="AF161" i="2"/>
  <c r="AG161" i="2" s="1"/>
  <c r="AF162" i="2"/>
  <c r="AG162" i="2" s="1"/>
  <c r="AF163" i="2"/>
  <c r="AG163" i="2" s="1"/>
  <c r="AF164" i="2"/>
  <c r="AG164" i="2" s="1"/>
  <c r="AF165" i="2"/>
  <c r="AG165" i="2" s="1"/>
  <c r="AF166" i="2"/>
  <c r="AG166" i="2" s="1"/>
  <c r="AF167" i="2"/>
  <c r="AG167" i="2" s="1"/>
  <c r="AF168" i="2"/>
  <c r="AG168" i="2" s="1"/>
  <c r="AF169" i="2"/>
  <c r="AG169" i="2" s="1"/>
  <c r="AF170" i="2"/>
  <c r="AG170" i="2" s="1"/>
  <c r="AF171" i="2"/>
  <c r="AG171" i="2" s="1"/>
  <c r="AF172" i="2"/>
  <c r="AG172" i="2" s="1"/>
  <c r="AF173" i="2"/>
  <c r="AG173" i="2" s="1"/>
  <c r="AF174" i="2"/>
  <c r="AG174" i="2" s="1"/>
  <c r="AF175" i="2"/>
  <c r="AG175" i="2" s="1"/>
  <c r="AF176" i="2"/>
  <c r="AG176" i="2" s="1"/>
  <c r="AF177" i="2"/>
  <c r="AG177" i="2" s="1"/>
  <c r="AF178" i="2"/>
  <c r="AG178" i="2" s="1"/>
  <c r="AF179" i="2"/>
  <c r="AG179" i="2" s="1"/>
  <c r="AF180" i="2"/>
  <c r="AG180" i="2" s="1"/>
  <c r="AF181" i="2"/>
  <c r="AG181" i="2" s="1"/>
  <c r="AF182" i="2"/>
  <c r="AG182" i="2" s="1"/>
  <c r="AF183" i="2"/>
  <c r="AG183" i="2" s="1"/>
  <c r="AF184" i="2"/>
  <c r="AG184" i="2" s="1"/>
  <c r="AF185" i="2"/>
  <c r="AG185" i="2" s="1"/>
  <c r="AF186" i="2"/>
  <c r="AG186" i="2" s="1"/>
  <c r="AF187" i="2"/>
  <c r="AG187" i="2" s="1"/>
  <c r="AF188" i="2"/>
  <c r="AG188" i="2" s="1"/>
  <c r="AF189" i="2"/>
  <c r="AG189" i="2" s="1"/>
  <c r="AF190" i="2"/>
  <c r="AG190" i="2" s="1"/>
  <c r="AF191" i="2"/>
  <c r="AG191" i="2" s="1"/>
  <c r="AF192" i="2"/>
  <c r="AG192" i="2" s="1"/>
  <c r="AF193" i="2"/>
  <c r="AG193" i="2" s="1"/>
  <c r="AF194" i="2"/>
  <c r="AG194" i="2" s="1"/>
  <c r="AF195" i="2"/>
  <c r="AG195" i="2" s="1"/>
  <c r="AF196" i="2"/>
  <c r="AG196" i="2" s="1"/>
  <c r="AF197" i="2"/>
  <c r="AG197" i="2" s="1"/>
  <c r="AF198" i="2"/>
  <c r="AG198" i="2" s="1"/>
  <c r="AF199" i="2"/>
  <c r="AG199" i="2" s="1"/>
  <c r="AF200" i="2"/>
  <c r="AG200" i="2" s="1"/>
  <c r="AF201" i="2"/>
  <c r="AG201" i="2" s="1"/>
  <c r="AF202" i="2"/>
  <c r="AG202" i="2" s="1"/>
  <c r="AF203" i="2"/>
  <c r="AG203" i="2" s="1"/>
  <c r="AF204" i="2"/>
  <c r="AG204" i="2" s="1"/>
  <c r="AF205" i="2"/>
  <c r="AG205" i="2" s="1"/>
  <c r="AF206" i="2"/>
  <c r="AG206" i="2" s="1"/>
  <c r="AF207" i="2"/>
  <c r="AG207" i="2" s="1"/>
  <c r="AF208" i="2"/>
  <c r="AG208" i="2" s="1"/>
  <c r="AF209" i="2"/>
  <c r="AG209" i="2" s="1"/>
  <c r="AF210" i="2"/>
  <c r="AG210" i="2" s="1"/>
  <c r="AF211" i="2"/>
  <c r="AG211" i="2" s="1"/>
  <c r="AF212" i="2"/>
  <c r="AG212" i="2" s="1"/>
  <c r="AF213" i="2"/>
  <c r="AG213" i="2" s="1"/>
  <c r="AF214" i="2"/>
  <c r="AG214" i="2" s="1"/>
  <c r="AF215" i="2"/>
  <c r="AG215" i="2" s="1"/>
  <c r="AF216" i="2"/>
  <c r="AG216" i="2" s="1"/>
  <c r="AF217" i="2"/>
  <c r="AG217" i="2" s="1"/>
  <c r="AF218" i="2"/>
  <c r="AG218" i="2" s="1"/>
  <c r="AF219" i="2"/>
  <c r="AG219" i="2" s="1"/>
  <c r="AF220" i="2"/>
  <c r="AG220" i="2" s="1"/>
  <c r="AF221" i="2"/>
  <c r="AG221" i="2" s="1"/>
  <c r="AF222" i="2"/>
  <c r="AG222" i="2" s="1"/>
  <c r="AF223" i="2"/>
  <c r="AG223" i="2" s="1"/>
  <c r="AF224" i="2"/>
  <c r="AG224" i="2" s="1"/>
  <c r="AF225" i="2"/>
  <c r="AG225" i="2" s="1"/>
  <c r="AF226" i="2"/>
  <c r="AG226" i="2"/>
  <c r="AF227" i="2"/>
  <c r="AG227" i="2" s="1"/>
  <c r="AF228" i="2"/>
  <c r="AG228" i="2" s="1"/>
  <c r="AF229" i="2"/>
  <c r="AG229" i="2" s="1"/>
  <c r="AF230" i="2"/>
  <c r="AG230" i="2" s="1"/>
  <c r="AF231" i="2"/>
  <c r="AG231" i="2" s="1"/>
  <c r="AF232" i="2"/>
  <c r="AG232" i="2" s="1"/>
  <c r="AF233" i="2"/>
  <c r="AG233" i="2" s="1"/>
  <c r="AF234" i="2"/>
  <c r="AG234" i="2" s="1"/>
  <c r="AF235" i="2"/>
  <c r="AG235" i="2" s="1"/>
  <c r="AF236" i="2"/>
  <c r="AG236" i="2" s="1"/>
  <c r="AF237" i="2"/>
  <c r="AG237" i="2" s="1"/>
  <c r="AF238" i="2"/>
  <c r="AG238" i="2" s="1"/>
  <c r="AF239" i="2"/>
  <c r="AG239" i="2" s="1"/>
  <c r="AF240" i="2"/>
  <c r="AG240" i="2" s="1"/>
  <c r="AF241" i="2"/>
  <c r="AG241" i="2" s="1"/>
  <c r="AF242" i="2"/>
  <c r="AG242" i="2" s="1"/>
  <c r="AF243" i="2"/>
  <c r="AG243" i="2" s="1"/>
  <c r="AF244" i="2"/>
  <c r="AG244" i="2" s="1"/>
  <c r="AF245" i="2"/>
  <c r="AG245" i="2" s="1"/>
  <c r="AF246" i="2"/>
  <c r="AG246" i="2" s="1"/>
  <c r="AF247" i="2"/>
  <c r="AG247" i="2" s="1"/>
  <c r="AF248" i="2"/>
  <c r="AG248" i="2" s="1"/>
  <c r="AF249" i="2"/>
  <c r="AG249" i="2" s="1"/>
  <c r="AF250" i="2"/>
  <c r="AG250" i="2" s="1"/>
  <c r="AF251" i="2"/>
  <c r="AG251" i="2" s="1"/>
  <c r="AF252" i="2"/>
  <c r="AG252" i="2" s="1"/>
  <c r="AF253" i="2"/>
  <c r="AG253" i="2" s="1"/>
  <c r="AF254" i="2"/>
  <c r="AG254" i="2" s="1"/>
  <c r="AF255" i="2"/>
  <c r="AG255" i="2" s="1"/>
  <c r="AF256" i="2"/>
  <c r="AG256" i="2" s="1"/>
  <c r="AF257" i="2"/>
  <c r="AG257" i="2" s="1"/>
  <c r="AF258" i="2"/>
  <c r="AG258" i="2" s="1"/>
  <c r="AF259" i="2"/>
  <c r="AG259" i="2" s="1"/>
  <c r="AF260" i="2"/>
  <c r="AG260" i="2" s="1"/>
  <c r="AF261" i="2"/>
  <c r="AG261" i="2" s="1"/>
  <c r="AF262" i="2"/>
  <c r="AG262" i="2" s="1"/>
  <c r="AF263" i="2"/>
  <c r="AG263" i="2" s="1"/>
  <c r="AF264" i="2"/>
  <c r="AG264" i="2" s="1"/>
  <c r="AF265" i="2"/>
  <c r="AG265" i="2" s="1"/>
  <c r="AF266" i="2"/>
  <c r="AG266" i="2" s="1"/>
  <c r="AF267" i="2"/>
  <c r="AG267" i="2" s="1"/>
  <c r="AF268" i="2"/>
  <c r="AG268" i="2" s="1"/>
  <c r="AF269" i="2"/>
  <c r="AG269" i="2" s="1"/>
  <c r="AF270" i="2"/>
  <c r="AG270" i="2" s="1"/>
  <c r="AF271" i="2"/>
  <c r="AG271" i="2" s="1"/>
  <c r="AF272" i="2"/>
  <c r="AG272" i="2" s="1"/>
  <c r="AF273" i="2"/>
  <c r="AG273" i="2" s="1"/>
  <c r="AF274" i="2"/>
  <c r="AG274" i="2" s="1"/>
  <c r="AF275" i="2"/>
  <c r="AG275" i="2" s="1"/>
  <c r="AF276" i="2"/>
  <c r="AG276" i="2" s="1"/>
  <c r="AF277" i="2"/>
  <c r="AG277" i="2" s="1"/>
  <c r="AF278" i="2"/>
  <c r="AG278" i="2" s="1"/>
  <c r="AF279" i="2"/>
  <c r="AG279" i="2" s="1"/>
  <c r="AF280" i="2"/>
  <c r="AG280" i="2" s="1"/>
  <c r="AF281" i="2"/>
  <c r="AG281" i="2" s="1"/>
  <c r="AF282" i="2"/>
  <c r="AG282" i="2" s="1"/>
  <c r="AF283" i="2"/>
  <c r="AG283" i="2" s="1"/>
  <c r="AF284" i="2"/>
  <c r="AG284" i="2" s="1"/>
  <c r="AF285" i="2"/>
  <c r="AG285" i="2" s="1"/>
  <c r="AF286" i="2"/>
  <c r="AG286" i="2" s="1"/>
  <c r="AF287" i="2"/>
  <c r="AG287" i="2" s="1"/>
  <c r="AF288" i="2"/>
  <c r="AG288" i="2" s="1"/>
  <c r="AF289" i="2"/>
  <c r="AG289" i="2" s="1"/>
  <c r="AF290" i="2"/>
  <c r="AG290" i="2" s="1"/>
  <c r="AF291" i="2"/>
  <c r="AG291" i="2" s="1"/>
  <c r="AF292" i="2"/>
  <c r="AG292" i="2" s="1"/>
  <c r="AF293" i="2"/>
  <c r="AG293" i="2" s="1"/>
  <c r="AF294" i="2"/>
  <c r="AG294" i="2" s="1"/>
  <c r="AF295" i="2"/>
  <c r="AG295" i="2" s="1"/>
  <c r="AF296" i="2"/>
  <c r="AG296" i="2" s="1"/>
  <c r="AF297" i="2"/>
  <c r="AG297" i="2" s="1"/>
  <c r="AF298" i="2"/>
  <c r="AG298" i="2" s="1"/>
  <c r="AF299" i="2"/>
  <c r="AG299" i="2" s="1"/>
  <c r="AF300" i="2"/>
  <c r="AG300" i="2" s="1"/>
  <c r="AF301" i="2"/>
  <c r="AG301" i="2" s="1"/>
  <c r="AF302" i="2"/>
  <c r="AG302" i="2" s="1"/>
  <c r="AF303" i="2"/>
  <c r="AG303" i="2" s="1"/>
  <c r="AF304" i="2"/>
  <c r="AG304" i="2" s="1"/>
  <c r="AF305" i="2"/>
  <c r="AG305" i="2" s="1"/>
  <c r="AF306" i="2"/>
  <c r="AG306" i="2" s="1"/>
  <c r="AF307" i="2"/>
  <c r="AG307" i="2" s="1"/>
  <c r="AF308" i="2"/>
  <c r="AG308" i="2" s="1"/>
  <c r="AF309" i="2"/>
  <c r="AG309" i="2" s="1"/>
  <c r="AF310" i="2"/>
  <c r="AG310" i="2" s="1"/>
  <c r="AF311" i="2"/>
  <c r="AG311" i="2" s="1"/>
  <c r="AF312" i="2"/>
  <c r="AG312" i="2" s="1"/>
  <c r="AF313" i="2"/>
  <c r="AG313" i="2" s="1"/>
  <c r="AF314" i="2"/>
  <c r="AG314" i="2" s="1"/>
  <c r="AF315" i="2"/>
  <c r="AG315" i="2" s="1"/>
  <c r="AF316" i="2"/>
  <c r="AG316" i="2" s="1"/>
  <c r="AF317" i="2"/>
  <c r="AG317" i="2" s="1"/>
  <c r="AF318" i="2"/>
  <c r="AG318" i="2" s="1"/>
  <c r="AF319" i="2"/>
  <c r="AG319" i="2" s="1"/>
  <c r="AF320" i="2"/>
  <c r="AG320" i="2"/>
  <c r="AF321" i="2"/>
  <c r="AG321" i="2" s="1"/>
  <c r="AF322" i="2"/>
  <c r="AG322" i="2" s="1"/>
  <c r="AF323" i="2"/>
  <c r="AG323" i="2" s="1"/>
  <c r="AF324" i="2"/>
  <c r="AG324" i="2" s="1"/>
  <c r="AF325" i="2"/>
  <c r="AG325" i="2" s="1"/>
  <c r="AF326" i="2"/>
  <c r="AG326" i="2" s="1"/>
  <c r="AF327" i="2"/>
  <c r="AG327" i="2" s="1"/>
  <c r="AF328" i="2"/>
  <c r="AG328" i="2" s="1"/>
  <c r="AF329" i="2"/>
  <c r="AG329" i="2" s="1"/>
  <c r="AF330" i="2"/>
  <c r="AG330" i="2" s="1"/>
  <c r="AF331" i="2"/>
  <c r="AG331" i="2" s="1"/>
  <c r="AF332" i="2"/>
  <c r="AG332" i="2"/>
  <c r="AF333" i="2"/>
  <c r="AG333" i="2" s="1"/>
  <c r="AF334" i="2"/>
  <c r="AG334" i="2" s="1"/>
  <c r="AF335" i="2"/>
  <c r="AG335" i="2" s="1"/>
  <c r="AF336" i="2"/>
  <c r="AG336" i="2" s="1"/>
  <c r="AF337" i="2"/>
  <c r="AG337" i="2" s="1"/>
  <c r="AF338" i="2"/>
  <c r="AG338" i="2" s="1"/>
  <c r="AF339" i="2"/>
  <c r="AG339" i="2" s="1"/>
  <c r="AF340" i="2"/>
  <c r="AG340" i="2"/>
  <c r="AF341" i="2"/>
  <c r="AG341" i="2" s="1"/>
  <c r="AF342" i="2"/>
  <c r="AG342" i="2" s="1"/>
  <c r="AF343" i="2"/>
  <c r="AG343" i="2" s="1"/>
  <c r="AF344" i="2"/>
  <c r="AG344" i="2" s="1"/>
  <c r="AF345" i="2"/>
  <c r="AG345" i="2" s="1"/>
  <c r="AF346" i="2"/>
  <c r="AG346" i="2" s="1"/>
  <c r="AF347" i="2"/>
  <c r="AG347" i="2" s="1"/>
  <c r="AF348" i="2"/>
  <c r="AG348" i="2" s="1"/>
  <c r="AF349" i="2"/>
  <c r="AG349" i="2" s="1"/>
  <c r="AF350" i="2"/>
  <c r="AG350" i="2"/>
  <c r="AF351" i="2"/>
  <c r="AG351" i="2" s="1"/>
  <c r="AF352" i="2"/>
  <c r="AG352" i="2" s="1"/>
  <c r="AF353" i="2"/>
  <c r="AG353" i="2" s="1"/>
  <c r="AF354" i="2"/>
  <c r="AG354" i="2" s="1"/>
  <c r="AF355" i="2"/>
  <c r="AG355" i="2" s="1"/>
  <c r="AF356" i="2"/>
  <c r="AG356" i="2" s="1"/>
  <c r="AF357" i="2"/>
  <c r="AG357" i="2" s="1"/>
  <c r="AF358" i="2"/>
  <c r="AG358" i="2" s="1"/>
  <c r="AF359" i="2"/>
  <c r="AG359" i="2" s="1"/>
  <c r="AF360" i="2"/>
  <c r="AG360" i="2" s="1"/>
  <c r="AF361" i="2"/>
  <c r="AG361" i="2" s="1"/>
  <c r="AF362" i="2"/>
  <c r="AG362" i="2" s="1"/>
  <c r="AF363" i="2"/>
  <c r="AG363" i="2" s="1"/>
  <c r="AF364" i="2"/>
  <c r="AG364" i="2" s="1"/>
  <c r="AF365" i="2"/>
  <c r="AG365" i="2" s="1"/>
  <c r="AF366" i="2"/>
  <c r="AG366" i="2" s="1"/>
  <c r="AF367" i="2"/>
  <c r="AG367" i="2" s="1"/>
  <c r="AF368" i="2"/>
  <c r="AG368" i="2" s="1"/>
  <c r="AF369" i="2"/>
  <c r="AG369" i="2" s="1"/>
  <c r="AF370" i="2"/>
  <c r="AG370" i="2" s="1"/>
  <c r="AF371" i="2"/>
  <c r="AG371" i="2" s="1"/>
  <c r="AF372" i="2"/>
  <c r="AG372" i="2" s="1"/>
  <c r="AF373" i="2"/>
  <c r="AG373" i="2" s="1"/>
  <c r="AF374" i="2"/>
  <c r="AG374" i="2" s="1"/>
  <c r="AF375" i="2"/>
  <c r="AG375" i="2" s="1"/>
  <c r="AF376" i="2"/>
  <c r="AG376" i="2" s="1"/>
  <c r="AF377" i="2"/>
  <c r="AG377" i="2" s="1"/>
  <c r="AF378" i="2"/>
  <c r="AG378" i="2" s="1"/>
  <c r="AF379" i="2"/>
  <c r="AG379" i="2" s="1"/>
  <c r="AF380" i="2"/>
  <c r="AG380" i="2" s="1"/>
  <c r="AF381" i="2"/>
  <c r="AG381" i="2" s="1"/>
  <c r="AF382" i="2"/>
  <c r="AG382" i="2" s="1"/>
  <c r="AF383" i="2"/>
  <c r="AG383" i="2" s="1"/>
  <c r="AF384" i="2"/>
  <c r="AG384" i="2" s="1"/>
  <c r="AF385" i="2"/>
  <c r="AG385" i="2" s="1"/>
  <c r="AF386" i="2"/>
  <c r="AG386" i="2" s="1"/>
  <c r="AF387" i="2"/>
  <c r="AG387" i="2" s="1"/>
  <c r="AF388" i="2"/>
  <c r="AG388" i="2" s="1"/>
  <c r="AF389" i="2"/>
  <c r="AG389" i="2" s="1"/>
  <c r="AF390" i="2"/>
  <c r="AG390" i="2" s="1"/>
  <c r="AF391" i="2"/>
  <c r="AG391" i="2" s="1"/>
  <c r="AF392" i="2"/>
  <c r="AG392" i="2" s="1"/>
  <c r="AF393" i="2"/>
  <c r="AG393" i="2" s="1"/>
  <c r="AF394" i="2"/>
  <c r="AG394" i="2" s="1"/>
  <c r="AF395" i="2"/>
  <c r="AG395" i="2" s="1"/>
  <c r="AF396" i="2"/>
  <c r="AG396" i="2" s="1"/>
  <c r="AF397" i="2"/>
  <c r="AG397" i="2" s="1"/>
  <c r="AF398" i="2"/>
  <c r="AG398" i="2" s="1"/>
  <c r="AF399" i="2"/>
  <c r="AG399" i="2" s="1"/>
  <c r="AF400" i="2"/>
  <c r="AG400" i="2" s="1"/>
  <c r="AF401" i="2"/>
  <c r="AG401" i="2" s="1"/>
  <c r="AF402" i="2"/>
  <c r="AG402" i="2" s="1"/>
  <c r="AF403" i="2"/>
  <c r="AG403" i="2" s="1"/>
  <c r="AF404" i="2"/>
  <c r="AG404" i="2" s="1"/>
  <c r="AF405" i="2"/>
  <c r="AG405" i="2" s="1"/>
  <c r="AF406" i="2"/>
  <c r="AG406" i="2" s="1"/>
  <c r="AF407" i="2"/>
  <c r="AG407" i="2" s="1"/>
  <c r="AF408" i="2"/>
  <c r="AG408" i="2" s="1"/>
  <c r="AF409" i="2"/>
  <c r="AG409" i="2" s="1"/>
  <c r="AF410" i="2"/>
  <c r="AG410" i="2" s="1"/>
  <c r="AF411" i="2"/>
  <c r="AG411" i="2" s="1"/>
  <c r="AF412" i="2"/>
  <c r="AG412" i="2" s="1"/>
  <c r="AF413" i="2"/>
  <c r="AG413" i="2" s="1"/>
  <c r="AF414" i="2"/>
  <c r="AG414" i="2" s="1"/>
  <c r="AF415" i="2"/>
  <c r="AG415" i="2" s="1"/>
  <c r="AF416" i="2"/>
  <c r="AG416" i="2" s="1"/>
  <c r="AF417" i="2"/>
  <c r="AG417" i="2" s="1"/>
  <c r="AF418" i="2"/>
  <c r="AG418" i="2" s="1"/>
  <c r="AF419" i="2"/>
  <c r="AG419" i="2" s="1"/>
  <c r="AF420" i="2"/>
  <c r="AG420" i="2" s="1"/>
  <c r="AF421" i="2"/>
  <c r="AG421" i="2" s="1"/>
  <c r="AF422" i="2"/>
  <c r="AG422" i="2" s="1"/>
  <c r="AF423" i="2"/>
  <c r="AG423" i="2" s="1"/>
  <c r="AF424" i="2"/>
  <c r="AG424" i="2" s="1"/>
  <c r="AF425" i="2"/>
  <c r="AG425" i="2" s="1"/>
  <c r="AF426" i="2"/>
  <c r="AG426" i="2" s="1"/>
  <c r="AF427" i="2"/>
  <c r="AG427" i="2" s="1"/>
  <c r="AF428" i="2"/>
  <c r="AG428" i="2" s="1"/>
  <c r="AF429" i="2"/>
  <c r="AG429" i="2" s="1"/>
  <c r="AF430" i="2"/>
  <c r="AG430" i="2" s="1"/>
  <c r="AF431" i="2"/>
  <c r="AG431" i="2" s="1"/>
  <c r="AF432" i="2"/>
  <c r="AG432" i="2" s="1"/>
  <c r="AF433" i="2"/>
  <c r="AG433" i="2" s="1"/>
  <c r="AF434" i="2"/>
  <c r="AG434" i="2" s="1"/>
  <c r="AF435" i="2"/>
  <c r="AG435" i="2" s="1"/>
  <c r="AF436" i="2"/>
  <c r="AG436" i="2" s="1"/>
  <c r="AF437" i="2"/>
  <c r="AG437" i="2" s="1"/>
  <c r="AF438" i="2"/>
  <c r="AG438" i="2" s="1"/>
  <c r="AF439" i="2"/>
  <c r="AG439" i="2" s="1"/>
  <c r="AF440" i="2"/>
  <c r="AG440" i="2" s="1"/>
  <c r="AF441" i="2"/>
  <c r="AG441" i="2" s="1"/>
  <c r="AF442" i="2"/>
  <c r="AG442" i="2" s="1"/>
  <c r="AF443" i="2"/>
  <c r="AG443" i="2" s="1"/>
  <c r="AF444" i="2"/>
  <c r="AG444" i="2" s="1"/>
  <c r="AF445" i="2"/>
  <c r="AG445" i="2" s="1"/>
  <c r="AF446" i="2"/>
  <c r="AG446" i="2" s="1"/>
  <c r="AF447" i="2"/>
  <c r="AG447" i="2" s="1"/>
  <c r="AF448" i="2"/>
  <c r="AG448" i="2" s="1"/>
  <c r="AF449" i="2"/>
  <c r="AG449" i="2" s="1"/>
  <c r="AF450" i="2"/>
  <c r="AG450" i="2" s="1"/>
  <c r="AF451" i="2"/>
  <c r="AG451" i="2" s="1"/>
  <c r="AF452" i="2"/>
  <c r="AG452" i="2" s="1"/>
  <c r="AF453" i="2"/>
  <c r="AG453" i="2" s="1"/>
  <c r="AF454" i="2"/>
  <c r="AG454" i="2" s="1"/>
  <c r="AF455" i="2"/>
  <c r="AG455" i="2" s="1"/>
  <c r="AF456" i="2"/>
  <c r="AG456" i="2" s="1"/>
  <c r="AF457" i="2"/>
  <c r="AG457" i="2" s="1"/>
  <c r="AF458" i="2"/>
  <c r="AG458" i="2" s="1"/>
  <c r="AF459" i="2"/>
  <c r="AG459" i="2" s="1"/>
  <c r="AF460" i="2"/>
  <c r="AG460" i="2" s="1"/>
  <c r="AF461" i="2"/>
  <c r="AG461" i="2" s="1"/>
  <c r="AF462" i="2"/>
  <c r="AG462" i="2" s="1"/>
  <c r="AF463" i="2"/>
  <c r="AG463" i="2" s="1"/>
  <c r="AF464" i="2"/>
  <c r="AG464" i="2" s="1"/>
  <c r="AF465" i="2"/>
  <c r="AG465" i="2" s="1"/>
  <c r="AF466" i="2"/>
  <c r="AG466" i="2" s="1"/>
  <c r="AF467" i="2"/>
  <c r="AG467" i="2" s="1"/>
  <c r="AF468" i="2"/>
  <c r="AG468" i="2" s="1"/>
  <c r="AF469" i="2"/>
  <c r="AG469" i="2" s="1"/>
  <c r="AF470" i="2"/>
  <c r="AG470" i="2" s="1"/>
  <c r="AF471" i="2"/>
  <c r="AG471" i="2" s="1"/>
  <c r="AF472" i="2"/>
  <c r="AG472" i="2" s="1"/>
  <c r="AF473" i="2"/>
  <c r="AG473" i="2" s="1"/>
  <c r="AF474" i="2"/>
  <c r="AG474" i="2" s="1"/>
  <c r="AF475" i="2"/>
  <c r="AG475" i="2" s="1"/>
  <c r="AF476" i="2"/>
  <c r="AG476" i="2" s="1"/>
  <c r="AF477" i="2"/>
  <c r="AG477" i="2" s="1"/>
  <c r="AF478" i="2"/>
  <c r="AG478" i="2" s="1"/>
  <c r="AF479" i="2"/>
  <c r="AG479" i="2" s="1"/>
  <c r="AF480" i="2"/>
  <c r="AG480" i="2" s="1"/>
  <c r="AF481" i="2"/>
  <c r="AG481" i="2" s="1"/>
  <c r="AF482" i="2"/>
  <c r="AG482" i="2" s="1"/>
  <c r="AF483" i="2"/>
  <c r="AG483" i="2" s="1"/>
  <c r="AF484" i="2"/>
  <c r="AG484" i="2" s="1"/>
  <c r="AF485" i="2"/>
  <c r="AG485" i="2" s="1"/>
  <c r="AF486" i="2"/>
  <c r="AG486" i="2" s="1"/>
  <c r="AF487" i="2"/>
  <c r="AG487" i="2" s="1"/>
  <c r="AF488" i="2"/>
  <c r="AG488" i="2" s="1"/>
  <c r="AF489" i="2"/>
  <c r="AG489" i="2" s="1"/>
  <c r="AF490" i="2"/>
  <c r="AG490" i="2" s="1"/>
  <c r="AF491" i="2"/>
  <c r="AG491" i="2" s="1"/>
  <c r="AF492" i="2"/>
  <c r="AG492" i="2" s="1"/>
  <c r="AF493" i="2"/>
  <c r="AG493" i="2"/>
  <c r="AF494" i="2"/>
  <c r="AG494" i="2" s="1"/>
  <c r="AF495" i="2"/>
  <c r="AG495" i="2" s="1"/>
  <c r="AF496" i="2"/>
  <c r="AG496" i="2" s="1"/>
  <c r="AF497" i="2"/>
  <c r="AG497" i="2" s="1"/>
  <c r="AF498" i="2"/>
  <c r="AG498" i="2" s="1"/>
  <c r="AF499" i="2"/>
  <c r="AG499" i="2" s="1"/>
  <c r="AF500" i="2"/>
  <c r="AG500" i="2" s="1"/>
  <c r="AF501" i="2"/>
  <c r="AG501" i="2" s="1"/>
  <c r="AF502" i="2"/>
  <c r="AG502" i="2"/>
  <c r="AF503" i="2"/>
  <c r="AG503" i="2" s="1"/>
  <c r="AF504" i="2"/>
  <c r="AG504" i="2" s="1"/>
  <c r="AF505" i="2"/>
  <c r="AG505" i="2" s="1"/>
  <c r="AF506" i="2"/>
  <c r="AG506" i="2" s="1"/>
  <c r="AF507" i="2"/>
  <c r="AG507" i="2" s="1"/>
  <c r="AF508" i="2"/>
  <c r="AG508" i="2" s="1"/>
  <c r="AF509" i="2"/>
  <c r="AG509" i="2" s="1"/>
  <c r="AF510" i="2"/>
  <c r="AG510" i="2" s="1"/>
  <c r="AF511" i="2"/>
  <c r="AG511" i="2" s="1"/>
  <c r="AF512" i="2"/>
  <c r="AG512" i="2" s="1"/>
  <c r="AF513" i="2"/>
  <c r="AG513" i="2" s="1"/>
  <c r="AF514" i="2"/>
  <c r="AG514" i="2" s="1"/>
  <c r="AF515" i="2"/>
  <c r="AG515" i="2" s="1"/>
  <c r="AF516" i="2"/>
  <c r="AG516" i="2" s="1"/>
  <c r="AF517" i="2"/>
  <c r="AG517" i="2" s="1"/>
  <c r="AF518" i="2"/>
  <c r="AG518" i="2"/>
  <c r="AF519" i="2"/>
  <c r="AG519" i="2" s="1"/>
  <c r="AF520" i="2"/>
  <c r="AG520" i="2" s="1"/>
  <c r="AF521" i="2"/>
  <c r="AG521" i="2" s="1"/>
  <c r="AF522" i="2"/>
  <c r="AG522" i="2" s="1"/>
  <c r="AF523" i="2"/>
  <c r="AG523" i="2" s="1"/>
  <c r="AF524" i="2"/>
  <c r="AG524" i="2" s="1"/>
  <c r="AF525" i="2"/>
  <c r="AG525" i="2" s="1"/>
  <c r="AF526" i="2"/>
  <c r="AG526" i="2" s="1"/>
  <c r="AF527" i="2"/>
  <c r="AG527" i="2" s="1"/>
  <c r="AF528" i="2"/>
  <c r="AG528" i="2" s="1"/>
  <c r="AF529" i="2"/>
  <c r="AG529" i="2" s="1"/>
  <c r="AF530" i="2"/>
  <c r="AG530" i="2" s="1"/>
  <c r="AF531" i="2"/>
  <c r="AG531" i="2" s="1"/>
  <c r="AF532" i="2"/>
  <c r="AG532" i="2" s="1"/>
  <c r="AF533" i="2"/>
  <c r="AG533" i="2" s="1"/>
  <c r="AF534" i="2"/>
  <c r="AG534" i="2" s="1"/>
  <c r="AF535" i="2"/>
  <c r="AG535" i="2" s="1"/>
  <c r="AF536" i="2"/>
  <c r="AG536" i="2" s="1"/>
  <c r="AF537" i="2"/>
  <c r="AG537" i="2" s="1"/>
  <c r="AF538" i="2"/>
  <c r="AG538" i="2" s="1"/>
  <c r="AF539" i="2"/>
  <c r="AG539" i="2" s="1"/>
  <c r="AF540" i="2"/>
  <c r="AG540" i="2" s="1"/>
  <c r="AF541" i="2"/>
  <c r="AG541" i="2" s="1"/>
  <c r="AF542" i="2"/>
  <c r="AG542" i="2" s="1"/>
  <c r="AF543" i="2"/>
  <c r="AG543" i="2" s="1"/>
  <c r="AF544" i="2"/>
  <c r="AG544" i="2"/>
  <c r="AF545" i="2"/>
  <c r="AG545" i="2" s="1"/>
  <c r="AF546" i="2"/>
  <c r="AG546" i="2" s="1"/>
  <c r="AF547" i="2"/>
  <c r="AG547" i="2" s="1"/>
  <c r="AF548" i="2"/>
  <c r="AG548" i="2" s="1"/>
  <c r="AF549" i="2"/>
  <c r="AG549" i="2" s="1"/>
  <c r="AF550" i="2"/>
  <c r="AG550" i="2" s="1"/>
  <c r="AF551" i="2"/>
  <c r="AG551" i="2" s="1"/>
  <c r="AF552" i="2"/>
  <c r="AG552" i="2" s="1"/>
  <c r="AF553" i="2"/>
  <c r="AG553" i="2" s="1"/>
  <c r="AF554" i="2"/>
  <c r="AG554" i="2" s="1"/>
  <c r="AF555" i="2"/>
  <c r="AG555" i="2"/>
  <c r="AF556" i="2"/>
  <c r="AG556" i="2" s="1"/>
  <c r="AF557" i="2"/>
  <c r="AG557" i="2" s="1"/>
  <c r="AF558" i="2"/>
  <c r="AG558" i="2" s="1"/>
  <c r="AF559" i="2"/>
  <c r="AG559" i="2" s="1"/>
  <c r="AF560" i="2"/>
  <c r="AG560" i="2" s="1"/>
  <c r="AF561" i="2"/>
  <c r="AG561" i="2" s="1"/>
  <c r="AF562" i="2"/>
  <c r="AG562" i="2" s="1"/>
  <c r="AF563" i="2"/>
  <c r="AG563" i="2"/>
  <c r="AF564" i="2"/>
  <c r="AG564" i="2" s="1"/>
  <c r="AF565" i="2"/>
  <c r="AG565" i="2" s="1"/>
  <c r="AF566" i="2"/>
  <c r="AG566" i="2" s="1"/>
  <c r="AF567" i="2"/>
  <c r="AG567" i="2" s="1"/>
  <c r="AF568" i="2"/>
  <c r="AG568" i="2" s="1"/>
  <c r="AF569" i="2"/>
  <c r="AG569" i="2" s="1"/>
  <c r="AF570" i="2"/>
  <c r="AG570" i="2" s="1"/>
  <c r="AF571" i="2"/>
  <c r="AG571" i="2" s="1"/>
  <c r="AF572" i="2"/>
  <c r="AG572" i="2" s="1"/>
  <c r="AF573" i="2"/>
  <c r="AG573" i="2" s="1"/>
  <c r="AF574" i="2"/>
  <c r="AG574" i="2" s="1"/>
  <c r="AF575" i="2"/>
  <c r="AG575" i="2" s="1"/>
  <c r="AF576" i="2"/>
  <c r="AG576" i="2" s="1"/>
  <c r="AF577" i="2"/>
  <c r="AG577" i="2" s="1"/>
  <c r="AF578" i="2"/>
  <c r="AG578" i="2" s="1"/>
  <c r="AF579" i="2"/>
  <c r="AG579" i="2" s="1"/>
  <c r="AF580" i="2"/>
  <c r="AG580" i="2" s="1"/>
  <c r="AF581" i="2"/>
  <c r="AG581" i="2" s="1"/>
  <c r="AF582" i="2"/>
  <c r="AG582" i="2" s="1"/>
  <c r="AF583" i="2"/>
  <c r="AG583" i="2" s="1"/>
  <c r="AF584" i="2"/>
  <c r="AG584" i="2" s="1"/>
  <c r="AF585" i="2"/>
  <c r="AG585" i="2" s="1"/>
  <c r="AF586" i="2"/>
  <c r="AG586" i="2" s="1"/>
  <c r="AF587" i="2"/>
  <c r="AG587" i="2" s="1"/>
  <c r="AF588" i="2"/>
  <c r="AG588" i="2" s="1"/>
  <c r="AF589" i="2"/>
  <c r="AG589" i="2" s="1"/>
  <c r="AF590" i="2"/>
  <c r="AG590" i="2"/>
  <c r="AF591" i="2"/>
  <c r="AG591" i="2" s="1"/>
  <c r="AF592" i="2"/>
  <c r="AG592" i="2" s="1"/>
  <c r="AF593" i="2"/>
  <c r="AG593" i="2" s="1"/>
  <c r="AF594" i="2"/>
  <c r="AG594" i="2" s="1"/>
  <c r="AF595" i="2"/>
  <c r="AG595" i="2" s="1"/>
  <c r="AF596" i="2"/>
  <c r="AG596" i="2" s="1"/>
  <c r="AF597" i="2"/>
  <c r="AG597" i="2" s="1"/>
  <c r="AF598" i="2"/>
  <c r="AG598" i="2" s="1"/>
  <c r="AF599" i="2"/>
  <c r="AG599" i="2" s="1"/>
  <c r="AF600" i="2"/>
  <c r="AG600" i="2" s="1"/>
  <c r="AF601" i="2"/>
  <c r="AG601" i="2" s="1"/>
  <c r="AF602" i="2"/>
  <c r="AG602" i="2" s="1"/>
  <c r="AF603" i="2"/>
  <c r="AG603" i="2" s="1"/>
  <c r="AF604" i="2"/>
  <c r="AG604" i="2" s="1"/>
  <c r="AF605" i="2"/>
  <c r="AG605" i="2" s="1"/>
  <c r="AF606" i="2"/>
  <c r="AG606" i="2" s="1"/>
  <c r="AF607" i="2"/>
  <c r="AG607" i="2" s="1"/>
  <c r="AF608" i="2"/>
  <c r="AG608" i="2" s="1"/>
  <c r="AF609" i="2"/>
  <c r="AG609" i="2" s="1"/>
  <c r="AF610" i="2"/>
  <c r="AG610" i="2" s="1"/>
  <c r="AF611" i="2"/>
  <c r="AG611" i="2" s="1"/>
  <c r="AF612" i="2"/>
  <c r="AG612" i="2" s="1"/>
  <c r="AF613" i="2"/>
  <c r="AG613" i="2" s="1"/>
  <c r="AF614" i="2"/>
  <c r="AG614" i="2" s="1"/>
  <c r="AF615" i="2"/>
  <c r="AG615" i="2" s="1"/>
  <c r="AF616" i="2"/>
  <c r="AG616" i="2" s="1"/>
  <c r="AF617" i="2"/>
  <c r="AG617" i="2" s="1"/>
  <c r="AF618" i="2"/>
  <c r="AG618" i="2" s="1"/>
  <c r="AF619" i="2"/>
  <c r="AG619" i="2" s="1"/>
  <c r="AF620" i="2"/>
  <c r="AG620" i="2" s="1"/>
  <c r="AF621" i="2"/>
  <c r="AG621" i="2" s="1"/>
  <c r="AF622" i="2"/>
  <c r="AG622" i="2" s="1"/>
  <c r="AF623" i="2"/>
  <c r="AG623" i="2" s="1"/>
  <c r="AF624" i="2"/>
  <c r="AG624" i="2" s="1"/>
  <c r="AF625" i="2"/>
  <c r="AG625" i="2" s="1"/>
  <c r="AF626" i="2"/>
  <c r="AG626" i="2" s="1"/>
  <c r="AF627" i="2"/>
  <c r="AG627" i="2" s="1"/>
  <c r="AF628" i="2"/>
  <c r="AG628" i="2" s="1"/>
  <c r="AF629" i="2"/>
  <c r="AG629" i="2" s="1"/>
  <c r="AF630" i="2"/>
  <c r="AG630" i="2" s="1"/>
  <c r="AF631" i="2"/>
  <c r="AG631" i="2" s="1"/>
  <c r="AF632" i="2"/>
  <c r="AG632" i="2" s="1"/>
  <c r="AF633" i="2"/>
  <c r="AG633" i="2" s="1"/>
  <c r="AF634" i="2"/>
  <c r="AG634" i="2" s="1"/>
  <c r="AF635" i="2"/>
  <c r="AG635" i="2" s="1"/>
  <c r="AF636" i="2"/>
  <c r="AG636" i="2" s="1"/>
  <c r="AF637" i="2"/>
  <c r="AG637" i="2" s="1"/>
  <c r="AF638" i="2"/>
  <c r="AG638" i="2" s="1"/>
  <c r="AF639" i="2"/>
  <c r="AG639" i="2" s="1"/>
  <c r="AF640" i="2"/>
  <c r="AG640" i="2" s="1"/>
  <c r="AF641" i="2"/>
  <c r="AG641" i="2" s="1"/>
  <c r="AF642" i="2"/>
  <c r="AG642" i="2" s="1"/>
  <c r="AF643" i="2"/>
  <c r="AG643" i="2" s="1"/>
  <c r="AF644" i="2"/>
  <c r="AG644" i="2" s="1"/>
  <c r="AF645" i="2"/>
  <c r="AG645" i="2" s="1"/>
  <c r="AF646" i="2"/>
  <c r="AG646" i="2" s="1"/>
  <c r="AF647" i="2"/>
  <c r="AG647" i="2" s="1"/>
  <c r="AF648" i="2"/>
  <c r="AG648" i="2" s="1"/>
  <c r="AF649" i="2"/>
  <c r="AG649" i="2" s="1"/>
  <c r="AF650" i="2"/>
  <c r="AG650" i="2" s="1"/>
  <c r="AF651" i="2"/>
  <c r="AG651" i="2" s="1"/>
  <c r="AF652" i="2"/>
  <c r="AG652" i="2" s="1"/>
  <c r="AF653" i="2"/>
  <c r="AG653" i="2" s="1"/>
  <c r="AF654" i="2"/>
  <c r="AG654" i="2" s="1"/>
  <c r="AF655" i="2"/>
  <c r="AG655" i="2" s="1"/>
  <c r="AF656" i="2"/>
  <c r="AG656" i="2" s="1"/>
  <c r="AF657" i="2"/>
  <c r="AG657" i="2" s="1"/>
  <c r="AF658" i="2"/>
  <c r="AG658" i="2" s="1"/>
  <c r="AF659" i="2"/>
  <c r="AG659" i="2" s="1"/>
  <c r="AF660" i="2"/>
  <c r="AG660" i="2" s="1"/>
  <c r="AF661" i="2"/>
  <c r="AG661" i="2" s="1"/>
  <c r="AF662" i="2"/>
  <c r="AG662" i="2" s="1"/>
  <c r="AF663" i="2"/>
  <c r="AG663" i="2" s="1"/>
  <c r="AF664" i="2"/>
  <c r="AG664" i="2" s="1"/>
  <c r="AF665" i="2"/>
  <c r="AG665" i="2" s="1"/>
  <c r="AF666" i="2"/>
  <c r="AG666" i="2" s="1"/>
  <c r="AF667" i="2"/>
  <c r="AG667" i="2" s="1"/>
  <c r="AF668" i="2"/>
  <c r="AG668" i="2" s="1"/>
  <c r="AF669" i="2"/>
  <c r="AG669" i="2" s="1"/>
  <c r="AF670" i="2"/>
  <c r="AG670" i="2" s="1"/>
  <c r="AF671" i="2"/>
  <c r="AG671" i="2" s="1"/>
  <c r="AF672" i="2"/>
  <c r="AG672" i="2" s="1"/>
  <c r="AF673" i="2"/>
  <c r="AG673" i="2" s="1"/>
  <c r="AF674" i="2"/>
  <c r="AG674" i="2" s="1"/>
  <c r="AF675" i="2"/>
  <c r="AG675" i="2" s="1"/>
  <c r="AF676" i="2"/>
  <c r="AG676" i="2" s="1"/>
  <c r="AF677" i="2"/>
  <c r="AG677" i="2" s="1"/>
  <c r="AF678" i="2"/>
  <c r="AG678" i="2" s="1"/>
  <c r="AF679" i="2"/>
  <c r="AG679" i="2" s="1"/>
  <c r="AF680" i="2"/>
  <c r="AG680" i="2" s="1"/>
  <c r="AF681" i="2"/>
  <c r="AG681" i="2" s="1"/>
  <c r="AF682" i="2"/>
  <c r="AG682" i="2" s="1"/>
  <c r="AF683" i="2"/>
  <c r="AG683" i="2" s="1"/>
  <c r="AF684" i="2"/>
  <c r="AG684" i="2" s="1"/>
  <c r="AF685" i="2"/>
  <c r="AG685" i="2" s="1"/>
  <c r="AF686" i="2"/>
  <c r="AG686" i="2" s="1"/>
  <c r="AF687" i="2"/>
  <c r="AG687" i="2" s="1"/>
  <c r="AF688" i="2"/>
  <c r="AG688" i="2" s="1"/>
  <c r="AF689" i="2"/>
  <c r="AG689" i="2" s="1"/>
  <c r="AF690" i="2"/>
  <c r="AG690" i="2" s="1"/>
  <c r="AF691" i="2"/>
  <c r="AG691" i="2" s="1"/>
  <c r="AF692" i="2"/>
  <c r="AG692" i="2" s="1"/>
  <c r="AF693" i="2"/>
  <c r="AG693" i="2"/>
  <c r="AF694" i="2"/>
  <c r="AG694" i="2" s="1"/>
  <c r="AF695" i="2"/>
  <c r="AG695" i="2" s="1"/>
  <c r="AF696" i="2"/>
  <c r="AG696" i="2" s="1"/>
  <c r="AF697" i="2"/>
  <c r="AG697" i="2" s="1"/>
  <c r="AF698" i="2"/>
  <c r="AG698" i="2" s="1"/>
  <c r="AF699" i="2"/>
  <c r="AG699" i="2" s="1"/>
  <c r="AF700" i="2"/>
  <c r="AG700" i="2" s="1"/>
  <c r="AF701" i="2"/>
  <c r="AG701" i="2" s="1"/>
  <c r="AF702" i="2"/>
  <c r="AG702" i="2" s="1"/>
  <c r="AF703" i="2"/>
  <c r="AG703" i="2" s="1"/>
  <c r="AF704" i="2"/>
  <c r="AG704" i="2" s="1"/>
  <c r="AF705" i="2"/>
  <c r="AG705" i="2" s="1"/>
  <c r="AF706" i="2"/>
  <c r="AG706" i="2" s="1"/>
  <c r="AF707" i="2"/>
  <c r="AG707" i="2" s="1"/>
  <c r="AF708" i="2"/>
  <c r="AG708" i="2" s="1"/>
  <c r="AF709" i="2"/>
  <c r="AG709" i="2" s="1"/>
  <c r="AF710" i="2"/>
  <c r="AG710" i="2" s="1"/>
  <c r="AF711" i="2"/>
  <c r="AG711" i="2" s="1"/>
  <c r="AF712" i="2"/>
  <c r="AG712" i="2" s="1"/>
  <c r="AF713" i="2"/>
  <c r="AG713" i="2" s="1"/>
  <c r="AF714" i="2"/>
  <c r="AG714" i="2" s="1"/>
  <c r="AF715" i="2"/>
  <c r="AG715" i="2" s="1"/>
  <c r="AF716" i="2"/>
  <c r="AG716" i="2" s="1"/>
  <c r="AF717" i="2"/>
  <c r="AG717" i="2" s="1"/>
  <c r="AF718" i="2"/>
  <c r="AG718" i="2" s="1"/>
  <c r="AF719" i="2"/>
  <c r="AG719" i="2" s="1"/>
  <c r="AF720" i="2"/>
  <c r="AG720" i="2" s="1"/>
  <c r="AF721" i="2"/>
  <c r="AG721" i="2" s="1"/>
  <c r="AF722" i="2"/>
  <c r="AG722" i="2" s="1"/>
  <c r="AF723" i="2"/>
  <c r="AG723" i="2" s="1"/>
  <c r="AF724" i="2"/>
  <c r="AG724" i="2" s="1"/>
  <c r="AF725" i="2"/>
  <c r="AG725" i="2" s="1"/>
  <c r="AF726" i="2"/>
  <c r="AG726" i="2" s="1"/>
  <c r="AF727" i="2"/>
  <c r="AG727" i="2" s="1"/>
  <c r="AF728" i="2"/>
  <c r="AG728" i="2" s="1"/>
  <c r="AF729" i="2"/>
  <c r="AG729" i="2" s="1"/>
  <c r="AF730" i="2"/>
  <c r="AG730" i="2" s="1"/>
  <c r="AF731" i="2"/>
  <c r="AG731" i="2" s="1"/>
  <c r="AF732" i="2"/>
  <c r="AG732" i="2" s="1"/>
  <c r="AF733" i="2"/>
  <c r="AG733" i="2" s="1"/>
  <c r="AF734" i="2"/>
  <c r="AG734" i="2" s="1"/>
  <c r="AF735" i="2"/>
  <c r="AG735" i="2" s="1"/>
  <c r="AF736" i="2"/>
  <c r="AG736" i="2" s="1"/>
  <c r="AF737" i="2"/>
  <c r="AG737" i="2" s="1"/>
  <c r="AF738" i="2"/>
  <c r="AG738" i="2" s="1"/>
  <c r="AF739" i="2"/>
  <c r="AG739" i="2" s="1"/>
  <c r="AF740" i="2"/>
  <c r="AG740" i="2" s="1"/>
  <c r="AF741" i="2"/>
  <c r="AG741" i="2" s="1"/>
  <c r="AF742" i="2"/>
  <c r="AG742" i="2" s="1"/>
  <c r="AF743" i="2"/>
  <c r="AG743" i="2" s="1"/>
  <c r="AF744" i="2"/>
  <c r="AG744" i="2" s="1"/>
  <c r="AF745" i="2"/>
  <c r="AG745" i="2" s="1"/>
  <c r="AF746" i="2"/>
  <c r="AG746" i="2" s="1"/>
  <c r="AF747" i="2"/>
  <c r="AG747" i="2" s="1"/>
  <c r="AF748" i="2"/>
  <c r="AG748" i="2" s="1"/>
  <c r="AF749" i="2"/>
  <c r="AG749" i="2" s="1"/>
  <c r="AF750" i="2"/>
  <c r="AG750" i="2" s="1"/>
  <c r="AF751" i="2"/>
  <c r="AG751" i="2" s="1"/>
  <c r="AF752" i="2"/>
  <c r="AG752" i="2" s="1"/>
  <c r="AF753" i="2"/>
  <c r="AG753" i="2" s="1"/>
  <c r="AF754" i="2"/>
  <c r="AG754" i="2" s="1"/>
  <c r="AF755" i="2"/>
  <c r="AG755" i="2" s="1"/>
  <c r="AF756" i="2"/>
  <c r="AG756" i="2" s="1"/>
  <c r="AF757" i="2"/>
  <c r="AG757" i="2" s="1"/>
  <c r="AF758" i="2"/>
  <c r="AG758" i="2" s="1"/>
  <c r="AF759" i="2"/>
  <c r="AG759" i="2" s="1"/>
  <c r="AF760" i="2"/>
  <c r="AG760" i="2" s="1"/>
  <c r="AF761" i="2"/>
  <c r="AG761" i="2" s="1"/>
  <c r="AF762" i="2"/>
  <c r="AG762" i="2" s="1"/>
  <c r="AF763" i="2"/>
  <c r="AG763" i="2" s="1"/>
  <c r="AF764" i="2"/>
  <c r="AG764" i="2" s="1"/>
  <c r="AF765" i="2"/>
  <c r="AG765" i="2" s="1"/>
  <c r="AF766" i="2"/>
  <c r="AG766" i="2" s="1"/>
  <c r="AF767" i="2"/>
  <c r="AG767" i="2" s="1"/>
  <c r="AF768" i="2"/>
  <c r="AG768" i="2" s="1"/>
  <c r="AF769" i="2"/>
  <c r="AG769" i="2" s="1"/>
  <c r="AF770" i="2"/>
  <c r="AG770" i="2" s="1"/>
  <c r="AF771" i="2"/>
  <c r="AG771" i="2" s="1"/>
  <c r="AF772" i="2"/>
  <c r="AG772" i="2" s="1"/>
  <c r="AF773" i="2"/>
  <c r="AG773" i="2" s="1"/>
  <c r="AF774" i="2"/>
  <c r="AG774" i="2" s="1"/>
  <c r="AF775" i="2"/>
  <c r="AG775" i="2" s="1"/>
  <c r="AF776" i="2"/>
  <c r="AG776" i="2" s="1"/>
  <c r="AF777" i="2"/>
  <c r="AG777" i="2" s="1"/>
  <c r="AF778" i="2"/>
  <c r="AG778" i="2" s="1"/>
  <c r="AF779" i="2"/>
  <c r="AG779" i="2" s="1"/>
  <c r="AF780" i="2"/>
  <c r="AG780" i="2" s="1"/>
  <c r="AF781" i="2"/>
  <c r="AG781" i="2" s="1"/>
  <c r="AF782" i="2"/>
  <c r="AG782" i="2" s="1"/>
  <c r="AF783" i="2"/>
  <c r="AG783" i="2" s="1"/>
  <c r="AF784" i="2"/>
  <c r="AG784" i="2" s="1"/>
  <c r="AF785" i="2"/>
  <c r="AG785" i="2" s="1"/>
  <c r="AF786" i="2"/>
  <c r="AG786" i="2" s="1"/>
  <c r="AF787" i="2"/>
  <c r="AG787" i="2" s="1"/>
  <c r="AF788" i="2"/>
  <c r="AG788" i="2" s="1"/>
  <c r="AF789" i="2"/>
  <c r="AG789" i="2" s="1"/>
  <c r="AF790" i="2"/>
  <c r="AG790" i="2" s="1"/>
  <c r="AF791" i="2"/>
  <c r="AG791" i="2" s="1"/>
  <c r="AF792" i="2"/>
  <c r="AG792" i="2" s="1"/>
  <c r="AF793" i="2"/>
  <c r="AG793" i="2" s="1"/>
  <c r="AF794" i="2"/>
  <c r="AG794" i="2" s="1"/>
  <c r="AF795" i="2"/>
  <c r="AG795" i="2" s="1"/>
  <c r="AF796" i="2"/>
  <c r="AG796" i="2" s="1"/>
  <c r="AF797" i="2"/>
  <c r="AG797" i="2" s="1"/>
  <c r="AF798" i="2"/>
  <c r="AG798" i="2" s="1"/>
  <c r="AF799" i="2"/>
  <c r="AG799" i="2" s="1"/>
  <c r="AF800" i="2"/>
  <c r="AG800" i="2" s="1"/>
  <c r="AF801" i="2"/>
  <c r="AG801" i="2" s="1"/>
  <c r="AF802" i="2"/>
  <c r="AG802" i="2" s="1"/>
  <c r="AF803" i="2"/>
  <c r="AG803" i="2" s="1"/>
  <c r="AF804" i="2"/>
  <c r="AG804" i="2" s="1"/>
  <c r="AF805" i="2"/>
  <c r="AG805" i="2" s="1"/>
  <c r="AF806" i="2"/>
  <c r="AG806" i="2" s="1"/>
  <c r="AF807" i="2"/>
  <c r="AG807" i="2" s="1"/>
  <c r="AF808" i="2"/>
  <c r="AG808" i="2" s="1"/>
  <c r="AF809" i="2"/>
  <c r="AG809" i="2" s="1"/>
  <c r="AF810" i="2"/>
  <c r="AG810" i="2" s="1"/>
  <c r="AF811" i="2"/>
  <c r="AG811" i="2" s="1"/>
  <c r="AF812" i="2"/>
  <c r="AG812" i="2" s="1"/>
  <c r="AF813" i="2"/>
  <c r="AG813" i="2" s="1"/>
  <c r="AF814" i="2"/>
  <c r="AG814" i="2" s="1"/>
  <c r="AF815" i="2"/>
  <c r="AG815" i="2" s="1"/>
  <c r="AF816" i="2"/>
  <c r="AG816" i="2" s="1"/>
  <c r="AF817" i="2"/>
  <c r="AG817" i="2" s="1"/>
  <c r="AF818" i="2"/>
  <c r="AG818" i="2" s="1"/>
  <c r="AF819" i="2"/>
  <c r="AG819" i="2" s="1"/>
  <c r="AF820" i="2"/>
  <c r="AG820" i="2" s="1"/>
  <c r="AF821" i="2"/>
  <c r="AG821" i="2" s="1"/>
  <c r="AF822" i="2"/>
  <c r="AG822" i="2"/>
  <c r="AF823" i="2"/>
  <c r="AG823" i="2" s="1"/>
  <c r="AF824" i="2"/>
  <c r="AG824" i="2" s="1"/>
  <c r="AF825" i="2"/>
  <c r="AG825" i="2" s="1"/>
  <c r="AF826" i="2"/>
  <c r="AG826" i="2" s="1"/>
  <c r="AF827" i="2"/>
  <c r="AG827" i="2" s="1"/>
  <c r="AF828" i="2"/>
  <c r="AG828" i="2" s="1"/>
  <c r="AF829" i="2"/>
  <c r="AG829" i="2" s="1"/>
  <c r="AF830" i="2"/>
  <c r="AG830" i="2" s="1"/>
  <c r="AF831" i="2"/>
  <c r="AG831" i="2" s="1"/>
  <c r="AF832" i="2"/>
  <c r="AG832" i="2" s="1"/>
  <c r="AF833" i="2"/>
  <c r="AG833" i="2" s="1"/>
  <c r="AF834" i="2"/>
  <c r="AG834" i="2" s="1"/>
  <c r="AF835" i="2"/>
  <c r="AG835" i="2" s="1"/>
  <c r="AF836" i="2"/>
  <c r="AG836" i="2" s="1"/>
  <c r="AF837" i="2"/>
  <c r="AG837" i="2" s="1"/>
  <c r="AF838" i="2"/>
  <c r="AG838" i="2" s="1"/>
  <c r="AF839" i="2"/>
  <c r="AG839" i="2" s="1"/>
  <c r="AF840" i="2"/>
  <c r="AG840" i="2" s="1"/>
  <c r="AF841" i="2"/>
  <c r="AG841" i="2" s="1"/>
  <c r="AF842" i="2"/>
  <c r="AG842" i="2" s="1"/>
  <c r="AF843" i="2"/>
  <c r="AG843" i="2" s="1"/>
  <c r="AF844" i="2"/>
  <c r="AG844" i="2" s="1"/>
  <c r="AF845" i="2"/>
  <c r="AG845" i="2" s="1"/>
  <c r="AF846" i="2"/>
  <c r="AG846" i="2" s="1"/>
  <c r="AF847" i="2"/>
  <c r="AG847" i="2" s="1"/>
  <c r="AF848" i="2"/>
  <c r="AG848" i="2" s="1"/>
  <c r="AF849" i="2"/>
  <c r="AG849" i="2" s="1"/>
  <c r="AF850" i="2"/>
  <c r="AG850" i="2" s="1"/>
  <c r="AF851" i="2"/>
  <c r="AG851" i="2" s="1"/>
  <c r="AF852" i="2"/>
  <c r="AG852" i="2" s="1"/>
  <c r="AF853" i="2"/>
  <c r="AG853" i="2" s="1"/>
  <c r="AF854" i="2"/>
  <c r="AG854" i="2" s="1"/>
  <c r="AF855" i="2"/>
  <c r="AG855" i="2" s="1"/>
  <c r="AF856" i="2"/>
  <c r="AG856" i="2" s="1"/>
  <c r="AF857" i="2"/>
  <c r="AG857" i="2" s="1"/>
  <c r="AF858" i="2"/>
  <c r="AG858" i="2" s="1"/>
  <c r="AF859" i="2"/>
  <c r="AG859" i="2" s="1"/>
  <c r="AF860" i="2"/>
  <c r="AG860" i="2" s="1"/>
  <c r="AF861" i="2"/>
  <c r="AG861" i="2" s="1"/>
  <c r="AF862" i="2"/>
  <c r="AG862" i="2" s="1"/>
  <c r="AF863" i="2"/>
  <c r="AG863" i="2" s="1"/>
  <c r="AF864" i="2"/>
  <c r="AG864" i="2" s="1"/>
  <c r="AF865" i="2"/>
  <c r="AG865" i="2" s="1"/>
  <c r="AF866" i="2"/>
  <c r="AG866" i="2" s="1"/>
  <c r="AF867" i="2"/>
  <c r="AG867" i="2" s="1"/>
  <c r="AF868" i="2"/>
  <c r="AG868" i="2" s="1"/>
  <c r="AF869" i="2"/>
  <c r="AG869" i="2" s="1"/>
  <c r="AF870" i="2"/>
  <c r="AG870" i="2" s="1"/>
  <c r="AF871" i="2"/>
  <c r="AG871" i="2" s="1"/>
  <c r="AF872" i="2"/>
  <c r="AG872" i="2" s="1"/>
  <c r="AF873" i="2"/>
  <c r="AG873" i="2"/>
  <c r="AF874" i="2"/>
  <c r="AG874" i="2" s="1"/>
  <c r="AF875" i="2"/>
  <c r="AG875" i="2" s="1"/>
  <c r="AF876" i="2"/>
  <c r="AG876" i="2" s="1"/>
  <c r="AF877" i="2"/>
  <c r="AG877" i="2" s="1"/>
  <c r="AF878" i="2"/>
  <c r="AG878" i="2" s="1"/>
  <c r="AF879" i="2"/>
  <c r="AG879" i="2" s="1"/>
  <c r="AF880" i="2"/>
  <c r="AG880" i="2" s="1"/>
  <c r="AF881" i="2"/>
  <c r="AG881" i="2" s="1"/>
  <c r="AF882" i="2"/>
  <c r="AG882" i="2" s="1"/>
  <c r="AF883" i="2"/>
  <c r="AG883" i="2" s="1"/>
  <c r="AF884" i="2"/>
  <c r="AG884" i="2" s="1"/>
  <c r="AF885" i="2"/>
  <c r="AG885" i="2" s="1"/>
  <c r="AF886" i="2"/>
  <c r="AG886" i="2" s="1"/>
  <c r="AF887" i="2"/>
  <c r="AG887" i="2" s="1"/>
  <c r="AF888" i="2"/>
  <c r="AG888" i="2" s="1"/>
  <c r="AF889" i="2"/>
  <c r="AG889" i="2" s="1"/>
  <c r="AF890" i="2"/>
  <c r="AG890" i="2" s="1"/>
  <c r="AF891" i="2"/>
  <c r="AG891" i="2" s="1"/>
  <c r="AF892" i="2"/>
  <c r="AG892" i="2" s="1"/>
  <c r="AF893" i="2"/>
  <c r="AG893" i="2" s="1"/>
  <c r="AF894" i="2"/>
  <c r="AG894" i="2" s="1"/>
  <c r="AF895" i="2"/>
  <c r="AG895" i="2" s="1"/>
  <c r="AF896" i="2"/>
  <c r="AG896" i="2" s="1"/>
  <c r="AF897" i="2"/>
  <c r="AG897" i="2" s="1"/>
  <c r="AF898" i="2"/>
  <c r="AG898" i="2" s="1"/>
  <c r="AF899" i="2"/>
  <c r="AG899" i="2" s="1"/>
  <c r="AF900" i="2"/>
  <c r="AG900" i="2" s="1"/>
  <c r="AF901" i="2"/>
  <c r="AG901" i="2" s="1"/>
  <c r="AF902" i="2"/>
  <c r="AG902" i="2" s="1"/>
  <c r="AF903" i="2"/>
  <c r="AG903" i="2" s="1"/>
  <c r="AF904" i="2"/>
  <c r="AG904" i="2" s="1"/>
  <c r="AF905" i="2"/>
  <c r="AG905" i="2" s="1"/>
  <c r="AF906" i="2"/>
  <c r="AG906" i="2" s="1"/>
  <c r="AF907" i="2"/>
  <c r="AG907" i="2" s="1"/>
  <c r="AF908" i="2"/>
  <c r="AG908" i="2" s="1"/>
  <c r="AF909" i="2"/>
  <c r="AG909" i="2" s="1"/>
  <c r="AF910" i="2"/>
  <c r="AG910" i="2" s="1"/>
  <c r="AF911" i="2"/>
  <c r="AG911" i="2" s="1"/>
  <c r="AF912" i="2"/>
  <c r="AG912" i="2" s="1"/>
  <c r="AF913" i="2"/>
  <c r="AG913" i="2" s="1"/>
  <c r="AF914" i="2"/>
  <c r="AG914" i="2" s="1"/>
  <c r="AF915" i="2"/>
  <c r="AG915" i="2" s="1"/>
  <c r="AF916" i="2"/>
  <c r="AG916" i="2" s="1"/>
  <c r="AF917" i="2"/>
  <c r="AG917" i="2" s="1"/>
  <c r="AF918" i="2"/>
  <c r="AG918" i="2" s="1"/>
  <c r="AF919" i="2"/>
  <c r="AG919" i="2" s="1"/>
  <c r="AF920" i="2"/>
  <c r="AG920" i="2" s="1"/>
  <c r="AF921" i="2"/>
  <c r="AG921" i="2" s="1"/>
  <c r="AF922" i="2"/>
  <c r="AG922" i="2" s="1"/>
  <c r="AF923" i="2"/>
  <c r="AG923" i="2" s="1"/>
  <c r="AF924" i="2"/>
  <c r="AG924" i="2" s="1"/>
  <c r="AF925" i="2"/>
  <c r="AG925" i="2" s="1"/>
  <c r="AF926" i="2"/>
  <c r="AG926" i="2" s="1"/>
  <c r="AF927" i="2"/>
  <c r="AG927" i="2" s="1"/>
  <c r="AF928" i="2"/>
  <c r="AG928" i="2" s="1"/>
  <c r="AF929" i="2"/>
  <c r="AG929" i="2" s="1"/>
  <c r="AF930" i="2"/>
  <c r="AG930" i="2" s="1"/>
  <c r="AF931" i="2"/>
  <c r="AG931" i="2" s="1"/>
  <c r="AF932" i="2"/>
  <c r="AG932" i="2" s="1"/>
  <c r="AF933" i="2"/>
  <c r="AG933" i="2" s="1"/>
  <c r="AF934" i="2"/>
  <c r="AG934" i="2" s="1"/>
  <c r="AF935" i="2"/>
  <c r="AG935" i="2" s="1"/>
  <c r="AF936" i="2"/>
  <c r="AG936" i="2" s="1"/>
  <c r="AF937" i="2"/>
  <c r="AG937" i="2" s="1"/>
  <c r="AF938" i="2"/>
  <c r="AG938" i="2" s="1"/>
  <c r="AF939" i="2"/>
  <c r="AG939" i="2" s="1"/>
  <c r="AF940" i="2"/>
  <c r="AG940" i="2" s="1"/>
  <c r="AF941" i="2"/>
  <c r="AG941" i="2" s="1"/>
  <c r="AF942" i="2"/>
  <c r="AG942" i="2" s="1"/>
  <c r="AF943" i="2"/>
  <c r="AG943" i="2" s="1"/>
  <c r="AF944" i="2"/>
  <c r="AG944" i="2" s="1"/>
  <c r="AF945" i="2"/>
  <c r="AG945" i="2" s="1"/>
  <c r="AF946" i="2"/>
  <c r="AG946" i="2" s="1"/>
  <c r="AF947" i="2"/>
  <c r="AG947" i="2" s="1"/>
  <c r="AF948" i="2"/>
  <c r="AG948" i="2" s="1"/>
  <c r="AF949" i="2"/>
  <c r="AG949" i="2" s="1"/>
  <c r="AF950" i="2"/>
  <c r="AG950" i="2" s="1"/>
  <c r="AF951" i="2"/>
  <c r="AG951" i="2" s="1"/>
  <c r="AF952" i="2"/>
  <c r="AG952" i="2" s="1"/>
  <c r="AF953" i="2"/>
  <c r="AG953" i="2" s="1"/>
  <c r="AF954" i="2"/>
  <c r="AG954" i="2" s="1"/>
  <c r="AF955" i="2"/>
  <c r="AG955" i="2" s="1"/>
  <c r="AF956" i="2"/>
  <c r="AG956" i="2" s="1"/>
  <c r="AF957" i="2"/>
  <c r="AG957" i="2" s="1"/>
  <c r="AF958" i="2"/>
  <c r="AG958" i="2"/>
  <c r="AF959" i="2"/>
  <c r="AG959" i="2" s="1"/>
  <c r="AF960" i="2"/>
  <c r="AG960" i="2" s="1"/>
  <c r="AF961" i="2"/>
  <c r="AG961" i="2" s="1"/>
  <c r="AF962" i="2"/>
  <c r="AG962" i="2" s="1"/>
  <c r="AF963" i="2"/>
  <c r="AG963" i="2" s="1"/>
  <c r="AF964" i="2"/>
  <c r="AG964" i="2" s="1"/>
  <c r="AF965" i="2"/>
  <c r="AG965" i="2" s="1"/>
  <c r="AF966" i="2"/>
  <c r="AG966" i="2" s="1"/>
  <c r="AF967" i="2"/>
  <c r="AG967" i="2" s="1"/>
  <c r="AF968" i="2"/>
  <c r="AG968" i="2"/>
  <c r="AF969" i="2"/>
  <c r="AG969" i="2" s="1"/>
  <c r="AF970" i="2"/>
  <c r="AG970" i="2" s="1"/>
  <c r="AF971" i="2"/>
  <c r="AG971" i="2" s="1"/>
  <c r="AF972" i="2"/>
  <c r="AG972" i="2" s="1"/>
  <c r="AF973" i="2"/>
  <c r="AG973" i="2" s="1"/>
  <c r="AF974" i="2"/>
  <c r="AG974" i="2" s="1"/>
  <c r="AF975" i="2"/>
  <c r="AG975" i="2" s="1"/>
  <c r="AF976" i="2"/>
  <c r="AG976" i="2" s="1"/>
  <c r="AF977" i="2"/>
  <c r="AG977" i="2" s="1"/>
  <c r="AF978" i="2"/>
  <c r="AG978" i="2" s="1"/>
  <c r="AF979" i="2"/>
  <c r="AG979" i="2" s="1"/>
  <c r="AF980" i="2"/>
  <c r="AG980" i="2" s="1"/>
  <c r="AF981" i="2"/>
  <c r="AG981" i="2" s="1"/>
  <c r="AF982" i="2"/>
  <c r="AG982" i="2" s="1"/>
  <c r="AF983" i="2"/>
  <c r="AG983" i="2" s="1"/>
  <c r="AF984" i="2"/>
  <c r="AG984" i="2" s="1"/>
  <c r="AF985" i="2"/>
  <c r="AG985" i="2" s="1"/>
  <c r="AF986" i="2"/>
  <c r="AG986" i="2" s="1"/>
  <c r="AF987" i="2"/>
  <c r="AG987" i="2" s="1"/>
  <c r="AF988" i="2"/>
  <c r="AG988" i="2" s="1"/>
  <c r="AF989" i="2"/>
  <c r="AG989" i="2" s="1"/>
  <c r="AF990" i="2"/>
  <c r="AG990" i="2" s="1"/>
  <c r="AF991" i="2"/>
  <c r="AG991" i="2" s="1"/>
  <c r="AF992" i="2"/>
  <c r="AG992" i="2" s="1"/>
  <c r="AF993" i="2"/>
  <c r="AG993" i="2"/>
  <c r="AF994" i="2"/>
  <c r="AG994" i="2" s="1"/>
  <c r="AF995" i="2"/>
  <c r="AG995" i="2" s="1"/>
  <c r="AF996" i="2"/>
  <c r="AG996" i="2" s="1"/>
  <c r="AF997" i="2"/>
  <c r="AG997" i="2" s="1"/>
  <c r="AF998" i="2"/>
  <c r="AG998" i="2" s="1"/>
  <c r="AF999" i="2"/>
  <c r="AG999" i="2" s="1"/>
  <c r="AF1000" i="2"/>
  <c r="AG1000" i="2" s="1"/>
  <c r="AF1001" i="2"/>
  <c r="AG1001" i="2" s="1"/>
  <c r="AF1002" i="2"/>
  <c r="AG1002" i="2" s="1"/>
  <c r="AF1003" i="2"/>
  <c r="AG1003" i="2" s="1"/>
  <c r="AF1004" i="2"/>
  <c r="AG1004" i="2" s="1"/>
  <c r="AF1005" i="2"/>
  <c r="AG1005" i="2" s="1"/>
  <c r="AF1006" i="2"/>
  <c r="AG1006" i="2"/>
  <c r="AF1007" i="2"/>
  <c r="AG1007" i="2" s="1"/>
  <c r="AF1008" i="2"/>
  <c r="AG1008" i="2" s="1"/>
  <c r="AF1009" i="2"/>
  <c r="AG1009" i="2" s="1"/>
  <c r="AF1010" i="2"/>
  <c r="AG1010" i="2"/>
  <c r="AF1011" i="2"/>
  <c r="AG1011" i="2" s="1"/>
  <c r="AF1012" i="2"/>
  <c r="AG1012" i="2" s="1"/>
  <c r="AF1013" i="2"/>
  <c r="AG1013" i="2" s="1"/>
  <c r="AF1014" i="2"/>
  <c r="AG1014" i="2" s="1"/>
  <c r="AF1015" i="2"/>
  <c r="AG1015" i="2" s="1"/>
  <c r="AF1016" i="2"/>
  <c r="AG1016" i="2" s="1"/>
  <c r="AF1017" i="2"/>
  <c r="AG1017" i="2" s="1"/>
  <c r="AF1018" i="2"/>
  <c r="AG1018" i="2" s="1"/>
  <c r="AF1019" i="2"/>
  <c r="AG1019" i="2" s="1"/>
  <c r="AF1020" i="2"/>
  <c r="AG1020" i="2" s="1"/>
  <c r="AF1021" i="2"/>
  <c r="AG1021" i="2" s="1"/>
  <c r="AF1022" i="2"/>
  <c r="AG1022" i="2" s="1"/>
  <c r="AF1023" i="2"/>
  <c r="AG1023" i="2" s="1"/>
  <c r="AF1024" i="2"/>
  <c r="AG1024" i="2" s="1"/>
  <c r="AF1025" i="2"/>
  <c r="AG1025" i="2" s="1"/>
  <c r="AF1026" i="2"/>
  <c r="AG1026" i="2" s="1"/>
  <c r="AF1027" i="2"/>
  <c r="AG1027" i="2" s="1"/>
  <c r="AF1028" i="2"/>
  <c r="AG1028" i="2" s="1"/>
  <c r="AF1029" i="2"/>
  <c r="AG1029" i="2" s="1"/>
  <c r="AF1030" i="2"/>
  <c r="AG1030" i="2" s="1"/>
  <c r="AF1031" i="2"/>
  <c r="AG1031" i="2" s="1"/>
  <c r="AF1032" i="2"/>
  <c r="AG1032" i="2" s="1"/>
  <c r="AF1033" i="2"/>
  <c r="AG1033" i="2" s="1"/>
  <c r="AF1034" i="2"/>
  <c r="AG1034" i="2" s="1"/>
  <c r="AF1035" i="2"/>
  <c r="AG1035" i="2" s="1"/>
  <c r="AF1036" i="2"/>
  <c r="AG1036" i="2" s="1"/>
  <c r="AF1037" i="2"/>
  <c r="AG1037" i="2" s="1"/>
  <c r="AF1038" i="2"/>
  <c r="AG1038" i="2" s="1"/>
  <c r="AF1039" i="2"/>
  <c r="AG1039" i="2" s="1"/>
  <c r="AF1040" i="2"/>
  <c r="AG1040" i="2" s="1"/>
  <c r="AF1041" i="2"/>
  <c r="AG1041" i="2" s="1"/>
  <c r="AF1042" i="2"/>
  <c r="AG1042" i="2" s="1"/>
  <c r="AF1043" i="2"/>
  <c r="AG1043" i="2" s="1"/>
  <c r="AF1044" i="2"/>
  <c r="AG1044" i="2" s="1"/>
  <c r="AF1045" i="2"/>
  <c r="AG1045" i="2" s="1"/>
  <c r="AF1046" i="2"/>
  <c r="AG1046" i="2" s="1"/>
  <c r="AF1047" i="2"/>
  <c r="AG1047" i="2" s="1"/>
  <c r="AF1048" i="2"/>
  <c r="AG1048" i="2" s="1"/>
  <c r="AF1049" i="2"/>
  <c r="AG1049" i="2" s="1"/>
  <c r="AF1050" i="2"/>
  <c r="AG1050" i="2" s="1"/>
  <c r="AF1051" i="2"/>
  <c r="AG1051" i="2" s="1"/>
  <c r="AF1052" i="2"/>
  <c r="AG1052" i="2" s="1"/>
  <c r="AF1053" i="2"/>
  <c r="AG1053" i="2" s="1"/>
  <c r="AF1054" i="2"/>
  <c r="AG1054" i="2" s="1"/>
  <c r="AF1055" i="2"/>
  <c r="AG1055" i="2" s="1"/>
  <c r="AF1056" i="2"/>
  <c r="AG1056" i="2" s="1"/>
  <c r="AF1057" i="2"/>
  <c r="AG1057" i="2" s="1"/>
  <c r="AF1058" i="2"/>
  <c r="AG1058" i="2" s="1"/>
  <c r="AF1059" i="2"/>
  <c r="AG1059" i="2" s="1"/>
  <c r="AF1060" i="2"/>
  <c r="AG1060" i="2" s="1"/>
  <c r="AF1061" i="2"/>
  <c r="AG1061" i="2" s="1"/>
  <c r="AF1062" i="2"/>
  <c r="AG1062" i="2" s="1"/>
  <c r="AF1063" i="2"/>
  <c r="AG1063" i="2" s="1"/>
  <c r="AF1064" i="2"/>
  <c r="AG1064" i="2" s="1"/>
  <c r="AF1065" i="2"/>
  <c r="AG1065" i="2" s="1"/>
  <c r="AF1066" i="2"/>
  <c r="AG1066" i="2" s="1"/>
  <c r="AF1067" i="2"/>
  <c r="AG1067" i="2" s="1"/>
  <c r="AF1068" i="2"/>
  <c r="AG1068" i="2" s="1"/>
  <c r="AF1069" i="2"/>
  <c r="AG1069" i="2" s="1"/>
  <c r="AF1070" i="2"/>
  <c r="AG1070" i="2" s="1"/>
  <c r="AF1071" i="2"/>
  <c r="AG1071" i="2" s="1"/>
  <c r="AF1072" i="2"/>
  <c r="AG1072" i="2" s="1"/>
  <c r="AF1073" i="2"/>
  <c r="AG1073" i="2" s="1"/>
  <c r="AF1074" i="2"/>
  <c r="AG1074" i="2" s="1"/>
  <c r="AF1075" i="2"/>
  <c r="AG1075" i="2" s="1"/>
  <c r="AF1076" i="2"/>
  <c r="AG1076" i="2" s="1"/>
  <c r="AF1077" i="2"/>
  <c r="AG1077" i="2" s="1"/>
  <c r="AF1078" i="2"/>
  <c r="AG1078" i="2" s="1"/>
  <c r="AF1079" i="2"/>
  <c r="AG1079" i="2" s="1"/>
  <c r="AF1080" i="2"/>
  <c r="AG1080" i="2" s="1"/>
  <c r="AF1081" i="2"/>
  <c r="AG1081" i="2" s="1"/>
  <c r="AF1082" i="2"/>
  <c r="AG1082" i="2" s="1"/>
  <c r="AF1083" i="2"/>
  <c r="AG1083" i="2" s="1"/>
  <c r="AF1084" i="2"/>
  <c r="AG1084" i="2" s="1"/>
  <c r="AF1085" i="2"/>
  <c r="AG1085" i="2" s="1"/>
  <c r="AF1086" i="2"/>
  <c r="AG1086" i="2" s="1"/>
  <c r="AF1087" i="2"/>
  <c r="AG1087" i="2" s="1"/>
  <c r="AF1088" i="2"/>
  <c r="AG1088" i="2" s="1"/>
  <c r="AF1089" i="2"/>
  <c r="AG1089" i="2" s="1"/>
  <c r="AF1090" i="2"/>
  <c r="AG1090" i="2" s="1"/>
  <c r="AF1091" i="2"/>
  <c r="AG1091" i="2" s="1"/>
  <c r="AF1092" i="2"/>
  <c r="AG1092" i="2" s="1"/>
  <c r="AF1093" i="2"/>
  <c r="AG1093" i="2" s="1"/>
  <c r="AF1094" i="2"/>
  <c r="AG1094" i="2" s="1"/>
  <c r="AF1095" i="2"/>
  <c r="AG1095" i="2" s="1"/>
  <c r="AF1096" i="2"/>
  <c r="AG1096" i="2" s="1"/>
  <c r="AF1097" i="2"/>
  <c r="AG1097" i="2" s="1"/>
  <c r="AF1098" i="2"/>
  <c r="AG1098" i="2" s="1"/>
  <c r="AF1099" i="2"/>
  <c r="AG1099" i="2" s="1"/>
  <c r="AF1100" i="2"/>
  <c r="AG1100" i="2" s="1"/>
  <c r="AF1101" i="2"/>
  <c r="AG1101" i="2" s="1"/>
  <c r="AF1102" i="2"/>
  <c r="AG1102" i="2" s="1"/>
  <c r="AF1103" i="2"/>
  <c r="AG1103" i="2" s="1"/>
  <c r="AF1104" i="2"/>
  <c r="AG1104" i="2" s="1"/>
  <c r="AF1105" i="2"/>
  <c r="AG1105" i="2" s="1"/>
  <c r="AF1106" i="2"/>
  <c r="AG1106" i="2" s="1"/>
  <c r="AF1107" i="2"/>
  <c r="AG1107" i="2" s="1"/>
  <c r="AF1108" i="2"/>
  <c r="AG1108" i="2" s="1"/>
  <c r="AF1109" i="2"/>
  <c r="AG1109" i="2" s="1"/>
  <c r="AF1110" i="2"/>
  <c r="AG1110" i="2" s="1"/>
  <c r="AF1111" i="2"/>
  <c r="AG1111" i="2" s="1"/>
  <c r="AF1112" i="2"/>
  <c r="AG1112" i="2" s="1"/>
  <c r="AF1113" i="2"/>
  <c r="AG1113" i="2" s="1"/>
  <c r="AF1114" i="2"/>
  <c r="AG1114" i="2" s="1"/>
  <c r="AF1115" i="2"/>
  <c r="AG1115" i="2" s="1"/>
  <c r="AF1116" i="2"/>
  <c r="AG1116" i="2" s="1"/>
  <c r="AF1117" i="2"/>
  <c r="AG1117" i="2" s="1"/>
  <c r="AF1118" i="2"/>
  <c r="AG1118" i="2" s="1"/>
  <c r="AF1119" i="2"/>
  <c r="AG1119" i="2" s="1"/>
  <c r="AF1120" i="2"/>
  <c r="AG1120" i="2" s="1"/>
  <c r="AF1121" i="2"/>
  <c r="AG1121" i="2" s="1"/>
  <c r="AF1122" i="2"/>
  <c r="AG1122" i="2" s="1"/>
  <c r="AF1123" i="2"/>
  <c r="AG1123" i="2" s="1"/>
  <c r="AF1124" i="2"/>
  <c r="AG1124" i="2" s="1"/>
  <c r="AF1125" i="2"/>
  <c r="AG1125" i="2" s="1"/>
  <c r="AF1126" i="2"/>
  <c r="AG1126" i="2" s="1"/>
  <c r="AF1127" i="2"/>
  <c r="AG1127" i="2"/>
  <c r="AF1128" i="2"/>
  <c r="AG1128" i="2" s="1"/>
  <c r="AF1129" i="2"/>
  <c r="AG1129" i="2" s="1"/>
  <c r="AF1130" i="2"/>
  <c r="AG1130" i="2" s="1"/>
  <c r="AF1131" i="2"/>
  <c r="AG1131" i="2" s="1"/>
  <c r="AF1132" i="2"/>
  <c r="AG1132" i="2" s="1"/>
  <c r="AF1133" i="2"/>
  <c r="AG1133" i="2" s="1"/>
  <c r="AF1134" i="2"/>
  <c r="AG1134" i="2" s="1"/>
  <c r="AF1135" i="2"/>
  <c r="AG1135" i="2" s="1"/>
  <c r="AF1136" i="2"/>
  <c r="AG1136" i="2" s="1"/>
  <c r="AF1137" i="2"/>
  <c r="AG1137" i="2" s="1"/>
  <c r="AF1138" i="2"/>
  <c r="AG1138" i="2" s="1"/>
  <c r="AF1139" i="2"/>
  <c r="AG1139" i="2" s="1"/>
  <c r="AF1140" i="2"/>
  <c r="AG1140" i="2" s="1"/>
  <c r="AF1141" i="2"/>
  <c r="AG1141" i="2" s="1"/>
  <c r="AF1142" i="2"/>
  <c r="AG1142" i="2" s="1"/>
  <c r="AF1143" i="2"/>
  <c r="AG1143" i="2" s="1"/>
  <c r="AF1144" i="2"/>
  <c r="AG1144" i="2" s="1"/>
  <c r="AF1145" i="2"/>
  <c r="AG1145" i="2" s="1"/>
  <c r="AF1146" i="2"/>
  <c r="AG1146" i="2" s="1"/>
  <c r="AF1147" i="2"/>
  <c r="AG1147" i="2" s="1"/>
  <c r="AF1148" i="2"/>
  <c r="AG1148" i="2" s="1"/>
  <c r="AF1149" i="2"/>
  <c r="AG1149" i="2" s="1"/>
  <c r="AF1150" i="2"/>
  <c r="AG1150" i="2" s="1"/>
  <c r="AF1151" i="2"/>
  <c r="AG1151" i="2" s="1"/>
  <c r="AF1152" i="2"/>
  <c r="AG1152" i="2" s="1"/>
  <c r="AF1153" i="2"/>
  <c r="AG1153" i="2" s="1"/>
  <c r="AF1154" i="2"/>
  <c r="AG1154" i="2" s="1"/>
  <c r="AF1155" i="2"/>
  <c r="AG1155" i="2" s="1"/>
  <c r="AF1156" i="2"/>
  <c r="AG1156" i="2" s="1"/>
  <c r="AF1157" i="2"/>
  <c r="AG1157" i="2" s="1"/>
  <c r="AF1158" i="2"/>
  <c r="AG1158" i="2" s="1"/>
  <c r="AF1159" i="2"/>
  <c r="AG1159" i="2" s="1"/>
  <c r="AF1160" i="2"/>
  <c r="AG1160" i="2" s="1"/>
  <c r="AF1161" i="2"/>
  <c r="AG1161" i="2" s="1"/>
  <c r="AF1162" i="2"/>
  <c r="AG1162" i="2" s="1"/>
  <c r="AF1163" i="2"/>
  <c r="AG1163" i="2" s="1"/>
  <c r="AF1164" i="2"/>
  <c r="AG1164" i="2" s="1"/>
  <c r="AF1165" i="2"/>
  <c r="AG1165" i="2" s="1"/>
  <c r="AF1166" i="2"/>
  <c r="AG1166" i="2" s="1"/>
  <c r="AF1167" i="2"/>
  <c r="AG1167" i="2" s="1"/>
  <c r="AF1168" i="2"/>
  <c r="AG1168" i="2" s="1"/>
  <c r="AF1169" i="2"/>
  <c r="AG1169" i="2" s="1"/>
  <c r="AF1170" i="2"/>
  <c r="AG1170" i="2" s="1"/>
  <c r="AF1171" i="2"/>
  <c r="AG1171" i="2" s="1"/>
  <c r="AF1172" i="2"/>
  <c r="AG1172" i="2" s="1"/>
  <c r="AF1173" i="2"/>
  <c r="AG1173" i="2"/>
  <c r="AF1174" i="2"/>
  <c r="AG1174" i="2" s="1"/>
  <c r="AF1175" i="2"/>
  <c r="AG1175" i="2" s="1"/>
  <c r="AF1176" i="2"/>
  <c r="AG1176" i="2" s="1"/>
  <c r="AF1177" i="2"/>
  <c r="AG1177" i="2" s="1"/>
  <c r="AF1178" i="2"/>
  <c r="AG1178" i="2" s="1"/>
  <c r="AF1179" i="2"/>
  <c r="AG1179" i="2" s="1"/>
  <c r="AF1180" i="2"/>
  <c r="AG1180" i="2" s="1"/>
  <c r="AF1181" i="2"/>
  <c r="AG1181" i="2" s="1"/>
  <c r="AF1182" i="2"/>
  <c r="AG1182" i="2" s="1"/>
  <c r="AF1183" i="2"/>
  <c r="AG1183" i="2" s="1"/>
  <c r="AF1184" i="2"/>
  <c r="AG1184" i="2" s="1"/>
  <c r="AF1185" i="2"/>
  <c r="AG1185" i="2"/>
  <c r="AF1186" i="2"/>
  <c r="AG1186" i="2" s="1"/>
  <c r="AF1187" i="2"/>
  <c r="AG1187" i="2" s="1"/>
  <c r="AF1188" i="2"/>
  <c r="AG1188" i="2" s="1"/>
  <c r="AF1189" i="2"/>
  <c r="AG1189" i="2" s="1"/>
  <c r="AF1190" i="2"/>
  <c r="AG1190" i="2" s="1"/>
  <c r="AF1191" i="2"/>
  <c r="AG1191" i="2" s="1"/>
  <c r="AF1192" i="2"/>
  <c r="AG1192" i="2" s="1"/>
  <c r="AF1193" i="2"/>
  <c r="AG1193" i="2" s="1"/>
  <c r="AF1194" i="2"/>
  <c r="AG1194" i="2" s="1"/>
  <c r="AF1195" i="2"/>
  <c r="AG1195" i="2" s="1"/>
  <c r="AF1196" i="2"/>
  <c r="AG1196" i="2" s="1"/>
  <c r="AF1197" i="2"/>
  <c r="AG1197" i="2" s="1"/>
  <c r="AF1198" i="2"/>
  <c r="AG1198" i="2" s="1"/>
  <c r="AF1199" i="2"/>
  <c r="AG1199" i="2" s="1"/>
  <c r="AF1200" i="2"/>
  <c r="AG1200" i="2" s="1"/>
  <c r="AF1201" i="2"/>
  <c r="AG1201" i="2" s="1"/>
  <c r="AF1202" i="2"/>
  <c r="AG1202" i="2" s="1"/>
  <c r="AF1203" i="2"/>
  <c r="AG1203" i="2" s="1"/>
  <c r="AF1204" i="2"/>
  <c r="AG1204" i="2" s="1"/>
  <c r="AF1205" i="2"/>
  <c r="AG1205" i="2"/>
  <c r="AF1206" i="2"/>
  <c r="AG1206" i="2" s="1"/>
  <c r="AF1207" i="2"/>
  <c r="AG1207" i="2" s="1"/>
  <c r="AF1208" i="2"/>
  <c r="AG1208" i="2"/>
  <c r="AF1209" i="2"/>
  <c r="AG1209" i="2" s="1"/>
  <c r="AF1210" i="2"/>
  <c r="AG1210" i="2" s="1"/>
  <c r="AF1211" i="2"/>
  <c r="AG1211" i="2" s="1"/>
  <c r="AF1212" i="2"/>
  <c r="AG1212" i="2" s="1"/>
  <c r="AF1213" i="2"/>
  <c r="AG1213" i="2" s="1"/>
  <c r="AF1214" i="2"/>
  <c r="AG1214" i="2" s="1"/>
  <c r="AF1215" i="2"/>
  <c r="AG1215" i="2" s="1"/>
  <c r="AF1216" i="2"/>
  <c r="AG1216" i="2" s="1"/>
  <c r="AF1217" i="2"/>
  <c r="AG1217" i="2" s="1"/>
  <c r="AF1218" i="2"/>
  <c r="AG1218" i="2" s="1"/>
  <c r="AF1219" i="2"/>
  <c r="AG1219" i="2" s="1"/>
  <c r="AF1220" i="2"/>
  <c r="AG1220" i="2" s="1"/>
  <c r="AF1221" i="2"/>
  <c r="AG1221" i="2" s="1"/>
  <c r="AF1222" i="2"/>
  <c r="AG1222" i="2" s="1"/>
  <c r="AF1223" i="2"/>
  <c r="AG1223" i="2" s="1"/>
  <c r="AF1224" i="2"/>
  <c r="AG1224" i="2" s="1"/>
  <c r="AF1225" i="2"/>
  <c r="AG1225" i="2" s="1"/>
  <c r="AF1226" i="2"/>
  <c r="AG1226" i="2" s="1"/>
  <c r="AF1227" i="2"/>
  <c r="AG1227" i="2" s="1"/>
  <c r="AF1228" i="2"/>
  <c r="AG1228" i="2"/>
  <c r="AF1229" i="2"/>
  <c r="AG1229" i="2" s="1"/>
  <c r="AF1230" i="2"/>
  <c r="AG1230" i="2" s="1"/>
  <c r="AF1231" i="2"/>
  <c r="AG1231" i="2" s="1"/>
  <c r="AF1232" i="2"/>
  <c r="AG1232" i="2" s="1"/>
  <c r="AF1233" i="2"/>
  <c r="AG1233" i="2" s="1"/>
  <c r="AF1234" i="2"/>
  <c r="AG1234" i="2" s="1"/>
  <c r="AF1235" i="2"/>
  <c r="AG1235" i="2" s="1"/>
  <c r="AF1236" i="2"/>
  <c r="AG1236" i="2" s="1"/>
  <c r="AF1237" i="2"/>
  <c r="AG1237" i="2" s="1"/>
  <c r="AF1238" i="2"/>
  <c r="AG1238" i="2" s="1"/>
  <c r="AF1239" i="2"/>
  <c r="AG1239" i="2"/>
  <c r="AF1240" i="2"/>
  <c r="AG1240" i="2" s="1"/>
  <c r="AF1241" i="2"/>
  <c r="AG1241" i="2" s="1"/>
  <c r="AF1242" i="2"/>
  <c r="AG1242" i="2" s="1"/>
  <c r="AF1243" i="2"/>
  <c r="AG1243" i="2" s="1"/>
  <c r="AF1244" i="2"/>
  <c r="AG1244" i="2" s="1"/>
  <c r="AF1245" i="2"/>
  <c r="AG1245" i="2" s="1"/>
  <c r="AF1246" i="2"/>
  <c r="AG1246" i="2" s="1"/>
  <c r="AF1247" i="2"/>
  <c r="AG1247" i="2" s="1"/>
  <c r="AF1248" i="2"/>
  <c r="AG1248" i="2" s="1"/>
  <c r="AF1249" i="2"/>
  <c r="AG1249" i="2" s="1"/>
  <c r="AF1250" i="2"/>
  <c r="AG1250" i="2" s="1"/>
  <c r="AF1251" i="2"/>
  <c r="AG1251" i="2" s="1"/>
  <c r="AF1252" i="2"/>
  <c r="AG1252" i="2" s="1"/>
  <c r="AF1253" i="2"/>
  <c r="AG1253" i="2" s="1"/>
  <c r="AF1254" i="2"/>
  <c r="AG1254" i="2" s="1"/>
  <c r="AF1255" i="2"/>
  <c r="AG1255" i="2" s="1"/>
  <c r="AF1256" i="2"/>
  <c r="AG1256" i="2" s="1"/>
  <c r="AF1257" i="2"/>
  <c r="AG1257" i="2" s="1"/>
  <c r="AF1258" i="2"/>
  <c r="AG1258" i="2" s="1"/>
  <c r="AF1259" i="2"/>
  <c r="AG1259" i="2" s="1"/>
  <c r="AF1260" i="2"/>
  <c r="AG1260" i="2" s="1"/>
  <c r="AF1261" i="2"/>
  <c r="AG1261" i="2" s="1"/>
  <c r="AF1262" i="2"/>
  <c r="AG1262" i="2" s="1"/>
  <c r="AF1263" i="2"/>
  <c r="AG1263" i="2" s="1"/>
  <c r="AF1264" i="2"/>
  <c r="AG1264" i="2" s="1"/>
  <c r="AF1265" i="2"/>
  <c r="AG1265" i="2" s="1"/>
  <c r="AF1266" i="2"/>
  <c r="AG1266" i="2" s="1"/>
  <c r="AF1267" i="2"/>
  <c r="AG1267" i="2" s="1"/>
  <c r="AF1268" i="2"/>
  <c r="AG1268" i="2" s="1"/>
  <c r="AF1269" i="2"/>
  <c r="AG1269" i="2" s="1"/>
  <c r="AF1270" i="2"/>
  <c r="AG1270" i="2" s="1"/>
  <c r="AF1271" i="2"/>
  <c r="AG1271" i="2" s="1"/>
  <c r="AF1272" i="2"/>
  <c r="AG1272" i="2" s="1"/>
  <c r="AF1273" i="2"/>
  <c r="AG1273" i="2" s="1"/>
  <c r="AF1274" i="2"/>
  <c r="AG1274" i="2" s="1"/>
  <c r="AF1275" i="2"/>
  <c r="AG1275" i="2" s="1"/>
  <c r="AF1276" i="2"/>
  <c r="AG1276" i="2" s="1"/>
  <c r="AF1277" i="2"/>
  <c r="AG1277" i="2" s="1"/>
  <c r="AF1278" i="2"/>
  <c r="AG1278" i="2" s="1"/>
  <c r="AF1279" i="2"/>
  <c r="AG1279" i="2" s="1"/>
  <c r="AF1280" i="2"/>
  <c r="AG1280" i="2" s="1"/>
  <c r="AF1281" i="2"/>
  <c r="AG1281" i="2" s="1"/>
  <c r="AF1282" i="2"/>
  <c r="AG1282" i="2" s="1"/>
  <c r="AF1283" i="2"/>
  <c r="AG1283" i="2" s="1"/>
  <c r="AF1284" i="2"/>
  <c r="AG1284" i="2" s="1"/>
  <c r="AF1285" i="2"/>
  <c r="AG1285" i="2" s="1"/>
  <c r="AF1286" i="2"/>
  <c r="AG1286" i="2" s="1"/>
  <c r="AF1287" i="2"/>
  <c r="AG1287" i="2" s="1"/>
  <c r="AF1288" i="2"/>
  <c r="AG1288" i="2" s="1"/>
  <c r="AF1289" i="2"/>
  <c r="AG1289" i="2" s="1"/>
  <c r="AF1290" i="2"/>
  <c r="AG1290" i="2" s="1"/>
  <c r="AF1291" i="2"/>
  <c r="AG1291" i="2" s="1"/>
  <c r="AF1292" i="2"/>
  <c r="AG1292" i="2" s="1"/>
  <c r="AF1293" i="2"/>
  <c r="AG1293" i="2" s="1"/>
  <c r="AF1294" i="2"/>
  <c r="AG1294" i="2" s="1"/>
  <c r="AF6" i="2"/>
  <c r="AG6" i="2" s="1"/>
  <c r="I9" i="1" l="1"/>
  <c r="K9" i="1" s="1"/>
  <c r="B9" i="1"/>
  <c r="L7" i="1"/>
  <c r="K7" i="1"/>
  <c r="J7" i="1"/>
  <c r="L9" i="1" l="1"/>
</calcChain>
</file>

<file path=xl/sharedStrings.xml><?xml version="1.0" encoding="utf-8"?>
<sst xmlns="http://schemas.openxmlformats.org/spreadsheetml/2006/main" count="18544" uniqueCount="1710">
  <si>
    <t>Field Name</t>
  </si>
  <si>
    <t>Animal Code</t>
  </si>
  <si>
    <t>Animal Type</t>
  </si>
  <si>
    <t>Breed</t>
  </si>
  <si>
    <t>Gender</t>
  </si>
  <si>
    <t>Date of Birth</t>
  </si>
  <si>
    <t>Age at Entry Weeks</t>
  </si>
  <si>
    <t>Entry Type</t>
  </si>
  <si>
    <t>Entry Date</t>
  </si>
  <si>
    <t>Source GRN</t>
  </si>
  <si>
    <t>Source Batch Born From</t>
  </si>
  <si>
    <t>Animal Item</t>
  </si>
  <si>
    <t>Serial Number</t>
  </si>
  <si>
    <t>RFID Tag</t>
  </si>
  <si>
    <t>Ear Tag Visual</t>
  </si>
  <si>
    <t>Sire Father</t>
  </si>
  <si>
    <t>Dam Mother</t>
  </si>
  <si>
    <t>Acquisition Cost</t>
  </si>
  <si>
    <t>Landing Cost</t>
  </si>
  <si>
    <t>Total Opening Asset Value</t>
  </si>
  <si>
    <t>Current Stage</t>
  </si>
  <si>
    <t>Current Active Batch</t>
  </si>
  <si>
    <t>Current Location</t>
  </si>
  <si>
    <t>Parity Count</t>
  </si>
  <si>
    <t>Total Piglets Born Live</t>
  </si>
  <si>
    <t>Total Piglets Weaned</t>
  </si>
  <si>
    <t>Current Bio Asset Value</t>
  </si>
  <si>
    <t>Total Amortised</t>
  </si>
  <si>
    <t>Book Value NBV</t>
  </si>
  <si>
    <t>Residual Value</t>
  </si>
  <si>
    <t>Monthly Amortisation</t>
  </si>
  <si>
    <t>Productive Life Start Date</t>
  </si>
  <si>
    <t>Expected Cull Date</t>
  </si>
  <si>
    <t>Status</t>
  </si>
  <si>
    <t>Disposal Date</t>
  </si>
  <si>
    <t>Disposal Type</t>
  </si>
  <si>
    <t>Nos. of Teats</t>
  </si>
  <si>
    <t>TSI</t>
  </si>
  <si>
    <t xml:space="preserve">Grading </t>
  </si>
  <si>
    <t xml:space="preserve">Bio Asset Value </t>
  </si>
  <si>
    <t>Description</t>
  </si>
  <si>
    <t>Auto-generated from No. Series ANIMAL_PIGGERY. Format: PIG-YYYY-SEQ.</t>
  </si>
  <si>
    <t>SOW / BOAR / GILT / PIGLET / COMMERCIAL_PIG</t>
  </si>
  <si>
    <t>Animal breed. Lookup from breed_master filtered by NOB and LOB.</t>
  </si>
  <si>
    <t>F = Female Sow or Gilt. M = Male Boar.</t>
  </si>
  <si>
    <t>Date of birth if born on this farm. NULL if imported and DOB unknown.</t>
  </si>
  <si>
    <t>Computed from dob and entry_date. Manual entry if imported and DOB unknown.</t>
  </si>
  <si>
    <t>PURCHASED_IMPORTED / PURCHASED_LOCAL / BORN_ON_FARM / TRANSFERRED_IN</t>
  </si>
  <si>
    <t>Date animal arrived or was born on this farm.</t>
  </si>
  <si>
    <t>GRN on which this animal arrived. Required if entry_type = PURCHASED.</t>
  </si>
  <si>
    <t>Farrowing batch that produced this animal. Required if entry_type = BORN_ON_FARM.</t>
  </si>
  <si>
    <t>Lookup to item_master for this animal type LIVING_ASSET. Links inventory and costing.</t>
  </si>
  <si>
    <t>Individual serial number from item_lot_serials. Created on GRN POST.</t>
  </si>
  <si>
    <t>RFID ear tag number for scanning. UNIQUE if set.</t>
  </si>
  <si>
    <t>Visual ear tag number.</t>
  </si>
  <si>
    <t>Father boar. Self-referential FK. Links to boar record.</t>
  </si>
  <si>
    <t>Mother sow. Self-referential FK.</t>
  </si>
  <si>
    <t>Purchase price per animal. From PO line or manual entry on GRN.</t>
  </si>
  <si>
    <t>Transport import duty quarantine charges per head for imported animals.</t>
  </si>
  <si>
    <t>Total bio-asset value at entry. Auto-computed.</t>
  </si>
  <si>
    <t>QUARANTINE / GILT_GROWER / FLUSH / DRY_SOW / GESTATION / FARROWING / WEANING / PRODUCTIVE_SOW / BOAR_AI / CULLED / DEAD / SOLD / SLAUGHTERED</t>
  </si>
  <si>
    <t>FK to the batch this animal is currently in.</t>
  </si>
  <si>
    <t>FK to current shed or pen.</t>
  </si>
  <si>
    <t>Completed pregnancies. Incremented plus 1 on each weaning batch close.</t>
  </si>
  <si>
    <t>Cumulative live births over lifetime.</t>
  </si>
  <si>
    <t>Cumulative piglets weaned over lifetime.</t>
  </si>
  <si>
    <t>Live biological asset value. Auto-updated from bio_asset_ledger.</t>
  </si>
  <si>
    <t>Cumulative amortisation posted to date.</t>
  </si>
  <si>
    <t>Net Book Value = Current Bio Asset Value minus Total Amortised.</t>
  </si>
  <si>
    <t>Estimated salvage value at end of productive life.</t>
  </si>
  <si>
    <t>Monthly amortisation charge. Auto-calculated.</t>
  </si>
  <si>
    <t>Date animal entered productive stage first farrowing or PRODUCTIVE_SOW status.</t>
  </si>
  <si>
    <t>Expected disposal date based on productive life.</t>
  </si>
  <si>
    <t>ACTIVE / QUARANTINE / SICK / PREGNANT / LACTATING / DRY / CULLED / DEAD / SOLD / SLAUGHTERED</t>
  </si>
  <si>
    <t>Date of sale slaughter or death.</t>
  </si>
  <si>
    <t>SOLD / SLAUGHTERED / DIED / TRANSFERRED</t>
  </si>
  <si>
    <t>Count of Teates</t>
  </si>
  <si>
    <t>Featched from Topigs</t>
  </si>
  <si>
    <t>Non Current Asset/Flow from from BC</t>
  </si>
  <si>
    <t>Example Value</t>
  </si>
  <si>
    <t>PIG-2025-0001</t>
  </si>
  <si>
    <t>SOW</t>
  </si>
  <si>
    <t>uuid-breed-01</t>
  </si>
  <si>
    <t>F</t>
  </si>
  <si>
    <t>2024-10-01</t>
  </si>
  <si>
    <t>3</t>
  </si>
  <si>
    <t>PURCHASED_IMPORTED</t>
  </si>
  <si>
    <t>2025-01-15</t>
  </si>
  <si>
    <t>uuid-grn-001</t>
  </si>
  <si>
    <t>uuid-batch-farr-001</t>
  </si>
  <si>
    <t>uuid-item-gilt</t>
  </si>
  <si>
    <t>uuid-ls-001</t>
  </si>
  <si>
    <t>RFID-PIG-001234</t>
  </si>
  <si>
    <t>ET-2025-001</t>
  </si>
  <si>
    <t>uuid-ani-boar-001</t>
  </si>
  <si>
    <t>uuid-ani-sow-001</t>
  </si>
  <si>
    <t>2857.5700</t>
  </si>
  <si>
    <t>200.0000</t>
  </si>
  <si>
    <t>3057.5700</t>
  </si>
  <si>
    <t>QUARANTINE</t>
  </si>
  <si>
    <t>uuid-batch-gest-001</t>
  </si>
  <si>
    <t>uuid-loc-pen-01a</t>
  </si>
  <si>
    <t>2</t>
  </si>
  <si>
    <t>23</t>
  </si>
  <si>
    <t>21</t>
  </si>
  <si>
    <t>3843.5700</t>
  </si>
  <si>
    <t>3643.5700</t>
  </si>
  <si>
    <t>305.7600</t>
  </si>
  <si>
    <t>84.9400</t>
  </si>
  <si>
    <t>2025-08-01</t>
  </si>
  <si>
    <t>2028-08-01</t>
  </si>
  <si>
    <t>ACTIVE</t>
  </si>
  <si>
    <t>2028-09-01</t>
  </si>
  <si>
    <t>SOLD</t>
  </si>
  <si>
    <t>Mandatory</t>
  </si>
  <si>
    <t>YES</t>
  </si>
  <si>
    <t>NO</t>
  </si>
  <si>
    <t>COND</t>
  </si>
  <si>
    <t xml:space="preserve">Yes </t>
  </si>
  <si>
    <t>Yes</t>
  </si>
  <si>
    <t>Breeding Record - AI or mating event per sow with semen lot pregnancy check and expected farrowing date, Just req data for the understanding, later stage.</t>
  </si>
  <si>
    <t>Sow</t>
  </si>
  <si>
    <t>Batch</t>
  </si>
  <si>
    <t>Mating Type</t>
  </si>
  <si>
    <t>Boar</t>
  </si>
  <si>
    <t>Semen Lot</t>
  </si>
  <si>
    <t>Semen Dose Qty</t>
  </si>
  <si>
    <t>Mating Date</t>
  </si>
  <si>
    <t>Second Mating Date</t>
  </si>
  <si>
    <t>Expected Farrowing Date</t>
  </si>
  <si>
    <t>Pregnancy Check Date</t>
  </si>
  <si>
    <t>Pregnancy Check Method</t>
  </si>
  <si>
    <t>Pregnancy Confirmed</t>
  </si>
  <si>
    <t>Conception Result</t>
  </si>
  <si>
    <t>Parity Number</t>
  </si>
  <si>
    <t>The sow being mated. Lookup from animal_register where animal_type = SOW or GILT.</t>
  </si>
  <si>
    <t>The Flush or AI batch containing this event.</t>
  </si>
  <si>
    <t>AI = Artificial Insemination. NATURAL_MATING = with boar.</t>
  </si>
  <si>
    <t>The boar for NATURAL_MATING. Required if mating_type = NATURAL_MATING.</t>
  </si>
  <si>
    <t>Semen lot consumed for AI. Required if mating_type = AI. FIFO consumption of semen inventory.</t>
  </si>
  <si>
    <t>Doses used for this insemination. Posted as CONSUMPTION to inventory_ledger.</t>
  </si>
  <si>
    <t>Date of insemination or natural mating.</t>
  </si>
  <si>
    <t>Follow-up insemination 48hr repeat for AI.</t>
  </si>
  <si>
    <t>Expected farrowing date. Auto-calculated.</t>
  </si>
  <si>
    <t>Date of pregnancy confirmation check. Typically 28 days post mating.</t>
  </si>
  <si>
    <t>ULTRASOUND / RECTAL / VISUAL / NOT_CHECKED</t>
  </si>
  <si>
    <t>NULL = pending. TRUE = confirmed. FALSE = failed.</t>
  </si>
  <si>
    <t>CONFIRMED / REPEAT / FAILED / PENDING. If FAILED sow returns to Flush.</t>
  </si>
  <si>
    <t>Which parity this is for this sow.</t>
  </si>
  <si>
    <t>uuid-ani-sow</t>
  </si>
  <si>
    <t>uuid-batch-flush</t>
  </si>
  <si>
    <t>AI</t>
  </si>
  <si>
    <t>uuid-ani-boar</t>
  </si>
  <si>
    <t>uuid-ls-semen</t>
  </si>
  <si>
    <t>1.00</t>
  </si>
  <si>
    <t>2025-03-01</t>
  </si>
  <si>
    <t>2025-03-03</t>
  </si>
  <si>
    <t>2025-06-23</t>
  </si>
  <si>
    <t>2025-03-29</t>
  </si>
  <si>
    <t>ULTRASOUND</t>
  </si>
  <si>
    <t>TRUE</t>
  </si>
  <si>
    <t>CONFIRMED</t>
  </si>
  <si>
    <t>DLNA8228</t>
  </si>
  <si>
    <t>Tag Number</t>
  </si>
  <si>
    <t>hhjb</t>
  </si>
  <si>
    <t>n/a</t>
  </si>
  <si>
    <t>get from Multiplier</t>
  </si>
  <si>
    <t>TN70</t>
  </si>
  <si>
    <t>NB6471</t>
  </si>
  <si>
    <t>LACTATING</t>
  </si>
  <si>
    <t>Flow from Navfarm Input  (Back Fat - P2 measurement)</t>
  </si>
  <si>
    <t>Ultrasound</t>
  </si>
  <si>
    <t>Confirmed</t>
  </si>
  <si>
    <t>Gilt</t>
  </si>
  <si>
    <t>Purchased local</t>
  </si>
  <si>
    <t>Living Asset</t>
  </si>
  <si>
    <t>ggt1</t>
  </si>
  <si>
    <t>R262501</t>
  </si>
  <si>
    <t>R262404</t>
  </si>
  <si>
    <t>R262410</t>
  </si>
  <si>
    <t>R262405</t>
  </si>
  <si>
    <t>R262407</t>
  </si>
  <si>
    <t>R262403</t>
  </si>
  <si>
    <t>R262402</t>
  </si>
  <si>
    <t>R262302</t>
  </si>
  <si>
    <t>R262409</t>
  </si>
  <si>
    <t>R262408</t>
  </si>
  <si>
    <t>R262406</t>
  </si>
  <si>
    <t>R262401</t>
  </si>
  <si>
    <t>R262309</t>
  </si>
  <si>
    <t>R262312</t>
  </si>
  <si>
    <t>R262306</t>
  </si>
  <si>
    <t>R262307</t>
  </si>
  <si>
    <t>R262310</t>
  </si>
  <si>
    <t>R262305</t>
  </si>
  <si>
    <t>R262311</t>
  </si>
  <si>
    <t>R262308</t>
  </si>
  <si>
    <t>R262304</t>
  </si>
  <si>
    <t>R262314</t>
  </si>
  <si>
    <t>R262303</t>
  </si>
  <si>
    <t>R262301</t>
  </si>
  <si>
    <t>R262313</t>
  </si>
  <si>
    <t>R262214</t>
  </si>
  <si>
    <t>R262212</t>
  </si>
  <si>
    <t>R262205</t>
  </si>
  <si>
    <t>R262213</t>
  </si>
  <si>
    <t>R262210</t>
  </si>
  <si>
    <t>R262211</t>
  </si>
  <si>
    <t>R262207</t>
  </si>
  <si>
    <t>R262208</t>
  </si>
  <si>
    <t>R262206</t>
  </si>
  <si>
    <t>R262201</t>
  </si>
  <si>
    <t>R262209</t>
  </si>
  <si>
    <t>R262203</t>
  </si>
  <si>
    <t>R262204</t>
  </si>
  <si>
    <t>R262103</t>
  </si>
  <si>
    <t>R262105</t>
  </si>
  <si>
    <t>R262113</t>
  </si>
  <si>
    <t>R262102</t>
  </si>
  <si>
    <t>R262101</t>
  </si>
  <si>
    <t>R262111</t>
  </si>
  <si>
    <t>R262106</t>
  </si>
  <si>
    <t>R262112</t>
  </si>
  <si>
    <t>R262109</t>
  </si>
  <si>
    <t>R262110</t>
  </si>
  <si>
    <t>R262114</t>
  </si>
  <si>
    <t>R262104</t>
  </si>
  <si>
    <t>R262108</t>
  </si>
  <si>
    <t>R262008</t>
  </si>
  <si>
    <t>R262002</t>
  </si>
  <si>
    <t>R262012</t>
  </si>
  <si>
    <t>R262003</t>
  </si>
  <si>
    <t>R262001</t>
  </si>
  <si>
    <t>R262005</t>
  </si>
  <si>
    <t>R262014</t>
  </si>
  <si>
    <t>R262011</t>
  </si>
  <si>
    <t>R262006</t>
  </si>
  <si>
    <t>R262009</t>
  </si>
  <si>
    <t>R262013</t>
  </si>
  <si>
    <t>R262007</t>
  </si>
  <si>
    <t>R262004</t>
  </si>
  <si>
    <t>R262010</t>
  </si>
  <si>
    <t>R261914</t>
  </si>
  <si>
    <t>R261904</t>
  </si>
  <si>
    <t>R261912</t>
  </si>
  <si>
    <t>R261907</t>
  </si>
  <si>
    <t>R261911</t>
  </si>
  <si>
    <t>R261903</t>
  </si>
  <si>
    <t>R261908</t>
  </si>
  <si>
    <t>R261906</t>
  </si>
  <si>
    <t>R261913</t>
  </si>
  <si>
    <t>R261905</t>
  </si>
  <si>
    <t>R261902</t>
  </si>
  <si>
    <t>R261808</t>
  </si>
  <si>
    <t>R261806</t>
  </si>
  <si>
    <t>R261811</t>
  </si>
  <si>
    <t>R261814</t>
  </si>
  <si>
    <t>R261803</t>
  </si>
  <si>
    <t>R261813</t>
  </si>
  <si>
    <t>R261809</t>
  </si>
  <si>
    <t>R261801</t>
  </si>
  <si>
    <t>R261812</t>
  </si>
  <si>
    <t>R261810</t>
  </si>
  <si>
    <t>R261802</t>
  </si>
  <si>
    <t>R261807</t>
  </si>
  <si>
    <t>R261704</t>
  </si>
  <si>
    <t>R261711</t>
  </si>
  <si>
    <t>R261710</t>
  </si>
  <si>
    <t>R261705</t>
  </si>
  <si>
    <t>R261707</t>
  </si>
  <si>
    <t>R261609</t>
  </si>
  <si>
    <t>R261713</t>
  </si>
  <si>
    <t>R261701</t>
  </si>
  <si>
    <t>R261703</t>
  </si>
  <si>
    <t>R261712</t>
  </si>
  <si>
    <t>R261714</t>
  </si>
  <si>
    <t>R261706</t>
  </si>
  <si>
    <t>R261608</t>
  </si>
  <si>
    <t>R261602</t>
  </si>
  <si>
    <t>R261615</t>
  </si>
  <si>
    <t>R261614</t>
  </si>
  <si>
    <t>R261605</t>
  </si>
  <si>
    <t>R261601</t>
  </si>
  <si>
    <t>R261607</t>
  </si>
  <si>
    <t>R261603</t>
  </si>
  <si>
    <t>R261611</t>
  </si>
  <si>
    <t>R261613</t>
  </si>
  <si>
    <t>R261618</t>
  </si>
  <si>
    <t>R261508</t>
  </si>
  <si>
    <t>R261501</t>
  </si>
  <si>
    <t>R261616</t>
  </si>
  <si>
    <t>R261507</t>
  </si>
  <si>
    <t>R261503</t>
  </si>
  <si>
    <t>R261612</t>
  </si>
  <si>
    <t>R261504</t>
  </si>
  <si>
    <t>R261505</t>
  </si>
  <si>
    <t>R261506</t>
  </si>
  <si>
    <t>R261617</t>
  </si>
  <si>
    <t>R261606</t>
  </si>
  <si>
    <t>R261610</t>
  </si>
  <si>
    <t>R261502</t>
  </si>
  <si>
    <t>R261509</t>
  </si>
  <si>
    <t>R261405</t>
  </si>
  <si>
    <t>R261414</t>
  </si>
  <si>
    <t>R261411</t>
  </si>
  <si>
    <t>R261413</t>
  </si>
  <si>
    <t>R261406</t>
  </si>
  <si>
    <t>R261401</t>
  </si>
  <si>
    <t>R261408</t>
  </si>
  <si>
    <t>R261404</t>
  </si>
  <si>
    <t>R261407</t>
  </si>
  <si>
    <t>R261403</t>
  </si>
  <si>
    <t>R261412</t>
  </si>
  <si>
    <t>R261409</t>
  </si>
  <si>
    <t>R261410</t>
  </si>
  <si>
    <t>R261402</t>
  </si>
  <si>
    <t>R261311</t>
  </si>
  <si>
    <t>R261303</t>
  </si>
  <si>
    <t>R261304</t>
  </si>
  <si>
    <t>R261309</t>
  </si>
  <si>
    <t>R261314</t>
  </si>
  <si>
    <t>R261307</t>
  </si>
  <si>
    <t>R261302</t>
  </si>
  <si>
    <t>R261305</t>
  </si>
  <si>
    <t>R261301</t>
  </si>
  <si>
    <t>R261312</t>
  </si>
  <si>
    <t>R261310</t>
  </si>
  <si>
    <t>R261313</t>
  </si>
  <si>
    <t>R261308</t>
  </si>
  <si>
    <t>R261306</t>
  </si>
  <si>
    <t>R261208</t>
  </si>
  <si>
    <t>R261214</t>
  </si>
  <si>
    <t>R261211</t>
  </si>
  <si>
    <t>R261213</t>
  </si>
  <si>
    <t>R261204</t>
  </si>
  <si>
    <t>R261209</t>
  </si>
  <si>
    <t>R261207</t>
  </si>
  <si>
    <t>R261210</t>
  </si>
  <si>
    <t>R261201</t>
  </si>
  <si>
    <t>R261212</t>
  </si>
  <si>
    <t>R261202</t>
  </si>
  <si>
    <t>R261206</t>
  </si>
  <si>
    <t>R261205</t>
  </si>
  <si>
    <t>R261108</t>
  </si>
  <si>
    <t>R2611105</t>
  </si>
  <si>
    <t>R261102</t>
  </si>
  <si>
    <t>R261104</t>
  </si>
  <si>
    <t>R261105</t>
  </si>
  <si>
    <t>R261109</t>
  </si>
  <si>
    <t>R261111</t>
  </si>
  <si>
    <t>R261114</t>
  </si>
  <si>
    <t>R261004</t>
  </si>
  <si>
    <t>R261112</t>
  </si>
  <si>
    <t>R261113</t>
  </si>
  <si>
    <t>R261009</t>
  </si>
  <si>
    <t>R261005</t>
  </si>
  <si>
    <t>R261002</t>
  </si>
  <si>
    <t>R261011</t>
  </si>
  <si>
    <t>R261007</t>
  </si>
  <si>
    <t>R261008</t>
  </si>
  <si>
    <t>R261013</t>
  </si>
  <si>
    <t>R261010</t>
  </si>
  <si>
    <t>R261006</t>
  </si>
  <si>
    <t>R261015</t>
  </si>
  <si>
    <t>R261016</t>
  </si>
  <si>
    <t>R261014</t>
  </si>
  <si>
    <t>R261003</t>
  </si>
  <si>
    <t>R261012</t>
  </si>
  <si>
    <t>R260908</t>
  </si>
  <si>
    <t>R260903</t>
  </si>
  <si>
    <t>R260909</t>
  </si>
  <si>
    <t>R260904</t>
  </si>
  <si>
    <t>R260914</t>
  </si>
  <si>
    <t>R260913</t>
  </si>
  <si>
    <t>R260912</t>
  </si>
  <si>
    <t>R260901</t>
  </si>
  <si>
    <t>R260906</t>
  </si>
  <si>
    <t>R260905</t>
  </si>
  <si>
    <t>R260802</t>
  </si>
  <si>
    <t>R260804</t>
  </si>
  <si>
    <t>R260808</t>
  </si>
  <si>
    <t>R260805</t>
  </si>
  <si>
    <t>R260801</t>
  </si>
  <si>
    <t>R260803</t>
  </si>
  <si>
    <t>R260812</t>
  </si>
  <si>
    <t>R260807</t>
  </si>
  <si>
    <t>R260813</t>
  </si>
  <si>
    <t>R260806</t>
  </si>
  <si>
    <t>R260810</t>
  </si>
  <si>
    <t>R260811</t>
  </si>
  <si>
    <t>R260814</t>
  </si>
  <si>
    <t>R260713</t>
  </si>
  <si>
    <t>R260705</t>
  </si>
  <si>
    <t>R260708</t>
  </si>
  <si>
    <t>R260709</t>
  </si>
  <si>
    <t>R260710</t>
  </si>
  <si>
    <t>R260704</t>
  </si>
  <si>
    <t>R260701</t>
  </si>
  <si>
    <t>R260702</t>
  </si>
  <si>
    <t>R260707</t>
  </si>
  <si>
    <t>R260706</t>
  </si>
  <si>
    <t>R260703</t>
  </si>
  <si>
    <t>R260711</t>
  </si>
  <si>
    <t>R260712</t>
  </si>
  <si>
    <t>R260614</t>
  </si>
  <si>
    <t>R260605</t>
  </si>
  <si>
    <t>R260604</t>
  </si>
  <si>
    <t>R260610</t>
  </si>
  <si>
    <t>R260607</t>
  </si>
  <si>
    <t>R260601</t>
  </si>
  <si>
    <t>R260608</t>
  </si>
  <si>
    <t>R260613</t>
  </si>
  <si>
    <t>R260603</t>
  </si>
  <si>
    <t>R260609</t>
  </si>
  <si>
    <t>R260606</t>
  </si>
  <si>
    <t>R260612</t>
  </si>
  <si>
    <t>R260501</t>
  </si>
  <si>
    <t>R260510</t>
  </si>
  <si>
    <t>R260508</t>
  </si>
  <si>
    <t>R260512</t>
  </si>
  <si>
    <t>R260513</t>
  </si>
  <si>
    <t>R260503</t>
  </si>
  <si>
    <t>R260506</t>
  </si>
  <si>
    <t>R260502</t>
  </si>
  <si>
    <t>R260514</t>
  </si>
  <si>
    <t>R260504</t>
  </si>
  <si>
    <t>R260505</t>
  </si>
  <si>
    <t>R260511</t>
  </si>
  <si>
    <t>R260404</t>
  </si>
  <si>
    <t>R260408</t>
  </si>
  <si>
    <t>R260412</t>
  </si>
  <si>
    <t>R260401</t>
  </si>
  <si>
    <t>R260407</t>
  </si>
  <si>
    <t>R260410</t>
  </si>
  <si>
    <t>R260411</t>
  </si>
  <si>
    <t>R260402</t>
  </si>
  <si>
    <t>R260409</t>
  </si>
  <si>
    <t>R260405</t>
  </si>
  <si>
    <t>R260403</t>
  </si>
  <si>
    <t>R260302</t>
  </si>
  <si>
    <t>R260313</t>
  </si>
  <si>
    <t>R260309</t>
  </si>
  <si>
    <t>R260311</t>
  </si>
  <si>
    <t>R260308</t>
  </si>
  <si>
    <t>R260304</t>
  </si>
  <si>
    <t>R260312</t>
  </si>
  <si>
    <t>R260307</t>
  </si>
  <si>
    <t>PY6844</t>
  </si>
  <si>
    <t>NA0462</t>
  </si>
  <si>
    <t>NA7380</t>
  </si>
  <si>
    <t>NB4446</t>
  </si>
  <si>
    <t>NA0361</t>
  </si>
  <si>
    <t>NB5423</t>
  </si>
  <si>
    <t>CV6803</t>
  </si>
  <si>
    <t>NB5368</t>
  </si>
  <si>
    <t>NA9244</t>
  </si>
  <si>
    <t>NC3400</t>
  </si>
  <si>
    <t>CV6264</t>
  </si>
  <si>
    <t>NC2418</t>
  </si>
  <si>
    <t>PZ7779</t>
  </si>
  <si>
    <t>NC3073</t>
  </si>
  <si>
    <t>PY5308</t>
  </si>
  <si>
    <t>NB5763</t>
  </si>
  <si>
    <t>NC1009</t>
  </si>
  <si>
    <t>PZ3641</t>
  </si>
  <si>
    <t>NB3847</t>
  </si>
  <si>
    <t>NB4648</t>
  </si>
  <si>
    <t>NC2073</t>
  </si>
  <si>
    <t>NC2095</t>
  </si>
  <si>
    <t>NC0999</t>
  </si>
  <si>
    <t>NC1753</t>
  </si>
  <si>
    <t>CU8218</t>
  </si>
  <si>
    <t>NC1432</t>
  </si>
  <si>
    <t>NA0701</t>
  </si>
  <si>
    <t>PY8218</t>
  </si>
  <si>
    <t>NC0697</t>
  </si>
  <si>
    <t>CV3192</t>
  </si>
  <si>
    <t>NA6773</t>
  </si>
  <si>
    <t>NA7710</t>
  </si>
  <si>
    <t>NC2003</t>
  </si>
  <si>
    <t>NC742</t>
  </si>
  <si>
    <t>NA6216</t>
  </si>
  <si>
    <t>NB4050</t>
  </si>
  <si>
    <t>NA5993</t>
  </si>
  <si>
    <t>NC1742</t>
  </si>
  <si>
    <t>NB3617</t>
  </si>
  <si>
    <t>PX8619</t>
  </si>
  <si>
    <t>CU5003</t>
  </si>
  <si>
    <t>CU0026</t>
  </si>
  <si>
    <t>NC0472</t>
  </si>
  <si>
    <t>PZ5354</t>
  </si>
  <si>
    <t>PY9864</t>
  </si>
  <si>
    <t>NC2079</t>
  </si>
  <si>
    <t>PZ1904</t>
  </si>
  <si>
    <t>CV2136</t>
  </si>
  <si>
    <t>CV3004</t>
  </si>
  <si>
    <t>CU8010</t>
  </si>
  <si>
    <t>SY2681</t>
  </si>
  <si>
    <t>NB3388</t>
  </si>
  <si>
    <t>CV2238</t>
  </si>
  <si>
    <t>CU3004</t>
  </si>
  <si>
    <t>PY6473</t>
  </si>
  <si>
    <t>NA4472</t>
  </si>
  <si>
    <t>CV8010</t>
  </si>
  <si>
    <t>PZ8702</t>
  </si>
  <si>
    <t>PZ8404</t>
  </si>
  <si>
    <t>PW2962</t>
  </si>
  <si>
    <t>CV1966</t>
  </si>
  <si>
    <t>CU9949</t>
  </si>
  <si>
    <t>SY3770</t>
  </si>
  <si>
    <t>CV1970</t>
  </si>
  <si>
    <t>NC0096</t>
  </si>
  <si>
    <t>NC0245</t>
  </si>
  <si>
    <t>NC0469</t>
  </si>
  <si>
    <t>PZ6603</t>
  </si>
  <si>
    <t>NB6814</t>
  </si>
  <si>
    <t>CU9941</t>
  </si>
  <si>
    <t>NB2972</t>
  </si>
  <si>
    <t>NB9759</t>
  </si>
  <si>
    <t>CU3061</t>
  </si>
  <si>
    <t>NB8818</t>
  </si>
  <si>
    <t>CU9625</t>
  </si>
  <si>
    <t>CA1079</t>
  </si>
  <si>
    <t>PZ6979</t>
  </si>
  <si>
    <t>PW3541</t>
  </si>
  <si>
    <t>NB8347</t>
  </si>
  <si>
    <t>NA6630</t>
  </si>
  <si>
    <t>NB2889</t>
  </si>
  <si>
    <t>PW3538</t>
  </si>
  <si>
    <t>PZ6779</t>
  </si>
  <si>
    <t>NC0148</t>
  </si>
  <si>
    <t>NB9789</t>
  </si>
  <si>
    <t>CU6792</t>
  </si>
  <si>
    <t>PZ0228</t>
  </si>
  <si>
    <t>PZ6453</t>
  </si>
  <si>
    <t>CU5554</t>
  </si>
  <si>
    <t>NB9034</t>
  </si>
  <si>
    <t>NB2180</t>
  </si>
  <si>
    <t>NB0703</t>
  </si>
  <si>
    <t>CU8016</t>
  </si>
  <si>
    <t>PZ6555</t>
  </si>
  <si>
    <t>PZ3536</t>
  </si>
  <si>
    <t>PY6308</t>
  </si>
  <si>
    <t>PX6308</t>
  </si>
  <si>
    <t>NB9405</t>
  </si>
  <si>
    <t>NB1740</t>
  </si>
  <si>
    <t>NB8345</t>
  </si>
  <si>
    <t>CU6797</t>
  </si>
  <si>
    <t>NA5111</t>
  </si>
  <si>
    <t>NB1984</t>
  </si>
  <si>
    <t>NB6964</t>
  </si>
  <si>
    <t>NB1195</t>
  </si>
  <si>
    <t>CU5556</t>
  </si>
  <si>
    <t>NB8663</t>
  </si>
  <si>
    <t>NB1693</t>
  </si>
  <si>
    <t>NA2927</t>
  </si>
  <si>
    <t>NA4181</t>
  </si>
  <si>
    <t>PZ0138</t>
  </si>
  <si>
    <t>CU4134</t>
  </si>
  <si>
    <t>PZ6274</t>
  </si>
  <si>
    <t>PY3363</t>
  </si>
  <si>
    <t>PY2699</t>
  </si>
  <si>
    <t>NB0307</t>
  </si>
  <si>
    <t>PZ6165</t>
  </si>
  <si>
    <t>NB0456</t>
  </si>
  <si>
    <t>NA3052</t>
  </si>
  <si>
    <t>NB1037</t>
  </si>
  <si>
    <t>NA3545</t>
  </si>
  <si>
    <t>PY3303</t>
  </si>
  <si>
    <t>NB1983</t>
  </si>
  <si>
    <t>NB1221</t>
  </si>
  <si>
    <t>CA1789</t>
  </si>
  <si>
    <t>CU3339</t>
  </si>
  <si>
    <t>NB7752</t>
  </si>
  <si>
    <t>PZ4655</t>
  </si>
  <si>
    <t>CU2124</t>
  </si>
  <si>
    <t>NA9777</t>
  </si>
  <si>
    <t>PX3839</t>
  </si>
  <si>
    <t>NA3570</t>
  </si>
  <si>
    <t>PX8951</t>
  </si>
  <si>
    <t>NA8929</t>
  </si>
  <si>
    <t>NA8130</t>
  </si>
  <si>
    <t>NB0811</t>
  </si>
  <si>
    <t>NB0464</t>
  </si>
  <si>
    <t>PU2356</t>
  </si>
  <si>
    <t>PV3236</t>
  </si>
  <si>
    <t>PZ4322</t>
  </si>
  <si>
    <t>CU2986</t>
  </si>
  <si>
    <t>NB4668</t>
  </si>
  <si>
    <t>NA5652</t>
  </si>
  <si>
    <t>PX4668</t>
  </si>
  <si>
    <t>NB6462</t>
  </si>
  <si>
    <t>PX4957</t>
  </si>
  <si>
    <t>NB7250</t>
  </si>
  <si>
    <t>PZ1073</t>
  </si>
  <si>
    <t>NA3169</t>
  </si>
  <si>
    <t>NA1133</t>
  </si>
  <si>
    <t>NA8652</t>
  </si>
  <si>
    <t>NB7836</t>
  </si>
  <si>
    <t>NA8126</t>
  </si>
  <si>
    <t>NC4416</t>
  </si>
  <si>
    <t>NB6445</t>
  </si>
  <si>
    <t>SZ3586</t>
  </si>
  <si>
    <t>NC3743</t>
  </si>
  <si>
    <t>PW6887</t>
  </si>
  <si>
    <t>NA1734</t>
  </si>
  <si>
    <t>NA1404</t>
  </si>
  <si>
    <t>PZ5722</t>
  </si>
  <si>
    <t>NA8792</t>
  </si>
  <si>
    <t/>
  </si>
  <si>
    <t>NA0034</t>
  </si>
  <si>
    <t>DY6844</t>
  </si>
  <si>
    <t>NA2242</t>
  </si>
  <si>
    <t>NA9114</t>
  </si>
  <si>
    <t>R260301</t>
  </si>
  <si>
    <t>R260203</t>
  </si>
  <si>
    <t>R260208</t>
  </si>
  <si>
    <t>R260214</t>
  </si>
  <si>
    <t>R260213</t>
  </si>
  <si>
    <t>R260211</t>
  </si>
  <si>
    <t>R260105</t>
  </si>
  <si>
    <t>R260101</t>
  </si>
  <si>
    <t>70GB343</t>
  </si>
  <si>
    <t>70GB344</t>
  </si>
  <si>
    <t>R260306</t>
  </si>
  <si>
    <t>R260207</t>
  </si>
  <si>
    <t>R260205</t>
  </si>
  <si>
    <t>R260204</t>
  </si>
  <si>
    <t>R260206</t>
  </si>
  <si>
    <t>R260202</t>
  </si>
  <si>
    <t>R260210</t>
  </si>
  <si>
    <t>R260212</t>
  </si>
  <si>
    <t>R260209</t>
  </si>
  <si>
    <t>R260201</t>
  </si>
  <si>
    <t>R260111</t>
  </si>
  <si>
    <t>R260114</t>
  </si>
  <si>
    <t>R260104</t>
  </si>
  <si>
    <t>R260107</t>
  </si>
  <si>
    <t>R260110</t>
  </si>
  <si>
    <t>R260102</t>
  </si>
  <si>
    <t>R260113</t>
  </si>
  <si>
    <t>R260109</t>
  </si>
  <si>
    <t>R260103</t>
  </si>
  <si>
    <t>R260108</t>
  </si>
  <si>
    <t>70GB340</t>
  </si>
  <si>
    <t>70GB346</t>
  </si>
  <si>
    <t>70GB337</t>
  </si>
  <si>
    <t>70GB341</t>
  </si>
  <si>
    <t>70GB335</t>
  </si>
  <si>
    <t>70GB347</t>
  </si>
  <si>
    <t>70GB345</t>
  </si>
  <si>
    <t>70GB338</t>
  </si>
  <si>
    <t>70GB342</t>
  </si>
  <si>
    <t>70GB336</t>
  </si>
  <si>
    <t>70GB332</t>
  </si>
  <si>
    <t>70GB321</t>
  </si>
  <si>
    <t>70GB325</t>
  </si>
  <si>
    <t>70GB324</t>
  </si>
  <si>
    <t>70GB327</t>
  </si>
  <si>
    <t>70GB326</t>
  </si>
  <si>
    <t>70GB330</t>
  </si>
  <si>
    <t>70GB334</t>
  </si>
  <si>
    <t>70GB329</t>
  </si>
  <si>
    <t>70GB323</t>
  </si>
  <si>
    <t>70GB331</t>
  </si>
  <si>
    <t>70GB322</t>
  </si>
  <si>
    <t>70GB333</t>
  </si>
  <si>
    <t>70GB314</t>
  </si>
  <si>
    <t>70GB317</t>
  </si>
  <si>
    <t>70GB312</t>
  </si>
  <si>
    <t>70GB316</t>
  </si>
  <si>
    <t>70GB313</t>
  </si>
  <si>
    <t>70GB320</t>
  </si>
  <si>
    <t>70GB310</t>
  </si>
  <si>
    <t>70GB311</t>
  </si>
  <si>
    <t>70GB318</t>
  </si>
  <si>
    <t>70GB309</t>
  </si>
  <si>
    <t>70GB315</t>
  </si>
  <si>
    <t>70GB304</t>
  </si>
  <si>
    <t>70GB302</t>
  </si>
  <si>
    <t>70GB299</t>
  </si>
  <si>
    <t>70GB301</t>
  </si>
  <si>
    <t>70GB305</t>
  </si>
  <si>
    <t>70GB303</t>
  </si>
  <si>
    <t>70GB297</t>
  </si>
  <si>
    <t>70GB300</t>
  </si>
  <si>
    <t>70GB306</t>
  </si>
  <si>
    <t>70GB307</t>
  </si>
  <si>
    <t>70GB298</t>
  </si>
  <si>
    <t>70GB290</t>
  </si>
  <si>
    <t>70GB295</t>
  </si>
  <si>
    <t>70GB283</t>
  </si>
  <si>
    <t>70GB286</t>
  </si>
  <si>
    <t>70GB285</t>
  </si>
  <si>
    <t>70GB294</t>
  </si>
  <si>
    <t>70GB282</t>
  </si>
  <si>
    <t>70GB289</t>
  </si>
  <si>
    <t>70GB293</t>
  </si>
  <si>
    <t>70GB291</t>
  </si>
  <si>
    <t>70GB288</t>
  </si>
  <si>
    <t>70GB284</t>
  </si>
  <si>
    <t>70GB287</t>
  </si>
  <si>
    <t>70GB292</t>
  </si>
  <si>
    <t>70GB278</t>
  </si>
  <si>
    <t>70GB279</t>
  </si>
  <si>
    <t>70GB273</t>
  </si>
  <si>
    <t>70GB270</t>
  </si>
  <si>
    <t>70GB272</t>
  </si>
  <si>
    <t>70GB276</t>
  </si>
  <si>
    <t>70GB268</t>
  </si>
  <si>
    <t>70GB277</t>
  </si>
  <si>
    <t>70GB269</t>
  </si>
  <si>
    <t>70GB280</t>
  </si>
  <si>
    <t>70GB275</t>
  </si>
  <si>
    <t>70GB274</t>
  </si>
  <si>
    <t>70GB267</t>
  </si>
  <si>
    <t>70GB257</t>
  </si>
  <si>
    <t>70GB265</t>
  </si>
  <si>
    <t>70GB251</t>
  </si>
  <si>
    <t>70GB253</t>
  </si>
  <si>
    <t>70GB247</t>
  </si>
  <si>
    <t>70GB248</t>
  </si>
  <si>
    <t>70GB250</t>
  </si>
  <si>
    <t>70GB255</t>
  </si>
  <si>
    <t>70GB246</t>
  </si>
  <si>
    <t>70GB245</t>
  </si>
  <si>
    <t>70GB260</t>
  </si>
  <si>
    <t>70GB244</t>
  </si>
  <si>
    <t>70GB254</t>
  </si>
  <si>
    <t>70GB263</t>
  </si>
  <si>
    <t>70GB249</t>
  </si>
  <si>
    <t>70GB262</t>
  </si>
  <si>
    <t>70GB261</t>
  </si>
  <si>
    <t>70GB258</t>
  </si>
  <si>
    <t>70GB266</t>
  </si>
  <si>
    <t>70GB252</t>
  </si>
  <si>
    <t>70GB235</t>
  </si>
  <si>
    <t>70GB232</t>
  </si>
  <si>
    <t>70GB239</t>
  </si>
  <si>
    <t>70GB238</t>
  </si>
  <si>
    <t>70GB236</t>
  </si>
  <si>
    <t>70GB242</t>
  </si>
  <si>
    <t>70GB243</t>
  </si>
  <si>
    <t>70GB237</t>
  </si>
  <si>
    <t>70GB231</t>
  </si>
  <si>
    <t>70GB240</t>
  </si>
  <si>
    <t>70GB219</t>
  </si>
  <si>
    <t>70GB222</t>
  </si>
  <si>
    <t>70GB221</t>
  </si>
  <si>
    <t>70GB218</t>
  </si>
  <si>
    <t>70GB228</t>
  </si>
  <si>
    <t>70GB229</t>
  </si>
  <si>
    <t>70GB224</t>
  </si>
  <si>
    <t>70GB230</t>
  </si>
  <si>
    <t>70GB225</t>
  </si>
  <si>
    <t>70GB220</t>
  </si>
  <si>
    <t>70GB227</t>
  </si>
  <si>
    <t>70GB216</t>
  </si>
  <si>
    <t>70GB214</t>
  </si>
  <si>
    <t>70GB212</t>
  </si>
  <si>
    <t>70GB206</t>
  </si>
  <si>
    <t>70GB215</t>
  </si>
  <si>
    <t>70GB209</t>
  </si>
  <si>
    <t>70GB217</t>
  </si>
  <si>
    <t>70GB208</t>
  </si>
  <si>
    <t>70GB205</t>
  </si>
  <si>
    <t>70GB211</t>
  </si>
  <si>
    <t>70GB213</t>
  </si>
  <si>
    <t>70GB201</t>
  </si>
  <si>
    <t>70GB202</t>
  </si>
  <si>
    <t>70GB204</t>
  </si>
  <si>
    <t>70GB199</t>
  </si>
  <si>
    <t>70GB197</t>
  </si>
  <si>
    <t>70GB192</t>
  </si>
  <si>
    <t>70GB203</t>
  </si>
  <si>
    <t>70GB198</t>
  </si>
  <si>
    <t>70GB193</t>
  </si>
  <si>
    <t>70GB196</t>
  </si>
  <si>
    <t>70GB195</t>
  </si>
  <si>
    <t>70GB190</t>
  </si>
  <si>
    <t>70GB187</t>
  </si>
  <si>
    <t>70GB186</t>
  </si>
  <si>
    <t>70GB185</t>
  </si>
  <si>
    <t>70GB182</t>
  </si>
  <si>
    <t>70GB189</t>
  </si>
  <si>
    <t>70GB184</t>
  </si>
  <si>
    <t>70GB188</t>
  </si>
  <si>
    <t>70GB179</t>
  </si>
  <si>
    <t>70GB176</t>
  </si>
  <si>
    <t>70GB173</t>
  </si>
  <si>
    <t>70GB177</t>
  </si>
  <si>
    <t>70GB178</t>
  </si>
  <si>
    <t>70GB180</t>
  </si>
  <si>
    <t>70GB172</t>
  </si>
  <si>
    <t>70GB174</t>
  </si>
  <si>
    <t>70GB162</t>
  </si>
  <si>
    <t>70GB170</t>
  </si>
  <si>
    <t>70GB164</t>
  </si>
  <si>
    <t>70GB169</t>
  </si>
  <si>
    <t>70GB168</t>
  </si>
  <si>
    <t>70GB167</t>
  </si>
  <si>
    <t>70GB166</t>
  </si>
  <si>
    <t>70GB171</t>
  </si>
  <si>
    <t>70GB165</t>
  </si>
  <si>
    <t>70GB155</t>
  </si>
  <si>
    <t>70GB161</t>
  </si>
  <si>
    <t>70GB157</t>
  </si>
  <si>
    <t>70GB156</t>
  </si>
  <si>
    <t>70GB158</t>
  </si>
  <si>
    <t>70GB160</t>
  </si>
  <si>
    <t>70GB159</t>
  </si>
  <si>
    <t>70GB154</t>
  </si>
  <si>
    <t>70GB152</t>
  </si>
  <si>
    <t>70GB145</t>
  </si>
  <si>
    <t>70GB150</t>
  </si>
  <si>
    <t>70GB143</t>
  </si>
  <si>
    <t>70GB144</t>
  </si>
  <si>
    <t>70GB151</t>
  </si>
  <si>
    <t>70GB146</t>
  </si>
  <si>
    <t>70GB142</t>
  </si>
  <si>
    <t>70GB148</t>
  </si>
  <si>
    <t>70GB141</t>
  </si>
  <si>
    <t>70GB133</t>
  </si>
  <si>
    <t>70GB132</t>
  </si>
  <si>
    <t>70GB134</t>
  </si>
  <si>
    <t>70GB137</t>
  </si>
  <si>
    <t>70GB130</t>
  </si>
  <si>
    <t>70GB139</t>
  </si>
  <si>
    <t>70GB138</t>
  </si>
  <si>
    <t>70GB131</t>
  </si>
  <si>
    <t>70GB135</t>
  </si>
  <si>
    <t>70GB136</t>
  </si>
  <si>
    <t>70GB121</t>
  </si>
  <si>
    <t>70GB128</t>
  </si>
  <si>
    <t>70GB120</t>
  </si>
  <si>
    <t>70GB119</t>
  </si>
  <si>
    <t>70GB127</t>
  </si>
  <si>
    <t>70GB125</t>
  </si>
  <si>
    <t>70GB129</t>
  </si>
  <si>
    <t>70GB123</t>
  </si>
  <si>
    <t>70GB124</t>
  </si>
  <si>
    <t>70GB126</t>
  </si>
  <si>
    <t>70GB122</t>
  </si>
  <si>
    <t>70GB112</t>
  </si>
  <si>
    <t>70GB115</t>
  </si>
  <si>
    <t>70GB113</t>
  </si>
  <si>
    <t>70GB114</t>
  </si>
  <si>
    <t>70GB107</t>
  </si>
  <si>
    <t>70GB110</t>
  </si>
  <si>
    <t>70GB118</t>
  </si>
  <si>
    <t>70GB111</t>
  </si>
  <si>
    <t>70GB117</t>
  </si>
  <si>
    <t>70GB116</t>
  </si>
  <si>
    <t>70GB108</t>
  </si>
  <si>
    <t>70GB109</t>
  </si>
  <si>
    <t>70GB97</t>
  </si>
  <si>
    <t>70GB98</t>
  </si>
  <si>
    <t>70GB101</t>
  </si>
  <si>
    <t>70GB100</t>
  </si>
  <si>
    <t>70GB104</t>
  </si>
  <si>
    <t>70GB103</t>
  </si>
  <si>
    <t>70GB105</t>
  </si>
  <si>
    <t>70GB99</t>
  </si>
  <si>
    <t>70GB106</t>
  </si>
  <si>
    <t>70GB96</t>
  </si>
  <si>
    <t>70GB102</t>
  </si>
  <si>
    <t>70GB91</t>
  </si>
  <si>
    <t>70GB92</t>
  </si>
  <si>
    <t>70GB93</t>
  </si>
  <si>
    <t>70GB88</t>
  </si>
  <si>
    <t>70GB89</t>
  </si>
  <si>
    <t>70GB83</t>
  </si>
  <si>
    <t>70GB85</t>
  </si>
  <si>
    <t>70GB90</t>
  </si>
  <si>
    <t>70GB94</t>
  </si>
  <si>
    <t>70GB87</t>
  </si>
  <si>
    <t>70GB86</t>
  </si>
  <si>
    <t>70GB84</t>
  </si>
  <si>
    <t>70GB72</t>
  </si>
  <si>
    <t>70GB75</t>
  </si>
  <si>
    <t>70GB77</t>
  </si>
  <si>
    <t>70GB80</t>
  </si>
  <si>
    <t>70GB82</t>
  </si>
  <si>
    <t>70GB76</t>
  </si>
  <si>
    <t>70GB78</t>
  </si>
  <si>
    <t>70GB79</t>
  </si>
  <si>
    <t>70GB71</t>
  </si>
  <si>
    <t>70GB67</t>
  </si>
  <si>
    <t>70GB70</t>
  </si>
  <si>
    <t>70GB65</t>
  </si>
  <si>
    <t>70GB59</t>
  </si>
  <si>
    <t>70GB66</t>
  </si>
  <si>
    <t>70GB63</t>
  </si>
  <si>
    <t>70GB61</t>
  </si>
  <si>
    <t>70GB60</t>
  </si>
  <si>
    <t>70GB62</t>
  </si>
  <si>
    <t>70GB69</t>
  </si>
  <si>
    <t>70GB68</t>
  </si>
  <si>
    <t>70GB52</t>
  </si>
  <si>
    <t>70GB54</t>
  </si>
  <si>
    <t>70GB48</t>
  </si>
  <si>
    <t>70GB50</t>
  </si>
  <si>
    <t>70GB56</t>
  </si>
  <si>
    <t>70GB58</t>
  </si>
  <si>
    <t>70GB49</t>
  </si>
  <si>
    <t>70GB44</t>
  </si>
  <si>
    <t>70GB43</t>
  </si>
  <si>
    <t>70GB47</t>
  </si>
  <si>
    <t>70GB38</t>
  </si>
  <si>
    <t>70GB37</t>
  </si>
  <si>
    <t>70GB42</t>
  </si>
  <si>
    <t>70GB36</t>
  </si>
  <si>
    <t>70GB41</t>
  </si>
  <si>
    <t>70GB40</t>
  </si>
  <si>
    <t>70GB46</t>
  </si>
  <si>
    <t>70GB45</t>
  </si>
  <si>
    <t>70GB31</t>
  </si>
  <si>
    <t>70GB26</t>
  </si>
  <si>
    <t>70GB25</t>
  </si>
  <si>
    <t>70GB29</t>
  </si>
  <si>
    <t>70GB32</t>
  </si>
  <si>
    <t>70GB33</t>
  </si>
  <si>
    <t>70GB35</t>
  </si>
  <si>
    <t>70GB28</t>
  </si>
  <si>
    <t>70GB27</t>
  </si>
  <si>
    <t>70GB30</t>
  </si>
  <si>
    <t>70GB14</t>
  </si>
  <si>
    <t>70GB24</t>
  </si>
  <si>
    <t>70GB18</t>
  </si>
  <si>
    <t>70GB22</t>
  </si>
  <si>
    <t>70GB23</t>
  </si>
  <si>
    <t>70GB15</t>
  </si>
  <si>
    <t>70GB16</t>
  </si>
  <si>
    <t>70GB17</t>
  </si>
  <si>
    <t>70GB19</t>
  </si>
  <si>
    <t>70GB03</t>
  </si>
  <si>
    <t>70GB07</t>
  </si>
  <si>
    <t>70GB06</t>
  </si>
  <si>
    <t>70GB12</t>
  </si>
  <si>
    <t>70GB10</t>
  </si>
  <si>
    <t>70GB08</t>
  </si>
  <si>
    <t>70GB09</t>
  </si>
  <si>
    <t>70GB11</t>
  </si>
  <si>
    <t>70GB05</t>
  </si>
  <si>
    <t>70GB02</t>
  </si>
  <si>
    <t>70GA1005</t>
  </si>
  <si>
    <t>70GA1001</t>
  </si>
  <si>
    <t>70GA996</t>
  </si>
  <si>
    <t>70GA998</t>
  </si>
  <si>
    <t>70GA1004</t>
  </si>
  <si>
    <t>70GA999</t>
  </si>
  <si>
    <t>70GA1007</t>
  </si>
  <si>
    <t>70GA1003</t>
  </si>
  <si>
    <t>70GA988</t>
  </si>
  <si>
    <t>70GA987</t>
  </si>
  <si>
    <t>70GA994</t>
  </si>
  <si>
    <t>70GA985</t>
  </si>
  <si>
    <t>70GA989</t>
  </si>
  <si>
    <t>70GA993</t>
  </si>
  <si>
    <t>70GA995</t>
  </si>
  <si>
    <t>70GA991</t>
  </si>
  <si>
    <t>70GA984</t>
  </si>
  <si>
    <t>70GA979</t>
  </si>
  <si>
    <t>70GA982</t>
  </si>
  <si>
    <t>70GA983</t>
  </si>
  <si>
    <t>70GA981</t>
  </si>
  <si>
    <t>70GA975</t>
  </si>
  <si>
    <t>70GA974</t>
  </si>
  <si>
    <t>70GA980</t>
  </si>
  <si>
    <t>70GA963</t>
  </si>
  <si>
    <t>70GA968</t>
  </si>
  <si>
    <t>70GA965</t>
  </si>
  <si>
    <t>70GA971</t>
  </si>
  <si>
    <t>70GA964</t>
  </si>
  <si>
    <t>70GA966</t>
  </si>
  <si>
    <t>70GA967</t>
  </si>
  <si>
    <t>70GA973</t>
  </si>
  <si>
    <t>70GA970</t>
  </si>
  <si>
    <t>70GA958</t>
  </si>
  <si>
    <t>70GA959</t>
  </si>
  <si>
    <t>70GA954</t>
  </si>
  <si>
    <t>70GA961</t>
  </si>
  <si>
    <t>70GA955</t>
  </si>
  <si>
    <t>70GA951</t>
  </si>
  <si>
    <t>70GA952</t>
  </si>
  <si>
    <t>70GA950</t>
  </si>
  <si>
    <t>70GA960</t>
  </si>
  <si>
    <t>70GA957</t>
  </si>
  <si>
    <t>70GA945</t>
  </si>
  <si>
    <t>70GA949</t>
  </si>
  <si>
    <t>70GA942</t>
  </si>
  <si>
    <t>70GA947</t>
  </si>
  <si>
    <t>70GA946</t>
  </si>
  <si>
    <t>70GA948</t>
  </si>
  <si>
    <t>70GA944</t>
  </si>
  <si>
    <t>70GA940</t>
  </si>
  <si>
    <t>70GA934</t>
  </si>
  <si>
    <t>70GA933</t>
  </si>
  <si>
    <t>70GA932</t>
  </si>
  <si>
    <t>70GA936</t>
  </si>
  <si>
    <t>70GA930</t>
  </si>
  <si>
    <t>70GA937</t>
  </si>
  <si>
    <t>70GA931</t>
  </si>
  <si>
    <t>70GA921</t>
  </si>
  <si>
    <t>70GA924</t>
  </si>
  <si>
    <t>70GA918</t>
  </si>
  <si>
    <t>70GA922</t>
  </si>
  <si>
    <t>70GA929</t>
  </si>
  <si>
    <t>70GA919</t>
  </si>
  <si>
    <t>70GA928</t>
  </si>
  <si>
    <t>70GA926</t>
  </si>
  <si>
    <t>70GA925</t>
  </si>
  <si>
    <t>70GA907</t>
  </si>
  <si>
    <t>70GA908</t>
  </si>
  <si>
    <t>70GA909</t>
  </si>
  <si>
    <t>70GA915</t>
  </si>
  <si>
    <t>70GA905</t>
  </si>
  <si>
    <t>70GA910</t>
  </si>
  <si>
    <t>70GA911</t>
  </si>
  <si>
    <t>70GA913</t>
  </si>
  <si>
    <t>70GA912</t>
  </si>
  <si>
    <t>70GA903</t>
  </si>
  <si>
    <t>70GA902</t>
  </si>
  <si>
    <t>70GA899</t>
  </si>
  <si>
    <t>70GA901</t>
  </si>
  <si>
    <t>70GA904</t>
  </si>
  <si>
    <t>70GA897</t>
  </si>
  <si>
    <t>70GA880</t>
  </si>
  <si>
    <t>70GA890</t>
  </si>
  <si>
    <t>70GA884</t>
  </si>
  <si>
    <t>70GA891</t>
  </si>
  <si>
    <t>70GA893</t>
  </si>
  <si>
    <t>70GA889</t>
  </si>
  <si>
    <t>70GA892</t>
  </si>
  <si>
    <t>70GA870</t>
  </si>
  <si>
    <t>70GA871</t>
  </si>
  <si>
    <t>70GA866</t>
  </si>
  <si>
    <t>70GA873</t>
  </si>
  <si>
    <t>70GA878</t>
  </si>
  <si>
    <t>70GA869</t>
  </si>
  <si>
    <t>70GA876</t>
  </si>
  <si>
    <t>70GA875</t>
  </si>
  <si>
    <t>70GA879</t>
  </si>
  <si>
    <t>70GA874</t>
  </si>
  <si>
    <t>70GA865</t>
  </si>
  <si>
    <t>70GA863</t>
  </si>
  <si>
    <t>70GA858</t>
  </si>
  <si>
    <t>70GA855</t>
  </si>
  <si>
    <t>70GA853</t>
  </si>
  <si>
    <t>70GA862</t>
  </si>
  <si>
    <t>70GA864</t>
  </si>
  <si>
    <t>70GA857</t>
  </si>
  <si>
    <t>70GA860</t>
  </si>
  <si>
    <t>70GA846</t>
  </si>
  <si>
    <t>70GA842</t>
  </si>
  <si>
    <t>70GA847</t>
  </si>
  <si>
    <t>70GA843</t>
  </si>
  <si>
    <t>70GA849</t>
  </si>
  <si>
    <t>70GA851</t>
  </si>
  <si>
    <t>70GA848</t>
  </si>
  <si>
    <t>70GA850</t>
  </si>
  <si>
    <t>70GA845</t>
  </si>
  <si>
    <t>70GA829</t>
  </si>
  <si>
    <t>70GA836</t>
  </si>
  <si>
    <t>70GA833</t>
  </si>
  <si>
    <t>70GA830</t>
  </si>
  <si>
    <t>70GA831</t>
  </si>
  <si>
    <t>70GA835</t>
  </si>
  <si>
    <t>70GA839</t>
  </si>
  <si>
    <t>70GA838</t>
  </si>
  <si>
    <t>70GA832</t>
  </si>
  <si>
    <t>70GA840</t>
  </si>
  <si>
    <t>70GA807</t>
  </si>
  <si>
    <t>70GA806</t>
  </si>
  <si>
    <t>70GA802</t>
  </si>
  <si>
    <t>70GA813</t>
  </si>
  <si>
    <t>70GA804</t>
  </si>
  <si>
    <t>70GA814</t>
  </si>
  <si>
    <t>70GA812</t>
  </si>
  <si>
    <t>70GA803</t>
  </si>
  <si>
    <t>70GA808</t>
  </si>
  <si>
    <t>70GA811</t>
  </si>
  <si>
    <t>70GA815</t>
  </si>
  <si>
    <t>70GA791</t>
  </si>
  <si>
    <t>70GA820</t>
  </si>
  <si>
    <t>70GA795</t>
  </si>
  <si>
    <t>70GA817</t>
  </si>
  <si>
    <t>70GA797</t>
  </si>
  <si>
    <t>70GA828</t>
  </si>
  <si>
    <t>70GA822</t>
  </si>
  <si>
    <t>70GA826</t>
  </si>
  <si>
    <t>70GA827</t>
  </si>
  <si>
    <t>70GA825</t>
  </si>
  <si>
    <t>70GA794</t>
  </si>
  <si>
    <t>70GA800</t>
  </si>
  <si>
    <t>70GA792</t>
  </si>
  <si>
    <t>70GA790</t>
  </si>
  <si>
    <t>70GA799</t>
  </si>
  <si>
    <t>70GA784</t>
  </si>
  <si>
    <t>70GA789</t>
  </si>
  <si>
    <t>70GA788</t>
  </si>
  <si>
    <t>70GA780</t>
  </si>
  <si>
    <t>70GA785</t>
  </si>
  <si>
    <t>70GA779</t>
  </si>
  <si>
    <t>70GA776</t>
  </si>
  <si>
    <t>70GA787</t>
  </si>
  <si>
    <t>70GA781</t>
  </si>
  <si>
    <t>70GA778</t>
  </si>
  <si>
    <t>70GA766</t>
  </si>
  <si>
    <t>70GA767</t>
  </si>
  <si>
    <t>70Z585</t>
  </si>
  <si>
    <t>70GA771</t>
  </si>
  <si>
    <t>70GA768</t>
  </si>
  <si>
    <t>70GA773</t>
  </si>
  <si>
    <t>70GA775</t>
  </si>
  <si>
    <t>70GA769</t>
  </si>
  <si>
    <t>70GA765</t>
  </si>
  <si>
    <t>70GA761</t>
  </si>
  <si>
    <t>70GA759</t>
  </si>
  <si>
    <t>70GA756</t>
  </si>
  <si>
    <t>70GA753</t>
  </si>
  <si>
    <t>70GA754</t>
  </si>
  <si>
    <t>70GA760</t>
  </si>
  <si>
    <t>70GA752</t>
  </si>
  <si>
    <t>70GA762</t>
  </si>
  <si>
    <t>70Z587</t>
  </si>
  <si>
    <t>70Z593</t>
  </si>
  <si>
    <t>70GA750</t>
  </si>
  <si>
    <t>70GA748</t>
  </si>
  <si>
    <t>70GA749</t>
  </si>
  <si>
    <t>70Z586</t>
  </si>
  <si>
    <t>70D168</t>
  </si>
  <si>
    <t>70Z592</t>
  </si>
  <si>
    <t>70D169</t>
  </si>
  <si>
    <t>70GA740</t>
  </si>
  <si>
    <t>70GA743</t>
  </si>
  <si>
    <t>70GA741</t>
  </si>
  <si>
    <t>70GA737</t>
  </si>
  <si>
    <t>70D170</t>
  </si>
  <si>
    <t>70Z574</t>
  </si>
  <si>
    <t>70Z582</t>
  </si>
  <si>
    <t>70Z577</t>
  </si>
  <si>
    <t>70GA738</t>
  </si>
  <si>
    <t>70GA728</t>
  </si>
  <si>
    <t>70GA732</t>
  </si>
  <si>
    <t>70GA734</t>
  </si>
  <si>
    <t>70Z578</t>
  </si>
  <si>
    <t>70GA729</t>
  </si>
  <si>
    <t>70Z580</t>
  </si>
  <si>
    <t>70GA731</t>
  </si>
  <si>
    <t>70GA736</t>
  </si>
  <si>
    <t>70Z583</t>
  </si>
  <si>
    <t>70GA733</t>
  </si>
  <si>
    <t>70GA718</t>
  </si>
  <si>
    <t>70GA724</t>
  </si>
  <si>
    <t>70GA721</t>
  </si>
  <si>
    <t>70GA723</t>
  </si>
  <si>
    <t>70GA719</t>
  </si>
  <si>
    <t>70GA709</t>
  </si>
  <si>
    <t>70GA714</t>
  </si>
  <si>
    <t>70GA917</t>
  </si>
  <si>
    <t>70GA706</t>
  </si>
  <si>
    <t>70GA708</t>
  </si>
  <si>
    <t>70GA696</t>
  </si>
  <si>
    <t>70GA700</t>
  </si>
  <si>
    <t>70GA699</t>
  </si>
  <si>
    <t>70GA705</t>
  </si>
  <si>
    <t>70GA704</t>
  </si>
  <si>
    <t>70GA703</t>
  </si>
  <si>
    <t>70GA695</t>
  </si>
  <si>
    <t>70GA693</t>
  </si>
  <si>
    <t>70GA688</t>
  </si>
  <si>
    <t>70GA685</t>
  </si>
  <si>
    <t>70GA690</t>
  </si>
  <si>
    <t>70GA694</t>
  </si>
  <si>
    <t>70GA691</t>
  </si>
  <si>
    <t>70GA682</t>
  </si>
  <si>
    <t>70GA683</t>
  </si>
  <si>
    <t>70GA679</t>
  </si>
  <si>
    <t>70GA677</t>
  </si>
  <si>
    <t>70GA675</t>
  </si>
  <si>
    <t>70GA678</t>
  </si>
  <si>
    <t>70GA670</t>
  </si>
  <si>
    <t>70GA674</t>
  </si>
  <si>
    <t>70GA671</t>
  </si>
  <si>
    <t>70GA669</t>
  </si>
  <si>
    <t>70GA654</t>
  </si>
  <si>
    <t>70GA659</t>
  </si>
  <si>
    <t>70GA660</t>
  </si>
  <si>
    <t>70GA653</t>
  </si>
  <si>
    <t>70GA656</t>
  </si>
  <si>
    <t>70GA664</t>
  </si>
  <si>
    <t>70GA668</t>
  </si>
  <si>
    <t>70GA655</t>
  </si>
  <si>
    <t>70GA642</t>
  </si>
  <si>
    <t>70GA650</t>
  </si>
  <si>
    <t>70GA645</t>
  </si>
  <si>
    <t>70GA652</t>
  </si>
  <si>
    <t>70GA643</t>
  </si>
  <si>
    <t>70GA637</t>
  </si>
  <si>
    <t>70GA618</t>
  </si>
  <si>
    <t>70GA635</t>
  </si>
  <si>
    <t>70GA638</t>
  </si>
  <si>
    <t>70GA634</t>
  </si>
  <si>
    <t>70GA640</t>
  </si>
  <si>
    <t>70D159</t>
  </si>
  <si>
    <t>70GA630</t>
  </si>
  <si>
    <t>70GA631</t>
  </si>
  <si>
    <t>70GA636</t>
  </si>
  <si>
    <t>70GA639</t>
  </si>
  <si>
    <t>70GA613</t>
  </si>
  <si>
    <t>70GA619</t>
  </si>
  <si>
    <t>70GA626</t>
  </si>
  <si>
    <t>70GA620</t>
  </si>
  <si>
    <t>70GA624</t>
  </si>
  <si>
    <t>70GA628</t>
  </si>
  <si>
    <t>70GA616</t>
  </si>
  <si>
    <t>70GA615</t>
  </si>
  <si>
    <t>70GA612</t>
  </si>
  <si>
    <t>70GA601</t>
  </si>
  <si>
    <t>70GA608</t>
  </si>
  <si>
    <t>70GA607</t>
  </si>
  <si>
    <t>70GA606</t>
  </si>
  <si>
    <t>70GA593</t>
  </si>
  <si>
    <t>70GA589</t>
  </si>
  <si>
    <t>70GA598</t>
  </si>
  <si>
    <t>70GA596</t>
  </si>
  <si>
    <t>70GA587</t>
  </si>
  <si>
    <t>70GA584</t>
  </si>
  <si>
    <t>70GA571</t>
  </si>
  <si>
    <t>70D142</t>
  </si>
  <si>
    <t>70D155</t>
  </si>
  <si>
    <t>70GA570</t>
  </si>
  <si>
    <t>70GA572</t>
  </si>
  <si>
    <t>70D148</t>
  </si>
  <si>
    <t>70D157</t>
  </si>
  <si>
    <t>70GA566</t>
  </si>
  <si>
    <t>70GA562</t>
  </si>
  <si>
    <t>70GA565</t>
  </si>
  <si>
    <t>70D152</t>
  </si>
  <si>
    <t>70GA567</t>
  </si>
  <si>
    <t>70D134</t>
  </si>
  <si>
    <t>70GA549</t>
  </si>
  <si>
    <t>70D136</t>
  </si>
  <si>
    <t>70D137</t>
  </si>
  <si>
    <t>70GA552</t>
  </si>
  <si>
    <t>70GA556</t>
  </si>
  <si>
    <t>70GA554</t>
  </si>
  <si>
    <t>70D130</t>
  </si>
  <si>
    <t>70GA539</t>
  </si>
  <si>
    <t>70GA540</t>
  </si>
  <si>
    <t>70GA541</t>
  </si>
  <si>
    <t>70GA543</t>
  </si>
  <si>
    <t>70GA530</t>
  </si>
  <si>
    <t>70GA535</t>
  </si>
  <si>
    <t>70GA533</t>
  </si>
  <si>
    <t>70Z563</t>
  </si>
  <si>
    <t>70D127</t>
  </si>
  <si>
    <t>70D131</t>
  </si>
  <si>
    <t>70D132</t>
  </si>
  <si>
    <t>70GA534</t>
  </si>
  <si>
    <t>70GA532</t>
  </si>
  <si>
    <t>70GA517</t>
  </si>
  <si>
    <t>70GA522</t>
  </si>
  <si>
    <t>70GA528</t>
  </si>
  <si>
    <t>70GA518</t>
  </si>
  <si>
    <t>70GA525</t>
  </si>
  <si>
    <t>70GA521</t>
  </si>
  <si>
    <t>70GA526</t>
  </si>
  <si>
    <t>MY3606</t>
  </si>
  <si>
    <t>70D124</t>
  </si>
  <si>
    <t>70D122</t>
  </si>
  <si>
    <t>70D123</t>
  </si>
  <si>
    <t>70GA516</t>
  </si>
  <si>
    <t>70Z558</t>
  </si>
  <si>
    <t>70GA514</t>
  </si>
  <si>
    <t>P0018</t>
  </si>
  <si>
    <t>NB3205</t>
  </si>
  <si>
    <t>70D117</t>
  </si>
  <si>
    <t>70Z546</t>
  </si>
  <si>
    <t>70D118</t>
  </si>
  <si>
    <t>70D119</t>
  </si>
  <si>
    <t>70D120</t>
  </si>
  <si>
    <t>70ZD540</t>
  </si>
  <si>
    <t>MY3148</t>
  </si>
  <si>
    <t>70GA504</t>
  </si>
  <si>
    <t>70GA505</t>
  </si>
  <si>
    <t>70Z554</t>
  </si>
  <si>
    <t>70GA502</t>
  </si>
  <si>
    <t>70GA508</t>
  </si>
  <si>
    <t>70GA495</t>
  </si>
  <si>
    <t>70GA494</t>
  </si>
  <si>
    <t>70GA496</t>
  </si>
  <si>
    <t>70GA500</t>
  </si>
  <si>
    <t>70GA498</t>
  </si>
  <si>
    <t>70GA501</t>
  </si>
  <si>
    <t>70ZD543</t>
  </si>
  <si>
    <t>70ZD542</t>
  </si>
  <si>
    <t>70GA499</t>
  </si>
  <si>
    <t>70ZD541</t>
  </si>
  <si>
    <t>70GA489</t>
  </si>
  <si>
    <t>70GA484</t>
  </si>
  <si>
    <t>70GA487</t>
  </si>
  <si>
    <t>70GA485</t>
  </si>
  <si>
    <t>70GA482</t>
  </si>
  <si>
    <t>70GA473</t>
  </si>
  <si>
    <t>70GA474</t>
  </si>
  <si>
    <t>70GA477</t>
  </si>
  <si>
    <t>70GA472</t>
  </si>
  <si>
    <t>70GA470</t>
  </si>
  <si>
    <t>70GA468</t>
  </si>
  <si>
    <t>70GA481</t>
  </si>
  <si>
    <t>70GA475</t>
  </si>
  <si>
    <t>MY1985</t>
  </si>
  <si>
    <t>70GA458</t>
  </si>
  <si>
    <t>70GA457</t>
  </si>
  <si>
    <t>70GA461</t>
  </si>
  <si>
    <t>70GA430</t>
  </si>
  <si>
    <t>70GA438</t>
  </si>
  <si>
    <t>70GA434</t>
  </si>
  <si>
    <t>70GA441</t>
  </si>
  <si>
    <t>70GA454</t>
  </si>
  <si>
    <t>70GA442</t>
  </si>
  <si>
    <t>70GA448</t>
  </si>
  <si>
    <t>70GA439</t>
  </si>
  <si>
    <t>70GA450</t>
  </si>
  <si>
    <t>70GA424</t>
  </si>
  <si>
    <t>70GA429</t>
  </si>
  <si>
    <t>70GA427</t>
  </si>
  <si>
    <t>70GA428</t>
  </si>
  <si>
    <t>70GA419</t>
  </si>
  <si>
    <t>70GA420</t>
  </si>
  <si>
    <t>70D112</t>
  </si>
  <si>
    <t>70D110</t>
  </si>
  <si>
    <t>70D111</t>
  </si>
  <si>
    <t>70GA412</t>
  </si>
  <si>
    <t>70GA414</t>
  </si>
  <si>
    <t>70D106</t>
  </si>
  <si>
    <t>70GA413</t>
  </si>
  <si>
    <t>70GA405</t>
  </si>
  <si>
    <t>70GA390</t>
  </si>
  <si>
    <t>70GA386</t>
  </si>
  <si>
    <t>70GA393</t>
  </si>
  <si>
    <t>70GA384</t>
  </si>
  <si>
    <t>70GA388</t>
  </si>
  <si>
    <t>70D102</t>
  </si>
  <si>
    <t>NA9278</t>
  </si>
  <si>
    <t>NA9280</t>
  </si>
  <si>
    <t>70D97</t>
  </si>
  <si>
    <t>70GA407</t>
  </si>
  <si>
    <t>70GA382</t>
  </si>
  <si>
    <t>70GA380</t>
  </si>
  <si>
    <t>70GA444</t>
  </si>
  <si>
    <t>70GA376</t>
  </si>
  <si>
    <t>70GA398</t>
  </si>
  <si>
    <t>70GA383</t>
  </si>
  <si>
    <t>70GA377</t>
  </si>
  <si>
    <t>70GA452</t>
  </si>
  <si>
    <t>70D101</t>
  </si>
  <si>
    <t>70GA402</t>
  </si>
  <si>
    <t>MY3342</t>
  </si>
  <si>
    <t>70GA368</t>
  </si>
  <si>
    <t>70GA373</t>
  </si>
  <si>
    <t>70GA370</t>
  </si>
  <si>
    <t>70GA362</t>
  </si>
  <si>
    <t>70GA367</t>
  </si>
  <si>
    <t>70GA359</t>
  </si>
  <si>
    <t>70GA365</t>
  </si>
  <si>
    <t>70GA363</t>
  </si>
  <si>
    <t>70GA344</t>
  </si>
  <si>
    <t>70D74</t>
  </si>
  <si>
    <t>70GA351</t>
  </si>
  <si>
    <t>70GA350</t>
  </si>
  <si>
    <t>70GA353</t>
  </si>
  <si>
    <t>70D84</t>
  </si>
  <si>
    <t>70GA341</t>
  </si>
  <si>
    <t>70GA338</t>
  </si>
  <si>
    <t>70GA336</t>
  </si>
  <si>
    <t>70GA340</t>
  </si>
  <si>
    <t>70D73</t>
  </si>
  <si>
    <t>70GA328</t>
  </si>
  <si>
    <t>70GA331</t>
  </si>
  <si>
    <t>70GA334</t>
  </si>
  <si>
    <t>70GA333</t>
  </si>
  <si>
    <t>70GA326</t>
  </si>
  <si>
    <t>70D71</t>
  </si>
  <si>
    <t>70GA316</t>
  </si>
  <si>
    <t>70GA318</t>
  </si>
  <si>
    <t>70GA321</t>
  </si>
  <si>
    <t>70D69</t>
  </si>
  <si>
    <t>70GA305</t>
  </si>
  <si>
    <t>70GA311</t>
  </si>
  <si>
    <t>70GA304</t>
  </si>
  <si>
    <t>70GA309</t>
  </si>
  <si>
    <t>70GA307</t>
  </si>
  <si>
    <t>70D62</t>
  </si>
  <si>
    <t>MX7392</t>
  </si>
  <si>
    <t>70D64</t>
  </si>
  <si>
    <t>70GA299</t>
  </si>
  <si>
    <t>70GA297</t>
  </si>
  <si>
    <t>70D66</t>
  </si>
  <si>
    <t>70GA296</t>
  </si>
  <si>
    <t>70GA288</t>
  </si>
  <si>
    <t>70D56</t>
  </si>
  <si>
    <t>70D60</t>
  </si>
  <si>
    <t>70D54</t>
  </si>
  <si>
    <t>70D58</t>
  </si>
  <si>
    <t>70GA290</t>
  </si>
  <si>
    <t>70GA283</t>
  </si>
  <si>
    <t>70GA280</t>
  </si>
  <si>
    <t>70GA279</t>
  </si>
  <si>
    <t>70D52</t>
  </si>
  <si>
    <t>70GA284</t>
  </si>
  <si>
    <t>70D55</t>
  </si>
  <si>
    <t>70GA272</t>
  </si>
  <si>
    <t>70GA271</t>
  </si>
  <si>
    <t>70GA269</t>
  </si>
  <si>
    <t>70GA268</t>
  </si>
  <si>
    <t>70GA273</t>
  </si>
  <si>
    <t>70Z540</t>
  </si>
  <si>
    <t>70GA264</t>
  </si>
  <si>
    <t>70GA258</t>
  </si>
  <si>
    <t>70GA259</t>
  </si>
  <si>
    <t>70GA255</t>
  </si>
  <si>
    <t>70GA250</t>
  </si>
  <si>
    <t>70GA248</t>
  </si>
  <si>
    <t>70GA246</t>
  </si>
  <si>
    <t>70GA245</t>
  </si>
  <si>
    <t>70GA243</t>
  </si>
  <si>
    <t>70GA241</t>
  </si>
  <si>
    <t>70GA240</t>
  </si>
  <si>
    <t>70GA234</t>
  </si>
  <si>
    <t>70GA233</t>
  </si>
  <si>
    <t>70D43</t>
  </si>
  <si>
    <t>70D45</t>
  </si>
  <si>
    <t>70D47</t>
  </si>
  <si>
    <t>70GA232</t>
  </si>
  <si>
    <t>70GA231</t>
  </si>
  <si>
    <t>70GA229</t>
  </si>
  <si>
    <t>70GA227</t>
  </si>
  <si>
    <t>70GA226</t>
  </si>
  <si>
    <t>70Z530</t>
  </si>
  <si>
    <t>70Z536</t>
  </si>
  <si>
    <t>70GA220</t>
  </si>
  <si>
    <t>70GA218</t>
  </si>
  <si>
    <t>70GA216</t>
  </si>
  <si>
    <t>70GA211</t>
  </si>
  <si>
    <t>70GA208</t>
  </si>
  <si>
    <t>70GA215</t>
  </si>
  <si>
    <t>70Z531</t>
  </si>
  <si>
    <t>70GA190</t>
  </si>
  <si>
    <t>70GA186</t>
  </si>
  <si>
    <t>70GA188</t>
  </si>
  <si>
    <t>70GA169</t>
  </si>
  <si>
    <t>70GA167</t>
  </si>
  <si>
    <t>70GA165</t>
  </si>
  <si>
    <t>70GA164</t>
  </si>
  <si>
    <t>70GA171</t>
  </si>
  <si>
    <t>70GA209</t>
  </si>
  <si>
    <t>70GA158</t>
  </si>
  <si>
    <t>70GA152</t>
  </si>
  <si>
    <t>70GA157</t>
  </si>
  <si>
    <t>70D33</t>
  </si>
  <si>
    <t>70D37</t>
  </si>
  <si>
    <t>70GA151</t>
  </si>
  <si>
    <t>70D26</t>
  </si>
  <si>
    <t>70D21</t>
  </si>
  <si>
    <t>70D28</t>
  </si>
  <si>
    <t>70D03</t>
  </si>
  <si>
    <t>70GA139</t>
  </si>
  <si>
    <t>70GA136</t>
  </si>
  <si>
    <t>70D10</t>
  </si>
  <si>
    <t>70D05</t>
  </si>
  <si>
    <t>70D17</t>
  </si>
  <si>
    <t>70GA133</t>
  </si>
  <si>
    <t>70GA131</t>
  </si>
  <si>
    <t>70GA127</t>
  </si>
  <si>
    <t>70C994</t>
  </si>
  <si>
    <t>70D16</t>
  </si>
  <si>
    <t>70C996</t>
  </si>
  <si>
    <t>70GA125</t>
  </si>
  <si>
    <t>70GA115</t>
  </si>
  <si>
    <t>70GA113</t>
  </si>
  <si>
    <t>70GA112</t>
  </si>
  <si>
    <t>70GA104</t>
  </si>
  <si>
    <t>70GA108</t>
  </si>
  <si>
    <t>70C972</t>
  </si>
  <si>
    <t>70GA99</t>
  </si>
  <si>
    <t>70C970</t>
  </si>
  <si>
    <t>70C966</t>
  </si>
  <si>
    <t>70Z516</t>
  </si>
  <si>
    <t>70C965</t>
  </si>
  <si>
    <t>70GA75</t>
  </si>
  <si>
    <t>70Z515</t>
  </si>
  <si>
    <t>70GA67</t>
  </si>
  <si>
    <t>70C964</t>
  </si>
  <si>
    <t>70GA60</t>
  </si>
  <si>
    <t>70C957</t>
  </si>
  <si>
    <t>70GA52</t>
  </si>
  <si>
    <t>70GA55</t>
  </si>
  <si>
    <t>70C958</t>
  </si>
  <si>
    <t>70GA56</t>
  </si>
  <si>
    <t>70GA53</t>
  </si>
  <si>
    <t>70GA46</t>
  </si>
  <si>
    <t>70GA37</t>
  </si>
  <si>
    <t>70GA42</t>
  </si>
  <si>
    <t>70GA27</t>
  </si>
  <si>
    <t>70GA34</t>
  </si>
  <si>
    <t>70GA25</t>
  </si>
  <si>
    <t>70GA24</t>
  </si>
  <si>
    <t>70GA32</t>
  </si>
  <si>
    <t>70GA33</t>
  </si>
  <si>
    <t>70GA22</t>
  </si>
  <si>
    <t>70GA17</t>
  </si>
  <si>
    <t>70GM327</t>
  </si>
  <si>
    <t>70GA18</t>
  </si>
  <si>
    <t>70GA11</t>
  </si>
  <si>
    <t>70GA06</t>
  </si>
  <si>
    <t>70GA08</t>
  </si>
  <si>
    <t>70GA13</t>
  </si>
  <si>
    <t>70GA04</t>
  </si>
  <si>
    <t>70GM345</t>
  </si>
  <si>
    <t>70GM346</t>
  </si>
  <si>
    <t>70GM344</t>
  </si>
  <si>
    <t>70C941</t>
  </si>
  <si>
    <t>70GM332</t>
  </si>
  <si>
    <t>70GM329</t>
  </si>
  <si>
    <t>70GM317</t>
  </si>
  <si>
    <t>70GM314</t>
  </si>
  <si>
    <t>70GM311</t>
  </si>
  <si>
    <t>70GM307</t>
  </si>
  <si>
    <t>70GM302</t>
  </si>
  <si>
    <t>70C929</t>
  </si>
  <si>
    <t>70C925</t>
  </si>
  <si>
    <t>70GM295</t>
  </si>
  <si>
    <t>70GM291</t>
  </si>
  <si>
    <t>70GM278</t>
  </si>
  <si>
    <t>70GM280</t>
  </si>
  <si>
    <t>70GM277</t>
  </si>
  <si>
    <t>70GM279</t>
  </si>
  <si>
    <t>70GM281</t>
  </si>
  <si>
    <t>70GM282</t>
  </si>
  <si>
    <t>70GM283</t>
  </si>
  <si>
    <t>70GM276</t>
  </si>
  <si>
    <t>70GM275</t>
  </si>
  <si>
    <t>70C896</t>
  </si>
  <si>
    <t>70GM253</t>
  </si>
  <si>
    <t>70Z484</t>
  </si>
  <si>
    <t>70Z480</t>
  </si>
  <si>
    <t>70Z483</t>
  </si>
  <si>
    <t>70GM264</t>
  </si>
  <si>
    <t>70C910</t>
  </si>
  <si>
    <t>70Z481</t>
  </si>
  <si>
    <t>70C898</t>
  </si>
  <si>
    <t>70C900</t>
  </si>
  <si>
    <t>70GM254</t>
  </si>
  <si>
    <t>70GM245</t>
  </si>
  <si>
    <t>70GM240</t>
  </si>
  <si>
    <t>70GM238</t>
  </si>
  <si>
    <t>70GM241</t>
  </si>
  <si>
    <t>70GM232</t>
  </si>
  <si>
    <t>70Z467</t>
  </si>
  <si>
    <t>70C872</t>
  </si>
  <si>
    <t>70GM229</t>
  </si>
  <si>
    <t>70Z451</t>
  </si>
  <si>
    <t>70C866</t>
  </si>
  <si>
    <t>70C867</t>
  </si>
  <si>
    <t>70Z456</t>
  </si>
  <si>
    <t>70C856</t>
  </si>
  <si>
    <t>70GM213</t>
  </si>
  <si>
    <t>70GM220</t>
  </si>
  <si>
    <t>70GM216</t>
  </si>
  <si>
    <t>70Z448</t>
  </si>
  <si>
    <t>70Z444</t>
  </si>
  <si>
    <t>70GM199</t>
  </si>
  <si>
    <t>70C840</t>
  </si>
  <si>
    <t>70C842</t>
  </si>
  <si>
    <t>70GM197</t>
  </si>
  <si>
    <t>70Z441</t>
  </si>
  <si>
    <t>70GM191</t>
  </si>
  <si>
    <t>70GM187</t>
  </si>
  <si>
    <t>70GM159</t>
  </si>
  <si>
    <t>70C820</t>
  </si>
  <si>
    <t>70GM181</t>
  </si>
  <si>
    <t>70GM176</t>
  </si>
  <si>
    <t>70C810</t>
  </si>
  <si>
    <t>70C809</t>
  </si>
  <si>
    <t>70GM168</t>
  </si>
  <si>
    <t>70C849</t>
  </si>
  <si>
    <t>70C846</t>
  </si>
  <si>
    <t>70C847</t>
  </si>
  <si>
    <t>70Z431</t>
  </si>
  <si>
    <t>70GM179</t>
  </si>
  <si>
    <t>70C790</t>
  </si>
  <si>
    <t>70C787</t>
  </si>
  <si>
    <t>70GM136</t>
  </si>
  <si>
    <t>70GM138</t>
  </si>
  <si>
    <t>70C757</t>
  </si>
  <si>
    <t>70C712</t>
  </si>
  <si>
    <t>70C718</t>
  </si>
  <si>
    <t>70GM103</t>
  </si>
  <si>
    <t>70C684</t>
  </si>
  <si>
    <t>70C687</t>
  </si>
  <si>
    <t>0664YA</t>
  </si>
  <si>
    <t>70Z390</t>
  </si>
  <si>
    <t>70Z380</t>
  </si>
  <si>
    <t>70C669</t>
  </si>
  <si>
    <t>70C668</t>
  </si>
  <si>
    <t>70C662</t>
  </si>
  <si>
    <t>70C660</t>
  </si>
  <si>
    <t>70C642</t>
  </si>
  <si>
    <t>70C644</t>
  </si>
  <si>
    <t>70C652</t>
  </si>
  <si>
    <t>70C611</t>
  </si>
  <si>
    <t>70C484</t>
  </si>
  <si>
    <t>70C564</t>
  </si>
  <si>
    <t>70C576</t>
  </si>
  <si>
    <t>70C586</t>
  </si>
  <si>
    <t>70C549</t>
  </si>
  <si>
    <t>70C552</t>
  </si>
  <si>
    <t>70C450</t>
  </si>
  <si>
    <t>70C453</t>
  </si>
  <si>
    <t>70C455</t>
  </si>
  <si>
    <t>70Z313</t>
  </si>
  <si>
    <t>70Z314</t>
  </si>
  <si>
    <t>70Z331</t>
  </si>
  <si>
    <t>70Z342</t>
  </si>
  <si>
    <t>70Z334</t>
  </si>
  <si>
    <t>70C326</t>
  </si>
  <si>
    <t>70C403</t>
  </si>
  <si>
    <t>70C399</t>
  </si>
  <si>
    <t>70C396</t>
  </si>
  <si>
    <t>70Z276</t>
  </si>
  <si>
    <t>70C313</t>
  </si>
  <si>
    <t>70C286</t>
  </si>
  <si>
    <t>70GM66</t>
  </si>
  <si>
    <t>70GM61</t>
  </si>
  <si>
    <t>70C257</t>
  </si>
  <si>
    <t>70C74</t>
  </si>
  <si>
    <t>70C25</t>
  </si>
  <si>
    <t>70C04</t>
  </si>
  <si>
    <t>70B942</t>
  </si>
  <si>
    <t>70B684</t>
  </si>
  <si>
    <t>N/A</t>
  </si>
  <si>
    <t>CD05</t>
  </si>
  <si>
    <t>CD38</t>
  </si>
  <si>
    <t>CD39</t>
  </si>
  <si>
    <t>CD15</t>
  </si>
  <si>
    <t>CB45</t>
  </si>
  <si>
    <t>ZD15</t>
  </si>
  <si>
    <t>CB04</t>
  </si>
  <si>
    <t>CD04</t>
  </si>
  <si>
    <t>SN1444</t>
  </si>
  <si>
    <t>CD43</t>
  </si>
  <si>
    <t>CD14</t>
  </si>
  <si>
    <t>CD02</t>
  </si>
  <si>
    <t>CD27</t>
  </si>
  <si>
    <t>CD03</t>
  </si>
  <si>
    <t>ZD11</t>
  </si>
  <si>
    <t>CA0172</t>
  </si>
  <si>
    <t>CD32</t>
  </si>
  <si>
    <t>CB57</t>
  </si>
  <si>
    <t>ZD14</t>
  </si>
  <si>
    <t>ZD01</t>
  </si>
  <si>
    <t>CB43</t>
  </si>
  <si>
    <t>CB03</t>
  </si>
  <si>
    <t>CD24</t>
  </si>
  <si>
    <t>CB71</t>
  </si>
  <si>
    <t>CB75</t>
  </si>
  <si>
    <t>CD18</t>
  </si>
  <si>
    <t>CB65</t>
  </si>
  <si>
    <t>CD31</t>
  </si>
  <si>
    <t>ZD08</t>
  </si>
  <si>
    <t>ZD05</t>
  </si>
  <si>
    <t>CD16</t>
  </si>
  <si>
    <t>ZD17</t>
  </si>
  <si>
    <t>CD12</t>
  </si>
  <si>
    <t>CB30</t>
  </si>
  <si>
    <t>CA680</t>
  </si>
  <si>
    <t>CA316</t>
  </si>
  <si>
    <t>CB32</t>
  </si>
  <si>
    <t>CB66</t>
  </si>
  <si>
    <t>CD06</t>
  </si>
  <si>
    <t>ZD03</t>
  </si>
  <si>
    <t>CB55</t>
  </si>
  <si>
    <t>CA56</t>
  </si>
  <si>
    <t>CD36</t>
  </si>
  <si>
    <t>CA264</t>
  </si>
  <si>
    <t>CA781</t>
  </si>
  <si>
    <t>CB68</t>
  </si>
  <si>
    <t>ZD10</t>
  </si>
  <si>
    <t>CB58</t>
  </si>
  <si>
    <t>CA990</t>
  </si>
  <si>
    <t>CB31</t>
  </si>
  <si>
    <t>CD11</t>
  </si>
  <si>
    <t>ZD06</t>
  </si>
  <si>
    <t>To serve</t>
  </si>
  <si>
    <t>Served</t>
  </si>
  <si>
    <t>Suckling</t>
  </si>
  <si>
    <t>Sow service line</t>
  </si>
  <si>
    <t>Gilt service line</t>
  </si>
  <si>
    <t>Gilt house</t>
  </si>
  <si>
    <t>Dry sow</t>
  </si>
  <si>
    <t>Farrowing</t>
  </si>
  <si>
    <t>DRY</t>
  </si>
  <si>
    <t>PREGNANT</t>
  </si>
  <si>
    <t>DAO379</t>
  </si>
  <si>
    <t>M</t>
  </si>
  <si>
    <t>11/11/225</t>
  </si>
  <si>
    <t>BOAR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</si>
</sst>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11"/>
      <color rgb="FF242424"/>
      <name val="Aptos Narrow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2E86C1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6" fillId="8" borderId="0" xfId="0" applyFont="1" applyFill="1"/>
    <xf numFmtId="0" fontId="0" fillId="0" borderId="2" xfId="0" applyBorder="1" applyAlignment="1">
      <alignment horizontal="center"/>
    </xf>
    <xf numFmtId="0" fontId="0" fillId="0" borderId="2" xfId="0" applyBorder="1"/>
    <xf numFmtId="0" fontId="3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15" fontId="0" fillId="0" borderId="0" xfId="0" applyNumberFormat="1"/>
    <xf numFmtId="15" fontId="3" fillId="5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9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6" borderId="0" xfId="0" applyFont="1" applyFill="1" applyAlignment="1">
      <alignment horizontal="left"/>
    </xf>
    <xf numFmtId="0" fontId="9" fillId="0" borderId="0" xfId="0" applyFont="1"/>
  </cellXfs>
  <cellStyles count="2">
    <cellStyle name="Comma 2" xfId="1" xr:uid="{00000000-0005-0000-0000-00002F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B56A-874B-4F90-A2FA-816C0F50091A}">
  <dimension ref="A1:AN1437"/>
  <sheetViews>
    <sheetView tabSelected="1" topLeftCell="B1" zoomScale="85" zoomScaleNormal="85" workbookViewId="0">
      <pane ySplit="4" topLeftCell="A18" activePane="bottomLeft" state="frozen"/>
      <selection pane="bottomLeft" activeCell="AN6" sqref="AN6:AN1317"/>
    </sheetView>
  </sheetViews>
  <sheetFormatPr defaultColWidth="26.69921875" defaultRowHeight="13.8"/>
  <cols>
    <col min="1" max="1" width="10.8984375" bestFit="1" customWidth="1"/>
    <col min="2" max="2" width="25.8984375" bestFit="1" customWidth="1"/>
    <col min="3" max="3" width="19.796875" bestFit="1" customWidth="1"/>
    <col min="4" max="4" width="26.296875" bestFit="1" customWidth="1"/>
    <col min="5" max="5" width="25.796875" bestFit="1" customWidth="1"/>
    <col min="6" max="6" width="25.69921875" bestFit="1" customWidth="1"/>
    <col min="7" max="7" width="25.19921875" bestFit="1" customWidth="1"/>
    <col min="8" max="8" width="25.296875" bestFit="1" customWidth="1"/>
    <col min="9" max="9" width="26.09765625" bestFit="1" customWidth="1"/>
    <col min="10" max="10" width="25.296875" bestFit="1" customWidth="1"/>
    <col min="11" max="11" width="23.69921875" bestFit="1" customWidth="1"/>
    <col min="12" max="12" width="25.19921875" bestFit="1" customWidth="1"/>
    <col min="13" max="13" width="22.69921875" bestFit="1" customWidth="1"/>
    <col min="14" max="14" width="23" bestFit="1" customWidth="1"/>
    <col min="15" max="15" width="15.296875" bestFit="1" customWidth="1"/>
    <col min="16" max="16" width="25.19921875" bestFit="1" customWidth="1"/>
    <col min="17" max="17" width="21.69921875" bestFit="1" customWidth="1"/>
    <col min="18" max="18" width="24.69921875" bestFit="1" customWidth="1"/>
    <col min="20" max="20" width="23.796875" bestFit="1" customWidth="1"/>
    <col min="21" max="21" width="26.296875" bestFit="1" customWidth="1"/>
    <col min="22" max="22" width="25.69921875" bestFit="1" customWidth="1"/>
    <col min="23" max="23" width="17.69921875" bestFit="1" customWidth="1"/>
    <col min="24" max="24" width="25.8984375" bestFit="1" customWidth="1"/>
    <col min="25" max="25" width="23.69921875" bestFit="1" customWidth="1"/>
    <col min="26" max="26" width="21.69921875" bestFit="1" customWidth="1"/>
    <col min="27" max="27" width="22" bestFit="1" customWidth="1"/>
    <col min="28" max="28" width="23.19921875" bestFit="1" customWidth="1"/>
    <col min="29" max="29" width="23.69921875" bestFit="1" customWidth="1"/>
    <col min="30" max="30" width="22.296875" bestFit="1" customWidth="1"/>
    <col min="31" max="31" width="23.8984375" bestFit="1" customWidth="1"/>
    <col min="32" max="32" width="25.296875" bestFit="1" customWidth="1"/>
    <col min="33" max="33" width="22.09765625" bestFit="1" customWidth="1"/>
    <col min="34" max="34" width="21.8984375" bestFit="1" customWidth="1"/>
    <col min="35" max="35" width="21.09765625" bestFit="1" customWidth="1"/>
    <col min="36" max="36" width="20.796875" bestFit="1" customWidth="1"/>
  </cols>
  <sheetData>
    <row r="1" spans="1:40">
      <c r="A1" s="25" t="s">
        <v>0</v>
      </c>
      <c r="B1" s="13" t="s">
        <v>1</v>
      </c>
      <c r="C1" s="14" t="s">
        <v>2</v>
      </c>
      <c r="D1" s="15" t="s">
        <v>3</v>
      </c>
      <c r="E1" s="14" t="s">
        <v>4</v>
      </c>
      <c r="F1" s="16" t="s">
        <v>5</v>
      </c>
      <c r="G1" s="13" t="s">
        <v>6</v>
      </c>
      <c r="H1" s="16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14" t="s">
        <v>14</v>
      </c>
      <c r="P1" s="15" t="s">
        <v>15</v>
      </c>
      <c r="Q1" s="15" t="s">
        <v>16</v>
      </c>
      <c r="R1" s="16" t="s">
        <v>17</v>
      </c>
      <c r="S1" s="14" t="s">
        <v>18</v>
      </c>
      <c r="T1" s="17" t="s">
        <v>19</v>
      </c>
      <c r="U1" s="14" t="s">
        <v>20</v>
      </c>
      <c r="V1" s="15" t="s">
        <v>21</v>
      </c>
      <c r="W1" s="15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7" t="s">
        <v>29</v>
      </c>
      <c r="AE1" s="13" t="s">
        <v>30</v>
      </c>
      <c r="AF1" s="16" t="s">
        <v>31</v>
      </c>
      <c r="AG1" s="13" t="s">
        <v>32</v>
      </c>
      <c r="AH1" s="16" t="s">
        <v>33</v>
      </c>
      <c r="AI1" s="14" t="s">
        <v>34</v>
      </c>
      <c r="AJ1" s="16" t="s">
        <v>35</v>
      </c>
      <c r="AK1" s="27" t="s">
        <v>36</v>
      </c>
      <c r="AL1" s="27" t="s">
        <v>37</v>
      </c>
      <c r="AM1" s="26" t="s">
        <v>38</v>
      </c>
      <c r="AN1" s="26" t="s">
        <v>39</v>
      </c>
    </row>
    <row r="2" spans="1:40" ht="68.400000000000006">
      <c r="A2" s="25" t="s">
        <v>40</v>
      </c>
      <c r="B2" s="2" t="s">
        <v>41</v>
      </c>
      <c r="C2" s="3" t="s">
        <v>42</v>
      </c>
      <c r="D2" s="1" t="s">
        <v>43</v>
      </c>
      <c r="E2" s="3" t="s">
        <v>44</v>
      </c>
      <c r="F2" s="4" t="s">
        <v>45</v>
      </c>
      <c r="G2" s="2" t="s">
        <v>46</v>
      </c>
      <c r="H2" s="4" t="s">
        <v>47</v>
      </c>
      <c r="I2" s="3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4" t="s">
        <v>53</v>
      </c>
      <c r="O2" s="3" t="s">
        <v>54</v>
      </c>
      <c r="P2" s="1" t="s">
        <v>55</v>
      </c>
      <c r="Q2" s="1" t="s">
        <v>56</v>
      </c>
      <c r="R2" s="4" t="s">
        <v>57</v>
      </c>
      <c r="S2" s="3" t="s">
        <v>58</v>
      </c>
      <c r="T2" s="18" t="s">
        <v>59</v>
      </c>
      <c r="U2" s="3" t="s">
        <v>60</v>
      </c>
      <c r="V2" s="1" t="s">
        <v>61</v>
      </c>
      <c r="W2" s="1" t="s">
        <v>62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67</v>
      </c>
      <c r="AC2" s="2" t="s">
        <v>68</v>
      </c>
      <c r="AD2" s="18" t="s">
        <v>69</v>
      </c>
      <c r="AE2" s="2" t="s">
        <v>70</v>
      </c>
      <c r="AF2" s="4" t="s">
        <v>71</v>
      </c>
      <c r="AG2" s="2" t="s">
        <v>72</v>
      </c>
      <c r="AH2" s="4" t="s">
        <v>73</v>
      </c>
      <c r="AI2" s="3" t="s">
        <v>74</v>
      </c>
      <c r="AJ2" s="4" t="s">
        <v>75</v>
      </c>
      <c r="AK2" s="32" t="s">
        <v>76</v>
      </c>
      <c r="AL2" s="32" t="s">
        <v>77</v>
      </c>
      <c r="AM2" s="32" t="s">
        <v>170</v>
      </c>
      <c r="AN2" s="32" t="s">
        <v>78</v>
      </c>
    </row>
    <row r="3" spans="1:40" ht="24">
      <c r="A3" s="25" t="s">
        <v>79</v>
      </c>
      <c r="B3" s="2" t="s">
        <v>80</v>
      </c>
      <c r="C3" s="3" t="s">
        <v>81</v>
      </c>
      <c r="D3" s="1" t="s">
        <v>82</v>
      </c>
      <c r="E3" s="3" t="s">
        <v>83</v>
      </c>
      <c r="F3" s="4" t="s">
        <v>84</v>
      </c>
      <c r="G3" s="2" t="s">
        <v>85</v>
      </c>
      <c r="H3" s="4" t="s">
        <v>86</v>
      </c>
      <c r="I3" s="3" t="s">
        <v>87</v>
      </c>
      <c r="J3" s="1" t="s">
        <v>88</v>
      </c>
      <c r="K3" s="1" t="s">
        <v>89</v>
      </c>
      <c r="L3" s="1" t="s">
        <v>90</v>
      </c>
      <c r="M3" s="1" t="s">
        <v>91</v>
      </c>
      <c r="N3" s="4" t="s">
        <v>92</v>
      </c>
      <c r="O3" s="3" t="s">
        <v>93</v>
      </c>
      <c r="P3" s="1" t="s">
        <v>94</v>
      </c>
      <c r="Q3" s="1" t="s">
        <v>95</v>
      </c>
      <c r="R3" s="4" t="s">
        <v>96</v>
      </c>
      <c r="S3" s="3" t="s">
        <v>97</v>
      </c>
      <c r="T3" s="18" t="s">
        <v>98</v>
      </c>
      <c r="U3" s="3" t="s">
        <v>99</v>
      </c>
      <c r="V3" s="1" t="s">
        <v>100</v>
      </c>
      <c r="W3" s="1" t="s">
        <v>101</v>
      </c>
      <c r="X3" s="2" t="s">
        <v>102</v>
      </c>
      <c r="Y3" s="2" t="s">
        <v>103</v>
      </c>
      <c r="Z3" s="2" t="s">
        <v>104</v>
      </c>
      <c r="AA3" s="2" t="s">
        <v>105</v>
      </c>
      <c r="AB3" s="2" t="s">
        <v>97</v>
      </c>
      <c r="AC3" s="2" t="s">
        <v>106</v>
      </c>
      <c r="AD3" s="18" t="s">
        <v>107</v>
      </c>
      <c r="AE3" s="2" t="s">
        <v>108</v>
      </c>
      <c r="AF3" s="4" t="s">
        <v>109</v>
      </c>
      <c r="AG3" s="2" t="s">
        <v>110</v>
      </c>
      <c r="AH3" s="4" t="s">
        <v>111</v>
      </c>
      <c r="AI3" s="3" t="s">
        <v>112</v>
      </c>
      <c r="AJ3" s="30" t="s">
        <v>113</v>
      </c>
      <c r="AK3" s="28">
        <v>16</v>
      </c>
      <c r="AL3" s="28">
        <v>112</v>
      </c>
      <c r="AM3" s="29"/>
      <c r="AN3" s="29">
        <v>2223</v>
      </c>
    </row>
    <row r="4" spans="1:40">
      <c r="A4" s="25" t="s">
        <v>114</v>
      </c>
      <c r="B4" s="6" t="s">
        <v>115</v>
      </c>
      <c r="C4" s="7" t="s">
        <v>115</v>
      </c>
      <c r="D4" s="5" t="s">
        <v>115</v>
      </c>
      <c r="E4" s="7" t="s">
        <v>115</v>
      </c>
      <c r="F4" s="8" t="s">
        <v>116</v>
      </c>
      <c r="G4" s="9" t="s">
        <v>116</v>
      </c>
      <c r="H4" s="10" t="s">
        <v>115</v>
      </c>
      <c r="I4" s="7" t="s">
        <v>115</v>
      </c>
      <c r="J4" s="11" t="s">
        <v>117</v>
      </c>
      <c r="K4" s="11" t="s">
        <v>117</v>
      </c>
      <c r="L4" s="5" t="s">
        <v>115</v>
      </c>
      <c r="M4" s="5" t="s">
        <v>115</v>
      </c>
      <c r="N4" s="8" t="s">
        <v>116</v>
      </c>
      <c r="O4" s="12" t="s">
        <v>116</v>
      </c>
      <c r="P4" s="11" t="s">
        <v>116</v>
      </c>
      <c r="Q4" s="11" t="s">
        <v>116</v>
      </c>
      <c r="R4" s="10" t="s">
        <v>115</v>
      </c>
      <c r="S4" s="12" t="s">
        <v>116</v>
      </c>
      <c r="T4" s="19" t="s">
        <v>115</v>
      </c>
      <c r="U4" s="7" t="s">
        <v>115</v>
      </c>
      <c r="V4" s="11" t="s">
        <v>116</v>
      </c>
      <c r="W4" s="11" t="s">
        <v>116</v>
      </c>
      <c r="X4" s="6" t="s">
        <v>115</v>
      </c>
      <c r="Y4" s="6" t="s">
        <v>115</v>
      </c>
      <c r="Z4" s="6" t="s">
        <v>115</v>
      </c>
      <c r="AA4" s="6" t="s">
        <v>115</v>
      </c>
      <c r="AB4" s="6" t="s">
        <v>115</v>
      </c>
      <c r="AC4" s="6" t="s">
        <v>115</v>
      </c>
      <c r="AD4" s="20" t="s">
        <v>116</v>
      </c>
      <c r="AE4" s="9" t="s">
        <v>116</v>
      </c>
      <c r="AF4" s="8" t="s">
        <v>116</v>
      </c>
      <c r="AG4" s="9" t="s">
        <v>116</v>
      </c>
      <c r="AH4" s="10" t="s">
        <v>115</v>
      </c>
      <c r="AI4" s="12" t="s">
        <v>117</v>
      </c>
      <c r="AJ4" s="31" t="s">
        <v>117</v>
      </c>
      <c r="AK4" s="28" t="s">
        <v>118</v>
      </c>
      <c r="AL4" s="28" t="s">
        <v>119</v>
      </c>
      <c r="AM4" s="28" t="s">
        <v>119</v>
      </c>
      <c r="AN4" s="28" t="s">
        <v>119</v>
      </c>
    </row>
    <row r="6" spans="1:40">
      <c r="B6" t="s">
        <v>177</v>
      </c>
      <c r="C6" t="s">
        <v>173</v>
      </c>
      <c r="D6" t="s">
        <v>167</v>
      </c>
      <c r="E6" t="s">
        <v>83</v>
      </c>
      <c r="F6" s="38">
        <v>46183</v>
      </c>
      <c r="G6">
        <v>10</v>
      </c>
      <c r="H6" t="s">
        <v>174</v>
      </c>
      <c r="I6" s="37">
        <v>46253</v>
      </c>
      <c r="J6" t="s">
        <v>165</v>
      </c>
      <c r="K6" t="s">
        <v>166</v>
      </c>
      <c r="L6" t="s">
        <v>175</v>
      </c>
      <c r="M6" t="s">
        <v>177</v>
      </c>
      <c r="O6" t="s">
        <v>177</v>
      </c>
      <c r="Q6" t="s">
        <v>447</v>
      </c>
      <c r="U6" t="s">
        <v>1696</v>
      </c>
      <c r="W6" t="s">
        <v>1701</v>
      </c>
      <c r="X6">
        <v>0</v>
      </c>
      <c r="Y6">
        <v>0</v>
      </c>
      <c r="Z6">
        <v>0</v>
      </c>
      <c r="AA6" s="43">
        <v>307.5</v>
      </c>
      <c r="AC6" s="43">
        <v>307.5</v>
      </c>
      <c r="AF6" s="37">
        <f>F6+(47*7)</f>
        <v>46512</v>
      </c>
      <c r="AG6" s="37">
        <f t="shared" ref="AG6" si="0">+AF6+(365*8)/2.42</f>
        <v>47718.611570247936</v>
      </c>
      <c r="AH6" t="s">
        <v>1704</v>
      </c>
      <c r="AN6" s="43">
        <v>307.5</v>
      </c>
    </row>
    <row r="7" spans="1:40">
      <c r="B7" t="s">
        <v>178</v>
      </c>
      <c r="C7" t="s">
        <v>173</v>
      </c>
      <c r="D7" t="s">
        <v>167</v>
      </c>
      <c r="E7" t="s">
        <v>83</v>
      </c>
      <c r="F7" s="38">
        <v>46183</v>
      </c>
      <c r="G7">
        <v>10</v>
      </c>
      <c r="H7" t="s">
        <v>174</v>
      </c>
      <c r="I7" s="37">
        <v>46253</v>
      </c>
      <c r="J7" t="s">
        <v>165</v>
      </c>
      <c r="K7" t="s">
        <v>166</v>
      </c>
      <c r="L7" t="s">
        <v>175</v>
      </c>
      <c r="M7" t="s">
        <v>178</v>
      </c>
      <c r="O7" t="s">
        <v>178</v>
      </c>
      <c r="Q7" t="s">
        <v>448</v>
      </c>
      <c r="U7" t="s">
        <v>1696</v>
      </c>
      <c r="W7" t="s">
        <v>1701</v>
      </c>
      <c r="X7">
        <v>0</v>
      </c>
      <c r="Y7">
        <v>0</v>
      </c>
      <c r="Z7">
        <v>0</v>
      </c>
      <c r="AA7" s="43">
        <v>307.5</v>
      </c>
      <c r="AC7" s="43">
        <v>307.5</v>
      </c>
      <c r="AF7" s="37">
        <f t="shared" ref="AF7:AF70" si="1">F7+(47*7)</f>
        <v>46512</v>
      </c>
      <c r="AG7" s="37">
        <f t="shared" ref="AG7:AG70" si="2">+AF7+(365*8)/2.42</f>
        <v>47718.611570247936</v>
      </c>
      <c r="AH7" t="s">
        <v>1704</v>
      </c>
      <c r="AN7" s="43">
        <v>307.5</v>
      </c>
    </row>
    <row r="8" spans="1:40">
      <c r="B8" t="s">
        <v>179</v>
      </c>
      <c r="C8" t="s">
        <v>173</v>
      </c>
      <c r="D8" t="s">
        <v>167</v>
      </c>
      <c r="E8" t="s">
        <v>83</v>
      </c>
      <c r="F8" s="38">
        <v>46183</v>
      </c>
      <c r="G8">
        <v>10</v>
      </c>
      <c r="H8" t="s">
        <v>174</v>
      </c>
      <c r="I8" s="37">
        <v>46253</v>
      </c>
      <c r="J8" t="s">
        <v>165</v>
      </c>
      <c r="K8" t="s">
        <v>166</v>
      </c>
      <c r="L8" t="s">
        <v>175</v>
      </c>
      <c r="M8" t="s">
        <v>179</v>
      </c>
      <c r="O8" t="s">
        <v>179</v>
      </c>
      <c r="Q8" t="s">
        <v>448</v>
      </c>
      <c r="U8" t="s">
        <v>1696</v>
      </c>
      <c r="W8" t="s">
        <v>1701</v>
      </c>
      <c r="X8">
        <v>0</v>
      </c>
      <c r="Y8">
        <v>0</v>
      </c>
      <c r="Z8">
        <v>0</v>
      </c>
      <c r="AA8" s="43">
        <v>307.5</v>
      </c>
      <c r="AC8" s="43">
        <v>307.5</v>
      </c>
      <c r="AF8" s="37">
        <f t="shared" si="1"/>
        <v>46512</v>
      </c>
      <c r="AG8" s="37">
        <f t="shared" si="2"/>
        <v>47718.611570247936</v>
      </c>
      <c r="AH8" t="s">
        <v>1704</v>
      </c>
      <c r="AN8" s="43">
        <v>307.5</v>
      </c>
    </row>
    <row r="9" spans="1:40">
      <c r="B9" t="s">
        <v>180</v>
      </c>
      <c r="C9" t="s">
        <v>173</v>
      </c>
      <c r="D9" t="s">
        <v>167</v>
      </c>
      <c r="E9" t="s">
        <v>83</v>
      </c>
      <c r="F9" s="38">
        <v>46183</v>
      </c>
      <c r="G9">
        <v>10</v>
      </c>
      <c r="H9" t="s">
        <v>174</v>
      </c>
      <c r="I9" s="37">
        <v>46253</v>
      </c>
      <c r="J9" t="s">
        <v>165</v>
      </c>
      <c r="K9" t="s">
        <v>166</v>
      </c>
      <c r="L9" t="s">
        <v>175</v>
      </c>
      <c r="M9" t="s">
        <v>180</v>
      </c>
      <c r="O9" t="s">
        <v>180</v>
      </c>
      <c r="Q9" t="s">
        <v>449</v>
      </c>
      <c r="U9" t="s">
        <v>1696</v>
      </c>
      <c r="W9" t="s">
        <v>1701</v>
      </c>
      <c r="X9">
        <v>0</v>
      </c>
      <c r="Y9">
        <v>0</v>
      </c>
      <c r="Z9">
        <v>0</v>
      </c>
      <c r="AA9" s="43">
        <v>307.5</v>
      </c>
      <c r="AC9" s="43">
        <v>307.5</v>
      </c>
      <c r="AF9" s="37">
        <f t="shared" si="1"/>
        <v>46512</v>
      </c>
      <c r="AG9" s="37">
        <f t="shared" si="2"/>
        <v>47718.611570247936</v>
      </c>
      <c r="AH9" t="s">
        <v>1704</v>
      </c>
      <c r="AN9" s="43">
        <v>307.5</v>
      </c>
    </row>
    <row r="10" spans="1:40">
      <c r="B10" t="s">
        <v>181</v>
      </c>
      <c r="C10" t="s">
        <v>173</v>
      </c>
      <c r="D10" t="s">
        <v>167</v>
      </c>
      <c r="E10" t="s">
        <v>83</v>
      </c>
      <c r="F10" s="38">
        <v>46183</v>
      </c>
      <c r="G10">
        <v>10</v>
      </c>
      <c r="H10" t="s">
        <v>174</v>
      </c>
      <c r="I10" s="37">
        <v>46253</v>
      </c>
      <c r="J10" t="s">
        <v>165</v>
      </c>
      <c r="K10" t="s">
        <v>166</v>
      </c>
      <c r="L10" t="s">
        <v>175</v>
      </c>
      <c r="M10" t="s">
        <v>181</v>
      </c>
      <c r="O10" t="s">
        <v>181</v>
      </c>
      <c r="Q10" t="s">
        <v>450</v>
      </c>
      <c r="U10" t="s">
        <v>1696</v>
      </c>
      <c r="W10" t="s">
        <v>1701</v>
      </c>
      <c r="X10">
        <v>0</v>
      </c>
      <c r="Y10">
        <v>0</v>
      </c>
      <c r="Z10">
        <v>0</v>
      </c>
      <c r="AA10" s="43">
        <v>307.5</v>
      </c>
      <c r="AC10" s="43">
        <v>307.5</v>
      </c>
      <c r="AF10" s="37">
        <f t="shared" si="1"/>
        <v>46512</v>
      </c>
      <c r="AG10" s="37">
        <f t="shared" si="2"/>
        <v>47718.611570247936</v>
      </c>
      <c r="AH10" t="s">
        <v>1704</v>
      </c>
      <c r="AN10" s="43">
        <v>307.5</v>
      </c>
    </row>
    <row r="11" spans="1:40">
      <c r="B11" t="s">
        <v>182</v>
      </c>
      <c r="C11" t="s">
        <v>173</v>
      </c>
      <c r="D11" t="s">
        <v>167</v>
      </c>
      <c r="E11" t="s">
        <v>83</v>
      </c>
      <c r="F11" s="38">
        <v>46183</v>
      </c>
      <c r="G11">
        <v>10</v>
      </c>
      <c r="H11" t="s">
        <v>174</v>
      </c>
      <c r="I11" s="37">
        <v>46253</v>
      </c>
      <c r="J11" t="s">
        <v>165</v>
      </c>
      <c r="K11" t="s">
        <v>166</v>
      </c>
      <c r="L11" t="s">
        <v>175</v>
      </c>
      <c r="M11" t="s">
        <v>182</v>
      </c>
      <c r="O11" t="s">
        <v>182</v>
      </c>
      <c r="Q11" t="s">
        <v>451</v>
      </c>
      <c r="U11" t="s">
        <v>1696</v>
      </c>
      <c r="W11" t="s">
        <v>1701</v>
      </c>
      <c r="X11">
        <v>0</v>
      </c>
      <c r="Y11">
        <v>0</v>
      </c>
      <c r="Z11">
        <v>0</v>
      </c>
      <c r="AA11" s="43">
        <v>307.5</v>
      </c>
      <c r="AC11" s="43">
        <v>307.5</v>
      </c>
      <c r="AF11" s="37">
        <f t="shared" si="1"/>
        <v>46512</v>
      </c>
      <c r="AG11" s="37">
        <f t="shared" si="2"/>
        <v>47718.611570247936</v>
      </c>
      <c r="AH11" t="s">
        <v>1704</v>
      </c>
      <c r="AN11" s="43">
        <v>307.5</v>
      </c>
    </row>
    <row r="12" spans="1:40">
      <c r="B12" t="s">
        <v>183</v>
      </c>
      <c r="C12" t="s">
        <v>173</v>
      </c>
      <c r="D12" t="s">
        <v>167</v>
      </c>
      <c r="E12" t="s">
        <v>83</v>
      </c>
      <c r="F12" s="38">
        <v>46183</v>
      </c>
      <c r="G12">
        <v>10</v>
      </c>
      <c r="H12" t="s">
        <v>174</v>
      </c>
      <c r="I12" s="37">
        <v>46253</v>
      </c>
      <c r="J12" t="s">
        <v>165</v>
      </c>
      <c r="K12" t="s">
        <v>166</v>
      </c>
      <c r="L12" t="s">
        <v>175</v>
      </c>
      <c r="M12" t="s">
        <v>183</v>
      </c>
      <c r="O12" t="s">
        <v>183</v>
      </c>
      <c r="Q12" t="s">
        <v>452</v>
      </c>
      <c r="U12" t="s">
        <v>1696</v>
      </c>
      <c r="W12" t="s">
        <v>1701</v>
      </c>
      <c r="X12">
        <v>0</v>
      </c>
      <c r="Y12">
        <v>0</v>
      </c>
      <c r="Z12">
        <v>0</v>
      </c>
      <c r="AA12" s="43">
        <v>307.5</v>
      </c>
      <c r="AC12" s="43">
        <v>307.5</v>
      </c>
      <c r="AF12" s="37">
        <f t="shared" si="1"/>
        <v>46512</v>
      </c>
      <c r="AG12" s="37">
        <f t="shared" si="2"/>
        <v>47718.611570247936</v>
      </c>
      <c r="AH12" t="s">
        <v>1704</v>
      </c>
      <c r="AN12" s="43">
        <v>307.5</v>
      </c>
    </row>
    <row r="13" spans="1:40">
      <c r="B13" t="s">
        <v>184</v>
      </c>
      <c r="C13" t="s">
        <v>173</v>
      </c>
      <c r="D13" t="s">
        <v>167</v>
      </c>
      <c r="E13" t="s">
        <v>83</v>
      </c>
      <c r="F13" s="38">
        <v>46183</v>
      </c>
      <c r="G13">
        <v>10</v>
      </c>
      <c r="H13" t="s">
        <v>174</v>
      </c>
      <c r="I13" s="37">
        <v>46253</v>
      </c>
      <c r="J13" t="s">
        <v>165</v>
      </c>
      <c r="K13" t="s">
        <v>166</v>
      </c>
      <c r="L13" t="s">
        <v>175</v>
      </c>
      <c r="M13" t="s">
        <v>184</v>
      </c>
      <c r="O13" t="s">
        <v>184</v>
      </c>
      <c r="Q13" t="s">
        <v>453</v>
      </c>
      <c r="U13" t="s">
        <v>1696</v>
      </c>
      <c r="W13" t="s">
        <v>1701</v>
      </c>
      <c r="X13">
        <v>0</v>
      </c>
      <c r="Y13">
        <v>0</v>
      </c>
      <c r="Z13">
        <v>0</v>
      </c>
      <c r="AA13" s="43">
        <v>307.5</v>
      </c>
      <c r="AC13" s="43">
        <v>307.5</v>
      </c>
      <c r="AF13" s="37">
        <f t="shared" si="1"/>
        <v>46512</v>
      </c>
      <c r="AG13" s="37">
        <f t="shared" si="2"/>
        <v>47718.611570247936</v>
      </c>
      <c r="AH13" t="s">
        <v>1704</v>
      </c>
      <c r="AN13" s="43">
        <v>307.5</v>
      </c>
    </row>
    <row r="14" spans="1:40">
      <c r="B14" t="s">
        <v>185</v>
      </c>
      <c r="C14" t="s">
        <v>173</v>
      </c>
      <c r="D14" t="s">
        <v>167</v>
      </c>
      <c r="E14" t="s">
        <v>83</v>
      </c>
      <c r="F14" s="38">
        <v>46183</v>
      </c>
      <c r="G14">
        <v>10</v>
      </c>
      <c r="H14" t="s">
        <v>174</v>
      </c>
      <c r="I14" s="37">
        <v>46253</v>
      </c>
      <c r="J14" t="s">
        <v>165</v>
      </c>
      <c r="K14" t="s">
        <v>166</v>
      </c>
      <c r="L14" t="s">
        <v>175</v>
      </c>
      <c r="M14" t="s">
        <v>185</v>
      </c>
      <c r="O14" t="s">
        <v>185</v>
      </c>
      <c r="Q14" t="s">
        <v>450</v>
      </c>
      <c r="U14" t="s">
        <v>1696</v>
      </c>
      <c r="W14" t="s">
        <v>1701</v>
      </c>
      <c r="X14">
        <v>0</v>
      </c>
      <c r="Y14">
        <v>0</v>
      </c>
      <c r="Z14">
        <v>0</v>
      </c>
      <c r="AA14" s="43">
        <v>307.5</v>
      </c>
      <c r="AC14" s="43">
        <v>307.5</v>
      </c>
      <c r="AF14" s="37">
        <f t="shared" si="1"/>
        <v>46512</v>
      </c>
      <c r="AG14" s="37">
        <f t="shared" si="2"/>
        <v>47718.611570247936</v>
      </c>
      <c r="AH14" t="s">
        <v>1704</v>
      </c>
      <c r="AN14" s="43">
        <v>307.5</v>
      </c>
    </row>
    <row r="15" spans="1:40">
      <c r="B15" t="s">
        <v>186</v>
      </c>
      <c r="C15" t="s">
        <v>173</v>
      </c>
      <c r="D15" t="s">
        <v>167</v>
      </c>
      <c r="E15" t="s">
        <v>83</v>
      </c>
      <c r="F15" s="38">
        <v>46183</v>
      </c>
      <c r="G15">
        <v>10</v>
      </c>
      <c r="H15" t="s">
        <v>174</v>
      </c>
      <c r="I15" s="37">
        <v>46253</v>
      </c>
      <c r="J15" t="s">
        <v>165</v>
      </c>
      <c r="K15" t="s">
        <v>166</v>
      </c>
      <c r="L15" t="s">
        <v>175</v>
      </c>
      <c r="M15" t="s">
        <v>186</v>
      </c>
      <c r="O15" t="s">
        <v>186</v>
      </c>
      <c r="Q15" t="s">
        <v>450</v>
      </c>
      <c r="U15" t="s">
        <v>1696</v>
      </c>
      <c r="W15" t="s">
        <v>1701</v>
      </c>
      <c r="X15">
        <v>0</v>
      </c>
      <c r="Y15">
        <v>0</v>
      </c>
      <c r="Z15">
        <v>0</v>
      </c>
      <c r="AA15" s="43">
        <v>307.5</v>
      </c>
      <c r="AC15" s="43">
        <v>307.5</v>
      </c>
      <c r="AF15" s="37">
        <f t="shared" si="1"/>
        <v>46512</v>
      </c>
      <c r="AG15" s="37">
        <f t="shared" si="2"/>
        <v>47718.611570247936</v>
      </c>
      <c r="AH15" t="s">
        <v>1704</v>
      </c>
      <c r="AN15" s="43">
        <v>307.5</v>
      </c>
    </row>
    <row r="16" spans="1:40">
      <c r="B16" t="s">
        <v>187</v>
      </c>
      <c r="C16" t="s">
        <v>173</v>
      </c>
      <c r="D16" t="s">
        <v>167</v>
      </c>
      <c r="E16" t="s">
        <v>83</v>
      </c>
      <c r="F16" s="38">
        <v>46183</v>
      </c>
      <c r="G16">
        <v>10</v>
      </c>
      <c r="H16" t="s">
        <v>174</v>
      </c>
      <c r="I16" s="37">
        <v>46253</v>
      </c>
      <c r="J16" t="s">
        <v>165</v>
      </c>
      <c r="K16" t="s">
        <v>166</v>
      </c>
      <c r="L16" t="s">
        <v>175</v>
      </c>
      <c r="M16" t="s">
        <v>187</v>
      </c>
      <c r="O16" t="s">
        <v>187</v>
      </c>
      <c r="Q16" t="s">
        <v>450</v>
      </c>
      <c r="U16" t="s">
        <v>1696</v>
      </c>
      <c r="W16" t="s">
        <v>1701</v>
      </c>
      <c r="X16">
        <v>0</v>
      </c>
      <c r="Y16">
        <v>0</v>
      </c>
      <c r="Z16">
        <v>0</v>
      </c>
      <c r="AA16" s="43">
        <v>307.5</v>
      </c>
      <c r="AC16" s="43">
        <v>307.5</v>
      </c>
      <c r="AF16" s="37">
        <f t="shared" si="1"/>
        <v>46512</v>
      </c>
      <c r="AG16" s="37">
        <f t="shared" si="2"/>
        <v>47718.611570247936</v>
      </c>
      <c r="AH16" t="s">
        <v>1704</v>
      </c>
      <c r="AN16" s="43">
        <v>307.5</v>
      </c>
    </row>
    <row r="17" spans="2:40">
      <c r="B17" t="s">
        <v>188</v>
      </c>
      <c r="C17" t="s">
        <v>173</v>
      </c>
      <c r="D17" t="s">
        <v>167</v>
      </c>
      <c r="E17" t="s">
        <v>83</v>
      </c>
      <c r="F17" s="38">
        <v>46183</v>
      </c>
      <c r="G17">
        <v>10</v>
      </c>
      <c r="H17" t="s">
        <v>174</v>
      </c>
      <c r="I17" s="37">
        <v>46253</v>
      </c>
      <c r="J17" t="s">
        <v>165</v>
      </c>
      <c r="K17" t="s">
        <v>166</v>
      </c>
      <c r="L17" t="s">
        <v>175</v>
      </c>
      <c r="M17" t="s">
        <v>188</v>
      </c>
      <c r="O17" t="s">
        <v>188</v>
      </c>
      <c r="Q17" t="s">
        <v>454</v>
      </c>
      <c r="U17" t="s">
        <v>1696</v>
      </c>
      <c r="W17" t="s">
        <v>1701</v>
      </c>
      <c r="X17">
        <v>0</v>
      </c>
      <c r="Y17">
        <v>0</v>
      </c>
      <c r="Z17">
        <v>0</v>
      </c>
      <c r="AA17" s="43">
        <v>307.5</v>
      </c>
      <c r="AC17" s="43">
        <v>307.5</v>
      </c>
      <c r="AF17" s="37">
        <f t="shared" si="1"/>
        <v>46512</v>
      </c>
      <c r="AG17" s="37">
        <f t="shared" si="2"/>
        <v>47718.611570247936</v>
      </c>
      <c r="AH17" t="s">
        <v>1704</v>
      </c>
      <c r="AN17" s="43">
        <v>307.5</v>
      </c>
    </row>
    <row r="18" spans="2:40">
      <c r="B18" t="s">
        <v>189</v>
      </c>
      <c r="C18" t="s">
        <v>173</v>
      </c>
      <c r="D18" t="s">
        <v>167</v>
      </c>
      <c r="E18" t="s">
        <v>83</v>
      </c>
      <c r="F18" s="38">
        <v>46176</v>
      </c>
      <c r="G18">
        <v>10</v>
      </c>
      <c r="H18" t="s">
        <v>174</v>
      </c>
      <c r="I18" s="37">
        <v>46246</v>
      </c>
      <c r="J18" t="s">
        <v>165</v>
      </c>
      <c r="K18" t="s">
        <v>166</v>
      </c>
      <c r="L18" t="s">
        <v>175</v>
      </c>
      <c r="M18" t="s">
        <v>189</v>
      </c>
      <c r="O18" t="s">
        <v>189</v>
      </c>
      <c r="Q18" t="s">
        <v>455</v>
      </c>
      <c r="U18" t="s">
        <v>1696</v>
      </c>
      <c r="W18" t="s">
        <v>1701</v>
      </c>
      <c r="X18">
        <v>0</v>
      </c>
      <c r="Y18">
        <v>0</v>
      </c>
      <c r="Z18">
        <v>0</v>
      </c>
      <c r="AA18" s="43">
        <v>307.5</v>
      </c>
      <c r="AC18" s="43">
        <v>307.5</v>
      </c>
      <c r="AF18" s="37">
        <f t="shared" si="1"/>
        <v>46505</v>
      </c>
      <c r="AG18" s="37">
        <f t="shared" si="2"/>
        <v>47711.611570247936</v>
      </c>
      <c r="AH18" t="s">
        <v>1704</v>
      </c>
      <c r="AN18" s="43">
        <v>307.5</v>
      </c>
    </row>
    <row r="19" spans="2:40">
      <c r="B19" t="s">
        <v>190</v>
      </c>
      <c r="C19" t="s">
        <v>173</v>
      </c>
      <c r="D19" t="s">
        <v>167</v>
      </c>
      <c r="E19" t="s">
        <v>83</v>
      </c>
      <c r="F19" s="38">
        <v>46176</v>
      </c>
      <c r="G19">
        <v>10</v>
      </c>
      <c r="H19" t="s">
        <v>174</v>
      </c>
      <c r="I19" s="37">
        <v>46246</v>
      </c>
      <c r="J19" t="s">
        <v>165</v>
      </c>
      <c r="K19" t="s">
        <v>166</v>
      </c>
      <c r="L19" t="s">
        <v>175</v>
      </c>
      <c r="M19" t="s">
        <v>190</v>
      </c>
      <c r="O19" t="s">
        <v>190</v>
      </c>
      <c r="Q19" t="s">
        <v>456</v>
      </c>
      <c r="U19" t="s">
        <v>1696</v>
      </c>
      <c r="W19" t="s">
        <v>1701</v>
      </c>
      <c r="X19">
        <v>0</v>
      </c>
      <c r="Y19">
        <v>0</v>
      </c>
      <c r="Z19">
        <v>0</v>
      </c>
      <c r="AA19" s="43">
        <v>307.5</v>
      </c>
      <c r="AC19" s="43">
        <v>307.5</v>
      </c>
      <c r="AF19" s="37">
        <f t="shared" si="1"/>
        <v>46505</v>
      </c>
      <c r="AG19" s="37">
        <f t="shared" si="2"/>
        <v>47711.611570247936</v>
      </c>
      <c r="AH19" t="s">
        <v>1704</v>
      </c>
      <c r="AN19" s="43">
        <v>307.5</v>
      </c>
    </row>
    <row r="20" spans="2:40">
      <c r="B20" t="s">
        <v>191</v>
      </c>
      <c r="C20" t="s">
        <v>173</v>
      </c>
      <c r="D20" t="s">
        <v>167</v>
      </c>
      <c r="E20" t="s">
        <v>83</v>
      </c>
      <c r="F20" s="38">
        <v>46176</v>
      </c>
      <c r="G20">
        <v>10</v>
      </c>
      <c r="H20" t="s">
        <v>174</v>
      </c>
      <c r="I20" s="37">
        <v>46246</v>
      </c>
      <c r="J20" t="s">
        <v>165</v>
      </c>
      <c r="K20" t="s">
        <v>166</v>
      </c>
      <c r="L20" t="s">
        <v>175</v>
      </c>
      <c r="M20" t="s">
        <v>191</v>
      </c>
      <c r="O20" t="s">
        <v>191</v>
      </c>
      <c r="Q20" t="s">
        <v>457</v>
      </c>
      <c r="U20" t="s">
        <v>1696</v>
      </c>
      <c r="W20" t="s">
        <v>1701</v>
      </c>
      <c r="X20">
        <v>0</v>
      </c>
      <c r="Y20">
        <v>0</v>
      </c>
      <c r="Z20">
        <v>0</v>
      </c>
      <c r="AA20" s="43">
        <v>307.5</v>
      </c>
      <c r="AC20" s="43">
        <v>307.5</v>
      </c>
      <c r="AF20" s="37">
        <f t="shared" si="1"/>
        <v>46505</v>
      </c>
      <c r="AG20" s="37">
        <f t="shared" si="2"/>
        <v>47711.611570247936</v>
      </c>
      <c r="AH20" t="s">
        <v>1704</v>
      </c>
      <c r="AN20" s="43">
        <v>307.5</v>
      </c>
    </row>
    <row r="21" spans="2:40">
      <c r="B21" t="s">
        <v>192</v>
      </c>
      <c r="C21" t="s">
        <v>173</v>
      </c>
      <c r="D21" t="s">
        <v>167</v>
      </c>
      <c r="E21" t="s">
        <v>83</v>
      </c>
      <c r="F21" s="38">
        <v>46176</v>
      </c>
      <c r="G21">
        <v>10</v>
      </c>
      <c r="H21" t="s">
        <v>174</v>
      </c>
      <c r="I21" s="37">
        <v>46246</v>
      </c>
      <c r="J21" t="s">
        <v>165</v>
      </c>
      <c r="K21" t="s">
        <v>166</v>
      </c>
      <c r="L21" t="s">
        <v>175</v>
      </c>
      <c r="M21" t="s">
        <v>192</v>
      </c>
      <c r="O21" t="s">
        <v>192</v>
      </c>
      <c r="Q21" t="s">
        <v>455</v>
      </c>
      <c r="U21" t="s">
        <v>1696</v>
      </c>
      <c r="W21" t="s">
        <v>1701</v>
      </c>
      <c r="X21">
        <v>0</v>
      </c>
      <c r="Y21">
        <v>0</v>
      </c>
      <c r="Z21">
        <v>0</v>
      </c>
      <c r="AA21" s="43">
        <v>307.5</v>
      </c>
      <c r="AC21" s="43">
        <v>307.5</v>
      </c>
      <c r="AF21" s="37">
        <f t="shared" si="1"/>
        <v>46505</v>
      </c>
      <c r="AG21" s="37">
        <f t="shared" si="2"/>
        <v>47711.611570247936</v>
      </c>
      <c r="AH21" t="s">
        <v>1704</v>
      </c>
      <c r="AN21" s="43">
        <v>307.5</v>
      </c>
    </row>
    <row r="22" spans="2:40">
      <c r="B22" t="s">
        <v>193</v>
      </c>
      <c r="C22" t="s">
        <v>173</v>
      </c>
      <c r="D22" t="s">
        <v>167</v>
      </c>
      <c r="E22" t="s">
        <v>83</v>
      </c>
      <c r="F22" s="38">
        <v>46176</v>
      </c>
      <c r="G22">
        <v>10</v>
      </c>
      <c r="H22" t="s">
        <v>174</v>
      </c>
      <c r="I22" s="37">
        <v>46246</v>
      </c>
      <c r="J22" t="s">
        <v>165</v>
      </c>
      <c r="K22" t="s">
        <v>166</v>
      </c>
      <c r="L22" t="s">
        <v>175</v>
      </c>
      <c r="M22" t="s">
        <v>193</v>
      </c>
      <c r="O22" t="s">
        <v>193</v>
      </c>
      <c r="Q22" t="s">
        <v>456</v>
      </c>
      <c r="U22" t="s">
        <v>1696</v>
      </c>
      <c r="W22" t="s">
        <v>1701</v>
      </c>
      <c r="X22">
        <v>0</v>
      </c>
      <c r="Y22">
        <v>0</v>
      </c>
      <c r="Z22">
        <v>0</v>
      </c>
      <c r="AA22" s="43">
        <v>307.5</v>
      </c>
      <c r="AC22" s="43">
        <v>307.5</v>
      </c>
      <c r="AF22" s="37">
        <f t="shared" si="1"/>
        <v>46505</v>
      </c>
      <c r="AG22" s="37">
        <f t="shared" si="2"/>
        <v>47711.611570247936</v>
      </c>
      <c r="AH22" t="s">
        <v>1704</v>
      </c>
      <c r="AN22" s="43">
        <v>307.5</v>
      </c>
    </row>
    <row r="23" spans="2:40">
      <c r="B23" t="s">
        <v>194</v>
      </c>
      <c r="C23" t="s">
        <v>173</v>
      </c>
      <c r="D23" t="s">
        <v>167</v>
      </c>
      <c r="E23" t="s">
        <v>83</v>
      </c>
      <c r="F23" s="38">
        <v>46176</v>
      </c>
      <c r="G23">
        <v>10</v>
      </c>
      <c r="H23" t="s">
        <v>174</v>
      </c>
      <c r="I23" s="37">
        <v>46246</v>
      </c>
      <c r="J23" t="s">
        <v>165</v>
      </c>
      <c r="K23" t="s">
        <v>166</v>
      </c>
      <c r="L23" t="s">
        <v>175</v>
      </c>
      <c r="M23" t="s">
        <v>194</v>
      </c>
      <c r="O23" t="s">
        <v>194</v>
      </c>
      <c r="Q23" t="s">
        <v>458</v>
      </c>
      <c r="U23" t="s">
        <v>1696</v>
      </c>
      <c r="W23" t="s">
        <v>1701</v>
      </c>
      <c r="X23">
        <v>0</v>
      </c>
      <c r="Y23">
        <v>0</v>
      </c>
      <c r="Z23">
        <v>0</v>
      </c>
      <c r="AA23" s="43">
        <v>307.5</v>
      </c>
      <c r="AC23" s="43">
        <v>307.5</v>
      </c>
      <c r="AF23" s="37">
        <f t="shared" si="1"/>
        <v>46505</v>
      </c>
      <c r="AG23" s="37">
        <f t="shared" si="2"/>
        <v>47711.611570247936</v>
      </c>
      <c r="AH23" t="s">
        <v>1704</v>
      </c>
      <c r="AN23" s="43">
        <v>307.5</v>
      </c>
    </row>
    <row r="24" spans="2:40">
      <c r="B24" t="s">
        <v>195</v>
      </c>
      <c r="C24" t="s">
        <v>173</v>
      </c>
      <c r="D24" t="s">
        <v>167</v>
      </c>
      <c r="E24" t="s">
        <v>83</v>
      </c>
      <c r="F24" s="38">
        <v>46176</v>
      </c>
      <c r="G24">
        <v>10</v>
      </c>
      <c r="H24" t="s">
        <v>174</v>
      </c>
      <c r="I24" s="37">
        <v>46246</v>
      </c>
      <c r="J24" t="s">
        <v>165</v>
      </c>
      <c r="K24" t="s">
        <v>166</v>
      </c>
      <c r="L24" t="s">
        <v>175</v>
      </c>
      <c r="M24" t="s">
        <v>195</v>
      </c>
      <c r="O24" t="s">
        <v>195</v>
      </c>
      <c r="Q24" t="s">
        <v>456</v>
      </c>
      <c r="U24" t="s">
        <v>1696</v>
      </c>
      <c r="W24" t="s">
        <v>1701</v>
      </c>
      <c r="X24">
        <v>0</v>
      </c>
      <c r="Y24">
        <v>0</v>
      </c>
      <c r="Z24">
        <v>0</v>
      </c>
      <c r="AA24" s="43">
        <v>307.5</v>
      </c>
      <c r="AC24" s="43">
        <v>307.5</v>
      </c>
      <c r="AF24" s="37">
        <f t="shared" si="1"/>
        <v>46505</v>
      </c>
      <c r="AG24" s="37">
        <f t="shared" si="2"/>
        <v>47711.611570247936</v>
      </c>
      <c r="AH24" t="s">
        <v>1704</v>
      </c>
      <c r="AN24" s="43">
        <v>307.5</v>
      </c>
    </row>
    <row r="25" spans="2:40">
      <c r="B25" t="s">
        <v>196</v>
      </c>
      <c r="C25" t="s">
        <v>173</v>
      </c>
      <c r="D25" t="s">
        <v>167</v>
      </c>
      <c r="E25" t="s">
        <v>83</v>
      </c>
      <c r="F25" s="38">
        <v>46176</v>
      </c>
      <c r="G25">
        <v>10</v>
      </c>
      <c r="H25" t="s">
        <v>174</v>
      </c>
      <c r="I25" s="37">
        <v>46246</v>
      </c>
      <c r="J25" t="s">
        <v>165</v>
      </c>
      <c r="K25" t="s">
        <v>166</v>
      </c>
      <c r="L25" t="s">
        <v>175</v>
      </c>
      <c r="M25" t="s">
        <v>196</v>
      </c>
      <c r="O25" t="s">
        <v>196</v>
      </c>
      <c r="Q25" t="s">
        <v>455</v>
      </c>
      <c r="U25" t="s">
        <v>1696</v>
      </c>
      <c r="W25" t="s">
        <v>1701</v>
      </c>
      <c r="X25">
        <v>0</v>
      </c>
      <c r="Y25">
        <v>0</v>
      </c>
      <c r="Z25">
        <v>0</v>
      </c>
      <c r="AA25" s="43">
        <v>307.5</v>
      </c>
      <c r="AC25" s="43">
        <v>307.5</v>
      </c>
      <c r="AF25" s="37">
        <f t="shared" si="1"/>
        <v>46505</v>
      </c>
      <c r="AG25" s="37">
        <f t="shared" si="2"/>
        <v>47711.611570247936</v>
      </c>
      <c r="AH25" t="s">
        <v>1704</v>
      </c>
      <c r="AN25" s="43">
        <v>307.5</v>
      </c>
    </row>
    <row r="26" spans="2:40">
      <c r="B26" t="s">
        <v>197</v>
      </c>
      <c r="C26" t="s">
        <v>173</v>
      </c>
      <c r="D26" t="s">
        <v>167</v>
      </c>
      <c r="E26" t="s">
        <v>83</v>
      </c>
      <c r="F26" s="38">
        <v>46176</v>
      </c>
      <c r="G26">
        <v>10</v>
      </c>
      <c r="H26" t="s">
        <v>174</v>
      </c>
      <c r="I26" s="37">
        <v>46246</v>
      </c>
      <c r="J26" t="s">
        <v>165</v>
      </c>
      <c r="K26" t="s">
        <v>166</v>
      </c>
      <c r="L26" t="s">
        <v>175</v>
      </c>
      <c r="M26" t="s">
        <v>197</v>
      </c>
      <c r="O26" t="s">
        <v>197</v>
      </c>
      <c r="Q26" t="s">
        <v>457</v>
      </c>
      <c r="U26" t="s">
        <v>1696</v>
      </c>
      <c r="W26" t="s">
        <v>1701</v>
      </c>
      <c r="X26">
        <v>0</v>
      </c>
      <c r="Y26">
        <v>0</v>
      </c>
      <c r="Z26">
        <v>0</v>
      </c>
      <c r="AA26" s="43">
        <v>307.5</v>
      </c>
      <c r="AC26" s="43">
        <v>307.5</v>
      </c>
      <c r="AF26" s="37">
        <f t="shared" si="1"/>
        <v>46505</v>
      </c>
      <c r="AG26" s="37">
        <f t="shared" si="2"/>
        <v>47711.611570247936</v>
      </c>
      <c r="AH26" t="s">
        <v>1704</v>
      </c>
      <c r="AN26" s="43">
        <v>307.5</v>
      </c>
    </row>
    <row r="27" spans="2:40">
      <c r="B27" t="s">
        <v>198</v>
      </c>
      <c r="C27" t="s">
        <v>173</v>
      </c>
      <c r="D27" t="s">
        <v>167</v>
      </c>
      <c r="E27" t="s">
        <v>83</v>
      </c>
      <c r="F27" s="38">
        <v>46176</v>
      </c>
      <c r="G27">
        <v>10</v>
      </c>
      <c r="H27" t="s">
        <v>174</v>
      </c>
      <c r="I27" s="37">
        <v>46246</v>
      </c>
      <c r="J27" t="s">
        <v>165</v>
      </c>
      <c r="K27" t="s">
        <v>166</v>
      </c>
      <c r="L27" t="s">
        <v>175</v>
      </c>
      <c r="M27" t="s">
        <v>198</v>
      </c>
      <c r="O27" t="s">
        <v>198</v>
      </c>
      <c r="Q27" t="s">
        <v>459</v>
      </c>
      <c r="U27" t="s">
        <v>1696</v>
      </c>
      <c r="W27" t="s">
        <v>1701</v>
      </c>
      <c r="X27">
        <v>0</v>
      </c>
      <c r="Y27">
        <v>0</v>
      </c>
      <c r="Z27">
        <v>0</v>
      </c>
      <c r="AA27" s="43">
        <v>307.5</v>
      </c>
      <c r="AC27" s="43">
        <v>307.5</v>
      </c>
      <c r="AF27" s="37">
        <f t="shared" si="1"/>
        <v>46505</v>
      </c>
      <c r="AG27" s="37">
        <f t="shared" si="2"/>
        <v>47711.611570247936</v>
      </c>
      <c r="AH27" t="s">
        <v>1704</v>
      </c>
      <c r="AN27" s="43">
        <v>307.5</v>
      </c>
    </row>
    <row r="28" spans="2:40">
      <c r="B28" t="s">
        <v>199</v>
      </c>
      <c r="C28" t="s">
        <v>173</v>
      </c>
      <c r="D28" t="s">
        <v>167</v>
      </c>
      <c r="E28" t="s">
        <v>83</v>
      </c>
      <c r="F28" s="38">
        <v>46176</v>
      </c>
      <c r="G28">
        <v>10</v>
      </c>
      <c r="H28" t="s">
        <v>174</v>
      </c>
      <c r="I28" s="37">
        <v>46246</v>
      </c>
      <c r="J28" t="s">
        <v>165</v>
      </c>
      <c r="K28" t="s">
        <v>166</v>
      </c>
      <c r="L28" t="s">
        <v>175</v>
      </c>
      <c r="M28" t="s">
        <v>199</v>
      </c>
      <c r="O28" t="s">
        <v>199</v>
      </c>
      <c r="Q28" t="s">
        <v>458</v>
      </c>
      <c r="U28" t="s">
        <v>1696</v>
      </c>
      <c r="W28" t="s">
        <v>1701</v>
      </c>
      <c r="X28">
        <v>0</v>
      </c>
      <c r="Y28">
        <v>0</v>
      </c>
      <c r="Z28">
        <v>0</v>
      </c>
      <c r="AA28" s="43">
        <v>307.5</v>
      </c>
      <c r="AC28" s="43">
        <v>307.5</v>
      </c>
      <c r="AF28" s="37">
        <f t="shared" si="1"/>
        <v>46505</v>
      </c>
      <c r="AG28" s="37">
        <f t="shared" si="2"/>
        <v>47711.611570247936</v>
      </c>
      <c r="AH28" t="s">
        <v>1704</v>
      </c>
      <c r="AN28" s="43">
        <v>307.5</v>
      </c>
    </row>
    <row r="29" spans="2:40">
      <c r="B29" t="s">
        <v>200</v>
      </c>
      <c r="C29" t="s">
        <v>173</v>
      </c>
      <c r="D29" t="s">
        <v>167</v>
      </c>
      <c r="E29" t="s">
        <v>83</v>
      </c>
      <c r="F29" s="38">
        <v>46176</v>
      </c>
      <c r="G29">
        <v>10</v>
      </c>
      <c r="H29" t="s">
        <v>174</v>
      </c>
      <c r="I29" s="37">
        <v>46246</v>
      </c>
      <c r="J29" t="s">
        <v>165</v>
      </c>
      <c r="K29" t="s">
        <v>166</v>
      </c>
      <c r="L29" t="s">
        <v>175</v>
      </c>
      <c r="M29" t="s">
        <v>200</v>
      </c>
      <c r="O29" t="s">
        <v>200</v>
      </c>
      <c r="Q29" t="s">
        <v>460</v>
      </c>
      <c r="U29" t="s">
        <v>1696</v>
      </c>
      <c r="W29" t="s">
        <v>1701</v>
      </c>
      <c r="X29">
        <v>0</v>
      </c>
      <c r="Y29">
        <v>0</v>
      </c>
      <c r="Z29">
        <v>0</v>
      </c>
      <c r="AA29" s="43">
        <v>307.5</v>
      </c>
      <c r="AC29" s="43">
        <v>307.5</v>
      </c>
      <c r="AF29" s="37">
        <f t="shared" si="1"/>
        <v>46505</v>
      </c>
      <c r="AG29" s="37">
        <f t="shared" si="2"/>
        <v>47711.611570247936</v>
      </c>
      <c r="AH29" t="s">
        <v>1704</v>
      </c>
      <c r="AN29" s="43">
        <v>307.5</v>
      </c>
    </row>
    <row r="30" spans="2:40">
      <c r="B30" t="s">
        <v>201</v>
      </c>
      <c r="C30" t="s">
        <v>173</v>
      </c>
      <c r="D30" t="s">
        <v>167</v>
      </c>
      <c r="E30" t="s">
        <v>83</v>
      </c>
      <c r="F30" s="38">
        <v>46176</v>
      </c>
      <c r="G30">
        <v>10</v>
      </c>
      <c r="H30" t="s">
        <v>174</v>
      </c>
      <c r="I30" s="37">
        <v>46246</v>
      </c>
      <c r="J30" t="s">
        <v>165</v>
      </c>
      <c r="K30" t="s">
        <v>166</v>
      </c>
      <c r="L30" t="s">
        <v>175</v>
      </c>
      <c r="M30" t="s">
        <v>201</v>
      </c>
      <c r="O30" t="s">
        <v>201</v>
      </c>
      <c r="Q30" t="s">
        <v>461</v>
      </c>
      <c r="U30" t="s">
        <v>1696</v>
      </c>
      <c r="W30" t="s">
        <v>1701</v>
      </c>
      <c r="X30">
        <v>0</v>
      </c>
      <c r="Y30">
        <v>0</v>
      </c>
      <c r="Z30">
        <v>0</v>
      </c>
      <c r="AA30" s="43">
        <v>307.5</v>
      </c>
      <c r="AC30" s="43">
        <v>307.5</v>
      </c>
      <c r="AF30" s="37">
        <f t="shared" si="1"/>
        <v>46505</v>
      </c>
      <c r="AG30" s="37">
        <f t="shared" si="2"/>
        <v>47711.611570247936</v>
      </c>
      <c r="AH30" t="s">
        <v>1704</v>
      </c>
      <c r="AN30" s="43">
        <v>307.5</v>
      </c>
    </row>
    <row r="31" spans="2:40">
      <c r="B31" t="s">
        <v>202</v>
      </c>
      <c r="C31" t="s">
        <v>173</v>
      </c>
      <c r="D31" t="s">
        <v>167</v>
      </c>
      <c r="E31" t="s">
        <v>83</v>
      </c>
      <c r="F31" s="38">
        <v>46169</v>
      </c>
      <c r="G31">
        <v>10</v>
      </c>
      <c r="H31" t="s">
        <v>174</v>
      </c>
      <c r="I31" s="37">
        <v>46239</v>
      </c>
      <c r="J31" t="s">
        <v>165</v>
      </c>
      <c r="K31" t="s">
        <v>166</v>
      </c>
      <c r="L31" t="s">
        <v>175</v>
      </c>
      <c r="M31" t="s">
        <v>202</v>
      </c>
      <c r="O31" t="s">
        <v>202</v>
      </c>
      <c r="Q31" t="s">
        <v>462</v>
      </c>
      <c r="U31" t="s">
        <v>1696</v>
      </c>
      <c r="W31" t="s">
        <v>1701</v>
      </c>
      <c r="X31">
        <v>0</v>
      </c>
      <c r="Y31">
        <v>0</v>
      </c>
      <c r="Z31">
        <v>0</v>
      </c>
      <c r="AA31" s="43">
        <v>307.5</v>
      </c>
      <c r="AC31" s="43">
        <v>307.5</v>
      </c>
      <c r="AF31" s="37">
        <f t="shared" si="1"/>
        <v>46498</v>
      </c>
      <c r="AG31" s="37">
        <f t="shared" si="2"/>
        <v>47704.611570247936</v>
      </c>
      <c r="AH31" t="s">
        <v>1704</v>
      </c>
      <c r="AN31" s="43">
        <v>307.5</v>
      </c>
    </row>
    <row r="32" spans="2:40">
      <c r="B32" t="s">
        <v>203</v>
      </c>
      <c r="C32" t="s">
        <v>173</v>
      </c>
      <c r="D32" t="s">
        <v>167</v>
      </c>
      <c r="E32" t="s">
        <v>83</v>
      </c>
      <c r="F32" s="38">
        <v>46169</v>
      </c>
      <c r="G32">
        <v>10</v>
      </c>
      <c r="H32" t="s">
        <v>174</v>
      </c>
      <c r="I32" s="37">
        <v>46239</v>
      </c>
      <c r="J32" t="s">
        <v>165</v>
      </c>
      <c r="K32" t="s">
        <v>166</v>
      </c>
      <c r="L32" t="s">
        <v>175</v>
      </c>
      <c r="M32" t="s">
        <v>203</v>
      </c>
      <c r="O32" t="s">
        <v>203</v>
      </c>
      <c r="Q32" t="s">
        <v>462</v>
      </c>
      <c r="U32" t="s">
        <v>1696</v>
      </c>
      <c r="W32" t="s">
        <v>1701</v>
      </c>
      <c r="X32">
        <v>0</v>
      </c>
      <c r="Y32">
        <v>0</v>
      </c>
      <c r="Z32">
        <v>0</v>
      </c>
      <c r="AA32" s="43">
        <v>307.5</v>
      </c>
      <c r="AC32" s="43">
        <v>307.5</v>
      </c>
      <c r="AF32" s="37">
        <f t="shared" si="1"/>
        <v>46498</v>
      </c>
      <c r="AG32" s="37">
        <f t="shared" si="2"/>
        <v>47704.611570247936</v>
      </c>
      <c r="AH32" t="s">
        <v>1704</v>
      </c>
      <c r="AN32" s="43">
        <v>307.5</v>
      </c>
    </row>
    <row r="33" spans="2:40">
      <c r="B33" t="s">
        <v>204</v>
      </c>
      <c r="C33" t="s">
        <v>173</v>
      </c>
      <c r="D33" t="s">
        <v>167</v>
      </c>
      <c r="E33" t="s">
        <v>83</v>
      </c>
      <c r="F33" s="38">
        <v>46169</v>
      </c>
      <c r="G33">
        <v>10</v>
      </c>
      <c r="H33" t="s">
        <v>174</v>
      </c>
      <c r="I33" s="37">
        <v>46239</v>
      </c>
      <c r="J33" t="s">
        <v>165</v>
      </c>
      <c r="K33" t="s">
        <v>166</v>
      </c>
      <c r="L33" t="s">
        <v>175</v>
      </c>
      <c r="M33" t="s">
        <v>204</v>
      </c>
      <c r="O33" t="s">
        <v>204</v>
      </c>
      <c r="Q33" t="s">
        <v>463</v>
      </c>
      <c r="U33" t="s">
        <v>1696</v>
      </c>
      <c r="W33" t="s">
        <v>1701</v>
      </c>
      <c r="X33">
        <v>0</v>
      </c>
      <c r="Y33">
        <v>0</v>
      </c>
      <c r="Z33">
        <v>0</v>
      </c>
      <c r="AA33" s="43">
        <v>307.5</v>
      </c>
      <c r="AC33" s="43">
        <v>307.5</v>
      </c>
      <c r="AF33" s="37">
        <f t="shared" si="1"/>
        <v>46498</v>
      </c>
      <c r="AG33" s="37">
        <f t="shared" si="2"/>
        <v>47704.611570247936</v>
      </c>
      <c r="AH33" t="s">
        <v>1704</v>
      </c>
      <c r="AN33" s="43">
        <v>307.5</v>
      </c>
    </row>
    <row r="34" spans="2:40">
      <c r="B34" t="s">
        <v>205</v>
      </c>
      <c r="C34" t="s">
        <v>173</v>
      </c>
      <c r="D34" t="s">
        <v>167</v>
      </c>
      <c r="E34" t="s">
        <v>83</v>
      </c>
      <c r="F34" s="38">
        <v>46169</v>
      </c>
      <c r="G34">
        <v>10</v>
      </c>
      <c r="H34" t="s">
        <v>174</v>
      </c>
      <c r="I34" s="37">
        <v>46239</v>
      </c>
      <c r="J34" t="s">
        <v>165</v>
      </c>
      <c r="K34" t="s">
        <v>166</v>
      </c>
      <c r="L34" t="s">
        <v>175</v>
      </c>
      <c r="M34" t="s">
        <v>205</v>
      </c>
      <c r="O34" t="s">
        <v>205</v>
      </c>
      <c r="Q34" t="s">
        <v>464</v>
      </c>
      <c r="U34" t="s">
        <v>1696</v>
      </c>
      <c r="W34" t="s">
        <v>1701</v>
      </c>
      <c r="X34">
        <v>0</v>
      </c>
      <c r="Y34">
        <v>0</v>
      </c>
      <c r="Z34">
        <v>0</v>
      </c>
      <c r="AA34" s="43">
        <v>307.5</v>
      </c>
      <c r="AC34" s="43">
        <v>307.5</v>
      </c>
      <c r="AF34" s="37">
        <f t="shared" si="1"/>
        <v>46498</v>
      </c>
      <c r="AG34" s="37">
        <f t="shared" si="2"/>
        <v>47704.611570247936</v>
      </c>
      <c r="AH34" t="s">
        <v>1704</v>
      </c>
      <c r="AN34" s="43">
        <v>307.5</v>
      </c>
    </row>
    <row r="35" spans="2:40">
      <c r="B35" t="s">
        <v>206</v>
      </c>
      <c r="C35" t="s">
        <v>173</v>
      </c>
      <c r="D35" t="s">
        <v>167</v>
      </c>
      <c r="E35" t="s">
        <v>83</v>
      </c>
      <c r="F35" s="38">
        <v>46169</v>
      </c>
      <c r="G35">
        <v>10</v>
      </c>
      <c r="H35" t="s">
        <v>174</v>
      </c>
      <c r="I35" s="37">
        <v>46239</v>
      </c>
      <c r="J35" t="s">
        <v>165</v>
      </c>
      <c r="K35" t="s">
        <v>166</v>
      </c>
      <c r="L35" t="s">
        <v>175</v>
      </c>
      <c r="M35" t="s">
        <v>206</v>
      </c>
      <c r="O35" t="s">
        <v>206</v>
      </c>
      <c r="Q35" t="s">
        <v>465</v>
      </c>
      <c r="U35" t="s">
        <v>1696</v>
      </c>
      <c r="W35" t="s">
        <v>1701</v>
      </c>
      <c r="X35">
        <v>0</v>
      </c>
      <c r="Y35">
        <v>0</v>
      </c>
      <c r="Z35">
        <v>0</v>
      </c>
      <c r="AA35" s="43">
        <v>307.5</v>
      </c>
      <c r="AC35" s="43">
        <v>307.5</v>
      </c>
      <c r="AF35" s="37">
        <f t="shared" si="1"/>
        <v>46498</v>
      </c>
      <c r="AG35" s="37">
        <f t="shared" si="2"/>
        <v>47704.611570247936</v>
      </c>
      <c r="AH35" t="s">
        <v>1704</v>
      </c>
      <c r="AN35" s="43">
        <v>307.5</v>
      </c>
    </row>
    <row r="36" spans="2:40">
      <c r="B36" t="s">
        <v>207</v>
      </c>
      <c r="C36" t="s">
        <v>173</v>
      </c>
      <c r="D36" t="s">
        <v>167</v>
      </c>
      <c r="E36" t="s">
        <v>83</v>
      </c>
      <c r="F36" s="38">
        <v>46169</v>
      </c>
      <c r="G36">
        <v>10</v>
      </c>
      <c r="H36" t="s">
        <v>174</v>
      </c>
      <c r="I36" s="37">
        <v>46239</v>
      </c>
      <c r="J36" t="s">
        <v>165</v>
      </c>
      <c r="K36" t="s">
        <v>166</v>
      </c>
      <c r="L36" t="s">
        <v>175</v>
      </c>
      <c r="M36" t="s">
        <v>207</v>
      </c>
      <c r="O36" t="s">
        <v>207</v>
      </c>
      <c r="Q36" t="s">
        <v>464</v>
      </c>
      <c r="U36" t="s">
        <v>1696</v>
      </c>
      <c r="W36" t="s">
        <v>1701</v>
      </c>
      <c r="X36">
        <v>0</v>
      </c>
      <c r="Y36">
        <v>0</v>
      </c>
      <c r="Z36">
        <v>0</v>
      </c>
      <c r="AA36" s="43">
        <v>307.5</v>
      </c>
      <c r="AC36" s="43">
        <v>307.5</v>
      </c>
      <c r="AF36" s="37">
        <f t="shared" si="1"/>
        <v>46498</v>
      </c>
      <c r="AG36" s="37">
        <f t="shared" si="2"/>
        <v>47704.611570247936</v>
      </c>
      <c r="AH36" t="s">
        <v>1704</v>
      </c>
      <c r="AN36" s="43">
        <v>307.5</v>
      </c>
    </row>
    <row r="37" spans="2:40">
      <c r="B37" t="s">
        <v>208</v>
      </c>
      <c r="C37" t="s">
        <v>173</v>
      </c>
      <c r="D37" t="s">
        <v>167</v>
      </c>
      <c r="E37" t="s">
        <v>83</v>
      </c>
      <c r="F37" s="38">
        <v>46169</v>
      </c>
      <c r="G37">
        <v>10</v>
      </c>
      <c r="H37" t="s">
        <v>174</v>
      </c>
      <c r="I37" s="37">
        <v>46239</v>
      </c>
      <c r="J37" t="s">
        <v>165</v>
      </c>
      <c r="K37" t="s">
        <v>166</v>
      </c>
      <c r="L37" t="s">
        <v>175</v>
      </c>
      <c r="M37" t="s">
        <v>208</v>
      </c>
      <c r="O37" t="s">
        <v>208</v>
      </c>
      <c r="Q37" t="s">
        <v>466</v>
      </c>
      <c r="U37" t="s">
        <v>1696</v>
      </c>
      <c r="W37" t="s">
        <v>1701</v>
      </c>
      <c r="X37">
        <v>0</v>
      </c>
      <c r="Y37">
        <v>0</v>
      </c>
      <c r="Z37">
        <v>0</v>
      </c>
      <c r="AA37" s="43">
        <v>307.5</v>
      </c>
      <c r="AC37" s="43">
        <v>307.5</v>
      </c>
      <c r="AF37" s="37">
        <f t="shared" si="1"/>
        <v>46498</v>
      </c>
      <c r="AG37" s="37">
        <f t="shared" si="2"/>
        <v>47704.611570247936</v>
      </c>
      <c r="AH37" t="s">
        <v>1704</v>
      </c>
      <c r="AN37" s="43">
        <v>307.5</v>
      </c>
    </row>
    <row r="38" spans="2:40">
      <c r="B38" t="s">
        <v>209</v>
      </c>
      <c r="C38" t="s">
        <v>173</v>
      </c>
      <c r="D38" t="s">
        <v>167</v>
      </c>
      <c r="E38" t="s">
        <v>83</v>
      </c>
      <c r="F38" s="38">
        <v>46169</v>
      </c>
      <c r="G38">
        <v>10</v>
      </c>
      <c r="H38" t="s">
        <v>174</v>
      </c>
      <c r="I38" s="37">
        <v>46239</v>
      </c>
      <c r="J38" t="s">
        <v>165</v>
      </c>
      <c r="K38" t="s">
        <v>166</v>
      </c>
      <c r="L38" t="s">
        <v>175</v>
      </c>
      <c r="M38" t="s">
        <v>209</v>
      </c>
      <c r="O38" t="s">
        <v>209</v>
      </c>
      <c r="Q38" t="s">
        <v>467</v>
      </c>
      <c r="U38" t="s">
        <v>1696</v>
      </c>
      <c r="W38" t="s">
        <v>1701</v>
      </c>
      <c r="X38">
        <v>0</v>
      </c>
      <c r="Y38">
        <v>0</v>
      </c>
      <c r="Z38">
        <v>0</v>
      </c>
      <c r="AA38" s="43">
        <v>307.5</v>
      </c>
      <c r="AC38" s="43">
        <v>307.5</v>
      </c>
      <c r="AF38" s="37">
        <f t="shared" si="1"/>
        <v>46498</v>
      </c>
      <c r="AG38" s="37">
        <f t="shared" si="2"/>
        <v>47704.611570247936</v>
      </c>
      <c r="AH38" t="s">
        <v>1704</v>
      </c>
      <c r="AN38" s="43">
        <v>307.5</v>
      </c>
    </row>
    <row r="39" spans="2:40">
      <c r="B39" t="s">
        <v>210</v>
      </c>
      <c r="C39" t="s">
        <v>173</v>
      </c>
      <c r="D39" t="s">
        <v>167</v>
      </c>
      <c r="E39" t="s">
        <v>83</v>
      </c>
      <c r="F39" s="38">
        <v>46169</v>
      </c>
      <c r="G39">
        <v>10</v>
      </c>
      <c r="H39" t="s">
        <v>174</v>
      </c>
      <c r="I39" s="37">
        <v>46239</v>
      </c>
      <c r="J39" t="s">
        <v>165</v>
      </c>
      <c r="K39" t="s">
        <v>166</v>
      </c>
      <c r="L39" t="s">
        <v>175</v>
      </c>
      <c r="M39" t="s">
        <v>210</v>
      </c>
      <c r="O39" t="s">
        <v>210</v>
      </c>
      <c r="Q39" t="s">
        <v>465</v>
      </c>
      <c r="U39" t="s">
        <v>1696</v>
      </c>
      <c r="W39" t="s">
        <v>1701</v>
      </c>
      <c r="X39">
        <v>0</v>
      </c>
      <c r="Y39">
        <v>0</v>
      </c>
      <c r="Z39">
        <v>0</v>
      </c>
      <c r="AA39" s="43">
        <v>307.5</v>
      </c>
      <c r="AC39" s="43">
        <v>307.5</v>
      </c>
      <c r="AF39" s="37">
        <f t="shared" si="1"/>
        <v>46498</v>
      </c>
      <c r="AG39" s="37">
        <f t="shared" si="2"/>
        <v>47704.611570247936</v>
      </c>
      <c r="AH39" t="s">
        <v>1704</v>
      </c>
      <c r="AN39" s="43">
        <v>307.5</v>
      </c>
    </row>
    <row r="40" spans="2:40">
      <c r="B40" t="s">
        <v>211</v>
      </c>
      <c r="C40" t="s">
        <v>173</v>
      </c>
      <c r="D40" t="s">
        <v>167</v>
      </c>
      <c r="E40" t="s">
        <v>83</v>
      </c>
      <c r="F40" s="38">
        <v>46169</v>
      </c>
      <c r="G40">
        <v>10</v>
      </c>
      <c r="H40" t="s">
        <v>174</v>
      </c>
      <c r="I40" s="37">
        <v>46239</v>
      </c>
      <c r="J40" t="s">
        <v>165</v>
      </c>
      <c r="K40" t="s">
        <v>166</v>
      </c>
      <c r="L40" t="s">
        <v>175</v>
      </c>
      <c r="M40" t="s">
        <v>211</v>
      </c>
      <c r="O40" t="s">
        <v>211</v>
      </c>
      <c r="Q40" t="s">
        <v>462</v>
      </c>
      <c r="U40" t="s">
        <v>1696</v>
      </c>
      <c r="W40" t="s">
        <v>1701</v>
      </c>
      <c r="X40">
        <v>0</v>
      </c>
      <c r="Y40">
        <v>0</v>
      </c>
      <c r="Z40">
        <v>0</v>
      </c>
      <c r="AA40" s="43">
        <v>307.5</v>
      </c>
      <c r="AC40" s="43">
        <v>307.5</v>
      </c>
      <c r="AF40" s="37">
        <f t="shared" si="1"/>
        <v>46498</v>
      </c>
      <c r="AG40" s="37">
        <f t="shared" si="2"/>
        <v>47704.611570247936</v>
      </c>
      <c r="AH40" t="s">
        <v>1704</v>
      </c>
      <c r="AN40" s="43">
        <v>307.5</v>
      </c>
    </row>
    <row r="41" spans="2:40">
      <c r="B41" t="s">
        <v>212</v>
      </c>
      <c r="C41" t="s">
        <v>173</v>
      </c>
      <c r="D41" t="s">
        <v>167</v>
      </c>
      <c r="E41" t="s">
        <v>83</v>
      </c>
      <c r="F41" s="38">
        <v>46169</v>
      </c>
      <c r="G41">
        <v>10</v>
      </c>
      <c r="H41" t="s">
        <v>174</v>
      </c>
      <c r="I41" s="37">
        <v>46239</v>
      </c>
      <c r="J41" t="s">
        <v>165</v>
      </c>
      <c r="K41" t="s">
        <v>166</v>
      </c>
      <c r="L41" t="s">
        <v>175</v>
      </c>
      <c r="M41" t="s">
        <v>212</v>
      </c>
      <c r="O41" t="s">
        <v>212</v>
      </c>
      <c r="Q41" t="s">
        <v>468</v>
      </c>
      <c r="U41" t="s">
        <v>1696</v>
      </c>
      <c r="W41" t="s">
        <v>1701</v>
      </c>
      <c r="X41">
        <v>0</v>
      </c>
      <c r="Y41">
        <v>0</v>
      </c>
      <c r="Z41">
        <v>0</v>
      </c>
      <c r="AA41" s="43">
        <v>307.5</v>
      </c>
      <c r="AC41" s="43">
        <v>307.5</v>
      </c>
      <c r="AF41" s="37">
        <f t="shared" si="1"/>
        <v>46498</v>
      </c>
      <c r="AG41" s="37">
        <f t="shared" si="2"/>
        <v>47704.611570247936</v>
      </c>
      <c r="AH41" t="s">
        <v>1704</v>
      </c>
      <c r="AN41" s="43">
        <v>307.5</v>
      </c>
    </row>
    <row r="42" spans="2:40">
      <c r="B42" t="s">
        <v>213</v>
      </c>
      <c r="C42" t="s">
        <v>173</v>
      </c>
      <c r="D42" t="s">
        <v>167</v>
      </c>
      <c r="E42" t="s">
        <v>83</v>
      </c>
      <c r="F42" s="38">
        <v>46169</v>
      </c>
      <c r="G42">
        <v>10</v>
      </c>
      <c r="H42" t="s">
        <v>174</v>
      </c>
      <c r="I42" s="37">
        <v>46239</v>
      </c>
      <c r="J42" t="s">
        <v>165</v>
      </c>
      <c r="K42" t="s">
        <v>166</v>
      </c>
      <c r="L42" t="s">
        <v>175</v>
      </c>
      <c r="M42" t="s">
        <v>213</v>
      </c>
      <c r="O42" t="s">
        <v>213</v>
      </c>
      <c r="Q42" t="s">
        <v>465</v>
      </c>
      <c r="U42" t="s">
        <v>1696</v>
      </c>
      <c r="W42" t="s">
        <v>1701</v>
      </c>
      <c r="X42">
        <v>0</v>
      </c>
      <c r="Y42">
        <v>0</v>
      </c>
      <c r="Z42">
        <v>0</v>
      </c>
      <c r="AA42" s="43">
        <v>307.5</v>
      </c>
      <c r="AC42" s="43">
        <v>307.5</v>
      </c>
      <c r="AF42" s="37">
        <f t="shared" si="1"/>
        <v>46498</v>
      </c>
      <c r="AG42" s="37">
        <f t="shared" si="2"/>
        <v>47704.611570247936</v>
      </c>
      <c r="AH42" t="s">
        <v>1704</v>
      </c>
      <c r="AN42" s="43">
        <v>307.5</v>
      </c>
    </row>
    <row r="43" spans="2:40">
      <c r="B43" t="s">
        <v>214</v>
      </c>
      <c r="C43" t="s">
        <v>173</v>
      </c>
      <c r="D43" t="s">
        <v>167</v>
      </c>
      <c r="E43" t="s">
        <v>83</v>
      </c>
      <c r="F43" s="38">
        <v>46169</v>
      </c>
      <c r="G43">
        <v>10</v>
      </c>
      <c r="H43" t="s">
        <v>174</v>
      </c>
      <c r="I43" s="37">
        <v>46239</v>
      </c>
      <c r="J43" t="s">
        <v>165</v>
      </c>
      <c r="K43" t="s">
        <v>166</v>
      </c>
      <c r="L43" t="s">
        <v>175</v>
      </c>
      <c r="M43" t="s">
        <v>214</v>
      </c>
      <c r="O43" t="s">
        <v>214</v>
      </c>
      <c r="Q43" t="s">
        <v>462</v>
      </c>
      <c r="U43" t="s">
        <v>1696</v>
      </c>
      <c r="W43" t="s">
        <v>1701</v>
      </c>
      <c r="X43">
        <v>0</v>
      </c>
      <c r="Y43">
        <v>0</v>
      </c>
      <c r="Z43">
        <v>0</v>
      </c>
      <c r="AA43" s="43">
        <v>307.5</v>
      </c>
      <c r="AC43" s="43">
        <v>307.5</v>
      </c>
      <c r="AF43" s="37">
        <f t="shared" si="1"/>
        <v>46498</v>
      </c>
      <c r="AG43" s="37">
        <f t="shared" si="2"/>
        <v>47704.611570247936</v>
      </c>
      <c r="AH43" t="s">
        <v>1704</v>
      </c>
      <c r="AN43" s="43">
        <v>307.5</v>
      </c>
    </row>
    <row r="44" spans="2:40">
      <c r="B44" t="s">
        <v>215</v>
      </c>
      <c r="C44" t="s">
        <v>173</v>
      </c>
      <c r="D44" t="s">
        <v>167</v>
      </c>
      <c r="E44" t="s">
        <v>83</v>
      </c>
      <c r="F44" s="38">
        <v>46162</v>
      </c>
      <c r="G44">
        <v>10</v>
      </c>
      <c r="H44" t="s">
        <v>174</v>
      </c>
      <c r="I44" s="37">
        <v>46232</v>
      </c>
      <c r="J44" t="s">
        <v>165</v>
      </c>
      <c r="K44" t="s">
        <v>166</v>
      </c>
      <c r="L44" t="s">
        <v>175</v>
      </c>
      <c r="M44" t="s">
        <v>215</v>
      </c>
      <c r="O44" t="s">
        <v>215</v>
      </c>
      <c r="Q44" t="s">
        <v>469</v>
      </c>
      <c r="U44" t="s">
        <v>1696</v>
      </c>
      <c r="W44" t="s">
        <v>1701</v>
      </c>
      <c r="X44">
        <v>0</v>
      </c>
      <c r="Y44">
        <v>0</v>
      </c>
      <c r="Z44">
        <v>0</v>
      </c>
      <c r="AA44" s="43">
        <v>307.5</v>
      </c>
      <c r="AC44" s="43">
        <v>307.5</v>
      </c>
      <c r="AF44" s="37">
        <f t="shared" si="1"/>
        <v>46491</v>
      </c>
      <c r="AG44" s="37">
        <f t="shared" si="2"/>
        <v>47697.611570247936</v>
      </c>
      <c r="AH44" t="s">
        <v>1704</v>
      </c>
      <c r="AN44" s="43">
        <v>307.5</v>
      </c>
    </row>
    <row r="45" spans="2:40">
      <c r="B45" t="s">
        <v>216</v>
      </c>
      <c r="C45" t="s">
        <v>173</v>
      </c>
      <c r="D45" t="s">
        <v>167</v>
      </c>
      <c r="E45" t="s">
        <v>83</v>
      </c>
      <c r="F45" s="38">
        <v>46162</v>
      </c>
      <c r="G45">
        <v>10</v>
      </c>
      <c r="H45" t="s">
        <v>174</v>
      </c>
      <c r="I45" s="37">
        <v>46232</v>
      </c>
      <c r="J45" t="s">
        <v>165</v>
      </c>
      <c r="K45" t="s">
        <v>166</v>
      </c>
      <c r="L45" t="s">
        <v>175</v>
      </c>
      <c r="M45" t="s">
        <v>216</v>
      </c>
      <c r="O45" t="s">
        <v>216</v>
      </c>
      <c r="Q45" t="s">
        <v>470</v>
      </c>
      <c r="U45" t="s">
        <v>1696</v>
      </c>
      <c r="W45" t="s">
        <v>1701</v>
      </c>
      <c r="X45">
        <v>0</v>
      </c>
      <c r="Y45">
        <v>0</v>
      </c>
      <c r="Z45">
        <v>0</v>
      </c>
      <c r="AA45" s="43">
        <v>307.5</v>
      </c>
      <c r="AC45" s="43">
        <v>307.5</v>
      </c>
      <c r="AF45" s="37">
        <f t="shared" si="1"/>
        <v>46491</v>
      </c>
      <c r="AG45" s="37">
        <f t="shared" si="2"/>
        <v>47697.611570247936</v>
      </c>
      <c r="AH45" t="s">
        <v>1704</v>
      </c>
      <c r="AN45" s="43">
        <v>307.5</v>
      </c>
    </row>
    <row r="46" spans="2:40">
      <c r="B46" t="s">
        <v>217</v>
      </c>
      <c r="C46" t="s">
        <v>173</v>
      </c>
      <c r="D46" t="s">
        <v>167</v>
      </c>
      <c r="E46" t="s">
        <v>83</v>
      </c>
      <c r="F46" s="38">
        <v>46162</v>
      </c>
      <c r="G46">
        <v>10</v>
      </c>
      <c r="H46" t="s">
        <v>174</v>
      </c>
      <c r="I46" s="37">
        <v>46232</v>
      </c>
      <c r="J46" t="s">
        <v>165</v>
      </c>
      <c r="K46" t="s">
        <v>166</v>
      </c>
      <c r="L46" t="s">
        <v>175</v>
      </c>
      <c r="M46" t="s">
        <v>217</v>
      </c>
      <c r="O46" t="s">
        <v>217</v>
      </c>
      <c r="Q46" t="s">
        <v>471</v>
      </c>
      <c r="U46" t="s">
        <v>1696</v>
      </c>
      <c r="W46" t="s">
        <v>1701</v>
      </c>
      <c r="X46">
        <v>0</v>
      </c>
      <c r="Y46">
        <v>0</v>
      </c>
      <c r="Z46">
        <v>0</v>
      </c>
      <c r="AA46" s="43">
        <v>307.5</v>
      </c>
      <c r="AC46" s="43">
        <v>307.5</v>
      </c>
      <c r="AF46" s="37">
        <f t="shared" si="1"/>
        <v>46491</v>
      </c>
      <c r="AG46" s="37">
        <f t="shared" si="2"/>
        <v>47697.611570247936</v>
      </c>
      <c r="AH46" t="s">
        <v>1704</v>
      </c>
      <c r="AN46" s="43">
        <v>307.5</v>
      </c>
    </row>
    <row r="47" spans="2:40">
      <c r="B47" t="s">
        <v>218</v>
      </c>
      <c r="C47" t="s">
        <v>173</v>
      </c>
      <c r="D47" t="s">
        <v>167</v>
      </c>
      <c r="E47" t="s">
        <v>83</v>
      </c>
      <c r="F47" s="38">
        <v>46162</v>
      </c>
      <c r="G47">
        <v>10</v>
      </c>
      <c r="H47" t="s">
        <v>174</v>
      </c>
      <c r="I47" s="37">
        <v>46232</v>
      </c>
      <c r="J47" t="s">
        <v>165</v>
      </c>
      <c r="K47" t="s">
        <v>166</v>
      </c>
      <c r="L47" t="s">
        <v>175</v>
      </c>
      <c r="M47" t="s">
        <v>218</v>
      </c>
      <c r="O47" t="s">
        <v>218</v>
      </c>
      <c r="Q47" t="s">
        <v>469</v>
      </c>
      <c r="U47" t="s">
        <v>1696</v>
      </c>
      <c r="W47" t="s">
        <v>1701</v>
      </c>
      <c r="X47">
        <v>0</v>
      </c>
      <c r="Y47">
        <v>0</v>
      </c>
      <c r="Z47">
        <v>0</v>
      </c>
      <c r="AA47" s="43">
        <v>307.5</v>
      </c>
      <c r="AC47" s="43">
        <v>307.5</v>
      </c>
      <c r="AF47" s="37">
        <f t="shared" si="1"/>
        <v>46491</v>
      </c>
      <c r="AG47" s="37">
        <f t="shared" si="2"/>
        <v>47697.611570247936</v>
      </c>
      <c r="AH47" t="s">
        <v>1704</v>
      </c>
      <c r="AN47" s="43">
        <v>307.5</v>
      </c>
    </row>
    <row r="48" spans="2:40">
      <c r="B48" t="s">
        <v>219</v>
      </c>
      <c r="C48" t="s">
        <v>173</v>
      </c>
      <c r="D48" t="s">
        <v>167</v>
      </c>
      <c r="E48" t="s">
        <v>83</v>
      </c>
      <c r="F48" s="38">
        <v>46162</v>
      </c>
      <c r="G48">
        <v>10</v>
      </c>
      <c r="H48" t="s">
        <v>174</v>
      </c>
      <c r="I48" s="37">
        <v>46232</v>
      </c>
      <c r="J48" t="s">
        <v>165</v>
      </c>
      <c r="K48" t="s">
        <v>166</v>
      </c>
      <c r="L48" t="s">
        <v>175</v>
      </c>
      <c r="M48" t="s">
        <v>219</v>
      </c>
      <c r="O48" t="s">
        <v>219</v>
      </c>
      <c r="Q48" t="s">
        <v>469</v>
      </c>
      <c r="U48" t="s">
        <v>1696</v>
      </c>
      <c r="W48" t="s">
        <v>1701</v>
      </c>
      <c r="X48">
        <v>0</v>
      </c>
      <c r="Y48">
        <v>0</v>
      </c>
      <c r="Z48">
        <v>0</v>
      </c>
      <c r="AA48" s="43">
        <v>307.5</v>
      </c>
      <c r="AC48" s="43">
        <v>307.5</v>
      </c>
      <c r="AF48" s="37">
        <f t="shared" si="1"/>
        <v>46491</v>
      </c>
      <c r="AG48" s="37">
        <f t="shared" si="2"/>
        <v>47697.611570247936</v>
      </c>
      <c r="AH48" t="s">
        <v>1704</v>
      </c>
      <c r="AN48" s="43">
        <v>307.5</v>
      </c>
    </row>
    <row r="49" spans="2:40">
      <c r="B49" t="s">
        <v>220</v>
      </c>
      <c r="C49" t="s">
        <v>173</v>
      </c>
      <c r="D49" t="s">
        <v>167</v>
      </c>
      <c r="E49" t="s">
        <v>83</v>
      </c>
      <c r="F49" s="38">
        <v>46162</v>
      </c>
      <c r="G49">
        <v>10</v>
      </c>
      <c r="H49" t="s">
        <v>174</v>
      </c>
      <c r="I49" s="37">
        <v>46232</v>
      </c>
      <c r="J49" t="s">
        <v>165</v>
      </c>
      <c r="K49" t="s">
        <v>166</v>
      </c>
      <c r="L49" t="s">
        <v>175</v>
      </c>
      <c r="M49" t="s">
        <v>220</v>
      </c>
      <c r="O49" t="s">
        <v>220</v>
      </c>
      <c r="Q49" t="s">
        <v>472</v>
      </c>
      <c r="U49" t="s">
        <v>1696</v>
      </c>
      <c r="W49" t="s">
        <v>1701</v>
      </c>
      <c r="X49">
        <v>0</v>
      </c>
      <c r="Y49">
        <v>0</v>
      </c>
      <c r="Z49">
        <v>0</v>
      </c>
      <c r="AA49" s="43">
        <v>307.5</v>
      </c>
      <c r="AC49" s="43">
        <v>307.5</v>
      </c>
      <c r="AF49" s="37">
        <f t="shared" si="1"/>
        <v>46491</v>
      </c>
      <c r="AG49" s="37">
        <f t="shared" si="2"/>
        <v>47697.611570247936</v>
      </c>
      <c r="AH49" t="s">
        <v>1704</v>
      </c>
      <c r="AN49" s="43">
        <v>307.5</v>
      </c>
    </row>
    <row r="50" spans="2:40">
      <c r="B50" t="s">
        <v>221</v>
      </c>
      <c r="C50" t="s">
        <v>173</v>
      </c>
      <c r="D50" t="s">
        <v>167</v>
      </c>
      <c r="E50" t="s">
        <v>83</v>
      </c>
      <c r="F50" s="38">
        <v>46162</v>
      </c>
      <c r="G50">
        <v>10</v>
      </c>
      <c r="H50" t="s">
        <v>174</v>
      </c>
      <c r="I50" s="37">
        <v>46232</v>
      </c>
      <c r="J50" t="s">
        <v>165</v>
      </c>
      <c r="K50" t="s">
        <v>166</v>
      </c>
      <c r="L50" t="s">
        <v>175</v>
      </c>
      <c r="M50" t="s">
        <v>221</v>
      </c>
      <c r="O50" t="s">
        <v>221</v>
      </c>
      <c r="Q50" t="s">
        <v>473</v>
      </c>
      <c r="U50" t="s">
        <v>1696</v>
      </c>
      <c r="W50" t="s">
        <v>1701</v>
      </c>
      <c r="X50">
        <v>0</v>
      </c>
      <c r="Y50">
        <v>0</v>
      </c>
      <c r="Z50">
        <v>0</v>
      </c>
      <c r="AA50" s="43">
        <v>307.5</v>
      </c>
      <c r="AC50" s="43">
        <v>307.5</v>
      </c>
      <c r="AF50" s="37">
        <f t="shared" si="1"/>
        <v>46491</v>
      </c>
      <c r="AG50" s="37">
        <f t="shared" si="2"/>
        <v>47697.611570247936</v>
      </c>
      <c r="AH50" t="s">
        <v>1704</v>
      </c>
      <c r="AN50" s="43">
        <v>307.5</v>
      </c>
    </row>
    <row r="51" spans="2:40">
      <c r="B51" t="s">
        <v>222</v>
      </c>
      <c r="C51" t="s">
        <v>173</v>
      </c>
      <c r="D51" t="s">
        <v>167</v>
      </c>
      <c r="E51" t="s">
        <v>83</v>
      </c>
      <c r="F51" s="38">
        <v>46162</v>
      </c>
      <c r="G51">
        <v>10</v>
      </c>
      <c r="H51" t="s">
        <v>174</v>
      </c>
      <c r="I51" s="37">
        <v>46232</v>
      </c>
      <c r="J51" t="s">
        <v>165</v>
      </c>
      <c r="K51" t="s">
        <v>166</v>
      </c>
      <c r="L51" t="s">
        <v>175</v>
      </c>
      <c r="M51" t="s">
        <v>222</v>
      </c>
      <c r="O51" t="s">
        <v>222</v>
      </c>
      <c r="Q51" t="s">
        <v>472</v>
      </c>
      <c r="U51" t="s">
        <v>1696</v>
      </c>
      <c r="W51" t="s">
        <v>1701</v>
      </c>
      <c r="X51">
        <v>0</v>
      </c>
      <c r="Y51">
        <v>0</v>
      </c>
      <c r="Z51">
        <v>0</v>
      </c>
      <c r="AA51" s="43">
        <v>307.5</v>
      </c>
      <c r="AC51" s="43">
        <v>307.5</v>
      </c>
      <c r="AF51" s="37">
        <f t="shared" si="1"/>
        <v>46491</v>
      </c>
      <c r="AG51" s="37">
        <f t="shared" si="2"/>
        <v>47697.611570247936</v>
      </c>
      <c r="AH51" t="s">
        <v>1704</v>
      </c>
      <c r="AN51" s="43">
        <v>307.5</v>
      </c>
    </row>
    <row r="52" spans="2:40">
      <c r="B52" t="s">
        <v>223</v>
      </c>
      <c r="C52" t="s">
        <v>173</v>
      </c>
      <c r="D52" t="s">
        <v>167</v>
      </c>
      <c r="E52" t="s">
        <v>83</v>
      </c>
      <c r="F52" s="38">
        <v>46162</v>
      </c>
      <c r="G52">
        <v>10</v>
      </c>
      <c r="H52" t="s">
        <v>174</v>
      </c>
      <c r="I52" s="37">
        <v>46232</v>
      </c>
      <c r="J52" t="s">
        <v>165</v>
      </c>
      <c r="K52" t="s">
        <v>166</v>
      </c>
      <c r="L52" t="s">
        <v>175</v>
      </c>
      <c r="M52" t="s">
        <v>223</v>
      </c>
      <c r="O52" t="s">
        <v>223</v>
      </c>
      <c r="Q52" t="s">
        <v>474</v>
      </c>
      <c r="U52" t="s">
        <v>1696</v>
      </c>
      <c r="W52" t="s">
        <v>1701</v>
      </c>
      <c r="X52">
        <v>0</v>
      </c>
      <c r="Y52">
        <v>0</v>
      </c>
      <c r="Z52">
        <v>0</v>
      </c>
      <c r="AA52" s="43">
        <v>307.5</v>
      </c>
      <c r="AC52" s="43">
        <v>307.5</v>
      </c>
      <c r="AF52" s="37">
        <f t="shared" si="1"/>
        <v>46491</v>
      </c>
      <c r="AG52" s="37">
        <f t="shared" si="2"/>
        <v>47697.611570247936</v>
      </c>
      <c r="AH52" t="s">
        <v>1704</v>
      </c>
      <c r="AN52" s="43">
        <v>307.5</v>
      </c>
    </row>
    <row r="53" spans="2:40">
      <c r="B53" t="s">
        <v>224</v>
      </c>
      <c r="C53" t="s">
        <v>173</v>
      </c>
      <c r="D53" t="s">
        <v>167</v>
      </c>
      <c r="E53" t="s">
        <v>83</v>
      </c>
      <c r="F53" s="38">
        <v>46162</v>
      </c>
      <c r="G53">
        <v>10</v>
      </c>
      <c r="H53" t="s">
        <v>174</v>
      </c>
      <c r="I53" s="37">
        <v>46232</v>
      </c>
      <c r="J53" t="s">
        <v>165</v>
      </c>
      <c r="K53" t="s">
        <v>166</v>
      </c>
      <c r="L53" t="s">
        <v>175</v>
      </c>
      <c r="M53" t="s">
        <v>224</v>
      </c>
      <c r="O53" t="s">
        <v>224</v>
      </c>
      <c r="Q53" t="s">
        <v>475</v>
      </c>
      <c r="U53" t="s">
        <v>1696</v>
      </c>
      <c r="W53" t="s">
        <v>1701</v>
      </c>
      <c r="X53">
        <v>0</v>
      </c>
      <c r="Y53">
        <v>0</v>
      </c>
      <c r="Z53">
        <v>0</v>
      </c>
      <c r="AA53" s="43">
        <v>307.5</v>
      </c>
      <c r="AC53" s="43">
        <v>307.5</v>
      </c>
      <c r="AF53" s="37">
        <f t="shared" si="1"/>
        <v>46491</v>
      </c>
      <c r="AG53" s="37">
        <f t="shared" si="2"/>
        <v>47697.611570247936</v>
      </c>
      <c r="AH53" t="s">
        <v>1704</v>
      </c>
      <c r="AN53" s="43">
        <v>307.5</v>
      </c>
    </row>
    <row r="54" spans="2:40">
      <c r="B54" t="s">
        <v>225</v>
      </c>
      <c r="C54" t="s">
        <v>173</v>
      </c>
      <c r="D54" t="s">
        <v>167</v>
      </c>
      <c r="E54" t="s">
        <v>83</v>
      </c>
      <c r="F54" s="38">
        <v>46162</v>
      </c>
      <c r="G54">
        <v>10</v>
      </c>
      <c r="H54" t="s">
        <v>174</v>
      </c>
      <c r="I54" s="37">
        <v>46232</v>
      </c>
      <c r="J54" t="s">
        <v>165</v>
      </c>
      <c r="K54" t="s">
        <v>166</v>
      </c>
      <c r="L54" t="s">
        <v>175</v>
      </c>
      <c r="M54" t="s">
        <v>225</v>
      </c>
      <c r="O54" t="s">
        <v>225</v>
      </c>
      <c r="Q54" t="s">
        <v>475</v>
      </c>
      <c r="U54" t="s">
        <v>1696</v>
      </c>
      <c r="W54" t="s">
        <v>1701</v>
      </c>
      <c r="X54">
        <v>0</v>
      </c>
      <c r="Y54">
        <v>0</v>
      </c>
      <c r="Z54">
        <v>0</v>
      </c>
      <c r="AA54" s="43">
        <v>307.5</v>
      </c>
      <c r="AC54" s="43">
        <v>307.5</v>
      </c>
      <c r="AF54" s="37">
        <f t="shared" si="1"/>
        <v>46491</v>
      </c>
      <c r="AG54" s="37">
        <f t="shared" si="2"/>
        <v>47697.611570247936</v>
      </c>
      <c r="AH54" t="s">
        <v>1704</v>
      </c>
      <c r="AN54" s="43">
        <v>307.5</v>
      </c>
    </row>
    <row r="55" spans="2:40">
      <c r="B55" t="s">
        <v>226</v>
      </c>
      <c r="C55" t="s">
        <v>173</v>
      </c>
      <c r="D55" t="s">
        <v>167</v>
      </c>
      <c r="E55" t="s">
        <v>83</v>
      </c>
      <c r="F55" s="38">
        <v>46162</v>
      </c>
      <c r="G55">
        <v>10</v>
      </c>
      <c r="H55" t="s">
        <v>174</v>
      </c>
      <c r="I55" s="37">
        <v>46232</v>
      </c>
      <c r="J55" t="s">
        <v>165</v>
      </c>
      <c r="K55" t="s">
        <v>166</v>
      </c>
      <c r="L55" t="s">
        <v>175</v>
      </c>
      <c r="M55" t="s">
        <v>226</v>
      </c>
      <c r="O55" t="s">
        <v>226</v>
      </c>
      <c r="Q55" t="s">
        <v>476</v>
      </c>
      <c r="U55" t="s">
        <v>1696</v>
      </c>
      <c r="W55" t="s">
        <v>1701</v>
      </c>
      <c r="X55">
        <v>0</v>
      </c>
      <c r="Y55">
        <v>0</v>
      </c>
      <c r="Z55">
        <v>0</v>
      </c>
      <c r="AA55" s="43">
        <v>307.5</v>
      </c>
      <c r="AC55" s="43">
        <v>307.5</v>
      </c>
      <c r="AF55" s="37">
        <f t="shared" si="1"/>
        <v>46491</v>
      </c>
      <c r="AG55" s="37">
        <f t="shared" si="2"/>
        <v>47697.611570247936</v>
      </c>
      <c r="AH55" t="s">
        <v>1704</v>
      </c>
      <c r="AN55" s="43">
        <v>307.5</v>
      </c>
    </row>
    <row r="56" spans="2:40">
      <c r="B56" t="s">
        <v>227</v>
      </c>
      <c r="C56" t="s">
        <v>173</v>
      </c>
      <c r="D56" t="s">
        <v>167</v>
      </c>
      <c r="E56" t="s">
        <v>83</v>
      </c>
      <c r="F56" s="38">
        <v>46162</v>
      </c>
      <c r="G56">
        <v>10</v>
      </c>
      <c r="H56" t="s">
        <v>174</v>
      </c>
      <c r="I56" s="37">
        <v>46232</v>
      </c>
      <c r="J56" t="s">
        <v>165</v>
      </c>
      <c r="K56" t="s">
        <v>166</v>
      </c>
      <c r="L56" t="s">
        <v>175</v>
      </c>
      <c r="M56" t="s">
        <v>227</v>
      </c>
      <c r="O56" t="s">
        <v>227</v>
      </c>
      <c r="Q56" t="s">
        <v>477</v>
      </c>
      <c r="U56" t="s">
        <v>1696</v>
      </c>
      <c r="W56" t="s">
        <v>1701</v>
      </c>
      <c r="X56">
        <v>0</v>
      </c>
      <c r="Y56">
        <v>0</v>
      </c>
      <c r="Z56">
        <v>0</v>
      </c>
      <c r="AA56" s="43">
        <v>307.5</v>
      </c>
      <c r="AC56" s="43">
        <v>307.5</v>
      </c>
      <c r="AF56" s="37">
        <f t="shared" si="1"/>
        <v>46491</v>
      </c>
      <c r="AG56" s="37">
        <f t="shared" si="2"/>
        <v>47697.611570247936</v>
      </c>
      <c r="AH56" t="s">
        <v>1704</v>
      </c>
      <c r="AN56" s="43">
        <v>307.5</v>
      </c>
    </row>
    <row r="57" spans="2:40">
      <c r="B57" t="s">
        <v>228</v>
      </c>
      <c r="C57" t="s">
        <v>173</v>
      </c>
      <c r="D57" t="s">
        <v>167</v>
      </c>
      <c r="E57" t="s">
        <v>83</v>
      </c>
      <c r="F57" s="38">
        <v>46155</v>
      </c>
      <c r="G57">
        <v>10</v>
      </c>
      <c r="H57" t="s">
        <v>174</v>
      </c>
      <c r="I57" s="37">
        <v>46225</v>
      </c>
      <c r="J57" t="s">
        <v>165</v>
      </c>
      <c r="K57" t="s">
        <v>166</v>
      </c>
      <c r="L57" t="s">
        <v>175</v>
      </c>
      <c r="M57" t="s">
        <v>228</v>
      </c>
      <c r="O57" t="s">
        <v>228</v>
      </c>
      <c r="Q57" t="s">
        <v>478</v>
      </c>
      <c r="U57" t="s">
        <v>1696</v>
      </c>
      <c r="W57" t="s">
        <v>1701</v>
      </c>
      <c r="X57">
        <v>0</v>
      </c>
      <c r="Y57">
        <v>0</v>
      </c>
      <c r="Z57">
        <v>0</v>
      </c>
      <c r="AA57" s="43">
        <v>307.5</v>
      </c>
      <c r="AC57" s="43">
        <v>307.5</v>
      </c>
      <c r="AF57" s="37">
        <f t="shared" si="1"/>
        <v>46484</v>
      </c>
      <c r="AG57" s="37">
        <f t="shared" si="2"/>
        <v>47690.611570247936</v>
      </c>
      <c r="AH57" t="s">
        <v>1704</v>
      </c>
      <c r="AN57" s="43">
        <v>307.5</v>
      </c>
    </row>
    <row r="58" spans="2:40">
      <c r="B58" t="s">
        <v>229</v>
      </c>
      <c r="C58" t="s">
        <v>173</v>
      </c>
      <c r="D58" t="s">
        <v>167</v>
      </c>
      <c r="E58" t="s">
        <v>83</v>
      </c>
      <c r="F58" s="38">
        <v>46155</v>
      </c>
      <c r="G58">
        <v>10</v>
      </c>
      <c r="H58" t="s">
        <v>174</v>
      </c>
      <c r="I58" s="37">
        <v>46225</v>
      </c>
      <c r="J58" t="s">
        <v>165</v>
      </c>
      <c r="K58" t="s">
        <v>166</v>
      </c>
      <c r="L58" t="s">
        <v>175</v>
      </c>
      <c r="M58" t="s">
        <v>229</v>
      </c>
      <c r="O58" t="s">
        <v>229</v>
      </c>
      <c r="Q58" t="s">
        <v>479</v>
      </c>
      <c r="U58" t="s">
        <v>1696</v>
      </c>
      <c r="W58" t="s">
        <v>1701</v>
      </c>
      <c r="X58">
        <v>0</v>
      </c>
      <c r="Y58">
        <v>0</v>
      </c>
      <c r="Z58">
        <v>0</v>
      </c>
      <c r="AA58" s="43">
        <v>307.5</v>
      </c>
      <c r="AC58" s="43">
        <v>307.5</v>
      </c>
      <c r="AF58" s="37">
        <f t="shared" si="1"/>
        <v>46484</v>
      </c>
      <c r="AG58" s="37">
        <f t="shared" si="2"/>
        <v>47690.611570247936</v>
      </c>
      <c r="AH58" t="s">
        <v>1704</v>
      </c>
      <c r="AN58" s="43">
        <v>307.5</v>
      </c>
    </row>
    <row r="59" spans="2:40">
      <c r="B59" t="s">
        <v>230</v>
      </c>
      <c r="C59" t="s">
        <v>173</v>
      </c>
      <c r="D59" t="s">
        <v>167</v>
      </c>
      <c r="E59" t="s">
        <v>83</v>
      </c>
      <c r="F59" s="38">
        <v>46155</v>
      </c>
      <c r="G59">
        <v>10</v>
      </c>
      <c r="H59" t="s">
        <v>174</v>
      </c>
      <c r="I59" s="37">
        <v>46225</v>
      </c>
      <c r="J59" t="s">
        <v>165</v>
      </c>
      <c r="K59" t="s">
        <v>166</v>
      </c>
      <c r="L59" t="s">
        <v>175</v>
      </c>
      <c r="M59" t="s">
        <v>230</v>
      </c>
      <c r="O59" t="s">
        <v>230</v>
      </c>
      <c r="Q59" t="s">
        <v>480</v>
      </c>
      <c r="U59" t="s">
        <v>1696</v>
      </c>
      <c r="W59" t="s">
        <v>1701</v>
      </c>
      <c r="X59">
        <v>0</v>
      </c>
      <c r="Y59">
        <v>0</v>
      </c>
      <c r="Z59">
        <v>0</v>
      </c>
      <c r="AA59" s="43">
        <v>307.5</v>
      </c>
      <c r="AC59" s="43">
        <v>307.5</v>
      </c>
      <c r="AF59" s="37">
        <f t="shared" si="1"/>
        <v>46484</v>
      </c>
      <c r="AG59" s="37">
        <f t="shared" si="2"/>
        <v>47690.611570247936</v>
      </c>
      <c r="AH59" t="s">
        <v>1704</v>
      </c>
      <c r="AN59" s="43">
        <v>307.5</v>
      </c>
    </row>
    <row r="60" spans="2:40">
      <c r="B60" t="s">
        <v>231</v>
      </c>
      <c r="C60" t="s">
        <v>173</v>
      </c>
      <c r="D60" t="s">
        <v>167</v>
      </c>
      <c r="E60" t="s">
        <v>83</v>
      </c>
      <c r="F60" s="38">
        <v>46155</v>
      </c>
      <c r="G60">
        <v>10</v>
      </c>
      <c r="H60" t="s">
        <v>174</v>
      </c>
      <c r="I60" s="37">
        <v>46225</v>
      </c>
      <c r="J60" t="s">
        <v>165</v>
      </c>
      <c r="K60" t="s">
        <v>166</v>
      </c>
      <c r="L60" t="s">
        <v>175</v>
      </c>
      <c r="M60" t="s">
        <v>231</v>
      </c>
      <c r="O60" t="s">
        <v>231</v>
      </c>
      <c r="Q60" t="s">
        <v>481</v>
      </c>
      <c r="U60" t="s">
        <v>1696</v>
      </c>
      <c r="W60" t="s">
        <v>1701</v>
      </c>
      <c r="X60">
        <v>0</v>
      </c>
      <c r="Y60">
        <v>0</v>
      </c>
      <c r="Z60">
        <v>0</v>
      </c>
      <c r="AA60" s="43">
        <v>307.5</v>
      </c>
      <c r="AC60" s="43">
        <v>307.5</v>
      </c>
      <c r="AF60" s="37">
        <f t="shared" si="1"/>
        <v>46484</v>
      </c>
      <c r="AG60" s="37">
        <f t="shared" si="2"/>
        <v>47690.611570247936</v>
      </c>
      <c r="AH60" t="s">
        <v>1704</v>
      </c>
      <c r="AN60" s="43">
        <v>307.5</v>
      </c>
    </row>
    <row r="61" spans="2:40">
      <c r="B61" t="s">
        <v>232</v>
      </c>
      <c r="C61" t="s">
        <v>173</v>
      </c>
      <c r="D61" t="s">
        <v>167</v>
      </c>
      <c r="E61" t="s">
        <v>83</v>
      </c>
      <c r="F61" s="38">
        <v>46155</v>
      </c>
      <c r="G61">
        <v>10</v>
      </c>
      <c r="H61" t="s">
        <v>174</v>
      </c>
      <c r="I61" s="37">
        <v>46225</v>
      </c>
      <c r="J61" t="s">
        <v>165</v>
      </c>
      <c r="K61" t="s">
        <v>166</v>
      </c>
      <c r="L61" t="s">
        <v>175</v>
      </c>
      <c r="M61" t="s">
        <v>232</v>
      </c>
      <c r="O61" t="s">
        <v>232</v>
      </c>
      <c r="Q61" t="s">
        <v>482</v>
      </c>
      <c r="U61" t="s">
        <v>1696</v>
      </c>
      <c r="W61" t="s">
        <v>1701</v>
      </c>
      <c r="X61">
        <v>0</v>
      </c>
      <c r="Y61">
        <v>0</v>
      </c>
      <c r="Z61">
        <v>0</v>
      </c>
      <c r="AA61" s="43">
        <v>307.5</v>
      </c>
      <c r="AC61" s="43">
        <v>307.5</v>
      </c>
      <c r="AF61" s="37">
        <f t="shared" si="1"/>
        <v>46484</v>
      </c>
      <c r="AG61" s="37">
        <f t="shared" si="2"/>
        <v>47690.611570247936</v>
      </c>
      <c r="AH61" t="s">
        <v>1704</v>
      </c>
      <c r="AN61" s="43">
        <v>307.5</v>
      </c>
    </row>
    <row r="62" spans="2:40">
      <c r="B62" t="s">
        <v>233</v>
      </c>
      <c r="C62" t="s">
        <v>173</v>
      </c>
      <c r="D62" t="s">
        <v>167</v>
      </c>
      <c r="E62" t="s">
        <v>83</v>
      </c>
      <c r="F62" s="38">
        <v>46155</v>
      </c>
      <c r="G62">
        <v>10</v>
      </c>
      <c r="H62" t="s">
        <v>174</v>
      </c>
      <c r="I62" s="37">
        <v>46225</v>
      </c>
      <c r="J62" t="s">
        <v>165</v>
      </c>
      <c r="K62" t="s">
        <v>166</v>
      </c>
      <c r="L62" t="s">
        <v>175</v>
      </c>
      <c r="M62" t="s">
        <v>233</v>
      </c>
      <c r="O62" t="s">
        <v>233</v>
      </c>
      <c r="Q62" t="s">
        <v>483</v>
      </c>
      <c r="U62" t="s">
        <v>1696</v>
      </c>
      <c r="W62" t="s">
        <v>1701</v>
      </c>
      <c r="X62">
        <v>0</v>
      </c>
      <c r="Y62">
        <v>0</v>
      </c>
      <c r="Z62">
        <v>0</v>
      </c>
      <c r="AA62" s="43">
        <v>307.5</v>
      </c>
      <c r="AC62" s="43">
        <v>307.5</v>
      </c>
      <c r="AF62" s="37">
        <f t="shared" si="1"/>
        <v>46484</v>
      </c>
      <c r="AG62" s="37">
        <f t="shared" si="2"/>
        <v>47690.611570247936</v>
      </c>
      <c r="AH62" t="s">
        <v>1704</v>
      </c>
      <c r="AN62" s="43">
        <v>307.5</v>
      </c>
    </row>
    <row r="63" spans="2:40">
      <c r="B63" t="s">
        <v>234</v>
      </c>
      <c r="C63" t="s">
        <v>173</v>
      </c>
      <c r="D63" t="s">
        <v>167</v>
      </c>
      <c r="E63" t="s">
        <v>83</v>
      </c>
      <c r="F63" s="38">
        <v>46155</v>
      </c>
      <c r="G63">
        <v>10</v>
      </c>
      <c r="H63" t="s">
        <v>174</v>
      </c>
      <c r="I63" s="37">
        <v>46225</v>
      </c>
      <c r="J63" t="s">
        <v>165</v>
      </c>
      <c r="K63" t="s">
        <v>166</v>
      </c>
      <c r="L63" t="s">
        <v>175</v>
      </c>
      <c r="M63" t="s">
        <v>234</v>
      </c>
      <c r="O63" t="s">
        <v>234</v>
      </c>
      <c r="Q63" t="s">
        <v>481</v>
      </c>
      <c r="U63" t="s">
        <v>1696</v>
      </c>
      <c r="W63" t="s">
        <v>1701</v>
      </c>
      <c r="X63">
        <v>0</v>
      </c>
      <c r="Y63">
        <v>0</v>
      </c>
      <c r="Z63">
        <v>0</v>
      </c>
      <c r="AA63" s="43">
        <v>307.5</v>
      </c>
      <c r="AC63" s="43">
        <v>307.5</v>
      </c>
      <c r="AF63" s="37">
        <f t="shared" si="1"/>
        <v>46484</v>
      </c>
      <c r="AG63" s="37">
        <f t="shared" si="2"/>
        <v>47690.611570247936</v>
      </c>
      <c r="AH63" t="s">
        <v>1704</v>
      </c>
      <c r="AN63" s="43">
        <v>307.5</v>
      </c>
    </row>
    <row r="64" spans="2:40">
      <c r="B64" t="s">
        <v>235</v>
      </c>
      <c r="C64" t="s">
        <v>173</v>
      </c>
      <c r="D64" t="s">
        <v>167</v>
      </c>
      <c r="E64" t="s">
        <v>83</v>
      </c>
      <c r="F64" s="38">
        <v>46155</v>
      </c>
      <c r="G64">
        <v>10</v>
      </c>
      <c r="H64" t="s">
        <v>174</v>
      </c>
      <c r="I64" s="37">
        <v>46225</v>
      </c>
      <c r="J64" t="s">
        <v>165</v>
      </c>
      <c r="K64" t="s">
        <v>166</v>
      </c>
      <c r="L64" t="s">
        <v>175</v>
      </c>
      <c r="M64" t="s">
        <v>235</v>
      </c>
      <c r="O64" t="s">
        <v>235</v>
      </c>
      <c r="Q64" t="s">
        <v>482</v>
      </c>
      <c r="U64" t="s">
        <v>1696</v>
      </c>
      <c r="W64" t="s">
        <v>1701</v>
      </c>
      <c r="X64">
        <v>0</v>
      </c>
      <c r="Y64">
        <v>0</v>
      </c>
      <c r="Z64">
        <v>0</v>
      </c>
      <c r="AA64" s="43">
        <v>307.5</v>
      </c>
      <c r="AC64" s="43">
        <v>307.5</v>
      </c>
      <c r="AF64" s="37">
        <f t="shared" si="1"/>
        <v>46484</v>
      </c>
      <c r="AG64" s="37">
        <f t="shared" si="2"/>
        <v>47690.611570247936</v>
      </c>
      <c r="AH64" t="s">
        <v>1704</v>
      </c>
      <c r="AN64" s="43">
        <v>307.5</v>
      </c>
    </row>
    <row r="65" spans="2:40">
      <c r="B65" t="s">
        <v>236</v>
      </c>
      <c r="C65" t="s">
        <v>173</v>
      </c>
      <c r="D65" t="s">
        <v>167</v>
      </c>
      <c r="E65" t="s">
        <v>83</v>
      </c>
      <c r="F65" s="38">
        <v>46155</v>
      </c>
      <c r="G65">
        <v>10</v>
      </c>
      <c r="H65" t="s">
        <v>174</v>
      </c>
      <c r="I65" s="37">
        <v>46225</v>
      </c>
      <c r="J65" t="s">
        <v>165</v>
      </c>
      <c r="K65" t="s">
        <v>166</v>
      </c>
      <c r="L65" t="s">
        <v>175</v>
      </c>
      <c r="M65" t="s">
        <v>236</v>
      </c>
      <c r="O65" t="s">
        <v>236</v>
      </c>
      <c r="Q65" t="s">
        <v>483</v>
      </c>
      <c r="U65" t="s">
        <v>1696</v>
      </c>
      <c r="W65" t="s">
        <v>1701</v>
      </c>
      <c r="X65">
        <v>0</v>
      </c>
      <c r="Y65">
        <v>0</v>
      </c>
      <c r="Z65">
        <v>0</v>
      </c>
      <c r="AA65" s="43">
        <v>307.5</v>
      </c>
      <c r="AC65" s="43">
        <v>307.5</v>
      </c>
      <c r="AF65" s="37">
        <f t="shared" si="1"/>
        <v>46484</v>
      </c>
      <c r="AG65" s="37">
        <f t="shared" si="2"/>
        <v>47690.611570247936</v>
      </c>
      <c r="AH65" t="s">
        <v>1704</v>
      </c>
      <c r="AN65" s="43">
        <v>307.5</v>
      </c>
    </row>
    <row r="66" spans="2:40">
      <c r="B66" t="s">
        <v>237</v>
      </c>
      <c r="C66" t="s">
        <v>173</v>
      </c>
      <c r="D66" t="s">
        <v>167</v>
      </c>
      <c r="E66" t="s">
        <v>83</v>
      </c>
      <c r="F66" s="38">
        <v>46155</v>
      </c>
      <c r="G66">
        <v>10</v>
      </c>
      <c r="H66" t="s">
        <v>174</v>
      </c>
      <c r="I66" s="37">
        <v>46225</v>
      </c>
      <c r="J66" t="s">
        <v>165</v>
      </c>
      <c r="K66" t="s">
        <v>166</v>
      </c>
      <c r="L66" t="s">
        <v>175</v>
      </c>
      <c r="M66" t="s">
        <v>237</v>
      </c>
      <c r="O66" t="s">
        <v>237</v>
      </c>
      <c r="Q66" t="s">
        <v>482</v>
      </c>
      <c r="U66" t="s">
        <v>1696</v>
      </c>
      <c r="W66" t="s">
        <v>1701</v>
      </c>
      <c r="X66">
        <v>0</v>
      </c>
      <c r="Y66">
        <v>0</v>
      </c>
      <c r="Z66">
        <v>0</v>
      </c>
      <c r="AA66" s="43">
        <v>307.5</v>
      </c>
      <c r="AC66" s="43">
        <v>307.5</v>
      </c>
      <c r="AF66" s="37">
        <f t="shared" si="1"/>
        <v>46484</v>
      </c>
      <c r="AG66" s="37">
        <f t="shared" si="2"/>
        <v>47690.611570247936</v>
      </c>
      <c r="AH66" t="s">
        <v>1704</v>
      </c>
      <c r="AN66" s="43">
        <v>307.5</v>
      </c>
    </row>
    <row r="67" spans="2:40">
      <c r="B67" t="s">
        <v>238</v>
      </c>
      <c r="C67" t="s">
        <v>173</v>
      </c>
      <c r="D67" t="s">
        <v>167</v>
      </c>
      <c r="E67" t="s">
        <v>83</v>
      </c>
      <c r="F67" s="38">
        <v>46155</v>
      </c>
      <c r="G67">
        <v>10</v>
      </c>
      <c r="H67" t="s">
        <v>174</v>
      </c>
      <c r="I67" s="37">
        <v>46225</v>
      </c>
      <c r="J67" t="s">
        <v>165</v>
      </c>
      <c r="K67" t="s">
        <v>166</v>
      </c>
      <c r="L67" t="s">
        <v>175</v>
      </c>
      <c r="M67" t="s">
        <v>238</v>
      </c>
      <c r="O67" t="s">
        <v>238</v>
      </c>
      <c r="Q67" t="s">
        <v>484</v>
      </c>
      <c r="U67" t="s">
        <v>1696</v>
      </c>
      <c r="W67" t="s">
        <v>1701</v>
      </c>
      <c r="X67">
        <v>0</v>
      </c>
      <c r="Y67">
        <v>0</v>
      </c>
      <c r="Z67">
        <v>0</v>
      </c>
      <c r="AA67" s="43">
        <v>307.5</v>
      </c>
      <c r="AC67" s="43">
        <v>307.5</v>
      </c>
      <c r="AF67" s="37">
        <f t="shared" si="1"/>
        <v>46484</v>
      </c>
      <c r="AG67" s="37">
        <f t="shared" si="2"/>
        <v>47690.611570247936</v>
      </c>
      <c r="AH67" t="s">
        <v>1704</v>
      </c>
      <c r="AN67" s="43">
        <v>307.5</v>
      </c>
    </row>
    <row r="68" spans="2:40">
      <c r="B68" t="s">
        <v>239</v>
      </c>
      <c r="C68" t="s">
        <v>173</v>
      </c>
      <c r="D68" t="s">
        <v>167</v>
      </c>
      <c r="E68" t="s">
        <v>83</v>
      </c>
      <c r="F68" s="38">
        <v>46155</v>
      </c>
      <c r="G68">
        <v>10</v>
      </c>
      <c r="H68" t="s">
        <v>174</v>
      </c>
      <c r="I68" s="37">
        <v>46225</v>
      </c>
      <c r="J68" t="s">
        <v>165</v>
      </c>
      <c r="K68" t="s">
        <v>166</v>
      </c>
      <c r="L68" t="s">
        <v>175</v>
      </c>
      <c r="M68" t="s">
        <v>239</v>
      </c>
      <c r="O68" t="s">
        <v>239</v>
      </c>
      <c r="Q68" t="s">
        <v>485</v>
      </c>
      <c r="U68" t="s">
        <v>1696</v>
      </c>
      <c r="W68" t="s">
        <v>1701</v>
      </c>
      <c r="X68">
        <v>0</v>
      </c>
      <c r="Y68">
        <v>0</v>
      </c>
      <c r="Z68">
        <v>0</v>
      </c>
      <c r="AA68" s="43">
        <v>307.5</v>
      </c>
      <c r="AC68" s="43">
        <v>307.5</v>
      </c>
      <c r="AF68" s="37">
        <f t="shared" si="1"/>
        <v>46484</v>
      </c>
      <c r="AG68" s="37">
        <f t="shared" si="2"/>
        <v>47690.611570247936</v>
      </c>
      <c r="AH68" t="s">
        <v>1704</v>
      </c>
      <c r="AN68" s="43">
        <v>307.5</v>
      </c>
    </row>
    <row r="69" spans="2:40">
      <c r="B69" t="s">
        <v>240</v>
      </c>
      <c r="C69" t="s">
        <v>173</v>
      </c>
      <c r="D69" t="s">
        <v>167</v>
      </c>
      <c r="E69" t="s">
        <v>83</v>
      </c>
      <c r="F69" s="38">
        <v>46155</v>
      </c>
      <c r="G69">
        <v>10</v>
      </c>
      <c r="H69" t="s">
        <v>174</v>
      </c>
      <c r="I69" s="37">
        <v>46225</v>
      </c>
      <c r="J69" t="s">
        <v>165</v>
      </c>
      <c r="K69" t="s">
        <v>166</v>
      </c>
      <c r="L69" t="s">
        <v>175</v>
      </c>
      <c r="M69" t="s">
        <v>240</v>
      </c>
      <c r="O69" t="s">
        <v>240</v>
      </c>
      <c r="Q69" t="s">
        <v>478</v>
      </c>
      <c r="U69" t="s">
        <v>1696</v>
      </c>
      <c r="W69" t="s">
        <v>1701</v>
      </c>
      <c r="X69">
        <v>0</v>
      </c>
      <c r="Y69">
        <v>0</v>
      </c>
      <c r="Z69">
        <v>0</v>
      </c>
      <c r="AA69" s="43">
        <v>307.5</v>
      </c>
      <c r="AC69" s="43">
        <v>307.5</v>
      </c>
      <c r="AF69" s="37">
        <f t="shared" si="1"/>
        <v>46484</v>
      </c>
      <c r="AG69" s="37">
        <f t="shared" si="2"/>
        <v>47690.611570247936</v>
      </c>
      <c r="AH69" t="s">
        <v>1704</v>
      </c>
      <c r="AN69" s="43">
        <v>307.5</v>
      </c>
    </row>
    <row r="70" spans="2:40">
      <c r="B70" t="s">
        <v>241</v>
      </c>
      <c r="C70" t="s">
        <v>173</v>
      </c>
      <c r="D70" t="s">
        <v>167</v>
      </c>
      <c r="E70" t="s">
        <v>83</v>
      </c>
      <c r="F70" s="38">
        <v>46155</v>
      </c>
      <c r="G70">
        <v>10</v>
      </c>
      <c r="H70" t="s">
        <v>174</v>
      </c>
      <c r="I70" s="37">
        <v>46225</v>
      </c>
      <c r="J70" t="s">
        <v>165</v>
      </c>
      <c r="K70" t="s">
        <v>166</v>
      </c>
      <c r="L70" t="s">
        <v>175</v>
      </c>
      <c r="M70" t="s">
        <v>241</v>
      </c>
      <c r="O70" t="s">
        <v>241</v>
      </c>
      <c r="Q70" t="s">
        <v>482</v>
      </c>
      <c r="U70" t="s">
        <v>1696</v>
      </c>
      <c r="W70" t="s">
        <v>1701</v>
      </c>
      <c r="X70">
        <v>0</v>
      </c>
      <c r="Y70">
        <v>0</v>
      </c>
      <c r="Z70">
        <v>0</v>
      </c>
      <c r="AA70" s="43">
        <v>307.5</v>
      </c>
      <c r="AC70" s="43">
        <v>307.5</v>
      </c>
      <c r="AF70" s="37">
        <f t="shared" si="1"/>
        <v>46484</v>
      </c>
      <c r="AG70" s="37">
        <f t="shared" si="2"/>
        <v>47690.611570247936</v>
      </c>
      <c r="AH70" t="s">
        <v>1704</v>
      </c>
      <c r="AN70" s="43">
        <v>307.5</v>
      </c>
    </row>
    <row r="71" spans="2:40">
      <c r="B71" t="s">
        <v>242</v>
      </c>
      <c r="C71" t="s">
        <v>173</v>
      </c>
      <c r="D71" t="s">
        <v>167</v>
      </c>
      <c r="E71" t="s">
        <v>83</v>
      </c>
      <c r="F71" s="38">
        <v>46148</v>
      </c>
      <c r="G71">
        <v>10</v>
      </c>
      <c r="H71" t="s">
        <v>174</v>
      </c>
      <c r="I71" s="37">
        <v>46218</v>
      </c>
      <c r="J71" t="s">
        <v>165</v>
      </c>
      <c r="K71" t="s">
        <v>166</v>
      </c>
      <c r="L71" t="s">
        <v>175</v>
      </c>
      <c r="M71" t="s">
        <v>242</v>
      </c>
      <c r="O71" t="s">
        <v>242</v>
      </c>
      <c r="Q71" t="s">
        <v>486</v>
      </c>
      <c r="U71" t="s">
        <v>1696</v>
      </c>
      <c r="W71" t="s">
        <v>1701</v>
      </c>
      <c r="X71">
        <v>0</v>
      </c>
      <c r="Y71">
        <v>0</v>
      </c>
      <c r="Z71">
        <v>0</v>
      </c>
      <c r="AA71" s="43">
        <v>307.5</v>
      </c>
      <c r="AC71" s="43">
        <v>307.5</v>
      </c>
      <c r="AF71" s="37">
        <f t="shared" ref="AF71:AF134" si="3">F71+(47*7)</f>
        <v>46477</v>
      </c>
      <c r="AG71" s="37">
        <f t="shared" ref="AG71:AG134" si="4">+AF71+(365*8)/2.42</f>
        <v>47683.611570247936</v>
      </c>
      <c r="AH71" t="s">
        <v>1704</v>
      </c>
      <c r="AN71" s="43">
        <v>307.5</v>
      </c>
    </row>
    <row r="72" spans="2:40">
      <c r="B72" t="s">
        <v>243</v>
      </c>
      <c r="C72" t="s">
        <v>173</v>
      </c>
      <c r="D72" t="s">
        <v>167</v>
      </c>
      <c r="E72" t="s">
        <v>83</v>
      </c>
      <c r="F72" s="38">
        <v>46148</v>
      </c>
      <c r="G72">
        <v>10</v>
      </c>
      <c r="H72" t="s">
        <v>174</v>
      </c>
      <c r="I72" s="37">
        <v>46218</v>
      </c>
      <c r="J72" t="s">
        <v>165</v>
      </c>
      <c r="K72" t="s">
        <v>166</v>
      </c>
      <c r="L72" t="s">
        <v>175</v>
      </c>
      <c r="M72" t="s">
        <v>243</v>
      </c>
      <c r="O72" t="s">
        <v>243</v>
      </c>
      <c r="Q72" t="s">
        <v>487</v>
      </c>
      <c r="U72" t="s">
        <v>1696</v>
      </c>
      <c r="W72" t="s">
        <v>1701</v>
      </c>
      <c r="X72">
        <v>0</v>
      </c>
      <c r="Y72">
        <v>0</v>
      </c>
      <c r="Z72">
        <v>0</v>
      </c>
      <c r="AA72" s="43">
        <v>307.5</v>
      </c>
      <c r="AC72" s="43">
        <v>307.5</v>
      </c>
      <c r="AF72" s="37">
        <f t="shared" si="3"/>
        <v>46477</v>
      </c>
      <c r="AG72" s="37">
        <f t="shared" si="4"/>
        <v>47683.611570247936</v>
      </c>
      <c r="AH72" t="s">
        <v>1704</v>
      </c>
      <c r="AN72" s="43">
        <v>307.5</v>
      </c>
    </row>
    <row r="73" spans="2:40">
      <c r="B73" t="s">
        <v>244</v>
      </c>
      <c r="C73" t="s">
        <v>173</v>
      </c>
      <c r="D73" t="s">
        <v>167</v>
      </c>
      <c r="E73" t="s">
        <v>83</v>
      </c>
      <c r="F73" s="38">
        <v>46148</v>
      </c>
      <c r="G73">
        <v>10</v>
      </c>
      <c r="H73" t="s">
        <v>174</v>
      </c>
      <c r="I73" s="37">
        <v>46218</v>
      </c>
      <c r="J73" t="s">
        <v>165</v>
      </c>
      <c r="K73" t="s">
        <v>166</v>
      </c>
      <c r="L73" t="s">
        <v>175</v>
      </c>
      <c r="M73" t="s">
        <v>244</v>
      </c>
      <c r="O73" t="s">
        <v>244</v>
      </c>
      <c r="Q73" t="s">
        <v>488</v>
      </c>
      <c r="U73" t="s">
        <v>1696</v>
      </c>
      <c r="W73" t="s">
        <v>1701</v>
      </c>
      <c r="X73">
        <v>0</v>
      </c>
      <c r="Y73">
        <v>0</v>
      </c>
      <c r="Z73">
        <v>0</v>
      </c>
      <c r="AA73" s="43">
        <v>307.5</v>
      </c>
      <c r="AC73" s="43">
        <v>307.5</v>
      </c>
      <c r="AF73" s="37">
        <f t="shared" si="3"/>
        <v>46477</v>
      </c>
      <c r="AG73" s="37">
        <f t="shared" si="4"/>
        <v>47683.611570247936</v>
      </c>
      <c r="AH73" t="s">
        <v>1704</v>
      </c>
      <c r="AN73" s="43">
        <v>307.5</v>
      </c>
    </row>
    <row r="74" spans="2:40">
      <c r="B74" t="s">
        <v>245</v>
      </c>
      <c r="C74" t="s">
        <v>173</v>
      </c>
      <c r="D74" t="s">
        <v>167</v>
      </c>
      <c r="E74" t="s">
        <v>83</v>
      </c>
      <c r="F74" s="38">
        <v>46148</v>
      </c>
      <c r="G74">
        <v>10</v>
      </c>
      <c r="H74" t="s">
        <v>174</v>
      </c>
      <c r="I74" s="37">
        <v>46218</v>
      </c>
      <c r="J74" t="s">
        <v>165</v>
      </c>
      <c r="K74" t="s">
        <v>166</v>
      </c>
      <c r="L74" t="s">
        <v>175</v>
      </c>
      <c r="M74" t="s">
        <v>245</v>
      </c>
      <c r="O74" t="s">
        <v>245</v>
      </c>
      <c r="Q74" t="s">
        <v>489</v>
      </c>
      <c r="U74" t="s">
        <v>1696</v>
      </c>
      <c r="W74" t="s">
        <v>1701</v>
      </c>
      <c r="X74">
        <v>0</v>
      </c>
      <c r="Y74">
        <v>0</v>
      </c>
      <c r="Z74">
        <v>0</v>
      </c>
      <c r="AA74" s="43">
        <v>307.5</v>
      </c>
      <c r="AC74" s="43">
        <v>307.5</v>
      </c>
      <c r="AF74" s="37">
        <f t="shared" si="3"/>
        <v>46477</v>
      </c>
      <c r="AG74" s="37">
        <f t="shared" si="4"/>
        <v>47683.611570247936</v>
      </c>
      <c r="AH74" t="s">
        <v>1704</v>
      </c>
      <c r="AN74" s="43">
        <v>307.5</v>
      </c>
    </row>
    <row r="75" spans="2:40">
      <c r="B75" t="s">
        <v>246</v>
      </c>
      <c r="C75" t="s">
        <v>173</v>
      </c>
      <c r="D75" t="s">
        <v>167</v>
      </c>
      <c r="E75" t="s">
        <v>83</v>
      </c>
      <c r="F75" s="38">
        <v>46148</v>
      </c>
      <c r="G75">
        <v>10</v>
      </c>
      <c r="H75" t="s">
        <v>174</v>
      </c>
      <c r="I75" s="37">
        <v>46218</v>
      </c>
      <c r="J75" t="s">
        <v>165</v>
      </c>
      <c r="K75" t="s">
        <v>166</v>
      </c>
      <c r="L75" t="s">
        <v>175</v>
      </c>
      <c r="M75" t="s">
        <v>246</v>
      </c>
      <c r="O75" t="s">
        <v>246</v>
      </c>
      <c r="Q75" t="s">
        <v>489</v>
      </c>
      <c r="U75" t="s">
        <v>1696</v>
      </c>
      <c r="W75" t="s">
        <v>1701</v>
      </c>
      <c r="X75">
        <v>0</v>
      </c>
      <c r="Y75">
        <v>0</v>
      </c>
      <c r="Z75">
        <v>0</v>
      </c>
      <c r="AA75" s="43">
        <v>307.5</v>
      </c>
      <c r="AC75" s="43">
        <v>307.5</v>
      </c>
      <c r="AF75" s="37">
        <f t="shared" si="3"/>
        <v>46477</v>
      </c>
      <c r="AG75" s="37">
        <f t="shared" si="4"/>
        <v>47683.611570247936</v>
      </c>
      <c r="AH75" t="s">
        <v>1704</v>
      </c>
      <c r="AN75" s="43">
        <v>307.5</v>
      </c>
    </row>
    <row r="76" spans="2:40">
      <c r="B76" t="s">
        <v>247</v>
      </c>
      <c r="C76" t="s">
        <v>173</v>
      </c>
      <c r="D76" t="s">
        <v>167</v>
      </c>
      <c r="E76" t="s">
        <v>83</v>
      </c>
      <c r="F76" s="38">
        <v>46148</v>
      </c>
      <c r="G76">
        <v>10</v>
      </c>
      <c r="H76" t="s">
        <v>174</v>
      </c>
      <c r="I76" s="37">
        <v>46218</v>
      </c>
      <c r="J76" t="s">
        <v>165</v>
      </c>
      <c r="K76" t="s">
        <v>166</v>
      </c>
      <c r="L76" t="s">
        <v>175</v>
      </c>
      <c r="M76" t="s">
        <v>247</v>
      </c>
      <c r="O76" t="s">
        <v>247</v>
      </c>
      <c r="Q76" t="s">
        <v>490</v>
      </c>
      <c r="U76" t="s">
        <v>1696</v>
      </c>
      <c r="W76" t="s">
        <v>1701</v>
      </c>
      <c r="X76">
        <v>0</v>
      </c>
      <c r="Y76">
        <v>0</v>
      </c>
      <c r="Z76">
        <v>0</v>
      </c>
      <c r="AA76" s="43">
        <v>307.5</v>
      </c>
      <c r="AC76" s="43">
        <v>307.5</v>
      </c>
      <c r="AF76" s="37">
        <f t="shared" si="3"/>
        <v>46477</v>
      </c>
      <c r="AG76" s="37">
        <f t="shared" si="4"/>
        <v>47683.611570247936</v>
      </c>
      <c r="AH76" t="s">
        <v>1704</v>
      </c>
      <c r="AN76" s="43">
        <v>307.5</v>
      </c>
    </row>
    <row r="77" spans="2:40">
      <c r="B77" t="s">
        <v>248</v>
      </c>
      <c r="C77" t="s">
        <v>173</v>
      </c>
      <c r="D77" t="s">
        <v>167</v>
      </c>
      <c r="E77" t="s">
        <v>83</v>
      </c>
      <c r="F77" s="38">
        <v>46148</v>
      </c>
      <c r="G77">
        <v>10</v>
      </c>
      <c r="H77" t="s">
        <v>174</v>
      </c>
      <c r="I77" s="37">
        <v>46218</v>
      </c>
      <c r="J77" t="s">
        <v>165</v>
      </c>
      <c r="K77" t="s">
        <v>166</v>
      </c>
      <c r="L77" t="s">
        <v>175</v>
      </c>
      <c r="M77" t="s">
        <v>248</v>
      </c>
      <c r="O77" t="s">
        <v>248</v>
      </c>
      <c r="Q77" t="s">
        <v>491</v>
      </c>
      <c r="U77" t="s">
        <v>1696</v>
      </c>
      <c r="W77" t="s">
        <v>1701</v>
      </c>
      <c r="X77">
        <v>0</v>
      </c>
      <c r="Y77">
        <v>0</v>
      </c>
      <c r="Z77">
        <v>0</v>
      </c>
      <c r="AA77" s="43">
        <v>307.5</v>
      </c>
      <c r="AC77" s="43">
        <v>307.5</v>
      </c>
      <c r="AF77" s="37">
        <f t="shared" si="3"/>
        <v>46477</v>
      </c>
      <c r="AG77" s="37">
        <f t="shared" si="4"/>
        <v>47683.611570247936</v>
      </c>
      <c r="AH77" t="s">
        <v>1704</v>
      </c>
      <c r="AN77" s="43">
        <v>307.5</v>
      </c>
    </row>
    <row r="78" spans="2:40">
      <c r="B78" t="s">
        <v>249</v>
      </c>
      <c r="C78" t="s">
        <v>173</v>
      </c>
      <c r="D78" t="s">
        <v>167</v>
      </c>
      <c r="E78" t="s">
        <v>83</v>
      </c>
      <c r="F78" s="38">
        <v>46148</v>
      </c>
      <c r="G78">
        <v>10</v>
      </c>
      <c r="H78" t="s">
        <v>174</v>
      </c>
      <c r="I78" s="37">
        <v>46218</v>
      </c>
      <c r="J78" t="s">
        <v>165</v>
      </c>
      <c r="K78" t="s">
        <v>166</v>
      </c>
      <c r="L78" t="s">
        <v>175</v>
      </c>
      <c r="M78" t="s">
        <v>249</v>
      </c>
      <c r="O78" t="s">
        <v>249</v>
      </c>
      <c r="Q78" t="s">
        <v>492</v>
      </c>
      <c r="U78" t="s">
        <v>1696</v>
      </c>
      <c r="W78" t="s">
        <v>1701</v>
      </c>
      <c r="X78">
        <v>0</v>
      </c>
      <c r="Y78">
        <v>0</v>
      </c>
      <c r="Z78">
        <v>0</v>
      </c>
      <c r="AA78" s="43">
        <v>307.5</v>
      </c>
      <c r="AC78" s="43">
        <v>307.5</v>
      </c>
      <c r="AF78" s="37">
        <f t="shared" si="3"/>
        <v>46477</v>
      </c>
      <c r="AG78" s="37">
        <f t="shared" si="4"/>
        <v>47683.611570247936</v>
      </c>
      <c r="AH78" t="s">
        <v>1704</v>
      </c>
      <c r="AN78" s="43">
        <v>307.5</v>
      </c>
    </row>
    <row r="79" spans="2:40">
      <c r="B79" t="s">
        <v>250</v>
      </c>
      <c r="C79" t="s">
        <v>173</v>
      </c>
      <c r="D79" t="s">
        <v>167</v>
      </c>
      <c r="E79" t="s">
        <v>83</v>
      </c>
      <c r="F79" s="38">
        <v>46148</v>
      </c>
      <c r="G79">
        <v>10</v>
      </c>
      <c r="H79" t="s">
        <v>174</v>
      </c>
      <c r="I79" s="37">
        <v>46218</v>
      </c>
      <c r="J79" t="s">
        <v>165</v>
      </c>
      <c r="K79" t="s">
        <v>166</v>
      </c>
      <c r="L79" t="s">
        <v>175</v>
      </c>
      <c r="M79" t="s">
        <v>250</v>
      </c>
      <c r="O79" t="s">
        <v>250</v>
      </c>
      <c r="Q79" t="s">
        <v>493</v>
      </c>
      <c r="U79" t="s">
        <v>1696</v>
      </c>
      <c r="W79" t="s">
        <v>1701</v>
      </c>
      <c r="X79">
        <v>0</v>
      </c>
      <c r="Y79">
        <v>0</v>
      </c>
      <c r="Z79">
        <v>0</v>
      </c>
      <c r="AA79" s="43">
        <v>307.5</v>
      </c>
      <c r="AC79" s="43">
        <v>307.5</v>
      </c>
      <c r="AF79" s="37">
        <f t="shared" si="3"/>
        <v>46477</v>
      </c>
      <c r="AG79" s="37">
        <f t="shared" si="4"/>
        <v>47683.611570247936</v>
      </c>
      <c r="AH79" t="s">
        <v>1704</v>
      </c>
      <c r="AN79" s="43">
        <v>307.5</v>
      </c>
    </row>
    <row r="80" spans="2:40">
      <c r="B80" t="s">
        <v>251</v>
      </c>
      <c r="C80" t="s">
        <v>173</v>
      </c>
      <c r="D80" t="s">
        <v>167</v>
      </c>
      <c r="E80" t="s">
        <v>83</v>
      </c>
      <c r="F80" s="38">
        <v>46148</v>
      </c>
      <c r="G80">
        <v>10</v>
      </c>
      <c r="H80" t="s">
        <v>174</v>
      </c>
      <c r="I80" s="37">
        <v>46218</v>
      </c>
      <c r="J80" t="s">
        <v>165</v>
      </c>
      <c r="K80" t="s">
        <v>166</v>
      </c>
      <c r="L80" t="s">
        <v>175</v>
      </c>
      <c r="M80" t="s">
        <v>251</v>
      </c>
      <c r="O80" t="s">
        <v>251</v>
      </c>
      <c r="Q80" t="s">
        <v>489</v>
      </c>
      <c r="U80" t="s">
        <v>1696</v>
      </c>
      <c r="W80" t="s">
        <v>1701</v>
      </c>
      <c r="X80">
        <v>0</v>
      </c>
      <c r="Y80">
        <v>0</v>
      </c>
      <c r="Z80">
        <v>0</v>
      </c>
      <c r="AA80" s="43">
        <v>307.5</v>
      </c>
      <c r="AC80" s="43">
        <v>307.5</v>
      </c>
      <c r="AF80" s="37">
        <f t="shared" si="3"/>
        <v>46477</v>
      </c>
      <c r="AG80" s="37">
        <f t="shared" si="4"/>
        <v>47683.611570247936</v>
      </c>
      <c r="AH80" t="s">
        <v>1704</v>
      </c>
      <c r="AN80" s="43">
        <v>307.5</v>
      </c>
    </row>
    <row r="81" spans="2:40">
      <c r="B81" t="s">
        <v>252</v>
      </c>
      <c r="C81" t="s">
        <v>173</v>
      </c>
      <c r="D81" t="s">
        <v>167</v>
      </c>
      <c r="E81" t="s">
        <v>83</v>
      </c>
      <c r="F81" s="38">
        <v>46148</v>
      </c>
      <c r="G81">
        <v>10</v>
      </c>
      <c r="H81" t="s">
        <v>174</v>
      </c>
      <c r="I81" s="37">
        <v>46218</v>
      </c>
      <c r="J81" t="s">
        <v>165</v>
      </c>
      <c r="K81" t="s">
        <v>166</v>
      </c>
      <c r="L81" t="s">
        <v>175</v>
      </c>
      <c r="M81" t="s">
        <v>252</v>
      </c>
      <c r="O81" t="s">
        <v>252</v>
      </c>
      <c r="Q81" t="s">
        <v>486</v>
      </c>
      <c r="U81" t="s">
        <v>1696</v>
      </c>
      <c r="W81" t="s">
        <v>1701</v>
      </c>
      <c r="X81">
        <v>0</v>
      </c>
      <c r="Y81">
        <v>0</v>
      </c>
      <c r="Z81">
        <v>0</v>
      </c>
      <c r="AA81" s="43">
        <v>307.5</v>
      </c>
      <c r="AC81" s="43">
        <v>307.5</v>
      </c>
      <c r="AF81" s="37">
        <f t="shared" si="3"/>
        <v>46477</v>
      </c>
      <c r="AG81" s="37">
        <f t="shared" si="4"/>
        <v>47683.611570247936</v>
      </c>
      <c r="AH81" t="s">
        <v>1704</v>
      </c>
      <c r="AN81" s="43">
        <v>307.5</v>
      </c>
    </row>
    <row r="82" spans="2:40">
      <c r="B82" t="s">
        <v>253</v>
      </c>
      <c r="C82" t="s">
        <v>173</v>
      </c>
      <c r="D82" t="s">
        <v>167</v>
      </c>
      <c r="E82" t="s">
        <v>83</v>
      </c>
      <c r="F82" s="38">
        <v>46141</v>
      </c>
      <c r="G82">
        <v>10</v>
      </c>
      <c r="H82" t="s">
        <v>174</v>
      </c>
      <c r="I82" s="37">
        <v>46211</v>
      </c>
      <c r="J82" t="s">
        <v>165</v>
      </c>
      <c r="K82" t="s">
        <v>166</v>
      </c>
      <c r="L82" t="s">
        <v>175</v>
      </c>
      <c r="M82" t="s">
        <v>253</v>
      </c>
      <c r="O82" t="s">
        <v>253</v>
      </c>
      <c r="Q82" t="s">
        <v>494</v>
      </c>
      <c r="U82" t="s">
        <v>1696</v>
      </c>
      <c r="W82" t="s">
        <v>1701</v>
      </c>
      <c r="X82">
        <v>0</v>
      </c>
      <c r="Y82">
        <v>0</v>
      </c>
      <c r="Z82">
        <v>0</v>
      </c>
      <c r="AA82" s="43">
        <v>307.5</v>
      </c>
      <c r="AC82" s="43">
        <v>307.5</v>
      </c>
      <c r="AF82" s="37">
        <f t="shared" si="3"/>
        <v>46470</v>
      </c>
      <c r="AG82" s="37">
        <f t="shared" si="4"/>
        <v>47676.611570247936</v>
      </c>
      <c r="AH82" t="s">
        <v>1704</v>
      </c>
      <c r="AN82" s="43">
        <v>307.5</v>
      </c>
    </row>
    <row r="83" spans="2:40">
      <c r="B83" t="s">
        <v>254</v>
      </c>
      <c r="C83" t="s">
        <v>173</v>
      </c>
      <c r="D83" t="s">
        <v>167</v>
      </c>
      <c r="E83" t="s">
        <v>83</v>
      </c>
      <c r="F83" s="38">
        <v>46141</v>
      </c>
      <c r="G83">
        <v>10</v>
      </c>
      <c r="H83" t="s">
        <v>174</v>
      </c>
      <c r="I83" s="37">
        <v>46211</v>
      </c>
      <c r="J83" t="s">
        <v>165</v>
      </c>
      <c r="K83" t="s">
        <v>166</v>
      </c>
      <c r="L83" t="s">
        <v>175</v>
      </c>
      <c r="M83" t="s">
        <v>254</v>
      </c>
      <c r="O83" t="s">
        <v>254</v>
      </c>
      <c r="Q83" t="s">
        <v>495</v>
      </c>
      <c r="U83" t="s">
        <v>1696</v>
      </c>
      <c r="W83" t="s">
        <v>1701</v>
      </c>
      <c r="X83">
        <v>0</v>
      </c>
      <c r="Y83">
        <v>0</v>
      </c>
      <c r="Z83">
        <v>0</v>
      </c>
      <c r="AA83" s="43">
        <v>307.5</v>
      </c>
      <c r="AC83" s="43">
        <v>307.5</v>
      </c>
      <c r="AF83" s="37">
        <f t="shared" si="3"/>
        <v>46470</v>
      </c>
      <c r="AG83" s="37">
        <f t="shared" si="4"/>
        <v>47676.611570247936</v>
      </c>
      <c r="AH83" t="s">
        <v>1704</v>
      </c>
      <c r="AN83" s="43">
        <v>307.5</v>
      </c>
    </row>
    <row r="84" spans="2:40">
      <c r="B84" t="s">
        <v>255</v>
      </c>
      <c r="C84" t="s">
        <v>173</v>
      </c>
      <c r="D84" t="s">
        <v>167</v>
      </c>
      <c r="E84" t="s">
        <v>83</v>
      </c>
      <c r="F84" s="38">
        <v>46141</v>
      </c>
      <c r="G84">
        <v>10</v>
      </c>
      <c r="H84" t="s">
        <v>174</v>
      </c>
      <c r="I84" s="37">
        <v>46211</v>
      </c>
      <c r="J84" t="s">
        <v>165</v>
      </c>
      <c r="K84" t="s">
        <v>166</v>
      </c>
      <c r="L84" t="s">
        <v>175</v>
      </c>
      <c r="M84" t="s">
        <v>255</v>
      </c>
      <c r="O84" t="s">
        <v>255</v>
      </c>
      <c r="Q84" t="s">
        <v>496</v>
      </c>
      <c r="U84" t="s">
        <v>1696</v>
      </c>
      <c r="W84" t="s">
        <v>1701</v>
      </c>
      <c r="X84">
        <v>0</v>
      </c>
      <c r="Y84">
        <v>0</v>
      </c>
      <c r="Z84">
        <v>0</v>
      </c>
      <c r="AA84" s="43">
        <v>307.5</v>
      </c>
      <c r="AC84" s="43">
        <v>307.5</v>
      </c>
      <c r="AF84" s="37">
        <f t="shared" si="3"/>
        <v>46470</v>
      </c>
      <c r="AG84" s="37">
        <f t="shared" si="4"/>
        <v>47676.611570247936</v>
      </c>
      <c r="AH84" t="s">
        <v>1704</v>
      </c>
      <c r="AN84" s="43">
        <v>307.5</v>
      </c>
    </row>
    <row r="85" spans="2:40">
      <c r="B85" t="s">
        <v>256</v>
      </c>
      <c r="C85" t="s">
        <v>173</v>
      </c>
      <c r="D85" t="s">
        <v>167</v>
      </c>
      <c r="E85" t="s">
        <v>83</v>
      </c>
      <c r="F85" s="38">
        <v>46141</v>
      </c>
      <c r="G85">
        <v>10</v>
      </c>
      <c r="H85" t="s">
        <v>174</v>
      </c>
      <c r="I85" s="37">
        <v>46211</v>
      </c>
      <c r="J85" t="s">
        <v>165</v>
      </c>
      <c r="K85" t="s">
        <v>166</v>
      </c>
      <c r="L85" t="s">
        <v>175</v>
      </c>
      <c r="M85" t="s">
        <v>256</v>
      </c>
      <c r="O85" t="s">
        <v>256</v>
      </c>
      <c r="Q85" t="s">
        <v>497</v>
      </c>
      <c r="U85" t="s">
        <v>1696</v>
      </c>
      <c r="W85" t="s">
        <v>1701</v>
      </c>
      <c r="X85">
        <v>0</v>
      </c>
      <c r="Y85">
        <v>0</v>
      </c>
      <c r="Z85">
        <v>0</v>
      </c>
      <c r="AA85" s="43">
        <v>307.5</v>
      </c>
      <c r="AC85" s="43">
        <v>307.5</v>
      </c>
      <c r="AF85" s="37">
        <f t="shared" si="3"/>
        <v>46470</v>
      </c>
      <c r="AG85" s="37">
        <f t="shared" si="4"/>
        <v>47676.611570247936</v>
      </c>
      <c r="AH85" t="s">
        <v>1704</v>
      </c>
      <c r="AN85" s="43">
        <v>307.5</v>
      </c>
    </row>
    <row r="86" spans="2:40">
      <c r="B86" t="s">
        <v>257</v>
      </c>
      <c r="C86" t="s">
        <v>173</v>
      </c>
      <c r="D86" t="s">
        <v>167</v>
      </c>
      <c r="E86" t="s">
        <v>83</v>
      </c>
      <c r="F86" s="38">
        <v>46141</v>
      </c>
      <c r="G86">
        <v>10</v>
      </c>
      <c r="H86" t="s">
        <v>174</v>
      </c>
      <c r="I86" s="37">
        <v>46211</v>
      </c>
      <c r="J86" t="s">
        <v>165</v>
      </c>
      <c r="K86" t="s">
        <v>166</v>
      </c>
      <c r="L86" t="s">
        <v>175</v>
      </c>
      <c r="M86" t="s">
        <v>257</v>
      </c>
      <c r="O86" t="s">
        <v>257</v>
      </c>
      <c r="Q86" t="s">
        <v>498</v>
      </c>
      <c r="U86" t="s">
        <v>1696</v>
      </c>
      <c r="W86" t="s">
        <v>1701</v>
      </c>
      <c r="X86">
        <v>0</v>
      </c>
      <c r="Y86">
        <v>0</v>
      </c>
      <c r="Z86">
        <v>0</v>
      </c>
      <c r="AA86" s="43">
        <v>307.5</v>
      </c>
      <c r="AC86" s="43">
        <v>307.5</v>
      </c>
      <c r="AF86" s="37">
        <f t="shared" si="3"/>
        <v>46470</v>
      </c>
      <c r="AG86" s="37">
        <f t="shared" si="4"/>
        <v>47676.611570247936</v>
      </c>
      <c r="AH86" t="s">
        <v>1704</v>
      </c>
      <c r="AN86" s="43">
        <v>307.5</v>
      </c>
    </row>
    <row r="87" spans="2:40">
      <c r="B87" t="s">
        <v>258</v>
      </c>
      <c r="C87" t="s">
        <v>173</v>
      </c>
      <c r="D87" t="s">
        <v>167</v>
      </c>
      <c r="E87" t="s">
        <v>83</v>
      </c>
      <c r="F87" s="38">
        <v>46141</v>
      </c>
      <c r="G87">
        <v>10</v>
      </c>
      <c r="H87" t="s">
        <v>174</v>
      </c>
      <c r="I87" s="37">
        <v>46211</v>
      </c>
      <c r="J87" t="s">
        <v>165</v>
      </c>
      <c r="K87" t="s">
        <v>166</v>
      </c>
      <c r="L87" t="s">
        <v>175</v>
      </c>
      <c r="M87" t="s">
        <v>258</v>
      </c>
      <c r="O87" t="s">
        <v>258</v>
      </c>
      <c r="Q87" t="s">
        <v>497</v>
      </c>
      <c r="U87" t="s">
        <v>1696</v>
      </c>
      <c r="W87" t="s">
        <v>1701</v>
      </c>
      <c r="X87">
        <v>0</v>
      </c>
      <c r="Y87">
        <v>0</v>
      </c>
      <c r="Z87">
        <v>0</v>
      </c>
      <c r="AA87" s="43">
        <v>307.5</v>
      </c>
      <c r="AC87" s="43">
        <v>307.5</v>
      </c>
      <c r="AF87" s="37">
        <f t="shared" si="3"/>
        <v>46470</v>
      </c>
      <c r="AG87" s="37">
        <f t="shared" si="4"/>
        <v>47676.611570247936</v>
      </c>
      <c r="AH87" t="s">
        <v>1704</v>
      </c>
      <c r="AN87" s="43">
        <v>307.5</v>
      </c>
    </row>
    <row r="88" spans="2:40">
      <c r="B88" t="s">
        <v>259</v>
      </c>
      <c r="C88" t="s">
        <v>173</v>
      </c>
      <c r="D88" t="s">
        <v>167</v>
      </c>
      <c r="E88" t="s">
        <v>83</v>
      </c>
      <c r="F88" s="38">
        <v>46141</v>
      </c>
      <c r="G88">
        <v>10</v>
      </c>
      <c r="H88" t="s">
        <v>174</v>
      </c>
      <c r="I88" s="37">
        <v>46211</v>
      </c>
      <c r="J88" t="s">
        <v>165</v>
      </c>
      <c r="K88" t="s">
        <v>166</v>
      </c>
      <c r="L88" t="s">
        <v>175</v>
      </c>
      <c r="M88" t="s">
        <v>259</v>
      </c>
      <c r="O88" t="s">
        <v>259</v>
      </c>
      <c r="Q88" t="s">
        <v>499</v>
      </c>
      <c r="U88" t="s">
        <v>1696</v>
      </c>
      <c r="W88" t="s">
        <v>1701</v>
      </c>
      <c r="X88">
        <v>0</v>
      </c>
      <c r="Y88">
        <v>0</v>
      </c>
      <c r="Z88">
        <v>0</v>
      </c>
      <c r="AA88" s="43">
        <v>307.5</v>
      </c>
      <c r="AC88" s="43">
        <v>307.5</v>
      </c>
      <c r="AF88" s="37">
        <f t="shared" si="3"/>
        <v>46470</v>
      </c>
      <c r="AG88" s="37">
        <f t="shared" si="4"/>
        <v>47676.611570247936</v>
      </c>
      <c r="AH88" t="s">
        <v>1704</v>
      </c>
      <c r="AN88" s="43">
        <v>307.5</v>
      </c>
    </row>
    <row r="89" spans="2:40">
      <c r="B89" t="s">
        <v>260</v>
      </c>
      <c r="C89" t="s">
        <v>173</v>
      </c>
      <c r="D89" t="s">
        <v>167</v>
      </c>
      <c r="E89" t="s">
        <v>83</v>
      </c>
      <c r="F89" s="38">
        <v>46141</v>
      </c>
      <c r="G89">
        <v>10</v>
      </c>
      <c r="H89" t="s">
        <v>174</v>
      </c>
      <c r="I89" s="37">
        <v>46211</v>
      </c>
      <c r="J89" t="s">
        <v>165</v>
      </c>
      <c r="K89" t="s">
        <v>166</v>
      </c>
      <c r="L89" t="s">
        <v>175</v>
      </c>
      <c r="M89" t="s">
        <v>260</v>
      </c>
      <c r="O89" t="s">
        <v>260</v>
      </c>
      <c r="Q89" t="s">
        <v>500</v>
      </c>
      <c r="U89" t="s">
        <v>1696</v>
      </c>
      <c r="W89" t="s">
        <v>1701</v>
      </c>
      <c r="X89">
        <v>0</v>
      </c>
      <c r="Y89">
        <v>0</v>
      </c>
      <c r="Z89">
        <v>0</v>
      </c>
      <c r="AA89" s="43">
        <v>307.5</v>
      </c>
      <c r="AC89" s="43">
        <v>307.5</v>
      </c>
      <c r="AF89" s="37">
        <f t="shared" si="3"/>
        <v>46470</v>
      </c>
      <c r="AG89" s="37">
        <f t="shared" si="4"/>
        <v>47676.611570247936</v>
      </c>
      <c r="AH89" t="s">
        <v>1704</v>
      </c>
      <c r="AN89" s="43">
        <v>307.5</v>
      </c>
    </row>
    <row r="90" spans="2:40">
      <c r="B90" t="s">
        <v>261</v>
      </c>
      <c r="C90" t="s">
        <v>173</v>
      </c>
      <c r="D90" t="s">
        <v>167</v>
      </c>
      <c r="E90" t="s">
        <v>83</v>
      </c>
      <c r="F90" s="38">
        <v>46141</v>
      </c>
      <c r="G90">
        <v>10</v>
      </c>
      <c r="H90" t="s">
        <v>174</v>
      </c>
      <c r="I90" s="37">
        <v>46211</v>
      </c>
      <c r="J90" t="s">
        <v>165</v>
      </c>
      <c r="K90" t="s">
        <v>166</v>
      </c>
      <c r="L90" t="s">
        <v>175</v>
      </c>
      <c r="M90" t="s">
        <v>261</v>
      </c>
      <c r="O90" t="s">
        <v>261</v>
      </c>
      <c r="Q90" t="s">
        <v>497</v>
      </c>
      <c r="U90" t="s">
        <v>1696</v>
      </c>
      <c r="W90" t="s">
        <v>1701</v>
      </c>
      <c r="X90">
        <v>0</v>
      </c>
      <c r="Y90">
        <v>0</v>
      </c>
      <c r="Z90">
        <v>0</v>
      </c>
      <c r="AA90" s="43">
        <v>307.5</v>
      </c>
      <c r="AC90" s="43">
        <v>307.5</v>
      </c>
      <c r="AF90" s="37">
        <f t="shared" si="3"/>
        <v>46470</v>
      </c>
      <c r="AG90" s="37">
        <f t="shared" si="4"/>
        <v>47676.611570247936</v>
      </c>
      <c r="AH90" t="s">
        <v>1704</v>
      </c>
      <c r="AN90" s="43">
        <v>307.5</v>
      </c>
    </row>
    <row r="91" spans="2:40">
      <c r="B91" t="s">
        <v>262</v>
      </c>
      <c r="C91" t="s">
        <v>173</v>
      </c>
      <c r="D91" t="s">
        <v>167</v>
      </c>
      <c r="E91" t="s">
        <v>83</v>
      </c>
      <c r="F91" s="38">
        <v>46141</v>
      </c>
      <c r="G91">
        <v>10</v>
      </c>
      <c r="H91" t="s">
        <v>174</v>
      </c>
      <c r="I91" s="37">
        <v>46211</v>
      </c>
      <c r="J91" t="s">
        <v>165</v>
      </c>
      <c r="K91" t="s">
        <v>166</v>
      </c>
      <c r="L91" t="s">
        <v>175</v>
      </c>
      <c r="M91" t="s">
        <v>262</v>
      </c>
      <c r="O91" t="s">
        <v>262</v>
      </c>
      <c r="Q91" t="s">
        <v>501</v>
      </c>
      <c r="U91" t="s">
        <v>1696</v>
      </c>
      <c r="W91" t="s">
        <v>1701</v>
      </c>
      <c r="X91">
        <v>0</v>
      </c>
      <c r="Y91">
        <v>0</v>
      </c>
      <c r="Z91">
        <v>0</v>
      </c>
      <c r="AA91" s="43">
        <v>307.5</v>
      </c>
      <c r="AC91" s="43">
        <v>307.5</v>
      </c>
      <c r="AF91" s="37">
        <f t="shared" si="3"/>
        <v>46470</v>
      </c>
      <c r="AG91" s="37">
        <f t="shared" si="4"/>
        <v>47676.611570247936</v>
      </c>
      <c r="AH91" t="s">
        <v>1704</v>
      </c>
      <c r="AN91" s="43">
        <v>307.5</v>
      </c>
    </row>
    <row r="92" spans="2:40">
      <c r="B92" t="s">
        <v>263</v>
      </c>
      <c r="C92" t="s">
        <v>173</v>
      </c>
      <c r="D92" t="s">
        <v>167</v>
      </c>
      <c r="E92" t="s">
        <v>83</v>
      </c>
      <c r="F92" s="38">
        <v>46141</v>
      </c>
      <c r="G92">
        <v>10</v>
      </c>
      <c r="H92" t="s">
        <v>174</v>
      </c>
      <c r="I92" s="37">
        <v>46211</v>
      </c>
      <c r="J92" t="s">
        <v>165</v>
      </c>
      <c r="K92" t="s">
        <v>166</v>
      </c>
      <c r="L92" t="s">
        <v>175</v>
      </c>
      <c r="M92" t="s">
        <v>263</v>
      </c>
      <c r="O92" t="s">
        <v>263</v>
      </c>
      <c r="Q92" t="s">
        <v>502</v>
      </c>
      <c r="U92" t="s">
        <v>1696</v>
      </c>
      <c r="W92" t="s">
        <v>1701</v>
      </c>
      <c r="X92">
        <v>0</v>
      </c>
      <c r="Y92">
        <v>0</v>
      </c>
      <c r="Z92">
        <v>0</v>
      </c>
      <c r="AA92" s="43">
        <v>307.5</v>
      </c>
      <c r="AC92" s="43">
        <v>307.5</v>
      </c>
      <c r="AF92" s="37">
        <f t="shared" si="3"/>
        <v>46470</v>
      </c>
      <c r="AG92" s="37">
        <f t="shared" si="4"/>
        <v>47676.611570247936</v>
      </c>
      <c r="AH92" t="s">
        <v>1704</v>
      </c>
      <c r="AN92" s="43">
        <v>307.5</v>
      </c>
    </row>
    <row r="93" spans="2:40">
      <c r="B93" t="s">
        <v>264</v>
      </c>
      <c r="C93" t="s">
        <v>173</v>
      </c>
      <c r="D93" t="s">
        <v>167</v>
      </c>
      <c r="E93" t="s">
        <v>83</v>
      </c>
      <c r="F93" s="38">
        <v>46141</v>
      </c>
      <c r="G93">
        <v>10</v>
      </c>
      <c r="H93" t="s">
        <v>174</v>
      </c>
      <c r="I93" s="37">
        <v>46211</v>
      </c>
      <c r="J93" t="s">
        <v>165</v>
      </c>
      <c r="K93" t="s">
        <v>166</v>
      </c>
      <c r="L93" t="s">
        <v>175</v>
      </c>
      <c r="M93" t="s">
        <v>264</v>
      </c>
      <c r="O93" t="s">
        <v>264</v>
      </c>
      <c r="Q93" t="s">
        <v>503</v>
      </c>
      <c r="U93" t="s">
        <v>1696</v>
      </c>
      <c r="W93" t="s">
        <v>1701</v>
      </c>
      <c r="X93">
        <v>0</v>
      </c>
      <c r="Y93">
        <v>0</v>
      </c>
      <c r="Z93">
        <v>0</v>
      </c>
      <c r="AA93" s="43">
        <v>307.5</v>
      </c>
      <c r="AC93" s="43">
        <v>307.5</v>
      </c>
      <c r="AF93" s="37">
        <f t="shared" si="3"/>
        <v>46470</v>
      </c>
      <c r="AG93" s="37">
        <f t="shared" si="4"/>
        <v>47676.611570247936</v>
      </c>
      <c r="AH93" t="s">
        <v>1704</v>
      </c>
      <c r="AN93" s="43">
        <v>307.5</v>
      </c>
    </row>
    <row r="94" spans="2:40">
      <c r="B94" t="s">
        <v>265</v>
      </c>
      <c r="C94" t="s">
        <v>173</v>
      </c>
      <c r="D94" t="s">
        <v>167</v>
      </c>
      <c r="E94" t="s">
        <v>83</v>
      </c>
      <c r="F94" s="38">
        <v>46134</v>
      </c>
      <c r="G94">
        <v>10</v>
      </c>
      <c r="H94" t="s">
        <v>174</v>
      </c>
      <c r="I94" s="37">
        <v>46204</v>
      </c>
      <c r="J94" t="s">
        <v>165</v>
      </c>
      <c r="K94" t="s">
        <v>166</v>
      </c>
      <c r="L94" t="s">
        <v>175</v>
      </c>
      <c r="M94" t="s">
        <v>265</v>
      </c>
      <c r="O94" t="s">
        <v>265</v>
      </c>
      <c r="Q94" t="s">
        <v>504</v>
      </c>
      <c r="U94" t="s">
        <v>1696</v>
      </c>
      <c r="W94" t="s">
        <v>1701</v>
      </c>
      <c r="X94">
        <v>0</v>
      </c>
      <c r="Y94">
        <v>0</v>
      </c>
      <c r="Z94">
        <v>0</v>
      </c>
      <c r="AA94" s="43">
        <v>307.5</v>
      </c>
      <c r="AC94" s="43">
        <v>307.5</v>
      </c>
      <c r="AF94" s="37">
        <f t="shared" si="3"/>
        <v>46463</v>
      </c>
      <c r="AG94" s="37">
        <f t="shared" si="4"/>
        <v>47669.611570247936</v>
      </c>
      <c r="AH94" t="s">
        <v>1704</v>
      </c>
      <c r="AN94" s="43">
        <v>307.5</v>
      </c>
    </row>
    <row r="95" spans="2:40">
      <c r="B95" t="s">
        <v>266</v>
      </c>
      <c r="C95" t="s">
        <v>173</v>
      </c>
      <c r="D95" t="s">
        <v>167</v>
      </c>
      <c r="E95" t="s">
        <v>83</v>
      </c>
      <c r="F95" s="38">
        <v>46134</v>
      </c>
      <c r="G95">
        <v>10</v>
      </c>
      <c r="H95" t="s">
        <v>174</v>
      </c>
      <c r="I95" s="37">
        <v>46204</v>
      </c>
      <c r="J95" t="s">
        <v>165</v>
      </c>
      <c r="K95" t="s">
        <v>166</v>
      </c>
      <c r="L95" t="s">
        <v>175</v>
      </c>
      <c r="M95" t="s">
        <v>266</v>
      </c>
      <c r="O95" t="s">
        <v>266</v>
      </c>
      <c r="Q95" t="s">
        <v>505</v>
      </c>
      <c r="U95" t="s">
        <v>1696</v>
      </c>
      <c r="W95" t="s">
        <v>1701</v>
      </c>
      <c r="X95">
        <v>0</v>
      </c>
      <c r="Y95">
        <v>0</v>
      </c>
      <c r="Z95">
        <v>0</v>
      </c>
      <c r="AA95" s="43">
        <v>307.5</v>
      </c>
      <c r="AC95" s="43">
        <v>307.5</v>
      </c>
      <c r="AF95" s="37">
        <f t="shared" si="3"/>
        <v>46463</v>
      </c>
      <c r="AG95" s="37">
        <f t="shared" si="4"/>
        <v>47669.611570247936</v>
      </c>
      <c r="AH95" t="s">
        <v>1704</v>
      </c>
      <c r="AN95" s="43">
        <v>307.5</v>
      </c>
    </row>
    <row r="96" spans="2:40">
      <c r="B96" t="s">
        <v>267</v>
      </c>
      <c r="C96" t="s">
        <v>173</v>
      </c>
      <c r="D96" t="s">
        <v>167</v>
      </c>
      <c r="E96" t="s">
        <v>83</v>
      </c>
      <c r="F96" s="38">
        <v>46134</v>
      </c>
      <c r="G96">
        <v>10</v>
      </c>
      <c r="H96" t="s">
        <v>174</v>
      </c>
      <c r="I96" s="37">
        <v>46204</v>
      </c>
      <c r="J96" t="s">
        <v>165</v>
      </c>
      <c r="K96" t="s">
        <v>166</v>
      </c>
      <c r="L96" t="s">
        <v>175</v>
      </c>
      <c r="M96" t="s">
        <v>267</v>
      </c>
      <c r="O96" t="s">
        <v>267</v>
      </c>
      <c r="Q96" t="s">
        <v>505</v>
      </c>
      <c r="U96" t="s">
        <v>1696</v>
      </c>
      <c r="W96" t="s">
        <v>1701</v>
      </c>
      <c r="X96">
        <v>0</v>
      </c>
      <c r="Y96">
        <v>0</v>
      </c>
      <c r="Z96">
        <v>0</v>
      </c>
      <c r="AA96" s="43">
        <v>307.5</v>
      </c>
      <c r="AC96" s="43">
        <v>307.5</v>
      </c>
      <c r="AF96" s="37">
        <f t="shared" si="3"/>
        <v>46463</v>
      </c>
      <c r="AG96" s="37">
        <f t="shared" si="4"/>
        <v>47669.611570247936</v>
      </c>
      <c r="AH96" t="s">
        <v>1704</v>
      </c>
      <c r="AN96" s="43">
        <v>307.5</v>
      </c>
    </row>
    <row r="97" spans="2:40">
      <c r="B97" t="s">
        <v>268</v>
      </c>
      <c r="C97" t="s">
        <v>173</v>
      </c>
      <c r="D97" t="s">
        <v>167</v>
      </c>
      <c r="E97" t="s">
        <v>83</v>
      </c>
      <c r="F97" s="38">
        <v>46134</v>
      </c>
      <c r="G97">
        <v>10</v>
      </c>
      <c r="H97" t="s">
        <v>174</v>
      </c>
      <c r="I97" s="37">
        <v>46204</v>
      </c>
      <c r="J97" t="s">
        <v>165</v>
      </c>
      <c r="K97" t="s">
        <v>166</v>
      </c>
      <c r="L97" t="s">
        <v>175</v>
      </c>
      <c r="M97" t="s">
        <v>268</v>
      </c>
      <c r="O97" t="s">
        <v>268</v>
      </c>
      <c r="Q97" t="s">
        <v>506</v>
      </c>
      <c r="U97" t="s">
        <v>1696</v>
      </c>
      <c r="W97" t="s">
        <v>1701</v>
      </c>
      <c r="X97">
        <v>0</v>
      </c>
      <c r="Y97">
        <v>0</v>
      </c>
      <c r="Z97">
        <v>0</v>
      </c>
      <c r="AA97" s="43">
        <v>307.5</v>
      </c>
      <c r="AC97" s="43">
        <v>307.5</v>
      </c>
      <c r="AF97" s="37">
        <f t="shared" si="3"/>
        <v>46463</v>
      </c>
      <c r="AG97" s="37">
        <f t="shared" si="4"/>
        <v>47669.611570247936</v>
      </c>
      <c r="AH97" t="s">
        <v>1704</v>
      </c>
      <c r="AN97" s="43">
        <v>307.5</v>
      </c>
    </row>
    <row r="98" spans="2:40">
      <c r="B98" t="s">
        <v>269</v>
      </c>
      <c r="C98" t="s">
        <v>173</v>
      </c>
      <c r="D98" t="s">
        <v>167</v>
      </c>
      <c r="E98" t="s">
        <v>83</v>
      </c>
      <c r="F98" s="38">
        <v>46134</v>
      </c>
      <c r="G98">
        <v>10</v>
      </c>
      <c r="H98" t="s">
        <v>174</v>
      </c>
      <c r="I98" s="37">
        <v>46204</v>
      </c>
      <c r="J98" t="s">
        <v>165</v>
      </c>
      <c r="K98" t="s">
        <v>166</v>
      </c>
      <c r="L98" t="s">
        <v>175</v>
      </c>
      <c r="M98" t="s">
        <v>269</v>
      </c>
      <c r="O98" t="s">
        <v>269</v>
      </c>
      <c r="Q98" t="s">
        <v>507</v>
      </c>
      <c r="U98" t="s">
        <v>1696</v>
      </c>
      <c r="W98" t="s">
        <v>1701</v>
      </c>
      <c r="X98">
        <v>0</v>
      </c>
      <c r="Y98">
        <v>0</v>
      </c>
      <c r="Z98">
        <v>0</v>
      </c>
      <c r="AA98" s="43">
        <v>307.5</v>
      </c>
      <c r="AC98" s="43">
        <v>307.5</v>
      </c>
      <c r="AF98" s="37">
        <f t="shared" si="3"/>
        <v>46463</v>
      </c>
      <c r="AG98" s="37">
        <f t="shared" si="4"/>
        <v>47669.611570247936</v>
      </c>
      <c r="AH98" t="s">
        <v>1704</v>
      </c>
      <c r="AN98" s="43">
        <v>307.5</v>
      </c>
    </row>
    <row r="99" spans="2:40">
      <c r="B99" t="s">
        <v>270</v>
      </c>
      <c r="C99" t="s">
        <v>173</v>
      </c>
      <c r="D99" t="s">
        <v>167</v>
      </c>
      <c r="E99" t="s">
        <v>83</v>
      </c>
      <c r="F99" s="38">
        <v>46134</v>
      </c>
      <c r="G99">
        <v>10</v>
      </c>
      <c r="H99" t="s">
        <v>174</v>
      </c>
      <c r="I99" s="37">
        <v>46204</v>
      </c>
      <c r="J99" t="s">
        <v>165</v>
      </c>
      <c r="K99" t="s">
        <v>166</v>
      </c>
      <c r="L99" t="s">
        <v>175</v>
      </c>
      <c r="M99" t="s">
        <v>270</v>
      </c>
      <c r="O99" t="s">
        <v>270</v>
      </c>
      <c r="Q99" t="s">
        <v>508</v>
      </c>
      <c r="U99" t="s">
        <v>1696</v>
      </c>
      <c r="W99" t="s">
        <v>1701</v>
      </c>
      <c r="X99">
        <v>0</v>
      </c>
      <c r="Y99">
        <v>0</v>
      </c>
      <c r="Z99">
        <v>0</v>
      </c>
      <c r="AA99" s="43">
        <v>307.5</v>
      </c>
      <c r="AC99" s="43">
        <v>307.5</v>
      </c>
      <c r="AF99" s="37">
        <f t="shared" si="3"/>
        <v>46463</v>
      </c>
      <c r="AG99" s="37">
        <f t="shared" si="4"/>
        <v>47669.611570247936</v>
      </c>
      <c r="AH99" t="s">
        <v>1704</v>
      </c>
      <c r="AN99" s="43">
        <v>307.5</v>
      </c>
    </row>
    <row r="100" spans="2:40">
      <c r="B100" t="s">
        <v>271</v>
      </c>
      <c r="C100" t="s">
        <v>173</v>
      </c>
      <c r="D100" t="s">
        <v>167</v>
      </c>
      <c r="E100" t="s">
        <v>83</v>
      </c>
      <c r="F100" s="38">
        <v>46134</v>
      </c>
      <c r="G100">
        <v>10</v>
      </c>
      <c r="H100" t="s">
        <v>174</v>
      </c>
      <c r="I100" s="37">
        <v>46204</v>
      </c>
      <c r="J100" t="s">
        <v>165</v>
      </c>
      <c r="K100" t="s">
        <v>166</v>
      </c>
      <c r="L100" t="s">
        <v>175</v>
      </c>
      <c r="M100" t="s">
        <v>271</v>
      </c>
      <c r="O100" t="s">
        <v>271</v>
      </c>
      <c r="Q100" t="s">
        <v>507</v>
      </c>
      <c r="U100" t="s">
        <v>1696</v>
      </c>
      <c r="W100" t="s">
        <v>1701</v>
      </c>
      <c r="X100">
        <v>0</v>
      </c>
      <c r="Y100">
        <v>0</v>
      </c>
      <c r="Z100">
        <v>0</v>
      </c>
      <c r="AA100" s="43">
        <v>307.5</v>
      </c>
      <c r="AC100" s="43">
        <v>307.5</v>
      </c>
      <c r="AF100" s="37">
        <f t="shared" si="3"/>
        <v>46463</v>
      </c>
      <c r="AG100" s="37">
        <f t="shared" si="4"/>
        <v>47669.611570247936</v>
      </c>
      <c r="AH100" t="s">
        <v>1704</v>
      </c>
      <c r="AN100" s="43">
        <v>307.5</v>
      </c>
    </row>
    <row r="101" spans="2:40">
      <c r="B101" t="s">
        <v>272</v>
      </c>
      <c r="C101" t="s">
        <v>173</v>
      </c>
      <c r="D101" t="s">
        <v>167</v>
      </c>
      <c r="E101" t="s">
        <v>83</v>
      </c>
      <c r="F101" s="38">
        <v>46134</v>
      </c>
      <c r="G101">
        <v>10</v>
      </c>
      <c r="H101" t="s">
        <v>174</v>
      </c>
      <c r="I101" s="37">
        <v>46204</v>
      </c>
      <c r="J101" t="s">
        <v>165</v>
      </c>
      <c r="K101" t="s">
        <v>166</v>
      </c>
      <c r="L101" t="s">
        <v>175</v>
      </c>
      <c r="M101" t="s">
        <v>272</v>
      </c>
      <c r="O101" t="s">
        <v>272</v>
      </c>
      <c r="Q101" t="s">
        <v>509</v>
      </c>
      <c r="U101" t="s">
        <v>1696</v>
      </c>
      <c r="W101" t="s">
        <v>1701</v>
      </c>
      <c r="X101">
        <v>0</v>
      </c>
      <c r="Y101">
        <v>0</v>
      </c>
      <c r="Z101">
        <v>0</v>
      </c>
      <c r="AA101" s="43">
        <v>307.5</v>
      </c>
      <c r="AC101" s="43">
        <v>307.5</v>
      </c>
      <c r="AF101" s="37">
        <f t="shared" si="3"/>
        <v>46463</v>
      </c>
      <c r="AG101" s="37">
        <f t="shared" si="4"/>
        <v>47669.611570247936</v>
      </c>
      <c r="AH101" t="s">
        <v>1704</v>
      </c>
      <c r="AN101" s="43">
        <v>307.5</v>
      </c>
    </row>
    <row r="102" spans="2:40">
      <c r="B102" t="s">
        <v>273</v>
      </c>
      <c r="C102" t="s">
        <v>173</v>
      </c>
      <c r="D102" t="s">
        <v>167</v>
      </c>
      <c r="E102" t="s">
        <v>83</v>
      </c>
      <c r="F102" s="38">
        <v>46134</v>
      </c>
      <c r="G102">
        <v>10</v>
      </c>
      <c r="H102" t="s">
        <v>174</v>
      </c>
      <c r="I102" s="37">
        <v>46204</v>
      </c>
      <c r="J102" t="s">
        <v>165</v>
      </c>
      <c r="K102" t="s">
        <v>166</v>
      </c>
      <c r="L102" t="s">
        <v>175</v>
      </c>
      <c r="M102" t="s">
        <v>273</v>
      </c>
      <c r="O102" t="s">
        <v>273</v>
      </c>
      <c r="Q102" t="s">
        <v>510</v>
      </c>
      <c r="U102" t="s">
        <v>1696</v>
      </c>
      <c r="W102" t="s">
        <v>1701</v>
      </c>
      <c r="X102">
        <v>0</v>
      </c>
      <c r="Y102">
        <v>0</v>
      </c>
      <c r="Z102">
        <v>0</v>
      </c>
      <c r="AA102" s="43">
        <v>307.5</v>
      </c>
      <c r="AC102" s="43">
        <v>307.5</v>
      </c>
      <c r="AF102" s="37">
        <f t="shared" si="3"/>
        <v>46463</v>
      </c>
      <c r="AG102" s="37">
        <f t="shared" si="4"/>
        <v>47669.611570247936</v>
      </c>
      <c r="AH102" t="s">
        <v>1704</v>
      </c>
      <c r="AN102" s="43">
        <v>307.5</v>
      </c>
    </row>
    <row r="103" spans="2:40">
      <c r="B103" t="s">
        <v>274</v>
      </c>
      <c r="C103" t="s">
        <v>173</v>
      </c>
      <c r="D103" t="s">
        <v>167</v>
      </c>
      <c r="E103" t="s">
        <v>83</v>
      </c>
      <c r="F103" s="38">
        <v>46134</v>
      </c>
      <c r="G103">
        <v>10</v>
      </c>
      <c r="H103" t="s">
        <v>174</v>
      </c>
      <c r="I103" s="37">
        <v>46204</v>
      </c>
      <c r="J103" t="s">
        <v>165</v>
      </c>
      <c r="K103" t="s">
        <v>166</v>
      </c>
      <c r="L103" t="s">
        <v>175</v>
      </c>
      <c r="M103" t="s">
        <v>274</v>
      </c>
      <c r="O103" t="s">
        <v>274</v>
      </c>
      <c r="Q103" t="s">
        <v>511</v>
      </c>
      <c r="U103" t="s">
        <v>1696</v>
      </c>
      <c r="W103" t="s">
        <v>1701</v>
      </c>
      <c r="X103">
        <v>0</v>
      </c>
      <c r="Y103">
        <v>0</v>
      </c>
      <c r="Z103">
        <v>0</v>
      </c>
      <c r="AA103" s="43">
        <v>307.5</v>
      </c>
      <c r="AC103" s="43">
        <v>307.5</v>
      </c>
      <c r="AF103" s="37">
        <f t="shared" si="3"/>
        <v>46463</v>
      </c>
      <c r="AG103" s="37">
        <f t="shared" si="4"/>
        <v>47669.611570247936</v>
      </c>
      <c r="AH103" t="s">
        <v>1704</v>
      </c>
      <c r="AN103" s="43">
        <v>307.5</v>
      </c>
    </row>
    <row r="104" spans="2:40">
      <c r="B104" t="s">
        <v>275</v>
      </c>
      <c r="C104" t="s">
        <v>173</v>
      </c>
      <c r="D104" t="s">
        <v>167</v>
      </c>
      <c r="E104" t="s">
        <v>83</v>
      </c>
      <c r="F104" s="38">
        <v>46134</v>
      </c>
      <c r="G104">
        <v>10</v>
      </c>
      <c r="H104" t="s">
        <v>174</v>
      </c>
      <c r="I104" s="37">
        <v>46204</v>
      </c>
      <c r="J104" t="s">
        <v>165</v>
      </c>
      <c r="K104" t="s">
        <v>166</v>
      </c>
      <c r="L104" t="s">
        <v>175</v>
      </c>
      <c r="M104" t="s">
        <v>275</v>
      </c>
      <c r="O104" t="s">
        <v>275</v>
      </c>
      <c r="Q104" t="s">
        <v>512</v>
      </c>
      <c r="U104" t="s">
        <v>1696</v>
      </c>
      <c r="W104" t="s">
        <v>1701</v>
      </c>
      <c r="X104">
        <v>0</v>
      </c>
      <c r="Y104">
        <v>0</v>
      </c>
      <c r="Z104">
        <v>0</v>
      </c>
      <c r="AA104" s="43">
        <v>307.5</v>
      </c>
      <c r="AC104" s="43">
        <v>307.5</v>
      </c>
      <c r="AF104" s="37">
        <f t="shared" si="3"/>
        <v>46463</v>
      </c>
      <c r="AG104" s="37">
        <f t="shared" si="4"/>
        <v>47669.611570247936</v>
      </c>
      <c r="AH104" t="s">
        <v>1704</v>
      </c>
      <c r="AN104" s="43">
        <v>307.5</v>
      </c>
    </row>
    <row r="105" spans="2:40">
      <c r="B105" t="s">
        <v>276</v>
      </c>
      <c r="C105" t="s">
        <v>173</v>
      </c>
      <c r="D105" t="s">
        <v>167</v>
      </c>
      <c r="E105" t="s">
        <v>83</v>
      </c>
      <c r="F105" s="38">
        <v>46134</v>
      </c>
      <c r="G105">
        <v>10</v>
      </c>
      <c r="H105" t="s">
        <v>174</v>
      </c>
      <c r="I105" s="37">
        <v>46204</v>
      </c>
      <c r="J105" t="s">
        <v>165</v>
      </c>
      <c r="K105" t="s">
        <v>166</v>
      </c>
      <c r="L105" t="s">
        <v>175</v>
      </c>
      <c r="M105" t="s">
        <v>276</v>
      </c>
      <c r="O105" t="s">
        <v>276</v>
      </c>
      <c r="Q105" t="s">
        <v>513</v>
      </c>
      <c r="U105" t="s">
        <v>1696</v>
      </c>
      <c r="W105" t="s">
        <v>1701</v>
      </c>
      <c r="X105">
        <v>0</v>
      </c>
      <c r="Y105">
        <v>0</v>
      </c>
      <c r="Z105">
        <v>0</v>
      </c>
      <c r="AA105" s="43">
        <v>307.5</v>
      </c>
      <c r="AC105" s="43">
        <v>307.5</v>
      </c>
      <c r="AF105" s="37">
        <f t="shared" si="3"/>
        <v>46463</v>
      </c>
      <c r="AG105" s="37">
        <f t="shared" si="4"/>
        <v>47669.611570247936</v>
      </c>
      <c r="AH105" t="s">
        <v>1704</v>
      </c>
      <c r="AN105" s="43">
        <v>307.5</v>
      </c>
    </row>
    <row r="106" spans="2:40">
      <c r="B106" t="s">
        <v>277</v>
      </c>
      <c r="C106" t="s">
        <v>173</v>
      </c>
      <c r="D106" t="s">
        <v>167</v>
      </c>
      <c r="E106" t="s">
        <v>83</v>
      </c>
      <c r="F106" s="38">
        <v>46127</v>
      </c>
      <c r="G106">
        <v>10</v>
      </c>
      <c r="H106" t="s">
        <v>174</v>
      </c>
      <c r="I106" s="37">
        <v>46197</v>
      </c>
      <c r="J106" t="s">
        <v>165</v>
      </c>
      <c r="K106" t="s">
        <v>166</v>
      </c>
      <c r="L106" t="s">
        <v>175</v>
      </c>
      <c r="M106" t="s">
        <v>277</v>
      </c>
      <c r="O106" t="s">
        <v>277</v>
      </c>
      <c r="Q106" t="s">
        <v>508</v>
      </c>
      <c r="U106" t="s">
        <v>1696</v>
      </c>
      <c r="W106" t="s">
        <v>1701</v>
      </c>
      <c r="X106">
        <v>0</v>
      </c>
      <c r="Y106">
        <v>0</v>
      </c>
      <c r="Z106">
        <v>0</v>
      </c>
      <c r="AA106" s="43">
        <v>307.5</v>
      </c>
      <c r="AC106" s="43">
        <v>307.5</v>
      </c>
      <c r="AF106" s="37">
        <f t="shared" si="3"/>
        <v>46456</v>
      </c>
      <c r="AG106" s="37">
        <f t="shared" si="4"/>
        <v>47662.611570247936</v>
      </c>
      <c r="AH106" t="s">
        <v>1704</v>
      </c>
      <c r="AN106" s="43">
        <v>307.5</v>
      </c>
    </row>
    <row r="107" spans="2:40">
      <c r="B107" t="s">
        <v>278</v>
      </c>
      <c r="C107" t="s">
        <v>173</v>
      </c>
      <c r="D107" t="s">
        <v>167</v>
      </c>
      <c r="E107" t="s">
        <v>83</v>
      </c>
      <c r="F107" s="38">
        <v>46127</v>
      </c>
      <c r="G107">
        <v>10</v>
      </c>
      <c r="H107" t="s">
        <v>174</v>
      </c>
      <c r="I107" s="37">
        <v>46197</v>
      </c>
      <c r="J107" t="s">
        <v>165</v>
      </c>
      <c r="K107" t="s">
        <v>166</v>
      </c>
      <c r="L107" t="s">
        <v>175</v>
      </c>
      <c r="M107" t="s">
        <v>278</v>
      </c>
      <c r="O107" t="s">
        <v>278</v>
      </c>
      <c r="Q107" t="s">
        <v>514</v>
      </c>
      <c r="U107" t="s">
        <v>1696</v>
      </c>
      <c r="W107" t="s">
        <v>1701</v>
      </c>
      <c r="X107">
        <v>0</v>
      </c>
      <c r="Y107">
        <v>0</v>
      </c>
      <c r="Z107">
        <v>0</v>
      </c>
      <c r="AA107" s="43">
        <v>307.5</v>
      </c>
      <c r="AC107" s="43">
        <v>307.5</v>
      </c>
      <c r="AF107" s="37">
        <f t="shared" si="3"/>
        <v>46456</v>
      </c>
      <c r="AG107" s="37">
        <f t="shared" si="4"/>
        <v>47662.611570247936</v>
      </c>
      <c r="AH107" t="s">
        <v>1704</v>
      </c>
      <c r="AN107" s="43">
        <v>307.5</v>
      </c>
    </row>
    <row r="108" spans="2:40">
      <c r="B108" t="s">
        <v>279</v>
      </c>
      <c r="C108" t="s">
        <v>173</v>
      </c>
      <c r="D108" t="s">
        <v>167</v>
      </c>
      <c r="E108" t="s">
        <v>83</v>
      </c>
      <c r="F108" s="38">
        <v>46127</v>
      </c>
      <c r="G108">
        <v>10</v>
      </c>
      <c r="H108" t="s">
        <v>174</v>
      </c>
      <c r="I108" s="37">
        <v>46197</v>
      </c>
      <c r="J108" t="s">
        <v>165</v>
      </c>
      <c r="K108" t="s">
        <v>166</v>
      </c>
      <c r="L108" t="s">
        <v>175</v>
      </c>
      <c r="M108" t="s">
        <v>279</v>
      </c>
      <c r="O108" t="s">
        <v>279</v>
      </c>
      <c r="Q108" t="s">
        <v>515</v>
      </c>
      <c r="U108" t="s">
        <v>1696</v>
      </c>
      <c r="W108" t="s">
        <v>1701</v>
      </c>
      <c r="X108">
        <v>0</v>
      </c>
      <c r="Y108">
        <v>0</v>
      </c>
      <c r="Z108">
        <v>0</v>
      </c>
      <c r="AA108" s="43">
        <v>307.5</v>
      </c>
      <c r="AC108" s="43">
        <v>307.5</v>
      </c>
      <c r="AF108" s="37">
        <f t="shared" si="3"/>
        <v>46456</v>
      </c>
      <c r="AG108" s="37">
        <f t="shared" si="4"/>
        <v>47662.611570247936</v>
      </c>
      <c r="AH108" t="s">
        <v>1704</v>
      </c>
      <c r="AN108" s="43">
        <v>307.5</v>
      </c>
    </row>
    <row r="109" spans="2:40">
      <c r="B109" t="s">
        <v>280</v>
      </c>
      <c r="C109" t="s">
        <v>173</v>
      </c>
      <c r="D109" t="s">
        <v>167</v>
      </c>
      <c r="E109" t="s">
        <v>83</v>
      </c>
      <c r="F109" s="38">
        <v>46127</v>
      </c>
      <c r="G109">
        <v>10</v>
      </c>
      <c r="H109" t="s">
        <v>174</v>
      </c>
      <c r="I109" s="37">
        <v>46197</v>
      </c>
      <c r="J109" t="s">
        <v>165</v>
      </c>
      <c r="K109" t="s">
        <v>166</v>
      </c>
      <c r="L109" t="s">
        <v>175</v>
      </c>
      <c r="M109" t="s">
        <v>280</v>
      </c>
      <c r="O109" t="s">
        <v>280</v>
      </c>
      <c r="Q109" t="s">
        <v>516</v>
      </c>
      <c r="U109" t="s">
        <v>1696</v>
      </c>
      <c r="W109" t="s">
        <v>1701</v>
      </c>
      <c r="X109">
        <v>0</v>
      </c>
      <c r="Y109">
        <v>0</v>
      </c>
      <c r="Z109">
        <v>0</v>
      </c>
      <c r="AA109" s="43">
        <v>307.5</v>
      </c>
      <c r="AC109" s="43">
        <v>307.5</v>
      </c>
      <c r="AF109" s="37">
        <f t="shared" si="3"/>
        <v>46456</v>
      </c>
      <c r="AG109" s="37">
        <f t="shared" si="4"/>
        <v>47662.611570247936</v>
      </c>
      <c r="AH109" t="s">
        <v>1704</v>
      </c>
      <c r="AN109" s="43">
        <v>307.5</v>
      </c>
    </row>
    <row r="110" spans="2:40">
      <c r="B110" t="s">
        <v>281</v>
      </c>
      <c r="C110" t="s">
        <v>173</v>
      </c>
      <c r="D110" t="s">
        <v>167</v>
      </c>
      <c r="E110" t="s">
        <v>83</v>
      </c>
      <c r="F110" s="38">
        <v>46127</v>
      </c>
      <c r="G110">
        <v>10</v>
      </c>
      <c r="H110" t="s">
        <v>174</v>
      </c>
      <c r="I110" s="37">
        <v>46197</v>
      </c>
      <c r="J110" t="s">
        <v>165</v>
      </c>
      <c r="K110" t="s">
        <v>166</v>
      </c>
      <c r="L110" t="s">
        <v>175</v>
      </c>
      <c r="M110" t="s">
        <v>281</v>
      </c>
      <c r="O110" t="s">
        <v>281</v>
      </c>
      <c r="Q110" t="s">
        <v>516</v>
      </c>
      <c r="U110" t="s">
        <v>1696</v>
      </c>
      <c r="W110" t="s">
        <v>1701</v>
      </c>
      <c r="X110">
        <v>0</v>
      </c>
      <c r="Y110">
        <v>0</v>
      </c>
      <c r="Z110">
        <v>0</v>
      </c>
      <c r="AA110" s="43">
        <v>307.5</v>
      </c>
      <c r="AC110" s="43">
        <v>307.5</v>
      </c>
      <c r="AF110" s="37">
        <f t="shared" si="3"/>
        <v>46456</v>
      </c>
      <c r="AG110" s="37">
        <f t="shared" si="4"/>
        <v>47662.611570247936</v>
      </c>
      <c r="AH110" t="s">
        <v>1704</v>
      </c>
      <c r="AN110" s="43">
        <v>307.5</v>
      </c>
    </row>
    <row r="111" spans="2:40">
      <c r="B111" t="s">
        <v>282</v>
      </c>
      <c r="C111" t="s">
        <v>173</v>
      </c>
      <c r="D111" t="s">
        <v>167</v>
      </c>
      <c r="E111" t="s">
        <v>83</v>
      </c>
      <c r="F111" s="38">
        <v>46127</v>
      </c>
      <c r="G111">
        <v>10</v>
      </c>
      <c r="H111" t="s">
        <v>174</v>
      </c>
      <c r="I111" s="37">
        <v>46197</v>
      </c>
      <c r="J111" t="s">
        <v>165</v>
      </c>
      <c r="K111" t="s">
        <v>166</v>
      </c>
      <c r="L111" t="s">
        <v>175</v>
      </c>
      <c r="M111" t="s">
        <v>282</v>
      </c>
      <c r="O111" t="s">
        <v>282</v>
      </c>
      <c r="Q111" t="s">
        <v>517</v>
      </c>
      <c r="U111" t="s">
        <v>1696</v>
      </c>
      <c r="W111" t="s">
        <v>1701</v>
      </c>
      <c r="X111">
        <v>0</v>
      </c>
      <c r="Y111">
        <v>0</v>
      </c>
      <c r="Z111">
        <v>0</v>
      </c>
      <c r="AA111" s="43">
        <v>307.5</v>
      </c>
      <c r="AC111" s="43">
        <v>307.5</v>
      </c>
      <c r="AF111" s="37">
        <f t="shared" si="3"/>
        <v>46456</v>
      </c>
      <c r="AG111" s="37">
        <f t="shared" si="4"/>
        <v>47662.611570247936</v>
      </c>
      <c r="AH111" t="s">
        <v>1704</v>
      </c>
      <c r="AN111" s="43">
        <v>307.5</v>
      </c>
    </row>
    <row r="112" spans="2:40">
      <c r="B112" t="s">
        <v>283</v>
      </c>
      <c r="C112" t="s">
        <v>173</v>
      </c>
      <c r="D112" t="s">
        <v>167</v>
      </c>
      <c r="E112" t="s">
        <v>83</v>
      </c>
      <c r="F112" s="38">
        <v>46127</v>
      </c>
      <c r="G112">
        <v>10</v>
      </c>
      <c r="H112" t="s">
        <v>174</v>
      </c>
      <c r="I112" s="37">
        <v>46197</v>
      </c>
      <c r="J112" t="s">
        <v>165</v>
      </c>
      <c r="K112" t="s">
        <v>166</v>
      </c>
      <c r="L112" t="s">
        <v>175</v>
      </c>
      <c r="M112" t="s">
        <v>283</v>
      </c>
      <c r="O112" t="s">
        <v>283</v>
      </c>
      <c r="Q112" t="s">
        <v>518</v>
      </c>
      <c r="U112" t="s">
        <v>1696</v>
      </c>
      <c r="W112" t="s">
        <v>1701</v>
      </c>
      <c r="X112">
        <v>0</v>
      </c>
      <c r="Y112">
        <v>0</v>
      </c>
      <c r="Z112">
        <v>0</v>
      </c>
      <c r="AA112" s="43">
        <v>307.5</v>
      </c>
      <c r="AC112" s="43">
        <v>307.5</v>
      </c>
      <c r="AF112" s="37">
        <f t="shared" si="3"/>
        <v>46456</v>
      </c>
      <c r="AG112" s="37">
        <f t="shared" si="4"/>
        <v>47662.611570247936</v>
      </c>
      <c r="AH112" t="s">
        <v>1704</v>
      </c>
      <c r="AN112" s="43">
        <v>307.5</v>
      </c>
    </row>
    <row r="113" spans="2:40">
      <c r="B113" t="s">
        <v>284</v>
      </c>
      <c r="C113" t="s">
        <v>173</v>
      </c>
      <c r="D113" t="s">
        <v>167</v>
      </c>
      <c r="E113" t="s">
        <v>83</v>
      </c>
      <c r="F113" s="38">
        <v>46127</v>
      </c>
      <c r="G113">
        <v>10</v>
      </c>
      <c r="H113" t="s">
        <v>174</v>
      </c>
      <c r="I113" s="37">
        <v>46197</v>
      </c>
      <c r="J113" t="s">
        <v>165</v>
      </c>
      <c r="K113" t="s">
        <v>166</v>
      </c>
      <c r="L113" t="s">
        <v>175</v>
      </c>
      <c r="M113" t="s">
        <v>284</v>
      </c>
      <c r="O113" t="s">
        <v>284</v>
      </c>
      <c r="Q113" t="s">
        <v>517</v>
      </c>
      <c r="U113" t="s">
        <v>1696</v>
      </c>
      <c r="W113" t="s">
        <v>1701</v>
      </c>
      <c r="X113">
        <v>0</v>
      </c>
      <c r="Y113">
        <v>0</v>
      </c>
      <c r="Z113">
        <v>0</v>
      </c>
      <c r="AA113" s="43">
        <v>307.5</v>
      </c>
      <c r="AC113" s="43">
        <v>307.5</v>
      </c>
      <c r="AF113" s="37">
        <f t="shared" si="3"/>
        <v>46456</v>
      </c>
      <c r="AG113" s="37">
        <f t="shared" si="4"/>
        <v>47662.611570247936</v>
      </c>
      <c r="AH113" t="s">
        <v>1704</v>
      </c>
      <c r="AN113" s="43">
        <v>307.5</v>
      </c>
    </row>
    <row r="114" spans="2:40">
      <c r="B114" t="s">
        <v>285</v>
      </c>
      <c r="C114" t="s">
        <v>173</v>
      </c>
      <c r="D114" t="s">
        <v>167</v>
      </c>
      <c r="E114" t="s">
        <v>83</v>
      </c>
      <c r="F114" s="38">
        <v>46127</v>
      </c>
      <c r="G114">
        <v>10</v>
      </c>
      <c r="H114" t="s">
        <v>174</v>
      </c>
      <c r="I114" s="37">
        <v>46197</v>
      </c>
      <c r="J114" t="s">
        <v>165</v>
      </c>
      <c r="K114" t="s">
        <v>166</v>
      </c>
      <c r="L114" t="s">
        <v>175</v>
      </c>
      <c r="M114" t="s">
        <v>285</v>
      </c>
      <c r="O114" t="s">
        <v>285</v>
      </c>
      <c r="Q114" t="s">
        <v>519</v>
      </c>
      <c r="U114" t="s">
        <v>1696</v>
      </c>
      <c r="W114" t="s">
        <v>1701</v>
      </c>
      <c r="X114">
        <v>0</v>
      </c>
      <c r="Y114">
        <v>0</v>
      </c>
      <c r="Z114">
        <v>0</v>
      </c>
      <c r="AA114" s="43">
        <v>307.5</v>
      </c>
      <c r="AC114" s="43">
        <v>307.5</v>
      </c>
      <c r="AF114" s="37">
        <f t="shared" si="3"/>
        <v>46456</v>
      </c>
      <c r="AG114" s="37">
        <f t="shared" si="4"/>
        <v>47662.611570247936</v>
      </c>
      <c r="AH114" t="s">
        <v>1704</v>
      </c>
      <c r="AN114" s="43">
        <v>307.5</v>
      </c>
    </row>
    <row r="115" spans="2:40">
      <c r="B115" t="s">
        <v>286</v>
      </c>
      <c r="C115" t="s">
        <v>173</v>
      </c>
      <c r="D115" t="s">
        <v>167</v>
      </c>
      <c r="E115" t="s">
        <v>83</v>
      </c>
      <c r="F115" s="38">
        <v>46127</v>
      </c>
      <c r="G115">
        <v>10</v>
      </c>
      <c r="H115" t="s">
        <v>174</v>
      </c>
      <c r="I115" s="37">
        <v>46197</v>
      </c>
      <c r="J115" t="s">
        <v>165</v>
      </c>
      <c r="K115" t="s">
        <v>166</v>
      </c>
      <c r="L115" t="s">
        <v>175</v>
      </c>
      <c r="M115" t="s">
        <v>286</v>
      </c>
      <c r="O115" t="s">
        <v>286</v>
      </c>
      <c r="Q115" t="s">
        <v>519</v>
      </c>
      <c r="U115" t="s">
        <v>1696</v>
      </c>
      <c r="W115" t="s">
        <v>1701</v>
      </c>
      <c r="X115">
        <v>0</v>
      </c>
      <c r="Y115">
        <v>0</v>
      </c>
      <c r="Z115">
        <v>0</v>
      </c>
      <c r="AA115" s="43">
        <v>307.5</v>
      </c>
      <c r="AC115" s="43">
        <v>307.5</v>
      </c>
      <c r="AF115" s="37">
        <f t="shared" si="3"/>
        <v>46456</v>
      </c>
      <c r="AG115" s="37">
        <f t="shared" si="4"/>
        <v>47662.611570247936</v>
      </c>
      <c r="AH115" t="s">
        <v>1704</v>
      </c>
      <c r="AN115" s="43">
        <v>307.5</v>
      </c>
    </row>
    <row r="116" spans="2:40">
      <c r="B116" t="s">
        <v>287</v>
      </c>
      <c r="C116" t="s">
        <v>173</v>
      </c>
      <c r="D116" t="s">
        <v>167</v>
      </c>
      <c r="E116" t="s">
        <v>83</v>
      </c>
      <c r="F116" s="38">
        <v>46127</v>
      </c>
      <c r="G116">
        <v>10</v>
      </c>
      <c r="H116" t="s">
        <v>174</v>
      </c>
      <c r="I116" s="37">
        <v>46197</v>
      </c>
      <c r="J116" t="s">
        <v>165</v>
      </c>
      <c r="K116" t="s">
        <v>166</v>
      </c>
      <c r="L116" t="s">
        <v>175</v>
      </c>
      <c r="M116" t="s">
        <v>287</v>
      </c>
      <c r="O116" t="s">
        <v>287</v>
      </c>
      <c r="Q116" t="s">
        <v>520</v>
      </c>
      <c r="U116" t="s">
        <v>1696</v>
      </c>
      <c r="W116" t="s">
        <v>1701</v>
      </c>
      <c r="X116">
        <v>0</v>
      </c>
      <c r="Y116">
        <v>0</v>
      </c>
      <c r="Z116">
        <v>0</v>
      </c>
      <c r="AA116" s="43">
        <v>307.5</v>
      </c>
      <c r="AC116" s="43">
        <v>307.5</v>
      </c>
      <c r="AF116" s="37">
        <f t="shared" si="3"/>
        <v>46456</v>
      </c>
      <c r="AG116" s="37">
        <f t="shared" si="4"/>
        <v>47662.611570247936</v>
      </c>
      <c r="AH116" t="s">
        <v>1704</v>
      </c>
      <c r="AN116" s="43">
        <v>307.5</v>
      </c>
    </row>
    <row r="117" spans="2:40">
      <c r="B117" t="s">
        <v>288</v>
      </c>
      <c r="C117" t="s">
        <v>173</v>
      </c>
      <c r="D117" t="s">
        <v>167</v>
      </c>
      <c r="E117" t="s">
        <v>83</v>
      </c>
      <c r="F117" s="38">
        <v>46120</v>
      </c>
      <c r="G117">
        <v>10</v>
      </c>
      <c r="H117" t="s">
        <v>174</v>
      </c>
      <c r="I117" s="37">
        <v>46190</v>
      </c>
      <c r="J117" t="s">
        <v>165</v>
      </c>
      <c r="K117" t="s">
        <v>166</v>
      </c>
      <c r="L117" t="s">
        <v>175</v>
      </c>
      <c r="M117" t="s">
        <v>288</v>
      </c>
      <c r="O117" t="s">
        <v>288</v>
      </c>
      <c r="Q117" t="s">
        <v>521</v>
      </c>
      <c r="U117" t="s">
        <v>1696</v>
      </c>
      <c r="W117" t="s">
        <v>1701</v>
      </c>
      <c r="X117">
        <v>0</v>
      </c>
      <c r="Y117">
        <v>0</v>
      </c>
      <c r="Z117">
        <v>0</v>
      </c>
      <c r="AA117" s="43">
        <v>307.5</v>
      </c>
      <c r="AC117" s="43">
        <v>307.5</v>
      </c>
      <c r="AF117" s="37">
        <f t="shared" si="3"/>
        <v>46449</v>
      </c>
      <c r="AG117" s="37">
        <f t="shared" si="4"/>
        <v>47655.611570247936</v>
      </c>
      <c r="AH117" t="s">
        <v>1704</v>
      </c>
      <c r="AN117" s="43">
        <v>307.5</v>
      </c>
    </row>
    <row r="118" spans="2:40">
      <c r="B118" t="s">
        <v>289</v>
      </c>
      <c r="C118" t="s">
        <v>173</v>
      </c>
      <c r="D118" t="s">
        <v>167</v>
      </c>
      <c r="E118" t="s">
        <v>83</v>
      </c>
      <c r="F118" s="38">
        <v>46120</v>
      </c>
      <c r="G118">
        <v>10</v>
      </c>
      <c r="H118" t="s">
        <v>174</v>
      </c>
      <c r="I118" s="37">
        <v>46190</v>
      </c>
      <c r="J118" t="s">
        <v>165</v>
      </c>
      <c r="K118" t="s">
        <v>166</v>
      </c>
      <c r="L118" t="s">
        <v>175</v>
      </c>
      <c r="M118" t="s">
        <v>289</v>
      </c>
      <c r="O118" t="s">
        <v>289</v>
      </c>
      <c r="Q118" t="s">
        <v>522</v>
      </c>
      <c r="U118" t="s">
        <v>1696</v>
      </c>
      <c r="W118" t="s">
        <v>1701</v>
      </c>
      <c r="X118">
        <v>0</v>
      </c>
      <c r="Y118">
        <v>0</v>
      </c>
      <c r="Z118">
        <v>0</v>
      </c>
      <c r="AA118" s="43">
        <v>307.5</v>
      </c>
      <c r="AC118" s="43">
        <v>307.5</v>
      </c>
      <c r="AF118" s="37">
        <f t="shared" si="3"/>
        <v>46449</v>
      </c>
      <c r="AG118" s="37">
        <f t="shared" si="4"/>
        <v>47655.611570247936</v>
      </c>
      <c r="AH118" t="s">
        <v>1704</v>
      </c>
      <c r="AN118" s="43">
        <v>307.5</v>
      </c>
    </row>
    <row r="119" spans="2:40">
      <c r="B119" t="s">
        <v>290</v>
      </c>
      <c r="C119" t="s">
        <v>173</v>
      </c>
      <c r="D119" t="s">
        <v>167</v>
      </c>
      <c r="E119" t="s">
        <v>83</v>
      </c>
      <c r="F119" s="38">
        <v>46120</v>
      </c>
      <c r="G119">
        <v>10</v>
      </c>
      <c r="H119" t="s">
        <v>174</v>
      </c>
      <c r="I119" s="37">
        <v>46190</v>
      </c>
      <c r="J119" t="s">
        <v>165</v>
      </c>
      <c r="K119" t="s">
        <v>166</v>
      </c>
      <c r="L119" t="s">
        <v>175</v>
      </c>
      <c r="M119" t="s">
        <v>290</v>
      </c>
      <c r="O119" t="s">
        <v>290</v>
      </c>
      <c r="Q119" t="s">
        <v>520</v>
      </c>
      <c r="U119" t="s">
        <v>1696</v>
      </c>
      <c r="W119" t="s">
        <v>1701</v>
      </c>
      <c r="X119">
        <v>0</v>
      </c>
      <c r="Y119">
        <v>0</v>
      </c>
      <c r="Z119">
        <v>0</v>
      </c>
      <c r="AA119" s="43">
        <v>307.5</v>
      </c>
      <c r="AC119" s="43">
        <v>307.5</v>
      </c>
      <c r="AF119" s="37">
        <f t="shared" si="3"/>
        <v>46449</v>
      </c>
      <c r="AG119" s="37">
        <f t="shared" si="4"/>
        <v>47655.611570247936</v>
      </c>
      <c r="AH119" t="s">
        <v>1704</v>
      </c>
      <c r="AN119" s="43">
        <v>307.5</v>
      </c>
    </row>
    <row r="120" spans="2:40">
      <c r="B120" t="s">
        <v>291</v>
      </c>
      <c r="C120" t="s">
        <v>173</v>
      </c>
      <c r="D120" t="s">
        <v>167</v>
      </c>
      <c r="E120" t="s">
        <v>83</v>
      </c>
      <c r="F120" s="38">
        <v>46120</v>
      </c>
      <c r="G120">
        <v>10</v>
      </c>
      <c r="H120" t="s">
        <v>174</v>
      </c>
      <c r="I120" s="37">
        <v>46190</v>
      </c>
      <c r="J120" t="s">
        <v>165</v>
      </c>
      <c r="K120" t="s">
        <v>166</v>
      </c>
      <c r="L120" t="s">
        <v>175</v>
      </c>
      <c r="M120" t="s">
        <v>291</v>
      </c>
      <c r="O120" t="s">
        <v>291</v>
      </c>
      <c r="Q120" t="s">
        <v>521</v>
      </c>
      <c r="U120" t="s">
        <v>1696</v>
      </c>
      <c r="W120" t="s">
        <v>1701</v>
      </c>
      <c r="X120">
        <v>0</v>
      </c>
      <c r="Y120">
        <v>0</v>
      </c>
      <c r="Z120">
        <v>0</v>
      </c>
      <c r="AA120" s="43">
        <v>307.5</v>
      </c>
      <c r="AC120" s="43">
        <v>307.5</v>
      </c>
      <c r="AF120" s="37">
        <f t="shared" si="3"/>
        <v>46449</v>
      </c>
      <c r="AG120" s="37">
        <f t="shared" si="4"/>
        <v>47655.611570247936</v>
      </c>
      <c r="AH120" t="s">
        <v>1704</v>
      </c>
      <c r="AN120" s="43">
        <v>307.5</v>
      </c>
    </row>
    <row r="121" spans="2:40">
      <c r="B121" t="s">
        <v>292</v>
      </c>
      <c r="C121" t="s">
        <v>173</v>
      </c>
      <c r="D121" t="s">
        <v>167</v>
      </c>
      <c r="E121" t="s">
        <v>83</v>
      </c>
      <c r="F121" s="38">
        <v>46120</v>
      </c>
      <c r="G121">
        <v>10</v>
      </c>
      <c r="H121" t="s">
        <v>174</v>
      </c>
      <c r="I121" s="37">
        <v>46190</v>
      </c>
      <c r="J121" t="s">
        <v>165</v>
      </c>
      <c r="K121" t="s">
        <v>166</v>
      </c>
      <c r="L121" t="s">
        <v>175</v>
      </c>
      <c r="M121" t="s">
        <v>292</v>
      </c>
      <c r="O121" t="s">
        <v>292</v>
      </c>
      <c r="Q121" t="s">
        <v>521</v>
      </c>
      <c r="U121" t="s">
        <v>1696</v>
      </c>
      <c r="W121" t="s">
        <v>1701</v>
      </c>
      <c r="X121">
        <v>0</v>
      </c>
      <c r="Y121">
        <v>0</v>
      </c>
      <c r="Z121">
        <v>0</v>
      </c>
      <c r="AA121" s="43">
        <v>307.5</v>
      </c>
      <c r="AC121" s="43">
        <v>307.5</v>
      </c>
      <c r="AF121" s="37">
        <f t="shared" si="3"/>
        <v>46449</v>
      </c>
      <c r="AG121" s="37">
        <f t="shared" si="4"/>
        <v>47655.611570247936</v>
      </c>
      <c r="AH121" t="s">
        <v>1704</v>
      </c>
      <c r="AN121" s="43">
        <v>307.5</v>
      </c>
    </row>
    <row r="122" spans="2:40">
      <c r="B122" t="s">
        <v>293</v>
      </c>
      <c r="C122" t="s">
        <v>173</v>
      </c>
      <c r="D122" t="s">
        <v>167</v>
      </c>
      <c r="E122" t="s">
        <v>83</v>
      </c>
      <c r="F122" s="38">
        <v>46120</v>
      </c>
      <c r="G122">
        <v>10</v>
      </c>
      <c r="H122" t="s">
        <v>174</v>
      </c>
      <c r="I122" s="37">
        <v>46190</v>
      </c>
      <c r="J122" t="s">
        <v>165</v>
      </c>
      <c r="K122" t="s">
        <v>166</v>
      </c>
      <c r="L122" t="s">
        <v>175</v>
      </c>
      <c r="M122" t="s">
        <v>293</v>
      </c>
      <c r="O122" t="s">
        <v>293</v>
      </c>
      <c r="Q122" t="s">
        <v>523</v>
      </c>
      <c r="U122" t="s">
        <v>1696</v>
      </c>
      <c r="W122" t="s">
        <v>1701</v>
      </c>
      <c r="X122">
        <v>0</v>
      </c>
      <c r="Y122">
        <v>0</v>
      </c>
      <c r="Z122">
        <v>0</v>
      </c>
      <c r="AA122" s="43">
        <v>307.5</v>
      </c>
      <c r="AC122" s="43">
        <v>307.5</v>
      </c>
      <c r="AF122" s="37">
        <f t="shared" si="3"/>
        <v>46449</v>
      </c>
      <c r="AG122" s="37">
        <f t="shared" si="4"/>
        <v>47655.611570247936</v>
      </c>
      <c r="AH122" t="s">
        <v>1704</v>
      </c>
      <c r="AN122" s="43">
        <v>307.5</v>
      </c>
    </row>
    <row r="123" spans="2:40">
      <c r="B123" t="s">
        <v>294</v>
      </c>
      <c r="C123" t="s">
        <v>173</v>
      </c>
      <c r="D123" t="s">
        <v>167</v>
      </c>
      <c r="E123" t="s">
        <v>83</v>
      </c>
      <c r="F123" s="38">
        <v>46120</v>
      </c>
      <c r="G123">
        <v>10</v>
      </c>
      <c r="H123" t="s">
        <v>174</v>
      </c>
      <c r="I123" s="37">
        <v>46190</v>
      </c>
      <c r="J123" t="s">
        <v>165</v>
      </c>
      <c r="K123" t="s">
        <v>166</v>
      </c>
      <c r="L123" t="s">
        <v>175</v>
      </c>
      <c r="M123" t="s">
        <v>294</v>
      </c>
      <c r="O123" t="s">
        <v>294</v>
      </c>
      <c r="Q123" t="s">
        <v>524</v>
      </c>
      <c r="U123" t="s">
        <v>1696</v>
      </c>
      <c r="W123" t="s">
        <v>1701</v>
      </c>
      <c r="X123">
        <v>0</v>
      </c>
      <c r="Y123">
        <v>0</v>
      </c>
      <c r="Z123">
        <v>0</v>
      </c>
      <c r="AA123" s="43">
        <v>307.5</v>
      </c>
      <c r="AC123" s="43">
        <v>307.5</v>
      </c>
      <c r="AF123" s="37">
        <f t="shared" si="3"/>
        <v>46449</v>
      </c>
      <c r="AG123" s="37">
        <f t="shared" si="4"/>
        <v>47655.611570247936</v>
      </c>
      <c r="AH123" t="s">
        <v>1704</v>
      </c>
      <c r="AN123" s="43">
        <v>307.5</v>
      </c>
    </row>
    <row r="124" spans="2:40">
      <c r="B124" t="s">
        <v>295</v>
      </c>
      <c r="C124" t="s">
        <v>173</v>
      </c>
      <c r="D124" t="s">
        <v>167</v>
      </c>
      <c r="E124" t="s">
        <v>83</v>
      </c>
      <c r="F124" s="38">
        <v>46120</v>
      </c>
      <c r="G124">
        <v>10</v>
      </c>
      <c r="H124" t="s">
        <v>174</v>
      </c>
      <c r="I124" s="37">
        <v>46190</v>
      </c>
      <c r="J124" t="s">
        <v>165</v>
      </c>
      <c r="K124" t="s">
        <v>166</v>
      </c>
      <c r="L124" t="s">
        <v>175</v>
      </c>
      <c r="M124" t="s">
        <v>295</v>
      </c>
      <c r="O124" t="s">
        <v>295</v>
      </c>
      <c r="Q124" t="s">
        <v>525</v>
      </c>
      <c r="U124" t="s">
        <v>1696</v>
      </c>
      <c r="W124" t="s">
        <v>1701</v>
      </c>
      <c r="X124">
        <v>0</v>
      </c>
      <c r="Y124">
        <v>0</v>
      </c>
      <c r="Z124">
        <v>0</v>
      </c>
      <c r="AA124" s="43">
        <v>307.5</v>
      </c>
      <c r="AC124" s="43">
        <v>307.5</v>
      </c>
      <c r="AF124" s="37">
        <f t="shared" si="3"/>
        <v>46449</v>
      </c>
      <c r="AG124" s="37">
        <f t="shared" si="4"/>
        <v>47655.611570247936</v>
      </c>
      <c r="AH124" t="s">
        <v>1704</v>
      </c>
      <c r="AN124" s="43">
        <v>307.5</v>
      </c>
    </row>
    <row r="125" spans="2:40">
      <c r="B125" t="s">
        <v>296</v>
      </c>
      <c r="C125" t="s">
        <v>173</v>
      </c>
      <c r="D125" t="s">
        <v>167</v>
      </c>
      <c r="E125" t="s">
        <v>83</v>
      </c>
      <c r="F125" s="38">
        <v>46120</v>
      </c>
      <c r="G125">
        <v>10</v>
      </c>
      <c r="H125" t="s">
        <v>174</v>
      </c>
      <c r="I125" s="37">
        <v>46190</v>
      </c>
      <c r="J125" t="s">
        <v>165</v>
      </c>
      <c r="K125" t="s">
        <v>166</v>
      </c>
      <c r="L125" t="s">
        <v>175</v>
      </c>
      <c r="M125" t="s">
        <v>296</v>
      </c>
      <c r="O125" t="s">
        <v>296</v>
      </c>
      <c r="Q125" t="s">
        <v>525</v>
      </c>
      <c r="U125" t="s">
        <v>1696</v>
      </c>
      <c r="W125" t="s">
        <v>1701</v>
      </c>
      <c r="X125">
        <v>0</v>
      </c>
      <c r="Y125">
        <v>0</v>
      </c>
      <c r="Z125">
        <v>0</v>
      </c>
      <c r="AA125" s="43">
        <v>307.5</v>
      </c>
      <c r="AC125" s="43">
        <v>307.5</v>
      </c>
      <c r="AF125" s="37">
        <f t="shared" si="3"/>
        <v>46449</v>
      </c>
      <c r="AG125" s="37">
        <f t="shared" si="4"/>
        <v>47655.611570247936</v>
      </c>
      <c r="AH125" t="s">
        <v>1704</v>
      </c>
      <c r="AN125" s="43">
        <v>307.5</v>
      </c>
    </row>
    <row r="126" spans="2:40">
      <c r="B126" t="s">
        <v>297</v>
      </c>
      <c r="C126" t="s">
        <v>173</v>
      </c>
      <c r="D126" t="s">
        <v>167</v>
      </c>
      <c r="E126" t="s">
        <v>83</v>
      </c>
      <c r="F126" s="38">
        <v>46120</v>
      </c>
      <c r="G126">
        <v>10</v>
      </c>
      <c r="H126" t="s">
        <v>174</v>
      </c>
      <c r="I126" s="37">
        <v>46190</v>
      </c>
      <c r="J126" t="s">
        <v>165</v>
      </c>
      <c r="K126" t="s">
        <v>166</v>
      </c>
      <c r="L126" t="s">
        <v>175</v>
      </c>
      <c r="M126" t="s">
        <v>297</v>
      </c>
      <c r="O126" t="s">
        <v>297</v>
      </c>
      <c r="Q126" t="s">
        <v>526</v>
      </c>
      <c r="U126" t="s">
        <v>1696</v>
      </c>
      <c r="W126" t="s">
        <v>1701</v>
      </c>
      <c r="X126">
        <v>0</v>
      </c>
      <c r="Y126">
        <v>0</v>
      </c>
      <c r="Z126">
        <v>0</v>
      </c>
      <c r="AA126" s="43">
        <v>307.5</v>
      </c>
      <c r="AC126" s="43">
        <v>307.5</v>
      </c>
      <c r="AF126" s="37">
        <f t="shared" si="3"/>
        <v>46449</v>
      </c>
      <c r="AG126" s="37">
        <f t="shared" si="4"/>
        <v>47655.611570247936</v>
      </c>
      <c r="AH126" t="s">
        <v>1704</v>
      </c>
      <c r="AN126" s="43">
        <v>307.5</v>
      </c>
    </row>
    <row r="127" spans="2:40">
      <c r="B127" t="s">
        <v>298</v>
      </c>
      <c r="C127" t="s">
        <v>173</v>
      </c>
      <c r="D127" t="s">
        <v>167</v>
      </c>
      <c r="E127" t="s">
        <v>83</v>
      </c>
      <c r="F127" s="38">
        <v>46120</v>
      </c>
      <c r="G127">
        <v>10</v>
      </c>
      <c r="H127" t="s">
        <v>174</v>
      </c>
      <c r="I127" s="37">
        <v>46190</v>
      </c>
      <c r="J127" t="s">
        <v>165</v>
      </c>
      <c r="K127" t="s">
        <v>166</v>
      </c>
      <c r="L127" t="s">
        <v>175</v>
      </c>
      <c r="M127" t="s">
        <v>298</v>
      </c>
      <c r="O127" t="s">
        <v>298</v>
      </c>
      <c r="Q127" t="s">
        <v>527</v>
      </c>
      <c r="U127" t="s">
        <v>1696</v>
      </c>
      <c r="W127" t="s">
        <v>1701</v>
      </c>
      <c r="X127">
        <v>0</v>
      </c>
      <c r="Y127">
        <v>0</v>
      </c>
      <c r="Z127">
        <v>0</v>
      </c>
      <c r="AA127" s="43">
        <v>307.5</v>
      </c>
      <c r="AC127" s="43">
        <v>307.5</v>
      </c>
      <c r="AF127" s="37">
        <f t="shared" si="3"/>
        <v>46449</v>
      </c>
      <c r="AG127" s="37">
        <f t="shared" si="4"/>
        <v>47655.611570247936</v>
      </c>
      <c r="AH127" t="s">
        <v>1704</v>
      </c>
      <c r="AN127" s="43">
        <v>307.5</v>
      </c>
    </row>
    <row r="128" spans="2:40">
      <c r="B128" t="s">
        <v>299</v>
      </c>
      <c r="C128" t="s">
        <v>173</v>
      </c>
      <c r="D128" t="s">
        <v>167</v>
      </c>
      <c r="E128" t="s">
        <v>83</v>
      </c>
      <c r="F128" s="38">
        <v>46120</v>
      </c>
      <c r="G128">
        <v>10</v>
      </c>
      <c r="H128" t="s">
        <v>174</v>
      </c>
      <c r="I128" s="37">
        <v>46190</v>
      </c>
      <c r="J128" t="s">
        <v>165</v>
      </c>
      <c r="K128" t="s">
        <v>166</v>
      </c>
      <c r="L128" t="s">
        <v>175</v>
      </c>
      <c r="M128" t="s">
        <v>299</v>
      </c>
      <c r="O128" t="s">
        <v>299</v>
      </c>
      <c r="Q128" t="s">
        <v>508</v>
      </c>
      <c r="U128" t="s">
        <v>1696</v>
      </c>
      <c r="W128" t="s">
        <v>1701</v>
      </c>
      <c r="X128">
        <v>0</v>
      </c>
      <c r="Y128">
        <v>0</v>
      </c>
      <c r="Z128">
        <v>0</v>
      </c>
      <c r="AA128" s="43">
        <v>307.5</v>
      </c>
      <c r="AC128" s="43">
        <v>307.5</v>
      </c>
      <c r="AF128" s="37">
        <f t="shared" si="3"/>
        <v>46449</v>
      </c>
      <c r="AG128" s="37">
        <f t="shared" si="4"/>
        <v>47655.611570247936</v>
      </c>
      <c r="AH128" t="s">
        <v>1704</v>
      </c>
      <c r="AN128" s="43">
        <v>307.5</v>
      </c>
    </row>
    <row r="129" spans="2:40">
      <c r="B129" t="s">
        <v>300</v>
      </c>
      <c r="C129" t="s">
        <v>173</v>
      </c>
      <c r="D129" t="s">
        <v>167</v>
      </c>
      <c r="E129" t="s">
        <v>83</v>
      </c>
      <c r="F129" s="38">
        <v>46120</v>
      </c>
      <c r="G129">
        <v>10</v>
      </c>
      <c r="H129" t="s">
        <v>174</v>
      </c>
      <c r="I129" s="37">
        <v>46190</v>
      </c>
      <c r="J129" t="s">
        <v>165</v>
      </c>
      <c r="K129" t="s">
        <v>166</v>
      </c>
      <c r="L129" t="s">
        <v>175</v>
      </c>
      <c r="M129" t="s">
        <v>300</v>
      </c>
      <c r="O129" t="s">
        <v>300</v>
      </c>
      <c r="Q129" t="s">
        <v>528</v>
      </c>
      <c r="U129" t="s">
        <v>1696</v>
      </c>
      <c r="W129" t="s">
        <v>1701</v>
      </c>
      <c r="X129">
        <v>0</v>
      </c>
      <c r="Y129">
        <v>0</v>
      </c>
      <c r="Z129">
        <v>0</v>
      </c>
      <c r="AA129" s="43">
        <v>307.5</v>
      </c>
      <c r="AC129" s="43">
        <v>307.5</v>
      </c>
      <c r="AF129" s="37">
        <f t="shared" si="3"/>
        <v>46449</v>
      </c>
      <c r="AG129" s="37">
        <f t="shared" si="4"/>
        <v>47655.611570247936</v>
      </c>
      <c r="AH129" t="s">
        <v>1704</v>
      </c>
      <c r="AN129" s="43">
        <v>307.5</v>
      </c>
    </row>
    <row r="130" spans="2:40">
      <c r="B130" t="s">
        <v>301</v>
      </c>
      <c r="C130" t="s">
        <v>173</v>
      </c>
      <c r="D130" t="s">
        <v>167</v>
      </c>
      <c r="E130" t="s">
        <v>83</v>
      </c>
      <c r="F130" s="38">
        <v>46120</v>
      </c>
      <c r="G130">
        <v>10</v>
      </c>
      <c r="H130" t="s">
        <v>174</v>
      </c>
      <c r="I130" s="37">
        <v>46190</v>
      </c>
      <c r="J130" t="s">
        <v>165</v>
      </c>
      <c r="K130" t="s">
        <v>166</v>
      </c>
      <c r="L130" t="s">
        <v>175</v>
      </c>
      <c r="M130" t="s">
        <v>301</v>
      </c>
      <c r="O130" t="s">
        <v>301</v>
      </c>
      <c r="Q130" t="s">
        <v>529</v>
      </c>
      <c r="U130" t="s">
        <v>1696</v>
      </c>
      <c r="W130" t="s">
        <v>1701</v>
      </c>
      <c r="X130">
        <v>0</v>
      </c>
      <c r="Y130">
        <v>0</v>
      </c>
      <c r="Z130">
        <v>0</v>
      </c>
      <c r="AA130" s="43">
        <v>307.5</v>
      </c>
      <c r="AC130" s="43">
        <v>307.5</v>
      </c>
      <c r="AF130" s="37">
        <f t="shared" si="3"/>
        <v>46449</v>
      </c>
      <c r="AG130" s="37">
        <f t="shared" si="4"/>
        <v>47655.611570247936</v>
      </c>
      <c r="AH130" t="s">
        <v>1704</v>
      </c>
      <c r="AN130" s="43">
        <v>307.5</v>
      </c>
    </row>
    <row r="131" spans="2:40">
      <c r="B131" t="s">
        <v>302</v>
      </c>
      <c r="C131" t="s">
        <v>173</v>
      </c>
      <c r="D131" t="s">
        <v>167</v>
      </c>
      <c r="E131" t="s">
        <v>83</v>
      </c>
      <c r="F131" s="38">
        <v>46113</v>
      </c>
      <c r="G131">
        <v>10</v>
      </c>
      <c r="H131" t="s">
        <v>174</v>
      </c>
      <c r="I131" s="37">
        <v>46183</v>
      </c>
      <c r="J131" t="s">
        <v>165</v>
      </c>
      <c r="K131" t="s">
        <v>166</v>
      </c>
      <c r="L131" t="s">
        <v>175</v>
      </c>
      <c r="M131" t="s">
        <v>302</v>
      </c>
      <c r="O131" t="s">
        <v>302</v>
      </c>
      <c r="Q131" t="s">
        <v>530</v>
      </c>
      <c r="U131" t="s">
        <v>1696</v>
      </c>
      <c r="W131" t="s">
        <v>1701</v>
      </c>
      <c r="X131">
        <v>0</v>
      </c>
      <c r="Y131">
        <v>0</v>
      </c>
      <c r="Z131">
        <v>0</v>
      </c>
      <c r="AA131" s="43">
        <v>307.5</v>
      </c>
      <c r="AC131" s="43">
        <v>307.5</v>
      </c>
      <c r="AF131" s="37">
        <f t="shared" si="3"/>
        <v>46442</v>
      </c>
      <c r="AG131" s="37">
        <f t="shared" si="4"/>
        <v>47648.611570247936</v>
      </c>
      <c r="AH131" t="s">
        <v>1704</v>
      </c>
      <c r="AN131" s="43">
        <v>307.5</v>
      </c>
    </row>
    <row r="132" spans="2:40">
      <c r="B132" t="s">
        <v>303</v>
      </c>
      <c r="C132" t="s">
        <v>173</v>
      </c>
      <c r="D132" t="s">
        <v>167</v>
      </c>
      <c r="E132" t="s">
        <v>83</v>
      </c>
      <c r="F132" s="38">
        <v>46113</v>
      </c>
      <c r="G132">
        <v>10</v>
      </c>
      <c r="H132" t="s">
        <v>174</v>
      </c>
      <c r="I132" s="37">
        <v>46183</v>
      </c>
      <c r="J132" t="s">
        <v>165</v>
      </c>
      <c r="K132" t="s">
        <v>166</v>
      </c>
      <c r="L132" t="s">
        <v>175</v>
      </c>
      <c r="M132" t="s">
        <v>303</v>
      </c>
      <c r="O132" t="s">
        <v>303</v>
      </c>
      <c r="Q132" t="s">
        <v>531</v>
      </c>
      <c r="U132" t="s">
        <v>1696</v>
      </c>
      <c r="W132" t="s">
        <v>1701</v>
      </c>
      <c r="X132">
        <v>0</v>
      </c>
      <c r="Y132">
        <v>0</v>
      </c>
      <c r="Z132">
        <v>0</v>
      </c>
      <c r="AA132" s="43">
        <v>307.5</v>
      </c>
      <c r="AC132" s="43">
        <v>307.5</v>
      </c>
      <c r="AF132" s="37">
        <f t="shared" si="3"/>
        <v>46442</v>
      </c>
      <c r="AG132" s="37">
        <f t="shared" si="4"/>
        <v>47648.611570247936</v>
      </c>
      <c r="AH132" t="s">
        <v>1704</v>
      </c>
      <c r="AN132" s="43">
        <v>307.5</v>
      </c>
    </row>
    <row r="133" spans="2:40">
      <c r="B133" t="s">
        <v>304</v>
      </c>
      <c r="C133" t="s">
        <v>173</v>
      </c>
      <c r="D133" t="s">
        <v>167</v>
      </c>
      <c r="E133" t="s">
        <v>83</v>
      </c>
      <c r="F133" s="38">
        <v>46113</v>
      </c>
      <c r="G133">
        <v>10</v>
      </c>
      <c r="H133" t="s">
        <v>174</v>
      </c>
      <c r="I133" s="37">
        <v>46183</v>
      </c>
      <c r="J133" t="s">
        <v>165</v>
      </c>
      <c r="K133" t="s">
        <v>166</v>
      </c>
      <c r="L133" t="s">
        <v>175</v>
      </c>
      <c r="M133" t="s">
        <v>304</v>
      </c>
      <c r="O133" t="s">
        <v>304</v>
      </c>
      <c r="Q133" t="s">
        <v>532</v>
      </c>
      <c r="U133" t="s">
        <v>1696</v>
      </c>
      <c r="W133" t="s">
        <v>1701</v>
      </c>
      <c r="X133">
        <v>0</v>
      </c>
      <c r="Y133">
        <v>0</v>
      </c>
      <c r="Z133">
        <v>0</v>
      </c>
      <c r="AA133" s="43">
        <v>307.5</v>
      </c>
      <c r="AC133" s="43">
        <v>307.5</v>
      </c>
      <c r="AF133" s="37">
        <f t="shared" si="3"/>
        <v>46442</v>
      </c>
      <c r="AG133" s="37">
        <f t="shared" si="4"/>
        <v>47648.611570247936</v>
      </c>
      <c r="AH133" t="s">
        <v>1704</v>
      </c>
      <c r="AN133" s="43">
        <v>307.5</v>
      </c>
    </row>
    <row r="134" spans="2:40">
      <c r="B134" t="s">
        <v>305</v>
      </c>
      <c r="C134" t="s">
        <v>173</v>
      </c>
      <c r="D134" t="s">
        <v>167</v>
      </c>
      <c r="E134" t="s">
        <v>83</v>
      </c>
      <c r="F134" s="38">
        <v>46113</v>
      </c>
      <c r="G134">
        <v>10</v>
      </c>
      <c r="H134" t="s">
        <v>174</v>
      </c>
      <c r="I134" s="37">
        <v>46183</v>
      </c>
      <c r="J134" t="s">
        <v>165</v>
      </c>
      <c r="K134" t="s">
        <v>166</v>
      </c>
      <c r="L134" t="s">
        <v>175</v>
      </c>
      <c r="M134" t="s">
        <v>305</v>
      </c>
      <c r="O134" t="s">
        <v>305</v>
      </c>
      <c r="Q134" t="s">
        <v>533</v>
      </c>
      <c r="U134" t="s">
        <v>1696</v>
      </c>
      <c r="W134" t="s">
        <v>1701</v>
      </c>
      <c r="X134">
        <v>0</v>
      </c>
      <c r="Y134">
        <v>0</v>
      </c>
      <c r="Z134">
        <v>0</v>
      </c>
      <c r="AA134" s="43">
        <v>307.5</v>
      </c>
      <c r="AC134" s="43">
        <v>307.5</v>
      </c>
      <c r="AF134" s="37">
        <f t="shared" si="3"/>
        <v>46442</v>
      </c>
      <c r="AG134" s="37">
        <f t="shared" si="4"/>
        <v>47648.611570247936</v>
      </c>
      <c r="AH134" t="s">
        <v>1704</v>
      </c>
      <c r="AN134" s="43">
        <v>307.5</v>
      </c>
    </row>
    <row r="135" spans="2:40">
      <c r="B135" t="s">
        <v>306</v>
      </c>
      <c r="C135" t="s">
        <v>173</v>
      </c>
      <c r="D135" t="s">
        <v>167</v>
      </c>
      <c r="E135" t="s">
        <v>83</v>
      </c>
      <c r="F135" s="38">
        <v>46113</v>
      </c>
      <c r="G135">
        <v>10</v>
      </c>
      <c r="H135" t="s">
        <v>174</v>
      </c>
      <c r="I135" s="37">
        <v>46183</v>
      </c>
      <c r="J135" t="s">
        <v>165</v>
      </c>
      <c r="K135" t="s">
        <v>166</v>
      </c>
      <c r="L135" t="s">
        <v>175</v>
      </c>
      <c r="M135" t="s">
        <v>306</v>
      </c>
      <c r="O135" t="s">
        <v>306</v>
      </c>
      <c r="Q135" t="s">
        <v>532</v>
      </c>
      <c r="U135" t="s">
        <v>1696</v>
      </c>
      <c r="W135" t="s">
        <v>1701</v>
      </c>
      <c r="X135">
        <v>0</v>
      </c>
      <c r="Y135">
        <v>0</v>
      </c>
      <c r="Z135">
        <v>0</v>
      </c>
      <c r="AA135" s="43">
        <v>307.5</v>
      </c>
      <c r="AC135" s="43">
        <v>307.5</v>
      </c>
      <c r="AF135" s="37">
        <f t="shared" ref="AF135:AF198" si="5">F135+(47*7)</f>
        <v>46442</v>
      </c>
      <c r="AG135" s="37">
        <f t="shared" ref="AG135:AG198" si="6">+AF135+(365*8)/2.42</f>
        <v>47648.611570247936</v>
      </c>
      <c r="AH135" t="s">
        <v>1704</v>
      </c>
      <c r="AN135" s="43">
        <v>307.5</v>
      </c>
    </row>
    <row r="136" spans="2:40">
      <c r="B136" t="s">
        <v>307</v>
      </c>
      <c r="C136" t="s">
        <v>173</v>
      </c>
      <c r="D136" t="s">
        <v>167</v>
      </c>
      <c r="E136" t="s">
        <v>83</v>
      </c>
      <c r="F136" s="38">
        <v>46113</v>
      </c>
      <c r="G136">
        <v>10</v>
      </c>
      <c r="H136" t="s">
        <v>174</v>
      </c>
      <c r="I136" s="37">
        <v>46183</v>
      </c>
      <c r="J136" t="s">
        <v>165</v>
      </c>
      <c r="K136" t="s">
        <v>166</v>
      </c>
      <c r="L136" t="s">
        <v>175</v>
      </c>
      <c r="M136" t="s">
        <v>307</v>
      </c>
      <c r="O136" t="s">
        <v>307</v>
      </c>
      <c r="Q136" t="s">
        <v>534</v>
      </c>
      <c r="U136" t="s">
        <v>1696</v>
      </c>
      <c r="W136" t="s">
        <v>1701</v>
      </c>
      <c r="X136">
        <v>0</v>
      </c>
      <c r="Y136">
        <v>0</v>
      </c>
      <c r="Z136">
        <v>0</v>
      </c>
      <c r="AA136" s="43">
        <v>307.5</v>
      </c>
      <c r="AC136" s="43">
        <v>307.5</v>
      </c>
      <c r="AF136" s="37">
        <f t="shared" si="5"/>
        <v>46442</v>
      </c>
      <c r="AG136" s="37">
        <f t="shared" si="6"/>
        <v>47648.611570247936</v>
      </c>
      <c r="AH136" t="s">
        <v>1704</v>
      </c>
      <c r="AN136" s="43">
        <v>307.5</v>
      </c>
    </row>
    <row r="137" spans="2:40">
      <c r="B137" t="s">
        <v>308</v>
      </c>
      <c r="C137" t="s">
        <v>173</v>
      </c>
      <c r="D137" t="s">
        <v>167</v>
      </c>
      <c r="E137" t="s">
        <v>83</v>
      </c>
      <c r="F137" s="38">
        <v>46113</v>
      </c>
      <c r="G137">
        <v>10</v>
      </c>
      <c r="H137" t="s">
        <v>174</v>
      </c>
      <c r="I137" s="37">
        <v>46183</v>
      </c>
      <c r="J137" t="s">
        <v>165</v>
      </c>
      <c r="K137" t="s">
        <v>166</v>
      </c>
      <c r="L137" t="s">
        <v>175</v>
      </c>
      <c r="M137" t="s">
        <v>308</v>
      </c>
      <c r="O137" t="s">
        <v>308</v>
      </c>
      <c r="Q137" t="s">
        <v>532</v>
      </c>
      <c r="U137" t="s">
        <v>1696</v>
      </c>
      <c r="W137" t="s">
        <v>1701</v>
      </c>
      <c r="X137">
        <v>0</v>
      </c>
      <c r="Y137">
        <v>0</v>
      </c>
      <c r="Z137">
        <v>0</v>
      </c>
      <c r="AA137" s="43">
        <v>307.5</v>
      </c>
      <c r="AC137" s="43">
        <v>307.5</v>
      </c>
      <c r="AF137" s="37">
        <f t="shared" si="5"/>
        <v>46442</v>
      </c>
      <c r="AG137" s="37">
        <f t="shared" si="6"/>
        <v>47648.611570247936</v>
      </c>
      <c r="AH137" t="s">
        <v>1704</v>
      </c>
      <c r="AN137" s="43">
        <v>307.5</v>
      </c>
    </row>
    <row r="138" spans="2:40">
      <c r="B138" t="s">
        <v>309</v>
      </c>
      <c r="C138" t="s">
        <v>173</v>
      </c>
      <c r="D138" t="s">
        <v>167</v>
      </c>
      <c r="E138" t="s">
        <v>83</v>
      </c>
      <c r="F138" s="38">
        <v>46113</v>
      </c>
      <c r="G138">
        <v>10</v>
      </c>
      <c r="H138" t="s">
        <v>174</v>
      </c>
      <c r="I138" s="37">
        <v>46183</v>
      </c>
      <c r="J138" t="s">
        <v>165</v>
      </c>
      <c r="K138" t="s">
        <v>166</v>
      </c>
      <c r="L138" t="s">
        <v>175</v>
      </c>
      <c r="M138" t="s">
        <v>309</v>
      </c>
      <c r="O138" t="s">
        <v>309</v>
      </c>
      <c r="Q138" t="s">
        <v>535</v>
      </c>
      <c r="U138" t="s">
        <v>1696</v>
      </c>
      <c r="W138" t="s">
        <v>1701</v>
      </c>
      <c r="X138">
        <v>0</v>
      </c>
      <c r="Y138">
        <v>0</v>
      </c>
      <c r="Z138">
        <v>0</v>
      </c>
      <c r="AA138" s="43">
        <v>307.5</v>
      </c>
      <c r="AC138" s="43">
        <v>307.5</v>
      </c>
      <c r="AF138" s="37">
        <f t="shared" si="5"/>
        <v>46442</v>
      </c>
      <c r="AG138" s="37">
        <f t="shared" si="6"/>
        <v>47648.611570247936</v>
      </c>
      <c r="AH138" t="s">
        <v>1704</v>
      </c>
      <c r="AN138" s="43">
        <v>307.5</v>
      </c>
    </row>
    <row r="139" spans="2:40">
      <c r="B139" t="s">
        <v>310</v>
      </c>
      <c r="C139" t="s">
        <v>173</v>
      </c>
      <c r="D139" t="s">
        <v>167</v>
      </c>
      <c r="E139" t="s">
        <v>83</v>
      </c>
      <c r="F139" s="38">
        <v>46113</v>
      </c>
      <c r="G139">
        <v>10</v>
      </c>
      <c r="H139" t="s">
        <v>174</v>
      </c>
      <c r="I139" s="37">
        <v>46183</v>
      </c>
      <c r="J139" t="s">
        <v>165</v>
      </c>
      <c r="K139" t="s">
        <v>166</v>
      </c>
      <c r="L139" t="s">
        <v>175</v>
      </c>
      <c r="M139" t="s">
        <v>310</v>
      </c>
      <c r="O139" t="s">
        <v>310</v>
      </c>
      <c r="Q139" t="s">
        <v>535</v>
      </c>
      <c r="U139" t="s">
        <v>1696</v>
      </c>
      <c r="W139" t="s">
        <v>1701</v>
      </c>
      <c r="X139">
        <v>0</v>
      </c>
      <c r="Y139">
        <v>0</v>
      </c>
      <c r="Z139">
        <v>0</v>
      </c>
      <c r="AA139" s="43">
        <v>307.5</v>
      </c>
      <c r="AC139" s="43">
        <v>307.5</v>
      </c>
      <c r="AF139" s="37">
        <f t="shared" si="5"/>
        <v>46442</v>
      </c>
      <c r="AG139" s="37">
        <f t="shared" si="6"/>
        <v>47648.611570247936</v>
      </c>
      <c r="AH139" t="s">
        <v>1704</v>
      </c>
      <c r="AN139" s="43">
        <v>307.5</v>
      </c>
    </row>
    <row r="140" spans="2:40">
      <c r="B140" t="s">
        <v>311</v>
      </c>
      <c r="C140" t="s">
        <v>173</v>
      </c>
      <c r="D140" t="s">
        <v>167</v>
      </c>
      <c r="E140" t="s">
        <v>83</v>
      </c>
      <c r="F140" s="38">
        <v>46113</v>
      </c>
      <c r="G140">
        <v>10</v>
      </c>
      <c r="H140" t="s">
        <v>174</v>
      </c>
      <c r="I140" s="37">
        <v>46183</v>
      </c>
      <c r="J140" t="s">
        <v>165</v>
      </c>
      <c r="K140" t="s">
        <v>166</v>
      </c>
      <c r="L140" t="s">
        <v>175</v>
      </c>
      <c r="M140" t="s">
        <v>311</v>
      </c>
      <c r="O140" t="s">
        <v>311</v>
      </c>
      <c r="Q140" t="s">
        <v>536</v>
      </c>
      <c r="U140" t="s">
        <v>1696</v>
      </c>
      <c r="W140" t="s">
        <v>1701</v>
      </c>
      <c r="X140">
        <v>0</v>
      </c>
      <c r="Y140">
        <v>0</v>
      </c>
      <c r="Z140">
        <v>0</v>
      </c>
      <c r="AA140" s="43">
        <v>307.5</v>
      </c>
      <c r="AC140" s="43">
        <v>307.5</v>
      </c>
      <c r="AF140" s="37">
        <f t="shared" si="5"/>
        <v>46442</v>
      </c>
      <c r="AG140" s="37">
        <f t="shared" si="6"/>
        <v>47648.611570247936</v>
      </c>
      <c r="AH140" t="s">
        <v>1704</v>
      </c>
      <c r="AN140" s="43">
        <v>307.5</v>
      </c>
    </row>
    <row r="141" spans="2:40">
      <c r="B141" t="s">
        <v>312</v>
      </c>
      <c r="C141" t="s">
        <v>173</v>
      </c>
      <c r="D141" t="s">
        <v>167</v>
      </c>
      <c r="E141" t="s">
        <v>83</v>
      </c>
      <c r="F141" s="38">
        <v>46113</v>
      </c>
      <c r="G141">
        <v>10</v>
      </c>
      <c r="H141" t="s">
        <v>174</v>
      </c>
      <c r="I141" s="37">
        <v>46183</v>
      </c>
      <c r="J141" t="s">
        <v>165</v>
      </c>
      <c r="K141" t="s">
        <v>166</v>
      </c>
      <c r="L141" t="s">
        <v>175</v>
      </c>
      <c r="M141" t="s">
        <v>312</v>
      </c>
      <c r="O141" t="s">
        <v>312</v>
      </c>
      <c r="Q141" t="s">
        <v>537</v>
      </c>
      <c r="U141" t="s">
        <v>1696</v>
      </c>
      <c r="W141" t="s">
        <v>1701</v>
      </c>
      <c r="X141">
        <v>0</v>
      </c>
      <c r="Y141">
        <v>0</v>
      </c>
      <c r="Z141">
        <v>0</v>
      </c>
      <c r="AA141" s="43">
        <v>307.5</v>
      </c>
      <c r="AC141" s="43">
        <v>307.5</v>
      </c>
      <c r="AF141" s="37">
        <f t="shared" si="5"/>
        <v>46442</v>
      </c>
      <c r="AG141" s="37">
        <f t="shared" si="6"/>
        <v>47648.611570247936</v>
      </c>
      <c r="AH141" t="s">
        <v>1704</v>
      </c>
      <c r="AN141" s="43">
        <v>307.5</v>
      </c>
    </row>
    <row r="142" spans="2:40">
      <c r="B142" t="s">
        <v>313</v>
      </c>
      <c r="C142" t="s">
        <v>173</v>
      </c>
      <c r="D142" t="s">
        <v>167</v>
      </c>
      <c r="E142" t="s">
        <v>83</v>
      </c>
      <c r="F142" s="38">
        <v>46113</v>
      </c>
      <c r="G142">
        <v>10</v>
      </c>
      <c r="H142" t="s">
        <v>174</v>
      </c>
      <c r="I142" s="37">
        <v>46183</v>
      </c>
      <c r="J142" t="s">
        <v>165</v>
      </c>
      <c r="K142" t="s">
        <v>166</v>
      </c>
      <c r="L142" t="s">
        <v>175</v>
      </c>
      <c r="M142" t="s">
        <v>313</v>
      </c>
      <c r="O142" t="s">
        <v>313</v>
      </c>
      <c r="Q142" t="s">
        <v>538</v>
      </c>
      <c r="U142" t="s">
        <v>1696</v>
      </c>
      <c r="W142" t="s">
        <v>1701</v>
      </c>
      <c r="X142">
        <v>0</v>
      </c>
      <c r="Y142">
        <v>0</v>
      </c>
      <c r="Z142">
        <v>0</v>
      </c>
      <c r="AA142" s="43">
        <v>307.5</v>
      </c>
      <c r="AC142" s="43">
        <v>307.5</v>
      </c>
      <c r="AF142" s="37">
        <f t="shared" si="5"/>
        <v>46442</v>
      </c>
      <c r="AG142" s="37">
        <f t="shared" si="6"/>
        <v>47648.611570247936</v>
      </c>
      <c r="AH142" t="s">
        <v>1704</v>
      </c>
      <c r="AN142" s="43">
        <v>307.5</v>
      </c>
    </row>
    <row r="143" spans="2:40">
      <c r="B143" t="s">
        <v>314</v>
      </c>
      <c r="C143" t="s">
        <v>173</v>
      </c>
      <c r="D143" t="s">
        <v>167</v>
      </c>
      <c r="E143" t="s">
        <v>83</v>
      </c>
      <c r="F143" s="38">
        <v>46113</v>
      </c>
      <c r="G143">
        <v>10</v>
      </c>
      <c r="H143" t="s">
        <v>174</v>
      </c>
      <c r="I143" s="37">
        <v>46183</v>
      </c>
      <c r="J143" t="s">
        <v>165</v>
      </c>
      <c r="K143" t="s">
        <v>166</v>
      </c>
      <c r="L143" t="s">
        <v>175</v>
      </c>
      <c r="M143" t="s">
        <v>314</v>
      </c>
      <c r="O143" t="s">
        <v>314</v>
      </c>
      <c r="Q143" t="s">
        <v>539</v>
      </c>
      <c r="U143" t="s">
        <v>1696</v>
      </c>
      <c r="W143" t="s">
        <v>1701</v>
      </c>
      <c r="X143">
        <v>0</v>
      </c>
      <c r="Y143">
        <v>0</v>
      </c>
      <c r="Z143">
        <v>0</v>
      </c>
      <c r="AA143" s="43">
        <v>307.5</v>
      </c>
      <c r="AC143" s="43">
        <v>307.5</v>
      </c>
      <c r="AF143" s="37">
        <f t="shared" si="5"/>
        <v>46442</v>
      </c>
      <c r="AG143" s="37">
        <f t="shared" si="6"/>
        <v>47648.611570247936</v>
      </c>
      <c r="AH143" t="s">
        <v>1704</v>
      </c>
      <c r="AN143" s="43">
        <v>307.5</v>
      </c>
    </row>
    <row r="144" spans="2:40">
      <c r="B144" t="s">
        <v>315</v>
      </c>
      <c r="C144" t="s">
        <v>173</v>
      </c>
      <c r="D144" t="s">
        <v>167</v>
      </c>
      <c r="E144" t="s">
        <v>83</v>
      </c>
      <c r="F144" s="38">
        <v>46113</v>
      </c>
      <c r="G144">
        <v>10</v>
      </c>
      <c r="H144" t="s">
        <v>174</v>
      </c>
      <c r="I144" s="37">
        <v>46183</v>
      </c>
      <c r="J144" t="s">
        <v>165</v>
      </c>
      <c r="K144" t="s">
        <v>166</v>
      </c>
      <c r="L144" t="s">
        <v>175</v>
      </c>
      <c r="M144" t="s">
        <v>315</v>
      </c>
      <c r="O144" t="s">
        <v>315</v>
      </c>
      <c r="Q144" t="s">
        <v>537</v>
      </c>
      <c r="U144" t="s">
        <v>1696</v>
      </c>
      <c r="W144" t="s">
        <v>1701</v>
      </c>
      <c r="X144">
        <v>0</v>
      </c>
      <c r="Y144">
        <v>0</v>
      </c>
      <c r="Z144">
        <v>0</v>
      </c>
      <c r="AA144" s="43">
        <v>307.5</v>
      </c>
      <c r="AC144" s="43">
        <v>307.5</v>
      </c>
      <c r="AF144" s="37">
        <f t="shared" si="5"/>
        <v>46442</v>
      </c>
      <c r="AG144" s="37">
        <f t="shared" si="6"/>
        <v>47648.611570247936</v>
      </c>
      <c r="AH144" t="s">
        <v>1704</v>
      </c>
      <c r="AN144" s="43">
        <v>307.5</v>
      </c>
    </row>
    <row r="145" spans="2:40">
      <c r="B145" t="s">
        <v>316</v>
      </c>
      <c r="C145" t="s">
        <v>173</v>
      </c>
      <c r="D145" t="s">
        <v>167</v>
      </c>
      <c r="E145" t="s">
        <v>83</v>
      </c>
      <c r="F145" s="38">
        <v>46106</v>
      </c>
      <c r="G145">
        <v>10</v>
      </c>
      <c r="H145" t="s">
        <v>174</v>
      </c>
      <c r="I145" s="37">
        <v>46176</v>
      </c>
      <c r="J145" t="s">
        <v>165</v>
      </c>
      <c r="K145" t="s">
        <v>166</v>
      </c>
      <c r="L145" t="s">
        <v>175</v>
      </c>
      <c r="M145" t="s">
        <v>316</v>
      </c>
      <c r="O145" t="s">
        <v>316</v>
      </c>
      <c r="Q145" t="s">
        <v>540</v>
      </c>
      <c r="U145" t="s">
        <v>1696</v>
      </c>
      <c r="W145" t="s">
        <v>1701</v>
      </c>
      <c r="X145">
        <v>0</v>
      </c>
      <c r="Y145">
        <v>0</v>
      </c>
      <c r="Z145">
        <v>0</v>
      </c>
      <c r="AA145" s="43">
        <v>307.5</v>
      </c>
      <c r="AC145" s="43">
        <v>307.5</v>
      </c>
      <c r="AF145" s="37">
        <f t="shared" si="5"/>
        <v>46435</v>
      </c>
      <c r="AG145" s="37">
        <f t="shared" si="6"/>
        <v>47641.611570247936</v>
      </c>
      <c r="AH145" t="s">
        <v>1704</v>
      </c>
      <c r="AN145" s="43">
        <v>307.5</v>
      </c>
    </row>
    <row r="146" spans="2:40">
      <c r="B146" t="s">
        <v>317</v>
      </c>
      <c r="C146" t="s">
        <v>173</v>
      </c>
      <c r="D146" t="s">
        <v>167</v>
      </c>
      <c r="E146" t="s">
        <v>83</v>
      </c>
      <c r="F146" s="38">
        <v>46106</v>
      </c>
      <c r="G146">
        <v>10</v>
      </c>
      <c r="H146" t="s">
        <v>174</v>
      </c>
      <c r="I146" s="37">
        <v>46176</v>
      </c>
      <c r="J146" t="s">
        <v>165</v>
      </c>
      <c r="K146" t="s">
        <v>166</v>
      </c>
      <c r="L146" t="s">
        <v>175</v>
      </c>
      <c r="M146" t="s">
        <v>317</v>
      </c>
      <c r="O146" t="s">
        <v>317</v>
      </c>
      <c r="Q146" t="s">
        <v>541</v>
      </c>
      <c r="U146" t="s">
        <v>1696</v>
      </c>
      <c r="W146" t="s">
        <v>1701</v>
      </c>
      <c r="X146">
        <v>0</v>
      </c>
      <c r="Y146">
        <v>0</v>
      </c>
      <c r="Z146">
        <v>0</v>
      </c>
      <c r="AA146" s="43">
        <v>307.5</v>
      </c>
      <c r="AC146" s="43">
        <v>307.5</v>
      </c>
      <c r="AF146" s="37">
        <f t="shared" si="5"/>
        <v>46435</v>
      </c>
      <c r="AG146" s="37">
        <f t="shared" si="6"/>
        <v>47641.611570247936</v>
      </c>
      <c r="AH146" t="s">
        <v>1704</v>
      </c>
      <c r="AN146" s="43">
        <v>307.5</v>
      </c>
    </row>
    <row r="147" spans="2:40">
      <c r="B147" t="s">
        <v>318</v>
      </c>
      <c r="C147" t="s">
        <v>173</v>
      </c>
      <c r="D147" t="s">
        <v>167</v>
      </c>
      <c r="E147" t="s">
        <v>83</v>
      </c>
      <c r="F147" s="38">
        <v>46106</v>
      </c>
      <c r="G147">
        <v>10</v>
      </c>
      <c r="H147" t="s">
        <v>174</v>
      </c>
      <c r="I147" s="37">
        <v>46176</v>
      </c>
      <c r="J147" t="s">
        <v>165</v>
      </c>
      <c r="K147" t="s">
        <v>166</v>
      </c>
      <c r="L147" t="s">
        <v>175</v>
      </c>
      <c r="M147" t="s">
        <v>318</v>
      </c>
      <c r="O147" t="s">
        <v>318</v>
      </c>
      <c r="Q147" t="s">
        <v>542</v>
      </c>
      <c r="U147" t="s">
        <v>1696</v>
      </c>
      <c r="W147" t="s">
        <v>1701</v>
      </c>
      <c r="X147">
        <v>0</v>
      </c>
      <c r="Y147">
        <v>0</v>
      </c>
      <c r="Z147">
        <v>0</v>
      </c>
      <c r="AA147" s="43">
        <v>307.5</v>
      </c>
      <c r="AC147" s="43">
        <v>307.5</v>
      </c>
      <c r="AF147" s="37">
        <f t="shared" si="5"/>
        <v>46435</v>
      </c>
      <c r="AG147" s="37">
        <f t="shared" si="6"/>
        <v>47641.611570247936</v>
      </c>
      <c r="AH147" t="s">
        <v>1704</v>
      </c>
      <c r="AN147" s="43">
        <v>307.5</v>
      </c>
    </row>
    <row r="148" spans="2:40">
      <c r="B148" t="s">
        <v>319</v>
      </c>
      <c r="C148" t="s">
        <v>173</v>
      </c>
      <c r="D148" t="s">
        <v>167</v>
      </c>
      <c r="E148" t="s">
        <v>83</v>
      </c>
      <c r="F148" s="38">
        <v>46106</v>
      </c>
      <c r="G148">
        <v>10</v>
      </c>
      <c r="H148" t="s">
        <v>174</v>
      </c>
      <c r="I148" s="37">
        <v>46176</v>
      </c>
      <c r="J148" t="s">
        <v>165</v>
      </c>
      <c r="K148" t="s">
        <v>166</v>
      </c>
      <c r="L148" t="s">
        <v>175</v>
      </c>
      <c r="M148" t="s">
        <v>319</v>
      </c>
      <c r="O148" t="s">
        <v>319</v>
      </c>
      <c r="Q148" t="s">
        <v>543</v>
      </c>
      <c r="U148" t="s">
        <v>1696</v>
      </c>
      <c r="W148" t="s">
        <v>1701</v>
      </c>
      <c r="X148">
        <v>0</v>
      </c>
      <c r="Y148">
        <v>0</v>
      </c>
      <c r="Z148">
        <v>0</v>
      </c>
      <c r="AA148" s="43">
        <v>307.5</v>
      </c>
      <c r="AC148" s="43">
        <v>307.5</v>
      </c>
      <c r="AF148" s="37">
        <f t="shared" si="5"/>
        <v>46435</v>
      </c>
      <c r="AG148" s="37">
        <f t="shared" si="6"/>
        <v>47641.611570247936</v>
      </c>
      <c r="AH148" t="s">
        <v>1704</v>
      </c>
      <c r="AN148" s="43">
        <v>307.5</v>
      </c>
    </row>
    <row r="149" spans="2:40">
      <c r="B149" t="s">
        <v>320</v>
      </c>
      <c r="C149" t="s">
        <v>173</v>
      </c>
      <c r="D149" t="s">
        <v>167</v>
      </c>
      <c r="E149" t="s">
        <v>83</v>
      </c>
      <c r="F149" s="38">
        <v>46106</v>
      </c>
      <c r="G149">
        <v>10</v>
      </c>
      <c r="H149" t="s">
        <v>174</v>
      </c>
      <c r="I149" s="37">
        <v>46176</v>
      </c>
      <c r="J149" t="s">
        <v>165</v>
      </c>
      <c r="K149" t="s">
        <v>166</v>
      </c>
      <c r="L149" t="s">
        <v>175</v>
      </c>
      <c r="M149" t="s">
        <v>320</v>
      </c>
      <c r="O149" t="s">
        <v>320</v>
      </c>
      <c r="Q149" t="s">
        <v>544</v>
      </c>
      <c r="U149" t="s">
        <v>1696</v>
      </c>
      <c r="W149" t="s">
        <v>1701</v>
      </c>
      <c r="X149">
        <v>0</v>
      </c>
      <c r="Y149">
        <v>0</v>
      </c>
      <c r="Z149">
        <v>0</v>
      </c>
      <c r="AA149" s="43">
        <v>307.5</v>
      </c>
      <c r="AC149" s="43">
        <v>307.5</v>
      </c>
      <c r="AF149" s="37">
        <f t="shared" si="5"/>
        <v>46435</v>
      </c>
      <c r="AG149" s="37">
        <f t="shared" si="6"/>
        <v>47641.611570247936</v>
      </c>
      <c r="AH149" t="s">
        <v>1704</v>
      </c>
      <c r="AN149" s="43">
        <v>307.5</v>
      </c>
    </row>
    <row r="150" spans="2:40">
      <c r="B150" t="s">
        <v>321</v>
      </c>
      <c r="C150" t="s">
        <v>173</v>
      </c>
      <c r="D150" t="s">
        <v>167</v>
      </c>
      <c r="E150" t="s">
        <v>83</v>
      </c>
      <c r="F150" s="38">
        <v>46106</v>
      </c>
      <c r="G150">
        <v>10</v>
      </c>
      <c r="H150" t="s">
        <v>174</v>
      </c>
      <c r="I150" s="37">
        <v>46176</v>
      </c>
      <c r="J150" t="s">
        <v>165</v>
      </c>
      <c r="K150" t="s">
        <v>166</v>
      </c>
      <c r="L150" t="s">
        <v>175</v>
      </c>
      <c r="M150" t="s">
        <v>321</v>
      </c>
      <c r="O150" t="s">
        <v>321</v>
      </c>
      <c r="Q150" t="s">
        <v>545</v>
      </c>
      <c r="U150" t="s">
        <v>1696</v>
      </c>
      <c r="W150" t="s">
        <v>1701</v>
      </c>
      <c r="X150">
        <v>0</v>
      </c>
      <c r="Y150">
        <v>0</v>
      </c>
      <c r="Z150">
        <v>0</v>
      </c>
      <c r="AA150" s="43">
        <v>307.5</v>
      </c>
      <c r="AC150" s="43">
        <v>307.5</v>
      </c>
      <c r="AF150" s="37">
        <f t="shared" si="5"/>
        <v>46435</v>
      </c>
      <c r="AG150" s="37">
        <f t="shared" si="6"/>
        <v>47641.611570247936</v>
      </c>
      <c r="AH150" t="s">
        <v>1704</v>
      </c>
      <c r="AN150" s="43">
        <v>307.5</v>
      </c>
    </row>
    <row r="151" spans="2:40">
      <c r="B151" t="s">
        <v>322</v>
      </c>
      <c r="C151" t="s">
        <v>173</v>
      </c>
      <c r="D151" t="s">
        <v>167</v>
      </c>
      <c r="E151" t="s">
        <v>83</v>
      </c>
      <c r="F151" s="38">
        <v>46106</v>
      </c>
      <c r="G151">
        <v>10</v>
      </c>
      <c r="H151" t="s">
        <v>174</v>
      </c>
      <c r="I151" s="37">
        <v>46176</v>
      </c>
      <c r="J151" t="s">
        <v>165</v>
      </c>
      <c r="K151" t="s">
        <v>166</v>
      </c>
      <c r="L151" t="s">
        <v>175</v>
      </c>
      <c r="M151" t="s">
        <v>322</v>
      </c>
      <c r="O151" t="s">
        <v>322</v>
      </c>
      <c r="Q151" t="s">
        <v>546</v>
      </c>
      <c r="U151" t="s">
        <v>1696</v>
      </c>
      <c r="W151" t="s">
        <v>1701</v>
      </c>
      <c r="X151">
        <v>0</v>
      </c>
      <c r="Y151">
        <v>0</v>
      </c>
      <c r="Z151">
        <v>0</v>
      </c>
      <c r="AA151" s="43">
        <v>307.5</v>
      </c>
      <c r="AC151" s="43">
        <v>307.5</v>
      </c>
      <c r="AF151" s="37">
        <f t="shared" si="5"/>
        <v>46435</v>
      </c>
      <c r="AG151" s="37">
        <f t="shared" si="6"/>
        <v>47641.611570247936</v>
      </c>
      <c r="AH151" t="s">
        <v>1704</v>
      </c>
      <c r="AN151" s="43">
        <v>307.5</v>
      </c>
    </row>
    <row r="152" spans="2:40">
      <c r="B152" t="s">
        <v>323</v>
      </c>
      <c r="C152" t="s">
        <v>173</v>
      </c>
      <c r="D152" t="s">
        <v>167</v>
      </c>
      <c r="E152" t="s">
        <v>83</v>
      </c>
      <c r="F152" s="38">
        <v>46106</v>
      </c>
      <c r="G152">
        <v>10</v>
      </c>
      <c r="H152" t="s">
        <v>174</v>
      </c>
      <c r="I152" s="37">
        <v>46176</v>
      </c>
      <c r="J152" t="s">
        <v>165</v>
      </c>
      <c r="K152" t="s">
        <v>166</v>
      </c>
      <c r="L152" t="s">
        <v>175</v>
      </c>
      <c r="M152" t="s">
        <v>323</v>
      </c>
      <c r="O152" t="s">
        <v>323</v>
      </c>
      <c r="Q152" t="s">
        <v>541</v>
      </c>
      <c r="U152" t="s">
        <v>1696</v>
      </c>
      <c r="W152" t="s">
        <v>1701</v>
      </c>
      <c r="X152">
        <v>0</v>
      </c>
      <c r="Y152">
        <v>0</v>
      </c>
      <c r="Z152">
        <v>0</v>
      </c>
      <c r="AA152" s="43">
        <v>307.5</v>
      </c>
      <c r="AC152" s="43">
        <v>307.5</v>
      </c>
      <c r="AF152" s="37">
        <f t="shared" si="5"/>
        <v>46435</v>
      </c>
      <c r="AG152" s="37">
        <f t="shared" si="6"/>
        <v>47641.611570247936</v>
      </c>
      <c r="AH152" t="s">
        <v>1704</v>
      </c>
      <c r="AN152" s="43">
        <v>307.5</v>
      </c>
    </row>
    <row r="153" spans="2:40">
      <c r="B153" t="s">
        <v>324</v>
      </c>
      <c r="C153" t="s">
        <v>173</v>
      </c>
      <c r="D153" t="s">
        <v>167</v>
      </c>
      <c r="E153" t="s">
        <v>83</v>
      </c>
      <c r="F153" s="38">
        <v>46106</v>
      </c>
      <c r="G153">
        <v>10</v>
      </c>
      <c r="H153" t="s">
        <v>174</v>
      </c>
      <c r="I153" s="37">
        <v>46176</v>
      </c>
      <c r="J153" t="s">
        <v>165</v>
      </c>
      <c r="K153" t="s">
        <v>166</v>
      </c>
      <c r="L153" t="s">
        <v>175</v>
      </c>
      <c r="M153" t="s">
        <v>324</v>
      </c>
      <c r="O153" t="s">
        <v>324</v>
      </c>
      <c r="Q153" t="s">
        <v>547</v>
      </c>
      <c r="U153" t="s">
        <v>1696</v>
      </c>
      <c r="W153" t="s">
        <v>1701</v>
      </c>
      <c r="X153">
        <v>0</v>
      </c>
      <c r="Y153">
        <v>0</v>
      </c>
      <c r="Z153">
        <v>0</v>
      </c>
      <c r="AA153" s="43">
        <v>307.5</v>
      </c>
      <c r="AC153" s="43">
        <v>307.5</v>
      </c>
      <c r="AF153" s="37">
        <f t="shared" si="5"/>
        <v>46435</v>
      </c>
      <c r="AG153" s="37">
        <f t="shared" si="6"/>
        <v>47641.611570247936</v>
      </c>
      <c r="AH153" t="s">
        <v>1704</v>
      </c>
      <c r="AN153" s="43">
        <v>307.5</v>
      </c>
    </row>
    <row r="154" spans="2:40">
      <c r="B154" t="s">
        <v>325</v>
      </c>
      <c r="C154" t="s">
        <v>173</v>
      </c>
      <c r="D154" t="s">
        <v>167</v>
      </c>
      <c r="E154" t="s">
        <v>83</v>
      </c>
      <c r="F154" s="38">
        <v>46106</v>
      </c>
      <c r="G154">
        <v>10</v>
      </c>
      <c r="H154" t="s">
        <v>174</v>
      </c>
      <c r="I154" s="37">
        <v>46176</v>
      </c>
      <c r="J154" t="s">
        <v>165</v>
      </c>
      <c r="K154" t="s">
        <v>166</v>
      </c>
      <c r="L154" t="s">
        <v>175</v>
      </c>
      <c r="M154" t="s">
        <v>325</v>
      </c>
      <c r="O154" t="s">
        <v>325</v>
      </c>
      <c r="Q154" t="s">
        <v>546</v>
      </c>
      <c r="U154" t="s">
        <v>1696</v>
      </c>
      <c r="W154" t="s">
        <v>1701</v>
      </c>
      <c r="X154">
        <v>0</v>
      </c>
      <c r="Y154">
        <v>0</v>
      </c>
      <c r="Z154">
        <v>0</v>
      </c>
      <c r="AA154" s="43">
        <v>307.5</v>
      </c>
      <c r="AC154" s="43">
        <v>307.5</v>
      </c>
      <c r="AF154" s="37">
        <f t="shared" si="5"/>
        <v>46435</v>
      </c>
      <c r="AG154" s="37">
        <f t="shared" si="6"/>
        <v>47641.611570247936</v>
      </c>
      <c r="AH154" t="s">
        <v>1704</v>
      </c>
      <c r="AN154" s="43">
        <v>307.5</v>
      </c>
    </row>
    <row r="155" spans="2:40">
      <c r="B155" t="s">
        <v>326</v>
      </c>
      <c r="C155" t="s">
        <v>173</v>
      </c>
      <c r="D155" t="s">
        <v>167</v>
      </c>
      <c r="E155" t="s">
        <v>83</v>
      </c>
      <c r="F155" s="38">
        <v>46106</v>
      </c>
      <c r="G155">
        <v>10</v>
      </c>
      <c r="H155" t="s">
        <v>174</v>
      </c>
      <c r="I155" s="37">
        <v>46176</v>
      </c>
      <c r="J155" t="s">
        <v>165</v>
      </c>
      <c r="K155" t="s">
        <v>166</v>
      </c>
      <c r="L155" t="s">
        <v>175</v>
      </c>
      <c r="M155" t="s">
        <v>326</v>
      </c>
      <c r="O155" t="s">
        <v>326</v>
      </c>
      <c r="Q155" t="s">
        <v>546</v>
      </c>
      <c r="U155" t="s">
        <v>1696</v>
      </c>
      <c r="W155" t="s">
        <v>1701</v>
      </c>
      <c r="X155">
        <v>0</v>
      </c>
      <c r="Y155">
        <v>0</v>
      </c>
      <c r="Z155">
        <v>0</v>
      </c>
      <c r="AA155" s="43">
        <v>307.5</v>
      </c>
      <c r="AC155" s="43">
        <v>307.5</v>
      </c>
      <c r="AF155" s="37">
        <f t="shared" si="5"/>
        <v>46435</v>
      </c>
      <c r="AG155" s="37">
        <f t="shared" si="6"/>
        <v>47641.611570247936</v>
      </c>
      <c r="AH155" t="s">
        <v>1704</v>
      </c>
      <c r="AN155" s="43">
        <v>307.5</v>
      </c>
    </row>
    <row r="156" spans="2:40">
      <c r="B156" t="s">
        <v>327</v>
      </c>
      <c r="C156" t="s">
        <v>173</v>
      </c>
      <c r="D156" t="s">
        <v>167</v>
      </c>
      <c r="E156" t="s">
        <v>83</v>
      </c>
      <c r="F156" s="38">
        <v>46106</v>
      </c>
      <c r="G156">
        <v>10</v>
      </c>
      <c r="H156" t="s">
        <v>174</v>
      </c>
      <c r="I156" s="37">
        <v>46176</v>
      </c>
      <c r="J156" t="s">
        <v>165</v>
      </c>
      <c r="K156" t="s">
        <v>166</v>
      </c>
      <c r="L156" t="s">
        <v>175</v>
      </c>
      <c r="M156" t="s">
        <v>327</v>
      </c>
      <c r="O156" t="s">
        <v>327</v>
      </c>
      <c r="Q156" t="s">
        <v>543</v>
      </c>
      <c r="U156" t="s">
        <v>1696</v>
      </c>
      <c r="W156" t="s">
        <v>1701</v>
      </c>
      <c r="X156">
        <v>0</v>
      </c>
      <c r="Y156">
        <v>0</v>
      </c>
      <c r="Z156">
        <v>0</v>
      </c>
      <c r="AA156" s="43">
        <v>307.5</v>
      </c>
      <c r="AC156" s="43">
        <v>307.5</v>
      </c>
      <c r="AF156" s="37">
        <f t="shared" si="5"/>
        <v>46435</v>
      </c>
      <c r="AG156" s="37">
        <f t="shared" si="6"/>
        <v>47641.611570247936</v>
      </c>
      <c r="AH156" t="s">
        <v>1704</v>
      </c>
      <c r="AN156" s="43">
        <v>307.5</v>
      </c>
    </row>
    <row r="157" spans="2:40">
      <c r="B157" t="s">
        <v>328</v>
      </c>
      <c r="C157" t="s">
        <v>173</v>
      </c>
      <c r="D157" t="s">
        <v>167</v>
      </c>
      <c r="E157" t="s">
        <v>83</v>
      </c>
      <c r="F157" s="38">
        <v>46106</v>
      </c>
      <c r="G157">
        <v>10</v>
      </c>
      <c r="H157" t="s">
        <v>174</v>
      </c>
      <c r="I157" s="37">
        <v>46176</v>
      </c>
      <c r="J157" t="s">
        <v>165</v>
      </c>
      <c r="K157" t="s">
        <v>166</v>
      </c>
      <c r="L157" t="s">
        <v>175</v>
      </c>
      <c r="M157" t="s">
        <v>328</v>
      </c>
      <c r="O157" t="s">
        <v>328</v>
      </c>
      <c r="Q157" t="s">
        <v>545</v>
      </c>
      <c r="U157" t="s">
        <v>1696</v>
      </c>
      <c r="W157" t="s">
        <v>1701</v>
      </c>
      <c r="X157">
        <v>0</v>
      </c>
      <c r="Y157">
        <v>0</v>
      </c>
      <c r="Z157">
        <v>0</v>
      </c>
      <c r="AA157" s="43">
        <v>307.5</v>
      </c>
      <c r="AC157" s="43">
        <v>307.5</v>
      </c>
      <c r="AF157" s="37">
        <f t="shared" si="5"/>
        <v>46435</v>
      </c>
      <c r="AG157" s="37">
        <f t="shared" si="6"/>
        <v>47641.611570247936</v>
      </c>
      <c r="AH157" t="s">
        <v>1704</v>
      </c>
      <c r="AN157" s="43">
        <v>307.5</v>
      </c>
    </row>
    <row r="158" spans="2:40">
      <c r="B158" t="s">
        <v>329</v>
      </c>
      <c r="C158" t="s">
        <v>173</v>
      </c>
      <c r="D158" t="s">
        <v>167</v>
      </c>
      <c r="E158" t="s">
        <v>83</v>
      </c>
      <c r="F158" s="38">
        <v>46106</v>
      </c>
      <c r="G158">
        <v>10</v>
      </c>
      <c r="H158" t="s">
        <v>174</v>
      </c>
      <c r="I158" s="37">
        <v>46176</v>
      </c>
      <c r="J158" t="s">
        <v>165</v>
      </c>
      <c r="K158" t="s">
        <v>166</v>
      </c>
      <c r="L158" t="s">
        <v>175</v>
      </c>
      <c r="M158" t="s">
        <v>329</v>
      </c>
      <c r="O158" t="s">
        <v>329</v>
      </c>
      <c r="Q158" t="s">
        <v>546</v>
      </c>
      <c r="U158" t="s">
        <v>1696</v>
      </c>
      <c r="W158" t="s">
        <v>1701</v>
      </c>
      <c r="X158">
        <v>0</v>
      </c>
      <c r="Y158">
        <v>0</v>
      </c>
      <c r="Z158">
        <v>0</v>
      </c>
      <c r="AA158" s="43">
        <v>307.5</v>
      </c>
      <c r="AC158" s="43">
        <v>307.5</v>
      </c>
      <c r="AF158" s="37">
        <f t="shared" si="5"/>
        <v>46435</v>
      </c>
      <c r="AG158" s="37">
        <f t="shared" si="6"/>
        <v>47641.611570247936</v>
      </c>
      <c r="AH158" t="s">
        <v>1704</v>
      </c>
      <c r="AN158" s="43">
        <v>307.5</v>
      </c>
    </row>
    <row r="159" spans="2:40">
      <c r="B159" t="s">
        <v>330</v>
      </c>
      <c r="C159" t="s">
        <v>173</v>
      </c>
      <c r="D159" t="s">
        <v>167</v>
      </c>
      <c r="E159" t="s">
        <v>83</v>
      </c>
      <c r="F159" s="38">
        <v>46099</v>
      </c>
      <c r="G159">
        <v>10</v>
      </c>
      <c r="H159" t="s">
        <v>174</v>
      </c>
      <c r="I159" s="37">
        <v>46169</v>
      </c>
      <c r="J159" t="s">
        <v>165</v>
      </c>
      <c r="K159" t="s">
        <v>166</v>
      </c>
      <c r="L159" t="s">
        <v>175</v>
      </c>
      <c r="M159" t="s">
        <v>330</v>
      </c>
      <c r="O159" t="s">
        <v>330</v>
      </c>
      <c r="Q159" t="s">
        <v>548</v>
      </c>
      <c r="U159" t="s">
        <v>1696</v>
      </c>
      <c r="W159" t="s">
        <v>1701</v>
      </c>
      <c r="X159">
        <v>0</v>
      </c>
      <c r="Y159">
        <v>0</v>
      </c>
      <c r="Z159">
        <v>0</v>
      </c>
      <c r="AA159" s="43">
        <v>307.5</v>
      </c>
      <c r="AC159" s="43">
        <v>307.5</v>
      </c>
      <c r="AF159" s="37">
        <f t="shared" si="5"/>
        <v>46428</v>
      </c>
      <c r="AG159" s="37">
        <f t="shared" si="6"/>
        <v>47634.611570247936</v>
      </c>
      <c r="AH159" t="s">
        <v>1704</v>
      </c>
      <c r="AN159" s="43">
        <v>307.5</v>
      </c>
    </row>
    <row r="160" spans="2:40">
      <c r="B160" t="s">
        <v>331</v>
      </c>
      <c r="C160" t="s">
        <v>173</v>
      </c>
      <c r="D160" t="s">
        <v>167</v>
      </c>
      <c r="E160" t="s">
        <v>83</v>
      </c>
      <c r="F160" s="38">
        <v>46099</v>
      </c>
      <c r="G160">
        <v>10</v>
      </c>
      <c r="H160" t="s">
        <v>174</v>
      </c>
      <c r="I160" s="37">
        <v>46169</v>
      </c>
      <c r="J160" t="s">
        <v>165</v>
      </c>
      <c r="K160" t="s">
        <v>166</v>
      </c>
      <c r="L160" t="s">
        <v>175</v>
      </c>
      <c r="M160" t="s">
        <v>331</v>
      </c>
      <c r="O160" t="s">
        <v>331</v>
      </c>
      <c r="Q160" t="s">
        <v>548</v>
      </c>
      <c r="U160" t="s">
        <v>1696</v>
      </c>
      <c r="W160" t="s">
        <v>1701</v>
      </c>
      <c r="X160">
        <v>0</v>
      </c>
      <c r="Y160">
        <v>0</v>
      </c>
      <c r="Z160">
        <v>0</v>
      </c>
      <c r="AA160" s="43">
        <v>307.5</v>
      </c>
      <c r="AC160" s="43">
        <v>307.5</v>
      </c>
      <c r="AF160" s="37">
        <f t="shared" si="5"/>
        <v>46428</v>
      </c>
      <c r="AG160" s="37">
        <f t="shared" si="6"/>
        <v>47634.611570247936</v>
      </c>
      <c r="AH160" t="s">
        <v>1704</v>
      </c>
      <c r="AN160" s="43">
        <v>307.5</v>
      </c>
    </row>
    <row r="161" spans="2:40">
      <c r="B161" t="s">
        <v>332</v>
      </c>
      <c r="C161" t="s">
        <v>173</v>
      </c>
      <c r="D161" t="s">
        <v>167</v>
      </c>
      <c r="E161" t="s">
        <v>83</v>
      </c>
      <c r="F161" s="38">
        <v>46099</v>
      </c>
      <c r="G161">
        <v>10</v>
      </c>
      <c r="H161" t="s">
        <v>174</v>
      </c>
      <c r="I161" s="37">
        <v>46169</v>
      </c>
      <c r="J161" t="s">
        <v>165</v>
      </c>
      <c r="K161" t="s">
        <v>166</v>
      </c>
      <c r="L161" t="s">
        <v>175</v>
      </c>
      <c r="M161" t="s">
        <v>332</v>
      </c>
      <c r="O161" t="s">
        <v>332</v>
      </c>
      <c r="Q161" t="s">
        <v>549</v>
      </c>
      <c r="U161" t="s">
        <v>1696</v>
      </c>
      <c r="W161" t="s">
        <v>1701</v>
      </c>
      <c r="X161">
        <v>0</v>
      </c>
      <c r="Y161">
        <v>0</v>
      </c>
      <c r="Z161">
        <v>0</v>
      </c>
      <c r="AA161" s="43">
        <v>307.5</v>
      </c>
      <c r="AC161" s="43">
        <v>307.5</v>
      </c>
      <c r="AF161" s="37">
        <f t="shared" si="5"/>
        <v>46428</v>
      </c>
      <c r="AG161" s="37">
        <f t="shared" si="6"/>
        <v>47634.611570247936</v>
      </c>
      <c r="AH161" t="s">
        <v>1704</v>
      </c>
      <c r="AN161" s="43">
        <v>307.5</v>
      </c>
    </row>
    <row r="162" spans="2:40">
      <c r="B162" t="s">
        <v>333</v>
      </c>
      <c r="C162" t="s">
        <v>173</v>
      </c>
      <c r="D162" t="s">
        <v>167</v>
      </c>
      <c r="E162" t="s">
        <v>83</v>
      </c>
      <c r="F162" s="38">
        <v>46099</v>
      </c>
      <c r="G162">
        <v>10</v>
      </c>
      <c r="H162" t="s">
        <v>174</v>
      </c>
      <c r="I162" s="37">
        <v>46169</v>
      </c>
      <c r="J162" t="s">
        <v>165</v>
      </c>
      <c r="K162" t="s">
        <v>166</v>
      </c>
      <c r="L162" t="s">
        <v>175</v>
      </c>
      <c r="M162" t="s">
        <v>333</v>
      </c>
      <c r="O162" t="s">
        <v>333</v>
      </c>
      <c r="Q162" t="s">
        <v>548</v>
      </c>
      <c r="U162" t="s">
        <v>1696</v>
      </c>
      <c r="W162" t="s">
        <v>1701</v>
      </c>
      <c r="X162">
        <v>0</v>
      </c>
      <c r="Y162">
        <v>0</v>
      </c>
      <c r="Z162">
        <v>0</v>
      </c>
      <c r="AA162" s="43">
        <v>307.5</v>
      </c>
      <c r="AC162" s="43">
        <v>307.5</v>
      </c>
      <c r="AF162" s="37">
        <f t="shared" si="5"/>
        <v>46428</v>
      </c>
      <c r="AG162" s="37">
        <f t="shared" si="6"/>
        <v>47634.611570247936</v>
      </c>
      <c r="AH162" t="s">
        <v>1704</v>
      </c>
      <c r="AN162" s="43">
        <v>307.5</v>
      </c>
    </row>
    <row r="163" spans="2:40">
      <c r="B163" t="s">
        <v>334</v>
      </c>
      <c r="C163" t="s">
        <v>173</v>
      </c>
      <c r="D163" t="s">
        <v>167</v>
      </c>
      <c r="E163" t="s">
        <v>83</v>
      </c>
      <c r="F163" s="38">
        <v>46099</v>
      </c>
      <c r="G163">
        <v>10</v>
      </c>
      <c r="H163" t="s">
        <v>174</v>
      </c>
      <c r="I163" s="37">
        <v>46169</v>
      </c>
      <c r="J163" t="s">
        <v>165</v>
      </c>
      <c r="K163" t="s">
        <v>166</v>
      </c>
      <c r="L163" t="s">
        <v>175</v>
      </c>
      <c r="M163" t="s">
        <v>334</v>
      </c>
      <c r="O163" t="s">
        <v>334</v>
      </c>
      <c r="Q163" t="s">
        <v>550</v>
      </c>
      <c r="U163" t="s">
        <v>1696</v>
      </c>
      <c r="W163" t="s">
        <v>1701</v>
      </c>
      <c r="X163">
        <v>0</v>
      </c>
      <c r="Y163">
        <v>0</v>
      </c>
      <c r="Z163">
        <v>0</v>
      </c>
      <c r="AA163" s="43">
        <v>307.5</v>
      </c>
      <c r="AC163" s="43">
        <v>307.5</v>
      </c>
      <c r="AF163" s="37">
        <f t="shared" si="5"/>
        <v>46428</v>
      </c>
      <c r="AG163" s="37">
        <f t="shared" si="6"/>
        <v>47634.611570247936</v>
      </c>
      <c r="AH163" t="s">
        <v>1704</v>
      </c>
      <c r="AN163" s="43">
        <v>307.5</v>
      </c>
    </row>
    <row r="164" spans="2:40">
      <c r="B164" t="s">
        <v>335</v>
      </c>
      <c r="C164" t="s">
        <v>173</v>
      </c>
      <c r="D164" t="s">
        <v>167</v>
      </c>
      <c r="E164" t="s">
        <v>83</v>
      </c>
      <c r="F164" s="38">
        <v>46099</v>
      </c>
      <c r="G164">
        <v>10</v>
      </c>
      <c r="H164" t="s">
        <v>174</v>
      </c>
      <c r="I164" s="37">
        <v>46169</v>
      </c>
      <c r="J164" t="s">
        <v>165</v>
      </c>
      <c r="K164" t="s">
        <v>166</v>
      </c>
      <c r="L164" t="s">
        <v>175</v>
      </c>
      <c r="M164" t="s">
        <v>335</v>
      </c>
      <c r="O164" t="s">
        <v>335</v>
      </c>
      <c r="Q164" t="s">
        <v>550</v>
      </c>
      <c r="U164" t="s">
        <v>1696</v>
      </c>
      <c r="W164" t="s">
        <v>1701</v>
      </c>
      <c r="X164">
        <v>0</v>
      </c>
      <c r="Y164">
        <v>0</v>
      </c>
      <c r="Z164">
        <v>0</v>
      </c>
      <c r="AA164" s="43">
        <v>307.5</v>
      </c>
      <c r="AC164" s="43">
        <v>307.5</v>
      </c>
      <c r="AF164" s="37">
        <f t="shared" si="5"/>
        <v>46428</v>
      </c>
      <c r="AG164" s="37">
        <f t="shared" si="6"/>
        <v>47634.611570247936</v>
      </c>
      <c r="AH164" t="s">
        <v>1704</v>
      </c>
      <c r="AN164" s="43">
        <v>307.5</v>
      </c>
    </row>
    <row r="165" spans="2:40">
      <c r="B165" t="s">
        <v>336</v>
      </c>
      <c r="C165" t="s">
        <v>173</v>
      </c>
      <c r="D165" t="s">
        <v>167</v>
      </c>
      <c r="E165" t="s">
        <v>83</v>
      </c>
      <c r="F165" s="38">
        <v>46099</v>
      </c>
      <c r="G165">
        <v>10</v>
      </c>
      <c r="H165" t="s">
        <v>174</v>
      </c>
      <c r="I165" s="37">
        <v>46169</v>
      </c>
      <c r="J165" t="s">
        <v>165</v>
      </c>
      <c r="K165" t="s">
        <v>166</v>
      </c>
      <c r="L165" t="s">
        <v>175</v>
      </c>
      <c r="M165" t="s">
        <v>336</v>
      </c>
      <c r="O165" t="s">
        <v>336</v>
      </c>
      <c r="Q165" t="s">
        <v>548</v>
      </c>
      <c r="U165" t="s">
        <v>1696</v>
      </c>
      <c r="W165" t="s">
        <v>1701</v>
      </c>
      <c r="X165">
        <v>0</v>
      </c>
      <c r="Y165">
        <v>0</v>
      </c>
      <c r="Z165">
        <v>0</v>
      </c>
      <c r="AA165" s="43">
        <v>307.5</v>
      </c>
      <c r="AC165" s="43">
        <v>307.5</v>
      </c>
      <c r="AF165" s="37">
        <f t="shared" si="5"/>
        <v>46428</v>
      </c>
      <c r="AG165" s="37">
        <f t="shared" si="6"/>
        <v>47634.611570247936</v>
      </c>
      <c r="AH165" t="s">
        <v>1704</v>
      </c>
      <c r="AN165" s="43">
        <v>307.5</v>
      </c>
    </row>
    <row r="166" spans="2:40">
      <c r="B166" t="s">
        <v>337</v>
      </c>
      <c r="C166" t="s">
        <v>173</v>
      </c>
      <c r="D166" t="s">
        <v>167</v>
      </c>
      <c r="E166" t="s">
        <v>83</v>
      </c>
      <c r="F166" s="38">
        <v>46099</v>
      </c>
      <c r="G166">
        <v>10</v>
      </c>
      <c r="H166" t="s">
        <v>174</v>
      </c>
      <c r="I166" s="37">
        <v>46169</v>
      </c>
      <c r="J166" t="s">
        <v>165</v>
      </c>
      <c r="K166" t="s">
        <v>166</v>
      </c>
      <c r="L166" t="s">
        <v>175</v>
      </c>
      <c r="M166" t="s">
        <v>337</v>
      </c>
      <c r="O166" t="s">
        <v>337</v>
      </c>
      <c r="Q166" t="s">
        <v>551</v>
      </c>
      <c r="U166" t="s">
        <v>1696</v>
      </c>
      <c r="W166" t="s">
        <v>1701</v>
      </c>
      <c r="X166">
        <v>0</v>
      </c>
      <c r="Y166">
        <v>0</v>
      </c>
      <c r="Z166">
        <v>0</v>
      </c>
      <c r="AA166" s="43">
        <v>307.5</v>
      </c>
      <c r="AC166" s="43">
        <v>307.5</v>
      </c>
      <c r="AF166" s="37">
        <f t="shared" si="5"/>
        <v>46428</v>
      </c>
      <c r="AG166" s="37">
        <f t="shared" si="6"/>
        <v>47634.611570247936</v>
      </c>
      <c r="AH166" t="s">
        <v>1704</v>
      </c>
      <c r="AN166" s="43">
        <v>307.5</v>
      </c>
    </row>
    <row r="167" spans="2:40">
      <c r="B167" t="s">
        <v>338</v>
      </c>
      <c r="C167" t="s">
        <v>173</v>
      </c>
      <c r="D167" t="s">
        <v>167</v>
      </c>
      <c r="E167" t="s">
        <v>83</v>
      </c>
      <c r="F167" s="38">
        <v>46099</v>
      </c>
      <c r="G167">
        <v>10</v>
      </c>
      <c r="H167" t="s">
        <v>174</v>
      </c>
      <c r="I167" s="37">
        <v>46169</v>
      </c>
      <c r="J167" t="s">
        <v>165</v>
      </c>
      <c r="K167" t="s">
        <v>166</v>
      </c>
      <c r="L167" t="s">
        <v>175</v>
      </c>
      <c r="M167" t="s">
        <v>338</v>
      </c>
      <c r="O167" t="s">
        <v>338</v>
      </c>
      <c r="Q167" t="s">
        <v>552</v>
      </c>
      <c r="U167" t="s">
        <v>1696</v>
      </c>
      <c r="W167" t="s">
        <v>1701</v>
      </c>
      <c r="X167">
        <v>0</v>
      </c>
      <c r="Y167">
        <v>0</v>
      </c>
      <c r="Z167">
        <v>0</v>
      </c>
      <c r="AA167" s="43">
        <v>307.5</v>
      </c>
      <c r="AC167" s="43">
        <v>307.5</v>
      </c>
      <c r="AF167" s="37">
        <f t="shared" si="5"/>
        <v>46428</v>
      </c>
      <c r="AG167" s="37">
        <f t="shared" si="6"/>
        <v>47634.611570247936</v>
      </c>
      <c r="AH167" t="s">
        <v>1704</v>
      </c>
      <c r="AN167" s="43">
        <v>307.5</v>
      </c>
    </row>
    <row r="168" spans="2:40">
      <c r="B168" t="s">
        <v>339</v>
      </c>
      <c r="C168" t="s">
        <v>173</v>
      </c>
      <c r="D168" t="s">
        <v>167</v>
      </c>
      <c r="E168" t="s">
        <v>83</v>
      </c>
      <c r="F168" s="38">
        <v>46099</v>
      </c>
      <c r="G168">
        <v>10</v>
      </c>
      <c r="H168" t="s">
        <v>174</v>
      </c>
      <c r="I168" s="37">
        <v>46169</v>
      </c>
      <c r="J168" t="s">
        <v>165</v>
      </c>
      <c r="K168" t="s">
        <v>166</v>
      </c>
      <c r="L168" t="s">
        <v>175</v>
      </c>
      <c r="M168" t="s">
        <v>339</v>
      </c>
      <c r="O168" t="s">
        <v>339</v>
      </c>
      <c r="Q168" t="s">
        <v>550</v>
      </c>
      <c r="U168" t="s">
        <v>1696</v>
      </c>
      <c r="W168" t="s">
        <v>1701</v>
      </c>
      <c r="X168">
        <v>0</v>
      </c>
      <c r="Y168">
        <v>0</v>
      </c>
      <c r="Z168">
        <v>0</v>
      </c>
      <c r="AA168" s="43">
        <v>307.5</v>
      </c>
      <c r="AC168" s="43">
        <v>307.5</v>
      </c>
      <c r="AF168" s="37">
        <f t="shared" si="5"/>
        <v>46428</v>
      </c>
      <c r="AG168" s="37">
        <f t="shared" si="6"/>
        <v>47634.611570247936</v>
      </c>
      <c r="AH168" t="s">
        <v>1704</v>
      </c>
      <c r="AN168" s="43">
        <v>307.5</v>
      </c>
    </row>
    <row r="169" spans="2:40">
      <c r="B169" t="s">
        <v>340</v>
      </c>
      <c r="C169" t="s">
        <v>173</v>
      </c>
      <c r="D169" t="s">
        <v>167</v>
      </c>
      <c r="E169" t="s">
        <v>83</v>
      </c>
      <c r="F169" s="38">
        <v>46099</v>
      </c>
      <c r="G169">
        <v>10</v>
      </c>
      <c r="H169" t="s">
        <v>174</v>
      </c>
      <c r="I169" s="37">
        <v>46169</v>
      </c>
      <c r="J169" t="s">
        <v>165</v>
      </c>
      <c r="K169" t="s">
        <v>166</v>
      </c>
      <c r="L169" t="s">
        <v>175</v>
      </c>
      <c r="M169" t="s">
        <v>340</v>
      </c>
      <c r="O169" t="s">
        <v>340</v>
      </c>
      <c r="Q169" t="s">
        <v>550</v>
      </c>
      <c r="U169" t="s">
        <v>1696</v>
      </c>
      <c r="W169" t="s">
        <v>1701</v>
      </c>
      <c r="X169">
        <v>0</v>
      </c>
      <c r="Y169">
        <v>0</v>
      </c>
      <c r="Z169">
        <v>0</v>
      </c>
      <c r="AA169" s="43">
        <v>307.5</v>
      </c>
      <c r="AC169" s="43">
        <v>307.5</v>
      </c>
      <c r="AF169" s="37">
        <f t="shared" si="5"/>
        <v>46428</v>
      </c>
      <c r="AG169" s="37">
        <f t="shared" si="6"/>
        <v>47634.611570247936</v>
      </c>
      <c r="AH169" t="s">
        <v>1704</v>
      </c>
      <c r="AN169" s="43">
        <v>307.5</v>
      </c>
    </row>
    <row r="170" spans="2:40">
      <c r="B170" t="s">
        <v>341</v>
      </c>
      <c r="C170" t="s">
        <v>173</v>
      </c>
      <c r="D170" t="s">
        <v>167</v>
      </c>
      <c r="E170" t="s">
        <v>83</v>
      </c>
      <c r="F170" s="38">
        <v>46099</v>
      </c>
      <c r="G170">
        <v>10</v>
      </c>
      <c r="H170" t="s">
        <v>174</v>
      </c>
      <c r="I170" s="37">
        <v>46169</v>
      </c>
      <c r="J170" t="s">
        <v>165</v>
      </c>
      <c r="K170" t="s">
        <v>166</v>
      </c>
      <c r="L170" t="s">
        <v>175</v>
      </c>
      <c r="M170" t="s">
        <v>341</v>
      </c>
      <c r="O170" t="s">
        <v>341</v>
      </c>
      <c r="Q170" t="s">
        <v>550</v>
      </c>
      <c r="U170" t="s">
        <v>1696</v>
      </c>
      <c r="W170" t="s">
        <v>1701</v>
      </c>
      <c r="X170">
        <v>0</v>
      </c>
      <c r="Y170">
        <v>0</v>
      </c>
      <c r="Z170">
        <v>0</v>
      </c>
      <c r="AA170" s="43">
        <v>307.5</v>
      </c>
      <c r="AC170" s="43">
        <v>307.5</v>
      </c>
      <c r="AF170" s="37">
        <f t="shared" si="5"/>
        <v>46428</v>
      </c>
      <c r="AG170" s="37">
        <f t="shared" si="6"/>
        <v>47634.611570247936</v>
      </c>
      <c r="AH170" t="s">
        <v>1704</v>
      </c>
      <c r="AN170" s="43">
        <v>307.5</v>
      </c>
    </row>
    <row r="171" spans="2:40">
      <c r="B171" t="s">
        <v>342</v>
      </c>
      <c r="C171" t="s">
        <v>173</v>
      </c>
      <c r="D171" t="s">
        <v>167</v>
      </c>
      <c r="E171" t="s">
        <v>83</v>
      </c>
      <c r="F171" s="38">
        <v>46099</v>
      </c>
      <c r="G171">
        <v>10</v>
      </c>
      <c r="H171" t="s">
        <v>174</v>
      </c>
      <c r="I171" s="37">
        <v>46169</v>
      </c>
      <c r="J171" t="s">
        <v>165</v>
      </c>
      <c r="K171" t="s">
        <v>166</v>
      </c>
      <c r="L171" t="s">
        <v>175</v>
      </c>
      <c r="M171" t="s">
        <v>342</v>
      </c>
      <c r="O171" t="s">
        <v>342</v>
      </c>
      <c r="Q171" t="s">
        <v>553</v>
      </c>
      <c r="U171" t="s">
        <v>1696</v>
      </c>
      <c r="W171" t="s">
        <v>1701</v>
      </c>
      <c r="X171">
        <v>0</v>
      </c>
      <c r="Y171">
        <v>0</v>
      </c>
      <c r="Z171">
        <v>0</v>
      </c>
      <c r="AA171" s="43">
        <v>307.5</v>
      </c>
      <c r="AC171" s="43">
        <v>307.5</v>
      </c>
      <c r="AF171" s="37">
        <f t="shared" si="5"/>
        <v>46428</v>
      </c>
      <c r="AG171" s="37">
        <f t="shared" si="6"/>
        <v>47634.611570247936</v>
      </c>
      <c r="AH171" t="s">
        <v>1704</v>
      </c>
      <c r="AN171" s="43">
        <v>307.5</v>
      </c>
    </row>
    <row r="172" spans="2:40">
      <c r="B172" t="s">
        <v>343</v>
      </c>
      <c r="C172" t="s">
        <v>173</v>
      </c>
      <c r="D172" t="s">
        <v>167</v>
      </c>
      <c r="E172" t="s">
        <v>83</v>
      </c>
      <c r="F172" s="38">
        <v>46092</v>
      </c>
      <c r="G172">
        <v>10</v>
      </c>
      <c r="H172" t="s">
        <v>174</v>
      </c>
      <c r="I172" s="37">
        <v>46162</v>
      </c>
      <c r="J172" t="s">
        <v>165</v>
      </c>
      <c r="K172" t="s">
        <v>166</v>
      </c>
      <c r="L172" t="s">
        <v>175</v>
      </c>
      <c r="M172" t="s">
        <v>343</v>
      </c>
      <c r="O172" t="s">
        <v>343</v>
      </c>
      <c r="Q172" t="s">
        <v>554</v>
      </c>
      <c r="U172" t="s">
        <v>1696</v>
      </c>
      <c r="W172" t="s">
        <v>1701</v>
      </c>
      <c r="X172">
        <v>0</v>
      </c>
      <c r="Y172">
        <v>0</v>
      </c>
      <c r="Z172">
        <v>0</v>
      </c>
      <c r="AA172" s="43">
        <v>307.5</v>
      </c>
      <c r="AC172" s="43">
        <v>307.5</v>
      </c>
      <c r="AF172" s="37">
        <f t="shared" si="5"/>
        <v>46421</v>
      </c>
      <c r="AG172" s="37">
        <f t="shared" si="6"/>
        <v>47627.611570247936</v>
      </c>
      <c r="AH172" t="s">
        <v>1704</v>
      </c>
      <c r="AN172" s="43">
        <v>307.5</v>
      </c>
    </row>
    <row r="173" spans="2:40">
      <c r="B173" t="s">
        <v>344</v>
      </c>
      <c r="C173" t="s">
        <v>173</v>
      </c>
      <c r="D173" t="s">
        <v>167</v>
      </c>
      <c r="E173" t="s">
        <v>83</v>
      </c>
      <c r="F173" s="38">
        <v>46092</v>
      </c>
      <c r="G173">
        <v>10</v>
      </c>
      <c r="H173" t="s">
        <v>174</v>
      </c>
      <c r="I173" s="37">
        <v>46162</v>
      </c>
      <c r="J173" t="s">
        <v>165</v>
      </c>
      <c r="K173" t="s">
        <v>166</v>
      </c>
      <c r="L173" t="s">
        <v>175</v>
      </c>
      <c r="M173" t="s">
        <v>344</v>
      </c>
      <c r="O173" t="s">
        <v>344</v>
      </c>
      <c r="Q173" t="s">
        <v>555</v>
      </c>
      <c r="U173" t="s">
        <v>1696</v>
      </c>
      <c r="W173" t="s">
        <v>1701</v>
      </c>
      <c r="X173">
        <v>0</v>
      </c>
      <c r="Y173">
        <v>0</v>
      </c>
      <c r="Z173">
        <v>0</v>
      </c>
      <c r="AA173" s="43">
        <v>307.5</v>
      </c>
      <c r="AC173" s="43">
        <v>307.5</v>
      </c>
      <c r="AF173" s="37">
        <f t="shared" si="5"/>
        <v>46421</v>
      </c>
      <c r="AG173" s="37">
        <f t="shared" si="6"/>
        <v>47627.611570247936</v>
      </c>
      <c r="AH173" t="s">
        <v>1704</v>
      </c>
      <c r="AN173" s="43">
        <v>307.5</v>
      </c>
    </row>
    <row r="174" spans="2:40">
      <c r="B174" t="s">
        <v>345</v>
      </c>
      <c r="C174" t="s">
        <v>173</v>
      </c>
      <c r="D174" t="s">
        <v>167</v>
      </c>
      <c r="E174" t="s">
        <v>83</v>
      </c>
      <c r="F174" s="38">
        <v>46092</v>
      </c>
      <c r="G174">
        <v>10</v>
      </c>
      <c r="H174" t="s">
        <v>174</v>
      </c>
      <c r="I174" s="37">
        <v>46162</v>
      </c>
      <c r="J174" t="s">
        <v>165</v>
      </c>
      <c r="K174" t="s">
        <v>166</v>
      </c>
      <c r="L174" t="s">
        <v>175</v>
      </c>
      <c r="M174" t="s">
        <v>345</v>
      </c>
      <c r="O174" t="s">
        <v>345</v>
      </c>
      <c r="Q174" t="s">
        <v>556</v>
      </c>
      <c r="U174" t="s">
        <v>1696</v>
      </c>
      <c r="W174" t="s">
        <v>1701</v>
      </c>
      <c r="X174">
        <v>0</v>
      </c>
      <c r="Y174">
        <v>0</v>
      </c>
      <c r="Z174">
        <v>0</v>
      </c>
      <c r="AA174" s="43">
        <v>307.5</v>
      </c>
      <c r="AC174" s="43">
        <v>307.5</v>
      </c>
      <c r="AF174" s="37">
        <f t="shared" si="5"/>
        <v>46421</v>
      </c>
      <c r="AG174" s="37">
        <f t="shared" si="6"/>
        <v>47627.611570247936</v>
      </c>
      <c r="AH174" t="s">
        <v>1704</v>
      </c>
      <c r="AN174" s="43">
        <v>307.5</v>
      </c>
    </row>
    <row r="175" spans="2:40">
      <c r="B175" t="s">
        <v>346</v>
      </c>
      <c r="C175" t="s">
        <v>173</v>
      </c>
      <c r="D175" t="s">
        <v>167</v>
      </c>
      <c r="E175" t="s">
        <v>83</v>
      </c>
      <c r="F175" s="38">
        <v>46092</v>
      </c>
      <c r="G175">
        <v>10</v>
      </c>
      <c r="H175" t="s">
        <v>174</v>
      </c>
      <c r="I175" s="37">
        <v>46162</v>
      </c>
      <c r="J175" t="s">
        <v>165</v>
      </c>
      <c r="K175" t="s">
        <v>166</v>
      </c>
      <c r="L175" t="s">
        <v>175</v>
      </c>
      <c r="M175" t="s">
        <v>346</v>
      </c>
      <c r="O175" t="s">
        <v>346</v>
      </c>
      <c r="Q175" t="s">
        <v>557</v>
      </c>
      <c r="U175" t="s">
        <v>1696</v>
      </c>
      <c r="W175" t="s">
        <v>1701</v>
      </c>
      <c r="X175">
        <v>0</v>
      </c>
      <c r="Y175">
        <v>0</v>
      </c>
      <c r="Z175">
        <v>0</v>
      </c>
      <c r="AA175" s="43">
        <v>307.5</v>
      </c>
      <c r="AC175" s="43">
        <v>307.5</v>
      </c>
      <c r="AF175" s="37">
        <f t="shared" si="5"/>
        <v>46421</v>
      </c>
      <c r="AG175" s="37">
        <f t="shared" si="6"/>
        <v>47627.611570247936</v>
      </c>
      <c r="AH175" t="s">
        <v>1704</v>
      </c>
      <c r="AN175" s="43">
        <v>307.5</v>
      </c>
    </row>
    <row r="176" spans="2:40">
      <c r="B176" t="s">
        <v>347</v>
      </c>
      <c r="C176" t="s">
        <v>173</v>
      </c>
      <c r="D176" t="s">
        <v>167</v>
      </c>
      <c r="E176" t="s">
        <v>83</v>
      </c>
      <c r="F176" s="38">
        <v>46092</v>
      </c>
      <c r="G176">
        <v>10</v>
      </c>
      <c r="H176" t="s">
        <v>174</v>
      </c>
      <c r="I176" s="37">
        <v>46162</v>
      </c>
      <c r="J176" t="s">
        <v>165</v>
      </c>
      <c r="K176" t="s">
        <v>166</v>
      </c>
      <c r="L176" t="s">
        <v>175</v>
      </c>
      <c r="M176" t="s">
        <v>347</v>
      </c>
      <c r="O176" t="s">
        <v>347</v>
      </c>
      <c r="Q176" t="s">
        <v>555</v>
      </c>
      <c r="U176" t="s">
        <v>1696</v>
      </c>
      <c r="W176" t="s">
        <v>1701</v>
      </c>
      <c r="X176">
        <v>0</v>
      </c>
      <c r="Y176">
        <v>0</v>
      </c>
      <c r="Z176">
        <v>0</v>
      </c>
      <c r="AA176" s="43">
        <v>307.5</v>
      </c>
      <c r="AC176" s="43">
        <v>307.5</v>
      </c>
      <c r="AF176" s="37">
        <f t="shared" si="5"/>
        <v>46421</v>
      </c>
      <c r="AG176" s="37">
        <f t="shared" si="6"/>
        <v>47627.611570247936</v>
      </c>
      <c r="AH176" t="s">
        <v>1704</v>
      </c>
      <c r="AN176" s="43">
        <v>307.5</v>
      </c>
    </row>
    <row r="177" spans="2:40">
      <c r="B177" t="s">
        <v>348</v>
      </c>
      <c r="C177" t="s">
        <v>173</v>
      </c>
      <c r="D177" t="s">
        <v>167</v>
      </c>
      <c r="E177" t="s">
        <v>83</v>
      </c>
      <c r="F177" s="38">
        <v>46092</v>
      </c>
      <c r="G177">
        <v>10</v>
      </c>
      <c r="H177" t="s">
        <v>174</v>
      </c>
      <c r="I177" s="37">
        <v>46162</v>
      </c>
      <c r="J177" t="s">
        <v>165</v>
      </c>
      <c r="K177" t="s">
        <v>166</v>
      </c>
      <c r="L177" t="s">
        <v>175</v>
      </c>
      <c r="M177" t="s">
        <v>348</v>
      </c>
      <c r="O177" t="s">
        <v>348</v>
      </c>
      <c r="Q177" t="s">
        <v>555</v>
      </c>
      <c r="U177" t="s">
        <v>1696</v>
      </c>
      <c r="W177" t="s">
        <v>1701</v>
      </c>
      <c r="X177">
        <v>0</v>
      </c>
      <c r="Y177">
        <v>0</v>
      </c>
      <c r="Z177">
        <v>0</v>
      </c>
      <c r="AA177" s="43">
        <v>307.5</v>
      </c>
      <c r="AC177" s="43">
        <v>307.5</v>
      </c>
      <c r="AF177" s="37">
        <f t="shared" si="5"/>
        <v>46421</v>
      </c>
      <c r="AG177" s="37">
        <f t="shared" si="6"/>
        <v>47627.611570247936</v>
      </c>
      <c r="AH177" t="s">
        <v>1704</v>
      </c>
      <c r="AN177" s="43">
        <v>307.5</v>
      </c>
    </row>
    <row r="178" spans="2:40">
      <c r="B178" t="s">
        <v>349</v>
      </c>
      <c r="C178" t="s">
        <v>173</v>
      </c>
      <c r="D178" t="s">
        <v>167</v>
      </c>
      <c r="E178" t="s">
        <v>83</v>
      </c>
      <c r="F178" s="38">
        <v>46092</v>
      </c>
      <c r="G178">
        <v>10</v>
      </c>
      <c r="H178" t="s">
        <v>174</v>
      </c>
      <c r="I178" s="37">
        <v>46162</v>
      </c>
      <c r="J178" t="s">
        <v>165</v>
      </c>
      <c r="K178" t="s">
        <v>166</v>
      </c>
      <c r="L178" t="s">
        <v>175</v>
      </c>
      <c r="M178" t="s">
        <v>349</v>
      </c>
      <c r="O178" t="s">
        <v>349</v>
      </c>
      <c r="Q178" t="s">
        <v>558</v>
      </c>
      <c r="U178" t="s">
        <v>1696</v>
      </c>
      <c r="W178" t="s">
        <v>1701</v>
      </c>
      <c r="X178">
        <v>0</v>
      </c>
      <c r="Y178">
        <v>0</v>
      </c>
      <c r="Z178">
        <v>0</v>
      </c>
      <c r="AA178" s="43">
        <v>307.5</v>
      </c>
      <c r="AC178" s="43">
        <v>307.5</v>
      </c>
      <c r="AF178" s="37">
        <f t="shared" si="5"/>
        <v>46421</v>
      </c>
      <c r="AG178" s="37">
        <f t="shared" si="6"/>
        <v>47627.611570247936</v>
      </c>
      <c r="AH178" t="s">
        <v>1704</v>
      </c>
      <c r="AN178" s="43">
        <v>307.5</v>
      </c>
    </row>
    <row r="179" spans="2:40">
      <c r="B179" t="s">
        <v>350</v>
      </c>
      <c r="C179" t="s">
        <v>173</v>
      </c>
      <c r="D179" t="s">
        <v>167</v>
      </c>
      <c r="E179" t="s">
        <v>83</v>
      </c>
      <c r="F179" s="38">
        <v>46092</v>
      </c>
      <c r="G179">
        <v>10</v>
      </c>
      <c r="H179" t="s">
        <v>174</v>
      </c>
      <c r="I179" s="37">
        <v>46162</v>
      </c>
      <c r="J179" t="s">
        <v>165</v>
      </c>
      <c r="K179" t="s">
        <v>166</v>
      </c>
      <c r="L179" t="s">
        <v>175</v>
      </c>
      <c r="M179" t="s">
        <v>350</v>
      </c>
      <c r="O179" t="s">
        <v>350</v>
      </c>
      <c r="Q179" t="s">
        <v>559</v>
      </c>
      <c r="U179" t="s">
        <v>1696</v>
      </c>
      <c r="W179" t="s">
        <v>1701</v>
      </c>
      <c r="X179">
        <v>0</v>
      </c>
      <c r="Y179">
        <v>0</v>
      </c>
      <c r="Z179">
        <v>0</v>
      </c>
      <c r="AA179" s="43">
        <v>307.5</v>
      </c>
      <c r="AC179" s="43">
        <v>307.5</v>
      </c>
      <c r="AF179" s="37">
        <f t="shared" si="5"/>
        <v>46421</v>
      </c>
      <c r="AG179" s="37">
        <f t="shared" si="6"/>
        <v>47627.611570247936</v>
      </c>
      <c r="AH179" t="s">
        <v>1704</v>
      </c>
      <c r="AN179" s="43">
        <v>307.5</v>
      </c>
    </row>
    <row r="180" spans="2:40">
      <c r="B180" t="s">
        <v>351</v>
      </c>
      <c r="C180" t="s">
        <v>173</v>
      </c>
      <c r="D180" t="s">
        <v>167</v>
      </c>
      <c r="E180" t="s">
        <v>83</v>
      </c>
      <c r="F180" s="38">
        <v>46092</v>
      </c>
      <c r="G180">
        <v>10</v>
      </c>
      <c r="H180" t="s">
        <v>174</v>
      </c>
      <c r="I180" s="37">
        <v>46162</v>
      </c>
      <c r="J180" t="s">
        <v>165</v>
      </c>
      <c r="K180" t="s">
        <v>166</v>
      </c>
      <c r="L180" t="s">
        <v>175</v>
      </c>
      <c r="M180" t="s">
        <v>351</v>
      </c>
      <c r="O180" t="s">
        <v>351</v>
      </c>
      <c r="Q180" t="s">
        <v>560</v>
      </c>
      <c r="U180" t="s">
        <v>1696</v>
      </c>
      <c r="W180" t="s">
        <v>1701</v>
      </c>
      <c r="X180">
        <v>0</v>
      </c>
      <c r="Y180">
        <v>0</v>
      </c>
      <c r="Z180">
        <v>0</v>
      </c>
      <c r="AA180" s="43">
        <v>307.5</v>
      </c>
      <c r="AC180" s="43">
        <v>307.5</v>
      </c>
      <c r="AF180" s="37">
        <f t="shared" si="5"/>
        <v>46421</v>
      </c>
      <c r="AG180" s="37">
        <f t="shared" si="6"/>
        <v>47627.611570247936</v>
      </c>
      <c r="AH180" t="s">
        <v>1704</v>
      </c>
      <c r="AN180" s="43">
        <v>307.5</v>
      </c>
    </row>
    <row r="181" spans="2:40">
      <c r="B181" t="s">
        <v>352</v>
      </c>
      <c r="C181" t="s">
        <v>173</v>
      </c>
      <c r="D181" t="s">
        <v>167</v>
      </c>
      <c r="E181" t="s">
        <v>83</v>
      </c>
      <c r="F181" s="38">
        <v>46092</v>
      </c>
      <c r="G181">
        <v>10</v>
      </c>
      <c r="H181" t="s">
        <v>174</v>
      </c>
      <c r="I181" s="37">
        <v>46162</v>
      </c>
      <c r="J181" t="s">
        <v>165</v>
      </c>
      <c r="K181" t="s">
        <v>166</v>
      </c>
      <c r="L181" t="s">
        <v>175</v>
      </c>
      <c r="M181" t="s">
        <v>352</v>
      </c>
      <c r="O181" t="s">
        <v>352</v>
      </c>
      <c r="Q181" t="s">
        <v>554</v>
      </c>
      <c r="U181" t="s">
        <v>1696</v>
      </c>
      <c r="W181" t="s">
        <v>1701</v>
      </c>
      <c r="X181">
        <v>0</v>
      </c>
      <c r="Y181">
        <v>0</v>
      </c>
      <c r="Z181">
        <v>0</v>
      </c>
      <c r="AA181" s="43">
        <v>307.5</v>
      </c>
      <c r="AC181" s="43">
        <v>307.5</v>
      </c>
      <c r="AF181" s="37">
        <f t="shared" si="5"/>
        <v>46421</v>
      </c>
      <c r="AG181" s="37">
        <f t="shared" si="6"/>
        <v>47627.611570247936</v>
      </c>
      <c r="AH181" t="s">
        <v>1704</v>
      </c>
      <c r="AN181" s="43">
        <v>307.5</v>
      </c>
    </row>
    <row r="182" spans="2:40">
      <c r="B182" t="s">
        <v>353</v>
      </c>
      <c r="C182" t="s">
        <v>173</v>
      </c>
      <c r="D182" t="s">
        <v>167</v>
      </c>
      <c r="E182" t="s">
        <v>83</v>
      </c>
      <c r="F182" s="38">
        <v>46092</v>
      </c>
      <c r="G182">
        <v>10</v>
      </c>
      <c r="H182" t="s">
        <v>174</v>
      </c>
      <c r="I182" s="37">
        <v>46162</v>
      </c>
      <c r="J182" t="s">
        <v>165</v>
      </c>
      <c r="K182" t="s">
        <v>166</v>
      </c>
      <c r="L182" t="s">
        <v>175</v>
      </c>
      <c r="M182" t="s">
        <v>353</v>
      </c>
      <c r="O182" t="s">
        <v>353</v>
      </c>
      <c r="Q182" t="s">
        <v>554</v>
      </c>
      <c r="U182" t="s">
        <v>1696</v>
      </c>
      <c r="W182" t="s">
        <v>1701</v>
      </c>
      <c r="X182">
        <v>0</v>
      </c>
      <c r="Y182">
        <v>0</v>
      </c>
      <c r="Z182">
        <v>0</v>
      </c>
      <c r="AA182" s="43">
        <v>307.5</v>
      </c>
      <c r="AC182" s="43">
        <v>307.5</v>
      </c>
      <c r="AF182" s="37">
        <f t="shared" si="5"/>
        <v>46421</v>
      </c>
      <c r="AG182" s="37">
        <f t="shared" si="6"/>
        <v>47627.611570247936</v>
      </c>
      <c r="AH182" t="s">
        <v>1704</v>
      </c>
      <c r="AN182" s="43">
        <v>307.5</v>
      </c>
    </row>
    <row r="183" spans="2:40">
      <c r="B183" t="s">
        <v>354</v>
      </c>
      <c r="C183" t="s">
        <v>173</v>
      </c>
      <c r="D183" t="s">
        <v>167</v>
      </c>
      <c r="E183" t="s">
        <v>83</v>
      </c>
      <c r="F183" s="38">
        <v>46085</v>
      </c>
      <c r="G183">
        <v>10</v>
      </c>
      <c r="H183" t="s">
        <v>174</v>
      </c>
      <c r="I183" s="37">
        <v>46155</v>
      </c>
      <c r="J183" t="s">
        <v>165</v>
      </c>
      <c r="K183" t="s">
        <v>166</v>
      </c>
      <c r="L183" t="s">
        <v>175</v>
      </c>
      <c r="M183" t="s">
        <v>354</v>
      </c>
      <c r="O183" t="s">
        <v>354</v>
      </c>
      <c r="Q183" t="s">
        <v>561</v>
      </c>
      <c r="U183" t="s">
        <v>1696</v>
      </c>
      <c r="W183" t="s">
        <v>1701</v>
      </c>
      <c r="X183">
        <v>0</v>
      </c>
      <c r="Y183">
        <v>0</v>
      </c>
      <c r="Z183">
        <v>0</v>
      </c>
      <c r="AA183" s="43">
        <v>307.5</v>
      </c>
      <c r="AC183" s="43">
        <v>307.5</v>
      </c>
      <c r="AF183" s="37">
        <f t="shared" si="5"/>
        <v>46414</v>
      </c>
      <c r="AG183" s="37">
        <f t="shared" si="6"/>
        <v>47620.611570247936</v>
      </c>
      <c r="AH183" t="s">
        <v>1704</v>
      </c>
      <c r="AN183" s="43">
        <v>307.5</v>
      </c>
    </row>
    <row r="184" spans="2:40">
      <c r="B184" t="s">
        <v>355</v>
      </c>
      <c r="C184" t="s">
        <v>173</v>
      </c>
      <c r="D184" t="s">
        <v>167</v>
      </c>
      <c r="E184" t="s">
        <v>83</v>
      </c>
      <c r="F184" s="38">
        <v>46085</v>
      </c>
      <c r="G184">
        <v>10</v>
      </c>
      <c r="H184" t="s">
        <v>174</v>
      </c>
      <c r="I184" s="37">
        <v>46155</v>
      </c>
      <c r="J184" t="s">
        <v>165</v>
      </c>
      <c r="K184" t="s">
        <v>166</v>
      </c>
      <c r="L184" t="s">
        <v>175</v>
      </c>
      <c r="M184" t="s">
        <v>355</v>
      </c>
      <c r="O184" t="s">
        <v>355</v>
      </c>
      <c r="Q184" t="s">
        <v>562</v>
      </c>
      <c r="U184" t="s">
        <v>1696</v>
      </c>
      <c r="W184" t="s">
        <v>1701</v>
      </c>
      <c r="X184">
        <v>0</v>
      </c>
      <c r="Y184">
        <v>0</v>
      </c>
      <c r="Z184">
        <v>0</v>
      </c>
      <c r="AA184" s="43">
        <v>307.5</v>
      </c>
      <c r="AC184" s="43">
        <v>307.5</v>
      </c>
      <c r="AF184" s="37">
        <f t="shared" si="5"/>
        <v>46414</v>
      </c>
      <c r="AG184" s="37">
        <f t="shared" si="6"/>
        <v>47620.611570247936</v>
      </c>
      <c r="AH184" t="s">
        <v>1704</v>
      </c>
      <c r="AN184" s="43">
        <v>307.5</v>
      </c>
    </row>
    <row r="185" spans="2:40">
      <c r="B185" t="s">
        <v>356</v>
      </c>
      <c r="C185" t="s">
        <v>173</v>
      </c>
      <c r="D185" t="s">
        <v>167</v>
      </c>
      <c r="E185" t="s">
        <v>83</v>
      </c>
      <c r="F185" s="38">
        <v>46085</v>
      </c>
      <c r="G185">
        <v>10</v>
      </c>
      <c r="H185" t="s">
        <v>174</v>
      </c>
      <c r="I185" s="37">
        <v>46155</v>
      </c>
      <c r="J185" t="s">
        <v>165</v>
      </c>
      <c r="K185" t="s">
        <v>166</v>
      </c>
      <c r="L185" t="s">
        <v>175</v>
      </c>
      <c r="M185" t="s">
        <v>356</v>
      </c>
      <c r="O185" t="s">
        <v>356</v>
      </c>
      <c r="Q185" t="s">
        <v>563</v>
      </c>
      <c r="U185" t="s">
        <v>1696</v>
      </c>
      <c r="W185" t="s">
        <v>1701</v>
      </c>
      <c r="X185">
        <v>0</v>
      </c>
      <c r="Y185">
        <v>0</v>
      </c>
      <c r="Z185">
        <v>0</v>
      </c>
      <c r="AA185" s="43">
        <v>307.5</v>
      </c>
      <c r="AC185" s="43">
        <v>307.5</v>
      </c>
      <c r="AF185" s="37">
        <f t="shared" si="5"/>
        <v>46414</v>
      </c>
      <c r="AG185" s="37">
        <f t="shared" si="6"/>
        <v>47620.611570247936</v>
      </c>
      <c r="AH185" t="s">
        <v>1704</v>
      </c>
      <c r="AN185" s="43">
        <v>307.5</v>
      </c>
    </row>
    <row r="186" spans="2:40">
      <c r="B186" t="s">
        <v>357</v>
      </c>
      <c r="C186" t="s">
        <v>173</v>
      </c>
      <c r="D186" t="s">
        <v>167</v>
      </c>
      <c r="E186" t="s">
        <v>83</v>
      </c>
      <c r="F186" s="38">
        <v>46085</v>
      </c>
      <c r="G186">
        <v>10</v>
      </c>
      <c r="H186" t="s">
        <v>174</v>
      </c>
      <c r="I186" s="37">
        <v>46155</v>
      </c>
      <c r="J186" t="s">
        <v>165</v>
      </c>
      <c r="K186" t="s">
        <v>166</v>
      </c>
      <c r="L186" t="s">
        <v>175</v>
      </c>
      <c r="M186" t="s">
        <v>357</v>
      </c>
      <c r="O186" t="s">
        <v>357</v>
      </c>
      <c r="Q186" t="s">
        <v>560</v>
      </c>
      <c r="U186" t="s">
        <v>1696</v>
      </c>
      <c r="W186" t="s">
        <v>1701</v>
      </c>
      <c r="X186">
        <v>0</v>
      </c>
      <c r="Y186">
        <v>0</v>
      </c>
      <c r="Z186">
        <v>0</v>
      </c>
      <c r="AA186" s="43">
        <v>307.5</v>
      </c>
      <c r="AC186" s="43">
        <v>307.5</v>
      </c>
      <c r="AF186" s="37">
        <f t="shared" si="5"/>
        <v>46414</v>
      </c>
      <c r="AG186" s="37">
        <f t="shared" si="6"/>
        <v>47620.611570247936</v>
      </c>
      <c r="AH186" t="s">
        <v>1704</v>
      </c>
      <c r="AN186" s="43">
        <v>307.5</v>
      </c>
    </row>
    <row r="187" spans="2:40">
      <c r="B187" t="s">
        <v>358</v>
      </c>
      <c r="C187" t="s">
        <v>173</v>
      </c>
      <c r="D187" t="s">
        <v>167</v>
      </c>
      <c r="E187" t="s">
        <v>83</v>
      </c>
      <c r="F187" s="38">
        <v>46085</v>
      </c>
      <c r="G187">
        <v>10</v>
      </c>
      <c r="H187" t="s">
        <v>174</v>
      </c>
      <c r="I187" s="37">
        <v>46155</v>
      </c>
      <c r="J187" t="s">
        <v>165</v>
      </c>
      <c r="K187" t="s">
        <v>166</v>
      </c>
      <c r="L187" t="s">
        <v>175</v>
      </c>
      <c r="M187" t="s">
        <v>358</v>
      </c>
      <c r="O187" t="s">
        <v>358</v>
      </c>
      <c r="Q187" t="s">
        <v>561</v>
      </c>
      <c r="U187" t="s">
        <v>1696</v>
      </c>
      <c r="W187" t="s">
        <v>1701</v>
      </c>
      <c r="X187">
        <v>0</v>
      </c>
      <c r="Y187">
        <v>0</v>
      </c>
      <c r="Z187">
        <v>0</v>
      </c>
      <c r="AA187" s="43">
        <v>307.5</v>
      </c>
      <c r="AC187" s="43">
        <v>307.5</v>
      </c>
      <c r="AF187" s="37">
        <f t="shared" si="5"/>
        <v>46414</v>
      </c>
      <c r="AG187" s="37">
        <f t="shared" si="6"/>
        <v>47620.611570247936</v>
      </c>
      <c r="AH187" t="s">
        <v>1704</v>
      </c>
      <c r="AN187" s="43">
        <v>307.5</v>
      </c>
    </row>
    <row r="188" spans="2:40">
      <c r="B188" t="s">
        <v>359</v>
      </c>
      <c r="C188" t="s">
        <v>173</v>
      </c>
      <c r="D188" t="s">
        <v>167</v>
      </c>
      <c r="E188" t="s">
        <v>83</v>
      </c>
      <c r="F188" s="38">
        <v>46085</v>
      </c>
      <c r="G188">
        <v>10</v>
      </c>
      <c r="H188" t="s">
        <v>174</v>
      </c>
      <c r="I188" s="37">
        <v>46155</v>
      </c>
      <c r="J188" t="s">
        <v>165</v>
      </c>
      <c r="K188" t="s">
        <v>166</v>
      </c>
      <c r="L188" t="s">
        <v>175</v>
      </c>
      <c r="M188" t="s">
        <v>359</v>
      </c>
      <c r="O188" t="s">
        <v>359</v>
      </c>
      <c r="Q188" t="s">
        <v>564</v>
      </c>
      <c r="U188" t="s">
        <v>1696</v>
      </c>
      <c r="W188" t="s">
        <v>1701</v>
      </c>
      <c r="X188">
        <v>0</v>
      </c>
      <c r="Y188">
        <v>0</v>
      </c>
      <c r="Z188">
        <v>0</v>
      </c>
      <c r="AA188" s="43">
        <v>307.5</v>
      </c>
      <c r="AC188" s="43">
        <v>307.5</v>
      </c>
      <c r="AF188" s="37">
        <f t="shared" si="5"/>
        <v>46414</v>
      </c>
      <c r="AG188" s="37">
        <f t="shared" si="6"/>
        <v>47620.611570247936</v>
      </c>
      <c r="AH188" t="s">
        <v>1704</v>
      </c>
      <c r="AN188" s="43">
        <v>307.5</v>
      </c>
    </row>
    <row r="189" spans="2:40">
      <c r="B189" t="s">
        <v>360</v>
      </c>
      <c r="C189" t="s">
        <v>173</v>
      </c>
      <c r="D189" t="s">
        <v>167</v>
      </c>
      <c r="E189" t="s">
        <v>83</v>
      </c>
      <c r="F189" s="38">
        <v>46085</v>
      </c>
      <c r="G189">
        <v>10</v>
      </c>
      <c r="H189" t="s">
        <v>174</v>
      </c>
      <c r="I189" s="37">
        <v>46155</v>
      </c>
      <c r="J189" t="s">
        <v>165</v>
      </c>
      <c r="K189" t="s">
        <v>166</v>
      </c>
      <c r="L189" t="s">
        <v>175</v>
      </c>
      <c r="M189" t="s">
        <v>360</v>
      </c>
      <c r="O189" t="s">
        <v>360</v>
      </c>
      <c r="Q189" t="s">
        <v>565</v>
      </c>
      <c r="U189" t="s">
        <v>1696</v>
      </c>
      <c r="W189" t="s">
        <v>1701</v>
      </c>
      <c r="X189">
        <v>0</v>
      </c>
      <c r="Y189">
        <v>0</v>
      </c>
      <c r="Z189">
        <v>0</v>
      </c>
      <c r="AA189" s="43">
        <v>307.5</v>
      </c>
      <c r="AC189" s="43">
        <v>307.5</v>
      </c>
      <c r="AF189" s="37">
        <f t="shared" si="5"/>
        <v>46414</v>
      </c>
      <c r="AG189" s="37">
        <f t="shared" si="6"/>
        <v>47620.611570247936</v>
      </c>
      <c r="AH189" t="s">
        <v>1704</v>
      </c>
      <c r="AN189" s="43">
        <v>307.5</v>
      </c>
    </row>
    <row r="190" spans="2:40">
      <c r="B190" t="s">
        <v>361</v>
      </c>
      <c r="C190" t="s">
        <v>173</v>
      </c>
      <c r="D190" t="s">
        <v>167</v>
      </c>
      <c r="E190" t="s">
        <v>83</v>
      </c>
      <c r="F190" s="38">
        <v>46085</v>
      </c>
      <c r="G190">
        <v>10</v>
      </c>
      <c r="H190" t="s">
        <v>174</v>
      </c>
      <c r="I190" s="37">
        <v>46155</v>
      </c>
      <c r="J190" t="s">
        <v>165</v>
      </c>
      <c r="K190" t="s">
        <v>166</v>
      </c>
      <c r="L190" t="s">
        <v>175</v>
      </c>
      <c r="M190" t="s">
        <v>361</v>
      </c>
      <c r="O190" t="s">
        <v>361</v>
      </c>
      <c r="Q190" t="s">
        <v>566</v>
      </c>
      <c r="U190" t="s">
        <v>1696</v>
      </c>
      <c r="W190" t="s">
        <v>1701</v>
      </c>
      <c r="X190">
        <v>0</v>
      </c>
      <c r="Y190">
        <v>0</v>
      </c>
      <c r="Z190">
        <v>0</v>
      </c>
      <c r="AA190" s="43">
        <v>307.5</v>
      </c>
      <c r="AC190" s="43">
        <v>307.5</v>
      </c>
      <c r="AF190" s="37">
        <f t="shared" si="5"/>
        <v>46414</v>
      </c>
      <c r="AG190" s="37">
        <f t="shared" si="6"/>
        <v>47620.611570247936</v>
      </c>
      <c r="AH190" t="s">
        <v>1704</v>
      </c>
      <c r="AN190" s="43">
        <v>307.5</v>
      </c>
    </row>
    <row r="191" spans="2:40">
      <c r="B191" t="s">
        <v>362</v>
      </c>
      <c r="C191" t="s">
        <v>173</v>
      </c>
      <c r="D191" t="s">
        <v>167</v>
      </c>
      <c r="E191" t="s">
        <v>83</v>
      </c>
      <c r="F191" s="38">
        <v>46085</v>
      </c>
      <c r="G191">
        <v>10</v>
      </c>
      <c r="H191" t="s">
        <v>174</v>
      </c>
      <c r="I191" s="37">
        <v>46155</v>
      </c>
      <c r="J191" t="s">
        <v>165</v>
      </c>
      <c r="K191" t="s">
        <v>166</v>
      </c>
      <c r="L191" t="s">
        <v>175</v>
      </c>
      <c r="M191" t="s">
        <v>362</v>
      </c>
      <c r="O191" t="s">
        <v>362</v>
      </c>
      <c r="Q191" t="s">
        <v>567</v>
      </c>
      <c r="U191" t="s">
        <v>1696</v>
      </c>
      <c r="W191" t="s">
        <v>1701</v>
      </c>
      <c r="X191">
        <v>0</v>
      </c>
      <c r="Y191">
        <v>0</v>
      </c>
      <c r="Z191">
        <v>0</v>
      </c>
      <c r="AA191" s="43">
        <v>307.5</v>
      </c>
      <c r="AC191" s="43">
        <v>307.5</v>
      </c>
      <c r="AF191" s="37">
        <f t="shared" si="5"/>
        <v>46414</v>
      </c>
      <c r="AG191" s="37">
        <f t="shared" si="6"/>
        <v>47620.611570247936</v>
      </c>
      <c r="AH191" t="s">
        <v>1704</v>
      </c>
      <c r="AN191" s="43">
        <v>307.5</v>
      </c>
    </row>
    <row r="192" spans="2:40">
      <c r="B192" t="s">
        <v>363</v>
      </c>
      <c r="C192" t="s">
        <v>173</v>
      </c>
      <c r="D192" t="s">
        <v>167</v>
      </c>
      <c r="E192" t="s">
        <v>83</v>
      </c>
      <c r="F192" s="38">
        <v>46085</v>
      </c>
      <c r="G192">
        <v>10</v>
      </c>
      <c r="H192" t="s">
        <v>174</v>
      </c>
      <c r="I192" s="37">
        <v>46155</v>
      </c>
      <c r="J192" t="s">
        <v>165</v>
      </c>
      <c r="K192" t="s">
        <v>166</v>
      </c>
      <c r="L192" t="s">
        <v>175</v>
      </c>
      <c r="M192" t="s">
        <v>363</v>
      </c>
      <c r="O192" t="s">
        <v>363</v>
      </c>
      <c r="Q192" t="s">
        <v>566</v>
      </c>
      <c r="U192" t="s">
        <v>1696</v>
      </c>
      <c r="W192" t="s">
        <v>1701</v>
      </c>
      <c r="X192">
        <v>0</v>
      </c>
      <c r="Y192">
        <v>0</v>
      </c>
      <c r="Z192">
        <v>0</v>
      </c>
      <c r="AA192" s="43">
        <v>307.5</v>
      </c>
      <c r="AC192" s="43">
        <v>307.5</v>
      </c>
      <c r="AF192" s="37">
        <f t="shared" si="5"/>
        <v>46414</v>
      </c>
      <c r="AG192" s="37">
        <f t="shared" si="6"/>
        <v>47620.611570247936</v>
      </c>
      <c r="AH192" t="s">
        <v>1704</v>
      </c>
      <c r="AN192" s="43">
        <v>307.5</v>
      </c>
    </row>
    <row r="193" spans="2:40">
      <c r="B193" t="s">
        <v>364</v>
      </c>
      <c r="C193" t="s">
        <v>173</v>
      </c>
      <c r="D193" t="s">
        <v>167</v>
      </c>
      <c r="E193" t="s">
        <v>83</v>
      </c>
      <c r="F193" s="38">
        <v>46085</v>
      </c>
      <c r="G193">
        <v>10</v>
      </c>
      <c r="H193" t="s">
        <v>174</v>
      </c>
      <c r="I193" s="37">
        <v>46155</v>
      </c>
      <c r="J193" t="s">
        <v>165</v>
      </c>
      <c r="K193" t="s">
        <v>166</v>
      </c>
      <c r="L193" t="s">
        <v>175</v>
      </c>
      <c r="M193" t="s">
        <v>364</v>
      </c>
      <c r="O193" t="s">
        <v>364</v>
      </c>
      <c r="Q193" t="s">
        <v>568</v>
      </c>
      <c r="U193" t="s">
        <v>1696</v>
      </c>
      <c r="W193" t="s">
        <v>1701</v>
      </c>
      <c r="X193">
        <v>0</v>
      </c>
      <c r="Y193">
        <v>0</v>
      </c>
      <c r="Z193">
        <v>0</v>
      </c>
      <c r="AA193" s="43">
        <v>307.5</v>
      </c>
      <c r="AC193" s="43">
        <v>307.5</v>
      </c>
      <c r="AF193" s="37">
        <f t="shared" si="5"/>
        <v>46414</v>
      </c>
      <c r="AG193" s="37">
        <f t="shared" si="6"/>
        <v>47620.611570247936</v>
      </c>
      <c r="AH193" t="s">
        <v>1704</v>
      </c>
      <c r="AN193" s="43">
        <v>307.5</v>
      </c>
    </row>
    <row r="194" spans="2:40">
      <c r="B194" t="s">
        <v>365</v>
      </c>
      <c r="C194" t="s">
        <v>173</v>
      </c>
      <c r="D194" t="s">
        <v>167</v>
      </c>
      <c r="E194" t="s">
        <v>83</v>
      </c>
      <c r="F194" s="38">
        <v>46085</v>
      </c>
      <c r="G194">
        <v>10</v>
      </c>
      <c r="H194" t="s">
        <v>174</v>
      </c>
      <c r="I194" s="37">
        <v>46155</v>
      </c>
      <c r="J194" t="s">
        <v>165</v>
      </c>
      <c r="K194" t="s">
        <v>166</v>
      </c>
      <c r="L194" t="s">
        <v>175</v>
      </c>
      <c r="M194" t="s">
        <v>365</v>
      </c>
      <c r="O194" t="s">
        <v>365</v>
      </c>
      <c r="Q194" t="s">
        <v>569</v>
      </c>
      <c r="U194" t="s">
        <v>1696</v>
      </c>
      <c r="W194" t="s">
        <v>1701</v>
      </c>
      <c r="X194">
        <v>0</v>
      </c>
      <c r="Y194">
        <v>0</v>
      </c>
      <c r="Z194">
        <v>0</v>
      </c>
      <c r="AA194" s="43">
        <v>307.5</v>
      </c>
      <c r="AC194" s="43">
        <v>307.5</v>
      </c>
      <c r="AF194" s="37">
        <f t="shared" si="5"/>
        <v>46414</v>
      </c>
      <c r="AG194" s="37">
        <f t="shared" si="6"/>
        <v>47620.611570247936</v>
      </c>
      <c r="AH194" t="s">
        <v>1704</v>
      </c>
      <c r="AN194" s="43">
        <v>307.5</v>
      </c>
    </row>
    <row r="195" spans="2:40">
      <c r="B195" t="s">
        <v>366</v>
      </c>
      <c r="C195" t="s">
        <v>173</v>
      </c>
      <c r="D195" t="s">
        <v>167</v>
      </c>
      <c r="E195" t="s">
        <v>83</v>
      </c>
      <c r="F195" s="38">
        <v>46085</v>
      </c>
      <c r="G195">
        <v>10</v>
      </c>
      <c r="H195" t="s">
        <v>174</v>
      </c>
      <c r="I195" s="37">
        <v>46155</v>
      </c>
      <c r="J195" t="s">
        <v>165</v>
      </c>
      <c r="K195" t="s">
        <v>166</v>
      </c>
      <c r="L195" t="s">
        <v>175</v>
      </c>
      <c r="M195" t="s">
        <v>366</v>
      </c>
      <c r="O195" t="s">
        <v>366</v>
      </c>
      <c r="Q195" t="s">
        <v>570</v>
      </c>
      <c r="U195" t="s">
        <v>1696</v>
      </c>
      <c r="W195" t="s">
        <v>1701</v>
      </c>
      <c r="X195">
        <v>0</v>
      </c>
      <c r="Y195">
        <v>0</v>
      </c>
      <c r="Z195">
        <v>0</v>
      </c>
      <c r="AA195" s="43">
        <v>307.5</v>
      </c>
      <c r="AC195" s="43">
        <v>307.5</v>
      </c>
      <c r="AF195" s="37">
        <f t="shared" si="5"/>
        <v>46414</v>
      </c>
      <c r="AG195" s="37">
        <f t="shared" si="6"/>
        <v>47620.611570247936</v>
      </c>
      <c r="AH195" t="s">
        <v>1704</v>
      </c>
      <c r="AN195" s="43">
        <v>307.5</v>
      </c>
    </row>
    <row r="196" spans="2:40">
      <c r="B196" t="s">
        <v>367</v>
      </c>
      <c r="C196" t="s">
        <v>173</v>
      </c>
      <c r="D196" t="s">
        <v>167</v>
      </c>
      <c r="E196" t="s">
        <v>83</v>
      </c>
      <c r="F196" s="38">
        <v>46085</v>
      </c>
      <c r="G196">
        <v>10</v>
      </c>
      <c r="H196" t="s">
        <v>174</v>
      </c>
      <c r="I196" s="37">
        <v>46155</v>
      </c>
      <c r="J196" t="s">
        <v>165</v>
      </c>
      <c r="K196" t="s">
        <v>166</v>
      </c>
      <c r="L196" t="s">
        <v>175</v>
      </c>
      <c r="M196" t="s">
        <v>367</v>
      </c>
      <c r="O196" t="s">
        <v>367</v>
      </c>
      <c r="Q196" t="s">
        <v>571</v>
      </c>
      <c r="U196" t="s">
        <v>1696</v>
      </c>
      <c r="W196" t="s">
        <v>1701</v>
      </c>
      <c r="X196">
        <v>0</v>
      </c>
      <c r="Y196">
        <v>0</v>
      </c>
      <c r="Z196">
        <v>0</v>
      </c>
      <c r="AA196" s="43">
        <v>307.5</v>
      </c>
      <c r="AC196" s="43">
        <v>307.5</v>
      </c>
      <c r="AF196" s="37">
        <f t="shared" si="5"/>
        <v>46414</v>
      </c>
      <c r="AG196" s="37">
        <f t="shared" si="6"/>
        <v>47620.611570247936</v>
      </c>
      <c r="AH196" t="s">
        <v>1704</v>
      </c>
      <c r="AN196" s="43">
        <v>307.5</v>
      </c>
    </row>
    <row r="197" spans="2:40">
      <c r="B197" t="s">
        <v>368</v>
      </c>
      <c r="C197" t="s">
        <v>173</v>
      </c>
      <c r="D197" t="s">
        <v>167</v>
      </c>
      <c r="E197" t="s">
        <v>83</v>
      </c>
      <c r="F197" s="38">
        <v>46078</v>
      </c>
      <c r="G197">
        <v>10</v>
      </c>
      <c r="H197" t="s">
        <v>174</v>
      </c>
      <c r="I197" s="37">
        <v>46148</v>
      </c>
      <c r="J197" t="s">
        <v>165</v>
      </c>
      <c r="K197" t="s">
        <v>166</v>
      </c>
      <c r="L197" t="s">
        <v>175</v>
      </c>
      <c r="M197" t="s">
        <v>368</v>
      </c>
      <c r="O197" t="s">
        <v>368</v>
      </c>
      <c r="Q197" t="s">
        <v>572</v>
      </c>
      <c r="U197" t="s">
        <v>1696</v>
      </c>
      <c r="W197" t="s">
        <v>1701</v>
      </c>
      <c r="X197">
        <v>0</v>
      </c>
      <c r="Y197">
        <v>0</v>
      </c>
      <c r="Z197">
        <v>0</v>
      </c>
      <c r="AA197" s="43">
        <v>307.5</v>
      </c>
      <c r="AC197" s="43">
        <v>307.5</v>
      </c>
      <c r="AF197" s="37">
        <f t="shared" si="5"/>
        <v>46407</v>
      </c>
      <c r="AG197" s="37">
        <f t="shared" si="6"/>
        <v>47613.611570247936</v>
      </c>
      <c r="AH197" t="s">
        <v>1704</v>
      </c>
      <c r="AN197" s="43">
        <v>307.5</v>
      </c>
    </row>
    <row r="198" spans="2:40">
      <c r="B198" t="s">
        <v>369</v>
      </c>
      <c r="C198" t="s">
        <v>173</v>
      </c>
      <c r="D198" t="s">
        <v>167</v>
      </c>
      <c r="E198" t="s">
        <v>83</v>
      </c>
      <c r="F198" s="38">
        <v>46078</v>
      </c>
      <c r="G198">
        <v>10</v>
      </c>
      <c r="H198" t="s">
        <v>174</v>
      </c>
      <c r="I198" s="37">
        <v>46148</v>
      </c>
      <c r="J198" t="s">
        <v>165</v>
      </c>
      <c r="K198" t="s">
        <v>166</v>
      </c>
      <c r="L198" t="s">
        <v>175</v>
      </c>
      <c r="M198" t="s">
        <v>369</v>
      </c>
      <c r="O198" t="s">
        <v>369</v>
      </c>
      <c r="Q198" t="s">
        <v>573</v>
      </c>
      <c r="U198" t="s">
        <v>1696</v>
      </c>
      <c r="W198" t="s">
        <v>1701</v>
      </c>
      <c r="X198">
        <v>0</v>
      </c>
      <c r="Y198">
        <v>0</v>
      </c>
      <c r="Z198">
        <v>0</v>
      </c>
      <c r="AA198" s="43">
        <v>307.5</v>
      </c>
      <c r="AC198" s="43">
        <v>307.5</v>
      </c>
      <c r="AF198" s="37">
        <f t="shared" si="5"/>
        <v>46407</v>
      </c>
      <c r="AG198" s="37">
        <f t="shared" si="6"/>
        <v>47613.611570247936</v>
      </c>
      <c r="AH198" t="s">
        <v>1704</v>
      </c>
      <c r="AN198" s="43">
        <v>307.5</v>
      </c>
    </row>
    <row r="199" spans="2:40">
      <c r="B199" t="s">
        <v>370</v>
      </c>
      <c r="C199" t="s">
        <v>173</v>
      </c>
      <c r="D199" t="s">
        <v>167</v>
      </c>
      <c r="E199" t="s">
        <v>83</v>
      </c>
      <c r="F199" s="38">
        <v>46078</v>
      </c>
      <c r="G199">
        <v>10</v>
      </c>
      <c r="H199" t="s">
        <v>174</v>
      </c>
      <c r="I199" s="37">
        <v>46148</v>
      </c>
      <c r="J199" t="s">
        <v>165</v>
      </c>
      <c r="K199" t="s">
        <v>166</v>
      </c>
      <c r="L199" t="s">
        <v>175</v>
      </c>
      <c r="M199" t="s">
        <v>370</v>
      </c>
      <c r="O199" t="s">
        <v>370</v>
      </c>
      <c r="Q199" t="s">
        <v>574</v>
      </c>
      <c r="U199" t="s">
        <v>1696</v>
      </c>
      <c r="W199" t="s">
        <v>1701</v>
      </c>
      <c r="X199">
        <v>0</v>
      </c>
      <c r="Y199">
        <v>0</v>
      </c>
      <c r="Z199">
        <v>0</v>
      </c>
      <c r="AA199" s="43">
        <v>307.5</v>
      </c>
      <c r="AC199" s="43">
        <v>307.5</v>
      </c>
      <c r="AF199" s="37">
        <f t="shared" ref="AF199:AF262" si="7">F199+(47*7)</f>
        <v>46407</v>
      </c>
      <c r="AG199" s="37">
        <f t="shared" ref="AG199:AG262" si="8">+AF199+(365*8)/2.42</f>
        <v>47613.611570247936</v>
      </c>
      <c r="AH199" t="s">
        <v>1704</v>
      </c>
      <c r="AN199" s="43">
        <v>307.5</v>
      </c>
    </row>
    <row r="200" spans="2:40">
      <c r="B200" t="s">
        <v>371</v>
      </c>
      <c r="C200" t="s">
        <v>173</v>
      </c>
      <c r="D200" t="s">
        <v>167</v>
      </c>
      <c r="E200" t="s">
        <v>83</v>
      </c>
      <c r="F200" s="38">
        <v>46078</v>
      </c>
      <c r="G200">
        <v>10</v>
      </c>
      <c r="H200" t="s">
        <v>174</v>
      </c>
      <c r="I200" s="37">
        <v>46148</v>
      </c>
      <c r="J200" t="s">
        <v>165</v>
      </c>
      <c r="K200" t="s">
        <v>166</v>
      </c>
      <c r="L200" t="s">
        <v>175</v>
      </c>
      <c r="M200" t="s">
        <v>371</v>
      </c>
      <c r="O200" t="s">
        <v>371</v>
      </c>
      <c r="Q200" t="s">
        <v>575</v>
      </c>
      <c r="U200" t="s">
        <v>1696</v>
      </c>
      <c r="W200" t="s">
        <v>1701</v>
      </c>
      <c r="X200">
        <v>0</v>
      </c>
      <c r="Y200">
        <v>0</v>
      </c>
      <c r="Z200">
        <v>0</v>
      </c>
      <c r="AA200" s="43">
        <v>307.5</v>
      </c>
      <c r="AC200" s="43">
        <v>307.5</v>
      </c>
      <c r="AF200" s="37">
        <f t="shared" si="7"/>
        <v>46407</v>
      </c>
      <c r="AG200" s="37">
        <f t="shared" si="8"/>
        <v>47613.611570247936</v>
      </c>
      <c r="AH200" t="s">
        <v>1704</v>
      </c>
      <c r="AN200" s="43">
        <v>307.5</v>
      </c>
    </row>
    <row r="201" spans="2:40">
      <c r="B201" t="s">
        <v>372</v>
      </c>
      <c r="C201" t="s">
        <v>173</v>
      </c>
      <c r="D201" t="s">
        <v>167</v>
      </c>
      <c r="E201" t="s">
        <v>83</v>
      </c>
      <c r="F201" s="38">
        <v>46078</v>
      </c>
      <c r="G201">
        <v>10</v>
      </c>
      <c r="H201" t="s">
        <v>174</v>
      </c>
      <c r="I201" s="37">
        <v>46148</v>
      </c>
      <c r="J201" t="s">
        <v>165</v>
      </c>
      <c r="K201" t="s">
        <v>166</v>
      </c>
      <c r="L201" t="s">
        <v>175</v>
      </c>
      <c r="M201" t="s">
        <v>372</v>
      </c>
      <c r="O201" t="s">
        <v>372</v>
      </c>
      <c r="Q201" t="s">
        <v>576</v>
      </c>
      <c r="U201" t="s">
        <v>1696</v>
      </c>
      <c r="W201" t="s">
        <v>1701</v>
      </c>
      <c r="X201">
        <v>0</v>
      </c>
      <c r="Y201">
        <v>0</v>
      </c>
      <c r="Z201">
        <v>0</v>
      </c>
      <c r="AA201" s="43">
        <v>307.5</v>
      </c>
      <c r="AC201" s="43">
        <v>307.5</v>
      </c>
      <c r="AF201" s="37">
        <f t="shared" si="7"/>
        <v>46407</v>
      </c>
      <c r="AG201" s="37">
        <f t="shared" si="8"/>
        <v>47613.611570247936</v>
      </c>
      <c r="AH201" t="s">
        <v>1704</v>
      </c>
      <c r="AN201" s="43">
        <v>307.5</v>
      </c>
    </row>
    <row r="202" spans="2:40">
      <c r="B202" t="s">
        <v>373</v>
      </c>
      <c r="C202" t="s">
        <v>173</v>
      </c>
      <c r="D202" t="s">
        <v>167</v>
      </c>
      <c r="E202" t="s">
        <v>83</v>
      </c>
      <c r="F202" s="38">
        <v>46078</v>
      </c>
      <c r="G202">
        <v>10</v>
      </c>
      <c r="H202" t="s">
        <v>174</v>
      </c>
      <c r="I202" s="37">
        <v>46148</v>
      </c>
      <c r="J202" t="s">
        <v>165</v>
      </c>
      <c r="K202" t="s">
        <v>166</v>
      </c>
      <c r="L202" t="s">
        <v>175</v>
      </c>
      <c r="M202" t="s">
        <v>373</v>
      </c>
      <c r="O202" t="s">
        <v>373</v>
      </c>
      <c r="Q202" t="s">
        <v>572</v>
      </c>
      <c r="U202" t="s">
        <v>1696</v>
      </c>
      <c r="W202" t="s">
        <v>1701</v>
      </c>
      <c r="X202">
        <v>0</v>
      </c>
      <c r="Y202">
        <v>0</v>
      </c>
      <c r="Z202">
        <v>0</v>
      </c>
      <c r="AA202" s="43">
        <v>307.5</v>
      </c>
      <c r="AC202" s="43">
        <v>307.5</v>
      </c>
      <c r="AF202" s="37">
        <f t="shared" si="7"/>
        <v>46407</v>
      </c>
      <c r="AG202" s="37">
        <f t="shared" si="8"/>
        <v>47613.611570247936</v>
      </c>
      <c r="AH202" t="s">
        <v>1704</v>
      </c>
      <c r="AN202" s="43">
        <v>307.5</v>
      </c>
    </row>
    <row r="203" spans="2:40">
      <c r="B203" t="s">
        <v>374</v>
      </c>
      <c r="C203" t="s">
        <v>173</v>
      </c>
      <c r="D203" t="s">
        <v>167</v>
      </c>
      <c r="E203" t="s">
        <v>83</v>
      </c>
      <c r="F203" s="38">
        <v>46078</v>
      </c>
      <c r="G203">
        <v>10</v>
      </c>
      <c r="H203" t="s">
        <v>174</v>
      </c>
      <c r="I203" s="37">
        <v>46148</v>
      </c>
      <c r="J203" t="s">
        <v>165</v>
      </c>
      <c r="K203" t="s">
        <v>166</v>
      </c>
      <c r="L203" t="s">
        <v>175</v>
      </c>
      <c r="M203" t="s">
        <v>374</v>
      </c>
      <c r="O203" t="s">
        <v>374</v>
      </c>
      <c r="Q203" t="s">
        <v>577</v>
      </c>
      <c r="U203" t="s">
        <v>1696</v>
      </c>
      <c r="W203" t="s">
        <v>1701</v>
      </c>
      <c r="X203">
        <v>0</v>
      </c>
      <c r="Y203">
        <v>0</v>
      </c>
      <c r="Z203">
        <v>0</v>
      </c>
      <c r="AA203" s="43">
        <v>307.5</v>
      </c>
      <c r="AC203" s="43">
        <v>307.5</v>
      </c>
      <c r="AF203" s="37">
        <f t="shared" si="7"/>
        <v>46407</v>
      </c>
      <c r="AG203" s="37">
        <f t="shared" si="8"/>
        <v>47613.611570247936</v>
      </c>
      <c r="AH203" t="s">
        <v>1704</v>
      </c>
      <c r="AN203" s="43">
        <v>307.5</v>
      </c>
    </row>
    <row r="204" spans="2:40">
      <c r="B204" t="s">
        <v>375</v>
      </c>
      <c r="C204" t="s">
        <v>173</v>
      </c>
      <c r="D204" t="s">
        <v>167</v>
      </c>
      <c r="E204" t="s">
        <v>83</v>
      </c>
      <c r="F204" s="38">
        <v>46078</v>
      </c>
      <c r="G204">
        <v>10</v>
      </c>
      <c r="H204" t="s">
        <v>174</v>
      </c>
      <c r="I204" s="37">
        <v>46148</v>
      </c>
      <c r="J204" t="s">
        <v>165</v>
      </c>
      <c r="K204" t="s">
        <v>166</v>
      </c>
      <c r="L204" t="s">
        <v>175</v>
      </c>
      <c r="M204" t="s">
        <v>375</v>
      </c>
      <c r="O204" t="s">
        <v>375</v>
      </c>
      <c r="Q204" t="s">
        <v>578</v>
      </c>
      <c r="U204" t="s">
        <v>1696</v>
      </c>
      <c r="W204" t="s">
        <v>1701</v>
      </c>
      <c r="X204">
        <v>0</v>
      </c>
      <c r="Y204">
        <v>0</v>
      </c>
      <c r="Z204">
        <v>0</v>
      </c>
      <c r="AA204" s="43">
        <v>307.5</v>
      </c>
      <c r="AC204" s="43">
        <v>307.5</v>
      </c>
      <c r="AF204" s="37">
        <f t="shared" si="7"/>
        <v>46407</v>
      </c>
      <c r="AG204" s="37">
        <f t="shared" si="8"/>
        <v>47613.611570247936</v>
      </c>
      <c r="AH204" t="s">
        <v>1704</v>
      </c>
      <c r="AN204" s="43">
        <v>307.5</v>
      </c>
    </row>
    <row r="205" spans="2:40">
      <c r="B205" t="s">
        <v>376</v>
      </c>
      <c r="C205" t="s">
        <v>173</v>
      </c>
      <c r="D205" t="s">
        <v>167</v>
      </c>
      <c r="E205" t="s">
        <v>83</v>
      </c>
      <c r="F205" s="38">
        <v>46078</v>
      </c>
      <c r="G205">
        <v>10</v>
      </c>
      <c r="H205" t="s">
        <v>174</v>
      </c>
      <c r="I205" s="37">
        <v>46148</v>
      </c>
      <c r="J205" t="s">
        <v>165</v>
      </c>
      <c r="K205" t="s">
        <v>166</v>
      </c>
      <c r="L205" t="s">
        <v>175</v>
      </c>
      <c r="M205" t="s">
        <v>376</v>
      </c>
      <c r="O205" t="s">
        <v>376</v>
      </c>
      <c r="Q205" t="s">
        <v>168</v>
      </c>
      <c r="U205" t="s">
        <v>1696</v>
      </c>
      <c r="W205" t="s">
        <v>1701</v>
      </c>
      <c r="X205">
        <v>0</v>
      </c>
      <c r="Y205">
        <v>0</v>
      </c>
      <c r="Z205">
        <v>0</v>
      </c>
      <c r="AA205" s="43">
        <v>307.5</v>
      </c>
      <c r="AC205" s="43">
        <v>307.5</v>
      </c>
      <c r="AF205" s="37">
        <f t="shared" si="7"/>
        <v>46407</v>
      </c>
      <c r="AG205" s="37">
        <f t="shared" si="8"/>
        <v>47613.611570247936</v>
      </c>
      <c r="AH205" t="s">
        <v>1704</v>
      </c>
      <c r="AN205" s="43">
        <v>307.5</v>
      </c>
    </row>
    <row r="206" spans="2:40">
      <c r="B206" t="s">
        <v>377</v>
      </c>
      <c r="C206" t="s">
        <v>173</v>
      </c>
      <c r="D206" t="s">
        <v>167</v>
      </c>
      <c r="E206" t="s">
        <v>83</v>
      </c>
      <c r="F206" s="38">
        <v>46078</v>
      </c>
      <c r="G206">
        <v>10</v>
      </c>
      <c r="H206" t="s">
        <v>174</v>
      </c>
      <c r="I206" s="37">
        <v>46148</v>
      </c>
      <c r="J206" t="s">
        <v>165</v>
      </c>
      <c r="K206" t="s">
        <v>166</v>
      </c>
      <c r="L206" t="s">
        <v>175</v>
      </c>
      <c r="M206" t="s">
        <v>377</v>
      </c>
      <c r="O206" t="s">
        <v>377</v>
      </c>
      <c r="Q206" t="s">
        <v>578</v>
      </c>
      <c r="U206" t="s">
        <v>1696</v>
      </c>
      <c r="W206" t="s">
        <v>1701</v>
      </c>
      <c r="X206">
        <v>0</v>
      </c>
      <c r="Y206">
        <v>0</v>
      </c>
      <c r="Z206">
        <v>0</v>
      </c>
      <c r="AA206" s="43">
        <v>307.5</v>
      </c>
      <c r="AC206" s="43">
        <v>307.5</v>
      </c>
      <c r="AF206" s="37">
        <f t="shared" si="7"/>
        <v>46407</v>
      </c>
      <c r="AG206" s="37">
        <f t="shared" si="8"/>
        <v>47613.611570247936</v>
      </c>
      <c r="AH206" t="s">
        <v>1704</v>
      </c>
      <c r="AN206" s="43">
        <v>307.5</v>
      </c>
    </row>
    <row r="207" spans="2:40">
      <c r="B207" t="s">
        <v>378</v>
      </c>
      <c r="C207" t="s">
        <v>173</v>
      </c>
      <c r="D207" t="s">
        <v>167</v>
      </c>
      <c r="E207" t="s">
        <v>83</v>
      </c>
      <c r="F207" s="38">
        <v>46071</v>
      </c>
      <c r="G207">
        <v>10</v>
      </c>
      <c r="H207" t="s">
        <v>174</v>
      </c>
      <c r="I207" s="37">
        <v>46141</v>
      </c>
      <c r="J207" t="s">
        <v>165</v>
      </c>
      <c r="K207" t="s">
        <v>166</v>
      </c>
      <c r="L207" t="s">
        <v>175</v>
      </c>
      <c r="M207" t="s">
        <v>378</v>
      </c>
      <c r="O207" t="s">
        <v>378</v>
      </c>
      <c r="Q207" t="s">
        <v>579</v>
      </c>
      <c r="U207" t="s">
        <v>1696</v>
      </c>
      <c r="W207" t="s">
        <v>1701</v>
      </c>
      <c r="X207">
        <v>0</v>
      </c>
      <c r="Y207">
        <v>0</v>
      </c>
      <c r="Z207">
        <v>0</v>
      </c>
      <c r="AA207" s="43">
        <v>307.5</v>
      </c>
      <c r="AC207" s="43">
        <v>307.5</v>
      </c>
      <c r="AF207" s="37">
        <f t="shared" si="7"/>
        <v>46400</v>
      </c>
      <c r="AG207" s="37">
        <f t="shared" si="8"/>
        <v>47606.611570247936</v>
      </c>
      <c r="AH207" t="s">
        <v>1704</v>
      </c>
      <c r="AN207" s="43">
        <v>307.5</v>
      </c>
    </row>
    <row r="208" spans="2:40">
      <c r="B208" t="s">
        <v>379</v>
      </c>
      <c r="C208" t="s">
        <v>173</v>
      </c>
      <c r="D208" t="s">
        <v>167</v>
      </c>
      <c r="E208" t="s">
        <v>83</v>
      </c>
      <c r="F208" s="38">
        <v>46071</v>
      </c>
      <c r="G208">
        <v>10</v>
      </c>
      <c r="H208" t="s">
        <v>174</v>
      </c>
      <c r="I208" s="37">
        <v>46141</v>
      </c>
      <c r="J208" t="s">
        <v>165</v>
      </c>
      <c r="K208" t="s">
        <v>166</v>
      </c>
      <c r="L208" t="s">
        <v>175</v>
      </c>
      <c r="M208" t="s">
        <v>379</v>
      </c>
      <c r="O208" t="s">
        <v>379</v>
      </c>
      <c r="Q208" t="s">
        <v>580</v>
      </c>
      <c r="U208" t="s">
        <v>1696</v>
      </c>
      <c r="W208" t="s">
        <v>1701</v>
      </c>
      <c r="X208">
        <v>0</v>
      </c>
      <c r="Y208">
        <v>0</v>
      </c>
      <c r="Z208">
        <v>0</v>
      </c>
      <c r="AA208" s="43">
        <v>307.5</v>
      </c>
      <c r="AC208" s="43">
        <v>307.5</v>
      </c>
      <c r="AF208" s="37">
        <f t="shared" si="7"/>
        <v>46400</v>
      </c>
      <c r="AG208" s="37">
        <f t="shared" si="8"/>
        <v>47606.611570247936</v>
      </c>
      <c r="AH208" t="s">
        <v>1704</v>
      </c>
      <c r="AN208" s="43">
        <v>307.5</v>
      </c>
    </row>
    <row r="209" spans="2:40">
      <c r="B209" t="s">
        <v>380</v>
      </c>
      <c r="C209" t="s">
        <v>173</v>
      </c>
      <c r="D209" t="s">
        <v>167</v>
      </c>
      <c r="E209" t="s">
        <v>83</v>
      </c>
      <c r="F209" s="38">
        <v>46071</v>
      </c>
      <c r="G209">
        <v>10</v>
      </c>
      <c r="H209" t="s">
        <v>174</v>
      </c>
      <c r="I209" s="37">
        <v>46141</v>
      </c>
      <c r="J209" t="s">
        <v>165</v>
      </c>
      <c r="K209" t="s">
        <v>166</v>
      </c>
      <c r="L209" t="s">
        <v>175</v>
      </c>
      <c r="M209" t="s">
        <v>380</v>
      </c>
      <c r="O209" t="s">
        <v>380</v>
      </c>
      <c r="Q209" t="s">
        <v>581</v>
      </c>
      <c r="U209" t="s">
        <v>1696</v>
      </c>
      <c r="W209" t="s">
        <v>1701</v>
      </c>
      <c r="X209">
        <v>0</v>
      </c>
      <c r="Y209">
        <v>0</v>
      </c>
      <c r="Z209">
        <v>0</v>
      </c>
      <c r="AA209" s="43">
        <v>307.5</v>
      </c>
      <c r="AC209" s="43">
        <v>307.5</v>
      </c>
      <c r="AF209" s="37">
        <f t="shared" si="7"/>
        <v>46400</v>
      </c>
      <c r="AG209" s="37">
        <f t="shared" si="8"/>
        <v>47606.611570247936</v>
      </c>
      <c r="AH209" t="s">
        <v>1704</v>
      </c>
      <c r="AN209" s="43">
        <v>307.5</v>
      </c>
    </row>
    <row r="210" spans="2:40">
      <c r="B210" t="s">
        <v>381</v>
      </c>
      <c r="C210" t="s">
        <v>173</v>
      </c>
      <c r="D210" t="s">
        <v>167</v>
      </c>
      <c r="E210" t="s">
        <v>83</v>
      </c>
      <c r="F210" s="38">
        <v>46071</v>
      </c>
      <c r="G210">
        <v>10</v>
      </c>
      <c r="H210" t="s">
        <v>174</v>
      </c>
      <c r="I210" s="37">
        <v>46141</v>
      </c>
      <c r="J210" t="s">
        <v>165</v>
      </c>
      <c r="K210" t="s">
        <v>166</v>
      </c>
      <c r="L210" t="s">
        <v>175</v>
      </c>
      <c r="M210" t="s">
        <v>381</v>
      </c>
      <c r="O210" t="s">
        <v>381</v>
      </c>
      <c r="Q210" t="s">
        <v>580</v>
      </c>
      <c r="U210" t="s">
        <v>1696</v>
      </c>
      <c r="W210" t="s">
        <v>1701</v>
      </c>
      <c r="X210">
        <v>0</v>
      </c>
      <c r="Y210">
        <v>0</v>
      </c>
      <c r="Z210">
        <v>0</v>
      </c>
      <c r="AA210" s="43">
        <v>307.5</v>
      </c>
      <c r="AC210" s="43">
        <v>307.5</v>
      </c>
      <c r="AF210" s="37">
        <f t="shared" si="7"/>
        <v>46400</v>
      </c>
      <c r="AG210" s="37">
        <f t="shared" si="8"/>
        <v>47606.611570247936</v>
      </c>
      <c r="AH210" t="s">
        <v>1704</v>
      </c>
      <c r="AN210" s="43">
        <v>307.5</v>
      </c>
    </row>
    <row r="211" spans="2:40">
      <c r="B211" t="s">
        <v>382</v>
      </c>
      <c r="C211" t="s">
        <v>173</v>
      </c>
      <c r="D211" t="s">
        <v>167</v>
      </c>
      <c r="E211" t="s">
        <v>83</v>
      </c>
      <c r="F211" s="38">
        <v>46071</v>
      </c>
      <c r="G211">
        <v>10</v>
      </c>
      <c r="H211" t="s">
        <v>174</v>
      </c>
      <c r="I211" s="37">
        <v>46141</v>
      </c>
      <c r="J211" t="s">
        <v>165</v>
      </c>
      <c r="K211" t="s">
        <v>166</v>
      </c>
      <c r="L211" t="s">
        <v>175</v>
      </c>
      <c r="M211" t="s">
        <v>382</v>
      </c>
      <c r="O211" t="s">
        <v>382</v>
      </c>
      <c r="Q211" t="s">
        <v>579</v>
      </c>
      <c r="U211" t="s">
        <v>1696</v>
      </c>
      <c r="W211" t="s">
        <v>1701</v>
      </c>
      <c r="X211">
        <v>0</v>
      </c>
      <c r="Y211">
        <v>0</v>
      </c>
      <c r="Z211">
        <v>0</v>
      </c>
      <c r="AA211" s="43">
        <v>307.5</v>
      </c>
      <c r="AC211" s="43">
        <v>307.5</v>
      </c>
      <c r="AF211" s="37">
        <f t="shared" si="7"/>
        <v>46400</v>
      </c>
      <c r="AG211" s="37">
        <f t="shared" si="8"/>
        <v>47606.611570247936</v>
      </c>
      <c r="AH211" t="s">
        <v>1704</v>
      </c>
      <c r="AN211" s="43">
        <v>307.5</v>
      </c>
    </row>
    <row r="212" spans="2:40">
      <c r="B212" t="s">
        <v>383</v>
      </c>
      <c r="C212" t="s">
        <v>173</v>
      </c>
      <c r="D212" t="s">
        <v>167</v>
      </c>
      <c r="E212" t="s">
        <v>83</v>
      </c>
      <c r="F212" s="38">
        <v>46071</v>
      </c>
      <c r="G212">
        <v>10</v>
      </c>
      <c r="H212" t="s">
        <v>174</v>
      </c>
      <c r="I212" s="37">
        <v>46141</v>
      </c>
      <c r="J212" t="s">
        <v>165</v>
      </c>
      <c r="K212" t="s">
        <v>166</v>
      </c>
      <c r="L212" t="s">
        <v>175</v>
      </c>
      <c r="M212" t="s">
        <v>383</v>
      </c>
      <c r="O212" t="s">
        <v>383</v>
      </c>
      <c r="Q212" t="s">
        <v>582</v>
      </c>
      <c r="U212" t="s">
        <v>1696</v>
      </c>
      <c r="W212" t="s">
        <v>1701</v>
      </c>
      <c r="X212">
        <v>0</v>
      </c>
      <c r="Y212">
        <v>0</v>
      </c>
      <c r="Z212">
        <v>0</v>
      </c>
      <c r="AA212" s="43">
        <v>307.5</v>
      </c>
      <c r="AC212" s="43">
        <v>307.5</v>
      </c>
      <c r="AF212" s="37">
        <f t="shared" si="7"/>
        <v>46400</v>
      </c>
      <c r="AG212" s="37">
        <f t="shared" si="8"/>
        <v>47606.611570247936</v>
      </c>
      <c r="AH212" t="s">
        <v>1704</v>
      </c>
      <c r="AN212" s="43">
        <v>307.5</v>
      </c>
    </row>
    <row r="213" spans="2:40">
      <c r="B213" t="s">
        <v>384</v>
      </c>
      <c r="C213" t="s">
        <v>173</v>
      </c>
      <c r="D213" t="s">
        <v>167</v>
      </c>
      <c r="E213" t="s">
        <v>83</v>
      </c>
      <c r="F213" s="38">
        <v>46071</v>
      </c>
      <c r="G213">
        <v>10</v>
      </c>
      <c r="H213" t="s">
        <v>174</v>
      </c>
      <c r="I213" s="37">
        <v>46141</v>
      </c>
      <c r="J213" t="s">
        <v>165</v>
      </c>
      <c r="K213" t="s">
        <v>166</v>
      </c>
      <c r="L213" t="s">
        <v>175</v>
      </c>
      <c r="M213" t="s">
        <v>384</v>
      </c>
      <c r="O213" t="s">
        <v>384</v>
      </c>
      <c r="Q213" t="s">
        <v>581</v>
      </c>
      <c r="U213" t="s">
        <v>1696</v>
      </c>
      <c r="W213" t="s">
        <v>1701</v>
      </c>
      <c r="X213">
        <v>0</v>
      </c>
      <c r="Y213">
        <v>0</v>
      </c>
      <c r="Z213">
        <v>0</v>
      </c>
      <c r="AA213" s="43">
        <v>307.5</v>
      </c>
      <c r="AC213" s="43">
        <v>307.5</v>
      </c>
      <c r="AF213" s="37">
        <f t="shared" si="7"/>
        <v>46400</v>
      </c>
      <c r="AG213" s="37">
        <f t="shared" si="8"/>
        <v>47606.611570247936</v>
      </c>
      <c r="AH213" t="s">
        <v>1704</v>
      </c>
      <c r="AN213" s="43">
        <v>307.5</v>
      </c>
    </row>
    <row r="214" spans="2:40">
      <c r="B214" t="s">
        <v>385</v>
      </c>
      <c r="C214" t="s">
        <v>173</v>
      </c>
      <c r="D214" t="s">
        <v>167</v>
      </c>
      <c r="E214" t="s">
        <v>83</v>
      </c>
      <c r="F214" s="38">
        <v>46071</v>
      </c>
      <c r="G214">
        <v>10</v>
      </c>
      <c r="H214" t="s">
        <v>174</v>
      </c>
      <c r="I214" s="37">
        <v>46141</v>
      </c>
      <c r="J214" t="s">
        <v>165</v>
      </c>
      <c r="K214" t="s">
        <v>166</v>
      </c>
      <c r="L214" t="s">
        <v>175</v>
      </c>
      <c r="M214" t="s">
        <v>385</v>
      </c>
      <c r="O214" t="s">
        <v>385</v>
      </c>
      <c r="Q214" t="s">
        <v>583</v>
      </c>
      <c r="U214" t="s">
        <v>1696</v>
      </c>
      <c r="W214" t="s">
        <v>1701</v>
      </c>
      <c r="X214">
        <v>0</v>
      </c>
      <c r="Y214">
        <v>0</v>
      </c>
      <c r="Z214">
        <v>0</v>
      </c>
      <c r="AA214" s="43">
        <v>307.5</v>
      </c>
      <c r="AC214" s="43">
        <v>307.5</v>
      </c>
      <c r="AF214" s="37">
        <f t="shared" si="7"/>
        <v>46400</v>
      </c>
      <c r="AG214" s="37">
        <f t="shared" si="8"/>
        <v>47606.611570247936</v>
      </c>
      <c r="AH214" t="s">
        <v>1704</v>
      </c>
      <c r="AN214" s="43">
        <v>307.5</v>
      </c>
    </row>
    <row r="215" spans="2:40">
      <c r="B215" t="s">
        <v>386</v>
      </c>
      <c r="C215" t="s">
        <v>173</v>
      </c>
      <c r="D215" t="s">
        <v>167</v>
      </c>
      <c r="E215" t="s">
        <v>83</v>
      </c>
      <c r="F215" s="38">
        <v>46071</v>
      </c>
      <c r="G215">
        <v>10</v>
      </c>
      <c r="H215" t="s">
        <v>174</v>
      </c>
      <c r="I215" s="37">
        <v>46141</v>
      </c>
      <c r="J215" t="s">
        <v>165</v>
      </c>
      <c r="K215" t="s">
        <v>166</v>
      </c>
      <c r="L215" t="s">
        <v>175</v>
      </c>
      <c r="M215" t="s">
        <v>386</v>
      </c>
      <c r="O215" t="s">
        <v>386</v>
      </c>
      <c r="Q215" t="s">
        <v>584</v>
      </c>
      <c r="U215" t="s">
        <v>1696</v>
      </c>
      <c r="W215" t="s">
        <v>1701</v>
      </c>
      <c r="X215">
        <v>0</v>
      </c>
      <c r="Y215">
        <v>0</v>
      </c>
      <c r="Z215">
        <v>0</v>
      </c>
      <c r="AA215" s="43">
        <v>307.5</v>
      </c>
      <c r="AC215" s="43">
        <v>307.5</v>
      </c>
      <c r="AF215" s="37">
        <f t="shared" si="7"/>
        <v>46400</v>
      </c>
      <c r="AG215" s="37">
        <f t="shared" si="8"/>
        <v>47606.611570247936</v>
      </c>
      <c r="AH215" t="s">
        <v>1704</v>
      </c>
      <c r="AN215" s="43">
        <v>307.5</v>
      </c>
    </row>
    <row r="216" spans="2:40">
      <c r="B216" t="s">
        <v>387</v>
      </c>
      <c r="C216" t="s">
        <v>173</v>
      </c>
      <c r="D216" t="s">
        <v>167</v>
      </c>
      <c r="E216" t="s">
        <v>83</v>
      </c>
      <c r="F216" s="38">
        <v>46071</v>
      </c>
      <c r="G216">
        <v>10</v>
      </c>
      <c r="H216" t="s">
        <v>174</v>
      </c>
      <c r="I216" s="37">
        <v>46141</v>
      </c>
      <c r="J216" t="s">
        <v>165</v>
      </c>
      <c r="K216" t="s">
        <v>166</v>
      </c>
      <c r="L216" t="s">
        <v>175</v>
      </c>
      <c r="M216" t="s">
        <v>387</v>
      </c>
      <c r="O216" t="s">
        <v>387</v>
      </c>
      <c r="Q216" t="s">
        <v>581</v>
      </c>
      <c r="U216" t="s">
        <v>1696</v>
      </c>
      <c r="W216" t="s">
        <v>1701</v>
      </c>
      <c r="X216">
        <v>0</v>
      </c>
      <c r="Y216">
        <v>0</v>
      </c>
      <c r="Z216">
        <v>0</v>
      </c>
      <c r="AA216" s="43">
        <v>307.5</v>
      </c>
      <c r="AC216" s="43">
        <v>307.5</v>
      </c>
      <c r="AF216" s="37">
        <f t="shared" si="7"/>
        <v>46400</v>
      </c>
      <c r="AG216" s="37">
        <f t="shared" si="8"/>
        <v>47606.611570247936</v>
      </c>
      <c r="AH216" t="s">
        <v>1704</v>
      </c>
      <c r="AN216" s="43">
        <v>307.5</v>
      </c>
    </row>
    <row r="217" spans="2:40">
      <c r="B217" t="s">
        <v>388</v>
      </c>
      <c r="C217" t="s">
        <v>173</v>
      </c>
      <c r="D217" t="s">
        <v>167</v>
      </c>
      <c r="E217" t="s">
        <v>83</v>
      </c>
      <c r="F217" s="38">
        <v>46071</v>
      </c>
      <c r="G217">
        <v>10</v>
      </c>
      <c r="H217" t="s">
        <v>174</v>
      </c>
      <c r="I217" s="37">
        <v>46141</v>
      </c>
      <c r="J217" t="s">
        <v>165</v>
      </c>
      <c r="K217" t="s">
        <v>166</v>
      </c>
      <c r="L217" t="s">
        <v>175</v>
      </c>
      <c r="M217" t="s">
        <v>388</v>
      </c>
      <c r="O217" t="s">
        <v>388</v>
      </c>
      <c r="Q217" t="s">
        <v>584</v>
      </c>
      <c r="U217" t="s">
        <v>1696</v>
      </c>
      <c r="W217" t="s">
        <v>1701</v>
      </c>
      <c r="X217">
        <v>0</v>
      </c>
      <c r="Y217">
        <v>0</v>
      </c>
      <c r="Z217">
        <v>0</v>
      </c>
      <c r="AA217" s="43">
        <v>307.5</v>
      </c>
      <c r="AC217" s="43">
        <v>307.5</v>
      </c>
      <c r="AF217" s="37">
        <f t="shared" si="7"/>
        <v>46400</v>
      </c>
      <c r="AG217" s="37">
        <f t="shared" si="8"/>
        <v>47606.611570247936</v>
      </c>
      <c r="AH217" t="s">
        <v>1704</v>
      </c>
      <c r="AN217" s="43">
        <v>307.5</v>
      </c>
    </row>
    <row r="218" spans="2:40">
      <c r="B218" t="s">
        <v>389</v>
      </c>
      <c r="C218" t="s">
        <v>173</v>
      </c>
      <c r="D218" t="s">
        <v>167</v>
      </c>
      <c r="E218" t="s">
        <v>83</v>
      </c>
      <c r="F218" s="38">
        <v>46071</v>
      </c>
      <c r="G218">
        <v>10</v>
      </c>
      <c r="H218" t="s">
        <v>174</v>
      </c>
      <c r="I218" s="37">
        <v>46141</v>
      </c>
      <c r="J218" t="s">
        <v>165</v>
      </c>
      <c r="K218" t="s">
        <v>166</v>
      </c>
      <c r="L218" t="s">
        <v>175</v>
      </c>
      <c r="M218" t="s">
        <v>389</v>
      </c>
      <c r="O218" t="s">
        <v>389</v>
      </c>
      <c r="Q218" t="s">
        <v>585</v>
      </c>
      <c r="U218" t="s">
        <v>1696</v>
      </c>
      <c r="W218" t="s">
        <v>1701</v>
      </c>
      <c r="X218">
        <v>0</v>
      </c>
      <c r="Y218">
        <v>0</v>
      </c>
      <c r="Z218">
        <v>0</v>
      </c>
      <c r="AA218" s="43">
        <v>307.5</v>
      </c>
      <c r="AC218" s="43">
        <v>307.5</v>
      </c>
      <c r="AF218" s="37">
        <f t="shared" si="7"/>
        <v>46400</v>
      </c>
      <c r="AG218" s="37">
        <f t="shared" si="8"/>
        <v>47606.611570247936</v>
      </c>
      <c r="AH218" t="s">
        <v>1704</v>
      </c>
      <c r="AN218" s="43">
        <v>307.5</v>
      </c>
    </row>
    <row r="219" spans="2:40">
      <c r="B219" t="s">
        <v>390</v>
      </c>
      <c r="C219" t="s">
        <v>173</v>
      </c>
      <c r="D219" t="s">
        <v>167</v>
      </c>
      <c r="E219" t="s">
        <v>83</v>
      </c>
      <c r="F219" s="38">
        <v>46071</v>
      </c>
      <c r="G219">
        <v>10</v>
      </c>
      <c r="H219" t="s">
        <v>174</v>
      </c>
      <c r="I219" s="37">
        <v>46141</v>
      </c>
      <c r="J219" t="s">
        <v>165</v>
      </c>
      <c r="K219" t="s">
        <v>166</v>
      </c>
      <c r="L219" t="s">
        <v>175</v>
      </c>
      <c r="M219" t="s">
        <v>390</v>
      </c>
      <c r="O219" t="s">
        <v>390</v>
      </c>
      <c r="Q219" t="s">
        <v>586</v>
      </c>
      <c r="U219" t="s">
        <v>1696</v>
      </c>
      <c r="W219" t="s">
        <v>1701</v>
      </c>
      <c r="X219">
        <v>0</v>
      </c>
      <c r="Y219">
        <v>0</v>
      </c>
      <c r="Z219">
        <v>0</v>
      </c>
      <c r="AA219" s="43">
        <v>307.5</v>
      </c>
      <c r="AC219" s="43">
        <v>307.5</v>
      </c>
      <c r="AF219" s="37">
        <f t="shared" si="7"/>
        <v>46400</v>
      </c>
      <c r="AG219" s="37">
        <f t="shared" si="8"/>
        <v>47606.611570247936</v>
      </c>
      <c r="AH219" t="s">
        <v>1704</v>
      </c>
      <c r="AN219" s="43">
        <v>307.5</v>
      </c>
    </row>
    <row r="220" spans="2:40">
      <c r="B220" t="s">
        <v>391</v>
      </c>
      <c r="C220" t="s">
        <v>173</v>
      </c>
      <c r="D220" t="s">
        <v>167</v>
      </c>
      <c r="E220" t="s">
        <v>83</v>
      </c>
      <c r="F220" s="38">
        <v>46064</v>
      </c>
      <c r="G220">
        <v>10</v>
      </c>
      <c r="H220" t="s">
        <v>174</v>
      </c>
      <c r="I220" s="37">
        <v>46134</v>
      </c>
      <c r="J220" t="s">
        <v>165</v>
      </c>
      <c r="K220" t="s">
        <v>166</v>
      </c>
      <c r="L220" t="s">
        <v>175</v>
      </c>
      <c r="M220" t="s">
        <v>391</v>
      </c>
      <c r="O220" t="s">
        <v>391</v>
      </c>
      <c r="Q220" t="s">
        <v>587</v>
      </c>
      <c r="U220" t="s">
        <v>1696</v>
      </c>
      <c r="W220" t="s">
        <v>1700</v>
      </c>
      <c r="X220">
        <v>0</v>
      </c>
      <c r="Y220">
        <v>0</v>
      </c>
      <c r="Z220">
        <v>0</v>
      </c>
      <c r="AA220" s="43">
        <v>307.5</v>
      </c>
      <c r="AC220" s="43">
        <v>307.5</v>
      </c>
      <c r="AF220" s="37">
        <f t="shared" si="7"/>
        <v>46393</v>
      </c>
      <c r="AG220" s="37">
        <f t="shared" si="8"/>
        <v>47599.611570247936</v>
      </c>
      <c r="AH220" t="s">
        <v>1704</v>
      </c>
      <c r="AN220" s="43">
        <v>307.5</v>
      </c>
    </row>
    <row r="221" spans="2:40">
      <c r="B221" t="s">
        <v>392</v>
      </c>
      <c r="C221" t="s">
        <v>173</v>
      </c>
      <c r="D221" t="s">
        <v>167</v>
      </c>
      <c r="E221" t="s">
        <v>83</v>
      </c>
      <c r="F221" s="38">
        <v>46064</v>
      </c>
      <c r="G221">
        <v>10</v>
      </c>
      <c r="H221" t="s">
        <v>174</v>
      </c>
      <c r="I221" s="37">
        <v>46134</v>
      </c>
      <c r="J221" t="s">
        <v>165</v>
      </c>
      <c r="K221" t="s">
        <v>166</v>
      </c>
      <c r="L221" t="s">
        <v>175</v>
      </c>
      <c r="M221" t="s">
        <v>392</v>
      </c>
      <c r="O221" t="s">
        <v>392</v>
      </c>
      <c r="Q221" t="s">
        <v>588</v>
      </c>
      <c r="U221" t="s">
        <v>1696</v>
      </c>
      <c r="W221" t="s">
        <v>1700</v>
      </c>
      <c r="X221">
        <v>0</v>
      </c>
      <c r="Y221">
        <v>0</v>
      </c>
      <c r="Z221">
        <v>0</v>
      </c>
      <c r="AA221" s="43">
        <v>307.5</v>
      </c>
      <c r="AC221" s="43">
        <v>307.5</v>
      </c>
      <c r="AF221" s="37">
        <f t="shared" si="7"/>
        <v>46393</v>
      </c>
      <c r="AG221" s="37">
        <f t="shared" si="8"/>
        <v>47599.611570247936</v>
      </c>
      <c r="AH221" t="s">
        <v>1704</v>
      </c>
      <c r="AN221" s="43">
        <v>307.5</v>
      </c>
    </row>
    <row r="222" spans="2:40">
      <c r="B222" t="s">
        <v>393</v>
      </c>
      <c r="C222" t="s">
        <v>173</v>
      </c>
      <c r="D222" t="s">
        <v>167</v>
      </c>
      <c r="E222" t="s">
        <v>83</v>
      </c>
      <c r="F222" s="38">
        <v>46064</v>
      </c>
      <c r="G222">
        <v>10</v>
      </c>
      <c r="H222" t="s">
        <v>174</v>
      </c>
      <c r="I222" s="37">
        <v>46134</v>
      </c>
      <c r="J222" t="s">
        <v>165</v>
      </c>
      <c r="K222" t="s">
        <v>166</v>
      </c>
      <c r="L222" t="s">
        <v>175</v>
      </c>
      <c r="M222" t="s">
        <v>393</v>
      </c>
      <c r="O222" t="s">
        <v>393</v>
      </c>
      <c r="Q222" t="s">
        <v>589</v>
      </c>
      <c r="U222" t="s">
        <v>1696</v>
      </c>
      <c r="W222" t="s">
        <v>1700</v>
      </c>
      <c r="X222">
        <v>0</v>
      </c>
      <c r="Y222">
        <v>0</v>
      </c>
      <c r="Z222">
        <v>0</v>
      </c>
      <c r="AA222" s="43">
        <v>307.5</v>
      </c>
      <c r="AC222" s="43">
        <v>307.5</v>
      </c>
      <c r="AF222" s="37">
        <f t="shared" si="7"/>
        <v>46393</v>
      </c>
      <c r="AG222" s="37">
        <f t="shared" si="8"/>
        <v>47599.611570247936</v>
      </c>
      <c r="AH222" t="s">
        <v>1704</v>
      </c>
      <c r="AN222" s="43">
        <v>307.5</v>
      </c>
    </row>
    <row r="223" spans="2:40">
      <c r="B223" t="s">
        <v>394</v>
      </c>
      <c r="C223" t="s">
        <v>173</v>
      </c>
      <c r="D223" t="s">
        <v>167</v>
      </c>
      <c r="E223" t="s">
        <v>83</v>
      </c>
      <c r="F223" s="38">
        <v>46064</v>
      </c>
      <c r="G223">
        <v>10</v>
      </c>
      <c r="H223" t="s">
        <v>174</v>
      </c>
      <c r="I223" s="37">
        <v>46134</v>
      </c>
      <c r="J223" t="s">
        <v>165</v>
      </c>
      <c r="K223" t="s">
        <v>166</v>
      </c>
      <c r="L223" t="s">
        <v>175</v>
      </c>
      <c r="M223" t="s">
        <v>394</v>
      </c>
      <c r="O223" t="s">
        <v>394</v>
      </c>
      <c r="Q223" t="s">
        <v>590</v>
      </c>
      <c r="U223" t="s">
        <v>1696</v>
      </c>
      <c r="W223" t="s">
        <v>1700</v>
      </c>
      <c r="X223">
        <v>0</v>
      </c>
      <c r="Y223">
        <v>0</v>
      </c>
      <c r="Z223">
        <v>0</v>
      </c>
      <c r="AA223" s="43">
        <v>307.5</v>
      </c>
      <c r="AC223" s="43">
        <v>307.5</v>
      </c>
      <c r="AF223" s="37">
        <f t="shared" si="7"/>
        <v>46393</v>
      </c>
      <c r="AG223" s="37">
        <f t="shared" si="8"/>
        <v>47599.611570247936</v>
      </c>
      <c r="AH223" t="s">
        <v>1704</v>
      </c>
      <c r="AN223" s="43">
        <v>307.5</v>
      </c>
    </row>
    <row r="224" spans="2:40">
      <c r="B224" t="s">
        <v>395</v>
      </c>
      <c r="C224" t="s">
        <v>173</v>
      </c>
      <c r="D224" t="s">
        <v>167</v>
      </c>
      <c r="E224" t="s">
        <v>83</v>
      </c>
      <c r="F224" s="38">
        <v>46064</v>
      </c>
      <c r="G224">
        <v>10</v>
      </c>
      <c r="H224" t="s">
        <v>174</v>
      </c>
      <c r="I224" s="37">
        <v>46134</v>
      </c>
      <c r="J224" t="s">
        <v>165</v>
      </c>
      <c r="K224" t="s">
        <v>166</v>
      </c>
      <c r="L224" t="s">
        <v>175</v>
      </c>
      <c r="M224" t="s">
        <v>395</v>
      </c>
      <c r="O224" t="s">
        <v>395</v>
      </c>
      <c r="Q224" t="s">
        <v>591</v>
      </c>
      <c r="U224" t="s">
        <v>1696</v>
      </c>
      <c r="W224" t="s">
        <v>1700</v>
      </c>
      <c r="X224">
        <v>0</v>
      </c>
      <c r="Y224">
        <v>0</v>
      </c>
      <c r="Z224">
        <v>0</v>
      </c>
      <c r="AA224" s="43">
        <v>307.5</v>
      </c>
      <c r="AC224" s="43">
        <v>307.5</v>
      </c>
      <c r="AF224" s="37">
        <f t="shared" si="7"/>
        <v>46393</v>
      </c>
      <c r="AG224" s="37">
        <f t="shared" si="8"/>
        <v>47599.611570247936</v>
      </c>
      <c r="AH224" t="s">
        <v>1704</v>
      </c>
      <c r="AN224" s="43">
        <v>307.5</v>
      </c>
    </row>
    <row r="225" spans="2:40">
      <c r="B225" t="s">
        <v>396</v>
      </c>
      <c r="C225" t="s">
        <v>173</v>
      </c>
      <c r="D225" t="s">
        <v>167</v>
      </c>
      <c r="E225" t="s">
        <v>83</v>
      </c>
      <c r="F225" s="38">
        <v>46064</v>
      </c>
      <c r="G225">
        <v>10</v>
      </c>
      <c r="H225" t="s">
        <v>174</v>
      </c>
      <c r="I225" s="37">
        <v>46134</v>
      </c>
      <c r="J225" t="s">
        <v>165</v>
      </c>
      <c r="K225" t="s">
        <v>166</v>
      </c>
      <c r="L225" t="s">
        <v>175</v>
      </c>
      <c r="M225" t="s">
        <v>396</v>
      </c>
      <c r="O225" t="s">
        <v>396</v>
      </c>
      <c r="Q225" t="s">
        <v>592</v>
      </c>
      <c r="U225" t="s">
        <v>1696</v>
      </c>
      <c r="W225" t="s">
        <v>1700</v>
      </c>
      <c r="X225">
        <v>0</v>
      </c>
      <c r="Y225">
        <v>0</v>
      </c>
      <c r="Z225">
        <v>0</v>
      </c>
      <c r="AA225" s="43">
        <v>307.5</v>
      </c>
      <c r="AC225" s="43">
        <v>307.5</v>
      </c>
      <c r="AF225" s="37">
        <f t="shared" si="7"/>
        <v>46393</v>
      </c>
      <c r="AG225" s="37">
        <f t="shared" si="8"/>
        <v>47599.611570247936</v>
      </c>
      <c r="AH225" t="s">
        <v>1704</v>
      </c>
      <c r="AN225" s="43">
        <v>307.5</v>
      </c>
    </row>
    <row r="226" spans="2:40">
      <c r="B226" t="s">
        <v>397</v>
      </c>
      <c r="C226" t="s">
        <v>173</v>
      </c>
      <c r="D226" t="s">
        <v>167</v>
      </c>
      <c r="E226" t="s">
        <v>83</v>
      </c>
      <c r="F226" s="38">
        <v>46064</v>
      </c>
      <c r="G226">
        <v>10</v>
      </c>
      <c r="H226" t="s">
        <v>174</v>
      </c>
      <c r="I226" s="37">
        <v>46134</v>
      </c>
      <c r="J226" t="s">
        <v>165</v>
      </c>
      <c r="K226" t="s">
        <v>166</v>
      </c>
      <c r="L226" t="s">
        <v>175</v>
      </c>
      <c r="M226" t="s">
        <v>397</v>
      </c>
      <c r="O226" t="s">
        <v>397</v>
      </c>
      <c r="Q226" t="s">
        <v>593</v>
      </c>
      <c r="U226" t="s">
        <v>1696</v>
      </c>
      <c r="W226" t="s">
        <v>1700</v>
      </c>
      <c r="X226">
        <v>0</v>
      </c>
      <c r="Y226">
        <v>0</v>
      </c>
      <c r="Z226">
        <v>0</v>
      </c>
      <c r="AA226" s="43">
        <v>307.5</v>
      </c>
      <c r="AC226" s="43">
        <v>307.5</v>
      </c>
      <c r="AF226" s="37">
        <f t="shared" si="7"/>
        <v>46393</v>
      </c>
      <c r="AG226" s="37">
        <f t="shared" si="8"/>
        <v>47599.611570247936</v>
      </c>
      <c r="AH226" t="s">
        <v>1704</v>
      </c>
      <c r="AN226" s="43">
        <v>307.5</v>
      </c>
    </row>
    <row r="227" spans="2:40">
      <c r="B227" t="s">
        <v>398</v>
      </c>
      <c r="C227" t="s">
        <v>173</v>
      </c>
      <c r="D227" t="s">
        <v>167</v>
      </c>
      <c r="E227" t="s">
        <v>83</v>
      </c>
      <c r="F227" s="38">
        <v>46064</v>
      </c>
      <c r="G227">
        <v>10</v>
      </c>
      <c r="H227" t="s">
        <v>174</v>
      </c>
      <c r="I227" s="37">
        <v>46134</v>
      </c>
      <c r="J227" t="s">
        <v>165</v>
      </c>
      <c r="K227" t="s">
        <v>166</v>
      </c>
      <c r="L227" t="s">
        <v>175</v>
      </c>
      <c r="M227" t="s">
        <v>398</v>
      </c>
      <c r="O227" t="s">
        <v>398</v>
      </c>
      <c r="Q227" t="s">
        <v>594</v>
      </c>
      <c r="U227" t="s">
        <v>1696</v>
      </c>
      <c r="W227" t="s">
        <v>1700</v>
      </c>
      <c r="X227">
        <v>0</v>
      </c>
      <c r="Y227">
        <v>0</v>
      </c>
      <c r="Z227">
        <v>0</v>
      </c>
      <c r="AA227" s="43">
        <v>307.5</v>
      </c>
      <c r="AC227" s="43">
        <v>307.5</v>
      </c>
      <c r="AF227" s="37">
        <f t="shared" si="7"/>
        <v>46393</v>
      </c>
      <c r="AG227" s="37">
        <f t="shared" si="8"/>
        <v>47599.611570247936</v>
      </c>
      <c r="AH227" t="s">
        <v>1704</v>
      </c>
      <c r="AN227" s="43">
        <v>307.5</v>
      </c>
    </row>
    <row r="228" spans="2:40">
      <c r="B228" t="s">
        <v>399</v>
      </c>
      <c r="C228" t="s">
        <v>173</v>
      </c>
      <c r="D228" t="s">
        <v>167</v>
      </c>
      <c r="E228" t="s">
        <v>83</v>
      </c>
      <c r="F228" s="38">
        <v>46064</v>
      </c>
      <c r="G228">
        <v>10</v>
      </c>
      <c r="H228" t="s">
        <v>174</v>
      </c>
      <c r="I228" s="37">
        <v>46134</v>
      </c>
      <c r="J228" t="s">
        <v>165</v>
      </c>
      <c r="K228" t="s">
        <v>166</v>
      </c>
      <c r="L228" t="s">
        <v>175</v>
      </c>
      <c r="M228" t="s">
        <v>399</v>
      </c>
      <c r="O228" t="s">
        <v>399</v>
      </c>
      <c r="Q228" t="s">
        <v>595</v>
      </c>
      <c r="U228" t="s">
        <v>1696</v>
      </c>
      <c r="W228" t="s">
        <v>1700</v>
      </c>
      <c r="X228">
        <v>0</v>
      </c>
      <c r="Y228">
        <v>0</v>
      </c>
      <c r="Z228">
        <v>0</v>
      </c>
      <c r="AA228" s="43">
        <v>307.5</v>
      </c>
      <c r="AC228" s="43">
        <v>307.5</v>
      </c>
      <c r="AF228" s="37">
        <f t="shared" si="7"/>
        <v>46393</v>
      </c>
      <c r="AG228" s="37">
        <f t="shared" si="8"/>
        <v>47599.611570247936</v>
      </c>
      <c r="AH228" t="s">
        <v>1704</v>
      </c>
      <c r="AN228" s="43">
        <v>307.5</v>
      </c>
    </row>
    <row r="229" spans="2:40">
      <c r="B229" t="s">
        <v>400</v>
      </c>
      <c r="C229" t="s">
        <v>173</v>
      </c>
      <c r="D229" t="s">
        <v>167</v>
      </c>
      <c r="E229" t="s">
        <v>83</v>
      </c>
      <c r="F229" s="38">
        <v>46064</v>
      </c>
      <c r="G229">
        <v>10</v>
      </c>
      <c r="H229" t="s">
        <v>174</v>
      </c>
      <c r="I229" s="37">
        <v>46134</v>
      </c>
      <c r="J229" t="s">
        <v>165</v>
      </c>
      <c r="K229" t="s">
        <v>166</v>
      </c>
      <c r="L229" t="s">
        <v>175</v>
      </c>
      <c r="M229" t="s">
        <v>400</v>
      </c>
      <c r="O229" t="s">
        <v>400</v>
      </c>
      <c r="Q229" t="s">
        <v>595</v>
      </c>
      <c r="U229" t="s">
        <v>1696</v>
      </c>
      <c r="W229" t="s">
        <v>1700</v>
      </c>
      <c r="X229">
        <v>0</v>
      </c>
      <c r="Y229">
        <v>0</v>
      </c>
      <c r="Z229">
        <v>0</v>
      </c>
      <c r="AA229" s="43">
        <v>307.5</v>
      </c>
      <c r="AC229" s="43">
        <v>307.5</v>
      </c>
      <c r="AF229" s="37">
        <f t="shared" si="7"/>
        <v>46393</v>
      </c>
      <c r="AG229" s="37">
        <f t="shared" si="8"/>
        <v>47599.611570247936</v>
      </c>
      <c r="AH229" t="s">
        <v>1704</v>
      </c>
      <c r="AN229" s="43">
        <v>307.5</v>
      </c>
    </row>
    <row r="230" spans="2:40">
      <c r="B230" t="s">
        <v>401</v>
      </c>
      <c r="C230" t="s">
        <v>173</v>
      </c>
      <c r="D230" t="s">
        <v>167</v>
      </c>
      <c r="E230" t="s">
        <v>83</v>
      </c>
      <c r="F230" s="38">
        <v>46064</v>
      </c>
      <c r="G230">
        <v>10</v>
      </c>
      <c r="H230" t="s">
        <v>174</v>
      </c>
      <c r="I230" s="37">
        <v>46134</v>
      </c>
      <c r="J230" t="s">
        <v>165</v>
      </c>
      <c r="K230" t="s">
        <v>166</v>
      </c>
      <c r="L230" t="s">
        <v>175</v>
      </c>
      <c r="M230" t="s">
        <v>401</v>
      </c>
      <c r="O230" t="s">
        <v>401</v>
      </c>
      <c r="Q230" t="s">
        <v>596</v>
      </c>
      <c r="U230" t="s">
        <v>1696</v>
      </c>
      <c r="W230" t="s">
        <v>1700</v>
      </c>
      <c r="X230">
        <v>0</v>
      </c>
      <c r="Y230">
        <v>0</v>
      </c>
      <c r="Z230">
        <v>0</v>
      </c>
      <c r="AA230" s="43">
        <v>307.5</v>
      </c>
      <c r="AC230" s="43">
        <v>307.5</v>
      </c>
      <c r="AF230" s="37">
        <f t="shared" si="7"/>
        <v>46393</v>
      </c>
      <c r="AG230" s="37">
        <f t="shared" si="8"/>
        <v>47599.611570247936</v>
      </c>
      <c r="AH230" t="s">
        <v>1704</v>
      </c>
      <c r="AN230" s="43">
        <v>307.5</v>
      </c>
    </row>
    <row r="231" spans="2:40">
      <c r="B231" t="s">
        <v>402</v>
      </c>
      <c r="C231" t="s">
        <v>173</v>
      </c>
      <c r="D231" t="s">
        <v>167</v>
      </c>
      <c r="E231" t="s">
        <v>83</v>
      </c>
      <c r="F231" s="38">
        <v>46064</v>
      </c>
      <c r="G231">
        <v>10</v>
      </c>
      <c r="H231" t="s">
        <v>174</v>
      </c>
      <c r="I231" s="37">
        <v>46134</v>
      </c>
      <c r="J231" t="s">
        <v>165</v>
      </c>
      <c r="K231" t="s">
        <v>166</v>
      </c>
      <c r="L231" t="s">
        <v>175</v>
      </c>
      <c r="M231" t="s">
        <v>402</v>
      </c>
      <c r="O231" t="s">
        <v>402</v>
      </c>
      <c r="Q231" t="s">
        <v>597</v>
      </c>
      <c r="U231" t="s">
        <v>1696</v>
      </c>
      <c r="W231" t="s">
        <v>1700</v>
      </c>
      <c r="X231">
        <v>0</v>
      </c>
      <c r="Y231">
        <v>0</v>
      </c>
      <c r="Z231">
        <v>0</v>
      </c>
      <c r="AA231" s="43">
        <v>307.5</v>
      </c>
      <c r="AC231" s="43">
        <v>307.5</v>
      </c>
      <c r="AF231" s="37">
        <f t="shared" si="7"/>
        <v>46393</v>
      </c>
      <c r="AG231" s="37">
        <f t="shared" si="8"/>
        <v>47599.611570247936</v>
      </c>
      <c r="AH231" t="s">
        <v>1704</v>
      </c>
      <c r="AN231" s="43">
        <v>307.5</v>
      </c>
    </row>
    <row r="232" spans="2:40">
      <c r="B232" t="s">
        <v>403</v>
      </c>
      <c r="C232" t="s">
        <v>173</v>
      </c>
      <c r="D232" t="s">
        <v>167</v>
      </c>
      <c r="E232" t="s">
        <v>83</v>
      </c>
      <c r="F232" s="38">
        <v>46064</v>
      </c>
      <c r="G232">
        <v>10</v>
      </c>
      <c r="H232" t="s">
        <v>174</v>
      </c>
      <c r="I232" s="37">
        <v>46134</v>
      </c>
      <c r="J232" t="s">
        <v>165</v>
      </c>
      <c r="K232" t="s">
        <v>166</v>
      </c>
      <c r="L232" t="s">
        <v>175</v>
      </c>
      <c r="M232" t="s">
        <v>403</v>
      </c>
      <c r="O232" t="s">
        <v>403</v>
      </c>
      <c r="Q232" t="s">
        <v>598</v>
      </c>
      <c r="U232" t="s">
        <v>1696</v>
      </c>
      <c r="W232" t="s">
        <v>1700</v>
      </c>
      <c r="X232">
        <v>0</v>
      </c>
      <c r="Y232">
        <v>0</v>
      </c>
      <c r="Z232">
        <v>0</v>
      </c>
      <c r="AA232" s="43">
        <v>307.5</v>
      </c>
      <c r="AC232" s="43">
        <v>307.5</v>
      </c>
      <c r="AF232" s="37">
        <f t="shared" si="7"/>
        <v>46393</v>
      </c>
      <c r="AG232" s="37">
        <f t="shared" si="8"/>
        <v>47599.611570247936</v>
      </c>
      <c r="AH232" t="s">
        <v>1704</v>
      </c>
      <c r="AN232" s="43">
        <v>307.5</v>
      </c>
    </row>
    <row r="233" spans="2:40">
      <c r="B233" t="s">
        <v>404</v>
      </c>
      <c r="C233" t="s">
        <v>173</v>
      </c>
      <c r="D233" t="s">
        <v>167</v>
      </c>
      <c r="E233" t="s">
        <v>83</v>
      </c>
      <c r="F233" s="38">
        <v>46057</v>
      </c>
      <c r="G233">
        <v>10</v>
      </c>
      <c r="H233" t="s">
        <v>174</v>
      </c>
      <c r="I233" s="37">
        <v>46127</v>
      </c>
      <c r="J233" t="s">
        <v>165</v>
      </c>
      <c r="K233" t="s">
        <v>166</v>
      </c>
      <c r="L233" t="s">
        <v>175</v>
      </c>
      <c r="M233" t="s">
        <v>404</v>
      </c>
      <c r="O233" t="s">
        <v>404</v>
      </c>
      <c r="Q233" t="s">
        <v>599</v>
      </c>
      <c r="U233" t="s">
        <v>1696</v>
      </c>
      <c r="W233" t="s">
        <v>1700</v>
      </c>
      <c r="X233">
        <v>0</v>
      </c>
      <c r="Y233">
        <v>0</v>
      </c>
      <c r="Z233">
        <v>0</v>
      </c>
      <c r="AA233" s="43">
        <v>307.5</v>
      </c>
      <c r="AC233" s="43">
        <v>307.5</v>
      </c>
      <c r="AF233" s="37">
        <f t="shared" si="7"/>
        <v>46386</v>
      </c>
      <c r="AG233" s="37">
        <f t="shared" si="8"/>
        <v>47592.611570247936</v>
      </c>
      <c r="AH233" t="s">
        <v>1704</v>
      </c>
      <c r="AN233" s="43">
        <v>307.5</v>
      </c>
    </row>
    <row r="234" spans="2:40">
      <c r="B234" t="s">
        <v>405</v>
      </c>
      <c r="C234" t="s">
        <v>173</v>
      </c>
      <c r="D234" t="s">
        <v>167</v>
      </c>
      <c r="E234" t="s">
        <v>83</v>
      </c>
      <c r="F234" s="38">
        <v>46057</v>
      </c>
      <c r="G234">
        <v>10</v>
      </c>
      <c r="H234" t="s">
        <v>174</v>
      </c>
      <c r="I234" s="37">
        <v>46127</v>
      </c>
      <c r="J234" t="s">
        <v>165</v>
      </c>
      <c r="K234" t="s">
        <v>166</v>
      </c>
      <c r="L234" t="s">
        <v>175</v>
      </c>
      <c r="M234" t="s">
        <v>405</v>
      </c>
      <c r="O234" t="s">
        <v>405</v>
      </c>
      <c r="Q234" t="s">
        <v>600</v>
      </c>
      <c r="U234" t="s">
        <v>1696</v>
      </c>
      <c r="W234" t="s">
        <v>1700</v>
      </c>
      <c r="X234">
        <v>0</v>
      </c>
      <c r="Y234">
        <v>0</v>
      </c>
      <c r="Z234">
        <v>0</v>
      </c>
      <c r="AA234" s="43">
        <v>307.5</v>
      </c>
      <c r="AC234" s="43">
        <v>307.5</v>
      </c>
      <c r="AF234" s="37">
        <f t="shared" si="7"/>
        <v>46386</v>
      </c>
      <c r="AG234" s="37">
        <f t="shared" si="8"/>
        <v>47592.611570247936</v>
      </c>
      <c r="AH234" t="s">
        <v>1704</v>
      </c>
      <c r="AN234" s="43">
        <v>307.5</v>
      </c>
    </row>
    <row r="235" spans="2:40">
      <c r="B235" t="s">
        <v>406</v>
      </c>
      <c r="C235" t="s">
        <v>173</v>
      </c>
      <c r="D235" t="s">
        <v>167</v>
      </c>
      <c r="E235" t="s">
        <v>83</v>
      </c>
      <c r="F235" s="38">
        <v>46057</v>
      </c>
      <c r="G235">
        <v>10</v>
      </c>
      <c r="H235" t="s">
        <v>174</v>
      </c>
      <c r="I235" s="37">
        <v>46127</v>
      </c>
      <c r="J235" t="s">
        <v>165</v>
      </c>
      <c r="K235" t="s">
        <v>166</v>
      </c>
      <c r="L235" t="s">
        <v>175</v>
      </c>
      <c r="M235" t="s">
        <v>406</v>
      </c>
      <c r="O235" t="s">
        <v>406</v>
      </c>
      <c r="Q235" t="s">
        <v>600</v>
      </c>
      <c r="U235" t="s">
        <v>1696</v>
      </c>
      <c r="W235" t="s">
        <v>1700</v>
      </c>
      <c r="X235">
        <v>0</v>
      </c>
      <c r="Y235">
        <v>0</v>
      </c>
      <c r="Z235">
        <v>0</v>
      </c>
      <c r="AA235" s="43">
        <v>307.5</v>
      </c>
      <c r="AC235" s="43">
        <v>307.5</v>
      </c>
      <c r="AF235" s="37">
        <f t="shared" si="7"/>
        <v>46386</v>
      </c>
      <c r="AG235" s="37">
        <f t="shared" si="8"/>
        <v>47592.611570247936</v>
      </c>
      <c r="AH235" t="s">
        <v>1704</v>
      </c>
      <c r="AN235" s="43">
        <v>307.5</v>
      </c>
    </row>
    <row r="236" spans="2:40">
      <c r="B236" t="s">
        <v>407</v>
      </c>
      <c r="C236" t="s">
        <v>173</v>
      </c>
      <c r="D236" t="s">
        <v>167</v>
      </c>
      <c r="E236" t="s">
        <v>83</v>
      </c>
      <c r="F236" s="38">
        <v>46057</v>
      </c>
      <c r="G236">
        <v>10</v>
      </c>
      <c r="H236" t="s">
        <v>174</v>
      </c>
      <c r="I236" s="37">
        <v>46127</v>
      </c>
      <c r="J236" t="s">
        <v>165</v>
      </c>
      <c r="K236" t="s">
        <v>166</v>
      </c>
      <c r="L236" t="s">
        <v>175</v>
      </c>
      <c r="M236" t="s">
        <v>407</v>
      </c>
      <c r="O236" t="s">
        <v>407</v>
      </c>
      <c r="Q236" t="s">
        <v>601</v>
      </c>
      <c r="U236" t="s">
        <v>1696</v>
      </c>
      <c r="W236" t="s">
        <v>1700</v>
      </c>
      <c r="X236">
        <v>0</v>
      </c>
      <c r="Y236">
        <v>0</v>
      </c>
      <c r="Z236">
        <v>0</v>
      </c>
      <c r="AA236" s="43">
        <v>307.5</v>
      </c>
      <c r="AC236" s="43">
        <v>307.5</v>
      </c>
      <c r="AF236" s="37">
        <f t="shared" si="7"/>
        <v>46386</v>
      </c>
      <c r="AG236" s="37">
        <f t="shared" si="8"/>
        <v>47592.611570247936</v>
      </c>
      <c r="AH236" t="s">
        <v>1704</v>
      </c>
      <c r="AN236" s="43">
        <v>307.5</v>
      </c>
    </row>
    <row r="237" spans="2:40">
      <c r="B237" t="s">
        <v>408</v>
      </c>
      <c r="C237" t="s">
        <v>173</v>
      </c>
      <c r="D237" t="s">
        <v>167</v>
      </c>
      <c r="E237" t="s">
        <v>83</v>
      </c>
      <c r="F237" s="38">
        <v>46057</v>
      </c>
      <c r="G237">
        <v>10</v>
      </c>
      <c r="H237" t="s">
        <v>174</v>
      </c>
      <c r="I237" s="37">
        <v>46127</v>
      </c>
      <c r="J237" t="s">
        <v>165</v>
      </c>
      <c r="K237" t="s">
        <v>166</v>
      </c>
      <c r="L237" t="s">
        <v>175</v>
      </c>
      <c r="M237" t="s">
        <v>408</v>
      </c>
      <c r="O237" t="s">
        <v>408</v>
      </c>
      <c r="Q237" t="s">
        <v>602</v>
      </c>
      <c r="U237" t="s">
        <v>1696</v>
      </c>
      <c r="W237" t="s">
        <v>1700</v>
      </c>
      <c r="X237">
        <v>0</v>
      </c>
      <c r="Y237">
        <v>0</v>
      </c>
      <c r="Z237">
        <v>0</v>
      </c>
      <c r="AA237" s="43">
        <v>307.5</v>
      </c>
      <c r="AC237" s="43">
        <v>307.5</v>
      </c>
      <c r="AF237" s="37">
        <f t="shared" si="7"/>
        <v>46386</v>
      </c>
      <c r="AG237" s="37">
        <f t="shared" si="8"/>
        <v>47592.611570247936</v>
      </c>
      <c r="AH237" t="s">
        <v>1704</v>
      </c>
      <c r="AN237" s="43">
        <v>307.5</v>
      </c>
    </row>
    <row r="238" spans="2:40">
      <c r="B238" t="s">
        <v>409</v>
      </c>
      <c r="C238" t="s">
        <v>173</v>
      </c>
      <c r="D238" t="s">
        <v>167</v>
      </c>
      <c r="E238" t="s">
        <v>83</v>
      </c>
      <c r="F238" s="38">
        <v>46057</v>
      </c>
      <c r="G238">
        <v>10</v>
      </c>
      <c r="H238" t="s">
        <v>174</v>
      </c>
      <c r="I238" s="37">
        <v>46127</v>
      </c>
      <c r="J238" t="s">
        <v>165</v>
      </c>
      <c r="K238" t="s">
        <v>166</v>
      </c>
      <c r="L238" t="s">
        <v>175</v>
      </c>
      <c r="M238" t="s">
        <v>409</v>
      </c>
      <c r="O238" t="s">
        <v>409</v>
      </c>
      <c r="Q238" t="s">
        <v>599</v>
      </c>
      <c r="U238" t="s">
        <v>1696</v>
      </c>
      <c r="W238" t="s">
        <v>1700</v>
      </c>
      <c r="X238">
        <v>0</v>
      </c>
      <c r="Y238">
        <v>0</v>
      </c>
      <c r="Z238">
        <v>0</v>
      </c>
      <c r="AA238" s="43">
        <v>307.5</v>
      </c>
      <c r="AC238" s="43">
        <v>307.5</v>
      </c>
      <c r="AF238" s="37">
        <f t="shared" si="7"/>
        <v>46386</v>
      </c>
      <c r="AG238" s="37">
        <f t="shared" si="8"/>
        <v>47592.611570247936</v>
      </c>
      <c r="AH238" t="s">
        <v>1704</v>
      </c>
      <c r="AN238" s="43">
        <v>307.5</v>
      </c>
    </row>
    <row r="239" spans="2:40">
      <c r="B239" t="s">
        <v>410</v>
      </c>
      <c r="C239" t="s">
        <v>173</v>
      </c>
      <c r="D239" t="s">
        <v>167</v>
      </c>
      <c r="E239" t="s">
        <v>83</v>
      </c>
      <c r="F239" s="38">
        <v>46057</v>
      </c>
      <c r="G239">
        <v>10</v>
      </c>
      <c r="H239" t="s">
        <v>174</v>
      </c>
      <c r="I239" s="37">
        <v>46127</v>
      </c>
      <c r="J239" t="s">
        <v>165</v>
      </c>
      <c r="K239" t="s">
        <v>166</v>
      </c>
      <c r="L239" t="s">
        <v>175</v>
      </c>
      <c r="M239" t="s">
        <v>410</v>
      </c>
      <c r="O239" t="s">
        <v>410</v>
      </c>
      <c r="Q239" t="s">
        <v>603</v>
      </c>
      <c r="U239" t="s">
        <v>1696</v>
      </c>
      <c r="W239" t="s">
        <v>1700</v>
      </c>
      <c r="X239">
        <v>0</v>
      </c>
      <c r="Y239">
        <v>0</v>
      </c>
      <c r="Z239">
        <v>0</v>
      </c>
      <c r="AA239" s="43">
        <v>307.5</v>
      </c>
      <c r="AC239" s="43">
        <v>307.5</v>
      </c>
      <c r="AF239" s="37">
        <f t="shared" si="7"/>
        <v>46386</v>
      </c>
      <c r="AG239" s="37">
        <f t="shared" si="8"/>
        <v>47592.611570247936</v>
      </c>
      <c r="AH239" t="s">
        <v>1704</v>
      </c>
      <c r="AN239" s="43">
        <v>307.5</v>
      </c>
    </row>
    <row r="240" spans="2:40">
      <c r="B240" t="s">
        <v>411</v>
      </c>
      <c r="C240" t="s">
        <v>173</v>
      </c>
      <c r="D240" t="s">
        <v>167</v>
      </c>
      <c r="E240" t="s">
        <v>83</v>
      </c>
      <c r="F240" s="38">
        <v>46057</v>
      </c>
      <c r="G240">
        <v>10</v>
      </c>
      <c r="H240" t="s">
        <v>174</v>
      </c>
      <c r="I240" s="37">
        <v>46127</v>
      </c>
      <c r="J240" t="s">
        <v>165</v>
      </c>
      <c r="K240" t="s">
        <v>166</v>
      </c>
      <c r="L240" t="s">
        <v>175</v>
      </c>
      <c r="M240" t="s">
        <v>411</v>
      </c>
      <c r="O240" t="s">
        <v>411</v>
      </c>
      <c r="Q240" t="s">
        <v>604</v>
      </c>
      <c r="U240" t="s">
        <v>1696</v>
      </c>
      <c r="W240" t="s">
        <v>1700</v>
      </c>
      <c r="X240">
        <v>0</v>
      </c>
      <c r="Y240">
        <v>0</v>
      </c>
      <c r="Z240">
        <v>0</v>
      </c>
      <c r="AA240" s="43">
        <v>307.5</v>
      </c>
      <c r="AC240" s="43">
        <v>307.5</v>
      </c>
      <c r="AF240" s="37">
        <f t="shared" si="7"/>
        <v>46386</v>
      </c>
      <c r="AG240" s="37">
        <f t="shared" si="8"/>
        <v>47592.611570247936</v>
      </c>
      <c r="AH240" t="s">
        <v>1704</v>
      </c>
      <c r="AN240" s="43">
        <v>307.5</v>
      </c>
    </row>
    <row r="241" spans="2:40">
      <c r="B241" t="s">
        <v>412</v>
      </c>
      <c r="C241" t="s">
        <v>173</v>
      </c>
      <c r="D241" t="s">
        <v>167</v>
      </c>
      <c r="E241" t="s">
        <v>83</v>
      </c>
      <c r="F241" s="38">
        <v>46057</v>
      </c>
      <c r="G241">
        <v>10</v>
      </c>
      <c r="H241" t="s">
        <v>174</v>
      </c>
      <c r="I241" s="37">
        <v>46127</v>
      </c>
      <c r="J241" t="s">
        <v>165</v>
      </c>
      <c r="K241" t="s">
        <v>166</v>
      </c>
      <c r="L241" t="s">
        <v>175</v>
      </c>
      <c r="M241" t="s">
        <v>412</v>
      </c>
      <c r="O241" t="s">
        <v>412</v>
      </c>
      <c r="Q241" t="s">
        <v>600</v>
      </c>
      <c r="U241" t="s">
        <v>1696</v>
      </c>
      <c r="W241" t="s">
        <v>1700</v>
      </c>
      <c r="X241">
        <v>0</v>
      </c>
      <c r="Y241">
        <v>0</v>
      </c>
      <c r="Z241">
        <v>0</v>
      </c>
      <c r="AA241" s="43">
        <v>307.5</v>
      </c>
      <c r="AC241" s="43">
        <v>307.5</v>
      </c>
      <c r="AF241" s="37">
        <f t="shared" si="7"/>
        <v>46386</v>
      </c>
      <c r="AG241" s="37">
        <f t="shared" si="8"/>
        <v>47592.611570247936</v>
      </c>
      <c r="AH241" t="s">
        <v>1704</v>
      </c>
      <c r="AN241" s="43">
        <v>307.5</v>
      </c>
    </row>
    <row r="242" spans="2:40">
      <c r="B242" t="s">
        <v>413</v>
      </c>
      <c r="C242" t="s">
        <v>173</v>
      </c>
      <c r="D242" t="s">
        <v>167</v>
      </c>
      <c r="E242" t="s">
        <v>83</v>
      </c>
      <c r="F242" s="38">
        <v>46057</v>
      </c>
      <c r="G242">
        <v>10</v>
      </c>
      <c r="H242" t="s">
        <v>174</v>
      </c>
      <c r="I242" s="37">
        <v>46127</v>
      </c>
      <c r="J242" t="s">
        <v>165</v>
      </c>
      <c r="K242" t="s">
        <v>166</v>
      </c>
      <c r="L242" t="s">
        <v>175</v>
      </c>
      <c r="M242" t="s">
        <v>413</v>
      </c>
      <c r="O242" t="s">
        <v>413</v>
      </c>
      <c r="Q242" t="s">
        <v>599</v>
      </c>
      <c r="U242" t="s">
        <v>1696</v>
      </c>
      <c r="W242" t="s">
        <v>1700</v>
      </c>
      <c r="X242">
        <v>0</v>
      </c>
      <c r="Y242">
        <v>0</v>
      </c>
      <c r="Z242">
        <v>0</v>
      </c>
      <c r="AA242" s="43">
        <v>307.5</v>
      </c>
      <c r="AC242" s="43">
        <v>307.5</v>
      </c>
      <c r="AF242" s="37">
        <f t="shared" si="7"/>
        <v>46386</v>
      </c>
      <c r="AG242" s="37">
        <f t="shared" si="8"/>
        <v>47592.611570247936</v>
      </c>
      <c r="AH242" t="s">
        <v>1704</v>
      </c>
      <c r="AN242" s="43">
        <v>307.5</v>
      </c>
    </row>
    <row r="243" spans="2:40">
      <c r="B243" t="s">
        <v>414</v>
      </c>
      <c r="C243" t="s">
        <v>173</v>
      </c>
      <c r="D243" t="s">
        <v>167</v>
      </c>
      <c r="E243" t="s">
        <v>83</v>
      </c>
      <c r="F243" s="38">
        <v>46057</v>
      </c>
      <c r="G243">
        <v>10</v>
      </c>
      <c r="H243" t="s">
        <v>174</v>
      </c>
      <c r="I243" s="37">
        <v>46127</v>
      </c>
      <c r="J243" t="s">
        <v>165</v>
      </c>
      <c r="K243" t="s">
        <v>166</v>
      </c>
      <c r="L243" t="s">
        <v>175</v>
      </c>
      <c r="M243" t="s">
        <v>414</v>
      </c>
      <c r="O243" t="s">
        <v>414</v>
      </c>
      <c r="Q243" t="s">
        <v>600</v>
      </c>
      <c r="U243" t="s">
        <v>1696</v>
      </c>
      <c r="W243" t="s">
        <v>1700</v>
      </c>
      <c r="X243">
        <v>0</v>
      </c>
      <c r="Y243">
        <v>0</v>
      </c>
      <c r="Z243">
        <v>0</v>
      </c>
      <c r="AA243" s="43">
        <v>307.5</v>
      </c>
      <c r="AC243" s="43">
        <v>307.5</v>
      </c>
      <c r="AF243" s="37">
        <f t="shared" si="7"/>
        <v>46386</v>
      </c>
      <c r="AG243" s="37">
        <f t="shared" si="8"/>
        <v>47592.611570247936</v>
      </c>
      <c r="AH243" t="s">
        <v>1704</v>
      </c>
      <c r="AN243" s="43">
        <v>307.5</v>
      </c>
    </row>
    <row r="244" spans="2:40">
      <c r="B244" t="s">
        <v>415</v>
      </c>
      <c r="C244" t="s">
        <v>173</v>
      </c>
      <c r="D244" t="s">
        <v>167</v>
      </c>
      <c r="E244" t="s">
        <v>83</v>
      </c>
      <c r="F244" s="38">
        <v>46057</v>
      </c>
      <c r="G244">
        <v>10</v>
      </c>
      <c r="H244" t="s">
        <v>174</v>
      </c>
      <c r="I244" s="37">
        <v>46127</v>
      </c>
      <c r="J244" t="s">
        <v>165</v>
      </c>
      <c r="K244" t="s">
        <v>166</v>
      </c>
      <c r="L244" t="s">
        <v>175</v>
      </c>
      <c r="M244" t="s">
        <v>415</v>
      </c>
      <c r="O244" t="s">
        <v>415</v>
      </c>
      <c r="Q244" t="s">
        <v>599</v>
      </c>
      <c r="U244" t="s">
        <v>1696</v>
      </c>
      <c r="W244" t="s">
        <v>1700</v>
      </c>
      <c r="X244">
        <v>0</v>
      </c>
      <c r="Y244">
        <v>0</v>
      </c>
      <c r="Z244">
        <v>0</v>
      </c>
      <c r="AA244" s="43">
        <v>307.5</v>
      </c>
      <c r="AC244" s="43">
        <v>307.5</v>
      </c>
      <c r="AF244" s="37">
        <f t="shared" si="7"/>
        <v>46386</v>
      </c>
      <c r="AG244" s="37">
        <f t="shared" si="8"/>
        <v>47592.611570247936</v>
      </c>
      <c r="AH244" t="s">
        <v>1704</v>
      </c>
      <c r="AN244" s="43">
        <v>307.5</v>
      </c>
    </row>
    <row r="245" spans="2:40">
      <c r="B245" t="s">
        <v>416</v>
      </c>
      <c r="C245" t="s">
        <v>173</v>
      </c>
      <c r="D245" t="s">
        <v>167</v>
      </c>
      <c r="E245" t="s">
        <v>83</v>
      </c>
      <c r="F245" s="38">
        <v>46050</v>
      </c>
      <c r="G245">
        <v>10</v>
      </c>
      <c r="H245" t="s">
        <v>174</v>
      </c>
      <c r="I245" s="37">
        <v>46120</v>
      </c>
      <c r="J245" t="s">
        <v>165</v>
      </c>
      <c r="K245" t="s">
        <v>166</v>
      </c>
      <c r="L245" t="s">
        <v>175</v>
      </c>
      <c r="M245" t="s">
        <v>416</v>
      </c>
      <c r="O245" t="s">
        <v>416</v>
      </c>
      <c r="Q245" t="s">
        <v>605</v>
      </c>
      <c r="U245" t="s">
        <v>1696</v>
      </c>
      <c r="W245" t="s">
        <v>1700</v>
      </c>
      <c r="X245">
        <v>0</v>
      </c>
      <c r="Y245">
        <v>0</v>
      </c>
      <c r="Z245">
        <v>0</v>
      </c>
      <c r="AA245" s="43">
        <v>307.5</v>
      </c>
      <c r="AC245" s="43">
        <v>307.5</v>
      </c>
      <c r="AF245" s="37">
        <f t="shared" si="7"/>
        <v>46379</v>
      </c>
      <c r="AG245" s="37">
        <f t="shared" si="8"/>
        <v>47585.611570247936</v>
      </c>
      <c r="AH245" t="s">
        <v>1704</v>
      </c>
      <c r="AN245" s="43">
        <v>307.5</v>
      </c>
    </row>
    <row r="246" spans="2:40">
      <c r="B246" t="s">
        <v>417</v>
      </c>
      <c r="C246" t="s">
        <v>173</v>
      </c>
      <c r="D246" t="s">
        <v>167</v>
      </c>
      <c r="E246" t="s">
        <v>83</v>
      </c>
      <c r="F246" s="38">
        <v>46050</v>
      </c>
      <c r="G246">
        <v>10</v>
      </c>
      <c r="H246" t="s">
        <v>174</v>
      </c>
      <c r="I246" s="37">
        <v>46120</v>
      </c>
      <c r="J246" t="s">
        <v>165</v>
      </c>
      <c r="K246" t="s">
        <v>166</v>
      </c>
      <c r="L246" t="s">
        <v>175</v>
      </c>
      <c r="M246" t="s">
        <v>417</v>
      </c>
      <c r="O246" t="s">
        <v>417</v>
      </c>
      <c r="Q246" t="s">
        <v>606</v>
      </c>
      <c r="U246" t="s">
        <v>1696</v>
      </c>
      <c r="W246" t="s">
        <v>1700</v>
      </c>
      <c r="X246">
        <v>0</v>
      </c>
      <c r="Y246">
        <v>0</v>
      </c>
      <c r="Z246">
        <v>0</v>
      </c>
      <c r="AA246" s="43">
        <v>307.5</v>
      </c>
      <c r="AC246" s="43">
        <v>307.5</v>
      </c>
      <c r="AF246" s="37">
        <f t="shared" si="7"/>
        <v>46379</v>
      </c>
      <c r="AG246" s="37">
        <f t="shared" si="8"/>
        <v>47585.611570247936</v>
      </c>
      <c r="AH246" t="s">
        <v>1704</v>
      </c>
      <c r="AN246" s="43">
        <v>307.5</v>
      </c>
    </row>
    <row r="247" spans="2:40">
      <c r="B247" t="s">
        <v>418</v>
      </c>
      <c r="C247" t="s">
        <v>173</v>
      </c>
      <c r="D247" t="s">
        <v>167</v>
      </c>
      <c r="E247" t="s">
        <v>83</v>
      </c>
      <c r="F247" s="38">
        <v>46050</v>
      </c>
      <c r="G247">
        <v>10</v>
      </c>
      <c r="H247" t="s">
        <v>174</v>
      </c>
      <c r="I247" s="37">
        <v>46120</v>
      </c>
      <c r="J247" t="s">
        <v>165</v>
      </c>
      <c r="K247" t="s">
        <v>166</v>
      </c>
      <c r="L247" t="s">
        <v>175</v>
      </c>
      <c r="M247" t="s">
        <v>418</v>
      </c>
      <c r="O247" t="s">
        <v>418</v>
      </c>
      <c r="Q247" t="s">
        <v>605</v>
      </c>
      <c r="U247" t="s">
        <v>1696</v>
      </c>
      <c r="W247" t="s">
        <v>1700</v>
      </c>
      <c r="X247">
        <v>0</v>
      </c>
      <c r="Y247">
        <v>0</v>
      </c>
      <c r="Z247">
        <v>0</v>
      </c>
      <c r="AA247" s="43">
        <v>307.5</v>
      </c>
      <c r="AC247" s="43">
        <v>307.5</v>
      </c>
      <c r="AF247" s="37">
        <f t="shared" si="7"/>
        <v>46379</v>
      </c>
      <c r="AG247" s="37">
        <f t="shared" si="8"/>
        <v>47585.611570247936</v>
      </c>
      <c r="AH247" t="s">
        <v>1704</v>
      </c>
      <c r="AN247" s="43">
        <v>307.5</v>
      </c>
    </row>
    <row r="248" spans="2:40">
      <c r="B248" t="s">
        <v>419</v>
      </c>
      <c r="C248" t="s">
        <v>173</v>
      </c>
      <c r="D248" t="s">
        <v>167</v>
      </c>
      <c r="E248" t="s">
        <v>83</v>
      </c>
      <c r="F248" s="38">
        <v>46050</v>
      </c>
      <c r="G248">
        <v>10</v>
      </c>
      <c r="H248" t="s">
        <v>174</v>
      </c>
      <c r="I248" s="37">
        <v>46120</v>
      </c>
      <c r="J248" t="s">
        <v>165</v>
      </c>
      <c r="K248" t="s">
        <v>166</v>
      </c>
      <c r="L248" t="s">
        <v>175</v>
      </c>
      <c r="M248" t="s">
        <v>419</v>
      </c>
      <c r="O248" t="s">
        <v>419</v>
      </c>
      <c r="Q248" t="s">
        <v>607</v>
      </c>
      <c r="U248" t="s">
        <v>1696</v>
      </c>
      <c r="W248" t="s">
        <v>1700</v>
      </c>
      <c r="X248">
        <v>0</v>
      </c>
      <c r="Y248">
        <v>0</v>
      </c>
      <c r="Z248">
        <v>0</v>
      </c>
      <c r="AA248" s="43">
        <v>307.5</v>
      </c>
      <c r="AC248" s="43">
        <v>307.5</v>
      </c>
      <c r="AF248" s="37">
        <f t="shared" si="7"/>
        <v>46379</v>
      </c>
      <c r="AG248" s="37">
        <f t="shared" si="8"/>
        <v>47585.611570247936</v>
      </c>
      <c r="AH248" t="s">
        <v>1704</v>
      </c>
      <c r="AN248" s="43">
        <v>307.5</v>
      </c>
    </row>
    <row r="249" spans="2:40">
      <c r="B249" t="s">
        <v>420</v>
      </c>
      <c r="C249" t="s">
        <v>173</v>
      </c>
      <c r="D249" t="s">
        <v>167</v>
      </c>
      <c r="E249" t="s">
        <v>83</v>
      </c>
      <c r="F249" s="38">
        <v>46050</v>
      </c>
      <c r="G249">
        <v>10</v>
      </c>
      <c r="H249" t="s">
        <v>174</v>
      </c>
      <c r="I249" s="37">
        <v>46120</v>
      </c>
      <c r="J249" t="s">
        <v>165</v>
      </c>
      <c r="K249" t="s">
        <v>166</v>
      </c>
      <c r="L249" t="s">
        <v>175</v>
      </c>
      <c r="M249" t="s">
        <v>420</v>
      </c>
      <c r="O249" t="s">
        <v>420</v>
      </c>
      <c r="Q249" t="s">
        <v>608</v>
      </c>
      <c r="U249" t="s">
        <v>1696</v>
      </c>
      <c r="W249" t="s">
        <v>1700</v>
      </c>
      <c r="X249">
        <v>0</v>
      </c>
      <c r="Y249">
        <v>0</v>
      </c>
      <c r="Z249">
        <v>0</v>
      </c>
      <c r="AA249" s="43">
        <v>307.5</v>
      </c>
      <c r="AC249" s="43">
        <v>307.5</v>
      </c>
      <c r="AF249" s="37">
        <f t="shared" si="7"/>
        <v>46379</v>
      </c>
      <c r="AG249" s="37">
        <f t="shared" si="8"/>
        <v>47585.611570247936</v>
      </c>
      <c r="AH249" t="s">
        <v>1704</v>
      </c>
      <c r="AN249" s="43">
        <v>307.5</v>
      </c>
    </row>
    <row r="250" spans="2:40">
      <c r="B250" t="s">
        <v>421</v>
      </c>
      <c r="C250" t="s">
        <v>173</v>
      </c>
      <c r="D250" t="s">
        <v>167</v>
      </c>
      <c r="E250" t="s">
        <v>83</v>
      </c>
      <c r="F250" s="38">
        <v>46050</v>
      </c>
      <c r="G250">
        <v>10</v>
      </c>
      <c r="H250" t="s">
        <v>174</v>
      </c>
      <c r="I250" s="37">
        <v>46120</v>
      </c>
      <c r="J250" t="s">
        <v>165</v>
      </c>
      <c r="K250" t="s">
        <v>166</v>
      </c>
      <c r="L250" t="s">
        <v>175</v>
      </c>
      <c r="M250" t="s">
        <v>421</v>
      </c>
      <c r="O250" t="s">
        <v>421</v>
      </c>
      <c r="Q250" t="s">
        <v>605</v>
      </c>
      <c r="U250" t="s">
        <v>1696</v>
      </c>
      <c r="W250" t="s">
        <v>1700</v>
      </c>
      <c r="X250">
        <v>0</v>
      </c>
      <c r="Y250">
        <v>0</v>
      </c>
      <c r="Z250">
        <v>0</v>
      </c>
      <c r="AA250" s="43">
        <v>307.5</v>
      </c>
      <c r="AC250" s="43">
        <v>307.5</v>
      </c>
      <c r="AF250" s="37">
        <f t="shared" si="7"/>
        <v>46379</v>
      </c>
      <c r="AG250" s="37">
        <f t="shared" si="8"/>
        <v>47585.611570247936</v>
      </c>
      <c r="AH250" t="s">
        <v>1704</v>
      </c>
      <c r="AN250" s="43">
        <v>307.5</v>
      </c>
    </row>
    <row r="251" spans="2:40">
      <c r="B251" t="s">
        <v>422</v>
      </c>
      <c r="C251" t="s">
        <v>173</v>
      </c>
      <c r="D251" t="s">
        <v>167</v>
      </c>
      <c r="E251" t="s">
        <v>83</v>
      </c>
      <c r="F251" s="38">
        <v>46050</v>
      </c>
      <c r="G251">
        <v>10</v>
      </c>
      <c r="H251" t="s">
        <v>174</v>
      </c>
      <c r="I251" s="37">
        <v>46120</v>
      </c>
      <c r="J251" t="s">
        <v>165</v>
      </c>
      <c r="K251" t="s">
        <v>166</v>
      </c>
      <c r="L251" t="s">
        <v>175</v>
      </c>
      <c r="M251" t="s">
        <v>422</v>
      </c>
      <c r="O251" t="s">
        <v>422</v>
      </c>
      <c r="Q251" t="s">
        <v>606</v>
      </c>
      <c r="U251" t="s">
        <v>1696</v>
      </c>
      <c r="W251" t="s">
        <v>1700</v>
      </c>
      <c r="X251">
        <v>0</v>
      </c>
      <c r="Y251">
        <v>0</v>
      </c>
      <c r="Z251">
        <v>0</v>
      </c>
      <c r="AA251" s="43">
        <v>307.5</v>
      </c>
      <c r="AC251" s="43">
        <v>307.5</v>
      </c>
      <c r="AF251" s="37">
        <f t="shared" si="7"/>
        <v>46379</v>
      </c>
      <c r="AG251" s="37">
        <f t="shared" si="8"/>
        <v>47585.611570247936</v>
      </c>
      <c r="AH251" t="s">
        <v>1704</v>
      </c>
      <c r="AN251" s="43">
        <v>307.5</v>
      </c>
    </row>
    <row r="252" spans="2:40">
      <c r="B252" t="s">
        <v>423</v>
      </c>
      <c r="C252" t="s">
        <v>173</v>
      </c>
      <c r="D252" t="s">
        <v>167</v>
      </c>
      <c r="E252" t="s">
        <v>83</v>
      </c>
      <c r="F252" s="38">
        <v>46050</v>
      </c>
      <c r="G252">
        <v>10</v>
      </c>
      <c r="H252" t="s">
        <v>174</v>
      </c>
      <c r="I252" s="37">
        <v>46120</v>
      </c>
      <c r="J252" t="s">
        <v>165</v>
      </c>
      <c r="K252" t="s">
        <v>166</v>
      </c>
      <c r="L252" t="s">
        <v>175</v>
      </c>
      <c r="M252" t="s">
        <v>423</v>
      </c>
      <c r="O252" t="s">
        <v>423</v>
      </c>
      <c r="Q252" t="s">
        <v>608</v>
      </c>
      <c r="U252" t="s">
        <v>1696</v>
      </c>
      <c r="W252" t="s">
        <v>1700</v>
      </c>
      <c r="X252">
        <v>0</v>
      </c>
      <c r="Y252">
        <v>0</v>
      </c>
      <c r="Z252">
        <v>0</v>
      </c>
      <c r="AA252" s="43">
        <v>307.5</v>
      </c>
      <c r="AC252" s="43">
        <v>307.5</v>
      </c>
      <c r="AF252" s="37">
        <f t="shared" si="7"/>
        <v>46379</v>
      </c>
      <c r="AG252" s="37">
        <f t="shared" si="8"/>
        <v>47585.611570247936</v>
      </c>
      <c r="AH252" t="s">
        <v>1704</v>
      </c>
      <c r="AN252" s="43">
        <v>307.5</v>
      </c>
    </row>
    <row r="253" spans="2:40">
      <c r="B253" t="s">
        <v>424</v>
      </c>
      <c r="C253" t="s">
        <v>173</v>
      </c>
      <c r="D253" t="s">
        <v>167</v>
      </c>
      <c r="E253" t="s">
        <v>83</v>
      </c>
      <c r="F253" s="38">
        <v>46050</v>
      </c>
      <c r="G253">
        <v>10</v>
      </c>
      <c r="H253" t="s">
        <v>174</v>
      </c>
      <c r="I253" s="37">
        <v>46120</v>
      </c>
      <c r="J253" t="s">
        <v>165</v>
      </c>
      <c r="K253" t="s">
        <v>166</v>
      </c>
      <c r="L253" t="s">
        <v>175</v>
      </c>
      <c r="M253" t="s">
        <v>424</v>
      </c>
      <c r="O253" t="s">
        <v>424</v>
      </c>
      <c r="Q253" t="s">
        <v>609</v>
      </c>
      <c r="U253" t="s">
        <v>1696</v>
      </c>
      <c r="W253" t="s">
        <v>1700</v>
      </c>
      <c r="X253">
        <v>0</v>
      </c>
      <c r="Y253">
        <v>0</v>
      </c>
      <c r="Z253">
        <v>0</v>
      </c>
      <c r="AA253" s="43">
        <v>307.5</v>
      </c>
      <c r="AC253" s="43">
        <v>307.5</v>
      </c>
      <c r="AF253" s="37">
        <f t="shared" si="7"/>
        <v>46379</v>
      </c>
      <c r="AG253" s="37">
        <f t="shared" si="8"/>
        <v>47585.611570247936</v>
      </c>
      <c r="AH253" t="s">
        <v>1704</v>
      </c>
      <c r="AN253" s="43">
        <v>307.5</v>
      </c>
    </row>
    <row r="254" spans="2:40">
      <c r="B254" t="s">
        <v>425</v>
      </c>
      <c r="C254" t="s">
        <v>173</v>
      </c>
      <c r="D254" t="s">
        <v>167</v>
      </c>
      <c r="E254" t="s">
        <v>83</v>
      </c>
      <c r="F254" s="38">
        <v>46050</v>
      </c>
      <c r="G254">
        <v>10</v>
      </c>
      <c r="H254" t="s">
        <v>174</v>
      </c>
      <c r="I254" s="37">
        <v>46120</v>
      </c>
      <c r="J254" t="s">
        <v>165</v>
      </c>
      <c r="K254" t="s">
        <v>166</v>
      </c>
      <c r="L254" t="s">
        <v>175</v>
      </c>
      <c r="M254" t="s">
        <v>425</v>
      </c>
      <c r="O254" t="s">
        <v>425</v>
      </c>
      <c r="Q254" t="s">
        <v>605</v>
      </c>
      <c r="U254" t="s">
        <v>1696</v>
      </c>
      <c r="W254" t="s">
        <v>1700</v>
      </c>
      <c r="X254">
        <v>0</v>
      </c>
      <c r="Y254">
        <v>0</v>
      </c>
      <c r="Z254">
        <v>0</v>
      </c>
      <c r="AA254" s="43">
        <v>307.5</v>
      </c>
      <c r="AC254" s="43">
        <v>307.5</v>
      </c>
      <c r="AF254" s="37">
        <f t="shared" si="7"/>
        <v>46379</v>
      </c>
      <c r="AG254" s="37">
        <f t="shared" si="8"/>
        <v>47585.611570247936</v>
      </c>
      <c r="AH254" t="s">
        <v>1704</v>
      </c>
      <c r="AN254" s="43">
        <v>307.5</v>
      </c>
    </row>
    <row r="255" spans="2:40">
      <c r="B255" t="s">
        <v>426</v>
      </c>
      <c r="C255" t="s">
        <v>173</v>
      </c>
      <c r="D255" t="s">
        <v>167</v>
      </c>
      <c r="E255" t="s">
        <v>83</v>
      </c>
      <c r="F255" s="38">
        <v>46050</v>
      </c>
      <c r="G255">
        <v>10</v>
      </c>
      <c r="H255" t="s">
        <v>174</v>
      </c>
      <c r="I255" s="37">
        <v>46120</v>
      </c>
      <c r="J255" t="s">
        <v>165</v>
      </c>
      <c r="K255" t="s">
        <v>166</v>
      </c>
      <c r="L255" t="s">
        <v>175</v>
      </c>
      <c r="M255" t="s">
        <v>426</v>
      </c>
      <c r="O255" t="s">
        <v>426</v>
      </c>
      <c r="Q255" t="s">
        <v>606</v>
      </c>
      <c r="U255" t="s">
        <v>1696</v>
      </c>
      <c r="W255" t="s">
        <v>1700</v>
      </c>
      <c r="X255">
        <v>0</v>
      </c>
      <c r="Y255">
        <v>0</v>
      </c>
      <c r="Z255">
        <v>0</v>
      </c>
      <c r="AA255" s="43">
        <v>307.5</v>
      </c>
      <c r="AC255" s="43">
        <v>307.5</v>
      </c>
      <c r="AF255" s="37">
        <f t="shared" si="7"/>
        <v>46379</v>
      </c>
      <c r="AG255" s="37">
        <f t="shared" si="8"/>
        <v>47585.611570247936</v>
      </c>
      <c r="AH255" t="s">
        <v>1704</v>
      </c>
      <c r="AN255" s="43">
        <v>307.5</v>
      </c>
    </row>
    <row r="256" spans="2:40">
      <c r="B256" t="s">
        <v>427</v>
      </c>
      <c r="C256" t="s">
        <v>173</v>
      </c>
      <c r="D256" t="s">
        <v>167</v>
      </c>
      <c r="E256" t="s">
        <v>83</v>
      </c>
      <c r="F256" s="38">
        <v>46050</v>
      </c>
      <c r="G256">
        <v>10</v>
      </c>
      <c r="H256" t="s">
        <v>174</v>
      </c>
      <c r="I256" s="37">
        <v>46120</v>
      </c>
      <c r="J256" t="s">
        <v>165</v>
      </c>
      <c r="K256" t="s">
        <v>166</v>
      </c>
      <c r="L256" t="s">
        <v>175</v>
      </c>
      <c r="M256" t="s">
        <v>427</v>
      </c>
      <c r="O256" t="s">
        <v>427</v>
      </c>
      <c r="Q256" t="s">
        <v>608</v>
      </c>
      <c r="U256" t="s">
        <v>1696</v>
      </c>
      <c r="W256" t="s">
        <v>1700</v>
      </c>
      <c r="X256">
        <v>0</v>
      </c>
      <c r="Y256">
        <v>0</v>
      </c>
      <c r="Z256">
        <v>0</v>
      </c>
      <c r="AA256" s="43">
        <v>307.5</v>
      </c>
      <c r="AC256" s="43">
        <v>307.5</v>
      </c>
      <c r="AF256" s="37">
        <f t="shared" si="7"/>
        <v>46379</v>
      </c>
      <c r="AG256" s="37">
        <f t="shared" si="8"/>
        <v>47585.611570247936</v>
      </c>
      <c r="AH256" t="s">
        <v>1704</v>
      </c>
      <c r="AN256" s="43">
        <v>307.5</v>
      </c>
    </row>
    <row r="257" spans="2:40">
      <c r="B257" t="s">
        <v>428</v>
      </c>
      <c r="C257" t="s">
        <v>173</v>
      </c>
      <c r="D257" t="s">
        <v>167</v>
      </c>
      <c r="E257" t="s">
        <v>83</v>
      </c>
      <c r="F257" s="38">
        <v>46043</v>
      </c>
      <c r="G257">
        <v>10</v>
      </c>
      <c r="H257" t="s">
        <v>174</v>
      </c>
      <c r="I257" s="37">
        <v>46113</v>
      </c>
      <c r="J257" t="s">
        <v>165</v>
      </c>
      <c r="K257" t="s">
        <v>166</v>
      </c>
      <c r="L257" t="s">
        <v>175</v>
      </c>
      <c r="M257" t="s">
        <v>428</v>
      </c>
      <c r="O257" t="s">
        <v>428</v>
      </c>
      <c r="Q257" t="s">
        <v>610</v>
      </c>
      <c r="U257" t="s">
        <v>1696</v>
      </c>
      <c r="W257" t="s">
        <v>1700</v>
      </c>
      <c r="X257">
        <v>0</v>
      </c>
      <c r="Y257">
        <v>0</v>
      </c>
      <c r="Z257">
        <v>0</v>
      </c>
      <c r="AA257" s="43">
        <v>307.5</v>
      </c>
      <c r="AC257" s="43">
        <v>307.5</v>
      </c>
      <c r="AF257" s="37">
        <f t="shared" si="7"/>
        <v>46372</v>
      </c>
      <c r="AG257" s="37">
        <f t="shared" si="8"/>
        <v>47578.611570247936</v>
      </c>
      <c r="AH257" t="s">
        <v>1704</v>
      </c>
      <c r="AN257" s="43">
        <v>307.5</v>
      </c>
    </row>
    <row r="258" spans="2:40">
      <c r="B258" t="s">
        <v>429</v>
      </c>
      <c r="C258" t="s">
        <v>173</v>
      </c>
      <c r="D258" t="s">
        <v>167</v>
      </c>
      <c r="E258" t="s">
        <v>83</v>
      </c>
      <c r="F258" s="38">
        <v>46043</v>
      </c>
      <c r="G258">
        <v>10</v>
      </c>
      <c r="H258" t="s">
        <v>174</v>
      </c>
      <c r="I258" s="37">
        <v>46113</v>
      </c>
      <c r="J258" t="s">
        <v>165</v>
      </c>
      <c r="K258" t="s">
        <v>166</v>
      </c>
      <c r="L258" t="s">
        <v>175</v>
      </c>
      <c r="M258" t="s">
        <v>429</v>
      </c>
      <c r="O258" t="s">
        <v>429</v>
      </c>
      <c r="Q258" t="s">
        <v>611</v>
      </c>
      <c r="U258" t="s">
        <v>1696</v>
      </c>
      <c r="W258" t="s">
        <v>1700</v>
      </c>
      <c r="X258">
        <v>0</v>
      </c>
      <c r="Y258">
        <v>0</v>
      </c>
      <c r="Z258">
        <v>0</v>
      </c>
      <c r="AA258" s="43">
        <v>307.5</v>
      </c>
      <c r="AC258" s="43">
        <v>307.5</v>
      </c>
      <c r="AF258" s="37">
        <f t="shared" si="7"/>
        <v>46372</v>
      </c>
      <c r="AG258" s="37">
        <f t="shared" si="8"/>
        <v>47578.611570247936</v>
      </c>
      <c r="AH258" t="s">
        <v>1704</v>
      </c>
      <c r="AN258" s="43">
        <v>307.5</v>
      </c>
    </row>
    <row r="259" spans="2:40">
      <c r="B259" t="s">
        <v>430</v>
      </c>
      <c r="C259" t="s">
        <v>173</v>
      </c>
      <c r="D259" t="s">
        <v>167</v>
      </c>
      <c r="E259" t="s">
        <v>83</v>
      </c>
      <c r="F259" s="38">
        <v>46043</v>
      </c>
      <c r="G259">
        <v>10</v>
      </c>
      <c r="H259" t="s">
        <v>174</v>
      </c>
      <c r="I259" s="37">
        <v>46113</v>
      </c>
      <c r="J259" t="s">
        <v>165</v>
      </c>
      <c r="K259" t="s">
        <v>166</v>
      </c>
      <c r="L259" t="s">
        <v>175</v>
      </c>
      <c r="M259" t="s">
        <v>430</v>
      </c>
      <c r="O259" t="s">
        <v>430</v>
      </c>
      <c r="Q259" t="s">
        <v>612</v>
      </c>
      <c r="U259" t="s">
        <v>1696</v>
      </c>
      <c r="W259" t="s">
        <v>1700</v>
      </c>
      <c r="X259">
        <v>0</v>
      </c>
      <c r="Y259">
        <v>0</v>
      </c>
      <c r="Z259">
        <v>0</v>
      </c>
      <c r="AA259" s="43">
        <v>307.5</v>
      </c>
      <c r="AC259" s="43">
        <v>307.5</v>
      </c>
      <c r="AF259" s="37">
        <f t="shared" si="7"/>
        <v>46372</v>
      </c>
      <c r="AG259" s="37">
        <f t="shared" si="8"/>
        <v>47578.611570247936</v>
      </c>
      <c r="AH259" t="s">
        <v>1704</v>
      </c>
      <c r="AN259" s="43">
        <v>307.5</v>
      </c>
    </row>
    <row r="260" spans="2:40">
      <c r="B260" t="s">
        <v>431</v>
      </c>
      <c r="C260" t="s">
        <v>173</v>
      </c>
      <c r="D260" t="s">
        <v>167</v>
      </c>
      <c r="E260" t="s">
        <v>83</v>
      </c>
      <c r="F260" s="38">
        <v>46043</v>
      </c>
      <c r="G260">
        <v>10</v>
      </c>
      <c r="H260" t="s">
        <v>174</v>
      </c>
      <c r="I260" s="37">
        <v>46113</v>
      </c>
      <c r="J260" t="s">
        <v>165</v>
      </c>
      <c r="K260" t="s">
        <v>166</v>
      </c>
      <c r="L260" t="s">
        <v>175</v>
      </c>
      <c r="M260" t="s">
        <v>431</v>
      </c>
      <c r="O260" t="s">
        <v>431</v>
      </c>
      <c r="Q260" t="s">
        <v>610</v>
      </c>
      <c r="U260" t="s">
        <v>1696</v>
      </c>
      <c r="W260" t="s">
        <v>1700</v>
      </c>
      <c r="X260">
        <v>0</v>
      </c>
      <c r="Y260">
        <v>0</v>
      </c>
      <c r="Z260">
        <v>0</v>
      </c>
      <c r="AA260" s="43">
        <v>307.5</v>
      </c>
      <c r="AC260" s="43">
        <v>307.5</v>
      </c>
      <c r="AF260" s="37">
        <f t="shared" si="7"/>
        <v>46372</v>
      </c>
      <c r="AG260" s="37">
        <f t="shared" si="8"/>
        <v>47578.611570247936</v>
      </c>
      <c r="AH260" t="s">
        <v>1704</v>
      </c>
      <c r="AN260" s="43">
        <v>307.5</v>
      </c>
    </row>
    <row r="261" spans="2:40">
      <c r="B261" t="s">
        <v>432</v>
      </c>
      <c r="C261" t="s">
        <v>173</v>
      </c>
      <c r="D261" t="s">
        <v>167</v>
      </c>
      <c r="E261" t="s">
        <v>83</v>
      </c>
      <c r="F261" s="38">
        <v>46043</v>
      </c>
      <c r="G261">
        <v>10</v>
      </c>
      <c r="H261" t="s">
        <v>174</v>
      </c>
      <c r="I261" s="37">
        <v>46113</v>
      </c>
      <c r="J261" t="s">
        <v>165</v>
      </c>
      <c r="K261" t="s">
        <v>166</v>
      </c>
      <c r="L261" t="s">
        <v>175</v>
      </c>
      <c r="M261" t="s">
        <v>432</v>
      </c>
      <c r="O261" t="s">
        <v>432</v>
      </c>
      <c r="Q261" t="s">
        <v>612</v>
      </c>
      <c r="U261" t="s">
        <v>1696</v>
      </c>
      <c r="W261" t="s">
        <v>1700</v>
      </c>
      <c r="X261">
        <v>0</v>
      </c>
      <c r="Y261">
        <v>0</v>
      </c>
      <c r="Z261">
        <v>0</v>
      </c>
      <c r="AA261" s="43">
        <v>307.5</v>
      </c>
      <c r="AC261" s="43">
        <v>307.5</v>
      </c>
      <c r="AF261" s="37">
        <f t="shared" si="7"/>
        <v>46372</v>
      </c>
      <c r="AG261" s="37">
        <f t="shared" si="8"/>
        <v>47578.611570247936</v>
      </c>
      <c r="AH261" t="s">
        <v>1704</v>
      </c>
      <c r="AN261" s="43">
        <v>307.5</v>
      </c>
    </row>
    <row r="262" spans="2:40">
      <c r="B262" t="s">
        <v>433</v>
      </c>
      <c r="C262" t="s">
        <v>173</v>
      </c>
      <c r="D262" t="s">
        <v>167</v>
      </c>
      <c r="E262" t="s">
        <v>83</v>
      </c>
      <c r="F262" s="38">
        <v>46043</v>
      </c>
      <c r="G262">
        <v>10</v>
      </c>
      <c r="H262" t="s">
        <v>174</v>
      </c>
      <c r="I262" s="37">
        <v>46113</v>
      </c>
      <c r="J262" t="s">
        <v>165</v>
      </c>
      <c r="K262" t="s">
        <v>166</v>
      </c>
      <c r="L262" t="s">
        <v>175</v>
      </c>
      <c r="M262" t="s">
        <v>433</v>
      </c>
      <c r="O262" t="s">
        <v>433</v>
      </c>
      <c r="Q262" t="s">
        <v>612</v>
      </c>
      <c r="U262" t="s">
        <v>1696</v>
      </c>
      <c r="W262" t="s">
        <v>1700</v>
      </c>
      <c r="X262">
        <v>0</v>
      </c>
      <c r="Y262">
        <v>0</v>
      </c>
      <c r="Z262">
        <v>0</v>
      </c>
      <c r="AA262" s="43">
        <v>307.5</v>
      </c>
      <c r="AC262" s="43">
        <v>307.5</v>
      </c>
      <c r="AF262" s="37">
        <f t="shared" si="7"/>
        <v>46372</v>
      </c>
      <c r="AG262" s="37">
        <f t="shared" si="8"/>
        <v>47578.611570247936</v>
      </c>
      <c r="AH262" t="s">
        <v>1704</v>
      </c>
      <c r="AN262" s="43">
        <v>307.5</v>
      </c>
    </row>
    <row r="263" spans="2:40">
      <c r="B263" t="s">
        <v>434</v>
      </c>
      <c r="C263" t="s">
        <v>173</v>
      </c>
      <c r="D263" t="s">
        <v>167</v>
      </c>
      <c r="E263" t="s">
        <v>83</v>
      </c>
      <c r="F263" s="38">
        <v>46043</v>
      </c>
      <c r="G263">
        <v>10</v>
      </c>
      <c r="H263" t="s">
        <v>174</v>
      </c>
      <c r="I263" s="37">
        <v>46113</v>
      </c>
      <c r="J263" t="s">
        <v>165</v>
      </c>
      <c r="K263" t="s">
        <v>166</v>
      </c>
      <c r="L263" t="s">
        <v>175</v>
      </c>
      <c r="M263" t="s">
        <v>434</v>
      </c>
      <c r="O263" t="s">
        <v>434</v>
      </c>
      <c r="Q263" t="s">
        <v>610</v>
      </c>
      <c r="U263" t="s">
        <v>1696</v>
      </c>
      <c r="W263" t="s">
        <v>1700</v>
      </c>
      <c r="X263">
        <v>0</v>
      </c>
      <c r="Y263">
        <v>0</v>
      </c>
      <c r="Z263">
        <v>0</v>
      </c>
      <c r="AA263" s="43">
        <v>307.5</v>
      </c>
      <c r="AC263" s="43">
        <v>307.5</v>
      </c>
      <c r="AF263" s="37">
        <f t="shared" ref="AF263:AF326" si="9">F263+(47*7)</f>
        <v>46372</v>
      </c>
      <c r="AG263" s="37">
        <f t="shared" ref="AG263:AG326" si="10">+AF263+(365*8)/2.42</f>
        <v>47578.611570247936</v>
      </c>
      <c r="AH263" t="s">
        <v>1704</v>
      </c>
      <c r="AN263" s="43">
        <v>307.5</v>
      </c>
    </row>
    <row r="264" spans="2:40">
      <c r="B264" t="s">
        <v>435</v>
      </c>
      <c r="C264" t="s">
        <v>173</v>
      </c>
      <c r="D264" t="s">
        <v>167</v>
      </c>
      <c r="E264" t="s">
        <v>83</v>
      </c>
      <c r="F264" s="38">
        <v>46043</v>
      </c>
      <c r="G264">
        <v>10</v>
      </c>
      <c r="H264" t="s">
        <v>174</v>
      </c>
      <c r="I264" s="37">
        <v>46113</v>
      </c>
      <c r="J264" t="s">
        <v>165</v>
      </c>
      <c r="K264" t="s">
        <v>166</v>
      </c>
      <c r="L264" t="s">
        <v>175</v>
      </c>
      <c r="M264" t="s">
        <v>435</v>
      </c>
      <c r="O264" t="s">
        <v>435</v>
      </c>
      <c r="Q264" t="s">
        <v>613</v>
      </c>
      <c r="U264" t="s">
        <v>1696</v>
      </c>
      <c r="W264" t="s">
        <v>1700</v>
      </c>
      <c r="X264">
        <v>0</v>
      </c>
      <c r="Y264">
        <v>0</v>
      </c>
      <c r="Z264">
        <v>0</v>
      </c>
      <c r="AA264" s="43">
        <v>307.5</v>
      </c>
      <c r="AC264" s="43">
        <v>307.5</v>
      </c>
      <c r="AF264" s="37">
        <f t="shared" si="9"/>
        <v>46372</v>
      </c>
      <c r="AG264" s="37">
        <f t="shared" si="10"/>
        <v>47578.611570247936</v>
      </c>
      <c r="AH264" t="s">
        <v>1704</v>
      </c>
      <c r="AN264" s="43">
        <v>307.5</v>
      </c>
    </row>
    <row r="265" spans="2:40">
      <c r="B265" t="s">
        <v>436</v>
      </c>
      <c r="C265" t="s">
        <v>173</v>
      </c>
      <c r="D265" t="s">
        <v>167</v>
      </c>
      <c r="E265" t="s">
        <v>83</v>
      </c>
      <c r="F265" s="38">
        <v>46043</v>
      </c>
      <c r="G265">
        <v>10</v>
      </c>
      <c r="H265" t="s">
        <v>174</v>
      </c>
      <c r="I265" s="37">
        <v>46113</v>
      </c>
      <c r="J265" t="s">
        <v>165</v>
      </c>
      <c r="K265" t="s">
        <v>166</v>
      </c>
      <c r="L265" t="s">
        <v>175</v>
      </c>
      <c r="M265" t="s">
        <v>436</v>
      </c>
      <c r="O265" t="s">
        <v>436</v>
      </c>
      <c r="Q265" t="s">
        <v>612</v>
      </c>
      <c r="U265" t="s">
        <v>1696</v>
      </c>
      <c r="W265" t="s">
        <v>1700</v>
      </c>
      <c r="X265">
        <v>0</v>
      </c>
      <c r="Y265">
        <v>0</v>
      </c>
      <c r="Z265">
        <v>0</v>
      </c>
      <c r="AA265" s="43">
        <v>307.5</v>
      </c>
      <c r="AC265" s="43">
        <v>307.5</v>
      </c>
      <c r="AF265" s="37">
        <f t="shared" si="9"/>
        <v>46372</v>
      </c>
      <c r="AG265" s="37">
        <f t="shared" si="10"/>
        <v>47578.611570247936</v>
      </c>
      <c r="AH265" t="s">
        <v>1704</v>
      </c>
      <c r="AN265" s="43">
        <v>307.5</v>
      </c>
    </row>
    <row r="266" spans="2:40">
      <c r="B266" t="s">
        <v>437</v>
      </c>
      <c r="C266" t="s">
        <v>173</v>
      </c>
      <c r="D266" t="s">
        <v>167</v>
      </c>
      <c r="E266" t="s">
        <v>83</v>
      </c>
      <c r="F266" s="38">
        <v>46043</v>
      </c>
      <c r="G266">
        <v>10</v>
      </c>
      <c r="H266" t="s">
        <v>174</v>
      </c>
      <c r="I266" s="37">
        <v>46113</v>
      </c>
      <c r="J266" t="s">
        <v>165</v>
      </c>
      <c r="K266" t="s">
        <v>166</v>
      </c>
      <c r="L266" t="s">
        <v>175</v>
      </c>
      <c r="M266" t="s">
        <v>437</v>
      </c>
      <c r="O266" t="s">
        <v>437</v>
      </c>
      <c r="Q266" t="s">
        <v>613</v>
      </c>
      <c r="U266" t="s">
        <v>1696</v>
      </c>
      <c r="W266" t="s">
        <v>1700</v>
      </c>
      <c r="X266">
        <v>0</v>
      </c>
      <c r="Y266">
        <v>0</v>
      </c>
      <c r="Z266">
        <v>0</v>
      </c>
      <c r="AA266" s="43">
        <v>307.5</v>
      </c>
      <c r="AC266" s="43">
        <v>307.5</v>
      </c>
      <c r="AF266" s="37">
        <f t="shared" si="9"/>
        <v>46372</v>
      </c>
      <c r="AG266" s="37">
        <f t="shared" si="10"/>
        <v>47578.611570247936</v>
      </c>
      <c r="AH266" t="s">
        <v>1704</v>
      </c>
      <c r="AN266" s="43">
        <v>307.5</v>
      </c>
    </row>
    <row r="267" spans="2:40">
      <c r="B267" t="s">
        <v>438</v>
      </c>
      <c r="C267" t="s">
        <v>173</v>
      </c>
      <c r="D267" t="s">
        <v>167</v>
      </c>
      <c r="E267" t="s">
        <v>83</v>
      </c>
      <c r="F267" s="38">
        <v>46043</v>
      </c>
      <c r="G267">
        <v>10</v>
      </c>
      <c r="H267" t="s">
        <v>174</v>
      </c>
      <c r="I267" s="37">
        <v>46113</v>
      </c>
      <c r="J267" t="s">
        <v>165</v>
      </c>
      <c r="K267" t="s">
        <v>166</v>
      </c>
      <c r="L267" t="s">
        <v>175</v>
      </c>
      <c r="M267" t="s">
        <v>438</v>
      </c>
      <c r="O267" t="s">
        <v>438</v>
      </c>
      <c r="Q267" t="s">
        <v>610</v>
      </c>
      <c r="U267" t="s">
        <v>1696</v>
      </c>
      <c r="W267" t="s">
        <v>1700</v>
      </c>
      <c r="X267">
        <v>0</v>
      </c>
      <c r="Y267">
        <v>0</v>
      </c>
      <c r="Z267">
        <v>0</v>
      </c>
      <c r="AA267" s="43">
        <v>307.5</v>
      </c>
      <c r="AC267" s="43">
        <v>307.5</v>
      </c>
      <c r="AF267" s="37">
        <f t="shared" si="9"/>
        <v>46372</v>
      </c>
      <c r="AG267" s="37">
        <f t="shared" si="10"/>
        <v>47578.611570247936</v>
      </c>
      <c r="AH267" t="s">
        <v>1704</v>
      </c>
      <c r="AN267" s="43">
        <v>307.5</v>
      </c>
    </row>
    <row r="268" spans="2:40">
      <c r="B268" t="s">
        <v>439</v>
      </c>
      <c r="C268" t="s">
        <v>173</v>
      </c>
      <c r="D268" t="s">
        <v>167</v>
      </c>
      <c r="E268" t="s">
        <v>83</v>
      </c>
      <c r="F268" s="38">
        <v>46036</v>
      </c>
      <c r="G268">
        <v>10</v>
      </c>
      <c r="H268" t="s">
        <v>174</v>
      </c>
      <c r="I268" s="37">
        <v>46106</v>
      </c>
      <c r="J268" t="s">
        <v>165</v>
      </c>
      <c r="K268" t="s">
        <v>166</v>
      </c>
      <c r="L268" t="s">
        <v>175</v>
      </c>
      <c r="M268" t="s">
        <v>439</v>
      </c>
      <c r="O268" t="s">
        <v>439</v>
      </c>
      <c r="Q268" t="s">
        <v>1643</v>
      </c>
      <c r="U268" t="s">
        <v>1696</v>
      </c>
      <c r="W268" t="s">
        <v>1700</v>
      </c>
      <c r="X268">
        <v>0</v>
      </c>
      <c r="Y268">
        <v>0</v>
      </c>
      <c r="Z268">
        <v>0</v>
      </c>
      <c r="AA268" s="43">
        <v>307.5</v>
      </c>
      <c r="AC268" s="43">
        <v>307.5</v>
      </c>
      <c r="AF268" s="37">
        <f t="shared" si="9"/>
        <v>46365</v>
      </c>
      <c r="AG268" s="37">
        <f t="shared" si="10"/>
        <v>47571.611570247936</v>
      </c>
      <c r="AH268" t="s">
        <v>1704</v>
      </c>
      <c r="AN268" s="43">
        <v>307.5</v>
      </c>
    </row>
    <row r="269" spans="2:40">
      <c r="B269" t="s">
        <v>440</v>
      </c>
      <c r="C269" t="s">
        <v>173</v>
      </c>
      <c r="D269" t="s">
        <v>167</v>
      </c>
      <c r="E269" t="s">
        <v>83</v>
      </c>
      <c r="F269" s="38">
        <v>46036</v>
      </c>
      <c r="G269">
        <v>10</v>
      </c>
      <c r="H269" t="s">
        <v>174</v>
      </c>
      <c r="I269" s="37">
        <v>46106</v>
      </c>
      <c r="J269" t="s">
        <v>165</v>
      </c>
      <c r="K269" t="s">
        <v>166</v>
      </c>
      <c r="L269" t="s">
        <v>175</v>
      </c>
      <c r="M269" t="s">
        <v>440</v>
      </c>
      <c r="O269" t="s">
        <v>440</v>
      </c>
      <c r="Q269" t="s">
        <v>1643</v>
      </c>
      <c r="U269" t="s">
        <v>1696</v>
      </c>
      <c r="W269" t="s">
        <v>1700</v>
      </c>
      <c r="X269">
        <v>0</v>
      </c>
      <c r="AA269" s="43">
        <v>307.5</v>
      </c>
      <c r="AC269" s="43">
        <v>307.5</v>
      </c>
      <c r="AF269" s="37">
        <f t="shared" si="9"/>
        <v>46365</v>
      </c>
      <c r="AG269" s="37">
        <f t="shared" si="10"/>
        <v>47571.611570247936</v>
      </c>
      <c r="AH269" t="s">
        <v>1704</v>
      </c>
      <c r="AN269" s="43">
        <v>307.5</v>
      </c>
    </row>
    <row r="270" spans="2:40">
      <c r="B270" t="s">
        <v>441</v>
      </c>
      <c r="C270" t="s">
        <v>173</v>
      </c>
      <c r="D270" t="s">
        <v>167</v>
      </c>
      <c r="E270" t="s">
        <v>83</v>
      </c>
      <c r="F270" s="38">
        <v>46036</v>
      </c>
      <c r="G270">
        <v>10</v>
      </c>
      <c r="H270" t="s">
        <v>174</v>
      </c>
      <c r="I270" s="37">
        <v>46106</v>
      </c>
      <c r="J270" t="s">
        <v>165</v>
      </c>
      <c r="K270" t="s">
        <v>166</v>
      </c>
      <c r="L270" t="s">
        <v>175</v>
      </c>
      <c r="M270" t="s">
        <v>441</v>
      </c>
      <c r="O270" t="s">
        <v>441</v>
      </c>
      <c r="Q270" t="s">
        <v>1643</v>
      </c>
      <c r="U270" t="s">
        <v>1696</v>
      </c>
      <c r="W270" t="s">
        <v>1700</v>
      </c>
      <c r="X270">
        <v>0</v>
      </c>
      <c r="AA270" s="43">
        <v>307.5</v>
      </c>
      <c r="AC270" s="43">
        <v>307.5</v>
      </c>
      <c r="AF270" s="37">
        <f t="shared" si="9"/>
        <v>46365</v>
      </c>
      <c r="AG270" s="37">
        <f t="shared" si="10"/>
        <v>47571.611570247936</v>
      </c>
      <c r="AH270" t="s">
        <v>1704</v>
      </c>
      <c r="AN270" s="43">
        <v>307.5</v>
      </c>
    </row>
    <row r="271" spans="2:40">
      <c r="B271" t="s">
        <v>442</v>
      </c>
      <c r="C271" t="s">
        <v>173</v>
      </c>
      <c r="D271" t="s">
        <v>167</v>
      </c>
      <c r="E271" t="s">
        <v>83</v>
      </c>
      <c r="F271" s="38">
        <v>46036</v>
      </c>
      <c r="G271">
        <v>10</v>
      </c>
      <c r="H271" t="s">
        <v>174</v>
      </c>
      <c r="I271" s="37">
        <v>46106</v>
      </c>
      <c r="J271" t="s">
        <v>165</v>
      </c>
      <c r="K271" t="s">
        <v>166</v>
      </c>
      <c r="L271" t="s">
        <v>175</v>
      </c>
      <c r="M271" t="s">
        <v>442</v>
      </c>
      <c r="O271" t="s">
        <v>442</v>
      </c>
      <c r="Q271" t="s">
        <v>1643</v>
      </c>
      <c r="U271" t="s">
        <v>1696</v>
      </c>
      <c r="W271" t="s">
        <v>1700</v>
      </c>
      <c r="X271">
        <v>0</v>
      </c>
      <c r="AA271" s="43">
        <v>307.5</v>
      </c>
      <c r="AC271" s="43">
        <v>307.5</v>
      </c>
      <c r="AF271" s="37">
        <f t="shared" si="9"/>
        <v>46365</v>
      </c>
      <c r="AG271" s="37">
        <f t="shared" si="10"/>
        <v>47571.611570247936</v>
      </c>
      <c r="AH271" t="s">
        <v>1704</v>
      </c>
      <c r="AN271" s="43">
        <v>307.5</v>
      </c>
    </row>
    <row r="272" spans="2:40">
      <c r="B272" t="s">
        <v>443</v>
      </c>
      <c r="C272" t="s">
        <v>173</v>
      </c>
      <c r="D272" t="s">
        <v>167</v>
      </c>
      <c r="E272" t="s">
        <v>83</v>
      </c>
      <c r="F272" s="38">
        <v>46036</v>
      </c>
      <c r="G272">
        <v>10</v>
      </c>
      <c r="H272" t="s">
        <v>174</v>
      </c>
      <c r="I272" s="37">
        <v>46106</v>
      </c>
      <c r="J272" t="s">
        <v>165</v>
      </c>
      <c r="K272" t="s">
        <v>166</v>
      </c>
      <c r="L272" t="s">
        <v>175</v>
      </c>
      <c r="M272" t="s">
        <v>443</v>
      </c>
      <c r="O272" t="s">
        <v>443</v>
      </c>
      <c r="Q272" t="s">
        <v>1643</v>
      </c>
      <c r="U272" t="s">
        <v>1696</v>
      </c>
      <c r="W272" t="s">
        <v>1700</v>
      </c>
      <c r="X272">
        <v>0</v>
      </c>
      <c r="AA272" s="43">
        <v>307.5</v>
      </c>
      <c r="AC272" s="43">
        <v>307.5</v>
      </c>
      <c r="AF272" s="37">
        <f t="shared" si="9"/>
        <v>46365</v>
      </c>
      <c r="AG272" s="37">
        <f t="shared" si="10"/>
        <v>47571.611570247936</v>
      </c>
      <c r="AH272" t="s">
        <v>1704</v>
      </c>
      <c r="AN272" s="43">
        <v>307.5</v>
      </c>
    </row>
    <row r="273" spans="2:40">
      <c r="B273" t="s">
        <v>444</v>
      </c>
      <c r="C273" t="s">
        <v>173</v>
      </c>
      <c r="D273" t="s">
        <v>167</v>
      </c>
      <c r="E273" t="s">
        <v>83</v>
      </c>
      <c r="F273" s="38">
        <v>46036</v>
      </c>
      <c r="G273">
        <v>10</v>
      </c>
      <c r="H273" t="s">
        <v>174</v>
      </c>
      <c r="I273" s="37">
        <v>46106</v>
      </c>
      <c r="J273" t="s">
        <v>165</v>
      </c>
      <c r="K273" t="s">
        <v>166</v>
      </c>
      <c r="L273" t="s">
        <v>175</v>
      </c>
      <c r="M273" t="s">
        <v>444</v>
      </c>
      <c r="O273" t="s">
        <v>444</v>
      </c>
      <c r="Q273" t="s">
        <v>1643</v>
      </c>
      <c r="U273" t="s">
        <v>1696</v>
      </c>
      <c r="W273" t="s">
        <v>1700</v>
      </c>
      <c r="X273">
        <v>0</v>
      </c>
      <c r="AA273" s="43">
        <v>307.5</v>
      </c>
      <c r="AC273" s="43">
        <v>307.5</v>
      </c>
      <c r="AF273" s="37">
        <f t="shared" si="9"/>
        <v>46365</v>
      </c>
      <c r="AG273" s="37">
        <f t="shared" si="10"/>
        <v>47571.611570247936</v>
      </c>
      <c r="AH273" t="s">
        <v>1704</v>
      </c>
      <c r="AN273" s="43">
        <v>307.5</v>
      </c>
    </row>
    <row r="274" spans="2:40">
      <c r="B274" t="s">
        <v>445</v>
      </c>
      <c r="C274" t="s">
        <v>173</v>
      </c>
      <c r="D274" t="s">
        <v>167</v>
      </c>
      <c r="E274" t="s">
        <v>83</v>
      </c>
      <c r="F274" s="38">
        <v>46036</v>
      </c>
      <c r="G274">
        <v>10</v>
      </c>
      <c r="H274" t="s">
        <v>174</v>
      </c>
      <c r="I274" s="37">
        <v>46106</v>
      </c>
      <c r="J274" t="s">
        <v>165</v>
      </c>
      <c r="K274" t="s">
        <v>166</v>
      </c>
      <c r="L274" t="s">
        <v>175</v>
      </c>
      <c r="M274" t="s">
        <v>445</v>
      </c>
      <c r="O274" t="s">
        <v>445</v>
      </c>
      <c r="Q274" t="s">
        <v>1643</v>
      </c>
      <c r="U274" t="s">
        <v>1696</v>
      </c>
      <c r="W274" t="s">
        <v>1700</v>
      </c>
      <c r="X274">
        <v>0</v>
      </c>
      <c r="AA274" s="43">
        <v>307.5</v>
      </c>
      <c r="AC274" s="43">
        <v>307.5</v>
      </c>
      <c r="AF274" s="37">
        <f t="shared" si="9"/>
        <v>46365</v>
      </c>
      <c r="AG274" s="37">
        <f t="shared" si="10"/>
        <v>47571.611570247936</v>
      </c>
      <c r="AH274" t="s">
        <v>1704</v>
      </c>
      <c r="AN274" s="43">
        <v>307.5</v>
      </c>
    </row>
    <row r="275" spans="2:40">
      <c r="B275" t="s">
        <v>446</v>
      </c>
      <c r="C275" t="s">
        <v>173</v>
      </c>
      <c r="D275" t="s">
        <v>167</v>
      </c>
      <c r="E275" t="s">
        <v>83</v>
      </c>
      <c r="F275" s="38">
        <v>46036</v>
      </c>
      <c r="G275">
        <v>10</v>
      </c>
      <c r="H275" t="s">
        <v>174</v>
      </c>
      <c r="I275" s="37">
        <v>46106</v>
      </c>
      <c r="J275" t="s">
        <v>165</v>
      </c>
      <c r="K275" t="s">
        <v>166</v>
      </c>
      <c r="L275" t="s">
        <v>175</v>
      </c>
      <c r="M275" t="s">
        <v>446</v>
      </c>
      <c r="O275" t="s">
        <v>446</v>
      </c>
      <c r="Q275" t="s">
        <v>1643</v>
      </c>
      <c r="U275" t="s">
        <v>1696</v>
      </c>
      <c r="W275" t="s">
        <v>1700</v>
      </c>
      <c r="X275">
        <v>0</v>
      </c>
      <c r="AA275" s="43">
        <v>307.5</v>
      </c>
      <c r="AC275" s="43">
        <v>307.5</v>
      </c>
      <c r="AF275" s="37">
        <f t="shared" si="9"/>
        <v>46365</v>
      </c>
      <c r="AG275" s="37">
        <f t="shared" si="10"/>
        <v>47571.611570247936</v>
      </c>
      <c r="AH275" t="s">
        <v>1704</v>
      </c>
      <c r="AN275" s="43">
        <v>307.5</v>
      </c>
    </row>
    <row r="276" spans="2:40">
      <c r="B276" t="s">
        <v>614</v>
      </c>
      <c r="C276" t="s">
        <v>173</v>
      </c>
      <c r="D276" t="s">
        <v>167</v>
      </c>
      <c r="E276" t="s">
        <v>83</v>
      </c>
      <c r="F276" s="37">
        <v>46036</v>
      </c>
      <c r="G276">
        <v>10</v>
      </c>
      <c r="H276" t="s">
        <v>174</v>
      </c>
      <c r="I276" s="37">
        <v>46106</v>
      </c>
      <c r="J276" t="s">
        <v>165</v>
      </c>
      <c r="K276" t="s">
        <v>166</v>
      </c>
      <c r="L276" t="s">
        <v>175</v>
      </c>
      <c r="M276" t="s">
        <v>614</v>
      </c>
      <c r="O276" t="s">
        <v>614</v>
      </c>
      <c r="Q276" t="s">
        <v>1643</v>
      </c>
      <c r="U276" t="s">
        <v>1696</v>
      </c>
      <c r="W276" t="s">
        <v>1700</v>
      </c>
      <c r="X276">
        <v>0</v>
      </c>
      <c r="AA276" s="43">
        <v>307.5</v>
      </c>
      <c r="AC276" s="43">
        <v>307.5</v>
      </c>
      <c r="AF276" s="37">
        <f t="shared" si="9"/>
        <v>46365</v>
      </c>
      <c r="AG276" s="37">
        <f t="shared" si="10"/>
        <v>47571.611570247936</v>
      </c>
      <c r="AH276" t="s">
        <v>1704</v>
      </c>
      <c r="AN276" s="43">
        <v>307.5</v>
      </c>
    </row>
    <row r="277" spans="2:40">
      <c r="B277" t="s">
        <v>615</v>
      </c>
      <c r="C277" t="s">
        <v>173</v>
      </c>
      <c r="D277" t="s">
        <v>167</v>
      </c>
      <c r="E277" t="s">
        <v>83</v>
      </c>
      <c r="F277" s="37">
        <v>46029</v>
      </c>
      <c r="G277">
        <v>10</v>
      </c>
      <c r="H277" t="s">
        <v>174</v>
      </c>
      <c r="I277" s="37">
        <v>46099</v>
      </c>
      <c r="J277" t="s">
        <v>165</v>
      </c>
      <c r="K277" t="s">
        <v>166</v>
      </c>
      <c r="L277" t="s">
        <v>175</v>
      </c>
      <c r="M277" t="s">
        <v>615</v>
      </c>
      <c r="O277" t="s">
        <v>615</v>
      </c>
      <c r="Q277" t="s">
        <v>1643</v>
      </c>
      <c r="U277" t="s">
        <v>1696</v>
      </c>
      <c r="W277" t="s">
        <v>1700</v>
      </c>
      <c r="X277">
        <v>0</v>
      </c>
      <c r="AA277" s="43">
        <v>307.5</v>
      </c>
      <c r="AC277" s="43">
        <v>307.5</v>
      </c>
      <c r="AF277" s="37">
        <f t="shared" si="9"/>
        <v>46358</v>
      </c>
      <c r="AG277" s="37">
        <f t="shared" si="10"/>
        <v>47564.611570247936</v>
      </c>
      <c r="AH277" t="s">
        <v>1704</v>
      </c>
      <c r="AN277" s="43">
        <v>307.5</v>
      </c>
    </row>
    <row r="278" spans="2:40">
      <c r="B278" t="s">
        <v>616</v>
      </c>
      <c r="C278" t="s">
        <v>173</v>
      </c>
      <c r="D278" t="s">
        <v>167</v>
      </c>
      <c r="E278" t="s">
        <v>83</v>
      </c>
      <c r="F278" s="37">
        <v>46029</v>
      </c>
      <c r="G278">
        <v>10</v>
      </c>
      <c r="H278" t="s">
        <v>174</v>
      </c>
      <c r="I278" s="37">
        <v>46099</v>
      </c>
      <c r="J278" t="s">
        <v>165</v>
      </c>
      <c r="K278" t="s">
        <v>166</v>
      </c>
      <c r="L278" t="s">
        <v>175</v>
      </c>
      <c r="M278" t="s">
        <v>616</v>
      </c>
      <c r="O278" t="s">
        <v>616</v>
      </c>
      <c r="Q278" t="s">
        <v>1643</v>
      </c>
      <c r="U278" t="s">
        <v>1696</v>
      </c>
      <c r="W278" t="s">
        <v>1700</v>
      </c>
      <c r="X278">
        <v>0</v>
      </c>
      <c r="AA278" s="43">
        <v>307.5</v>
      </c>
      <c r="AC278" s="43">
        <v>307.5</v>
      </c>
      <c r="AF278" s="37">
        <f t="shared" si="9"/>
        <v>46358</v>
      </c>
      <c r="AG278" s="37">
        <f t="shared" si="10"/>
        <v>47564.611570247936</v>
      </c>
      <c r="AH278" t="s">
        <v>1704</v>
      </c>
      <c r="AN278" s="43">
        <v>307.5</v>
      </c>
    </row>
    <row r="279" spans="2:40">
      <c r="B279" t="s">
        <v>617</v>
      </c>
      <c r="C279" t="s">
        <v>173</v>
      </c>
      <c r="D279" t="s">
        <v>167</v>
      </c>
      <c r="E279" t="s">
        <v>83</v>
      </c>
      <c r="F279" s="37">
        <v>46029</v>
      </c>
      <c r="G279">
        <v>10</v>
      </c>
      <c r="H279" t="s">
        <v>174</v>
      </c>
      <c r="I279" s="37">
        <v>46099</v>
      </c>
      <c r="J279" t="s">
        <v>165</v>
      </c>
      <c r="K279" t="s">
        <v>166</v>
      </c>
      <c r="L279" t="s">
        <v>175</v>
      </c>
      <c r="M279" t="s">
        <v>617</v>
      </c>
      <c r="O279" t="s">
        <v>617</v>
      </c>
      <c r="Q279" t="s">
        <v>1643</v>
      </c>
      <c r="U279" t="s">
        <v>1696</v>
      </c>
      <c r="W279" t="s">
        <v>1700</v>
      </c>
      <c r="X279">
        <v>0</v>
      </c>
      <c r="AA279" s="43">
        <v>307.5</v>
      </c>
      <c r="AC279" s="43">
        <v>307.5</v>
      </c>
      <c r="AF279" s="37">
        <f t="shared" si="9"/>
        <v>46358</v>
      </c>
      <c r="AG279" s="37">
        <f t="shared" si="10"/>
        <v>47564.611570247936</v>
      </c>
      <c r="AH279" t="s">
        <v>1704</v>
      </c>
      <c r="AN279" s="43">
        <v>307.5</v>
      </c>
    </row>
    <row r="280" spans="2:40">
      <c r="B280" t="s">
        <v>618</v>
      </c>
      <c r="C280" t="s">
        <v>173</v>
      </c>
      <c r="D280" t="s">
        <v>167</v>
      </c>
      <c r="E280" t="s">
        <v>83</v>
      </c>
      <c r="F280" s="37">
        <v>46029</v>
      </c>
      <c r="G280">
        <v>10</v>
      </c>
      <c r="H280" t="s">
        <v>174</v>
      </c>
      <c r="I280" s="37">
        <v>46099</v>
      </c>
      <c r="J280" t="s">
        <v>165</v>
      </c>
      <c r="K280" t="s">
        <v>166</v>
      </c>
      <c r="L280" t="s">
        <v>175</v>
      </c>
      <c r="M280" t="s">
        <v>618</v>
      </c>
      <c r="O280" t="s">
        <v>618</v>
      </c>
      <c r="Q280" t="s">
        <v>1643</v>
      </c>
      <c r="U280" t="s">
        <v>1696</v>
      </c>
      <c r="W280" t="s">
        <v>1700</v>
      </c>
      <c r="X280">
        <v>0</v>
      </c>
      <c r="AA280" s="43">
        <v>307.5</v>
      </c>
      <c r="AC280" s="43">
        <v>307.5</v>
      </c>
      <c r="AF280" s="37">
        <f t="shared" si="9"/>
        <v>46358</v>
      </c>
      <c r="AG280" s="37">
        <f t="shared" si="10"/>
        <v>47564.611570247936</v>
      </c>
      <c r="AH280" t="s">
        <v>1704</v>
      </c>
      <c r="AN280" s="43">
        <v>307.5</v>
      </c>
    </row>
    <row r="281" spans="2:40">
      <c r="B281" t="s">
        <v>619</v>
      </c>
      <c r="C281" t="s">
        <v>173</v>
      </c>
      <c r="D281" t="s">
        <v>167</v>
      </c>
      <c r="E281" t="s">
        <v>83</v>
      </c>
      <c r="F281" s="37">
        <v>46029</v>
      </c>
      <c r="G281">
        <v>10</v>
      </c>
      <c r="H281" t="s">
        <v>174</v>
      </c>
      <c r="I281" s="37">
        <v>46099</v>
      </c>
      <c r="J281" t="s">
        <v>165</v>
      </c>
      <c r="K281" t="s">
        <v>166</v>
      </c>
      <c r="L281" t="s">
        <v>175</v>
      </c>
      <c r="M281" t="s">
        <v>619</v>
      </c>
      <c r="O281" t="s">
        <v>619</v>
      </c>
      <c r="Q281" t="s">
        <v>1643</v>
      </c>
      <c r="U281" t="s">
        <v>1696</v>
      </c>
      <c r="W281" t="s">
        <v>1700</v>
      </c>
      <c r="X281">
        <v>0</v>
      </c>
      <c r="AA281" s="43">
        <v>307.5</v>
      </c>
      <c r="AC281" s="43">
        <v>307.5</v>
      </c>
      <c r="AF281" s="37">
        <f t="shared" si="9"/>
        <v>46358</v>
      </c>
      <c r="AG281" s="37">
        <f t="shared" si="10"/>
        <v>47564.611570247936</v>
      </c>
      <c r="AH281" t="s">
        <v>1704</v>
      </c>
      <c r="AN281" s="43">
        <v>307.5</v>
      </c>
    </row>
    <row r="282" spans="2:40">
      <c r="B282" t="s">
        <v>620</v>
      </c>
      <c r="C282" t="s">
        <v>173</v>
      </c>
      <c r="D282" t="s">
        <v>167</v>
      </c>
      <c r="E282" t="s">
        <v>83</v>
      </c>
      <c r="F282" s="37">
        <v>46022</v>
      </c>
      <c r="G282">
        <v>10</v>
      </c>
      <c r="H282" t="s">
        <v>174</v>
      </c>
      <c r="I282" s="37">
        <v>46092</v>
      </c>
      <c r="J282" t="s">
        <v>165</v>
      </c>
      <c r="K282" t="s">
        <v>166</v>
      </c>
      <c r="L282" t="s">
        <v>175</v>
      </c>
      <c r="M282" t="s">
        <v>620</v>
      </c>
      <c r="O282" t="s">
        <v>620</v>
      </c>
      <c r="Q282" t="s">
        <v>1643</v>
      </c>
      <c r="U282" t="s">
        <v>1696</v>
      </c>
      <c r="W282" t="s">
        <v>1700</v>
      </c>
      <c r="X282">
        <v>0</v>
      </c>
      <c r="AA282" s="43">
        <v>307.5</v>
      </c>
      <c r="AC282" s="43">
        <v>307.5</v>
      </c>
      <c r="AF282" s="37">
        <f t="shared" si="9"/>
        <v>46351</v>
      </c>
      <c r="AG282" s="37">
        <f t="shared" si="10"/>
        <v>47557.611570247936</v>
      </c>
      <c r="AH282" t="s">
        <v>1704</v>
      </c>
      <c r="AN282" s="43">
        <v>307.5</v>
      </c>
    </row>
    <row r="283" spans="2:40">
      <c r="B283" t="s">
        <v>621</v>
      </c>
      <c r="C283" t="s">
        <v>173</v>
      </c>
      <c r="D283" t="s">
        <v>167</v>
      </c>
      <c r="E283" t="s">
        <v>83</v>
      </c>
      <c r="F283" s="37">
        <v>46022</v>
      </c>
      <c r="G283">
        <v>10</v>
      </c>
      <c r="H283" t="s">
        <v>174</v>
      </c>
      <c r="I283" s="37">
        <v>46092</v>
      </c>
      <c r="J283" t="s">
        <v>165</v>
      </c>
      <c r="K283" t="s">
        <v>166</v>
      </c>
      <c r="L283" t="s">
        <v>175</v>
      </c>
      <c r="M283" t="s">
        <v>621</v>
      </c>
      <c r="O283" t="s">
        <v>621</v>
      </c>
      <c r="Q283" t="s">
        <v>1643</v>
      </c>
      <c r="U283" t="s">
        <v>1696</v>
      </c>
      <c r="W283" t="s">
        <v>1700</v>
      </c>
      <c r="X283">
        <v>0</v>
      </c>
      <c r="AA283" s="43">
        <v>307.5</v>
      </c>
      <c r="AC283" s="43">
        <v>307.5</v>
      </c>
      <c r="AF283" s="37">
        <f t="shared" si="9"/>
        <v>46351</v>
      </c>
      <c r="AG283" s="37">
        <f t="shared" si="10"/>
        <v>47557.611570247936</v>
      </c>
      <c r="AH283" t="s">
        <v>1704</v>
      </c>
      <c r="AN283" s="43">
        <v>307.5</v>
      </c>
    </row>
    <row r="284" spans="2:40">
      <c r="B284" t="s">
        <v>622</v>
      </c>
      <c r="C284" t="s">
        <v>173</v>
      </c>
      <c r="D284" t="s">
        <v>167</v>
      </c>
      <c r="E284" t="s">
        <v>83</v>
      </c>
      <c r="F284" s="37">
        <v>46015</v>
      </c>
      <c r="G284">
        <v>10</v>
      </c>
      <c r="H284" t="s">
        <v>174</v>
      </c>
      <c r="I284" s="37">
        <v>46085</v>
      </c>
      <c r="J284" t="s">
        <v>165</v>
      </c>
      <c r="K284" t="s">
        <v>166</v>
      </c>
      <c r="L284" t="s">
        <v>175</v>
      </c>
      <c r="M284" t="s">
        <v>622</v>
      </c>
      <c r="O284" t="s">
        <v>622</v>
      </c>
      <c r="Q284" t="s">
        <v>1643</v>
      </c>
      <c r="U284" t="s">
        <v>1696</v>
      </c>
      <c r="W284" t="s">
        <v>1700</v>
      </c>
      <c r="X284">
        <v>0</v>
      </c>
      <c r="AA284" s="43">
        <v>307.5</v>
      </c>
      <c r="AC284" s="43">
        <v>307.5</v>
      </c>
      <c r="AF284" s="37">
        <f t="shared" si="9"/>
        <v>46344</v>
      </c>
      <c r="AG284" s="37">
        <f t="shared" si="10"/>
        <v>47550.611570247936</v>
      </c>
      <c r="AH284" t="s">
        <v>1704</v>
      </c>
      <c r="AN284" s="43">
        <v>307.5</v>
      </c>
    </row>
    <row r="285" spans="2:40">
      <c r="B285" t="s">
        <v>623</v>
      </c>
      <c r="C285" t="s">
        <v>173</v>
      </c>
      <c r="D285" t="s">
        <v>167</v>
      </c>
      <c r="E285" t="s">
        <v>83</v>
      </c>
      <c r="F285" s="37">
        <v>46015</v>
      </c>
      <c r="G285">
        <v>10</v>
      </c>
      <c r="H285" t="s">
        <v>174</v>
      </c>
      <c r="I285" s="37">
        <v>46085</v>
      </c>
      <c r="J285" t="s">
        <v>165</v>
      </c>
      <c r="K285" t="s">
        <v>166</v>
      </c>
      <c r="L285" t="s">
        <v>175</v>
      </c>
      <c r="M285" t="s">
        <v>623</v>
      </c>
      <c r="O285" t="s">
        <v>623</v>
      </c>
      <c r="Q285" t="s">
        <v>1643</v>
      </c>
      <c r="U285" t="s">
        <v>1696</v>
      </c>
      <c r="W285" t="s">
        <v>1700</v>
      </c>
      <c r="X285">
        <v>0</v>
      </c>
      <c r="AA285" s="43">
        <v>307.5</v>
      </c>
      <c r="AC285" s="43">
        <v>307.5</v>
      </c>
      <c r="AF285" s="37">
        <f t="shared" si="9"/>
        <v>46344</v>
      </c>
      <c r="AG285" s="37">
        <f t="shared" si="10"/>
        <v>47550.611570247936</v>
      </c>
      <c r="AH285" t="s">
        <v>1704</v>
      </c>
      <c r="AN285" s="43">
        <v>307.5</v>
      </c>
    </row>
    <row r="286" spans="2:40">
      <c r="B286" t="s">
        <v>624</v>
      </c>
      <c r="C286" t="s">
        <v>121</v>
      </c>
      <c r="D286" t="s">
        <v>167</v>
      </c>
      <c r="E286" t="s">
        <v>83</v>
      </c>
      <c r="F286" s="37">
        <v>46036</v>
      </c>
      <c r="G286">
        <v>10</v>
      </c>
      <c r="H286" t="s">
        <v>174</v>
      </c>
      <c r="I286" s="37">
        <v>46106</v>
      </c>
      <c r="J286" t="s">
        <v>165</v>
      </c>
      <c r="K286" t="s">
        <v>166</v>
      </c>
      <c r="L286" t="s">
        <v>175</v>
      </c>
      <c r="M286" t="s">
        <v>624</v>
      </c>
      <c r="O286" t="s">
        <v>624</v>
      </c>
      <c r="Q286" t="s">
        <v>1643</v>
      </c>
      <c r="U286" t="s">
        <v>1697</v>
      </c>
      <c r="W286" t="s">
        <v>1702</v>
      </c>
      <c r="X286">
        <v>1</v>
      </c>
      <c r="AA286" s="43">
        <v>307.5</v>
      </c>
      <c r="AC286" s="43">
        <v>307.5</v>
      </c>
      <c r="AF286" s="37">
        <f t="shared" si="9"/>
        <v>46365</v>
      </c>
      <c r="AG286" s="37">
        <f t="shared" si="10"/>
        <v>47571.611570247936</v>
      </c>
      <c r="AH286" t="s">
        <v>1705</v>
      </c>
      <c r="AN286" s="43">
        <v>307.5</v>
      </c>
    </row>
    <row r="287" spans="2:40">
      <c r="B287" t="s">
        <v>625</v>
      </c>
      <c r="C287" t="s">
        <v>121</v>
      </c>
      <c r="D287" t="s">
        <v>167</v>
      </c>
      <c r="E287" t="s">
        <v>83</v>
      </c>
      <c r="F287" s="37">
        <v>46029</v>
      </c>
      <c r="G287">
        <v>10</v>
      </c>
      <c r="H287" t="s">
        <v>174</v>
      </c>
      <c r="I287" s="37">
        <v>46099</v>
      </c>
      <c r="J287" t="s">
        <v>165</v>
      </c>
      <c r="K287" t="s">
        <v>166</v>
      </c>
      <c r="L287" t="s">
        <v>175</v>
      </c>
      <c r="M287" t="s">
        <v>625</v>
      </c>
      <c r="O287" t="s">
        <v>625</v>
      </c>
      <c r="Q287" t="s">
        <v>1643</v>
      </c>
      <c r="U287" t="s">
        <v>1697</v>
      </c>
      <c r="W287" t="s">
        <v>1702</v>
      </c>
      <c r="X287">
        <v>1</v>
      </c>
      <c r="AA287" s="43">
        <v>307.5</v>
      </c>
      <c r="AC287" s="43">
        <v>307.5</v>
      </c>
      <c r="AF287" s="37">
        <f t="shared" si="9"/>
        <v>46358</v>
      </c>
      <c r="AG287" s="37">
        <f t="shared" si="10"/>
        <v>47564.611570247936</v>
      </c>
      <c r="AH287" t="s">
        <v>1705</v>
      </c>
      <c r="AN287" s="43">
        <v>307.5</v>
      </c>
    </row>
    <row r="288" spans="2:40">
      <c r="B288" t="s">
        <v>626</v>
      </c>
      <c r="C288" t="s">
        <v>121</v>
      </c>
      <c r="D288" t="s">
        <v>167</v>
      </c>
      <c r="E288" t="s">
        <v>83</v>
      </c>
      <c r="F288" s="37">
        <v>46029</v>
      </c>
      <c r="G288">
        <v>10</v>
      </c>
      <c r="H288" t="s">
        <v>174</v>
      </c>
      <c r="I288" s="37">
        <v>46099</v>
      </c>
      <c r="J288" t="s">
        <v>165</v>
      </c>
      <c r="K288" t="s">
        <v>166</v>
      </c>
      <c r="L288" t="s">
        <v>175</v>
      </c>
      <c r="M288" t="s">
        <v>626</v>
      </c>
      <c r="O288" t="s">
        <v>626</v>
      </c>
      <c r="Q288" t="s">
        <v>1643</v>
      </c>
      <c r="U288" t="s">
        <v>1697</v>
      </c>
      <c r="W288" t="s">
        <v>1702</v>
      </c>
      <c r="X288">
        <v>1</v>
      </c>
      <c r="AA288" s="43">
        <v>307.5</v>
      </c>
      <c r="AC288" s="43">
        <v>307.5</v>
      </c>
      <c r="AF288" s="37">
        <f t="shared" si="9"/>
        <v>46358</v>
      </c>
      <c r="AG288" s="37">
        <f t="shared" si="10"/>
        <v>47564.611570247936</v>
      </c>
      <c r="AH288" t="s">
        <v>1705</v>
      </c>
      <c r="AN288" s="43">
        <v>307.5</v>
      </c>
    </row>
    <row r="289" spans="2:40">
      <c r="B289" t="s">
        <v>627</v>
      </c>
      <c r="C289" t="s">
        <v>121</v>
      </c>
      <c r="D289" t="s">
        <v>167</v>
      </c>
      <c r="E289" t="s">
        <v>83</v>
      </c>
      <c r="F289" s="37">
        <v>46029</v>
      </c>
      <c r="G289">
        <v>10</v>
      </c>
      <c r="H289" t="s">
        <v>174</v>
      </c>
      <c r="I289" s="37">
        <v>46099</v>
      </c>
      <c r="J289" t="s">
        <v>165</v>
      </c>
      <c r="K289" t="s">
        <v>166</v>
      </c>
      <c r="L289" t="s">
        <v>175</v>
      </c>
      <c r="M289" t="s">
        <v>627</v>
      </c>
      <c r="O289" t="s">
        <v>627</v>
      </c>
      <c r="Q289" t="s">
        <v>1643</v>
      </c>
      <c r="U289" t="s">
        <v>1697</v>
      </c>
      <c r="W289" t="s">
        <v>1702</v>
      </c>
      <c r="X289">
        <v>1</v>
      </c>
      <c r="AA289" s="43">
        <v>307.5</v>
      </c>
      <c r="AC289" s="43">
        <v>307.5</v>
      </c>
      <c r="AF289" s="37">
        <f t="shared" si="9"/>
        <v>46358</v>
      </c>
      <c r="AG289" s="37">
        <f t="shared" si="10"/>
        <v>47564.611570247936</v>
      </c>
      <c r="AH289" t="s">
        <v>1705</v>
      </c>
      <c r="AN289" s="43">
        <v>307.5</v>
      </c>
    </row>
    <row r="290" spans="2:40">
      <c r="B290" t="s">
        <v>628</v>
      </c>
      <c r="C290" t="s">
        <v>121</v>
      </c>
      <c r="D290" t="s">
        <v>167</v>
      </c>
      <c r="E290" t="s">
        <v>83</v>
      </c>
      <c r="F290" s="37">
        <v>46029</v>
      </c>
      <c r="G290">
        <v>10</v>
      </c>
      <c r="H290" t="s">
        <v>174</v>
      </c>
      <c r="I290" s="37">
        <v>46099</v>
      </c>
      <c r="J290" t="s">
        <v>165</v>
      </c>
      <c r="K290" t="s">
        <v>166</v>
      </c>
      <c r="L290" t="s">
        <v>175</v>
      </c>
      <c r="M290" t="s">
        <v>628</v>
      </c>
      <c r="O290" t="s">
        <v>628</v>
      </c>
      <c r="Q290" t="s">
        <v>1643</v>
      </c>
      <c r="U290" t="s">
        <v>1697</v>
      </c>
      <c r="W290" t="s">
        <v>1702</v>
      </c>
      <c r="X290">
        <v>1</v>
      </c>
      <c r="AA290" s="43">
        <v>307.5</v>
      </c>
      <c r="AC290" s="43">
        <v>307.5</v>
      </c>
      <c r="AF290" s="37">
        <f t="shared" si="9"/>
        <v>46358</v>
      </c>
      <c r="AG290" s="37">
        <f t="shared" si="10"/>
        <v>47564.611570247936</v>
      </c>
      <c r="AH290" t="s">
        <v>1705</v>
      </c>
      <c r="AN290" s="43">
        <v>307.5</v>
      </c>
    </row>
    <row r="291" spans="2:40">
      <c r="B291" t="s">
        <v>629</v>
      </c>
      <c r="C291" t="s">
        <v>121</v>
      </c>
      <c r="D291" t="s">
        <v>167</v>
      </c>
      <c r="E291" t="s">
        <v>83</v>
      </c>
      <c r="F291" s="37">
        <v>46029</v>
      </c>
      <c r="G291">
        <v>10</v>
      </c>
      <c r="H291" t="s">
        <v>174</v>
      </c>
      <c r="I291" s="37">
        <v>46099</v>
      </c>
      <c r="J291" t="s">
        <v>165</v>
      </c>
      <c r="K291" t="s">
        <v>166</v>
      </c>
      <c r="L291" t="s">
        <v>175</v>
      </c>
      <c r="M291" t="s">
        <v>629</v>
      </c>
      <c r="O291" t="s">
        <v>629</v>
      </c>
      <c r="Q291" t="s">
        <v>1643</v>
      </c>
      <c r="U291" t="s">
        <v>1697</v>
      </c>
      <c r="W291" t="s">
        <v>1702</v>
      </c>
      <c r="X291">
        <v>1</v>
      </c>
      <c r="AA291" s="43">
        <v>307.5</v>
      </c>
      <c r="AC291" s="43">
        <v>307.5</v>
      </c>
      <c r="AF291" s="37">
        <f t="shared" si="9"/>
        <v>46358</v>
      </c>
      <c r="AG291" s="37">
        <f t="shared" si="10"/>
        <v>47564.611570247936</v>
      </c>
      <c r="AH291" t="s">
        <v>1705</v>
      </c>
      <c r="AN291" s="43">
        <v>307.5</v>
      </c>
    </row>
    <row r="292" spans="2:40">
      <c r="B292" t="s">
        <v>630</v>
      </c>
      <c r="C292" t="s">
        <v>121</v>
      </c>
      <c r="D292" t="s">
        <v>167</v>
      </c>
      <c r="E292" t="s">
        <v>83</v>
      </c>
      <c r="F292" s="37">
        <v>46029</v>
      </c>
      <c r="G292">
        <v>10</v>
      </c>
      <c r="H292" t="s">
        <v>174</v>
      </c>
      <c r="I292" s="37">
        <v>46099</v>
      </c>
      <c r="J292" t="s">
        <v>165</v>
      </c>
      <c r="K292" t="s">
        <v>166</v>
      </c>
      <c r="L292" t="s">
        <v>175</v>
      </c>
      <c r="M292" t="s">
        <v>630</v>
      </c>
      <c r="O292" t="s">
        <v>630</v>
      </c>
      <c r="Q292" t="s">
        <v>1643</v>
      </c>
      <c r="U292" t="s">
        <v>1697</v>
      </c>
      <c r="W292" t="s">
        <v>1702</v>
      </c>
      <c r="X292">
        <v>1</v>
      </c>
      <c r="AA292" s="43">
        <v>307.5</v>
      </c>
      <c r="AC292" s="43">
        <v>307.5</v>
      </c>
      <c r="AF292" s="37">
        <f t="shared" si="9"/>
        <v>46358</v>
      </c>
      <c r="AG292" s="37">
        <f t="shared" si="10"/>
        <v>47564.611570247936</v>
      </c>
      <c r="AH292" t="s">
        <v>1705</v>
      </c>
      <c r="AN292" s="43">
        <v>307.5</v>
      </c>
    </row>
    <row r="293" spans="2:40">
      <c r="B293" t="s">
        <v>631</v>
      </c>
      <c r="C293" t="s">
        <v>121</v>
      </c>
      <c r="D293" t="s">
        <v>167</v>
      </c>
      <c r="E293" t="s">
        <v>83</v>
      </c>
      <c r="F293" s="37">
        <v>46029</v>
      </c>
      <c r="G293">
        <v>10</v>
      </c>
      <c r="H293" t="s">
        <v>174</v>
      </c>
      <c r="I293" s="37">
        <v>46099</v>
      </c>
      <c r="J293" t="s">
        <v>165</v>
      </c>
      <c r="K293" t="s">
        <v>166</v>
      </c>
      <c r="L293" t="s">
        <v>175</v>
      </c>
      <c r="M293" t="s">
        <v>631</v>
      </c>
      <c r="O293" t="s">
        <v>631</v>
      </c>
      <c r="Q293" t="s">
        <v>1643</v>
      </c>
      <c r="U293" t="s">
        <v>1697</v>
      </c>
      <c r="W293" t="s">
        <v>1702</v>
      </c>
      <c r="X293">
        <v>1</v>
      </c>
      <c r="AA293" s="43">
        <v>307.5</v>
      </c>
      <c r="AC293" s="43">
        <v>307.5</v>
      </c>
      <c r="AF293" s="37">
        <f t="shared" si="9"/>
        <v>46358</v>
      </c>
      <c r="AG293" s="37">
        <f t="shared" si="10"/>
        <v>47564.611570247936</v>
      </c>
      <c r="AH293" t="s">
        <v>1705</v>
      </c>
      <c r="AN293" s="43">
        <v>307.5</v>
      </c>
    </row>
    <row r="294" spans="2:40">
      <c r="B294" t="s">
        <v>632</v>
      </c>
      <c r="C294" t="s">
        <v>121</v>
      </c>
      <c r="D294" t="s">
        <v>167</v>
      </c>
      <c r="E294" t="s">
        <v>83</v>
      </c>
      <c r="F294" s="37">
        <v>46029</v>
      </c>
      <c r="G294">
        <v>10</v>
      </c>
      <c r="H294" t="s">
        <v>174</v>
      </c>
      <c r="I294" s="37">
        <v>46099</v>
      </c>
      <c r="J294" t="s">
        <v>165</v>
      </c>
      <c r="K294" t="s">
        <v>166</v>
      </c>
      <c r="L294" t="s">
        <v>175</v>
      </c>
      <c r="M294" t="s">
        <v>632</v>
      </c>
      <c r="O294" t="s">
        <v>632</v>
      </c>
      <c r="Q294" t="s">
        <v>1643</v>
      </c>
      <c r="U294" t="s">
        <v>1697</v>
      </c>
      <c r="W294" t="s">
        <v>1702</v>
      </c>
      <c r="X294">
        <v>1</v>
      </c>
      <c r="AA294" s="43">
        <v>307.5</v>
      </c>
      <c r="AC294" s="43">
        <v>307.5</v>
      </c>
      <c r="AF294" s="37">
        <f t="shared" si="9"/>
        <v>46358</v>
      </c>
      <c r="AG294" s="37">
        <f t="shared" si="10"/>
        <v>47564.611570247936</v>
      </c>
      <c r="AH294" t="s">
        <v>1705</v>
      </c>
      <c r="AN294" s="43">
        <v>307.5</v>
      </c>
    </row>
    <row r="295" spans="2:40">
      <c r="B295" t="s">
        <v>633</v>
      </c>
      <c r="C295" t="s">
        <v>121</v>
      </c>
      <c r="D295" t="s">
        <v>167</v>
      </c>
      <c r="E295" t="s">
        <v>83</v>
      </c>
      <c r="F295" s="37">
        <v>46029</v>
      </c>
      <c r="G295">
        <v>10</v>
      </c>
      <c r="H295" t="s">
        <v>174</v>
      </c>
      <c r="I295" s="37">
        <v>46099</v>
      </c>
      <c r="J295" t="s">
        <v>165</v>
      </c>
      <c r="K295" t="s">
        <v>166</v>
      </c>
      <c r="L295" t="s">
        <v>175</v>
      </c>
      <c r="M295" t="s">
        <v>633</v>
      </c>
      <c r="O295" t="s">
        <v>633</v>
      </c>
      <c r="Q295" t="s">
        <v>1643</v>
      </c>
      <c r="U295" t="s">
        <v>1697</v>
      </c>
      <c r="W295" t="s">
        <v>1702</v>
      </c>
      <c r="X295">
        <v>1</v>
      </c>
      <c r="AA295" s="43">
        <v>307.5</v>
      </c>
      <c r="AC295" s="43">
        <v>307.5</v>
      </c>
      <c r="AF295" s="37">
        <f t="shared" si="9"/>
        <v>46358</v>
      </c>
      <c r="AG295" s="37">
        <f t="shared" si="10"/>
        <v>47564.611570247936</v>
      </c>
      <c r="AH295" t="s">
        <v>1705</v>
      </c>
      <c r="AN295" s="43">
        <v>307.5</v>
      </c>
    </row>
    <row r="296" spans="2:40">
      <c r="B296" t="s">
        <v>634</v>
      </c>
      <c r="C296" t="s">
        <v>121</v>
      </c>
      <c r="D296" t="s">
        <v>167</v>
      </c>
      <c r="E296" t="s">
        <v>83</v>
      </c>
      <c r="F296" s="37">
        <v>46022</v>
      </c>
      <c r="G296">
        <v>10</v>
      </c>
      <c r="H296" t="s">
        <v>174</v>
      </c>
      <c r="I296" s="37">
        <v>46092</v>
      </c>
      <c r="J296" t="s">
        <v>165</v>
      </c>
      <c r="K296" t="s">
        <v>166</v>
      </c>
      <c r="L296" t="s">
        <v>175</v>
      </c>
      <c r="M296" t="s">
        <v>634</v>
      </c>
      <c r="O296" t="s">
        <v>634</v>
      </c>
      <c r="Q296" t="s">
        <v>1643</v>
      </c>
      <c r="U296" t="s">
        <v>1697</v>
      </c>
      <c r="W296" t="s">
        <v>1702</v>
      </c>
      <c r="X296">
        <v>1</v>
      </c>
      <c r="AA296" s="43">
        <v>307.5</v>
      </c>
      <c r="AC296" s="43">
        <v>307.5</v>
      </c>
      <c r="AF296" s="37">
        <f t="shared" si="9"/>
        <v>46351</v>
      </c>
      <c r="AG296" s="37">
        <f t="shared" si="10"/>
        <v>47557.611570247936</v>
      </c>
      <c r="AH296" t="s">
        <v>1705</v>
      </c>
      <c r="AN296" s="43">
        <v>307.5</v>
      </c>
    </row>
    <row r="297" spans="2:40">
      <c r="B297" t="s">
        <v>635</v>
      </c>
      <c r="C297" t="s">
        <v>121</v>
      </c>
      <c r="D297" t="s">
        <v>167</v>
      </c>
      <c r="E297" t="s">
        <v>83</v>
      </c>
      <c r="F297" s="37">
        <v>46022</v>
      </c>
      <c r="G297">
        <v>10</v>
      </c>
      <c r="H297" t="s">
        <v>174</v>
      </c>
      <c r="I297" s="37">
        <v>46092</v>
      </c>
      <c r="J297" t="s">
        <v>165</v>
      </c>
      <c r="K297" t="s">
        <v>166</v>
      </c>
      <c r="L297" t="s">
        <v>175</v>
      </c>
      <c r="M297" t="s">
        <v>635</v>
      </c>
      <c r="O297" t="s">
        <v>635</v>
      </c>
      <c r="Q297" t="s">
        <v>1643</v>
      </c>
      <c r="U297" t="s">
        <v>1697</v>
      </c>
      <c r="W297" t="s">
        <v>1702</v>
      </c>
      <c r="X297">
        <v>1</v>
      </c>
      <c r="AA297" s="43">
        <v>307.5</v>
      </c>
      <c r="AC297" s="43">
        <v>307.5</v>
      </c>
      <c r="AF297" s="37">
        <f t="shared" si="9"/>
        <v>46351</v>
      </c>
      <c r="AG297" s="37">
        <f t="shared" si="10"/>
        <v>47557.611570247936</v>
      </c>
      <c r="AH297" t="s">
        <v>1705</v>
      </c>
      <c r="AN297" s="43">
        <v>307.5</v>
      </c>
    </row>
    <row r="298" spans="2:40">
      <c r="B298" t="s">
        <v>636</v>
      </c>
      <c r="C298" t="s">
        <v>121</v>
      </c>
      <c r="D298" t="s">
        <v>167</v>
      </c>
      <c r="E298" t="s">
        <v>83</v>
      </c>
      <c r="F298" s="37">
        <v>46022</v>
      </c>
      <c r="G298">
        <v>10</v>
      </c>
      <c r="H298" t="s">
        <v>174</v>
      </c>
      <c r="I298" s="37">
        <v>46092</v>
      </c>
      <c r="J298" t="s">
        <v>165</v>
      </c>
      <c r="K298" t="s">
        <v>166</v>
      </c>
      <c r="L298" t="s">
        <v>175</v>
      </c>
      <c r="M298" t="s">
        <v>636</v>
      </c>
      <c r="O298" t="s">
        <v>636</v>
      </c>
      <c r="Q298" t="s">
        <v>1643</v>
      </c>
      <c r="U298" t="s">
        <v>1697</v>
      </c>
      <c r="W298" t="s">
        <v>1702</v>
      </c>
      <c r="X298">
        <v>1</v>
      </c>
      <c r="AA298" s="43">
        <v>307.5</v>
      </c>
      <c r="AC298" s="43">
        <v>307.5</v>
      </c>
      <c r="AF298" s="37">
        <f t="shared" si="9"/>
        <v>46351</v>
      </c>
      <c r="AG298" s="37">
        <f t="shared" si="10"/>
        <v>47557.611570247936</v>
      </c>
      <c r="AH298" t="s">
        <v>1705</v>
      </c>
      <c r="AN298" s="43">
        <v>307.5</v>
      </c>
    </row>
    <row r="299" spans="2:40">
      <c r="B299" t="s">
        <v>637</v>
      </c>
      <c r="C299" t="s">
        <v>121</v>
      </c>
      <c r="D299" t="s">
        <v>167</v>
      </c>
      <c r="E299" t="s">
        <v>83</v>
      </c>
      <c r="F299" s="37">
        <v>46022</v>
      </c>
      <c r="G299">
        <v>10</v>
      </c>
      <c r="H299" t="s">
        <v>174</v>
      </c>
      <c r="I299" s="37">
        <v>46092</v>
      </c>
      <c r="J299" t="s">
        <v>165</v>
      </c>
      <c r="K299" t="s">
        <v>166</v>
      </c>
      <c r="L299" t="s">
        <v>175</v>
      </c>
      <c r="M299" t="s">
        <v>637</v>
      </c>
      <c r="O299" t="s">
        <v>637</v>
      </c>
      <c r="Q299" t="s">
        <v>1643</v>
      </c>
      <c r="U299" t="s">
        <v>1697</v>
      </c>
      <c r="W299" t="s">
        <v>1702</v>
      </c>
      <c r="X299">
        <v>1</v>
      </c>
      <c r="AA299" s="43">
        <v>307.5</v>
      </c>
      <c r="AC299" s="43">
        <v>307.5</v>
      </c>
      <c r="AF299" s="37">
        <f t="shared" si="9"/>
        <v>46351</v>
      </c>
      <c r="AG299" s="37">
        <f t="shared" si="10"/>
        <v>47557.611570247936</v>
      </c>
      <c r="AH299" t="s">
        <v>1705</v>
      </c>
      <c r="AN299" s="43">
        <v>307.5</v>
      </c>
    </row>
    <row r="300" spans="2:40">
      <c r="B300" t="s">
        <v>638</v>
      </c>
      <c r="C300" t="s">
        <v>121</v>
      </c>
      <c r="D300" t="s">
        <v>167</v>
      </c>
      <c r="E300" t="s">
        <v>83</v>
      </c>
      <c r="F300" s="37">
        <v>46022</v>
      </c>
      <c r="G300">
        <v>10</v>
      </c>
      <c r="H300" t="s">
        <v>174</v>
      </c>
      <c r="I300" s="37">
        <v>46092</v>
      </c>
      <c r="J300" t="s">
        <v>165</v>
      </c>
      <c r="K300" t="s">
        <v>166</v>
      </c>
      <c r="L300" t="s">
        <v>175</v>
      </c>
      <c r="M300" t="s">
        <v>638</v>
      </c>
      <c r="O300" t="s">
        <v>638</v>
      </c>
      <c r="Q300" t="s">
        <v>1643</v>
      </c>
      <c r="U300" t="s">
        <v>1697</v>
      </c>
      <c r="W300" t="s">
        <v>1702</v>
      </c>
      <c r="X300">
        <v>1</v>
      </c>
      <c r="AA300" s="43">
        <v>307.5</v>
      </c>
      <c r="AC300" s="43">
        <v>307.5</v>
      </c>
      <c r="AF300" s="37">
        <f t="shared" si="9"/>
        <v>46351</v>
      </c>
      <c r="AG300" s="37">
        <f t="shared" si="10"/>
        <v>47557.611570247936</v>
      </c>
      <c r="AH300" t="s">
        <v>1705</v>
      </c>
      <c r="AN300" s="43">
        <v>307.5</v>
      </c>
    </row>
    <row r="301" spans="2:40">
      <c r="B301" t="s">
        <v>639</v>
      </c>
      <c r="C301" t="s">
        <v>121</v>
      </c>
      <c r="D301" t="s">
        <v>167</v>
      </c>
      <c r="E301" t="s">
        <v>83</v>
      </c>
      <c r="F301" s="37">
        <v>46022</v>
      </c>
      <c r="G301">
        <v>10</v>
      </c>
      <c r="H301" t="s">
        <v>174</v>
      </c>
      <c r="I301" s="37">
        <v>46092</v>
      </c>
      <c r="J301" t="s">
        <v>165</v>
      </c>
      <c r="K301" t="s">
        <v>166</v>
      </c>
      <c r="L301" t="s">
        <v>175</v>
      </c>
      <c r="M301" t="s">
        <v>639</v>
      </c>
      <c r="O301" t="s">
        <v>639</v>
      </c>
      <c r="Q301" t="s">
        <v>1643</v>
      </c>
      <c r="U301" t="s">
        <v>1697</v>
      </c>
      <c r="W301" t="s">
        <v>1702</v>
      </c>
      <c r="X301">
        <v>1</v>
      </c>
      <c r="AA301" s="43">
        <v>307.5</v>
      </c>
      <c r="AC301" s="43">
        <v>307.5</v>
      </c>
      <c r="AF301" s="37">
        <f t="shared" si="9"/>
        <v>46351</v>
      </c>
      <c r="AG301" s="37">
        <f t="shared" si="10"/>
        <v>47557.611570247936</v>
      </c>
      <c r="AH301" t="s">
        <v>1705</v>
      </c>
      <c r="AN301" s="43">
        <v>307.5</v>
      </c>
    </row>
    <row r="302" spans="2:40">
      <c r="B302" t="s">
        <v>640</v>
      </c>
      <c r="C302" t="s">
        <v>121</v>
      </c>
      <c r="D302" t="s">
        <v>167</v>
      </c>
      <c r="E302" t="s">
        <v>83</v>
      </c>
      <c r="F302" s="37">
        <v>46022</v>
      </c>
      <c r="G302">
        <v>10</v>
      </c>
      <c r="H302" t="s">
        <v>174</v>
      </c>
      <c r="I302" s="37">
        <v>46092</v>
      </c>
      <c r="J302" t="s">
        <v>165</v>
      </c>
      <c r="K302" t="s">
        <v>166</v>
      </c>
      <c r="L302" t="s">
        <v>175</v>
      </c>
      <c r="M302" t="s">
        <v>640</v>
      </c>
      <c r="O302" t="s">
        <v>640</v>
      </c>
      <c r="Q302" t="s">
        <v>1643</v>
      </c>
      <c r="U302" t="s">
        <v>1697</v>
      </c>
      <c r="W302" t="s">
        <v>1702</v>
      </c>
      <c r="X302">
        <v>1</v>
      </c>
      <c r="AA302" s="43">
        <v>307.5</v>
      </c>
      <c r="AC302" s="43">
        <v>307.5</v>
      </c>
      <c r="AF302" s="37">
        <f t="shared" si="9"/>
        <v>46351</v>
      </c>
      <c r="AG302" s="37">
        <f t="shared" si="10"/>
        <v>47557.611570247936</v>
      </c>
      <c r="AH302" t="s">
        <v>1705</v>
      </c>
      <c r="AN302" s="43">
        <v>307.5</v>
      </c>
    </row>
    <row r="303" spans="2:40">
      <c r="B303" t="s">
        <v>641</v>
      </c>
      <c r="C303" t="s">
        <v>121</v>
      </c>
      <c r="D303" t="s">
        <v>167</v>
      </c>
      <c r="E303" t="s">
        <v>83</v>
      </c>
      <c r="F303" s="37">
        <v>46022</v>
      </c>
      <c r="G303">
        <v>10</v>
      </c>
      <c r="H303" t="s">
        <v>174</v>
      </c>
      <c r="I303" s="37">
        <v>46092</v>
      </c>
      <c r="J303" t="s">
        <v>165</v>
      </c>
      <c r="K303" t="s">
        <v>166</v>
      </c>
      <c r="L303" t="s">
        <v>175</v>
      </c>
      <c r="M303" t="s">
        <v>641</v>
      </c>
      <c r="O303" t="s">
        <v>641</v>
      </c>
      <c r="Q303" t="s">
        <v>1643</v>
      </c>
      <c r="U303" t="s">
        <v>1697</v>
      </c>
      <c r="W303" t="s">
        <v>1702</v>
      </c>
      <c r="X303">
        <v>1</v>
      </c>
      <c r="AA303" s="43">
        <v>307.5</v>
      </c>
      <c r="AC303" s="43">
        <v>307.5</v>
      </c>
      <c r="AF303" s="37">
        <f t="shared" si="9"/>
        <v>46351</v>
      </c>
      <c r="AG303" s="37">
        <f t="shared" si="10"/>
        <v>47557.611570247936</v>
      </c>
      <c r="AH303" t="s">
        <v>1705</v>
      </c>
      <c r="AN303" s="43">
        <v>307.5</v>
      </c>
    </row>
    <row r="304" spans="2:40">
      <c r="B304" t="s">
        <v>642</v>
      </c>
      <c r="C304" t="s">
        <v>121</v>
      </c>
      <c r="D304" t="s">
        <v>167</v>
      </c>
      <c r="E304" t="s">
        <v>83</v>
      </c>
      <c r="F304" s="37">
        <v>46022</v>
      </c>
      <c r="G304">
        <v>10</v>
      </c>
      <c r="H304" t="s">
        <v>174</v>
      </c>
      <c r="I304" s="37">
        <v>46092</v>
      </c>
      <c r="J304" t="s">
        <v>165</v>
      </c>
      <c r="K304" t="s">
        <v>166</v>
      </c>
      <c r="L304" t="s">
        <v>175</v>
      </c>
      <c r="M304" t="s">
        <v>642</v>
      </c>
      <c r="O304" t="s">
        <v>642</v>
      </c>
      <c r="Q304" t="s">
        <v>1643</v>
      </c>
      <c r="U304" t="s">
        <v>1697</v>
      </c>
      <c r="W304" t="s">
        <v>1702</v>
      </c>
      <c r="X304">
        <v>1</v>
      </c>
      <c r="AA304" s="43">
        <v>307.5</v>
      </c>
      <c r="AC304" s="43">
        <v>307.5</v>
      </c>
      <c r="AF304" s="37">
        <f t="shared" si="9"/>
        <v>46351</v>
      </c>
      <c r="AG304" s="37">
        <f t="shared" si="10"/>
        <v>47557.611570247936</v>
      </c>
      <c r="AH304" t="s">
        <v>1705</v>
      </c>
      <c r="AN304" s="43">
        <v>307.5</v>
      </c>
    </row>
    <row r="305" spans="2:40">
      <c r="B305" t="s">
        <v>643</v>
      </c>
      <c r="C305" t="s">
        <v>121</v>
      </c>
      <c r="D305" t="s">
        <v>167</v>
      </c>
      <c r="E305" t="s">
        <v>83</v>
      </c>
      <c r="F305" s="37">
        <v>46022</v>
      </c>
      <c r="G305">
        <v>10</v>
      </c>
      <c r="H305" t="s">
        <v>174</v>
      </c>
      <c r="I305" s="37">
        <v>46092</v>
      </c>
      <c r="J305" t="s">
        <v>165</v>
      </c>
      <c r="K305" t="s">
        <v>166</v>
      </c>
      <c r="L305" t="s">
        <v>175</v>
      </c>
      <c r="M305" t="s">
        <v>643</v>
      </c>
      <c r="O305" t="s">
        <v>643</v>
      </c>
      <c r="Q305" t="s">
        <v>1643</v>
      </c>
      <c r="U305" t="s">
        <v>1697</v>
      </c>
      <c r="W305" t="s">
        <v>1702</v>
      </c>
      <c r="X305">
        <v>1</v>
      </c>
      <c r="AA305" s="43">
        <v>307.5</v>
      </c>
      <c r="AC305" s="43">
        <v>307.5</v>
      </c>
      <c r="AF305" s="37">
        <f t="shared" si="9"/>
        <v>46351</v>
      </c>
      <c r="AG305" s="37">
        <f t="shared" si="10"/>
        <v>47557.611570247936</v>
      </c>
      <c r="AH305" t="s">
        <v>1705</v>
      </c>
      <c r="AN305" s="43">
        <v>307.5</v>
      </c>
    </row>
    <row r="306" spans="2:40">
      <c r="B306" t="s">
        <v>644</v>
      </c>
      <c r="C306" t="s">
        <v>121</v>
      </c>
      <c r="D306" t="s">
        <v>167</v>
      </c>
      <c r="E306" t="s">
        <v>83</v>
      </c>
      <c r="F306" s="37">
        <v>46015</v>
      </c>
      <c r="G306">
        <v>10</v>
      </c>
      <c r="H306" t="s">
        <v>174</v>
      </c>
      <c r="I306" s="37">
        <v>46085</v>
      </c>
      <c r="J306" t="s">
        <v>165</v>
      </c>
      <c r="K306" t="s">
        <v>166</v>
      </c>
      <c r="L306" t="s">
        <v>175</v>
      </c>
      <c r="M306" t="s">
        <v>644</v>
      </c>
      <c r="O306" t="s">
        <v>644</v>
      </c>
      <c r="Q306" t="s">
        <v>1643</v>
      </c>
      <c r="U306" t="s">
        <v>1697</v>
      </c>
      <c r="W306" t="s">
        <v>1702</v>
      </c>
      <c r="X306">
        <v>1</v>
      </c>
      <c r="AA306" s="43">
        <v>307.5</v>
      </c>
      <c r="AC306" s="43">
        <v>307.5</v>
      </c>
      <c r="AF306" s="37">
        <f t="shared" si="9"/>
        <v>46344</v>
      </c>
      <c r="AG306" s="37">
        <f t="shared" si="10"/>
        <v>47550.611570247936</v>
      </c>
      <c r="AH306" t="s">
        <v>1705</v>
      </c>
      <c r="AN306" s="43">
        <v>307.5</v>
      </c>
    </row>
    <row r="307" spans="2:40">
      <c r="B307" t="s">
        <v>645</v>
      </c>
      <c r="C307" t="s">
        <v>121</v>
      </c>
      <c r="D307" t="s">
        <v>167</v>
      </c>
      <c r="E307" t="s">
        <v>83</v>
      </c>
      <c r="F307" s="37">
        <v>46015</v>
      </c>
      <c r="G307">
        <v>10</v>
      </c>
      <c r="H307" t="s">
        <v>174</v>
      </c>
      <c r="I307" s="37">
        <v>46085</v>
      </c>
      <c r="J307" t="s">
        <v>165</v>
      </c>
      <c r="K307" t="s">
        <v>166</v>
      </c>
      <c r="L307" t="s">
        <v>175</v>
      </c>
      <c r="M307" t="s">
        <v>645</v>
      </c>
      <c r="O307" t="s">
        <v>645</v>
      </c>
      <c r="Q307" t="s">
        <v>1643</v>
      </c>
      <c r="U307" t="s">
        <v>1697</v>
      </c>
      <c r="W307" t="s">
        <v>1702</v>
      </c>
      <c r="X307">
        <v>1</v>
      </c>
      <c r="AA307" s="43">
        <v>307.5</v>
      </c>
      <c r="AC307" s="43">
        <v>307.5</v>
      </c>
      <c r="AF307" s="37">
        <f t="shared" si="9"/>
        <v>46344</v>
      </c>
      <c r="AG307" s="37">
        <f t="shared" si="10"/>
        <v>47550.611570247936</v>
      </c>
      <c r="AH307" t="s">
        <v>1705</v>
      </c>
      <c r="AN307" s="43">
        <v>307.5</v>
      </c>
    </row>
    <row r="308" spans="2:40">
      <c r="B308" t="s">
        <v>646</v>
      </c>
      <c r="C308" t="s">
        <v>121</v>
      </c>
      <c r="D308" t="s">
        <v>167</v>
      </c>
      <c r="E308" t="s">
        <v>83</v>
      </c>
      <c r="F308" s="37">
        <v>46015</v>
      </c>
      <c r="G308">
        <v>10</v>
      </c>
      <c r="H308" t="s">
        <v>174</v>
      </c>
      <c r="I308" s="37">
        <v>46085</v>
      </c>
      <c r="J308" t="s">
        <v>165</v>
      </c>
      <c r="K308" t="s">
        <v>166</v>
      </c>
      <c r="L308" t="s">
        <v>175</v>
      </c>
      <c r="M308" t="s">
        <v>646</v>
      </c>
      <c r="O308" t="s">
        <v>646</v>
      </c>
      <c r="Q308" t="s">
        <v>1643</v>
      </c>
      <c r="U308" t="s">
        <v>1697</v>
      </c>
      <c r="W308" t="s">
        <v>1702</v>
      </c>
      <c r="X308">
        <v>1</v>
      </c>
      <c r="AA308" s="43">
        <v>307.5</v>
      </c>
      <c r="AC308" s="43">
        <v>307.5</v>
      </c>
      <c r="AF308" s="37">
        <f t="shared" si="9"/>
        <v>46344</v>
      </c>
      <c r="AG308" s="37">
        <f t="shared" si="10"/>
        <v>47550.611570247936</v>
      </c>
      <c r="AH308" t="s">
        <v>1705</v>
      </c>
      <c r="AN308" s="43">
        <v>307.5</v>
      </c>
    </row>
    <row r="309" spans="2:40">
      <c r="B309" t="s">
        <v>647</v>
      </c>
      <c r="C309" t="s">
        <v>121</v>
      </c>
      <c r="D309" t="s">
        <v>167</v>
      </c>
      <c r="E309" t="s">
        <v>83</v>
      </c>
      <c r="F309" s="37">
        <v>46015</v>
      </c>
      <c r="G309">
        <v>10</v>
      </c>
      <c r="H309" t="s">
        <v>174</v>
      </c>
      <c r="I309" s="37">
        <v>46085</v>
      </c>
      <c r="J309" t="s">
        <v>165</v>
      </c>
      <c r="K309" t="s">
        <v>166</v>
      </c>
      <c r="L309" t="s">
        <v>175</v>
      </c>
      <c r="M309" t="s">
        <v>647</v>
      </c>
      <c r="O309" t="s">
        <v>647</v>
      </c>
      <c r="Q309" t="s">
        <v>1643</v>
      </c>
      <c r="U309" t="s">
        <v>1697</v>
      </c>
      <c r="W309" t="s">
        <v>1702</v>
      </c>
      <c r="X309">
        <v>1</v>
      </c>
      <c r="AA309" s="43">
        <v>307.5</v>
      </c>
      <c r="AC309" s="43">
        <v>307.5</v>
      </c>
      <c r="AF309" s="37">
        <f t="shared" si="9"/>
        <v>46344</v>
      </c>
      <c r="AG309" s="37">
        <f t="shared" si="10"/>
        <v>47550.611570247936</v>
      </c>
      <c r="AH309" t="s">
        <v>1705</v>
      </c>
      <c r="AN309" s="43">
        <v>307.5</v>
      </c>
    </row>
    <row r="310" spans="2:40">
      <c r="B310" t="s">
        <v>648</v>
      </c>
      <c r="C310" t="s">
        <v>121</v>
      </c>
      <c r="D310" t="s">
        <v>167</v>
      </c>
      <c r="E310" t="s">
        <v>83</v>
      </c>
      <c r="F310" s="37">
        <v>46015</v>
      </c>
      <c r="G310">
        <v>10</v>
      </c>
      <c r="H310" t="s">
        <v>174</v>
      </c>
      <c r="I310" s="37">
        <v>46085</v>
      </c>
      <c r="J310" t="s">
        <v>165</v>
      </c>
      <c r="K310" t="s">
        <v>166</v>
      </c>
      <c r="L310" t="s">
        <v>175</v>
      </c>
      <c r="M310" t="s">
        <v>648</v>
      </c>
      <c r="O310" t="s">
        <v>648</v>
      </c>
      <c r="Q310" t="s">
        <v>1643</v>
      </c>
      <c r="U310" t="s">
        <v>1697</v>
      </c>
      <c r="W310" t="s">
        <v>1702</v>
      </c>
      <c r="X310">
        <v>1</v>
      </c>
      <c r="AA310" s="43">
        <v>307.5</v>
      </c>
      <c r="AC310" s="43">
        <v>307.5</v>
      </c>
      <c r="AF310" s="37">
        <f t="shared" si="9"/>
        <v>46344</v>
      </c>
      <c r="AG310" s="37">
        <f t="shared" si="10"/>
        <v>47550.611570247936</v>
      </c>
      <c r="AH310" t="s">
        <v>1705</v>
      </c>
      <c r="AN310" s="43">
        <v>307.5</v>
      </c>
    </row>
    <row r="311" spans="2:40">
      <c r="B311" t="s">
        <v>649</v>
      </c>
      <c r="C311" t="s">
        <v>121</v>
      </c>
      <c r="D311" t="s">
        <v>167</v>
      </c>
      <c r="E311" t="s">
        <v>83</v>
      </c>
      <c r="F311" s="37">
        <v>46015</v>
      </c>
      <c r="G311">
        <v>10</v>
      </c>
      <c r="H311" t="s">
        <v>174</v>
      </c>
      <c r="I311" s="37">
        <v>46085</v>
      </c>
      <c r="J311" t="s">
        <v>165</v>
      </c>
      <c r="K311" t="s">
        <v>166</v>
      </c>
      <c r="L311" t="s">
        <v>175</v>
      </c>
      <c r="M311" t="s">
        <v>649</v>
      </c>
      <c r="O311" t="s">
        <v>649</v>
      </c>
      <c r="Q311" t="s">
        <v>1643</v>
      </c>
      <c r="U311" t="s">
        <v>1697</v>
      </c>
      <c r="W311" t="s">
        <v>1702</v>
      </c>
      <c r="X311">
        <v>1</v>
      </c>
      <c r="AA311" s="43">
        <v>307.5</v>
      </c>
      <c r="AC311" s="43">
        <v>307.5</v>
      </c>
      <c r="AF311" s="37">
        <f t="shared" si="9"/>
        <v>46344</v>
      </c>
      <c r="AG311" s="37">
        <f t="shared" si="10"/>
        <v>47550.611570247936</v>
      </c>
      <c r="AH311" t="s">
        <v>1705</v>
      </c>
      <c r="AN311" s="43">
        <v>307.5</v>
      </c>
    </row>
    <row r="312" spans="2:40">
      <c r="B312" t="s">
        <v>650</v>
      </c>
      <c r="C312" t="s">
        <v>121</v>
      </c>
      <c r="D312" t="s">
        <v>167</v>
      </c>
      <c r="E312" t="s">
        <v>83</v>
      </c>
      <c r="F312" s="37">
        <v>46015</v>
      </c>
      <c r="G312">
        <v>10</v>
      </c>
      <c r="H312" t="s">
        <v>174</v>
      </c>
      <c r="I312" s="37">
        <v>46085</v>
      </c>
      <c r="J312" t="s">
        <v>165</v>
      </c>
      <c r="K312" t="s">
        <v>166</v>
      </c>
      <c r="L312" t="s">
        <v>175</v>
      </c>
      <c r="M312" t="s">
        <v>650</v>
      </c>
      <c r="O312" t="s">
        <v>650</v>
      </c>
      <c r="Q312" t="s">
        <v>1643</v>
      </c>
      <c r="U312" t="s">
        <v>1697</v>
      </c>
      <c r="W312" t="s">
        <v>1702</v>
      </c>
      <c r="X312">
        <v>1</v>
      </c>
      <c r="AA312" s="43">
        <v>307.5</v>
      </c>
      <c r="AC312" s="43">
        <v>307.5</v>
      </c>
      <c r="AF312" s="37">
        <f t="shared" si="9"/>
        <v>46344</v>
      </c>
      <c r="AG312" s="37">
        <f t="shared" si="10"/>
        <v>47550.611570247936</v>
      </c>
      <c r="AH312" t="s">
        <v>1705</v>
      </c>
      <c r="AN312" s="43">
        <v>307.5</v>
      </c>
    </row>
    <row r="313" spans="2:40">
      <c r="B313" t="s">
        <v>651</v>
      </c>
      <c r="C313" t="s">
        <v>121</v>
      </c>
      <c r="D313" t="s">
        <v>167</v>
      </c>
      <c r="E313" t="s">
        <v>83</v>
      </c>
      <c r="F313" s="37">
        <v>46015</v>
      </c>
      <c r="G313">
        <v>10</v>
      </c>
      <c r="H313" t="s">
        <v>174</v>
      </c>
      <c r="I313" s="37">
        <v>46085</v>
      </c>
      <c r="J313" t="s">
        <v>165</v>
      </c>
      <c r="K313" t="s">
        <v>166</v>
      </c>
      <c r="L313" t="s">
        <v>175</v>
      </c>
      <c r="M313" t="s">
        <v>651</v>
      </c>
      <c r="O313" t="s">
        <v>651</v>
      </c>
      <c r="Q313" t="s">
        <v>1643</v>
      </c>
      <c r="U313" t="s">
        <v>1697</v>
      </c>
      <c r="W313" t="s">
        <v>1702</v>
      </c>
      <c r="X313">
        <v>1</v>
      </c>
      <c r="AA313" s="43">
        <v>307.5</v>
      </c>
      <c r="AC313" s="43">
        <v>307.5</v>
      </c>
      <c r="AF313" s="37">
        <f t="shared" si="9"/>
        <v>46344</v>
      </c>
      <c r="AG313" s="37">
        <f t="shared" si="10"/>
        <v>47550.611570247936</v>
      </c>
      <c r="AH313" t="s">
        <v>1705</v>
      </c>
      <c r="AN313" s="43">
        <v>307.5</v>
      </c>
    </row>
    <row r="314" spans="2:40">
      <c r="B314" t="s">
        <v>652</v>
      </c>
      <c r="C314" t="s">
        <v>121</v>
      </c>
      <c r="D314" t="s">
        <v>167</v>
      </c>
      <c r="E314" t="s">
        <v>83</v>
      </c>
      <c r="F314" s="37">
        <v>46015</v>
      </c>
      <c r="G314">
        <v>10</v>
      </c>
      <c r="H314" t="s">
        <v>174</v>
      </c>
      <c r="I314" s="37">
        <v>46085</v>
      </c>
      <c r="J314" t="s">
        <v>165</v>
      </c>
      <c r="K314" t="s">
        <v>166</v>
      </c>
      <c r="L314" t="s">
        <v>175</v>
      </c>
      <c r="M314" t="s">
        <v>652</v>
      </c>
      <c r="O314" t="s">
        <v>652</v>
      </c>
      <c r="Q314" t="s">
        <v>1643</v>
      </c>
      <c r="U314" t="s">
        <v>1697</v>
      </c>
      <c r="W314" t="s">
        <v>1702</v>
      </c>
      <c r="X314">
        <v>1</v>
      </c>
      <c r="AA314" s="43">
        <v>307.5</v>
      </c>
      <c r="AC314" s="43">
        <v>307.5</v>
      </c>
      <c r="AF314" s="37">
        <f t="shared" si="9"/>
        <v>46344</v>
      </c>
      <c r="AG314" s="37">
        <f t="shared" si="10"/>
        <v>47550.611570247936</v>
      </c>
      <c r="AH314" t="s">
        <v>1705</v>
      </c>
      <c r="AN314" s="43">
        <v>307.5</v>
      </c>
    </row>
    <row r="315" spans="2:40">
      <c r="B315" t="s">
        <v>653</v>
      </c>
      <c r="C315" t="s">
        <v>121</v>
      </c>
      <c r="D315" t="s">
        <v>167</v>
      </c>
      <c r="E315" t="s">
        <v>83</v>
      </c>
      <c r="F315" s="37">
        <v>46015</v>
      </c>
      <c r="G315">
        <v>10</v>
      </c>
      <c r="H315" t="s">
        <v>174</v>
      </c>
      <c r="I315" s="37">
        <v>46085</v>
      </c>
      <c r="J315" t="s">
        <v>165</v>
      </c>
      <c r="K315" t="s">
        <v>166</v>
      </c>
      <c r="L315" t="s">
        <v>175</v>
      </c>
      <c r="M315" t="s">
        <v>653</v>
      </c>
      <c r="O315" t="s">
        <v>653</v>
      </c>
      <c r="Q315" t="s">
        <v>1643</v>
      </c>
      <c r="U315" t="s">
        <v>1697</v>
      </c>
      <c r="W315" t="s">
        <v>1702</v>
      </c>
      <c r="X315">
        <v>1</v>
      </c>
      <c r="AA315" s="43">
        <v>307.5</v>
      </c>
      <c r="AC315" s="43">
        <v>307.5</v>
      </c>
      <c r="AF315" s="37">
        <f t="shared" si="9"/>
        <v>46344</v>
      </c>
      <c r="AG315" s="37">
        <f t="shared" si="10"/>
        <v>47550.611570247936</v>
      </c>
      <c r="AH315" t="s">
        <v>1705</v>
      </c>
      <c r="AN315" s="43">
        <v>307.5</v>
      </c>
    </row>
    <row r="316" spans="2:40">
      <c r="B316" t="s">
        <v>654</v>
      </c>
      <c r="C316" t="s">
        <v>121</v>
      </c>
      <c r="D316" t="s">
        <v>167</v>
      </c>
      <c r="E316" t="s">
        <v>83</v>
      </c>
      <c r="F316" s="37">
        <v>46008</v>
      </c>
      <c r="G316">
        <v>10</v>
      </c>
      <c r="H316" t="s">
        <v>174</v>
      </c>
      <c r="I316" s="37">
        <v>46078</v>
      </c>
      <c r="J316" t="s">
        <v>165</v>
      </c>
      <c r="K316" t="s">
        <v>166</v>
      </c>
      <c r="L316" t="s">
        <v>175</v>
      </c>
      <c r="M316" t="s">
        <v>654</v>
      </c>
      <c r="O316" t="s">
        <v>654</v>
      </c>
      <c r="Q316" t="s">
        <v>1643</v>
      </c>
      <c r="U316" t="s">
        <v>1697</v>
      </c>
      <c r="W316" t="s">
        <v>1702</v>
      </c>
      <c r="X316">
        <v>1</v>
      </c>
      <c r="AA316" s="43">
        <v>307.5</v>
      </c>
      <c r="AC316" s="43">
        <v>307.5</v>
      </c>
      <c r="AF316" s="37">
        <f t="shared" si="9"/>
        <v>46337</v>
      </c>
      <c r="AG316" s="37">
        <f t="shared" si="10"/>
        <v>47543.611570247936</v>
      </c>
      <c r="AH316" t="s">
        <v>1705</v>
      </c>
      <c r="AN316" s="43">
        <v>307.5</v>
      </c>
    </row>
    <row r="317" spans="2:40">
      <c r="B317" t="s">
        <v>655</v>
      </c>
      <c r="C317" t="s">
        <v>121</v>
      </c>
      <c r="D317" t="s">
        <v>167</v>
      </c>
      <c r="E317" t="s">
        <v>83</v>
      </c>
      <c r="F317" s="37">
        <v>46008</v>
      </c>
      <c r="G317">
        <v>10</v>
      </c>
      <c r="H317" t="s">
        <v>174</v>
      </c>
      <c r="I317" s="37">
        <v>46078</v>
      </c>
      <c r="J317" t="s">
        <v>165</v>
      </c>
      <c r="K317" t="s">
        <v>166</v>
      </c>
      <c r="L317" t="s">
        <v>175</v>
      </c>
      <c r="M317" t="s">
        <v>655</v>
      </c>
      <c r="O317" t="s">
        <v>655</v>
      </c>
      <c r="Q317" t="s">
        <v>1643</v>
      </c>
      <c r="U317" t="s">
        <v>1697</v>
      </c>
      <c r="W317" t="s">
        <v>1702</v>
      </c>
      <c r="X317">
        <v>1</v>
      </c>
      <c r="AA317" s="43">
        <v>307.5</v>
      </c>
      <c r="AC317" s="43">
        <v>307.5</v>
      </c>
      <c r="AF317" s="37">
        <f t="shared" si="9"/>
        <v>46337</v>
      </c>
      <c r="AG317" s="37">
        <f t="shared" si="10"/>
        <v>47543.611570247936</v>
      </c>
      <c r="AH317" t="s">
        <v>1705</v>
      </c>
      <c r="AN317" s="43">
        <v>307.5</v>
      </c>
    </row>
    <row r="318" spans="2:40">
      <c r="B318" t="s">
        <v>656</v>
      </c>
      <c r="C318" t="s">
        <v>121</v>
      </c>
      <c r="D318" t="s">
        <v>167</v>
      </c>
      <c r="E318" t="s">
        <v>83</v>
      </c>
      <c r="F318" s="37">
        <v>46008</v>
      </c>
      <c r="G318">
        <v>10</v>
      </c>
      <c r="H318" t="s">
        <v>174</v>
      </c>
      <c r="I318" s="37">
        <v>46078</v>
      </c>
      <c r="J318" t="s">
        <v>165</v>
      </c>
      <c r="K318" t="s">
        <v>166</v>
      </c>
      <c r="L318" t="s">
        <v>175</v>
      </c>
      <c r="M318" t="s">
        <v>656</v>
      </c>
      <c r="O318" t="s">
        <v>656</v>
      </c>
      <c r="Q318" t="s">
        <v>1643</v>
      </c>
      <c r="U318" t="s">
        <v>1697</v>
      </c>
      <c r="W318" t="s">
        <v>1702</v>
      </c>
      <c r="X318">
        <v>1</v>
      </c>
      <c r="AA318" s="43">
        <v>307.5</v>
      </c>
      <c r="AC318" s="43">
        <v>307.5</v>
      </c>
      <c r="AF318" s="37">
        <f t="shared" si="9"/>
        <v>46337</v>
      </c>
      <c r="AG318" s="37">
        <f t="shared" si="10"/>
        <v>47543.611570247936</v>
      </c>
      <c r="AH318" t="s">
        <v>1705</v>
      </c>
      <c r="AN318" s="43">
        <v>307.5</v>
      </c>
    </row>
    <row r="319" spans="2:40">
      <c r="B319" t="s">
        <v>657</v>
      </c>
      <c r="C319" t="s">
        <v>121</v>
      </c>
      <c r="D319" t="s">
        <v>167</v>
      </c>
      <c r="E319" t="s">
        <v>83</v>
      </c>
      <c r="F319" s="37">
        <v>46008</v>
      </c>
      <c r="G319">
        <v>10</v>
      </c>
      <c r="H319" t="s">
        <v>174</v>
      </c>
      <c r="I319" s="37">
        <v>46078</v>
      </c>
      <c r="J319" t="s">
        <v>165</v>
      </c>
      <c r="K319" t="s">
        <v>166</v>
      </c>
      <c r="L319" t="s">
        <v>175</v>
      </c>
      <c r="M319" t="s">
        <v>657</v>
      </c>
      <c r="O319" t="s">
        <v>657</v>
      </c>
      <c r="Q319" t="s">
        <v>1643</v>
      </c>
      <c r="U319" t="s">
        <v>1697</v>
      </c>
      <c r="W319" t="s">
        <v>1702</v>
      </c>
      <c r="X319">
        <v>1</v>
      </c>
      <c r="AA319" s="43">
        <v>307.5</v>
      </c>
      <c r="AC319" s="43">
        <v>307.5</v>
      </c>
      <c r="AF319" s="37">
        <f t="shared" si="9"/>
        <v>46337</v>
      </c>
      <c r="AG319" s="37">
        <f t="shared" si="10"/>
        <v>47543.611570247936</v>
      </c>
      <c r="AH319" t="s">
        <v>1705</v>
      </c>
      <c r="AN319" s="43">
        <v>307.5</v>
      </c>
    </row>
    <row r="320" spans="2:40">
      <c r="B320" t="s">
        <v>658</v>
      </c>
      <c r="C320" t="s">
        <v>121</v>
      </c>
      <c r="D320" t="s">
        <v>167</v>
      </c>
      <c r="E320" t="s">
        <v>83</v>
      </c>
      <c r="F320" s="37">
        <v>46008</v>
      </c>
      <c r="G320">
        <v>10</v>
      </c>
      <c r="H320" t="s">
        <v>174</v>
      </c>
      <c r="I320" s="37">
        <v>46078</v>
      </c>
      <c r="J320" t="s">
        <v>165</v>
      </c>
      <c r="K320" t="s">
        <v>166</v>
      </c>
      <c r="L320" t="s">
        <v>175</v>
      </c>
      <c r="M320" t="s">
        <v>658</v>
      </c>
      <c r="O320" t="s">
        <v>658</v>
      </c>
      <c r="Q320" t="s">
        <v>1643</v>
      </c>
      <c r="U320" t="s">
        <v>1697</v>
      </c>
      <c r="W320" t="s">
        <v>1702</v>
      </c>
      <c r="X320">
        <v>1</v>
      </c>
      <c r="AA320" s="43">
        <v>307.5</v>
      </c>
      <c r="AC320" s="43">
        <v>307.5</v>
      </c>
      <c r="AF320" s="37">
        <f t="shared" si="9"/>
        <v>46337</v>
      </c>
      <c r="AG320" s="37">
        <f t="shared" si="10"/>
        <v>47543.611570247936</v>
      </c>
      <c r="AH320" t="s">
        <v>1705</v>
      </c>
      <c r="AN320" s="43">
        <v>307.5</v>
      </c>
    </row>
    <row r="321" spans="2:40">
      <c r="B321" t="s">
        <v>659</v>
      </c>
      <c r="C321" t="s">
        <v>121</v>
      </c>
      <c r="D321" t="s">
        <v>167</v>
      </c>
      <c r="E321" t="s">
        <v>83</v>
      </c>
      <c r="F321" s="37">
        <v>46008</v>
      </c>
      <c r="G321">
        <v>10</v>
      </c>
      <c r="H321" t="s">
        <v>174</v>
      </c>
      <c r="I321" s="37">
        <v>46078</v>
      </c>
      <c r="J321" t="s">
        <v>165</v>
      </c>
      <c r="K321" t="s">
        <v>166</v>
      </c>
      <c r="L321" t="s">
        <v>175</v>
      </c>
      <c r="M321" t="s">
        <v>659</v>
      </c>
      <c r="O321" t="s">
        <v>659</v>
      </c>
      <c r="Q321" t="s">
        <v>1643</v>
      </c>
      <c r="U321" t="s">
        <v>1697</v>
      </c>
      <c r="W321" t="s">
        <v>1702</v>
      </c>
      <c r="X321">
        <v>1</v>
      </c>
      <c r="AA321" s="43">
        <v>307.5</v>
      </c>
      <c r="AC321" s="43">
        <v>307.5</v>
      </c>
      <c r="AF321" s="37">
        <f t="shared" si="9"/>
        <v>46337</v>
      </c>
      <c r="AG321" s="37">
        <f t="shared" si="10"/>
        <v>47543.611570247936</v>
      </c>
      <c r="AH321" t="s">
        <v>1705</v>
      </c>
      <c r="AN321" s="43">
        <v>307.5</v>
      </c>
    </row>
    <row r="322" spans="2:40">
      <c r="B322" t="s">
        <v>660</v>
      </c>
      <c r="C322" t="s">
        <v>121</v>
      </c>
      <c r="D322" t="s">
        <v>167</v>
      </c>
      <c r="E322" t="s">
        <v>83</v>
      </c>
      <c r="F322" s="37">
        <v>46008</v>
      </c>
      <c r="G322">
        <v>10</v>
      </c>
      <c r="H322" t="s">
        <v>174</v>
      </c>
      <c r="I322" s="37">
        <v>46078</v>
      </c>
      <c r="J322" t="s">
        <v>165</v>
      </c>
      <c r="K322" t="s">
        <v>166</v>
      </c>
      <c r="L322" t="s">
        <v>175</v>
      </c>
      <c r="M322" t="s">
        <v>660</v>
      </c>
      <c r="O322" t="s">
        <v>660</v>
      </c>
      <c r="Q322" t="s">
        <v>1643</v>
      </c>
      <c r="U322" t="s">
        <v>1697</v>
      </c>
      <c r="W322" t="s">
        <v>1702</v>
      </c>
      <c r="X322">
        <v>1</v>
      </c>
      <c r="AA322" s="43">
        <v>307.5</v>
      </c>
      <c r="AC322" s="43">
        <v>307.5</v>
      </c>
      <c r="AF322" s="37">
        <f t="shared" si="9"/>
        <v>46337</v>
      </c>
      <c r="AG322" s="37">
        <f t="shared" si="10"/>
        <v>47543.611570247936</v>
      </c>
      <c r="AH322" t="s">
        <v>1705</v>
      </c>
      <c r="AN322" s="43">
        <v>307.5</v>
      </c>
    </row>
    <row r="323" spans="2:40">
      <c r="B323" t="s">
        <v>661</v>
      </c>
      <c r="C323" t="s">
        <v>121</v>
      </c>
      <c r="D323" t="s">
        <v>167</v>
      </c>
      <c r="E323" t="s">
        <v>83</v>
      </c>
      <c r="F323" s="37">
        <v>46008</v>
      </c>
      <c r="G323">
        <v>10</v>
      </c>
      <c r="H323" t="s">
        <v>174</v>
      </c>
      <c r="I323" s="37">
        <v>46078</v>
      </c>
      <c r="J323" t="s">
        <v>165</v>
      </c>
      <c r="K323" t="s">
        <v>166</v>
      </c>
      <c r="L323" t="s">
        <v>175</v>
      </c>
      <c r="M323" t="s">
        <v>661</v>
      </c>
      <c r="O323" t="s">
        <v>661</v>
      </c>
      <c r="Q323" t="s">
        <v>1643</v>
      </c>
      <c r="U323" t="s">
        <v>1697</v>
      </c>
      <c r="W323" t="s">
        <v>1702</v>
      </c>
      <c r="X323">
        <v>1</v>
      </c>
      <c r="AA323" s="43">
        <v>307.5</v>
      </c>
      <c r="AC323" s="43">
        <v>307.5</v>
      </c>
      <c r="AF323" s="37">
        <f t="shared" si="9"/>
        <v>46337</v>
      </c>
      <c r="AG323" s="37">
        <f t="shared" si="10"/>
        <v>47543.611570247936</v>
      </c>
      <c r="AH323" t="s">
        <v>1705</v>
      </c>
      <c r="AN323" s="43">
        <v>307.5</v>
      </c>
    </row>
    <row r="324" spans="2:40">
      <c r="B324" t="s">
        <v>662</v>
      </c>
      <c r="C324" t="s">
        <v>121</v>
      </c>
      <c r="D324" t="s">
        <v>167</v>
      </c>
      <c r="E324" t="s">
        <v>83</v>
      </c>
      <c r="F324" s="37">
        <v>46008</v>
      </c>
      <c r="G324">
        <v>10</v>
      </c>
      <c r="H324" t="s">
        <v>174</v>
      </c>
      <c r="I324" s="37">
        <v>46078</v>
      </c>
      <c r="J324" t="s">
        <v>165</v>
      </c>
      <c r="K324" t="s">
        <v>166</v>
      </c>
      <c r="L324" t="s">
        <v>175</v>
      </c>
      <c r="M324" t="s">
        <v>662</v>
      </c>
      <c r="O324" t="s">
        <v>662</v>
      </c>
      <c r="Q324" t="s">
        <v>1643</v>
      </c>
      <c r="U324" t="s">
        <v>1697</v>
      </c>
      <c r="W324" t="s">
        <v>1702</v>
      </c>
      <c r="X324">
        <v>1</v>
      </c>
      <c r="AA324" s="43">
        <v>307.5</v>
      </c>
      <c r="AC324" s="43">
        <v>307.5</v>
      </c>
      <c r="AF324" s="37">
        <f t="shared" si="9"/>
        <v>46337</v>
      </c>
      <c r="AG324" s="37">
        <f t="shared" si="10"/>
        <v>47543.611570247936</v>
      </c>
      <c r="AH324" t="s">
        <v>1705</v>
      </c>
      <c r="AN324" s="43">
        <v>307.5</v>
      </c>
    </row>
    <row r="325" spans="2:40">
      <c r="B325" t="s">
        <v>663</v>
      </c>
      <c r="C325" t="s">
        <v>121</v>
      </c>
      <c r="D325" t="s">
        <v>167</v>
      </c>
      <c r="E325" t="s">
        <v>83</v>
      </c>
      <c r="F325" s="37">
        <v>46008</v>
      </c>
      <c r="G325">
        <v>10</v>
      </c>
      <c r="H325" t="s">
        <v>174</v>
      </c>
      <c r="I325" s="37">
        <v>46078</v>
      </c>
      <c r="J325" t="s">
        <v>165</v>
      </c>
      <c r="K325" t="s">
        <v>166</v>
      </c>
      <c r="L325" t="s">
        <v>175</v>
      </c>
      <c r="M325" t="s">
        <v>663</v>
      </c>
      <c r="O325" t="s">
        <v>663</v>
      </c>
      <c r="Q325" t="s">
        <v>1643</v>
      </c>
      <c r="U325" t="s">
        <v>1697</v>
      </c>
      <c r="W325" t="s">
        <v>1702</v>
      </c>
      <c r="X325">
        <v>1</v>
      </c>
      <c r="AA325" s="43">
        <v>307.5</v>
      </c>
      <c r="AC325" s="43">
        <v>307.5</v>
      </c>
      <c r="AF325" s="37">
        <f t="shared" si="9"/>
        <v>46337</v>
      </c>
      <c r="AG325" s="37">
        <f t="shared" si="10"/>
        <v>47543.611570247936</v>
      </c>
      <c r="AH325" t="s">
        <v>1705</v>
      </c>
      <c r="AN325" s="43">
        <v>307.5</v>
      </c>
    </row>
    <row r="326" spans="2:40">
      <c r="B326" t="s">
        <v>664</v>
      </c>
      <c r="C326" t="s">
        <v>121</v>
      </c>
      <c r="D326" t="s">
        <v>167</v>
      </c>
      <c r="E326" t="s">
        <v>83</v>
      </c>
      <c r="F326" s="37">
        <v>46008</v>
      </c>
      <c r="G326">
        <v>10</v>
      </c>
      <c r="H326" t="s">
        <v>174</v>
      </c>
      <c r="I326" s="37">
        <v>46078</v>
      </c>
      <c r="J326" t="s">
        <v>165</v>
      </c>
      <c r="K326" t="s">
        <v>166</v>
      </c>
      <c r="L326" t="s">
        <v>175</v>
      </c>
      <c r="M326" t="s">
        <v>664</v>
      </c>
      <c r="O326" t="s">
        <v>664</v>
      </c>
      <c r="Q326" t="s">
        <v>1643</v>
      </c>
      <c r="U326" t="s">
        <v>1697</v>
      </c>
      <c r="W326" t="s">
        <v>1702</v>
      </c>
      <c r="X326">
        <v>1</v>
      </c>
      <c r="AA326" s="43">
        <v>307.5</v>
      </c>
      <c r="AC326" s="43">
        <v>307.5</v>
      </c>
      <c r="AF326" s="37">
        <f t="shared" si="9"/>
        <v>46337</v>
      </c>
      <c r="AG326" s="37">
        <f t="shared" si="10"/>
        <v>47543.611570247936</v>
      </c>
      <c r="AH326" t="s">
        <v>1705</v>
      </c>
      <c r="AN326" s="43">
        <v>307.5</v>
      </c>
    </row>
    <row r="327" spans="2:40">
      <c r="B327" t="s">
        <v>665</v>
      </c>
      <c r="C327" t="s">
        <v>121</v>
      </c>
      <c r="D327" t="s">
        <v>167</v>
      </c>
      <c r="E327" t="s">
        <v>83</v>
      </c>
      <c r="F327" s="37">
        <v>46008</v>
      </c>
      <c r="G327">
        <v>10</v>
      </c>
      <c r="H327" t="s">
        <v>174</v>
      </c>
      <c r="I327" s="37">
        <v>46078</v>
      </c>
      <c r="J327" t="s">
        <v>165</v>
      </c>
      <c r="K327" t="s">
        <v>166</v>
      </c>
      <c r="L327" t="s">
        <v>175</v>
      </c>
      <c r="M327" t="s">
        <v>665</v>
      </c>
      <c r="O327" t="s">
        <v>665</v>
      </c>
      <c r="Q327" t="s">
        <v>1643</v>
      </c>
      <c r="U327" t="s">
        <v>1697</v>
      </c>
      <c r="W327" t="s">
        <v>1702</v>
      </c>
      <c r="X327">
        <v>1</v>
      </c>
      <c r="AA327" s="43">
        <v>307.5</v>
      </c>
      <c r="AC327" s="43">
        <v>307.5</v>
      </c>
      <c r="AF327" s="37">
        <f t="shared" ref="AF327:AF390" si="11">F327+(47*7)</f>
        <v>46337</v>
      </c>
      <c r="AG327" s="37">
        <f t="shared" ref="AG327:AG390" si="12">+AF327+(365*8)/2.42</f>
        <v>47543.611570247936</v>
      </c>
      <c r="AH327" t="s">
        <v>1705</v>
      </c>
      <c r="AN327" s="43">
        <v>307.5</v>
      </c>
    </row>
    <row r="328" spans="2:40">
      <c r="B328" t="s">
        <v>666</v>
      </c>
      <c r="C328" t="s">
        <v>121</v>
      </c>
      <c r="D328" t="s">
        <v>167</v>
      </c>
      <c r="E328" t="s">
        <v>83</v>
      </c>
      <c r="F328" s="37">
        <v>46008</v>
      </c>
      <c r="G328">
        <v>10</v>
      </c>
      <c r="H328" t="s">
        <v>174</v>
      </c>
      <c r="I328" s="37">
        <v>46078</v>
      </c>
      <c r="J328" t="s">
        <v>165</v>
      </c>
      <c r="K328" t="s">
        <v>166</v>
      </c>
      <c r="L328" t="s">
        <v>175</v>
      </c>
      <c r="M328" t="s">
        <v>666</v>
      </c>
      <c r="O328" t="s">
        <v>666</v>
      </c>
      <c r="Q328" t="s">
        <v>1643</v>
      </c>
      <c r="U328" t="s">
        <v>1697</v>
      </c>
      <c r="W328" t="s">
        <v>1702</v>
      </c>
      <c r="X328">
        <v>1</v>
      </c>
      <c r="AA328" s="43">
        <v>307.5</v>
      </c>
      <c r="AC328" s="43">
        <v>307.5</v>
      </c>
      <c r="AF328" s="37">
        <f t="shared" si="11"/>
        <v>46337</v>
      </c>
      <c r="AG328" s="37">
        <f t="shared" si="12"/>
        <v>47543.611570247936</v>
      </c>
      <c r="AH328" t="s">
        <v>1705</v>
      </c>
      <c r="AN328" s="43">
        <v>307.5</v>
      </c>
    </row>
    <row r="329" spans="2:40">
      <c r="B329" t="s">
        <v>667</v>
      </c>
      <c r="C329" t="s">
        <v>121</v>
      </c>
      <c r="D329" t="s">
        <v>167</v>
      </c>
      <c r="E329" t="s">
        <v>83</v>
      </c>
      <c r="F329" s="37">
        <v>46001</v>
      </c>
      <c r="G329">
        <v>10</v>
      </c>
      <c r="H329" t="s">
        <v>174</v>
      </c>
      <c r="I329" s="37">
        <v>46071</v>
      </c>
      <c r="J329" t="s">
        <v>165</v>
      </c>
      <c r="K329" t="s">
        <v>166</v>
      </c>
      <c r="L329" t="s">
        <v>175</v>
      </c>
      <c r="M329" t="s">
        <v>667</v>
      </c>
      <c r="O329" t="s">
        <v>667</v>
      </c>
      <c r="Q329" t="s">
        <v>1643</v>
      </c>
      <c r="U329" t="s">
        <v>1697</v>
      </c>
      <c r="W329" t="s">
        <v>1702</v>
      </c>
      <c r="X329">
        <v>1</v>
      </c>
      <c r="AA329" s="43">
        <v>307.5</v>
      </c>
      <c r="AC329" s="43">
        <v>307.5</v>
      </c>
      <c r="AF329" s="37">
        <f t="shared" si="11"/>
        <v>46330</v>
      </c>
      <c r="AG329" s="37">
        <f t="shared" si="12"/>
        <v>47536.611570247936</v>
      </c>
      <c r="AH329" t="s">
        <v>1705</v>
      </c>
      <c r="AN329" s="43">
        <v>307.5</v>
      </c>
    </row>
    <row r="330" spans="2:40">
      <c r="B330" t="s">
        <v>668</v>
      </c>
      <c r="C330" t="s">
        <v>121</v>
      </c>
      <c r="D330" t="s">
        <v>167</v>
      </c>
      <c r="E330" t="s">
        <v>83</v>
      </c>
      <c r="F330" s="37">
        <v>46001</v>
      </c>
      <c r="G330">
        <v>10</v>
      </c>
      <c r="H330" t="s">
        <v>174</v>
      </c>
      <c r="I330" s="37">
        <v>46071</v>
      </c>
      <c r="J330" t="s">
        <v>165</v>
      </c>
      <c r="K330" t="s">
        <v>166</v>
      </c>
      <c r="L330" t="s">
        <v>175</v>
      </c>
      <c r="M330" t="s">
        <v>668</v>
      </c>
      <c r="O330" t="s">
        <v>668</v>
      </c>
      <c r="Q330" t="s">
        <v>1643</v>
      </c>
      <c r="U330" t="s">
        <v>1697</v>
      </c>
      <c r="W330" t="s">
        <v>1702</v>
      </c>
      <c r="X330">
        <v>1</v>
      </c>
      <c r="AA330" s="43">
        <v>307.5</v>
      </c>
      <c r="AC330" s="43">
        <v>307.5</v>
      </c>
      <c r="AF330" s="37">
        <f t="shared" si="11"/>
        <v>46330</v>
      </c>
      <c r="AG330" s="37">
        <f t="shared" si="12"/>
        <v>47536.611570247936</v>
      </c>
      <c r="AH330" t="s">
        <v>1705</v>
      </c>
      <c r="AN330" s="43">
        <v>307.5</v>
      </c>
    </row>
    <row r="331" spans="2:40">
      <c r="B331" t="s">
        <v>669</v>
      </c>
      <c r="C331" t="s">
        <v>121</v>
      </c>
      <c r="D331" t="s">
        <v>167</v>
      </c>
      <c r="E331" t="s">
        <v>83</v>
      </c>
      <c r="F331" s="37">
        <v>46001</v>
      </c>
      <c r="G331">
        <v>10</v>
      </c>
      <c r="H331" t="s">
        <v>174</v>
      </c>
      <c r="I331" s="37">
        <v>46071</v>
      </c>
      <c r="J331" t="s">
        <v>165</v>
      </c>
      <c r="K331" t="s">
        <v>166</v>
      </c>
      <c r="L331" t="s">
        <v>175</v>
      </c>
      <c r="M331" t="s">
        <v>669</v>
      </c>
      <c r="O331" t="s">
        <v>669</v>
      </c>
      <c r="Q331" t="s">
        <v>1643</v>
      </c>
      <c r="U331" t="s">
        <v>1697</v>
      </c>
      <c r="W331" t="s">
        <v>1702</v>
      </c>
      <c r="X331">
        <v>1</v>
      </c>
      <c r="AA331" s="43">
        <v>307.5</v>
      </c>
      <c r="AC331" s="43">
        <v>307.5</v>
      </c>
      <c r="AF331" s="37">
        <f t="shared" si="11"/>
        <v>46330</v>
      </c>
      <c r="AG331" s="37">
        <f t="shared" si="12"/>
        <v>47536.611570247936</v>
      </c>
      <c r="AH331" t="s">
        <v>1705</v>
      </c>
      <c r="AN331" s="43">
        <v>307.5</v>
      </c>
    </row>
    <row r="332" spans="2:40">
      <c r="B332" t="s">
        <v>670</v>
      </c>
      <c r="C332" t="s">
        <v>121</v>
      </c>
      <c r="D332" t="s">
        <v>167</v>
      </c>
      <c r="E332" t="s">
        <v>83</v>
      </c>
      <c r="F332" s="37">
        <v>46001</v>
      </c>
      <c r="G332">
        <v>10</v>
      </c>
      <c r="H332" t="s">
        <v>174</v>
      </c>
      <c r="I332" s="37">
        <v>46071</v>
      </c>
      <c r="J332" t="s">
        <v>165</v>
      </c>
      <c r="K332" t="s">
        <v>166</v>
      </c>
      <c r="L332" t="s">
        <v>175</v>
      </c>
      <c r="M332" t="s">
        <v>670</v>
      </c>
      <c r="O332" t="s">
        <v>670</v>
      </c>
      <c r="Q332" t="s">
        <v>1643</v>
      </c>
      <c r="U332" t="s">
        <v>1697</v>
      </c>
      <c r="W332" t="s">
        <v>1702</v>
      </c>
      <c r="X332">
        <v>1</v>
      </c>
      <c r="AA332" s="43">
        <v>307.5</v>
      </c>
      <c r="AC332" s="43">
        <v>307.5</v>
      </c>
      <c r="AF332" s="37">
        <f t="shared" si="11"/>
        <v>46330</v>
      </c>
      <c r="AG332" s="37">
        <f t="shared" si="12"/>
        <v>47536.611570247936</v>
      </c>
      <c r="AH332" t="s">
        <v>1705</v>
      </c>
      <c r="AN332" s="43">
        <v>307.5</v>
      </c>
    </row>
    <row r="333" spans="2:40">
      <c r="B333" t="s">
        <v>671</v>
      </c>
      <c r="C333" t="s">
        <v>121</v>
      </c>
      <c r="D333" t="s">
        <v>167</v>
      </c>
      <c r="E333" t="s">
        <v>83</v>
      </c>
      <c r="F333" s="37">
        <v>46001</v>
      </c>
      <c r="G333">
        <v>10</v>
      </c>
      <c r="H333" t="s">
        <v>174</v>
      </c>
      <c r="I333" s="37">
        <v>46071</v>
      </c>
      <c r="J333" t="s">
        <v>165</v>
      </c>
      <c r="K333" t="s">
        <v>166</v>
      </c>
      <c r="L333" t="s">
        <v>175</v>
      </c>
      <c r="M333" t="s">
        <v>671</v>
      </c>
      <c r="O333" t="s">
        <v>671</v>
      </c>
      <c r="Q333" t="s">
        <v>1643</v>
      </c>
      <c r="U333" t="s">
        <v>1697</v>
      </c>
      <c r="W333" t="s">
        <v>1702</v>
      </c>
      <c r="X333">
        <v>1</v>
      </c>
      <c r="AA333" s="43">
        <v>307.5</v>
      </c>
      <c r="AC333" s="43">
        <v>307.5</v>
      </c>
      <c r="AF333" s="37">
        <f t="shared" si="11"/>
        <v>46330</v>
      </c>
      <c r="AG333" s="37">
        <f t="shared" si="12"/>
        <v>47536.611570247936</v>
      </c>
      <c r="AH333" t="s">
        <v>1705</v>
      </c>
      <c r="AN333" s="43">
        <v>307.5</v>
      </c>
    </row>
    <row r="334" spans="2:40">
      <c r="B334" t="s">
        <v>672</v>
      </c>
      <c r="C334" t="s">
        <v>121</v>
      </c>
      <c r="D334" t="s">
        <v>167</v>
      </c>
      <c r="E334" t="s">
        <v>83</v>
      </c>
      <c r="F334" s="37">
        <v>46001</v>
      </c>
      <c r="G334">
        <v>10</v>
      </c>
      <c r="H334" t="s">
        <v>174</v>
      </c>
      <c r="I334" s="37">
        <v>46071</v>
      </c>
      <c r="J334" t="s">
        <v>165</v>
      </c>
      <c r="K334" t="s">
        <v>166</v>
      </c>
      <c r="L334" t="s">
        <v>175</v>
      </c>
      <c r="M334" t="s">
        <v>672</v>
      </c>
      <c r="O334" t="s">
        <v>672</v>
      </c>
      <c r="Q334" t="s">
        <v>1643</v>
      </c>
      <c r="U334" t="s">
        <v>1697</v>
      </c>
      <c r="W334" t="s">
        <v>1702</v>
      </c>
      <c r="X334">
        <v>1</v>
      </c>
      <c r="AA334" s="43">
        <v>307.5</v>
      </c>
      <c r="AC334" s="43">
        <v>307.5</v>
      </c>
      <c r="AF334" s="37">
        <f t="shared" si="11"/>
        <v>46330</v>
      </c>
      <c r="AG334" s="37">
        <f t="shared" si="12"/>
        <v>47536.611570247936</v>
      </c>
      <c r="AH334" t="s">
        <v>1705</v>
      </c>
      <c r="AN334" s="43">
        <v>307.5</v>
      </c>
    </row>
    <row r="335" spans="2:40">
      <c r="B335" t="s">
        <v>673</v>
      </c>
      <c r="C335" t="s">
        <v>121</v>
      </c>
      <c r="D335" t="s">
        <v>167</v>
      </c>
      <c r="E335" t="s">
        <v>83</v>
      </c>
      <c r="F335" s="37">
        <v>46001</v>
      </c>
      <c r="G335">
        <v>10</v>
      </c>
      <c r="H335" t="s">
        <v>174</v>
      </c>
      <c r="I335" s="37">
        <v>46071</v>
      </c>
      <c r="J335" t="s">
        <v>165</v>
      </c>
      <c r="K335" t="s">
        <v>166</v>
      </c>
      <c r="L335" t="s">
        <v>175</v>
      </c>
      <c r="M335" t="s">
        <v>673</v>
      </c>
      <c r="O335" t="s">
        <v>673</v>
      </c>
      <c r="Q335" t="s">
        <v>1643</v>
      </c>
      <c r="U335" t="s">
        <v>1697</v>
      </c>
      <c r="W335" t="s">
        <v>1702</v>
      </c>
      <c r="X335">
        <v>1</v>
      </c>
      <c r="AA335" s="43">
        <v>307.5</v>
      </c>
      <c r="AC335" s="43">
        <v>307.5</v>
      </c>
      <c r="AF335" s="37">
        <f t="shared" si="11"/>
        <v>46330</v>
      </c>
      <c r="AG335" s="37">
        <f t="shared" si="12"/>
        <v>47536.611570247936</v>
      </c>
      <c r="AH335" t="s">
        <v>1705</v>
      </c>
      <c r="AN335" s="43">
        <v>307.5</v>
      </c>
    </row>
    <row r="336" spans="2:40">
      <c r="B336" t="s">
        <v>674</v>
      </c>
      <c r="C336" t="s">
        <v>121</v>
      </c>
      <c r="D336" t="s">
        <v>167</v>
      </c>
      <c r="E336" t="s">
        <v>83</v>
      </c>
      <c r="F336" s="37">
        <v>46001</v>
      </c>
      <c r="G336">
        <v>10</v>
      </c>
      <c r="H336" t="s">
        <v>174</v>
      </c>
      <c r="I336" s="37">
        <v>46071</v>
      </c>
      <c r="J336" t="s">
        <v>165</v>
      </c>
      <c r="K336" t="s">
        <v>166</v>
      </c>
      <c r="L336" t="s">
        <v>175</v>
      </c>
      <c r="M336" t="s">
        <v>674</v>
      </c>
      <c r="O336" t="s">
        <v>674</v>
      </c>
      <c r="Q336" t="s">
        <v>1643</v>
      </c>
      <c r="U336" t="s">
        <v>1697</v>
      </c>
      <c r="W336" t="s">
        <v>1702</v>
      </c>
      <c r="X336">
        <v>1</v>
      </c>
      <c r="AA336" s="43">
        <v>307.5</v>
      </c>
      <c r="AC336" s="43">
        <v>307.5</v>
      </c>
      <c r="AF336" s="37">
        <f t="shared" si="11"/>
        <v>46330</v>
      </c>
      <c r="AG336" s="37">
        <f t="shared" si="12"/>
        <v>47536.611570247936</v>
      </c>
      <c r="AH336" t="s">
        <v>1705</v>
      </c>
      <c r="AN336" s="43">
        <v>307.5</v>
      </c>
    </row>
    <row r="337" spans="2:40">
      <c r="B337" t="s">
        <v>675</v>
      </c>
      <c r="C337" t="s">
        <v>121</v>
      </c>
      <c r="D337" t="s">
        <v>167</v>
      </c>
      <c r="E337" t="s">
        <v>83</v>
      </c>
      <c r="F337" s="37">
        <v>46001</v>
      </c>
      <c r="G337">
        <v>10</v>
      </c>
      <c r="H337" t="s">
        <v>174</v>
      </c>
      <c r="I337" s="37">
        <v>46071</v>
      </c>
      <c r="J337" t="s">
        <v>165</v>
      </c>
      <c r="K337" t="s">
        <v>166</v>
      </c>
      <c r="L337" t="s">
        <v>175</v>
      </c>
      <c r="M337" t="s">
        <v>675</v>
      </c>
      <c r="O337" t="s">
        <v>675</v>
      </c>
      <c r="Q337" t="s">
        <v>1643</v>
      </c>
      <c r="U337" t="s">
        <v>1697</v>
      </c>
      <c r="W337" t="s">
        <v>1702</v>
      </c>
      <c r="X337">
        <v>1</v>
      </c>
      <c r="AA337" s="43">
        <v>307.5</v>
      </c>
      <c r="AC337" s="43">
        <v>307.5</v>
      </c>
      <c r="AF337" s="37">
        <f t="shared" si="11"/>
        <v>46330</v>
      </c>
      <c r="AG337" s="37">
        <f t="shared" si="12"/>
        <v>47536.611570247936</v>
      </c>
      <c r="AH337" t="s">
        <v>1705</v>
      </c>
      <c r="AN337" s="43">
        <v>307.5</v>
      </c>
    </row>
    <row r="338" spans="2:40">
      <c r="B338" t="s">
        <v>676</v>
      </c>
      <c r="C338" t="s">
        <v>121</v>
      </c>
      <c r="D338" t="s">
        <v>167</v>
      </c>
      <c r="E338" t="s">
        <v>83</v>
      </c>
      <c r="F338" s="37">
        <v>46001</v>
      </c>
      <c r="G338">
        <v>10</v>
      </c>
      <c r="H338" t="s">
        <v>174</v>
      </c>
      <c r="I338" s="37">
        <v>46071</v>
      </c>
      <c r="J338" t="s">
        <v>165</v>
      </c>
      <c r="K338" t="s">
        <v>166</v>
      </c>
      <c r="L338" t="s">
        <v>175</v>
      </c>
      <c r="M338" t="s">
        <v>676</v>
      </c>
      <c r="O338" t="s">
        <v>676</v>
      </c>
      <c r="Q338" t="s">
        <v>1643</v>
      </c>
      <c r="U338" t="s">
        <v>1697</v>
      </c>
      <c r="W338" t="s">
        <v>1702</v>
      </c>
      <c r="X338">
        <v>1</v>
      </c>
      <c r="AA338" s="43">
        <v>307.5</v>
      </c>
      <c r="AC338" s="43">
        <v>307.5</v>
      </c>
      <c r="AF338" s="37">
        <f t="shared" si="11"/>
        <v>46330</v>
      </c>
      <c r="AG338" s="37">
        <f t="shared" si="12"/>
        <v>47536.611570247936</v>
      </c>
      <c r="AH338" t="s">
        <v>1705</v>
      </c>
      <c r="AN338" s="43">
        <v>307.5</v>
      </c>
    </row>
    <row r="339" spans="2:40">
      <c r="B339" t="s">
        <v>677</v>
      </c>
      <c r="C339" t="s">
        <v>121</v>
      </c>
      <c r="D339" t="s">
        <v>167</v>
      </c>
      <c r="E339" t="s">
        <v>83</v>
      </c>
      <c r="F339" s="37">
        <v>46001</v>
      </c>
      <c r="G339">
        <v>10</v>
      </c>
      <c r="H339" t="s">
        <v>174</v>
      </c>
      <c r="I339" s="37">
        <v>46071</v>
      </c>
      <c r="J339" t="s">
        <v>165</v>
      </c>
      <c r="K339" t="s">
        <v>166</v>
      </c>
      <c r="L339" t="s">
        <v>175</v>
      </c>
      <c r="M339" t="s">
        <v>677</v>
      </c>
      <c r="O339" t="s">
        <v>677</v>
      </c>
      <c r="Q339" t="s">
        <v>1643</v>
      </c>
      <c r="U339" t="s">
        <v>1697</v>
      </c>
      <c r="W339" t="s">
        <v>1702</v>
      </c>
      <c r="X339">
        <v>1</v>
      </c>
      <c r="AA339" s="43">
        <v>307.5</v>
      </c>
      <c r="AC339" s="43">
        <v>307.5</v>
      </c>
      <c r="AF339" s="37">
        <f t="shared" si="11"/>
        <v>46330</v>
      </c>
      <c r="AG339" s="37">
        <f t="shared" si="12"/>
        <v>47536.611570247936</v>
      </c>
      <c r="AH339" t="s">
        <v>1705</v>
      </c>
      <c r="AN339" s="43">
        <v>307.5</v>
      </c>
    </row>
    <row r="340" spans="2:40">
      <c r="B340" t="s">
        <v>678</v>
      </c>
      <c r="C340" t="s">
        <v>121</v>
      </c>
      <c r="D340" t="s">
        <v>167</v>
      </c>
      <c r="E340" t="s">
        <v>83</v>
      </c>
      <c r="F340" s="37">
        <v>45994</v>
      </c>
      <c r="G340">
        <v>10</v>
      </c>
      <c r="H340" t="s">
        <v>174</v>
      </c>
      <c r="I340" s="37">
        <v>46064</v>
      </c>
      <c r="J340" t="s">
        <v>165</v>
      </c>
      <c r="K340" t="s">
        <v>166</v>
      </c>
      <c r="L340" t="s">
        <v>175</v>
      </c>
      <c r="M340" t="s">
        <v>678</v>
      </c>
      <c r="O340" t="s">
        <v>678</v>
      </c>
      <c r="Q340" t="s">
        <v>1643</v>
      </c>
      <c r="U340" t="s">
        <v>1697</v>
      </c>
      <c r="W340" t="s">
        <v>1702</v>
      </c>
      <c r="X340">
        <v>1</v>
      </c>
      <c r="AA340" s="43">
        <v>307.5</v>
      </c>
      <c r="AC340" s="43">
        <v>307.5</v>
      </c>
      <c r="AF340" s="37">
        <f t="shared" si="11"/>
        <v>46323</v>
      </c>
      <c r="AG340" s="37">
        <f t="shared" si="12"/>
        <v>47529.611570247936</v>
      </c>
      <c r="AH340" t="s">
        <v>1705</v>
      </c>
      <c r="AN340" s="43">
        <v>307.5</v>
      </c>
    </row>
    <row r="341" spans="2:40">
      <c r="B341" t="s">
        <v>679</v>
      </c>
      <c r="C341" t="s">
        <v>121</v>
      </c>
      <c r="D341" t="s">
        <v>167</v>
      </c>
      <c r="E341" t="s">
        <v>83</v>
      </c>
      <c r="F341" s="37">
        <v>45994</v>
      </c>
      <c r="G341">
        <v>10</v>
      </c>
      <c r="H341" t="s">
        <v>174</v>
      </c>
      <c r="I341" s="37">
        <v>46064</v>
      </c>
      <c r="J341" t="s">
        <v>165</v>
      </c>
      <c r="K341" t="s">
        <v>166</v>
      </c>
      <c r="L341" t="s">
        <v>175</v>
      </c>
      <c r="M341" t="s">
        <v>679</v>
      </c>
      <c r="O341" t="s">
        <v>679</v>
      </c>
      <c r="Q341" t="s">
        <v>1643</v>
      </c>
      <c r="U341" t="s">
        <v>1697</v>
      </c>
      <c r="W341" t="s">
        <v>1702</v>
      </c>
      <c r="X341">
        <v>1</v>
      </c>
      <c r="AA341" s="43">
        <v>307.5</v>
      </c>
      <c r="AC341" s="43">
        <v>307.5</v>
      </c>
      <c r="AF341" s="37">
        <f t="shared" si="11"/>
        <v>46323</v>
      </c>
      <c r="AG341" s="37">
        <f t="shared" si="12"/>
        <v>47529.611570247936</v>
      </c>
      <c r="AH341" t="s">
        <v>1705</v>
      </c>
      <c r="AN341" s="43">
        <v>307.5</v>
      </c>
    </row>
    <row r="342" spans="2:40">
      <c r="B342" t="s">
        <v>680</v>
      </c>
      <c r="C342" t="s">
        <v>121</v>
      </c>
      <c r="D342" t="s">
        <v>167</v>
      </c>
      <c r="E342" t="s">
        <v>83</v>
      </c>
      <c r="F342" s="37">
        <v>45994</v>
      </c>
      <c r="G342">
        <v>10</v>
      </c>
      <c r="H342" t="s">
        <v>174</v>
      </c>
      <c r="I342" s="37">
        <v>46064</v>
      </c>
      <c r="J342" t="s">
        <v>165</v>
      </c>
      <c r="K342" t="s">
        <v>166</v>
      </c>
      <c r="L342" t="s">
        <v>175</v>
      </c>
      <c r="M342" t="s">
        <v>680</v>
      </c>
      <c r="O342" t="s">
        <v>680</v>
      </c>
      <c r="Q342" t="s">
        <v>1643</v>
      </c>
      <c r="U342" t="s">
        <v>1697</v>
      </c>
      <c r="W342" t="s">
        <v>1702</v>
      </c>
      <c r="X342">
        <v>1</v>
      </c>
      <c r="AA342" s="43">
        <v>307.5</v>
      </c>
      <c r="AC342" s="43">
        <v>307.5</v>
      </c>
      <c r="AF342" s="37">
        <f t="shared" si="11"/>
        <v>46323</v>
      </c>
      <c r="AG342" s="37">
        <f t="shared" si="12"/>
        <v>47529.611570247936</v>
      </c>
      <c r="AH342" t="s">
        <v>1705</v>
      </c>
      <c r="AN342" s="43">
        <v>307.5</v>
      </c>
    </row>
    <row r="343" spans="2:40">
      <c r="B343" t="s">
        <v>681</v>
      </c>
      <c r="C343" t="s">
        <v>121</v>
      </c>
      <c r="D343" t="s">
        <v>167</v>
      </c>
      <c r="E343" t="s">
        <v>83</v>
      </c>
      <c r="F343" s="37">
        <v>45994</v>
      </c>
      <c r="G343">
        <v>10</v>
      </c>
      <c r="H343" t="s">
        <v>174</v>
      </c>
      <c r="I343" s="37">
        <v>46064</v>
      </c>
      <c r="J343" t="s">
        <v>165</v>
      </c>
      <c r="K343" t="s">
        <v>166</v>
      </c>
      <c r="L343" t="s">
        <v>175</v>
      </c>
      <c r="M343" t="s">
        <v>681</v>
      </c>
      <c r="O343" t="s">
        <v>681</v>
      </c>
      <c r="Q343" t="s">
        <v>1643</v>
      </c>
      <c r="U343" t="s">
        <v>1697</v>
      </c>
      <c r="W343" t="s">
        <v>1702</v>
      </c>
      <c r="X343">
        <v>1</v>
      </c>
      <c r="AA343" s="43">
        <v>307.5</v>
      </c>
      <c r="AC343" s="43">
        <v>307.5</v>
      </c>
      <c r="AF343" s="37">
        <f t="shared" si="11"/>
        <v>46323</v>
      </c>
      <c r="AG343" s="37">
        <f t="shared" si="12"/>
        <v>47529.611570247936</v>
      </c>
      <c r="AH343" t="s">
        <v>1705</v>
      </c>
      <c r="AN343" s="43">
        <v>307.5</v>
      </c>
    </row>
    <row r="344" spans="2:40">
      <c r="B344" t="s">
        <v>682</v>
      </c>
      <c r="C344" t="s">
        <v>121</v>
      </c>
      <c r="D344" t="s">
        <v>167</v>
      </c>
      <c r="E344" t="s">
        <v>83</v>
      </c>
      <c r="F344" s="37">
        <v>45994</v>
      </c>
      <c r="G344">
        <v>10</v>
      </c>
      <c r="H344" t="s">
        <v>174</v>
      </c>
      <c r="I344" s="37">
        <v>46064</v>
      </c>
      <c r="J344" t="s">
        <v>165</v>
      </c>
      <c r="K344" t="s">
        <v>166</v>
      </c>
      <c r="L344" t="s">
        <v>175</v>
      </c>
      <c r="M344" t="s">
        <v>682</v>
      </c>
      <c r="O344" t="s">
        <v>682</v>
      </c>
      <c r="Q344" t="s">
        <v>1643</v>
      </c>
      <c r="U344" t="s">
        <v>1697</v>
      </c>
      <c r="W344" t="s">
        <v>1702</v>
      </c>
      <c r="X344">
        <v>1</v>
      </c>
      <c r="AA344" s="43">
        <v>307.5</v>
      </c>
      <c r="AC344" s="43">
        <v>307.5</v>
      </c>
      <c r="AF344" s="37">
        <f t="shared" si="11"/>
        <v>46323</v>
      </c>
      <c r="AG344" s="37">
        <f t="shared" si="12"/>
        <v>47529.611570247936</v>
      </c>
      <c r="AH344" t="s">
        <v>1705</v>
      </c>
      <c r="AN344" s="43">
        <v>307.5</v>
      </c>
    </row>
    <row r="345" spans="2:40">
      <c r="B345" t="s">
        <v>683</v>
      </c>
      <c r="C345" t="s">
        <v>121</v>
      </c>
      <c r="D345" t="s">
        <v>167</v>
      </c>
      <c r="E345" t="s">
        <v>83</v>
      </c>
      <c r="F345" s="37">
        <v>45994</v>
      </c>
      <c r="G345">
        <v>10</v>
      </c>
      <c r="H345" t="s">
        <v>174</v>
      </c>
      <c r="I345" s="37">
        <v>46064</v>
      </c>
      <c r="J345" t="s">
        <v>165</v>
      </c>
      <c r="K345" t="s">
        <v>166</v>
      </c>
      <c r="L345" t="s">
        <v>175</v>
      </c>
      <c r="M345" t="s">
        <v>683</v>
      </c>
      <c r="O345" t="s">
        <v>683</v>
      </c>
      <c r="Q345" t="s">
        <v>1643</v>
      </c>
      <c r="U345" t="s">
        <v>1697</v>
      </c>
      <c r="W345" t="s">
        <v>1702</v>
      </c>
      <c r="X345">
        <v>1</v>
      </c>
      <c r="AA345" s="43">
        <v>307.5</v>
      </c>
      <c r="AC345" s="43">
        <v>307.5</v>
      </c>
      <c r="AF345" s="37">
        <f t="shared" si="11"/>
        <v>46323</v>
      </c>
      <c r="AG345" s="37">
        <f t="shared" si="12"/>
        <v>47529.611570247936</v>
      </c>
      <c r="AH345" t="s">
        <v>1705</v>
      </c>
      <c r="AN345" s="43">
        <v>307.5</v>
      </c>
    </row>
    <row r="346" spans="2:40">
      <c r="B346" t="s">
        <v>684</v>
      </c>
      <c r="C346" t="s">
        <v>121</v>
      </c>
      <c r="D346" t="s">
        <v>167</v>
      </c>
      <c r="E346" t="s">
        <v>83</v>
      </c>
      <c r="F346" s="37">
        <v>45994</v>
      </c>
      <c r="G346">
        <v>10</v>
      </c>
      <c r="H346" t="s">
        <v>174</v>
      </c>
      <c r="I346" s="37">
        <v>46064</v>
      </c>
      <c r="J346" t="s">
        <v>165</v>
      </c>
      <c r="K346" t="s">
        <v>166</v>
      </c>
      <c r="L346" t="s">
        <v>175</v>
      </c>
      <c r="M346" t="s">
        <v>684</v>
      </c>
      <c r="O346" t="s">
        <v>684</v>
      </c>
      <c r="Q346" t="s">
        <v>1643</v>
      </c>
      <c r="U346" t="s">
        <v>1696</v>
      </c>
      <c r="W346" t="s">
        <v>1699</v>
      </c>
      <c r="X346">
        <v>0</v>
      </c>
      <c r="AA346" s="43">
        <v>307.5</v>
      </c>
      <c r="AC346" s="43">
        <v>307.5</v>
      </c>
      <c r="AF346" s="37">
        <f t="shared" si="11"/>
        <v>46323</v>
      </c>
      <c r="AG346" s="37">
        <f t="shared" si="12"/>
        <v>47529.611570247936</v>
      </c>
      <c r="AH346" t="s">
        <v>1704</v>
      </c>
      <c r="AN346" s="43">
        <v>307.5</v>
      </c>
    </row>
    <row r="347" spans="2:40">
      <c r="B347" t="s">
        <v>685</v>
      </c>
      <c r="C347" t="s">
        <v>121</v>
      </c>
      <c r="D347" t="s">
        <v>167</v>
      </c>
      <c r="E347" t="s">
        <v>83</v>
      </c>
      <c r="F347" s="37">
        <v>45994</v>
      </c>
      <c r="G347">
        <v>10</v>
      </c>
      <c r="H347" t="s">
        <v>174</v>
      </c>
      <c r="I347" s="37">
        <v>46064</v>
      </c>
      <c r="J347" t="s">
        <v>165</v>
      </c>
      <c r="K347" t="s">
        <v>166</v>
      </c>
      <c r="L347" t="s">
        <v>175</v>
      </c>
      <c r="M347" t="s">
        <v>685</v>
      </c>
      <c r="O347" t="s">
        <v>685</v>
      </c>
      <c r="Q347" t="s">
        <v>1643</v>
      </c>
      <c r="U347" t="s">
        <v>1697</v>
      </c>
      <c r="W347" t="s">
        <v>1702</v>
      </c>
      <c r="X347">
        <v>1</v>
      </c>
      <c r="AA347" s="43">
        <v>307.5</v>
      </c>
      <c r="AC347" s="43">
        <v>307.5</v>
      </c>
      <c r="AF347" s="37">
        <f t="shared" si="11"/>
        <v>46323</v>
      </c>
      <c r="AG347" s="37">
        <f t="shared" si="12"/>
        <v>47529.611570247936</v>
      </c>
      <c r="AH347" t="s">
        <v>1705</v>
      </c>
      <c r="AN347" s="43">
        <v>307.5</v>
      </c>
    </row>
    <row r="348" spans="2:40">
      <c r="B348" t="s">
        <v>686</v>
      </c>
      <c r="C348" t="s">
        <v>121</v>
      </c>
      <c r="D348" t="s">
        <v>167</v>
      </c>
      <c r="E348" t="s">
        <v>83</v>
      </c>
      <c r="F348" s="37">
        <v>45994</v>
      </c>
      <c r="G348">
        <v>10</v>
      </c>
      <c r="H348" t="s">
        <v>174</v>
      </c>
      <c r="I348" s="37">
        <v>46064</v>
      </c>
      <c r="J348" t="s">
        <v>165</v>
      </c>
      <c r="K348" t="s">
        <v>166</v>
      </c>
      <c r="L348" t="s">
        <v>175</v>
      </c>
      <c r="M348" t="s">
        <v>686</v>
      </c>
      <c r="O348" t="s">
        <v>686</v>
      </c>
      <c r="Q348" t="s">
        <v>1643</v>
      </c>
      <c r="U348" t="s">
        <v>1697</v>
      </c>
      <c r="W348" t="s">
        <v>1702</v>
      </c>
      <c r="X348">
        <v>1</v>
      </c>
      <c r="AA348" s="43">
        <v>307.5</v>
      </c>
      <c r="AC348" s="43">
        <v>307.5</v>
      </c>
      <c r="AF348" s="37">
        <f t="shared" si="11"/>
        <v>46323</v>
      </c>
      <c r="AG348" s="37">
        <f t="shared" si="12"/>
        <v>47529.611570247936</v>
      </c>
      <c r="AH348" t="s">
        <v>1705</v>
      </c>
      <c r="AN348" s="43">
        <v>307.5</v>
      </c>
    </row>
    <row r="349" spans="2:40">
      <c r="B349" t="s">
        <v>687</v>
      </c>
      <c r="C349" t="s">
        <v>121</v>
      </c>
      <c r="D349" t="s">
        <v>167</v>
      </c>
      <c r="E349" t="s">
        <v>83</v>
      </c>
      <c r="F349" s="37">
        <v>45994</v>
      </c>
      <c r="G349">
        <v>10</v>
      </c>
      <c r="H349" t="s">
        <v>174</v>
      </c>
      <c r="I349" s="37">
        <v>46064</v>
      </c>
      <c r="J349" t="s">
        <v>165</v>
      </c>
      <c r="K349" t="s">
        <v>166</v>
      </c>
      <c r="L349" t="s">
        <v>175</v>
      </c>
      <c r="M349" t="s">
        <v>687</v>
      </c>
      <c r="O349" t="s">
        <v>687</v>
      </c>
      <c r="Q349" t="s">
        <v>1643</v>
      </c>
      <c r="U349" t="s">
        <v>1697</v>
      </c>
      <c r="W349" t="s">
        <v>1702</v>
      </c>
      <c r="X349">
        <v>1</v>
      </c>
      <c r="AA349" s="43">
        <v>307.5</v>
      </c>
      <c r="AC349" s="43">
        <v>307.5</v>
      </c>
      <c r="AF349" s="37">
        <f t="shared" si="11"/>
        <v>46323</v>
      </c>
      <c r="AG349" s="37">
        <f t="shared" si="12"/>
        <v>47529.611570247936</v>
      </c>
      <c r="AH349" t="s">
        <v>1705</v>
      </c>
      <c r="AN349" s="43">
        <v>307.5</v>
      </c>
    </row>
    <row r="350" spans="2:40">
      <c r="B350" t="s">
        <v>688</v>
      </c>
      <c r="C350" t="s">
        <v>121</v>
      </c>
      <c r="D350" t="s">
        <v>167</v>
      </c>
      <c r="E350" t="s">
        <v>83</v>
      </c>
      <c r="F350" s="37">
        <v>45994</v>
      </c>
      <c r="G350">
        <v>10</v>
      </c>
      <c r="H350" t="s">
        <v>174</v>
      </c>
      <c r="I350" s="37">
        <v>46064</v>
      </c>
      <c r="J350" t="s">
        <v>165</v>
      </c>
      <c r="K350" t="s">
        <v>166</v>
      </c>
      <c r="L350" t="s">
        <v>175</v>
      </c>
      <c r="M350" t="s">
        <v>688</v>
      </c>
      <c r="O350" t="s">
        <v>688</v>
      </c>
      <c r="Q350" t="s">
        <v>1643</v>
      </c>
      <c r="U350" t="s">
        <v>1697</v>
      </c>
      <c r="W350" t="s">
        <v>1702</v>
      </c>
      <c r="X350">
        <v>1</v>
      </c>
      <c r="AA350" s="43">
        <v>307.5</v>
      </c>
      <c r="AC350" s="43">
        <v>307.5</v>
      </c>
      <c r="AF350" s="37">
        <f t="shared" si="11"/>
        <v>46323</v>
      </c>
      <c r="AG350" s="37">
        <f t="shared" si="12"/>
        <v>47529.611570247936</v>
      </c>
      <c r="AH350" t="s">
        <v>1705</v>
      </c>
      <c r="AN350" s="43">
        <v>307.5</v>
      </c>
    </row>
    <row r="351" spans="2:40">
      <c r="B351" t="s">
        <v>689</v>
      </c>
      <c r="C351" t="s">
        <v>121</v>
      </c>
      <c r="D351" t="s">
        <v>167</v>
      </c>
      <c r="E351" t="s">
        <v>83</v>
      </c>
      <c r="F351" s="37">
        <v>45987</v>
      </c>
      <c r="G351">
        <v>10</v>
      </c>
      <c r="H351" t="s">
        <v>174</v>
      </c>
      <c r="I351" s="37">
        <v>46057</v>
      </c>
      <c r="J351" t="s">
        <v>165</v>
      </c>
      <c r="K351" t="s">
        <v>166</v>
      </c>
      <c r="L351" t="s">
        <v>175</v>
      </c>
      <c r="M351" t="s">
        <v>689</v>
      </c>
      <c r="O351" t="s">
        <v>689</v>
      </c>
      <c r="Q351" t="s">
        <v>1643</v>
      </c>
      <c r="U351" t="s">
        <v>1697</v>
      </c>
      <c r="W351" t="s">
        <v>1702</v>
      </c>
      <c r="X351">
        <v>1</v>
      </c>
      <c r="AA351" s="43">
        <v>307.5</v>
      </c>
      <c r="AC351" s="43">
        <v>307.5</v>
      </c>
      <c r="AF351" s="37">
        <f t="shared" si="11"/>
        <v>46316</v>
      </c>
      <c r="AG351" s="37">
        <f t="shared" si="12"/>
        <v>47522.611570247936</v>
      </c>
      <c r="AH351" t="s">
        <v>1705</v>
      </c>
      <c r="AN351" s="43">
        <v>307.5</v>
      </c>
    </row>
    <row r="352" spans="2:40">
      <c r="B352" t="s">
        <v>690</v>
      </c>
      <c r="C352" t="s">
        <v>121</v>
      </c>
      <c r="D352" t="s">
        <v>167</v>
      </c>
      <c r="E352" t="s">
        <v>83</v>
      </c>
      <c r="F352" s="37">
        <v>45987</v>
      </c>
      <c r="G352">
        <v>10</v>
      </c>
      <c r="H352" t="s">
        <v>174</v>
      </c>
      <c r="I352" s="37">
        <v>46057</v>
      </c>
      <c r="J352" t="s">
        <v>165</v>
      </c>
      <c r="K352" t="s">
        <v>166</v>
      </c>
      <c r="L352" t="s">
        <v>175</v>
      </c>
      <c r="M352" t="s">
        <v>690</v>
      </c>
      <c r="O352" t="s">
        <v>690</v>
      </c>
      <c r="Q352" t="s">
        <v>1643</v>
      </c>
      <c r="U352" t="s">
        <v>1697</v>
      </c>
      <c r="W352" t="s">
        <v>1702</v>
      </c>
      <c r="X352">
        <v>1</v>
      </c>
      <c r="AA352" s="43">
        <v>307.5</v>
      </c>
      <c r="AC352" s="43">
        <v>307.5</v>
      </c>
      <c r="AF352" s="37">
        <f t="shared" si="11"/>
        <v>46316</v>
      </c>
      <c r="AG352" s="37">
        <f t="shared" si="12"/>
        <v>47522.611570247936</v>
      </c>
      <c r="AH352" t="s">
        <v>1705</v>
      </c>
      <c r="AN352" s="43">
        <v>307.5</v>
      </c>
    </row>
    <row r="353" spans="2:40">
      <c r="B353" t="s">
        <v>691</v>
      </c>
      <c r="C353" t="s">
        <v>121</v>
      </c>
      <c r="D353" t="s">
        <v>167</v>
      </c>
      <c r="E353" t="s">
        <v>83</v>
      </c>
      <c r="F353" s="37">
        <v>45987</v>
      </c>
      <c r="G353">
        <v>10</v>
      </c>
      <c r="H353" t="s">
        <v>174</v>
      </c>
      <c r="I353" s="37">
        <v>46057</v>
      </c>
      <c r="J353" t="s">
        <v>165</v>
      </c>
      <c r="K353" t="s">
        <v>166</v>
      </c>
      <c r="L353" t="s">
        <v>175</v>
      </c>
      <c r="M353" t="s">
        <v>691</v>
      </c>
      <c r="O353" t="s">
        <v>691</v>
      </c>
      <c r="Q353" t="s">
        <v>1643</v>
      </c>
      <c r="U353" t="s">
        <v>1697</v>
      </c>
      <c r="W353" t="s">
        <v>1702</v>
      </c>
      <c r="X353">
        <v>1</v>
      </c>
      <c r="AA353" s="43">
        <v>307.5</v>
      </c>
      <c r="AC353" s="43">
        <v>307.5</v>
      </c>
      <c r="AF353" s="37">
        <f t="shared" si="11"/>
        <v>46316</v>
      </c>
      <c r="AG353" s="37">
        <f t="shared" si="12"/>
        <v>47522.611570247936</v>
      </c>
      <c r="AH353" t="s">
        <v>1705</v>
      </c>
      <c r="AN353" s="43">
        <v>307.5</v>
      </c>
    </row>
    <row r="354" spans="2:40">
      <c r="B354" t="s">
        <v>692</v>
      </c>
      <c r="C354" t="s">
        <v>121</v>
      </c>
      <c r="D354" t="s">
        <v>167</v>
      </c>
      <c r="E354" t="s">
        <v>83</v>
      </c>
      <c r="F354" s="37">
        <v>45987</v>
      </c>
      <c r="G354">
        <v>10</v>
      </c>
      <c r="H354" t="s">
        <v>174</v>
      </c>
      <c r="I354" s="37">
        <v>46057</v>
      </c>
      <c r="J354" t="s">
        <v>165</v>
      </c>
      <c r="K354" t="s">
        <v>166</v>
      </c>
      <c r="L354" t="s">
        <v>175</v>
      </c>
      <c r="M354" t="s">
        <v>692</v>
      </c>
      <c r="O354" t="s">
        <v>692</v>
      </c>
      <c r="Q354" t="s">
        <v>1643</v>
      </c>
      <c r="U354" t="s">
        <v>1697</v>
      </c>
      <c r="W354" t="s">
        <v>1702</v>
      </c>
      <c r="X354">
        <v>1</v>
      </c>
      <c r="AA354" s="43">
        <v>307.5</v>
      </c>
      <c r="AC354" s="43">
        <v>307.5</v>
      </c>
      <c r="AF354" s="37">
        <f t="shared" si="11"/>
        <v>46316</v>
      </c>
      <c r="AG354" s="37">
        <f t="shared" si="12"/>
        <v>47522.611570247936</v>
      </c>
      <c r="AH354" t="s">
        <v>1705</v>
      </c>
      <c r="AN354" s="43">
        <v>307.5</v>
      </c>
    </row>
    <row r="355" spans="2:40">
      <c r="B355" t="s">
        <v>693</v>
      </c>
      <c r="C355" t="s">
        <v>121</v>
      </c>
      <c r="D355" t="s">
        <v>167</v>
      </c>
      <c r="E355" t="s">
        <v>83</v>
      </c>
      <c r="F355" s="37">
        <v>45987</v>
      </c>
      <c r="G355">
        <v>10</v>
      </c>
      <c r="H355" t="s">
        <v>174</v>
      </c>
      <c r="I355" s="37">
        <v>46057</v>
      </c>
      <c r="J355" t="s">
        <v>165</v>
      </c>
      <c r="K355" t="s">
        <v>166</v>
      </c>
      <c r="L355" t="s">
        <v>175</v>
      </c>
      <c r="M355" t="s">
        <v>693</v>
      </c>
      <c r="O355" t="s">
        <v>693</v>
      </c>
      <c r="Q355" t="s">
        <v>1643</v>
      </c>
      <c r="U355" t="s">
        <v>1697</v>
      </c>
      <c r="W355" t="s">
        <v>1702</v>
      </c>
      <c r="X355">
        <v>1</v>
      </c>
      <c r="AA355" s="43">
        <v>307.5</v>
      </c>
      <c r="AC355" s="43">
        <v>307.5</v>
      </c>
      <c r="AF355" s="37">
        <f t="shared" si="11"/>
        <v>46316</v>
      </c>
      <c r="AG355" s="37">
        <f t="shared" si="12"/>
        <v>47522.611570247936</v>
      </c>
      <c r="AH355" t="s">
        <v>1705</v>
      </c>
      <c r="AN355" s="43">
        <v>307.5</v>
      </c>
    </row>
    <row r="356" spans="2:40">
      <c r="B356" t="s">
        <v>694</v>
      </c>
      <c r="C356" t="s">
        <v>121</v>
      </c>
      <c r="D356" t="s">
        <v>167</v>
      </c>
      <c r="E356" t="s">
        <v>83</v>
      </c>
      <c r="F356" s="37">
        <v>45987</v>
      </c>
      <c r="G356">
        <v>10</v>
      </c>
      <c r="H356" t="s">
        <v>174</v>
      </c>
      <c r="I356" s="37">
        <v>46057</v>
      </c>
      <c r="J356" t="s">
        <v>165</v>
      </c>
      <c r="K356" t="s">
        <v>166</v>
      </c>
      <c r="L356" t="s">
        <v>175</v>
      </c>
      <c r="M356" t="s">
        <v>694</v>
      </c>
      <c r="O356" t="s">
        <v>694</v>
      </c>
      <c r="Q356" t="s">
        <v>1643</v>
      </c>
      <c r="U356" t="s">
        <v>1697</v>
      </c>
      <c r="W356" t="s">
        <v>1702</v>
      </c>
      <c r="X356">
        <v>1</v>
      </c>
      <c r="AA356" s="43">
        <v>307.5</v>
      </c>
      <c r="AC356" s="43">
        <v>307.5</v>
      </c>
      <c r="AF356" s="37">
        <f t="shared" si="11"/>
        <v>46316</v>
      </c>
      <c r="AG356" s="37">
        <f t="shared" si="12"/>
        <v>47522.611570247936</v>
      </c>
      <c r="AH356" t="s">
        <v>1705</v>
      </c>
      <c r="AN356" s="43">
        <v>307.5</v>
      </c>
    </row>
    <row r="357" spans="2:40">
      <c r="B357" t="s">
        <v>695</v>
      </c>
      <c r="C357" t="s">
        <v>121</v>
      </c>
      <c r="D357" t="s">
        <v>167</v>
      </c>
      <c r="E357" t="s">
        <v>83</v>
      </c>
      <c r="F357" s="37">
        <v>45987</v>
      </c>
      <c r="G357">
        <v>10</v>
      </c>
      <c r="H357" t="s">
        <v>174</v>
      </c>
      <c r="I357" s="37">
        <v>46057</v>
      </c>
      <c r="J357" t="s">
        <v>165</v>
      </c>
      <c r="K357" t="s">
        <v>166</v>
      </c>
      <c r="L357" t="s">
        <v>175</v>
      </c>
      <c r="M357" t="s">
        <v>695</v>
      </c>
      <c r="O357" t="s">
        <v>695</v>
      </c>
      <c r="Q357" t="s">
        <v>1643</v>
      </c>
      <c r="U357" t="s">
        <v>1697</v>
      </c>
      <c r="W357" t="s">
        <v>1702</v>
      </c>
      <c r="X357">
        <v>1</v>
      </c>
      <c r="AA357" s="43">
        <v>307.5</v>
      </c>
      <c r="AC357" s="43">
        <v>307.5</v>
      </c>
      <c r="AF357" s="37">
        <f t="shared" si="11"/>
        <v>46316</v>
      </c>
      <c r="AG357" s="37">
        <f t="shared" si="12"/>
        <v>47522.611570247936</v>
      </c>
      <c r="AH357" t="s">
        <v>1705</v>
      </c>
      <c r="AN357" s="43">
        <v>307.5</v>
      </c>
    </row>
    <row r="358" spans="2:40">
      <c r="B358" t="s">
        <v>696</v>
      </c>
      <c r="C358" t="s">
        <v>121</v>
      </c>
      <c r="D358" t="s">
        <v>167</v>
      </c>
      <c r="E358" t="s">
        <v>83</v>
      </c>
      <c r="F358" s="37">
        <v>45987</v>
      </c>
      <c r="G358">
        <v>10</v>
      </c>
      <c r="H358" t="s">
        <v>174</v>
      </c>
      <c r="I358" s="37">
        <v>46057</v>
      </c>
      <c r="J358" t="s">
        <v>165</v>
      </c>
      <c r="K358" t="s">
        <v>166</v>
      </c>
      <c r="L358" t="s">
        <v>175</v>
      </c>
      <c r="M358" t="s">
        <v>696</v>
      </c>
      <c r="O358" t="s">
        <v>696</v>
      </c>
      <c r="Q358" t="s">
        <v>1643</v>
      </c>
      <c r="U358" t="s">
        <v>1697</v>
      </c>
      <c r="W358" t="s">
        <v>1702</v>
      </c>
      <c r="X358">
        <v>1</v>
      </c>
      <c r="AA358" s="43">
        <v>307.5</v>
      </c>
      <c r="AC358" s="43">
        <v>307.5</v>
      </c>
      <c r="AF358" s="37">
        <f t="shared" si="11"/>
        <v>46316</v>
      </c>
      <c r="AG358" s="37">
        <f t="shared" si="12"/>
        <v>47522.611570247936</v>
      </c>
      <c r="AH358" t="s">
        <v>1705</v>
      </c>
      <c r="AN358" s="43">
        <v>307.5</v>
      </c>
    </row>
    <row r="359" spans="2:40">
      <c r="B359" t="s">
        <v>697</v>
      </c>
      <c r="C359" t="s">
        <v>121</v>
      </c>
      <c r="D359" t="s">
        <v>167</v>
      </c>
      <c r="E359" t="s">
        <v>83</v>
      </c>
      <c r="F359" s="37">
        <v>45987</v>
      </c>
      <c r="G359">
        <v>10</v>
      </c>
      <c r="H359" t="s">
        <v>174</v>
      </c>
      <c r="I359" s="37">
        <v>46057</v>
      </c>
      <c r="J359" t="s">
        <v>165</v>
      </c>
      <c r="K359" t="s">
        <v>166</v>
      </c>
      <c r="L359" t="s">
        <v>175</v>
      </c>
      <c r="M359" t="s">
        <v>697</v>
      </c>
      <c r="O359" t="s">
        <v>697</v>
      </c>
      <c r="Q359" t="s">
        <v>1643</v>
      </c>
      <c r="U359" t="s">
        <v>1697</v>
      </c>
      <c r="W359" t="s">
        <v>1702</v>
      </c>
      <c r="X359">
        <v>1</v>
      </c>
      <c r="AA359" s="43">
        <v>307.5</v>
      </c>
      <c r="AC359" s="43">
        <v>307.5</v>
      </c>
      <c r="AF359" s="37">
        <f t="shared" si="11"/>
        <v>46316</v>
      </c>
      <c r="AG359" s="37">
        <f t="shared" si="12"/>
        <v>47522.611570247936</v>
      </c>
      <c r="AH359" t="s">
        <v>1705</v>
      </c>
      <c r="AN359" s="43">
        <v>307.5</v>
      </c>
    </row>
    <row r="360" spans="2:40">
      <c r="B360" t="s">
        <v>698</v>
      </c>
      <c r="C360" t="s">
        <v>121</v>
      </c>
      <c r="D360" t="s">
        <v>167</v>
      </c>
      <c r="E360" t="s">
        <v>83</v>
      </c>
      <c r="F360" s="37">
        <v>45987</v>
      </c>
      <c r="G360">
        <v>10</v>
      </c>
      <c r="H360" t="s">
        <v>174</v>
      </c>
      <c r="I360" s="37">
        <v>46057</v>
      </c>
      <c r="J360" t="s">
        <v>165</v>
      </c>
      <c r="K360" t="s">
        <v>166</v>
      </c>
      <c r="L360" t="s">
        <v>175</v>
      </c>
      <c r="M360" t="s">
        <v>698</v>
      </c>
      <c r="O360" t="s">
        <v>698</v>
      </c>
      <c r="Q360" t="s">
        <v>1643</v>
      </c>
      <c r="U360" t="s">
        <v>1697</v>
      </c>
      <c r="W360" t="s">
        <v>1702</v>
      </c>
      <c r="X360">
        <v>1</v>
      </c>
      <c r="AA360" s="43">
        <v>307.5</v>
      </c>
      <c r="AC360" s="43">
        <v>307.5</v>
      </c>
      <c r="AF360" s="37">
        <f t="shared" si="11"/>
        <v>46316</v>
      </c>
      <c r="AG360" s="37">
        <f t="shared" si="12"/>
        <v>47522.611570247936</v>
      </c>
      <c r="AH360" t="s">
        <v>1705</v>
      </c>
      <c r="AN360" s="43">
        <v>307.5</v>
      </c>
    </row>
    <row r="361" spans="2:40">
      <c r="B361" t="s">
        <v>699</v>
      </c>
      <c r="C361" t="s">
        <v>121</v>
      </c>
      <c r="D361" t="s">
        <v>167</v>
      </c>
      <c r="E361" t="s">
        <v>83</v>
      </c>
      <c r="F361" s="37">
        <v>45987</v>
      </c>
      <c r="G361">
        <v>10</v>
      </c>
      <c r="H361" t="s">
        <v>174</v>
      </c>
      <c r="I361" s="37">
        <v>46057</v>
      </c>
      <c r="J361" t="s">
        <v>165</v>
      </c>
      <c r="K361" t="s">
        <v>166</v>
      </c>
      <c r="L361" t="s">
        <v>175</v>
      </c>
      <c r="M361" t="s">
        <v>699</v>
      </c>
      <c r="O361" t="s">
        <v>699</v>
      </c>
      <c r="Q361" t="s">
        <v>1643</v>
      </c>
      <c r="U361" t="s">
        <v>1697</v>
      </c>
      <c r="W361" t="s">
        <v>1702</v>
      </c>
      <c r="X361">
        <v>1</v>
      </c>
      <c r="AA361" s="43">
        <v>307.5</v>
      </c>
      <c r="AC361" s="43">
        <v>307.5</v>
      </c>
      <c r="AF361" s="37">
        <f t="shared" si="11"/>
        <v>46316</v>
      </c>
      <c r="AG361" s="37">
        <f t="shared" si="12"/>
        <v>47522.611570247936</v>
      </c>
      <c r="AH361" t="s">
        <v>1705</v>
      </c>
      <c r="AN361" s="43">
        <v>307.5</v>
      </c>
    </row>
    <row r="362" spans="2:40">
      <c r="B362" t="s">
        <v>700</v>
      </c>
      <c r="C362" t="s">
        <v>121</v>
      </c>
      <c r="D362" t="s">
        <v>167</v>
      </c>
      <c r="E362" t="s">
        <v>83</v>
      </c>
      <c r="F362" s="37">
        <v>45987</v>
      </c>
      <c r="G362">
        <v>10</v>
      </c>
      <c r="H362" t="s">
        <v>174</v>
      </c>
      <c r="I362" s="37">
        <v>46057</v>
      </c>
      <c r="J362" t="s">
        <v>165</v>
      </c>
      <c r="K362" t="s">
        <v>166</v>
      </c>
      <c r="L362" t="s">
        <v>175</v>
      </c>
      <c r="M362" t="s">
        <v>700</v>
      </c>
      <c r="O362" t="s">
        <v>700</v>
      </c>
      <c r="Q362" t="s">
        <v>1643</v>
      </c>
      <c r="U362" t="s">
        <v>1697</v>
      </c>
      <c r="W362" t="s">
        <v>1702</v>
      </c>
      <c r="X362">
        <v>1</v>
      </c>
      <c r="AA362" s="43">
        <v>307.5</v>
      </c>
      <c r="AC362" s="43">
        <v>307.5</v>
      </c>
      <c r="AF362" s="37">
        <f t="shared" si="11"/>
        <v>46316</v>
      </c>
      <c r="AG362" s="37">
        <f t="shared" si="12"/>
        <v>47522.611570247936</v>
      </c>
      <c r="AH362" t="s">
        <v>1705</v>
      </c>
      <c r="AN362" s="43">
        <v>307.5</v>
      </c>
    </row>
    <row r="363" spans="2:40">
      <c r="B363" t="s">
        <v>701</v>
      </c>
      <c r="C363" t="s">
        <v>121</v>
      </c>
      <c r="D363" t="s">
        <v>167</v>
      </c>
      <c r="E363" t="s">
        <v>83</v>
      </c>
      <c r="F363" s="37">
        <v>45987</v>
      </c>
      <c r="G363">
        <v>10</v>
      </c>
      <c r="H363" t="s">
        <v>174</v>
      </c>
      <c r="I363" s="37">
        <v>46057</v>
      </c>
      <c r="J363" t="s">
        <v>165</v>
      </c>
      <c r="K363" t="s">
        <v>166</v>
      </c>
      <c r="L363" t="s">
        <v>175</v>
      </c>
      <c r="M363" t="s">
        <v>701</v>
      </c>
      <c r="O363" t="s">
        <v>701</v>
      </c>
      <c r="Q363" t="s">
        <v>1643</v>
      </c>
      <c r="U363" t="s">
        <v>1697</v>
      </c>
      <c r="W363" t="s">
        <v>1702</v>
      </c>
      <c r="X363">
        <v>1</v>
      </c>
      <c r="AA363" s="43">
        <v>307.5</v>
      </c>
      <c r="AC363" s="43">
        <v>307.5</v>
      </c>
      <c r="AF363" s="37">
        <f t="shared" si="11"/>
        <v>46316</v>
      </c>
      <c r="AG363" s="37">
        <f t="shared" si="12"/>
        <v>47522.611570247936</v>
      </c>
      <c r="AH363" t="s">
        <v>1705</v>
      </c>
      <c r="AN363" s="43">
        <v>307.5</v>
      </c>
    </row>
    <row r="364" spans="2:40">
      <c r="B364" t="s">
        <v>702</v>
      </c>
      <c r="C364" t="s">
        <v>121</v>
      </c>
      <c r="D364" t="s">
        <v>167</v>
      </c>
      <c r="E364" t="s">
        <v>83</v>
      </c>
      <c r="F364" s="37">
        <v>45987</v>
      </c>
      <c r="G364">
        <v>10</v>
      </c>
      <c r="H364" t="s">
        <v>174</v>
      </c>
      <c r="I364" s="37">
        <v>46057</v>
      </c>
      <c r="J364" t="s">
        <v>165</v>
      </c>
      <c r="K364" t="s">
        <v>166</v>
      </c>
      <c r="L364" t="s">
        <v>175</v>
      </c>
      <c r="M364" t="s">
        <v>702</v>
      </c>
      <c r="O364" t="s">
        <v>702</v>
      </c>
      <c r="Q364" t="s">
        <v>1643</v>
      </c>
      <c r="U364" t="s">
        <v>1697</v>
      </c>
      <c r="W364" t="s">
        <v>1702</v>
      </c>
      <c r="X364">
        <v>1</v>
      </c>
      <c r="AA364" s="43">
        <v>307.5</v>
      </c>
      <c r="AC364" s="43">
        <v>307.5</v>
      </c>
      <c r="AF364" s="37">
        <f t="shared" si="11"/>
        <v>46316</v>
      </c>
      <c r="AG364" s="37">
        <f t="shared" si="12"/>
        <v>47522.611570247936</v>
      </c>
      <c r="AH364" t="s">
        <v>1705</v>
      </c>
      <c r="AN364" s="43">
        <v>307.5</v>
      </c>
    </row>
    <row r="365" spans="2:40">
      <c r="B365" t="s">
        <v>703</v>
      </c>
      <c r="C365" t="s">
        <v>121</v>
      </c>
      <c r="D365" t="s">
        <v>167</v>
      </c>
      <c r="E365" t="s">
        <v>83</v>
      </c>
      <c r="F365" s="37">
        <v>45980</v>
      </c>
      <c r="G365">
        <v>10</v>
      </c>
      <c r="H365" t="s">
        <v>174</v>
      </c>
      <c r="I365" s="37">
        <v>46050</v>
      </c>
      <c r="J365" t="s">
        <v>165</v>
      </c>
      <c r="K365" t="s">
        <v>166</v>
      </c>
      <c r="L365" t="s">
        <v>175</v>
      </c>
      <c r="M365" t="s">
        <v>703</v>
      </c>
      <c r="O365" t="s">
        <v>703</v>
      </c>
      <c r="Q365" t="s">
        <v>1643</v>
      </c>
      <c r="U365" t="s">
        <v>1697</v>
      </c>
      <c r="W365" t="s">
        <v>1702</v>
      </c>
      <c r="X365">
        <v>1</v>
      </c>
      <c r="AA365" s="43">
        <v>307.5</v>
      </c>
      <c r="AC365" s="43">
        <v>307.5</v>
      </c>
      <c r="AF365" s="37">
        <f t="shared" si="11"/>
        <v>46309</v>
      </c>
      <c r="AG365" s="37">
        <f t="shared" si="12"/>
        <v>47515.611570247936</v>
      </c>
      <c r="AH365" t="s">
        <v>1705</v>
      </c>
      <c r="AN365" s="43">
        <v>307.5</v>
      </c>
    </row>
    <row r="366" spans="2:40">
      <c r="B366" t="s">
        <v>704</v>
      </c>
      <c r="C366" t="s">
        <v>121</v>
      </c>
      <c r="D366" t="s">
        <v>167</v>
      </c>
      <c r="E366" t="s">
        <v>83</v>
      </c>
      <c r="F366" s="37">
        <v>45980</v>
      </c>
      <c r="G366">
        <v>10</v>
      </c>
      <c r="H366" t="s">
        <v>174</v>
      </c>
      <c r="I366" s="37">
        <v>46050</v>
      </c>
      <c r="J366" t="s">
        <v>165</v>
      </c>
      <c r="K366" t="s">
        <v>166</v>
      </c>
      <c r="L366" t="s">
        <v>175</v>
      </c>
      <c r="M366" t="s">
        <v>704</v>
      </c>
      <c r="O366" t="s">
        <v>704</v>
      </c>
      <c r="Q366" t="s">
        <v>1643</v>
      </c>
      <c r="U366" t="s">
        <v>1697</v>
      </c>
      <c r="W366" t="s">
        <v>1702</v>
      </c>
      <c r="X366">
        <v>1</v>
      </c>
      <c r="AA366" s="43">
        <v>307.5</v>
      </c>
      <c r="AC366" s="43">
        <v>307.5</v>
      </c>
      <c r="AF366" s="37">
        <f t="shared" si="11"/>
        <v>46309</v>
      </c>
      <c r="AG366" s="37">
        <f t="shared" si="12"/>
        <v>47515.611570247936</v>
      </c>
      <c r="AH366" t="s">
        <v>1705</v>
      </c>
      <c r="AN366" s="43">
        <v>307.5</v>
      </c>
    </row>
    <row r="367" spans="2:40">
      <c r="B367" t="s">
        <v>705</v>
      </c>
      <c r="C367" t="s">
        <v>121</v>
      </c>
      <c r="D367" t="s">
        <v>167</v>
      </c>
      <c r="E367" t="s">
        <v>83</v>
      </c>
      <c r="F367" s="37">
        <v>45980</v>
      </c>
      <c r="G367">
        <v>10</v>
      </c>
      <c r="H367" t="s">
        <v>174</v>
      </c>
      <c r="I367" s="37">
        <v>46050</v>
      </c>
      <c r="J367" t="s">
        <v>165</v>
      </c>
      <c r="K367" t="s">
        <v>166</v>
      </c>
      <c r="L367" t="s">
        <v>175</v>
      </c>
      <c r="M367" t="s">
        <v>705</v>
      </c>
      <c r="O367" t="s">
        <v>705</v>
      </c>
      <c r="Q367" t="s">
        <v>1643</v>
      </c>
      <c r="U367" t="s">
        <v>1697</v>
      </c>
      <c r="W367" t="s">
        <v>1702</v>
      </c>
      <c r="X367">
        <v>1</v>
      </c>
      <c r="AA367" s="43">
        <v>307.5</v>
      </c>
      <c r="AC367" s="43">
        <v>307.5</v>
      </c>
      <c r="AF367" s="37">
        <f t="shared" si="11"/>
        <v>46309</v>
      </c>
      <c r="AG367" s="37">
        <f t="shared" si="12"/>
        <v>47515.611570247936</v>
      </c>
      <c r="AH367" t="s">
        <v>1705</v>
      </c>
      <c r="AN367" s="43">
        <v>307.5</v>
      </c>
    </row>
    <row r="368" spans="2:40">
      <c r="B368" t="s">
        <v>706</v>
      </c>
      <c r="C368" t="s">
        <v>121</v>
      </c>
      <c r="D368" t="s">
        <v>167</v>
      </c>
      <c r="E368" t="s">
        <v>83</v>
      </c>
      <c r="F368" s="37">
        <v>45980</v>
      </c>
      <c r="G368">
        <v>10</v>
      </c>
      <c r="H368" t="s">
        <v>174</v>
      </c>
      <c r="I368" s="37">
        <v>46050</v>
      </c>
      <c r="J368" t="s">
        <v>165</v>
      </c>
      <c r="K368" t="s">
        <v>166</v>
      </c>
      <c r="L368" t="s">
        <v>175</v>
      </c>
      <c r="M368" t="s">
        <v>706</v>
      </c>
      <c r="O368" t="s">
        <v>706</v>
      </c>
      <c r="Q368" t="s">
        <v>1643</v>
      </c>
      <c r="U368" t="s">
        <v>1697</v>
      </c>
      <c r="W368" t="s">
        <v>1702</v>
      </c>
      <c r="X368">
        <v>1</v>
      </c>
      <c r="AA368" s="43">
        <v>307.5</v>
      </c>
      <c r="AC368" s="43">
        <v>307.5</v>
      </c>
      <c r="AF368" s="37">
        <f t="shared" si="11"/>
        <v>46309</v>
      </c>
      <c r="AG368" s="37">
        <f t="shared" si="12"/>
        <v>47515.611570247936</v>
      </c>
      <c r="AH368" t="s">
        <v>1705</v>
      </c>
      <c r="AN368" s="43">
        <v>307.5</v>
      </c>
    </row>
    <row r="369" spans="2:40">
      <c r="B369" t="s">
        <v>707</v>
      </c>
      <c r="C369" t="s">
        <v>121</v>
      </c>
      <c r="D369" t="s">
        <v>167</v>
      </c>
      <c r="E369" t="s">
        <v>83</v>
      </c>
      <c r="F369" s="37">
        <v>45980</v>
      </c>
      <c r="G369">
        <v>10</v>
      </c>
      <c r="H369" t="s">
        <v>174</v>
      </c>
      <c r="I369" s="37">
        <v>46050</v>
      </c>
      <c r="J369" t="s">
        <v>165</v>
      </c>
      <c r="K369" t="s">
        <v>166</v>
      </c>
      <c r="L369" t="s">
        <v>175</v>
      </c>
      <c r="M369" t="s">
        <v>707</v>
      </c>
      <c r="O369" t="s">
        <v>707</v>
      </c>
      <c r="Q369" t="s">
        <v>1643</v>
      </c>
      <c r="U369" t="s">
        <v>1697</v>
      </c>
      <c r="W369" t="s">
        <v>1702</v>
      </c>
      <c r="X369">
        <v>1</v>
      </c>
      <c r="AA369" s="43">
        <v>307.5</v>
      </c>
      <c r="AC369" s="43">
        <v>307.5</v>
      </c>
      <c r="AF369" s="37">
        <f t="shared" si="11"/>
        <v>46309</v>
      </c>
      <c r="AG369" s="37">
        <f t="shared" si="12"/>
        <v>47515.611570247936</v>
      </c>
      <c r="AH369" t="s">
        <v>1705</v>
      </c>
      <c r="AN369" s="43">
        <v>307.5</v>
      </c>
    </row>
    <row r="370" spans="2:40">
      <c r="B370" t="s">
        <v>708</v>
      </c>
      <c r="C370" t="s">
        <v>121</v>
      </c>
      <c r="D370" t="s">
        <v>167</v>
      </c>
      <c r="E370" t="s">
        <v>83</v>
      </c>
      <c r="F370" s="37">
        <v>45980</v>
      </c>
      <c r="G370">
        <v>10</v>
      </c>
      <c r="H370" t="s">
        <v>174</v>
      </c>
      <c r="I370" s="37">
        <v>46050</v>
      </c>
      <c r="J370" t="s">
        <v>165</v>
      </c>
      <c r="K370" t="s">
        <v>166</v>
      </c>
      <c r="L370" t="s">
        <v>175</v>
      </c>
      <c r="M370" t="s">
        <v>708</v>
      </c>
      <c r="O370" t="s">
        <v>708</v>
      </c>
      <c r="Q370" t="s">
        <v>1643</v>
      </c>
      <c r="U370" t="s">
        <v>1697</v>
      </c>
      <c r="W370" t="s">
        <v>1702</v>
      </c>
      <c r="X370">
        <v>1</v>
      </c>
      <c r="AA370" s="43">
        <v>307.5</v>
      </c>
      <c r="AC370" s="43">
        <v>307.5</v>
      </c>
      <c r="AF370" s="37">
        <f t="shared" si="11"/>
        <v>46309</v>
      </c>
      <c r="AG370" s="37">
        <f t="shared" si="12"/>
        <v>47515.611570247936</v>
      </c>
      <c r="AH370" t="s">
        <v>1705</v>
      </c>
      <c r="AN370" s="43">
        <v>307.5</v>
      </c>
    </row>
    <row r="371" spans="2:40">
      <c r="B371" t="s">
        <v>709</v>
      </c>
      <c r="C371" t="s">
        <v>121</v>
      </c>
      <c r="D371" t="s">
        <v>167</v>
      </c>
      <c r="E371" t="s">
        <v>83</v>
      </c>
      <c r="F371" s="37">
        <v>45980</v>
      </c>
      <c r="G371">
        <v>10</v>
      </c>
      <c r="H371" t="s">
        <v>174</v>
      </c>
      <c r="I371" s="37">
        <v>46050</v>
      </c>
      <c r="J371" t="s">
        <v>165</v>
      </c>
      <c r="K371" t="s">
        <v>166</v>
      </c>
      <c r="L371" t="s">
        <v>175</v>
      </c>
      <c r="M371" t="s">
        <v>709</v>
      </c>
      <c r="O371" t="s">
        <v>709</v>
      </c>
      <c r="Q371" t="s">
        <v>1643</v>
      </c>
      <c r="U371" t="s">
        <v>1697</v>
      </c>
      <c r="W371" t="s">
        <v>1702</v>
      </c>
      <c r="X371">
        <v>1</v>
      </c>
      <c r="AA371" s="43">
        <v>307.5</v>
      </c>
      <c r="AC371" s="43">
        <v>307.5</v>
      </c>
      <c r="AF371" s="37">
        <f t="shared" si="11"/>
        <v>46309</v>
      </c>
      <c r="AG371" s="37">
        <f t="shared" si="12"/>
        <v>47515.611570247936</v>
      </c>
      <c r="AH371" t="s">
        <v>1705</v>
      </c>
      <c r="AN371" s="43">
        <v>307.5</v>
      </c>
    </row>
    <row r="372" spans="2:40">
      <c r="B372" t="s">
        <v>710</v>
      </c>
      <c r="C372" t="s">
        <v>121</v>
      </c>
      <c r="D372" t="s">
        <v>167</v>
      </c>
      <c r="E372" t="s">
        <v>83</v>
      </c>
      <c r="F372" s="37">
        <v>45980</v>
      </c>
      <c r="G372">
        <v>10</v>
      </c>
      <c r="H372" t="s">
        <v>174</v>
      </c>
      <c r="I372" s="37">
        <v>46050</v>
      </c>
      <c r="J372" t="s">
        <v>165</v>
      </c>
      <c r="K372" t="s">
        <v>166</v>
      </c>
      <c r="L372" t="s">
        <v>175</v>
      </c>
      <c r="M372" t="s">
        <v>710</v>
      </c>
      <c r="O372" t="s">
        <v>710</v>
      </c>
      <c r="Q372" t="s">
        <v>1643</v>
      </c>
      <c r="U372" t="s">
        <v>1697</v>
      </c>
      <c r="W372" t="s">
        <v>1702</v>
      </c>
      <c r="X372">
        <v>1</v>
      </c>
      <c r="AA372" s="43">
        <v>307.5</v>
      </c>
      <c r="AC372" s="43">
        <v>307.5</v>
      </c>
      <c r="AF372" s="37">
        <f t="shared" si="11"/>
        <v>46309</v>
      </c>
      <c r="AG372" s="37">
        <f t="shared" si="12"/>
        <v>47515.611570247936</v>
      </c>
      <c r="AH372" t="s">
        <v>1705</v>
      </c>
      <c r="AN372" s="43">
        <v>307.5</v>
      </c>
    </row>
    <row r="373" spans="2:40">
      <c r="B373" t="s">
        <v>711</v>
      </c>
      <c r="C373" t="s">
        <v>121</v>
      </c>
      <c r="D373" t="s">
        <v>167</v>
      </c>
      <c r="E373" t="s">
        <v>83</v>
      </c>
      <c r="F373" s="37">
        <v>45980</v>
      </c>
      <c r="G373">
        <v>10</v>
      </c>
      <c r="H373" t="s">
        <v>174</v>
      </c>
      <c r="I373" s="37">
        <v>46050</v>
      </c>
      <c r="J373" t="s">
        <v>165</v>
      </c>
      <c r="K373" t="s">
        <v>166</v>
      </c>
      <c r="L373" t="s">
        <v>175</v>
      </c>
      <c r="M373" t="s">
        <v>711</v>
      </c>
      <c r="O373" t="s">
        <v>711</v>
      </c>
      <c r="Q373" t="s">
        <v>1643</v>
      </c>
      <c r="U373" t="s">
        <v>1697</v>
      </c>
      <c r="W373" t="s">
        <v>1702</v>
      </c>
      <c r="X373">
        <v>1</v>
      </c>
      <c r="AA373" s="43">
        <v>307.5</v>
      </c>
      <c r="AC373" s="43">
        <v>307.5</v>
      </c>
      <c r="AF373" s="37">
        <f t="shared" si="11"/>
        <v>46309</v>
      </c>
      <c r="AG373" s="37">
        <f t="shared" si="12"/>
        <v>47515.611570247936</v>
      </c>
      <c r="AH373" t="s">
        <v>1705</v>
      </c>
      <c r="AN373" s="43">
        <v>307.5</v>
      </c>
    </row>
    <row r="374" spans="2:40">
      <c r="B374" t="s">
        <v>712</v>
      </c>
      <c r="C374" t="s">
        <v>121</v>
      </c>
      <c r="D374" t="s">
        <v>167</v>
      </c>
      <c r="E374" t="s">
        <v>83</v>
      </c>
      <c r="F374" s="37">
        <v>45980</v>
      </c>
      <c r="G374">
        <v>10</v>
      </c>
      <c r="H374" t="s">
        <v>174</v>
      </c>
      <c r="I374" s="37">
        <v>46050</v>
      </c>
      <c r="J374" t="s">
        <v>165</v>
      </c>
      <c r="K374" t="s">
        <v>166</v>
      </c>
      <c r="L374" t="s">
        <v>175</v>
      </c>
      <c r="M374" t="s">
        <v>712</v>
      </c>
      <c r="O374" t="s">
        <v>712</v>
      </c>
      <c r="Q374" t="s">
        <v>1643</v>
      </c>
      <c r="U374" t="s">
        <v>1697</v>
      </c>
      <c r="W374" t="s">
        <v>1702</v>
      </c>
      <c r="X374">
        <v>1</v>
      </c>
      <c r="AA374" s="43">
        <v>307.5</v>
      </c>
      <c r="AC374" s="43">
        <v>307.5</v>
      </c>
      <c r="AF374" s="37">
        <f t="shared" si="11"/>
        <v>46309</v>
      </c>
      <c r="AG374" s="37">
        <f t="shared" si="12"/>
        <v>47515.611570247936</v>
      </c>
      <c r="AH374" t="s">
        <v>1705</v>
      </c>
      <c r="AN374" s="43">
        <v>307.5</v>
      </c>
    </row>
    <row r="375" spans="2:40">
      <c r="B375" t="s">
        <v>713</v>
      </c>
      <c r="C375" t="s">
        <v>121</v>
      </c>
      <c r="D375" t="s">
        <v>167</v>
      </c>
      <c r="E375" t="s">
        <v>83</v>
      </c>
      <c r="F375" s="37">
        <v>45980</v>
      </c>
      <c r="G375">
        <v>10</v>
      </c>
      <c r="H375" t="s">
        <v>174</v>
      </c>
      <c r="I375" s="37">
        <v>46050</v>
      </c>
      <c r="J375" t="s">
        <v>165</v>
      </c>
      <c r="K375" t="s">
        <v>166</v>
      </c>
      <c r="L375" t="s">
        <v>175</v>
      </c>
      <c r="M375" t="s">
        <v>713</v>
      </c>
      <c r="O375" t="s">
        <v>713</v>
      </c>
      <c r="Q375" t="s">
        <v>1643</v>
      </c>
      <c r="U375" t="s">
        <v>1697</v>
      </c>
      <c r="W375" t="s">
        <v>1702</v>
      </c>
      <c r="X375">
        <v>1</v>
      </c>
      <c r="AA375" s="43">
        <v>307.5</v>
      </c>
      <c r="AC375" s="43">
        <v>307.5</v>
      </c>
      <c r="AF375" s="37">
        <f t="shared" si="11"/>
        <v>46309</v>
      </c>
      <c r="AG375" s="37">
        <f t="shared" si="12"/>
        <v>47515.611570247936</v>
      </c>
      <c r="AH375" t="s">
        <v>1705</v>
      </c>
      <c r="AN375" s="43">
        <v>307.5</v>
      </c>
    </row>
    <row r="376" spans="2:40">
      <c r="B376" t="s">
        <v>714</v>
      </c>
      <c r="C376" t="s">
        <v>121</v>
      </c>
      <c r="D376" t="s">
        <v>167</v>
      </c>
      <c r="E376" t="s">
        <v>83</v>
      </c>
      <c r="F376" s="37">
        <v>45980</v>
      </c>
      <c r="G376">
        <v>10</v>
      </c>
      <c r="H376" t="s">
        <v>174</v>
      </c>
      <c r="I376" s="37">
        <v>46050</v>
      </c>
      <c r="J376" t="s">
        <v>165</v>
      </c>
      <c r="K376" t="s">
        <v>166</v>
      </c>
      <c r="L376" t="s">
        <v>175</v>
      </c>
      <c r="M376" t="s">
        <v>714</v>
      </c>
      <c r="O376" t="s">
        <v>714</v>
      </c>
      <c r="Q376" t="s">
        <v>1643</v>
      </c>
      <c r="U376" t="s">
        <v>1697</v>
      </c>
      <c r="W376" t="s">
        <v>1702</v>
      </c>
      <c r="X376">
        <v>1</v>
      </c>
      <c r="AA376" s="43">
        <v>307.5</v>
      </c>
      <c r="AC376" s="43">
        <v>307.5</v>
      </c>
      <c r="AF376" s="37">
        <f t="shared" si="11"/>
        <v>46309</v>
      </c>
      <c r="AG376" s="37">
        <f t="shared" si="12"/>
        <v>47515.611570247936</v>
      </c>
      <c r="AH376" t="s">
        <v>1705</v>
      </c>
      <c r="AN376" s="43">
        <v>307.5</v>
      </c>
    </row>
    <row r="377" spans="2:40">
      <c r="B377" t="s">
        <v>715</v>
      </c>
      <c r="C377" t="s">
        <v>121</v>
      </c>
      <c r="D377" t="s">
        <v>167</v>
      </c>
      <c r="E377" t="s">
        <v>83</v>
      </c>
      <c r="F377" s="37">
        <v>45966</v>
      </c>
      <c r="G377">
        <v>10</v>
      </c>
      <c r="H377" t="s">
        <v>174</v>
      </c>
      <c r="I377" s="37">
        <v>46036</v>
      </c>
      <c r="J377" t="s">
        <v>165</v>
      </c>
      <c r="K377" t="s">
        <v>166</v>
      </c>
      <c r="L377" t="s">
        <v>175</v>
      </c>
      <c r="M377" t="s">
        <v>715</v>
      </c>
      <c r="O377" t="s">
        <v>715</v>
      </c>
      <c r="Q377" t="s">
        <v>1643</v>
      </c>
      <c r="U377" t="s">
        <v>1697</v>
      </c>
      <c r="W377" t="s">
        <v>1702</v>
      </c>
      <c r="X377">
        <v>1</v>
      </c>
      <c r="AA377" s="43">
        <v>307.5</v>
      </c>
      <c r="AC377" s="43">
        <v>307.5</v>
      </c>
      <c r="AF377" s="37">
        <f t="shared" si="11"/>
        <v>46295</v>
      </c>
      <c r="AG377" s="37">
        <f t="shared" si="12"/>
        <v>47501.611570247936</v>
      </c>
      <c r="AH377" t="s">
        <v>1705</v>
      </c>
      <c r="AN377" s="43">
        <v>307.5</v>
      </c>
    </row>
    <row r="378" spans="2:40">
      <c r="B378" t="s">
        <v>716</v>
      </c>
      <c r="C378" t="s">
        <v>121</v>
      </c>
      <c r="D378" t="s">
        <v>167</v>
      </c>
      <c r="E378" t="s">
        <v>83</v>
      </c>
      <c r="F378" s="37">
        <v>45966</v>
      </c>
      <c r="G378">
        <v>10</v>
      </c>
      <c r="H378" t="s">
        <v>174</v>
      </c>
      <c r="I378" s="37">
        <v>46036</v>
      </c>
      <c r="J378" t="s">
        <v>165</v>
      </c>
      <c r="K378" t="s">
        <v>166</v>
      </c>
      <c r="L378" t="s">
        <v>175</v>
      </c>
      <c r="M378" t="s">
        <v>716</v>
      </c>
      <c r="O378" t="s">
        <v>716</v>
      </c>
      <c r="Q378" t="s">
        <v>1643</v>
      </c>
      <c r="U378" t="s">
        <v>1697</v>
      </c>
      <c r="W378" t="s">
        <v>1702</v>
      </c>
      <c r="X378">
        <v>1</v>
      </c>
      <c r="AA378" s="43">
        <v>307.5</v>
      </c>
      <c r="AC378" s="43">
        <v>307.5</v>
      </c>
      <c r="AF378" s="37">
        <f t="shared" si="11"/>
        <v>46295</v>
      </c>
      <c r="AG378" s="37">
        <f t="shared" si="12"/>
        <v>47501.611570247936</v>
      </c>
      <c r="AH378" t="s">
        <v>1705</v>
      </c>
      <c r="AN378" s="43">
        <v>307.5</v>
      </c>
    </row>
    <row r="379" spans="2:40">
      <c r="B379" t="s">
        <v>717</v>
      </c>
      <c r="C379" t="s">
        <v>121</v>
      </c>
      <c r="D379" t="s">
        <v>167</v>
      </c>
      <c r="E379" t="s">
        <v>83</v>
      </c>
      <c r="F379" s="37">
        <v>45966</v>
      </c>
      <c r="G379">
        <v>10</v>
      </c>
      <c r="H379" t="s">
        <v>174</v>
      </c>
      <c r="I379" s="37">
        <v>46036</v>
      </c>
      <c r="J379" t="s">
        <v>165</v>
      </c>
      <c r="K379" t="s">
        <v>166</v>
      </c>
      <c r="L379" t="s">
        <v>175</v>
      </c>
      <c r="M379" t="s">
        <v>717</v>
      </c>
      <c r="O379" t="s">
        <v>717</v>
      </c>
      <c r="Q379" t="s">
        <v>1643</v>
      </c>
      <c r="U379" t="s">
        <v>1697</v>
      </c>
      <c r="W379" t="s">
        <v>1702</v>
      </c>
      <c r="X379">
        <v>1</v>
      </c>
      <c r="AA379" s="43">
        <v>307.5</v>
      </c>
      <c r="AC379" s="43">
        <v>307.5</v>
      </c>
      <c r="AF379" s="37">
        <f t="shared" si="11"/>
        <v>46295</v>
      </c>
      <c r="AG379" s="37">
        <f t="shared" si="12"/>
        <v>47501.611570247936</v>
      </c>
      <c r="AH379" t="s">
        <v>1705</v>
      </c>
      <c r="AN379" s="43">
        <v>307.5</v>
      </c>
    </row>
    <row r="380" spans="2:40">
      <c r="B380" t="s">
        <v>718</v>
      </c>
      <c r="C380" t="s">
        <v>121</v>
      </c>
      <c r="D380" t="s">
        <v>167</v>
      </c>
      <c r="E380" t="s">
        <v>83</v>
      </c>
      <c r="F380" s="37">
        <v>45966</v>
      </c>
      <c r="G380">
        <v>10</v>
      </c>
      <c r="H380" t="s">
        <v>174</v>
      </c>
      <c r="I380" s="37">
        <v>46036</v>
      </c>
      <c r="J380" t="s">
        <v>165</v>
      </c>
      <c r="K380" t="s">
        <v>166</v>
      </c>
      <c r="L380" t="s">
        <v>175</v>
      </c>
      <c r="M380" t="s">
        <v>718</v>
      </c>
      <c r="O380" t="s">
        <v>718</v>
      </c>
      <c r="Q380" t="s">
        <v>1643</v>
      </c>
      <c r="U380" t="s">
        <v>1697</v>
      </c>
      <c r="W380" t="s">
        <v>1702</v>
      </c>
      <c r="X380">
        <v>1</v>
      </c>
      <c r="AA380" s="43">
        <v>307.5</v>
      </c>
      <c r="AC380" s="43">
        <v>307.5</v>
      </c>
      <c r="AF380" s="37">
        <f t="shared" si="11"/>
        <v>46295</v>
      </c>
      <c r="AG380" s="37">
        <f t="shared" si="12"/>
        <v>47501.611570247936</v>
      </c>
      <c r="AH380" t="s">
        <v>1705</v>
      </c>
      <c r="AN380" s="43">
        <v>307.5</v>
      </c>
    </row>
    <row r="381" spans="2:40">
      <c r="B381" t="s">
        <v>719</v>
      </c>
      <c r="C381" t="s">
        <v>121</v>
      </c>
      <c r="D381" t="s">
        <v>167</v>
      </c>
      <c r="E381" t="s">
        <v>83</v>
      </c>
      <c r="F381" s="37">
        <v>45966</v>
      </c>
      <c r="G381">
        <v>10</v>
      </c>
      <c r="H381" t="s">
        <v>174</v>
      </c>
      <c r="I381" s="37">
        <v>46036</v>
      </c>
      <c r="J381" t="s">
        <v>165</v>
      </c>
      <c r="K381" t="s">
        <v>166</v>
      </c>
      <c r="L381" t="s">
        <v>175</v>
      </c>
      <c r="M381" t="s">
        <v>719</v>
      </c>
      <c r="O381" t="s">
        <v>719</v>
      </c>
      <c r="Q381" t="s">
        <v>1643</v>
      </c>
      <c r="U381" t="s">
        <v>1697</v>
      </c>
      <c r="W381" t="s">
        <v>1702</v>
      </c>
      <c r="X381">
        <v>1</v>
      </c>
      <c r="AA381" s="43">
        <v>307.5</v>
      </c>
      <c r="AC381" s="43">
        <v>307.5</v>
      </c>
      <c r="AF381" s="37">
        <f t="shared" si="11"/>
        <v>46295</v>
      </c>
      <c r="AG381" s="37">
        <f t="shared" si="12"/>
        <v>47501.611570247936</v>
      </c>
      <c r="AH381" t="s">
        <v>1705</v>
      </c>
      <c r="AN381" s="43">
        <v>307.5</v>
      </c>
    </row>
    <row r="382" spans="2:40">
      <c r="B382" t="s">
        <v>720</v>
      </c>
      <c r="C382" t="s">
        <v>121</v>
      </c>
      <c r="D382" t="s">
        <v>167</v>
      </c>
      <c r="E382" t="s">
        <v>83</v>
      </c>
      <c r="F382" s="37">
        <v>45966</v>
      </c>
      <c r="G382">
        <v>10</v>
      </c>
      <c r="H382" t="s">
        <v>174</v>
      </c>
      <c r="I382" s="37">
        <v>46036</v>
      </c>
      <c r="J382" t="s">
        <v>165</v>
      </c>
      <c r="K382" t="s">
        <v>166</v>
      </c>
      <c r="L382" t="s">
        <v>175</v>
      </c>
      <c r="M382" t="s">
        <v>720</v>
      </c>
      <c r="O382" t="s">
        <v>720</v>
      </c>
      <c r="Q382" t="s">
        <v>1643</v>
      </c>
      <c r="U382" t="s">
        <v>1697</v>
      </c>
      <c r="W382" t="s">
        <v>1702</v>
      </c>
      <c r="X382">
        <v>1</v>
      </c>
      <c r="AA382" s="43">
        <v>307.5</v>
      </c>
      <c r="AC382" s="43">
        <v>307.5</v>
      </c>
      <c r="AF382" s="37">
        <f t="shared" si="11"/>
        <v>46295</v>
      </c>
      <c r="AG382" s="37">
        <f t="shared" si="12"/>
        <v>47501.611570247936</v>
      </c>
      <c r="AH382" t="s">
        <v>1705</v>
      </c>
      <c r="AN382" s="43">
        <v>307.5</v>
      </c>
    </row>
    <row r="383" spans="2:40">
      <c r="B383" t="s">
        <v>721</v>
      </c>
      <c r="C383" t="s">
        <v>121</v>
      </c>
      <c r="D383" t="s">
        <v>167</v>
      </c>
      <c r="E383" t="s">
        <v>83</v>
      </c>
      <c r="F383" s="37">
        <v>45966</v>
      </c>
      <c r="G383">
        <v>10</v>
      </c>
      <c r="H383" t="s">
        <v>174</v>
      </c>
      <c r="I383" s="37">
        <v>46036</v>
      </c>
      <c r="J383" t="s">
        <v>165</v>
      </c>
      <c r="K383" t="s">
        <v>166</v>
      </c>
      <c r="L383" t="s">
        <v>175</v>
      </c>
      <c r="M383" t="s">
        <v>721</v>
      </c>
      <c r="O383" t="s">
        <v>721</v>
      </c>
      <c r="Q383" t="s">
        <v>1643</v>
      </c>
      <c r="U383" t="s">
        <v>1697</v>
      </c>
      <c r="W383" t="s">
        <v>1702</v>
      </c>
      <c r="X383">
        <v>1</v>
      </c>
      <c r="AA383" s="43">
        <v>307.5</v>
      </c>
      <c r="AC383" s="43">
        <v>307.5</v>
      </c>
      <c r="AF383" s="37">
        <f t="shared" si="11"/>
        <v>46295</v>
      </c>
      <c r="AG383" s="37">
        <f t="shared" si="12"/>
        <v>47501.611570247936</v>
      </c>
      <c r="AH383" t="s">
        <v>1705</v>
      </c>
      <c r="AN383" s="43">
        <v>307.5</v>
      </c>
    </row>
    <row r="384" spans="2:40">
      <c r="B384" t="s">
        <v>722</v>
      </c>
      <c r="C384" t="s">
        <v>121</v>
      </c>
      <c r="D384" t="s">
        <v>167</v>
      </c>
      <c r="E384" t="s">
        <v>83</v>
      </c>
      <c r="F384" s="37">
        <v>45966</v>
      </c>
      <c r="G384">
        <v>10</v>
      </c>
      <c r="H384" t="s">
        <v>174</v>
      </c>
      <c r="I384" s="37">
        <v>46036</v>
      </c>
      <c r="J384" t="s">
        <v>165</v>
      </c>
      <c r="K384" t="s">
        <v>166</v>
      </c>
      <c r="L384" t="s">
        <v>175</v>
      </c>
      <c r="M384" t="s">
        <v>722</v>
      </c>
      <c r="O384" t="s">
        <v>722</v>
      </c>
      <c r="Q384" t="s">
        <v>1643</v>
      </c>
      <c r="U384" t="s">
        <v>1697</v>
      </c>
      <c r="W384" t="s">
        <v>1702</v>
      </c>
      <c r="X384">
        <v>1</v>
      </c>
      <c r="AA384" s="43">
        <v>307.5</v>
      </c>
      <c r="AC384" s="43">
        <v>307.5</v>
      </c>
      <c r="AF384" s="37">
        <f t="shared" si="11"/>
        <v>46295</v>
      </c>
      <c r="AG384" s="37">
        <f t="shared" si="12"/>
        <v>47501.611570247936</v>
      </c>
      <c r="AH384" t="s">
        <v>1705</v>
      </c>
      <c r="AN384" s="43">
        <v>307.5</v>
      </c>
    </row>
    <row r="385" spans="2:40">
      <c r="B385" t="s">
        <v>723</v>
      </c>
      <c r="C385" t="s">
        <v>121</v>
      </c>
      <c r="D385" t="s">
        <v>167</v>
      </c>
      <c r="E385" t="s">
        <v>83</v>
      </c>
      <c r="F385" s="37">
        <v>45966</v>
      </c>
      <c r="G385">
        <v>10</v>
      </c>
      <c r="H385" t="s">
        <v>174</v>
      </c>
      <c r="I385" s="37">
        <v>46036</v>
      </c>
      <c r="J385" t="s">
        <v>165</v>
      </c>
      <c r="K385" t="s">
        <v>166</v>
      </c>
      <c r="L385" t="s">
        <v>175</v>
      </c>
      <c r="M385" t="s">
        <v>723</v>
      </c>
      <c r="O385" t="s">
        <v>723</v>
      </c>
      <c r="Q385" t="s">
        <v>1643</v>
      </c>
      <c r="U385" t="s">
        <v>1697</v>
      </c>
      <c r="W385" t="s">
        <v>1702</v>
      </c>
      <c r="X385">
        <v>1</v>
      </c>
      <c r="AA385" s="43">
        <v>307.5</v>
      </c>
      <c r="AC385" s="43">
        <v>307.5</v>
      </c>
      <c r="AF385" s="37">
        <f t="shared" si="11"/>
        <v>46295</v>
      </c>
      <c r="AG385" s="37">
        <f t="shared" si="12"/>
        <v>47501.611570247936</v>
      </c>
      <c r="AH385" t="s">
        <v>1705</v>
      </c>
      <c r="AN385" s="43">
        <v>307.5</v>
      </c>
    </row>
    <row r="386" spans="2:40">
      <c r="B386" t="s">
        <v>724</v>
      </c>
      <c r="C386" t="s">
        <v>121</v>
      </c>
      <c r="D386" t="s">
        <v>167</v>
      </c>
      <c r="E386" t="s">
        <v>83</v>
      </c>
      <c r="F386" s="37">
        <v>45966</v>
      </c>
      <c r="G386">
        <v>10</v>
      </c>
      <c r="H386" t="s">
        <v>174</v>
      </c>
      <c r="I386" s="37">
        <v>46036</v>
      </c>
      <c r="J386" t="s">
        <v>165</v>
      </c>
      <c r="K386" t="s">
        <v>166</v>
      </c>
      <c r="L386" t="s">
        <v>175</v>
      </c>
      <c r="M386" t="s">
        <v>724</v>
      </c>
      <c r="O386" t="s">
        <v>724</v>
      </c>
      <c r="Q386" t="s">
        <v>1643</v>
      </c>
      <c r="U386" t="s">
        <v>1697</v>
      </c>
      <c r="W386" t="s">
        <v>1702</v>
      </c>
      <c r="X386">
        <v>1</v>
      </c>
      <c r="AA386" s="43">
        <v>307.5</v>
      </c>
      <c r="AC386" s="43">
        <v>307.5</v>
      </c>
      <c r="AF386" s="37">
        <f t="shared" si="11"/>
        <v>46295</v>
      </c>
      <c r="AG386" s="37">
        <f t="shared" si="12"/>
        <v>47501.611570247936</v>
      </c>
      <c r="AH386" t="s">
        <v>1705</v>
      </c>
      <c r="AN386" s="43">
        <v>307.5</v>
      </c>
    </row>
    <row r="387" spans="2:40">
      <c r="B387" t="s">
        <v>725</v>
      </c>
      <c r="C387" t="s">
        <v>121</v>
      </c>
      <c r="D387" t="s">
        <v>167</v>
      </c>
      <c r="E387" t="s">
        <v>83</v>
      </c>
      <c r="F387" s="37">
        <v>45966</v>
      </c>
      <c r="G387">
        <v>10</v>
      </c>
      <c r="H387" t="s">
        <v>174</v>
      </c>
      <c r="I387" s="37">
        <v>46036</v>
      </c>
      <c r="J387" t="s">
        <v>165</v>
      </c>
      <c r="K387" t="s">
        <v>166</v>
      </c>
      <c r="L387" t="s">
        <v>175</v>
      </c>
      <c r="M387" t="s">
        <v>725</v>
      </c>
      <c r="O387" t="s">
        <v>725</v>
      </c>
      <c r="Q387" t="s">
        <v>1643</v>
      </c>
      <c r="U387" t="s">
        <v>1697</v>
      </c>
      <c r="W387" t="s">
        <v>1702</v>
      </c>
      <c r="X387">
        <v>1</v>
      </c>
      <c r="AA387" s="43">
        <v>307.5</v>
      </c>
      <c r="AC387" s="43">
        <v>307.5</v>
      </c>
      <c r="AF387" s="37">
        <f t="shared" si="11"/>
        <v>46295</v>
      </c>
      <c r="AG387" s="37">
        <f t="shared" si="12"/>
        <v>47501.611570247936</v>
      </c>
      <c r="AH387" t="s">
        <v>1705</v>
      </c>
      <c r="AN387" s="43">
        <v>307.5</v>
      </c>
    </row>
    <row r="388" spans="2:40">
      <c r="B388" t="s">
        <v>726</v>
      </c>
      <c r="C388" t="s">
        <v>121</v>
      </c>
      <c r="D388" t="s">
        <v>167</v>
      </c>
      <c r="E388" t="s">
        <v>83</v>
      </c>
      <c r="F388" s="37">
        <v>45966</v>
      </c>
      <c r="G388">
        <v>10</v>
      </c>
      <c r="H388" t="s">
        <v>174</v>
      </c>
      <c r="I388" s="37">
        <v>46036</v>
      </c>
      <c r="J388" t="s">
        <v>165</v>
      </c>
      <c r="K388" t="s">
        <v>166</v>
      </c>
      <c r="L388" t="s">
        <v>175</v>
      </c>
      <c r="M388" t="s">
        <v>726</v>
      </c>
      <c r="O388" t="s">
        <v>726</v>
      </c>
      <c r="Q388" t="s">
        <v>1643</v>
      </c>
      <c r="U388" t="s">
        <v>1697</v>
      </c>
      <c r="W388" t="s">
        <v>1702</v>
      </c>
      <c r="X388">
        <v>1</v>
      </c>
      <c r="AA388" s="43">
        <v>307.5</v>
      </c>
      <c r="AC388" s="43">
        <v>307.5</v>
      </c>
      <c r="AF388" s="37">
        <f t="shared" si="11"/>
        <v>46295</v>
      </c>
      <c r="AG388" s="37">
        <f t="shared" si="12"/>
        <v>47501.611570247936</v>
      </c>
      <c r="AH388" t="s">
        <v>1705</v>
      </c>
      <c r="AN388" s="43">
        <v>307.5</v>
      </c>
    </row>
    <row r="389" spans="2:40">
      <c r="B389" t="s">
        <v>727</v>
      </c>
      <c r="C389" t="s">
        <v>121</v>
      </c>
      <c r="D389" t="s">
        <v>167</v>
      </c>
      <c r="E389" t="s">
        <v>83</v>
      </c>
      <c r="F389" s="37">
        <v>45966</v>
      </c>
      <c r="G389">
        <v>10</v>
      </c>
      <c r="H389" t="s">
        <v>174</v>
      </c>
      <c r="I389" s="37">
        <v>46036</v>
      </c>
      <c r="J389" t="s">
        <v>165</v>
      </c>
      <c r="K389" t="s">
        <v>166</v>
      </c>
      <c r="L389" t="s">
        <v>175</v>
      </c>
      <c r="M389" t="s">
        <v>727</v>
      </c>
      <c r="O389" t="s">
        <v>727</v>
      </c>
      <c r="Q389" t="s">
        <v>1643</v>
      </c>
      <c r="U389" t="s">
        <v>1697</v>
      </c>
      <c r="W389" t="s">
        <v>1702</v>
      </c>
      <c r="X389">
        <v>1</v>
      </c>
      <c r="AA389" s="43">
        <v>307.5</v>
      </c>
      <c r="AC389" s="43">
        <v>307.5</v>
      </c>
      <c r="AF389" s="37">
        <f t="shared" si="11"/>
        <v>46295</v>
      </c>
      <c r="AG389" s="37">
        <f t="shared" si="12"/>
        <v>47501.611570247936</v>
      </c>
      <c r="AH389" t="s">
        <v>1705</v>
      </c>
      <c r="AN389" s="43">
        <v>307.5</v>
      </c>
    </row>
    <row r="390" spans="2:40">
      <c r="B390" t="s">
        <v>728</v>
      </c>
      <c r="C390" t="s">
        <v>121</v>
      </c>
      <c r="D390" t="s">
        <v>167</v>
      </c>
      <c r="E390" t="s">
        <v>83</v>
      </c>
      <c r="F390" s="37">
        <v>45966</v>
      </c>
      <c r="G390">
        <v>10</v>
      </c>
      <c r="H390" t="s">
        <v>174</v>
      </c>
      <c r="I390" s="37">
        <v>46036</v>
      </c>
      <c r="J390" t="s">
        <v>165</v>
      </c>
      <c r="K390" t="s">
        <v>166</v>
      </c>
      <c r="L390" t="s">
        <v>175</v>
      </c>
      <c r="M390" t="s">
        <v>728</v>
      </c>
      <c r="O390" t="s">
        <v>728</v>
      </c>
      <c r="Q390" t="s">
        <v>1643</v>
      </c>
      <c r="U390" t="s">
        <v>1697</v>
      </c>
      <c r="W390" t="s">
        <v>1702</v>
      </c>
      <c r="X390">
        <v>1</v>
      </c>
      <c r="AA390" s="43">
        <v>307.5</v>
      </c>
      <c r="AC390" s="43">
        <v>307.5</v>
      </c>
      <c r="AF390" s="37">
        <f t="shared" si="11"/>
        <v>46295</v>
      </c>
      <c r="AG390" s="37">
        <f t="shared" si="12"/>
        <v>47501.611570247936</v>
      </c>
      <c r="AH390" t="s">
        <v>1705</v>
      </c>
      <c r="AN390" s="43">
        <v>307.5</v>
      </c>
    </row>
    <row r="391" spans="2:40">
      <c r="B391" t="s">
        <v>729</v>
      </c>
      <c r="C391" t="s">
        <v>121</v>
      </c>
      <c r="D391" t="s">
        <v>167</v>
      </c>
      <c r="E391" t="s">
        <v>83</v>
      </c>
      <c r="F391" s="37">
        <v>45966</v>
      </c>
      <c r="G391">
        <v>10</v>
      </c>
      <c r="H391" t="s">
        <v>174</v>
      </c>
      <c r="I391" s="37">
        <v>46036</v>
      </c>
      <c r="J391" t="s">
        <v>165</v>
      </c>
      <c r="K391" t="s">
        <v>166</v>
      </c>
      <c r="L391" t="s">
        <v>175</v>
      </c>
      <c r="M391" t="s">
        <v>729</v>
      </c>
      <c r="O391" t="s">
        <v>729</v>
      </c>
      <c r="Q391" t="s">
        <v>1643</v>
      </c>
      <c r="U391" t="s">
        <v>1697</v>
      </c>
      <c r="W391" t="s">
        <v>1702</v>
      </c>
      <c r="X391">
        <v>1</v>
      </c>
      <c r="AA391" s="43">
        <v>307.5</v>
      </c>
      <c r="AC391" s="43">
        <v>307.5</v>
      </c>
      <c r="AF391" s="37">
        <f t="shared" ref="AF391:AF454" si="13">F391+(47*7)</f>
        <v>46295</v>
      </c>
      <c r="AG391" s="37">
        <f t="shared" ref="AG391:AG454" si="14">+AF391+(365*8)/2.42</f>
        <v>47501.611570247936</v>
      </c>
      <c r="AH391" t="s">
        <v>1705</v>
      </c>
      <c r="AN391" s="43">
        <v>307.5</v>
      </c>
    </row>
    <row r="392" spans="2:40">
      <c r="B392" t="s">
        <v>730</v>
      </c>
      <c r="C392" t="s">
        <v>121</v>
      </c>
      <c r="D392" t="s">
        <v>167</v>
      </c>
      <c r="E392" t="s">
        <v>83</v>
      </c>
      <c r="F392" s="37">
        <v>45966</v>
      </c>
      <c r="G392">
        <v>10</v>
      </c>
      <c r="H392" t="s">
        <v>174</v>
      </c>
      <c r="I392" s="37">
        <v>46036</v>
      </c>
      <c r="J392" t="s">
        <v>165</v>
      </c>
      <c r="K392" t="s">
        <v>166</v>
      </c>
      <c r="L392" t="s">
        <v>175</v>
      </c>
      <c r="M392" t="s">
        <v>730</v>
      </c>
      <c r="O392" t="s">
        <v>730</v>
      </c>
      <c r="Q392" t="s">
        <v>1643</v>
      </c>
      <c r="U392" t="s">
        <v>1697</v>
      </c>
      <c r="W392" t="s">
        <v>1702</v>
      </c>
      <c r="X392">
        <v>1</v>
      </c>
      <c r="AA392" s="43">
        <v>307.5</v>
      </c>
      <c r="AC392" s="43">
        <v>307.5</v>
      </c>
      <c r="AF392" s="37">
        <f t="shared" si="13"/>
        <v>46295</v>
      </c>
      <c r="AG392" s="37">
        <f t="shared" si="14"/>
        <v>47501.611570247936</v>
      </c>
      <c r="AH392" t="s">
        <v>1705</v>
      </c>
      <c r="AN392" s="43">
        <v>307.5</v>
      </c>
    </row>
    <row r="393" spans="2:40">
      <c r="B393" t="s">
        <v>731</v>
      </c>
      <c r="C393" t="s">
        <v>121</v>
      </c>
      <c r="D393" t="s">
        <v>167</v>
      </c>
      <c r="E393" t="s">
        <v>83</v>
      </c>
      <c r="F393" s="37">
        <v>45966</v>
      </c>
      <c r="G393">
        <v>10</v>
      </c>
      <c r="H393" t="s">
        <v>174</v>
      </c>
      <c r="I393" s="37">
        <v>46036</v>
      </c>
      <c r="J393" t="s">
        <v>165</v>
      </c>
      <c r="K393" t="s">
        <v>166</v>
      </c>
      <c r="L393" t="s">
        <v>175</v>
      </c>
      <c r="M393" s="39" t="s">
        <v>731</v>
      </c>
      <c r="O393" t="s">
        <v>731</v>
      </c>
      <c r="Q393" t="s">
        <v>1643</v>
      </c>
      <c r="U393" t="s">
        <v>1697</v>
      </c>
      <c r="W393" t="s">
        <v>1702</v>
      </c>
      <c r="X393">
        <v>1</v>
      </c>
      <c r="AA393" s="43">
        <v>307.5</v>
      </c>
      <c r="AC393" s="43">
        <v>307.5</v>
      </c>
      <c r="AF393" s="37">
        <f t="shared" si="13"/>
        <v>46295</v>
      </c>
      <c r="AG393" s="37">
        <f t="shared" si="14"/>
        <v>47501.611570247936</v>
      </c>
      <c r="AH393" t="s">
        <v>1705</v>
      </c>
      <c r="AN393" s="43">
        <v>307.5</v>
      </c>
    </row>
    <row r="394" spans="2:40">
      <c r="B394" t="s">
        <v>732</v>
      </c>
      <c r="C394" t="s">
        <v>121</v>
      </c>
      <c r="D394" t="s">
        <v>167</v>
      </c>
      <c r="E394" t="s">
        <v>83</v>
      </c>
      <c r="F394" s="37">
        <v>45966</v>
      </c>
      <c r="G394">
        <v>10</v>
      </c>
      <c r="H394" t="s">
        <v>174</v>
      </c>
      <c r="I394" s="37">
        <v>46036</v>
      </c>
      <c r="J394" t="s">
        <v>165</v>
      </c>
      <c r="K394" t="s">
        <v>166</v>
      </c>
      <c r="L394" t="s">
        <v>175</v>
      </c>
      <c r="M394" t="s">
        <v>732</v>
      </c>
      <c r="O394" t="s">
        <v>732</v>
      </c>
      <c r="Q394" t="s">
        <v>1643</v>
      </c>
      <c r="U394" t="s">
        <v>1697</v>
      </c>
      <c r="W394" t="s">
        <v>1702</v>
      </c>
      <c r="X394">
        <v>1</v>
      </c>
      <c r="AA394" s="43">
        <v>307.5</v>
      </c>
      <c r="AC394" s="43">
        <v>307.5</v>
      </c>
      <c r="AF394" s="37">
        <f t="shared" si="13"/>
        <v>46295</v>
      </c>
      <c r="AG394" s="37">
        <f t="shared" si="14"/>
        <v>47501.611570247936</v>
      </c>
      <c r="AH394" t="s">
        <v>1705</v>
      </c>
      <c r="AN394" s="43">
        <v>307.5</v>
      </c>
    </row>
    <row r="395" spans="2:40">
      <c r="B395" t="s">
        <v>733</v>
      </c>
      <c r="C395" t="s">
        <v>121</v>
      </c>
      <c r="D395" t="s">
        <v>167</v>
      </c>
      <c r="E395" t="s">
        <v>83</v>
      </c>
      <c r="F395" s="37">
        <v>45966</v>
      </c>
      <c r="G395">
        <v>10</v>
      </c>
      <c r="H395" t="s">
        <v>174</v>
      </c>
      <c r="I395" s="37">
        <v>46036</v>
      </c>
      <c r="J395" t="s">
        <v>165</v>
      </c>
      <c r="K395" t="s">
        <v>166</v>
      </c>
      <c r="L395" t="s">
        <v>175</v>
      </c>
      <c r="M395" t="s">
        <v>733</v>
      </c>
      <c r="O395" t="s">
        <v>733</v>
      </c>
      <c r="Q395" t="s">
        <v>1643</v>
      </c>
      <c r="U395" t="s">
        <v>1697</v>
      </c>
      <c r="W395" t="s">
        <v>1702</v>
      </c>
      <c r="X395">
        <v>1</v>
      </c>
      <c r="AA395" s="43">
        <v>307.5</v>
      </c>
      <c r="AC395" s="43">
        <v>307.5</v>
      </c>
      <c r="AF395" s="37">
        <f t="shared" si="13"/>
        <v>46295</v>
      </c>
      <c r="AG395" s="37">
        <f t="shared" si="14"/>
        <v>47501.611570247936</v>
      </c>
      <c r="AH395" t="s">
        <v>1705</v>
      </c>
      <c r="AN395" s="43">
        <v>307.5</v>
      </c>
    </row>
    <row r="396" spans="2:40">
      <c r="B396" t="s">
        <v>734</v>
      </c>
      <c r="C396" t="s">
        <v>121</v>
      </c>
      <c r="D396" t="s">
        <v>167</v>
      </c>
      <c r="E396" t="s">
        <v>83</v>
      </c>
      <c r="F396" s="37">
        <v>45966</v>
      </c>
      <c r="G396">
        <v>10</v>
      </c>
      <c r="H396" t="s">
        <v>174</v>
      </c>
      <c r="I396" s="37">
        <v>46036</v>
      </c>
      <c r="J396" t="s">
        <v>165</v>
      </c>
      <c r="K396" t="s">
        <v>166</v>
      </c>
      <c r="L396" t="s">
        <v>175</v>
      </c>
      <c r="M396" t="s">
        <v>734</v>
      </c>
      <c r="O396" t="s">
        <v>734</v>
      </c>
      <c r="Q396" t="s">
        <v>1643</v>
      </c>
      <c r="U396" t="s">
        <v>1697</v>
      </c>
      <c r="W396" t="s">
        <v>1702</v>
      </c>
      <c r="X396">
        <v>1</v>
      </c>
      <c r="AA396" s="43">
        <v>307.5</v>
      </c>
      <c r="AC396" s="43">
        <v>307.5</v>
      </c>
      <c r="AF396" s="37">
        <f t="shared" si="13"/>
        <v>46295</v>
      </c>
      <c r="AG396" s="37">
        <f t="shared" si="14"/>
        <v>47501.611570247936</v>
      </c>
      <c r="AH396" t="s">
        <v>1705</v>
      </c>
      <c r="AN396" s="43">
        <v>307.5</v>
      </c>
    </row>
    <row r="397" spans="2:40">
      <c r="B397" t="s">
        <v>735</v>
      </c>
      <c r="C397" t="s">
        <v>121</v>
      </c>
      <c r="D397" t="s">
        <v>167</v>
      </c>
      <c r="E397" t="s">
        <v>83</v>
      </c>
      <c r="F397" s="37">
        <v>45966</v>
      </c>
      <c r="G397">
        <v>10</v>
      </c>
      <c r="H397" t="s">
        <v>174</v>
      </c>
      <c r="I397" s="37">
        <v>46036</v>
      </c>
      <c r="J397" t="s">
        <v>165</v>
      </c>
      <c r="K397" t="s">
        <v>166</v>
      </c>
      <c r="L397" t="s">
        <v>175</v>
      </c>
      <c r="M397" t="s">
        <v>735</v>
      </c>
      <c r="O397" t="s">
        <v>735</v>
      </c>
      <c r="Q397" t="s">
        <v>1643</v>
      </c>
      <c r="U397" t="s">
        <v>1697</v>
      </c>
      <c r="W397" t="s">
        <v>1702</v>
      </c>
      <c r="X397">
        <v>1</v>
      </c>
      <c r="AA397" s="43">
        <v>307.5</v>
      </c>
      <c r="AC397" s="43">
        <v>307.5</v>
      </c>
      <c r="AF397" s="37">
        <f t="shared" si="13"/>
        <v>46295</v>
      </c>
      <c r="AG397" s="37">
        <f t="shared" si="14"/>
        <v>47501.611570247936</v>
      </c>
      <c r="AH397" t="s">
        <v>1705</v>
      </c>
      <c r="AN397" s="43">
        <v>307.5</v>
      </c>
    </row>
    <row r="398" spans="2:40">
      <c r="B398" t="s">
        <v>736</v>
      </c>
      <c r="C398" t="s">
        <v>121</v>
      </c>
      <c r="D398" t="s">
        <v>167</v>
      </c>
      <c r="E398" t="s">
        <v>83</v>
      </c>
      <c r="F398" s="37">
        <v>45959</v>
      </c>
      <c r="G398">
        <v>10</v>
      </c>
      <c r="H398" t="s">
        <v>174</v>
      </c>
      <c r="I398" s="37">
        <v>46029</v>
      </c>
      <c r="J398" t="s">
        <v>165</v>
      </c>
      <c r="K398" t="s">
        <v>166</v>
      </c>
      <c r="L398" t="s">
        <v>175</v>
      </c>
      <c r="M398" t="s">
        <v>736</v>
      </c>
      <c r="O398" t="s">
        <v>736</v>
      </c>
      <c r="Q398" t="s">
        <v>1643</v>
      </c>
      <c r="U398" t="s">
        <v>1697</v>
      </c>
      <c r="W398" t="s">
        <v>1702</v>
      </c>
      <c r="X398">
        <v>1</v>
      </c>
      <c r="AA398" s="43">
        <v>307.5</v>
      </c>
      <c r="AC398" s="43">
        <v>307.5</v>
      </c>
      <c r="AF398" s="37">
        <f t="shared" si="13"/>
        <v>46288</v>
      </c>
      <c r="AG398" s="37">
        <f t="shared" si="14"/>
        <v>47494.611570247936</v>
      </c>
      <c r="AH398" t="s">
        <v>1705</v>
      </c>
      <c r="AN398" s="43">
        <v>307.5</v>
      </c>
    </row>
    <row r="399" spans="2:40">
      <c r="B399" t="s">
        <v>737</v>
      </c>
      <c r="C399" t="s">
        <v>121</v>
      </c>
      <c r="D399" t="s">
        <v>167</v>
      </c>
      <c r="E399" t="s">
        <v>83</v>
      </c>
      <c r="F399" s="37">
        <v>45959</v>
      </c>
      <c r="G399">
        <v>10</v>
      </c>
      <c r="H399" t="s">
        <v>174</v>
      </c>
      <c r="I399" s="37">
        <v>46029</v>
      </c>
      <c r="J399" t="s">
        <v>165</v>
      </c>
      <c r="K399" t="s">
        <v>166</v>
      </c>
      <c r="L399" t="s">
        <v>175</v>
      </c>
      <c r="M399" t="s">
        <v>737</v>
      </c>
      <c r="O399" t="s">
        <v>737</v>
      </c>
      <c r="Q399" t="s">
        <v>1643</v>
      </c>
      <c r="U399" t="s">
        <v>1697</v>
      </c>
      <c r="W399" t="s">
        <v>1702</v>
      </c>
      <c r="X399">
        <v>1</v>
      </c>
      <c r="AA399" s="43">
        <v>307.5</v>
      </c>
      <c r="AC399" s="43">
        <v>307.5</v>
      </c>
      <c r="AF399" s="37">
        <f t="shared" si="13"/>
        <v>46288</v>
      </c>
      <c r="AG399" s="37">
        <f t="shared" si="14"/>
        <v>47494.611570247936</v>
      </c>
      <c r="AH399" t="s">
        <v>1705</v>
      </c>
      <c r="AN399" s="43">
        <v>307.5</v>
      </c>
    </row>
    <row r="400" spans="2:40">
      <c r="B400" t="s">
        <v>738</v>
      </c>
      <c r="C400" t="s">
        <v>121</v>
      </c>
      <c r="D400" t="s">
        <v>167</v>
      </c>
      <c r="E400" t="s">
        <v>83</v>
      </c>
      <c r="F400" s="37">
        <v>45959</v>
      </c>
      <c r="G400">
        <v>10</v>
      </c>
      <c r="H400" t="s">
        <v>174</v>
      </c>
      <c r="I400" s="37">
        <v>46029</v>
      </c>
      <c r="J400" t="s">
        <v>165</v>
      </c>
      <c r="K400" t="s">
        <v>166</v>
      </c>
      <c r="L400" t="s">
        <v>175</v>
      </c>
      <c r="M400" t="s">
        <v>738</v>
      </c>
      <c r="O400" t="s">
        <v>738</v>
      </c>
      <c r="Q400" t="s">
        <v>1643</v>
      </c>
      <c r="U400" t="s">
        <v>1697</v>
      </c>
      <c r="W400" t="s">
        <v>1702</v>
      </c>
      <c r="X400">
        <v>1</v>
      </c>
      <c r="AA400" s="43">
        <v>307.5</v>
      </c>
      <c r="AC400" s="43">
        <v>307.5</v>
      </c>
      <c r="AF400" s="37">
        <f t="shared" si="13"/>
        <v>46288</v>
      </c>
      <c r="AG400" s="37">
        <f t="shared" si="14"/>
        <v>47494.611570247936</v>
      </c>
      <c r="AH400" t="s">
        <v>1705</v>
      </c>
      <c r="AN400" s="43">
        <v>307.5</v>
      </c>
    </row>
    <row r="401" spans="2:40">
      <c r="B401" t="s">
        <v>739</v>
      </c>
      <c r="C401" t="s">
        <v>121</v>
      </c>
      <c r="D401" t="s">
        <v>167</v>
      </c>
      <c r="E401" t="s">
        <v>83</v>
      </c>
      <c r="F401" s="37">
        <v>45959</v>
      </c>
      <c r="G401">
        <v>10</v>
      </c>
      <c r="H401" t="s">
        <v>174</v>
      </c>
      <c r="I401" s="37">
        <v>46029</v>
      </c>
      <c r="J401" t="s">
        <v>165</v>
      </c>
      <c r="K401" t="s">
        <v>166</v>
      </c>
      <c r="L401" t="s">
        <v>175</v>
      </c>
      <c r="M401" t="s">
        <v>739</v>
      </c>
      <c r="O401" t="s">
        <v>739</v>
      </c>
      <c r="Q401" t="s">
        <v>1643</v>
      </c>
      <c r="U401" t="s">
        <v>1697</v>
      </c>
      <c r="W401" t="s">
        <v>1702</v>
      </c>
      <c r="X401">
        <v>1</v>
      </c>
      <c r="AA401" s="43">
        <v>307.5</v>
      </c>
      <c r="AC401" s="43">
        <v>307.5</v>
      </c>
      <c r="AF401" s="37">
        <f t="shared" si="13"/>
        <v>46288</v>
      </c>
      <c r="AG401" s="37">
        <f t="shared" si="14"/>
        <v>47494.611570247936</v>
      </c>
      <c r="AH401" t="s">
        <v>1705</v>
      </c>
      <c r="AN401" s="43">
        <v>307.5</v>
      </c>
    </row>
    <row r="402" spans="2:40">
      <c r="B402" t="s">
        <v>740</v>
      </c>
      <c r="C402" t="s">
        <v>121</v>
      </c>
      <c r="D402" t="s">
        <v>167</v>
      </c>
      <c r="E402" t="s">
        <v>83</v>
      </c>
      <c r="F402" s="37">
        <v>45959</v>
      </c>
      <c r="G402">
        <v>10</v>
      </c>
      <c r="H402" t="s">
        <v>174</v>
      </c>
      <c r="I402" s="37">
        <v>46029</v>
      </c>
      <c r="J402" t="s">
        <v>165</v>
      </c>
      <c r="K402" t="s">
        <v>166</v>
      </c>
      <c r="L402" t="s">
        <v>175</v>
      </c>
      <c r="M402" t="s">
        <v>740</v>
      </c>
      <c r="O402" t="s">
        <v>740</v>
      </c>
      <c r="Q402" t="s">
        <v>1643</v>
      </c>
      <c r="U402" t="s">
        <v>1697</v>
      </c>
      <c r="W402" t="s">
        <v>1702</v>
      </c>
      <c r="X402">
        <v>1</v>
      </c>
      <c r="AA402" s="43">
        <v>307.5</v>
      </c>
      <c r="AC402" s="43">
        <v>307.5</v>
      </c>
      <c r="AF402" s="37">
        <f t="shared" si="13"/>
        <v>46288</v>
      </c>
      <c r="AG402" s="37">
        <f t="shared" si="14"/>
        <v>47494.611570247936</v>
      </c>
      <c r="AH402" t="s">
        <v>1705</v>
      </c>
      <c r="AN402" s="43">
        <v>307.5</v>
      </c>
    </row>
    <row r="403" spans="2:40">
      <c r="B403" t="s">
        <v>741</v>
      </c>
      <c r="C403" t="s">
        <v>121</v>
      </c>
      <c r="D403" t="s">
        <v>167</v>
      </c>
      <c r="E403" t="s">
        <v>83</v>
      </c>
      <c r="F403" s="37">
        <v>45959</v>
      </c>
      <c r="G403">
        <v>10</v>
      </c>
      <c r="H403" t="s">
        <v>174</v>
      </c>
      <c r="I403" s="37">
        <v>46029</v>
      </c>
      <c r="J403" t="s">
        <v>165</v>
      </c>
      <c r="K403" t="s">
        <v>166</v>
      </c>
      <c r="L403" t="s">
        <v>175</v>
      </c>
      <c r="M403" t="s">
        <v>741</v>
      </c>
      <c r="O403" t="s">
        <v>741</v>
      </c>
      <c r="Q403" t="s">
        <v>1643</v>
      </c>
      <c r="U403" t="s">
        <v>1697</v>
      </c>
      <c r="W403" t="s">
        <v>1702</v>
      </c>
      <c r="X403">
        <v>1</v>
      </c>
      <c r="AA403" s="43">
        <v>307.5</v>
      </c>
      <c r="AC403" s="43">
        <v>307.5</v>
      </c>
      <c r="AF403" s="37">
        <f t="shared" si="13"/>
        <v>46288</v>
      </c>
      <c r="AG403" s="37">
        <f t="shared" si="14"/>
        <v>47494.611570247936</v>
      </c>
      <c r="AH403" t="s">
        <v>1705</v>
      </c>
      <c r="AN403" s="43">
        <v>307.5</v>
      </c>
    </row>
    <row r="404" spans="2:40">
      <c r="B404" t="s">
        <v>742</v>
      </c>
      <c r="C404" t="s">
        <v>121</v>
      </c>
      <c r="D404" t="s">
        <v>167</v>
      </c>
      <c r="E404" t="s">
        <v>83</v>
      </c>
      <c r="F404" s="37">
        <v>45959</v>
      </c>
      <c r="G404">
        <v>10</v>
      </c>
      <c r="H404" t="s">
        <v>174</v>
      </c>
      <c r="I404" s="37">
        <v>46029</v>
      </c>
      <c r="J404" t="s">
        <v>165</v>
      </c>
      <c r="K404" t="s">
        <v>166</v>
      </c>
      <c r="L404" t="s">
        <v>175</v>
      </c>
      <c r="M404" t="s">
        <v>742</v>
      </c>
      <c r="O404" t="s">
        <v>742</v>
      </c>
      <c r="Q404" t="s">
        <v>1643</v>
      </c>
      <c r="U404" t="s">
        <v>1697</v>
      </c>
      <c r="W404" t="s">
        <v>1702</v>
      </c>
      <c r="X404">
        <v>1</v>
      </c>
      <c r="AA404" s="43">
        <v>307.5</v>
      </c>
      <c r="AC404" s="43">
        <v>307.5</v>
      </c>
      <c r="AF404" s="37">
        <f t="shared" si="13"/>
        <v>46288</v>
      </c>
      <c r="AG404" s="37">
        <f t="shared" si="14"/>
        <v>47494.611570247936</v>
      </c>
      <c r="AH404" t="s">
        <v>1705</v>
      </c>
      <c r="AN404" s="43">
        <v>307.5</v>
      </c>
    </row>
    <row r="405" spans="2:40">
      <c r="B405" t="s">
        <v>743</v>
      </c>
      <c r="C405" t="s">
        <v>121</v>
      </c>
      <c r="D405" t="s">
        <v>167</v>
      </c>
      <c r="E405" t="s">
        <v>83</v>
      </c>
      <c r="F405" s="37">
        <v>45959</v>
      </c>
      <c r="G405">
        <v>10</v>
      </c>
      <c r="H405" t="s">
        <v>174</v>
      </c>
      <c r="I405" s="37">
        <v>46029</v>
      </c>
      <c r="J405" t="s">
        <v>165</v>
      </c>
      <c r="K405" t="s">
        <v>166</v>
      </c>
      <c r="L405" t="s">
        <v>175</v>
      </c>
      <c r="M405" t="s">
        <v>743</v>
      </c>
      <c r="O405" t="s">
        <v>743</v>
      </c>
      <c r="Q405" t="s">
        <v>1643</v>
      </c>
      <c r="U405" t="s">
        <v>1697</v>
      </c>
      <c r="W405" t="s">
        <v>1702</v>
      </c>
      <c r="X405">
        <v>1</v>
      </c>
      <c r="AA405" s="43">
        <v>307.5</v>
      </c>
      <c r="AC405" s="43">
        <v>307.5</v>
      </c>
      <c r="AF405" s="37">
        <f t="shared" si="13"/>
        <v>46288</v>
      </c>
      <c r="AG405" s="37">
        <f t="shared" si="14"/>
        <v>47494.611570247936</v>
      </c>
      <c r="AH405" t="s">
        <v>1705</v>
      </c>
      <c r="AN405" s="43">
        <v>307.5</v>
      </c>
    </row>
    <row r="406" spans="2:40">
      <c r="B406" t="s">
        <v>744</v>
      </c>
      <c r="C406" t="s">
        <v>121</v>
      </c>
      <c r="D406" t="s">
        <v>167</v>
      </c>
      <c r="E406" t="s">
        <v>83</v>
      </c>
      <c r="F406" s="37">
        <v>45959</v>
      </c>
      <c r="G406">
        <v>10</v>
      </c>
      <c r="H406" t="s">
        <v>174</v>
      </c>
      <c r="I406" s="37">
        <v>46029</v>
      </c>
      <c r="J406" t="s">
        <v>165</v>
      </c>
      <c r="K406" t="s">
        <v>166</v>
      </c>
      <c r="L406" t="s">
        <v>175</v>
      </c>
      <c r="M406" t="s">
        <v>744</v>
      </c>
      <c r="O406" t="s">
        <v>744</v>
      </c>
      <c r="Q406" t="s">
        <v>1643</v>
      </c>
      <c r="U406" t="s">
        <v>1697</v>
      </c>
      <c r="W406" t="s">
        <v>1702</v>
      </c>
      <c r="X406">
        <v>1</v>
      </c>
      <c r="AA406" s="43">
        <v>307.5</v>
      </c>
      <c r="AC406" s="43">
        <v>307.5</v>
      </c>
      <c r="AF406" s="37">
        <f t="shared" si="13"/>
        <v>46288</v>
      </c>
      <c r="AG406" s="37">
        <f t="shared" si="14"/>
        <v>47494.611570247936</v>
      </c>
      <c r="AH406" t="s">
        <v>1705</v>
      </c>
      <c r="AN406" s="43">
        <v>307.5</v>
      </c>
    </row>
    <row r="407" spans="2:40">
      <c r="B407" t="s">
        <v>745</v>
      </c>
      <c r="C407" t="s">
        <v>121</v>
      </c>
      <c r="D407" t="s">
        <v>167</v>
      </c>
      <c r="E407" t="s">
        <v>83</v>
      </c>
      <c r="F407" s="37">
        <v>45959</v>
      </c>
      <c r="G407">
        <v>10</v>
      </c>
      <c r="H407" t="s">
        <v>174</v>
      </c>
      <c r="I407" s="37">
        <v>46029</v>
      </c>
      <c r="J407" t="s">
        <v>165</v>
      </c>
      <c r="K407" t="s">
        <v>166</v>
      </c>
      <c r="L407" t="s">
        <v>175</v>
      </c>
      <c r="M407" t="s">
        <v>745</v>
      </c>
      <c r="O407" t="s">
        <v>745</v>
      </c>
      <c r="Q407" t="s">
        <v>1643</v>
      </c>
      <c r="U407" t="s">
        <v>1697</v>
      </c>
      <c r="W407" t="s">
        <v>1702</v>
      </c>
      <c r="X407">
        <v>1</v>
      </c>
      <c r="AA407" s="43">
        <v>307.5</v>
      </c>
      <c r="AC407" s="43">
        <v>307.5</v>
      </c>
      <c r="AF407" s="37">
        <f t="shared" si="13"/>
        <v>46288</v>
      </c>
      <c r="AG407" s="37">
        <f t="shared" si="14"/>
        <v>47494.611570247936</v>
      </c>
      <c r="AH407" t="s">
        <v>1705</v>
      </c>
      <c r="AN407" s="43">
        <v>307.5</v>
      </c>
    </row>
    <row r="408" spans="2:40">
      <c r="B408" t="s">
        <v>746</v>
      </c>
      <c r="C408" t="s">
        <v>121</v>
      </c>
      <c r="D408" t="s">
        <v>167</v>
      </c>
      <c r="E408" t="s">
        <v>83</v>
      </c>
      <c r="F408" s="37">
        <v>45952</v>
      </c>
      <c r="G408">
        <v>10</v>
      </c>
      <c r="H408" t="s">
        <v>174</v>
      </c>
      <c r="I408" s="37">
        <v>46022</v>
      </c>
      <c r="J408" t="s">
        <v>165</v>
      </c>
      <c r="K408" t="s">
        <v>166</v>
      </c>
      <c r="L408" t="s">
        <v>175</v>
      </c>
      <c r="M408" t="s">
        <v>746</v>
      </c>
      <c r="O408" t="s">
        <v>746</v>
      </c>
      <c r="Q408" t="s">
        <v>1643</v>
      </c>
      <c r="U408" t="s">
        <v>1697</v>
      </c>
      <c r="W408" t="s">
        <v>1702</v>
      </c>
      <c r="X408">
        <v>1</v>
      </c>
      <c r="AA408" s="43">
        <v>307.5</v>
      </c>
      <c r="AC408" s="43">
        <v>307.5</v>
      </c>
      <c r="AF408" s="37">
        <f t="shared" si="13"/>
        <v>46281</v>
      </c>
      <c r="AG408" s="37">
        <f t="shared" si="14"/>
        <v>47487.611570247936</v>
      </c>
      <c r="AH408" t="s">
        <v>1705</v>
      </c>
      <c r="AN408" s="43">
        <v>307.5</v>
      </c>
    </row>
    <row r="409" spans="2:40">
      <c r="B409" t="s">
        <v>747</v>
      </c>
      <c r="C409" t="s">
        <v>121</v>
      </c>
      <c r="D409" t="s">
        <v>167</v>
      </c>
      <c r="E409" t="s">
        <v>83</v>
      </c>
      <c r="F409" s="37">
        <v>45952</v>
      </c>
      <c r="G409">
        <v>10</v>
      </c>
      <c r="H409" t="s">
        <v>174</v>
      </c>
      <c r="I409" s="37">
        <v>46022</v>
      </c>
      <c r="J409" t="s">
        <v>165</v>
      </c>
      <c r="K409" t="s">
        <v>166</v>
      </c>
      <c r="L409" t="s">
        <v>175</v>
      </c>
      <c r="M409" t="s">
        <v>747</v>
      </c>
      <c r="O409" t="s">
        <v>747</v>
      </c>
      <c r="Q409" t="s">
        <v>1643</v>
      </c>
      <c r="U409" t="s">
        <v>1697</v>
      </c>
      <c r="W409" t="s">
        <v>1702</v>
      </c>
      <c r="X409">
        <v>1</v>
      </c>
      <c r="AA409" s="43">
        <v>307.5</v>
      </c>
      <c r="AC409" s="43">
        <v>307.5</v>
      </c>
      <c r="AF409" s="37">
        <f t="shared" si="13"/>
        <v>46281</v>
      </c>
      <c r="AG409" s="37">
        <f t="shared" si="14"/>
        <v>47487.611570247936</v>
      </c>
      <c r="AH409" t="s">
        <v>1705</v>
      </c>
      <c r="AN409" s="43">
        <v>307.5</v>
      </c>
    </row>
    <row r="410" spans="2:40">
      <c r="B410" t="s">
        <v>748</v>
      </c>
      <c r="C410" t="s">
        <v>121</v>
      </c>
      <c r="D410" t="s">
        <v>167</v>
      </c>
      <c r="E410" t="s">
        <v>83</v>
      </c>
      <c r="F410" s="37">
        <v>45952</v>
      </c>
      <c r="G410">
        <v>10</v>
      </c>
      <c r="H410" t="s">
        <v>174</v>
      </c>
      <c r="I410" s="37">
        <v>46022</v>
      </c>
      <c r="J410" t="s">
        <v>165</v>
      </c>
      <c r="K410" t="s">
        <v>166</v>
      </c>
      <c r="L410" t="s">
        <v>175</v>
      </c>
      <c r="M410" t="s">
        <v>748</v>
      </c>
      <c r="O410" t="s">
        <v>748</v>
      </c>
      <c r="Q410" t="s">
        <v>1643</v>
      </c>
      <c r="U410" t="s">
        <v>1697</v>
      </c>
      <c r="W410" t="s">
        <v>1702</v>
      </c>
      <c r="X410">
        <v>1</v>
      </c>
      <c r="AA410" s="43">
        <v>307.5</v>
      </c>
      <c r="AC410" s="43">
        <v>307.5</v>
      </c>
      <c r="AF410" s="37">
        <f t="shared" si="13"/>
        <v>46281</v>
      </c>
      <c r="AG410" s="37">
        <f t="shared" si="14"/>
        <v>47487.611570247936</v>
      </c>
      <c r="AH410" t="s">
        <v>1705</v>
      </c>
      <c r="AN410" s="43">
        <v>307.5</v>
      </c>
    </row>
    <row r="411" spans="2:40">
      <c r="B411" t="s">
        <v>749</v>
      </c>
      <c r="C411" t="s">
        <v>121</v>
      </c>
      <c r="D411" t="s">
        <v>167</v>
      </c>
      <c r="E411" t="s">
        <v>83</v>
      </c>
      <c r="F411" s="37">
        <v>45952</v>
      </c>
      <c r="G411">
        <v>10</v>
      </c>
      <c r="H411" t="s">
        <v>174</v>
      </c>
      <c r="I411" s="37">
        <v>46022</v>
      </c>
      <c r="J411" t="s">
        <v>165</v>
      </c>
      <c r="K411" t="s">
        <v>166</v>
      </c>
      <c r="L411" t="s">
        <v>175</v>
      </c>
      <c r="M411" t="s">
        <v>749</v>
      </c>
      <c r="O411" t="s">
        <v>749</v>
      </c>
      <c r="Q411" t="s">
        <v>1643</v>
      </c>
      <c r="U411" t="s">
        <v>1697</v>
      </c>
      <c r="W411" t="s">
        <v>1702</v>
      </c>
      <c r="X411">
        <v>1</v>
      </c>
      <c r="AA411" s="43">
        <v>307.5</v>
      </c>
      <c r="AC411" s="43">
        <v>307.5</v>
      </c>
      <c r="AF411" s="37">
        <f t="shared" si="13"/>
        <v>46281</v>
      </c>
      <c r="AG411" s="37">
        <f t="shared" si="14"/>
        <v>47487.611570247936</v>
      </c>
      <c r="AH411" t="s">
        <v>1705</v>
      </c>
      <c r="AN411" s="43">
        <v>307.5</v>
      </c>
    </row>
    <row r="412" spans="2:40">
      <c r="B412" t="s">
        <v>750</v>
      </c>
      <c r="C412" t="s">
        <v>121</v>
      </c>
      <c r="D412" t="s">
        <v>167</v>
      </c>
      <c r="E412" t="s">
        <v>83</v>
      </c>
      <c r="F412" s="37">
        <v>45952</v>
      </c>
      <c r="G412">
        <v>10</v>
      </c>
      <c r="H412" t="s">
        <v>174</v>
      </c>
      <c r="I412" s="37">
        <v>46022</v>
      </c>
      <c r="J412" t="s">
        <v>165</v>
      </c>
      <c r="K412" t="s">
        <v>166</v>
      </c>
      <c r="L412" t="s">
        <v>175</v>
      </c>
      <c r="M412" t="s">
        <v>750</v>
      </c>
      <c r="O412" t="s">
        <v>750</v>
      </c>
      <c r="Q412" t="s">
        <v>1643</v>
      </c>
      <c r="U412" t="s">
        <v>1697</v>
      </c>
      <c r="W412" t="s">
        <v>1702</v>
      </c>
      <c r="X412">
        <v>1</v>
      </c>
      <c r="AA412" s="43">
        <v>307.5</v>
      </c>
      <c r="AC412" s="43">
        <v>307.5</v>
      </c>
      <c r="AF412" s="37">
        <f t="shared" si="13"/>
        <v>46281</v>
      </c>
      <c r="AG412" s="37">
        <f t="shared" si="14"/>
        <v>47487.611570247936</v>
      </c>
      <c r="AH412" t="s">
        <v>1705</v>
      </c>
      <c r="AN412" s="43">
        <v>307.5</v>
      </c>
    </row>
    <row r="413" spans="2:40">
      <c r="B413" t="s">
        <v>751</v>
      </c>
      <c r="C413" t="s">
        <v>121</v>
      </c>
      <c r="D413" t="s">
        <v>167</v>
      </c>
      <c r="E413" t="s">
        <v>83</v>
      </c>
      <c r="F413" s="37">
        <v>45952</v>
      </c>
      <c r="G413">
        <v>10</v>
      </c>
      <c r="H413" t="s">
        <v>174</v>
      </c>
      <c r="I413" s="37">
        <v>46022</v>
      </c>
      <c r="J413" t="s">
        <v>165</v>
      </c>
      <c r="K413" t="s">
        <v>166</v>
      </c>
      <c r="L413" t="s">
        <v>175</v>
      </c>
      <c r="M413" t="s">
        <v>751</v>
      </c>
      <c r="O413" t="s">
        <v>751</v>
      </c>
      <c r="Q413" t="s">
        <v>1643</v>
      </c>
      <c r="U413" t="s">
        <v>1697</v>
      </c>
      <c r="W413" t="s">
        <v>1702</v>
      </c>
      <c r="X413">
        <v>1</v>
      </c>
      <c r="AA413" s="43">
        <v>307.5</v>
      </c>
      <c r="AC413" s="43">
        <v>307.5</v>
      </c>
      <c r="AF413" s="37">
        <f t="shared" si="13"/>
        <v>46281</v>
      </c>
      <c r="AG413" s="37">
        <f t="shared" si="14"/>
        <v>47487.611570247936</v>
      </c>
      <c r="AH413" t="s">
        <v>1705</v>
      </c>
      <c r="AN413" s="43">
        <v>307.5</v>
      </c>
    </row>
    <row r="414" spans="2:40">
      <c r="B414" t="s">
        <v>752</v>
      </c>
      <c r="C414" t="s">
        <v>121</v>
      </c>
      <c r="D414" t="s">
        <v>167</v>
      </c>
      <c r="E414" t="s">
        <v>83</v>
      </c>
      <c r="F414" s="37">
        <v>45952</v>
      </c>
      <c r="G414">
        <v>10</v>
      </c>
      <c r="H414" t="s">
        <v>174</v>
      </c>
      <c r="I414" s="37">
        <v>46022</v>
      </c>
      <c r="J414" t="s">
        <v>165</v>
      </c>
      <c r="K414" t="s">
        <v>166</v>
      </c>
      <c r="L414" t="s">
        <v>175</v>
      </c>
      <c r="M414" t="s">
        <v>752</v>
      </c>
      <c r="O414" t="s">
        <v>752</v>
      </c>
      <c r="Q414" t="s">
        <v>1643</v>
      </c>
      <c r="U414" t="s">
        <v>1697</v>
      </c>
      <c r="W414" t="s">
        <v>1702</v>
      </c>
      <c r="X414">
        <v>1</v>
      </c>
      <c r="AA414" s="43">
        <v>307.5</v>
      </c>
      <c r="AC414" s="43">
        <v>307.5</v>
      </c>
      <c r="AF414" s="37">
        <f t="shared" si="13"/>
        <v>46281</v>
      </c>
      <c r="AG414" s="37">
        <f t="shared" si="14"/>
        <v>47487.611570247936</v>
      </c>
      <c r="AH414" t="s">
        <v>1705</v>
      </c>
      <c r="AN414" s="43">
        <v>307.5</v>
      </c>
    </row>
    <row r="415" spans="2:40">
      <c r="B415" t="s">
        <v>753</v>
      </c>
      <c r="C415" t="s">
        <v>121</v>
      </c>
      <c r="D415" t="s">
        <v>167</v>
      </c>
      <c r="E415" t="s">
        <v>83</v>
      </c>
      <c r="F415" s="37">
        <v>45952</v>
      </c>
      <c r="G415">
        <v>10</v>
      </c>
      <c r="H415" t="s">
        <v>174</v>
      </c>
      <c r="I415" s="37">
        <v>46022</v>
      </c>
      <c r="J415" t="s">
        <v>165</v>
      </c>
      <c r="K415" t="s">
        <v>166</v>
      </c>
      <c r="L415" t="s">
        <v>175</v>
      </c>
      <c r="M415" t="s">
        <v>753</v>
      </c>
      <c r="O415" t="s">
        <v>753</v>
      </c>
      <c r="Q415" t="s">
        <v>1643</v>
      </c>
      <c r="U415" t="s">
        <v>1697</v>
      </c>
      <c r="W415" t="s">
        <v>1702</v>
      </c>
      <c r="X415">
        <v>1</v>
      </c>
      <c r="AA415" s="43">
        <v>307.5</v>
      </c>
      <c r="AC415" s="43">
        <v>307.5</v>
      </c>
      <c r="AF415" s="37">
        <f t="shared" si="13"/>
        <v>46281</v>
      </c>
      <c r="AG415" s="37">
        <f t="shared" si="14"/>
        <v>47487.611570247936</v>
      </c>
      <c r="AH415" t="s">
        <v>1705</v>
      </c>
      <c r="AN415" s="43">
        <v>307.5</v>
      </c>
    </row>
    <row r="416" spans="2:40">
      <c r="B416" t="s">
        <v>754</v>
      </c>
      <c r="C416" t="s">
        <v>121</v>
      </c>
      <c r="D416" t="s">
        <v>167</v>
      </c>
      <c r="E416" t="s">
        <v>83</v>
      </c>
      <c r="F416" s="37">
        <v>45952</v>
      </c>
      <c r="G416">
        <v>10</v>
      </c>
      <c r="H416" t="s">
        <v>174</v>
      </c>
      <c r="I416" s="37">
        <v>46022</v>
      </c>
      <c r="J416" t="s">
        <v>165</v>
      </c>
      <c r="K416" t="s">
        <v>166</v>
      </c>
      <c r="L416" t="s">
        <v>175</v>
      </c>
      <c r="M416" t="s">
        <v>754</v>
      </c>
      <c r="O416" t="s">
        <v>754</v>
      </c>
      <c r="Q416" t="s">
        <v>1643</v>
      </c>
      <c r="U416" t="s">
        <v>1697</v>
      </c>
      <c r="W416" t="s">
        <v>1702</v>
      </c>
      <c r="X416">
        <v>1</v>
      </c>
      <c r="AA416" s="43">
        <v>307.5</v>
      </c>
      <c r="AC416" s="43">
        <v>307.5</v>
      </c>
      <c r="AF416" s="37">
        <f t="shared" si="13"/>
        <v>46281</v>
      </c>
      <c r="AG416" s="37">
        <f t="shared" si="14"/>
        <v>47487.611570247936</v>
      </c>
      <c r="AH416" t="s">
        <v>1705</v>
      </c>
      <c r="AN416" s="43">
        <v>307.5</v>
      </c>
    </row>
    <row r="417" spans="2:40">
      <c r="B417" t="s">
        <v>755</v>
      </c>
      <c r="C417" t="s">
        <v>121</v>
      </c>
      <c r="D417" t="s">
        <v>167</v>
      </c>
      <c r="E417" t="s">
        <v>83</v>
      </c>
      <c r="F417" s="37">
        <v>45952</v>
      </c>
      <c r="G417">
        <v>10</v>
      </c>
      <c r="H417" t="s">
        <v>174</v>
      </c>
      <c r="I417" s="37">
        <v>46022</v>
      </c>
      <c r="J417" t="s">
        <v>165</v>
      </c>
      <c r="K417" t="s">
        <v>166</v>
      </c>
      <c r="L417" t="s">
        <v>175</v>
      </c>
      <c r="M417" t="s">
        <v>755</v>
      </c>
      <c r="O417" t="s">
        <v>755</v>
      </c>
      <c r="Q417" t="s">
        <v>1643</v>
      </c>
      <c r="U417" t="s">
        <v>1697</v>
      </c>
      <c r="W417" t="s">
        <v>1702</v>
      </c>
      <c r="X417">
        <v>1</v>
      </c>
      <c r="AA417" s="43">
        <v>307.5</v>
      </c>
      <c r="AC417" s="43">
        <v>307.5</v>
      </c>
      <c r="AF417" s="37">
        <f t="shared" si="13"/>
        <v>46281</v>
      </c>
      <c r="AG417" s="37">
        <f t="shared" si="14"/>
        <v>47487.611570247936</v>
      </c>
      <c r="AH417" t="s">
        <v>1705</v>
      </c>
      <c r="AN417" s="43">
        <v>307.5</v>
      </c>
    </row>
    <row r="418" spans="2:40">
      <c r="B418" t="s">
        <v>756</v>
      </c>
      <c r="C418" t="s">
        <v>121</v>
      </c>
      <c r="D418" t="s">
        <v>167</v>
      </c>
      <c r="E418" t="s">
        <v>83</v>
      </c>
      <c r="F418" s="37">
        <v>45952</v>
      </c>
      <c r="G418">
        <v>10</v>
      </c>
      <c r="H418" t="s">
        <v>174</v>
      </c>
      <c r="I418" s="37">
        <v>46022</v>
      </c>
      <c r="J418" t="s">
        <v>165</v>
      </c>
      <c r="K418" t="s">
        <v>166</v>
      </c>
      <c r="L418" t="s">
        <v>175</v>
      </c>
      <c r="M418" t="s">
        <v>756</v>
      </c>
      <c r="O418" t="s">
        <v>756</v>
      </c>
      <c r="Q418" t="s">
        <v>1643</v>
      </c>
      <c r="U418" t="s">
        <v>1697</v>
      </c>
      <c r="W418" t="s">
        <v>1702</v>
      </c>
      <c r="X418">
        <v>1</v>
      </c>
      <c r="AA418" s="43">
        <v>307.5</v>
      </c>
      <c r="AC418" s="43">
        <v>307.5</v>
      </c>
      <c r="AF418" s="37">
        <f t="shared" si="13"/>
        <v>46281</v>
      </c>
      <c r="AG418" s="37">
        <f t="shared" si="14"/>
        <v>47487.611570247936</v>
      </c>
      <c r="AH418" t="s">
        <v>1705</v>
      </c>
      <c r="AN418" s="43">
        <v>307.5</v>
      </c>
    </row>
    <row r="419" spans="2:40">
      <c r="B419" t="s">
        <v>757</v>
      </c>
      <c r="C419" t="s">
        <v>121</v>
      </c>
      <c r="D419" t="s">
        <v>167</v>
      </c>
      <c r="E419" t="s">
        <v>83</v>
      </c>
      <c r="F419" s="37">
        <v>45945</v>
      </c>
      <c r="G419">
        <v>10</v>
      </c>
      <c r="H419" t="s">
        <v>174</v>
      </c>
      <c r="I419" s="37">
        <v>46015</v>
      </c>
      <c r="J419" t="s">
        <v>165</v>
      </c>
      <c r="K419" t="s">
        <v>166</v>
      </c>
      <c r="L419" t="s">
        <v>175</v>
      </c>
      <c r="M419" t="s">
        <v>757</v>
      </c>
      <c r="O419" t="s">
        <v>757</v>
      </c>
      <c r="Q419" t="s">
        <v>1643</v>
      </c>
      <c r="U419" t="s">
        <v>1697</v>
      </c>
      <c r="W419" t="s">
        <v>1702</v>
      </c>
      <c r="X419">
        <v>1</v>
      </c>
      <c r="AA419" s="43">
        <v>307.5</v>
      </c>
      <c r="AC419" s="43">
        <v>307.5</v>
      </c>
      <c r="AF419" s="37">
        <f t="shared" si="13"/>
        <v>46274</v>
      </c>
      <c r="AG419" s="37">
        <f t="shared" si="14"/>
        <v>47480.611570247936</v>
      </c>
      <c r="AH419" t="s">
        <v>1705</v>
      </c>
      <c r="AN419" s="43">
        <v>307.5</v>
      </c>
    </row>
    <row r="420" spans="2:40">
      <c r="B420" t="s">
        <v>758</v>
      </c>
      <c r="C420" t="s">
        <v>121</v>
      </c>
      <c r="D420" t="s">
        <v>167</v>
      </c>
      <c r="E420" t="s">
        <v>83</v>
      </c>
      <c r="F420" s="37">
        <v>45945</v>
      </c>
      <c r="G420">
        <v>10</v>
      </c>
      <c r="H420" t="s">
        <v>174</v>
      </c>
      <c r="I420" s="37">
        <v>46015</v>
      </c>
      <c r="J420" t="s">
        <v>165</v>
      </c>
      <c r="K420" t="s">
        <v>166</v>
      </c>
      <c r="L420" t="s">
        <v>175</v>
      </c>
      <c r="M420" t="s">
        <v>758</v>
      </c>
      <c r="O420" t="s">
        <v>758</v>
      </c>
      <c r="Q420" t="s">
        <v>1643</v>
      </c>
      <c r="U420" t="s">
        <v>1697</v>
      </c>
      <c r="W420" t="s">
        <v>1702</v>
      </c>
      <c r="X420">
        <v>1</v>
      </c>
      <c r="AA420" s="43">
        <v>307.5</v>
      </c>
      <c r="AC420" s="43">
        <v>307.5</v>
      </c>
      <c r="AF420" s="37">
        <f t="shared" si="13"/>
        <v>46274</v>
      </c>
      <c r="AG420" s="37">
        <f t="shared" si="14"/>
        <v>47480.611570247936</v>
      </c>
      <c r="AH420" t="s">
        <v>1705</v>
      </c>
      <c r="AN420" s="43">
        <v>307.5</v>
      </c>
    </row>
    <row r="421" spans="2:40">
      <c r="B421" t="s">
        <v>759</v>
      </c>
      <c r="C421" t="s">
        <v>121</v>
      </c>
      <c r="D421" t="s">
        <v>167</v>
      </c>
      <c r="E421" t="s">
        <v>83</v>
      </c>
      <c r="F421" s="37">
        <v>45945</v>
      </c>
      <c r="G421">
        <v>10</v>
      </c>
      <c r="H421" t="s">
        <v>174</v>
      </c>
      <c r="I421" s="37">
        <v>46015</v>
      </c>
      <c r="J421" t="s">
        <v>165</v>
      </c>
      <c r="K421" t="s">
        <v>166</v>
      </c>
      <c r="L421" t="s">
        <v>175</v>
      </c>
      <c r="M421" t="s">
        <v>759</v>
      </c>
      <c r="O421" t="s">
        <v>759</v>
      </c>
      <c r="Q421" t="s">
        <v>1643</v>
      </c>
      <c r="U421" t="s">
        <v>1697</v>
      </c>
      <c r="W421" t="s">
        <v>1702</v>
      </c>
      <c r="X421">
        <v>1</v>
      </c>
      <c r="AA421" s="43">
        <v>307.5</v>
      </c>
      <c r="AC421" s="43">
        <v>307.5</v>
      </c>
      <c r="AF421" s="37">
        <f t="shared" si="13"/>
        <v>46274</v>
      </c>
      <c r="AG421" s="37">
        <f t="shared" si="14"/>
        <v>47480.611570247936</v>
      </c>
      <c r="AH421" t="s">
        <v>1705</v>
      </c>
      <c r="AN421" s="43">
        <v>307.5</v>
      </c>
    </row>
    <row r="422" spans="2:40">
      <c r="B422" t="s">
        <v>760</v>
      </c>
      <c r="C422" t="s">
        <v>121</v>
      </c>
      <c r="D422" t="s">
        <v>167</v>
      </c>
      <c r="E422" t="s">
        <v>83</v>
      </c>
      <c r="F422" s="37">
        <v>45945</v>
      </c>
      <c r="G422">
        <v>10</v>
      </c>
      <c r="H422" t="s">
        <v>174</v>
      </c>
      <c r="I422" s="37">
        <v>46015</v>
      </c>
      <c r="J422" t="s">
        <v>165</v>
      </c>
      <c r="K422" t="s">
        <v>166</v>
      </c>
      <c r="L422" t="s">
        <v>175</v>
      </c>
      <c r="M422" t="s">
        <v>760</v>
      </c>
      <c r="O422" t="s">
        <v>760</v>
      </c>
      <c r="Q422" t="s">
        <v>1643</v>
      </c>
      <c r="U422" t="s">
        <v>1697</v>
      </c>
      <c r="W422" t="s">
        <v>1702</v>
      </c>
      <c r="X422">
        <v>1</v>
      </c>
      <c r="AA422" s="43">
        <v>307.5</v>
      </c>
      <c r="AC422" s="43">
        <v>307.5</v>
      </c>
      <c r="AF422" s="37">
        <f t="shared" si="13"/>
        <v>46274</v>
      </c>
      <c r="AG422" s="37">
        <f t="shared" si="14"/>
        <v>47480.611570247936</v>
      </c>
      <c r="AH422" t="s">
        <v>1705</v>
      </c>
      <c r="AN422" s="43">
        <v>307.5</v>
      </c>
    </row>
    <row r="423" spans="2:40">
      <c r="B423" t="s">
        <v>761</v>
      </c>
      <c r="C423" t="s">
        <v>121</v>
      </c>
      <c r="D423" t="s">
        <v>167</v>
      </c>
      <c r="E423" t="s">
        <v>83</v>
      </c>
      <c r="F423" s="37">
        <v>45945</v>
      </c>
      <c r="G423">
        <v>10</v>
      </c>
      <c r="H423" t="s">
        <v>174</v>
      </c>
      <c r="I423" s="37">
        <v>46015</v>
      </c>
      <c r="J423" t="s">
        <v>165</v>
      </c>
      <c r="K423" t="s">
        <v>166</v>
      </c>
      <c r="L423" t="s">
        <v>175</v>
      </c>
      <c r="M423" t="s">
        <v>761</v>
      </c>
      <c r="O423" t="s">
        <v>761</v>
      </c>
      <c r="Q423" t="s">
        <v>1643</v>
      </c>
      <c r="U423" t="s">
        <v>1697</v>
      </c>
      <c r="W423" t="s">
        <v>1702</v>
      </c>
      <c r="X423">
        <v>1</v>
      </c>
      <c r="AA423" s="43">
        <v>307.5</v>
      </c>
      <c r="AC423" s="43">
        <v>307.5</v>
      </c>
      <c r="AF423" s="37">
        <f t="shared" si="13"/>
        <v>46274</v>
      </c>
      <c r="AG423" s="37">
        <f t="shared" si="14"/>
        <v>47480.611570247936</v>
      </c>
      <c r="AH423" t="s">
        <v>1705</v>
      </c>
      <c r="AN423" s="43">
        <v>307.5</v>
      </c>
    </row>
    <row r="424" spans="2:40">
      <c r="B424" t="s">
        <v>762</v>
      </c>
      <c r="C424" t="s">
        <v>121</v>
      </c>
      <c r="D424" t="s">
        <v>167</v>
      </c>
      <c r="E424" t="s">
        <v>83</v>
      </c>
      <c r="F424" s="37">
        <v>45945</v>
      </c>
      <c r="G424">
        <v>10</v>
      </c>
      <c r="H424" t="s">
        <v>174</v>
      </c>
      <c r="I424" s="37">
        <v>46015</v>
      </c>
      <c r="J424" t="s">
        <v>165</v>
      </c>
      <c r="K424" t="s">
        <v>166</v>
      </c>
      <c r="L424" t="s">
        <v>175</v>
      </c>
      <c r="M424" t="s">
        <v>762</v>
      </c>
      <c r="O424" t="s">
        <v>762</v>
      </c>
      <c r="Q424" t="s">
        <v>1643</v>
      </c>
      <c r="U424" t="s">
        <v>1697</v>
      </c>
      <c r="W424" t="s">
        <v>1702</v>
      </c>
      <c r="X424">
        <v>1</v>
      </c>
      <c r="AA424" s="43">
        <v>307.5</v>
      </c>
      <c r="AC424" s="43">
        <v>307.5</v>
      </c>
      <c r="AF424" s="37">
        <f t="shared" si="13"/>
        <v>46274</v>
      </c>
      <c r="AG424" s="37">
        <f t="shared" si="14"/>
        <v>47480.611570247936</v>
      </c>
      <c r="AH424" t="s">
        <v>1705</v>
      </c>
      <c r="AN424" s="43">
        <v>307.5</v>
      </c>
    </row>
    <row r="425" spans="2:40">
      <c r="B425" t="s">
        <v>763</v>
      </c>
      <c r="C425" t="s">
        <v>121</v>
      </c>
      <c r="D425" t="s">
        <v>167</v>
      </c>
      <c r="E425" t="s">
        <v>83</v>
      </c>
      <c r="F425" s="37">
        <v>45945</v>
      </c>
      <c r="G425">
        <v>10</v>
      </c>
      <c r="H425" t="s">
        <v>174</v>
      </c>
      <c r="I425" s="37">
        <v>46015</v>
      </c>
      <c r="J425" t="s">
        <v>165</v>
      </c>
      <c r="K425" t="s">
        <v>166</v>
      </c>
      <c r="L425" t="s">
        <v>175</v>
      </c>
      <c r="M425" t="s">
        <v>763</v>
      </c>
      <c r="O425" t="s">
        <v>763</v>
      </c>
      <c r="Q425" t="s">
        <v>1643</v>
      </c>
      <c r="U425" t="s">
        <v>1697</v>
      </c>
      <c r="W425" t="s">
        <v>1702</v>
      </c>
      <c r="X425">
        <v>1</v>
      </c>
      <c r="AA425" s="43">
        <v>307.5</v>
      </c>
      <c r="AC425" s="43">
        <v>307.5</v>
      </c>
      <c r="AF425" s="37">
        <f t="shared" si="13"/>
        <v>46274</v>
      </c>
      <c r="AG425" s="37">
        <f t="shared" si="14"/>
        <v>47480.611570247936</v>
      </c>
      <c r="AH425" t="s">
        <v>1705</v>
      </c>
      <c r="AN425" s="43">
        <v>307.5</v>
      </c>
    </row>
    <row r="426" spans="2:40">
      <c r="B426" t="s">
        <v>764</v>
      </c>
      <c r="C426" t="s">
        <v>121</v>
      </c>
      <c r="D426" t="s">
        <v>167</v>
      </c>
      <c r="E426" t="s">
        <v>83</v>
      </c>
      <c r="F426" s="37">
        <v>45945</v>
      </c>
      <c r="G426">
        <v>10</v>
      </c>
      <c r="H426" t="s">
        <v>174</v>
      </c>
      <c r="I426" s="37">
        <v>46015</v>
      </c>
      <c r="J426" t="s">
        <v>165</v>
      </c>
      <c r="K426" t="s">
        <v>166</v>
      </c>
      <c r="L426" t="s">
        <v>175</v>
      </c>
      <c r="M426" t="s">
        <v>764</v>
      </c>
      <c r="O426" t="s">
        <v>764</v>
      </c>
      <c r="Q426" t="s">
        <v>1643</v>
      </c>
      <c r="U426" t="s">
        <v>1697</v>
      </c>
      <c r="W426" t="s">
        <v>1702</v>
      </c>
      <c r="X426">
        <v>1</v>
      </c>
      <c r="AA426" s="43">
        <v>307.5</v>
      </c>
      <c r="AC426" s="43">
        <v>307.5</v>
      </c>
      <c r="AF426" s="37">
        <f t="shared" si="13"/>
        <v>46274</v>
      </c>
      <c r="AG426" s="37">
        <f t="shared" si="14"/>
        <v>47480.611570247936</v>
      </c>
      <c r="AH426" t="s">
        <v>1705</v>
      </c>
      <c r="AN426" s="43">
        <v>307.5</v>
      </c>
    </row>
    <row r="427" spans="2:40">
      <c r="B427" t="s">
        <v>765</v>
      </c>
      <c r="C427" t="s">
        <v>121</v>
      </c>
      <c r="D427" t="s">
        <v>167</v>
      </c>
      <c r="E427" t="s">
        <v>83</v>
      </c>
      <c r="F427" s="37">
        <v>45945</v>
      </c>
      <c r="G427">
        <v>10</v>
      </c>
      <c r="H427" t="s">
        <v>174</v>
      </c>
      <c r="I427" s="37">
        <v>46015</v>
      </c>
      <c r="J427" t="s">
        <v>165</v>
      </c>
      <c r="K427" t="s">
        <v>166</v>
      </c>
      <c r="L427" t="s">
        <v>175</v>
      </c>
      <c r="M427" t="s">
        <v>765</v>
      </c>
      <c r="O427" t="s">
        <v>765</v>
      </c>
      <c r="Q427" t="s">
        <v>1643</v>
      </c>
      <c r="U427" t="s">
        <v>1697</v>
      </c>
      <c r="W427" t="s">
        <v>1702</v>
      </c>
      <c r="X427">
        <v>1</v>
      </c>
      <c r="AA427" s="43">
        <v>307.5</v>
      </c>
      <c r="AC427" s="43">
        <v>307.5</v>
      </c>
      <c r="AF427" s="37">
        <f t="shared" si="13"/>
        <v>46274</v>
      </c>
      <c r="AG427" s="37">
        <f t="shared" si="14"/>
        <v>47480.611570247936</v>
      </c>
      <c r="AH427" t="s">
        <v>1705</v>
      </c>
      <c r="AN427" s="43">
        <v>307.5</v>
      </c>
    </row>
    <row r="428" spans="2:40">
      <c r="B428" t="s">
        <v>766</v>
      </c>
      <c r="C428" t="s">
        <v>121</v>
      </c>
      <c r="D428" t="s">
        <v>167</v>
      </c>
      <c r="E428" t="s">
        <v>83</v>
      </c>
      <c r="F428" s="37">
        <v>45945</v>
      </c>
      <c r="G428">
        <v>10</v>
      </c>
      <c r="H428" t="s">
        <v>174</v>
      </c>
      <c r="I428" s="37">
        <v>46015</v>
      </c>
      <c r="J428" t="s">
        <v>165</v>
      </c>
      <c r="K428" t="s">
        <v>166</v>
      </c>
      <c r="L428" t="s">
        <v>175</v>
      </c>
      <c r="M428" t="s">
        <v>766</v>
      </c>
      <c r="O428" t="s">
        <v>766</v>
      </c>
      <c r="Q428" t="s">
        <v>1643</v>
      </c>
      <c r="U428" t="s">
        <v>1697</v>
      </c>
      <c r="W428" t="s">
        <v>1702</v>
      </c>
      <c r="X428">
        <v>1</v>
      </c>
      <c r="AA428" s="43">
        <v>307.5</v>
      </c>
      <c r="AC428" s="43">
        <v>307.5</v>
      </c>
      <c r="AF428" s="37">
        <f t="shared" si="13"/>
        <v>46274</v>
      </c>
      <c r="AG428" s="37">
        <f t="shared" si="14"/>
        <v>47480.611570247936</v>
      </c>
      <c r="AH428" t="s">
        <v>1705</v>
      </c>
      <c r="AN428" s="43">
        <v>307.5</v>
      </c>
    </row>
    <row r="429" spans="2:40">
      <c r="B429" t="s">
        <v>767</v>
      </c>
      <c r="C429" t="s">
        <v>121</v>
      </c>
      <c r="D429" t="s">
        <v>167</v>
      </c>
      <c r="E429" t="s">
        <v>83</v>
      </c>
      <c r="F429" s="37">
        <v>45945</v>
      </c>
      <c r="G429">
        <v>10</v>
      </c>
      <c r="H429" t="s">
        <v>174</v>
      </c>
      <c r="I429" s="37">
        <v>46015</v>
      </c>
      <c r="J429" t="s">
        <v>165</v>
      </c>
      <c r="K429" t="s">
        <v>166</v>
      </c>
      <c r="L429" t="s">
        <v>175</v>
      </c>
      <c r="M429" t="s">
        <v>767</v>
      </c>
      <c r="O429" t="s">
        <v>767</v>
      </c>
      <c r="Q429" t="s">
        <v>1643</v>
      </c>
      <c r="U429" t="s">
        <v>1697</v>
      </c>
      <c r="W429" t="s">
        <v>1702</v>
      </c>
      <c r="X429">
        <v>1</v>
      </c>
      <c r="AA429" s="43">
        <v>307.5</v>
      </c>
      <c r="AC429" s="43">
        <v>307.5</v>
      </c>
      <c r="AF429" s="37">
        <f t="shared" si="13"/>
        <v>46274</v>
      </c>
      <c r="AG429" s="37">
        <f t="shared" si="14"/>
        <v>47480.611570247936</v>
      </c>
      <c r="AH429" t="s">
        <v>1705</v>
      </c>
      <c r="AN429" s="43">
        <v>307.5</v>
      </c>
    </row>
    <row r="430" spans="2:40">
      <c r="B430" t="s">
        <v>768</v>
      </c>
      <c r="C430" t="s">
        <v>121</v>
      </c>
      <c r="D430" t="s">
        <v>167</v>
      </c>
      <c r="E430" t="s">
        <v>83</v>
      </c>
      <c r="F430" s="37">
        <v>45938</v>
      </c>
      <c r="G430">
        <v>10</v>
      </c>
      <c r="H430" t="s">
        <v>174</v>
      </c>
      <c r="I430" s="37">
        <v>46008</v>
      </c>
      <c r="J430" t="s">
        <v>165</v>
      </c>
      <c r="K430" t="s">
        <v>166</v>
      </c>
      <c r="L430" t="s">
        <v>175</v>
      </c>
      <c r="M430" t="s">
        <v>768</v>
      </c>
      <c r="O430" t="s">
        <v>768</v>
      </c>
      <c r="Q430" t="s">
        <v>1643</v>
      </c>
      <c r="U430" t="s">
        <v>1697</v>
      </c>
      <c r="W430" t="s">
        <v>1702</v>
      </c>
      <c r="X430">
        <v>1</v>
      </c>
      <c r="AA430" s="43">
        <v>307.5</v>
      </c>
      <c r="AC430" s="43">
        <v>307.5</v>
      </c>
      <c r="AF430" s="37">
        <f t="shared" si="13"/>
        <v>46267</v>
      </c>
      <c r="AG430" s="37">
        <f t="shared" si="14"/>
        <v>47473.611570247936</v>
      </c>
      <c r="AH430" t="s">
        <v>1705</v>
      </c>
      <c r="AN430" s="43">
        <v>307.5</v>
      </c>
    </row>
    <row r="431" spans="2:40">
      <c r="B431" t="s">
        <v>769</v>
      </c>
      <c r="C431" t="s">
        <v>121</v>
      </c>
      <c r="D431" t="s">
        <v>167</v>
      </c>
      <c r="E431" t="s">
        <v>83</v>
      </c>
      <c r="F431" s="37">
        <v>45938</v>
      </c>
      <c r="G431">
        <v>10</v>
      </c>
      <c r="H431" t="s">
        <v>174</v>
      </c>
      <c r="I431" s="37">
        <v>46008</v>
      </c>
      <c r="J431" t="s">
        <v>165</v>
      </c>
      <c r="K431" t="s">
        <v>166</v>
      </c>
      <c r="L431" t="s">
        <v>175</v>
      </c>
      <c r="M431" t="s">
        <v>769</v>
      </c>
      <c r="O431" t="s">
        <v>769</v>
      </c>
      <c r="Q431" t="s">
        <v>1643</v>
      </c>
      <c r="U431" t="s">
        <v>1697</v>
      </c>
      <c r="W431" t="s">
        <v>1702</v>
      </c>
      <c r="X431">
        <v>1</v>
      </c>
      <c r="AA431" s="43">
        <v>307.5</v>
      </c>
      <c r="AC431" s="43">
        <v>307.5</v>
      </c>
      <c r="AF431" s="37">
        <f t="shared" si="13"/>
        <v>46267</v>
      </c>
      <c r="AG431" s="37">
        <f t="shared" si="14"/>
        <v>47473.611570247936</v>
      </c>
      <c r="AH431" t="s">
        <v>1705</v>
      </c>
      <c r="AN431" s="43">
        <v>307.5</v>
      </c>
    </row>
    <row r="432" spans="2:40">
      <c r="B432" t="s">
        <v>770</v>
      </c>
      <c r="C432" t="s">
        <v>121</v>
      </c>
      <c r="D432" t="s">
        <v>167</v>
      </c>
      <c r="E432" t="s">
        <v>83</v>
      </c>
      <c r="F432" s="37">
        <v>45938</v>
      </c>
      <c r="G432">
        <v>10</v>
      </c>
      <c r="H432" t="s">
        <v>174</v>
      </c>
      <c r="I432" s="37">
        <v>46008</v>
      </c>
      <c r="J432" t="s">
        <v>165</v>
      </c>
      <c r="K432" t="s">
        <v>166</v>
      </c>
      <c r="L432" t="s">
        <v>175</v>
      </c>
      <c r="M432" t="s">
        <v>770</v>
      </c>
      <c r="O432" t="s">
        <v>770</v>
      </c>
      <c r="Q432" t="s">
        <v>1643</v>
      </c>
      <c r="U432" t="s">
        <v>1697</v>
      </c>
      <c r="W432" t="s">
        <v>1702</v>
      </c>
      <c r="X432">
        <v>1</v>
      </c>
      <c r="AA432" s="43">
        <v>307.5</v>
      </c>
      <c r="AC432" s="43">
        <v>307.5</v>
      </c>
      <c r="AF432" s="37">
        <f t="shared" si="13"/>
        <v>46267</v>
      </c>
      <c r="AG432" s="37">
        <f t="shared" si="14"/>
        <v>47473.611570247936</v>
      </c>
      <c r="AH432" t="s">
        <v>1705</v>
      </c>
      <c r="AN432" s="43">
        <v>307.5</v>
      </c>
    </row>
    <row r="433" spans="2:40">
      <c r="B433" t="s">
        <v>771</v>
      </c>
      <c r="C433" t="s">
        <v>121</v>
      </c>
      <c r="D433" t="s">
        <v>167</v>
      </c>
      <c r="E433" t="s">
        <v>83</v>
      </c>
      <c r="F433" s="37">
        <v>45938</v>
      </c>
      <c r="G433">
        <v>10</v>
      </c>
      <c r="H433" t="s">
        <v>174</v>
      </c>
      <c r="I433" s="37">
        <v>46008</v>
      </c>
      <c r="J433" t="s">
        <v>165</v>
      </c>
      <c r="K433" t="s">
        <v>166</v>
      </c>
      <c r="L433" t="s">
        <v>175</v>
      </c>
      <c r="M433" t="s">
        <v>771</v>
      </c>
      <c r="O433" t="s">
        <v>771</v>
      </c>
      <c r="Q433" t="s">
        <v>1643</v>
      </c>
      <c r="U433" t="s">
        <v>1697</v>
      </c>
      <c r="W433" t="s">
        <v>1702</v>
      </c>
      <c r="X433">
        <v>1</v>
      </c>
      <c r="AA433" s="43">
        <v>307.5</v>
      </c>
      <c r="AC433" s="43">
        <v>307.5</v>
      </c>
      <c r="AF433" s="37">
        <f t="shared" si="13"/>
        <v>46267</v>
      </c>
      <c r="AG433" s="37">
        <f t="shared" si="14"/>
        <v>47473.611570247936</v>
      </c>
      <c r="AH433" t="s">
        <v>1705</v>
      </c>
      <c r="AN433" s="43">
        <v>307.5</v>
      </c>
    </row>
    <row r="434" spans="2:40">
      <c r="B434" t="s">
        <v>772</v>
      </c>
      <c r="C434" t="s">
        <v>121</v>
      </c>
      <c r="D434" t="s">
        <v>167</v>
      </c>
      <c r="E434" t="s">
        <v>83</v>
      </c>
      <c r="F434" s="37">
        <v>45938</v>
      </c>
      <c r="G434">
        <v>10</v>
      </c>
      <c r="H434" t="s">
        <v>174</v>
      </c>
      <c r="I434" s="37">
        <v>46008</v>
      </c>
      <c r="J434" t="s">
        <v>165</v>
      </c>
      <c r="K434" t="s">
        <v>166</v>
      </c>
      <c r="L434" t="s">
        <v>175</v>
      </c>
      <c r="M434" t="s">
        <v>772</v>
      </c>
      <c r="O434" t="s">
        <v>772</v>
      </c>
      <c r="Q434" t="s">
        <v>1643</v>
      </c>
      <c r="U434" t="s">
        <v>1697</v>
      </c>
      <c r="W434" t="s">
        <v>1702</v>
      </c>
      <c r="X434">
        <v>1</v>
      </c>
      <c r="AA434" s="43">
        <v>307.5</v>
      </c>
      <c r="AC434" s="43">
        <v>307.5</v>
      </c>
      <c r="AF434" s="37">
        <f t="shared" si="13"/>
        <v>46267</v>
      </c>
      <c r="AG434" s="37">
        <f t="shared" si="14"/>
        <v>47473.611570247936</v>
      </c>
      <c r="AH434" t="s">
        <v>1705</v>
      </c>
      <c r="AN434" s="43">
        <v>307.5</v>
      </c>
    </row>
    <row r="435" spans="2:40">
      <c r="B435" t="s">
        <v>773</v>
      </c>
      <c r="C435" t="s">
        <v>121</v>
      </c>
      <c r="D435" t="s">
        <v>167</v>
      </c>
      <c r="E435" t="s">
        <v>83</v>
      </c>
      <c r="F435" s="37">
        <v>45938</v>
      </c>
      <c r="G435">
        <v>10</v>
      </c>
      <c r="H435" t="s">
        <v>174</v>
      </c>
      <c r="I435" s="37">
        <v>46008</v>
      </c>
      <c r="J435" t="s">
        <v>165</v>
      </c>
      <c r="K435" t="s">
        <v>166</v>
      </c>
      <c r="L435" t="s">
        <v>175</v>
      </c>
      <c r="M435" t="s">
        <v>773</v>
      </c>
      <c r="O435" t="s">
        <v>773</v>
      </c>
      <c r="Q435" t="s">
        <v>1643</v>
      </c>
      <c r="U435" t="s">
        <v>1697</v>
      </c>
      <c r="W435" t="s">
        <v>1702</v>
      </c>
      <c r="X435">
        <v>1</v>
      </c>
      <c r="AA435" s="43">
        <v>307.5</v>
      </c>
      <c r="AC435" s="43">
        <v>307.5</v>
      </c>
      <c r="AF435" s="37">
        <f t="shared" si="13"/>
        <v>46267</v>
      </c>
      <c r="AG435" s="37">
        <f t="shared" si="14"/>
        <v>47473.611570247936</v>
      </c>
      <c r="AH435" t="s">
        <v>1705</v>
      </c>
      <c r="AN435" s="43">
        <v>307.5</v>
      </c>
    </row>
    <row r="436" spans="2:40">
      <c r="B436" t="s">
        <v>774</v>
      </c>
      <c r="C436" t="s">
        <v>121</v>
      </c>
      <c r="D436" t="s">
        <v>167</v>
      </c>
      <c r="E436" t="s">
        <v>83</v>
      </c>
      <c r="F436" s="37">
        <v>45938</v>
      </c>
      <c r="G436">
        <v>10</v>
      </c>
      <c r="H436" t="s">
        <v>174</v>
      </c>
      <c r="I436" s="37">
        <v>46008</v>
      </c>
      <c r="J436" t="s">
        <v>165</v>
      </c>
      <c r="K436" t="s">
        <v>166</v>
      </c>
      <c r="L436" t="s">
        <v>175</v>
      </c>
      <c r="M436" t="s">
        <v>774</v>
      </c>
      <c r="O436" t="s">
        <v>774</v>
      </c>
      <c r="Q436" t="s">
        <v>1643</v>
      </c>
      <c r="U436" t="s">
        <v>1697</v>
      </c>
      <c r="W436" t="s">
        <v>1702</v>
      </c>
      <c r="X436">
        <v>1</v>
      </c>
      <c r="AA436" s="43">
        <v>307.5</v>
      </c>
      <c r="AC436" s="43">
        <v>307.5</v>
      </c>
      <c r="AF436" s="37">
        <f t="shared" si="13"/>
        <v>46267</v>
      </c>
      <c r="AG436" s="37">
        <f t="shared" si="14"/>
        <v>47473.611570247936</v>
      </c>
      <c r="AH436" t="s">
        <v>1705</v>
      </c>
      <c r="AN436" s="43">
        <v>307.5</v>
      </c>
    </row>
    <row r="437" spans="2:40">
      <c r="B437" t="s">
        <v>775</v>
      </c>
      <c r="C437" t="s">
        <v>121</v>
      </c>
      <c r="D437" t="s">
        <v>167</v>
      </c>
      <c r="E437" t="s">
        <v>83</v>
      </c>
      <c r="F437" s="37">
        <v>45938</v>
      </c>
      <c r="G437">
        <v>10</v>
      </c>
      <c r="H437" t="s">
        <v>174</v>
      </c>
      <c r="I437" s="37">
        <v>46008</v>
      </c>
      <c r="J437" t="s">
        <v>165</v>
      </c>
      <c r="K437" t="s">
        <v>166</v>
      </c>
      <c r="L437" t="s">
        <v>175</v>
      </c>
      <c r="M437" t="s">
        <v>775</v>
      </c>
      <c r="O437" t="s">
        <v>775</v>
      </c>
      <c r="Q437" t="s">
        <v>1643</v>
      </c>
      <c r="U437" t="s">
        <v>1697</v>
      </c>
      <c r="W437" t="s">
        <v>1702</v>
      </c>
      <c r="X437">
        <v>1</v>
      </c>
      <c r="AA437" s="43">
        <v>307.5</v>
      </c>
      <c r="AC437" s="43">
        <v>307.5</v>
      </c>
      <c r="AF437" s="37">
        <f t="shared" si="13"/>
        <v>46267</v>
      </c>
      <c r="AG437" s="37">
        <f t="shared" si="14"/>
        <v>47473.611570247936</v>
      </c>
      <c r="AH437" t="s">
        <v>1705</v>
      </c>
      <c r="AN437" s="43">
        <v>307.5</v>
      </c>
    </row>
    <row r="438" spans="2:40">
      <c r="B438" t="s">
        <v>776</v>
      </c>
      <c r="C438" t="s">
        <v>121</v>
      </c>
      <c r="D438" t="s">
        <v>167</v>
      </c>
      <c r="E438" t="s">
        <v>83</v>
      </c>
      <c r="F438" s="37">
        <v>45938</v>
      </c>
      <c r="G438">
        <v>10</v>
      </c>
      <c r="H438" t="s">
        <v>174</v>
      </c>
      <c r="I438" s="37">
        <v>46008</v>
      </c>
      <c r="J438" t="s">
        <v>165</v>
      </c>
      <c r="K438" t="s">
        <v>166</v>
      </c>
      <c r="L438" t="s">
        <v>175</v>
      </c>
      <c r="M438" t="s">
        <v>776</v>
      </c>
      <c r="O438" t="s">
        <v>776</v>
      </c>
      <c r="Q438" t="s">
        <v>1643</v>
      </c>
      <c r="U438" t="s">
        <v>1697</v>
      </c>
      <c r="W438" t="s">
        <v>1702</v>
      </c>
      <c r="X438">
        <v>1</v>
      </c>
      <c r="AA438" s="43">
        <v>307.5</v>
      </c>
      <c r="AC438" s="43">
        <v>307.5</v>
      </c>
      <c r="AF438" s="37">
        <f t="shared" si="13"/>
        <v>46267</v>
      </c>
      <c r="AG438" s="37">
        <f t="shared" si="14"/>
        <v>47473.611570247936</v>
      </c>
      <c r="AH438" t="s">
        <v>1705</v>
      </c>
      <c r="AN438" s="43">
        <v>307.5</v>
      </c>
    </row>
    <row r="439" spans="2:40">
      <c r="B439" t="s">
        <v>777</v>
      </c>
      <c r="C439" t="s">
        <v>121</v>
      </c>
      <c r="D439" t="s">
        <v>167</v>
      </c>
      <c r="E439" t="s">
        <v>83</v>
      </c>
      <c r="F439" s="37">
        <v>45938</v>
      </c>
      <c r="G439">
        <v>10</v>
      </c>
      <c r="H439" t="s">
        <v>174</v>
      </c>
      <c r="I439" s="37">
        <v>46008</v>
      </c>
      <c r="J439" t="s">
        <v>165</v>
      </c>
      <c r="K439" t="s">
        <v>166</v>
      </c>
      <c r="L439" t="s">
        <v>175</v>
      </c>
      <c r="M439" t="s">
        <v>777</v>
      </c>
      <c r="O439" t="s">
        <v>777</v>
      </c>
      <c r="Q439" t="s">
        <v>1643</v>
      </c>
      <c r="U439" t="s">
        <v>1697</v>
      </c>
      <c r="W439" t="s">
        <v>1702</v>
      </c>
      <c r="X439">
        <v>1</v>
      </c>
      <c r="AA439" s="43">
        <v>307.5</v>
      </c>
      <c r="AC439" s="43">
        <v>307.5</v>
      </c>
      <c r="AF439" s="37">
        <f t="shared" si="13"/>
        <v>46267</v>
      </c>
      <c r="AG439" s="37">
        <f t="shared" si="14"/>
        <v>47473.611570247936</v>
      </c>
      <c r="AH439" t="s">
        <v>1705</v>
      </c>
      <c r="AN439" s="43">
        <v>307.5</v>
      </c>
    </row>
    <row r="440" spans="2:40">
      <c r="B440" t="s">
        <v>778</v>
      </c>
      <c r="C440" t="s">
        <v>121</v>
      </c>
      <c r="D440" t="s">
        <v>167</v>
      </c>
      <c r="E440" t="s">
        <v>83</v>
      </c>
      <c r="F440" s="37">
        <v>45938</v>
      </c>
      <c r="G440">
        <v>10</v>
      </c>
      <c r="H440" t="s">
        <v>174</v>
      </c>
      <c r="I440" s="37">
        <v>46008</v>
      </c>
      <c r="J440" t="s">
        <v>165</v>
      </c>
      <c r="K440" t="s">
        <v>166</v>
      </c>
      <c r="L440" t="s">
        <v>175</v>
      </c>
      <c r="M440" t="s">
        <v>778</v>
      </c>
      <c r="O440" t="s">
        <v>778</v>
      </c>
      <c r="Q440" t="s">
        <v>1643</v>
      </c>
      <c r="U440" t="s">
        <v>1697</v>
      </c>
      <c r="W440" t="s">
        <v>1702</v>
      </c>
      <c r="X440">
        <v>1</v>
      </c>
      <c r="AA440" s="43">
        <v>307.5</v>
      </c>
      <c r="AC440" s="43">
        <v>307.5</v>
      </c>
      <c r="AF440" s="37">
        <f t="shared" si="13"/>
        <v>46267</v>
      </c>
      <c r="AG440" s="37">
        <f t="shared" si="14"/>
        <v>47473.611570247936</v>
      </c>
      <c r="AH440" t="s">
        <v>1705</v>
      </c>
      <c r="AN440" s="43">
        <v>307.5</v>
      </c>
    </row>
    <row r="441" spans="2:40">
      <c r="B441" t="s">
        <v>779</v>
      </c>
      <c r="C441" t="s">
        <v>121</v>
      </c>
      <c r="D441" t="s">
        <v>167</v>
      </c>
      <c r="E441" t="s">
        <v>83</v>
      </c>
      <c r="F441" s="37">
        <v>45931</v>
      </c>
      <c r="G441">
        <v>10</v>
      </c>
      <c r="H441" t="s">
        <v>174</v>
      </c>
      <c r="I441" s="37">
        <v>46001</v>
      </c>
      <c r="J441" t="s">
        <v>165</v>
      </c>
      <c r="K441" t="s">
        <v>166</v>
      </c>
      <c r="L441" t="s">
        <v>175</v>
      </c>
      <c r="M441" t="s">
        <v>779</v>
      </c>
      <c r="O441" t="s">
        <v>779</v>
      </c>
      <c r="Q441" t="s">
        <v>1643</v>
      </c>
      <c r="U441" t="s">
        <v>1697</v>
      </c>
      <c r="W441" t="s">
        <v>1702</v>
      </c>
      <c r="X441">
        <v>1</v>
      </c>
      <c r="AA441" s="43">
        <v>307.5</v>
      </c>
      <c r="AC441" s="43">
        <v>307.5</v>
      </c>
      <c r="AF441" s="37">
        <f t="shared" si="13"/>
        <v>46260</v>
      </c>
      <c r="AG441" s="37">
        <f t="shared" si="14"/>
        <v>47466.611570247936</v>
      </c>
      <c r="AH441" t="s">
        <v>1705</v>
      </c>
      <c r="AN441" s="43">
        <v>307.5</v>
      </c>
    </row>
    <row r="442" spans="2:40">
      <c r="B442" t="s">
        <v>780</v>
      </c>
      <c r="C442" t="s">
        <v>121</v>
      </c>
      <c r="D442" t="s">
        <v>167</v>
      </c>
      <c r="E442" t="s">
        <v>83</v>
      </c>
      <c r="F442" s="37">
        <v>45931</v>
      </c>
      <c r="G442">
        <v>10</v>
      </c>
      <c r="H442" t="s">
        <v>174</v>
      </c>
      <c r="I442" s="37">
        <v>46001</v>
      </c>
      <c r="J442" t="s">
        <v>165</v>
      </c>
      <c r="K442" t="s">
        <v>166</v>
      </c>
      <c r="L442" t="s">
        <v>175</v>
      </c>
      <c r="M442" t="s">
        <v>780</v>
      </c>
      <c r="O442" t="s">
        <v>780</v>
      </c>
      <c r="Q442" t="s">
        <v>1643</v>
      </c>
      <c r="U442" t="s">
        <v>1697</v>
      </c>
      <c r="W442" t="s">
        <v>1702</v>
      </c>
      <c r="X442">
        <v>1</v>
      </c>
      <c r="AA442" s="43">
        <v>307.5</v>
      </c>
      <c r="AC442" s="43">
        <v>307.5</v>
      </c>
      <c r="AF442" s="37">
        <f t="shared" si="13"/>
        <v>46260</v>
      </c>
      <c r="AG442" s="37">
        <f t="shared" si="14"/>
        <v>47466.611570247936</v>
      </c>
      <c r="AH442" t="s">
        <v>1705</v>
      </c>
      <c r="AN442" s="43">
        <v>307.5</v>
      </c>
    </row>
    <row r="443" spans="2:40">
      <c r="B443" t="s">
        <v>781</v>
      </c>
      <c r="C443" t="s">
        <v>121</v>
      </c>
      <c r="D443" t="s">
        <v>167</v>
      </c>
      <c r="E443" t="s">
        <v>83</v>
      </c>
      <c r="F443" s="37">
        <v>45931</v>
      </c>
      <c r="G443">
        <v>10</v>
      </c>
      <c r="H443" t="s">
        <v>174</v>
      </c>
      <c r="I443" s="37">
        <v>46001</v>
      </c>
      <c r="J443" t="s">
        <v>165</v>
      </c>
      <c r="K443" t="s">
        <v>166</v>
      </c>
      <c r="L443" t="s">
        <v>175</v>
      </c>
      <c r="M443" t="s">
        <v>781</v>
      </c>
      <c r="O443" t="s">
        <v>781</v>
      </c>
      <c r="Q443" t="s">
        <v>1643</v>
      </c>
      <c r="U443" t="s">
        <v>1697</v>
      </c>
      <c r="W443" t="s">
        <v>1702</v>
      </c>
      <c r="X443">
        <v>1</v>
      </c>
      <c r="AA443" s="43">
        <v>307.5</v>
      </c>
      <c r="AC443" s="43">
        <v>307.5</v>
      </c>
      <c r="AF443" s="37">
        <f t="shared" si="13"/>
        <v>46260</v>
      </c>
      <c r="AG443" s="37">
        <f t="shared" si="14"/>
        <v>47466.611570247936</v>
      </c>
      <c r="AH443" t="s">
        <v>1705</v>
      </c>
      <c r="AN443" s="43">
        <v>307.5</v>
      </c>
    </row>
    <row r="444" spans="2:40">
      <c r="B444" t="s">
        <v>782</v>
      </c>
      <c r="C444" t="s">
        <v>121</v>
      </c>
      <c r="D444" t="s">
        <v>167</v>
      </c>
      <c r="E444" t="s">
        <v>83</v>
      </c>
      <c r="F444" s="37">
        <v>45931</v>
      </c>
      <c r="G444">
        <v>10</v>
      </c>
      <c r="H444" t="s">
        <v>174</v>
      </c>
      <c r="I444" s="37">
        <v>46001</v>
      </c>
      <c r="J444" t="s">
        <v>165</v>
      </c>
      <c r="K444" t="s">
        <v>166</v>
      </c>
      <c r="L444" t="s">
        <v>175</v>
      </c>
      <c r="M444" t="s">
        <v>782</v>
      </c>
      <c r="O444" t="s">
        <v>782</v>
      </c>
      <c r="Q444" t="s">
        <v>1643</v>
      </c>
      <c r="U444" t="s">
        <v>1697</v>
      </c>
      <c r="W444" t="s">
        <v>1702</v>
      </c>
      <c r="X444">
        <v>1</v>
      </c>
      <c r="AA444" s="43">
        <v>307.5</v>
      </c>
      <c r="AC444" s="43">
        <v>307.5</v>
      </c>
      <c r="AF444" s="37">
        <f t="shared" si="13"/>
        <v>46260</v>
      </c>
      <c r="AG444" s="37">
        <f t="shared" si="14"/>
        <v>47466.611570247936</v>
      </c>
      <c r="AH444" t="s">
        <v>1705</v>
      </c>
      <c r="AN444" s="43">
        <v>307.5</v>
      </c>
    </row>
    <row r="445" spans="2:40">
      <c r="B445" t="s">
        <v>783</v>
      </c>
      <c r="C445" t="s">
        <v>121</v>
      </c>
      <c r="D445" t="s">
        <v>167</v>
      </c>
      <c r="E445" t="s">
        <v>83</v>
      </c>
      <c r="F445" s="37">
        <v>45931</v>
      </c>
      <c r="G445">
        <v>10</v>
      </c>
      <c r="H445" t="s">
        <v>174</v>
      </c>
      <c r="I445" s="37">
        <v>46001</v>
      </c>
      <c r="J445" t="s">
        <v>165</v>
      </c>
      <c r="K445" t="s">
        <v>166</v>
      </c>
      <c r="L445" t="s">
        <v>175</v>
      </c>
      <c r="M445" t="s">
        <v>783</v>
      </c>
      <c r="O445" t="s">
        <v>783</v>
      </c>
      <c r="Q445" t="s">
        <v>1643</v>
      </c>
      <c r="U445" t="s">
        <v>1697</v>
      </c>
      <c r="W445" t="s">
        <v>1702</v>
      </c>
      <c r="X445">
        <v>1</v>
      </c>
      <c r="AA445" s="43">
        <v>307.5</v>
      </c>
      <c r="AC445" s="43">
        <v>307.5</v>
      </c>
      <c r="AF445" s="37">
        <f t="shared" si="13"/>
        <v>46260</v>
      </c>
      <c r="AG445" s="37">
        <f t="shared" si="14"/>
        <v>47466.611570247936</v>
      </c>
      <c r="AH445" t="s">
        <v>1705</v>
      </c>
      <c r="AN445" s="43">
        <v>307.5</v>
      </c>
    </row>
    <row r="446" spans="2:40">
      <c r="B446" t="s">
        <v>784</v>
      </c>
      <c r="C446" t="s">
        <v>121</v>
      </c>
      <c r="D446" t="s">
        <v>167</v>
      </c>
      <c r="E446" t="s">
        <v>83</v>
      </c>
      <c r="F446" s="37">
        <v>45931</v>
      </c>
      <c r="G446">
        <v>10</v>
      </c>
      <c r="H446" t="s">
        <v>174</v>
      </c>
      <c r="I446" s="37">
        <v>46001</v>
      </c>
      <c r="J446" t="s">
        <v>165</v>
      </c>
      <c r="K446" t="s">
        <v>166</v>
      </c>
      <c r="L446" t="s">
        <v>175</v>
      </c>
      <c r="M446" t="s">
        <v>784</v>
      </c>
      <c r="O446" t="s">
        <v>784</v>
      </c>
      <c r="Q446" t="s">
        <v>1643</v>
      </c>
      <c r="U446" t="s">
        <v>1697</v>
      </c>
      <c r="W446" t="s">
        <v>1702</v>
      </c>
      <c r="X446">
        <v>1</v>
      </c>
      <c r="AA446" s="43">
        <v>307.5</v>
      </c>
      <c r="AC446" s="43">
        <v>307.5</v>
      </c>
      <c r="AF446" s="37">
        <f t="shared" si="13"/>
        <v>46260</v>
      </c>
      <c r="AG446" s="37">
        <f t="shared" si="14"/>
        <v>47466.611570247936</v>
      </c>
      <c r="AH446" t="s">
        <v>1705</v>
      </c>
      <c r="AN446" s="43">
        <v>307.5</v>
      </c>
    </row>
    <row r="447" spans="2:40">
      <c r="B447" t="s">
        <v>785</v>
      </c>
      <c r="C447" t="s">
        <v>121</v>
      </c>
      <c r="D447" t="s">
        <v>167</v>
      </c>
      <c r="E447" t="s">
        <v>83</v>
      </c>
      <c r="F447" s="37">
        <v>45931</v>
      </c>
      <c r="G447">
        <v>10</v>
      </c>
      <c r="H447" t="s">
        <v>174</v>
      </c>
      <c r="I447" s="37">
        <v>46001</v>
      </c>
      <c r="J447" t="s">
        <v>165</v>
      </c>
      <c r="K447" t="s">
        <v>166</v>
      </c>
      <c r="L447" t="s">
        <v>175</v>
      </c>
      <c r="M447" t="s">
        <v>785</v>
      </c>
      <c r="O447" t="s">
        <v>785</v>
      </c>
      <c r="Q447" t="s">
        <v>1643</v>
      </c>
      <c r="U447" t="s">
        <v>1697</v>
      </c>
      <c r="W447" t="s">
        <v>1702</v>
      </c>
      <c r="X447">
        <v>1</v>
      </c>
      <c r="AA447" s="43">
        <v>307.5</v>
      </c>
      <c r="AC447" s="43">
        <v>307.5</v>
      </c>
      <c r="AF447" s="37">
        <f t="shared" si="13"/>
        <v>46260</v>
      </c>
      <c r="AG447" s="37">
        <f t="shared" si="14"/>
        <v>47466.611570247936</v>
      </c>
      <c r="AH447" t="s">
        <v>1705</v>
      </c>
      <c r="AN447" s="43">
        <v>307.5</v>
      </c>
    </row>
    <row r="448" spans="2:40">
      <c r="B448" t="s">
        <v>786</v>
      </c>
      <c r="C448" t="s">
        <v>121</v>
      </c>
      <c r="D448" t="s">
        <v>167</v>
      </c>
      <c r="E448" t="s">
        <v>83</v>
      </c>
      <c r="F448" s="37">
        <v>45931</v>
      </c>
      <c r="G448">
        <v>10</v>
      </c>
      <c r="H448" t="s">
        <v>174</v>
      </c>
      <c r="I448" s="37">
        <v>46001</v>
      </c>
      <c r="J448" t="s">
        <v>165</v>
      </c>
      <c r="K448" t="s">
        <v>166</v>
      </c>
      <c r="L448" t="s">
        <v>175</v>
      </c>
      <c r="M448" t="s">
        <v>786</v>
      </c>
      <c r="O448" t="s">
        <v>786</v>
      </c>
      <c r="Q448" t="s">
        <v>1643</v>
      </c>
      <c r="U448" t="s">
        <v>1697</v>
      </c>
      <c r="W448" t="s">
        <v>1702</v>
      </c>
      <c r="X448">
        <v>1</v>
      </c>
      <c r="AA448" s="43">
        <v>307.5</v>
      </c>
      <c r="AC448" s="43">
        <v>307.5</v>
      </c>
      <c r="AF448" s="37">
        <f t="shared" si="13"/>
        <v>46260</v>
      </c>
      <c r="AG448" s="37">
        <f t="shared" si="14"/>
        <v>47466.611570247936</v>
      </c>
      <c r="AH448" t="s">
        <v>1705</v>
      </c>
      <c r="AN448" s="43">
        <v>307.5</v>
      </c>
    </row>
    <row r="449" spans="2:40">
      <c r="B449" t="s">
        <v>787</v>
      </c>
      <c r="C449" t="s">
        <v>121</v>
      </c>
      <c r="D449" t="s">
        <v>167</v>
      </c>
      <c r="E449" t="s">
        <v>83</v>
      </c>
      <c r="F449" s="37">
        <v>45924</v>
      </c>
      <c r="G449">
        <v>10</v>
      </c>
      <c r="H449" t="s">
        <v>174</v>
      </c>
      <c r="I449" s="37">
        <v>45994</v>
      </c>
      <c r="J449" t="s">
        <v>165</v>
      </c>
      <c r="K449" t="s">
        <v>166</v>
      </c>
      <c r="L449" t="s">
        <v>175</v>
      </c>
      <c r="M449" t="s">
        <v>787</v>
      </c>
      <c r="O449" t="s">
        <v>787</v>
      </c>
      <c r="Q449" t="s">
        <v>1643</v>
      </c>
      <c r="U449" t="s">
        <v>1697</v>
      </c>
      <c r="W449" t="s">
        <v>1702</v>
      </c>
      <c r="X449">
        <v>1</v>
      </c>
      <c r="AA449" s="43">
        <v>307.5</v>
      </c>
      <c r="AC449" s="43">
        <v>307.5</v>
      </c>
      <c r="AF449" s="37">
        <f t="shared" si="13"/>
        <v>46253</v>
      </c>
      <c r="AG449" s="37">
        <f t="shared" si="14"/>
        <v>47459.611570247936</v>
      </c>
      <c r="AH449" t="s">
        <v>1705</v>
      </c>
      <c r="AN449" s="43">
        <v>307.5</v>
      </c>
    </row>
    <row r="450" spans="2:40">
      <c r="B450" t="s">
        <v>788</v>
      </c>
      <c r="C450" t="s">
        <v>121</v>
      </c>
      <c r="D450" t="s">
        <v>167</v>
      </c>
      <c r="E450" t="s">
        <v>83</v>
      </c>
      <c r="F450" s="37">
        <v>45924</v>
      </c>
      <c r="G450">
        <v>10</v>
      </c>
      <c r="H450" t="s">
        <v>174</v>
      </c>
      <c r="I450" s="37">
        <v>45994</v>
      </c>
      <c r="J450" t="s">
        <v>165</v>
      </c>
      <c r="K450" t="s">
        <v>166</v>
      </c>
      <c r="L450" t="s">
        <v>175</v>
      </c>
      <c r="M450" t="s">
        <v>788</v>
      </c>
      <c r="O450" t="s">
        <v>788</v>
      </c>
      <c r="Q450" t="s">
        <v>1643</v>
      </c>
      <c r="U450" t="s">
        <v>1697</v>
      </c>
      <c r="W450" t="s">
        <v>1702</v>
      </c>
      <c r="X450">
        <v>1</v>
      </c>
      <c r="AA450" s="43">
        <v>307.5</v>
      </c>
      <c r="AC450" s="43">
        <v>307.5</v>
      </c>
      <c r="AF450" s="37">
        <f t="shared" si="13"/>
        <v>46253</v>
      </c>
      <c r="AG450" s="37">
        <f t="shared" si="14"/>
        <v>47459.611570247936</v>
      </c>
      <c r="AH450" t="s">
        <v>1705</v>
      </c>
      <c r="AN450" s="43">
        <v>307.5</v>
      </c>
    </row>
    <row r="451" spans="2:40">
      <c r="B451" t="s">
        <v>789</v>
      </c>
      <c r="C451" t="s">
        <v>121</v>
      </c>
      <c r="D451" t="s">
        <v>167</v>
      </c>
      <c r="E451" t="s">
        <v>83</v>
      </c>
      <c r="F451" s="37">
        <v>45924</v>
      </c>
      <c r="G451">
        <v>10</v>
      </c>
      <c r="H451" t="s">
        <v>174</v>
      </c>
      <c r="I451" s="37">
        <v>45994</v>
      </c>
      <c r="J451" t="s">
        <v>165</v>
      </c>
      <c r="K451" t="s">
        <v>166</v>
      </c>
      <c r="L451" t="s">
        <v>175</v>
      </c>
      <c r="M451" t="s">
        <v>789</v>
      </c>
      <c r="O451" t="s">
        <v>789</v>
      </c>
      <c r="Q451" t="s">
        <v>1643</v>
      </c>
      <c r="U451" t="s">
        <v>1697</v>
      </c>
      <c r="W451" t="s">
        <v>1702</v>
      </c>
      <c r="X451">
        <v>1</v>
      </c>
      <c r="AA451" s="43">
        <v>307.5</v>
      </c>
      <c r="AC451" s="43">
        <v>307.5</v>
      </c>
      <c r="AF451" s="37">
        <f t="shared" si="13"/>
        <v>46253</v>
      </c>
      <c r="AG451" s="37">
        <f t="shared" si="14"/>
        <v>47459.611570247936</v>
      </c>
      <c r="AH451" t="s">
        <v>1705</v>
      </c>
      <c r="AN451" s="43">
        <v>307.5</v>
      </c>
    </row>
    <row r="452" spans="2:40">
      <c r="B452" t="s">
        <v>790</v>
      </c>
      <c r="C452" t="s">
        <v>121</v>
      </c>
      <c r="D452" t="s">
        <v>167</v>
      </c>
      <c r="E452" t="s">
        <v>83</v>
      </c>
      <c r="F452" s="37">
        <v>45924</v>
      </c>
      <c r="G452">
        <v>10</v>
      </c>
      <c r="H452" t="s">
        <v>174</v>
      </c>
      <c r="I452" s="37">
        <v>45994</v>
      </c>
      <c r="J452" t="s">
        <v>165</v>
      </c>
      <c r="K452" t="s">
        <v>166</v>
      </c>
      <c r="L452" t="s">
        <v>175</v>
      </c>
      <c r="M452" t="s">
        <v>790</v>
      </c>
      <c r="O452" t="s">
        <v>790</v>
      </c>
      <c r="Q452" t="s">
        <v>1643</v>
      </c>
      <c r="U452" t="s">
        <v>1698</v>
      </c>
      <c r="W452" t="s">
        <v>1703</v>
      </c>
      <c r="X452">
        <v>1</v>
      </c>
      <c r="AA452" s="43">
        <v>307.5</v>
      </c>
      <c r="AC452" s="43">
        <v>307.5</v>
      </c>
      <c r="AF452" s="37">
        <f t="shared" si="13"/>
        <v>46253</v>
      </c>
      <c r="AG452" s="37">
        <f t="shared" si="14"/>
        <v>47459.611570247936</v>
      </c>
      <c r="AH452" t="s">
        <v>169</v>
      </c>
      <c r="AN452" s="43">
        <v>307.5</v>
      </c>
    </row>
    <row r="453" spans="2:40">
      <c r="B453" t="s">
        <v>791</v>
      </c>
      <c r="C453" t="s">
        <v>121</v>
      </c>
      <c r="D453" t="s">
        <v>167</v>
      </c>
      <c r="E453" t="s">
        <v>83</v>
      </c>
      <c r="F453" s="37">
        <v>45924</v>
      </c>
      <c r="G453">
        <v>10</v>
      </c>
      <c r="H453" t="s">
        <v>174</v>
      </c>
      <c r="I453" s="37">
        <v>45994</v>
      </c>
      <c r="J453" t="s">
        <v>165</v>
      </c>
      <c r="K453" t="s">
        <v>166</v>
      </c>
      <c r="L453" t="s">
        <v>175</v>
      </c>
      <c r="M453" t="s">
        <v>791</v>
      </c>
      <c r="O453" t="s">
        <v>791</v>
      </c>
      <c r="Q453" t="s">
        <v>1643</v>
      </c>
      <c r="U453" t="s">
        <v>1697</v>
      </c>
      <c r="W453" t="s">
        <v>1702</v>
      </c>
      <c r="X453">
        <v>1</v>
      </c>
      <c r="AA453" s="43">
        <v>307.5</v>
      </c>
      <c r="AC453" s="43">
        <v>307.5</v>
      </c>
      <c r="AF453" s="37">
        <f t="shared" si="13"/>
        <v>46253</v>
      </c>
      <c r="AG453" s="37">
        <f t="shared" si="14"/>
        <v>47459.611570247936</v>
      </c>
      <c r="AH453" t="s">
        <v>1705</v>
      </c>
      <c r="AN453" s="43">
        <v>307.5</v>
      </c>
    </row>
    <row r="454" spans="2:40">
      <c r="B454" t="s">
        <v>792</v>
      </c>
      <c r="C454" t="s">
        <v>121</v>
      </c>
      <c r="D454" t="s">
        <v>167</v>
      </c>
      <c r="E454" t="s">
        <v>83</v>
      </c>
      <c r="F454" s="37">
        <v>45924</v>
      </c>
      <c r="G454">
        <v>10</v>
      </c>
      <c r="H454" t="s">
        <v>174</v>
      </c>
      <c r="I454" s="37">
        <v>45994</v>
      </c>
      <c r="J454" t="s">
        <v>165</v>
      </c>
      <c r="K454" t="s">
        <v>166</v>
      </c>
      <c r="L454" t="s">
        <v>175</v>
      </c>
      <c r="M454" t="s">
        <v>792</v>
      </c>
      <c r="O454" t="s">
        <v>792</v>
      </c>
      <c r="Q454" t="s">
        <v>1643</v>
      </c>
      <c r="U454" t="s">
        <v>1697</v>
      </c>
      <c r="W454" t="s">
        <v>1702</v>
      </c>
      <c r="X454">
        <v>1</v>
      </c>
      <c r="AA454" s="43">
        <v>307.5</v>
      </c>
      <c r="AC454" s="43">
        <v>307.5</v>
      </c>
      <c r="AF454" s="37">
        <f t="shared" si="13"/>
        <v>46253</v>
      </c>
      <c r="AG454" s="37">
        <f t="shared" si="14"/>
        <v>47459.611570247936</v>
      </c>
      <c r="AH454" t="s">
        <v>1705</v>
      </c>
      <c r="AN454" s="43">
        <v>307.5</v>
      </c>
    </row>
    <row r="455" spans="2:40">
      <c r="B455" t="s">
        <v>793</v>
      </c>
      <c r="C455" t="s">
        <v>121</v>
      </c>
      <c r="D455" t="s">
        <v>167</v>
      </c>
      <c r="E455" t="s">
        <v>83</v>
      </c>
      <c r="F455" s="37">
        <v>45924</v>
      </c>
      <c r="G455">
        <v>10</v>
      </c>
      <c r="H455" t="s">
        <v>174</v>
      </c>
      <c r="I455" s="37">
        <v>45994</v>
      </c>
      <c r="J455" t="s">
        <v>165</v>
      </c>
      <c r="K455" t="s">
        <v>166</v>
      </c>
      <c r="L455" t="s">
        <v>175</v>
      </c>
      <c r="M455" t="s">
        <v>793</v>
      </c>
      <c r="O455" t="s">
        <v>793</v>
      </c>
      <c r="Q455" t="s">
        <v>1643</v>
      </c>
      <c r="U455" t="s">
        <v>1698</v>
      </c>
      <c r="W455" t="s">
        <v>1703</v>
      </c>
      <c r="X455">
        <v>1</v>
      </c>
      <c r="AA455" s="43">
        <v>307.5</v>
      </c>
      <c r="AC455" s="43">
        <v>307.5</v>
      </c>
      <c r="AF455" s="37">
        <f t="shared" ref="AF455:AF518" si="15">F455+(47*7)</f>
        <v>46253</v>
      </c>
      <c r="AG455" s="37">
        <f t="shared" ref="AG455:AG518" si="16">+AF455+(365*8)/2.42</f>
        <v>47459.611570247936</v>
      </c>
      <c r="AH455" t="s">
        <v>169</v>
      </c>
      <c r="AN455" s="43">
        <v>307.5</v>
      </c>
    </row>
    <row r="456" spans="2:40">
      <c r="B456" t="s">
        <v>794</v>
      </c>
      <c r="C456" t="s">
        <v>121</v>
      </c>
      <c r="D456" t="s">
        <v>167</v>
      </c>
      <c r="E456" t="s">
        <v>83</v>
      </c>
      <c r="F456" s="37">
        <v>45924</v>
      </c>
      <c r="G456">
        <v>10</v>
      </c>
      <c r="H456" t="s">
        <v>174</v>
      </c>
      <c r="I456" s="37">
        <v>45994</v>
      </c>
      <c r="J456" t="s">
        <v>165</v>
      </c>
      <c r="K456" t="s">
        <v>166</v>
      </c>
      <c r="L456" t="s">
        <v>175</v>
      </c>
      <c r="M456" t="s">
        <v>794</v>
      </c>
      <c r="O456" t="s">
        <v>794</v>
      </c>
      <c r="Q456" t="s">
        <v>1643</v>
      </c>
      <c r="U456" t="s">
        <v>1697</v>
      </c>
      <c r="W456" t="s">
        <v>1702</v>
      </c>
      <c r="X456">
        <v>1</v>
      </c>
      <c r="AA456" s="43">
        <v>307.5</v>
      </c>
      <c r="AC456" s="43">
        <v>307.5</v>
      </c>
      <c r="AF456" s="37">
        <f t="shared" si="15"/>
        <v>46253</v>
      </c>
      <c r="AG456" s="37">
        <f t="shared" si="16"/>
        <v>47459.611570247936</v>
      </c>
      <c r="AH456" t="s">
        <v>1705</v>
      </c>
      <c r="AN456" s="43">
        <v>307.5</v>
      </c>
    </row>
    <row r="457" spans="2:40">
      <c r="B457" t="s">
        <v>795</v>
      </c>
      <c r="C457" t="s">
        <v>121</v>
      </c>
      <c r="D457" t="s">
        <v>167</v>
      </c>
      <c r="E457" t="s">
        <v>83</v>
      </c>
      <c r="F457" s="37">
        <v>45917</v>
      </c>
      <c r="G457">
        <v>10</v>
      </c>
      <c r="H457" t="s">
        <v>174</v>
      </c>
      <c r="I457" s="37">
        <v>45987</v>
      </c>
      <c r="J457" t="s">
        <v>165</v>
      </c>
      <c r="K457" t="s">
        <v>166</v>
      </c>
      <c r="L457" t="s">
        <v>175</v>
      </c>
      <c r="M457" t="s">
        <v>795</v>
      </c>
      <c r="O457" t="s">
        <v>795</v>
      </c>
      <c r="Q457" t="s">
        <v>1643</v>
      </c>
      <c r="U457" t="s">
        <v>1698</v>
      </c>
      <c r="W457" t="s">
        <v>1703</v>
      </c>
      <c r="X457">
        <v>1</v>
      </c>
      <c r="AA457" s="43">
        <v>307.5</v>
      </c>
      <c r="AC457" s="43">
        <v>307.5</v>
      </c>
      <c r="AF457" s="37">
        <f t="shared" si="15"/>
        <v>46246</v>
      </c>
      <c r="AG457" s="37">
        <f t="shared" si="16"/>
        <v>47452.611570247936</v>
      </c>
      <c r="AH457" t="s">
        <v>169</v>
      </c>
      <c r="AN457" s="43">
        <v>307.5</v>
      </c>
    </row>
    <row r="458" spans="2:40">
      <c r="B458" t="s">
        <v>796</v>
      </c>
      <c r="C458" t="s">
        <v>121</v>
      </c>
      <c r="D458" t="s">
        <v>167</v>
      </c>
      <c r="E458" t="s">
        <v>83</v>
      </c>
      <c r="F458" s="37">
        <v>45917</v>
      </c>
      <c r="G458">
        <v>10</v>
      </c>
      <c r="H458" t="s">
        <v>174</v>
      </c>
      <c r="I458" s="37">
        <v>45987</v>
      </c>
      <c r="J458" t="s">
        <v>165</v>
      </c>
      <c r="K458" t="s">
        <v>166</v>
      </c>
      <c r="L458" t="s">
        <v>175</v>
      </c>
      <c r="M458" t="s">
        <v>796</v>
      </c>
      <c r="O458" t="s">
        <v>796</v>
      </c>
      <c r="Q458" t="s">
        <v>1643</v>
      </c>
      <c r="U458" t="s">
        <v>1698</v>
      </c>
      <c r="W458" t="s">
        <v>1703</v>
      </c>
      <c r="X458">
        <v>1</v>
      </c>
      <c r="AA458" s="43">
        <v>307.5</v>
      </c>
      <c r="AC458" s="43">
        <v>307.5</v>
      </c>
      <c r="AF458" s="37">
        <f t="shared" si="15"/>
        <v>46246</v>
      </c>
      <c r="AG458" s="37">
        <f t="shared" si="16"/>
        <v>47452.611570247936</v>
      </c>
      <c r="AH458" t="s">
        <v>169</v>
      </c>
      <c r="AN458" s="43">
        <v>307.5</v>
      </c>
    </row>
    <row r="459" spans="2:40">
      <c r="B459" t="s">
        <v>797</v>
      </c>
      <c r="C459" t="s">
        <v>121</v>
      </c>
      <c r="D459" t="s">
        <v>167</v>
      </c>
      <c r="E459" t="s">
        <v>83</v>
      </c>
      <c r="F459" s="37">
        <v>45917</v>
      </c>
      <c r="G459">
        <v>10</v>
      </c>
      <c r="H459" t="s">
        <v>174</v>
      </c>
      <c r="I459" s="37">
        <v>45987</v>
      </c>
      <c r="J459" t="s">
        <v>165</v>
      </c>
      <c r="K459" t="s">
        <v>166</v>
      </c>
      <c r="L459" t="s">
        <v>175</v>
      </c>
      <c r="M459" t="s">
        <v>797</v>
      </c>
      <c r="O459" t="s">
        <v>797</v>
      </c>
      <c r="Q459" t="s">
        <v>1643</v>
      </c>
      <c r="U459" t="s">
        <v>1698</v>
      </c>
      <c r="W459" t="s">
        <v>1703</v>
      </c>
      <c r="X459">
        <v>1</v>
      </c>
      <c r="AA459" s="43">
        <v>307.5</v>
      </c>
      <c r="AC459" s="43">
        <v>307.5</v>
      </c>
      <c r="AF459" s="37">
        <f t="shared" si="15"/>
        <v>46246</v>
      </c>
      <c r="AG459" s="37">
        <f t="shared" si="16"/>
        <v>47452.611570247936</v>
      </c>
      <c r="AH459" t="s">
        <v>169</v>
      </c>
      <c r="AN459" s="43">
        <v>307.5</v>
      </c>
    </row>
    <row r="460" spans="2:40">
      <c r="B460" t="s">
        <v>798</v>
      </c>
      <c r="C460" t="s">
        <v>121</v>
      </c>
      <c r="D460" t="s">
        <v>167</v>
      </c>
      <c r="E460" t="s">
        <v>83</v>
      </c>
      <c r="F460" s="37">
        <v>45917</v>
      </c>
      <c r="G460">
        <v>10</v>
      </c>
      <c r="H460" t="s">
        <v>174</v>
      </c>
      <c r="I460" s="37">
        <v>45987</v>
      </c>
      <c r="J460" t="s">
        <v>165</v>
      </c>
      <c r="K460" t="s">
        <v>166</v>
      </c>
      <c r="L460" t="s">
        <v>175</v>
      </c>
      <c r="M460" t="s">
        <v>798</v>
      </c>
      <c r="O460" t="s">
        <v>798</v>
      </c>
      <c r="Q460" t="s">
        <v>1643</v>
      </c>
      <c r="U460" t="s">
        <v>1697</v>
      </c>
      <c r="W460" t="s">
        <v>1702</v>
      </c>
      <c r="X460">
        <v>1</v>
      </c>
      <c r="AA460" s="43">
        <v>307.5</v>
      </c>
      <c r="AC460" s="43">
        <v>307.5</v>
      </c>
      <c r="AF460" s="37">
        <f t="shared" si="15"/>
        <v>46246</v>
      </c>
      <c r="AG460" s="37">
        <f t="shared" si="16"/>
        <v>47452.611570247936</v>
      </c>
      <c r="AH460" t="s">
        <v>1705</v>
      </c>
      <c r="AN460" s="43">
        <v>307.5</v>
      </c>
    </row>
    <row r="461" spans="2:40">
      <c r="B461" t="s">
        <v>799</v>
      </c>
      <c r="C461" t="s">
        <v>121</v>
      </c>
      <c r="D461" t="s">
        <v>167</v>
      </c>
      <c r="E461" t="s">
        <v>83</v>
      </c>
      <c r="F461" s="37">
        <v>45917</v>
      </c>
      <c r="G461">
        <v>10</v>
      </c>
      <c r="H461" t="s">
        <v>174</v>
      </c>
      <c r="I461" s="37">
        <v>45987</v>
      </c>
      <c r="J461" t="s">
        <v>165</v>
      </c>
      <c r="K461" t="s">
        <v>166</v>
      </c>
      <c r="L461" t="s">
        <v>175</v>
      </c>
      <c r="M461" t="s">
        <v>799</v>
      </c>
      <c r="O461" t="s">
        <v>799</v>
      </c>
      <c r="Q461" t="s">
        <v>1643</v>
      </c>
      <c r="U461" t="s">
        <v>1698</v>
      </c>
      <c r="W461" t="s">
        <v>1703</v>
      </c>
      <c r="X461">
        <v>1</v>
      </c>
      <c r="AA461" s="43">
        <v>307.5</v>
      </c>
      <c r="AC461" s="43">
        <v>307.5</v>
      </c>
      <c r="AF461" s="37">
        <f t="shared" si="15"/>
        <v>46246</v>
      </c>
      <c r="AG461" s="37">
        <f t="shared" si="16"/>
        <v>47452.611570247936</v>
      </c>
      <c r="AH461" t="s">
        <v>169</v>
      </c>
      <c r="AN461" s="43">
        <v>307.5</v>
      </c>
    </row>
    <row r="462" spans="2:40">
      <c r="B462" t="s">
        <v>800</v>
      </c>
      <c r="C462" t="s">
        <v>121</v>
      </c>
      <c r="D462" t="s">
        <v>167</v>
      </c>
      <c r="E462" t="s">
        <v>83</v>
      </c>
      <c r="F462" s="37">
        <v>45917</v>
      </c>
      <c r="G462">
        <v>10</v>
      </c>
      <c r="H462" t="s">
        <v>174</v>
      </c>
      <c r="I462" s="37">
        <v>45987</v>
      </c>
      <c r="J462" t="s">
        <v>165</v>
      </c>
      <c r="K462" t="s">
        <v>166</v>
      </c>
      <c r="L462" t="s">
        <v>175</v>
      </c>
      <c r="M462" t="s">
        <v>800</v>
      </c>
      <c r="O462" t="s">
        <v>800</v>
      </c>
      <c r="Q462" t="s">
        <v>1643</v>
      </c>
      <c r="U462" t="s">
        <v>1698</v>
      </c>
      <c r="W462" t="s">
        <v>1703</v>
      </c>
      <c r="X462">
        <v>1</v>
      </c>
      <c r="AA462" s="43">
        <v>307.5</v>
      </c>
      <c r="AC462" s="43">
        <v>307.5</v>
      </c>
      <c r="AF462" s="37">
        <f t="shared" si="15"/>
        <v>46246</v>
      </c>
      <c r="AG462" s="37">
        <f t="shared" si="16"/>
        <v>47452.611570247936</v>
      </c>
      <c r="AH462" t="s">
        <v>169</v>
      </c>
      <c r="AN462" s="43">
        <v>307.5</v>
      </c>
    </row>
    <row r="463" spans="2:40">
      <c r="B463" t="s">
        <v>801</v>
      </c>
      <c r="C463" t="s">
        <v>121</v>
      </c>
      <c r="D463" t="s">
        <v>167</v>
      </c>
      <c r="E463" t="s">
        <v>83</v>
      </c>
      <c r="F463" s="37">
        <v>45917</v>
      </c>
      <c r="G463">
        <v>10</v>
      </c>
      <c r="H463" t="s">
        <v>174</v>
      </c>
      <c r="I463" s="37">
        <v>45987</v>
      </c>
      <c r="J463" t="s">
        <v>165</v>
      </c>
      <c r="K463" t="s">
        <v>166</v>
      </c>
      <c r="L463" t="s">
        <v>175</v>
      </c>
      <c r="M463" t="s">
        <v>801</v>
      </c>
      <c r="O463" t="s">
        <v>801</v>
      </c>
      <c r="Q463" t="s">
        <v>1643</v>
      </c>
      <c r="U463" t="s">
        <v>1698</v>
      </c>
      <c r="W463" t="s">
        <v>1703</v>
      </c>
      <c r="X463">
        <v>1</v>
      </c>
      <c r="AA463" s="43">
        <v>307.5</v>
      </c>
      <c r="AC463" s="43">
        <v>307.5</v>
      </c>
      <c r="AF463" s="37">
        <f t="shared" si="15"/>
        <v>46246</v>
      </c>
      <c r="AG463" s="37">
        <f t="shared" si="16"/>
        <v>47452.611570247936</v>
      </c>
      <c r="AH463" t="s">
        <v>169</v>
      </c>
      <c r="AN463" s="43">
        <v>307.5</v>
      </c>
    </row>
    <row r="464" spans="2:40">
      <c r="B464" t="s">
        <v>802</v>
      </c>
      <c r="C464" t="s">
        <v>121</v>
      </c>
      <c r="D464" t="s">
        <v>167</v>
      </c>
      <c r="E464" t="s">
        <v>83</v>
      </c>
      <c r="F464" s="37">
        <v>45917</v>
      </c>
      <c r="G464">
        <v>10</v>
      </c>
      <c r="H464" t="s">
        <v>174</v>
      </c>
      <c r="I464" s="37">
        <v>45987</v>
      </c>
      <c r="J464" t="s">
        <v>165</v>
      </c>
      <c r="K464" t="s">
        <v>166</v>
      </c>
      <c r="L464" t="s">
        <v>175</v>
      </c>
      <c r="M464" t="s">
        <v>802</v>
      </c>
      <c r="O464" t="s">
        <v>802</v>
      </c>
      <c r="Q464" t="s">
        <v>1643</v>
      </c>
      <c r="U464" t="s">
        <v>1698</v>
      </c>
      <c r="W464" t="s">
        <v>1703</v>
      </c>
      <c r="X464">
        <v>1</v>
      </c>
      <c r="AA464" s="43">
        <v>307.5</v>
      </c>
      <c r="AC464" s="43">
        <v>307.5</v>
      </c>
      <c r="AF464" s="37">
        <f t="shared" si="15"/>
        <v>46246</v>
      </c>
      <c r="AG464" s="37">
        <f t="shared" si="16"/>
        <v>47452.611570247936</v>
      </c>
      <c r="AH464" t="s">
        <v>169</v>
      </c>
      <c r="AN464" s="43">
        <v>307.5</v>
      </c>
    </row>
    <row r="465" spans="2:40">
      <c r="B465" t="s">
        <v>803</v>
      </c>
      <c r="C465" t="s">
        <v>121</v>
      </c>
      <c r="D465" t="s">
        <v>167</v>
      </c>
      <c r="E465" t="s">
        <v>83</v>
      </c>
      <c r="F465" s="37">
        <v>45917</v>
      </c>
      <c r="G465">
        <v>10</v>
      </c>
      <c r="H465" t="s">
        <v>174</v>
      </c>
      <c r="I465" s="37">
        <v>45987</v>
      </c>
      <c r="J465" t="s">
        <v>165</v>
      </c>
      <c r="K465" t="s">
        <v>166</v>
      </c>
      <c r="L465" t="s">
        <v>175</v>
      </c>
      <c r="M465" t="s">
        <v>803</v>
      </c>
      <c r="O465" t="s">
        <v>803</v>
      </c>
      <c r="Q465" t="s">
        <v>1643</v>
      </c>
      <c r="U465" t="s">
        <v>1698</v>
      </c>
      <c r="W465" t="s">
        <v>1703</v>
      </c>
      <c r="X465">
        <v>1</v>
      </c>
      <c r="AA465" s="43">
        <v>307.5</v>
      </c>
      <c r="AC465" s="43">
        <v>307.5</v>
      </c>
      <c r="AF465" s="37">
        <f t="shared" si="15"/>
        <v>46246</v>
      </c>
      <c r="AG465" s="37">
        <f t="shared" si="16"/>
        <v>47452.611570247936</v>
      </c>
      <c r="AH465" t="s">
        <v>169</v>
      </c>
      <c r="AN465" s="43">
        <v>307.5</v>
      </c>
    </row>
    <row r="466" spans="2:40">
      <c r="B466" t="s">
        <v>804</v>
      </c>
      <c r="C466" t="s">
        <v>121</v>
      </c>
      <c r="D466" t="s">
        <v>167</v>
      </c>
      <c r="E466" t="s">
        <v>83</v>
      </c>
      <c r="F466" s="37">
        <v>45910</v>
      </c>
      <c r="G466">
        <v>10</v>
      </c>
      <c r="H466" t="s">
        <v>174</v>
      </c>
      <c r="I466" s="37">
        <v>45980</v>
      </c>
      <c r="J466" t="s">
        <v>165</v>
      </c>
      <c r="K466" t="s">
        <v>166</v>
      </c>
      <c r="L466" t="s">
        <v>175</v>
      </c>
      <c r="M466" t="s">
        <v>804</v>
      </c>
      <c r="O466" t="s">
        <v>804</v>
      </c>
      <c r="Q466" t="s">
        <v>1643</v>
      </c>
      <c r="U466" t="s">
        <v>1698</v>
      </c>
      <c r="W466" t="s">
        <v>1703</v>
      </c>
      <c r="X466">
        <v>1</v>
      </c>
      <c r="AA466" s="43">
        <v>307.5</v>
      </c>
      <c r="AC466" s="43">
        <v>307.5</v>
      </c>
      <c r="AF466" s="37">
        <f t="shared" si="15"/>
        <v>46239</v>
      </c>
      <c r="AG466" s="37">
        <f t="shared" si="16"/>
        <v>47445.611570247936</v>
      </c>
      <c r="AH466" t="s">
        <v>169</v>
      </c>
      <c r="AN466" s="43">
        <v>307.5</v>
      </c>
    </row>
    <row r="467" spans="2:40">
      <c r="B467" t="s">
        <v>805</v>
      </c>
      <c r="C467" t="s">
        <v>121</v>
      </c>
      <c r="D467" t="s">
        <v>167</v>
      </c>
      <c r="E467" t="s">
        <v>83</v>
      </c>
      <c r="F467" s="37">
        <v>45910</v>
      </c>
      <c r="G467">
        <v>10</v>
      </c>
      <c r="H467" t="s">
        <v>174</v>
      </c>
      <c r="I467" s="37">
        <v>45980</v>
      </c>
      <c r="J467" t="s">
        <v>165</v>
      </c>
      <c r="K467" t="s">
        <v>166</v>
      </c>
      <c r="L467" t="s">
        <v>175</v>
      </c>
      <c r="M467" t="s">
        <v>805</v>
      </c>
      <c r="O467" t="s">
        <v>805</v>
      </c>
      <c r="Q467" t="s">
        <v>1643</v>
      </c>
      <c r="U467" t="s">
        <v>1698</v>
      </c>
      <c r="W467" t="s">
        <v>1703</v>
      </c>
      <c r="X467">
        <v>1</v>
      </c>
      <c r="AA467" s="43">
        <v>307.5</v>
      </c>
      <c r="AC467" s="43">
        <v>307.5</v>
      </c>
      <c r="AF467" s="37">
        <f t="shared" si="15"/>
        <v>46239</v>
      </c>
      <c r="AG467" s="37">
        <f t="shared" si="16"/>
        <v>47445.611570247936</v>
      </c>
      <c r="AH467" t="s">
        <v>169</v>
      </c>
      <c r="AN467" s="43">
        <v>307.5</v>
      </c>
    </row>
    <row r="468" spans="2:40">
      <c r="B468" t="s">
        <v>806</v>
      </c>
      <c r="C468" t="s">
        <v>121</v>
      </c>
      <c r="D468" t="s">
        <v>167</v>
      </c>
      <c r="E468" t="s">
        <v>83</v>
      </c>
      <c r="F468" s="37">
        <v>45910</v>
      </c>
      <c r="G468">
        <v>10</v>
      </c>
      <c r="H468" t="s">
        <v>174</v>
      </c>
      <c r="I468" s="37">
        <v>45980</v>
      </c>
      <c r="J468" t="s">
        <v>165</v>
      </c>
      <c r="K468" t="s">
        <v>166</v>
      </c>
      <c r="L468" t="s">
        <v>175</v>
      </c>
      <c r="M468" t="s">
        <v>806</v>
      </c>
      <c r="O468" t="s">
        <v>806</v>
      </c>
      <c r="Q468" t="s">
        <v>1643</v>
      </c>
      <c r="U468" t="s">
        <v>1698</v>
      </c>
      <c r="W468" t="s">
        <v>1703</v>
      </c>
      <c r="X468">
        <v>1</v>
      </c>
      <c r="AA468" s="43">
        <v>307.5</v>
      </c>
      <c r="AC468" s="43">
        <v>307.5</v>
      </c>
      <c r="AF468" s="37">
        <f t="shared" si="15"/>
        <v>46239</v>
      </c>
      <c r="AG468" s="37">
        <f t="shared" si="16"/>
        <v>47445.611570247936</v>
      </c>
      <c r="AH468" t="s">
        <v>169</v>
      </c>
      <c r="AN468" s="43">
        <v>307.5</v>
      </c>
    </row>
    <row r="469" spans="2:40">
      <c r="B469" t="s">
        <v>807</v>
      </c>
      <c r="C469" t="s">
        <v>121</v>
      </c>
      <c r="D469" t="s">
        <v>167</v>
      </c>
      <c r="E469" t="s">
        <v>83</v>
      </c>
      <c r="F469" s="37">
        <v>45910</v>
      </c>
      <c r="G469">
        <v>10</v>
      </c>
      <c r="H469" t="s">
        <v>174</v>
      </c>
      <c r="I469" s="37">
        <v>45980</v>
      </c>
      <c r="J469" t="s">
        <v>165</v>
      </c>
      <c r="K469" t="s">
        <v>166</v>
      </c>
      <c r="L469" t="s">
        <v>175</v>
      </c>
      <c r="M469" t="s">
        <v>807</v>
      </c>
      <c r="O469" t="s">
        <v>807</v>
      </c>
      <c r="Q469" t="s">
        <v>1643</v>
      </c>
      <c r="U469" t="s">
        <v>1698</v>
      </c>
      <c r="W469" t="s">
        <v>1703</v>
      </c>
      <c r="X469">
        <v>1</v>
      </c>
      <c r="AA469" s="43">
        <v>307.5</v>
      </c>
      <c r="AC469" s="43">
        <v>307.5</v>
      </c>
      <c r="AF469" s="37">
        <f t="shared" si="15"/>
        <v>46239</v>
      </c>
      <c r="AG469" s="37">
        <f t="shared" si="16"/>
        <v>47445.611570247936</v>
      </c>
      <c r="AH469" t="s">
        <v>169</v>
      </c>
      <c r="AN469" s="43">
        <v>307.5</v>
      </c>
    </row>
    <row r="470" spans="2:40">
      <c r="B470" t="s">
        <v>808</v>
      </c>
      <c r="C470" t="s">
        <v>121</v>
      </c>
      <c r="D470" t="s">
        <v>167</v>
      </c>
      <c r="E470" t="s">
        <v>83</v>
      </c>
      <c r="F470" s="37">
        <v>45910</v>
      </c>
      <c r="G470">
        <v>10</v>
      </c>
      <c r="H470" t="s">
        <v>174</v>
      </c>
      <c r="I470" s="37">
        <v>45980</v>
      </c>
      <c r="J470" t="s">
        <v>165</v>
      </c>
      <c r="K470" t="s">
        <v>166</v>
      </c>
      <c r="L470" t="s">
        <v>175</v>
      </c>
      <c r="M470" t="s">
        <v>808</v>
      </c>
      <c r="O470" t="s">
        <v>808</v>
      </c>
      <c r="Q470" t="s">
        <v>1643</v>
      </c>
      <c r="U470" t="s">
        <v>1698</v>
      </c>
      <c r="W470" t="s">
        <v>1703</v>
      </c>
      <c r="X470">
        <v>1</v>
      </c>
      <c r="AA470" s="43">
        <v>307.5</v>
      </c>
      <c r="AC470" s="43">
        <v>307.5</v>
      </c>
      <c r="AF470" s="37">
        <f t="shared" si="15"/>
        <v>46239</v>
      </c>
      <c r="AG470" s="37">
        <f t="shared" si="16"/>
        <v>47445.611570247936</v>
      </c>
      <c r="AH470" t="s">
        <v>169</v>
      </c>
      <c r="AN470" s="43">
        <v>307.5</v>
      </c>
    </row>
    <row r="471" spans="2:40">
      <c r="B471" t="s">
        <v>809</v>
      </c>
      <c r="C471" t="s">
        <v>121</v>
      </c>
      <c r="D471" t="s">
        <v>167</v>
      </c>
      <c r="E471" t="s">
        <v>83</v>
      </c>
      <c r="F471" s="37">
        <v>45910</v>
      </c>
      <c r="G471">
        <v>10</v>
      </c>
      <c r="H471" t="s">
        <v>174</v>
      </c>
      <c r="I471" s="37">
        <v>45980</v>
      </c>
      <c r="J471" t="s">
        <v>165</v>
      </c>
      <c r="K471" t="s">
        <v>166</v>
      </c>
      <c r="L471" t="s">
        <v>175</v>
      </c>
      <c r="M471" t="s">
        <v>809</v>
      </c>
      <c r="O471" t="s">
        <v>809</v>
      </c>
      <c r="Q471" t="s">
        <v>1643</v>
      </c>
      <c r="U471" t="s">
        <v>1697</v>
      </c>
      <c r="W471" t="s">
        <v>1702</v>
      </c>
      <c r="X471">
        <v>1</v>
      </c>
      <c r="AA471" s="43">
        <v>307.5</v>
      </c>
      <c r="AC471" s="43">
        <v>307.5</v>
      </c>
      <c r="AF471" s="37">
        <f t="shared" si="15"/>
        <v>46239</v>
      </c>
      <c r="AG471" s="37">
        <f t="shared" si="16"/>
        <v>47445.611570247936</v>
      </c>
      <c r="AH471" t="s">
        <v>1705</v>
      </c>
      <c r="AN471" s="43">
        <v>307.5</v>
      </c>
    </row>
    <row r="472" spans="2:40">
      <c r="B472" t="s">
        <v>810</v>
      </c>
      <c r="C472" t="s">
        <v>121</v>
      </c>
      <c r="D472" t="s">
        <v>167</v>
      </c>
      <c r="E472" t="s">
        <v>83</v>
      </c>
      <c r="F472" s="37">
        <v>45910</v>
      </c>
      <c r="G472">
        <v>10</v>
      </c>
      <c r="H472" t="s">
        <v>174</v>
      </c>
      <c r="I472" s="37">
        <v>45980</v>
      </c>
      <c r="J472" t="s">
        <v>165</v>
      </c>
      <c r="K472" t="s">
        <v>166</v>
      </c>
      <c r="L472" t="s">
        <v>175</v>
      </c>
      <c r="M472" t="s">
        <v>810</v>
      </c>
      <c r="O472" t="s">
        <v>810</v>
      </c>
      <c r="Q472" t="s">
        <v>1643</v>
      </c>
      <c r="U472" t="s">
        <v>1698</v>
      </c>
      <c r="W472" t="s">
        <v>1703</v>
      </c>
      <c r="X472">
        <v>1</v>
      </c>
      <c r="AA472" s="43">
        <v>307.5</v>
      </c>
      <c r="AC472" s="43">
        <v>307.5</v>
      </c>
      <c r="AF472" s="37">
        <f t="shared" si="15"/>
        <v>46239</v>
      </c>
      <c r="AG472" s="37">
        <f t="shared" si="16"/>
        <v>47445.611570247936</v>
      </c>
      <c r="AH472" t="s">
        <v>169</v>
      </c>
      <c r="AN472" s="43">
        <v>307.5</v>
      </c>
    </row>
    <row r="473" spans="2:40">
      <c r="B473" t="s">
        <v>811</v>
      </c>
      <c r="C473" t="s">
        <v>121</v>
      </c>
      <c r="D473" t="s">
        <v>167</v>
      </c>
      <c r="E473" t="s">
        <v>83</v>
      </c>
      <c r="F473" s="37">
        <v>45910</v>
      </c>
      <c r="G473">
        <v>10</v>
      </c>
      <c r="H473" t="s">
        <v>174</v>
      </c>
      <c r="I473" s="37">
        <v>45980</v>
      </c>
      <c r="J473" t="s">
        <v>165</v>
      </c>
      <c r="K473" t="s">
        <v>166</v>
      </c>
      <c r="L473" t="s">
        <v>175</v>
      </c>
      <c r="M473" t="s">
        <v>811</v>
      </c>
      <c r="O473" t="s">
        <v>811</v>
      </c>
      <c r="Q473" t="s">
        <v>1643</v>
      </c>
      <c r="U473" t="s">
        <v>1698</v>
      </c>
      <c r="W473" t="s">
        <v>1703</v>
      </c>
      <c r="X473">
        <v>1</v>
      </c>
      <c r="AA473" s="43">
        <v>307.5</v>
      </c>
      <c r="AC473" s="43">
        <v>307.5</v>
      </c>
      <c r="AF473" s="37">
        <f t="shared" si="15"/>
        <v>46239</v>
      </c>
      <c r="AG473" s="37">
        <f t="shared" si="16"/>
        <v>47445.611570247936</v>
      </c>
      <c r="AH473" t="s">
        <v>169</v>
      </c>
      <c r="AN473" s="43">
        <v>307.5</v>
      </c>
    </row>
    <row r="474" spans="2:40">
      <c r="B474" t="s">
        <v>812</v>
      </c>
      <c r="C474" t="s">
        <v>121</v>
      </c>
      <c r="D474" t="s">
        <v>167</v>
      </c>
      <c r="E474" t="s">
        <v>83</v>
      </c>
      <c r="F474" s="37">
        <v>45903</v>
      </c>
      <c r="G474">
        <v>10</v>
      </c>
      <c r="H474" t="s">
        <v>174</v>
      </c>
      <c r="I474" s="37">
        <v>45973</v>
      </c>
      <c r="J474" t="s">
        <v>165</v>
      </c>
      <c r="K474" t="s">
        <v>166</v>
      </c>
      <c r="L474" t="s">
        <v>175</v>
      </c>
      <c r="M474" t="s">
        <v>812</v>
      </c>
      <c r="O474" t="s">
        <v>812</v>
      </c>
      <c r="Q474" t="s">
        <v>1643</v>
      </c>
      <c r="U474" t="s">
        <v>1698</v>
      </c>
      <c r="W474" t="s">
        <v>1703</v>
      </c>
      <c r="X474">
        <v>1</v>
      </c>
      <c r="AA474" s="43">
        <v>307.5</v>
      </c>
      <c r="AC474" s="43">
        <v>307.5</v>
      </c>
      <c r="AF474" s="37">
        <f t="shared" si="15"/>
        <v>46232</v>
      </c>
      <c r="AG474" s="37">
        <f t="shared" si="16"/>
        <v>47438.611570247936</v>
      </c>
      <c r="AH474" t="s">
        <v>169</v>
      </c>
      <c r="AN474" s="43">
        <v>307.5</v>
      </c>
    </row>
    <row r="475" spans="2:40">
      <c r="B475" t="s">
        <v>813</v>
      </c>
      <c r="C475" t="s">
        <v>121</v>
      </c>
      <c r="D475" t="s">
        <v>167</v>
      </c>
      <c r="E475" t="s">
        <v>83</v>
      </c>
      <c r="F475" s="37">
        <v>45903</v>
      </c>
      <c r="G475">
        <v>10</v>
      </c>
      <c r="H475" t="s">
        <v>174</v>
      </c>
      <c r="I475" s="37">
        <v>45973</v>
      </c>
      <c r="J475" t="s">
        <v>165</v>
      </c>
      <c r="K475" t="s">
        <v>166</v>
      </c>
      <c r="L475" t="s">
        <v>175</v>
      </c>
      <c r="M475" t="s">
        <v>813</v>
      </c>
      <c r="O475" t="s">
        <v>813</v>
      </c>
      <c r="Q475" t="s">
        <v>1643</v>
      </c>
      <c r="U475" t="s">
        <v>1698</v>
      </c>
      <c r="W475" t="s">
        <v>1703</v>
      </c>
      <c r="X475">
        <v>1</v>
      </c>
      <c r="AA475" s="43">
        <v>307.5</v>
      </c>
      <c r="AC475" s="43">
        <v>307.5</v>
      </c>
      <c r="AF475" s="37">
        <f t="shared" si="15"/>
        <v>46232</v>
      </c>
      <c r="AG475" s="37">
        <f t="shared" si="16"/>
        <v>47438.611570247936</v>
      </c>
      <c r="AH475" t="s">
        <v>169</v>
      </c>
      <c r="AN475" s="43">
        <v>307.5</v>
      </c>
    </row>
    <row r="476" spans="2:40">
      <c r="B476" t="s">
        <v>814</v>
      </c>
      <c r="C476" t="s">
        <v>121</v>
      </c>
      <c r="D476" t="s">
        <v>167</v>
      </c>
      <c r="E476" t="s">
        <v>83</v>
      </c>
      <c r="F476" s="37">
        <v>45903</v>
      </c>
      <c r="G476">
        <v>10</v>
      </c>
      <c r="H476" t="s">
        <v>174</v>
      </c>
      <c r="I476" s="37">
        <v>45973</v>
      </c>
      <c r="J476" t="s">
        <v>165</v>
      </c>
      <c r="K476" t="s">
        <v>166</v>
      </c>
      <c r="L476" t="s">
        <v>175</v>
      </c>
      <c r="M476" t="s">
        <v>814</v>
      </c>
      <c r="O476" t="s">
        <v>814</v>
      </c>
      <c r="Q476" t="s">
        <v>1643</v>
      </c>
      <c r="U476" t="s">
        <v>1698</v>
      </c>
      <c r="W476" t="s">
        <v>1703</v>
      </c>
      <c r="X476">
        <v>1</v>
      </c>
      <c r="AA476" s="43">
        <v>307.5</v>
      </c>
      <c r="AC476" s="43">
        <v>307.5</v>
      </c>
      <c r="AF476" s="37">
        <f t="shared" si="15"/>
        <v>46232</v>
      </c>
      <c r="AG476" s="37">
        <f t="shared" si="16"/>
        <v>47438.611570247936</v>
      </c>
      <c r="AH476" t="s">
        <v>169</v>
      </c>
      <c r="AN476" s="43">
        <v>307.5</v>
      </c>
    </row>
    <row r="477" spans="2:40">
      <c r="B477" t="s">
        <v>815</v>
      </c>
      <c r="C477" t="s">
        <v>121</v>
      </c>
      <c r="D477" t="s">
        <v>167</v>
      </c>
      <c r="E477" t="s">
        <v>83</v>
      </c>
      <c r="F477" s="37">
        <v>45903</v>
      </c>
      <c r="G477">
        <v>10</v>
      </c>
      <c r="H477" t="s">
        <v>174</v>
      </c>
      <c r="I477" s="37">
        <v>45973</v>
      </c>
      <c r="J477" t="s">
        <v>165</v>
      </c>
      <c r="K477" t="s">
        <v>166</v>
      </c>
      <c r="L477" t="s">
        <v>175</v>
      </c>
      <c r="M477" t="s">
        <v>815</v>
      </c>
      <c r="O477" t="s">
        <v>815</v>
      </c>
      <c r="Q477" t="s">
        <v>1643</v>
      </c>
      <c r="U477" t="s">
        <v>1698</v>
      </c>
      <c r="W477" t="s">
        <v>1703</v>
      </c>
      <c r="X477">
        <v>1</v>
      </c>
      <c r="AA477" s="43">
        <v>307.5</v>
      </c>
      <c r="AC477" s="43">
        <v>307.5</v>
      </c>
      <c r="AF477" s="37">
        <f t="shared" si="15"/>
        <v>46232</v>
      </c>
      <c r="AG477" s="37">
        <f t="shared" si="16"/>
        <v>47438.611570247936</v>
      </c>
      <c r="AH477" t="s">
        <v>169</v>
      </c>
      <c r="AN477" s="43">
        <v>307.5</v>
      </c>
    </row>
    <row r="478" spans="2:40">
      <c r="B478" t="s">
        <v>816</v>
      </c>
      <c r="C478" t="s">
        <v>121</v>
      </c>
      <c r="D478" t="s">
        <v>167</v>
      </c>
      <c r="E478" t="s">
        <v>83</v>
      </c>
      <c r="F478" s="37">
        <v>45903</v>
      </c>
      <c r="G478">
        <v>10</v>
      </c>
      <c r="H478" t="s">
        <v>174</v>
      </c>
      <c r="I478" s="37">
        <v>45973</v>
      </c>
      <c r="J478" t="s">
        <v>165</v>
      </c>
      <c r="K478" t="s">
        <v>166</v>
      </c>
      <c r="L478" t="s">
        <v>175</v>
      </c>
      <c r="M478" t="s">
        <v>816</v>
      </c>
      <c r="O478" t="s">
        <v>816</v>
      </c>
      <c r="Q478" t="s">
        <v>1643</v>
      </c>
      <c r="U478" t="s">
        <v>1696</v>
      </c>
      <c r="W478" t="s">
        <v>1702</v>
      </c>
      <c r="X478">
        <v>2</v>
      </c>
      <c r="AA478" s="43">
        <v>307.5</v>
      </c>
      <c r="AC478" s="43">
        <v>307.5</v>
      </c>
      <c r="AF478" s="37">
        <f t="shared" si="15"/>
        <v>46232</v>
      </c>
      <c r="AG478" s="37">
        <f t="shared" si="16"/>
        <v>47438.611570247936</v>
      </c>
      <c r="AH478" t="s">
        <v>1704</v>
      </c>
      <c r="AN478" s="43">
        <v>307.5</v>
      </c>
    </row>
    <row r="479" spans="2:40">
      <c r="B479" t="s">
        <v>817</v>
      </c>
      <c r="C479" t="s">
        <v>121</v>
      </c>
      <c r="D479" t="s">
        <v>167</v>
      </c>
      <c r="E479" t="s">
        <v>83</v>
      </c>
      <c r="F479" s="37">
        <v>45903</v>
      </c>
      <c r="G479">
        <v>10</v>
      </c>
      <c r="H479" t="s">
        <v>174</v>
      </c>
      <c r="I479" s="37">
        <v>45973</v>
      </c>
      <c r="J479" t="s">
        <v>165</v>
      </c>
      <c r="K479" t="s">
        <v>166</v>
      </c>
      <c r="L479" t="s">
        <v>175</v>
      </c>
      <c r="M479" t="s">
        <v>817</v>
      </c>
      <c r="O479" t="s">
        <v>817</v>
      </c>
      <c r="Q479" t="s">
        <v>1643</v>
      </c>
      <c r="U479" t="s">
        <v>1698</v>
      </c>
      <c r="W479" t="s">
        <v>1703</v>
      </c>
      <c r="X479">
        <v>1</v>
      </c>
      <c r="AA479" s="43">
        <v>307.5</v>
      </c>
      <c r="AC479" s="43">
        <v>307.5</v>
      </c>
      <c r="AF479" s="37">
        <f t="shared" si="15"/>
        <v>46232</v>
      </c>
      <c r="AG479" s="37">
        <f t="shared" si="16"/>
        <v>47438.611570247936</v>
      </c>
      <c r="AH479" t="s">
        <v>169</v>
      </c>
      <c r="AN479" s="43">
        <v>307.5</v>
      </c>
    </row>
    <row r="480" spans="2:40">
      <c r="B480" t="s">
        <v>818</v>
      </c>
      <c r="C480" t="s">
        <v>121</v>
      </c>
      <c r="D480" t="s">
        <v>167</v>
      </c>
      <c r="E480" t="s">
        <v>83</v>
      </c>
      <c r="F480" s="37">
        <v>45903</v>
      </c>
      <c r="G480">
        <v>10</v>
      </c>
      <c r="H480" t="s">
        <v>174</v>
      </c>
      <c r="I480" s="37">
        <v>45973</v>
      </c>
      <c r="J480" t="s">
        <v>165</v>
      </c>
      <c r="K480" t="s">
        <v>166</v>
      </c>
      <c r="L480" t="s">
        <v>175</v>
      </c>
      <c r="M480" t="s">
        <v>818</v>
      </c>
      <c r="O480" t="s">
        <v>818</v>
      </c>
      <c r="Q480" t="s">
        <v>1643</v>
      </c>
      <c r="U480" t="s">
        <v>1698</v>
      </c>
      <c r="W480" t="s">
        <v>1703</v>
      </c>
      <c r="X480">
        <v>1</v>
      </c>
      <c r="AA480" s="43">
        <v>307.5</v>
      </c>
      <c r="AC480" s="43">
        <v>307.5</v>
      </c>
      <c r="AF480" s="37">
        <f t="shared" si="15"/>
        <v>46232</v>
      </c>
      <c r="AG480" s="37">
        <f t="shared" si="16"/>
        <v>47438.611570247936</v>
      </c>
      <c r="AH480" t="s">
        <v>169</v>
      </c>
      <c r="AN480" s="43">
        <v>307.5</v>
      </c>
    </row>
    <row r="481" spans="2:40">
      <c r="B481" t="s">
        <v>819</v>
      </c>
      <c r="C481" t="s">
        <v>121</v>
      </c>
      <c r="D481" t="s">
        <v>167</v>
      </c>
      <c r="E481" t="s">
        <v>83</v>
      </c>
      <c r="F481" s="37">
        <v>45903</v>
      </c>
      <c r="G481">
        <v>10</v>
      </c>
      <c r="H481" t="s">
        <v>174</v>
      </c>
      <c r="I481" s="37">
        <v>45973</v>
      </c>
      <c r="J481" t="s">
        <v>165</v>
      </c>
      <c r="K481" t="s">
        <v>166</v>
      </c>
      <c r="L481" t="s">
        <v>175</v>
      </c>
      <c r="M481" t="s">
        <v>819</v>
      </c>
      <c r="O481" t="s">
        <v>819</v>
      </c>
      <c r="Q481" t="s">
        <v>1643</v>
      </c>
      <c r="U481" t="s">
        <v>1696</v>
      </c>
      <c r="W481" t="s">
        <v>1702</v>
      </c>
      <c r="X481">
        <v>2</v>
      </c>
      <c r="AA481" s="43">
        <v>307.5</v>
      </c>
      <c r="AC481" s="43">
        <v>307.5</v>
      </c>
      <c r="AF481" s="37">
        <f t="shared" si="15"/>
        <v>46232</v>
      </c>
      <c r="AG481" s="37">
        <f t="shared" si="16"/>
        <v>47438.611570247936</v>
      </c>
      <c r="AH481" t="s">
        <v>1696</v>
      </c>
      <c r="AN481" s="43">
        <v>307.5</v>
      </c>
    </row>
    <row r="482" spans="2:40">
      <c r="B482" t="s">
        <v>820</v>
      </c>
      <c r="C482" t="s">
        <v>121</v>
      </c>
      <c r="D482" t="s">
        <v>167</v>
      </c>
      <c r="E482" t="s">
        <v>83</v>
      </c>
      <c r="F482" s="37">
        <v>45903</v>
      </c>
      <c r="G482">
        <v>10</v>
      </c>
      <c r="H482" t="s">
        <v>174</v>
      </c>
      <c r="I482" s="37">
        <v>45973</v>
      </c>
      <c r="J482" t="s">
        <v>165</v>
      </c>
      <c r="K482" t="s">
        <v>166</v>
      </c>
      <c r="L482" t="s">
        <v>175</v>
      </c>
      <c r="M482" t="s">
        <v>820</v>
      </c>
      <c r="O482" t="s">
        <v>820</v>
      </c>
      <c r="Q482" t="s">
        <v>1643</v>
      </c>
      <c r="U482" t="s">
        <v>1698</v>
      </c>
      <c r="W482" t="s">
        <v>1703</v>
      </c>
      <c r="X482">
        <v>1</v>
      </c>
      <c r="AA482" s="43">
        <v>307.5</v>
      </c>
      <c r="AC482" s="43">
        <v>307.5</v>
      </c>
      <c r="AF482" s="37">
        <f t="shared" si="15"/>
        <v>46232</v>
      </c>
      <c r="AG482" s="37">
        <f t="shared" si="16"/>
        <v>47438.611570247936</v>
      </c>
      <c r="AH482" t="s">
        <v>169</v>
      </c>
      <c r="AN482" s="43">
        <v>307.5</v>
      </c>
    </row>
    <row r="483" spans="2:40">
      <c r="B483" t="s">
        <v>821</v>
      </c>
      <c r="C483" t="s">
        <v>121</v>
      </c>
      <c r="D483" t="s">
        <v>167</v>
      </c>
      <c r="E483" t="s">
        <v>83</v>
      </c>
      <c r="F483" s="37">
        <v>45903</v>
      </c>
      <c r="G483">
        <v>10</v>
      </c>
      <c r="H483" t="s">
        <v>174</v>
      </c>
      <c r="I483" s="37">
        <v>45973</v>
      </c>
      <c r="J483" t="s">
        <v>165</v>
      </c>
      <c r="K483" t="s">
        <v>166</v>
      </c>
      <c r="L483" t="s">
        <v>175</v>
      </c>
      <c r="M483" t="s">
        <v>821</v>
      </c>
      <c r="O483" t="s">
        <v>821</v>
      </c>
      <c r="Q483" t="s">
        <v>1643</v>
      </c>
      <c r="U483" t="s">
        <v>1698</v>
      </c>
      <c r="W483" t="s">
        <v>1703</v>
      </c>
      <c r="X483">
        <v>1</v>
      </c>
      <c r="AA483" s="43">
        <v>307.5</v>
      </c>
      <c r="AC483" s="43">
        <v>307.5</v>
      </c>
      <c r="AF483" s="37">
        <f t="shared" si="15"/>
        <v>46232</v>
      </c>
      <c r="AG483" s="37">
        <f t="shared" si="16"/>
        <v>47438.611570247936</v>
      </c>
      <c r="AH483" t="s">
        <v>169</v>
      </c>
      <c r="AN483" s="43">
        <v>307.5</v>
      </c>
    </row>
    <row r="484" spans="2:40">
      <c r="B484" t="s">
        <v>822</v>
      </c>
      <c r="C484" t="s">
        <v>121</v>
      </c>
      <c r="D484" t="s">
        <v>167</v>
      </c>
      <c r="E484" t="s">
        <v>83</v>
      </c>
      <c r="F484" s="37">
        <v>45896</v>
      </c>
      <c r="G484">
        <v>10</v>
      </c>
      <c r="H484" t="s">
        <v>174</v>
      </c>
      <c r="I484" s="37">
        <v>45966</v>
      </c>
      <c r="J484" t="s">
        <v>165</v>
      </c>
      <c r="K484" t="s">
        <v>166</v>
      </c>
      <c r="L484" t="s">
        <v>175</v>
      </c>
      <c r="M484" t="s">
        <v>822</v>
      </c>
      <c r="O484" t="s">
        <v>822</v>
      </c>
      <c r="Q484" t="s">
        <v>1643</v>
      </c>
      <c r="U484" t="s">
        <v>1696</v>
      </c>
      <c r="W484" t="s">
        <v>1699</v>
      </c>
      <c r="X484">
        <v>2</v>
      </c>
      <c r="AA484" s="43">
        <v>307.5</v>
      </c>
      <c r="AC484" s="43">
        <v>307.5</v>
      </c>
      <c r="AF484" s="37">
        <f t="shared" si="15"/>
        <v>46225</v>
      </c>
      <c r="AG484" s="37">
        <f t="shared" si="16"/>
        <v>47431.611570247936</v>
      </c>
      <c r="AH484" t="s">
        <v>1704</v>
      </c>
      <c r="AN484" s="43">
        <v>307.5</v>
      </c>
    </row>
    <row r="485" spans="2:40">
      <c r="B485" t="s">
        <v>823</v>
      </c>
      <c r="C485" t="s">
        <v>121</v>
      </c>
      <c r="D485" t="s">
        <v>167</v>
      </c>
      <c r="E485" t="s">
        <v>83</v>
      </c>
      <c r="F485" s="37">
        <v>45896</v>
      </c>
      <c r="G485">
        <v>10</v>
      </c>
      <c r="H485" t="s">
        <v>174</v>
      </c>
      <c r="I485" s="37">
        <v>45966</v>
      </c>
      <c r="J485" t="s">
        <v>165</v>
      </c>
      <c r="K485" t="s">
        <v>166</v>
      </c>
      <c r="L485" t="s">
        <v>175</v>
      </c>
      <c r="M485" t="s">
        <v>823</v>
      </c>
      <c r="O485" t="s">
        <v>823</v>
      </c>
      <c r="Q485" t="s">
        <v>1643</v>
      </c>
      <c r="U485" t="s">
        <v>1696</v>
      </c>
      <c r="W485" t="s">
        <v>1699</v>
      </c>
      <c r="X485">
        <v>2</v>
      </c>
      <c r="AA485" s="43">
        <v>307.5</v>
      </c>
      <c r="AC485" s="43">
        <v>307.5</v>
      </c>
      <c r="AF485" s="37">
        <f t="shared" si="15"/>
        <v>46225</v>
      </c>
      <c r="AG485" s="37">
        <f t="shared" si="16"/>
        <v>47431.611570247936</v>
      </c>
      <c r="AH485" t="s">
        <v>1704</v>
      </c>
      <c r="AN485" s="43">
        <v>307.5</v>
      </c>
    </row>
    <row r="486" spans="2:40">
      <c r="B486" t="s">
        <v>824</v>
      </c>
      <c r="C486" t="s">
        <v>121</v>
      </c>
      <c r="D486" t="s">
        <v>167</v>
      </c>
      <c r="E486" t="s">
        <v>83</v>
      </c>
      <c r="F486" s="37">
        <v>45896</v>
      </c>
      <c r="G486">
        <v>10</v>
      </c>
      <c r="H486" t="s">
        <v>174</v>
      </c>
      <c r="I486" s="37">
        <v>45966</v>
      </c>
      <c r="J486" t="s">
        <v>165</v>
      </c>
      <c r="K486" t="s">
        <v>166</v>
      </c>
      <c r="L486" t="s">
        <v>175</v>
      </c>
      <c r="M486" t="s">
        <v>824</v>
      </c>
      <c r="O486" t="s">
        <v>824</v>
      </c>
      <c r="Q486" t="s">
        <v>1643</v>
      </c>
      <c r="U486" t="s">
        <v>1698</v>
      </c>
      <c r="W486" t="s">
        <v>1703</v>
      </c>
      <c r="X486">
        <v>1</v>
      </c>
      <c r="AA486" s="43">
        <v>307.5</v>
      </c>
      <c r="AC486" s="43">
        <v>307.5</v>
      </c>
      <c r="AF486" s="37">
        <f t="shared" si="15"/>
        <v>46225</v>
      </c>
      <c r="AG486" s="37">
        <f t="shared" si="16"/>
        <v>47431.611570247936</v>
      </c>
      <c r="AH486" t="s">
        <v>169</v>
      </c>
      <c r="AN486" s="43">
        <v>307.5</v>
      </c>
    </row>
    <row r="487" spans="2:40">
      <c r="B487" t="s">
        <v>825</v>
      </c>
      <c r="C487" t="s">
        <v>121</v>
      </c>
      <c r="D487" t="s">
        <v>167</v>
      </c>
      <c r="E487" t="s">
        <v>83</v>
      </c>
      <c r="F487" s="37">
        <v>45896</v>
      </c>
      <c r="G487">
        <v>10</v>
      </c>
      <c r="H487" t="s">
        <v>174</v>
      </c>
      <c r="I487" s="37">
        <v>45966</v>
      </c>
      <c r="J487" t="s">
        <v>165</v>
      </c>
      <c r="K487" t="s">
        <v>166</v>
      </c>
      <c r="L487" t="s">
        <v>175</v>
      </c>
      <c r="M487" t="s">
        <v>825</v>
      </c>
      <c r="O487" t="s">
        <v>825</v>
      </c>
      <c r="Q487" t="s">
        <v>1643</v>
      </c>
      <c r="U487" t="s">
        <v>1696</v>
      </c>
      <c r="W487" t="s">
        <v>1699</v>
      </c>
      <c r="X487">
        <v>2</v>
      </c>
      <c r="AA487" s="43">
        <v>307.5</v>
      </c>
      <c r="AC487" s="43">
        <v>307.5</v>
      </c>
      <c r="AF487" s="37">
        <f t="shared" si="15"/>
        <v>46225</v>
      </c>
      <c r="AG487" s="37">
        <f t="shared" si="16"/>
        <v>47431.611570247936</v>
      </c>
      <c r="AH487" t="s">
        <v>1704</v>
      </c>
      <c r="AN487" s="43">
        <v>307.5</v>
      </c>
    </row>
    <row r="488" spans="2:40">
      <c r="B488" t="s">
        <v>826</v>
      </c>
      <c r="C488" t="s">
        <v>121</v>
      </c>
      <c r="D488" t="s">
        <v>167</v>
      </c>
      <c r="E488" t="s">
        <v>83</v>
      </c>
      <c r="F488" s="37">
        <v>45896</v>
      </c>
      <c r="G488">
        <v>10</v>
      </c>
      <c r="H488" t="s">
        <v>174</v>
      </c>
      <c r="I488" s="37">
        <v>45966</v>
      </c>
      <c r="J488" t="s">
        <v>165</v>
      </c>
      <c r="K488" t="s">
        <v>166</v>
      </c>
      <c r="L488" t="s">
        <v>175</v>
      </c>
      <c r="M488" t="s">
        <v>826</v>
      </c>
      <c r="O488" t="s">
        <v>826</v>
      </c>
      <c r="Q488" t="s">
        <v>1643</v>
      </c>
      <c r="U488" t="s">
        <v>1698</v>
      </c>
      <c r="W488" t="s">
        <v>1703</v>
      </c>
      <c r="X488">
        <v>1</v>
      </c>
      <c r="AA488" s="43">
        <v>307.5</v>
      </c>
      <c r="AC488" s="43">
        <v>307.5</v>
      </c>
      <c r="AF488" s="37">
        <f t="shared" si="15"/>
        <v>46225</v>
      </c>
      <c r="AG488" s="37">
        <f t="shared" si="16"/>
        <v>47431.611570247936</v>
      </c>
      <c r="AH488" t="s">
        <v>169</v>
      </c>
      <c r="AN488" s="43">
        <v>307.5</v>
      </c>
    </row>
    <row r="489" spans="2:40">
      <c r="B489" t="s">
        <v>827</v>
      </c>
      <c r="C489" t="s">
        <v>121</v>
      </c>
      <c r="D489" t="s">
        <v>167</v>
      </c>
      <c r="E489" t="s">
        <v>83</v>
      </c>
      <c r="F489" s="37">
        <v>45896</v>
      </c>
      <c r="G489">
        <v>10</v>
      </c>
      <c r="H489" t="s">
        <v>174</v>
      </c>
      <c r="I489" s="37">
        <v>45966</v>
      </c>
      <c r="J489" t="s">
        <v>165</v>
      </c>
      <c r="K489" t="s">
        <v>166</v>
      </c>
      <c r="L489" t="s">
        <v>175</v>
      </c>
      <c r="M489" t="s">
        <v>827</v>
      </c>
      <c r="O489" t="s">
        <v>827</v>
      </c>
      <c r="Q489" t="s">
        <v>1643</v>
      </c>
      <c r="U489" t="s">
        <v>1698</v>
      </c>
      <c r="W489" t="s">
        <v>1703</v>
      </c>
      <c r="X489">
        <v>1</v>
      </c>
      <c r="AA489" s="43">
        <v>307.5</v>
      </c>
      <c r="AC489" s="43">
        <v>307.5</v>
      </c>
      <c r="AF489" s="37">
        <f t="shared" si="15"/>
        <v>46225</v>
      </c>
      <c r="AG489" s="37">
        <f t="shared" si="16"/>
        <v>47431.611570247936</v>
      </c>
      <c r="AH489" t="s">
        <v>169</v>
      </c>
      <c r="AN489" s="43">
        <v>307.5</v>
      </c>
    </row>
    <row r="490" spans="2:40">
      <c r="B490" t="s">
        <v>828</v>
      </c>
      <c r="C490" t="s">
        <v>121</v>
      </c>
      <c r="D490" t="s">
        <v>167</v>
      </c>
      <c r="E490" t="s">
        <v>83</v>
      </c>
      <c r="F490" s="37">
        <v>45896</v>
      </c>
      <c r="G490">
        <v>10</v>
      </c>
      <c r="H490" t="s">
        <v>174</v>
      </c>
      <c r="I490" s="37">
        <v>45966</v>
      </c>
      <c r="J490" t="s">
        <v>165</v>
      </c>
      <c r="K490" t="s">
        <v>166</v>
      </c>
      <c r="L490" t="s">
        <v>175</v>
      </c>
      <c r="M490" t="s">
        <v>828</v>
      </c>
      <c r="O490" t="s">
        <v>828</v>
      </c>
      <c r="Q490" t="s">
        <v>1643</v>
      </c>
      <c r="U490" t="s">
        <v>1698</v>
      </c>
      <c r="W490" t="s">
        <v>1703</v>
      </c>
      <c r="X490">
        <v>1</v>
      </c>
      <c r="AA490" s="43">
        <v>307.5</v>
      </c>
      <c r="AC490" s="43">
        <v>307.5</v>
      </c>
      <c r="AF490" s="37">
        <f t="shared" si="15"/>
        <v>46225</v>
      </c>
      <c r="AG490" s="37">
        <f t="shared" si="16"/>
        <v>47431.611570247936</v>
      </c>
      <c r="AH490" t="s">
        <v>169</v>
      </c>
      <c r="AN490" s="43">
        <v>307.5</v>
      </c>
    </row>
    <row r="491" spans="2:40">
      <c r="B491" t="s">
        <v>829</v>
      </c>
      <c r="C491" t="s">
        <v>121</v>
      </c>
      <c r="D491" t="s">
        <v>167</v>
      </c>
      <c r="E491" t="s">
        <v>83</v>
      </c>
      <c r="F491" s="37">
        <v>45896</v>
      </c>
      <c r="G491">
        <v>10</v>
      </c>
      <c r="H491" t="s">
        <v>174</v>
      </c>
      <c r="I491" s="37">
        <v>45966</v>
      </c>
      <c r="J491" t="s">
        <v>165</v>
      </c>
      <c r="K491" t="s">
        <v>166</v>
      </c>
      <c r="L491" t="s">
        <v>175</v>
      </c>
      <c r="M491" t="s">
        <v>829</v>
      </c>
      <c r="O491" t="s">
        <v>829</v>
      </c>
      <c r="Q491" t="s">
        <v>1643</v>
      </c>
      <c r="U491" t="s">
        <v>1698</v>
      </c>
      <c r="W491" t="s">
        <v>1703</v>
      </c>
      <c r="X491">
        <v>1</v>
      </c>
      <c r="AA491" s="43">
        <v>307.5</v>
      </c>
      <c r="AC491" s="43">
        <v>307.5</v>
      </c>
      <c r="AF491" s="37">
        <f t="shared" si="15"/>
        <v>46225</v>
      </c>
      <c r="AG491" s="37">
        <f t="shared" si="16"/>
        <v>47431.611570247936</v>
      </c>
      <c r="AH491" t="s">
        <v>169</v>
      </c>
      <c r="AN491" s="43">
        <v>307.5</v>
      </c>
    </row>
    <row r="492" spans="2:40">
      <c r="B492" t="s">
        <v>830</v>
      </c>
      <c r="C492" t="s">
        <v>121</v>
      </c>
      <c r="D492" t="s">
        <v>167</v>
      </c>
      <c r="E492" t="s">
        <v>83</v>
      </c>
      <c r="F492" s="37">
        <v>45896</v>
      </c>
      <c r="G492">
        <v>10</v>
      </c>
      <c r="H492" t="s">
        <v>174</v>
      </c>
      <c r="I492" s="37">
        <v>45966</v>
      </c>
      <c r="J492" t="s">
        <v>165</v>
      </c>
      <c r="K492" t="s">
        <v>166</v>
      </c>
      <c r="L492" t="s">
        <v>175</v>
      </c>
      <c r="M492" t="s">
        <v>830</v>
      </c>
      <c r="O492" t="s">
        <v>830</v>
      </c>
      <c r="Q492" t="s">
        <v>1643</v>
      </c>
      <c r="U492" t="s">
        <v>1698</v>
      </c>
      <c r="W492" t="s">
        <v>1703</v>
      </c>
      <c r="X492">
        <v>1</v>
      </c>
      <c r="AA492" s="43">
        <v>307.5</v>
      </c>
      <c r="AC492" s="43">
        <v>307.5</v>
      </c>
      <c r="AF492" s="37">
        <f t="shared" si="15"/>
        <v>46225</v>
      </c>
      <c r="AG492" s="37">
        <f t="shared" si="16"/>
        <v>47431.611570247936</v>
      </c>
      <c r="AH492" t="s">
        <v>169</v>
      </c>
      <c r="AN492" s="43">
        <v>307.5</v>
      </c>
    </row>
    <row r="493" spans="2:40">
      <c r="B493" t="s">
        <v>831</v>
      </c>
      <c r="C493" t="s">
        <v>121</v>
      </c>
      <c r="D493" t="s">
        <v>167</v>
      </c>
      <c r="E493" t="s">
        <v>83</v>
      </c>
      <c r="F493" s="37">
        <v>45896</v>
      </c>
      <c r="G493">
        <v>10</v>
      </c>
      <c r="H493" t="s">
        <v>174</v>
      </c>
      <c r="I493" s="37">
        <v>45966</v>
      </c>
      <c r="J493" t="s">
        <v>165</v>
      </c>
      <c r="K493" t="s">
        <v>166</v>
      </c>
      <c r="L493" t="s">
        <v>175</v>
      </c>
      <c r="M493" t="s">
        <v>831</v>
      </c>
      <c r="O493" t="s">
        <v>831</v>
      </c>
      <c r="Q493" t="s">
        <v>1643</v>
      </c>
      <c r="U493" t="s">
        <v>1698</v>
      </c>
      <c r="W493" t="s">
        <v>1703</v>
      </c>
      <c r="X493">
        <v>1</v>
      </c>
      <c r="AA493" s="43">
        <v>307.5</v>
      </c>
      <c r="AC493" s="43">
        <v>307.5</v>
      </c>
      <c r="AF493" s="37">
        <f t="shared" si="15"/>
        <v>46225</v>
      </c>
      <c r="AG493" s="37">
        <f t="shared" si="16"/>
        <v>47431.611570247936</v>
      </c>
      <c r="AH493" t="s">
        <v>169</v>
      </c>
      <c r="AN493" s="43">
        <v>307.5</v>
      </c>
    </row>
    <row r="494" spans="2:40">
      <c r="B494" t="s">
        <v>832</v>
      </c>
      <c r="C494" t="s">
        <v>121</v>
      </c>
      <c r="D494" t="s">
        <v>167</v>
      </c>
      <c r="E494" t="s">
        <v>83</v>
      </c>
      <c r="F494" s="37">
        <v>45889</v>
      </c>
      <c r="G494">
        <v>10</v>
      </c>
      <c r="H494" t="s">
        <v>174</v>
      </c>
      <c r="I494" s="37">
        <v>45959</v>
      </c>
      <c r="J494" t="s">
        <v>165</v>
      </c>
      <c r="K494" t="s">
        <v>166</v>
      </c>
      <c r="L494" t="s">
        <v>175</v>
      </c>
      <c r="M494" t="s">
        <v>832</v>
      </c>
      <c r="O494" t="s">
        <v>832</v>
      </c>
      <c r="Q494" t="s">
        <v>1643</v>
      </c>
      <c r="U494" t="s">
        <v>1698</v>
      </c>
      <c r="W494" t="s">
        <v>1703</v>
      </c>
      <c r="X494">
        <v>1</v>
      </c>
      <c r="AA494" s="43">
        <v>307.5</v>
      </c>
      <c r="AC494" s="43">
        <v>307.5</v>
      </c>
      <c r="AF494" s="37">
        <f t="shared" si="15"/>
        <v>46218</v>
      </c>
      <c r="AG494" s="37">
        <f t="shared" si="16"/>
        <v>47424.611570247936</v>
      </c>
      <c r="AH494" t="s">
        <v>169</v>
      </c>
      <c r="AN494" s="43">
        <v>307.5</v>
      </c>
    </row>
    <row r="495" spans="2:40">
      <c r="B495" t="s">
        <v>833</v>
      </c>
      <c r="C495" t="s">
        <v>121</v>
      </c>
      <c r="D495" t="s">
        <v>167</v>
      </c>
      <c r="E495" t="s">
        <v>83</v>
      </c>
      <c r="F495" s="37">
        <v>45889</v>
      </c>
      <c r="G495">
        <v>10</v>
      </c>
      <c r="H495" t="s">
        <v>174</v>
      </c>
      <c r="I495" s="37">
        <v>45959</v>
      </c>
      <c r="J495" t="s">
        <v>165</v>
      </c>
      <c r="K495" t="s">
        <v>166</v>
      </c>
      <c r="L495" t="s">
        <v>175</v>
      </c>
      <c r="M495" t="s">
        <v>833</v>
      </c>
      <c r="O495" t="s">
        <v>833</v>
      </c>
      <c r="Q495" t="s">
        <v>1643</v>
      </c>
      <c r="U495" t="s">
        <v>1698</v>
      </c>
      <c r="W495" t="s">
        <v>1703</v>
      </c>
      <c r="X495">
        <v>1</v>
      </c>
      <c r="AA495" s="43">
        <v>307.5</v>
      </c>
      <c r="AC495" s="43">
        <v>307.5</v>
      </c>
      <c r="AF495" s="37">
        <f t="shared" si="15"/>
        <v>46218</v>
      </c>
      <c r="AG495" s="37">
        <f t="shared" si="16"/>
        <v>47424.611570247936</v>
      </c>
      <c r="AH495" t="s">
        <v>169</v>
      </c>
      <c r="AN495" s="43">
        <v>307.5</v>
      </c>
    </row>
    <row r="496" spans="2:40">
      <c r="B496" t="s">
        <v>834</v>
      </c>
      <c r="C496" t="s">
        <v>121</v>
      </c>
      <c r="D496" t="s">
        <v>167</v>
      </c>
      <c r="E496" t="s">
        <v>83</v>
      </c>
      <c r="F496" s="37">
        <v>45889</v>
      </c>
      <c r="G496">
        <v>10</v>
      </c>
      <c r="H496" t="s">
        <v>174</v>
      </c>
      <c r="I496" s="37">
        <v>45959</v>
      </c>
      <c r="J496" t="s">
        <v>165</v>
      </c>
      <c r="K496" t="s">
        <v>166</v>
      </c>
      <c r="L496" t="s">
        <v>175</v>
      </c>
      <c r="M496" t="s">
        <v>834</v>
      </c>
      <c r="O496" t="s">
        <v>834</v>
      </c>
      <c r="Q496" t="s">
        <v>1643</v>
      </c>
      <c r="U496" t="s">
        <v>1698</v>
      </c>
      <c r="W496" t="s">
        <v>1703</v>
      </c>
      <c r="X496">
        <v>1</v>
      </c>
      <c r="AA496" s="43">
        <v>307.5</v>
      </c>
      <c r="AC496" s="43">
        <v>307.5</v>
      </c>
      <c r="AF496" s="37">
        <f t="shared" si="15"/>
        <v>46218</v>
      </c>
      <c r="AG496" s="37">
        <f t="shared" si="16"/>
        <v>47424.611570247936</v>
      </c>
      <c r="AH496" t="s">
        <v>169</v>
      </c>
      <c r="AN496" s="43">
        <v>307.5</v>
      </c>
    </row>
    <row r="497" spans="2:40">
      <c r="B497" t="s">
        <v>835</v>
      </c>
      <c r="C497" t="s">
        <v>121</v>
      </c>
      <c r="D497" t="s">
        <v>167</v>
      </c>
      <c r="E497" t="s">
        <v>83</v>
      </c>
      <c r="F497" s="37">
        <v>45889</v>
      </c>
      <c r="G497">
        <v>10</v>
      </c>
      <c r="H497" t="s">
        <v>174</v>
      </c>
      <c r="I497" s="37">
        <v>45959</v>
      </c>
      <c r="J497" t="s">
        <v>165</v>
      </c>
      <c r="K497" t="s">
        <v>166</v>
      </c>
      <c r="L497" t="s">
        <v>175</v>
      </c>
      <c r="M497" t="s">
        <v>835</v>
      </c>
      <c r="O497" t="s">
        <v>835</v>
      </c>
      <c r="Q497" t="s">
        <v>1643</v>
      </c>
      <c r="U497" t="s">
        <v>1696</v>
      </c>
      <c r="W497" t="s">
        <v>1699</v>
      </c>
      <c r="X497">
        <v>2</v>
      </c>
      <c r="AA497" s="43">
        <v>307.5</v>
      </c>
      <c r="AC497" s="43">
        <v>307.5</v>
      </c>
      <c r="AF497" s="37">
        <f t="shared" si="15"/>
        <v>46218</v>
      </c>
      <c r="AG497" s="37">
        <f t="shared" si="16"/>
        <v>47424.611570247936</v>
      </c>
      <c r="AH497" t="s">
        <v>1704</v>
      </c>
      <c r="AN497" s="43">
        <v>307.5</v>
      </c>
    </row>
    <row r="498" spans="2:40">
      <c r="B498" t="s">
        <v>836</v>
      </c>
      <c r="C498" t="s">
        <v>121</v>
      </c>
      <c r="D498" t="s">
        <v>167</v>
      </c>
      <c r="E498" t="s">
        <v>83</v>
      </c>
      <c r="F498" s="37">
        <v>45889</v>
      </c>
      <c r="G498">
        <v>10</v>
      </c>
      <c r="H498" t="s">
        <v>174</v>
      </c>
      <c r="I498" s="37">
        <v>45959</v>
      </c>
      <c r="J498" t="s">
        <v>165</v>
      </c>
      <c r="K498" t="s">
        <v>166</v>
      </c>
      <c r="L498" t="s">
        <v>175</v>
      </c>
      <c r="M498" t="s">
        <v>836</v>
      </c>
      <c r="O498" t="s">
        <v>836</v>
      </c>
      <c r="Q498" t="s">
        <v>1643</v>
      </c>
      <c r="U498" t="s">
        <v>1698</v>
      </c>
      <c r="W498" t="s">
        <v>1703</v>
      </c>
      <c r="X498">
        <v>1</v>
      </c>
      <c r="AA498" s="43">
        <v>307.5</v>
      </c>
      <c r="AC498" s="43">
        <v>307.5</v>
      </c>
      <c r="AF498" s="37">
        <f t="shared" si="15"/>
        <v>46218</v>
      </c>
      <c r="AG498" s="37">
        <f t="shared" si="16"/>
        <v>47424.611570247936</v>
      </c>
      <c r="AH498" t="s">
        <v>169</v>
      </c>
      <c r="AN498" s="43">
        <v>307.5</v>
      </c>
    </row>
    <row r="499" spans="2:40">
      <c r="B499" t="s">
        <v>837</v>
      </c>
      <c r="C499" t="s">
        <v>121</v>
      </c>
      <c r="D499" t="s">
        <v>167</v>
      </c>
      <c r="E499" t="s">
        <v>83</v>
      </c>
      <c r="F499" s="37">
        <v>45889</v>
      </c>
      <c r="G499">
        <v>10</v>
      </c>
      <c r="H499" t="s">
        <v>174</v>
      </c>
      <c r="I499" s="37">
        <v>45959</v>
      </c>
      <c r="J499" t="s">
        <v>165</v>
      </c>
      <c r="K499" t="s">
        <v>166</v>
      </c>
      <c r="L499" t="s">
        <v>175</v>
      </c>
      <c r="M499" t="s">
        <v>837</v>
      </c>
      <c r="O499" t="s">
        <v>837</v>
      </c>
      <c r="Q499" t="s">
        <v>1643</v>
      </c>
      <c r="U499" t="s">
        <v>1698</v>
      </c>
      <c r="W499" t="s">
        <v>1703</v>
      </c>
      <c r="X499">
        <v>1</v>
      </c>
      <c r="AA499" s="43">
        <v>307.5</v>
      </c>
      <c r="AC499" s="43">
        <v>307.5</v>
      </c>
      <c r="AF499" s="37">
        <f t="shared" si="15"/>
        <v>46218</v>
      </c>
      <c r="AG499" s="37">
        <f t="shared" si="16"/>
        <v>47424.611570247936</v>
      </c>
      <c r="AH499" t="s">
        <v>169</v>
      </c>
      <c r="AN499" s="43">
        <v>307.5</v>
      </c>
    </row>
    <row r="500" spans="2:40">
      <c r="B500" t="s">
        <v>838</v>
      </c>
      <c r="C500" t="s">
        <v>121</v>
      </c>
      <c r="D500" t="s">
        <v>167</v>
      </c>
      <c r="E500" t="s">
        <v>83</v>
      </c>
      <c r="F500" s="37">
        <v>45889</v>
      </c>
      <c r="G500">
        <v>10</v>
      </c>
      <c r="H500" t="s">
        <v>174</v>
      </c>
      <c r="I500" s="37">
        <v>45959</v>
      </c>
      <c r="J500" t="s">
        <v>165</v>
      </c>
      <c r="K500" t="s">
        <v>166</v>
      </c>
      <c r="L500" t="s">
        <v>175</v>
      </c>
      <c r="M500" t="s">
        <v>838</v>
      </c>
      <c r="O500" t="s">
        <v>838</v>
      </c>
      <c r="Q500" t="s">
        <v>1643</v>
      </c>
      <c r="U500" t="s">
        <v>1698</v>
      </c>
      <c r="W500" t="s">
        <v>1703</v>
      </c>
      <c r="X500">
        <v>1</v>
      </c>
      <c r="AA500" s="43">
        <v>307.5</v>
      </c>
      <c r="AC500" s="43">
        <v>307.5</v>
      </c>
      <c r="AF500" s="37">
        <f t="shared" si="15"/>
        <v>46218</v>
      </c>
      <c r="AG500" s="37">
        <f t="shared" si="16"/>
        <v>47424.611570247936</v>
      </c>
      <c r="AH500" t="s">
        <v>169</v>
      </c>
      <c r="AN500" s="43">
        <v>307.5</v>
      </c>
    </row>
    <row r="501" spans="2:40">
      <c r="B501" t="s">
        <v>839</v>
      </c>
      <c r="C501" t="s">
        <v>121</v>
      </c>
      <c r="D501" t="s">
        <v>167</v>
      </c>
      <c r="E501" t="s">
        <v>83</v>
      </c>
      <c r="F501" s="37">
        <v>45889</v>
      </c>
      <c r="G501">
        <v>10</v>
      </c>
      <c r="H501" t="s">
        <v>174</v>
      </c>
      <c r="I501" s="37">
        <v>45959</v>
      </c>
      <c r="J501" t="s">
        <v>165</v>
      </c>
      <c r="K501" t="s">
        <v>166</v>
      </c>
      <c r="L501" t="s">
        <v>175</v>
      </c>
      <c r="M501" t="s">
        <v>839</v>
      </c>
      <c r="O501" t="s">
        <v>839</v>
      </c>
      <c r="Q501" t="s">
        <v>1643</v>
      </c>
      <c r="U501" t="s">
        <v>1698</v>
      </c>
      <c r="W501" t="s">
        <v>1703</v>
      </c>
      <c r="X501">
        <v>1</v>
      </c>
      <c r="AA501" s="43">
        <v>307.5</v>
      </c>
      <c r="AC501" s="43">
        <v>307.5</v>
      </c>
      <c r="AF501" s="37">
        <f t="shared" si="15"/>
        <v>46218</v>
      </c>
      <c r="AG501" s="37">
        <f t="shared" si="16"/>
        <v>47424.611570247936</v>
      </c>
      <c r="AH501" t="s">
        <v>169</v>
      </c>
      <c r="AN501" s="43">
        <v>307.5</v>
      </c>
    </row>
    <row r="502" spans="2:40">
      <c r="B502" t="s">
        <v>840</v>
      </c>
      <c r="C502" t="s">
        <v>121</v>
      </c>
      <c r="D502" t="s">
        <v>167</v>
      </c>
      <c r="E502" t="s">
        <v>83</v>
      </c>
      <c r="F502" s="37">
        <v>45889</v>
      </c>
      <c r="G502">
        <v>10</v>
      </c>
      <c r="H502" t="s">
        <v>174</v>
      </c>
      <c r="I502" s="37">
        <v>45959</v>
      </c>
      <c r="J502" t="s">
        <v>165</v>
      </c>
      <c r="K502" t="s">
        <v>166</v>
      </c>
      <c r="L502" t="s">
        <v>175</v>
      </c>
      <c r="M502" t="s">
        <v>840</v>
      </c>
      <c r="O502" t="s">
        <v>840</v>
      </c>
      <c r="Q502" t="s">
        <v>1643</v>
      </c>
      <c r="U502" t="s">
        <v>1696</v>
      </c>
      <c r="W502" t="s">
        <v>1699</v>
      </c>
      <c r="X502">
        <v>2</v>
      </c>
      <c r="AA502" s="43">
        <v>307.5</v>
      </c>
      <c r="AC502" s="43">
        <v>307.5</v>
      </c>
      <c r="AF502" s="37">
        <f t="shared" si="15"/>
        <v>46218</v>
      </c>
      <c r="AG502" s="37">
        <f t="shared" si="16"/>
        <v>47424.611570247936</v>
      </c>
      <c r="AH502" t="s">
        <v>1704</v>
      </c>
      <c r="AN502" s="43">
        <v>307.5</v>
      </c>
    </row>
    <row r="503" spans="2:40">
      <c r="B503" t="s">
        <v>841</v>
      </c>
      <c r="C503" t="s">
        <v>121</v>
      </c>
      <c r="D503" t="s">
        <v>167</v>
      </c>
      <c r="E503" t="s">
        <v>83</v>
      </c>
      <c r="F503" s="37">
        <v>45889</v>
      </c>
      <c r="G503">
        <v>10</v>
      </c>
      <c r="H503" t="s">
        <v>174</v>
      </c>
      <c r="I503" s="37">
        <v>45959</v>
      </c>
      <c r="J503" t="s">
        <v>165</v>
      </c>
      <c r="K503" t="s">
        <v>166</v>
      </c>
      <c r="L503" t="s">
        <v>175</v>
      </c>
      <c r="M503" t="s">
        <v>841</v>
      </c>
      <c r="O503" t="s">
        <v>841</v>
      </c>
      <c r="Q503" t="s">
        <v>1643</v>
      </c>
      <c r="U503" t="s">
        <v>1696</v>
      </c>
      <c r="W503" t="s">
        <v>1699</v>
      </c>
      <c r="X503">
        <v>2</v>
      </c>
      <c r="AA503" s="43">
        <v>307.5</v>
      </c>
      <c r="AC503" s="43">
        <v>307.5</v>
      </c>
      <c r="AF503" s="37">
        <f t="shared" si="15"/>
        <v>46218</v>
      </c>
      <c r="AG503" s="37">
        <f t="shared" si="16"/>
        <v>47424.611570247936</v>
      </c>
      <c r="AH503" t="s">
        <v>1704</v>
      </c>
      <c r="AN503" s="43">
        <v>307.5</v>
      </c>
    </row>
    <row r="504" spans="2:40">
      <c r="B504" t="s">
        <v>842</v>
      </c>
      <c r="C504" t="s">
        <v>121</v>
      </c>
      <c r="D504" t="s">
        <v>167</v>
      </c>
      <c r="E504" t="s">
        <v>83</v>
      </c>
      <c r="F504" s="37">
        <v>45889</v>
      </c>
      <c r="G504">
        <v>10</v>
      </c>
      <c r="H504" t="s">
        <v>174</v>
      </c>
      <c r="I504" s="37">
        <v>45959</v>
      </c>
      <c r="J504" t="s">
        <v>165</v>
      </c>
      <c r="K504" t="s">
        <v>166</v>
      </c>
      <c r="L504" t="s">
        <v>175</v>
      </c>
      <c r="M504" t="s">
        <v>842</v>
      </c>
      <c r="O504" t="s">
        <v>842</v>
      </c>
      <c r="Q504" t="s">
        <v>1643</v>
      </c>
      <c r="U504" t="s">
        <v>1696</v>
      </c>
      <c r="W504" t="s">
        <v>1699</v>
      </c>
      <c r="X504">
        <v>2</v>
      </c>
      <c r="AA504" s="43">
        <v>307.5</v>
      </c>
      <c r="AC504" s="43">
        <v>307.5</v>
      </c>
      <c r="AF504" s="37">
        <f t="shared" si="15"/>
        <v>46218</v>
      </c>
      <c r="AG504" s="37">
        <f t="shared" si="16"/>
        <v>47424.611570247936</v>
      </c>
      <c r="AH504" t="s">
        <v>1704</v>
      </c>
      <c r="AN504" s="43">
        <v>307.5</v>
      </c>
    </row>
    <row r="505" spans="2:40">
      <c r="B505" t="s">
        <v>843</v>
      </c>
      <c r="C505" t="s">
        <v>121</v>
      </c>
      <c r="D505" t="s">
        <v>167</v>
      </c>
      <c r="E505" t="s">
        <v>83</v>
      </c>
      <c r="F505" s="37">
        <v>45882</v>
      </c>
      <c r="G505">
        <v>10</v>
      </c>
      <c r="H505" t="s">
        <v>174</v>
      </c>
      <c r="I505" s="37">
        <v>45952</v>
      </c>
      <c r="J505" t="s">
        <v>165</v>
      </c>
      <c r="K505" t="s">
        <v>166</v>
      </c>
      <c r="L505" t="s">
        <v>175</v>
      </c>
      <c r="M505" t="s">
        <v>843</v>
      </c>
      <c r="O505" t="s">
        <v>843</v>
      </c>
      <c r="Q505" t="s">
        <v>1643</v>
      </c>
      <c r="U505" t="s">
        <v>1696</v>
      </c>
      <c r="W505" t="s">
        <v>1699</v>
      </c>
      <c r="X505">
        <v>2</v>
      </c>
      <c r="AA505" s="43">
        <v>307.5</v>
      </c>
      <c r="AC505" s="43">
        <v>307.5</v>
      </c>
      <c r="AF505" s="37">
        <f t="shared" si="15"/>
        <v>46211</v>
      </c>
      <c r="AG505" s="37">
        <f t="shared" si="16"/>
        <v>47417.611570247936</v>
      </c>
      <c r="AH505" t="s">
        <v>1704</v>
      </c>
      <c r="AN505" s="43">
        <v>307.5</v>
      </c>
    </row>
    <row r="506" spans="2:40">
      <c r="B506" t="s">
        <v>844</v>
      </c>
      <c r="C506" t="s">
        <v>121</v>
      </c>
      <c r="D506" t="s">
        <v>167</v>
      </c>
      <c r="E506" t="s">
        <v>83</v>
      </c>
      <c r="F506" s="37">
        <v>45882</v>
      </c>
      <c r="G506">
        <v>10</v>
      </c>
      <c r="H506" t="s">
        <v>174</v>
      </c>
      <c r="I506" s="37">
        <v>45952</v>
      </c>
      <c r="J506" t="s">
        <v>165</v>
      </c>
      <c r="K506" t="s">
        <v>166</v>
      </c>
      <c r="L506" t="s">
        <v>175</v>
      </c>
      <c r="M506" t="s">
        <v>844</v>
      </c>
      <c r="O506" t="s">
        <v>844</v>
      </c>
      <c r="Q506" t="s">
        <v>1643</v>
      </c>
      <c r="U506" t="s">
        <v>1697</v>
      </c>
      <c r="W506" t="s">
        <v>1702</v>
      </c>
      <c r="X506">
        <v>2</v>
      </c>
      <c r="AA506" s="43">
        <v>307.5</v>
      </c>
      <c r="AC506" s="43">
        <v>307.5</v>
      </c>
      <c r="AF506" s="37">
        <f t="shared" si="15"/>
        <v>46211</v>
      </c>
      <c r="AG506" s="37">
        <f t="shared" si="16"/>
        <v>47417.611570247936</v>
      </c>
      <c r="AH506" t="s">
        <v>1705</v>
      </c>
      <c r="AN506" s="43">
        <v>307.5</v>
      </c>
    </row>
    <row r="507" spans="2:40">
      <c r="B507" t="s">
        <v>845</v>
      </c>
      <c r="C507" t="s">
        <v>121</v>
      </c>
      <c r="D507" t="s">
        <v>167</v>
      </c>
      <c r="E507" t="s">
        <v>83</v>
      </c>
      <c r="F507" s="37">
        <v>45882</v>
      </c>
      <c r="G507">
        <v>10</v>
      </c>
      <c r="H507" t="s">
        <v>174</v>
      </c>
      <c r="I507" s="37">
        <v>45952</v>
      </c>
      <c r="J507" t="s">
        <v>165</v>
      </c>
      <c r="K507" t="s">
        <v>166</v>
      </c>
      <c r="L507" t="s">
        <v>175</v>
      </c>
      <c r="M507" t="s">
        <v>845</v>
      </c>
      <c r="O507" t="s">
        <v>845</v>
      </c>
      <c r="Q507" t="s">
        <v>1643</v>
      </c>
      <c r="U507" t="s">
        <v>1696</v>
      </c>
      <c r="W507" t="s">
        <v>1699</v>
      </c>
      <c r="X507">
        <v>2</v>
      </c>
      <c r="AA507" s="43">
        <v>307.5</v>
      </c>
      <c r="AC507" s="43">
        <v>307.5</v>
      </c>
      <c r="AF507" s="37">
        <f t="shared" si="15"/>
        <v>46211</v>
      </c>
      <c r="AG507" s="37">
        <f t="shared" si="16"/>
        <v>47417.611570247936</v>
      </c>
      <c r="AH507" t="s">
        <v>1704</v>
      </c>
      <c r="AN507" s="43">
        <v>307.5</v>
      </c>
    </row>
    <row r="508" spans="2:40">
      <c r="B508" t="s">
        <v>846</v>
      </c>
      <c r="C508" t="s">
        <v>121</v>
      </c>
      <c r="D508" t="s">
        <v>167</v>
      </c>
      <c r="E508" t="s">
        <v>83</v>
      </c>
      <c r="F508" s="37">
        <v>45882</v>
      </c>
      <c r="G508">
        <v>10</v>
      </c>
      <c r="H508" t="s">
        <v>174</v>
      </c>
      <c r="I508" s="37">
        <v>45952</v>
      </c>
      <c r="J508" t="s">
        <v>165</v>
      </c>
      <c r="K508" t="s">
        <v>166</v>
      </c>
      <c r="L508" t="s">
        <v>175</v>
      </c>
      <c r="M508" t="s">
        <v>846</v>
      </c>
      <c r="O508" t="s">
        <v>846</v>
      </c>
      <c r="Q508" t="s">
        <v>1643</v>
      </c>
      <c r="U508" t="s">
        <v>1698</v>
      </c>
      <c r="W508" t="s">
        <v>1703</v>
      </c>
      <c r="X508">
        <v>1</v>
      </c>
      <c r="AA508" s="43">
        <v>307.5</v>
      </c>
      <c r="AC508" s="43">
        <v>307.5</v>
      </c>
      <c r="AF508" s="37">
        <f t="shared" si="15"/>
        <v>46211</v>
      </c>
      <c r="AG508" s="37">
        <f t="shared" si="16"/>
        <v>47417.611570247936</v>
      </c>
      <c r="AH508" t="s">
        <v>169</v>
      </c>
      <c r="AN508" s="43">
        <v>307.5</v>
      </c>
    </row>
    <row r="509" spans="2:40">
      <c r="B509" t="s">
        <v>847</v>
      </c>
      <c r="C509" t="s">
        <v>121</v>
      </c>
      <c r="D509" t="s">
        <v>167</v>
      </c>
      <c r="E509" t="s">
        <v>83</v>
      </c>
      <c r="F509" s="37">
        <v>45882</v>
      </c>
      <c r="G509">
        <v>10</v>
      </c>
      <c r="H509" t="s">
        <v>174</v>
      </c>
      <c r="I509" s="37">
        <v>45952</v>
      </c>
      <c r="J509" t="s">
        <v>165</v>
      </c>
      <c r="K509" t="s">
        <v>166</v>
      </c>
      <c r="L509" t="s">
        <v>175</v>
      </c>
      <c r="M509" t="s">
        <v>847</v>
      </c>
      <c r="O509" t="s">
        <v>847</v>
      </c>
      <c r="Q509" t="s">
        <v>1643</v>
      </c>
      <c r="U509" t="s">
        <v>1698</v>
      </c>
      <c r="W509" t="s">
        <v>1703</v>
      </c>
      <c r="X509">
        <v>1</v>
      </c>
      <c r="AA509" s="43">
        <v>307.5</v>
      </c>
      <c r="AC509" s="43">
        <v>307.5</v>
      </c>
      <c r="AF509" s="37">
        <f t="shared" si="15"/>
        <v>46211</v>
      </c>
      <c r="AG509" s="37">
        <f t="shared" si="16"/>
        <v>47417.611570247936</v>
      </c>
      <c r="AH509" t="s">
        <v>169</v>
      </c>
      <c r="AN509" s="43">
        <v>307.5</v>
      </c>
    </row>
    <row r="510" spans="2:40">
      <c r="B510" t="s">
        <v>848</v>
      </c>
      <c r="C510" t="s">
        <v>121</v>
      </c>
      <c r="D510" t="s">
        <v>167</v>
      </c>
      <c r="E510" t="s">
        <v>83</v>
      </c>
      <c r="F510" s="37">
        <v>45882</v>
      </c>
      <c r="G510">
        <v>10</v>
      </c>
      <c r="H510" t="s">
        <v>174</v>
      </c>
      <c r="I510" s="37">
        <v>45952</v>
      </c>
      <c r="J510" t="s">
        <v>165</v>
      </c>
      <c r="K510" t="s">
        <v>166</v>
      </c>
      <c r="L510" t="s">
        <v>175</v>
      </c>
      <c r="M510" t="s">
        <v>848</v>
      </c>
      <c r="O510" t="s">
        <v>848</v>
      </c>
      <c r="Q510" t="s">
        <v>1643</v>
      </c>
      <c r="U510" t="s">
        <v>1696</v>
      </c>
      <c r="W510" t="s">
        <v>1699</v>
      </c>
      <c r="X510">
        <v>2</v>
      </c>
      <c r="AA510" s="43">
        <v>307.5</v>
      </c>
      <c r="AC510" s="43">
        <v>307.5</v>
      </c>
      <c r="AF510" s="37">
        <f t="shared" si="15"/>
        <v>46211</v>
      </c>
      <c r="AG510" s="37">
        <f t="shared" si="16"/>
        <v>47417.611570247936</v>
      </c>
      <c r="AH510" t="s">
        <v>1704</v>
      </c>
      <c r="AN510" s="43">
        <v>307.5</v>
      </c>
    </row>
    <row r="511" spans="2:40">
      <c r="B511" t="s">
        <v>849</v>
      </c>
      <c r="C511" t="s">
        <v>121</v>
      </c>
      <c r="D511" t="s">
        <v>167</v>
      </c>
      <c r="E511" t="s">
        <v>83</v>
      </c>
      <c r="F511" s="37">
        <v>45882</v>
      </c>
      <c r="G511">
        <v>10</v>
      </c>
      <c r="H511" t="s">
        <v>174</v>
      </c>
      <c r="I511" s="37">
        <v>45952</v>
      </c>
      <c r="J511" t="s">
        <v>165</v>
      </c>
      <c r="K511" t="s">
        <v>166</v>
      </c>
      <c r="L511" t="s">
        <v>175</v>
      </c>
      <c r="M511" t="s">
        <v>849</v>
      </c>
      <c r="O511" t="s">
        <v>849</v>
      </c>
      <c r="Q511" t="s">
        <v>1643</v>
      </c>
      <c r="U511" t="s">
        <v>1696</v>
      </c>
      <c r="W511" t="s">
        <v>1699</v>
      </c>
      <c r="X511">
        <v>2</v>
      </c>
      <c r="AA511" s="43">
        <v>307.5</v>
      </c>
      <c r="AC511" s="43">
        <v>307.5</v>
      </c>
      <c r="AF511" s="37">
        <f t="shared" si="15"/>
        <v>46211</v>
      </c>
      <c r="AG511" s="37">
        <f t="shared" si="16"/>
        <v>47417.611570247936</v>
      </c>
      <c r="AH511" t="s">
        <v>1704</v>
      </c>
      <c r="AN511" s="43">
        <v>307.5</v>
      </c>
    </row>
    <row r="512" spans="2:40">
      <c r="B512" t="s">
        <v>850</v>
      </c>
      <c r="C512" t="s">
        <v>121</v>
      </c>
      <c r="D512" t="s">
        <v>167</v>
      </c>
      <c r="E512" t="s">
        <v>83</v>
      </c>
      <c r="F512" s="37">
        <v>45882</v>
      </c>
      <c r="G512">
        <v>10</v>
      </c>
      <c r="H512" t="s">
        <v>174</v>
      </c>
      <c r="I512" s="37">
        <v>45952</v>
      </c>
      <c r="J512" t="s">
        <v>165</v>
      </c>
      <c r="K512" t="s">
        <v>166</v>
      </c>
      <c r="L512" t="s">
        <v>175</v>
      </c>
      <c r="M512" t="s">
        <v>850</v>
      </c>
      <c r="O512" t="s">
        <v>850</v>
      </c>
      <c r="Q512" t="s">
        <v>1643</v>
      </c>
      <c r="U512" t="s">
        <v>1697</v>
      </c>
      <c r="W512" t="s">
        <v>1702</v>
      </c>
      <c r="X512">
        <v>2</v>
      </c>
      <c r="AA512" s="43">
        <v>307.5</v>
      </c>
      <c r="AC512" s="43">
        <v>307.5</v>
      </c>
      <c r="AF512" s="37">
        <f t="shared" si="15"/>
        <v>46211</v>
      </c>
      <c r="AG512" s="37">
        <f t="shared" si="16"/>
        <v>47417.611570247936</v>
      </c>
      <c r="AH512" t="s">
        <v>1705</v>
      </c>
      <c r="AN512" s="43">
        <v>307.5</v>
      </c>
    </row>
    <row r="513" spans="2:40">
      <c r="B513" t="s">
        <v>851</v>
      </c>
      <c r="C513" t="s">
        <v>121</v>
      </c>
      <c r="D513" t="s">
        <v>167</v>
      </c>
      <c r="E513" t="s">
        <v>83</v>
      </c>
      <c r="F513" s="37">
        <v>45882</v>
      </c>
      <c r="G513">
        <v>10</v>
      </c>
      <c r="H513" t="s">
        <v>174</v>
      </c>
      <c r="I513" s="37">
        <v>45952</v>
      </c>
      <c r="J513" t="s">
        <v>165</v>
      </c>
      <c r="K513" t="s">
        <v>166</v>
      </c>
      <c r="L513" t="s">
        <v>175</v>
      </c>
      <c r="M513" t="s">
        <v>851</v>
      </c>
      <c r="O513" t="s">
        <v>851</v>
      </c>
      <c r="Q513" t="s">
        <v>1643</v>
      </c>
      <c r="U513" t="s">
        <v>1697</v>
      </c>
      <c r="W513" t="s">
        <v>1702</v>
      </c>
      <c r="X513">
        <v>2</v>
      </c>
      <c r="AA513" s="43">
        <v>307.5</v>
      </c>
      <c r="AC513" s="43">
        <v>307.5</v>
      </c>
      <c r="AF513" s="37">
        <f t="shared" si="15"/>
        <v>46211</v>
      </c>
      <c r="AG513" s="37">
        <f t="shared" si="16"/>
        <v>47417.611570247936</v>
      </c>
      <c r="AH513" t="s">
        <v>1705</v>
      </c>
      <c r="AN513" s="43">
        <v>307.5</v>
      </c>
    </row>
    <row r="514" spans="2:40">
      <c r="B514" t="s">
        <v>852</v>
      </c>
      <c r="C514" t="s">
        <v>121</v>
      </c>
      <c r="D514" t="s">
        <v>167</v>
      </c>
      <c r="E514" t="s">
        <v>83</v>
      </c>
      <c r="F514" s="37">
        <v>45882</v>
      </c>
      <c r="G514">
        <v>10</v>
      </c>
      <c r="H514" t="s">
        <v>174</v>
      </c>
      <c r="I514" s="37">
        <v>45952</v>
      </c>
      <c r="J514" t="s">
        <v>165</v>
      </c>
      <c r="K514" t="s">
        <v>166</v>
      </c>
      <c r="L514" t="s">
        <v>175</v>
      </c>
      <c r="M514" t="s">
        <v>852</v>
      </c>
      <c r="O514" t="s">
        <v>852</v>
      </c>
      <c r="Q514" t="s">
        <v>1643</v>
      </c>
      <c r="U514" t="s">
        <v>1697</v>
      </c>
      <c r="W514" t="s">
        <v>1702</v>
      </c>
      <c r="X514">
        <v>2</v>
      </c>
      <c r="AA514" s="43">
        <v>307.5</v>
      </c>
      <c r="AC514" s="43">
        <v>307.5</v>
      </c>
      <c r="AF514" s="37">
        <f t="shared" si="15"/>
        <v>46211</v>
      </c>
      <c r="AG514" s="37">
        <f t="shared" si="16"/>
        <v>47417.611570247936</v>
      </c>
      <c r="AH514" t="s">
        <v>1705</v>
      </c>
      <c r="AN514" s="43">
        <v>307.5</v>
      </c>
    </row>
    <row r="515" spans="2:40">
      <c r="B515" t="s">
        <v>853</v>
      </c>
      <c r="C515" t="s">
        <v>121</v>
      </c>
      <c r="D515" t="s">
        <v>167</v>
      </c>
      <c r="E515" t="s">
        <v>83</v>
      </c>
      <c r="F515" s="37">
        <v>45882</v>
      </c>
      <c r="G515">
        <v>10</v>
      </c>
      <c r="H515" t="s">
        <v>174</v>
      </c>
      <c r="I515" s="37">
        <v>45952</v>
      </c>
      <c r="J515" t="s">
        <v>165</v>
      </c>
      <c r="K515" t="s">
        <v>166</v>
      </c>
      <c r="L515" t="s">
        <v>175</v>
      </c>
      <c r="M515" t="s">
        <v>853</v>
      </c>
      <c r="O515" t="s">
        <v>853</v>
      </c>
      <c r="Q515" t="s">
        <v>1643</v>
      </c>
      <c r="U515" t="s">
        <v>1697</v>
      </c>
      <c r="W515" t="s">
        <v>1702</v>
      </c>
      <c r="X515">
        <v>2</v>
      </c>
      <c r="AA515" s="43">
        <v>307.5</v>
      </c>
      <c r="AC515" s="43">
        <v>307.5</v>
      </c>
      <c r="AF515" s="37">
        <f t="shared" si="15"/>
        <v>46211</v>
      </c>
      <c r="AG515" s="37">
        <f t="shared" si="16"/>
        <v>47417.611570247936</v>
      </c>
      <c r="AH515" t="s">
        <v>1705</v>
      </c>
      <c r="AN515" s="43">
        <v>307.5</v>
      </c>
    </row>
    <row r="516" spans="2:40">
      <c r="B516" t="s">
        <v>854</v>
      </c>
      <c r="C516" t="s">
        <v>121</v>
      </c>
      <c r="D516" t="s">
        <v>167</v>
      </c>
      <c r="E516" t="s">
        <v>83</v>
      </c>
      <c r="F516" s="37">
        <v>45882</v>
      </c>
      <c r="G516">
        <v>10</v>
      </c>
      <c r="H516" t="s">
        <v>174</v>
      </c>
      <c r="I516" s="37">
        <v>45952</v>
      </c>
      <c r="J516" t="s">
        <v>165</v>
      </c>
      <c r="K516" t="s">
        <v>166</v>
      </c>
      <c r="L516" t="s">
        <v>175</v>
      </c>
      <c r="M516" t="s">
        <v>854</v>
      </c>
      <c r="O516" t="s">
        <v>854</v>
      </c>
      <c r="Q516" t="s">
        <v>1643</v>
      </c>
      <c r="U516" t="s">
        <v>1697</v>
      </c>
      <c r="W516" t="s">
        <v>1702</v>
      </c>
      <c r="X516">
        <v>2</v>
      </c>
      <c r="AA516" s="43">
        <v>307.5</v>
      </c>
      <c r="AC516" s="43">
        <v>307.5</v>
      </c>
      <c r="AF516" s="37">
        <f t="shared" si="15"/>
        <v>46211</v>
      </c>
      <c r="AG516" s="37">
        <f t="shared" si="16"/>
        <v>47417.611570247936</v>
      </c>
      <c r="AH516" t="s">
        <v>1705</v>
      </c>
      <c r="AN516" s="43">
        <v>307.5</v>
      </c>
    </row>
    <row r="517" spans="2:40">
      <c r="B517" t="s">
        <v>855</v>
      </c>
      <c r="C517" t="s">
        <v>121</v>
      </c>
      <c r="D517" t="s">
        <v>167</v>
      </c>
      <c r="E517" t="s">
        <v>83</v>
      </c>
      <c r="F517" s="37">
        <v>45875</v>
      </c>
      <c r="G517">
        <v>10</v>
      </c>
      <c r="H517" t="s">
        <v>174</v>
      </c>
      <c r="I517" s="37">
        <v>45945</v>
      </c>
      <c r="J517" t="s">
        <v>165</v>
      </c>
      <c r="K517" t="s">
        <v>166</v>
      </c>
      <c r="L517" t="s">
        <v>175</v>
      </c>
      <c r="M517" t="s">
        <v>855</v>
      </c>
      <c r="O517" t="s">
        <v>855</v>
      </c>
      <c r="Q517" t="s">
        <v>1643</v>
      </c>
      <c r="U517" t="s">
        <v>1698</v>
      </c>
      <c r="W517" t="s">
        <v>1703</v>
      </c>
      <c r="X517">
        <v>1</v>
      </c>
      <c r="AA517" s="43">
        <v>307.5</v>
      </c>
      <c r="AC517" s="43">
        <v>307.5</v>
      </c>
      <c r="AF517" s="37">
        <f t="shared" si="15"/>
        <v>46204</v>
      </c>
      <c r="AG517" s="37">
        <f t="shared" si="16"/>
        <v>47410.611570247936</v>
      </c>
      <c r="AH517" t="s">
        <v>169</v>
      </c>
      <c r="AN517" s="43">
        <v>307.5</v>
      </c>
    </row>
    <row r="518" spans="2:40">
      <c r="B518" t="s">
        <v>856</v>
      </c>
      <c r="C518" t="s">
        <v>121</v>
      </c>
      <c r="D518" t="s">
        <v>167</v>
      </c>
      <c r="E518" t="s">
        <v>83</v>
      </c>
      <c r="F518" s="37">
        <v>45875</v>
      </c>
      <c r="G518">
        <v>10</v>
      </c>
      <c r="H518" t="s">
        <v>174</v>
      </c>
      <c r="I518" s="37">
        <v>45945</v>
      </c>
      <c r="J518" t="s">
        <v>165</v>
      </c>
      <c r="K518" t="s">
        <v>166</v>
      </c>
      <c r="L518" t="s">
        <v>175</v>
      </c>
      <c r="M518" t="s">
        <v>856</v>
      </c>
      <c r="O518" t="s">
        <v>856</v>
      </c>
      <c r="Q518" t="s">
        <v>1643</v>
      </c>
      <c r="U518" t="s">
        <v>1696</v>
      </c>
      <c r="W518" t="s">
        <v>1699</v>
      </c>
      <c r="X518">
        <v>2</v>
      </c>
      <c r="AA518" s="43">
        <v>307.5</v>
      </c>
      <c r="AC518" s="43">
        <v>307.5</v>
      </c>
      <c r="AF518" s="37">
        <f t="shared" si="15"/>
        <v>46204</v>
      </c>
      <c r="AG518" s="37">
        <f t="shared" si="16"/>
        <v>47410.611570247936</v>
      </c>
      <c r="AH518" t="s">
        <v>1704</v>
      </c>
      <c r="AN518" s="43">
        <v>307.5</v>
      </c>
    </row>
    <row r="519" spans="2:40">
      <c r="B519" t="s">
        <v>857</v>
      </c>
      <c r="C519" t="s">
        <v>121</v>
      </c>
      <c r="D519" t="s">
        <v>167</v>
      </c>
      <c r="E519" t="s">
        <v>83</v>
      </c>
      <c r="F519" s="37">
        <v>45875</v>
      </c>
      <c r="G519">
        <v>10</v>
      </c>
      <c r="H519" t="s">
        <v>174</v>
      </c>
      <c r="I519" s="37">
        <v>45945</v>
      </c>
      <c r="J519" t="s">
        <v>165</v>
      </c>
      <c r="K519" t="s">
        <v>166</v>
      </c>
      <c r="L519" t="s">
        <v>175</v>
      </c>
      <c r="M519" t="s">
        <v>857</v>
      </c>
      <c r="O519" t="s">
        <v>857</v>
      </c>
      <c r="Q519" t="s">
        <v>1643</v>
      </c>
      <c r="U519" t="s">
        <v>1696</v>
      </c>
      <c r="W519" t="s">
        <v>1699</v>
      </c>
      <c r="X519">
        <v>2</v>
      </c>
      <c r="AA519" s="43">
        <v>307.5</v>
      </c>
      <c r="AC519" s="43">
        <v>307.5</v>
      </c>
      <c r="AF519" s="37">
        <f t="shared" ref="AF519:AF582" si="17">F519+(47*7)</f>
        <v>46204</v>
      </c>
      <c r="AG519" s="37">
        <f t="shared" ref="AG519:AG582" si="18">+AF519+(365*8)/2.42</f>
        <v>47410.611570247936</v>
      </c>
      <c r="AH519" t="s">
        <v>1704</v>
      </c>
      <c r="AN519" s="43">
        <v>307.5</v>
      </c>
    </row>
    <row r="520" spans="2:40">
      <c r="B520" t="s">
        <v>858</v>
      </c>
      <c r="C520" t="s">
        <v>121</v>
      </c>
      <c r="D520" t="s">
        <v>167</v>
      </c>
      <c r="E520" t="s">
        <v>83</v>
      </c>
      <c r="F520" s="37">
        <v>45875</v>
      </c>
      <c r="G520">
        <v>10</v>
      </c>
      <c r="H520" t="s">
        <v>174</v>
      </c>
      <c r="I520" s="37">
        <v>45945</v>
      </c>
      <c r="J520" t="s">
        <v>165</v>
      </c>
      <c r="K520" t="s">
        <v>166</v>
      </c>
      <c r="L520" t="s">
        <v>175</v>
      </c>
      <c r="M520" t="s">
        <v>858</v>
      </c>
      <c r="O520" t="s">
        <v>858</v>
      </c>
      <c r="Q520" t="s">
        <v>1643</v>
      </c>
      <c r="U520" t="s">
        <v>1697</v>
      </c>
      <c r="W520" t="s">
        <v>1702</v>
      </c>
      <c r="X520">
        <v>2</v>
      </c>
      <c r="AA520" s="43">
        <v>307.5</v>
      </c>
      <c r="AC520" s="43">
        <v>307.5</v>
      </c>
      <c r="AF520" s="37">
        <f t="shared" si="17"/>
        <v>46204</v>
      </c>
      <c r="AG520" s="37">
        <f t="shared" si="18"/>
        <v>47410.611570247936</v>
      </c>
      <c r="AH520" t="s">
        <v>1705</v>
      </c>
      <c r="AN520" s="43">
        <v>307.5</v>
      </c>
    </row>
    <row r="521" spans="2:40">
      <c r="B521" t="s">
        <v>859</v>
      </c>
      <c r="C521" t="s">
        <v>121</v>
      </c>
      <c r="D521" t="s">
        <v>167</v>
      </c>
      <c r="E521" t="s">
        <v>83</v>
      </c>
      <c r="F521" s="37">
        <v>45875</v>
      </c>
      <c r="G521">
        <v>10</v>
      </c>
      <c r="H521" t="s">
        <v>174</v>
      </c>
      <c r="I521" s="37">
        <v>45945</v>
      </c>
      <c r="J521" t="s">
        <v>165</v>
      </c>
      <c r="K521" t="s">
        <v>166</v>
      </c>
      <c r="L521" t="s">
        <v>175</v>
      </c>
      <c r="M521" t="s">
        <v>859</v>
      </c>
      <c r="O521" t="s">
        <v>859</v>
      </c>
      <c r="Q521" t="s">
        <v>1643</v>
      </c>
      <c r="U521" t="s">
        <v>1697</v>
      </c>
      <c r="W521" t="s">
        <v>1702</v>
      </c>
      <c r="X521">
        <v>2</v>
      </c>
      <c r="AA521" s="43">
        <v>307.5</v>
      </c>
      <c r="AC521" s="43">
        <v>307.5</v>
      </c>
      <c r="AF521" s="37">
        <f t="shared" si="17"/>
        <v>46204</v>
      </c>
      <c r="AG521" s="37">
        <f t="shared" si="18"/>
        <v>47410.611570247936</v>
      </c>
      <c r="AH521" t="s">
        <v>1705</v>
      </c>
      <c r="AN521" s="43">
        <v>307.5</v>
      </c>
    </row>
    <row r="522" spans="2:40">
      <c r="B522" t="s">
        <v>860</v>
      </c>
      <c r="C522" t="s">
        <v>121</v>
      </c>
      <c r="D522" t="s">
        <v>167</v>
      </c>
      <c r="E522" t="s">
        <v>83</v>
      </c>
      <c r="F522" s="37">
        <v>45875</v>
      </c>
      <c r="G522">
        <v>10</v>
      </c>
      <c r="H522" t="s">
        <v>174</v>
      </c>
      <c r="I522" s="37">
        <v>45945</v>
      </c>
      <c r="J522" t="s">
        <v>165</v>
      </c>
      <c r="K522" t="s">
        <v>166</v>
      </c>
      <c r="L522" t="s">
        <v>175</v>
      </c>
      <c r="M522" t="s">
        <v>860</v>
      </c>
      <c r="O522" t="s">
        <v>860</v>
      </c>
      <c r="Q522" t="s">
        <v>1643</v>
      </c>
      <c r="U522" t="s">
        <v>1697</v>
      </c>
      <c r="W522" t="s">
        <v>1702</v>
      </c>
      <c r="X522">
        <v>2</v>
      </c>
      <c r="AA522" s="43">
        <v>307.5</v>
      </c>
      <c r="AC522" s="43">
        <v>307.5</v>
      </c>
      <c r="AF522" s="37">
        <f t="shared" si="17"/>
        <v>46204</v>
      </c>
      <c r="AG522" s="37">
        <f t="shared" si="18"/>
        <v>47410.611570247936</v>
      </c>
      <c r="AH522" t="s">
        <v>1705</v>
      </c>
      <c r="AN522" s="43">
        <v>307.5</v>
      </c>
    </row>
    <row r="523" spans="2:40">
      <c r="B523" t="s">
        <v>861</v>
      </c>
      <c r="C523" t="s">
        <v>121</v>
      </c>
      <c r="D523" t="s">
        <v>167</v>
      </c>
      <c r="E523" t="s">
        <v>83</v>
      </c>
      <c r="F523" s="37">
        <v>45875</v>
      </c>
      <c r="G523">
        <v>10</v>
      </c>
      <c r="H523" t="s">
        <v>174</v>
      </c>
      <c r="I523" s="37">
        <v>45945</v>
      </c>
      <c r="J523" t="s">
        <v>165</v>
      </c>
      <c r="K523" t="s">
        <v>166</v>
      </c>
      <c r="L523" t="s">
        <v>175</v>
      </c>
      <c r="M523" t="s">
        <v>861</v>
      </c>
      <c r="O523" t="s">
        <v>861</v>
      </c>
      <c r="Q523" t="s">
        <v>1643</v>
      </c>
      <c r="U523" t="s">
        <v>1696</v>
      </c>
      <c r="W523" t="s">
        <v>1699</v>
      </c>
      <c r="X523">
        <v>2</v>
      </c>
      <c r="AA523" s="43">
        <v>307.5</v>
      </c>
      <c r="AC523" s="43">
        <v>307.5</v>
      </c>
      <c r="AF523" s="37">
        <f t="shared" si="17"/>
        <v>46204</v>
      </c>
      <c r="AG523" s="37">
        <f t="shared" si="18"/>
        <v>47410.611570247936</v>
      </c>
      <c r="AH523" t="s">
        <v>1704</v>
      </c>
      <c r="AN523" s="43">
        <v>307.5</v>
      </c>
    </row>
    <row r="524" spans="2:40">
      <c r="B524" t="s">
        <v>862</v>
      </c>
      <c r="C524" t="s">
        <v>121</v>
      </c>
      <c r="D524" t="s">
        <v>167</v>
      </c>
      <c r="E524" t="s">
        <v>83</v>
      </c>
      <c r="F524" s="37">
        <v>45875</v>
      </c>
      <c r="G524">
        <v>10</v>
      </c>
      <c r="H524" t="s">
        <v>174</v>
      </c>
      <c r="I524" s="37">
        <v>45945</v>
      </c>
      <c r="J524" t="s">
        <v>165</v>
      </c>
      <c r="K524" t="s">
        <v>166</v>
      </c>
      <c r="L524" t="s">
        <v>175</v>
      </c>
      <c r="M524" t="s">
        <v>862</v>
      </c>
      <c r="O524" t="s">
        <v>862</v>
      </c>
      <c r="Q524" t="s">
        <v>1643</v>
      </c>
      <c r="U524" t="s">
        <v>1697</v>
      </c>
      <c r="W524" t="s">
        <v>1702</v>
      </c>
      <c r="X524">
        <v>2</v>
      </c>
      <c r="AA524" s="43">
        <v>307.5</v>
      </c>
      <c r="AC524" s="43">
        <v>307.5</v>
      </c>
      <c r="AF524" s="37">
        <f t="shared" si="17"/>
        <v>46204</v>
      </c>
      <c r="AG524" s="37">
        <f t="shared" si="18"/>
        <v>47410.611570247936</v>
      </c>
      <c r="AH524" t="s">
        <v>1705</v>
      </c>
      <c r="AN524" s="43">
        <v>307.5</v>
      </c>
    </row>
    <row r="525" spans="2:40">
      <c r="B525" t="s">
        <v>863</v>
      </c>
      <c r="C525" t="s">
        <v>121</v>
      </c>
      <c r="D525" t="s">
        <v>167</v>
      </c>
      <c r="E525" t="s">
        <v>83</v>
      </c>
      <c r="F525" s="37">
        <v>45875</v>
      </c>
      <c r="G525">
        <v>10</v>
      </c>
      <c r="H525" t="s">
        <v>174</v>
      </c>
      <c r="I525" s="37">
        <v>45945</v>
      </c>
      <c r="J525" t="s">
        <v>165</v>
      </c>
      <c r="K525" t="s">
        <v>166</v>
      </c>
      <c r="L525" t="s">
        <v>175</v>
      </c>
      <c r="M525" t="s">
        <v>863</v>
      </c>
      <c r="O525" t="s">
        <v>863</v>
      </c>
      <c r="Q525" t="s">
        <v>1643</v>
      </c>
      <c r="U525" t="s">
        <v>1698</v>
      </c>
      <c r="W525" t="s">
        <v>1703</v>
      </c>
      <c r="X525">
        <v>1</v>
      </c>
      <c r="AA525" s="43">
        <v>307.5</v>
      </c>
      <c r="AC525" s="43">
        <v>307.5</v>
      </c>
      <c r="AF525" s="37">
        <f t="shared" si="17"/>
        <v>46204</v>
      </c>
      <c r="AG525" s="37">
        <f t="shared" si="18"/>
        <v>47410.611570247936</v>
      </c>
      <c r="AH525" t="s">
        <v>169</v>
      </c>
      <c r="AN525" s="43">
        <v>307.5</v>
      </c>
    </row>
    <row r="526" spans="2:40">
      <c r="B526" t="s">
        <v>864</v>
      </c>
      <c r="C526" t="s">
        <v>121</v>
      </c>
      <c r="D526" t="s">
        <v>167</v>
      </c>
      <c r="E526" t="s">
        <v>83</v>
      </c>
      <c r="F526" s="37">
        <v>45875</v>
      </c>
      <c r="G526">
        <v>10</v>
      </c>
      <c r="H526" t="s">
        <v>174</v>
      </c>
      <c r="I526" s="37">
        <v>45945</v>
      </c>
      <c r="J526" t="s">
        <v>165</v>
      </c>
      <c r="K526" t="s">
        <v>166</v>
      </c>
      <c r="L526" t="s">
        <v>175</v>
      </c>
      <c r="M526" t="s">
        <v>864</v>
      </c>
      <c r="O526" t="s">
        <v>864</v>
      </c>
      <c r="Q526" t="s">
        <v>1643</v>
      </c>
      <c r="U526" t="s">
        <v>1696</v>
      </c>
      <c r="W526" t="s">
        <v>1699</v>
      </c>
      <c r="X526">
        <v>2</v>
      </c>
      <c r="AA526" s="43">
        <v>307.5</v>
      </c>
      <c r="AC526" s="43">
        <v>307.5</v>
      </c>
      <c r="AF526" s="37">
        <f t="shared" si="17"/>
        <v>46204</v>
      </c>
      <c r="AG526" s="37">
        <f t="shared" si="18"/>
        <v>47410.611570247936</v>
      </c>
      <c r="AH526" t="s">
        <v>1704</v>
      </c>
      <c r="AN526" s="43">
        <v>307.5</v>
      </c>
    </row>
    <row r="527" spans="2:40">
      <c r="B527" t="s">
        <v>865</v>
      </c>
      <c r="C527" t="s">
        <v>121</v>
      </c>
      <c r="D527" t="s">
        <v>167</v>
      </c>
      <c r="E527" t="s">
        <v>83</v>
      </c>
      <c r="F527" s="37">
        <v>45875</v>
      </c>
      <c r="G527">
        <v>10</v>
      </c>
      <c r="H527" t="s">
        <v>174</v>
      </c>
      <c r="I527" s="37">
        <v>45945</v>
      </c>
      <c r="J527" t="s">
        <v>165</v>
      </c>
      <c r="K527" t="s">
        <v>166</v>
      </c>
      <c r="L527" t="s">
        <v>175</v>
      </c>
      <c r="M527" t="s">
        <v>865</v>
      </c>
      <c r="O527" t="s">
        <v>865</v>
      </c>
      <c r="Q527" t="s">
        <v>1643</v>
      </c>
      <c r="U527" t="s">
        <v>1697</v>
      </c>
      <c r="W527" t="s">
        <v>1702</v>
      </c>
      <c r="X527">
        <v>2</v>
      </c>
      <c r="AA527" s="43">
        <v>307.5</v>
      </c>
      <c r="AC527" s="43">
        <v>307.5</v>
      </c>
      <c r="AF527" s="37">
        <f t="shared" si="17"/>
        <v>46204</v>
      </c>
      <c r="AG527" s="37">
        <f t="shared" si="18"/>
        <v>47410.611570247936</v>
      </c>
      <c r="AH527" t="s">
        <v>1705</v>
      </c>
      <c r="AN527" s="43">
        <v>307.5</v>
      </c>
    </row>
    <row r="528" spans="2:40">
      <c r="B528" t="s">
        <v>866</v>
      </c>
      <c r="C528" t="s">
        <v>121</v>
      </c>
      <c r="D528" t="s">
        <v>167</v>
      </c>
      <c r="E528" t="s">
        <v>83</v>
      </c>
      <c r="F528" s="37">
        <v>45868</v>
      </c>
      <c r="G528">
        <v>10</v>
      </c>
      <c r="H528" t="s">
        <v>174</v>
      </c>
      <c r="I528" s="37">
        <v>45938</v>
      </c>
      <c r="J528" t="s">
        <v>165</v>
      </c>
      <c r="K528" t="s">
        <v>166</v>
      </c>
      <c r="L528" t="s">
        <v>175</v>
      </c>
      <c r="M528" t="s">
        <v>866</v>
      </c>
      <c r="O528" t="s">
        <v>866</v>
      </c>
      <c r="Q528" t="s">
        <v>1643</v>
      </c>
      <c r="U528" t="s">
        <v>1697</v>
      </c>
      <c r="W528" t="s">
        <v>1702</v>
      </c>
      <c r="X528">
        <v>2</v>
      </c>
      <c r="AA528" s="43">
        <v>307.5</v>
      </c>
      <c r="AC528" s="43">
        <v>307.5</v>
      </c>
      <c r="AF528" s="37">
        <f t="shared" si="17"/>
        <v>46197</v>
      </c>
      <c r="AG528" s="37">
        <f t="shared" si="18"/>
        <v>47403.611570247936</v>
      </c>
      <c r="AH528" t="s">
        <v>1705</v>
      </c>
      <c r="AN528" s="43">
        <v>307.5</v>
      </c>
    </row>
    <row r="529" spans="2:40">
      <c r="B529" t="s">
        <v>867</v>
      </c>
      <c r="C529" t="s">
        <v>121</v>
      </c>
      <c r="D529" t="s">
        <v>167</v>
      </c>
      <c r="E529" t="s">
        <v>83</v>
      </c>
      <c r="F529" s="37">
        <v>45868</v>
      </c>
      <c r="G529">
        <v>10</v>
      </c>
      <c r="H529" t="s">
        <v>174</v>
      </c>
      <c r="I529" s="37">
        <v>45938</v>
      </c>
      <c r="J529" t="s">
        <v>165</v>
      </c>
      <c r="K529" t="s">
        <v>166</v>
      </c>
      <c r="L529" t="s">
        <v>175</v>
      </c>
      <c r="M529" t="s">
        <v>867</v>
      </c>
      <c r="O529" t="s">
        <v>867</v>
      </c>
      <c r="Q529" t="s">
        <v>1643</v>
      </c>
      <c r="U529" t="s">
        <v>1697</v>
      </c>
      <c r="W529" t="s">
        <v>1702</v>
      </c>
      <c r="X529">
        <v>2</v>
      </c>
      <c r="AA529" s="43">
        <v>307.5</v>
      </c>
      <c r="AC529" s="43">
        <v>307.5</v>
      </c>
      <c r="AF529" s="37">
        <f t="shared" si="17"/>
        <v>46197</v>
      </c>
      <c r="AG529" s="37">
        <f t="shared" si="18"/>
        <v>47403.611570247936</v>
      </c>
      <c r="AH529" t="s">
        <v>1705</v>
      </c>
      <c r="AN529" s="43">
        <v>307.5</v>
      </c>
    </row>
    <row r="530" spans="2:40">
      <c r="B530" t="s">
        <v>868</v>
      </c>
      <c r="C530" t="s">
        <v>121</v>
      </c>
      <c r="D530" t="s">
        <v>167</v>
      </c>
      <c r="E530" t="s">
        <v>83</v>
      </c>
      <c r="F530" s="37">
        <v>45868</v>
      </c>
      <c r="G530">
        <v>10</v>
      </c>
      <c r="H530" t="s">
        <v>174</v>
      </c>
      <c r="I530" s="37">
        <v>45938</v>
      </c>
      <c r="J530" t="s">
        <v>165</v>
      </c>
      <c r="K530" t="s">
        <v>166</v>
      </c>
      <c r="L530" t="s">
        <v>175</v>
      </c>
      <c r="M530" t="s">
        <v>868</v>
      </c>
      <c r="O530" t="s">
        <v>868</v>
      </c>
      <c r="Q530" t="s">
        <v>1643</v>
      </c>
      <c r="U530" t="s">
        <v>1697</v>
      </c>
      <c r="W530" t="s">
        <v>1702</v>
      </c>
      <c r="X530">
        <v>2</v>
      </c>
      <c r="AA530" s="43">
        <v>307.5</v>
      </c>
      <c r="AC530" s="43">
        <v>307.5</v>
      </c>
      <c r="AF530" s="37">
        <f t="shared" si="17"/>
        <v>46197</v>
      </c>
      <c r="AG530" s="37">
        <f t="shared" si="18"/>
        <v>47403.611570247936</v>
      </c>
      <c r="AH530" t="s">
        <v>1705</v>
      </c>
      <c r="AN530" s="43">
        <v>307.5</v>
      </c>
    </row>
    <row r="531" spans="2:40">
      <c r="B531" t="s">
        <v>869</v>
      </c>
      <c r="C531" t="s">
        <v>121</v>
      </c>
      <c r="D531" t="s">
        <v>167</v>
      </c>
      <c r="E531" t="s">
        <v>83</v>
      </c>
      <c r="F531" s="37">
        <v>45868</v>
      </c>
      <c r="G531">
        <v>10</v>
      </c>
      <c r="H531" t="s">
        <v>174</v>
      </c>
      <c r="I531" s="37">
        <v>45938</v>
      </c>
      <c r="J531" t="s">
        <v>165</v>
      </c>
      <c r="K531" t="s">
        <v>166</v>
      </c>
      <c r="L531" t="s">
        <v>175</v>
      </c>
      <c r="M531" t="s">
        <v>869</v>
      </c>
      <c r="O531" t="s">
        <v>869</v>
      </c>
      <c r="Q531" t="s">
        <v>1643</v>
      </c>
      <c r="U531" t="s">
        <v>1697</v>
      </c>
      <c r="W531" t="s">
        <v>1702</v>
      </c>
      <c r="X531">
        <v>2</v>
      </c>
      <c r="AA531" s="43">
        <v>307.5</v>
      </c>
      <c r="AC531" s="43">
        <v>307.5</v>
      </c>
      <c r="AF531" s="37">
        <f t="shared" si="17"/>
        <v>46197</v>
      </c>
      <c r="AG531" s="37">
        <f t="shared" si="18"/>
        <v>47403.611570247936</v>
      </c>
      <c r="AH531" t="s">
        <v>1705</v>
      </c>
      <c r="AN531" s="43">
        <v>307.5</v>
      </c>
    </row>
    <row r="532" spans="2:40">
      <c r="B532" t="s">
        <v>870</v>
      </c>
      <c r="C532" t="s">
        <v>121</v>
      </c>
      <c r="D532" t="s">
        <v>167</v>
      </c>
      <c r="E532" t="s">
        <v>83</v>
      </c>
      <c r="F532" s="37">
        <v>45868</v>
      </c>
      <c r="G532">
        <v>10</v>
      </c>
      <c r="H532" t="s">
        <v>174</v>
      </c>
      <c r="I532" s="37">
        <v>45938</v>
      </c>
      <c r="J532" t="s">
        <v>165</v>
      </c>
      <c r="K532" t="s">
        <v>166</v>
      </c>
      <c r="L532" t="s">
        <v>175</v>
      </c>
      <c r="M532" t="s">
        <v>870</v>
      </c>
      <c r="O532" t="s">
        <v>870</v>
      </c>
      <c r="Q532" t="s">
        <v>1643</v>
      </c>
      <c r="U532" t="s">
        <v>1697</v>
      </c>
      <c r="W532" t="s">
        <v>1702</v>
      </c>
      <c r="X532">
        <v>2</v>
      </c>
      <c r="AA532" s="43">
        <v>307.5</v>
      </c>
      <c r="AC532" s="43">
        <v>307.5</v>
      </c>
      <c r="AF532" s="37">
        <f t="shared" si="17"/>
        <v>46197</v>
      </c>
      <c r="AG532" s="37">
        <f t="shared" si="18"/>
        <v>47403.611570247936</v>
      </c>
      <c r="AH532" t="s">
        <v>1705</v>
      </c>
      <c r="AN532" s="43">
        <v>307.5</v>
      </c>
    </row>
    <row r="533" spans="2:40">
      <c r="B533" t="s">
        <v>871</v>
      </c>
      <c r="C533" t="s">
        <v>121</v>
      </c>
      <c r="D533" t="s">
        <v>167</v>
      </c>
      <c r="E533" t="s">
        <v>83</v>
      </c>
      <c r="F533" s="37">
        <v>45868</v>
      </c>
      <c r="G533">
        <v>10</v>
      </c>
      <c r="H533" t="s">
        <v>174</v>
      </c>
      <c r="I533" s="37">
        <v>45938</v>
      </c>
      <c r="J533" t="s">
        <v>165</v>
      </c>
      <c r="K533" t="s">
        <v>166</v>
      </c>
      <c r="L533" t="s">
        <v>175</v>
      </c>
      <c r="M533" t="s">
        <v>871</v>
      </c>
      <c r="O533" t="s">
        <v>871</v>
      </c>
      <c r="Q533" t="s">
        <v>1643</v>
      </c>
      <c r="U533" t="s">
        <v>1697</v>
      </c>
      <c r="W533" t="s">
        <v>1702</v>
      </c>
      <c r="X533">
        <v>2</v>
      </c>
      <c r="AA533" s="43">
        <v>307.5</v>
      </c>
      <c r="AC533" s="43">
        <v>307.5</v>
      </c>
      <c r="AF533" s="37">
        <f t="shared" si="17"/>
        <v>46197</v>
      </c>
      <c r="AG533" s="37">
        <f t="shared" si="18"/>
        <v>47403.611570247936</v>
      </c>
      <c r="AH533" t="s">
        <v>1705</v>
      </c>
      <c r="AN533" s="43">
        <v>307.5</v>
      </c>
    </row>
    <row r="534" spans="2:40">
      <c r="B534" t="s">
        <v>872</v>
      </c>
      <c r="C534" t="s">
        <v>121</v>
      </c>
      <c r="D534" t="s">
        <v>167</v>
      </c>
      <c r="E534" t="s">
        <v>83</v>
      </c>
      <c r="F534" s="37">
        <v>45868</v>
      </c>
      <c r="G534">
        <v>10</v>
      </c>
      <c r="H534" t="s">
        <v>174</v>
      </c>
      <c r="I534" s="37">
        <v>45938</v>
      </c>
      <c r="J534" t="s">
        <v>165</v>
      </c>
      <c r="K534" t="s">
        <v>166</v>
      </c>
      <c r="L534" t="s">
        <v>175</v>
      </c>
      <c r="M534" t="s">
        <v>872</v>
      </c>
      <c r="O534" t="s">
        <v>872</v>
      </c>
      <c r="Q534" t="s">
        <v>1643</v>
      </c>
      <c r="U534" t="s">
        <v>1697</v>
      </c>
      <c r="W534" t="s">
        <v>1702</v>
      </c>
      <c r="X534">
        <v>2</v>
      </c>
      <c r="AA534" s="43">
        <v>307.5</v>
      </c>
      <c r="AC534" s="43">
        <v>307.5</v>
      </c>
      <c r="AF534" s="37">
        <f t="shared" si="17"/>
        <v>46197</v>
      </c>
      <c r="AG534" s="37">
        <f t="shared" si="18"/>
        <v>47403.611570247936</v>
      </c>
      <c r="AH534" t="s">
        <v>1705</v>
      </c>
      <c r="AN534" s="43">
        <v>307.5</v>
      </c>
    </row>
    <row r="535" spans="2:40">
      <c r="B535" t="s">
        <v>873</v>
      </c>
      <c r="C535" t="s">
        <v>121</v>
      </c>
      <c r="D535" t="s">
        <v>167</v>
      </c>
      <c r="E535" t="s">
        <v>83</v>
      </c>
      <c r="F535" s="37">
        <v>45868</v>
      </c>
      <c r="G535">
        <v>10</v>
      </c>
      <c r="H535" t="s">
        <v>174</v>
      </c>
      <c r="I535" s="37">
        <v>45938</v>
      </c>
      <c r="J535" t="s">
        <v>165</v>
      </c>
      <c r="K535" t="s">
        <v>166</v>
      </c>
      <c r="L535" t="s">
        <v>175</v>
      </c>
      <c r="M535" t="s">
        <v>873</v>
      </c>
      <c r="O535" t="s">
        <v>873</v>
      </c>
      <c r="Q535" t="s">
        <v>1643</v>
      </c>
      <c r="U535" t="s">
        <v>1697</v>
      </c>
      <c r="W535" t="s">
        <v>1702</v>
      </c>
      <c r="X535">
        <v>2</v>
      </c>
      <c r="AA535" s="43">
        <v>307.5</v>
      </c>
      <c r="AC535" s="43">
        <v>307.5</v>
      </c>
      <c r="AF535" s="37">
        <f t="shared" si="17"/>
        <v>46197</v>
      </c>
      <c r="AG535" s="37">
        <f t="shared" si="18"/>
        <v>47403.611570247936</v>
      </c>
      <c r="AH535" t="s">
        <v>1705</v>
      </c>
      <c r="AN535" s="43">
        <v>307.5</v>
      </c>
    </row>
    <row r="536" spans="2:40">
      <c r="B536" t="s">
        <v>874</v>
      </c>
      <c r="C536" t="s">
        <v>121</v>
      </c>
      <c r="D536" t="s">
        <v>167</v>
      </c>
      <c r="E536" t="s">
        <v>83</v>
      </c>
      <c r="F536" s="37">
        <v>45868</v>
      </c>
      <c r="G536">
        <v>10</v>
      </c>
      <c r="H536" t="s">
        <v>174</v>
      </c>
      <c r="I536" s="37">
        <v>45938</v>
      </c>
      <c r="J536" t="s">
        <v>165</v>
      </c>
      <c r="K536" t="s">
        <v>166</v>
      </c>
      <c r="L536" t="s">
        <v>175</v>
      </c>
      <c r="M536" t="s">
        <v>874</v>
      </c>
      <c r="O536" t="s">
        <v>874</v>
      </c>
      <c r="Q536" t="s">
        <v>1643</v>
      </c>
      <c r="U536" t="s">
        <v>1697</v>
      </c>
      <c r="W536" t="s">
        <v>1702</v>
      </c>
      <c r="X536">
        <v>2</v>
      </c>
      <c r="AA536" s="43">
        <v>307.5</v>
      </c>
      <c r="AC536" s="43">
        <v>307.5</v>
      </c>
      <c r="AF536" s="37">
        <f t="shared" si="17"/>
        <v>46197</v>
      </c>
      <c r="AG536" s="37">
        <f t="shared" si="18"/>
        <v>47403.611570247936</v>
      </c>
      <c r="AH536" t="s">
        <v>1705</v>
      </c>
      <c r="AN536" s="43">
        <v>307.5</v>
      </c>
    </row>
    <row r="537" spans="2:40">
      <c r="B537" t="s">
        <v>875</v>
      </c>
      <c r="C537" t="s">
        <v>121</v>
      </c>
      <c r="D537" t="s">
        <v>167</v>
      </c>
      <c r="E537" t="s">
        <v>83</v>
      </c>
      <c r="F537" s="37">
        <v>45868</v>
      </c>
      <c r="G537">
        <v>10</v>
      </c>
      <c r="H537" t="s">
        <v>174</v>
      </c>
      <c r="I537" s="37">
        <v>45938</v>
      </c>
      <c r="J537" t="s">
        <v>165</v>
      </c>
      <c r="K537" t="s">
        <v>166</v>
      </c>
      <c r="L537" t="s">
        <v>175</v>
      </c>
      <c r="M537" t="s">
        <v>875</v>
      </c>
      <c r="O537" t="s">
        <v>875</v>
      </c>
      <c r="Q537" t="s">
        <v>1643</v>
      </c>
      <c r="U537" t="s">
        <v>1697</v>
      </c>
      <c r="W537" t="s">
        <v>1702</v>
      </c>
      <c r="X537">
        <v>2</v>
      </c>
      <c r="AA537" s="43">
        <v>307.5</v>
      </c>
      <c r="AC537" s="43">
        <v>307.5</v>
      </c>
      <c r="AF537" s="37">
        <f t="shared" si="17"/>
        <v>46197</v>
      </c>
      <c r="AG537" s="37">
        <f t="shared" si="18"/>
        <v>47403.611570247936</v>
      </c>
      <c r="AH537" t="s">
        <v>1705</v>
      </c>
      <c r="AN537" s="43">
        <v>307.5</v>
      </c>
    </row>
    <row r="538" spans="2:40">
      <c r="B538" t="s">
        <v>876</v>
      </c>
      <c r="C538" t="s">
        <v>121</v>
      </c>
      <c r="D538" t="s">
        <v>167</v>
      </c>
      <c r="E538" t="s">
        <v>83</v>
      </c>
      <c r="F538" s="37">
        <v>45868</v>
      </c>
      <c r="G538">
        <v>10</v>
      </c>
      <c r="H538" t="s">
        <v>174</v>
      </c>
      <c r="I538" s="37">
        <v>45938</v>
      </c>
      <c r="J538" t="s">
        <v>165</v>
      </c>
      <c r="K538" t="s">
        <v>166</v>
      </c>
      <c r="L538" t="s">
        <v>175</v>
      </c>
      <c r="M538" t="s">
        <v>876</v>
      </c>
      <c r="O538" t="s">
        <v>876</v>
      </c>
      <c r="Q538" t="s">
        <v>1643</v>
      </c>
      <c r="U538" t="s">
        <v>1696</v>
      </c>
      <c r="W538" t="s">
        <v>1699</v>
      </c>
      <c r="X538">
        <v>2</v>
      </c>
      <c r="AA538" s="43">
        <v>307.5</v>
      </c>
      <c r="AC538" s="43">
        <v>307.5</v>
      </c>
      <c r="AF538" s="37">
        <f t="shared" si="17"/>
        <v>46197</v>
      </c>
      <c r="AG538" s="37">
        <f t="shared" si="18"/>
        <v>47403.611570247936</v>
      </c>
      <c r="AH538" t="s">
        <v>1704</v>
      </c>
      <c r="AN538" s="43">
        <v>307.5</v>
      </c>
    </row>
    <row r="539" spans="2:40">
      <c r="B539" t="s">
        <v>877</v>
      </c>
      <c r="C539" t="s">
        <v>121</v>
      </c>
      <c r="D539" t="s">
        <v>167</v>
      </c>
      <c r="E539" t="s">
        <v>83</v>
      </c>
      <c r="F539" s="37">
        <v>45868</v>
      </c>
      <c r="G539">
        <v>10</v>
      </c>
      <c r="H539" t="s">
        <v>174</v>
      </c>
      <c r="I539" s="37">
        <v>45938</v>
      </c>
      <c r="J539" t="s">
        <v>165</v>
      </c>
      <c r="K539" t="s">
        <v>166</v>
      </c>
      <c r="L539" t="s">
        <v>175</v>
      </c>
      <c r="M539" t="s">
        <v>877</v>
      </c>
      <c r="O539" t="s">
        <v>877</v>
      </c>
      <c r="Q539" t="s">
        <v>1643</v>
      </c>
      <c r="U539" t="s">
        <v>1697</v>
      </c>
      <c r="W539" t="s">
        <v>1702</v>
      </c>
      <c r="X539">
        <v>2</v>
      </c>
      <c r="AA539" s="43">
        <v>307.5</v>
      </c>
      <c r="AC539" s="43">
        <v>307.5</v>
      </c>
      <c r="AF539" s="37">
        <f t="shared" si="17"/>
        <v>46197</v>
      </c>
      <c r="AG539" s="37">
        <f t="shared" si="18"/>
        <v>47403.611570247936</v>
      </c>
      <c r="AH539" t="s">
        <v>1705</v>
      </c>
      <c r="AN539" s="43">
        <v>307.5</v>
      </c>
    </row>
    <row r="540" spans="2:40">
      <c r="B540" t="s">
        <v>878</v>
      </c>
      <c r="C540" t="s">
        <v>121</v>
      </c>
      <c r="D540" t="s">
        <v>167</v>
      </c>
      <c r="E540" t="s">
        <v>83</v>
      </c>
      <c r="F540" s="37">
        <v>45861</v>
      </c>
      <c r="G540">
        <v>10</v>
      </c>
      <c r="H540" t="s">
        <v>174</v>
      </c>
      <c r="I540" s="37">
        <v>45931</v>
      </c>
      <c r="J540" t="s">
        <v>165</v>
      </c>
      <c r="K540" t="s">
        <v>166</v>
      </c>
      <c r="L540" t="s">
        <v>175</v>
      </c>
      <c r="M540" t="s">
        <v>878</v>
      </c>
      <c r="O540" t="s">
        <v>878</v>
      </c>
      <c r="Q540" t="s">
        <v>1643</v>
      </c>
      <c r="U540" t="s">
        <v>1697</v>
      </c>
      <c r="W540" t="s">
        <v>1702</v>
      </c>
      <c r="X540">
        <v>2</v>
      </c>
      <c r="AA540" s="43">
        <v>307.5</v>
      </c>
      <c r="AC540" s="43">
        <v>307.5</v>
      </c>
      <c r="AF540" s="37">
        <f t="shared" si="17"/>
        <v>46190</v>
      </c>
      <c r="AG540" s="37">
        <f t="shared" si="18"/>
        <v>47396.611570247936</v>
      </c>
      <c r="AH540" t="s">
        <v>1705</v>
      </c>
      <c r="AN540" s="43">
        <v>307.5</v>
      </c>
    </row>
    <row r="541" spans="2:40">
      <c r="B541" t="s">
        <v>879</v>
      </c>
      <c r="C541" t="s">
        <v>121</v>
      </c>
      <c r="D541" t="s">
        <v>167</v>
      </c>
      <c r="E541" t="s">
        <v>83</v>
      </c>
      <c r="F541" s="37">
        <v>45861</v>
      </c>
      <c r="G541">
        <v>10</v>
      </c>
      <c r="H541" t="s">
        <v>174</v>
      </c>
      <c r="I541" s="37">
        <v>45931</v>
      </c>
      <c r="J541" t="s">
        <v>165</v>
      </c>
      <c r="K541" t="s">
        <v>166</v>
      </c>
      <c r="L541" t="s">
        <v>175</v>
      </c>
      <c r="M541" t="s">
        <v>879</v>
      </c>
      <c r="O541" t="s">
        <v>879</v>
      </c>
      <c r="Q541" t="s">
        <v>1643</v>
      </c>
      <c r="U541" t="s">
        <v>1697</v>
      </c>
      <c r="W541" t="s">
        <v>1702</v>
      </c>
      <c r="X541">
        <v>2</v>
      </c>
      <c r="AA541" s="43">
        <v>307.5</v>
      </c>
      <c r="AC541" s="43">
        <v>307.5</v>
      </c>
      <c r="AF541" s="37">
        <f t="shared" si="17"/>
        <v>46190</v>
      </c>
      <c r="AG541" s="37">
        <f t="shared" si="18"/>
        <v>47396.611570247936</v>
      </c>
      <c r="AH541" t="s">
        <v>1705</v>
      </c>
      <c r="AN541" s="43">
        <v>307.5</v>
      </c>
    </row>
    <row r="542" spans="2:40">
      <c r="B542" t="s">
        <v>880</v>
      </c>
      <c r="C542" t="s">
        <v>121</v>
      </c>
      <c r="D542" t="s">
        <v>167</v>
      </c>
      <c r="E542" t="s">
        <v>83</v>
      </c>
      <c r="F542" s="37">
        <v>45861</v>
      </c>
      <c r="G542">
        <v>10</v>
      </c>
      <c r="H542" t="s">
        <v>174</v>
      </c>
      <c r="I542" s="37">
        <v>45931</v>
      </c>
      <c r="J542" t="s">
        <v>165</v>
      </c>
      <c r="K542" t="s">
        <v>166</v>
      </c>
      <c r="L542" t="s">
        <v>175</v>
      </c>
      <c r="M542" t="s">
        <v>880</v>
      </c>
      <c r="O542" t="s">
        <v>880</v>
      </c>
      <c r="Q542" t="s">
        <v>1643</v>
      </c>
      <c r="U542" t="s">
        <v>1697</v>
      </c>
      <c r="W542" t="s">
        <v>1702</v>
      </c>
      <c r="X542">
        <v>2</v>
      </c>
      <c r="AA542" s="43">
        <v>307.5</v>
      </c>
      <c r="AC542" s="43">
        <v>307.5</v>
      </c>
      <c r="AF542" s="37">
        <f t="shared" si="17"/>
        <v>46190</v>
      </c>
      <c r="AG542" s="37">
        <f t="shared" si="18"/>
        <v>47396.611570247936</v>
      </c>
      <c r="AH542" t="s">
        <v>1705</v>
      </c>
      <c r="AN542" s="43">
        <v>307.5</v>
      </c>
    </row>
    <row r="543" spans="2:40">
      <c r="B543" t="s">
        <v>881</v>
      </c>
      <c r="C543" t="s">
        <v>121</v>
      </c>
      <c r="D543" t="s">
        <v>167</v>
      </c>
      <c r="E543" t="s">
        <v>83</v>
      </c>
      <c r="F543" s="37">
        <v>45861</v>
      </c>
      <c r="G543">
        <v>10</v>
      </c>
      <c r="H543" t="s">
        <v>174</v>
      </c>
      <c r="I543" s="37">
        <v>45931</v>
      </c>
      <c r="J543" t="s">
        <v>165</v>
      </c>
      <c r="K543" t="s">
        <v>166</v>
      </c>
      <c r="L543" t="s">
        <v>175</v>
      </c>
      <c r="M543" t="s">
        <v>881</v>
      </c>
      <c r="O543" t="s">
        <v>881</v>
      </c>
      <c r="Q543" t="s">
        <v>1643</v>
      </c>
      <c r="U543" t="s">
        <v>1697</v>
      </c>
      <c r="W543" t="s">
        <v>1702</v>
      </c>
      <c r="X543">
        <v>2</v>
      </c>
      <c r="AA543" s="43">
        <v>307.5</v>
      </c>
      <c r="AC543" s="43">
        <v>307.5</v>
      </c>
      <c r="AF543" s="37">
        <f t="shared" si="17"/>
        <v>46190</v>
      </c>
      <c r="AG543" s="37">
        <f t="shared" si="18"/>
        <v>47396.611570247936</v>
      </c>
      <c r="AH543" t="s">
        <v>1705</v>
      </c>
      <c r="AN543" s="43">
        <v>307.5</v>
      </c>
    </row>
    <row r="544" spans="2:40">
      <c r="B544" t="s">
        <v>882</v>
      </c>
      <c r="C544" t="s">
        <v>121</v>
      </c>
      <c r="D544" t="s">
        <v>167</v>
      </c>
      <c r="E544" t="s">
        <v>83</v>
      </c>
      <c r="F544" s="37">
        <v>45861</v>
      </c>
      <c r="G544">
        <v>10</v>
      </c>
      <c r="H544" t="s">
        <v>174</v>
      </c>
      <c r="I544" s="37">
        <v>45931</v>
      </c>
      <c r="J544" t="s">
        <v>165</v>
      </c>
      <c r="K544" t="s">
        <v>166</v>
      </c>
      <c r="L544" t="s">
        <v>175</v>
      </c>
      <c r="M544" t="s">
        <v>882</v>
      </c>
      <c r="O544" t="s">
        <v>882</v>
      </c>
      <c r="Q544" t="s">
        <v>1643</v>
      </c>
      <c r="U544" t="s">
        <v>1698</v>
      </c>
      <c r="W544" t="s">
        <v>1703</v>
      </c>
      <c r="X544">
        <v>1</v>
      </c>
      <c r="AA544" s="43">
        <v>307.5</v>
      </c>
      <c r="AC544" s="43">
        <v>307.5</v>
      </c>
      <c r="AF544" s="37">
        <f t="shared" si="17"/>
        <v>46190</v>
      </c>
      <c r="AG544" s="37">
        <f t="shared" si="18"/>
        <v>47396.611570247936</v>
      </c>
      <c r="AH544" t="s">
        <v>169</v>
      </c>
      <c r="AN544" s="43">
        <v>307.5</v>
      </c>
    </row>
    <row r="545" spans="2:40">
      <c r="B545" t="s">
        <v>883</v>
      </c>
      <c r="C545" t="s">
        <v>121</v>
      </c>
      <c r="D545" t="s">
        <v>167</v>
      </c>
      <c r="E545" t="s">
        <v>83</v>
      </c>
      <c r="F545" s="37">
        <v>45861</v>
      </c>
      <c r="G545">
        <v>10</v>
      </c>
      <c r="H545" t="s">
        <v>174</v>
      </c>
      <c r="I545" s="37">
        <v>45931</v>
      </c>
      <c r="J545" t="s">
        <v>165</v>
      </c>
      <c r="K545" t="s">
        <v>166</v>
      </c>
      <c r="L545" t="s">
        <v>175</v>
      </c>
      <c r="M545" t="s">
        <v>883</v>
      </c>
      <c r="O545" t="s">
        <v>883</v>
      </c>
      <c r="Q545" t="s">
        <v>1643</v>
      </c>
      <c r="U545" t="s">
        <v>1697</v>
      </c>
      <c r="W545" t="s">
        <v>1702</v>
      </c>
      <c r="X545">
        <v>2</v>
      </c>
      <c r="AA545" s="43">
        <v>307.5</v>
      </c>
      <c r="AC545" s="43">
        <v>307.5</v>
      </c>
      <c r="AF545" s="37">
        <f t="shared" si="17"/>
        <v>46190</v>
      </c>
      <c r="AG545" s="37">
        <f t="shared" si="18"/>
        <v>47396.611570247936</v>
      </c>
      <c r="AH545" t="s">
        <v>1705</v>
      </c>
      <c r="AN545" s="43">
        <v>307.5</v>
      </c>
    </row>
    <row r="546" spans="2:40">
      <c r="B546" t="s">
        <v>884</v>
      </c>
      <c r="C546" t="s">
        <v>121</v>
      </c>
      <c r="D546" t="s">
        <v>167</v>
      </c>
      <c r="E546" t="s">
        <v>83</v>
      </c>
      <c r="F546" s="37">
        <v>45861</v>
      </c>
      <c r="G546">
        <v>10</v>
      </c>
      <c r="H546" t="s">
        <v>174</v>
      </c>
      <c r="I546" s="37">
        <v>45931</v>
      </c>
      <c r="J546" t="s">
        <v>165</v>
      </c>
      <c r="K546" t="s">
        <v>166</v>
      </c>
      <c r="L546" t="s">
        <v>175</v>
      </c>
      <c r="M546" t="s">
        <v>884</v>
      </c>
      <c r="O546" t="s">
        <v>884</v>
      </c>
      <c r="Q546" t="s">
        <v>1643</v>
      </c>
      <c r="U546" t="s">
        <v>1697</v>
      </c>
      <c r="W546" t="s">
        <v>1702</v>
      </c>
      <c r="X546">
        <v>2</v>
      </c>
      <c r="AA546" s="43">
        <v>307.5</v>
      </c>
      <c r="AC546" s="43">
        <v>307.5</v>
      </c>
      <c r="AF546" s="37">
        <f t="shared" si="17"/>
        <v>46190</v>
      </c>
      <c r="AG546" s="37">
        <f t="shared" si="18"/>
        <v>47396.611570247936</v>
      </c>
      <c r="AH546" t="s">
        <v>1705</v>
      </c>
      <c r="AN546" s="43">
        <v>307.5</v>
      </c>
    </row>
    <row r="547" spans="2:40">
      <c r="B547" t="s">
        <v>885</v>
      </c>
      <c r="C547" t="s">
        <v>121</v>
      </c>
      <c r="D547" t="s">
        <v>167</v>
      </c>
      <c r="E547" t="s">
        <v>83</v>
      </c>
      <c r="F547" s="37">
        <v>45861</v>
      </c>
      <c r="G547">
        <v>10</v>
      </c>
      <c r="H547" t="s">
        <v>174</v>
      </c>
      <c r="I547" s="37">
        <v>45931</v>
      </c>
      <c r="J547" t="s">
        <v>165</v>
      </c>
      <c r="K547" t="s">
        <v>166</v>
      </c>
      <c r="L547" t="s">
        <v>175</v>
      </c>
      <c r="M547" t="s">
        <v>885</v>
      </c>
      <c r="O547" t="s">
        <v>885</v>
      </c>
      <c r="Q547" t="s">
        <v>1643</v>
      </c>
      <c r="U547" t="s">
        <v>1697</v>
      </c>
      <c r="W547" t="s">
        <v>1702</v>
      </c>
      <c r="X547">
        <v>2</v>
      </c>
      <c r="AA547" s="43">
        <v>307.5</v>
      </c>
      <c r="AC547" s="43">
        <v>307.5</v>
      </c>
      <c r="AF547" s="37">
        <f t="shared" si="17"/>
        <v>46190</v>
      </c>
      <c r="AG547" s="37">
        <f t="shared" si="18"/>
        <v>47396.611570247936</v>
      </c>
      <c r="AH547" t="s">
        <v>1705</v>
      </c>
      <c r="AN547" s="43">
        <v>307.5</v>
      </c>
    </row>
    <row r="548" spans="2:40">
      <c r="B548" t="s">
        <v>886</v>
      </c>
      <c r="C548" t="s">
        <v>121</v>
      </c>
      <c r="D548" t="s">
        <v>167</v>
      </c>
      <c r="E548" t="s">
        <v>83</v>
      </c>
      <c r="F548" s="37">
        <v>45861</v>
      </c>
      <c r="G548">
        <v>10</v>
      </c>
      <c r="H548" t="s">
        <v>174</v>
      </c>
      <c r="I548" s="37">
        <v>45931</v>
      </c>
      <c r="J548" t="s">
        <v>165</v>
      </c>
      <c r="K548" t="s">
        <v>166</v>
      </c>
      <c r="L548" t="s">
        <v>175</v>
      </c>
      <c r="M548" t="s">
        <v>886</v>
      </c>
      <c r="O548" t="s">
        <v>886</v>
      </c>
      <c r="Q548" t="s">
        <v>1643</v>
      </c>
      <c r="U548" t="s">
        <v>1696</v>
      </c>
      <c r="W548" t="s">
        <v>1699</v>
      </c>
      <c r="X548">
        <v>2</v>
      </c>
      <c r="AA548" s="43">
        <v>307.5</v>
      </c>
      <c r="AC548" s="43">
        <v>307.5</v>
      </c>
      <c r="AF548" s="37">
        <f t="shared" si="17"/>
        <v>46190</v>
      </c>
      <c r="AG548" s="37">
        <f t="shared" si="18"/>
        <v>47396.611570247936</v>
      </c>
      <c r="AH548" t="s">
        <v>1704</v>
      </c>
      <c r="AN548" s="43">
        <v>307.5</v>
      </c>
    </row>
    <row r="549" spans="2:40">
      <c r="B549" t="s">
        <v>887</v>
      </c>
      <c r="C549" t="s">
        <v>121</v>
      </c>
      <c r="D549" t="s">
        <v>167</v>
      </c>
      <c r="E549" t="s">
        <v>83</v>
      </c>
      <c r="F549" s="37">
        <v>45854</v>
      </c>
      <c r="G549">
        <v>10</v>
      </c>
      <c r="H549" t="s">
        <v>174</v>
      </c>
      <c r="I549" s="37">
        <v>45924</v>
      </c>
      <c r="J549" t="s">
        <v>165</v>
      </c>
      <c r="K549" t="s">
        <v>166</v>
      </c>
      <c r="L549" t="s">
        <v>175</v>
      </c>
      <c r="M549" t="s">
        <v>887</v>
      </c>
      <c r="O549" t="s">
        <v>887</v>
      </c>
      <c r="Q549" t="s">
        <v>1643</v>
      </c>
      <c r="U549" t="s">
        <v>1697</v>
      </c>
      <c r="W549" t="s">
        <v>1702</v>
      </c>
      <c r="X549">
        <v>2</v>
      </c>
      <c r="AA549" s="43">
        <v>307.5</v>
      </c>
      <c r="AC549" s="43">
        <v>307.5</v>
      </c>
      <c r="AF549" s="37">
        <f t="shared" si="17"/>
        <v>46183</v>
      </c>
      <c r="AG549" s="37">
        <f t="shared" si="18"/>
        <v>47389.611570247936</v>
      </c>
      <c r="AH549" t="s">
        <v>1705</v>
      </c>
      <c r="AN549" s="43">
        <v>307.5</v>
      </c>
    </row>
    <row r="550" spans="2:40">
      <c r="B550" t="s">
        <v>888</v>
      </c>
      <c r="C550" t="s">
        <v>121</v>
      </c>
      <c r="D550" t="s">
        <v>167</v>
      </c>
      <c r="E550" t="s">
        <v>83</v>
      </c>
      <c r="F550" s="37">
        <v>45854</v>
      </c>
      <c r="G550">
        <v>10</v>
      </c>
      <c r="H550" t="s">
        <v>174</v>
      </c>
      <c r="I550" s="37">
        <v>45924</v>
      </c>
      <c r="J550" t="s">
        <v>165</v>
      </c>
      <c r="K550" t="s">
        <v>166</v>
      </c>
      <c r="L550" t="s">
        <v>175</v>
      </c>
      <c r="M550" t="s">
        <v>888</v>
      </c>
      <c r="O550" t="s">
        <v>888</v>
      </c>
      <c r="Q550" t="s">
        <v>1643</v>
      </c>
      <c r="U550" t="s">
        <v>1697</v>
      </c>
      <c r="W550" t="s">
        <v>1702</v>
      </c>
      <c r="X550">
        <v>2</v>
      </c>
      <c r="AA550" s="43">
        <v>307.5</v>
      </c>
      <c r="AC550" s="43">
        <v>307.5</v>
      </c>
      <c r="AF550" s="37">
        <f t="shared" si="17"/>
        <v>46183</v>
      </c>
      <c r="AG550" s="37">
        <f t="shared" si="18"/>
        <v>47389.611570247936</v>
      </c>
      <c r="AH550" t="s">
        <v>1705</v>
      </c>
      <c r="AN550" s="43">
        <v>307.5</v>
      </c>
    </row>
    <row r="551" spans="2:40">
      <c r="B551" t="s">
        <v>889</v>
      </c>
      <c r="C551" t="s">
        <v>121</v>
      </c>
      <c r="D551" t="s">
        <v>167</v>
      </c>
      <c r="E551" t="s">
        <v>83</v>
      </c>
      <c r="F551" s="37">
        <v>45854</v>
      </c>
      <c r="G551">
        <v>10</v>
      </c>
      <c r="H551" t="s">
        <v>174</v>
      </c>
      <c r="I551" s="37">
        <v>45924</v>
      </c>
      <c r="J551" t="s">
        <v>165</v>
      </c>
      <c r="K551" t="s">
        <v>166</v>
      </c>
      <c r="L551" t="s">
        <v>175</v>
      </c>
      <c r="M551" t="s">
        <v>889</v>
      </c>
      <c r="O551" t="s">
        <v>889</v>
      </c>
      <c r="Q551" t="s">
        <v>1643</v>
      </c>
      <c r="U551" t="s">
        <v>1697</v>
      </c>
      <c r="W551" t="s">
        <v>1702</v>
      </c>
      <c r="X551">
        <v>2</v>
      </c>
      <c r="AA551" s="43">
        <v>307.5</v>
      </c>
      <c r="AC551" s="43">
        <v>307.5</v>
      </c>
      <c r="AF551" s="37">
        <f t="shared" si="17"/>
        <v>46183</v>
      </c>
      <c r="AG551" s="37">
        <f t="shared" si="18"/>
        <v>47389.611570247936</v>
      </c>
      <c r="AH551" t="s">
        <v>1705</v>
      </c>
      <c r="AN551" s="43">
        <v>307.5</v>
      </c>
    </row>
    <row r="552" spans="2:40">
      <c r="B552" t="s">
        <v>890</v>
      </c>
      <c r="C552" t="s">
        <v>121</v>
      </c>
      <c r="D552" t="s">
        <v>167</v>
      </c>
      <c r="E552" t="s">
        <v>83</v>
      </c>
      <c r="F552" s="37">
        <v>45854</v>
      </c>
      <c r="G552">
        <v>10</v>
      </c>
      <c r="H552" t="s">
        <v>174</v>
      </c>
      <c r="I552" s="37">
        <v>45924</v>
      </c>
      <c r="J552" t="s">
        <v>165</v>
      </c>
      <c r="K552" t="s">
        <v>166</v>
      </c>
      <c r="L552" t="s">
        <v>175</v>
      </c>
      <c r="M552" t="s">
        <v>890</v>
      </c>
      <c r="O552" t="s">
        <v>890</v>
      </c>
      <c r="Q552" t="s">
        <v>1643</v>
      </c>
      <c r="U552" t="s">
        <v>1696</v>
      </c>
      <c r="W552" t="s">
        <v>1699</v>
      </c>
      <c r="X552">
        <v>2</v>
      </c>
      <c r="AA552" s="43">
        <v>307.5</v>
      </c>
      <c r="AC552" s="43">
        <v>307.5</v>
      </c>
      <c r="AF552" s="37">
        <f t="shared" si="17"/>
        <v>46183</v>
      </c>
      <c r="AG552" s="37">
        <f t="shared" si="18"/>
        <v>47389.611570247936</v>
      </c>
      <c r="AH552" t="s">
        <v>1704</v>
      </c>
      <c r="AN552" s="43">
        <v>307.5</v>
      </c>
    </row>
    <row r="553" spans="2:40">
      <c r="B553" t="s">
        <v>891</v>
      </c>
      <c r="C553" t="s">
        <v>121</v>
      </c>
      <c r="D553" t="s">
        <v>167</v>
      </c>
      <c r="E553" t="s">
        <v>83</v>
      </c>
      <c r="F553" s="37">
        <v>45854</v>
      </c>
      <c r="G553">
        <v>10</v>
      </c>
      <c r="H553" t="s">
        <v>174</v>
      </c>
      <c r="I553" s="37">
        <v>45924</v>
      </c>
      <c r="J553" t="s">
        <v>165</v>
      </c>
      <c r="K553" t="s">
        <v>166</v>
      </c>
      <c r="L553" t="s">
        <v>175</v>
      </c>
      <c r="M553" t="s">
        <v>891</v>
      </c>
      <c r="O553" t="s">
        <v>891</v>
      </c>
      <c r="Q553" t="s">
        <v>1643</v>
      </c>
      <c r="U553" t="s">
        <v>1697</v>
      </c>
      <c r="W553" t="s">
        <v>1702</v>
      </c>
      <c r="X553">
        <v>2</v>
      </c>
      <c r="AA553" s="43">
        <v>307.5</v>
      </c>
      <c r="AC553" s="43">
        <v>307.5</v>
      </c>
      <c r="AF553" s="37">
        <f t="shared" si="17"/>
        <v>46183</v>
      </c>
      <c r="AG553" s="37">
        <f t="shared" si="18"/>
        <v>47389.611570247936</v>
      </c>
      <c r="AH553" t="s">
        <v>1705</v>
      </c>
      <c r="AN553" s="43">
        <v>307.5</v>
      </c>
    </row>
    <row r="554" spans="2:40">
      <c r="B554" t="s">
        <v>892</v>
      </c>
      <c r="C554" t="s">
        <v>121</v>
      </c>
      <c r="D554" t="s">
        <v>167</v>
      </c>
      <c r="E554" t="s">
        <v>83</v>
      </c>
      <c r="F554" s="37">
        <v>45854</v>
      </c>
      <c r="G554">
        <v>10</v>
      </c>
      <c r="H554" t="s">
        <v>174</v>
      </c>
      <c r="I554" s="37">
        <v>45924</v>
      </c>
      <c r="J554" t="s">
        <v>165</v>
      </c>
      <c r="K554" t="s">
        <v>166</v>
      </c>
      <c r="L554" t="s">
        <v>175</v>
      </c>
      <c r="M554" t="s">
        <v>892</v>
      </c>
      <c r="O554" t="s">
        <v>892</v>
      </c>
      <c r="Q554" t="s">
        <v>1643</v>
      </c>
      <c r="U554" t="s">
        <v>1697</v>
      </c>
      <c r="W554" t="s">
        <v>1702</v>
      </c>
      <c r="X554">
        <v>2</v>
      </c>
      <c r="AA554" s="43">
        <v>307.5</v>
      </c>
      <c r="AC554" s="43">
        <v>307.5</v>
      </c>
      <c r="AF554" s="37">
        <f t="shared" si="17"/>
        <v>46183</v>
      </c>
      <c r="AG554" s="37">
        <f t="shared" si="18"/>
        <v>47389.611570247936</v>
      </c>
      <c r="AH554" t="s">
        <v>1705</v>
      </c>
      <c r="AN554" s="43">
        <v>307.5</v>
      </c>
    </row>
    <row r="555" spans="2:40">
      <c r="B555" t="s">
        <v>893</v>
      </c>
      <c r="C555" t="s">
        <v>121</v>
      </c>
      <c r="D555" t="s">
        <v>167</v>
      </c>
      <c r="E555" t="s">
        <v>83</v>
      </c>
      <c r="F555" s="37">
        <v>45854</v>
      </c>
      <c r="G555">
        <v>10</v>
      </c>
      <c r="H555" t="s">
        <v>174</v>
      </c>
      <c r="I555" s="37">
        <v>45924</v>
      </c>
      <c r="J555" t="s">
        <v>165</v>
      </c>
      <c r="K555" t="s">
        <v>166</v>
      </c>
      <c r="L555" t="s">
        <v>175</v>
      </c>
      <c r="M555" t="s">
        <v>893</v>
      </c>
      <c r="O555" t="s">
        <v>893</v>
      </c>
      <c r="Q555" t="s">
        <v>1643</v>
      </c>
      <c r="U555" t="s">
        <v>1697</v>
      </c>
      <c r="W555" t="s">
        <v>1702</v>
      </c>
      <c r="X555">
        <v>2</v>
      </c>
      <c r="AA555" s="43">
        <v>307.5</v>
      </c>
      <c r="AC555" s="43">
        <v>307.5</v>
      </c>
      <c r="AF555" s="37">
        <f t="shared" si="17"/>
        <v>46183</v>
      </c>
      <c r="AG555" s="37">
        <f t="shared" si="18"/>
        <v>47389.611570247936</v>
      </c>
      <c r="AH555" t="s">
        <v>1705</v>
      </c>
      <c r="AN555" s="43">
        <v>307.5</v>
      </c>
    </row>
    <row r="556" spans="2:40">
      <c r="B556" t="s">
        <v>894</v>
      </c>
      <c r="C556" t="s">
        <v>121</v>
      </c>
      <c r="D556" t="s">
        <v>167</v>
      </c>
      <c r="E556" t="s">
        <v>83</v>
      </c>
      <c r="F556" s="37">
        <v>45854</v>
      </c>
      <c r="G556">
        <v>10</v>
      </c>
      <c r="H556" t="s">
        <v>174</v>
      </c>
      <c r="I556" s="37">
        <v>45924</v>
      </c>
      <c r="J556" t="s">
        <v>165</v>
      </c>
      <c r="K556" t="s">
        <v>166</v>
      </c>
      <c r="L556" t="s">
        <v>175</v>
      </c>
      <c r="M556" t="s">
        <v>894</v>
      </c>
      <c r="O556" t="s">
        <v>894</v>
      </c>
      <c r="Q556" t="s">
        <v>1643</v>
      </c>
      <c r="U556" t="s">
        <v>1697</v>
      </c>
      <c r="W556" t="s">
        <v>1702</v>
      </c>
      <c r="X556">
        <v>2</v>
      </c>
      <c r="AA556" s="43">
        <v>307.5</v>
      </c>
      <c r="AC556" s="43">
        <v>307.5</v>
      </c>
      <c r="AF556" s="37">
        <f t="shared" si="17"/>
        <v>46183</v>
      </c>
      <c r="AG556" s="37">
        <f t="shared" si="18"/>
        <v>47389.611570247936</v>
      </c>
      <c r="AH556" t="s">
        <v>1705</v>
      </c>
      <c r="AN556" s="43">
        <v>307.5</v>
      </c>
    </row>
    <row r="557" spans="2:40">
      <c r="B557" t="s">
        <v>895</v>
      </c>
      <c r="C557" t="s">
        <v>121</v>
      </c>
      <c r="D557" t="s">
        <v>167</v>
      </c>
      <c r="E557" t="s">
        <v>83</v>
      </c>
      <c r="F557" s="37">
        <v>45854</v>
      </c>
      <c r="G557">
        <v>10</v>
      </c>
      <c r="H557" t="s">
        <v>174</v>
      </c>
      <c r="I557" s="37">
        <v>45924</v>
      </c>
      <c r="J557" t="s">
        <v>165</v>
      </c>
      <c r="K557" t="s">
        <v>166</v>
      </c>
      <c r="L557" t="s">
        <v>175</v>
      </c>
      <c r="M557" t="s">
        <v>895</v>
      </c>
      <c r="O557" t="s">
        <v>895</v>
      </c>
      <c r="Q557" t="s">
        <v>1643</v>
      </c>
      <c r="U557" t="s">
        <v>1697</v>
      </c>
      <c r="W557" t="s">
        <v>1702</v>
      </c>
      <c r="X557">
        <v>2</v>
      </c>
      <c r="AA557" s="43">
        <v>307.5</v>
      </c>
      <c r="AC557" s="43">
        <v>307.5</v>
      </c>
      <c r="AF557" s="37">
        <f t="shared" si="17"/>
        <v>46183</v>
      </c>
      <c r="AG557" s="37">
        <f t="shared" si="18"/>
        <v>47389.611570247936</v>
      </c>
      <c r="AH557" t="s">
        <v>1705</v>
      </c>
      <c r="AN557" s="43">
        <v>307.5</v>
      </c>
    </row>
    <row r="558" spans="2:40">
      <c r="B558" t="s">
        <v>896</v>
      </c>
      <c r="C558" t="s">
        <v>121</v>
      </c>
      <c r="D558" t="s">
        <v>167</v>
      </c>
      <c r="E558" t="s">
        <v>83</v>
      </c>
      <c r="F558" s="37">
        <v>45854</v>
      </c>
      <c r="G558">
        <v>10</v>
      </c>
      <c r="H558" t="s">
        <v>174</v>
      </c>
      <c r="I558" s="37">
        <v>45924</v>
      </c>
      <c r="J558" t="s">
        <v>165</v>
      </c>
      <c r="K558" t="s">
        <v>166</v>
      </c>
      <c r="L558" t="s">
        <v>175</v>
      </c>
      <c r="M558" t="s">
        <v>896</v>
      </c>
      <c r="O558" t="s">
        <v>896</v>
      </c>
      <c r="Q558" t="s">
        <v>1643</v>
      </c>
      <c r="U558" t="s">
        <v>1697</v>
      </c>
      <c r="W558" t="s">
        <v>1702</v>
      </c>
      <c r="X558">
        <v>2</v>
      </c>
      <c r="AA558" s="43">
        <v>307.5</v>
      </c>
      <c r="AC558" s="43">
        <v>307.5</v>
      </c>
      <c r="AF558" s="37">
        <f t="shared" si="17"/>
        <v>46183</v>
      </c>
      <c r="AG558" s="37">
        <f t="shared" si="18"/>
        <v>47389.611570247936</v>
      </c>
      <c r="AH558" t="s">
        <v>1705</v>
      </c>
      <c r="AN558" s="43">
        <v>307.5</v>
      </c>
    </row>
    <row r="559" spans="2:40">
      <c r="B559" t="s">
        <v>897</v>
      </c>
      <c r="C559" t="s">
        <v>121</v>
      </c>
      <c r="D559" t="s">
        <v>167</v>
      </c>
      <c r="E559" t="s">
        <v>83</v>
      </c>
      <c r="F559" s="37">
        <v>45854</v>
      </c>
      <c r="G559">
        <v>10</v>
      </c>
      <c r="H559" t="s">
        <v>174</v>
      </c>
      <c r="I559" s="37">
        <v>45924</v>
      </c>
      <c r="J559" t="s">
        <v>165</v>
      </c>
      <c r="K559" t="s">
        <v>166</v>
      </c>
      <c r="L559" t="s">
        <v>175</v>
      </c>
      <c r="M559" t="s">
        <v>897</v>
      </c>
      <c r="O559" t="s">
        <v>897</v>
      </c>
      <c r="Q559" t="s">
        <v>1643</v>
      </c>
      <c r="U559" t="s">
        <v>1697</v>
      </c>
      <c r="W559" t="s">
        <v>1702</v>
      </c>
      <c r="X559">
        <v>2</v>
      </c>
      <c r="AA559" s="43">
        <v>307.5</v>
      </c>
      <c r="AC559" s="43">
        <v>307.5</v>
      </c>
      <c r="AF559" s="37">
        <f t="shared" si="17"/>
        <v>46183</v>
      </c>
      <c r="AG559" s="37">
        <f t="shared" si="18"/>
        <v>47389.611570247936</v>
      </c>
      <c r="AH559" t="s">
        <v>1705</v>
      </c>
      <c r="AN559" s="43">
        <v>307.5</v>
      </c>
    </row>
    <row r="560" spans="2:40">
      <c r="B560" t="s">
        <v>898</v>
      </c>
      <c r="C560" t="s">
        <v>121</v>
      </c>
      <c r="D560" t="s">
        <v>167</v>
      </c>
      <c r="E560" t="s">
        <v>83</v>
      </c>
      <c r="F560" s="37">
        <v>45847</v>
      </c>
      <c r="G560">
        <v>10</v>
      </c>
      <c r="H560" t="s">
        <v>174</v>
      </c>
      <c r="I560" s="37">
        <v>45917</v>
      </c>
      <c r="J560" t="s">
        <v>165</v>
      </c>
      <c r="K560" t="s">
        <v>166</v>
      </c>
      <c r="L560" t="s">
        <v>175</v>
      </c>
      <c r="M560" t="s">
        <v>898</v>
      </c>
      <c r="O560" t="s">
        <v>898</v>
      </c>
      <c r="Q560" t="s">
        <v>1643</v>
      </c>
      <c r="U560" t="s">
        <v>1696</v>
      </c>
      <c r="W560" t="s">
        <v>1699</v>
      </c>
      <c r="X560">
        <v>2</v>
      </c>
      <c r="AA560" s="43">
        <v>307.5</v>
      </c>
      <c r="AC560" s="43">
        <v>307.5</v>
      </c>
      <c r="AF560" s="37">
        <f t="shared" si="17"/>
        <v>46176</v>
      </c>
      <c r="AG560" s="37">
        <f t="shared" si="18"/>
        <v>47382.611570247936</v>
      </c>
      <c r="AH560" t="s">
        <v>1704</v>
      </c>
      <c r="AN560" s="43">
        <v>307.5</v>
      </c>
    </row>
    <row r="561" spans="2:40">
      <c r="B561" t="s">
        <v>899</v>
      </c>
      <c r="C561" t="s">
        <v>121</v>
      </c>
      <c r="D561" t="s">
        <v>167</v>
      </c>
      <c r="E561" t="s">
        <v>83</v>
      </c>
      <c r="F561" s="37">
        <v>45847</v>
      </c>
      <c r="G561">
        <v>10</v>
      </c>
      <c r="H561" t="s">
        <v>174</v>
      </c>
      <c r="I561" s="37">
        <v>45917</v>
      </c>
      <c r="J561" t="s">
        <v>165</v>
      </c>
      <c r="K561" t="s">
        <v>166</v>
      </c>
      <c r="L561" t="s">
        <v>175</v>
      </c>
      <c r="M561" t="s">
        <v>899</v>
      </c>
      <c r="O561" t="s">
        <v>899</v>
      </c>
      <c r="Q561" t="s">
        <v>1643</v>
      </c>
      <c r="U561" t="s">
        <v>1697</v>
      </c>
      <c r="W561" t="s">
        <v>1702</v>
      </c>
      <c r="X561">
        <v>2</v>
      </c>
      <c r="AA561" s="43">
        <v>307.5</v>
      </c>
      <c r="AC561" s="43">
        <v>307.5</v>
      </c>
      <c r="AF561" s="37">
        <f t="shared" si="17"/>
        <v>46176</v>
      </c>
      <c r="AG561" s="37">
        <f t="shared" si="18"/>
        <v>47382.611570247936</v>
      </c>
      <c r="AH561" t="s">
        <v>1705</v>
      </c>
      <c r="AN561" s="43">
        <v>307.5</v>
      </c>
    </row>
    <row r="562" spans="2:40">
      <c r="B562" t="s">
        <v>900</v>
      </c>
      <c r="C562" t="s">
        <v>121</v>
      </c>
      <c r="D562" t="s">
        <v>167</v>
      </c>
      <c r="E562" t="s">
        <v>83</v>
      </c>
      <c r="F562" s="37">
        <v>45847</v>
      </c>
      <c r="G562">
        <v>10</v>
      </c>
      <c r="H562" t="s">
        <v>174</v>
      </c>
      <c r="I562" s="37">
        <v>45917</v>
      </c>
      <c r="J562" t="s">
        <v>165</v>
      </c>
      <c r="K562" t="s">
        <v>166</v>
      </c>
      <c r="L562" t="s">
        <v>175</v>
      </c>
      <c r="M562" t="s">
        <v>900</v>
      </c>
      <c r="O562" t="s">
        <v>900</v>
      </c>
      <c r="Q562" t="s">
        <v>1643</v>
      </c>
      <c r="U562" t="s">
        <v>1697</v>
      </c>
      <c r="W562" t="s">
        <v>1702</v>
      </c>
      <c r="X562">
        <v>2</v>
      </c>
      <c r="AA562" s="43">
        <v>307.5</v>
      </c>
      <c r="AC562" s="43">
        <v>307.5</v>
      </c>
      <c r="AF562" s="37">
        <f t="shared" si="17"/>
        <v>46176</v>
      </c>
      <c r="AG562" s="37">
        <f t="shared" si="18"/>
        <v>47382.611570247936</v>
      </c>
      <c r="AH562" t="s">
        <v>1705</v>
      </c>
      <c r="AN562" s="43">
        <v>307.5</v>
      </c>
    </row>
    <row r="563" spans="2:40">
      <c r="B563" t="s">
        <v>901</v>
      </c>
      <c r="C563" t="s">
        <v>121</v>
      </c>
      <c r="D563" t="s">
        <v>167</v>
      </c>
      <c r="E563" t="s">
        <v>83</v>
      </c>
      <c r="F563" s="37">
        <v>45847</v>
      </c>
      <c r="G563">
        <v>10</v>
      </c>
      <c r="H563" t="s">
        <v>174</v>
      </c>
      <c r="I563" s="37">
        <v>45917</v>
      </c>
      <c r="J563" t="s">
        <v>165</v>
      </c>
      <c r="K563" t="s">
        <v>166</v>
      </c>
      <c r="L563" t="s">
        <v>175</v>
      </c>
      <c r="M563" t="s">
        <v>901</v>
      </c>
      <c r="O563" t="s">
        <v>901</v>
      </c>
      <c r="Q563" t="s">
        <v>1643</v>
      </c>
      <c r="U563" t="s">
        <v>1697</v>
      </c>
      <c r="W563" t="s">
        <v>1702</v>
      </c>
      <c r="X563">
        <v>2</v>
      </c>
      <c r="AA563" s="43">
        <v>307.5</v>
      </c>
      <c r="AC563" s="43">
        <v>307.5</v>
      </c>
      <c r="AF563" s="37">
        <f t="shared" si="17"/>
        <v>46176</v>
      </c>
      <c r="AG563" s="37">
        <f t="shared" si="18"/>
        <v>47382.611570247936</v>
      </c>
      <c r="AH563" t="s">
        <v>1705</v>
      </c>
      <c r="AN563" s="43">
        <v>307.5</v>
      </c>
    </row>
    <row r="564" spans="2:40">
      <c r="B564" t="s">
        <v>902</v>
      </c>
      <c r="C564" t="s">
        <v>121</v>
      </c>
      <c r="D564" t="s">
        <v>167</v>
      </c>
      <c r="E564" t="s">
        <v>83</v>
      </c>
      <c r="F564" s="37">
        <v>45847</v>
      </c>
      <c r="G564">
        <v>10</v>
      </c>
      <c r="H564" t="s">
        <v>174</v>
      </c>
      <c r="I564" s="37">
        <v>45917</v>
      </c>
      <c r="J564" t="s">
        <v>165</v>
      </c>
      <c r="K564" t="s">
        <v>166</v>
      </c>
      <c r="L564" t="s">
        <v>175</v>
      </c>
      <c r="M564" t="s">
        <v>902</v>
      </c>
      <c r="O564" t="s">
        <v>902</v>
      </c>
      <c r="Q564" t="s">
        <v>1643</v>
      </c>
      <c r="U564" t="s">
        <v>1697</v>
      </c>
      <c r="W564" t="s">
        <v>1702</v>
      </c>
      <c r="X564">
        <v>2</v>
      </c>
      <c r="AA564" s="43">
        <v>307.5</v>
      </c>
      <c r="AC564" s="43">
        <v>307.5</v>
      </c>
      <c r="AF564" s="37">
        <f t="shared" si="17"/>
        <v>46176</v>
      </c>
      <c r="AG564" s="37">
        <f t="shared" si="18"/>
        <v>47382.611570247936</v>
      </c>
      <c r="AH564" t="s">
        <v>1705</v>
      </c>
      <c r="AN564" s="43">
        <v>307.5</v>
      </c>
    </row>
    <row r="565" spans="2:40">
      <c r="B565" t="s">
        <v>903</v>
      </c>
      <c r="C565" t="s">
        <v>121</v>
      </c>
      <c r="D565" t="s">
        <v>167</v>
      </c>
      <c r="E565" t="s">
        <v>83</v>
      </c>
      <c r="F565" s="37">
        <v>45847</v>
      </c>
      <c r="G565">
        <v>10</v>
      </c>
      <c r="H565" t="s">
        <v>174</v>
      </c>
      <c r="I565" s="37">
        <v>45917</v>
      </c>
      <c r="J565" t="s">
        <v>165</v>
      </c>
      <c r="K565" t="s">
        <v>166</v>
      </c>
      <c r="L565" t="s">
        <v>175</v>
      </c>
      <c r="M565" t="s">
        <v>903</v>
      </c>
      <c r="O565" t="s">
        <v>903</v>
      </c>
      <c r="Q565" t="s">
        <v>1643</v>
      </c>
      <c r="U565" t="s">
        <v>1697</v>
      </c>
      <c r="W565" t="s">
        <v>1702</v>
      </c>
      <c r="X565">
        <v>2</v>
      </c>
      <c r="AA565" s="43">
        <v>307.5</v>
      </c>
      <c r="AC565" s="43">
        <v>307.5</v>
      </c>
      <c r="AF565" s="37">
        <f t="shared" si="17"/>
        <v>46176</v>
      </c>
      <c r="AG565" s="37">
        <f t="shared" si="18"/>
        <v>47382.611570247936</v>
      </c>
      <c r="AH565" t="s">
        <v>1705</v>
      </c>
      <c r="AN565" s="43">
        <v>307.5</v>
      </c>
    </row>
    <row r="566" spans="2:40">
      <c r="B566" t="s">
        <v>904</v>
      </c>
      <c r="C566" t="s">
        <v>121</v>
      </c>
      <c r="D566" t="s">
        <v>167</v>
      </c>
      <c r="E566" t="s">
        <v>83</v>
      </c>
      <c r="F566" s="37">
        <v>45847</v>
      </c>
      <c r="G566">
        <v>10</v>
      </c>
      <c r="H566" t="s">
        <v>174</v>
      </c>
      <c r="I566" s="37">
        <v>45917</v>
      </c>
      <c r="J566" t="s">
        <v>165</v>
      </c>
      <c r="K566" t="s">
        <v>166</v>
      </c>
      <c r="L566" t="s">
        <v>175</v>
      </c>
      <c r="M566" t="s">
        <v>904</v>
      </c>
      <c r="O566" t="s">
        <v>904</v>
      </c>
      <c r="Q566" t="s">
        <v>1643</v>
      </c>
      <c r="U566" t="s">
        <v>1697</v>
      </c>
      <c r="W566" t="s">
        <v>1702</v>
      </c>
      <c r="X566">
        <v>2</v>
      </c>
      <c r="AA566" s="43">
        <v>307.5</v>
      </c>
      <c r="AC566" s="43">
        <v>307.5</v>
      </c>
      <c r="AF566" s="37">
        <f t="shared" si="17"/>
        <v>46176</v>
      </c>
      <c r="AG566" s="37">
        <f t="shared" si="18"/>
        <v>47382.611570247936</v>
      </c>
      <c r="AH566" t="s">
        <v>1705</v>
      </c>
      <c r="AN566" s="43">
        <v>307.5</v>
      </c>
    </row>
    <row r="567" spans="2:40">
      <c r="B567" t="s">
        <v>905</v>
      </c>
      <c r="C567" t="s">
        <v>121</v>
      </c>
      <c r="D567" t="s">
        <v>167</v>
      </c>
      <c r="E567" t="s">
        <v>83</v>
      </c>
      <c r="F567" s="37">
        <v>45840</v>
      </c>
      <c r="G567">
        <v>10</v>
      </c>
      <c r="H567" t="s">
        <v>174</v>
      </c>
      <c r="I567" s="37">
        <v>45910</v>
      </c>
      <c r="J567" t="s">
        <v>165</v>
      </c>
      <c r="K567" t="s">
        <v>166</v>
      </c>
      <c r="L567" t="s">
        <v>175</v>
      </c>
      <c r="M567" t="s">
        <v>905</v>
      </c>
      <c r="O567" t="s">
        <v>905</v>
      </c>
      <c r="Q567" t="s">
        <v>1643</v>
      </c>
      <c r="U567" t="s">
        <v>1697</v>
      </c>
      <c r="W567" t="s">
        <v>1702</v>
      </c>
      <c r="X567">
        <v>2</v>
      </c>
      <c r="AA567" s="43">
        <v>307.5</v>
      </c>
      <c r="AC567" s="43">
        <v>307.5</v>
      </c>
      <c r="AF567" s="37">
        <f t="shared" si="17"/>
        <v>46169</v>
      </c>
      <c r="AG567" s="37">
        <f t="shared" si="18"/>
        <v>47375.611570247936</v>
      </c>
      <c r="AH567" t="s">
        <v>1705</v>
      </c>
      <c r="AN567" s="43">
        <v>307.5</v>
      </c>
    </row>
    <row r="568" spans="2:40">
      <c r="B568" t="s">
        <v>906</v>
      </c>
      <c r="C568" t="s">
        <v>121</v>
      </c>
      <c r="D568" t="s">
        <v>167</v>
      </c>
      <c r="E568" t="s">
        <v>83</v>
      </c>
      <c r="F568" s="37">
        <v>45840</v>
      </c>
      <c r="G568">
        <v>10</v>
      </c>
      <c r="H568" t="s">
        <v>174</v>
      </c>
      <c r="I568" s="37">
        <v>45910</v>
      </c>
      <c r="J568" t="s">
        <v>165</v>
      </c>
      <c r="K568" t="s">
        <v>166</v>
      </c>
      <c r="L568" t="s">
        <v>175</v>
      </c>
      <c r="M568" t="s">
        <v>906</v>
      </c>
      <c r="O568" t="s">
        <v>906</v>
      </c>
      <c r="Q568" t="s">
        <v>1643</v>
      </c>
      <c r="U568" t="s">
        <v>1697</v>
      </c>
      <c r="W568" t="s">
        <v>1702</v>
      </c>
      <c r="X568">
        <v>2</v>
      </c>
      <c r="AA568" s="43">
        <v>307.5</v>
      </c>
      <c r="AC568" s="43">
        <v>307.5</v>
      </c>
      <c r="AF568" s="37">
        <f t="shared" si="17"/>
        <v>46169</v>
      </c>
      <c r="AG568" s="37">
        <f t="shared" si="18"/>
        <v>47375.611570247936</v>
      </c>
      <c r="AH568" t="s">
        <v>1705</v>
      </c>
      <c r="AN568" s="43">
        <v>307.5</v>
      </c>
    </row>
    <row r="569" spans="2:40">
      <c r="B569" t="s">
        <v>907</v>
      </c>
      <c r="C569" t="s">
        <v>121</v>
      </c>
      <c r="D569" t="s">
        <v>167</v>
      </c>
      <c r="E569" t="s">
        <v>83</v>
      </c>
      <c r="F569" s="37">
        <v>45840</v>
      </c>
      <c r="G569">
        <v>10</v>
      </c>
      <c r="H569" t="s">
        <v>174</v>
      </c>
      <c r="I569" s="37">
        <v>45910</v>
      </c>
      <c r="J569" t="s">
        <v>165</v>
      </c>
      <c r="K569" t="s">
        <v>166</v>
      </c>
      <c r="L569" t="s">
        <v>175</v>
      </c>
      <c r="M569" t="s">
        <v>907</v>
      </c>
      <c r="O569" t="s">
        <v>907</v>
      </c>
      <c r="Q569" t="s">
        <v>1643</v>
      </c>
      <c r="U569" t="s">
        <v>1697</v>
      </c>
      <c r="W569" t="s">
        <v>1702</v>
      </c>
      <c r="X569">
        <v>2</v>
      </c>
      <c r="AA569" s="43">
        <v>307.5</v>
      </c>
      <c r="AC569" s="43">
        <v>307.5</v>
      </c>
      <c r="AF569" s="37">
        <f t="shared" si="17"/>
        <v>46169</v>
      </c>
      <c r="AG569" s="37">
        <f t="shared" si="18"/>
        <v>47375.611570247936</v>
      </c>
      <c r="AH569" t="s">
        <v>1705</v>
      </c>
      <c r="AN569" s="43">
        <v>307.5</v>
      </c>
    </row>
    <row r="570" spans="2:40">
      <c r="B570" t="s">
        <v>908</v>
      </c>
      <c r="C570" t="s">
        <v>121</v>
      </c>
      <c r="D570" t="s">
        <v>167</v>
      </c>
      <c r="E570" t="s">
        <v>83</v>
      </c>
      <c r="F570" s="37">
        <v>45840</v>
      </c>
      <c r="G570">
        <v>10</v>
      </c>
      <c r="H570" t="s">
        <v>174</v>
      </c>
      <c r="I570" s="37">
        <v>45910</v>
      </c>
      <c r="J570" t="s">
        <v>165</v>
      </c>
      <c r="K570" t="s">
        <v>166</v>
      </c>
      <c r="L570" t="s">
        <v>175</v>
      </c>
      <c r="M570" t="s">
        <v>908</v>
      </c>
      <c r="O570" t="s">
        <v>908</v>
      </c>
      <c r="Q570" t="s">
        <v>1643</v>
      </c>
      <c r="U570" t="s">
        <v>1697</v>
      </c>
      <c r="W570" t="s">
        <v>1702</v>
      </c>
      <c r="X570">
        <v>2</v>
      </c>
      <c r="AA570" s="43">
        <v>307.5</v>
      </c>
      <c r="AC570" s="43">
        <v>307.5</v>
      </c>
      <c r="AF570" s="37">
        <f t="shared" si="17"/>
        <v>46169</v>
      </c>
      <c r="AG570" s="37">
        <f t="shared" si="18"/>
        <v>47375.611570247936</v>
      </c>
      <c r="AH570" t="s">
        <v>1705</v>
      </c>
      <c r="AN570" s="43">
        <v>307.5</v>
      </c>
    </row>
    <row r="571" spans="2:40">
      <c r="B571" t="s">
        <v>909</v>
      </c>
      <c r="C571" t="s">
        <v>121</v>
      </c>
      <c r="D571" t="s">
        <v>167</v>
      </c>
      <c r="E571" t="s">
        <v>83</v>
      </c>
      <c r="F571" s="37">
        <v>45840</v>
      </c>
      <c r="G571">
        <v>10</v>
      </c>
      <c r="H571" t="s">
        <v>174</v>
      </c>
      <c r="I571" s="37">
        <v>45910</v>
      </c>
      <c r="J571" t="s">
        <v>165</v>
      </c>
      <c r="K571" t="s">
        <v>166</v>
      </c>
      <c r="L571" t="s">
        <v>175</v>
      </c>
      <c r="M571" t="s">
        <v>909</v>
      </c>
      <c r="O571" t="s">
        <v>909</v>
      </c>
      <c r="Q571" t="s">
        <v>1643</v>
      </c>
      <c r="U571" t="s">
        <v>1697</v>
      </c>
      <c r="W571" t="s">
        <v>1702</v>
      </c>
      <c r="X571">
        <v>2</v>
      </c>
      <c r="AA571" s="43">
        <v>307.5</v>
      </c>
      <c r="AC571" s="43">
        <v>307.5</v>
      </c>
      <c r="AF571" s="37">
        <f t="shared" si="17"/>
        <v>46169</v>
      </c>
      <c r="AG571" s="37">
        <f t="shared" si="18"/>
        <v>47375.611570247936</v>
      </c>
      <c r="AH571" t="s">
        <v>1705</v>
      </c>
      <c r="AN571" s="43">
        <v>307.5</v>
      </c>
    </row>
    <row r="572" spans="2:40">
      <c r="B572" t="s">
        <v>910</v>
      </c>
      <c r="C572" t="s">
        <v>121</v>
      </c>
      <c r="D572" t="s">
        <v>167</v>
      </c>
      <c r="E572" t="s">
        <v>83</v>
      </c>
      <c r="F572" s="37">
        <v>45840</v>
      </c>
      <c r="G572">
        <v>10</v>
      </c>
      <c r="H572" t="s">
        <v>174</v>
      </c>
      <c r="I572" s="37">
        <v>45910</v>
      </c>
      <c r="J572" t="s">
        <v>165</v>
      </c>
      <c r="K572" t="s">
        <v>166</v>
      </c>
      <c r="L572" t="s">
        <v>175</v>
      </c>
      <c r="M572" t="s">
        <v>910</v>
      </c>
      <c r="O572" t="s">
        <v>910</v>
      </c>
      <c r="Q572" t="s">
        <v>1643</v>
      </c>
      <c r="U572" t="s">
        <v>1697</v>
      </c>
      <c r="W572" t="s">
        <v>1702</v>
      </c>
      <c r="X572">
        <v>2</v>
      </c>
      <c r="AA572" s="43">
        <v>307.5</v>
      </c>
      <c r="AC572" s="43">
        <v>307.5</v>
      </c>
      <c r="AF572" s="37">
        <f t="shared" si="17"/>
        <v>46169</v>
      </c>
      <c r="AG572" s="37">
        <f t="shared" si="18"/>
        <v>47375.611570247936</v>
      </c>
      <c r="AH572" t="s">
        <v>1705</v>
      </c>
      <c r="AN572" s="43">
        <v>307.5</v>
      </c>
    </row>
    <row r="573" spans="2:40">
      <c r="B573" t="s">
        <v>911</v>
      </c>
      <c r="C573" t="s">
        <v>121</v>
      </c>
      <c r="D573" t="s">
        <v>167</v>
      </c>
      <c r="E573" t="s">
        <v>83</v>
      </c>
      <c r="F573" s="37">
        <v>45840</v>
      </c>
      <c r="G573">
        <v>10</v>
      </c>
      <c r="H573" t="s">
        <v>174</v>
      </c>
      <c r="I573" s="37">
        <v>45910</v>
      </c>
      <c r="J573" t="s">
        <v>165</v>
      </c>
      <c r="K573" t="s">
        <v>166</v>
      </c>
      <c r="L573" t="s">
        <v>175</v>
      </c>
      <c r="M573" t="s">
        <v>911</v>
      </c>
      <c r="O573" t="s">
        <v>911</v>
      </c>
      <c r="Q573" t="s">
        <v>1643</v>
      </c>
      <c r="U573" t="s">
        <v>1697</v>
      </c>
      <c r="W573" t="s">
        <v>1702</v>
      </c>
      <c r="X573">
        <v>2</v>
      </c>
      <c r="AA573" s="43">
        <v>307.5</v>
      </c>
      <c r="AC573" s="43">
        <v>307.5</v>
      </c>
      <c r="AF573" s="37">
        <f t="shared" si="17"/>
        <v>46169</v>
      </c>
      <c r="AG573" s="37">
        <f t="shared" si="18"/>
        <v>47375.611570247936</v>
      </c>
      <c r="AH573" t="s">
        <v>1705</v>
      </c>
      <c r="AN573" s="43">
        <v>307.5</v>
      </c>
    </row>
    <row r="574" spans="2:40">
      <c r="B574" t="s">
        <v>912</v>
      </c>
      <c r="C574" t="s">
        <v>121</v>
      </c>
      <c r="D574" t="s">
        <v>167</v>
      </c>
      <c r="E574" t="s">
        <v>83</v>
      </c>
      <c r="F574" s="37">
        <v>45840</v>
      </c>
      <c r="G574">
        <v>10</v>
      </c>
      <c r="H574" t="s">
        <v>174</v>
      </c>
      <c r="I574" s="37">
        <v>45910</v>
      </c>
      <c r="J574" t="s">
        <v>165</v>
      </c>
      <c r="K574" t="s">
        <v>166</v>
      </c>
      <c r="L574" t="s">
        <v>175</v>
      </c>
      <c r="M574" t="s">
        <v>912</v>
      </c>
      <c r="O574" t="s">
        <v>912</v>
      </c>
      <c r="Q574" t="s">
        <v>1643</v>
      </c>
      <c r="U574" t="s">
        <v>1697</v>
      </c>
      <c r="W574" t="s">
        <v>1702</v>
      </c>
      <c r="X574">
        <v>2</v>
      </c>
      <c r="AA574" s="43">
        <v>307.5</v>
      </c>
      <c r="AC574" s="43">
        <v>307.5</v>
      </c>
      <c r="AF574" s="37">
        <f t="shared" si="17"/>
        <v>46169</v>
      </c>
      <c r="AG574" s="37">
        <f t="shared" si="18"/>
        <v>47375.611570247936</v>
      </c>
      <c r="AH574" t="s">
        <v>1705</v>
      </c>
      <c r="AN574" s="43">
        <v>307.5</v>
      </c>
    </row>
    <row r="575" spans="2:40">
      <c r="B575" t="s">
        <v>913</v>
      </c>
      <c r="C575" t="s">
        <v>121</v>
      </c>
      <c r="D575" t="s">
        <v>167</v>
      </c>
      <c r="E575" t="s">
        <v>83</v>
      </c>
      <c r="F575" s="37">
        <v>45840</v>
      </c>
      <c r="G575">
        <v>10</v>
      </c>
      <c r="H575" t="s">
        <v>174</v>
      </c>
      <c r="I575" s="37">
        <v>45910</v>
      </c>
      <c r="J575" t="s">
        <v>165</v>
      </c>
      <c r="K575" t="s">
        <v>166</v>
      </c>
      <c r="L575" t="s">
        <v>175</v>
      </c>
      <c r="M575" t="s">
        <v>913</v>
      </c>
      <c r="O575" t="s">
        <v>913</v>
      </c>
      <c r="Q575" t="s">
        <v>1643</v>
      </c>
      <c r="U575" t="s">
        <v>1697</v>
      </c>
      <c r="W575" t="s">
        <v>1702</v>
      </c>
      <c r="X575">
        <v>2</v>
      </c>
      <c r="AA575" s="43">
        <v>307.5</v>
      </c>
      <c r="AC575" s="43">
        <v>307.5</v>
      </c>
      <c r="AF575" s="37">
        <f t="shared" si="17"/>
        <v>46169</v>
      </c>
      <c r="AG575" s="37">
        <f t="shared" si="18"/>
        <v>47375.611570247936</v>
      </c>
      <c r="AH575" t="s">
        <v>1705</v>
      </c>
      <c r="AN575" s="43">
        <v>307.5</v>
      </c>
    </row>
    <row r="576" spans="2:40">
      <c r="B576" t="s">
        <v>914</v>
      </c>
      <c r="C576" t="s">
        <v>121</v>
      </c>
      <c r="D576" t="s">
        <v>167</v>
      </c>
      <c r="E576" t="s">
        <v>83</v>
      </c>
      <c r="F576" s="37">
        <v>45840</v>
      </c>
      <c r="G576">
        <v>10</v>
      </c>
      <c r="H576" t="s">
        <v>174</v>
      </c>
      <c r="I576" s="37">
        <v>45910</v>
      </c>
      <c r="J576" t="s">
        <v>165</v>
      </c>
      <c r="K576" t="s">
        <v>166</v>
      </c>
      <c r="L576" t="s">
        <v>175</v>
      </c>
      <c r="M576" t="s">
        <v>914</v>
      </c>
      <c r="O576" t="s">
        <v>914</v>
      </c>
      <c r="Q576" t="s">
        <v>1643</v>
      </c>
      <c r="U576" t="s">
        <v>1697</v>
      </c>
      <c r="W576" t="s">
        <v>1702</v>
      </c>
      <c r="X576">
        <v>2</v>
      </c>
      <c r="AA576" s="43">
        <v>307.5</v>
      </c>
      <c r="AC576" s="43">
        <v>307.5</v>
      </c>
      <c r="AF576" s="37">
        <f t="shared" si="17"/>
        <v>46169</v>
      </c>
      <c r="AG576" s="37">
        <f t="shared" si="18"/>
        <v>47375.611570247936</v>
      </c>
      <c r="AH576" t="s">
        <v>1705</v>
      </c>
      <c r="AN576" s="43">
        <v>307.5</v>
      </c>
    </row>
    <row r="577" spans="2:40">
      <c r="B577" t="s">
        <v>915</v>
      </c>
      <c r="C577" t="s">
        <v>121</v>
      </c>
      <c r="D577" t="s">
        <v>167</v>
      </c>
      <c r="E577" t="s">
        <v>83</v>
      </c>
      <c r="F577" s="37">
        <v>45840</v>
      </c>
      <c r="G577">
        <v>10</v>
      </c>
      <c r="H577" t="s">
        <v>174</v>
      </c>
      <c r="I577" s="37">
        <v>45910</v>
      </c>
      <c r="J577" t="s">
        <v>165</v>
      </c>
      <c r="K577" t="s">
        <v>166</v>
      </c>
      <c r="L577" t="s">
        <v>175</v>
      </c>
      <c r="M577" t="s">
        <v>915</v>
      </c>
      <c r="O577" t="s">
        <v>915</v>
      </c>
      <c r="Q577" t="s">
        <v>1643</v>
      </c>
      <c r="U577" t="s">
        <v>1697</v>
      </c>
      <c r="W577" t="s">
        <v>1702</v>
      </c>
      <c r="X577">
        <v>2</v>
      </c>
      <c r="AA577" s="43">
        <v>307.5</v>
      </c>
      <c r="AC577" s="43">
        <v>307.5</v>
      </c>
      <c r="AF577" s="37">
        <f t="shared" si="17"/>
        <v>46169</v>
      </c>
      <c r="AG577" s="37">
        <f t="shared" si="18"/>
        <v>47375.611570247936</v>
      </c>
      <c r="AH577" t="s">
        <v>1705</v>
      </c>
      <c r="AN577" s="43">
        <v>307.5</v>
      </c>
    </row>
    <row r="578" spans="2:40">
      <c r="B578" t="s">
        <v>916</v>
      </c>
      <c r="C578" t="s">
        <v>121</v>
      </c>
      <c r="D578" t="s">
        <v>167</v>
      </c>
      <c r="E578" t="s">
        <v>83</v>
      </c>
      <c r="F578" s="37">
        <v>45833</v>
      </c>
      <c r="G578">
        <v>10</v>
      </c>
      <c r="H578" t="s">
        <v>174</v>
      </c>
      <c r="I578" s="37">
        <v>45903</v>
      </c>
      <c r="J578" t="s">
        <v>165</v>
      </c>
      <c r="K578" t="s">
        <v>166</v>
      </c>
      <c r="L578" t="s">
        <v>175</v>
      </c>
      <c r="M578" t="s">
        <v>916</v>
      </c>
      <c r="O578" t="s">
        <v>916</v>
      </c>
      <c r="Q578" t="s">
        <v>1643</v>
      </c>
      <c r="U578" t="s">
        <v>1697</v>
      </c>
      <c r="W578" t="s">
        <v>1702</v>
      </c>
      <c r="X578">
        <v>2</v>
      </c>
      <c r="AA578" s="43">
        <v>307.5</v>
      </c>
      <c r="AC578" s="43">
        <v>307.5</v>
      </c>
      <c r="AF578" s="37">
        <f t="shared" si="17"/>
        <v>46162</v>
      </c>
      <c r="AG578" s="37">
        <f t="shared" si="18"/>
        <v>47368.611570247936</v>
      </c>
      <c r="AH578" t="s">
        <v>1705</v>
      </c>
      <c r="AN578" s="43">
        <v>307.5</v>
      </c>
    </row>
    <row r="579" spans="2:40">
      <c r="B579" t="s">
        <v>917</v>
      </c>
      <c r="C579" t="s">
        <v>121</v>
      </c>
      <c r="D579" t="s">
        <v>167</v>
      </c>
      <c r="E579" t="s">
        <v>83</v>
      </c>
      <c r="F579" s="37">
        <v>45833</v>
      </c>
      <c r="G579">
        <v>10</v>
      </c>
      <c r="H579" t="s">
        <v>174</v>
      </c>
      <c r="I579" s="37">
        <v>45903</v>
      </c>
      <c r="J579" t="s">
        <v>165</v>
      </c>
      <c r="K579" t="s">
        <v>166</v>
      </c>
      <c r="L579" t="s">
        <v>175</v>
      </c>
      <c r="M579" t="s">
        <v>917</v>
      </c>
      <c r="O579" t="s">
        <v>917</v>
      </c>
      <c r="Q579" t="s">
        <v>1643</v>
      </c>
      <c r="U579" t="s">
        <v>1697</v>
      </c>
      <c r="W579" t="s">
        <v>1702</v>
      </c>
      <c r="X579">
        <v>2</v>
      </c>
      <c r="AA579" s="43">
        <v>307.5</v>
      </c>
      <c r="AC579" s="43">
        <v>307.5</v>
      </c>
      <c r="AF579" s="37">
        <f t="shared" si="17"/>
        <v>46162</v>
      </c>
      <c r="AG579" s="37">
        <f t="shared" si="18"/>
        <v>47368.611570247936</v>
      </c>
      <c r="AH579" t="s">
        <v>1705</v>
      </c>
      <c r="AN579" s="43">
        <v>307.5</v>
      </c>
    </row>
    <row r="580" spans="2:40">
      <c r="B580" t="s">
        <v>918</v>
      </c>
      <c r="C580" t="s">
        <v>121</v>
      </c>
      <c r="D580" t="s">
        <v>167</v>
      </c>
      <c r="E580" t="s">
        <v>83</v>
      </c>
      <c r="F580" s="37">
        <v>45833</v>
      </c>
      <c r="G580">
        <v>10</v>
      </c>
      <c r="H580" t="s">
        <v>174</v>
      </c>
      <c r="I580" s="37">
        <v>45903</v>
      </c>
      <c r="J580" t="s">
        <v>165</v>
      </c>
      <c r="K580" t="s">
        <v>166</v>
      </c>
      <c r="L580" t="s">
        <v>175</v>
      </c>
      <c r="M580" t="s">
        <v>918</v>
      </c>
      <c r="O580" t="s">
        <v>918</v>
      </c>
      <c r="Q580" t="s">
        <v>1643</v>
      </c>
      <c r="U580" t="s">
        <v>1697</v>
      </c>
      <c r="W580" t="s">
        <v>1702</v>
      </c>
      <c r="X580">
        <v>2</v>
      </c>
      <c r="AA580" s="43">
        <v>307.5</v>
      </c>
      <c r="AC580" s="43">
        <v>307.5</v>
      </c>
      <c r="AF580" s="37">
        <f t="shared" si="17"/>
        <v>46162</v>
      </c>
      <c r="AG580" s="37">
        <f t="shared" si="18"/>
        <v>47368.611570247936</v>
      </c>
      <c r="AH580" t="s">
        <v>1705</v>
      </c>
      <c r="AN580" s="43">
        <v>307.5</v>
      </c>
    </row>
    <row r="581" spans="2:40">
      <c r="B581" t="s">
        <v>919</v>
      </c>
      <c r="C581" t="s">
        <v>121</v>
      </c>
      <c r="D581" t="s">
        <v>167</v>
      </c>
      <c r="E581" t="s">
        <v>83</v>
      </c>
      <c r="F581" s="37">
        <v>45833</v>
      </c>
      <c r="G581">
        <v>10</v>
      </c>
      <c r="H581" t="s">
        <v>174</v>
      </c>
      <c r="I581" s="37">
        <v>45903</v>
      </c>
      <c r="J581" t="s">
        <v>165</v>
      </c>
      <c r="K581" t="s">
        <v>166</v>
      </c>
      <c r="L581" t="s">
        <v>175</v>
      </c>
      <c r="M581" t="s">
        <v>919</v>
      </c>
      <c r="O581" t="s">
        <v>919</v>
      </c>
      <c r="Q581" t="s">
        <v>1643</v>
      </c>
      <c r="U581" t="s">
        <v>1697</v>
      </c>
      <c r="W581" t="s">
        <v>1702</v>
      </c>
      <c r="X581">
        <v>2</v>
      </c>
      <c r="AA581" s="43">
        <v>307.5</v>
      </c>
      <c r="AC581" s="43">
        <v>307.5</v>
      </c>
      <c r="AF581" s="37">
        <f t="shared" si="17"/>
        <v>46162</v>
      </c>
      <c r="AG581" s="37">
        <f t="shared" si="18"/>
        <v>47368.611570247936</v>
      </c>
      <c r="AH581" t="s">
        <v>1705</v>
      </c>
      <c r="AN581" s="43">
        <v>307.5</v>
      </c>
    </row>
    <row r="582" spans="2:40">
      <c r="B582" t="s">
        <v>920</v>
      </c>
      <c r="C582" t="s">
        <v>121</v>
      </c>
      <c r="D582" t="s">
        <v>167</v>
      </c>
      <c r="E582" t="s">
        <v>83</v>
      </c>
      <c r="F582" s="37">
        <v>45833</v>
      </c>
      <c r="G582">
        <v>10</v>
      </c>
      <c r="H582" t="s">
        <v>174</v>
      </c>
      <c r="I582" s="37">
        <v>45903</v>
      </c>
      <c r="J582" t="s">
        <v>165</v>
      </c>
      <c r="K582" t="s">
        <v>166</v>
      </c>
      <c r="L582" t="s">
        <v>175</v>
      </c>
      <c r="M582" t="s">
        <v>920</v>
      </c>
      <c r="O582" t="s">
        <v>920</v>
      </c>
      <c r="Q582" t="s">
        <v>1643</v>
      </c>
      <c r="U582" t="s">
        <v>1697</v>
      </c>
      <c r="W582" t="s">
        <v>1702</v>
      </c>
      <c r="X582">
        <v>2</v>
      </c>
      <c r="AA582" s="43">
        <v>307.5</v>
      </c>
      <c r="AC582" s="43">
        <v>307.5</v>
      </c>
      <c r="AF582" s="37">
        <f t="shared" si="17"/>
        <v>46162</v>
      </c>
      <c r="AG582" s="37">
        <f t="shared" si="18"/>
        <v>47368.611570247936</v>
      </c>
      <c r="AH582" t="s">
        <v>1705</v>
      </c>
      <c r="AN582" s="43">
        <v>307.5</v>
      </c>
    </row>
    <row r="583" spans="2:40">
      <c r="B583" t="s">
        <v>921</v>
      </c>
      <c r="C583" t="s">
        <v>121</v>
      </c>
      <c r="D583" t="s">
        <v>167</v>
      </c>
      <c r="E583" t="s">
        <v>83</v>
      </c>
      <c r="F583" s="37">
        <v>45833</v>
      </c>
      <c r="G583">
        <v>10</v>
      </c>
      <c r="H583" t="s">
        <v>174</v>
      </c>
      <c r="I583" s="37">
        <v>45903</v>
      </c>
      <c r="J583" t="s">
        <v>165</v>
      </c>
      <c r="K583" t="s">
        <v>166</v>
      </c>
      <c r="L583" t="s">
        <v>175</v>
      </c>
      <c r="M583" t="s">
        <v>921</v>
      </c>
      <c r="O583" t="s">
        <v>921</v>
      </c>
      <c r="Q583" t="s">
        <v>1643</v>
      </c>
      <c r="U583" t="s">
        <v>1697</v>
      </c>
      <c r="W583" t="s">
        <v>1702</v>
      </c>
      <c r="X583">
        <v>2</v>
      </c>
      <c r="AA583" s="43">
        <v>307.5</v>
      </c>
      <c r="AC583" s="43">
        <v>307.5</v>
      </c>
      <c r="AF583" s="37">
        <f t="shared" ref="AF583:AF646" si="19">F583+(47*7)</f>
        <v>46162</v>
      </c>
      <c r="AG583" s="37">
        <f t="shared" ref="AG583:AG646" si="20">+AF583+(365*8)/2.42</f>
        <v>47368.611570247936</v>
      </c>
      <c r="AH583" t="s">
        <v>1705</v>
      </c>
      <c r="AN583" s="43">
        <v>307.5</v>
      </c>
    </row>
    <row r="584" spans="2:40">
      <c r="B584" t="s">
        <v>922</v>
      </c>
      <c r="C584" t="s">
        <v>121</v>
      </c>
      <c r="D584" t="s">
        <v>167</v>
      </c>
      <c r="E584" t="s">
        <v>83</v>
      </c>
      <c r="F584" s="37">
        <v>45833</v>
      </c>
      <c r="G584">
        <v>10</v>
      </c>
      <c r="H584" t="s">
        <v>174</v>
      </c>
      <c r="I584" s="37">
        <v>45903</v>
      </c>
      <c r="J584" t="s">
        <v>165</v>
      </c>
      <c r="K584" t="s">
        <v>166</v>
      </c>
      <c r="L584" t="s">
        <v>175</v>
      </c>
      <c r="M584" t="s">
        <v>922</v>
      </c>
      <c r="O584" t="s">
        <v>922</v>
      </c>
      <c r="Q584" t="s">
        <v>1643</v>
      </c>
      <c r="U584" t="s">
        <v>1697</v>
      </c>
      <c r="W584" t="s">
        <v>1702</v>
      </c>
      <c r="X584">
        <v>2</v>
      </c>
      <c r="AA584" s="43">
        <v>307.5</v>
      </c>
      <c r="AC584" s="43">
        <v>307.5</v>
      </c>
      <c r="AF584" s="37">
        <f t="shared" si="19"/>
        <v>46162</v>
      </c>
      <c r="AG584" s="37">
        <f t="shared" si="20"/>
        <v>47368.611570247936</v>
      </c>
      <c r="AH584" t="s">
        <v>1705</v>
      </c>
      <c r="AN584" s="43">
        <v>307.5</v>
      </c>
    </row>
    <row r="585" spans="2:40">
      <c r="B585" t="s">
        <v>923</v>
      </c>
      <c r="C585" t="s">
        <v>121</v>
      </c>
      <c r="D585" t="s">
        <v>167</v>
      </c>
      <c r="E585" t="s">
        <v>83</v>
      </c>
      <c r="F585" s="37">
        <v>45833</v>
      </c>
      <c r="G585">
        <v>10</v>
      </c>
      <c r="H585" t="s">
        <v>174</v>
      </c>
      <c r="I585" s="37">
        <v>45903</v>
      </c>
      <c r="J585" t="s">
        <v>165</v>
      </c>
      <c r="K585" t="s">
        <v>166</v>
      </c>
      <c r="L585" t="s">
        <v>175</v>
      </c>
      <c r="M585" t="s">
        <v>923</v>
      </c>
      <c r="O585" t="s">
        <v>923</v>
      </c>
      <c r="Q585" t="s">
        <v>1643</v>
      </c>
      <c r="U585" t="s">
        <v>1697</v>
      </c>
      <c r="W585" t="s">
        <v>1702</v>
      </c>
      <c r="X585">
        <v>2</v>
      </c>
      <c r="AA585" s="43">
        <v>307.5</v>
      </c>
      <c r="AC585" s="43">
        <v>307.5</v>
      </c>
      <c r="AF585" s="37">
        <f t="shared" si="19"/>
        <v>46162</v>
      </c>
      <c r="AG585" s="37">
        <f t="shared" si="20"/>
        <v>47368.611570247936</v>
      </c>
      <c r="AH585" t="s">
        <v>1705</v>
      </c>
      <c r="AN585" s="43">
        <v>307.5</v>
      </c>
    </row>
    <row r="586" spans="2:40">
      <c r="B586" t="s">
        <v>924</v>
      </c>
      <c r="C586" t="s">
        <v>121</v>
      </c>
      <c r="D586" t="s">
        <v>167</v>
      </c>
      <c r="E586" t="s">
        <v>83</v>
      </c>
      <c r="F586" s="37">
        <v>45833</v>
      </c>
      <c r="G586">
        <v>10</v>
      </c>
      <c r="H586" t="s">
        <v>174</v>
      </c>
      <c r="I586" s="37">
        <v>45903</v>
      </c>
      <c r="J586" t="s">
        <v>165</v>
      </c>
      <c r="K586" t="s">
        <v>166</v>
      </c>
      <c r="L586" t="s">
        <v>175</v>
      </c>
      <c r="M586" t="s">
        <v>924</v>
      </c>
      <c r="O586" t="s">
        <v>924</v>
      </c>
      <c r="Q586" t="s">
        <v>1643</v>
      </c>
      <c r="U586" t="s">
        <v>1697</v>
      </c>
      <c r="W586" t="s">
        <v>1702</v>
      </c>
      <c r="X586">
        <v>2</v>
      </c>
      <c r="AA586" s="43">
        <v>307.5</v>
      </c>
      <c r="AC586" s="43">
        <v>307.5</v>
      </c>
      <c r="AF586" s="37">
        <f t="shared" si="19"/>
        <v>46162</v>
      </c>
      <c r="AG586" s="37">
        <f t="shared" si="20"/>
        <v>47368.611570247936</v>
      </c>
      <c r="AH586" t="s">
        <v>1705</v>
      </c>
      <c r="AN586" s="43">
        <v>307.5</v>
      </c>
    </row>
    <row r="587" spans="2:40">
      <c r="B587" t="s">
        <v>925</v>
      </c>
      <c r="C587" t="s">
        <v>121</v>
      </c>
      <c r="D587" t="s">
        <v>167</v>
      </c>
      <c r="E587" t="s">
        <v>83</v>
      </c>
      <c r="F587" s="37">
        <v>45833</v>
      </c>
      <c r="G587">
        <v>10</v>
      </c>
      <c r="H587" t="s">
        <v>174</v>
      </c>
      <c r="I587" s="37">
        <v>45903</v>
      </c>
      <c r="J587" t="s">
        <v>165</v>
      </c>
      <c r="K587" t="s">
        <v>166</v>
      </c>
      <c r="L587" t="s">
        <v>175</v>
      </c>
      <c r="M587" t="s">
        <v>925</v>
      </c>
      <c r="O587" t="s">
        <v>925</v>
      </c>
      <c r="Q587" t="s">
        <v>1643</v>
      </c>
      <c r="U587" t="s">
        <v>1697</v>
      </c>
      <c r="W587" t="s">
        <v>1702</v>
      </c>
      <c r="X587">
        <v>2</v>
      </c>
      <c r="AA587" s="43">
        <v>307.5</v>
      </c>
      <c r="AC587" s="43">
        <v>307.5</v>
      </c>
      <c r="AF587" s="37">
        <f t="shared" si="19"/>
        <v>46162</v>
      </c>
      <c r="AG587" s="37">
        <f t="shared" si="20"/>
        <v>47368.611570247936</v>
      </c>
      <c r="AH587" t="s">
        <v>1705</v>
      </c>
      <c r="AN587" s="43">
        <v>307.5</v>
      </c>
    </row>
    <row r="588" spans="2:40">
      <c r="B588" t="s">
        <v>926</v>
      </c>
      <c r="C588" t="s">
        <v>121</v>
      </c>
      <c r="D588" t="s">
        <v>167</v>
      </c>
      <c r="E588" t="s">
        <v>83</v>
      </c>
      <c r="F588" s="37">
        <v>45826</v>
      </c>
      <c r="G588">
        <v>10</v>
      </c>
      <c r="H588" t="s">
        <v>174</v>
      </c>
      <c r="I588" s="37">
        <v>45896</v>
      </c>
      <c r="J588" t="s">
        <v>165</v>
      </c>
      <c r="K588" t="s">
        <v>166</v>
      </c>
      <c r="L588" t="s">
        <v>175</v>
      </c>
      <c r="M588" t="s">
        <v>926</v>
      </c>
      <c r="O588" t="s">
        <v>926</v>
      </c>
      <c r="Q588" t="s">
        <v>1643</v>
      </c>
      <c r="U588" t="s">
        <v>1697</v>
      </c>
      <c r="W588" t="s">
        <v>1702</v>
      </c>
      <c r="X588">
        <v>2</v>
      </c>
      <c r="AA588" s="43">
        <v>307.5</v>
      </c>
      <c r="AC588" s="43">
        <v>307.5</v>
      </c>
      <c r="AF588" s="37">
        <f t="shared" si="19"/>
        <v>46155</v>
      </c>
      <c r="AG588" s="37">
        <f t="shared" si="20"/>
        <v>47361.611570247936</v>
      </c>
      <c r="AH588" t="s">
        <v>1705</v>
      </c>
      <c r="AN588" s="43">
        <v>307.5</v>
      </c>
    </row>
    <row r="589" spans="2:40">
      <c r="B589" t="s">
        <v>927</v>
      </c>
      <c r="C589" t="s">
        <v>121</v>
      </c>
      <c r="D589" t="s">
        <v>167</v>
      </c>
      <c r="E589" t="s">
        <v>83</v>
      </c>
      <c r="F589" s="37">
        <v>45826</v>
      </c>
      <c r="G589">
        <v>10</v>
      </c>
      <c r="H589" t="s">
        <v>174</v>
      </c>
      <c r="I589" s="37">
        <v>45896</v>
      </c>
      <c r="J589" t="s">
        <v>165</v>
      </c>
      <c r="K589" t="s">
        <v>166</v>
      </c>
      <c r="L589" t="s">
        <v>175</v>
      </c>
      <c r="M589" t="s">
        <v>927</v>
      </c>
      <c r="O589" t="s">
        <v>927</v>
      </c>
      <c r="Q589" t="s">
        <v>1643</v>
      </c>
      <c r="U589" t="s">
        <v>1697</v>
      </c>
      <c r="W589" t="s">
        <v>1702</v>
      </c>
      <c r="X589">
        <v>2</v>
      </c>
      <c r="AA589" s="43">
        <v>307.5</v>
      </c>
      <c r="AC589" s="43">
        <v>307.5</v>
      </c>
      <c r="AF589" s="37">
        <f t="shared" si="19"/>
        <v>46155</v>
      </c>
      <c r="AG589" s="37">
        <f t="shared" si="20"/>
        <v>47361.611570247936</v>
      </c>
      <c r="AH589" t="s">
        <v>1705</v>
      </c>
      <c r="AN589" s="43">
        <v>307.5</v>
      </c>
    </row>
    <row r="590" spans="2:40">
      <c r="B590" t="s">
        <v>928</v>
      </c>
      <c r="C590" t="s">
        <v>121</v>
      </c>
      <c r="D590" t="s">
        <v>167</v>
      </c>
      <c r="E590" t="s">
        <v>83</v>
      </c>
      <c r="F590" s="37">
        <v>45826</v>
      </c>
      <c r="G590">
        <v>10</v>
      </c>
      <c r="H590" t="s">
        <v>174</v>
      </c>
      <c r="I590" s="37">
        <v>45896</v>
      </c>
      <c r="J590" t="s">
        <v>165</v>
      </c>
      <c r="K590" t="s">
        <v>166</v>
      </c>
      <c r="L590" t="s">
        <v>175</v>
      </c>
      <c r="M590" t="s">
        <v>928</v>
      </c>
      <c r="O590" t="s">
        <v>928</v>
      </c>
      <c r="Q590" t="s">
        <v>1643</v>
      </c>
      <c r="U590" t="s">
        <v>1697</v>
      </c>
      <c r="W590" t="s">
        <v>1702</v>
      </c>
      <c r="X590">
        <v>2</v>
      </c>
      <c r="AA590" s="43">
        <v>307.5</v>
      </c>
      <c r="AC590" s="43">
        <v>307.5</v>
      </c>
      <c r="AF590" s="37">
        <f t="shared" si="19"/>
        <v>46155</v>
      </c>
      <c r="AG590" s="37">
        <f t="shared" si="20"/>
        <v>47361.611570247936</v>
      </c>
      <c r="AH590" t="s">
        <v>1705</v>
      </c>
      <c r="AN590" s="43">
        <v>307.5</v>
      </c>
    </row>
    <row r="591" spans="2:40">
      <c r="B591" t="s">
        <v>929</v>
      </c>
      <c r="C591" t="s">
        <v>121</v>
      </c>
      <c r="D591" t="s">
        <v>167</v>
      </c>
      <c r="E591" t="s">
        <v>83</v>
      </c>
      <c r="F591" s="37">
        <v>45826</v>
      </c>
      <c r="G591">
        <v>10</v>
      </c>
      <c r="H591" t="s">
        <v>174</v>
      </c>
      <c r="I591" s="37">
        <v>45896</v>
      </c>
      <c r="J591" t="s">
        <v>165</v>
      </c>
      <c r="K591" t="s">
        <v>166</v>
      </c>
      <c r="L591" t="s">
        <v>175</v>
      </c>
      <c r="M591" t="s">
        <v>929</v>
      </c>
      <c r="O591" t="s">
        <v>929</v>
      </c>
      <c r="Q591" t="s">
        <v>1643</v>
      </c>
      <c r="U591" t="s">
        <v>1697</v>
      </c>
      <c r="W591" t="s">
        <v>1702</v>
      </c>
      <c r="X591">
        <v>2</v>
      </c>
      <c r="AA591" s="43">
        <v>307.5</v>
      </c>
      <c r="AC591" s="43">
        <v>307.5</v>
      </c>
      <c r="AF591" s="37">
        <f t="shared" si="19"/>
        <v>46155</v>
      </c>
      <c r="AG591" s="37">
        <f t="shared" si="20"/>
        <v>47361.611570247936</v>
      </c>
      <c r="AH591" t="s">
        <v>1705</v>
      </c>
      <c r="AN591" s="43">
        <v>307.5</v>
      </c>
    </row>
    <row r="592" spans="2:40">
      <c r="B592" t="s">
        <v>930</v>
      </c>
      <c r="C592" t="s">
        <v>121</v>
      </c>
      <c r="D592" t="s">
        <v>167</v>
      </c>
      <c r="E592" t="s">
        <v>83</v>
      </c>
      <c r="F592" s="37">
        <v>45826</v>
      </c>
      <c r="G592">
        <v>10</v>
      </c>
      <c r="H592" t="s">
        <v>174</v>
      </c>
      <c r="I592" s="37">
        <v>45896</v>
      </c>
      <c r="J592" t="s">
        <v>165</v>
      </c>
      <c r="K592" t="s">
        <v>166</v>
      </c>
      <c r="L592" t="s">
        <v>175</v>
      </c>
      <c r="M592" t="s">
        <v>930</v>
      </c>
      <c r="O592" t="s">
        <v>930</v>
      </c>
      <c r="Q592" t="s">
        <v>1643</v>
      </c>
      <c r="U592" t="s">
        <v>1697</v>
      </c>
      <c r="W592" t="s">
        <v>1702</v>
      </c>
      <c r="X592">
        <v>2</v>
      </c>
      <c r="AA592" s="43">
        <v>307.5</v>
      </c>
      <c r="AC592" s="43">
        <v>307.5</v>
      </c>
      <c r="AF592" s="37">
        <f t="shared" si="19"/>
        <v>46155</v>
      </c>
      <c r="AG592" s="37">
        <f t="shared" si="20"/>
        <v>47361.611570247936</v>
      </c>
      <c r="AH592" t="s">
        <v>1705</v>
      </c>
      <c r="AN592" s="43">
        <v>307.5</v>
      </c>
    </row>
    <row r="593" spans="2:40">
      <c r="B593" t="s">
        <v>931</v>
      </c>
      <c r="C593" t="s">
        <v>121</v>
      </c>
      <c r="D593" t="s">
        <v>167</v>
      </c>
      <c r="E593" t="s">
        <v>83</v>
      </c>
      <c r="F593" s="37">
        <v>45826</v>
      </c>
      <c r="G593">
        <v>10</v>
      </c>
      <c r="H593" t="s">
        <v>174</v>
      </c>
      <c r="I593" s="37">
        <v>45896</v>
      </c>
      <c r="J593" t="s">
        <v>165</v>
      </c>
      <c r="K593" t="s">
        <v>166</v>
      </c>
      <c r="L593" t="s">
        <v>175</v>
      </c>
      <c r="M593" t="s">
        <v>931</v>
      </c>
      <c r="O593" t="s">
        <v>931</v>
      </c>
      <c r="Q593" t="s">
        <v>1643</v>
      </c>
      <c r="U593" t="s">
        <v>1697</v>
      </c>
      <c r="W593" t="s">
        <v>1702</v>
      </c>
      <c r="X593">
        <v>2</v>
      </c>
      <c r="AA593" s="43">
        <v>307.5</v>
      </c>
      <c r="AC593" s="43">
        <v>307.5</v>
      </c>
      <c r="AF593" s="37">
        <f t="shared" si="19"/>
        <v>46155</v>
      </c>
      <c r="AG593" s="37">
        <f t="shared" si="20"/>
        <v>47361.611570247936</v>
      </c>
      <c r="AH593" t="s">
        <v>1705</v>
      </c>
      <c r="AN593" s="43">
        <v>307.5</v>
      </c>
    </row>
    <row r="594" spans="2:40">
      <c r="B594" t="s">
        <v>932</v>
      </c>
      <c r="C594" t="s">
        <v>121</v>
      </c>
      <c r="D594" t="s">
        <v>167</v>
      </c>
      <c r="E594" t="s">
        <v>83</v>
      </c>
      <c r="F594" s="37">
        <v>45826</v>
      </c>
      <c r="G594">
        <v>10</v>
      </c>
      <c r="H594" t="s">
        <v>174</v>
      </c>
      <c r="I594" s="37">
        <v>45896</v>
      </c>
      <c r="J594" t="s">
        <v>165</v>
      </c>
      <c r="K594" t="s">
        <v>166</v>
      </c>
      <c r="L594" t="s">
        <v>175</v>
      </c>
      <c r="M594" t="s">
        <v>932</v>
      </c>
      <c r="O594" t="s">
        <v>932</v>
      </c>
      <c r="Q594" t="s">
        <v>1643</v>
      </c>
      <c r="U594" t="s">
        <v>1697</v>
      </c>
      <c r="W594" t="s">
        <v>1702</v>
      </c>
      <c r="X594">
        <v>2</v>
      </c>
      <c r="AA594" s="43">
        <v>307.5</v>
      </c>
      <c r="AC594" s="43">
        <v>307.5</v>
      </c>
      <c r="AF594" s="37">
        <f t="shared" si="19"/>
        <v>46155</v>
      </c>
      <c r="AG594" s="37">
        <f t="shared" si="20"/>
        <v>47361.611570247936</v>
      </c>
      <c r="AH594" t="s">
        <v>1705</v>
      </c>
      <c r="AN594" s="43">
        <v>307.5</v>
      </c>
    </row>
    <row r="595" spans="2:40">
      <c r="B595" t="s">
        <v>933</v>
      </c>
      <c r="C595" t="s">
        <v>121</v>
      </c>
      <c r="D595" t="s">
        <v>167</v>
      </c>
      <c r="E595" t="s">
        <v>83</v>
      </c>
      <c r="F595" s="37">
        <v>45826</v>
      </c>
      <c r="G595">
        <v>10</v>
      </c>
      <c r="H595" t="s">
        <v>174</v>
      </c>
      <c r="I595" s="37">
        <v>45896</v>
      </c>
      <c r="J595" t="s">
        <v>165</v>
      </c>
      <c r="K595" t="s">
        <v>166</v>
      </c>
      <c r="L595" t="s">
        <v>175</v>
      </c>
      <c r="M595" t="s">
        <v>933</v>
      </c>
      <c r="O595" t="s">
        <v>933</v>
      </c>
      <c r="Q595" t="s">
        <v>1643</v>
      </c>
      <c r="U595" t="s">
        <v>1697</v>
      </c>
      <c r="W595" t="s">
        <v>1702</v>
      </c>
      <c r="X595">
        <v>2</v>
      </c>
      <c r="AA595" s="43">
        <v>307.5</v>
      </c>
      <c r="AC595" s="43">
        <v>307.5</v>
      </c>
      <c r="AF595" s="37">
        <f t="shared" si="19"/>
        <v>46155</v>
      </c>
      <c r="AG595" s="37">
        <f t="shared" si="20"/>
        <v>47361.611570247936</v>
      </c>
      <c r="AH595" t="s">
        <v>1705</v>
      </c>
      <c r="AN595" s="43">
        <v>307.5</v>
      </c>
    </row>
    <row r="596" spans="2:40">
      <c r="B596" t="s">
        <v>934</v>
      </c>
      <c r="C596" t="s">
        <v>121</v>
      </c>
      <c r="D596" t="s">
        <v>167</v>
      </c>
      <c r="E596" t="s">
        <v>83</v>
      </c>
      <c r="F596" s="37">
        <v>45826</v>
      </c>
      <c r="G596">
        <v>10</v>
      </c>
      <c r="H596" t="s">
        <v>174</v>
      </c>
      <c r="I596" s="37">
        <v>45896</v>
      </c>
      <c r="J596" t="s">
        <v>165</v>
      </c>
      <c r="K596" t="s">
        <v>166</v>
      </c>
      <c r="L596" t="s">
        <v>175</v>
      </c>
      <c r="M596" t="s">
        <v>934</v>
      </c>
      <c r="O596" t="s">
        <v>934</v>
      </c>
      <c r="Q596" t="s">
        <v>1643</v>
      </c>
      <c r="U596" t="s">
        <v>1697</v>
      </c>
      <c r="W596" t="s">
        <v>1702</v>
      </c>
      <c r="X596">
        <v>2</v>
      </c>
      <c r="AA596" s="43">
        <v>307.5</v>
      </c>
      <c r="AC596" s="43">
        <v>307.5</v>
      </c>
      <c r="AF596" s="37">
        <f t="shared" si="19"/>
        <v>46155</v>
      </c>
      <c r="AG596" s="37">
        <f t="shared" si="20"/>
        <v>47361.611570247936</v>
      </c>
      <c r="AH596" t="s">
        <v>1705</v>
      </c>
      <c r="AN596" s="43">
        <v>307.5</v>
      </c>
    </row>
    <row r="597" spans="2:40">
      <c r="B597" t="s">
        <v>935</v>
      </c>
      <c r="C597" t="s">
        <v>121</v>
      </c>
      <c r="D597" t="s">
        <v>167</v>
      </c>
      <c r="E597" t="s">
        <v>83</v>
      </c>
      <c r="F597" s="37">
        <v>45819</v>
      </c>
      <c r="G597">
        <v>10</v>
      </c>
      <c r="H597" t="s">
        <v>174</v>
      </c>
      <c r="I597" s="37">
        <v>45889</v>
      </c>
      <c r="J597" t="s">
        <v>165</v>
      </c>
      <c r="K597" t="s">
        <v>166</v>
      </c>
      <c r="L597" t="s">
        <v>175</v>
      </c>
      <c r="M597" t="s">
        <v>935</v>
      </c>
      <c r="O597" t="s">
        <v>935</v>
      </c>
      <c r="Q597" t="s">
        <v>1643</v>
      </c>
      <c r="U597" t="s">
        <v>1697</v>
      </c>
      <c r="W597" t="s">
        <v>1702</v>
      </c>
      <c r="X597">
        <v>2</v>
      </c>
      <c r="AA597" s="43">
        <v>307.5</v>
      </c>
      <c r="AC597" s="43">
        <v>307.5</v>
      </c>
      <c r="AF597" s="37">
        <f t="shared" si="19"/>
        <v>46148</v>
      </c>
      <c r="AG597" s="37">
        <f t="shared" si="20"/>
        <v>47354.611570247936</v>
      </c>
      <c r="AH597" t="s">
        <v>1705</v>
      </c>
      <c r="AN597" s="43">
        <v>307.5</v>
      </c>
    </row>
    <row r="598" spans="2:40">
      <c r="B598" t="s">
        <v>936</v>
      </c>
      <c r="C598" t="s">
        <v>121</v>
      </c>
      <c r="D598" t="s">
        <v>167</v>
      </c>
      <c r="E598" t="s">
        <v>83</v>
      </c>
      <c r="F598" s="37">
        <v>45819</v>
      </c>
      <c r="G598">
        <v>10</v>
      </c>
      <c r="H598" t="s">
        <v>174</v>
      </c>
      <c r="I598" s="37">
        <v>45889</v>
      </c>
      <c r="J598" t="s">
        <v>165</v>
      </c>
      <c r="K598" t="s">
        <v>166</v>
      </c>
      <c r="L598" t="s">
        <v>175</v>
      </c>
      <c r="M598" t="s">
        <v>936</v>
      </c>
      <c r="O598" t="s">
        <v>936</v>
      </c>
      <c r="Q598" t="s">
        <v>1643</v>
      </c>
      <c r="U598" t="s">
        <v>1697</v>
      </c>
      <c r="W598" t="s">
        <v>1702</v>
      </c>
      <c r="X598">
        <v>2</v>
      </c>
      <c r="AA598" s="43">
        <v>307.5</v>
      </c>
      <c r="AC598" s="43">
        <v>307.5</v>
      </c>
      <c r="AF598" s="37">
        <f t="shared" si="19"/>
        <v>46148</v>
      </c>
      <c r="AG598" s="37">
        <f t="shared" si="20"/>
        <v>47354.611570247936</v>
      </c>
      <c r="AH598" t="s">
        <v>1705</v>
      </c>
      <c r="AN598" s="43">
        <v>307.5</v>
      </c>
    </row>
    <row r="599" spans="2:40">
      <c r="B599" t="s">
        <v>937</v>
      </c>
      <c r="C599" t="s">
        <v>121</v>
      </c>
      <c r="D599" t="s">
        <v>167</v>
      </c>
      <c r="E599" t="s">
        <v>83</v>
      </c>
      <c r="F599" s="37">
        <v>45819</v>
      </c>
      <c r="G599">
        <v>10</v>
      </c>
      <c r="H599" t="s">
        <v>174</v>
      </c>
      <c r="I599" s="37">
        <v>45889</v>
      </c>
      <c r="J599" t="s">
        <v>165</v>
      </c>
      <c r="K599" t="s">
        <v>166</v>
      </c>
      <c r="L599" t="s">
        <v>175</v>
      </c>
      <c r="M599" t="s">
        <v>937</v>
      </c>
      <c r="O599" t="s">
        <v>937</v>
      </c>
      <c r="Q599" t="s">
        <v>1643</v>
      </c>
      <c r="U599" t="s">
        <v>1697</v>
      </c>
      <c r="W599" t="s">
        <v>1702</v>
      </c>
      <c r="X599">
        <v>2</v>
      </c>
      <c r="AA599" s="43">
        <v>307.5</v>
      </c>
      <c r="AC599" s="43">
        <v>307.5</v>
      </c>
      <c r="AF599" s="37">
        <f t="shared" si="19"/>
        <v>46148</v>
      </c>
      <c r="AG599" s="37">
        <f t="shared" si="20"/>
        <v>47354.611570247936</v>
      </c>
      <c r="AH599" t="s">
        <v>1705</v>
      </c>
      <c r="AN599" s="43">
        <v>307.5</v>
      </c>
    </row>
    <row r="600" spans="2:40">
      <c r="B600" t="s">
        <v>938</v>
      </c>
      <c r="C600" t="s">
        <v>121</v>
      </c>
      <c r="D600" t="s">
        <v>167</v>
      </c>
      <c r="E600" t="s">
        <v>83</v>
      </c>
      <c r="F600" s="37">
        <v>45819</v>
      </c>
      <c r="G600">
        <v>10</v>
      </c>
      <c r="H600" t="s">
        <v>174</v>
      </c>
      <c r="I600" s="37">
        <v>45889</v>
      </c>
      <c r="J600" t="s">
        <v>165</v>
      </c>
      <c r="K600" t="s">
        <v>166</v>
      </c>
      <c r="L600" t="s">
        <v>175</v>
      </c>
      <c r="M600" t="s">
        <v>938</v>
      </c>
      <c r="O600" t="s">
        <v>938</v>
      </c>
      <c r="Q600" t="s">
        <v>1643</v>
      </c>
      <c r="U600" t="s">
        <v>1697</v>
      </c>
      <c r="W600" t="s">
        <v>1702</v>
      </c>
      <c r="X600">
        <v>2</v>
      </c>
      <c r="AA600" s="43">
        <v>307.5</v>
      </c>
      <c r="AC600" s="43">
        <v>307.5</v>
      </c>
      <c r="AF600" s="37">
        <f t="shared" si="19"/>
        <v>46148</v>
      </c>
      <c r="AG600" s="37">
        <f t="shared" si="20"/>
        <v>47354.611570247936</v>
      </c>
      <c r="AH600" t="s">
        <v>1705</v>
      </c>
      <c r="AN600" s="43">
        <v>307.5</v>
      </c>
    </row>
    <row r="601" spans="2:40">
      <c r="B601" t="s">
        <v>939</v>
      </c>
      <c r="C601" t="s">
        <v>121</v>
      </c>
      <c r="D601" t="s">
        <v>167</v>
      </c>
      <c r="E601" t="s">
        <v>83</v>
      </c>
      <c r="F601" s="37">
        <v>45819</v>
      </c>
      <c r="G601">
        <v>10</v>
      </c>
      <c r="H601" t="s">
        <v>174</v>
      </c>
      <c r="I601" s="37">
        <v>45889</v>
      </c>
      <c r="J601" t="s">
        <v>165</v>
      </c>
      <c r="K601" t="s">
        <v>166</v>
      </c>
      <c r="L601" t="s">
        <v>175</v>
      </c>
      <c r="M601" t="s">
        <v>939</v>
      </c>
      <c r="O601" t="s">
        <v>939</v>
      </c>
      <c r="Q601" t="s">
        <v>1643</v>
      </c>
      <c r="U601" t="s">
        <v>1697</v>
      </c>
      <c r="W601" t="s">
        <v>1702</v>
      </c>
      <c r="X601">
        <v>2</v>
      </c>
      <c r="AA601" s="43">
        <v>307.5</v>
      </c>
      <c r="AC601" s="43">
        <v>307.5</v>
      </c>
      <c r="AF601" s="37">
        <f t="shared" si="19"/>
        <v>46148</v>
      </c>
      <c r="AG601" s="37">
        <f t="shared" si="20"/>
        <v>47354.611570247936</v>
      </c>
      <c r="AH601" t="s">
        <v>1705</v>
      </c>
      <c r="AN601" s="43">
        <v>307.5</v>
      </c>
    </row>
    <row r="602" spans="2:40">
      <c r="B602" t="s">
        <v>940</v>
      </c>
      <c r="C602" t="s">
        <v>121</v>
      </c>
      <c r="D602" t="s">
        <v>167</v>
      </c>
      <c r="E602" t="s">
        <v>83</v>
      </c>
      <c r="F602" s="37">
        <v>45819</v>
      </c>
      <c r="G602">
        <v>10</v>
      </c>
      <c r="H602" t="s">
        <v>174</v>
      </c>
      <c r="I602" s="37">
        <v>45889</v>
      </c>
      <c r="J602" t="s">
        <v>165</v>
      </c>
      <c r="K602" t="s">
        <v>166</v>
      </c>
      <c r="L602" t="s">
        <v>175</v>
      </c>
      <c r="M602" t="s">
        <v>940</v>
      </c>
      <c r="O602" t="s">
        <v>940</v>
      </c>
      <c r="Q602" t="s">
        <v>1643</v>
      </c>
      <c r="U602" t="s">
        <v>1697</v>
      </c>
      <c r="W602" t="s">
        <v>1702</v>
      </c>
      <c r="X602">
        <v>2</v>
      </c>
      <c r="AA602" s="43">
        <v>307.5</v>
      </c>
      <c r="AC602" s="43">
        <v>307.5</v>
      </c>
      <c r="AF602" s="37">
        <f t="shared" si="19"/>
        <v>46148</v>
      </c>
      <c r="AG602" s="37">
        <f t="shared" si="20"/>
        <v>47354.611570247936</v>
      </c>
      <c r="AH602" t="s">
        <v>1705</v>
      </c>
      <c r="AN602" s="43">
        <v>307.5</v>
      </c>
    </row>
    <row r="603" spans="2:40">
      <c r="B603" t="s">
        <v>941</v>
      </c>
      <c r="C603" t="s">
        <v>121</v>
      </c>
      <c r="D603" t="s">
        <v>167</v>
      </c>
      <c r="E603" t="s">
        <v>83</v>
      </c>
      <c r="F603" s="37">
        <v>45819</v>
      </c>
      <c r="G603">
        <v>10</v>
      </c>
      <c r="H603" t="s">
        <v>174</v>
      </c>
      <c r="I603" s="37">
        <v>45889</v>
      </c>
      <c r="J603" t="s">
        <v>165</v>
      </c>
      <c r="K603" t="s">
        <v>166</v>
      </c>
      <c r="L603" t="s">
        <v>175</v>
      </c>
      <c r="M603" t="s">
        <v>941</v>
      </c>
      <c r="O603" t="s">
        <v>941</v>
      </c>
      <c r="Q603" t="s">
        <v>1643</v>
      </c>
      <c r="U603" t="s">
        <v>1697</v>
      </c>
      <c r="W603" t="s">
        <v>1702</v>
      </c>
      <c r="X603">
        <v>2</v>
      </c>
      <c r="AA603" s="43">
        <v>307.5</v>
      </c>
      <c r="AC603" s="43">
        <v>307.5</v>
      </c>
      <c r="AF603" s="37">
        <f t="shared" si="19"/>
        <v>46148</v>
      </c>
      <c r="AG603" s="37">
        <f t="shared" si="20"/>
        <v>47354.611570247936</v>
      </c>
      <c r="AH603" t="s">
        <v>1705</v>
      </c>
      <c r="AN603" s="43">
        <v>307.5</v>
      </c>
    </row>
    <row r="604" spans="2:40">
      <c r="B604" t="s">
        <v>942</v>
      </c>
      <c r="C604" t="s">
        <v>121</v>
      </c>
      <c r="D604" t="s">
        <v>167</v>
      </c>
      <c r="E604" t="s">
        <v>83</v>
      </c>
      <c r="F604" s="37">
        <v>45819</v>
      </c>
      <c r="G604">
        <v>10</v>
      </c>
      <c r="H604" t="s">
        <v>174</v>
      </c>
      <c r="I604" s="37">
        <v>45889</v>
      </c>
      <c r="J604" t="s">
        <v>165</v>
      </c>
      <c r="K604" t="s">
        <v>166</v>
      </c>
      <c r="L604" t="s">
        <v>175</v>
      </c>
      <c r="M604" t="s">
        <v>942</v>
      </c>
      <c r="O604" t="s">
        <v>942</v>
      </c>
      <c r="Q604" t="s">
        <v>1643</v>
      </c>
      <c r="U604" t="s">
        <v>1697</v>
      </c>
      <c r="W604" t="s">
        <v>1702</v>
      </c>
      <c r="X604">
        <v>2</v>
      </c>
      <c r="AA604" s="43">
        <v>307.5</v>
      </c>
      <c r="AC604" s="43">
        <v>307.5</v>
      </c>
      <c r="AF604" s="37">
        <f t="shared" si="19"/>
        <v>46148</v>
      </c>
      <c r="AG604" s="37">
        <f t="shared" si="20"/>
        <v>47354.611570247936</v>
      </c>
      <c r="AH604" t="s">
        <v>1705</v>
      </c>
      <c r="AN604" s="43">
        <v>307.5</v>
      </c>
    </row>
    <row r="605" spans="2:40">
      <c r="B605" t="s">
        <v>943</v>
      </c>
      <c r="C605" t="s">
        <v>121</v>
      </c>
      <c r="D605" t="s">
        <v>167</v>
      </c>
      <c r="E605" t="s">
        <v>83</v>
      </c>
      <c r="F605" s="37">
        <v>45819</v>
      </c>
      <c r="G605">
        <v>10</v>
      </c>
      <c r="H605" t="s">
        <v>174</v>
      </c>
      <c r="I605" s="37">
        <v>45889</v>
      </c>
      <c r="J605" t="s">
        <v>165</v>
      </c>
      <c r="K605" t="s">
        <v>166</v>
      </c>
      <c r="L605" t="s">
        <v>175</v>
      </c>
      <c r="M605" t="s">
        <v>943</v>
      </c>
      <c r="O605" t="s">
        <v>943</v>
      </c>
      <c r="Q605" t="s">
        <v>1643</v>
      </c>
      <c r="U605" t="s">
        <v>1697</v>
      </c>
      <c r="W605" t="s">
        <v>1702</v>
      </c>
      <c r="X605">
        <v>2</v>
      </c>
      <c r="AA605" s="43">
        <v>307.5</v>
      </c>
      <c r="AC605" s="43">
        <v>307.5</v>
      </c>
      <c r="AF605" s="37">
        <f t="shared" si="19"/>
        <v>46148</v>
      </c>
      <c r="AG605" s="37">
        <f t="shared" si="20"/>
        <v>47354.611570247936</v>
      </c>
      <c r="AH605" t="s">
        <v>1705</v>
      </c>
      <c r="AN605" s="43">
        <v>307.5</v>
      </c>
    </row>
    <row r="606" spans="2:40">
      <c r="B606" t="s">
        <v>944</v>
      </c>
      <c r="C606" t="s">
        <v>121</v>
      </c>
      <c r="D606" t="s">
        <v>167</v>
      </c>
      <c r="E606" t="s">
        <v>83</v>
      </c>
      <c r="F606" s="37">
        <v>45819</v>
      </c>
      <c r="G606">
        <v>10</v>
      </c>
      <c r="H606" t="s">
        <v>174</v>
      </c>
      <c r="I606" s="37">
        <v>45889</v>
      </c>
      <c r="J606" t="s">
        <v>165</v>
      </c>
      <c r="K606" t="s">
        <v>166</v>
      </c>
      <c r="L606" t="s">
        <v>175</v>
      </c>
      <c r="M606" t="s">
        <v>944</v>
      </c>
      <c r="O606" t="s">
        <v>944</v>
      </c>
      <c r="Q606" t="s">
        <v>1643</v>
      </c>
      <c r="U606" t="s">
        <v>1697</v>
      </c>
      <c r="W606" t="s">
        <v>1702</v>
      </c>
      <c r="X606">
        <v>2</v>
      </c>
      <c r="AA606" s="43">
        <v>307.5</v>
      </c>
      <c r="AC606" s="43">
        <v>307.5</v>
      </c>
      <c r="AF606" s="37">
        <f t="shared" si="19"/>
        <v>46148</v>
      </c>
      <c r="AG606" s="37">
        <f t="shared" si="20"/>
        <v>47354.611570247936</v>
      </c>
      <c r="AH606" t="s">
        <v>1705</v>
      </c>
      <c r="AN606" s="43">
        <v>307.5</v>
      </c>
    </row>
    <row r="607" spans="2:40">
      <c r="B607" t="s">
        <v>945</v>
      </c>
      <c r="C607" t="s">
        <v>121</v>
      </c>
      <c r="D607" t="s">
        <v>167</v>
      </c>
      <c r="E607" t="s">
        <v>83</v>
      </c>
      <c r="F607" s="37">
        <v>45812</v>
      </c>
      <c r="G607">
        <v>10</v>
      </c>
      <c r="H607" t="s">
        <v>174</v>
      </c>
      <c r="I607" s="37">
        <v>45882</v>
      </c>
      <c r="J607" t="s">
        <v>165</v>
      </c>
      <c r="K607" t="s">
        <v>166</v>
      </c>
      <c r="L607" t="s">
        <v>175</v>
      </c>
      <c r="M607" t="s">
        <v>945</v>
      </c>
      <c r="O607" t="s">
        <v>945</v>
      </c>
      <c r="Q607" t="s">
        <v>1643</v>
      </c>
      <c r="U607" t="s">
        <v>1697</v>
      </c>
      <c r="W607" t="s">
        <v>1702</v>
      </c>
      <c r="X607">
        <v>2</v>
      </c>
      <c r="AA607" s="43">
        <v>307.5</v>
      </c>
      <c r="AC607" s="43">
        <v>307.5</v>
      </c>
      <c r="AF607" s="37">
        <f t="shared" si="19"/>
        <v>46141</v>
      </c>
      <c r="AG607" s="37">
        <f t="shared" si="20"/>
        <v>47347.611570247936</v>
      </c>
      <c r="AH607" t="s">
        <v>1705</v>
      </c>
      <c r="AN607" s="43">
        <v>307.5</v>
      </c>
    </row>
    <row r="608" spans="2:40">
      <c r="B608" t="s">
        <v>946</v>
      </c>
      <c r="C608" t="s">
        <v>121</v>
      </c>
      <c r="D608" t="s">
        <v>167</v>
      </c>
      <c r="E608" t="s">
        <v>83</v>
      </c>
      <c r="F608" s="37">
        <v>45812</v>
      </c>
      <c r="G608">
        <v>10</v>
      </c>
      <c r="H608" t="s">
        <v>174</v>
      </c>
      <c r="I608" s="37">
        <v>45882</v>
      </c>
      <c r="J608" t="s">
        <v>165</v>
      </c>
      <c r="K608" t="s">
        <v>166</v>
      </c>
      <c r="L608" t="s">
        <v>175</v>
      </c>
      <c r="M608" t="s">
        <v>946</v>
      </c>
      <c r="O608" t="s">
        <v>946</v>
      </c>
      <c r="Q608" t="s">
        <v>1643</v>
      </c>
      <c r="U608" t="s">
        <v>1697</v>
      </c>
      <c r="W608" t="s">
        <v>1702</v>
      </c>
      <c r="X608">
        <v>2</v>
      </c>
      <c r="AA608" s="43">
        <v>307.5</v>
      </c>
      <c r="AC608" s="43">
        <v>307.5</v>
      </c>
      <c r="AF608" s="37">
        <f t="shared" si="19"/>
        <v>46141</v>
      </c>
      <c r="AG608" s="37">
        <f t="shared" si="20"/>
        <v>47347.611570247936</v>
      </c>
      <c r="AH608" t="s">
        <v>1705</v>
      </c>
      <c r="AN608" s="43">
        <v>307.5</v>
      </c>
    </row>
    <row r="609" spans="2:40">
      <c r="B609" t="s">
        <v>947</v>
      </c>
      <c r="C609" t="s">
        <v>121</v>
      </c>
      <c r="D609" t="s">
        <v>167</v>
      </c>
      <c r="E609" t="s">
        <v>83</v>
      </c>
      <c r="F609" s="37">
        <v>45812</v>
      </c>
      <c r="G609">
        <v>10</v>
      </c>
      <c r="H609" t="s">
        <v>174</v>
      </c>
      <c r="I609" s="37">
        <v>45882</v>
      </c>
      <c r="J609" t="s">
        <v>165</v>
      </c>
      <c r="K609" t="s">
        <v>166</v>
      </c>
      <c r="L609" t="s">
        <v>175</v>
      </c>
      <c r="M609" t="s">
        <v>947</v>
      </c>
      <c r="O609" t="s">
        <v>947</v>
      </c>
      <c r="Q609" t="s">
        <v>1643</v>
      </c>
      <c r="U609" t="s">
        <v>1697</v>
      </c>
      <c r="W609" t="s">
        <v>1702</v>
      </c>
      <c r="X609">
        <v>2</v>
      </c>
      <c r="AA609" s="43">
        <v>307.5</v>
      </c>
      <c r="AC609" s="43">
        <v>307.5</v>
      </c>
      <c r="AF609" s="37">
        <f t="shared" si="19"/>
        <v>46141</v>
      </c>
      <c r="AG609" s="37">
        <f t="shared" si="20"/>
        <v>47347.611570247936</v>
      </c>
      <c r="AH609" t="s">
        <v>1705</v>
      </c>
      <c r="AN609" s="43">
        <v>307.5</v>
      </c>
    </row>
    <row r="610" spans="2:40">
      <c r="B610" t="s">
        <v>948</v>
      </c>
      <c r="C610" t="s">
        <v>121</v>
      </c>
      <c r="D610" t="s">
        <v>167</v>
      </c>
      <c r="E610" t="s">
        <v>83</v>
      </c>
      <c r="F610" s="37">
        <v>45812</v>
      </c>
      <c r="G610">
        <v>10</v>
      </c>
      <c r="H610" t="s">
        <v>174</v>
      </c>
      <c r="I610" s="37">
        <v>45882</v>
      </c>
      <c r="J610" t="s">
        <v>165</v>
      </c>
      <c r="K610" t="s">
        <v>166</v>
      </c>
      <c r="L610" t="s">
        <v>175</v>
      </c>
      <c r="M610" t="s">
        <v>948</v>
      </c>
      <c r="O610" t="s">
        <v>948</v>
      </c>
      <c r="Q610" t="s">
        <v>1643</v>
      </c>
      <c r="U610" t="s">
        <v>1697</v>
      </c>
      <c r="W610" t="s">
        <v>1702</v>
      </c>
      <c r="X610">
        <v>2</v>
      </c>
      <c r="AA610" s="43">
        <v>307.5</v>
      </c>
      <c r="AC610" s="43">
        <v>307.5</v>
      </c>
      <c r="AF610" s="37">
        <f t="shared" si="19"/>
        <v>46141</v>
      </c>
      <c r="AG610" s="37">
        <f t="shared" si="20"/>
        <v>47347.611570247936</v>
      </c>
      <c r="AH610" t="s">
        <v>1705</v>
      </c>
      <c r="AN610" s="43">
        <v>307.5</v>
      </c>
    </row>
    <row r="611" spans="2:40">
      <c r="B611" t="s">
        <v>949</v>
      </c>
      <c r="C611" t="s">
        <v>121</v>
      </c>
      <c r="D611" t="s">
        <v>167</v>
      </c>
      <c r="E611" t="s">
        <v>83</v>
      </c>
      <c r="F611" s="37">
        <v>45812</v>
      </c>
      <c r="G611">
        <v>10</v>
      </c>
      <c r="H611" t="s">
        <v>174</v>
      </c>
      <c r="I611" s="37">
        <v>45882</v>
      </c>
      <c r="J611" t="s">
        <v>165</v>
      </c>
      <c r="K611" t="s">
        <v>166</v>
      </c>
      <c r="L611" t="s">
        <v>175</v>
      </c>
      <c r="M611" t="s">
        <v>949</v>
      </c>
      <c r="O611" t="s">
        <v>949</v>
      </c>
      <c r="Q611" t="s">
        <v>1643</v>
      </c>
      <c r="U611" t="s">
        <v>1697</v>
      </c>
      <c r="W611" t="s">
        <v>1702</v>
      </c>
      <c r="X611">
        <v>2</v>
      </c>
      <c r="AA611" s="43">
        <v>307.5</v>
      </c>
      <c r="AC611" s="43">
        <v>307.5</v>
      </c>
      <c r="AF611" s="37">
        <f t="shared" si="19"/>
        <v>46141</v>
      </c>
      <c r="AG611" s="37">
        <f t="shared" si="20"/>
        <v>47347.611570247936</v>
      </c>
      <c r="AH611" t="s">
        <v>1705</v>
      </c>
      <c r="AN611" s="43">
        <v>307.5</v>
      </c>
    </row>
    <row r="612" spans="2:40">
      <c r="B612" t="s">
        <v>950</v>
      </c>
      <c r="C612" t="s">
        <v>121</v>
      </c>
      <c r="D612" t="s">
        <v>167</v>
      </c>
      <c r="E612" t="s">
        <v>83</v>
      </c>
      <c r="F612" s="37">
        <v>45812</v>
      </c>
      <c r="G612">
        <v>10</v>
      </c>
      <c r="H612" t="s">
        <v>174</v>
      </c>
      <c r="I612" s="37">
        <v>45882</v>
      </c>
      <c r="J612" t="s">
        <v>165</v>
      </c>
      <c r="K612" t="s">
        <v>166</v>
      </c>
      <c r="L612" t="s">
        <v>175</v>
      </c>
      <c r="M612" t="s">
        <v>950</v>
      </c>
      <c r="O612" t="s">
        <v>950</v>
      </c>
      <c r="Q612" t="s">
        <v>1643</v>
      </c>
      <c r="U612" t="s">
        <v>1697</v>
      </c>
      <c r="W612" t="s">
        <v>1702</v>
      </c>
      <c r="X612">
        <v>2</v>
      </c>
      <c r="AA612" s="43">
        <v>307.5</v>
      </c>
      <c r="AC612" s="43">
        <v>307.5</v>
      </c>
      <c r="AF612" s="37">
        <f t="shared" si="19"/>
        <v>46141</v>
      </c>
      <c r="AG612" s="37">
        <f t="shared" si="20"/>
        <v>47347.611570247936</v>
      </c>
      <c r="AH612" t="s">
        <v>1705</v>
      </c>
      <c r="AN612" s="43">
        <v>307.5</v>
      </c>
    </row>
    <row r="613" spans="2:40">
      <c r="B613" t="s">
        <v>951</v>
      </c>
      <c r="C613" t="s">
        <v>121</v>
      </c>
      <c r="D613" t="s">
        <v>167</v>
      </c>
      <c r="E613" t="s">
        <v>83</v>
      </c>
      <c r="F613" s="37">
        <v>45812</v>
      </c>
      <c r="G613">
        <v>10</v>
      </c>
      <c r="H613" t="s">
        <v>174</v>
      </c>
      <c r="I613" s="37">
        <v>45882</v>
      </c>
      <c r="J613" t="s">
        <v>165</v>
      </c>
      <c r="K613" t="s">
        <v>166</v>
      </c>
      <c r="L613" t="s">
        <v>175</v>
      </c>
      <c r="M613" t="s">
        <v>951</v>
      </c>
      <c r="O613" t="s">
        <v>951</v>
      </c>
      <c r="Q613" t="s">
        <v>1643</v>
      </c>
      <c r="U613" t="s">
        <v>1697</v>
      </c>
      <c r="W613" t="s">
        <v>1702</v>
      </c>
      <c r="X613">
        <v>2</v>
      </c>
      <c r="AA613" s="43">
        <v>307.5</v>
      </c>
      <c r="AC613" s="43">
        <v>307.5</v>
      </c>
      <c r="AF613" s="37">
        <f t="shared" si="19"/>
        <v>46141</v>
      </c>
      <c r="AG613" s="37">
        <f t="shared" si="20"/>
        <v>47347.611570247936</v>
      </c>
      <c r="AH613" t="s">
        <v>1705</v>
      </c>
      <c r="AN613" s="43">
        <v>307.5</v>
      </c>
    </row>
    <row r="614" spans="2:40">
      <c r="B614" t="s">
        <v>952</v>
      </c>
      <c r="C614" t="s">
        <v>121</v>
      </c>
      <c r="D614" t="s">
        <v>167</v>
      </c>
      <c r="E614" t="s">
        <v>83</v>
      </c>
      <c r="F614" s="37">
        <v>45812</v>
      </c>
      <c r="G614">
        <v>10</v>
      </c>
      <c r="H614" t="s">
        <v>174</v>
      </c>
      <c r="I614" s="37">
        <v>45882</v>
      </c>
      <c r="J614" t="s">
        <v>165</v>
      </c>
      <c r="K614" t="s">
        <v>166</v>
      </c>
      <c r="L614" t="s">
        <v>175</v>
      </c>
      <c r="M614" t="s">
        <v>952</v>
      </c>
      <c r="O614" t="s">
        <v>952</v>
      </c>
      <c r="Q614" t="s">
        <v>1643</v>
      </c>
      <c r="U614" t="s">
        <v>1697</v>
      </c>
      <c r="W614" t="s">
        <v>1702</v>
      </c>
      <c r="X614">
        <v>2</v>
      </c>
      <c r="AA614" s="43">
        <v>307.5</v>
      </c>
      <c r="AC614" s="43">
        <v>307.5</v>
      </c>
      <c r="AF614" s="37">
        <f t="shared" si="19"/>
        <v>46141</v>
      </c>
      <c r="AG614" s="37">
        <f t="shared" si="20"/>
        <v>47347.611570247936</v>
      </c>
      <c r="AH614" t="s">
        <v>1705</v>
      </c>
      <c r="AN614" s="43">
        <v>307.5</v>
      </c>
    </row>
    <row r="615" spans="2:40">
      <c r="B615" t="s">
        <v>953</v>
      </c>
      <c r="C615" t="s">
        <v>121</v>
      </c>
      <c r="D615" t="s">
        <v>167</v>
      </c>
      <c r="E615" t="s">
        <v>83</v>
      </c>
      <c r="F615" s="37">
        <v>45805</v>
      </c>
      <c r="G615">
        <v>10</v>
      </c>
      <c r="H615" t="s">
        <v>174</v>
      </c>
      <c r="I615" s="37">
        <v>45875</v>
      </c>
      <c r="J615" t="s">
        <v>165</v>
      </c>
      <c r="K615" t="s">
        <v>166</v>
      </c>
      <c r="L615" t="s">
        <v>175</v>
      </c>
      <c r="M615" t="s">
        <v>953</v>
      </c>
      <c r="O615" t="s">
        <v>953</v>
      </c>
      <c r="Q615" t="s">
        <v>1643</v>
      </c>
      <c r="U615" t="s">
        <v>1697</v>
      </c>
      <c r="W615" t="s">
        <v>1702</v>
      </c>
      <c r="X615">
        <v>2</v>
      </c>
      <c r="AA615" s="43">
        <v>307.5</v>
      </c>
      <c r="AC615" s="43">
        <v>307.5</v>
      </c>
      <c r="AF615" s="37">
        <f t="shared" si="19"/>
        <v>46134</v>
      </c>
      <c r="AG615" s="37">
        <f t="shared" si="20"/>
        <v>47340.611570247936</v>
      </c>
      <c r="AH615" t="s">
        <v>1705</v>
      </c>
      <c r="AN615" s="43">
        <v>307.5</v>
      </c>
    </row>
    <row r="616" spans="2:40">
      <c r="B616" t="s">
        <v>954</v>
      </c>
      <c r="C616" t="s">
        <v>121</v>
      </c>
      <c r="D616" t="s">
        <v>167</v>
      </c>
      <c r="E616" t="s">
        <v>83</v>
      </c>
      <c r="F616" s="37">
        <v>45805</v>
      </c>
      <c r="G616">
        <v>10</v>
      </c>
      <c r="H616" t="s">
        <v>174</v>
      </c>
      <c r="I616" s="37">
        <v>45875</v>
      </c>
      <c r="J616" t="s">
        <v>165</v>
      </c>
      <c r="K616" t="s">
        <v>166</v>
      </c>
      <c r="L616" t="s">
        <v>175</v>
      </c>
      <c r="M616" t="s">
        <v>954</v>
      </c>
      <c r="O616" t="s">
        <v>954</v>
      </c>
      <c r="Q616" t="s">
        <v>1643</v>
      </c>
      <c r="U616" t="s">
        <v>1697</v>
      </c>
      <c r="W616" t="s">
        <v>1702</v>
      </c>
      <c r="X616">
        <v>2</v>
      </c>
      <c r="AA616" s="43">
        <v>307.5</v>
      </c>
      <c r="AC616" s="43">
        <v>307.5</v>
      </c>
      <c r="AF616" s="37">
        <f t="shared" si="19"/>
        <v>46134</v>
      </c>
      <c r="AG616" s="37">
        <f t="shared" si="20"/>
        <v>47340.611570247936</v>
      </c>
      <c r="AH616" t="s">
        <v>1705</v>
      </c>
      <c r="AN616" s="43">
        <v>307.5</v>
      </c>
    </row>
    <row r="617" spans="2:40">
      <c r="B617" t="s">
        <v>955</v>
      </c>
      <c r="C617" t="s">
        <v>121</v>
      </c>
      <c r="D617" t="s">
        <v>167</v>
      </c>
      <c r="E617" t="s">
        <v>83</v>
      </c>
      <c r="F617" s="37">
        <v>45805</v>
      </c>
      <c r="G617">
        <v>10</v>
      </c>
      <c r="H617" t="s">
        <v>174</v>
      </c>
      <c r="I617" s="37">
        <v>45875</v>
      </c>
      <c r="J617" t="s">
        <v>165</v>
      </c>
      <c r="K617" t="s">
        <v>166</v>
      </c>
      <c r="L617" t="s">
        <v>175</v>
      </c>
      <c r="M617" t="s">
        <v>955</v>
      </c>
      <c r="O617" t="s">
        <v>955</v>
      </c>
      <c r="Q617" t="s">
        <v>1643</v>
      </c>
      <c r="U617" t="s">
        <v>1697</v>
      </c>
      <c r="W617" t="s">
        <v>1702</v>
      </c>
      <c r="X617">
        <v>2</v>
      </c>
      <c r="AA617" s="43">
        <v>307.5</v>
      </c>
      <c r="AC617" s="43">
        <v>307.5</v>
      </c>
      <c r="AF617" s="37">
        <f t="shared" si="19"/>
        <v>46134</v>
      </c>
      <c r="AG617" s="37">
        <f t="shared" si="20"/>
        <v>47340.611570247936</v>
      </c>
      <c r="AH617" t="s">
        <v>1705</v>
      </c>
      <c r="AN617" s="43">
        <v>307.5</v>
      </c>
    </row>
    <row r="618" spans="2:40">
      <c r="B618" t="s">
        <v>956</v>
      </c>
      <c r="C618" t="s">
        <v>121</v>
      </c>
      <c r="D618" t="s">
        <v>167</v>
      </c>
      <c r="E618" t="s">
        <v>83</v>
      </c>
      <c r="F618" s="37">
        <v>45805</v>
      </c>
      <c r="G618">
        <v>10</v>
      </c>
      <c r="H618" t="s">
        <v>174</v>
      </c>
      <c r="I618" s="37">
        <v>45875</v>
      </c>
      <c r="J618" t="s">
        <v>165</v>
      </c>
      <c r="K618" t="s">
        <v>166</v>
      </c>
      <c r="L618" t="s">
        <v>175</v>
      </c>
      <c r="M618" t="s">
        <v>956</v>
      </c>
      <c r="O618" t="s">
        <v>956</v>
      </c>
      <c r="Q618" t="s">
        <v>1643</v>
      </c>
      <c r="U618" t="s">
        <v>1697</v>
      </c>
      <c r="W618" t="s">
        <v>1702</v>
      </c>
      <c r="X618">
        <v>2</v>
      </c>
      <c r="AA618" s="43">
        <v>307.5</v>
      </c>
      <c r="AC618" s="43">
        <v>307.5</v>
      </c>
      <c r="AF618" s="37">
        <f t="shared" si="19"/>
        <v>46134</v>
      </c>
      <c r="AG618" s="37">
        <f t="shared" si="20"/>
        <v>47340.611570247936</v>
      </c>
      <c r="AH618" t="s">
        <v>1705</v>
      </c>
      <c r="AN618" s="43">
        <v>307.5</v>
      </c>
    </row>
    <row r="619" spans="2:40">
      <c r="B619" t="s">
        <v>957</v>
      </c>
      <c r="C619" t="s">
        <v>121</v>
      </c>
      <c r="D619" t="s">
        <v>167</v>
      </c>
      <c r="E619" t="s">
        <v>83</v>
      </c>
      <c r="F619" s="37">
        <v>45805</v>
      </c>
      <c r="G619">
        <v>10</v>
      </c>
      <c r="H619" t="s">
        <v>174</v>
      </c>
      <c r="I619" s="37">
        <v>45875</v>
      </c>
      <c r="J619" t="s">
        <v>165</v>
      </c>
      <c r="K619" t="s">
        <v>166</v>
      </c>
      <c r="L619" t="s">
        <v>175</v>
      </c>
      <c r="M619" t="s">
        <v>957</v>
      </c>
      <c r="O619" t="s">
        <v>957</v>
      </c>
      <c r="Q619" t="s">
        <v>1643</v>
      </c>
      <c r="U619" t="s">
        <v>1697</v>
      </c>
      <c r="W619" t="s">
        <v>1702</v>
      </c>
      <c r="X619">
        <v>2</v>
      </c>
      <c r="AA619" s="43">
        <v>307.5</v>
      </c>
      <c r="AC619" s="43">
        <v>307.5</v>
      </c>
      <c r="AF619" s="37">
        <f t="shared" si="19"/>
        <v>46134</v>
      </c>
      <c r="AG619" s="37">
        <f t="shared" si="20"/>
        <v>47340.611570247936</v>
      </c>
      <c r="AH619" t="s">
        <v>1705</v>
      </c>
      <c r="AN619" s="43">
        <v>307.5</v>
      </c>
    </row>
    <row r="620" spans="2:40">
      <c r="B620" t="s">
        <v>958</v>
      </c>
      <c r="C620" t="s">
        <v>121</v>
      </c>
      <c r="D620" t="s">
        <v>167</v>
      </c>
      <c r="E620" t="s">
        <v>83</v>
      </c>
      <c r="F620" s="37">
        <v>45805</v>
      </c>
      <c r="G620">
        <v>10</v>
      </c>
      <c r="H620" t="s">
        <v>174</v>
      </c>
      <c r="I620" s="37">
        <v>45875</v>
      </c>
      <c r="J620" t="s">
        <v>165</v>
      </c>
      <c r="K620" t="s">
        <v>166</v>
      </c>
      <c r="L620" t="s">
        <v>175</v>
      </c>
      <c r="M620" t="s">
        <v>958</v>
      </c>
      <c r="O620" t="s">
        <v>958</v>
      </c>
      <c r="Q620" t="s">
        <v>1643</v>
      </c>
      <c r="U620" t="s">
        <v>1697</v>
      </c>
      <c r="W620" t="s">
        <v>1702</v>
      </c>
      <c r="X620">
        <v>2</v>
      </c>
      <c r="AA620" s="43">
        <v>307.5</v>
      </c>
      <c r="AC620" s="43">
        <v>307.5</v>
      </c>
      <c r="AF620" s="37">
        <f t="shared" si="19"/>
        <v>46134</v>
      </c>
      <c r="AG620" s="37">
        <f t="shared" si="20"/>
        <v>47340.611570247936</v>
      </c>
      <c r="AH620" t="s">
        <v>1705</v>
      </c>
      <c r="AN620" s="43">
        <v>307.5</v>
      </c>
    </row>
    <row r="621" spans="2:40">
      <c r="B621" t="s">
        <v>959</v>
      </c>
      <c r="C621" t="s">
        <v>121</v>
      </c>
      <c r="D621" t="s">
        <v>167</v>
      </c>
      <c r="E621" t="s">
        <v>83</v>
      </c>
      <c r="F621" s="37">
        <v>45805</v>
      </c>
      <c r="G621">
        <v>10</v>
      </c>
      <c r="H621" t="s">
        <v>174</v>
      </c>
      <c r="I621" s="37">
        <v>45875</v>
      </c>
      <c r="J621" t="s">
        <v>165</v>
      </c>
      <c r="K621" t="s">
        <v>166</v>
      </c>
      <c r="L621" t="s">
        <v>175</v>
      </c>
      <c r="M621" t="s">
        <v>959</v>
      </c>
      <c r="O621" t="s">
        <v>959</v>
      </c>
      <c r="Q621" t="s">
        <v>1643</v>
      </c>
      <c r="U621" t="s">
        <v>1697</v>
      </c>
      <c r="W621" t="s">
        <v>1702</v>
      </c>
      <c r="X621">
        <v>2</v>
      </c>
      <c r="AA621" s="43">
        <v>307.5</v>
      </c>
      <c r="AC621" s="43">
        <v>307.5</v>
      </c>
      <c r="AF621" s="37">
        <f t="shared" si="19"/>
        <v>46134</v>
      </c>
      <c r="AG621" s="37">
        <f t="shared" si="20"/>
        <v>47340.611570247936</v>
      </c>
      <c r="AH621" t="s">
        <v>1705</v>
      </c>
      <c r="AN621" s="43">
        <v>307.5</v>
      </c>
    </row>
    <row r="622" spans="2:40">
      <c r="B622" t="s">
        <v>960</v>
      </c>
      <c r="C622" t="s">
        <v>121</v>
      </c>
      <c r="D622" t="s">
        <v>167</v>
      </c>
      <c r="E622" t="s">
        <v>83</v>
      </c>
      <c r="F622" s="37">
        <v>45805</v>
      </c>
      <c r="G622">
        <v>10</v>
      </c>
      <c r="H622" t="s">
        <v>174</v>
      </c>
      <c r="I622" s="37">
        <v>45875</v>
      </c>
      <c r="J622" t="s">
        <v>165</v>
      </c>
      <c r="K622" t="s">
        <v>166</v>
      </c>
      <c r="L622" t="s">
        <v>175</v>
      </c>
      <c r="M622" t="s">
        <v>960</v>
      </c>
      <c r="O622" t="s">
        <v>960</v>
      </c>
      <c r="Q622" t="s">
        <v>1643</v>
      </c>
      <c r="U622" t="s">
        <v>1697</v>
      </c>
      <c r="W622" t="s">
        <v>1702</v>
      </c>
      <c r="X622">
        <v>2</v>
      </c>
      <c r="AA622" s="43">
        <v>307.5</v>
      </c>
      <c r="AC622" s="43">
        <v>307.5</v>
      </c>
      <c r="AF622" s="37">
        <f t="shared" si="19"/>
        <v>46134</v>
      </c>
      <c r="AG622" s="37">
        <f t="shared" si="20"/>
        <v>47340.611570247936</v>
      </c>
      <c r="AH622" t="s">
        <v>1705</v>
      </c>
      <c r="AN622" s="43">
        <v>307.5</v>
      </c>
    </row>
    <row r="623" spans="2:40">
      <c r="B623" t="s">
        <v>961</v>
      </c>
      <c r="C623" t="s">
        <v>121</v>
      </c>
      <c r="D623" t="s">
        <v>167</v>
      </c>
      <c r="E623" t="s">
        <v>83</v>
      </c>
      <c r="F623" s="37">
        <v>45805</v>
      </c>
      <c r="G623">
        <v>10</v>
      </c>
      <c r="H623" t="s">
        <v>174</v>
      </c>
      <c r="I623" s="37">
        <v>45875</v>
      </c>
      <c r="J623" t="s">
        <v>165</v>
      </c>
      <c r="K623" t="s">
        <v>166</v>
      </c>
      <c r="L623" t="s">
        <v>175</v>
      </c>
      <c r="M623" t="s">
        <v>961</v>
      </c>
      <c r="O623" t="s">
        <v>961</v>
      </c>
      <c r="Q623" t="s">
        <v>1643</v>
      </c>
      <c r="U623" t="s">
        <v>1697</v>
      </c>
      <c r="W623" t="s">
        <v>1702</v>
      </c>
      <c r="X623">
        <v>2</v>
      </c>
      <c r="AA623" s="43">
        <v>307.5</v>
      </c>
      <c r="AC623" s="43">
        <v>307.5</v>
      </c>
      <c r="AF623" s="37">
        <f t="shared" si="19"/>
        <v>46134</v>
      </c>
      <c r="AG623" s="37">
        <f t="shared" si="20"/>
        <v>47340.611570247936</v>
      </c>
      <c r="AH623" t="s">
        <v>1705</v>
      </c>
      <c r="AN623" s="43">
        <v>307.5</v>
      </c>
    </row>
    <row r="624" spans="2:40">
      <c r="B624" t="s">
        <v>962</v>
      </c>
      <c r="C624" t="s">
        <v>121</v>
      </c>
      <c r="D624" t="s">
        <v>167</v>
      </c>
      <c r="E624" t="s">
        <v>83</v>
      </c>
      <c r="F624" s="37">
        <v>45798</v>
      </c>
      <c r="G624">
        <v>10</v>
      </c>
      <c r="H624" t="s">
        <v>174</v>
      </c>
      <c r="I624" s="37">
        <v>45868</v>
      </c>
      <c r="J624" t="s">
        <v>165</v>
      </c>
      <c r="K624" t="s">
        <v>166</v>
      </c>
      <c r="L624" t="s">
        <v>175</v>
      </c>
      <c r="M624" t="s">
        <v>962</v>
      </c>
      <c r="O624" t="s">
        <v>962</v>
      </c>
      <c r="Q624" t="s">
        <v>1643</v>
      </c>
      <c r="U624" t="s">
        <v>1697</v>
      </c>
      <c r="W624" t="s">
        <v>1702</v>
      </c>
      <c r="X624">
        <v>2</v>
      </c>
      <c r="AA624" s="43">
        <v>307.5</v>
      </c>
      <c r="AC624" s="43">
        <v>307.5</v>
      </c>
      <c r="AF624" s="37">
        <f t="shared" si="19"/>
        <v>46127</v>
      </c>
      <c r="AG624" s="37">
        <f t="shared" si="20"/>
        <v>47333.611570247936</v>
      </c>
      <c r="AH624" t="s">
        <v>1705</v>
      </c>
      <c r="AN624" s="43">
        <v>307.5</v>
      </c>
    </row>
    <row r="625" spans="2:40">
      <c r="B625" t="s">
        <v>963</v>
      </c>
      <c r="C625" t="s">
        <v>121</v>
      </c>
      <c r="D625" t="s">
        <v>167</v>
      </c>
      <c r="E625" t="s">
        <v>83</v>
      </c>
      <c r="F625" s="37">
        <v>45798</v>
      </c>
      <c r="G625">
        <v>10</v>
      </c>
      <c r="H625" t="s">
        <v>174</v>
      </c>
      <c r="I625" s="37">
        <v>45868</v>
      </c>
      <c r="J625" t="s">
        <v>165</v>
      </c>
      <c r="K625" t="s">
        <v>166</v>
      </c>
      <c r="L625" t="s">
        <v>175</v>
      </c>
      <c r="M625" t="s">
        <v>963</v>
      </c>
      <c r="O625" t="s">
        <v>963</v>
      </c>
      <c r="Q625" t="s">
        <v>1643</v>
      </c>
      <c r="U625" t="s">
        <v>1697</v>
      </c>
      <c r="W625" t="s">
        <v>1702</v>
      </c>
      <c r="X625">
        <v>2</v>
      </c>
      <c r="AA625" s="43">
        <v>307.5</v>
      </c>
      <c r="AC625" s="43">
        <v>307.5</v>
      </c>
      <c r="AF625" s="37">
        <f t="shared" si="19"/>
        <v>46127</v>
      </c>
      <c r="AG625" s="37">
        <f t="shared" si="20"/>
        <v>47333.611570247936</v>
      </c>
      <c r="AH625" t="s">
        <v>1705</v>
      </c>
      <c r="AN625" s="43">
        <v>307.5</v>
      </c>
    </row>
    <row r="626" spans="2:40">
      <c r="B626" t="s">
        <v>964</v>
      </c>
      <c r="C626" t="s">
        <v>121</v>
      </c>
      <c r="D626" t="s">
        <v>167</v>
      </c>
      <c r="E626" t="s">
        <v>83</v>
      </c>
      <c r="F626" s="37">
        <v>45798</v>
      </c>
      <c r="G626">
        <v>10</v>
      </c>
      <c r="H626" t="s">
        <v>174</v>
      </c>
      <c r="I626" s="37">
        <v>45868</v>
      </c>
      <c r="J626" t="s">
        <v>165</v>
      </c>
      <c r="K626" t="s">
        <v>166</v>
      </c>
      <c r="L626" t="s">
        <v>175</v>
      </c>
      <c r="M626" t="s">
        <v>964</v>
      </c>
      <c r="O626" t="s">
        <v>964</v>
      </c>
      <c r="Q626" t="s">
        <v>1643</v>
      </c>
      <c r="U626" t="s">
        <v>1697</v>
      </c>
      <c r="W626" t="s">
        <v>1702</v>
      </c>
      <c r="X626">
        <v>2</v>
      </c>
      <c r="AA626" s="43">
        <v>307.5</v>
      </c>
      <c r="AC626" s="43">
        <v>307.5</v>
      </c>
      <c r="AF626" s="37">
        <f t="shared" si="19"/>
        <v>46127</v>
      </c>
      <c r="AG626" s="37">
        <f t="shared" si="20"/>
        <v>47333.611570247936</v>
      </c>
      <c r="AH626" t="s">
        <v>1705</v>
      </c>
      <c r="AN626" s="43">
        <v>307.5</v>
      </c>
    </row>
    <row r="627" spans="2:40">
      <c r="B627" t="s">
        <v>965</v>
      </c>
      <c r="C627" t="s">
        <v>121</v>
      </c>
      <c r="D627" t="s">
        <v>167</v>
      </c>
      <c r="E627" t="s">
        <v>83</v>
      </c>
      <c r="F627" s="37">
        <v>45798</v>
      </c>
      <c r="G627">
        <v>10</v>
      </c>
      <c r="H627" t="s">
        <v>174</v>
      </c>
      <c r="I627" s="37">
        <v>45868</v>
      </c>
      <c r="J627" t="s">
        <v>165</v>
      </c>
      <c r="K627" t="s">
        <v>166</v>
      </c>
      <c r="L627" t="s">
        <v>175</v>
      </c>
      <c r="M627" t="s">
        <v>965</v>
      </c>
      <c r="O627" t="s">
        <v>965</v>
      </c>
      <c r="Q627" t="s">
        <v>1643</v>
      </c>
      <c r="U627" t="s">
        <v>1697</v>
      </c>
      <c r="W627" t="s">
        <v>1702</v>
      </c>
      <c r="X627">
        <v>2</v>
      </c>
      <c r="AA627" s="43">
        <v>307.5</v>
      </c>
      <c r="AC627" s="43">
        <v>307.5</v>
      </c>
      <c r="AF627" s="37">
        <f t="shared" si="19"/>
        <v>46127</v>
      </c>
      <c r="AG627" s="37">
        <f t="shared" si="20"/>
        <v>47333.611570247936</v>
      </c>
      <c r="AH627" t="s">
        <v>1705</v>
      </c>
      <c r="AN627" s="43">
        <v>307.5</v>
      </c>
    </row>
    <row r="628" spans="2:40">
      <c r="B628" t="s">
        <v>966</v>
      </c>
      <c r="C628" t="s">
        <v>121</v>
      </c>
      <c r="D628" t="s">
        <v>167</v>
      </c>
      <c r="E628" t="s">
        <v>83</v>
      </c>
      <c r="F628" s="37">
        <v>45798</v>
      </c>
      <c r="G628">
        <v>10</v>
      </c>
      <c r="H628" t="s">
        <v>174</v>
      </c>
      <c r="I628" s="37">
        <v>45868</v>
      </c>
      <c r="J628" t="s">
        <v>165</v>
      </c>
      <c r="K628" t="s">
        <v>166</v>
      </c>
      <c r="L628" t="s">
        <v>175</v>
      </c>
      <c r="M628" t="s">
        <v>966</v>
      </c>
      <c r="O628" t="s">
        <v>966</v>
      </c>
      <c r="Q628" t="s">
        <v>1643</v>
      </c>
      <c r="U628" t="s">
        <v>1697</v>
      </c>
      <c r="W628" t="s">
        <v>1702</v>
      </c>
      <c r="X628">
        <v>2</v>
      </c>
      <c r="AA628" s="43">
        <v>307.5</v>
      </c>
      <c r="AC628" s="43">
        <v>307.5</v>
      </c>
      <c r="AF628" s="37">
        <f t="shared" si="19"/>
        <v>46127</v>
      </c>
      <c r="AG628" s="37">
        <f t="shared" si="20"/>
        <v>47333.611570247936</v>
      </c>
      <c r="AH628" t="s">
        <v>1705</v>
      </c>
      <c r="AN628" s="43">
        <v>307.5</v>
      </c>
    </row>
    <row r="629" spans="2:40">
      <c r="B629" t="s">
        <v>967</v>
      </c>
      <c r="C629" t="s">
        <v>121</v>
      </c>
      <c r="D629" t="s">
        <v>167</v>
      </c>
      <c r="E629" t="s">
        <v>83</v>
      </c>
      <c r="F629" s="37">
        <v>45798</v>
      </c>
      <c r="G629">
        <v>10</v>
      </c>
      <c r="H629" t="s">
        <v>174</v>
      </c>
      <c r="I629" s="37">
        <v>45868</v>
      </c>
      <c r="J629" t="s">
        <v>165</v>
      </c>
      <c r="K629" t="s">
        <v>166</v>
      </c>
      <c r="L629" t="s">
        <v>175</v>
      </c>
      <c r="M629" t="s">
        <v>967</v>
      </c>
      <c r="O629" t="s">
        <v>967</v>
      </c>
      <c r="Q629" t="s">
        <v>1643</v>
      </c>
      <c r="U629" t="s">
        <v>1697</v>
      </c>
      <c r="W629" t="s">
        <v>1702</v>
      </c>
      <c r="X629">
        <v>2</v>
      </c>
      <c r="AA629" s="43">
        <v>307.5</v>
      </c>
      <c r="AC629" s="43">
        <v>307.5</v>
      </c>
      <c r="AF629" s="37">
        <f t="shared" si="19"/>
        <v>46127</v>
      </c>
      <c r="AG629" s="37">
        <f t="shared" si="20"/>
        <v>47333.611570247936</v>
      </c>
      <c r="AH629" t="s">
        <v>1705</v>
      </c>
      <c r="AN629" s="43">
        <v>307.5</v>
      </c>
    </row>
    <row r="630" spans="2:40">
      <c r="B630" t="s">
        <v>968</v>
      </c>
      <c r="C630" t="s">
        <v>121</v>
      </c>
      <c r="D630" t="s">
        <v>167</v>
      </c>
      <c r="E630" t="s">
        <v>83</v>
      </c>
      <c r="F630" s="37">
        <v>45798</v>
      </c>
      <c r="G630">
        <v>10</v>
      </c>
      <c r="H630" t="s">
        <v>174</v>
      </c>
      <c r="I630" s="37">
        <v>45868</v>
      </c>
      <c r="J630" t="s">
        <v>165</v>
      </c>
      <c r="K630" t="s">
        <v>166</v>
      </c>
      <c r="L630" t="s">
        <v>175</v>
      </c>
      <c r="M630" t="s">
        <v>968</v>
      </c>
      <c r="O630" t="s">
        <v>968</v>
      </c>
      <c r="Q630" t="s">
        <v>1643</v>
      </c>
      <c r="U630" t="s">
        <v>1697</v>
      </c>
      <c r="W630" t="s">
        <v>1702</v>
      </c>
      <c r="X630">
        <v>2</v>
      </c>
      <c r="AA630" s="43">
        <v>307.5</v>
      </c>
      <c r="AC630" s="43">
        <v>307.5</v>
      </c>
      <c r="AF630" s="37">
        <f t="shared" si="19"/>
        <v>46127</v>
      </c>
      <c r="AG630" s="37">
        <f t="shared" si="20"/>
        <v>47333.611570247936</v>
      </c>
      <c r="AH630" t="s">
        <v>1705</v>
      </c>
      <c r="AN630" s="43">
        <v>307.5</v>
      </c>
    </row>
    <row r="631" spans="2:40">
      <c r="B631" t="s">
        <v>969</v>
      </c>
      <c r="C631" t="s">
        <v>121</v>
      </c>
      <c r="D631" t="s">
        <v>167</v>
      </c>
      <c r="E631" t="s">
        <v>83</v>
      </c>
      <c r="F631" s="37">
        <v>45791</v>
      </c>
      <c r="G631">
        <v>10</v>
      </c>
      <c r="H631" t="s">
        <v>174</v>
      </c>
      <c r="I631" s="37">
        <v>45861</v>
      </c>
      <c r="J631" t="s">
        <v>165</v>
      </c>
      <c r="K631" t="s">
        <v>166</v>
      </c>
      <c r="L631" t="s">
        <v>175</v>
      </c>
      <c r="M631" t="s">
        <v>969</v>
      </c>
      <c r="O631" t="s">
        <v>969</v>
      </c>
      <c r="Q631" t="s">
        <v>1643</v>
      </c>
      <c r="U631" t="s">
        <v>1697</v>
      </c>
      <c r="W631" t="s">
        <v>1702</v>
      </c>
      <c r="X631">
        <v>2</v>
      </c>
      <c r="AA631" s="43">
        <v>307.5</v>
      </c>
      <c r="AC631" s="43">
        <v>307.5</v>
      </c>
      <c r="AF631" s="37">
        <f t="shared" si="19"/>
        <v>46120</v>
      </c>
      <c r="AG631" s="37">
        <f t="shared" si="20"/>
        <v>47326.611570247936</v>
      </c>
      <c r="AH631" t="s">
        <v>1705</v>
      </c>
      <c r="AN631" s="43">
        <v>307.5</v>
      </c>
    </row>
    <row r="632" spans="2:40">
      <c r="B632" t="s">
        <v>970</v>
      </c>
      <c r="C632" t="s">
        <v>121</v>
      </c>
      <c r="D632" t="s">
        <v>167</v>
      </c>
      <c r="E632" t="s">
        <v>83</v>
      </c>
      <c r="F632" s="37">
        <v>45791</v>
      </c>
      <c r="G632">
        <v>10</v>
      </c>
      <c r="H632" t="s">
        <v>174</v>
      </c>
      <c r="I632" s="37">
        <v>45861</v>
      </c>
      <c r="J632" t="s">
        <v>165</v>
      </c>
      <c r="K632" t="s">
        <v>166</v>
      </c>
      <c r="L632" t="s">
        <v>175</v>
      </c>
      <c r="M632" t="s">
        <v>970</v>
      </c>
      <c r="O632" t="s">
        <v>970</v>
      </c>
      <c r="Q632" t="s">
        <v>1643</v>
      </c>
      <c r="U632" t="s">
        <v>1697</v>
      </c>
      <c r="W632" t="s">
        <v>1702</v>
      </c>
      <c r="X632">
        <v>2</v>
      </c>
      <c r="AA632" s="43">
        <v>307.5</v>
      </c>
      <c r="AC632" s="43">
        <v>307.5</v>
      </c>
      <c r="AF632" s="37">
        <f t="shared" si="19"/>
        <v>46120</v>
      </c>
      <c r="AG632" s="37">
        <f t="shared" si="20"/>
        <v>47326.611570247936</v>
      </c>
      <c r="AH632" t="s">
        <v>1705</v>
      </c>
      <c r="AN632" s="43">
        <v>307.5</v>
      </c>
    </row>
    <row r="633" spans="2:40">
      <c r="B633" t="s">
        <v>971</v>
      </c>
      <c r="C633" t="s">
        <v>121</v>
      </c>
      <c r="D633" t="s">
        <v>167</v>
      </c>
      <c r="E633" t="s">
        <v>83</v>
      </c>
      <c r="F633" s="37">
        <v>45791</v>
      </c>
      <c r="G633">
        <v>10</v>
      </c>
      <c r="H633" t="s">
        <v>174</v>
      </c>
      <c r="I633" s="37">
        <v>45861</v>
      </c>
      <c r="J633" t="s">
        <v>165</v>
      </c>
      <c r="K633" t="s">
        <v>166</v>
      </c>
      <c r="L633" t="s">
        <v>175</v>
      </c>
      <c r="M633" t="s">
        <v>971</v>
      </c>
      <c r="O633" t="s">
        <v>971</v>
      </c>
      <c r="Q633" t="s">
        <v>1643</v>
      </c>
      <c r="U633" t="s">
        <v>1697</v>
      </c>
      <c r="W633" t="s">
        <v>1702</v>
      </c>
      <c r="X633">
        <v>2</v>
      </c>
      <c r="AA633" s="43">
        <v>307.5</v>
      </c>
      <c r="AC633" s="43">
        <v>307.5</v>
      </c>
      <c r="AF633" s="37">
        <f t="shared" si="19"/>
        <v>46120</v>
      </c>
      <c r="AG633" s="37">
        <f t="shared" si="20"/>
        <v>47326.611570247936</v>
      </c>
      <c r="AH633" t="s">
        <v>1705</v>
      </c>
      <c r="AN633" s="43">
        <v>307.5</v>
      </c>
    </row>
    <row r="634" spans="2:40">
      <c r="B634" t="s">
        <v>972</v>
      </c>
      <c r="C634" t="s">
        <v>121</v>
      </c>
      <c r="D634" t="s">
        <v>167</v>
      </c>
      <c r="E634" t="s">
        <v>83</v>
      </c>
      <c r="F634" s="37">
        <v>45791</v>
      </c>
      <c r="G634">
        <v>10</v>
      </c>
      <c r="H634" t="s">
        <v>174</v>
      </c>
      <c r="I634" s="37">
        <v>45861</v>
      </c>
      <c r="J634" t="s">
        <v>165</v>
      </c>
      <c r="K634" t="s">
        <v>166</v>
      </c>
      <c r="L634" t="s">
        <v>175</v>
      </c>
      <c r="M634" t="s">
        <v>972</v>
      </c>
      <c r="O634" t="s">
        <v>972</v>
      </c>
      <c r="Q634" t="s">
        <v>1643</v>
      </c>
      <c r="U634" t="s">
        <v>1697</v>
      </c>
      <c r="W634" t="s">
        <v>1702</v>
      </c>
      <c r="X634">
        <v>2</v>
      </c>
      <c r="AA634" s="43">
        <v>307.5</v>
      </c>
      <c r="AC634" s="43">
        <v>307.5</v>
      </c>
      <c r="AF634" s="37">
        <f t="shared" si="19"/>
        <v>46120</v>
      </c>
      <c r="AG634" s="37">
        <f t="shared" si="20"/>
        <v>47326.611570247936</v>
      </c>
      <c r="AH634" t="s">
        <v>1705</v>
      </c>
      <c r="AN634" s="43">
        <v>307.5</v>
      </c>
    </row>
    <row r="635" spans="2:40">
      <c r="B635" t="s">
        <v>973</v>
      </c>
      <c r="C635" t="s">
        <v>121</v>
      </c>
      <c r="D635" t="s">
        <v>167</v>
      </c>
      <c r="E635" t="s">
        <v>83</v>
      </c>
      <c r="F635" s="37">
        <v>45791</v>
      </c>
      <c r="G635">
        <v>10</v>
      </c>
      <c r="H635" t="s">
        <v>174</v>
      </c>
      <c r="I635" s="37">
        <v>45861</v>
      </c>
      <c r="J635" t="s">
        <v>165</v>
      </c>
      <c r="K635" t="s">
        <v>166</v>
      </c>
      <c r="L635" t="s">
        <v>175</v>
      </c>
      <c r="M635" t="s">
        <v>973</v>
      </c>
      <c r="O635" t="s">
        <v>973</v>
      </c>
      <c r="Q635" t="s">
        <v>1643</v>
      </c>
      <c r="U635" t="s">
        <v>1697</v>
      </c>
      <c r="W635" t="s">
        <v>1702</v>
      </c>
      <c r="X635">
        <v>2</v>
      </c>
      <c r="AA635" s="43">
        <v>307.5</v>
      </c>
      <c r="AC635" s="43">
        <v>307.5</v>
      </c>
      <c r="AF635" s="37">
        <f t="shared" si="19"/>
        <v>46120</v>
      </c>
      <c r="AG635" s="37">
        <f t="shared" si="20"/>
        <v>47326.611570247936</v>
      </c>
      <c r="AH635" t="s">
        <v>1705</v>
      </c>
      <c r="AN635" s="43">
        <v>307.5</v>
      </c>
    </row>
    <row r="636" spans="2:40">
      <c r="B636" t="s">
        <v>974</v>
      </c>
      <c r="C636" t="s">
        <v>121</v>
      </c>
      <c r="D636" t="s">
        <v>167</v>
      </c>
      <c r="E636" t="s">
        <v>83</v>
      </c>
      <c r="F636" s="37">
        <v>45791</v>
      </c>
      <c r="G636">
        <v>10</v>
      </c>
      <c r="H636" t="s">
        <v>174</v>
      </c>
      <c r="I636" s="37">
        <v>45861</v>
      </c>
      <c r="J636" t="s">
        <v>165</v>
      </c>
      <c r="K636" t="s">
        <v>166</v>
      </c>
      <c r="L636" t="s">
        <v>175</v>
      </c>
      <c r="M636" t="s">
        <v>974</v>
      </c>
      <c r="O636" t="s">
        <v>974</v>
      </c>
      <c r="Q636" t="s">
        <v>1643</v>
      </c>
      <c r="U636" t="s">
        <v>1697</v>
      </c>
      <c r="W636" t="s">
        <v>1702</v>
      </c>
      <c r="X636">
        <v>2</v>
      </c>
      <c r="AA636" s="43">
        <v>307.5</v>
      </c>
      <c r="AC636" s="43">
        <v>307.5</v>
      </c>
      <c r="AF636" s="37">
        <f t="shared" si="19"/>
        <v>46120</v>
      </c>
      <c r="AG636" s="37">
        <f t="shared" si="20"/>
        <v>47326.611570247936</v>
      </c>
      <c r="AH636" t="s">
        <v>1705</v>
      </c>
      <c r="AN636" s="43">
        <v>307.5</v>
      </c>
    </row>
    <row r="637" spans="2:40">
      <c r="B637" t="s">
        <v>975</v>
      </c>
      <c r="C637" t="s">
        <v>121</v>
      </c>
      <c r="D637" t="s">
        <v>167</v>
      </c>
      <c r="E637" t="s">
        <v>83</v>
      </c>
      <c r="F637" s="37">
        <v>45791</v>
      </c>
      <c r="G637">
        <v>10</v>
      </c>
      <c r="H637" t="s">
        <v>174</v>
      </c>
      <c r="I637" s="37">
        <v>45861</v>
      </c>
      <c r="J637" t="s">
        <v>165</v>
      </c>
      <c r="K637" t="s">
        <v>166</v>
      </c>
      <c r="L637" t="s">
        <v>175</v>
      </c>
      <c r="M637" t="s">
        <v>975</v>
      </c>
      <c r="O637" t="s">
        <v>975</v>
      </c>
      <c r="Q637" t="s">
        <v>1643</v>
      </c>
      <c r="U637" t="s">
        <v>1697</v>
      </c>
      <c r="W637" t="s">
        <v>1702</v>
      </c>
      <c r="X637">
        <v>2</v>
      </c>
      <c r="AA637" s="43">
        <v>307.5</v>
      </c>
      <c r="AC637" s="43">
        <v>307.5</v>
      </c>
      <c r="AF637" s="37">
        <f t="shared" si="19"/>
        <v>46120</v>
      </c>
      <c r="AG637" s="37">
        <f t="shared" si="20"/>
        <v>47326.611570247936</v>
      </c>
      <c r="AH637" t="s">
        <v>1705</v>
      </c>
      <c r="AN637" s="43">
        <v>307.5</v>
      </c>
    </row>
    <row r="638" spans="2:40">
      <c r="B638" t="s">
        <v>976</v>
      </c>
      <c r="C638" t="s">
        <v>121</v>
      </c>
      <c r="D638" t="s">
        <v>167</v>
      </c>
      <c r="E638" t="s">
        <v>83</v>
      </c>
      <c r="F638" s="37">
        <v>45791</v>
      </c>
      <c r="G638">
        <v>10</v>
      </c>
      <c r="H638" t="s">
        <v>174</v>
      </c>
      <c r="I638" s="37">
        <v>45861</v>
      </c>
      <c r="J638" t="s">
        <v>165</v>
      </c>
      <c r="K638" t="s">
        <v>166</v>
      </c>
      <c r="L638" t="s">
        <v>175</v>
      </c>
      <c r="M638" t="s">
        <v>976</v>
      </c>
      <c r="O638" t="s">
        <v>976</v>
      </c>
      <c r="Q638" t="s">
        <v>1643</v>
      </c>
      <c r="U638" t="s">
        <v>1697</v>
      </c>
      <c r="W638" t="s">
        <v>1702</v>
      </c>
      <c r="X638">
        <v>2</v>
      </c>
      <c r="AA638" s="43">
        <v>307.5</v>
      </c>
      <c r="AC638" s="43">
        <v>307.5</v>
      </c>
      <c r="AF638" s="37">
        <f t="shared" si="19"/>
        <v>46120</v>
      </c>
      <c r="AG638" s="37">
        <f t="shared" si="20"/>
        <v>47326.611570247936</v>
      </c>
      <c r="AH638" t="s">
        <v>1705</v>
      </c>
      <c r="AN638" s="43">
        <v>307.5</v>
      </c>
    </row>
    <row r="639" spans="2:40">
      <c r="B639" t="s">
        <v>977</v>
      </c>
      <c r="C639" t="s">
        <v>121</v>
      </c>
      <c r="D639" t="s">
        <v>167</v>
      </c>
      <c r="E639" t="s">
        <v>83</v>
      </c>
      <c r="F639" s="37">
        <v>45791</v>
      </c>
      <c r="G639">
        <v>10</v>
      </c>
      <c r="H639" t="s">
        <v>174</v>
      </c>
      <c r="I639" s="37">
        <v>45861</v>
      </c>
      <c r="J639" t="s">
        <v>165</v>
      </c>
      <c r="K639" t="s">
        <v>166</v>
      </c>
      <c r="L639" t="s">
        <v>175</v>
      </c>
      <c r="M639" t="s">
        <v>977</v>
      </c>
      <c r="O639" t="s">
        <v>977</v>
      </c>
      <c r="Q639" t="s">
        <v>1643</v>
      </c>
      <c r="U639" t="s">
        <v>1697</v>
      </c>
      <c r="W639" t="s">
        <v>1702</v>
      </c>
      <c r="X639">
        <v>2</v>
      </c>
      <c r="AA639" s="43">
        <v>307.5</v>
      </c>
      <c r="AC639" s="43">
        <v>307.5</v>
      </c>
      <c r="AF639" s="37">
        <f t="shared" si="19"/>
        <v>46120</v>
      </c>
      <c r="AG639" s="37">
        <f t="shared" si="20"/>
        <v>47326.611570247936</v>
      </c>
      <c r="AH639" t="s">
        <v>1705</v>
      </c>
      <c r="AN639" s="43">
        <v>307.5</v>
      </c>
    </row>
    <row r="640" spans="2:40">
      <c r="B640" t="s">
        <v>978</v>
      </c>
      <c r="C640" t="s">
        <v>121</v>
      </c>
      <c r="D640" t="s">
        <v>167</v>
      </c>
      <c r="E640" t="s">
        <v>83</v>
      </c>
      <c r="F640" s="37">
        <v>45784</v>
      </c>
      <c r="G640">
        <v>10</v>
      </c>
      <c r="H640" t="s">
        <v>174</v>
      </c>
      <c r="I640" s="37">
        <v>45854</v>
      </c>
      <c r="J640" t="s">
        <v>165</v>
      </c>
      <c r="K640" t="s">
        <v>166</v>
      </c>
      <c r="L640" t="s">
        <v>175</v>
      </c>
      <c r="M640" t="s">
        <v>978</v>
      </c>
      <c r="O640" t="s">
        <v>978</v>
      </c>
      <c r="Q640" t="s">
        <v>1643</v>
      </c>
      <c r="U640" t="s">
        <v>1697</v>
      </c>
      <c r="W640" t="s">
        <v>1702</v>
      </c>
      <c r="X640">
        <v>2</v>
      </c>
      <c r="AA640" s="43">
        <v>307.5</v>
      </c>
      <c r="AC640" s="43">
        <v>307.5</v>
      </c>
      <c r="AF640" s="37">
        <f t="shared" si="19"/>
        <v>46113</v>
      </c>
      <c r="AG640" s="37">
        <f t="shared" si="20"/>
        <v>47319.611570247936</v>
      </c>
      <c r="AH640" t="s">
        <v>1705</v>
      </c>
      <c r="AN640" s="43">
        <v>307.5</v>
      </c>
    </row>
    <row r="641" spans="2:40">
      <c r="B641" t="s">
        <v>979</v>
      </c>
      <c r="C641" t="s">
        <v>121</v>
      </c>
      <c r="D641" t="s">
        <v>167</v>
      </c>
      <c r="E641" t="s">
        <v>83</v>
      </c>
      <c r="F641" s="37">
        <v>45784</v>
      </c>
      <c r="G641">
        <v>10</v>
      </c>
      <c r="H641" t="s">
        <v>174</v>
      </c>
      <c r="I641" s="37">
        <v>45854</v>
      </c>
      <c r="J641" t="s">
        <v>165</v>
      </c>
      <c r="K641" t="s">
        <v>166</v>
      </c>
      <c r="L641" t="s">
        <v>175</v>
      </c>
      <c r="M641" t="s">
        <v>979</v>
      </c>
      <c r="O641" t="s">
        <v>979</v>
      </c>
      <c r="Q641" t="s">
        <v>1643</v>
      </c>
      <c r="U641" t="s">
        <v>1697</v>
      </c>
      <c r="W641" t="s">
        <v>1702</v>
      </c>
      <c r="X641">
        <v>2</v>
      </c>
      <c r="AA641" s="43">
        <v>307.5</v>
      </c>
      <c r="AC641" s="43">
        <v>307.5</v>
      </c>
      <c r="AF641" s="37">
        <f t="shared" si="19"/>
        <v>46113</v>
      </c>
      <c r="AG641" s="37">
        <f t="shared" si="20"/>
        <v>47319.611570247936</v>
      </c>
      <c r="AH641" t="s">
        <v>1705</v>
      </c>
      <c r="AN641" s="43">
        <v>307.5</v>
      </c>
    </row>
    <row r="642" spans="2:40">
      <c r="B642" t="s">
        <v>980</v>
      </c>
      <c r="C642" t="s">
        <v>121</v>
      </c>
      <c r="D642" t="s">
        <v>167</v>
      </c>
      <c r="E642" t="s">
        <v>83</v>
      </c>
      <c r="F642" s="37">
        <v>45784</v>
      </c>
      <c r="G642">
        <v>10</v>
      </c>
      <c r="H642" t="s">
        <v>174</v>
      </c>
      <c r="I642" s="37">
        <v>45854</v>
      </c>
      <c r="J642" t="s">
        <v>165</v>
      </c>
      <c r="K642" t="s">
        <v>166</v>
      </c>
      <c r="L642" t="s">
        <v>175</v>
      </c>
      <c r="M642" t="s">
        <v>980</v>
      </c>
      <c r="O642" t="s">
        <v>980</v>
      </c>
      <c r="Q642" t="s">
        <v>1643</v>
      </c>
      <c r="U642" t="s">
        <v>1698</v>
      </c>
      <c r="W642" t="s">
        <v>1703</v>
      </c>
      <c r="X642">
        <v>2</v>
      </c>
      <c r="AA642" s="43">
        <v>307.5</v>
      </c>
      <c r="AC642" s="43">
        <v>307.5</v>
      </c>
      <c r="AF642" s="37">
        <f t="shared" si="19"/>
        <v>46113</v>
      </c>
      <c r="AG642" s="37">
        <f t="shared" si="20"/>
        <v>47319.611570247936</v>
      </c>
      <c r="AH642" t="s">
        <v>169</v>
      </c>
      <c r="AN642" s="43">
        <v>307.5</v>
      </c>
    </row>
    <row r="643" spans="2:40">
      <c r="B643" t="s">
        <v>981</v>
      </c>
      <c r="C643" t="s">
        <v>121</v>
      </c>
      <c r="D643" t="s">
        <v>167</v>
      </c>
      <c r="E643" t="s">
        <v>83</v>
      </c>
      <c r="F643" s="37">
        <v>45784</v>
      </c>
      <c r="G643">
        <v>10</v>
      </c>
      <c r="H643" t="s">
        <v>174</v>
      </c>
      <c r="I643" s="37">
        <v>45854</v>
      </c>
      <c r="J643" t="s">
        <v>165</v>
      </c>
      <c r="K643" t="s">
        <v>166</v>
      </c>
      <c r="L643" t="s">
        <v>175</v>
      </c>
      <c r="M643" t="s">
        <v>981</v>
      </c>
      <c r="O643" t="s">
        <v>981</v>
      </c>
      <c r="Q643" t="s">
        <v>1643</v>
      </c>
      <c r="U643" t="s">
        <v>1697</v>
      </c>
      <c r="W643" t="s">
        <v>1702</v>
      </c>
      <c r="X643">
        <v>2</v>
      </c>
      <c r="AA643" s="43">
        <v>307.5</v>
      </c>
      <c r="AC643" s="43">
        <v>307.5</v>
      </c>
      <c r="AF643" s="37">
        <f t="shared" si="19"/>
        <v>46113</v>
      </c>
      <c r="AG643" s="37">
        <f t="shared" si="20"/>
        <v>47319.611570247936</v>
      </c>
      <c r="AH643" t="s">
        <v>1705</v>
      </c>
      <c r="AN643" s="43">
        <v>307.5</v>
      </c>
    </row>
    <row r="644" spans="2:40">
      <c r="B644" t="s">
        <v>982</v>
      </c>
      <c r="C644" t="s">
        <v>121</v>
      </c>
      <c r="D644" t="s">
        <v>167</v>
      </c>
      <c r="E644" t="s">
        <v>83</v>
      </c>
      <c r="F644" s="37">
        <v>45784</v>
      </c>
      <c r="G644">
        <v>10</v>
      </c>
      <c r="H644" t="s">
        <v>174</v>
      </c>
      <c r="I644" s="37">
        <v>45854</v>
      </c>
      <c r="J644" t="s">
        <v>165</v>
      </c>
      <c r="K644" t="s">
        <v>166</v>
      </c>
      <c r="L644" t="s">
        <v>175</v>
      </c>
      <c r="M644" t="s">
        <v>982</v>
      </c>
      <c r="O644" t="s">
        <v>982</v>
      </c>
      <c r="Q644" t="s">
        <v>1643</v>
      </c>
      <c r="U644" t="s">
        <v>1697</v>
      </c>
      <c r="W644" t="s">
        <v>1702</v>
      </c>
      <c r="X644">
        <v>2</v>
      </c>
      <c r="AA644" s="43">
        <v>307.5</v>
      </c>
      <c r="AC644" s="43">
        <v>307.5</v>
      </c>
      <c r="AF644" s="37">
        <f t="shared" si="19"/>
        <v>46113</v>
      </c>
      <c r="AG644" s="37">
        <f t="shared" si="20"/>
        <v>47319.611570247936</v>
      </c>
      <c r="AH644" t="s">
        <v>1705</v>
      </c>
      <c r="AN644" s="43">
        <v>307.5</v>
      </c>
    </row>
    <row r="645" spans="2:40">
      <c r="B645" t="s">
        <v>983</v>
      </c>
      <c r="C645" t="s">
        <v>121</v>
      </c>
      <c r="D645" t="s">
        <v>167</v>
      </c>
      <c r="E645" t="s">
        <v>83</v>
      </c>
      <c r="F645" s="37">
        <v>45784</v>
      </c>
      <c r="G645">
        <v>10</v>
      </c>
      <c r="H645" t="s">
        <v>174</v>
      </c>
      <c r="I645" s="37">
        <v>45854</v>
      </c>
      <c r="J645" t="s">
        <v>165</v>
      </c>
      <c r="K645" t="s">
        <v>166</v>
      </c>
      <c r="L645" t="s">
        <v>175</v>
      </c>
      <c r="M645" t="s">
        <v>983</v>
      </c>
      <c r="O645" t="s">
        <v>983</v>
      </c>
      <c r="Q645" t="s">
        <v>1643</v>
      </c>
      <c r="U645" t="s">
        <v>1697</v>
      </c>
      <c r="W645" t="s">
        <v>1702</v>
      </c>
      <c r="X645">
        <v>2</v>
      </c>
      <c r="AA645" s="43">
        <v>307.5</v>
      </c>
      <c r="AC645" s="43">
        <v>307.5</v>
      </c>
      <c r="AF645" s="37">
        <f t="shared" si="19"/>
        <v>46113</v>
      </c>
      <c r="AG645" s="37">
        <f t="shared" si="20"/>
        <v>47319.611570247936</v>
      </c>
      <c r="AH645" t="s">
        <v>1705</v>
      </c>
      <c r="AN645" s="43">
        <v>307.5</v>
      </c>
    </row>
    <row r="646" spans="2:40">
      <c r="B646" t="s">
        <v>984</v>
      </c>
      <c r="C646" t="s">
        <v>121</v>
      </c>
      <c r="D646" t="s">
        <v>167</v>
      </c>
      <c r="E646" t="s">
        <v>83</v>
      </c>
      <c r="F646" s="37">
        <v>45784</v>
      </c>
      <c r="G646">
        <v>10</v>
      </c>
      <c r="H646" t="s">
        <v>174</v>
      </c>
      <c r="I646" s="37">
        <v>45854</v>
      </c>
      <c r="J646" t="s">
        <v>165</v>
      </c>
      <c r="K646" t="s">
        <v>166</v>
      </c>
      <c r="L646" t="s">
        <v>175</v>
      </c>
      <c r="M646" t="s">
        <v>984</v>
      </c>
      <c r="O646" t="s">
        <v>984</v>
      </c>
      <c r="Q646" t="s">
        <v>1643</v>
      </c>
      <c r="U646" t="s">
        <v>1697</v>
      </c>
      <c r="W646" t="s">
        <v>1702</v>
      </c>
      <c r="X646">
        <v>2</v>
      </c>
      <c r="AA646" s="43">
        <v>307.5</v>
      </c>
      <c r="AC646" s="43">
        <v>307.5</v>
      </c>
      <c r="AF646" s="37">
        <f t="shared" si="19"/>
        <v>46113</v>
      </c>
      <c r="AG646" s="37">
        <f t="shared" si="20"/>
        <v>47319.611570247936</v>
      </c>
      <c r="AH646" t="s">
        <v>1705</v>
      </c>
      <c r="AN646" s="43">
        <v>307.5</v>
      </c>
    </row>
    <row r="647" spans="2:40">
      <c r="B647" t="s">
        <v>985</v>
      </c>
      <c r="C647" t="s">
        <v>121</v>
      </c>
      <c r="D647" t="s">
        <v>167</v>
      </c>
      <c r="E647" t="s">
        <v>83</v>
      </c>
      <c r="F647" s="37">
        <v>45784</v>
      </c>
      <c r="G647">
        <v>10</v>
      </c>
      <c r="H647" t="s">
        <v>174</v>
      </c>
      <c r="I647" s="37">
        <v>45854</v>
      </c>
      <c r="J647" t="s">
        <v>165</v>
      </c>
      <c r="K647" t="s">
        <v>166</v>
      </c>
      <c r="L647" t="s">
        <v>175</v>
      </c>
      <c r="M647" t="s">
        <v>985</v>
      </c>
      <c r="O647" t="s">
        <v>985</v>
      </c>
      <c r="Q647" t="s">
        <v>1643</v>
      </c>
      <c r="U647" t="s">
        <v>1697</v>
      </c>
      <c r="W647" t="s">
        <v>1702</v>
      </c>
      <c r="X647">
        <v>2</v>
      </c>
      <c r="AA647" s="43">
        <v>307.5</v>
      </c>
      <c r="AC647" s="43">
        <v>307.5</v>
      </c>
      <c r="AF647" s="37">
        <f t="shared" ref="AF647:AF710" si="21">F647+(47*7)</f>
        <v>46113</v>
      </c>
      <c r="AG647" s="37">
        <f t="shared" ref="AG647:AG710" si="22">+AF647+(365*8)/2.42</f>
        <v>47319.611570247936</v>
      </c>
      <c r="AH647" t="s">
        <v>1705</v>
      </c>
      <c r="AN647" s="43">
        <v>307.5</v>
      </c>
    </row>
    <row r="648" spans="2:40">
      <c r="B648" t="s">
        <v>986</v>
      </c>
      <c r="C648" t="s">
        <v>121</v>
      </c>
      <c r="D648" t="s">
        <v>167</v>
      </c>
      <c r="E648" t="s">
        <v>83</v>
      </c>
      <c r="F648" s="37">
        <v>45784</v>
      </c>
      <c r="G648">
        <v>10</v>
      </c>
      <c r="H648" t="s">
        <v>174</v>
      </c>
      <c r="I648" s="37">
        <v>45854</v>
      </c>
      <c r="J648" t="s">
        <v>165</v>
      </c>
      <c r="K648" t="s">
        <v>166</v>
      </c>
      <c r="L648" t="s">
        <v>175</v>
      </c>
      <c r="M648" t="s">
        <v>986</v>
      </c>
      <c r="O648" t="s">
        <v>986</v>
      </c>
      <c r="Q648" t="s">
        <v>1643</v>
      </c>
      <c r="U648" t="s">
        <v>1697</v>
      </c>
      <c r="W648" t="s">
        <v>1702</v>
      </c>
      <c r="X648">
        <v>2</v>
      </c>
      <c r="AA648" s="43">
        <v>307.5</v>
      </c>
      <c r="AC648" s="43">
        <v>307.5</v>
      </c>
      <c r="AF648" s="37">
        <f t="shared" si="21"/>
        <v>46113</v>
      </c>
      <c r="AG648" s="37">
        <f t="shared" si="22"/>
        <v>47319.611570247936</v>
      </c>
      <c r="AH648" t="s">
        <v>1705</v>
      </c>
      <c r="AN648" s="43">
        <v>307.5</v>
      </c>
    </row>
    <row r="649" spans="2:40">
      <c r="B649" t="s">
        <v>987</v>
      </c>
      <c r="C649" t="s">
        <v>121</v>
      </c>
      <c r="D649" t="s">
        <v>167</v>
      </c>
      <c r="E649" t="s">
        <v>83</v>
      </c>
      <c r="F649" s="37">
        <v>45784</v>
      </c>
      <c r="G649">
        <v>10</v>
      </c>
      <c r="H649" t="s">
        <v>174</v>
      </c>
      <c r="I649" s="37">
        <v>45854</v>
      </c>
      <c r="J649" t="s">
        <v>165</v>
      </c>
      <c r="K649" t="s">
        <v>166</v>
      </c>
      <c r="L649" t="s">
        <v>175</v>
      </c>
      <c r="M649" t="s">
        <v>987</v>
      </c>
      <c r="O649" t="s">
        <v>987</v>
      </c>
      <c r="Q649" t="s">
        <v>1643</v>
      </c>
      <c r="U649" t="s">
        <v>1697</v>
      </c>
      <c r="W649" t="s">
        <v>1702</v>
      </c>
      <c r="X649">
        <v>2</v>
      </c>
      <c r="AA649" s="43">
        <v>307.5</v>
      </c>
      <c r="AC649" s="43">
        <v>307.5</v>
      </c>
      <c r="AF649" s="37">
        <f t="shared" si="21"/>
        <v>46113</v>
      </c>
      <c r="AG649" s="37">
        <f t="shared" si="22"/>
        <v>47319.611570247936</v>
      </c>
      <c r="AH649" t="s">
        <v>1705</v>
      </c>
      <c r="AN649" s="43">
        <v>307.5</v>
      </c>
    </row>
    <row r="650" spans="2:40">
      <c r="B650" t="s">
        <v>988</v>
      </c>
      <c r="C650" t="s">
        <v>121</v>
      </c>
      <c r="D650" t="s">
        <v>167</v>
      </c>
      <c r="E650" t="s">
        <v>83</v>
      </c>
      <c r="F650" s="37">
        <v>45777</v>
      </c>
      <c r="G650">
        <v>10</v>
      </c>
      <c r="H650" t="s">
        <v>174</v>
      </c>
      <c r="I650" s="37">
        <v>45847</v>
      </c>
      <c r="J650" t="s">
        <v>165</v>
      </c>
      <c r="K650" t="s">
        <v>166</v>
      </c>
      <c r="L650" t="s">
        <v>175</v>
      </c>
      <c r="M650" t="s">
        <v>988</v>
      </c>
      <c r="O650" t="s">
        <v>988</v>
      </c>
      <c r="Q650" t="s">
        <v>1643</v>
      </c>
      <c r="U650" t="s">
        <v>1697</v>
      </c>
      <c r="W650" t="s">
        <v>1702</v>
      </c>
      <c r="X650">
        <v>2</v>
      </c>
      <c r="AA650" s="43">
        <v>307.5</v>
      </c>
      <c r="AC650" s="43">
        <v>307.5</v>
      </c>
      <c r="AF650" s="37">
        <f t="shared" si="21"/>
        <v>46106</v>
      </c>
      <c r="AG650" s="37">
        <f t="shared" si="22"/>
        <v>47312.611570247936</v>
      </c>
      <c r="AH650" t="s">
        <v>1705</v>
      </c>
      <c r="AN650" s="43">
        <v>307.5</v>
      </c>
    </row>
    <row r="651" spans="2:40">
      <c r="B651" t="s">
        <v>989</v>
      </c>
      <c r="C651" t="s">
        <v>121</v>
      </c>
      <c r="D651" t="s">
        <v>167</v>
      </c>
      <c r="E651" t="s">
        <v>83</v>
      </c>
      <c r="F651" s="37">
        <v>45777</v>
      </c>
      <c r="G651">
        <v>10</v>
      </c>
      <c r="H651" t="s">
        <v>174</v>
      </c>
      <c r="I651" s="37">
        <v>45847</v>
      </c>
      <c r="J651" t="s">
        <v>165</v>
      </c>
      <c r="K651" t="s">
        <v>166</v>
      </c>
      <c r="L651" t="s">
        <v>175</v>
      </c>
      <c r="M651" t="s">
        <v>989</v>
      </c>
      <c r="O651" t="s">
        <v>989</v>
      </c>
      <c r="Q651" t="s">
        <v>1643</v>
      </c>
      <c r="U651" t="s">
        <v>1697</v>
      </c>
      <c r="W651" t="s">
        <v>1702</v>
      </c>
      <c r="X651">
        <v>2</v>
      </c>
      <c r="AA651" s="43">
        <v>307.5</v>
      </c>
      <c r="AC651" s="43">
        <v>307.5</v>
      </c>
      <c r="AF651" s="37">
        <f t="shared" si="21"/>
        <v>46106</v>
      </c>
      <c r="AG651" s="37">
        <f t="shared" si="22"/>
        <v>47312.611570247936</v>
      </c>
      <c r="AH651" t="s">
        <v>1705</v>
      </c>
      <c r="AN651" s="43">
        <v>307.5</v>
      </c>
    </row>
    <row r="652" spans="2:40">
      <c r="B652" t="s">
        <v>990</v>
      </c>
      <c r="C652" t="s">
        <v>121</v>
      </c>
      <c r="D652" t="s">
        <v>167</v>
      </c>
      <c r="E652" t="s">
        <v>83</v>
      </c>
      <c r="F652" s="37">
        <v>45777</v>
      </c>
      <c r="G652">
        <v>10</v>
      </c>
      <c r="H652" t="s">
        <v>174</v>
      </c>
      <c r="I652" s="37">
        <v>45847</v>
      </c>
      <c r="J652" t="s">
        <v>165</v>
      </c>
      <c r="K652" t="s">
        <v>166</v>
      </c>
      <c r="L652" t="s">
        <v>175</v>
      </c>
      <c r="M652" t="s">
        <v>990</v>
      </c>
      <c r="O652" t="s">
        <v>990</v>
      </c>
      <c r="Q652" t="s">
        <v>1643</v>
      </c>
      <c r="U652" t="s">
        <v>1698</v>
      </c>
      <c r="W652" t="s">
        <v>1703</v>
      </c>
      <c r="X652">
        <v>2</v>
      </c>
      <c r="AA652" s="43">
        <v>307.5</v>
      </c>
      <c r="AC652" s="43">
        <v>307.5</v>
      </c>
      <c r="AF652" s="37">
        <f t="shared" si="21"/>
        <v>46106</v>
      </c>
      <c r="AG652" s="37">
        <f t="shared" si="22"/>
        <v>47312.611570247936</v>
      </c>
      <c r="AH652" t="s">
        <v>169</v>
      </c>
      <c r="AN652" s="43">
        <v>307.5</v>
      </c>
    </row>
    <row r="653" spans="2:40">
      <c r="B653" t="s">
        <v>991</v>
      </c>
      <c r="C653" t="s">
        <v>121</v>
      </c>
      <c r="D653" t="s">
        <v>167</v>
      </c>
      <c r="E653" t="s">
        <v>83</v>
      </c>
      <c r="F653" s="37">
        <v>45777</v>
      </c>
      <c r="G653">
        <v>10</v>
      </c>
      <c r="H653" t="s">
        <v>174</v>
      </c>
      <c r="I653" s="37">
        <v>45847</v>
      </c>
      <c r="J653" t="s">
        <v>165</v>
      </c>
      <c r="K653" t="s">
        <v>166</v>
      </c>
      <c r="L653" t="s">
        <v>175</v>
      </c>
      <c r="M653" t="s">
        <v>991</v>
      </c>
      <c r="O653" t="s">
        <v>991</v>
      </c>
      <c r="Q653" t="s">
        <v>1643</v>
      </c>
      <c r="U653" t="s">
        <v>1697</v>
      </c>
      <c r="W653" t="s">
        <v>1702</v>
      </c>
      <c r="X653">
        <v>2</v>
      </c>
      <c r="AA653" s="43">
        <v>307.5</v>
      </c>
      <c r="AC653" s="43">
        <v>307.5</v>
      </c>
      <c r="AF653" s="37">
        <f t="shared" si="21"/>
        <v>46106</v>
      </c>
      <c r="AG653" s="37">
        <f t="shared" si="22"/>
        <v>47312.611570247936</v>
      </c>
      <c r="AH653" t="s">
        <v>1705</v>
      </c>
      <c r="AN653" s="43">
        <v>307.5</v>
      </c>
    </row>
    <row r="654" spans="2:40">
      <c r="B654" t="s">
        <v>992</v>
      </c>
      <c r="C654" t="s">
        <v>121</v>
      </c>
      <c r="D654" t="s">
        <v>167</v>
      </c>
      <c r="E654" t="s">
        <v>83</v>
      </c>
      <c r="F654" s="37">
        <v>45777</v>
      </c>
      <c r="G654">
        <v>10</v>
      </c>
      <c r="H654" t="s">
        <v>174</v>
      </c>
      <c r="I654" s="37">
        <v>45847</v>
      </c>
      <c r="J654" t="s">
        <v>165</v>
      </c>
      <c r="K654" t="s">
        <v>166</v>
      </c>
      <c r="L654" t="s">
        <v>175</v>
      </c>
      <c r="M654" t="s">
        <v>992</v>
      </c>
      <c r="O654" t="s">
        <v>992</v>
      </c>
      <c r="Q654" t="s">
        <v>1643</v>
      </c>
      <c r="U654" t="s">
        <v>1698</v>
      </c>
      <c r="W654" t="s">
        <v>1703</v>
      </c>
      <c r="X654">
        <v>2</v>
      </c>
      <c r="AA654" s="43">
        <v>307.5</v>
      </c>
      <c r="AC654" s="43">
        <v>307.5</v>
      </c>
      <c r="AF654" s="37">
        <f t="shared" si="21"/>
        <v>46106</v>
      </c>
      <c r="AG654" s="37">
        <f t="shared" si="22"/>
        <v>47312.611570247936</v>
      </c>
      <c r="AH654" t="s">
        <v>169</v>
      </c>
      <c r="AN654" s="43">
        <v>307.5</v>
      </c>
    </row>
    <row r="655" spans="2:40">
      <c r="B655" t="s">
        <v>993</v>
      </c>
      <c r="C655" t="s">
        <v>121</v>
      </c>
      <c r="D655" t="s">
        <v>167</v>
      </c>
      <c r="E655" t="s">
        <v>83</v>
      </c>
      <c r="F655" s="37">
        <v>45777</v>
      </c>
      <c r="G655">
        <v>10</v>
      </c>
      <c r="H655" t="s">
        <v>174</v>
      </c>
      <c r="I655" s="37">
        <v>45847</v>
      </c>
      <c r="J655" t="s">
        <v>165</v>
      </c>
      <c r="K655" t="s">
        <v>166</v>
      </c>
      <c r="L655" t="s">
        <v>175</v>
      </c>
      <c r="M655" t="s">
        <v>993</v>
      </c>
      <c r="O655" t="s">
        <v>993</v>
      </c>
      <c r="Q655" t="s">
        <v>1643</v>
      </c>
      <c r="U655" t="s">
        <v>1697</v>
      </c>
      <c r="W655" t="s">
        <v>1702</v>
      </c>
      <c r="X655">
        <v>2</v>
      </c>
      <c r="AA655" s="43">
        <v>307.5</v>
      </c>
      <c r="AC655" s="43">
        <v>307.5</v>
      </c>
      <c r="AF655" s="37">
        <f t="shared" si="21"/>
        <v>46106</v>
      </c>
      <c r="AG655" s="37">
        <f t="shared" si="22"/>
        <v>47312.611570247936</v>
      </c>
      <c r="AH655" t="s">
        <v>1705</v>
      </c>
      <c r="AN655" s="43">
        <v>307.5</v>
      </c>
    </row>
    <row r="656" spans="2:40">
      <c r="B656" t="s">
        <v>994</v>
      </c>
      <c r="C656" t="s">
        <v>121</v>
      </c>
      <c r="D656" t="s">
        <v>167</v>
      </c>
      <c r="E656" t="s">
        <v>83</v>
      </c>
      <c r="F656" s="37">
        <v>45777</v>
      </c>
      <c r="G656">
        <v>10</v>
      </c>
      <c r="H656" t="s">
        <v>174</v>
      </c>
      <c r="I656" s="37">
        <v>45847</v>
      </c>
      <c r="J656" t="s">
        <v>165</v>
      </c>
      <c r="K656" t="s">
        <v>166</v>
      </c>
      <c r="L656" t="s">
        <v>175</v>
      </c>
      <c r="M656" t="s">
        <v>994</v>
      </c>
      <c r="O656" t="s">
        <v>994</v>
      </c>
      <c r="Q656" t="s">
        <v>1643</v>
      </c>
      <c r="U656" t="s">
        <v>1697</v>
      </c>
      <c r="W656" t="s">
        <v>1702</v>
      </c>
      <c r="X656">
        <v>2</v>
      </c>
      <c r="AA656" s="43">
        <v>307.5</v>
      </c>
      <c r="AC656" s="43">
        <v>307.5</v>
      </c>
      <c r="AF656" s="37">
        <f t="shared" si="21"/>
        <v>46106</v>
      </c>
      <c r="AG656" s="37">
        <f t="shared" si="22"/>
        <v>47312.611570247936</v>
      </c>
      <c r="AH656" t="s">
        <v>1705</v>
      </c>
      <c r="AN656" s="43">
        <v>307.5</v>
      </c>
    </row>
    <row r="657" spans="2:40">
      <c r="B657" t="s">
        <v>995</v>
      </c>
      <c r="C657" t="s">
        <v>121</v>
      </c>
      <c r="D657" t="s">
        <v>167</v>
      </c>
      <c r="E657" t="s">
        <v>83</v>
      </c>
      <c r="F657" s="37">
        <v>45770</v>
      </c>
      <c r="G657">
        <v>10</v>
      </c>
      <c r="H657" t="s">
        <v>174</v>
      </c>
      <c r="I657" s="37">
        <v>45840</v>
      </c>
      <c r="J657" t="s">
        <v>165</v>
      </c>
      <c r="K657" t="s">
        <v>166</v>
      </c>
      <c r="L657" t="s">
        <v>175</v>
      </c>
      <c r="M657" t="s">
        <v>995</v>
      </c>
      <c r="O657" t="s">
        <v>995</v>
      </c>
      <c r="Q657" t="s">
        <v>1643</v>
      </c>
      <c r="U657" t="s">
        <v>1698</v>
      </c>
      <c r="W657" t="s">
        <v>1703</v>
      </c>
      <c r="X657">
        <v>2</v>
      </c>
      <c r="AA657" s="43">
        <v>307.5</v>
      </c>
      <c r="AC657" s="43">
        <v>307.5</v>
      </c>
      <c r="AF657" s="37">
        <f t="shared" si="21"/>
        <v>46099</v>
      </c>
      <c r="AG657" s="37">
        <f t="shared" si="22"/>
        <v>47305.611570247936</v>
      </c>
      <c r="AH657" t="s">
        <v>169</v>
      </c>
      <c r="AN657" s="43">
        <v>307.5</v>
      </c>
    </row>
    <row r="658" spans="2:40">
      <c r="B658" t="s">
        <v>996</v>
      </c>
      <c r="C658" t="s">
        <v>121</v>
      </c>
      <c r="D658" t="s">
        <v>167</v>
      </c>
      <c r="E658" t="s">
        <v>83</v>
      </c>
      <c r="F658" s="37">
        <v>45770</v>
      </c>
      <c r="G658">
        <v>10</v>
      </c>
      <c r="H658" t="s">
        <v>174</v>
      </c>
      <c r="I658" s="37">
        <v>45840</v>
      </c>
      <c r="J658" t="s">
        <v>165</v>
      </c>
      <c r="K658" t="s">
        <v>166</v>
      </c>
      <c r="L658" t="s">
        <v>175</v>
      </c>
      <c r="M658" t="s">
        <v>996</v>
      </c>
      <c r="O658" t="s">
        <v>996</v>
      </c>
      <c r="Q658" t="s">
        <v>1643</v>
      </c>
      <c r="U658" t="s">
        <v>1697</v>
      </c>
      <c r="W658" t="s">
        <v>1702</v>
      </c>
      <c r="X658">
        <v>2</v>
      </c>
      <c r="AA658" s="43">
        <v>307.5</v>
      </c>
      <c r="AC658" s="43">
        <v>307.5</v>
      </c>
      <c r="AF658" s="37">
        <f t="shared" si="21"/>
        <v>46099</v>
      </c>
      <c r="AG658" s="37">
        <f t="shared" si="22"/>
        <v>47305.611570247936</v>
      </c>
      <c r="AH658" t="s">
        <v>1705</v>
      </c>
      <c r="AN658" s="43">
        <v>307.5</v>
      </c>
    </row>
    <row r="659" spans="2:40">
      <c r="B659" t="s">
        <v>997</v>
      </c>
      <c r="C659" t="s">
        <v>121</v>
      </c>
      <c r="D659" t="s">
        <v>167</v>
      </c>
      <c r="E659" t="s">
        <v>83</v>
      </c>
      <c r="F659" s="37">
        <v>45770</v>
      </c>
      <c r="G659">
        <v>10</v>
      </c>
      <c r="H659" t="s">
        <v>174</v>
      </c>
      <c r="I659" s="37">
        <v>45840</v>
      </c>
      <c r="J659" t="s">
        <v>165</v>
      </c>
      <c r="K659" t="s">
        <v>166</v>
      </c>
      <c r="L659" t="s">
        <v>175</v>
      </c>
      <c r="M659" t="s">
        <v>997</v>
      </c>
      <c r="O659" t="s">
        <v>997</v>
      </c>
      <c r="Q659" t="s">
        <v>1643</v>
      </c>
      <c r="U659" t="s">
        <v>1697</v>
      </c>
      <c r="W659" t="s">
        <v>1702</v>
      </c>
      <c r="X659">
        <v>2</v>
      </c>
      <c r="AA659" s="43">
        <v>307.5</v>
      </c>
      <c r="AC659" s="43">
        <v>307.5</v>
      </c>
      <c r="AF659" s="37">
        <f t="shared" si="21"/>
        <v>46099</v>
      </c>
      <c r="AG659" s="37">
        <f t="shared" si="22"/>
        <v>47305.611570247936</v>
      </c>
      <c r="AH659" t="s">
        <v>1705</v>
      </c>
      <c r="AN659" s="43">
        <v>307.5</v>
      </c>
    </row>
    <row r="660" spans="2:40">
      <c r="B660" t="s">
        <v>998</v>
      </c>
      <c r="C660" t="s">
        <v>121</v>
      </c>
      <c r="D660" t="s">
        <v>167</v>
      </c>
      <c r="E660" t="s">
        <v>83</v>
      </c>
      <c r="F660" s="37">
        <v>45770</v>
      </c>
      <c r="G660">
        <v>10</v>
      </c>
      <c r="H660" t="s">
        <v>174</v>
      </c>
      <c r="I660" s="37">
        <v>45840</v>
      </c>
      <c r="J660" t="s">
        <v>165</v>
      </c>
      <c r="K660" t="s">
        <v>166</v>
      </c>
      <c r="L660" t="s">
        <v>175</v>
      </c>
      <c r="M660" t="s">
        <v>998</v>
      </c>
      <c r="O660" t="s">
        <v>998</v>
      </c>
      <c r="Q660" t="s">
        <v>1643</v>
      </c>
      <c r="U660" t="s">
        <v>1698</v>
      </c>
      <c r="W660" t="s">
        <v>1703</v>
      </c>
      <c r="X660">
        <v>2</v>
      </c>
      <c r="AA660" s="43">
        <v>307.5</v>
      </c>
      <c r="AC660" s="43">
        <v>307.5</v>
      </c>
      <c r="AF660" s="37">
        <f t="shared" si="21"/>
        <v>46099</v>
      </c>
      <c r="AG660" s="37">
        <f t="shared" si="22"/>
        <v>47305.611570247936</v>
      </c>
      <c r="AH660" t="s">
        <v>169</v>
      </c>
      <c r="AN660" s="43">
        <v>307.5</v>
      </c>
    </row>
    <row r="661" spans="2:40">
      <c r="B661" t="s">
        <v>999</v>
      </c>
      <c r="C661" t="s">
        <v>121</v>
      </c>
      <c r="D661" t="s">
        <v>167</v>
      </c>
      <c r="E661" t="s">
        <v>83</v>
      </c>
      <c r="F661" s="37">
        <v>45770</v>
      </c>
      <c r="G661">
        <v>10</v>
      </c>
      <c r="H661" t="s">
        <v>174</v>
      </c>
      <c r="I661" s="37">
        <v>45840</v>
      </c>
      <c r="J661" t="s">
        <v>165</v>
      </c>
      <c r="K661" t="s">
        <v>166</v>
      </c>
      <c r="L661" t="s">
        <v>175</v>
      </c>
      <c r="M661" t="s">
        <v>999</v>
      </c>
      <c r="O661" t="s">
        <v>999</v>
      </c>
      <c r="Q661" t="s">
        <v>1643</v>
      </c>
      <c r="U661" t="s">
        <v>1698</v>
      </c>
      <c r="W661" t="s">
        <v>1703</v>
      </c>
      <c r="X661">
        <v>2</v>
      </c>
      <c r="AA661" s="43">
        <v>307.5</v>
      </c>
      <c r="AC661" s="43">
        <v>307.5</v>
      </c>
      <c r="AF661" s="37">
        <f t="shared" si="21"/>
        <v>46099</v>
      </c>
      <c r="AG661" s="37">
        <f t="shared" si="22"/>
        <v>47305.611570247936</v>
      </c>
      <c r="AH661" t="s">
        <v>169</v>
      </c>
      <c r="AN661" s="43">
        <v>307.5</v>
      </c>
    </row>
    <row r="662" spans="2:40">
      <c r="B662" t="s">
        <v>1000</v>
      </c>
      <c r="C662" t="s">
        <v>121</v>
      </c>
      <c r="D662" t="s">
        <v>167</v>
      </c>
      <c r="E662" t="s">
        <v>83</v>
      </c>
      <c r="F662" s="37">
        <v>45770</v>
      </c>
      <c r="G662">
        <v>10</v>
      </c>
      <c r="H662" t="s">
        <v>174</v>
      </c>
      <c r="I662" s="37">
        <v>45840</v>
      </c>
      <c r="J662" t="s">
        <v>165</v>
      </c>
      <c r="K662" t="s">
        <v>166</v>
      </c>
      <c r="L662" t="s">
        <v>175</v>
      </c>
      <c r="M662" t="s">
        <v>1000</v>
      </c>
      <c r="O662" t="s">
        <v>1000</v>
      </c>
      <c r="Q662" t="s">
        <v>1643</v>
      </c>
      <c r="U662" t="s">
        <v>1698</v>
      </c>
      <c r="W662" t="s">
        <v>1703</v>
      </c>
      <c r="X662">
        <v>2</v>
      </c>
      <c r="AA662" s="43">
        <v>307.5</v>
      </c>
      <c r="AC662" s="43">
        <v>307.5</v>
      </c>
      <c r="AF662" s="37">
        <f t="shared" si="21"/>
        <v>46099</v>
      </c>
      <c r="AG662" s="37">
        <f t="shared" si="22"/>
        <v>47305.611570247936</v>
      </c>
      <c r="AH662" t="s">
        <v>169</v>
      </c>
      <c r="AN662" s="43">
        <v>307.5</v>
      </c>
    </row>
    <row r="663" spans="2:40">
      <c r="B663" t="s">
        <v>1001</v>
      </c>
      <c r="C663" t="s">
        <v>121</v>
      </c>
      <c r="D663" t="s">
        <v>167</v>
      </c>
      <c r="E663" t="s">
        <v>83</v>
      </c>
      <c r="F663" s="37">
        <v>45770</v>
      </c>
      <c r="G663">
        <v>10</v>
      </c>
      <c r="H663" t="s">
        <v>174</v>
      </c>
      <c r="I663" s="37">
        <v>45840</v>
      </c>
      <c r="J663" t="s">
        <v>165</v>
      </c>
      <c r="K663" t="s">
        <v>166</v>
      </c>
      <c r="L663" t="s">
        <v>175</v>
      </c>
      <c r="M663" t="s">
        <v>1001</v>
      </c>
      <c r="O663" t="s">
        <v>1001</v>
      </c>
      <c r="Q663" t="s">
        <v>1643</v>
      </c>
      <c r="U663" t="s">
        <v>1697</v>
      </c>
      <c r="W663" t="s">
        <v>1702</v>
      </c>
      <c r="X663">
        <v>2</v>
      </c>
      <c r="AA663" s="43">
        <v>307.5</v>
      </c>
      <c r="AC663" s="43">
        <v>307.5</v>
      </c>
      <c r="AF663" s="37">
        <f t="shared" si="21"/>
        <v>46099</v>
      </c>
      <c r="AG663" s="37">
        <f t="shared" si="22"/>
        <v>47305.611570247936</v>
      </c>
      <c r="AH663" t="s">
        <v>1705</v>
      </c>
      <c r="AN663" s="43">
        <v>307.5</v>
      </c>
    </row>
    <row r="664" spans="2:40">
      <c r="B664" t="s">
        <v>1002</v>
      </c>
      <c r="C664" t="s">
        <v>121</v>
      </c>
      <c r="D664" t="s">
        <v>167</v>
      </c>
      <c r="E664" t="s">
        <v>83</v>
      </c>
      <c r="F664" s="37">
        <v>45770</v>
      </c>
      <c r="G664">
        <v>10</v>
      </c>
      <c r="H664" t="s">
        <v>174</v>
      </c>
      <c r="I664" s="37">
        <v>45840</v>
      </c>
      <c r="J664" t="s">
        <v>165</v>
      </c>
      <c r="K664" t="s">
        <v>166</v>
      </c>
      <c r="L664" t="s">
        <v>175</v>
      </c>
      <c r="M664" t="s">
        <v>1002</v>
      </c>
      <c r="O664" t="s">
        <v>1002</v>
      </c>
      <c r="Q664" t="s">
        <v>1643</v>
      </c>
      <c r="U664" t="s">
        <v>1697</v>
      </c>
      <c r="W664" t="s">
        <v>1702</v>
      </c>
      <c r="X664">
        <v>2</v>
      </c>
      <c r="AA664" s="43">
        <v>307.5</v>
      </c>
      <c r="AC664" s="43">
        <v>307.5</v>
      </c>
      <c r="AF664" s="37">
        <f t="shared" si="21"/>
        <v>46099</v>
      </c>
      <c r="AG664" s="37">
        <f t="shared" si="22"/>
        <v>47305.611570247936</v>
      </c>
      <c r="AH664" t="s">
        <v>1705</v>
      </c>
      <c r="AN664" s="43">
        <v>307.5</v>
      </c>
    </row>
    <row r="665" spans="2:40">
      <c r="B665" t="s">
        <v>1003</v>
      </c>
      <c r="C665" t="s">
        <v>121</v>
      </c>
      <c r="D665" t="s">
        <v>167</v>
      </c>
      <c r="E665" t="s">
        <v>83</v>
      </c>
      <c r="F665" s="37">
        <v>45763</v>
      </c>
      <c r="G665">
        <v>10</v>
      </c>
      <c r="H665" t="s">
        <v>174</v>
      </c>
      <c r="I665" s="37">
        <v>45833</v>
      </c>
      <c r="J665" t="s">
        <v>165</v>
      </c>
      <c r="K665" t="s">
        <v>166</v>
      </c>
      <c r="L665" t="s">
        <v>175</v>
      </c>
      <c r="M665" t="s">
        <v>1003</v>
      </c>
      <c r="O665" t="s">
        <v>1003</v>
      </c>
      <c r="Q665" t="s">
        <v>1643</v>
      </c>
      <c r="U665" t="s">
        <v>1698</v>
      </c>
      <c r="W665" t="s">
        <v>1703</v>
      </c>
      <c r="X665">
        <v>2</v>
      </c>
      <c r="AA665" s="43">
        <v>307.5</v>
      </c>
      <c r="AC665" s="43">
        <v>307.5</v>
      </c>
      <c r="AF665" s="37">
        <f t="shared" si="21"/>
        <v>46092</v>
      </c>
      <c r="AG665" s="37">
        <f t="shared" si="22"/>
        <v>47298.611570247936</v>
      </c>
      <c r="AH665" t="s">
        <v>169</v>
      </c>
      <c r="AN665" s="43">
        <v>307.5</v>
      </c>
    </row>
    <row r="666" spans="2:40">
      <c r="B666" t="s">
        <v>1004</v>
      </c>
      <c r="C666" t="s">
        <v>121</v>
      </c>
      <c r="D666" t="s">
        <v>167</v>
      </c>
      <c r="E666" t="s">
        <v>83</v>
      </c>
      <c r="F666" s="37">
        <v>45763</v>
      </c>
      <c r="G666">
        <v>10</v>
      </c>
      <c r="H666" t="s">
        <v>174</v>
      </c>
      <c r="I666" s="37">
        <v>45833</v>
      </c>
      <c r="J666" t="s">
        <v>165</v>
      </c>
      <c r="K666" t="s">
        <v>166</v>
      </c>
      <c r="L666" t="s">
        <v>175</v>
      </c>
      <c r="M666" t="s">
        <v>1004</v>
      </c>
      <c r="O666" t="s">
        <v>1004</v>
      </c>
      <c r="Q666" t="s">
        <v>1643</v>
      </c>
      <c r="U666" t="s">
        <v>1698</v>
      </c>
      <c r="W666" t="s">
        <v>1703</v>
      </c>
      <c r="X666">
        <v>2</v>
      </c>
      <c r="AA666" s="43">
        <v>307.5</v>
      </c>
      <c r="AC666" s="43">
        <v>307.5</v>
      </c>
      <c r="AF666" s="37">
        <f t="shared" si="21"/>
        <v>46092</v>
      </c>
      <c r="AG666" s="37">
        <f t="shared" si="22"/>
        <v>47298.611570247936</v>
      </c>
      <c r="AH666" t="s">
        <v>169</v>
      </c>
      <c r="AN666" s="43">
        <v>307.5</v>
      </c>
    </row>
    <row r="667" spans="2:40">
      <c r="B667" t="s">
        <v>1005</v>
      </c>
      <c r="C667" t="s">
        <v>121</v>
      </c>
      <c r="D667" t="s">
        <v>167</v>
      </c>
      <c r="E667" t="s">
        <v>83</v>
      </c>
      <c r="F667" s="37">
        <v>45763</v>
      </c>
      <c r="G667">
        <v>10</v>
      </c>
      <c r="H667" t="s">
        <v>174</v>
      </c>
      <c r="I667" s="37">
        <v>45833</v>
      </c>
      <c r="J667" t="s">
        <v>165</v>
      </c>
      <c r="K667" t="s">
        <v>166</v>
      </c>
      <c r="L667" t="s">
        <v>175</v>
      </c>
      <c r="M667" t="s">
        <v>1005</v>
      </c>
      <c r="O667" t="s">
        <v>1005</v>
      </c>
      <c r="Q667" t="s">
        <v>1643</v>
      </c>
      <c r="U667" t="s">
        <v>1698</v>
      </c>
      <c r="W667" t="s">
        <v>1703</v>
      </c>
      <c r="X667">
        <v>2</v>
      </c>
      <c r="AA667" s="43">
        <v>307.5</v>
      </c>
      <c r="AC667" s="43">
        <v>307.5</v>
      </c>
      <c r="AF667" s="37">
        <f t="shared" si="21"/>
        <v>46092</v>
      </c>
      <c r="AG667" s="37">
        <f t="shared" si="22"/>
        <v>47298.611570247936</v>
      </c>
      <c r="AH667" t="s">
        <v>169</v>
      </c>
      <c r="AN667" s="43">
        <v>307.5</v>
      </c>
    </row>
    <row r="668" spans="2:40">
      <c r="B668" t="s">
        <v>1006</v>
      </c>
      <c r="C668" t="s">
        <v>121</v>
      </c>
      <c r="D668" t="s">
        <v>167</v>
      </c>
      <c r="E668" t="s">
        <v>83</v>
      </c>
      <c r="F668" s="37">
        <v>45763</v>
      </c>
      <c r="G668">
        <v>10</v>
      </c>
      <c r="H668" t="s">
        <v>174</v>
      </c>
      <c r="I668" s="37">
        <v>45833</v>
      </c>
      <c r="J668" t="s">
        <v>165</v>
      </c>
      <c r="K668" t="s">
        <v>166</v>
      </c>
      <c r="L668" t="s">
        <v>175</v>
      </c>
      <c r="M668" t="s">
        <v>1006</v>
      </c>
      <c r="O668" t="s">
        <v>1006</v>
      </c>
      <c r="Q668" t="s">
        <v>1643</v>
      </c>
      <c r="U668" t="s">
        <v>1698</v>
      </c>
      <c r="W668" t="s">
        <v>1703</v>
      </c>
      <c r="X668">
        <v>2</v>
      </c>
      <c r="AA668" s="43">
        <v>307.5</v>
      </c>
      <c r="AC668" s="43">
        <v>307.5</v>
      </c>
      <c r="AF668" s="37">
        <f t="shared" si="21"/>
        <v>46092</v>
      </c>
      <c r="AG668" s="37">
        <f t="shared" si="22"/>
        <v>47298.611570247936</v>
      </c>
      <c r="AH668" t="s">
        <v>169</v>
      </c>
      <c r="AN668" s="43">
        <v>307.5</v>
      </c>
    </row>
    <row r="669" spans="2:40">
      <c r="B669" t="s">
        <v>1007</v>
      </c>
      <c r="C669" t="s">
        <v>121</v>
      </c>
      <c r="D669" t="s">
        <v>167</v>
      </c>
      <c r="E669" t="s">
        <v>83</v>
      </c>
      <c r="F669" s="37">
        <v>45763</v>
      </c>
      <c r="G669">
        <v>10</v>
      </c>
      <c r="H669" t="s">
        <v>174</v>
      </c>
      <c r="I669" s="37">
        <v>45833</v>
      </c>
      <c r="J669" t="s">
        <v>165</v>
      </c>
      <c r="K669" t="s">
        <v>166</v>
      </c>
      <c r="L669" t="s">
        <v>175</v>
      </c>
      <c r="M669" t="s">
        <v>1007</v>
      </c>
      <c r="O669" t="s">
        <v>1007</v>
      </c>
      <c r="Q669" t="s">
        <v>1643</v>
      </c>
      <c r="U669" t="s">
        <v>1698</v>
      </c>
      <c r="W669" t="s">
        <v>1703</v>
      </c>
      <c r="X669">
        <v>2</v>
      </c>
      <c r="AA669" s="43">
        <v>307.5</v>
      </c>
      <c r="AC669" s="43">
        <v>307.5</v>
      </c>
      <c r="AF669" s="37">
        <f t="shared" si="21"/>
        <v>46092</v>
      </c>
      <c r="AG669" s="37">
        <f t="shared" si="22"/>
        <v>47298.611570247936</v>
      </c>
      <c r="AH669" t="s">
        <v>169</v>
      </c>
      <c r="AN669" s="43">
        <v>307.5</v>
      </c>
    </row>
    <row r="670" spans="2:40">
      <c r="B670" t="s">
        <v>1008</v>
      </c>
      <c r="C670" t="s">
        <v>121</v>
      </c>
      <c r="D670" t="s">
        <v>167</v>
      </c>
      <c r="E670" t="s">
        <v>83</v>
      </c>
      <c r="F670" s="37">
        <v>45763</v>
      </c>
      <c r="G670">
        <v>10</v>
      </c>
      <c r="H670" t="s">
        <v>174</v>
      </c>
      <c r="I670" s="37">
        <v>45833</v>
      </c>
      <c r="J670" t="s">
        <v>165</v>
      </c>
      <c r="K670" t="s">
        <v>166</v>
      </c>
      <c r="L670" t="s">
        <v>175</v>
      </c>
      <c r="M670" t="s">
        <v>1008</v>
      </c>
      <c r="O670" t="s">
        <v>1008</v>
      </c>
      <c r="Q670" t="s">
        <v>1643</v>
      </c>
      <c r="U670" t="s">
        <v>1698</v>
      </c>
      <c r="W670" t="s">
        <v>1703</v>
      </c>
      <c r="X670">
        <v>2</v>
      </c>
      <c r="AA670" s="43">
        <v>307.5</v>
      </c>
      <c r="AC670" s="43">
        <v>307.5</v>
      </c>
      <c r="AF670" s="37">
        <f t="shared" si="21"/>
        <v>46092</v>
      </c>
      <c r="AG670" s="37">
        <f t="shared" si="22"/>
        <v>47298.611570247936</v>
      </c>
      <c r="AH670" t="s">
        <v>169</v>
      </c>
      <c r="AN670" s="43">
        <v>307.5</v>
      </c>
    </row>
    <row r="671" spans="2:40">
      <c r="B671" t="s">
        <v>1009</v>
      </c>
      <c r="C671" t="s">
        <v>121</v>
      </c>
      <c r="D671" t="s">
        <v>167</v>
      </c>
      <c r="E671" t="s">
        <v>83</v>
      </c>
      <c r="F671" s="37">
        <v>45763</v>
      </c>
      <c r="G671">
        <v>10</v>
      </c>
      <c r="H671" t="s">
        <v>174</v>
      </c>
      <c r="I671" s="37">
        <v>45833</v>
      </c>
      <c r="J671" t="s">
        <v>165</v>
      </c>
      <c r="K671" t="s">
        <v>166</v>
      </c>
      <c r="L671" t="s">
        <v>175</v>
      </c>
      <c r="M671" t="s">
        <v>1009</v>
      </c>
      <c r="O671" t="s">
        <v>1009</v>
      </c>
      <c r="Q671" t="s">
        <v>1643</v>
      </c>
      <c r="U671" t="s">
        <v>1697</v>
      </c>
      <c r="W671" t="s">
        <v>1702</v>
      </c>
      <c r="X671">
        <v>2</v>
      </c>
      <c r="AA671" s="43">
        <v>307.5</v>
      </c>
      <c r="AC671" s="43">
        <v>307.5</v>
      </c>
      <c r="AF671" s="37">
        <f t="shared" si="21"/>
        <v>46092</v>
      </c>
      <c r="AG671" s="37">
        <f t="shared" si="22"/>
        <v>47298.611570247936</v>
      </c>
      <c r="AH671" t="s">
        <v>1705</v>
      </c>
      <c r="AN671" s="43">
        <v>307.5</v>
      </c>
    </row>
    <row r="672" spans="2:40">
      <c r="B672" t="s">
        <v>1010</v>
      </c>
      <c r="C672" t="s">
        <v>121</v>
      </c>
      <c r="D672" t="s">
        <v>167</v>
      </c>
      <c r="E672" t="s">
        <v>83</v>
      </c>
      <c r="F672" s="37">
        <v>45763</v>
      </c>
      <c r="G672">
        <v>10</v>
      </c>
      <c r="H672" t="s">
        <v>174</v>
      </c>
      <c r="I672" s="37">
        <v>45833</v>
      </c>
      <c r="J672" t="s">
        <v>165</v>
      </c>
      <c r="K672" t="s">
        <v>166</v>
      </c>
      <c r="L672" t="s">
        <v>175</v>
      </c>
      <c r="M672" t="s">
        <v>1010</v>
      </c>
      <c r="O672" t="s">
        <v>1010</v>
      </c>
      <c r="Q672" t="s">
        <v>1643</v>
      </c>
      <c r="U672" t="s">
        <v>1698</v>
      </c>
      <c r="W672" t="s">
        <v>1703</v>
      </c>
      <c r="X672">
        <v>2</v>
      </c>
      <c r="AA672" s="43">
        <v>307.5</v>
      </c>
      <c r="AC672" s="43">
        <v>307.5</v>
      </c>
      <c r="AF672" s="37">
        <f t="shared" si="21"/>
        <v>46092</v>
      </c>
      <c r="AG672" s="37">
        <f t="shared" si="22"/>
        <v>47298.611570247936</v>
      </c>
      <c r="AH672" t="s">
        <v>169</v>
      </c>
      <c r="AN672" s="43">
        <v>307.5</v>
      </c>
    </row>
    <row r="673" spans="2:40">
      <c r="B673" t="s">
        <v>1011</v>
      </c>
      <c r="C673" t="s">
        <v>121</v>
      </c>
      <c r="D673" t="s">
        <v>167</v>
      </c>
      <c r="E673" t="s">
        <v>83</v>
      </c>
      <c r="F673" s="37">
        <v>45763</v>
      </c>
      <c r="G673">
        <v>10</v>
      </c>
      <c r="H673" t="s">
        <v>174</v>
      </c>
      <c r="I673" s="37">
        <v>45833</v>
      </c>
      <c r="J673" t="s">
        <v>165</v>
      </c>
      <c r="K673" t="s">
        <v>166</v>
      </c>
      <c r="L673" t="s">
        <v>175</v>
      </c>
      <c r="M673" t="s">
        <v>1011</v>
      </c>
      <c r="O673" t="s">
        <v>1011</v>
      </c>
      <c r="Q673" t="s">
        <v>1643</v>
      </c>
      <c r="U673" t="s">
        <v>1698</v>
      </c>
      <c r="W673" t="s">
        <v>1703</v>
      </c>
      <c r="X673">
        <v>2</v>
      </c>
      <c r="AA673" s="43">
        <v>307.5</v>
      </c>
      <c r="AC673" s="43">
        <v>307.5</v>
      </c>
      <c r="AF673" s="37">
        <f t="shared" si="21"/>
        <v>46092</v>
      </c>
      <c r="AG673" s="37">
        <f t="shared" si="22"/>
        <v>47298.611570247936</v>
      </c>
      <c r="AH673" t="s">
        <v>169</v>
      </c>
      <c r="AN673" s="43">
        <v>307.5</v>
      </c>
    </row>
    <row r="674" spans="2:40">
      <c r="B674" t="s">
        <v>1012</v>
      </c>
      <c r="C674" t="s">
        <v>121</v>
      </c>
      <c r="D674" t="s">
        <v>167</v>
      </c>
      <c r="E674" t="s">
        <v>83</v>
      </c>
      <c r="F674" s="37">
        <v>45756</v>
      </c>
      <c r="G674">
        <v>10</v>
      </c>
      <c r="H674" t="s">
        <v>174</v>
      </c>
      <c r="I674" s="37">
        <v>45826</v>
      </c>
      <c r="J674" t="s">
        <v>165</v>
      </c>
      <c r="K674" t="s">
        <v>166</v>
      </c>
      <c r="L674" t="s">
        <v>175</v>
      </c>
      <c r="M674" t="s">
        <v>1012</v>
      </c>
      <c r="O674" t="s">
        <v>1012</v>
      </c>
      <c r="Q674" t="s">
        <v>1643</v>
      </c>
      <c r="U674" t="s">
        <v>1696</v>
      </c>
      <c r="W674" t="s">
        <v>1699</v>
      </c>
      <c r="X674">
        <v>3</v>
      </c>
      <c r="AA674" s="43">
        <v>307.5</v>
      </c>
      <c r="AC674" s="43">
        <v>307.5</v>
      </c>
      <c r="AF674" s="37">
        <f t="shared" si="21"/>
        <v>46085</v>
      </c>
      <c r="AG674" s="37">
        <f t="shared" si="22"/>
        <v>47291.611570247936</v>
      </c>
      <c r="AH674" t="s">
        <v>1704</v>
      </c>
      <c r="AN674" s="43">
        <v>307.5</v>
      </c>
    </row>
    <row r="675" spans="2:40">
      <c r="B675" t="s">
        <v>1013</v>
      </c>
      <c r="C675" t="s">
        <v>121</v>
      </c>
      <c r="D675" t="s">
        <v>167</v>
      </c>
      <c r="E675" t="s">
        <v>83</v>
      </c>
      <c r="F675" s="37">
        <v>45756</v>
      </c>
      <c r="G675">
        <v>10</v>
      </c>
      <c r="H675" t="s">
        <v>174</v>
      </c>
      <c r="I675" s="37">
        <v>45826</v>
      </c>
      <c r="J675" t="s">
        <v>165</v>
      </c>
      <c r="K675" t="s">
        <v>166</v>
      </c>
      <c r="L675" t="s">
        <v>175</v>
      </c>
      <c r="M675" t="s">
        <v>1013</v>
      </c>
      <c r="O675" t="s">
        <v>1013</v>
      </c>
      <c r="Q675" t="s">
        <v>1643</v>
      </c>
      <c r="U675" t="s">
        <v>1698</v>
      </c>
      <c r="W675" t="s">
        <v>1703</v>
      </c>
      <c r="X675">
        <v>2</v>
      </c>
      <c r="AA675" s="43">
        <v>307.5</v>
      </c>
      <c r="AC675" s="43">
        <v>307.5</v>
      </c>
      <c r="AF675" s="37">
        <f t="shared" si="21"/>
        <v>46085</v>
      </c>
      <c r="AG675" s="37">
        <f t="shared" si="22"/>
        <v>47291.611570247936</v>
      </c>
      <c r="AH675" t="s">
        <v>169</v>
      </c>
      <c r="AN675" s="43">
        <v>307.5</v>
      </c>
    </row>
    <row r="676" spans="2:40">
      <c r="B676" t="s">
        <v>1014</v>
      </c>
      <c r="C676" t="s">
        <v>121</v>
      </c>
      <c r="D676" t="s">
        <v>167</v>
      </c>
      <c r="E676" t="s">
        <v>83</v>
      </c>
      <c r="F676" s="37">
        <v>45756</v>
      </c>
      <c r="G676">
        <v>10</v>
      </c>
      <c r="H676" t="s">
        <v>174</v>
      </c>
      <c r="I676" s="37">
        <v>45826</v>
      </c>
      <c r="J676" t="s">
        <v>165</v>
      </c>
      <c r="K676" t="s">
        <v>166</v>
      </c>
      <c r="L676" t="s">
        <v>175</v>
      </c>
      <c r="M676" t="s">
        <v>1014</v>
      </c>
      <c r="O676" t="s">
        <v>1014</v>
      </c>
      <c r="Q676" t="s">
        <v>1643</v>
      </c>
      <c r="U676" t="s">
        <v>1698</v>
      </c>
      <c r="W676" t="s">
        <v>1703</v>
      </c>
      <c r="X676">
        <v>2</v>
      </c>
      <c r="AA676" s="43">
        <v>307.5</v>
      </c>
      <c r="AC676" s="43">
        <v>307.5</v>
      </c>
      <c r="AF676" s="37">
        <f t="shared" si="21"/>
        <v>46085</v>
      </c>
      <c r="AG676" s="37">
        <f t="shared" si="22"/>
        <v>47291.611570247936</v>
      </c>
      <c r="AH676" t="s">
        <v>169</v>
      </c>
      <c r="AN676" s="43">
        <v>307.5</v>
      </c>
    </row>
    <row r="677" spans="2:40">
      <c r="B677" t="s">
        <v>1015</v>
      </c>
      <c r="C677" t="s">
        <v>121</v>
      </c>
      <c r="D677" t="s">
        <v>167</v>
      </c>
      <c r="E677" t="s">
        <v>83</v>
      </c>
      <c r="F677" s="37">
        <v>45756</v>
      </c>
      <c r="G677">
        <v>10</v>
      </c>
      <c r="H677" t="s">
        <v>174</v>
      </c>
      <c r="I677" s="37">
        <v>45826</v>
      </c>
      <c r="J677" t="s">
        <v>165</v>
      </c>
      <c r="K677" t="s">
        <v>166</v>
      </c>
      <c r="L677" t="s">
        <v>175</v>
      </c>
      <c r="M677" t="s">
        <v>1015</v>
      </c>
      <c r="O677" t="s">
        <v>1015</v>
      </c>
      <c r="Q677" t="s">
        <v>1643</v>
      </c>
      <c r="U677" t="s">
        <v>1698</v>
      </c>
      <c r="W677" t="s">
        <v>1703</v>
      </c>
      <c r="X677">
        <v>2</v>
      </c>
      <c r="AA677" s="43">
        <v>307.5</v>
      </c>
      <c r="AC677" s="43">
        <v>307.5</v>
      </c>
      <c r="AF677" s="37">
        <f t="shared" si="21"/>
        <v>46085</v>
      </c>
      <c r="AG677" s="37">
        <f t="shared" si="22"/>
        <v>47291.611570247936</v>
      </c>
      <c r="AH677" t="s">
        <v>169</v>
      </c>
      <c r="AN677" s="43">
        <v>307.5</v>
      </c>
    </row>
    <row r="678" spans="2:40">
      <c r="B678" t="s">
        <v>1016</v>
      </c>
      <c r="C678" t="s">
        <v>121</v>
      </c>
      <c r="D678" t="s">
        <v>167</v>
      </c>
      <c r="E678" t="s">
        <v>83</v>
      </c>
      <c r="F678" s="37">
        <v>45756</v>
      </c>
      <c r="G678">
        <v>10</v>
      </c>
      <c r="H678" t="s">
        <v>174</v>
      </c>
      <c r="I678" s="37">
        <v>45826</v>
      </c>
      <c r="J678" t="s">
        <v>165</v>
      </c>
      <c r="K678" t="s">
        <v>166</v>
      </c>
      <c r="L678" t="s">
        <v>175</v>
      </c>
      <c r="M678" t="s">
        <v>1016</v>
      </c>
      <c r="O678" t="s">
        <v>1016</v>
      </c>
      <c r="Q678" t="s">
        <v>1643</v>
      </c>
      <c r="U678" t="s">
        <v>1698</v>
      </c>
      <c r="W678" t="s">
        <v>1703</v>
      </c>
      <c r="X678">
        <v>2</v>
      </c>
      <c r="AA678" s="43">
        <v>307.5</v>
      </c>
      <c r="AC678" s="43">
        <v>307.5</v>
      </c>
      <c r="AF678" s="37">
        <f t="shared" si="21"/>
        <v>46085</v>
      </c>
      <c r="AG678" s="37">
        <f t="shared" si="22"/>
        <v>47291.611570247936</v>
      </c>
      <c r="AH678" t="s">
        <v>169</v>
      </c>
      <c r="AN678" s="43">
        <v>307.5</v>
      </c>
    </row>
    <row r="679" spans="2:40">
      <c r="B679" t="s">
        <v>1017</v>
      </c>
      <c r="C679" t="s">
        <v>121</v>
      </c>
      <c r="D679" t="s">
        <v>167</v>
      </c>
      <c r="E679" t="s">
        <v>83</v>
      </c>
      <c r="F679" s="37">
        <v>45756</v>
      </c>
      <c r="G679">
        <v>10</v>
      </c>
      <c r="H679" t="s">
        <v>174</v>
      </c>
      <c r="I679" s="37">
        <v>45826</v>
      </c>
      <c r="J679" t="s">
        <v>165</v>
      </c>
      <c r="K679" t="s">
        <v>166</v>
      </c>
      <c r="L679" t="s">
        <v>175</v>
      </c>
      <c r="M679" t="s">
        <v>1017</v>
      </c>
      <c r="O679" t="s">
        <v>1017</v>
      </c>
      <c r="Q679" t="s">
        <v>1643</v>
      </c>
      <c r="U679" t="s">
        <v>1698</v>
      </c>
      <c r="W679" t="s">
        <v>1703</v>
      </c>
      <c r="X679">
        <v>2</v>
      </c>
      <c r="AA679" s="43">
        <v>307.5</v>
      </c>
      <c r="AC679" s="43">
        <v>307.5</v>
      </c>
      <c r="AF679" s="37">
        <f t="shared" si="21"/>
        <v>46085</v>
      </c>
      <c r="AG679" s="37">
        <f t="shared" si="22"/>
        <v>47291.611570247936</v>
      </c>
      <c r="AH679" t="s">
        <v>169</v>
      </c>
      <c r="AN679" s="43">
        <v>307.5</v>
      </c>
    </row>
    <row r="680" spans="2:40">
      <c r="B680" t="s">
        <v>1018</v>
      </c>
      <c r="C680" t="s">
        <v>121</v>
      </c>
      <c r="D680" t="s">
        <v>167</v>
      </c>
      <c r="E680" t="s">
        <v>83</v>
      </c>
      <c r="F680" s="37">
        <v>45756</v>
      </c>
      <c r="G680">
        <v>10</v>
      </c>
      <c r="H680" t="s">
        <v>174</v>
      </c>
      <c r="I680" s="37">
        <v>45826</v>
      </c>
      <c r="J680" t="s">
        <v>165</v>
      </c>
      <c r="K680" t="s">
        <v>166</v>
      </c>
      <c r="L680" t="s">
        <v>175</v>
      </c>
      <c r="M680" t="s">
        <v>1018</v>
      </c>
      <c r="O680" t="s">
        <v>1018</v>
      </c>
      <c r="Q680" t="s">
        <v>1643</v>
      </c>
      <c r="U680" t="s">
        <v>1697</v>
      </c>
      <c r="W680" t="s">
        <v>1702</v>
      </c>
      <c r="X680">
        <v>2</v>
      </c>
      <c r="AA680" s="43">
        <v>307.5</v>
      </c>
      <c r="AC680" s="43">
        <v>307.5</v>
      </c>
      <c r="AF680" s="37">
        <f t="shared" si="21"/>
        <v>46085</v>
      </c>
      <c r="AG680" s="37">
        <f t="shared" si="22"/>
        <v>47291.611570247936</v>
      </c>
      <c r="AH680" t="s">
        <v>1705</v>
      </c>
      <c r="AN680" s="43">
        <v>307.5</v>
      </c>
    </row>
    <row r="681" spans="2:40">
      <c r="B681" t="s">
        <v>1019</v>
      </c>
      <c r="C681" t="s">
        <v>121</v>
      </c>
      <c r="D681" t="s">
        <v>167</v>
      </c>
      <c r="E681" t="s">
        <v>83</v>
      </c>
      <c r="F681" s="37">
        <v>45756</v>
      </c>
      <c r="G681">
        <v>10</v>
      </c>
      <c r="H681" t="s">
        <v>174</v>
      </c>
      <c r="I681" s="37">
        <v>45826</v>
      </c>
      <c r="J681" t="s">
        <v>165</v>
      </c>
      <c r="K681" t="s">
        <v>166</v>
      </c>
      <c r="L681" t="s">
        <v>175</v>
      </c>
      <c r="M681" t="s">
        <v>1019</v>
      </c>
      <c r="O681" t="s">
        <v>1019</v>
      </c>
      <c r="Q681" t="s">
        <v>1643</v>
      </c>
      <c r="U681" t="s">
        <v>1698</v>
      </c>
      <c r="W681" t="s">
        <v>1703</v>
      </c>
      <c r="X681">
        <v>2</v>
      </c>
      <c r="AA681" s="43">
        <v>307.5</v>
      </c>
      <c r="AC681" s="43">
        <v>307.5</v>
      </c>
      <c r="AF681" s="37">
        <f t="shared" si="21"/>
        <v>46085</v>
      </c>
      <c r="AG681" s="37">
        <f t="shared" si="22"/>
        <v>47291.611570247936</v>
      </c>
      <c r="AH681" t="s">
        <v>169</v>
      </c>
      <c r="AN681" s="43">
        <v>307.5</v>
      </c>
    </row>
    <row r="682" spans="2:40">
      <c r="B682" t="s">
        <v>1020</v>
      </c>
      <c r="C682" t="s">
        <v>121</v>
      </c>
      <c r="D682" t="s">
        <v>167</v>
      </c>
      <c r="E682" t="s">
        <v>83</v>
      </c>
      <c r="F682" s="37">
        <v>45756</v>
      </c>
      <c r="G682">
        <v>10</v>
      </c>
      <c r="H682" t="s">
        <v>174</v>
      </c>
      <c r="I682" s="37">
        <v>45826</v>
      </c>
      <c r="J682" t="s">
        <v>165</v>
      </c>
      <c r="K682" t="s">
        <v>166</v>
      </c>
      <c r="L682" t="s">
        <v>175</v>
      </c>
      <c r="M682" t="s">
        <v>1020</v>
      </c>
      <c r="O682" t="s">
        <v>1020</v>
      </c>
      <c r="Q682" t="s">
        <v>1643</v>
      </c>
      <c r="U682" t="s">
        <v>1698</v>
      </c>
      <c r="W682" t="s">
        <v>1703</v>
      </c>
      <c r="X682">
        <v>2</v>
      </c>
      <c r="AA682" s="43">
        <v>307.5</v>
      </c>
      <c r="AC682" s="43">
        <v>307.5</v>
      </c>
      <c r="AF682" s="37">
        <f t="shared" si="21"/>
        <v>46085</v>
      </c>
      <c r="AG682" s="37">
        <f t="shared" si="22"/>
        <v>47291.611570247936</v>
      </c>
      <c r="AH682" t="s">
        <v>169</v>
      </c>
      <c r="AN682" s="43">
        <v>307.5</v>
      </c>
    </row>
    <row r="683" spans="2:40">
      <c r="B683" t="s">
        <v>1021</v>
      </c>
      <c r="C683" t="s">
        <v>121</v>
      </c>
      <c r="D683" t="s">
        <v>167</v>
      </c>
      <c r="E683" t="s">
        <v>83</v>
      </c>
      <c r="F683" s="37">
        <v>45749</v>
      </c>
      <c r="G683">
        <v>10</v>
      </c>
      <c r="H683" t="s">
        <v>174</v>
      </c>
      <c r="I683" s="37">
        <v>45819</v>
      </c>
      <c r="J683" t="s">
        <v>165</v>
      </c>
      <c r="K683" t="s">
        <v>166</v>
      </c>
      <c r="L683" t="s">
        <v>175</v>
      </c>
      <c r="M683" t="s">
        <v>1021</v>
      </c>
      <c r="O683" t="s">
        <v>1021</v>
      </c>
      <c r="Q683" t="s">
        <v>1643</v>
      </c>
      <c r="U683" t="s">
        <v>1698</v>
      </c>
      <c r="W683" t="s">
        <v>1703</v>
      </c>
      <c r="X683">
        <v>2</v>
      </c>
      <c r="AA683" s="43">
        <v>307.5</v>
      </c>
      <c r="AC683" s="43">
        <v>307.5</v>
      </c>
      <c r="AF683" s="37">
        <f t="shared" si="21"/>
        <v>46078</v>
      </c>
      <c r="AG683" s="37">
        <f t="shared" si="22"/>
        <v>47284.611570247936</v>
      </c>
      <c r="AH683" t="s">
        <v>169</v>
      </c>
      <c r="AN683" s="43">
        <v>307.5</v>
      </c>
    </row>
    <row r="684" spans="2:40">
      <c r="B684" t="s">
        <v>1022</v>
      </c>
      <c r="C684" t="s">
        <v>121</v>
      </c>
      <c r="D684" t="s">
        <v>167</v>
      </c>
      <c r="E684" t="s">
        <v>83</v>
      </c>
      <c r="F684" s="37">
        <v>45749</v>
      </c>
      <c r="G684">
        <v>10</v>
      </c>
      <c r="H684" t="s">
        <v>174</v>
      </c>
      <c r="I684" s="37">
        <v>45819</v>
      </c>
      <c r="J684" t="s">
        <v>165</v>
      </c>
      <c r="K684" t="s">
        <v>166</v>
      </c>
      <c r="L684" t="s">
        <v>175</v>
      </c>
      <c r="M684" t="s">
        <v>1022</v>
      </c>
      <c r="O684" t="s">
        <v>1022</v>
      </c>
      <c r="Q684" t="s">
        <v>1643</v>
      </c>
      <c r="U684" t="s">
        <v>1697</v>
      </c>
      <c r="W684" t="s">
        <v>1702</v>
      </c>
      <c r="X684">
        <v>2</v>
      </c>
      <c r="AA684" s="43">
        <v>307.5</v>
      </c>
      <c r="AC684" s="43">
        <v>307.5</v>
      </c>
      <c r="AF684" s="37">
        <f t="shared" si="21"/>
        <v>46078</v>
      </c>
      <c r="AG684" s="37">
        <f t="shared" si="22"/>
        <v>47284.611570247936</v>
      </c>
      <c r="AH684" t="s">
        <v>1705</v>
      </c>
      <c r="AN684" s="43">
        <v>307.5</v>
      </c>
    </row>
    <row r="685" spans="2:40">
      <c r="B685" t="s">
        <v>1023</v>
      </c>
      <c r="C685" t="s">
        <v>121</v>
      </c>
      <c r="D685" t="s">
        <v>167</v>
      </c>
      <c r="E685" t="s">
        <v>83</v>
      </c>
      <c r="F685" s="37">
        <v>45749</v>
      </c>
      <c r="G685">
        <v>10</v>
      </c>
      <c r="H685" t="s">
        <v>174</v>
      </c>
      <c r="I685" s="37">
        <v>45819</v>
      </c>
      <c r="J685" t="s">
        <v>165</v>
      </c>
      <c r="K685" t="s">
        <v>166</v>
      </c>
      <c r="L685" t="s">
        <v>175</v>
      </c>
      <c r="M685" t="s">
        <v>1023</v>
      </c>
      <c r="O685" t="s">
        <v>1023</v>
      </c>
      <c r="Q685" t="s">
        <v>1643</v>
      </c>
      <c r="U685" t="s">
        <v>1698</v>
      </c>
      <c r="W685" t="s">
        <v>1703</v>
      </c>
      <c r="X685">
        <v>2</v>
      </c>
      <c r="AA685" s="43">
        <v>307.5</v>
      </c>
      <c r="AC685" s="43">
        <v>307.5</v>
      </c>
      <c r="AF685" s="37">
        <f t="shared" si="21"/>
        <v>46078</v>
      </c>
      <c r="AG685" s="37">
        <f t="shared" si="22"/>
        <v>47284.611570247936</v>
      </c>
      <c r="AH685" t="s">
        <v>169</v>
      </c>
      <c r="AN685" s="43">
        <v>307.5</v>
      </c>
    </row>
    <row r="686" spans="2:40">
      <c r="B686" t="s">
        <v>1024</v>
      </c>
      <c r="C686" t="s">
        <v>121</v>
      </c>
      <c r="D686" t="s">
        <v>167</v>
      </c>
      <c r="E686" t="s">
        <v>83</v>
      </c>
      <c r="F686" s="37">
        <v>45749</v>
      </c>
      <c r="G686">
        <v>10</v>
      </c>
      <c r="H686" t="s">
        <v>174</v>
      </c>
      <c r="I686" s="37">
        <v>45819</v>
      </c>
      <c r="J686" t="s">
        <v>165</v>
      </c>
      <c r="K686" t="s">
        <v>166</v>
      </c>
      <c r="L686" t="s">
        <v>175</v>
      </c>
      <c r="M686" t="s">
        <v>1024</v>
      </c>
      <c r="O686" t="s">
        <v>1024</v>
      </c>
      <c r="Q686" t="s">
        <v>1643</v>
      </c>
      <c r="U686" t="s">
        <v>1698</v>
      </c>
      <c r="W686" t="s">
        <v>1703</v>
      </c>
      <c r="X686">
        <v>2</v>
      </c>
      <c r="AA686" s="43">
        <v>307.5</v>
      </c>
      <c r="AC686" s="43">
        <v>307.5</v>
      </c>
      <c r="AF686" s="37">
        <f t="shared" si="21"/>
        <v>46078</v>
      </c>
      <c r="AG686" s="37">
        <f t="shared" si="22"/>
        <v>47284.611570247936</v>
      </c>
      <c r="AH686" t="s">
        <v>169</v>
      </c>
      <c r="AN686" s="43">
        <v>307.5</v>
      </c>
    </row>
    <row r="687" spans="2:40">
      <c r="B687" t="s">
        <v>1025</v>
      </c>
      <c r="C687" t="s">
        <v>121</v>
      </c>
      <c r="D687" t="s">
        <v>167</v>
      </c>
      <c r="E687" t="s">
        <v>83</v>
      </c>
      <c r="F687" s="37">
        <v>45749</v>
      </c>
      <c r="G687">
        <v>10</v>
      </c>
      <c r="H687" t="s">
        <v>174</v>
      </c>
      <c r="I687" s="37">
        <v>45819</v>
      </c>
      <c r="J687" t="s">
        <v>165</v>
      </c>
      <c r="K687" t="s">
        <v>166</v>
      </c>
      <c r="L687" t="s">
        <v>175</v>
      </c>
      <c r="M687" t="s">
        <v>1025</v>
      </c>
      <c r="O687" t="s">
        <v>1025</v>
      </c>
      <c r="Q687" t="s">
        <v>1643</v>
      </c>
      <c r="U687" t="s">
        <v>1696</v>
      </c>
      <c r="W687" t="s">
        <v>1699</v>
      </c>
      <c r="X687">
        <v>3</v>
      </c>
      <c r="AA687" s="43">
        <v>307.5</v>
      </c>
      <c r="AC687" s="43">
        <v>307.5</v>
      </c>
      <c r="AF687" s="37">
        <f t="shared" si="21"/>
        <v>46078</v>
      </c>
      <c r="AG687" s="37">
        <f t="shared" si="22"/>
        <v>47284.611570247936</v>
      </c>
      <c r="AH687" t="s">
        <v>1704</v>
      </c>
      <c r="AN687" s="43">
        <v>307.5</v>
      </c>
    </row>
    <row r="688" spans="2:40">
      <c r="B688" t="s">
        <v>1026</v>
      </c>
      <c r="C688" t="s">
        <v>121</v>
      </c>
      <c r="D688" t="s">
        <v>167</v>
      </c>
      <c r="E688" t="s">
        <v>83</v>
      </c>
      <c r="F688" s="37">
        <v>45749</v>
      </c>
      <c r="G688">
        <v>10</v>
      </c>
      <c r="H688" t="s">
        <v>174</v>
      </c>
      <c r="I688" s="37">
        <v>45819</v>
      </c>
      <c r="J688" t="s">
        <v>165</v>
      </c>
      <c r="K688" t="s">
        <v>166</v>
      </c>
      <c r="L688" t="s">
        <v>175</v>
      </c>
      <c r="M688" t="s">
        <v>1026</v>
      </c>
      <c r="O688" t="s">
        <v>1026</v>
      </c>
      <c r="Q688" t="s">
        <v>1643</v>
      </c>
      <c r="U688" t="s">
        <v>1698</v>
      </c>
      <c r="W688" t="s">
        <v>1703</v>
      </c>
      <c r="X688">
        <v>2</v>
      </c>
      <c r="AA688" s="43">
        <v>307.5</v>
      </c>
      <c r="AC688" s="43">
        <v>307.5</v>
      </c>
      <c r="AF688" s="37">
        <f t="shared" si="21"/>
        <v>46078</v>
      </c>
      <c r="AG688" s="37">
        <f t="shared" si="22"/>
        <v>47284.611570247936</v>
      </c>
      <c r="AH688" t="s">
        <v>169</v>
      </c>
      <c r="AN688" s="43">
        <v>307.5</v>
      </c>
    </row>
    <row r="689" spans="2:40">
      <c r="B689" t="s">
        <v>1027</v>
      </c>
      <c r="C689" t="s">
        <v>121</v>
      </c>
      <c r="D689" t="s">
        <v>167</v>
      </c>
      <c r="E689" t="s">
        <v>83</v>
      </c>
      <c r="F689" s="37">
        <v>45742</v>
      </c>
      <c r="G689">
        <v>10</v>
      </c>
      <c r="H689" t="s">
        <v>174</v>
      </c>
      <c r="I689" s="37">
        <v>45812</v>
      </c>
      <c r="J689" t="s">
        <v>165</v>
      </c>
      <c r="K689" t="s">
        <v>166</v>
      </c>
      <c r="L689" t="s">
        <v>175</v>
      </c>
      <c r="M689" t="s">
        <v>1027</v>
      </c>
      <c r="O689" t="s">
        <v>1027</v>
      </c>
      <c r="Q689" t="s">
        <v>1643</v>
      </c>
      <c r="U689" t="s">
        <v>1697</v>
      </c>
      <c r="W689" t="s">
        <v>1702</v>
      </c>
      <c r="X689">
        <v>3</v>
      </c>
      <c r="AA689" s="43">
        <v>307.5</v>
      </c>
      <c r="AC689" s="43">
        <v>307.5</v>
      </c>
      <c r="AF689" s="37">
        <f t="shared" si="21"/>
        <v>46071</v>
      </c>
      <c r="AG689" s="37">
        <f t="shared" si="22"/>
        <v>47277.611570247936</v>
      </c>
      <c r="AH689" t="s">
        <v>1705</v>
      </c>
      <c r="AN689" s="43">
        <v>307.5</v>
      </c>
    </row>
    <row r="690" spans="2:40">
      <c r="B690" t="s">
        <v>1028</v>
      </c>
      <c r="C690" t="s">
        <v>121</v>
      </c>
      <c r="D690" t="s">
        <v>167</v>
      </c>
      <c r="E690" t="s">
        <v>83</v>
      </c>
      <c r="F690" s="37">
        <v>45742</v>
      </c>
      <c r="G690">
        <v>10</v>
      </c>
      <c r="H690" t="s">
        <v>174</v>
      </c>
      <c r="I690" s="37">
        <v>45812</v>
      </c>
      <c r="J690" t="s">
        <v>165</v>
      </c>
      <c r="K690" t="s">
        <v>166</v>
      </c>
      <c r="L690" t="s">
        <v>175</v>
      </c>
      <c r="M690" t="s">
        <v>1028</v>
      </c>
      <c r="O690" t="s">
        <v>1028</v>
      </c>
      <c r="Q690" t="s">
        <v>1643</v>
      </c>
      <c r="U690" t="s">
        <v>1696</v>
      </c>
      <c r="W690" t="s">
        <v>1699</v>
      </c>
      <c r="X690">
        <v>3</v>
      </c>
      <c r="AA690" s="43">
        <v>307.5</v>
      </c>
      <c r="AC690" s="43">
        <v>307.5</v>
      </c>
      <c r="AF690" s="37">
        <f t="shared" si="21"/>
        <v>46071</v>
      </c>
      <c r="AG690" s="37">
        <f t="shared" si="22"/>
        <v>47277.611570247936</v>
      </c>
      <c r="AH690" t="s">
        <v>1704</v>
      </c>
      <c r="AN690" s="43">
        <v>307.5</v>
      </c>
    </row>
    <row r="691" spans="2:40">
      <c r="B691" t="s">
        <v>1029</v>
      </c>
      <c r="C691" t="s">
        <v>121</v>
      </c>
      <c r="D691" t="s">
        <v>167</v>
      </c>
      <c r="E691" t="s">
        <v>83</v>
      </c>
      <c r="F691" s="37">
        <v>45742</v>
      </c>
      <c r="G691">
        <v>10</v>
      </c>
      <c r="H691" t="s">
        <v>174</v>
      </c>
      <c r="I691" s="37">
        <v>45812</v>
      </c>
      <c r="J691" t="s">
        <v>165</v>
      </c>
      <c r="K691" t="s">
        <v>166</v>
      </c>
      <c r="L691" t="s">
        <v>175</v>
      </c>
      <c r="M691" t="s">
        <v>1029</v>
      </c>
      <c r="O691" t="s">
        <v>1029</v>
      </c>
      <c r="Q691" t="s">
        <v>1643</v>
      </c>
      <c r="U691" t="s">
        <v>1698</v>
      </c>
      <c r="W691" t="s">
        <v>1703</v>
      </c>
      <c r="X691">
        <v>2</v>
      </c>
      <c r="AA691" s="43">
        <v>307.5</v>
      </c>
      <c r="AC691" s="43">
        <v>307.5</v>
      </c>
      <c r="AF691" s="37">
        <f t="shared" si="21"/>
        <v>46071</v>
      </c>
      <c r="AG691" s="37">
        <f t="shared" si="22"/>
        <v>47277.611570247936</v>
      </c>
      <c r="AH691" t="s">
        <v>169</v>
      </c>
      <c r="AN691" s="43">
        <v>307.5</v>
      </c>
    </row>
    <row r="692" spans="2:40">
      <c r="B692" t="s">
        <v>1030</v>
      </c>
      <c r="C692" t="s">
        <v>121</v>
      </c>
      <c r="D692" t="s">
        <v>167</v>
      </c>
      <c r="E692" t="s">
        <v>83</v>
      </c>
      <c r="F692" s="37">
        <v>45742</v>
      </c>
      <c r="G692">
        <v>10</v>
      </c>
      <c r="H692" t="s">
        <v>174</v>
      </c>
      <c r="I692" s="37">
        <v>45812</v>
      </c>
      <c r="J692" t="s">
        <v>165</v>
      </c>
      <c r="K692" t="s">
        <v>166</v>
      </c>
      <c r="L692" t="s">
        <v>175</v>
      </c>
      <c r="M692" t="s">
        <v>1030</v>
      </c>
      <c r="O692" t="s">
        <v>1030</v>
      </c>
      <c r="Q692" t="s">
        <v>1643</v>
      </c>
      <c r="U692" t="s">
        <v>1698</v>
      </c>
      <c r="W692" t="s">
        <v>1703</v>
      </c>
      <c r="X692">
        <v>2</v>
      </c>
      <c r="AA692" s="43">
        <v>307.5</v>
      </c>
      <c r="AC692" s="43">
        <v>307.5</v>
      </c>
      <c r="AF692" s="37">
        <f t="shared" si="21"/>
        <v>46071</v>
      </c>
      <c r="AG692" s="37">
        <f t="shared" si="22"/>
        <v>47277.611570247936</v>
      </c>
      <c r="AH692" t="s">
        <v>169</v>
      </c>
      <c r="AN692" s="43">
        <v>307.5</v>
      </c>
    </row>
    <row r="693" spans="2:40">
      <c r="B693" t="s">
        <v>1031</v>
      </c>
      <c r="C693" t="s">
        <v>121</v>
      </c>
      <c r="D693" t="s">
        <v>167</v>
      </c>
      <c r="E693" t="s">
        <v>83</v>
      </c>
      <c r="F693" s="37">
        <v>45742</v>
      </c>
      <c r="G693">
        <v>10</v>
      </c>
      <c r="H693" t="s">
        <v>174</v>
      </c>
      <c r="I693" s="37">
        <v>45812</v>
      </c>
      <c r="J693" t="s">
        <v>165</v>
      </c>
      <c r="K693" t="s">
        <v>166</v>
      </c>
      <c r="L693" t="s">
        <v>175</v>
      </c>
      <c r="M693" t="s">
        <v>1031</v>
      </c>
      <c r="O693" t="s">
        <v>1031</v>
      </c>
      <c r="Q693" t="s">
        <v>1643</v>
      </c>
      <c r="U693" t="s">
        <v>1696</v>
      </c>
      <c r="W693" t="s">
        <v>1699</v>
      </c>
      <c r="X693">
        <v>3</v>
      </c>
      <c r="AA693" s="43">
        <v>307.5</v>
      </c>
      <c r="AC693" s="43">
        <v>307.5</v>
      </c>
      <c r="AF693" s="37">
        <f t="shared" si="21"/>
        <v>46071</v>
      </c>
      <c r="AG693" s="37">
        <f t="shared" si="22"/>
        <v>47277.611570247936</v>
      </c>
      <c r="AH693" t="s">
        <v>1704</v>
      </c>
      <c r="AN693" s="43">
        <v>307.5</v>
      </c>
    </row>
    <row r="694" spans="2:40">
      <c r="B694" t="s">
        <v>1032</v>
      </c>
      <c r="C694" t="s">
        <v>121</v>
      </c>
      <c r="D694" t="s">
        <v>167</v>
      </c>
      <c r="E694" t="s">
        <v>83</v>
      </c>
      <c r="F694" s="37">
        <v>45742</v>
      </c>
      <c r="G694">
        <v>10</v>
      </c>
      <c r="H694" t="s">
        <v>174</v>
      </c>
      <c r="I694" s="37">
        <v>45812</v>
      </c>
      <c r="J694" t="s">
        <v>165</v>
      </c>
      <c r="K694" t="s">
        <v>166</v>
      </c>
      <c r="L694" t="s">
        <v>175</v>
      </c>
      <c r="M694" t="s">
        <v>1032</v>
      </c>
      <c r="O694" t="s">
        <v>1032</v>
      </c>
      <c r="Q694" t="s">
        <v>1643</v>
      </c>
      <c r="U694" t="s">
        <v>1698</v>
      </c>
      <c r="W694" t="s">
        <v>1703</v>
      </c>
      <c r="X694">
        <v>2</v>
      </c>
      <c r="AA694" s="43">
        <v>307.5</v>
      </c>
      <c r="AC694" s="43">
        <v>307.5</v>
      </c>
      <c r="AF694" s="37">
        <f t="shared" si="21"/>
        <v>46071</v>
      </c>
      <c r="AG694" s="37">
        <f t="shared" si="22"/>
        <v>47277.611570247936</v>
      </c>
      <c r="AH694" t="s">
        <v>169</v>
      </c>
      <c r="AN694" s="43">
        <v>307.5</v>
      </c>
    </row>
    <row r="695" spans="2:40">
      <c r="B695" t="s">
        <v>1033</v>
      </c>
      <c r="C695" t="s">
        <v>121</v>
      </c>
      <c r="D695" t="s">
        <v>167</v>
      </c>
      <c r="E695" t="s">
        <v>83</v>
      </c>
      <c r="F695" s="37">
        <v>45742</v>
      </c>
      <c r="G695">
        <v>10</v>
      </c>
      <c r="H695" t="s">
        <v>174</v>
      </c>
      <c r="I695" s="37">
        <v>45812</v>
      </c>
      <c r="J695" t="s">
        <v>165</v>
      </c>
      <c r="K695" t="s">
        <v>166</v>
      </c>
      <c r="L695" t="s">
        <v>175</v>
      </c>
      <c r="M695" t="s">
        <v>1033</v>
      </c>
      <c r="O695" t="s">
        <v>1033</v>
      </c>
      <c r="Q695" t="s">
        <v>1643</v>
      </c>
      <c r="U695" t="s">
        <v>1697</v>
      </c>
      <c r="W695" t="s">
        <v>1702</v>
      </c>
      <c r="X695">
        <v>3</v>
      </c>
      <c r="AA695" s="43">
        <v>307.5</v>
      </c>
      <c r="AC695" s="43">
        <v>307.5</v>
      </c>
      <c r="AF695" s="37">
        <f t="shared" si="21"/>
        <v>46071</v>
      </c>
      <c r="AG695" s="37">
        <f t="shared" si="22"/>
        <v>47277.611570247936</v>
      </c>
      <c r="AH695" t="s">
        <v>1705</v>
      </c>
      <c r="AN695" s="43">
        <v>307.5</v>
      </c>
    </row>
    <row r="696" spans="2:40">
      <c r="B696" t="s">
        <v>1034</v>
      </c>
      <c r="C696" t="s">
        <v>121</v>
      </c>
      <c r="D696" t="s">
        <v>167</v>
      </c>
      <c r="E696" t="s">
        <v>83</v>
      </c>
      <c r="F696" s="37">
        <v>45735</v>
      </c>
      <c r="G696">
        <v>10</v>
      </c>
      <c r="H696" t="s">
        <v>174</v>
      </c>
      <c r="I696" s="37">
        <v>45805</v>
      </c>
      <c r="J696" t="s">
        <v>165</v>
      </c>
      <c r="K696" t="s">
        <v>166</v>
      </c>
      <c r="L696" t="s">
        <v>175</v>
      </c>
      <c r="M696" t="s">
        <v>1034</v>
      </c>
      <c r="O696" t="s">
        <v>1034</v>
      </c>
      <c r="Q696" t="s">
        <v>1643</v>
      </c>
      <c r="U696" t="s">
        <v>1697</v>
      </c>
      <c r="W696" t="s">
        <v>1702</v>
      </c>
      <c r="X696">
        <v>3</v>
      </c>
      <c r="AA696" s="43">
        <v>307.5</v>
      </c>
      <c r="AC696" s="43">
        <v>307.5</v>
      </c>
      <c r="AF696" s="37">
        <f t="shared" si="21"/>
        <v>46064</v>
      </c>
      <c r="AG696" s="37">
        <f t="shared" si="22"/>
        <v>47270.611570247936</v>
      </c>
      <c r="AH696" t="s">
        <v>1705</v>
      </c>
      <c r="AN696" s="43">
        <v>307.5</v>
      </c>
    </row>
    <row r="697" spans="2:40">
      <c r="B697" t="s">
        <v>1035</v>
      </c>
      <c r="C697" t="s">
        <v>121</v>
      </c>
      <c r="D697" t="s">
        <v>167</v>
      </c>
      <c r="E697" t="s">
        <v>83</v>
      </c>
      <c r="F697" s="37">
        <v>45735</v>
      </c>
      <c r="G697">
        <v>10</v>
      </c>
      <c r="H697" t="s">
        <v>174</v>
      </c>
      <c r="I697" s="37">
        <v>45805</v>
      </c>
      <c r="J697" t="s">
        <v>165</v>
      </c>
      <c r="K697" t="s">
        <v>166</v>
      </c>
      <c r="L697" t="s">
        <v>175</v>
      </c>
      <c r="M697" t="s">
        <v>1035</v>
      </c>
      <c r="O697" t="s">
        <v>1035</v>
      </c>
      <c r="Q697" t="s">
        <v>1643</v>
      </c>
      <c r="U697" t="s">
        <v>1698</v>
      </c>
      <c r="W697" t="s">
        <v>1703</v>
      </c>
      <c r="X697">
        <v>2</v>
      </c>
      <c r="AA697" s="43">
        <v>307.5</v>
      </c>
      <c r="AC697" s="43">
        <v>307.5</v>
      </c>
      <c r="AF697" s="37">
        <f t="shared" si="21"/>
        <v>46064</v>
      </c>
      <c r="AG697" s="37">
        <f t="shared" si="22"/>
        <v>47270.611570247936</v>
      </c>
      <c r="AH697" t="s">
        <v>169</v>
      </c>
      <c r="AN697" s="43">
        <v>307.5</v>
      </c>
    </row>
    <row r="698" spans="2:40">
      <c r="B698" t="s">
        <v>1036</v>
      </c>
      <c r="C698" t="s">
        <v>121</v>
      </c>
      <c r="D698" t="s">
        <v>167</v>
      </c>
      <c r="E698" t="s">
        <v>83</v>
      </c>
      <c r="F698" s="37">
        <v>45735</v>
      </c>
      <c r="G698">
        <v>10</v>
      </c>
      <c r="H698" t="s">
        <v>174</v>
      </c>
      <c r="I698" s="37">
        <v>45805</v>
      </c>
      <c r="J698" t="s">
        <v>165</v>
      </c>
      <c r="K698" t="s">
        <v>166</v>
      </c>
      <c r="L698" t="s">
        <v>175</v>
      </c>
      <c r="M698" t="s">
        <v>1036</v>
      </c>
      <c r="O698" t="s">
        <v>1036</v>
      </c>
      <c r="Q698" t="s">
        <v>1643</v>
      </c>
      <c r="U698" t="s">
        <v>1696</v>
      </c>
      <c r="W698" t="s">
        <v>1699</v>
      </c>
      <c r="X698">
        <v>3</v>
      </c>
      <c r="AA698" s="43">
        <v>307.5</v>
      </c>
      <c r="AC698" s="43">
        <v>307.5</v>
      </c>
      <c r="AF698" s="37">
        <f t="shared" si="21"/>
        <v>46064</v>
      </c>
      <c r="AG698" s="37">
        <f t="shared" si="22"/>
        <v>47270.611570247936</v>
      </c>
      <c r="AH698" t="s">
        <v>1704</v>
      </c>
      <c r="AN698" s="43">
        <v>307.5</v>
      </c>
    </row>
    <row r="699" spans="2:40">
      <c r="B699" t="s">
        <v>1037</v>
      </c>
      <c r="C699" t="s">
        <v>121</v>
      </c>
      <c r="D699" t="s">
        <v>167</v>
      </c>
      <c r="E699" t="s">
        <v>83</v>
      </c>
      <c r="F699" s="37">
        <v>45735</v>
      </c>
      <c r="G699">
        <v>10</v>
      </c>
      <c r="H699" t="s">
        <v>174</v>
      </c>
      <c r="I699" s="37">
        <v>45805</v>
      </c>
      <c r="J699" t="s">
        <v>165</v>
      </c>
      <c r="K699" t="s">
        <v>166</v>
      </c>
      <c r="L699" t="s">
        <v>175</v>
      </c>
      <c r="M699" t="s">
        <v>1037</v>
      </c>
      <c r="O699" t="s">
        <v>1037</v>
      </c>
      <c r="Q699" t="s">
        <v>1643</v>
      </c>
      <c r="U699" t="s">
        <v>1698</v>
      </c>
      <c r="W699" t="s">
        <v>1703</v>
      </c>
      <c r="X699">
        <v>2</v>
      </c>
      <c r="AA699" s="43">
        <v>307.5</v>
      </c>
      <c r="AC699" s="43">
        <v>307.5</v>
      </c>
      <c r="AF699" s="37">
        <f t="shared" si="21"/>
        <v>46064</v>
      </c>
      <c r="AG699" s="37">
        <f t="shared" si="22"/>
        <v>47270.611570247936</v>
      </c>
      <c r="AH699" t="s">
        <v>169</v>
      </c>
      <c r="AN699" s="43">
        <v>307.5</v>
      </c>
    </row>
    <row r="700" spans="2:40">
      <c r="B700" t="s">
        <v>1038</v>
      </c>
      <c r="C700" t="s">
        <v>121</v>
      </c>
      <c r="D700" t="s">
        <v>167</v>
      </c>
      <c r="E700" t="s">
        <v>83</v>
      </c>
      <c r="F700" s="37">
        <v>45735</v>
      </c>
      <c r="G700">
        <v>10</v>
      </c>
      <c r="H700" t="s">
        <v>174</v>
      </c>
      <c r="I700" s="37">
        <v>45805</v>
      </c>
      <c r="J700" t="s">
        <v>165</v>
      </c>
      <c r="K700" t="s">
        <v>166</v>
      </c>
      <c r="L700" t="s">
        <v>175</v>
      </c>
      <c r="M700" t="s">
        <v>1038</v>
      </c>
      <c r="O700" t="s">
        <v>1038</v>
      </c>
      <c r="Q700" t="s">
        <v>1643</v>
      </c>
      <c r="U700" t="s">
        <v>1696</v>
      </c>
      <c r="W700" t="s">
        <v>1699</v>
      </c>
      <c r="X700">
        <v>3</v>
      </c>
      <c r="AA700" s="43">
        <v>307.5</v>
      </c>
      <c r="AC700" s="43">
        <v>307.5</v>
      </c>
      <c r="AF700" s="37">
        <f t="shared" si="21"/>
        <v>46064</v>
      </c>
      <c r="AG700" s="37">
        <f t="shared" si="22"/>
        <v>47270.611570247936</v>
      </c>
      <c r="AH700" t="s">
        <v>1704</v>
      </c>
      <c r="AN700" s="43">
        <v>307.5</v>
      </c>
    </row>
    <row r="701" spans="2:40">
      <c r="B701" t="s">
        <v>1039</v>
      </c>
      <c r="C701" t="s">
        <v>121</v>
      </c>
      <c r="D701" t="s">
        <v>167</v>
      </c>
      <c r="E701" t="s">
        <v>83</v>
      </c>
      <c r="F701" s="37">
        <v>45735</v>
      </c>
      <c r="G701">
        <v>10</v>
      </c>
      <c r="H701" t="s">
        <v>174</v>
      </c>
      <c r="I701" s="37">
        <v>45805</v>
      </c>
      <c r="J701" t="s">
        <v>165</v>
      </c>
      <c r="K701" t="s">
        <v>166</v>
      </c>
      <c r="L701" t="s">
        <v>175</v>
      </c>
      <c r="M701" t="s">
        <v>1039</v>
      </c>
      <c r="O701" t="s">
        <v>1039</v>
      </c>
      <c r="Q701" t="s">
        <v>1643</v>
      </c>
      <c r="U701" t="s">
        <v>1698</v>
      </c>
      <c r="W701" t="s">
        <v>1703</v>
      </c>
      <c r="X701">
        <v>2</v>
      </c>
      <c r="AA701" s="43">
        <v>307.5</v>
      </c>
      <c r="AC701" s="43">
        <v>307.5</v>
      </c>
      <c r="AF701" s="37">
        <f t="shared" si="21"/>
        <v>46064</v>
      </c>
      <c r="AG701" s="37">
        <f t="shared" si="22"/>
        <v>47270.611570247936</v>
      </c>
      <c r="AH701" t="s">
        <v>169</v>
      </c>
      <c r="AN701" s="43">
        <v>307.5</v>
      </c>
    </row>
    <row r="702" spans="2:40">
      <c r="B702" t="s">
        <v>1040</v>
      </c>
      <c r="C702" t="s">
        <v>121</v>
      </c>
      <c r="D702" t="s">
        <v>167</v>
      </c>
      <c r="E702" t="s">
        <v>83</v>
      </c>
      <c r="F702" s="37">
        <v>45735</v>
      </c>
      <c r="G702">
        <v>10</v>
      </c>
      <c r="H702" t="s">
        <v>174</v>
      </c>
      <c r="I702" s="37">
        <v>45805</v>
      </c>
      <c r="J702" t="s">
        <v>165</v>
      </c>
      <c r="K702" t="s">
        <v>166</v>
      </c>
      <c r="L702" t="s">
        <v>175</v>
      </c>
      <c r="M702" t="s">
        <v>1040</v>
      </c>
      <c r="O702" t="s">
        <v>1040</v>
      </c>
      <c r="Q702" t="s">
        <v>1643</v>
      </c>
      <c r="U702" t="s">
        <v>1696</v>
      </c>
      <c r="W702" t="s">
        <v>1699</v>
      </c>
      <c r="X702">
        <v>3</v>
      </c>
      <c r="AA702" s="43">
        <v>307.5</v>
      </c>
      <c r="AC702" s="43">
        <v>307.5</v>
      </c>
      <c r="AF702" s="37">
        <f t="shared" si="21"/>
        <v>46064</v>
      </c>
      <c r="AG702" s="37">
        <f t="shared" si="22"/>
        <v>47270.611570247936</v>
      </c>
      <c r="AH702" t="s">
        <v>1704</v>
      </c>
      <c r="AN702" s="43">
        <v>307.5</v>
      </c>
    </row>
    <row r="703" spans="2:40">
      <c r="B703" t="s">
        <v>1041</v>
      </c>
      <c r="C703" t="s">
        <v>121</v>
      </c>
      <c r="D703" t="s">
        <v>167</v>
      </c>
      <c r="E703" t="s">
        <v>83</v>
      </c>
      <c r="F703" s="37">
        <v>45735</v>
      </c>
      <c r="G703">
        <v>10</v>
      </c>
      <c r="H703" t="s">
        <v>174</v>
      </c>
      <c r="I703" s="37">
        <v>45805</v>
      </c>
      <c r="J703" t="s">
        <v>165</v>
      </c>
      <c r="K703" t="s">
        <v>166</v>
      </c>
      <c r="L703" t="s">
        <v>175</v>
      </c>
      <c r="M703" t="s">
        <v>1041</v>
      </c>
      <c r="O703" t="s">
        <v>1041</v>
      </c>
      <c r="Q703" t="s">
        <v>1643</v>
      </c>
      <c r="U703" t="s">
        <v>1696</v>
      </c>
      <c r="W703" t="s">
        <v>1699</v>
      </c>
      <c r="X703">
        <v>3</v>
      </c>
      <c r="AA703" s="43">
        <v>307.5</v>
      </c>
      <c r="AC703" s="43">
        <v>307.5</v>
      </c>
      <c r="AF703" s="37">
        <f t="shared" si="21"/>
        <v>46064</v>
      </c>
      <c r="AG703" s="37">
        <f t="shared" si="22"/>
        <v>47270.611570247936</v>
      </c>
      <c r="AH703" t="s">
        <v>1704</v>
      </c>
      <c r="AN703" s="43">
        <v>307.5</v>
      </c>
    </row>
    <row r="704" spans="2:40">
      <c r="B704" t="s">
        <v>1042</v>
      </c>
      <c r="C704" t="s">
        <v>121</v>
      </c>
      <c r="D704" t="s">
        <v>167</v>
      </c>
      <c r="E704" t="s">
        <v>83</v>
      </c>
      <c r="F704" s="37">
        <v>45735</v>
      </c>
      <c r="G704">
        <v>10</v>
      </c>
      <c r="H704" t="s">
        <v>174</v>
      </c>
      <c r="I704" s="37">
        <v>45805</v>
      </c>
      <c r="J704" t="s">
        <v>165</v>
      </c>
      <c r="K704" t="s">
        <v>166</v>
      </c>
      <c r="L704" t="s">
        <v>175</v>
      </c>
      <c r="M704" t="s">
        <v>1042</v>
      </c>
      <c r="O704" t="s">
        <v>1042</v>
      </c>
      <c r="Q704" t="s">
        <v>1643</v>
      </c>
      <c r="U704" t="s">
        <v>1696</v>
      </c>
      <c r="W704" t="s">
        <v>1699</v>
      </c>
      <c r="X704">
        <v>3</v>
      </c>
      <c r="AA704" s="43">
        <v>307.5</v>
      </c>
      <c r="AC704" s="43">
        <v>307.5</v>
      </c>
      <c r="AF704" s="37">
        <f t="shared" si="21"/>
        <v>46064</v>
      </c>
      <c r="AG704" s="37">
        <f t="shared" si="22"/>
        <v>47270.611570247936</v>
      </c>
      <c r="AH704" t="s">
        <v>1704</v>
      </c>
      <c r="AN704" s="43">
        <v>307.5</v>
      </c>
    </row>
    <row r="705" spans="2:40">
      <c r="B705" t="s">
        <v>1043</v>
      </c>
      <c r="C705" t="s">
        <v>121</v>
      </c>
      <c r="D705" t="s">
        <v>167</v>
      </c>
      <c r="E705" t="s">
        <v>83</v>
      </c>
      <c r="F705" s="37">
        <v>45735</v>
      </c>
      <c r="G705">
        <v>10</v>
      </c>
      <c r="H705" t="s">
        <v>174</v>
      </c>
      <c r="I705" s="37">
        <v>45805</v>
      </c>
      <c r="J705" t="s">
        <v>165</v>
      </c>
      <c r="K705" t="s">
        <v>166</v>
      </c>
      <c r="L705" t="s">
        <v>175</v>
      </c>
      <c r="M705" t="s">
        <v>1043</v>
      </c>
      <c r="O705" t="s">
        <v>1043</v>
      </c>
      <c r="Q705" t="s">
        <v>1643</v>
      </c>
      <c r="U705" t="s">
        <v>1698</v>
      </c>
      <c r="W705" t="s">
        <v>1703</v>
      </c>
      <c r="X705">
        <v>2</v>
      </c>
      <c r="AA705" s="43">
        <v>307.5</v>
      </c>
      <c r="AC705" s="43">
        <v>307.5</v>
      </c>
      <c r="AF705" s="37">
        <f t="shared" si="21"/>
        <v>46064</v>
      </c>
      <c r="AG705" s="37">
        <f t="shared" si="22"/>
        <v>47270.611570247936</v>
      </c>
      <c r="AH705" t="s">
        <v>169</v>
      </c>
      <c r="AN705" s="43">
        <v>307.5</v>
      </c>
    </row>
    <row r="706" spans="2:40">
      <c r="B706" t="s">
        <v>1044</v>
      </c>
      <c r="C706" t="s">
        <v>121</v>
      </c>
      <c r="D706" t="s">
        <v>167</v>
      </c>
      <c r="E706" t="s">
        <v>83</v>
      </c>
      <c r="F706" s="37">
        <v>45728</v>
      </c>
      <c r="G706">
        <v>10</v>
      </c>
      <c r="H706" t="s">
        <v>174</v>
      </c>
      <c r="I706" s="37">
        <v>45798</v>
      </c>
      <c r="J706" t="s">
        <v>165</v>
      </c>
      <c r="K706" t="s">
        <v>166</v>
      </c>
      <c r="L706" t="s">
        <v>175</v>
      </c>
      <c r="M706" t="s">
        <v>1044</v>
      </c>
      <c r="O706" t="s">
        <v>1044</v>
      </c>
      <c r="Q706" t="s">
        <v>1643</v>
      </c>
      <c r="U706" t="s">
        <v>1697</v>
      </c>
      <c r="W706" t="s">
        <v>1702</v>
      </c>
      <c r="X706">
        <v>3</v>
      </c>
      <c r="AA706" s="43">
        <v>307.5</v>
      </c>
      <c r="AC706" s="43">
        <v>307.5</v>
      </c>
      <c r="AF706" s="37">
        <f t="shared" si="21"/>
        <v>46057</v>
      </c>
      <c r="AG706" s="37">
        <f t="shared" si="22"/>
        <v>47263.611570247936</v>
      </c>
      <c r="AH706" t="s">
        <v>1705</v>
      </c>
      <c r="AN706" s="43">
        <v>307.5</v>
      </c>
    </row>
    <row r="707" spans="2:40">
      <c r="B707" t="s">
        <v>1045</v>
      </c>
      <c r="C707" t="s">
        <v>121</v>
      </c>
      <c r="D707" t="s">
        <v>167</v>
      </c>
      <c r="E707" t="s">
        <v>83</v>
      </c>
      <c r="F707" s="37">
        <v>45728</v>
      </c>
      <c r="G707">
        <v>10</v>
      </c>
      <c r="H707" t="s">
        <v>174</v>
      </c>
      <c r="I707" s="37">
        <v>45798</v>
      </c>
      <c r="J707" t="s">
        <v>165</v>
      </c>
      <c r="K707" t="s">
        <v>166</v>
      </c>
      <c r="L707" t="s">
        <v>175</v>
      </c>
      <c r="M707" t="s">
        <v>1045</v>
      </c>
      <c r="O707" t="s">
        <v>1045</v>
      </c>
      <c r="Q707" t="s">
        <v>1643</v>
      </c>
      <c r="U707" t="s">
        <v>1697</v>
      </c>
      <c r="W707" t="s">
        <v>1702</v>
      </c>
      <c r="X707">
        <v>3</v>
      </c>
      <c r="AA707" s="43">
        <v>307.5</v>
      </c>
      <c r="AC707" s="43">
        <v>307.5</v>
      </c>
      <c r="AF707" s="37">
        <f t="shared" si="21"/>
        <v>46057</v>
      </c>
      <c r="AG707" s="37">
        <f t="shared" si="22"/>
        <v>47263.611570247936</v>
      </c>
      <c r="AH707" t="s">
        <v>1705</v>
      </c>
      <c r="AN707" s="43">
        <v>307.5</v>
      </c>
    </row>
    <row r="708" spans="2:40">
      <c r="B708" t="s">
        <v>1046</v>
      </c>
      <c r="C708" t="s">
        <v>121</v>
      </c>
      <c r="D708" t="s">
        <v>167</v>
      </c>
      <c r="E708" t="s">
        <v>83</v>
      </c>
      <c r="F708" s="37">
        <v>45728</v>
      </c>
      <c r="G708">
        <v>10</v>
      </c>
      <c r="H708" t="s">
        <v>174</v>
      </c>
      <c r="I708" s="37">
        <v>45798</v>
      </c>
      <c r="J708" t="s">
        <v>165</v>
      </c>
      <c r="K708" t="s">
        <v>166</v>
      </c>
      <c r="L708" t="s">
        <v>175</v>
      </c>
      <c r="M708" t="s">
        <v>1046</v>
      </c>
      <c r="O708" t="s">
        <v>1046</v>
      </c>
      <c r="Q708" t="s">
        <v>1643</v>
      </c>
      <c r="U708" t="s">
        <v>1697</v>
      </c>
      <c r="W708" t="s">
        <v>1702</v>
      </c>
      <c r="X708">
        <v>3</v>
      </c>
      <c r="AA708" s="43">
        <v>307.5</v>
      </c>
      <c r="AC708" s="43">
        <v>307.5</v>
      </c>
      <c r="AF708" s="37">
        <f t="shared" si="21"/>
        <v>46057</v>
      </c>
      <c r="AG708" s="37">
        <f t="shared" si="22"/>
        <v>47263.611570247936</v>
      </c>
      <c r="AH708" t="s">
        <v>1705</v>
      </c>
      <c r="AN708" s="43">
        <v>307.5</v>
      </c>
    </row>
    <row r="709" spans="2:40">
      <c r="B709" t="s">
        <v>1047</v>
      </c>
      <c r="C709" t="s">
        <v>121</v>
      </c>
      <c r="D709" t="s">
        <v>167</v>
      </c>
      <c r="E709" t="s">
        <v>83</v>
      </c>
      <c r="F709" s="37">
        <v>45728</v>
      </c>
      <c r="G709">
        <v>10</v>
      </c>
      <c r="H709" t="s">
        <v>174</v>
      </c>
      <c r="I709" s="37">
        <v>45798</v>
      </c>
      <c r="J709" t="s">
        <v>165</v>
      </c>
      <c r="K709" t="s">
        <v>166</v>
      </c>
      <c r="L709" t="s">
        <v>175</v>
      </c>
      <c r="M709" t="s">
        <v>1047</v>
      </c>
      <c r="O709" t="s">
        <v>1047</v>
      </c>
      <c r="Q709" t="s">
        <v>1643</v>
      </c>
      <c r="U709" t="s">
        <v>1697</v>
      </c>
      <c r="W709" t="s">
        <v>1702</v>
      </c>
      <c r="X709">
        <v>3</v>
      </c>
      <c r="AA709" s="43">
        <v>307.5</v>
      </c>
      <c r="AC709" s="43">
        <v>307.5</v>
      </c>
      <c r="AF709" s="37">
        <f t="shared" si="21"/>
        <v>46057</v>
      </c>
      <c r="AG709" s="37">
        <f t="shared" si="22"/>
        <v>47263.611570247936</v>
      </c>
      <c r="AH709" t="s">
        <v>1705</v>
      </c>
      <c r="AN709" s="43">
        <v>307.5</v>
      </c>
    </row>
    <row r="710" spans="2:40">
      <c r="B710" t="s">
        <v>1048</v>
      </c>
      <c r="C710" t="s">
        <v>121</v>
      </c>
      <c r="D710" t="s">
        <v>167</v>
      </c>
      <c r="E710" t="s">
        <v>83</v>
      </c>
      <c r="F710" s="37">
        <v>45728</v>
      </c>
      <c r="G710">
        <v>10</v>
      </c>
      <c r="H710" t="s">
        <v>174</v>
      </c>
      <c r="I710" s="37">
        <v>45798</v>
      </c>
      <c r="J710" t="s">
        <v>165</v>
      </c>
      <c r="K710" t="s">
        <v>166</v>
      </c>
      <c r="L710" t="s">
        <v>175</v>
      </c>
      <c r="M710" t="s">
        <v>1048</v>
      </c>
      <c r="O710" t="s">
        <v>1048</v>
      </c>
      <c r="Q710" t="s">
        <v>1643</v>
      </c>
      <c r="U710" t="s">
        <v>1697</v>
      </c>
      <c r="W710" t="s">
        <v>1702</v>
      </c>
      <c r="X710">
        <v>3</v>
      </c>
      <c r="AA710" s="43">
        <v>307.5</v>
      </c>
      <c r="AC710" s="43">
        <v>307.5</v>
      </c>
      <c r="AF710" s="37">
        <f t="shared" si="21"/>
        <v>46057</v>
      </c>
      <c r="AG710" s="37">
        <f t="shared" si="22"/>
        <v>47263.611570247936</v>
      </c>
      <c r="AH710" t="s">
        <v>1705</v>
      </c>
      <c r="AN710" s="43">
        <v>307.5</v>
      </c>
    </row>
    <row r="711" spans="2:40">
      <c r="B711" t="s">
        <v>1049</v>
      </c>
      <c r="C711" t="s">
        <v>121</v>
      </c>
      <c r="D711" t="s">
        <v>167</v>
      </c>
      <c r="E711" t="s">
        <v>83</v>
      </c>
      <c r="F711" s="37">
        <v>45728</v>
      </c>
      <c r="G711">
        <v>10</v>
      </c>
      <c r="H711" t="s">
        <v>174</v>
      </c>
      <c r="I711" s="37">
        <v>45798</v>
      </c>
      <c r="J711" t="s">
        <v>165</v>
      </c>
      <c r="K711" t="s">
        <v>166</v>
      </c>
      <c r="L711" t="s">
        <v>175</v>
      </c>
      <c r="M711" t="s">
        <v>1049</v>
      </c>
      <c r="O711" t="s">
        <v>1049</v>
      </c>
      <c r="Q711" t="s">
        <v>1643</v>
      </c>
      <c r="U711" t="s">
        <v>1698</v>
      </c>
      <c r="W711" t="s">
        <v>1703</v>
      </c>
      <c r="X711">
        <v>2</v>
      </c>
      <c r="AA711" s="43">
        <v>307.5</v>
      </c>
      <c r="AC711" s="43">
        <v>307.5</v>
      </c>
      <c r="AF711" s="37">
        <f t="shared" ref="AF711:AF774" si="23">F711+(47*7)</f>
        <v>46057</v>
      </c>
      <c r="AG711" s="37">
        <f t="shared" ref="AG711:AG774" si="24">+AF711+(365*8)/2.42</f>
        <v>47263.611570247936</v>
      </c>
      <c r="AH711" t="s">
        <v>169</v>
      </c>
      <c r="AN711" s="43">
        <v>307.5</v>
      </c>
    </row>
    <row r="712" spans="2:40">
      <c r="B712" t="s">
        <v>1050</v>
      </c>
      <c r="C712" t="s">
        <v>121</v>
      </c>
      <c r="D712" t="s">
        <v>167</v>
      </c>
      <c r="E712" t="s">
        <v>83</v>
      </c>
      <c r="F712" s="37">
        <v>45728</v>
      </c>
      <c r="G712">
        <v>10</v>
      </c>
      <c r="H712" t="s">
        <v>174</v>
      </c>
      <c r="I712" s="37">
        <v>45798</v>
      </c>
      <c r="J712" t="s">
        <v>165</v>
      </c>
      <c r="K712" t="s">
        <v>166</v>
      </c>
      <c r="L712" t="s">
        <v>175</v>
      </c>
      <c r="M712" t="s">
        <v>1050</v>
      </c>
      <c r="O712" t="s">
        <v>1050</v>
      </c>
      <c r="Q712" t="s">
        <v>1643</v>
      </c>
      <c r="U712" t="s">
        <v>1698</v>
      </c>
      <c r="W712" t="s">
        <v>1703</v>
      </c>
      <c r="X712">
        <v>2</v>
      </c>
      <c r="AA712" s="43">
        <v>307.5</v>
      </c>
      <c r="AC712" s="43">
        <v>307.5</v>
      </c>
      <c r="AF712" s="37">
        <f t="shared" si="23"/>
        <v>46057</v>
      </c>
      <c r="AG712" s="37">
        <f t="shared" si="24"/>
        <v>47263.611570247936</v>
      </c>
      <c r="AH712" t="s">
        <v>169</v>
      </c>
      <c r="AN712" s="43">
        <v>307.5</v>
      </c>
    </row>
    <row r="713" spans="2:40">
      <c r="B713" t="s">
        <v>1051</v>
      </c>
      <c r="C713" t="s">
        <v>121</v>
      </c>
      <c r="D713" t="s">
        <v>167</v>
      </c>
      <c r="E713" t="s">
        <v>83</v>
      </c>
      <c r="F713" s="37">
        <v>45728</v>
      </c>
      <c r="G713">
        <v>10</v>
      </c>
      <c r="H713" t="s">
        <v>174</v>
      </c>
      <c r="I713" s="37">
        <v>45798</v>
      </c>
      <c r="J713" t="s">
        <v>165</v>
      </c>
      <c r="K713" t="s">
        <v>166</v>
      </c>
      <c r="L713" t="s">
        <v>175</v>
      </c>
      <c r="M713" t="s">
        <v>1051</v>
      </c>
      <c r="O713" t="s">
        <v>1051</v>
      </c>
      <c r="Q713" t="s">
        <v>1643</v>
      </c>
      <c r="U713" t="s">
        <v>1697</v>
      </c>
      <c r="W713" t="s">
        <v>1702</v>
      </c>
      <c r="X713">
        <v>3</v>
      </c>
      <c r="AA713" s="43">
        <v>307.5</v>
      </c>
      <c r="AC713" s="43">
        <v>307.5</v>
      </c>
      <c r="AF713" s="37">
        <f t="shared" si="23"/>
        <v>46057</v>
      </c>
      <c r="AG713" s="37">
        <f t="shared" si="24"/>
        <v>47263.611570247936</v>
      </c>
      <c r="AH713" t="s">
        <v>1705</v>
      </c>
      <c r="AN713" s="43">
        <v>307.5</v>
      </c>
    </row>
    <row r="714" spans="2:40">
      <c r="B714" t="s">
        <v>1052</v>
      </c>
      <c r="C714" t="s">
        <v>121</v>
      </c>
      <c r="D714" t="s">
        <v>167</v>
      </c>
      <c r="E714" t="s">
        <v>83</v>
      </c>
      <c r="F714" s="37">
        <v>45728</v>
      </c>
      <c r="G714">
        <v>10</v>
      </c>
      <c r="H714" t="s">
        <v>174</v>
      </c>
      <c r="I714" s="37">
        <v>45798</v>
      </c>
      <c r="J714" t="s">
        <v>165</v>
      </c>
      <c r="K714" t="s">
        <v>166</v>
      </c>
      <c r="L714" t="s">
        <v>175</v>
      </c>
      <c r="M714" t="s">
        <v>1052</v>
      </c>
      <c r="O714" t="s">
        <v>1052</v>
      </c>
      <c r="Q714" t="s">
        <v>1643</v>
      </c>
      <c r="U714" t="s">
        <v>1697</v>
      </c>
      <c r="W714" t="s">
        <v>1702</v>
      </c>
      <c r="X714">
        <v>3</v>
      </c>
      <c r="AA714" s="43">
        <v>307.5</v>
      </c>
      <c r="AC714" s="43">
        <v>307.5</v>
      </c>
      <c r="AF714" s="37">
        <f t="shared" si="23"/>
        <v>46057</v>
      </c>
      <c r="AG714" s="37">
        <f t="shared" si="24"/>
        <v>47263.611570247936</v>
      </c>
      <c r="AH714" t="s">
        <v>1705</v>
      </c>
      <c r="AN714" s="43">
        <v>307.5</v>
      </c>
    </row>
    <row r="715" spans="2:40">
      <c r="B715" t="s">
        <v>1053</v>
      </c>
      <c r="C715" t="s">
        <v>121</v>
      </c>
      <c r="D715" t="s">
        <v>167</v>
      </c>
      <c r="E715" t="s">
        <v>83</v>
      </c>
      <c r="F715" s="37">
        <v>45721</v>
      </c>
      <c r="G715">
        <v>10</v>
      </c>
      <c r="H715" t="s">
        <v>174</v>
      </c>
      <c r="I715" s="37">
        <v>45770</v>
      </c>
      <c r="J715" t="s">
        <v>165</v>
      </c>
      <c r="K715" t="s">
        <v>166</v>
      </c>
      <c r="L715" t="s">
        <v>175</v>
      </c>
      <c r="M715" t="s">
        <v>1053</v>
      </c>
      <c r="O715" t="s">
        <v>1053</v>
      </c>
      <c r="Q715" t="s">
        <v>1643</v>
      </c>
      <c r="U715" t="s">
        <v>1697</v>
      </c>
      <c r="W715" t="s">
        <v>1702</v>
      </c>
      <c r="X715">
        <v>3</v>
      </c>
      <c r="AA715" s="43">
        <v>307.5</v>
      </c>
      <c r="AC715" s="43">
        <v>307.5</v>
      </c>
      <c r="AF715" s="37">
        <f t="shared" si="23"/>
        <v>46050</v>
      </c>
      <c r="AG715" s="37">
        <f t="shared" si="24"/>
        <v>47256.611570247936</v>
      </c>
      <c r="AH715" t="s">
        <v>1705</v>
      </c>
      <c r="AN715" s="43">
        <v>307.5</v>
      </c>
    </row>
    <row r="716" spans="2:40">
      <c r="B716" t="s">
        <v>1054</v>
      </c>
      <c r="C716" t="s">
        <v>121</v>
      </c>
      <c r="D716" t="s">
        <v>167</v>
      </c>
      <c r="E716" t="s">
        <v>83</v>
      </c>
      <c r="F716" s="37">
        <v>45721</v>
      </c>
      <c r="G716">
        <v>10</v>
      </c>
      <c r="H716" t="s">
        <v>174</v>
      </c>
      <c r="I716" s="37">
        <v>45770</v>
      </c>
      <c r="J716" t="s">
        <v>165</v>
      </c>
      <c r="K716" t="s">
        <v>166</v>
      </c>
      <c r="L716" t="s">
        <v>175</v>
      </c>
      <c r="M716" t="s">
        <v>1054</v>
      </c>
      <c r="O716" t="s">
        <v>1054</v>
      </c>
      <c r="Q716" t="s">
        <v>1643</v>
      </c>
      <c r="U716" t="s">
        <v>1697</v>
      </c>
      <c r="W716" t="s">
        <v>1702</v>
      </c>
      <c r="X716">
        <v>3</v>
      </c>
      <c r="AA716" s="43">
        <v>307.5</v>
      </c>
      <c r="AC716" s="43">
        <v>307.5</v>
      </c>
      <c r="AF716" s="37">
        <f t="shared" si="23"/>
        <v>46050</v>
      </c>
      <c r="AG716" s="37">
        <f t="shared" si="24"/>
        <v>47256.611570247936</v>
      </c>
      <c r="AH716" t="s">
        <v>1705</v>
      </c>
      <c r="AN716" s="43">
        <v>307.5</v>
      </c>
    </row>
    <row r="717" spans="2:40">
      <c r="B717" t="s">
        <v>1055</v>
      </c>
      <c r="C717" t="s">
        <v>121</v>
      </c>
      <c r="D717" t="s">
        <v>167</v>
      </c>
      <c r="E717" t="s">
        <v>83</v>
      </c>
      <c r="F717" s="37">
        <v>45721</v>
      </c>
      <c r="G717">
        <v>10</v>
      </c>
      <c r="H717" t="s">
        <v>174</v>
      </c>
      <c r="I717" s="37">
        <v>45770</v>
      </c>
      <c r="J717" t="s">
        <v>165</v>
      </c>
      <c r="K717" t="s">
        <v>166</v>
      </c>
      <c r="L717" t="s">
        <v>175</v>
      </c>
      <c r="M717" t="s">
        <v>1055</v>
      </c>
      <c r="O717" t="s">
        <v>1055</v>
      </c>
      <c r="Q717" t="s">
        <v>1643</v>
      </c>
      <c r="U717" t="s">
        <v>1697</v>
      </c>
      <c r="W717" t="s">
        <v>1702</v>
      </c>
      <c r="X717">
        <v>3</v>
      </c>
      <c r="AA717" s="43">
        <v>307.5</v>
      </c>
      <c r="AC717" s="43">
        <v>307.5</v>
      </c>
      <c r="AF717" s="37">
        <f t="shared" si="23"/>
        <v>46050</v>
      </c>
      <c r="AG717" s="37">
        <f t="shared" si="24"/>
        <v>47256.611570247936</v>
      </c>
      <c r="AH717" t="s">
        <v>1705</v>
      </c>
      <c r="AN717" s="43">
        <v>307.5</v>
      </c>
    </row>
    <row r="718" spans="2:40">
      <c r="B718" t="s">
        <v>1056</v>
      </c>
      <c r="C718" t="s">
        <v>121</v>
      </c>
      <c r="D718" t="s">
        <v>167</v>
      </c>
      <c r="E718" t="s">
        <v>83</v>
      </c>
      <c r="F718" s="37">
        <v>45721</v>
      </c>
      <c r="G718">
        <v>10</v>
      </c>
      <c r="H718" t="s">
        <v>174</v>
      </c>
      <c r="I718" s="37">
        <v>45770</v>
      </c>
      <c r="J718" t="s">
        <v>165</v>
      </c>
      <c r="K718" t="s">
        <v>166</v>
      </c>
      <c r="L718" t="s">
        <v>175</v>
      </c>
      <c r="M718" t="s">
        <v>1056</v>
      </c>
      <c r="O718" t="s">
        <v>1056</v>
      </c>
      <c r="Q718" t="s">
        <v>1643</v>
      </c>
      <c r="U718" t="s">
        <v>1697</v>
      </c>
      <c r="W718" t="s">
        <v>1702</v>
      </c>
      <c r="X718">
        <v>3</v>
      </c>
      <c r="AA718" s="43">
        <v>307.5</v>
      </c>
      <c r="AC718" s="43">
        <v>307.5</v>
      </c>
      <c r="AF718" s="37">
        <f t="shared" si="23"/>
        <v>46050</v>
      </c>
      <c r="AG718" s="37">
        <f t="shared" si="24"/>
        <v>47256.611570247936</v>
      </c>
      <c r="AH718" t="s">
        <v>1705</v>
      </c>
      <c r="AN718" s="43">
        <v>307.5</v>
      </c>
    </row>
    <row r="719" spans="2:40">
      <c r="B719" t="s">
        <v>1057</v>
      </c>
      <c r="C719" t="s">
        <v>121</v>
      </c>
      <c r="D719" t="s">
        <v>167</v>
      </c>
      <c r="E719" t="s">
        <v>83</v>
      </c>
      <c r="F719" s="37">
        <v>45721</v>
      </c>
      <c r="G719">
        <v>10</v>
      </c>
      <c r="H719" t="s">
        <v>174</v>
      </c>
      <c r="I719" s="37">
        <v>45770</v>
      </c>
      <c r="J719" t="s">
        <v>165</v>
      </c>
      <c r="K719" t="s">
        <v>166</v>
      </c>
      <c r="L719" t="s">
        <v>175</v>
      </c>
      <c r="M719" t="s">
        <v>1057</v>
      </c>
      <c r="O719" t="s">
        <v>1057</v>
      </c>
      <c r="Q719" t="s">
        <v>1643</v>
      </c>
      <c r="U719" t="s">
        <v>1696</v>
      </c>
      <c r="W719" t="s">
        <v>1699</v>
      </c>
      <c r="X719">
        <v>3</v>
      </c>
      <c r="AA719" s="43">
        <v>307.5</v>
      </c>
      <c r="AC719" s="43">
        <v>307.5</v>
      </c>
      <c r="AF719" s="37">
        <f t="shared" si="23"/>
        <v>46050</v>
      </c>
      <c r="AG719" s="37">
        <f t="shared" si="24"/>
        <v>47256.611570247936</v>
      </c>
      <c r="AH719" t="s">
        <v>1704</v>
      </c>
      <c r="AN719" s="43">
        <v>307.5</v>
      </c>
    </row>
    <row r="720" spans="2:40">
      <c r="B720" t="s">
        <v>1058</v>
      </c>
      <c r="C720" t="s">
        <v>121</v>
      </c>
      <c r="D720" t="s">
        <v>167</v>
      </c>
      <c r="E720" t="s">
        <v>83</v>
      </c>
      <c r="F720" s="37">
        <v>45721</v>
      </c>
      <c r="G720">
        <v>10</v>
      </c>
      <c r="H720" t="s">
        <v>174</v>
      </c>
      <c r="I720" s="37">
        <v>45770</v>
      </c>
      <c r="J720" t="s">
        <v>165</v>
      </c>
      <c r="K720" t="s">
        <v>166</v>
      </c>
      <c r="L720" t="s">
        <v>175</v>
      </c>
      <c r="M720" t="s">
        <v>1058</v>
      </c>
      <c r="O720" t="s">
        <v>1058</v>
      </c>
      <c r="Q720" t="s">
        <v>1643</v>
      </c>
      <c r="U720" t="s">
        <v>1697</v>
      </c>
      <c r="W720" t="s">
        <v>1702</v>
      </c>
      <c r="X720">
        <v>3</v>
      </c>
      <c r="AA720" s="43">
        <v>307.5</v>
      </c>
      <c r="AC720" s="43">
        <v>307.5</v>
      </c>
      <c r="AF720" s="37">
        <f t="shared" si="23"/>
        <v>46050</v>
      </c>
      <c r="AG720" s="37">
        <f t="shared" si="24"/>
        <v>47256.611570247936</v>
      </c>
      <c r="AH720" t="s">
        <v>1705</v>
      </c>
      <c r="AN720" s="43">
        <v>307.5</v>
      </c>
    </row>
    <row r="721" spans="2:40">
      <c r="B721" t="s">
        <v>1059</v>
      </c>
      <c r="C721" t="s">
        <v>121</v>
      </c>
      <c r="D721" t="s">
        <v>167</v>
      </c>
      <c r="E721" t="s">
        <v>83</v>
      </c>
      <c r="F721" s="37">
        <v>45721</v>
      </c>
      <c r="G721">
        <v>10</v>
      </c>
      <c r="H721" t="s">
        <v>174</v>
      </c>
      <c r="I721" s="37">
        <v>45770</v>
      </c>
      <c r="J721" t="s">
        <v>165</v>
      </c>
      <c r="K721" t="s">
        <v>166</v>
      </c>
      <c r="L721" t="s">
        <v>175</v>
      </c>
      <c r="M721" t="s">
        <v>1059</v>
      </c>
      <c r="O721" t="s">
        <v>1059</v>
      </c>
      <c r="Q721" t="s">
        <v>1643</v>
      </c>
      <c r="U721" t="s">
        <v>1696</v>
      </c>
      <c r="W721" t="s">
        <v>1699</v>
      </c>
      <c r="X721">
        <v>3</v>
      </c>
      <c r="AA721" s="43">
        <v>307.5</v>
      </c>
      <c r="AC721" s="43">
        <v>307.5</v>
      </c>
      <c r="AF721" s="37">
        <f t="shared" si="23"/>
        <v>46050</v>
      </c>
      <c r="AG721" s="37">
        <f t="shared" si="24"/>
        <v>47256.611570247936</v>
      </c>
      <c r="AH721" t="s">
        <v>1704</v>
      </c>
      <c r="AN721" s="43">
        <v>307.5</v>
      </c>
    </row>
    <row r="722" spans="2:40">
      <c r="B722" t="s">
        <v>1060</v>
      </c>
      <c r="C722" t="s">
        <v>121</v>
      </c>
      <c r="D722" t="s">
        <v>167</v>
      </c>
      <c r="E722" t="s">
        <v>83</v>
      </c>
      <c r="F722" s="37">
        <v>45721</v>
      </c>
      <c r="G722">
        <v>10</v>
      </c>
      <c r="H722" t="s">
        <v>174</v>
      </c>
      <c r="I722" s="37">
        <v>45770</v>
      </c>
      <c r="J722" t="s">
        <v>165</v>
      </c>
      <c r="K722" t="s">
        <v>166</v>
      </c>
      <c r="L722" t="s">
        <v>175</v>
      </c>
      <c r="M722" t="s">
        <v>1060</v>
      </c>
      <c r="O722" t="s">
        <v>1060</v>
      </c>
      <c r="Q722" t="s">
        <v>1643</v>
      </c>
      <c r="U722" t="s">
        <v>1697</v>
      </c>
      <c r="W722" t="s">
        <v>1702</v>
      </c>
      <c r="X722">
        <v>3</v>
      </c>
      <c r="AA722" s="43">
        <v>307.5</v>
      </c>
      <c r="AC722" s="43">
        <v>307.5</v>
      </c>
      <c r="AF722" s="37">
        <f t="shared" si="23"/>
        <v>46050</v>
      </c>
      <c r="AG722" s="37">
        <f t="shared" si="24"/>
        <v>47256.611570247936</v>
      </c>
      <c r="AH722" t="s">
        <v>1705</v>
      </c>
      <c r="AN722" s="43">
        <v>307.5</v>
      </c>
    </row>
    <row r="723" spans="2:40">
      <c r="B723" t="s">
        <v>1061</v>
      </c>
      <c r="C723" t="s">
        <v>121</v>
      </c>
      <c r="D723" t="s">
        <v>167</v>
      </c>
      <c r="E723" t="s">
        <v>83</v>
      </c>
      <c r="F723" s="37">
        <v>45721</v>
      </c>
      <c r="G723">
        <v>10</v>
      </c>
      <c r="H723" t="s">
        <v>174</v>
      </c>
      <c r="I723" s="37">
        <v>45770</v>
      </c>
      <c r="J723" t="s">
        <v>165</v>
      </c>
      <c r="K723" t="s">
        <v>166</v>
      </c>
      <c r="L723" t="s">
        <v>175</v>
      </c>
      <c r="M723" t="s">
        <v>1061</v>
      </c>
      <c r="O723" t="s">
        <v>1061</v>
      </c>
      <c r="Q723" t="s">
        <v>1643</v>
      </c>
      <c r="U723" t="s">
        <v>1697</v>
      </c>
      <c r="W723" t="s">
        <v>1702</v>
      </c>
      <c r="X723">
        <v>3</v>
      </c>
      <c r="AA723" s="43">
        <v>307.5</v>
      </c>
      <c r="AC723" s="43">
        <v>307.5</v>
      </c>
      <c r="AF723" s="37">
        <f t="shared" si="23"/>
        <v>46050</v>
      </c>
      <c r="AG723" s="37">
        <f t="shared" si="24"/>
        <v>47256.611570247936</v>
      </c>
      <c r="AH723" t="s">
        <v>1705</v>
      </c>
      <c r="AN723" s="43">
        <v>307.5</v>
      </c>
    </row>
    <row r="724" spans="2:40">
      <c r="B724" t="s">
        <v>1062</v>
      </c>
      <c r="C724" t="s">
        <v>121</v>
      </c>
      <c r="D724" t="s">
        <v>167</v>
      </c>
      <c r="E724" t="s">
        <v>83</v>
      </c>
      <c r="F724" s="37">
        <v>45714</v>
      </c>
      <c r="G724">
        <v>10</v>
      </c>
      <c r="H724" t="s">
        <v>174</v>
      </c>
      <c r="I724" s="37">
        <v>45763</v>
      </c>
      <c r="J724" t="s">
        <v>165</v>
      </c>
      <c r="K724" t="s">
        <v>166</v>
      </c>
      <c r="L724" t="s">
        <v>175</v>
      </c>
      <c r="M724" t="s">
        <v>1062</v>
      </c>
      <c r="O724" t="s">
        <v>1062</v>
      </c>
      <c r="Q724" t="s">
        <v>1643</v>
      </c>
      <c r="U724" t="s">
        <v>1697</v>
      </c>
      <c r="W724" t="s">
        <v>1702</v>
      </c>
      <c r="X724">
        <v>3</v>
      </c>
      <c r="AA724" s="43">
        <v>307.5</v>
      </c>
      <c r="AC724" s="43">
        <v>307.5</v>
      </c>
      <c r="AF724" s="37">
        <f t="shared" si="23"/>
        <v>46043</v>
      </c>
      <c r="AG724" s="37">
        <f t="shared" si="24"/>
        <v>47249.611570247936</v>
      </c>
      <c r="AH724" t="s">
        <v>1705</v>
      </c>
      <c r="AN724" s="43">
        <v>307.5</v>
      </c>
    </row>
    <row r="725" spans="2:40">
      <c r="B725" t="s">
        <v>1063</v>
      </c>
      <c r="C725" t="s">
        <v>121</v>
      </c>
      <c r="D725" t="s">
        <v>167</v>
      </c>
      <c r="E725" t="s">
        <v>83</v>
      </c>
      <c r="F725" s="37">
        <v>45714</v>
      </c>
      <c r="G725">
        <v>10</v>
      </c>
      <c r="H725" t="s">
        <v>174</v>
      </c>
      <c r="I725" s="37">
        <v>45763</v>
      </c>
      <c r="J725" t="s">
        <v>165</v>
      </c>
      <c r="K725" t="s">
        <v>166</v>
      </c>
      <c r="L725" t="s">
        <v>175</v>
      </c>
      <c r="M725" t="s">
        <v>1063</v>
      </c>
      <c r="O725" t="s">
        <v>1063</v>
      </c>
      <c r="Q725" t="s">
        <v>1643</v>
      </c>
      <c r="U725" t="s">
        <v>1696</v>
      </c>
      <c r="W725" t="s">
        <v>1699</v>
      </c>
      <c r="X725">
        <v>3</v>
      </c>
      <c r="AA725" s="43">
        <v>307.5</v>
      </c>
      <c r="AC725" s="43">
        <v>307.5</v>
      </c>
      <c r="AF725" s="37">
        <f t="shared" si="23"/>
        <v>46043</v>
      </c>
      <c r="AG725" s="37">
        <f t="shared" si="24"/>
        <v>47249.611570247936</v>
      </c>
      <c r="AH725" t="s">
        <v>1704</v>
      </c>
      <c r="AN725" s="43">
        <v>307.5</v>
      </c>
    </row>
    <row r="726" spans="2:40">
      <c r="B726" t="s">
        <v>1064</v>
      </c>
      <c r="C726" t="s">
        <v>121</v>
      </c>
      <c r="D726" t="s">
        <v>167</v>
      </c>
      <c r="E726" t="s">
        <v>83</v>
      </c>
      <c r="F726" s="37">
        <v>45714</v>
      </c>
      <c r="G726">
        <v>10</v>
      </c>
      <c r="H726" t="s">
        <v>174</v>
      </c>
      <c r="I726" s="37">
        <v>45763</v>
      </c>
      <c r="J726" t="s">
        <v>165</v>
      </c>
      <c r="K726" t="s">
        <v>166</v>
      </c>
      <c r="L726" t="s">
        <v>175</v>
      </c>
      <c r="M726" t="s">
        <v>1064</v>
      </c>
      <c r="O726" t="s">
        <v>1064</v>
      </c>
      <c r="Q726" t="s">
        <v>1643</v>
      </c>
      <c r="U726" t="s">
        <v>1697</v>
      </c>
      <c r="W726" t="s">
        <v>1702</v>
      </c>
      <c r="X726">
        <v>3</v>
      </c>
      <c r="AA726" s="43">
        <v>307.5</v>
      </c>
      <c r="AC726" s="43">
        <v>307.5</v>
      </c>
      <c r="AF726" s="37">
        <f t="shared" si="23"/>
        <v>46043</v>
      </c>
      <c r="AG726" s="37">
        <f t="shared" si="24"/>
        <v>47249.611570247936</v>
      </c>
      <c r="AH726" t="s">
        <v>1705</v>
      </c>
      <c r="AN726" s="43">
        <v>307.5</v>
      </c>
    </row>
    <row r="727" spans="2:40">
      <c r="B727" t="s">
        <v>1065</v>
      </c>
      <c r="C727" t="s">
        <v>121</v>
      </c>
      <c r="D727" t="s">
        <v>167</v>
      </c>
      <c r="E727" t="s">
        <v>83</v>
      </c>
      <c r="F727" s="37">
        <v>45714</v>
      </c>
      <c r="G727">
        <v>10</v>
      </c>
      <c r="H727" t="s">
        <v>174</v>
      </c>
      <c r="I727" s="37">
        <v>45763</v>
      </c>
      <c r="J727" t="s">
        <v>165</v>
      </c>
      <c r="K727" t="s">
        <v>166</v>
      </c>
      <c r="L727" t="s">
        <v>175</v>
      </c>
      <c r="M727" t="s">
        <v>1065</v>
      </c>
      <c r="O727" t="s">
        <v>1065</v>
      </c>
      <c r="Q727" t="s">
        <v>1643</v>
      </c>
      <c r="U727" t="s">
        <v>1697</v>
      </c>
      <c r="W727" t="s">
        <v>1702</v>
      </c>
      <c r="X727">
        <v>3</v>
      </c>
      <c r="AA727" s="43">
        <v>307.5</v>
      </c>
      <c r="AC727" s="43">
        <v>307.5</v>
      </c>
      <c r="AF727" s="37">
        <f t="shared" si="23"/>
        <v>46043</v>
      </c>
      <c r="AG727" s="37">
        <f t="shared" si="24"/>
        <v>47249.611570247936</v>
      </c>
      <c r="AH727" t="s">
        <v>1705</v>
      </c>
      <c r="AN727" s="43">
        <v>307.5</v>
      </c>
    </row>
    <row r="728" spans="2:40">
      <c r="B728" t="s">
        <v>1066</v>
      </c>
      <c r="C728" t="s">
        <v>121</v>
      </c>
      <c r="D728" t="s">
        <v>167</v>
      </c>
      <c r="E728" t="s">
        <v>83</v>
      </c>
      <c r="F728" s="37">
        <v>45714</v>
      </c>
      <c r="G728">
        <v>10</v>
      </c>
      <c r="H728" t="s">
        <v>174</v>
      </c>
      <c r="I728" s="37">
        <v>45763</v>
      </c>
      <c r="J728" t="s">
        <v>165</v>
      </c>
      <c r="K728" t="s">
        <v>166</v>
      </c>
      <c r="L728" t="s">
        <v>175</v>
      </c>
      <c r="M728" t="s">
        <v>1066</v>
      </c>
      <c r="O728" t="s">
        <v>1066</v>
      </c>
      <c r="Q728" t="s">
        <v>1643</v>
      </c>
      <c r="U728" t="s">
        <v>1698</v>
      </c>
      <c r="W728" t="s">
        <v>1703</v>
      </c>
      <c r="X728">
        <v>2</v>
      </c>
      <c r="AA728" s="43">
        <v>307.5</v>
      </c>
      <c r="AC728" s="43">
        <v>307.5</v>
      </c>
      <c r="AF728" s="37">
        <f t="shared" si="23"/>
        <v>46043</v>
      </c>
      <c r="AG728" s="37">
        <f t="shared" si="24"/>
        <v>47249.611570247936</v>
      </c>
      <c r="AH728" t="s">
        <v>169</v>
      </c>
      <c r="AN728" s="43">
        <v>307.5</v>
      </c>
    </row>
    <row r="729" spans="2:40">
      <c r="B729" t="s">
        <v>1067</v>
      </c>
      <c r="C729" t="s">
        <v>121</v>
      </c>
      <c r="D729" t="s">
        <v>167</v>
      </c>
      <c r="E729" t="s">
        <v>83</v>
      </c>
      <c r="F729" s="37">
        <v>45714</v>
      </c>
      <c r="G729">
        <v>10</v>
      </c>
      <c r="H729" t="s">
        <v>174</v>
      </c>
      <c r="I729" s="37">
        <v>45763</v>
      </c>
      <c r="J729" t="s">
        <v>165</v>
      </c>
      <c r="K729" t="s">
        <v>166</v>
      </c>
      <c r="L729" t="s">
        <v>175</v>
      </c>
      <c r="M729" t="s">
        <v>1067</v>
      </c>
      <c r="O729" t="s">
        <v>1067</v>
      </c>
      <c r="Q729" t="s">
        <v>1643</v>
      </c>
      <c r="U729" t="s">
        <v>1697</v>
      </c>
      <c r="W729" t="s">
        <v>1702</v>
      </c>
      <c r="X729">
        <v>3</v>
      </c>
      <c r="AA729" s="43">
        <v>307.5</v>
      </c>
      <c r="AC729" s="43">
        <v>307.5</v>
      </c>
      <c r="AF729" s="37">
        <f t="shared" si="23"/>
        <v>46043</v>
      </c>
      <c r="AG729" s="37">
        <f t="shared" si="24"/>
        <v>47249.611570247936</v>
      </c>
      <c r="AH729" t="s">
        <v>1705</v>
      </c>
      <c r="AN729" s="43">
        <v>307.5</v>
      </c>
    </row>
    <row r="730" spans="2:40">
      <c r="B730" t="s">
        <v>1068</v>
      </c>
      <c r="C730" t="s">
        <v>121</v>
      </c>
      <c r="D730" t="s">
        <v>167</v>
      </c>
      <c r="E730" t="s">
        <v>83</v>
      </c>
      <c r="F730" s="37">
        <v>45714</v>
      </c>
      <c r="G730">
        <v>10</v>
      </c>
      <c r="H730" t="s">
        <v>174</v>
      </c>
      <c r="I730" s="37">
        <v>45763</v>
      </c>
      <c r="J730" t="s">
        <v>165</v>
      </c>
      <c r="K730" t="s">
        <v>166</v>
      </c>
      <c r="L730" t="s">
        <v>175</v>
      </c>
      <c r="M730" t="s">
        <v>1068</v>
      </c>
      <c r="O730" t="s">
        <v>1068</v>
      </c>
      <c r="Q730" t="s">
        <v>1643</v>
      </c>
      <c r="U730" t="s">
        <v>1697</v>
      </c>
      <c r="W730" t="s">
        <v>1702</v>
      </c>
      <c r="X730">
        <v>3</v>
      </c>
      <c r="AA730" s="43">
        <v>307.5</v>
      </c>
      <c r="AC730" s="43">
        <v>307.5</v>
      </c>
      <c r="AF730" s="37">
        <f t="shared" si="23"/>
        <v>46043</v>
      </c>
      <c r="AG730" s="37">
        <f t="shared" si="24"/>
        <v>47249.611570247936</v>
      </c>
      <c r="AH730" t="s">
        <v>1705</v>
      </c>
      <c r="AN730" s="43">
        <v>307.5</v>
      </c>
    </row>
    <row r="731" spans="2:40">
      <c r="B731" t="s">
        <v>1069</v>
      </c>
      <c r="C731" t="s">
        <v>121</v>
      </c>
      <c r="D731" t="s">
        <v>167</v>
      </c>
      <c r="E731" t="s">
        <v>83</v>
      </c>
      <c r="F731" s="37">
        <v>45714</v>
      </c>
      <c r="G731">
        <v>10</v>
      </c>
      <c r="H731" t="s">
        <v>174</v>
      </c>
      <c r="I731" s="37">
        <v>45763</v>
      </c>
      <c r="J731" t="s">
        <v>165</v>
      </c>
      <c r="K731" t="s">
        <v>166</v>
      </c>
      <c r="L731" t="s">
        <v>175</v>
      </c>
      <c r="M731" t="s">
        <v>1069</v>
      </c>
      <c r="O731" t="s">
        <v>1069</v>
      </c>
      <c r="Q731" t="s">
        <v>1643</v>
      </c>
      <c r="U731" t="s">
        <v>1697</v>
      </c>
      <c r="W731" t="s">
        <v>1702</v>
      </c>
      <c r="X731">
        <v>3</v>
      </c>
      <c r="AA731" s="43">
        <v>307.5</v>
      </c>
      <c r="AC731" s="43">
        <v>307.5</v>
      </c>
      <c r="AF731" s="37">
        <f t="shared" si="23"/>
        <v>46043</v>
      </c>
      <c r="AG731" s="37">
        <f t="shared" si="24"/>
        <v>47249.611570247936</v>
      </c>
      <c r="AH731" t="s">
        <v>1705</v>
      </c>
      <c r="AN731" s="43">
        <v>307.5</v>
      </c>
    </row>
    <row r="732" spans="2:40">
      <c r="B732" t="s">
        <v>1070</v>
      </c>
      <c r="C732" t="s">
        <v>121</v>
      </c>
      <c r="D732" t="s">
        <v>167</v>
      </c>
      <c r="E732" t="s">
        <v>83</v>
      </c>
      <c r="F732" s="37">
        <v>45714</v>
      </c>
      <c r="G732">
        <v>10</v>
      </c>
      <c r="H732" t="s">
        <v>174</v>
      </c>
      <c r="I732" s="37">
        <v>45763</v>
      </c>
      <c r="J732" t="s">
        <v>165</v>
      </c>
      <c r="K732" t="s">
        <v>166</v>
      </c>
      <c r="L732" t="s">
        <v>175</v>
      </c>
      <c r="M732" t="s">
        <v>1070</v>
      </c>
      <c r="O732" t="s">
        <v>1070</v>
      </c>
      <c r="Q732" t="s">
        <v>1643</v>
      </c>
      <c r="U732" t="s">
        <v>1697</v>
      </c>
      <c r="W732" t="s">
        <v>1702</v>
      </c>
      <c r="X732">
        <v>3</v>
      </c>
      <c r="AA732" s="43">
        <v>307.5</v>
      </c>
      <c r="AC732" s="43">
        <v>307.5</v>
      </c>
      <c r="AF732" s="37">
        <f t="shared" si="23"/>
        <v>46043</v>
      </c>
      <c r="AG732" s="37">
        <f t="shared" si="24"/>
        <v>47249.611570247936</v>
      </c>
      <c r="AH732" t="s">
        <v>1705</v>
      </c>
      <c r="AN732" s="43">
        <v>307.5</v>
      </c>
    </row>
    <row r="733" spans="2:40">
      <c r="B733" t="s">
        <v>1071</v>
      </c>
      <c r="C733" t="s">
        <v>121</v>
      </c>
      <c r="D733" t="s">
        <v>167</v>
      </c>
      <c r="E733" t="s">
        <v>83</v>
      </c>
      <c r="F733" s="37">
        <v>45714</v>
      </c>
      <c r="G733">
        <v>10</v>
      </c>
      <c r="H733" t="s">
        <v>174</v>
      </c>
      <c r="I733" s="37">
        <v>45763</v>
      </c>
      <c r="J733" t="s">
        <v>165</v>
      </c>
      <c r="K733" t="s">
        <v>166</v>
      </c>
      <c r="L733" t="s">
        <v>175</v>
      </c>
      <c r="M733" t="s">
        <v>1071</v>
      </c>
      <c r="O733" t="s">
        <v>1071</v>
      </c>
      <c r="Q733" t="s">
        <v>1643</v>
      </c>
      <c r="U733" t="s">
        <v>1697</v>
      </c>
      <c r="W733" t="s">
        <v>1702</v>
      </c>
      <c r="X733">
        <v>3</v>
      </c>
      <c r="AA733" s="43">
        <v>307.5</v>
      </c>
      <c r="AC733" s="43">
        <v>307.5</v>
      </c>
      <c r="AF733" s="37">
        <f t="shared" si="23"/>
        <v>46043</v>
      </c>
      <c r="AG733" s="37">
        <f t="shared" si="24"/>
        <v>47249.611570247936</v>
      </c>
      <c r="AH733" t="s">
        <v>1705</v>
      </c>
      <c r="AN733" s="43">
        <v>307.5</v>
      </c>
    </row>
    <row r="734" spans="2:40">
      <c r="B734" t="s">
        <v>1072</v>
      </c>
      <c r="C734" t="s">
        <v>121</v>
      </c>
      <c r="D734" t="s">
        <v>167</v>
      </c>
      <c r="E734" t="s">
        <v>83</v>
      </c>
      <c r="F734" s="37">
        <v>45700</v>
      </c>
      <c r="G734">
        <v>10</v>
      </c>
      <c r="H734" t="s">
        <v>174</v>
      </c>
      <c r="I734" s="37">
        <v>45770</v>
      </c>
      <c r="J734" t="s">
        <v>165</v>
      </c>
      <c r="K734" t="s">
        <v>166</v>
      </c>
      <c r="L734" t="s">
        <v>175</v>
      </c>
      <c r="M734" t="s">
        <v>1072</v>
      </c>
      <c r="O734" t="s">
        <v>1072</v>
      </c>
      <c r="Q734" t="s">
        <v>1643</v>
      </c>
      <c r="U734" t="s">
        <v>1697</v>
      </c>
      <c r="W734" t="s">
        <v>1702</v>
      </c>
      <c r="X734">
        <v>3</v>
      </c>
      <c r="AA734" s="43">
        <v>307.5</v>
      </c>
      <c r="AC734" s="43">
        <v>307.5</v>
      </c>
      <c r="AF734" s="37">
        <f t="shared" si="23"/>
        <v>46029</v>
      </c>
      <c r="AG734" s="37">
        <f t="shared" si="24"/>
        <v>47235.611570247936</v>
      </c>
      <c r="AH734" t="s">
        <v>1705</v>
      </c>
      <c r="AN734" s="43">
        <v>307.5</v>
      </c>
    </row>
    <row r="735" spans="2:40">
      <c r="B735" t="s">
        <v>1073</v>
      </c>
      <c r="C735" t="s">
        <v>121</v>
      </c>
      <c r="D735" t="s">
        <v>167</v>
      </c>
      <c r="E735" t="s">
        <v>83</v>
      </c>
      <c r="F735" s="37">
        <v>45700</v>
      </c>
      <c r="G735">
        <v>10</v>
      </c>
      <c r="H735" t="s">
        <v>174</v>
      </c>
      <c r="I735" s="37">
        <v>45770</v>
      </c>
      <c r="J735" t="s">
        <v>165</v>
      </c>
      <c r="K735" t="s">
        <v>166</v>
      </c>
      <c r="L735" t="s">
        <v>175</v>
      </c>
      <c r="M735" t="s">
        <v>1073</v>
      </c>
      <c r="O735" t="s">
        <v>1073</v>
      </c>
      <c r="Q735" t="s">
        <v>1643</v>
      </c>
      <c r="U735" t="s">
        <v>1697</v>
      </c>
      <c r="W735" t="s">
        <v>1702</v>
      </c>
      <c r="X735">
        <v>3</v>
      </c>
      <c r="AA735" s="43">
        <v>307.5</v>
      </c>
      <c r="AC735" s="43">
        <v>307.5</v>
      </c>
      <c r="AF735" s="37">
        <f t="shared" si="23"/>
        <v>46029</v>
      </c>
      <c r="AG735" s="37">
        <f t="shared" si="24"/>
        <v>47235.611570247936</v>
      </c>
      <c r="AH735" t="s">
        <v>1705</v>
      </c>
      <c r="AN735" s="43">
        <v>307.5</v>
      </c>
    </row>
    <row r="736" spans="2:40">
      <c r="B736" t="s">
        <v>1074</v>
      </c>
      <c r="C736" t="s">
        <v>121</v>
      </c>
      <c r="D736" t="s">
        <v>167</v>
      </c>
      <c r="E736" t="s">
        <v>83</v>
      </c>
      <c r="F736" s="37">
        <v>45700</v>
      </c>
      <c r="G736">
        <v>10</v>
      </c>
      <c r="H736" t="s">
        <v>174</v>
      </c>
      <c r="I736" s="37">
        <v>45770</v>
      </c>
      <c r="J736" t="s">
        <v>165</v>
      </c>
      <c r="K736" t="s">
        <v>166</v>
      </c>
      <c r="L736" t="s">
        <v>175</v>
      </c>
      <c r="M736" t="s">
        <v>1074</v>
      </c>
      <c r="O736" t="s">
        <v>1074</v>
      </c>
      <c r="Q736" t="s">
        <v>1643</v>
      </c>
      <c r="U736" t="s">
        <v>1697</v>
      </c>
      <c r="W736" t="s">
        <v>1702</v>
      </c>
      <c r="X736">
        <v>3</v>
      </c>
      <c r="AA736" s="43">
        <v>307.5</v>
      </c>
      <c r="AC736" s="43">
        <v>307.5</v>
      </c>
      <c r="AF736" s="37">
        <f t="shared" si="23"/>
        <v>46029</v>
      </c>
      <c r="AG736" s="37">
        <f t="shared" si="24"/>
        <v>47235.611570247936</v>
      </c>
      <c r="AH736" t="s">
        <v>1705</v>
      </c>
      <c r="AN736" s="43">
        <v>307.5</v>
      </c>
    </row>
    <row r="737" spans="2:40">
      <c r="B737" t="s">
        <v>1075</v>
      </c>
      <c r="C737" t="s">
        <v>121</v>
      </c>
      <c r="D737" t="s">
        <v>167</v>
      </c>
      <c r="E737" t="s">
        <v>83</v>
      </c>
      <c r="F737" s="37">
        <v>45700</v>
      </c>
      <c r="G737">
        <v>10</v>
      </c>
      <c r="H737" t="s">
        <v>174</v>
      </c>
      <c r="I737" s="37">
        <v>45770</v>
      </c>
      <c r="J737" t="s">
        <v>165</v>
      </c>
      <c r="K737" t="s">
        <v>166</v>
      </c>
      <c r="L737" t="s">
        <v>175</v>
      </c>
      <c r="M737" t="s">
        <v>1075</v>
      </c>
      <c r="O737" t="s">
        <v>1075</v>
      </c>
      <c r="Q737" t="s">
        <v>1643</v>
      </c>
      <c r="U737" t="s">
        <v>1696</v>
      </c>
      <c r="W737" t="s">
        <v>1699</v>
      </c>
      <c r="X737">
        <v>3</v>
      </c>
      <c r="AA737" s="43">
        <v>307.5</v>
      </c>
      <c r="AC737" s="43">
        <v>307.5</v>
      </c>
      <c r="AF737" s="37">
        <f t="shared" si="23"/>
        <v>46029</v>
      </c>
      <c r="AG737" s="37">
        <f t="shared" si="24"/>
        <v>47235.611570247936</v>
      </c>
      <c r="AH737" t="s">
        <v>1704</v>
      </c>
      <c r="AN737" s="43">
        <v>307.5</v>
      </c>
    </row>
    <row r="738" spans="2:40">
      <c r="B738" t="s">
        <v>1076</v>
      </c>
      <c r="C738" t="s">
        <v>121</v>
      </c>
      <c r="D738" t="s">
        <v>167</v>
      </c>
      <c r="E738" t="s">
        <v>83</v>
      </c>
      <c r="F738" s="37">
        <v>45700</v>
      </c>
      <c r="G738">
        <v>10</v>
      </c>
      <c r="H738" t="s">
        <v>174</v>
      </c>
      <c r="I738" s="37">
        <v>45770</v>
      </c>
      <c r="J738" t="s">
        <v>165</v>
      </c>
      <c r="K738" t="s">
        <v>166</v>
      </c>
      <c r="L738" t="s">
        <v>175</v>
      </c>
      <c r="M738" t="s">
        <v>1076</v>
      </c>
      <c r="O738" t="s">
        <v>1076</v>
      </c>
      <c r="Q738" t="s">
        <v>1643</v>
      </c>
      <c r="U738" t="s">
        <v>1697</v>
      </c>
      <c r="W738" t="s">
        <v>1702</v>
      </c>
      <c r="X738">
        <v>3</v>
      </c>
      <c r="AA738" s="43">
        <v>307.5</v>
      </c>
      <c r="AC738" s="43">
        <v>307.5</v>
      </c>
      <c r="AF738" s="37">
        <f t="shared" si="23"/>
        <v>46029</v>
      </c>
      <c r="AG738" s="37">
        <f t="shared" si="24"/>
        <v>47235.611570247936</v>
      </c>
      <c r="AH738" t="s">
        <v>1705</v>
      </c>
      <c r="AN738" s="43">
        <v>307.5</v>
      </c>
    </row>
    <row r="739" spans="2:40">
      <c r="B739" t="s">
        <v>1077</v>
      </c>
      <c r="C739" t="s">
        <v>121</v>
      </c>
      <c r="D739" t="s">
        <v>167</v>
      </c>
      <c r="E739" t="s">
        <v>83</v>
      </c>
      <c r="F739" s="37">
        <v>45700</v>
      </c>
      <c r="G739">
        <v>10</v>
      </c>
      <c r="H739" t="s">
        <v>174</v>
      </c>
      <c r="I739" s="37">
        <v>45770</v>
      </c>
      <c r="J739" t="s">
        <v>165</v>
      </c>
      <c r="K739" t="s">
        <v>166</v>
      </c>
      <c r="L739" t="s">
        <v>175</v>
      </c>
      <c r="M739" t="s">
        <v>1077</v>
      </c>
      <c r="O739" t="s">
        <v>1077</v>
      </c>
      <c r="Q739" t="s">
        <v>1643</v>
      </c>
      <c r="U739" t="s">
        <v>1697</v>
      </c>
      <c r="W739" t="s">
        <v>1702</v>
      </c>
      <c r="X739">
        <v>3</v>
      </c>
      <c r="AA739" s="43">
        <v>307.5</v>
      </c>
      <c r="AC739" s="43">
        <v>307.5</v>
      </c>
      <c r="AF739" s="37">
        <f t="shared" si="23"/>
        <v>46029</v>
      </c>
      <c r="AG739" s="37">
        <f t="shared" si="24"/>
        <v>47235.611570247936</v>
      </c>
      <c r="AH739" t="s">
        <v>1705</v>
      </c>
      <c r="AN739" s="43">
        <v>307.5</v>
      </c>
    </row>
    <row r="740" spans="2:40">
      <c r="B740" t="s">
        <v>1078</v>
      </c>
      <c r="C740" t="s">
        <v>121</v>
      </c>
      <c r="D740" t="s">
        <v>167</v>
      </c>
      <c r="E740" t="s">
        <v>83</v>
      </c>
      <c r="F740" s="37">
        <v>45700</v>
      </c>
      <c r="G740">
        <v>10</v>
      </c>
      <c r="H740" t="s">
        <v>174</v>
      </c>
      <c r="I740" s="37">
        <v>45770</v>
      </c>
      <c r="J740" t="s">
        <v>165</v>
      </c>
      <c r="K740" t="s">
        <v>166</v>
      </c>
      <c r="L740" t="s">
        <v>175</v>
      </c>
      <c r="M740" t="s">
        <v>1078</v>
      </c>
      <c r="O740" t="s">
        <v>1078</v>
      </c>
      <c r="Q740" t="s">
        <v>1643</v>
      </c>
      <c r="U740" t="s">
        <v>1697</v>
      </c>
      <c r="W740" t="s">
        <v>1702</v>
      </c>
      <c r="X740">
        <v>3</v>
      </c>
      <c r="AA740" s="43">
        <v>307.5</v>
      </c>
      <c r="AC740" s="43">
        <v>307.5</v>
      </c>
      <c r="AF740" s="37">
        <f t="shared" si="23"/>
        <v>46029</v>
      </c>
      <c r="AG740" s="37">
        <f t="shared" si="24"/>
        <v>47235.611570247936</v>
      </c>
      <c r="AH740" t="s">
        <v>1705</v>
      </c>
      <c r="AN740" s="43">
        <v>307.5</v>
      </c>
    </row>
    <row r="741" spans="2:40">
      <c r="B741" t="s">
        <v>1079</v>
      </c>
      <c r="C741" t="s">
        <v>121</v>
      </c>
      <c r="D741" t="s">
        <v>167</v>
      </c>
      <c r="E741" t="s">
        <v>83</v>
      </c>
      <c r="F741" s="37">
        <v>45700</v>
      </c>
      <c r="G741">
        <v>10</v>
      </c>
      <c r="H741" t="s">
        <v>174</v>
      </c>
      <c r="I741" s="37">
        <v>45770</v>
      </c>
      <c r="J741" t="s">
        <v>165</v>
      </c>
      <c r="K741" t="s">
        <v>166</v>
      </c>
      <c r="L741" t="s">
        <v>175</v>
      </c>
      <c r="M741" t="s">
        <v>1079</v>
      </c>
      <c r="O741" t="s">
        <v>1079</v>
      </c>
      <c r="Q741" t="s">
        <v>1643</v>
      </c>
      <c r="U741" t="s">
        <v>1697</v>
      </c>
      <c r="W741" t="s">
        <v>1702</v>
      </c>
      <c r="X741">
        <v>3</v>
      </c>
      <c r="AA741" s="43">
        <v>307.5</v>
      </c>
      <c r="AC741" s="43">
        <v>307.5</v>
      </c>
      <c r="AF741" s="37">
        <f t="shared" si="23"/>
        <v>46029</v>
      </c>
      <c r="AG741" s="37">
        <f t="shared" si="24"/>
        <v>47235.611570247936</v>
      </c>
      <c r="AH741" t="s">
        <v>1705</v>
      </c>
      <c r="AN741" s="43">
        <v>307.5</v>
      </c>
    </row>
    <row r="742" spans="2:40">
      <c r="B742" t="s">
        <v>1080</v>
      </c>
      <c r="C742" t="s">
        <v>121</v>
      </c>
      <c r="D742" t="s">
        <v>167</v>
      </c>
      <c r="E742" t="s">
        <v>83</v>
      </c>
      <c r="F742" s="37">
        <v>45700</v>
      </c>
      <c r="G742">
        <v>10</v>
      </c>
      <c r="H742" t="s">
        <v>174</v>
      </c>
      <c r="I742" s="37">
        <v>45770</v>
      </c>
      <c r="J742" t="s">
        <v>165</v>
      </c>
      <c r="K742" t="s">
        <v>166</v>
      </c>
      <c r="L742" t="s">
        <v>175</v>
      </c>
      <c r="M742" t="s">
        <v>1080</v>
      </c>
      <c r="O742" t="s">
        <v>1080</v>
      </c>
      <c r="Q742" t="s">
        <v>1643</v>
      </c>
      <c r="U742" t="s">
        <v>1697</v>
      </c>
      <c r="W742" t="s">
        <v>1702</v>
      </c>
      <c r="X742">
        <v>3</v>
      </c>
      <c r="AA742" s="43">
        <v>307.5</v>
      </c>
      <c r="AC742" s="43">
        <v>307.5</v>
      </c>
      <c r="AF742" s="37">
        <f t="shared" si="23"/>
        <v>46029</v>
      </c>
      <c r="AG742" s="37">
        <f t="shared" si="24"/>
        <v>47235.611570247936</v>
      </c>
      <c r="AH742" t="s">
        <v>1705</v>
      </c>
      <c r="AN742" s="43">
        <v>307.5</v>
      </c>
    </row>
    <row r="743" spans="2:40">
      <c r="B743" t="s">
        <v>1081</v>
      </c>
      <c r="C743" t="s">
        <v>121</v>
      </c>
      <c r="D743" t="s">
        <v>167</v>
      </c>
      <c r="E743" t="s">
        <v>83</v>
      </c>
      <c r="F743" s="37">
        <v>45700</v>
      </c>
      <c r="G743">
        <v>10</v>
      </c>
      <c r="H743" t="s">
        <v>174</v>
      </c>
      <c r="I743" s="37">
        <v>45770</v>
      </c>
      <c r="J743" t="s">
        <v>165</v>
      </c>
      <c r="K743" t="s">
        <v>166</v>
      </c>
      <c r="L743" t="s">
        <v>175</v>
      </c>
      <c r="M743" t="s">
        <v>1081</v>
      </c>
      <c r="O743" t="s">
        <v>1081</v>
      </c>
      <c r="Q743" t="s">
        <v>1643</v>
      </c>
      <c r="U743" t="s">
        <v>1697</v>
      </c>
      <c r="W743" t="s">
        <v>1702</v>
      </c>
      <c r="X743">
        <v>3</v>
      </c>
      <c r="AA743" s="43">
        <v>307.5</v>
      </c>
      <c r="AC743" s="43">
        <v>307.5</v>
      </c>
      <c r="AF743" s="37">
        <f t="shared" si="23"/>
        <v>46029</v>
      </c>
      <c r="AG743" s="37">
        <f t="shared" si="24"/>
        <v>47235.611570247936</v>
      </c>
      <c r="AH743" t="s">
        <v>1705</v>
      </c>
      <c r="AN743" s="43">
        <v>307.5</v>
      </c>
    </row>
    <row r="744" spans="2:40">
      <c r="B744" t="s">
        <v>1082</v>
      </c>
      <c r="C744" t="s">
        <v>121</v>
      </c>
      <c r="D744" t="s">
        <v>167</v>
      </c>
      <c r="E744" t="s">
        <v>83</v>
      </c>
      <c r="F744" s="37">
        <v>45700</v>
      </c>
      <c r="G744">
        <v>10</v>
      </c>
      <c r="H744" t="s">
        <v>174</v>
      </c>
      <c r="I744" s="37">
        <v>45770</v>
      </c>
      <c r="J744" t="s">
        <v>165</v>
      </c>
      <c r="K744" t="s">
        <v>166</v>
      </c>
      <c r="L744" t="s">
        <v>175</v>
      </c>
      <c r="M744" t="s">
        <v>1082</v>
      </c>
      <c r="O744" t="s">
        <v>1082</v>
      </c>
      <c r="Q744" t="s">
        <v>1643</v>
      </c>
      <c r="U744" t="s">
        <v>1697</v>
      </c>
      <c r="W744" t="s">
        <v>1702</v>
      </c>
      <c r="X744">
        <v>3</v>
      </c>
      <c r="AA744" s="43">
        <v>307.5</v>
      </c>
      <c r="AC744" s="43">
        <v>307.5</v>
      </c>
      <c r="AF744" s="37">
        <f t="shared" si="23"/>
        <v>46029</v>
      </c>
      <c r="AG744" s="37">
        <f t="shared" si="24"/>
        <v>47235.611570247936</v>
      </c>
      <c r="AH744" t="s">
        <v>1705</v>
      </c>
      <c r="AN744" s="43">
        <v>307.5</v>
      </c>
    </row>
    <row r="745" spans="2:40">
      <c r="B745" t="s">
        <v>1083</v>
      </c>
      <c r="C745" t="s">
        <v>121</v>
      </c>
      <c r="D745" t="s">
        <v>167</v>
      </c>
      <c r="E745" t="s">
        <v>83</v>
      </c>
      <c r="F745" s="37">
        <v>45693</v>
      </c>
      <c r="G745">
        <v>10</v>
      </c>
      <c r="H745" t="s">
        <v>174</v>
      </c>
      <c r="I745" s="37">
        <v>45763</v>
      </c>
      <c r="J745" t="s">
        <v>165</v>
      </c>
      <c r="K745" t="s">
        <v>166</v>
      </c>
      <c r="L745" t="s">
        <v>175</v>
      </c>
      <c r="M745" t="s">
        <v>1083</v>
      </c>
      <c r="O745" t="s">
        <v>1083</v>
      </c>
      <c r="Q745" t="s">
        <v>1643</v>
      </c>
      <c r="U745" t="s">
        <v>1697</v>
      </c>
      <c r="W745" t="s">
        <v>1702</v>
      </c>
      <c r="X745">
        <v>3</v>
      </c>
      <c r="AA745" s="43">
        <v>307.5</v>
      </c>
      <c r="AC745" s="43">
        <v>307.5</v>
      </c>
      <c r="AF745" s="37">
        <f t="shared" si="23"/>
        <v>46022</v>
      </c>
      <c r="AG745" s="37">
        <f t="shared" si="24"/>
        <v>47228.611570247936</v>
      </c>
      <c r="AH745" t="s">
        <v>1705</v>
      </c>
      <c r="AN745" s="43">
        <v>307.5</v>
      </c>
    </row>
    <row r="746" spans="2:40">
      <c r="B746" t="s">
        <v>1084</v>
      </c>
      <c r="C746" t="s">
        <v>121</v>
      </c>
      <c r="D746" t="s">
        <v>167</v>
      </c>
      <c r="E746" t="s">
        <v>83</v>
      </c>
      <c r="F746" s="37">
        <v>45693</v>
      </c>
      <c r="G746">
        <v>10</v>
      </c>
      <c r="H746" t="s">
        <v>174</v>
      </c>
      <c r="I746" s="37">
        <v>45763</v>
      </c>
      <c r="J746" t="s">
        <v>165</v>
      </c>
      <c r="K746" t="s">
        <v>166</v>
      </c>
      <c r="L746" t="s">
        <v>175</v>
      </c>
      <c r="M746" t="s">
        <v>1084</v>
      </c>
      <c r="O746" t="s">
        <v>1084</v>
      </c>
      <c r="Q746" t="s">
        <v>1643</v>
      </c>
      <c r="U746" t="s">
        <v>1697</v>
      </c>
      <c r="W746" t="s">
        <v>1702</v>
      </c>
      <c r="X746">
        <v>3</v>
      </c>
      <c r="AA746" s="43">
        <v>307.5</v>
      </c>
      <c r="AC746" s="43">
        <v>307.5</v>
      </c>
      <c r="AF746" s="37">
        <f t="shared" si="23"/>
        <v>46022</v>
      </c>
      <c r="AG746" s="37">
        <f t="shared" si="24"/>
        <v>47228.611570247936</v>
      </c>
      <c r="AH746" t="s">
        <v>1705</v>
      </c>
      <c r="AN746" s="43">
        <v>307.5</v>
      </c>
    </row>
    <row r="747" spans="2:40">
      <c r="B747" t="s">
        <v>1085</v>
      </c>
      <c r="C747" t="s">
        <v>121</v>
      </c>
      <c r="D747" t="s">
        <v>167</v>
      </c>
      <c r="E747" t="s">
        <v>83</v>
      </c>
      <c r="F747" s="37">
        <v>45693</v>
      </c>
      <c r="G747">
        <v>10</v>
      </c>
      <c r="H747" t="s">
        <v>174</v>
      </c>
      <c r="I747" s="37">
        <v>45763</v>
      </c>
      <c r="J747" t="s">
        <v>165</v>
      </c>
      <c r="K747" t="s">
        <v>166</v>
      </c>
      <c r="L747" t="s">
        <v>175</v>
      </c>
      <c r="M747" t="s">
        <v>1085</v>
      </c>
      <c r="O747" t="s">
        <v>1085</v>
      </c>
      <c r="Q747" t="s">
        <v>1643</v>
      </c>
      <c r="U747" t="s">
        <v>1697</v>
      </c>
      <c r="W747" t="s">
        <v>1702</v>
      </c>
      <c r="X747">
        <v>3</v>
      </c>
      <c r="AA747" s="43">
        <v>307.5</v>
      </c>
      <c r="AC747" s="43">
        <v>307.5</v>
      </c>
      <c r="AF747" s="37">
        <f t="shared" si="23"/>
        <v>46022</v>
      </c>
      <c r="AG747" s="37">
        <f t="shared" si="24"/>
        <v>47228.611570247936</v>
      </c>
      <c r="AH747" t="s">
        <v>1705</v>
      </c>
      <c r="AN747" s="43">
        <v>307.5</v>
      </c>
    </row>
    <row r="748" spans="2:40">
      <c r="B748" t="s">
        <v>1086</v>
      </c>
      <c r="C748" t="s">
        <v>121</v>
      </c>
      <c r="D748" t="s">
        <v>167</v>
      </c>
      <c r="E748" t="s">
        <v>83</v>
      </c>
      <c r="F748" s="37">
        <v>45693</v>
      </c>
      <c r="G748">
        <v>10</v>
      </c>
      <c r="H748" t="s">
        <v>174</v>
      </c>
      <c r="I748" s="37">
        <v>45763</v>
      </c>
      <c r="J748" t="s">
        <v>165</v>
      </c>
      <c r="K748" t="s">
        <v>166</v>
      </c>
      <c r="L748" t="s">
        <v>175</v>
      </c>
      <c r="M748" t="s">
        <v>1086</v>
      </c>
      <c r="O748" t="s">
        <v>1086</v>
      </c>
      <c r="Q748" t="s">
        <v>1643</v>
      </c>
      <c r="U748" t="s">
        <v>1697</v>
      </c>
      <c r="W748" t="s">
        <v>1702</v>
      </c>
      <c r="X748">
        <v>3</v>
      </c>
      <c r="AA748" s="43">
        <v>307.5</v>
      </c>
      <c r="AC748" s="43">
        <v>307.5</v>
      </c>
      <c r="AF748" s="37">
        <f t="shared" si="23"/>
        <v>46022</v>
      </c>
      <c r="AG748" s="37">
        <f t="shared" si="24"/>
        <v>47228.611570247936</v>
      </c>
      <c r="AH748" t="s">
        <v>1705</v>
      </c>
      <c r="AN748" s="43">
        <v>307.5</v>
      </c>
    </row>
    <row r="749" spans="2:40">
      <c r="B749" t="s">
        <v>1087</v>
      </c>
      <c r="C749" t="s">
        <v>121</v>
      </c>
      <c r="D749" t="s">
        <v>167</v>
      </c>
      <c r="E749" t="s">
        <v>83</v>
      </c>
      <c r="F749" s="37">
        <v>45693</v>
      </c>
      <c r="G749">
        <v>10</v>
      </c>
      <c r="H749" t="s">
        <v>174</v>
      </c>
      <c r="I749" s="37">
        <v>45763</v>
      </c>
      <c r="J749" t="s">
        <v>165</v>
      </c>
      <c r="K749" t="s">
        <v>166</v>
      </c>
      <c r="L749" t="s">
        <v>175</v>
      </c>
      <c r="M749" t="s">
        <v>1087</v>
      </c>
      <c r="O749" t="s">
        <v>1087</v>
      </c>
      <c r="Q749" t="s">
        <v>1643</v>
      </c>
      <c r="U749" t="s">
        <v>1697</v>
      </c>
      <c r="W749" t="s">
        <v>1702</v>
      </c>
      <c r="X749">
        <v>3</v>
      </c>
      <c r="AA749" s="43">
        <v>307.5</v>
      </c>
      <c r="AC749" s="43">
        <v>307.5</v>
      </c>
      <c r="AF749" s="37">
        <f t="shared" si="23"/>
        <v>46022</v>
      </c>
      <c r="AG749" s="37">
        <f t="shared" si="24"/>
        <v>47228.611570247936</v>
      </c>
      <c r="AH749" t="s">
        <v>1705</v>
      </c>
      <c r="AN749" s="43">
        <v>307.5</v>
      </c>
    </row>
    <row r="750" spans="2:40">
      <c r="B750" t="s">
        <v>1088</v>
      </c>
      <c r="C750" t="s">
        <v>121</v>
      </c>
      <c r="D750" t="s">
        <v>167</v>
      </c>
      <c r="E750" t="s">
        <v>83</v>
      </c>
      <c r="F750" s="37">
        <v>45693</v>
      </c>
      <c r="G750">
        <v>10</v>
      </c>
      <c r="H750" t="s">
        <v>174</v>
      </c>
      <c r="I750" s="37">
        <v>45763</v>
      </c>
      <c r="J750" t="s">
        <v>165</v>
      </c>
      <c r="K750" t="s">
        <v>166</v>
      </c>
      <c r="L750" t="s">
        <v>175</v>
      </c>
      <c r="M750" t="s">
        <v>1088</v>
      </c>
      <c r="O750" t="s">
        <v>1088</v>
      </c>
      <c r="Q750" t="s">
        <v>1643</v>
      </c>
      <c r="U750" t="s">
        <v>1697</v>
      </c>
      <c r="W750" t="s">
        <v>1702</v>
      </c>
      <c r="X750">
        <v>3</v>
      </c>
      <c r="AA750" s="43">
        <v>307.5</v>
      </c>
      <c r="AC750" s="43">
        <v>307.5</v>
      </c>
      <c r="AF750" s="37">
        <f t="shared" si="23"/>
        <v>46022</v>
      </c>
      <c r="AG750" s="37">
        <f t="shared" si="24"/>
        <v>47228.611570247936</v>
      </c>
      <c r="AH750" t="s">
        <v>1705</v>
      </c>
      <c r="AN750" s="43">
        <v>307.5</v>
      </c>
    </row>
    <row r="751" spans="2:40">
      <c r="B751" t="s">
        <v>1089</v>
      </c>
      <c r="C751" t="s">
        <v>121</v>
      </c>
      <c r="D751" t="s">
        <v>167</v>
      </c>
      <c r="E751" t="s">
        <v>83</v>
      </c>
      <c r="F751" s="37">
        <v>45693</v>
      </c>
      <c r="G751">
        <v>10</v>
      </c>
      <c r="H751" t="s">
        <v>174</v>
      </c>
      <c r="I751" s="37">
        <v>45763</v>
      </c>
      <c r="J751" t="s">
        <v>165</v>
      </c>
      <c r="K751" t="s">
        <v>166</v>
      </c>
      <c r="L751" t="s">
        <v>175</v>
      </c>
      <c r="M751" t="s">
        <v>1089</v>
      </c>
      <c r="O751" t="s">
        <v>1089</v>
      </c>
      <c r="Q751" t="s">
        <v>1643</v>
      </c>
      <c r="U751" t="s">
        <v>1697</v>
      </c>
      <c r="W751" t="s">
        <v>1702</v>
      </c>
      <c r="X751">
        <v>3</v>
      </c>
      <c r="AA751" s="43">
        <v>307.5</v>
      </c>
      <c r="AC751" s="43">
        <v>307.5</v>
      </c>
      <c r="AF751" s="37">
        <f t="shared" si="23"/>
        <v>46022</v>
      </c>
      <c r="AG751" s="37">
        <f t="shared" si="24"/>
        <v>47228.611570247936</v>
      </c>
      <c r="AH751" t="s">
        <v>1705</v>
      </c>
      <c r="AN751" s="43">
        <v>307.5</v>
      </c>
    </row>
    <row r="752" spans="2:40">
      <c r="B752" t="s">
        <v>1090</v>
      </c>
      <c r="C752" t="s">
        <v>121</v>
      </c>
      <c r="D752" t="s">
        <v>167</v>
      </c>
      <c r="E752" t="s">
        <v>83</v>
      </c>
      <c r="F752" s="37">
        <v>45693</v>
      </c>
      <c r="G752">
        <v>10</v>
      </c>
      <c r="H752" t="s">
        <v>174</v>
      </c>
      <c r="I752" s="37">
        <v>45763</v>
      </c>
      <c r="J752" t="s">
        <v>165</v>
      </c>
      <c r="K752" t="s">
        <v>166</v>
      </c>
      <c r="L752" t="s">
        <v>175</v>
      </c>
      <c r="M752" t="s">
        <v>1090</v>
      </c>
      <c r="O752" t="s">
        <v>1090</v>
      </c>
      <c r="Q752" t="s">
        <v>1643</v>
      </c>
      <c r="U752" t="s">
        <v>1697</v>
      </c>
      <c r="W752" t="s">
        <v>1702</v>
      </c>
      <c r="X752">
        <v>3</v>
      </c>
      <c r="AA752" s="43">
        <v>307.5</v>
      </c>
      <c r="AC752" s="43">
        <v>307.5</v>
      </c>
      <c r="AF752" s="37">
        <f t="shared" si="23"/>
        <v>46022</v>
      </c>
      <c r="AG752" s="37">
        <f t="shared" si="24"/>
        <v>47228.611570247936</v>
      </c>
      <c r="AH752" t="s">
        <v>1705</v>
      </c>
      <c r="AN752" s="43">
        <v>307.5</v>
      </c>
    </row>
    <row r="753" spans="2:40">
      <c r="B753" t="s">
        <v>1091</v>
      </c>
      <c r="C753" t="s">
        <v>121</v>
      </c>
      <c r="D753" t="s">
        <v>167</v>
      </c>
      <c r="E753" t="s">
        <v>83</v>
      </c>
      <c r="F753" s="37">
        <v>45693</v>
      </c>
      <c r="G753">
        <v>10</v>
      </c>
      <c r="H753" t="s">
        <v>174</v>
      </c>
      <c r="I753" s="37">
        <v>45763</v>
      </c>
      <c r="J753" t="s">
        <v>165</v>
      </c>
      <c r="K753" t="s">
        <v>166</v>
      </c>
      <c r="L753" t="s">
        <v>175</v>
      </c>
      <c r="M753" t="s">
        <v>1091</v>
      </c>
      <c r="O753" t="s">
        <v>1091</v>
      </c>
      <c r="Q753" t="s">
        <v>1643</v>
      </c>
      <c r="U753" t="s">
        <v>1697</v>
      </c>
      <c r="W753" t="s">
        <v>1702</v>
      </c>
      <c r="X753">
        <v>3</v>
      </c>
      <c r="AA753" s="43">
        <v>307.5</v>
      </c>
      <c r="AC753" s="43">
        <v>307.5</v>
      </c>
      <c r="AF753" s="37">
        <f t="shared" si="23"/>
        <v>46022</v>
      </c>
      <c r="AG753" s="37">
        <f t="shared" si="24"/>
        <v>47228.611570247936</v>
      </c>
      <c r="AH753" t="s">
        <v>1705</v>
      </c>
      <c r="AN753" s="43">
        <v>307.5</v>
      </c>
    </row>
    <row r="754" spans="2:40">
      <c r="B754" t="s">
        <v>1092</v>
      </c>
      <c r="C754" t="s">
        <v>121</v>
      </c>
      <c r="D754" t="s">
        <v>167</v>
      </c>
      <c r="E754" t="s">
        <v>83</v>
      </c>
      <c r="F754" s="37">
        <v>45693</v>
      </c>
      <c r="G754">
        <v>10</v>
      </c>
      <c r="H754" t="s">
        <v>174</v>
      </c>
      <c r="I754" s="37">
        <v>45763</v>
      </c>
      <c r="J754" t="s">
        <v>165</v>
      </c>
      <c r="K754" t="s">
        <v>166</v>
      </c>
      <c r="L754" t="s">
        <v>175</v>
      </c>
      <c r="M754" t="s">
        <v>1092</v>
      </c>
      <c r="O754" t="s">
        <v>1092</v>
      </c>
      <c r="Q754" t="s">
        <v>1643</v>
      </c>
      <c r="U754" t="s">
        <v>1697</v>
      </c>
      <c r="W754" t="s">
        <v>1702</v>
      </c>
      <c r="X754">
        <v>3</v>
      </c>
      <c r="AA754" s="43">
        <v>307.5</v>
      </c>
      <c r="AC754" s="43">
        <v>307.5</v>
      </c>
      <c r="AF754" s="37">
        <f t="shared" si="23"/>
        <v>46022</v>
      </c>
      <c r="AG754" s="37">
        <f t="shared" si="24"/>
        <v>47228.611570247936</v>
      </c>
      <c r="AH754" t="s">
        <v>1705</v>
      </c>
      <c r="AN754" s="43">
        <v>307.5</v>
      </c>
    </row>
    <row r="755" spans="2:40">
      <c r="B755" t="s">
        <v>1093</v>
      </c>
      <c r="C755" t="s">
        <v>121</v>
      </c>
      <c r="D755" t="s">
        <v>167</v>
      </c>
      <c r="E755" t="s">
        <v>83</v>
      </c>
      <c r="F755" s="37">
        <v>45693</v>
      </c>
      <c r="G755">
        <v>10</v>
      </c>
      <c r="H755" t="s">
        <v>174</v>
      </c>
      <c r="I755" s="37">
        <v>45763</v>
      </c>
      <c r="J755" t="s">
        <v>165</v>
      </c>
      <c r="K755" t="s">
        <v>166</v>
      </c>
      <c r="L755" t="s">
        <v>175</v>
      </c>
      <c r="M755" t="s">
        <v>1093</v>
      </c>
      <c r="O755" t="s">
        <v>1093</v>
      </c>
      <c r="Q755" t="s">
        <v>1643</v>
      </c>
      <c r="U755" t="s">
        <v>1697</v>
      </c>
      <c r="W755" t="s">
        <v>1702</v>
      </c>
      <c r="X755">
        <v>3</v>
      </c>
      <c r="AA755" s="43">
        <v>307.5</v>
      </c>
      <c r="AC755" s="43">
        <v>307.5</v>
      </c>
      <c r="AF755" s="37">
        <f t="shared" si="23"/>
        <v>46022</v>
      </c>
      <c r="AG755" s="37">
        <f t="shared" si="24"/>
        <v>47228.611570247936</v>
      </c>
      <c r="AH755" t="s">
        <v>1705</v>
      </c>
      <c r="AN755" s="43">
        <v>307.5</v>
      </c>
    </row>
    <row r="756" spans="2:40">
      <c r="B756" t="s">
        <v>1094</v>
      </c>
      <c r="C756" t="s">
        <v>121</v>
      </c>
      <c r="D756" t="s">
        <v>167</v>
      </c>
      <c r="E756" t="s">
        <v>83</v>
      </c>
      <c r="F756" s="37">
        <v>45693</v>
      </c>
      <c r="G756">
        <v>10</v>
      </c>
      <c r="H756" t="s">
        <v>174</v>
      </c>
      <c r="I756" s="37">
        <v>45763</v>
      </c>
      <c r="J756" t="s">
        <v>165</v>
      </c>
      <c r="K756" t="s">
        <v>166</v>
      </c>
      <c r="L756" t="s">
        <v>175</v>
      </c>
      <c r="M756" t="s">
        <v>1094</v>
      </c>
      <c r="O756" t="s">
        <v>1094</v>
      </c>
      <c r="Q756" t="s">
        <v>1643</v>
      </c>
      <c r="U756" t="s">
        <v>1697</v>
      </c>
      <c r="W756" t="s">
        <v>1702</v>
      </c>
      <c r="X756">
        <v>3</v>
      </c>
      <c r="AA756" s="43">
        <v>307.5</v>
      </c>
      <c r="AC756" s="43">
        <v>307.5</v>
      </c>
      <c r="AF756" s="37">
        <f t="shared" si="23"/>
        <v>46022</v>
      </c>
      <c r="AG756" s="37">
        <f t="shared" si="24"/>
        <v>47228.611570247936</v>
      </c>
      <c r="AH756" t="s">
        <v>1705</v>
      </c>
      <c r="AN756" s="43">
        <v>307.5</v>
      </c>
    </row>
    <row r="757" spans="2:40">
      <c r="B757" t="s">
        <v>1095</v>
      </c>
      <c r="C757" t="s">
        <v>121</v>
      </c>
      <c r="D757" t="s">
        <v>167</v>
      </c>
      <c r="E757" t="s">
        <v>83</v>
      </c>
      <c r="F757" s="37">
        <v>45693</v>
      </c>
      <c r="G757">
        <v>10</v>
      </c>
      <c r="H757" t="s">
        <v>174</v>
      </c>
      <c r="I757" s="37">
        <v>45763</v>
      </c>
      <c r="J757" t="s">
        <v>165</v>
      </c>
      <c r="K757" t="s">
        <v>166</v>
      </c>
      <c r="L757" t="s">
        <v>175</v>
      </c>
      <c r="M757" t="s">
        <v>1095</v>
      </c>
      <c r="O757" t="s">
        <v>1095</v>
      </c>
      <c r="Q757" t="s">
        <v>1643</v>
      </c>
      <c r="U757" t="s">
        <v>1697</v>
      </c>
      <c r="W757" t="s">
        <v>1702</v>
      </c>
      <c r="X757">
        <v>3</v>
      </c>
      <c r="AA757" s="43">
        <v>307.5</v>
      </c>
      <c r="AC757" s="43">
        <v>307.5</v>
      </c>
      <c r="AF757" s="37">
        <f t="shared" si="23"/>
        <v>46022</v>
      </c>
      <c r="AG757" s="37">
        <f t="shared" si="24"/>
        <v>47228.611570247936</v>
      </c>
      <c r="AH757" t="s">
        <v>1705</v>
      </c>
      <c r="AN757" s="43">
        <v>307.5</v>
      </c>
    </row>
    <row r="758" spans="2:40">
      <c r="B758" t="s">
        <v>1096</v>
      </c>
      <c r="C758" t="s">
        <v>121</v>
      </c>
      <c r="D758" t="s">
        <v>167</v>
      </c>
      <c r="E758" t="s">
        <v>83</v>
      </c>
      <c r="F758" s="37">
        <v>45693</v>
      </c>
      <c r="G758">
        <v>10</v>
      </c>
      <c r="H758" t="s">
        <v>174</v>
      </c>
      <c r="I758" s="37">
        <v>45763</v>
      </c>
      <c r="J758" t="s">
        <v>165</v>
      </c>
      <c r="K758" t="s">
        <v>166</v>
      </c>
      <c r="L758" t="s">
        <v>175</v>
      </c>
      <c r="M758" t="s">
        <v>1096</v>
      </c>
      <c r="O758" t="s">
        <v>1096</v>
      </c>
      <c r="Q758" t="s">
        <v>1643</v>
      </c>
      <c r="U758" t="s">
        <v>1697</v>
      </c>
      <c r="W758" t="s">
        <v>1702</v>
      </c>
      <c r="X758">
        <v>3</v>
      </c>
      <c r="AA758" s="43">
        <v>307.5</v>
      </c>
      <c r="AC758" s="43">
        <v>307.5</v>
      </c>
      <c r="AF758" s="37">
        <f t="shared" si="23"/>
        <v>46022</v>
      </c>
      <c r="AG758" s="37">
        <f t="shared" si="24"/>
        <v>47228.611570247936</v>
      </c>
      <c r="AH758" t="s">
        <v>1705</v>
      </c>
      <c r="AN758" s="43">
        <v>307.5</v>
      </c>
    </row>
    <row r="759" spans="2:40">
      <c r="B759" t="s">
        <v>1097</v>
      </c>
      <c r="C759" t="s">
        <v>121</v>
      </c>
      <c r="D759" t="s">
        <v>167</v>
      </c>
      <c r="E759" t="s">
        <v>83</v>
      </c>
      <c r="F759" s="37">
        <v>45693</v>
      </c>
      <c r="G759">
        <v>10</v>
      </c>
      <c r="H759" t="s">
        <v>174</v>
      </c>
      <c r="I759" s="37">
        <v>45763</v>
      </c>
      <c r="J759" t="s">
        <v>165</v>
      </c>
      <c r="K759" t="s">
        <v>166</v>
      </c>
      <c r="L759" t="s">
        <v>175</v>
      </c>
      <c r="M759" t="s">
        <v>1097</v>
      </c>
      <c r="O759" t="s">
        <v>1097</v>
      </c>
      <c r="Q759" t="s">
        <v>1643</v>
      </c>
      <c r="U759" t="s">
        <v>1697</v>
      </c>
      <c r="W759" t="s">
        <v>1702</v>
      </c>
      <c r="X759">
        <v>3</v>
      </c>
      <c r="AA759" s="43">
        <v>307.5</v>
      </c>
      <c r="AC759" s="43">
        <v>307.5</v>
      </c>
      <c r="AF759" s="37">
        <f t="shared" si="23"/>
        <v>46022</v>
      </c>
      <c r="AG759" s="37">
        <f t="shared" si="24"/>
        <v>47228.611570247936</v>
      </c>
      <c r="AH759" t="s">
        <v>1705</v>
      </c>
      <c r="AN759" s="43">
        <v>307.5</v>
      </c>
    </row>
    <row r="760" spans="2:40">
      <c r="B760" t="s">
        <v>1098</v>
      </c>
      <c r="C760" t="s">
        <v>121</v>
      </c>
      <c r="D760" t="s">
        <v>167</v>
      </c>
      <c r="E760" t="s">
        <v>83</v>
      </c>
      <c r="F760" s="37">
        <v>45686</v>
      </c>
      <c r="G760">
        <v>10</v>
      </c>
      <c r="H760" t="s">
        <v>174</v>
      </c>
      <c r="I760" s="37">
        <v>45756</v>
      </c>
      <c r="J760" t="s">
        <v>165</v>
      </c>
      <c r="K760" t="s">
        <v>166</v>
      </c>
      <c r="L760" t="s">
        <v>175</v>
      </c>
      <c r="M760" t="s">
        <v>1098</v>
      </c>
      <c r="O760" t="s">
        <v>1098</v>
      </c>
      <c r="Q760" t="s">
        <v>1643</v>
      </c>
      <c r="U760" t="s">
        <v>1697</v>
      </c>
      <c r="W760" t="s">
        <v>1702</v>
      </c>
      <c r="X760">
        <v>3</v>
      </c>
      <c r="AA760" s="43">
        <v>307.5</v>
      </c>
      <c r="AC760" s="43">
        <v>307.5</v>
      </c>
      <c r="AF760" s="37">
        <f t="shared" si="23"/>
        <v>46015</v>
      </c>
      <c r="AG760" s="37">
        <f t="shared" si="24"/>
        <v>47221.611570247936</v>
      </c>
      <c r="AH760" t="s">
        <v>1705</v>
      </c>
      <c r="AN760" s="43">
        <v>307.5</v>
      </c>
    </row>
    <row r="761" spans="2:40">
      <c r="B761" t="s">
        <v>1099</v>
      </c>
      <c r="C761" t="s">
        <v>121</v>
      </c>
      <c r="D761" t="s">
        <v>167</v>
      </c>
      <c r="E761" t="s">
        <v>83</v>
      </c>
      <c r="F761" s="37">
        <v>45686</v>
      </c>
      <c r="G761">
        <v>10</v>
      </c>
      <c r="H761" t="s">
        <v>174</v>
      </c>
      <c r="I761" s="37">
        <v>45756</v>
      </c>
      <c r="J761" t="s">
        <v>165</v>
      </c>
      <c r="K761" t="s">
        <v>166</v>
      </c>
      <c r="L761" t="s">
        <v>175</v>
      </c>
      <c r="M761" t="s">
        <v>1099</v>
      </c>
      <c r="O761" t="s">
        <v>1099</v>
      </c>
      <c r="Q761" t="s">
        <v>1643</v>
      </c>
      <c r="U761" t="s">
        <v>1697</v>
      </c>
      <c r="W761" t="s">
        <v>1702</v>
      </c>
      <c r="X761">
        <v>3</v>
      </c>
      <c r="AA761" s="43">
        <v>307.5</v>
      </c>
      <c r="AC761" s="43">
        <v>307.5</v>
      </c>
      <c r="AF761" s="37">
        <f t="shared" si="23"/>
        <v>46015</v>
      </c>
      <c r="AG761" s="37">
        <f t="shared" si="24"/>
        <v>47221.611570247936</v>
      </c>
      <c r="AH761" t="s">
        <v>1705</v>
      </c>
      <c r="AN761" s="43">
        <v>307.5</v>
      </c>
    </row>
    <row r="762" spans="2:40">
      <c r="B762" t="s">
        <v>1100</v>
      </c>
      <c r="C762" t="s">
        <v>121</v>
      </c>
      <c r="D762" t="s">
        <v>167</v>
      </c>
      <c r="E762" t="s">
        <v>83</v>
      </c>
      <c r="F762" s="37">
        <v>45686</v>
      </c>
      <c r="G762">
        <v>10</v>
      </c>
      <c r="H762" t="s">
        <v>174</v>
      </c>
      <c r="I762" s="37">
        <v>45756</v>
      </c>
      <c r="J762" t="s">
        <v>165</v>
      </c>
      <c r="K762" t="s">
        <v>166</v>
      </c>
      <c r="L762" t="s">
        <v>175</v>
      </c>
      <c r="M762" t="s">
        <v>1100</v>
      </c>
      <c r="O762" t="s">
        <v>1100</v>
      </c>
      <c r="Q762" t="s">
        <v>1643</v>
      </c>
      <c r="U762" t="s">
        <v>1697</v>
      </c>
      <c r="W762" t="s">
        <v>1702</v>
      </c>
      <c r="X762">
        <v>3</v>
      </c>
      <c r="AA762" s="43">
        <v>307.5</v>
      </c>
      <c r="AC762" s="43">
        <v>307.5</v>
      </c>
      <c r="AF762" s="37">
        <f t="shared" si="23"/>
        <v>46015</v>
      </c>
      <c r="AG762" s="37">
        <f t="shared" si="24"/>
        <v>47221.611570247936</v>
      </c>
      <c r="AH762" t="s">
        <v>1705</v>
      </c>
      <c r="AN762" s="43">
        <v>307.5</v>
      </c>
    </row>
    <row r="763" spans="2:40">
      <c r="B763" t="s">
        <v>1101</v>
      </c>
      <c r="C763" t="s">
        <v>121</v>
      </c>
      <c r="D763" t="s">
        <v>167</v>
      </c>
      <c r="E763" t="s">
        <v>83</v>
      </c>
      <c r="F763" s="37">
        <v>45686</v>
      </c>
      <c r="G763">
        <v>10</v>
      </c>
      <c r="H763" t="s">
        <v>174</v>
      </c>
      <c r="I763" s="37">
        <v>45756</v>
      </c>
      <c r="J763" t="s">
        <v>165</v>
      </c>
      <c r="K763" t="s">
        <v>166</v>
      </c>
      <c r="L763" t="s">
        <v>175</v>
      </c>
      <c r="M763" t="s">
        <v>1101</v>
      </c>
      <c r="O763" t="s">
        <v>1101</v>
      </c>
      <c r="Q763" t="s">
        <v>1643</v>
      </c>
      <c r="U763" t="s">
        <v>1697</v>
      </c>
      <c r="W763" t="s">
        <v>1702</v>
      </c>
      <c r="X763">
        <v>3</v>
      </c>
      <c r="AA763" s="43">
        <v>307.5</v>
      </c>
      <c r="AC763" s="43">
        <v>307.5</v>
      </c>
      <c r="AF763" s="37">
        <f t="shared" si="23"/>
        <v>46015</v>
      </c>
      <c r="AG763" s="37">
        <f t="shared" si="24"/>
        <v>47221.611570247936</v>
      </c>
      <c r="AH763" t="s">
        <v>1705</v>
      </c>
      <c r="AN763" s="43">
        <v>307.5</v>
      </c>
    </row>
    <row r="764" spans="2:40">
      <c r="B764" t="s">
        <v>1102</v>
      </c>
      <c r="C764" t="s">
        <v>121</v>
      </c>
      <c r="D764" t="s">
        <v>167</v>
      </c>
      <c r="E764" t="s">
        <v>83</v>
      </c>
      <c r="F764" s="37">
        <v>45686</v>
      </c>
      <c r="G764">
        <v>10</v>
      </c>
      <c r="H764" t="s">
        <v>174</v>
      </c>
      <c r="I764" s="37">
        <v>45756</v>
      </c>
      <c r="J764" t="s">
        <v>165</v>
      </c>
      <c r="K764" t="s">
        <v>166</v>
      </c>
      <c r="L764" t="s">
        <v>175</v>
      </c>
      <c r="M764" t="s">
        <v>1102</v>
      </c>
      <c r="O764" t="s">
        <v>1102</v>
      </c>
      <c r="Q764" t="s">
        <v>1643</v>
      </c>
      <c r="U764" t="s">
        <v>1697</v>
      </c>
      <c r="W764" t="s">
        <v>1702</v>
      </c>
      <c r="X764">
        <v>3</v>
      </c>
      <c r="AA764" s="43">
        <v>307.5</v>
      </c>
      <c r="AC764" s="43">
        <v>307.5</v>
      </c>
      <c r="AF764" s="37">
        <f t="shared" si="23"/>
        <v>46015</v>
      </c>
      <c r="AG764" s="37">
        <f t="shared" si="24"/>
        <v>47221.611570247936</v>
      </c>
      <c r="AH764" t="s">
        <v>1705</v>
      </c>
      <c r="AN764" s="43">
        <v>307.5</v>
      </c>
    </row>
    <row r="765" spans="2:40">
      <c r="B765" t="s">
        <v>1103</v>
      </c>
      <c r="C765" t="s">
        <v>121</v>
      </c>
      <c r="D765" t="s">
        <v>167</v>
      </c>
      <c r="E765" t="s">
        <v>83</v>
      </c>
      <c r="F765" s="37">
        <v>45686</v>
      </c>
      <c r="G765">
        <v>10</v>
      </c>
      <c r="H765" t="s">
        <v>174</v>
      </c>
      <c r="I765" s="37">
        <v>45756</v>
      </c>
      <c r="J765" t="s">
        <v>165</v>
      </c>
      <c r="K765" t="s">
        <v>166</v>
      </c>
      <c r="L765" t="s">
        <v>175</v>
      </c>
      <c r="M765" t="s">
        <v>1103</v>
      </c>
      <c r="O765" t="s">
        <v>1103</v>
      </c>
      <c r="Q765" t="s">
        <v>1643</v>
      </c>
      <c r="U765" t="s">
        <v>1697</v>
      </c>
      <c r="W765" t="s">
        <v>1702</v>
      </c>
      <c r="X765">
        <v>3</v>
      </c>
      <c r="AA765" s="43">
        <v>307.5</v>
      </c>
      <c r="AC765" s="43">
        <v>307.5</v>
      </c>
      <c r="AF765" s="37">
        <f t="shared" si="23"/>
        <v>46015</v>
      </c>
      <c r="AG765" s="37">
        <f t="shared" si="24"/>
        <v>47221.611570247936</v>
      </c>
      <c r="AH765" t="s">
        <v>1705</v>
      </c>
      <c r="AN765" s="43">
        <v>307.5</v>
      </c>
    </row>
    <row r="766" spans="2:40">
      <c r="B766" t="s">
        <v>1104</v>
      </c>
      <c r="C766" t="s">
        <v>121</v>
      </c>
      <c r="D766" t="s">
        <v>167</v>
      </c>
      <c r="E766" t="s">
        <v>83</v>
      </c>
      <c r="F766" s="37">
        <v>45686</v>
      </c>
      <c r="G766">
        <v>10</v>
      </c>
      <c r="H766" t="s">
        <v>174</v>
      </c>
      <c r="I766" s="37">
        <v>45756</v>
      </c>
      <c r="J766" t="s">
        <v>165</v>
      </c>
      <c r="K766" t="s">
        <v>166</v>
      </c>
      <c r="L766" t="s">
        <v>175</v>
      </c>
      <c r="M766" t="s">
        <v>1104</v>
      </c>
      <c r="O766" t="s">
        <v>1104</v>
      </c>
      <c r="Q766" t="s">
        <v>1643</v>
      </c>
      <c r="U766" t="s">
        <v>1697</v>
      </c>
      <c r="W766" t="s">
        <v>1702</v>
      </c>
      <c r="X766">
        <v>3</v>
      </c>
      <c r="AA766" s="43">
        <v>307.5</v>
      </c>
      <c r="AC766" s="43">
        <v>307.5</v>
      </c>
      <c r="AF766" s="37">
        <f t="shared" si="23"/>
        <v>46015</v>
      </c>
      <c r="AG766" s="37">
        <f t="shared" si="24"/>
        <v>47221.611570247936</v>
      </c>
      <c r="AH766" t="s">
        <v>1705</v>
      </c>
      <c r="AN766" s="43">
        <v>307.5</v>
      </c>
    </row>
    <row r="767" spans="2:40">
      <c r="B767" t="s">
        <v>1105</v>
      </c>
      <c r="C767" t="s">
        <v>121</v>
      </c>
      <c r="D767" t="s">
        <v>167</v>
      </c>
      <c r="E767" t="s">
        <v>83</v>
      </c>
      <c r="F767" s="37">
        <v>45686</v>
      </c>
      <c r="G767">
        <v>10</v>
      </c>
      <c r="H767" t="s">
        <v>174</v>
      </c>
      <c r="I767" s="37">
        <v>45756</v>
      </c>
      <c r="J767" t="s">
        <v>165</v>
      </c>
      <c r="K767" t="s">
        <v>166</v>
      </c>
      <c r="L767" t="s">
        <v>175</v>
      </c>
      <c r="M767" t="s">
        <v>1105</v>
      </c>
      <c r="O767" t="s">
        <v>1105</v>
      </c>
      <c r="Q767" t="s">
        <v>1643</v>
      </c>
      <c r="U767" t="s">
        <v>1697</v>
      </c>
      <c r="W767" t="s">
        <v>1702</v>
      </c>
      <c r="X767">
        <v>3</v>
      </c>
      <c r="AA767" s="43">
        <v>307.5</v>
      </c>
      <c r="AC767" s="43">
        <v>307.5</v>
      </c>
      <c r="AF767" s="37">
        <f t="shared" si="23"/>
        <v>46015</v>
      </c>
      <c r="AG767" s="37">
        <f t="shared" si="24"/>
        <v>47221.611570247936</v>
      </c>
      <c r="AH767" t="s">
        <v>1705</v>
      </c>
      <c r="AN767" s="43">
        <v>307.5</v>
      </c>
    </row>
    <row r="768" spans="2:40">
      <c r="B768" t="s">
        <v>1106</v>
      </c>
      <c r="C768" t="s">
        <v>121</v>
      </c>
      <c r="D768" t="s">
        <v>167</v>
      </c>
      <c r="E768" t="s">
        <v>83</v>
      </c>
      <c r="F768" s="37">
        <v>45686</v>
      </c>
      <c r="G768">
        <v>10</v>
      </c>
      <c r="H768" t="s">
        <v>174</v>
      </c>
      <c r="I768" s="37">
        <v>45756</v>
      </c>
      <c r="J768" t="s">
        <v>165</v>
      </c>
      <c r="K768" t="s">
        <v>166</v>
      </c>
      <c r="L768" t="s">
        <v>175</v>
      </c>
      <c r="M768" t="s">
        <v>1106</v>
      </c>
      <c r="O768" t="s">
        <v>1106</v>
      </c>
      <c r="Q768" t="s">
        <v>1643</v>
      </c>
      <c r="U768" t="s">
        <v>1697</v>
      </c>
      <c r="W768" t="s">
        <v>1702</v>
      </c>
      <c r="X768">
        <v>3</v>
      </c>
      <c r="AA768" s="43">
        <v>307.5</v>
      </c>
      <c r="AC768" s="43">
        <v>307.5</v>
      </c>
      <c r="AF768" s="37">
        <f t="shared" si="23"/>
        <v>46015</v>
      </c>
      <c r="AG768" s="37">
        <f t="shared" si="24"/>
        <v>47221.611570247936</v>
      </c>
      <c r="AH768" t="s">
        <v>1705</v>
      </c>
      <c r="AN768" s="43">
        <v>307.5</v>
      </c>
    </row>
    <row r="769" spans="2:40">
      <c r="B769" t="s">
        <v>1107</v>
      </c>
      <c r="C769" t="s">
        <v>121</v>
      </c>
      <c r="D769" t="s">
        <v>167</v>
      </c>
      <c r="E769" t="s">
        <v>83</v>
      </c>
      <c r="F769" s="37">
        <v>45686</v>
      </c>
      <c r="G769">
        <v>10</v>
      </c>
      <c r="H769" t="s">
        <v>174</v>
      </c>
      <c r="I769" s="37">
        <v>45756</v>
      </c>
      <c r="J769" t="s">
        <v>165</v>
      </c>
      <c r="K769" t="s">
        <v>166</v>
      </c>
      <c r="L769" t="s">
        <v>175</v>
      </c>
      <c r="M769" t="s">
        <v>1107</v>
      </c>
      <c r="O769" t="s">
        <v>1107</v>
      </c>
      <c r="Q769" t="s">
        <v>1643</v>
      </c>
      <c r="U769" t="s">
        <v>1697</v>
      </c>
      <c r="W769" t="s">
        <v>1702</v>
      </c>
      <c r="X769">
        <v>3</v>
      </c>
      <c r="AA769" s="43">
        <v>307.5</v>
      </c>
      <c r="AC769" s="43">
        <v>307.5</v>
      </c>
      <c r="AF769" s="37">
        <f t="shared" si="23"/>
        <v>46015</v>
      </c>
      <c r="AG769" s="37">
        <f t="shared" si="24"/>
        <v>47221.611570247936</v>
      </c>
      <c r="AH769" t="s">
        <v>1705</v>
      </c>
      <c r="AN769" s="43">
        <v>307.5</v>
      </c>
    </row>
    <row r="770" spans="2:40">
      <c r="B770" t="s">
        <v>1108</v>
      </c>
      <c r="C770" t="s">
        <v>121</v>
      </c>
      <c r="D770" t="s">
        <v>167</v>
      </c>
      <c r="E770" t="s">
        <v>83</v>
      </c>
      <c r="F770" s="37">
        <v>45679</v>
      </c>
      <c r="G770">
        <v>10</v>
      </c>
      <c r="H770" t="s">
        <v>174</v>
      </c>
      <c r="I770" s="37">
        <v>45749</v>
      </c>
      <c r="J770" t="s">
        <v>165</v>
      </c>
      <c r="K770" t="s">
        <v>166</v>
      </c>
      <c r="L770" t="s">
        <v>175</v>
      </c>
      <c r="M770" t="s">
        <v>1108</v>
      </c>
      <c r="O770" t="s">
        <v>1108</v>
      </c>
      <c r="Q770" t="s">
        <v>1643</v>
      </c>
      <c r="U770" t="s">
        <v>1697</v>
      </c>
      <c r="W770" t="s">
        <v>1702</v>
      </c>
      <c r="X770">
        <v>3</v>
      </c>
      <c r="AA770" s="43">
        <v>307.5</v>
      </c>
      <c r="AC770" s="43">
        <v>307.5</v>
      </c>
      <c r="AF770" s="37">
        <f t="shared" si="23"/>
        <v>46008</v>
      </c>
      <c r="AG770" s="37">
        <f t="shared" si="24"/>
        <v>47214.611570247936</v>
      </c>
      <c r="AH770" t="s">
        <v>1705</v>
      </c>
      <c r="AN770" s="43">
        <v>307.5</v>
      </c>
    </row>
    <row r="771" spans="2:40">
      <c r="B771" t="s">
        <v>1109</v>
      </c>
      <c r="C771" t="s">
        <v>121</v>
      </c>
      <c r="D771" t="s">
        <v>167</v>
      </c>
      <c r="E771" t="s">
        <v>83</v>
      </c>
      <c r="F771" s="37">
        <v>45679</v>
      </c>
      <c r="G771">
        <v>10</v>
      </c>
      <c r="H771" t="s">
        <v>174</v>
      </c>
      <c r="I771" s="37">
        <v>45749</v>
      </c>
      <c r="J771" t="s">
        <v>165</v>
      </c>
      <c r="K771" t="s">
        <v>166</v>
      </c>
      <c r="L771" t="s">
        <v>175</v>
      </c>
      <c r="M771" t="s">
        <v>1109</v>
      </c>
      <c r="O771" t="s">
        <v>1109</v>
      </c>
      <c r="Q771" t="s">
        <v>1643</v>
      </c>
      <c r="U771" t="s">
        <v>1698</v>
      </c>
      <c r="W771" t="s">
        <v>1703</v>
      </c>
      <c r="X771">
        <v>2</v>
      </c>
      <c r="AA771" s="43">
        <v>307.5</v>
      </c>
      <c r="AC771" s="43">
        <v>307.5</v>
      </c>
      <c r="AF771" s="37">
        <f t="shared" si="23"/>
        <v>46008</v>
      </c>
      <c r="AG771" s="37">
        <f t="shared" si="24"/>
        <v>47214.611570247936</v>
      </c>
      <c r="AH771" t="s">
        <v>169</v>
      </c>
      <c r="AN771" s="43">
        <v>307.5</v>
      </c>
    </row>
    <row r="772" spans="2:40">
      <c r="B772" t="s">
        <v>1110</v>
      </c>
      <c r="C772" t="s">
        <v>121</v>
      </c>
      <c r="D772" t="s">
        <v>167</v>
      </c>
      <c r="E772" t="s">
        <v>83</v>
      </c>
      <c r="F772" s="37">
        <v>45679</v>
      </c>
      <c r="G772">
        <v>10</v>
      </c>
      <c r="H772" t="s">
        <v>174</v>
      </c>
      <c r="I772" s="37">
        <v>45749</v>
      </c>
      <c r="J772" t="s">
        <v>165</v>
      </c>
      <c r="K772" t="s">
        <v>166</v>
      </c>
      <c r="L772" t="s">
        <v>175</v>
      </c>
      <c r="M772" t="s">
        <v>1110</v>
      </c>
      <c r="O772" t="s">
        <v>1110</v>
      </c>
      <c r="Q772" t="s">
        <v>1643</v>
      </c>
      <c r="U772" t="s">
        <v>1697</v>
      </c>
      <c r="W772" t="s">
        <v>1702</v>
      </c>
      <c r="X772">
        <v>3</v>
      </c>
      <c r="AA772" s="43">
        <v>307.5</v>
      </c>
      <c r="AC772" s="43">
        <v>307.5</v>
      </c>
      <c r="AF772" s="37">
        <f t="shared" si="23"/>
        <v>46008</v>
      </c>
      <c r="AG772" s="37">
        <f t="shared" si="24"/>
        <v>47214.611570247936</v>
      </c>
      <c r="AH772" t="s">
        <v>1705</v>
      </c>
      <c r="AN772" s="43">
        <v>307.5</v>
      </c>
    </row>
    <row r="773" spans="2:40">
      <c r="B773" t="s">
        <v>1111</v>
      </c>
      <c r="C773" t="s">
        <v>121</v>
      </c>
      <c r="D773" t="s">
        <v>167</v>
      </c>
      <c r="E773" t="s">
        <v>83</v>
      </c>
      <c r="F773" s="37">
        <v>45679</v>
      </c>
      <c r="G773">
        <v>10</v>
      </c>
      <c r="H773" t="s">
        <v>174</v>
      </c>
      <c r="I773" s="37">
        <v>45749</v>
      </c>
      <c r="J773" t="s">
        <v>165</v>
      </c>
      <c r="K773" t="s">
        <v>166</v>
      </c>
      <c r="L773" t="s">
        <v>175</v>
      </c>
      <c r="M773" t="s">
        <v>1111</v>
      </c>
      <c r="O773" t="s">
        <v>1111</v>
      </c>
      <c r="Q773" t="s">
        <v>1643</v>
      </c>
      <c r="U773" t="s">
        <v>1697</v>
      </c>
      <c r="W773" t="s">
        <v>1702</v>
      </c>
      <c r="X773">
        <v>3</v>
      </c>
      <c r="AA773" s="43">
        <v>307.5</v>
      </c>
      <c r="AC773" s="43">
        <v>307.5</v>
      </c>
      <c r="AF773" s="37">
        <f t="shared" si="23"/>
        <v>46008</v>
      </c>
      <c r="AG773" s="37">
        <f t="shared" si="24"/>
        <v>47214.611570247936</v>
      </c>
      <c r="AH773" t="s">
        <v>1705</v>
      </c>
      <c r="AN773" s="43">
        <v>307.5</v>
      </c>
    </row>
    <row r="774" spans="2:40">
      <c r="B774" t="s">
        <v>1112</v>
      </c>
      <c r="C774" t="s">
        <v>121</v>
      </c>
      <c r="D774" t="s">
        <v>167</v>
      </c>
      <c r="E774" t="s">
        <v>83</v>
      </c>
      <c r="F774" s="37">
        <v>45679</v>
      </c>
      <c r="G774">
        <v>10</v>
      </c>
      <c r="H774" t="s">
        <v>174</v>
      </c>
      <c r="I774" s="37">
        <v>45749</v>
      </c>
      <c r="J774" t="s">
        <v>165</v>
      </c>
      <c r="K774" t="s">
        <v>166</v>
      </c>
      <c r="L774" t="s">
        <v>175</v>
      </c>
      <c r="M774" t="s">
        <v>1112</v>
      </c>
      <c r="O774" t="s">
        <v>1112</v>
      </c>
      <c r="Q774" t="s">
        <v>1643</v>
      </c>
      <c r="U774" t="s">
        <v>1697</v>
      </c>
      <c r="W774" t="s">
        <v>1702</v>
      </c>
      <c r="X774">
        <v>3</v>
      </c>
      <c r="AA774" s="43">
        <v>307.5</v>
      </c>
      <c r="AC774" s="43">
        <v>307.5</v>
      </c>
      <c r="AF774" s="37">
        <f t="shared" si="23"/>
        <v>46008</v>
      </c>
      <c r="AG774" s="37">
        <f t="shared" si="24"/>
        <v>47214.611570247936</v>
      </c>
      <c r="AH774" t="s">
        <v>1705</v>
      </c>
      <c r="AN774" s="43">
        <v>307.5</v>
      </c>
    </row>
    <row r="775" spans="2:40">
      <c r="B775" t="s">
        <v>1113</v>
      </c>
      <c r="C775" t="s">
        <v>121</v>
      </c>
      <c r="D775" t="s">
        <v>167</v>
      </c>
      <c r="E775" t="s">
        <v>83</v>
      </c>
      <c r="F775" s="37">
        <v>45679</v>
      </c>
      <c r="G775">
        <v>10</v>
      </c>
      <c r="H775" t="s">
        <v>174</v>
      </c>
      <c r="I775" s="37">
        <v>45749</v>
      </c>
      <c r="J775" t="s">
        <v>165</v>
      </c>
      <c r="K775" t="s">
        <v>166</v>
      </c>
      <c r="L775" t="s">
        <v>175</v>
      </c>
      <c r="M775" t="s">
        <v>1113</v>
      </c>
      <c r="O775" t="s">
        <v>1113</v>
      </c>
      <c r="Q775" t="s">
        <v>1643</v>
      </c>
      <c r="U775" t="s">
        <v>1697</v>
      </c>
      <c r="W775" t="s">
        <v>1702</v>
      </c>
      <c r="X775">
        <v>3</v>
      </c>
      <c r="AA775" s="43">
        <v>307.5</v>
      </c>
      <c r="AC775" s="43">
        <v>307.5</v>
      </c>
      <c r="AF775" s="37">
        <f t="shared" ref="AF775:AF838" si="25">F775+(47*7)</f>
        <v>46008</v>
      </c>
      <c r="AG775" s="37">
        <f t="shared" ref="AG775:AG838" si="26">+AF775+(365*8)/2.42</f>
        <v>47214.611570247936</v>
      </c>
      <c r="AH775" t="s">
        <v>1705</v>
      </c>
      <c r="AN775" s="43">
        <v>307.5</v>
      </c>
    </row>
    <row r="776" spans="2:40">
      <c r="B776" t="s">
        <v>1114</v>
      </c>
      <c r="C776" t="s">
        <v>121</v>
      </c>
      <c r="D776" t="s">
        <v>167</v>
      </c>
      <c r="E776" t="s">
        <v>83</v>
      </c>
      <c r="F776" s="37">
        <v>45679</v>
      </c>
      <c r="G776">
        <v>10</v>
      </c>
      <c r="H776" t="s">
        <v>174</v>
      </c>
      <c r="I776" s="37">
        <v>45749</v>
      </c>
      <c r="J776" t="s">
        <v>165</v>
      </c>
      <c r="K776" t="s">
        <v>166</v>
      </c>
      <c r="L776" t="s">
        <v>175</v>
      </c>
      <c r="M776" t="s">
        <v>1114</v>
      </c>
      <c r="O776" t="s">
        <v>1114</v>
      </c>
      <c r="Q776" t="s">
        <v>1643</v>
      </c>
      <c r="U776" t="s">
        <v>1697</v>
      </c>
      <c r="W776" t="s">
        <v>1702</v>
      </c>
      <c r="X776">
        <v>3</v>
      </c>
      <c r="AA776" s="43">
        <v>307.5</v>
      </c>
      <c r="AC776" s="43">
        <v>307.5</v>
      </c>
      <c r="AF776" s="37">
        <f t="shared" si="25"/>
        <v>46008</v>
      </c>
      <c r="AG776" s="37">
        <f t="shared" si="26"/>
        <v>47214.611570247936</v>
      </c>
      <c r="AH776" t="s">
        <v>1705</v>
      </c>
      <c r="AN776" s="43">
        <v>307.5</v>
      </c>
    </row>
    <row r="777" spans="2:40">
      <c r="B777" t="s">
        <v>1115</v>
      </c>
      <c r="C777" t="s">
        <v>121</v>
      </c>
      <c r="D777" t="s">
        <v>167</v>
      </c>
      <c r="E777" t="s">
        <v>83</v>
      </c>
      <c r="F777" s="37">
        <v>45679</v>
      </c>
      <c r="G777">
        <v>10</v>
      </c>
      <c r="H777" t="s">
        <v>174</v>
      </c>
      <c r="I777" s="37">
        <v>45749</v>
      </c>
      <c r="J777" t="s">
        <v>165</v>
      </c>
      <c r="K777" t="s">
        <v>166</v>
      </c>
      <c r="L777" t="s">
        <v>175</v>
      </c>
      <c r="M777" t="s">
        <v>1115</v>
      </c>
      <c r="O777" t="s">
        <v>1115</v>
      </c>
      <c r="Q777" t="s">
        <v>1643</v>
      </c>
      <c r="U777" t="s">
        <v>1697</v>
      </c>
      <c r="W777" t="s">
        <v>1702</v>
      </c>
      <c r="X777">
        <v>3</v>
      </c>
      <c r="AA777" s="43">
        <v>307.5</v>
      </c>
      <c r="AC777" s="43">
        <v>307.5</v>
      </c>
      <c r="AF777" s="37">
        <f t="shared" si="25"/>
        <v>46008</v>
      </c>
      <c r="AG777" s="37">
        <f t="shared" si="26"/>
        <v>47214.611570247936</v>
      </c>
      <c r="AH777" t="s">
        <v>1705</v>
      </c>
      <c r="AN777" s="43">
        <v>307.5</v>
      </c>
    </row>
    <row r="778" spans="2:40">
      <c r="B778" t="s">
        <v>1116</v>
      </c>
      <c r="C778" t="s">
        <v>121</v>
      </c>
      <c r="D778" t="s">
        <v>167</v>
      </c>
      <c r="E778" t="s">
        <v>83</v>
      </c>
      <c r="F778" s="37">
        <v>45679</v>
      </c>
      <c r="G778">
        <v>10</v>
      </c>
      <c r="H778" t="s">
        <v>174</v>
      </c>
      <c r="I778" s="37">
        <v>45749</v>
      </c>
      <c r="J778" t="s">
        <v>165</v>
      </c>
      <c r="K778" t="s">
        <v>166</v>
      </c>
      <c r="L778" t="s">
        <v>175</v>
      </c>
      <c r="M778" t="s">
        <v>1116</v>
      </c>
      <c r="O778" t="s">
        <v>1116</v>
      </c>
      <c r="Q778" t="s">
        <v>1643</v>
      </c>
      <c r="U778" t="s">
        <v>1697</v>
      </c>
      <c r="W778" t="s">
        <v>1702</v>
      </c>
      <c r="X778">
        <v>3</v>
      </c>
      <c r="AA778" s="43">
        <v>307.5</v>
      </c>
      <c r="AC778" s="43">
        <v>307.5</v>
      </c>
      <c r="AF778" s="37">
        <f t="shared" si="25"/>
        <v>46008</v>
      </c>
      <c r="AG778" s="37">
        <f t="shared" si="26"/>
        <v>47214.611570247936</v>
      </c>
      <c r="AH778" t="s">
        <v>1705</v>
      </c>
      <c r="AN778" s="43">
        <v>307.5</v>
      </c>
    </row>
    <row r="779" spans="2:40">
      <c r="B779" t="s">
        <v>1117</v>
      </c>
      <c r="C779" t="s">
        <v>121</v>
      </c>
      <c r="D779" t="s">
        <v>167</v>
      </c>
      <c r="E779" t="s">
        <v>83</v>
      </c>
      <c r="F779" s="37">
        <v>45672</v>
      </c>
      <c r="G779">
        <v>10</v>
      </c>
      <c r="H779" t="s">
        <v>174</v>
      </c>
      <c r="I779" s="37">
        <v>45742</v>
      </c>
      <c r="J779" t="s">
        <v>165</v>
      </c>
      <c r="K779" t="s">
        <v>166</v>
      </c>
      <c r="L779" t="s">
        <v>175</v>
      </c>
      <c r="M779" t="s">
        <v>1117</v>
      </c>
      <c r="O779" t="s">
        <v>1117</v>
      </c>
      <c r="Q779" t="s">
        <v>1643</v>
      </c>
      <c r="U779" t="s">
        <v>1697</v>
      </c>
      <c r="W779" t="s">
        <v>1702</v>
      </c>
      <c r="X779">
        <v>3</v>
      </c>
      <c r="AA779" s="43">
        <v>307.5</v>
      </c>
      <c r="AC779" s="43">
        <v>307.5</v>
      </c>
      <c r="AF779" s="37">
        <f t="shared" si="25"/>
        <v>46001</v>
      </c>
      <c r="AG779" s="37">
        <f t="shared" si="26"/>
        <v>47207.611570247936</v>
      </c>
      <c r="AH779" t="s">
        <v>1705</v>
      </c>
      <c r="AN779" s="43">
        <v>307.5</v>
      </c>
    </row>
    <row r="780" spans="2:40">
      <c r="B780" t="s">
        <v>1118</v>
      </c>
      <c r="C780" t="s">
        <v>121</v>
      </c>
      <c r="D780" t="s">
        <v>167</v>
      </c>
      <c r="E780" t="s">
        <v>83</v>
      </c>
      <c r="F780" s="37">
        <v>45672</v>
      </c>
      <c r="G780">
        <v>10</v>
      </c>
      <c r="H780" t="s">
        <v>174</v>
      </c>
      <c r="I780" s="37">
        <v>45742</v>
      </c>
      <c r="J780" t="s">
        <v>165</v>
      </c>
      <c r="K780" t="s">
        <v>166</v>
      </c>
      <c r="L780" t="s">
        <v>175</v>
      </c>
      <c r="M780" t="s">
        <v>1118</v>
      </c>
      <c r="O780" t="s">
        <v>1118</v>
      </c>
      <c r="Q780" t="s">
        <v>1643</v>
      </c>
      <c r="U780" t="s">
        <v>1697</v>
      </c>
      <c r="W780" t="s">
        <v>1702</v>
      </c>
      <c r="X780">
        <v>3</v>
      </c>
      <c r="AA780" s="43">
        <v>307.5</v>
      </c>
      <c r="AC780" s="43">
        <v>307.5</v>
      </c>
      <c r="AF780" s="37">
        <f t="shared" si="25"/>
        <v>46001</v>
      </c>
      <c r="AG780" s="37">
        <f t="shared" si="26"/>
        <v>47207.611570247936</v>
      </c>
      <c r="AH780" t="s">
        <v>1705</v>
      </c>
      <c r="AN780" s="43">
        <v>307.5</v>
      </c>
    </row>
    <row r="781" spans="2:40">
      <c r="B781" t="s">
        <v>1119</v>
      </c>
      <c r="C781" t="s">
        <v>121</v>
      </c>
      <c r="D781" t="s">
        <v>167</v>
      </c>
      <c r="E781" t="s">
        <v>83</v>
      </c>
      <c r="F781" s="37">
        <v>45672</v>
      </c>
      <c r="G781">
        <v>10</v>
      </c>
      <c r="H781" t="s">
        <v>174</v>
      </c>
      <c r="I781" s="37">
        <v>45742</v>
      </c>
      <c r="J781" t="s">
        <v>165</v>
      </c>
      <c r="K781" t="s">
        <v>166</v>
      </c>
      <c r="L781" t="s">
        <v>175</v>
      </c>
      <c r="M781" t="s">
        <v>1119</v>
      </c>
      <c r="O781" t="s">
        <v>1119</v>
      </c>
      <c r="Q781" t="s">
        <v>1643</v>
      </c>
      <c r="U781" t="s">
        <v>1697</v>
      </c>
      <c r="W781" t="s">
        <v>1702</v>
      </c>
      <c r="X781">
        <v>3</v>
      </c>
      <c r="AA781" s="43">
        <v>307.5</v>
      </c>
      <c r="AC781" s="43">
        <v>307.5</v>
      </c>
      <c r="AF781" s="37">
        <f t="shared" si="25"/>
        <v>46001</v>
      </c>
      <c r="AG781" s="37">
        <f t="shared" si="26"/>
        <v>47207.611570247936</v>
      </c>
      <c r="AH781" t="s">
        <v>1705</v>
      </c>
      <c r="AN781" s="43">
        <v>307.5</v>
      </c>
    </row>
    <row r="782" spans="2:40">
      <c r="B782" t="s">
        <v>1120</v>
      </c>
      <c r="C782" t="s">
        <v>121</v>
      </c>
      <c r="D782" t="s">
        <v>167</v>
      </c>
      <c r="E782" t="s">
        <v>83</v>
      </c>
      <c r="F782" s="37">
        <v>45672</v>
      </c>
      <c r="G782">
        <v>10</v>
      </c>
      <c r="H782" t="s">
        <v>174</v>
      </c>
      <c r="I782" s="37">
        <v>45742</v>
      </c>
      <c r="J782" t="s">
        <v>165</v>
      </c>
      <c r="K782" t="s">
        <v>166</v>
      </c>
      <c r="L782" t="s">
        <v>175</v>
      </c>
      <c r="M782" t="s">
        <v>1120</v>
      </c>
      <c r="O782" t="s">
        <v>1120</v>
      </c>
      <c r="Q782" t="s">
        <v>1643</v>
      </c>
      <c r="U782" t="s">
        <v>1697</v>
      </c>
      <c r="W782" t="s">
        <v>1702</v>
      </c>
      <c r="X782">
        <v>3</v>
      </c>
      <c r="AA782" s="43">
        <v>307.5</v>
      </c>
      <c r="AC782" s="43">
        <v>307.5</v>
      </c>
      <c r="AF782" s="37">
        <f t="shared" si="25"/>
        <v>46001</v>
      </c>
      <c r="AG782" s="37">
        <f t="shared" si="26"/>
        <v>47207.611570247936</v>
      </c>
      <c r="AH782" t="s">
        <v>1705</v>
      </c>
      <c r="AN782" s="43">
        <v>307.5</v>
      </c>
    </row>
    <row r="783" spans="2:40">
      <c r="B783" t="s">
        <v>1121</v>
      </c>
      <c r="C783" t="s">
        <v>121</v>
      </c>
      <c r="D783" t="s">
        <v>167</v>
      </c>
      <c r="E783" t="s">
        <v>83</v>
      </c>
      <c r="F783" s="37">
        <v>45672</v>
      </c>
      <c r="G783">
        <v>10</v>
      </c>
      <c r="H783" t="s">
        <v>174</v>
      </c>
      <c r="I783" s="37">
        <v>45742</v>
      </c>
      <c r="J783" t="s">
        <v>165</v>
      </c>
      <c r="K783" t="s">
        <v>166</v>
      </c>
      <c r="L783" t="s">
        <v>175</v>
      </c>
      <c r="M783" t="s">
        <v>1121</v>
      </c>
      <c r="O783" t="s">
        <v>1121</v>
      </c>
      <c r="Q783" t="s">
        <v>1643</v>
      </c>
      <c r="U783" t="s">
        <v>1697</v>
      </c>
      <c r="W783" t="s">
        <v>1702</v>
      </c>
      <c r="X783">
        <v>3</v>
      </c>
      <c r="AA783" s="43">
        <v>307.5</v>
      </c>
      <c r="AC783" s="43">
        <v>307.5</v>
      </c>
      <c r="AF783" s="37">
        <f t="shared" si="25"/>
        <v>46001</v>
      </c>
      <c r="AG783" s="37">
        <f t="shared" si="26"/>
        <v>47207.611570247936</v>
      </c>
      <c r="AH783" t="s">
        <v>1705</v>
      </c>
      <c r="AN783" s="43">
        <v>307.5</v>
      </c>
    </row>
    <row r="784" spans="2:40">
      <c r="B784" t="s">
        <v>1122</v>
      </c>
      <c r="C784" t="s">
        <v>121</v>
      </c>
      <c r="D784" t="s">
        <v>167</v>
      </c>
      <c r="E784" t="s">
        <v>83</v>
      </c>
      <c r="F784" s="37">
        <v>45672</v>
      </c>
      <c r="G784">
        <v>10</v>
      </c>
      <c r="H784" t="s">
        <v>174</v>
      </c>
      <c r="I784" s="37">
        <v>45742</v>
      </c>
      <c r="J784" t="s">
        <v>165</v>
      </c>
      <c r="K784" t="s">
        <v>166</v>
      </c>
      <c r="L784" t="s">
        <v>175</v>
      </c>
      <c r="M784" t="s">
        <v>1122</v>
      </c>
      <c r="O784" t="s">
        <v>1122</v>
      </c>
      <c r="Q784" t="s">
        <v>1643</v>
      </c>
      <c r="U784" t="s">
        <v>1697</v>
      </c>
      <c r="W784" t="s">
        <v>1702</v>
      </c>
      <c r="X784">
        <v>3</v>
      </c>
      <c r="AA784" s="43">
        <v>307.5</v>
      </c>
      <c r="AC784" s="43">
        <v>307.5</v>
      </c>
      <c r="AF784" s="37">
        <f t="shared" si="25"/>
        <v>46001</v>
      </c>
      <c r="AG784" s="37">
        <f t="shared" si="26"/>
        <v>47207.611570247936</v>
      </c>
      <c r="AH784" t="s">
        <v>1705</v>
      </c>
      <c r="AN784" s="43">
        <v>307.5</v>
      </c>
    </row>
    <row r="785" spans="2:40">
      <c r="B785" t="s">
        <v>1123</v>
      </c>
      <c r="C785" t="s">
        <v>121</v>
      </c>
      <c r="D785" t="s">
        <v>167</v>
      </c>
      <c r="E785" t="s">
        <v>83</v>
      </c>
      <c r="F785" s="37">
        <v>45672</v>
      </c>
      <c r="G785">
        <v>10</v>
      </c>
      <c r="H785" t="s">
        <v>174</v>
      </c>
      <c r="I785" s="37">
        <v>45742</v>
      </c>
      <c r="J785" t="s">
        <v>165</v>
      </c>
      <c r="K785" t="s">
        <v>166</v>
      </c>
      <c r="L785" t="s">
        <v>175</v>
      </c>
      <c r="M785" t="s">
        <v>1123</v>
      </c>
      <c r="O785" t="s">
        <v>1123</v>
      </c>
      <c r="Q785" t="s">
        <v>1643</v>
      </c>
      <c r="U785" t="s">
        <v>1697</v>
      </c>
      <c r="W785" t="s">
        <v>1702</v>
      </c>
      <c r="X785">
        <v>3</v>
      </c>
      <c r="AA785" s="43">
        <v>307.5</v>
      </c>
      <c r="AC785" s="43">
        <v>307.5</v>
      </c>
      <c r="AF785" s="37">
        <f t="shared" si="25"/>
        <v>46001</v>
      </c>
      <c r="AG785" s="37">
        <f t="shared" si="26"/>
        <v>47207.611570247936</v>
      </c>
      <c r="AH785" t="s">
        <v>1705</v>
      </c>
      <c r="AN785" s="43">
        <v>307.5</v>
      </c>
    </row>
    <row r="786" spans="2:40">
      <c r="B786" t="s">
        <v>1124</v>
      </c>
      <c r="C786" t="s">
        <v>121</v>
      </c>
      <c r="D786" t="s">
        <v>167</v>
      </c>
      <c r="E786" t="s">
        <v>83</v>
      </c>
      <c r="F786" s="37">
        <v>45672</v>
      </c>
      <c r="G786">
        <v>10</v>
      </c>
      <c r="H786" t="s">
        <v>174</v>
      </c>
      <c r="I786" s="37">
        <v>45742</v>
      </c>
      <c r="J786" t="s">
        <v>165</v>
      </c>
      <c r="K786" t="s">
        <v>166</v>
      </c>
      <c r="L786" t="s">
        <v>175</v>
      </c>
      <c r="M786" t="s">
        <v>1124</v>
      </c>
      <c r="O786" t="s">
        <v>1124</v>
      </c>
      <c r="Q786" t="s">
        <v>1643</v>
      </c>
      <c r="U786" t="s">
        <v>1697</v>
      </c>
      <c r="W786" t="s">
        <v>1702</v>
      </c>
      <c r="X786">
        <v>3</v>
      </c>
      <c r="AA786" s="43">
        <v>307.5</v>
      </c>
      <c r="AC786" s="43">
        <v>307.5</v>
      </c>
      <c r="AF786" s="37">
        <f t="shared" si="25"/>
        <v>46001</v>
      </c>
      <c r="AG786" s="37">
        <f t="shared" si="26"/>
        <v>47207.611570247936</v>
      </c>
      <c r="AH786" t="s">
        <v>1705</v>
      </c>
      <c r="AN786" s="43">
        <v>307.5</v>
      </c>
    </row>
    <row r="787" spans="2:40">
      <c r="B787" t="s">
        <v>1125</v>
      </c>
      <c r="C787" t="s">
        <v>121</v>
      </c>
      <c r="D787" t="s">
        <v>167</v>
      </c>
      <c r="E787" t="s">
        <v>83</v>
      </c>
      <c r="F787" s="37">
        <v>45672</v>
      </c>
      <c r="G787">
        <v>10</v>
      </c>
      <c r="H787" t="s">
        <v>174</v>
      </c>
      <c r="I787" s="37">
        <v>45742</v>
      </c>
      <c r="J787" t="s">
        <v>165</v>
      </c>
      <c r="K787" t="s">
        <v>166</v>
      </c>
      <c r="L787" t="s">
        <v>175</v>
      </c>
      <c r="M787" t="s">
        <v>1125</v>
      </c>
      <c r="O787" t="s">
        <v>1125</v>
      </c>
      <c r="Q787" t="s">
        <v>1643</v>
      </c>
      <c r="U787" t="s">
        <v>1697</v>
      </c>
      <c r="W787" t="s">
        <v>1702</v>
      </c>
      <c r="X787">
        <v>3</v>
      </c>
      <c r="AA787" s="43">
        <v>307.5</v>
      </c>
      <c r="AC787" s="43">
        <v>307.5</v>
      </c>
      <c r="AF787" s="37">
        <f t="shared" si="25"/>
        <v>46001</v>
      </c>
      <c r="AG787" s="37">
        <f t="shared" si="26"/>
        <v>47207.611570247936</v>
      </c>
      <c r="AH787" t="s">
        <v>1705</v>
      </c>
      <c r="AN787" s="43">
        <v>307.5</v>
      </c>
    </row>
    <row r="788" spans="2:40">
      <c r="B788" t="s">
        <v>1126</v>
      </c>
      <c r="C788" t="s">
        <v>121</v>
      </c>
      <c r="D788" t="s">
        <v>167</v>
      </c>
      <c r="E788" t="s">
        <v>83</v>
      </c>
      <c r="F788" s="37">
        <v>45665</v>
      </c>
      <c r="G788">
        <v>10</v>
      </c>
      <c r="H788" t="s">
        <v>174</v>
      </c>
      <c r="I788" s="37">
        <v>45735</v>
      </c>
      <c r="J788" t="s">
        <v>165</v>
      </c>
      <c r="K788" t="s">
        <v>166</v>
      </c>
      <c r="L788" t="s">
        <v>175</v>
      </c>
      <c r="M788" t="s">
        <v>1126</v>
      </c>
      <c r="O788" t="s">
        <v>1126</v>
      </c>
      <c r="Q788" t="s">
        <v>1643</v>
      </c>
      <c r="U788" t="s">
        <v>1697</v>
      </c>
      <c r="W788" t="s">
        <v>1702</v>
      </c>
      <c r="X788">
        <v>3</v>
      </c>
      <c r="AA788" s="43">
        <v>307.5</v>
      </c>
      <c r="AC788" s="43">
        <v>307.5</v>
      </c>
      <c r="AF788" s="37">
        <f t="shared" si="25"/>
        <v>45994</v>
      </c>
      <c r="AG788" s="37">
        <f t="shared" si="26"/>
        <v>47200.611570247936</v>
      </c>
      <c r="AH788" t="s">
        <v>1705</v>
      </c>
      <c r="AN788" s="43">
        <v>307.5</v>
      </c>
    </row>
    <row r="789" spans="2:40">
      <c r="B789" t="s">
        <v>1127</v>
      </c>
      <c r="C789" t="s">
        <v>121</v>
      </c>
      <c r="D789" t="s">
        <v>167</v>
      </c>
      <c r="E789" t="s">
        <v>83</v>
      </c>
      <c r="F789" s="37">
        <v>45665</v>
      </c>
      <c r="G789">
        <v>10</v>
      </c>
      <c r="H789" t="s">
        <v>174</v>
      </c>
      <c r="I789" s="37">
        <v>45735</v>
      </c>
      <c r="J789" t="s">
        <v>165</v>
      </c>
      <c r="K789" t="s">
        <v>166</v>
      </c>
      <c r="L789" t="s">
        <v>175</v>
      </c>
      <c r="M789" t="s">
        <v>1127</v>
      </c>
      <c r="O789" t="s">
        <v>1127</v>
      </c>
      <c r="Q789" t="s">
        <v>1643</v>
      </c>
      <c r="U789" t="s">
        <v>1697</v>
      </c>
      <c r="W789" t="s">
        <v>1702</v>
      </c>
      <c r="X789">
        <v>3</v>
      </c>
      <c r="AA789" s="43">
        <v>307.5</v>
      </c>
      <c r="AC789" s="43">
        <v>307.5</v>
      </c>
      <c r="AF789" s="37">
        <f t="shared" si="25"/>
        <v>45994</v>
      </c>
      <c r="AG789" s="37">
        <f t="shared" si="26"/>
        <v>47200.611570247936</v>
      </c>
      <c r="AH789" t="s">
        <v>1705</v>
      </c>
      <c r="AN789" s="43">
        <v>307.5</v>
      </c>
    </row>
    <row r="790" spans="2:40">
      <c r="B790" t="s">
        <v>1128</v>
      </c>
      <c r="C790" t="s">
        <v>121</v>
      </c>
      <c r="D790" t="s">
        <v>167</v>
      </c>
      <c r="E790" t="s">
        <v>83</v>
      </c>
      <c r="F790" s="37">
        <v>45665</v>
      </c>
      <c r="G790">
        <v>10</v>
      </c>
      <c r="H790" t="s">
        <v>174</v>
      </c>
      <c r="I790" s="37">
        <v>45735</v>
      </c>
      <c r="J790" t="s">
        <v>165</v>
      </c>
      <c r="K790" t="s">
        <v>166</v>
      </c>
      <c r="L790" t="s">
        <v>175</v>
      </c>
      <c r="M790" t="s">
        <v>1128</v>
      </c>
      <c r="O790" t="s">
        <v>1128</v>
      </c>
      <c r="Q790" t="s">
        <v>1643</v>
      </c>
      <c r="U790" t="s">
        <v>1697</v>
      </c>
      <c r="W790" t="s">
        <v>1702</v>
      </c>
      <c r="X790">
        <v>3</v>
      </c>
      <c r="AA790" s="43">
        <v>307.5</v>
      </c>
      <c r="AC790" s="43">
        <v>307.5</v>
      </c>
      <c r="AF790" s="37">
        <f t="shared" si="25"/>
        <v>45994</v>
      </c>
      <c r="AG790" s="37">
        <f t="shared" si="26"/>
        <v>47200.611570247936</v>
      </c>
      <c r="AH790" t="s">
        <v>1705</v>
      </c>
      <c r="AN790" s="43">
        <v>307.5</v>
      </c>
    </row>
    <row r="791" spans="2:40">
      <c r="B791" t="s">
        <v>1129</v>
      </c>
      <c r="C791" t="s">
        <v>121</v>
      </c>
      <c r="D791" t="s">
        <v>167</v>
      </c>
      <c r="E791" t="s">
        <v>83</v>
      </c>
      <c r="F791" s="37">
        <v>45665</v>
      </c>
      <c r="G791">
        <v>10</v>
      </c>
      <c r="H791" t="s">
        <v>174</v>
      </c>
      <c r="I791" s="37">
        <v>45735</v>
      </c>
      <c r="J791" t="s">
        <v>165</v>
      </c>
      <c r="K791" t="s">
        <v>166</v>
      </c>
      <c r="L791" t="s">
        <v>175</v>
      </c>
      <c r="M791" t="s">
        <v>1129</v>
      </c>
      <c r="O791" t="s">
        <v>1129</v>
      </c>
      <c r="Q791" t="s">
        <v>1643</v>
      </c>
      <c r="U791" t="s">
        <v>1697</v>
      </c>
      <c r="W791" t="s">
        <v>1702</v>
      </c>
      <c r="X791">
        <v>3</v>
      </c>
      <c r="AA791" s="43">
        <v>307.5</v>
      </c>
      <c r="AC791" s="43">
        <v>307.5</v>
      </c>
      <c r="AF791" s="37">
        <f t="shared" si="25"/>
        <v>45994</v>
      </c>
      <c r="AG791" s="37">
        <f t="shared" si="26"/>
        <v>47200.611570247936</v>
      </c>
      <c r="AH791" t="s">
        <v>1705</v>
      </c>
      <c r="AN791" s="43">
        <v>307.5</v>
      </c>
    </row>
    <row r="792" spans="2:40">
      <c r="B792" t="s">
        <v>1130</v>
      </c>
      <c r="C792" t="s">
        <v>121</v>
      </c>
      <c r="D792" t="s">
        <v>167</v>
      </c>
      <c r="E792" t="s">
        <v>83</v>
      </c>
      <c r="F792" s="37">
        <v>45665</v>
      </c>
      <c r="G792">
        <v>10</v>
      </c>
      <c r="H792" t="s">
        <v>174</v>
      </c>
      <c r="I792" s="37">
        <v>45735</v>
      </c>
      <c r="J792" t="s">
        <v>165</v>
      </c>
      <c r="K792" t="s">
        <v>166</v>
      </c>
      <c r="L792" t="s">
        <v>175</v>
      </c>
      <c r="M792" t="s">
        <v>1130</v>
      </c>
      <c r="O792" t="s">
        <v>1130</v>
      </c>
      <c r="Q792" t="s">
        <v>1643</v>
      </c>
      <c r="U792" t="s">
        <v>1697</v>
      </c>
      <c r="W792" t="s">
        <v>1702</v>
      </c>
      <c r="X792">
        <v>3</v>
      </c>
      <c r="AA792" s="43">
        <v>307.5</v>
      </c>
      <c r="AC792" s="43">
        <v>307.5</v>
      </c>
      <c r="AF792" s="37">
        <f t="shared" si="25"/>
        <v>45994</v>
      </c>
      <c r="AG792" s="37">
        <f t="shared" si="26"/>
        <v>47200.611570247936</v>
      </c>
      <c r="AH792" t="s">
        <v>1705</v>
      </c>
      <c r="AN792" s="43">
        <v>307.5</v>
      </c>
    </row>
    <row r="793" spans="2:40">
      <c r="B793" t="s">
        <v>1131</v>
      </c>
      <c r="C793" t="s">
        <v>121</v>
      </c>
      <c r="D793" t="s">
        <v>167</v>
      </c>
      <c r="E793" t="s">
        <v>83</v>
      </c>
      <c r="F793" s="37">
        <v>45665</v>
      </c>
      <c r="G793">
        <v>10</v>
      </c>
      <c r="H793" t="s">
        <v>174</v>
      </c>
      <c r="I793" s="37">
        <v>45735</v>
      </c>
      <c r="J793" t="s">
        <v>165</v>
      </c>
      <c r="K793" t="s">
        <v>166</v>
      </c>
      <c r="L793" t="s">
        <v>175</v>
      </c>
      <c r="M793" t="s">
        <v>1131</v>
      </c>
      <c r="O793" t="s">
        <v>1131</v>
      </c>
      <c r="Q793" t="s">
        <v>1643</v>
      </c>
      <c r="U793" t="s">
        <v>1697</v>
      </c>
      <c r="W793" t="s">
        <v>1702</v>
      </c>
      <c r="X793">
        <v>3</v>
      </c>
      <c r="AA793" s="43">
        <v>307.5</v>
      </c>
      <c r="AC793" s="43">
        <v>307.5</v>
      </c>
      <c r="AF793" s="37">
        <f t="shared" si="25"/>
        <v>45994</v>
      </c>
      <c r="AG793" s="37">
        <f t="shared" si="26"/>
        <v>47200.611570247936</v>
      </c>
      <c r="AH793" t="s">
        <v>1705</v>
      </c>
      <c r="AN793" s="43">
        <v>307.5</v>
      </c>
    </row>
    <row r="794" spans="2:40">
      <c r="B794" t="s">
        <v>1132</v>
      </c>
      <c r="C794" t="s">
        <v>121</v>
      </c>
      <c r="D794" t="s">
        <v>167</v>
      </c>
      <c r="E794" t="s">
        <v>83</v>
      </c>
      <c r="F794" s="37">
        <v>45665</v>
      </c>
      <c r="G794">
        <v>10</v>
      </c>
      <c r="H794" t="s">
        <v>174</v>
      </c>
      <c r="I794" s="37">
        <v>45735</v>
      </c>
      <c r="J794" t="s">
        <v>165</v>
      </c>
      <c r="K794" t="s">
        <v>166</v>
      </c>
      <c r="L794" t="s">
        <v>175</v>
      </c>
      <c r="M794" t="s">
        <v>1132</v>
      </c>
      <c r="O794" t="s">
        <v>1132</v>
      </c>
      <c r="Q794" t="s">
        <v>1643</v>
      </c>
      <c r="U794" t="s">
        <v>1697</v>
      </c>
      <c r="W794" t="s">
        <v>1702</v>
      </c>
      <c r="X794">
        <v>3</v>
      </c>
      <c r="AA794" s="43">
        <v>307.5</v>
      </c>
      <c r="AC794" s="43">
        <v>307.5</v>
      </c>
      <c r="AF794" s="37">
        <f t="shared" si="25"/>
        <v>45994</v>
      </c>
      <c r="AG794" s="37">
        <f t="shared" si="26"/>
        <v>47200.611570247936</v>
      </c>
      <c r="AH794" t="s">
        <v>1705</v>
      </c>
      <c r="AN794" s="43">
        <v>307.5</v>
      </c>
    </row>
    <row r="795" spans="2:40">
      <c r="B795" t="s">
        <v>1133</v>
      </c>
      <c r="C795" t="s">
        <v>121</v>
      </c>
      <c r="D795" t="s">
        <v>167</v>
      </c>
      <c r="E795" t="s">
        <v>83</v>
      </c>
      <c r="F795" s="37">
        <v>45651</v>
      </c>
      <c r="G795">
        <v>10</v>
      </c>
      <c r="H795" t="s">
        <v>174</v>
      </c>
      <c r="I795" s="37">
        <v>45728</v>
      </c>
      <c r="J795" t="s">
        <v>165</v>
      </c>
      <c r="K795" t="s">
        <v>166</v>
      </c>
      <c r="L795" t="s">
        <v>175</v>
      </c>
      <c r="M795" t="s">
        <v>1133</v>
      </c>
      <c r="O795" t="s">
        <v>1133</v>
      </c>
      <c r="Q795" t="s">
        <v>1643</v>
      </c>
      <c r="U795" t="s">
        <v>1697</v>
      </c>
      <c r="W795" t="s">
        <v>1702</v>
      </c>
      <c r="X795">
        <v>3</v>
      </c>
      <c r="AA795" s="43">
        <v>307.5</v>
      </c>
      <c r="AC795" s="43">
        <v>307.5</v>
      </c>
      <c r="AF795" s="37">
        <f t="shared" si="25"/>
        <v>45980</v>
      </c>
      <c r="AG795" s="37">
        <f t="shared" si="26"/>
        <v>47186.611570247936</v>
      </c>
      <c r="AH795" t="s">
        <v>1705</v>
      </c>
      <c r="AN795" s="43">
        <v>307.5</v>
      </c>
    </row>
    <row r="796" spans="2:40">
      <c r="B796" t="s">
        <v>1134</v>
      </c>
      <c r="C796" t="s">
        <v>121</v>
      </c>
      <c r="D796" t="s">
        <v>167</v>
      </c>
      <c r="E796" t="s">
        <v>83</v>
      </c>
      <c r="F796" s="37">
        <v>45651</v>
      </c>
      <c r="G796">
        <v>10</v>
      </c>
      <c r="H796" t="s">
        <v>174</v>
      </c>
      <c r="I796" s="37">
        <v>45728</v>
      </c>
      <c r="J796" t="s">
        <v>165</v>
      </c>
      <c r="K796" t="s">
        <v>166</v>
      </c>
      <c r="L796" t="s">
        <v>175</v>
      </c>
      <c r="M796" t="s">
        <v>1134</v>
      </c>
      <c r="O796" t="s">
        <v>1134</v>
      </c>
      <c r="Q796" t="s">
        <v>1643</v>
      </c>
      <c r="U796" t="s">
        <v>1697</v>
      </c>
      <c r="W796" t="s">
        <v>1702</v>
      </c>
      <c r="X796">
        <v>3</v>
      </c>
      <c r="AA796" s="43">
        <v>307.5</v>
      </c>
      <c r="AC796" s="43">
        <v>307.5</v>
      </c>
      <c r="AF796" s="37">
        <f t="shared" si="25"/>
        <v>45980</v>
      </c>
      <c r="AG796" s="37">
        <f t="shared" si="26"/>
        <v>47186.611570247936</v>
      </c>
      <c r="AH796" t="s">
        <v>1705</v>
      </c>
      <c r="AN796" s="43">
        <v>307.5</v>
      </c>
    </row>
    <row r="797" spans="2:40">
      <c r="B797" t="s">
        <v>1135</v>
      </c>
      <c r="C797" t="s">
        <v>121</v>
      </c>
      <c r="D797" t="s">
        <v>167</v>
      </c>
      <c r="E797" t="s">
        <v>83</v>
      </c>
      <c r="F797" s="37">
        <v>45651</v>
      </c>
      <c r="G797">
        <v>10</v>
      </c>
      <c r="H797" t="s">
        <v>174</v>
      </c>
      <c r="I797" s="37">
        <v>45728</v>
      </c>
      <c r="J797" t="s">
        <v>165</v>
      </c>
      <c r="K797" t="s">
        <v>166</v>
      </c>
      <c r="L797" t="s">
        <v>175</v>
      </c>
      <c r="M797" t="s">
        <v>1135</v>
      </c>
      <c r="O797" t="s">
        <v>1135</v>
      </c>
      <c r="Q797" t="s">
        <v>1643</v>
      </c>
      <c r="U797" t="s">
        <v>1697</v>
      </c>
      <c r="W797" t="s">
        <v>1702</v>
      </c>
      <c r="X797">
        <v>3</v>
      </c>
      <c r="AA797" s="43">
        <v>307.5</v>
      </c>
      <c r="AC797" s="43">
        <v>307.5</v>
      </c>
      <c r="AF797" s="37">
        <f t="shared" si="25"/>
        <v>45980</v>
      </c>
      <c r="AG797" s="37">
        <f t="shared" si="26"/>
        <v>47186.611570247936</v>
      </c>
      <c r="AH797" t="s">
        <v>1705</v>
      </c>
      <c r="AN797" s="43">
        <v>307.5</v>
      </c>
    </row>
    <row r="798" spans="2:40">
      <c r="B798" t="s">
        <v>1136</v>
      </c>
      <c r="C798" t="s">
        <v>121</v>
      </c>
      <c r="D798" t="s">
        <v>167</v>
      </c>
      <c r="E798" t="s">
        <v>83</v>
      </c>
      <c r="F798" s="37">
        <v>45651</v>
      </c>
      <c r="G798">
        <v>10</v>
      </c>
      <c r="H798" t="s">
        <v>174</v>
      </c>
      <c r="I798" s="37">
        <v>45728</v>
      </c>
      <c r="J798" t="s">
        <v>165</v>
      </c>
      <c r="K798" t="s">
        <v>166</v>
      </c>
      <c r="L798" t="s">
        <v>175</v>
      </c>
      <c r="M798" t="s">
        <v>1136</v>
      </c>
      <c r="O798" t="s">
        <v>1136</v>
      </c>
      <c r="Q798" t="s">
        <v>1643</v>
      </c>
      <c r="U798" t="s">
        <v>1697</v>
      </c>
      <c r="W798" t="s">
        <v>1702</v>
      </c>
      <c r="X798">
        <v>3</v>
      </c>
      <c r="AA798" s="43">
        <v>307.5</v>
      </c>
      <c r="AC798" s="43">
        <v>307.5</v>
      </c>
      <c r="AF798" s="37">
        <f t="shared" si="25"/>
        <v>45980</v>
      </c>
      <c r="AG798" s="37">
        <f t="shared" si="26"/>
        <v>47186.611570247936</v>
      </c>
      <c r="AH798" t="s">
        <v>1705</v>
      </c>
      <c r="AN798" s="43">
        <v>307.5</v>
      </c>
    </row>
    <row r="799" spans="2:40">
      <c r="B799" t="s">
        <v>1137</v>
      </c>
      <c r="C799" t="s">
        <v>121</v>
      </c>
      <c r="D799" t="s">
        <v>167</v>
      </c>
      <c r="E799" t="s">
        <v>83</v>
      </c>
      <c r="F799" s="37">
        <v>45651</v>
      </c>
      <c r="G799">
        <v>10</v>
      </c>
      <c r="H799" t="s">
        <v>174</v>
      </c>
      <c r="I799" s="37">
        <v>45728</v>
      </c>
      <c r="J799" t="s">
        <v>165</v>
      </c>
      <c r="K799" t="s">
        <v>166</v>
      </c>
      <c r="L799" t="s">
        <v>175</v>
      </c>
      <c r="M799" t="s">
        <v>1137</v>
      </c>
      <c r="O799" t="s">
        <v>1137</v>
      </c>
      <c r="Q799" t="s">
        <v>1643</v>
      </c>
      <c r="U799" t="s">
        <v>1697</v>
      </c>
      <c r="W799" t="s">
        <v>1702</v>
      </c>
      <c r="X799">
        <v>3</v>
      </c>
      <c r="AA799" s="43">
        <v>307.5</v>
      </c>
      <c r="AC799" s="43">
        <v>307.5</v>
      </c>
      <c r="AF799" s="37">
        <f t="shared" si="25"/>
        <v>45980</v>
      </c>
      <c r="AG799" s="37">
        <f t="shared" si="26"/>
        <v>47186.611570247936</v>
      </c>
      <c r="AH799" t="s">
        <v>1705</v>
      </c>
      <c r="AN799" s="43">
        <v>307.5</v>
      </c>
    </row>
    <row r="800" spans="2:40">
      <c r="B800" t="s">
        <v>1138</v>
      </c>
      <c r="C800" t="s">
        <v>121</v>
      </c>
      <c r="D800" t="s">
        <v>167</v>
      </c>
      <c r="E800" t="s">
        <v>83</v>
      </c>
      <c r="F800" s="37">
        <v>45651</v>
      </c>
      <c r="G800">
        <v>10</v>
      </c>
      <c r="H800" t="s">
        <v>174</v>
      </c>
      <c r="I800" s="37">
        <v>45728</v>
      </c>
      <c r="J800" t="s">
        <v>165</v>
      </c>
      <c r="K800" t="s">
        <v>166</v>
      </c>
      <c r="L800" t="s">
        <v>175</v>
      </c>
      <c r="M800" t="s">
        <v>1138</v>
      </c>
      <c r="O800" t="s">
        <v>1138</v>
      </c>
      <c r="Q800" t="s">
        <v>1643</v>
      </c>
      <c r="U800" t="s">
        <v>1697</v>
      </c>
      <c r="W800" t="s">
        <v>1702</v>
      </c>
      <c r="X800">
        <v>3</v>
      </c>
      <c r="AA800" s="43">
        <v>307.5</v>
      </c>
      <c r="AC800" s="43">
        <v>307.5</v>
      </c>
      <c r="AF800" s="37">
        <f t="shared" si="25"/>
        <v>45980</v>
      </c>
      <c r="AG800" s="37">
        <f t="shared" si="26"/>
        <v>47186.611570247936</v>
      </c>
      <c r="AH800" t="s">
        <v>1705</v>
      </c>
      <c r="AN800" s="43">
        <v>307.5</v>
      </c>
    </row>
    <row r="801" spans="2:40">
      <c r="B801" t="s">
        <v>1139</v>
      </c>
      <c r="C801" t="s">
        <v>121</v>
      </c>
      <c r="D801" t="s">
        <v>167</v>
      </c>
      <c r="E801" t="s">
        <v>83</v>
      </c>
      <c r="F801" s="37">
        <v>45651</v>
      </c>
      <c r="G801">
        <v>10</v>
      </c>
      <c r="H801" t="s">
        <v>174</v>
      </c>
      <c r="I801" s="37">
        <v>45728</v>
      </c>
      <c r="J801" t="s">
        <v>165</v>
      </c>
      <c r="K801" t="s">
        <v>166</v>
      </c>
      <c r="L801" t="s">
        <v>175</v>
      </c>
      <c r="M801" t="s">
        <v>1139</v>
      </c>
      <c r="O801" t="s">
        <v>1139</v>
      </c>
      <c r="Q801" t="s">
        <v>1643</v>
      </c>
      <c r="U801" t="s">
        <v>1697</v>
      </c>
      <c r="W801" t="s">
        <v>1702</v>
      </c>
      <c r="X801">
        <v>3</v>
      </c>
      <c r="AA801" s="43">
        <v>307.5</v>
      </c>
      <c r="AC801" s="43">
        <v>307.5</v>
      </c>
      <c r="AF801" s="37">
        <f t="shared" si="25"/>
        <v>45980</v>
      </c>
      <c r="AG801" s="37">
        <f t="shared" si="26"/>
        <v>47186.611570247936</v>
      </c>
      <c r="AH801" t="s">
        <v>1705</v>
      </c>
      <c r="AN801" s="43">
        <v>307.5</v>
      </c>
    </row>
    <row r="802" spans="2:40">
      <c r="B802" t="s">
        <v>1140</v>
      </c>
      <c r="C802" t="s">
        <v>121</v>
      </c>
      <c r="D802" t="s">
        <v>167</v>
      </c>
      <c r="E802" t="s">
        <v>83</v>
      </c>
      <c r="F802" s="37">
        <v>45651</v>
      </c>
      <c r="G802">
        <v>10</v>
      </c>
      <c r="H802" t="s">
        <v>174</v>
      </c>
      <c r="I802" s="37">
        <v>45728</v>
      </c>
      <c r="J802" t="s">
        <v>165</v>
      </c>
      <c r="K802" t="s">
        <v>166</v>
      </c>
      <c r="L802" t="s">
        <v>175</v>
      </c>
      <c r="M802" t="s">
        <v>1140</v>
      </c>
      <c r="O802" t="s">
        <v>1140</v>
      </c>
      <c r="Q802" t="s">
        <v>1643</v>
      </c>
      <c r="U802" t="s">
        <v>1697</v>
      </c>
      <c r="W802" t="s">
        <v>1702</v>
      </c>
      <c r="X802">
        <v>3</v>
      </c>
      <c r="AA802" s="43">
        <v>307.5</v>
      </c>
      <c r="AC802" s="43">
        <v>307.5</v>
      </c>
      <c r="AF802" s="37">
        <f t="shared" si="25"/>
        <v>45980</v>
      </c>
      <c r="AG802" s="37">
        <f t="shared" si="26"/>
        <v>47186.611570247936</v>
      </c>
      <c r="AH802" t="s">
        <v>1705</v>
      </c>
      <c r="AN802" s="43">
        <v>307.5</v>
      </c>
    </row>
    <row r="803" spans="2:40">
      <c r="B803" t="s">
        <v>1141</v>
      </c>
      <c r="C803" t="s">
        <v>121</v>
      </c>
      <c r="D803" t="s">
        <v>167</v>
      </c>
      <c r="E803" t="s">
        <v>83</v>
      </c>
      <c r="F803" s="37">
        <v>45651</v>
      </c>
      <c r="G803">
        <v>10</v>
      </c>
      <c r="H803" t="s">
        <v>174</v>
      </c>
      <c r="I803" s="37">
        <v>45728</v>
      </c>
      <c r="J803" t="s">
        <v>165</v>
      </c>
      <c r="K803" t="s">
        <v>166</v>
      </c>
      <c r="L803" t="s">
        <v>175</v>
      </c>
      <c r="M803" t="s">
        <v>1141</v>
      </c>
      <c r="O803" t="s">
        <v>1141</v>
      </c>
      <c r="Q803" t="s">
        <v>1643</v>
      </c>
      <c r="U803" t="s">
        <v>1697</v>
      </c>
      <c r="W803" t="s">
        <v>1702</v>
      </c>
      <c r="X803">
        <v>3</v>
      </c>
      <c r="AA803" s="43">
        <v>307.5</v>
      </c>
      <c r="AC803" s="43">
        <v>307.5</v>
      </c>
      <c r="AF803" s="37">
        <f t="shared" si="25"/>
        <v>45980</v>
      </c>
      <c r="AG803" s="37">
        <f t="shared" si="26"/>
        <v>47186.611570247936</v>
      </c>
      <c r="AH803" t="s">
        <v>1705</v>
      </c>
      <c r="AN803" s="43">
        <v>307.5</v>
      </c>
    </row>
    <row r="804" spans="2:40">
      <c r="B804" t="s">
        <v>1142</v>
      </c>
      <c r="C804" t="s">
        <v>121</v>
      </c>
      <c r="D804" t="s">
        <v>167</v>
      </c>
      <c r="E804" t="s">
        <v>83</v>
      </c>
      <c r="F804" s="37">
        <v>45651</v>
      </c>
      <c r="G804">
        <v>10</v>
      </c>
      <c r="H804" t="s">
        <v>174</v>
      </c>
      <c r="I804" s="37">
        <v>45728</v>
      </c>
      <c r="J804" t="s">
        <v>165</v>
      </c>
      <c r="K804" t="s">
        <v>166</v>
      </c>
      <c r="L804" t="s">
        <v>175</v>
      </c>
      <c r="M804" t="s">
        <v>1142</v>
      </c>
      <c r="O804" t="s">
        <v>1142</v>
      </c>
      <c r="Q804" t="s">
        <v>1643</v>
      </c>
      <c r="U804" t="s">
        <v>1697</v>
      </c>
      <c r="W804" t="s">
        <v>1702</v>
      </c>
      <c r="X804">
        <v>3</v>
      </c>
      <c r="AA804" s="43">
        <v>307.5</v>
      </c>
      <c r="AC804" s="43">
        <v>307.5</v>
      </c>
      <c r="AF804" s="37">
        <f t="shared" si="25"/>
        <v>45980</v>
      </c>
      <c r="AG804" s="37">
        <f t="shared" si="26"/>
        <v>47186.611570247936</v>
      </c>
      <c r="AH804" t="s">
        <v>1705</v>
      </c>
      <c r="AN804" s="43">
        <v>307.5</v>
      </c>
    </row>
    <row r="805" spans="2:40">
      <c r="B805" t="s">
        <v>1143</v>
      </c>
      <c r="C805" t="s">
        <v>121</v>
      </c>
      <c r="D805" t="s">
        <v>167</v>
      </c>
      <c r="E805" t="s">
        <v>83</v>
      </c>
      <c r="F805" s="37">
        <v>45644</v>
      </c>
      <c r="G805">
        <v>10</v>
      </c>
      <c r="H805" t="s">
        <v>174</v>
      </c>
      <c r="I805" s="37">
        <v>45721</v>
      </c>
      <c r="J805" t="s">
        <v>165</v>
      </c>
      <c r="K805" t="s">
        <v>166</v>
      </c>
      <c r="L805" t="s">
        <v>175</v>
      </c>
      <c r="M805" t="s">
        <v>1143</v>
      </c>
      <c r="O805" t="s">
        <v>1143</v>
      </c>
      <c r="Q805" t="s">
        <v>1643</v>
      </c>
      <c r="U805" t="s">
        <v>1697</v>
      </c>
      <c r="W805" t="s">
        <v>1702</v>
      </c>
      <c r="X805">
        <v>3</v>
      </c>
      <c r="AA805" s="43">
        <v>307.5</v>
      </c>
      <c r="AC805" s="43">
        <v>307.5</v>
      </c>
      <c r="AF805" s="37">
        <f t="shared" si="25"/>
        <v>45973</v>
      </c>
      <c r="AG805" s="37">
        <f t="shared" si="26"/>
        <v>47179.611570247936</v>
      </c>
      <c r="AH805" t="s">
        <v>1705</v>
      </c>
      <c r="AN805" s="43">
        <v>307.5</v>
      </c>
    </row>
    <row r="806" spans="2:40">
      <c r="B806" t="s">
        <v>1144</v>
      </c>
      <c r="C806" t="s">
        <v>121</v>
      </c>
      <c r="D806" t="s">
        <v>167</v>
      </c>
      <c r="E806" t="s">
        <v>83</v>
      </c>
      <c r="F806" s="37">
        <v>45644</v>
      </c>
      <c r="G806">
        <v>10</v>
      </c>
      <c r="H806" t="s">
        <v>174</v>
      </c>
      <c r="I806" s="37">
        <v>45721</v>
      </c>
      <c r="J806" t="s">
        <v>165</v>
      </c>
      <c r="K806" t="s">
        <v>166</v>
      </c>
      <c r="L806" t="s">
        <v>175</v>
      </c>
      <c r="M806" t="s">
        <v>1144</v>
      </c>
      <c r="O806" t="s">
        <v>1144</v>
      </c>
      <c r="Q806" t="s">
        <v>1643</v>
      </c>
      <c r="U806" t="s">
        <v>1697</v>
      </c>
      <c r="W806" t="s">
        <v>1702</v>
      </c>
      <c r="X806">
        <v>3</v>
      </c>
      <c r="AA806" s="43">
        <v>307.5</v>
      </c>
      <c r="AC806" s="43">
        <v>307.5</v>
      </c>
      <c r="AF806" s="37">
        <f t="shared" si="25"/>
        <v>45973</v>
      </c>
      <c r="AG806" s="37">
        <f t="shared" si="26"/>
        <v>47179.611570247936</v>
      </c>
      <c r="AH806" t="s">
        <v>1705</v>
      </c>
      <c r="AN806" s="43">
        <v>307.5</v>
      </c>
    </row>
    <row r="807" spans="2:40">
      <c r="B807" t="s">
        <v>1145</v>
      </c>
      <c r="C807" t="s">
        <v>121</v>
      </c>
      <c r="D807" t="s">
        <v>167</v>
      </c>
      <c r="E807" t="s">
        <v>83</v>
      </c>
      <c r="F807" s="37">
        <v>45644</v>
      </c>
      <c r="G807">
        <v>10</v>
      </c>
      <c r="H807" t="s">
        <v>174</v>
      </c>
      <c r="I807" s="37">
        <v>45721</v>
      </c>
      <c r="J807" t="s">
        <v>165</v>
      </c>
      <c r="K807" t="s">
        <v>166</v>
      </c>
      <c r="L807" t="s">
        <v>175</v>
      </c>
      <c r="M807" t="s">
        <v>1145</v>
      </c>
      <c r="O807" t="s">
        <v>1145</v>
      </c>
      <c r="Q807" t="s">
        <v>1643</v>
      </c>
      <c r="U807" t="s">
        <v>1697</v>
      </c>
      <c r="W807" t="s">
        <v>1702</v>
      </c>
      <c r="X807">
        <v>3</v>
      </c>
      <c r="AA807" s="43">
        <v>307.5</v>
      </c>
      <c r="AC807" s="43">
        <v>307.5</v>
      </c>
      <c r="AF807" s="37">
        <f t="shared" si="25"/>
        <v>45973</v>
      </c>
      <c r="AG807" s="37">
        <f t="shared" si="26"/>
        <v>47179.611570247936</v>
      </c>
      <c r="AH807" t="s">
        <v>1705</v>
      </c>
      <c r="AN807" s="43">
        <v>307.5</v>
      </c>
    </row>
    <row r="808" spans="2:40">
      <c r="B808" t="s">
        <v>1146</v>
      </c>
      <c r="C808" t="s">
        <v>121</v>
      </c>
      <c r="D808" t="s">
        <v>167</v>
      </c>
      <c r="E808" t="s">
        <v>83</v>
      </c>
      <c r="F808" s="37">
        <v>45644</v>
      </c>
      <c r="G808">
        <v>10</v>
      </c>
      <c r="H808" t="s">
        <v>174</v>
      </c>
      <c r="I808" s="37">
        <v>45721</v>
      </c>
      <c r="J808" t="s">
        <v>165</v>
      </c>
      <c r="K808" t="s">
        <v>166</v>
      </c>
      <c r="L808" t="s">
        <v>175</v>
      </c>
      <c r="M808" t="s">
        <v>1146</v>
      </c>
      <c r="O808" t="s">
        <v>1146</v>
      </c>
      <c r="Q808" t="s">
        <v>1643</v>
      </c>
      <c r="U808" t="s">
        <v>1697</v>
      </c>
      <c r="W808" t="s">
        <v>1702</v>
      </c>
      <c r="X808">
        <v>3</v>
      </c>
      <c r="AA808" s="43">
        <v>307.5</v>
      </c>
      <c r="AC808" s="43">
        <v>307.5</v>
      </c>
      <c r="AF808" s="37">
        <f t="shared" si="25"/>
        <v>45973</v>
      </c>
      <c r="AG808" s="37">
        <f t="shared" si="26"/>
        <v>47179.611570247936</v>
      </c>
      <c r="AH808" t="s">
        <v>1705</v>
      </c>
      <c r="AN808" s="43">
        <v>307.5</v>
      </c>
    </row>
    <row r="809" spans="2:40">
      <c r="B809" t="s">
        <v>1147</v>
      </c>
      <c r="C809" t="s">
        <v>121</v>
      </c>
      <c r="D809" t="s">
        <v>167</v>
      </c>
      <c r="E809" t="s">
        <v>83</v>
      </c>
      <c r="F809" s="37">
        <v>45644</v>
      </c>
      <c r="G809">
        <v>10</v>
      </c>
      <c r="H809" t="s">
        <v>174</v>
      </c>
      <c r="I809" s="37">
        <v>45721</v>
      </c>
      <c r="J809" t="s">
        <v>165</v>
      </c>
      <c r="K809" t="s">
        <v>166</v>
      </c>
      <c r="L809" t="s">
        <v>175</v>
      </c>
      <c r="M809" t="s">
        <v>1147</v>
      </c>
      <c r="O809" t="s">
        <v>1147</v>
      </c>
      <c r="Q809" t="s">
        <v>1643</v>
      </c>
      <c r="U809" t="s">
        <v>1697</v>
      </c>
      <c r="W809" t="s">
        <v>1702</v>
      </c>
      <c r="X809">
        <v>3</v>
      </c>
      <c r="AA809" s="43">
        <v>307.5</v>
      </c>
      <c r="AC809" s="43">
        <v>307.5</v>
      </c>
      <c r="AF809" s="37">
        <f t="shared" si="25"/>
        <v>45973</v>
      </c>
      <c r="AG809" s="37">
        <f t="shared" si="26"/>
        <v>47179.611570247936</v>
      </c>
      <c r="AH809" t="s">
        <v>1705</v>
      </c>
      <c r="AN809" s="43">
        <v>307.5</v>
      </c>
    </row>
    <row r="810" spans="2:40">
      <c r="B810" t="s">
        <v>1148</v>
      </c>
      <c r="C810" t="s">
        <v>121</v>
      </c>
      <c r="D810" t="s">
        <v>167</v>
      </c>
      <c r="E810" t="s">
        <v>83</v>
      </c>
      <c r="F810" s="37">
        <v>45644</v>
      </c>
      <c r="G810">
        <v>10</v>
      </c>
      <c r="H810" t="s">
        <v>174</v>
      </c>
      <c r="I810" s="37">
        <v>45721</v>
      </c>
      <c r="J810" t="s">
        <v>165</v>
      </c>
      <c r="K810" t="s">
        <v>166</v>
      </c>
      <c r="L810" t="s">
        <v>175</v>
      </c>
      <c r="M810" t="s">
        <v>1148</v>
      </c>
      <c r="O810" t="s">
        <v>1148</v>
      </c>
      <c r="Q810" t="s">
        <v>1643</v>
      </c>
      <c r="U810" t="s">
        <v>1697</v>
      </c>
      <c r="W810" t="s">
        <v>1702</v>
      </c>
      <c r="X810">
        <v>3</v>
      </c>
      <c r="AA810" s="43">
        <v>307.5</v>
      </c>
      <c r="AC810" s="43">
        <v>307.5</v>
      </c>
      <c r="AF810" s="37">
        <f t="shared" si="25"/>
        <v>45973</v>
      </c>
      <c r="AG810" s="37">
        <f t="shared" si="26"/>
        <v>47179.611570247936</v>
      </c>
      <c r="AH810" t="s">
        <v>1705</v>
      </c>
      <c r="AN810" s="43">
        <v>307.5</v>
      </c>
    </row>
    <row r="811" spans="2:40">
      <c r="B811" t="s">
        <v>1149</v>
      </c>
      <c r="C811" t="s">
        <v>121</v>
      </c>
      <c r="D811" t="s">
        <v>167</v>
      </c>
      <c r="E811" t="s">
        <v>83</v>
      </c>
      <c r="F811" s="37">
        <v>45644</v>
      </c>
      <c r="G811">
        <v>10</v>
      </c>
      <c r="H811" t="s">
        <v>174</v>
      </c>
      <c r="I811" s="37">
        <v>45721</v>
      </c>
      <c r="J811" t="s">
        <v>165</v>
      </c>
      <c r="K811" t="s">
        <v>166</v>
      </c>
      <c r="L811" t="s">
        <v>175</v>
      </c>
      <c r="M811" t="s">
        <v>1149</v>
      </c>
      <c r="O811" t="s">
        <v>1149</v>
      </c>
      <c r="Q811" t="s">
        <v>1643</v>
      </c>
      <c r="U811" t="s">
        <v>1697</v>
      </c>
      <c r="W811" t="s">
        <v>1702</v>
      </c>
      <c r="X811">
        <v>3</v>
      </c>
      <c r="AA811" s="43">
        <v>307.5</v>
      </c>
      <c r="AC811" s="43">
        <v>307.5</v>
      </c>
      <c r="AF811" s="37">
        <f t="shared" si="25"/>
        <v>45973</v>
      </c>
      <c r="AG811" s="37">
        <f t="shared" si="26"/>
        <v>47179.611570247936</v>
      </c>
      <c r="AH811" t="s">
        <v>1705</v>
      </c>
      <c r="AN811" s="43">
        <v>307.5</v>
      </c>
    </row>
    <row r="812" spans="2:40">
      <c r="B812" t="s">
        <v>1150</v>
      </c>
      <c r="C812" t="s">
        <v>121</v>
      </c>
      <c r="D812" t="s">
        <v>167</v>
      </c>
      <c r="E812" t="s">
        <v>83</v>
      </c>
      <c r="F812" s="37">
        <v>45644</v>
      </c>
      <c r="G812">
        <v>10</v>
      </c>
      <c r="H812" t="s">
        <v>174</v>
      </c>
      <c r="I812" s="37">
        <v>45721</v>
      </c>
      <c r="J812" t="s">
        <v>165</v>
      </c>
      <c r="K812" t="s">
        <v>166</v>
      </c>
      <c r="L812" t="s">
        <v>175</v>
      </c>
      <c r="M812" t="s">
        <v>1150</v>
      </c>
      <c r="O812" t="s">
        <v>1150</v>
      </c>
      <c r="Q812" t="s">
        <v>1643</v>
      </c>
      <c r="U812" t="s">
        <v>1697</v>
      </c>
      <c r="W812" t="s">
        <v>1702</v>
      </c>
      <c r="X812">
        <v>3</v>
      </c>
      <c r="AA812" s="43">
        <v>307.5</v>
      </c>
      <c r="AC812" s="43">
        <v>307.5</v>
      </c>
      <c r="AF812" s="37">
        <f t="shared" si="25"/>
        <v>45973</v>
      </c>
      <c r="AG812" s="37">
        <f t="shared" si="26"/>
        <v>47179.611570247936</v>
      </c>
      <c r="AH812" t="s">
        <v>1705</v>
      </c>
      <c r="AN812" s="43">
        <v>307.5</v>
      </c>
    </row>
    <row r="813" spans="2:40">
      <c r="B813" t="s">
        <v>1151</v>
      </c>
      <c r="C813" t="s">
        <v>121</v>
      </c>
      <c r="D813" t="s">
        <v>167</v>
      </c>
      <c r="E813" t="s">
        <v>83</v>
      </c>
      <c r="F813" s="37">
        <v>45644</v>
      </c>
      <c r="G813">
        <v>10</v>
      </c>
      <c r="H813" t="s">
        <v>174</v>
      </c>
      <c r="I813" s="37">
        <v>45721</v>
      </c>
      <c r="J813" t="s">
        <v>165</v>
      </c>
      <c r="K813" t="s">
        <v>166</v>
      </c>
      <c r="L813" t="s">
        <v>175</v>
      </c>
      <c r="M813" t="s">
        <v>1151</v>
      </c>
      <c r="O813" t="s">
        <v>1151</v>
      </c>
      <c r="Q813" t="s">
        <v>1643</v>
      </c>
      <c r="U813" t="s">
        <v>1697</v>
      </c>
      <c r="W813" t="s">
        <v>1702</v>
      </c>
      <c r="X813">
        <v>3</v>
      </c>
      <c r="AA813" s="43">
        <v>307.5</v>
      </c>
      <c r="AC813" s="43">
        <v>307.5</v>
      </c>
      <c r="AF813" s="37">
        <f t="shared" si="25"/>
        <v>45973</v>
      </c>
      <c r="AG813" s="37">
        <f t="shared" si="26"/>
        <v>47179.611570247936</v>
      </c>
      <c r="AH813" t="s">
        <v>1705</v>
      </c>
      <c r="AN813" s="43">
        <v>307.5</v>
      </c>
    </row>
    <row r="814" spans="2:40">
      <c r="B814" t="s">
        <v>1152</v>
      </c>
      <c r="C814" t="s">
        <v>121</v>
      </c>
      <c r="D814" t="s">
        <v>167</v>
      </c>
      <c r="E814" t="s">
        <v>83</v>
      </c>
      <c r="F814" s="37">
        <v>45644</v>
      </c>
      <c r="G814">
        <v>10</v>
      </c>
      <c r="H814" t="s">
        <v>174</v>
      </c>
      <c r="I814" s="37">
        <v>45721</v>
      </c>
      <c r="J814" t="s">
        <v>165</v>
      </c>
      <c r="K814" t="s">
        <v>166</v>
      </c>
      <c r="L814" t="s">
        <v>175</v>
      </c>
      <c r="M814" t="s">
        <v>1152</v>
      </c>
      <c r="O814" t="s">
        <v>1152</v>
      </c>
      <c r="Q814" t="s">
        <v>1643</v>
      </c>
      <c r="U814" t="s">
        <v>1697</v>
      </c>
      <c r="W814" t="s">
        <v>1702</v>
      </c>
      <c r="X814">
        <v>3</v>
      </c>
      <c r="AA814" s="43">
        <v>307.5</v>
      </c>
      <c r="AC814" s="43">
        <v>307.5</v>
      </c>
      <c r="AF814" s="37">
        <f t="shared" si="25"/>
        <v>45973</v>
      </c>
      <c r="AG814" s="37">
        <f t="shared" si="26"/>
        <v>47179.611570247936</v>
      </c>
      <c r="AH814" t="s">
        <v>1705</v>
      </c>
      <c r="AN814" s="43">
        <v>307.5</v>
      </c>
    </row>
    <row r="815" spans="2:40">
      <c r="B815" t="s">
        <v>1153</v>
      </c>
      <c r="C815" t="s">
        <v>121</v>
      </c>
      <c r="D815" t="s">
        <v>167</v>
      </c>
      <c r="E815" t="s">
        <v>83</v>
      </c>
      <c r="F815" s="37">
        <v>45637</v>
      </c>
      <c r="G815">
        <v>10</v>
      </c>
      <c r="H815" t="s">
        <v>174</v>
      </c>
      <c r="I815" s="37">
        <v>45714</v>
      </c>
      <c r="J815" t="s">
        <v>165</v>
      </c>
      <c r="K815" t="s">
        <v>166</v>
      </c>
      <c r="L815" t="s">
        <v>175</v>
      </c>
      <c r="M815" t="s">
        <v>1153</v>
      </c>
      <c r="O815" t="s">
        <v>1153</v>
      </c>
      <c r="Q815" t="s">
        <v>1643</v>
      </c>
      <c r="U815" t="s">
        <v>1697</v>
      </c>
      <c r="W815" t="s">
        <v>1702</v>
      </c>
      <c r="X815">
        <v>3</v>
      </c>
      <c r="AA815" s="43">
        <v>307.5</v>
      </c>
      <c r="AC815" s="43">
        <v>307.5</v>
      </c>
      <c r="AF815" s="37">
        <f t="shared" si="25"/>
        <v>45966</v>
      </c>
      <c r="AG815" s="37">
        <f t="shared" si="26"/>
        <v>47172.611570247936</v>
      </c>
      <c r="AH815" t="s">
        <v>1705</v>
      </c>
      <c r="AN815" s="43">
        <v>307.5</v>
      </c>
    </row>
    <row r="816" spans="2:40">
      <c r="B816" t="s">
        <v>1154</v>
      </c>
      <c r="C816" t="s">
        <v>121</v>
      </c>
      <c r="D816" t="s">
        <v>167</v>
      </c>
      <c r="E816" t="s">
        <v>83</v>
      </c>
      <c r="F816" s="37">
        <v>45637</v>
      </c>
      <c r="G816">
        <v>10</v>
      </c>
      <c r="H816" t="s">
        <v>174</v>
      </c>
      <c r="I816" s="37">
        <v>45714</v>
      </c>
      <c r="J816" t="s">
        <v>165</v>
      </c>
      <c r="K816" t="s">
        <v>166</v>
      </c>
      <c r="L816" t="s">
        <v>175</v>
      </c>
      <c r="M816" t="s">
        <v>1154</v>
      </c>
      <c r="O816" t="s">
        <v>1154</v>
      </c>
      <c r="Q816" t="s">
        <v>1643</v>
      </c>
      <c r="U816" t="s">
        <v>1697</v>
      </c>
      <c r="W816" t="s">
        <v>1702</v>
      </c>
      <c r="X816">
        <v>3</v>
      </c>
      <c r="AA816" s="43">
        <v>307.5</v>
      </c>
      <c r="AC816" s="43">
        <v>307.5</v>
      </c>
      <c r="AF816" s="37">
        <f t="shared" si="25"/>
        <v>45966</v>
      </c>
      <c r="AG816" s="37">
        <f t="shared" si="26"/>
        <v>47172.611570247936</v>
      </c>
      <c r="AH816" t="s">
        <v>1705</v>
      </c>
      <c r="AN816" s="43">
        <v>307.5</v>
      </c>
    </row>
    <row r="817" spans="2:40">
      <c r="B817" t="s">
        <v>1155</v>
      </c>
      <c r="C817" t="s">
        <v>121</v>
      </c>
      <c r="D817" t="s">
        <v>167</v>
      </c>
      <c r="E817" t="s">
        <v>83</v>
      </c>
      <c r="F817" s="37">
        <v>45637</v>
      </c>
      <c r="G817">
        <v>10</v>
      </c>
      <c r="H817" t="s">
        <v>174</v>
      </c>
      <c r="I817" s="37">
        <v>45714</v>
      </c>
      <c r="J817" t="s">
        <v>165</v>
      </c>
      <c r="K817" t="s">
        <v>166</v>
      </c>
      <c r="L817" t="s">
        <v>175</v>
      </c>
      <c r="M817" t="s">
        <v>1155</v>
      </c>
      <c r="O817" t="s">
        <v>1155</v>
      </c>
      <c r="Q817" t="s">
        <v>1643</v>
      </c>
      <c r="U817" t="s">
        <v>1697</v>
      </c>
      <c r="W817" t="s">
        <v>1702</v>
      </c>
      <c r="X817">
        <v>3</v>
      </c>
      <c r="AA817" s="43">
        <v>307.5</v>
      </c>
      <c r="AC817" s="43">
        <v>307.5</v>
      </c>
      <c r="AF817" s="37">
        <f t="shared" si="25"/>
        <v>45966</v>
      </c>
      <c r="AG817" s="37">
        <f t="shared" si="26"/>
        <v>47172.611570247936</v>
      </c>
      <c r="AH817" t="s">
        <v>1705</v>
      </c>
      <c r="AN817" s="43">
        <v>307.5</v>
      </c>
    </row>
    <row r="818" spans="2:40">
      <c r="B818" t="s">
        <v>1156</v>
      </c>
      <c r="C818" t="s">
        <v>121</v>
      </c>
      <c r="D818" t="s">
        <v>167</v>
      </c>
      <c r="E818" t="s">
        <v>83</v>
      </c>
      <c r="F818" s="37">
        <v>45637</v>
      </c>
      <c r="G818">
        <v>10</v>
      </c>
      <c r="H818" t="s">
        <v>174</v>
      </c>
      <c r="I818" s="37">
        <v>45714</v>
      </c>
      <c r="J818" t="s">
        <v>165</v>
      </c>
      <c r="K818" t="s">
        <v>166</v>
      </c>
      <c r="L818" t="s">
        <v>175</v>
      </c>
      <c r="M818" t="s">
        <v>1156</v>
      </c>
      <c r="O818" t="s">
        <v>1156</v>
      </c>
      <c r="Q818" t="s">
        <v>1643</v>
      </c>
      <c r="U818" t="s">
        <v>1697</v>
      </c>
      <c r="W818" t="s">
        <v>1702</v>
      </c>
      <c r="X818">
        <v>3</v>
      </c>
      <c r="AA818" s="43">
        <v>307.5</v>
      </c>
      <c r="AC818" s="43">
        <v>307.5</v>
      </c>
      <c r="AF818" s="37">
        <f t="shared" si="25"/>
        <v>45966</v>
      </c>
      <c r="AG818" s="37">
        <f t="shared" si="26"/>
        <v>47172.611570247936</v>
      </c>
      <c r="AH818" t="s">
        <v>1705</v>
      </c>
      <c r="AN818" s="43">
        <v>307.5</v>
      </c>
    </row>
    <row r="819" spans="2:40">
      <c r="B819" t="s">
        <v>1157</v>
      </c>
      <c r="C819" t="s">
        <v>121</v>
      </c>
      <c r="D819" t="s">
        <v>167</v>
      </c>
      <c r="E819" t="s">
        <v>83</v>
      </c>
      <c r="F819" s="37">
        <v>45637</v>
      </c>
      <c r="G819">
        <v>10</v>
      </c>
      <c r="H819" t="s">
        <v>174</v>
      </c>
      <c r="I819" s="37">
        <v>45714</v>
      </c>
      <c r="J819" t="s">
        <v>165</v>
      </c>
      <c r="K819" t="s">
        <v>166</v>
      </c>
      <c r="L819" t="s">
        <v>175</v>
      </c>
      <c r="M819" t="s">
        <v>1157</v>
      </c>
      <c r="O819" t="s">
        <v>1157</v>
      </c>
      <c r="Q819" t="s">
        <v>1643</v>
      </c>
      <c r="U819" t="s">
        <v>1697</v>
      </c>
      <c r="W819" t="s">
        <v>1702</v>
      </c>
      <c r="X819">
        <v>3</v>
      </c>
      <c r="AA819" s="43">
        <v>307.5</v>
      </c>
      <c r="AC819" s="43">
        <v>307.5</v>
      </c>
      <c r="AF819" s="37">
        <f t="shared" si="25"/>
        <v>45966</v>
      </c>
      <c r="AG819" s="37">
        <f t="shared" si="26"/>
        <v>47172.611570247936</v>
      </c>
      <c r="AH819" t="s">
        <v>1705</v>
      </c>
      <c r="AN819" s="43">
        <v>307.5</v>
      </c>
    </row>
    <row r="820" spans="2:40">
      <c r="B820" t="s">
        <v>1158</v>
      </c>
      <c r="C820" t="s">
        <v>121</v>
      </c>
      <c r="D820" t="s">
        <v>167</v>
      </c>
      <c r="E820" t="s">
        <v>83</v>
      </c>
      <c r="F820" s="37">
        <v>45630</v>
      </c>
      <c r="G820">
        <v>10</v>
      </c>
      <c r="H820" t="s">
        <v>174</v>
      </c>
      <c r="I820" s="37">
        <v>45707</v>
      </c>
      <c r="J820" t="s">
        <v>165</v>
      </c>
      <c r="K820" t="s">
        <v>166</v>
      </c>
      <c r="L820" t="s">
        <v>175</v>
      </c>
      <c r="M820" t="s">
        <v>1158</v>
      </c>
      <c r="O820" t="s">
        <v>1158</v>
      </c>
      <c r="Q820" t="s">
        <v>1643</v>
      </c>
      <c r="U820" t="s">
        <v>1697</v>
      </c>
      <c r="W820" t="s">
        <v>1702</v>
      </c>
      <c r="X820">
        <v>3</v>
      </c>
      <c r="AA820" s="43">
        <v>307.5</v>
      </c>
      <c r="AC820" s="43">
        <v>307.5</v>
      </c>
      <c r="AF820" s="37">
        <f t="shared" si="25"/>
        <v>45959</v>
      </c>
      <c r="AG820" s="37">
        <f t="shared" si="26"/>
        <v>47165.611570247936</v>
      </c>
      <c r="AH820" t="s">
        <v>1705</v>
      </c>
      <c r="AN820" s="43">
        <v>307.5</v>
      </c>
    </row>
    <row r="821" spans="2:40">
      <c r="B821" t="s">
        <v>1159</v>
      </c>
      <c r="C821" t="s">
        <v>121</v>
      </c>
      <c r="D821" t="s">
        <v>167</v>
      </c>
      <c r="E821" t="s">
        <v>83</v>
      </c>
      <c r="F821" s="37">
        <v>45630</v>
      </c>
      <c r="G821">
        <v>10</v>
      </c>
      <c r="H821" t="s">
        <v>174</v>
      </c>
      <c r="I821" s="37">
        <v>45707</v>
      </c>
      <c r="J821" t="s">
        <v>165</v>
      </c>
      <c r="K821" t="s">
        <v>166</v>
      </c>
      <c r="L821" t="s">
        <v>175</v>
      </c>
      <c r="M821" t="s">
        <v>1159</v>
      </c>
      <c r="O821" t="s">
        <v>1159</v>
      </c>
      <c r="Q821" t="s">
        <v>1643</v>
      </c>
      <c r="U821" t="s">
        <v>1697</v>
      </c>
      <c r="W821" t="s">
        <v>1702</v>
      </c>
      <c r="X821">
        <v>3</v>
      </c>
      <c r="AA821" s="43">
        <v>307.5</v>
      </c>
      <c r="AC821" s="43">
        <v>307.5</v>
      </c>
      <c r="AF821" s="37">
        <f t="shared" si="25"/>
        <v>45959</v>
      </c>
      <c r="AG821" s="37">
        <f t="shared" si="26"/>
        <v>47165.611570247936</v>
      </c>
      <c r="AH821" t="s">
        <v>1705</v>
      </c>
      <c r="AN821" s="43">
        <v>307.5</v>
      </c>
    </row>
    <row r="822" spans="2:40">
      <c r="B822" t="s">
        <v>1160</v>
      </c>
      <c r="C822" t="s">
        <v>121</v>
      </c>
      <c r="D822" t="s">
        <v>167</v>
      </c>
      <c r="E822" t="s">
        <v>83</v>
      </c>
      <c r="F822" s="37">
        <v>45630</v>
      </c>
      <c r="G822">
        <v>10</v>
      </c>
      <c r="H822" t="s">
        <v>174</v>
      </c>
      <c r="I822" s="37">
        <v>45707</v>
      </c>
      <c r="J822" t="s">
        <v>165</v>
      </c>
      <c r="K822" t="s">
        <v>166</v>
      </c>
      <c r="L822" t="s">
        <v>175</v>
      </c>
      <c r="M822" t="s">
        <v>1160</v>
      </c>
      <c r="O822" t="s">
        <v>1160</v>
      </c>
      <c r="Q822" t="s">
        <v>1643</v>
      </c>
      <c r="U822" t="s">
        <v>1697</v>
      </c>
      <c r="W822" t="s">
        <v>1702</v>
      </c>
      <c r="X822">
        <v>2</v>
      </c>
      <c r="AA822" s="43">
        <v>307.5</v>
      </c>
      <c r="AC822" s="43">
        <v>307.5</v>
      </c>
      <c r="AF822" s="37">
        <f t="shared" si="25"/>
        <v>45959</v>
      </c>
      <c r="AG822" s="37">
        <f t="shared" si="26"/>
        <v>47165.611570247936</v>
      </c>
      <c r="AH822" t="s">
        <v>1705</v>
      </c>
      <c r="AN822" s="43">
        <v>307.5</v>
      </c>
    </row>
    <row r="823" spans="2:40">
      <c r="B823" t="s">
        <v>1161</v>
      </c>
      <c r="C823" t="s">
        <v>121</v>
      </c>
      <c r="D823" t="s">
        <v>167</v>
      </c>
      <c r="E823" t="s">
        <v>83</v>
      </c>
      <c r="F823" s="37">
        <v>45630</v>
      </c>
      <c r="G823">
        <v>10</v>
      </c>
      <c r="H823" t="s">
        <v>174</v>
      </c>
      <c r="I823" s="37">
        <v>45707</v>
      </c>
      <c r="J823" t="s">
        <v>165</v>
      </c>
      <c r="K823" t="s">
        <v>166</v>
      </c>
      <c r="L823" t="s">
        <v>175</v>
      </c>
      <c r="M823" t="s">
        <v>1161</v>
      </c>
      <c r="O823" t="s">
        <v>1161</v>
      </c>
      <c r="Q823" t="s">
        <v>1643</v>
      </c>
      <c r="U823" t="s">
        <v>1697</v>
      </c>
      <c r="W823" t="s">
        <v>1702</v>
      </c>
      <c r="X823">
        <v>3</v>
      </c>
      <c r="AA823" s="43">
        <v>307.5</v>
      </c>
      <c r="AC823" s="43">
        <v>307.5</v>
      </c>
      <c r="AF823" s="37">
        <f t="shared" si="25"/>
        <v>45959</v>
      </c>
      <c r="AG823" s="37">
        <f t="shared" si="26"/>
        <v>47165.611570247936</v>
      </c>
      <c r="AH823" t="s">
        <v>1705</v>
      </c>
      <c r="AN823" s="43">
        <v>307.5</v>
      </c>
    </row>
    <row r="824" spans="2:40">
      <c r="B824" t="s">
        <v>1162</v>
      </c>
      <c r="C824" t="s">
        <v>121</v>
      </c>
      <c r="D824" t="s">
        <v>167</v>
      </c>
      <c r="E824" t="s">
        <v>83</v>
      </c>
      <c r="F824" s="37">
        <v>45630</v>
      </c>
      <c r="G824">
        <v>10</v>
      </c>
      <c r="H824" t="s">
        <v>174</v>
      </c>
      <c r="I824" s="37">
        <v>45707</v>
      </c>
      <c r="J824" t="s">
        <v>165</v>
      </c>
      <c r="K824" t="s">
        <v>166</v>
      </c>
      <c r="L824" t="s">
        <v>175</v>
      </c>
      <c r="M824" t="s">
        <v>1162</v>
      </c>
      <c r="O824" t="s">
        <v>1162</v>
      </c>
      <c r="Q824" t="s">
        <v>1643</v>
      </c>
      <c r="U824" t="s">
        <v>1697</v>
      </c>
      <c r="W824" t="s">
        <v>1702</v>
      </c>
      <c r="X824">
        <v>3</v>
      </c>
      <c r="AA824" s="43">
        <v>307.5</v>
      </c>
      <c r="AC824" s="43">
        <v>307.5</v>
      </c>
      <c r="AF824" s="37">
        <f t="shared" si="25"/>
        <v>45959</v>
      </c>
      <c r="AG824" s="37">
        <f t="shared" si="26"/>
        <v>47165.611570247936</v>
      </c>
      <c r="AH824" t="s">
        <v>1705</v>
      </c>
      <c r="AN824" s="43">
        <v>307.5</v>
      </c>
    </row>
    <row r="825" spans="2:40">
      <c r="B825" t="s">
        <v>1163</v>
      </c>
      <c r="C825" t="s">
        <v>121</v>
      </c>
      <c r="D825" t="s">
        <v>167</v>
      </c>
      <c r="E825" t="s">
        <v>83</v>
      </c>
      <c r="F825" s="37">
        <v>45623</v>
      </c>
      <c r="G825">
        <v>10</v>
      </c>
      <c r="H825" t="s">
        <v>174</v>
      </c>
      <c r="I825" s="37">
        <v>45700</v>
      </c>
      <c r="J825" t="s">
        <v>165</v>
      </c>
      <c r="K825" t="s">
        <v>166</v>
      </c>
      <c r="L825" t="s">
        <v>175</v>
      </c>
      <c r="M825" t="s">
        <v>1163</v>
      </c>
      <c r="O825" t="s">
        <v>1163</v>
      </c>
      <c r="Q825" t="s">
        <v>1643</v>
      </c>
      <c r="U825" t="s">
        <v>1697</v>
      </c>
      <c r="W825" t="s">
        <v>1702</v>
      </c>
      <c r="X825">
        <v>3</v>
      </c>
      <c r="AA825" s="43">
        <v>307.5</v>
      </c>
      <c r="AC825" s="43">
        <v>307.5</v>
      </c>
      <c r="AF825" s="37">
        <f t="shared" si="25"/>
        <v>45952</v>
      </c>
      <c r="AG825" s="37">
        <f t="shared" si="26"/>
        <v>47158.611570247936</v>
      </c>
      <c r="AH825" t="s">
        <v>1705</v>
      </c>
      <c r="AN825" s="43">
        <v>307.5</v>
      </c>
    </row>
    <row r="826" spans="2:40">
      <c r="B826" t="s">
        <v>1164</v>
      </c>
      <c r="C826" t="s">
        <v>121</v>
      </c>
      <c r="D826" t="s">
        <v>167</v>
      </c>
      <c r="E826" t="s">
        <v>83</v>
      </c>
      <c r="F826" s="37">
        <v>45623</v>
      </c>
      <c r="G826">
        <v>10</v>
      </c>
      <c r="H826" t="s">
        <v>174</v>
      </c>
      <c r="I826" s="37">
        <v>45700</v>
      </c>
      <c r="J826" t="s">
        <v>165</v>
      </c>
      <c r="K826" t="s">
        <v>166</v>
      </c>
      <c r="L826" t="s">
        <v>175</v>
      </c>
      <c r="M826" t="s">
        <v>1164</v>
      </c>
      <c r="O826" t="s">
        <v>1164</v>
      </c>
      <c r="Q826" t="s">
        <v>1643</v>
      </c>
      <c r="U826" t="s">
        <v>1697</v>
      </c>
      <c r="W826" t="s">
        <v>1702</v>
      </c>
      <c r="X826">
        <v>3</v>
      </c>
      <c r="AA826" s="43">
        <v>307.5</v>
      </c>
      <c r="AC826" s="43">
        <v>307.5</v>
      </c>
      <c r="AF826" s="37">
        <f t="shared" si="25"/>
        <v>45952</v>
      </c>
      <c r="AG826" s="37">
        <f t="shared" si="26"/>
        <v>47158.611570247936</v>
      </c>
      <c r="AH826" t="s">
        <v>1705</v>
      </c>
      <c r="AN826" s="43">
        <v>307.5</v>
      </c>
    </row>
    <row r="827" spans="2:40">
      <c r="B827" t="s">
        <v>1165</v>
      </c>
      <c r="C827" t="s">
        <v>121</v>
      </c>
      <c r="D827" t="s">
        <v>167</v>
      </c>
      <c r="E827" t="s">
        <v>83</v>
      </c>
      <c r="F827" s="37">
        <v>45623</v>
      </c>
      <c r="G827">
        <v>10</v>
      </c>
      <c r="H827" t="s">
        <v>174</v>
      </c>
      <c r="I827" s="37">
        <v>45700</v>
      </c>
      <c r="J827" t="s">
        <v>165</v>
      </c>
      <c r="K827" t="s">
        <v>166</v>
      </c>
      <c r="L827" t="s">
        <v>175</v>
      </c>
      <c r="M827" t="s">
        <v>1165</v>
      </c>
      <c r="O827" t="s">
        <v>1165</v>
      </c>
      <c r="Q827" t="s">
        <v>1643</v>
      </c>
      <c r="U827" t="s">
        <v>1697</v>
      </c>
      <c r="W827" t="s">
        <v>1702</v>
      </c>
      <c r="X827">
        <v>3</v>
      </c>
      <c r="AA827" s="43">
        <v>307.5</v>
      </c>
      <c r="AC827" s="43">
        <v>307.5</v>
      </c>
      <c r="AF827" s="37">
        <f t="shared" si="25"/>
        <v>45952</v>
      </c>
      <c r="AG827" s="37">
        <f t="shared" si="26"/>
        <v>47158.611570247936</v>
      </c>
      <c r="AH827" t="s">
        <v>1705</v>
      </c>
      <c r="AN827" s="43">
        <v>307.5</v>
      </c>
    </row>
    <row r="828" spans="2:40">
      <c r="B828" t="s">
        <v>1166</v>
      </c>
      <c r="C828" t="s">
        <v>121</v>
      </c>
      <c r="D828" t="s">
        <v>167</v>
      </c>
      <c r="E828" t="s">
        <v>83</v>
      </c>
      <c r="F828" s="37">
        <v>45623</v>
      </c>
      <c r="G828">
        <v>10</v>
      </c>
      <c r="H828" t="s">
        <v>174</v>
      </c>
      <c r="I828" s="37">
        <v>45700</v>
      </c>
      <c r="J828" t="s">
        <v>165</v>
      </c>
      <c r="K828" t="s">
        <v>166</v>
      </c>
      <c r="L828" t="s">
        <v>175</v>
      </c>
      <c r="M828" t="s">
        <v>1166</v>
      </c>
      <c r="O828" t="s">
        <v>1166</v>
      </c>
      <c r="Q828" t="s">
        <v>1643</v>
      </c>
      <c r="U828" t="s">
        <v>1697</v>
      </c>
      <c r="W828" t="s">
        <v>1702</v>
      </c>
      <c r="X828">
        <v>3</v>
      </c>
      <c r="AA828" s="43">
        <v>307.5</v>
      </c>
      <c r="AC828" s="43">
        <v>307.5</v>
      </c>
      <c r="AF828" s="37">
        <f t="shared" si="25"/>
        <v>45952</v>
      </c>
      <c r="AG828" s="37">
        <f t="shared" si="26"/>
        <v>47158.611570247936</v>
      </c>
      <c r="AH828" t="s">
        <v>1705</v>
      </c>
      <c r="AN828" s="43">
        <v>307.5</v>
      </c>
    </row>
    <row r="829" spans="2:40">
      <c r="B829" t="s">
        <v>1167</v>
      </c>
      <c r="C829" t="s">
        <v>121</v>
      </c>
      <c r="D829" t="s">
        <v>167</v>
      </c>
      <c r="E829" t="s">
        <v>83</v>
      </c>
      <c r="F829" s="37">
        <v>45623</v>
      </c>
      <c r="G829">
        <v>10</v>
      </c>
      <c r="H829" t="s">
        <v>174</v>
      </c>
      <c r="I829" s="37">
        <v>45700</v>
      </c>
      <c r="J829" t="s">
        <v>165</v>
      </c>
      <c r="K829" t="s">
        <v>166</v>
      </c>
      <c r="L829" t="s">
        <v>175</v>
      </c>
      <c r="M829" t="s">
        <v>1167</v>
      </c>
      <c r="O829" t="s">
        <v>1167</v>
      </c>
      <c r="Q829" t="s">
        <v>1643</v>
      </c>
      <c r="U829" t="s">
        <v>1698</v>
      </c>
      <c r="W829" t="s">
        <v>1703</v>
      </c>
      <c r="X829">
        <v>3</v>
      </c>
      <c r="AA829" s="43">
        <v>307.5</v>
      </c>
      <c r="AC829" s="43">
        <v>307.5</v>
      </c>
      <c r="AF829" s="37">
        <f t="shared" si="25"/>
        <v>45952</v>
      </c>
      <c r="AG829" s="37">
        <f t="shared" si="26"/>
        <v>47158.611570247936</v>
      </c>
      <c r="AH829" t="s">
        <v>169</v>
      </c>
      <c r="AN829" s="43">
        <v>307.5</v>
      </c>
    </row>
    <row r="830" spans="2:40">
      <c r="B830" t="s">
        <v>1168</v>
      </c>
      <c r="C830" t="s">
        <v>121</v>
      </c>
      <c r="D830" t="s">
        <v>167</v>
      </c>
      <c r="E830" t="s">
        <v>83</v>
      </c>
      <c r="F830" s="37">
        <v>45623</v>
      </c>
      <c r="G830">
        <v>10</v>
      </c>
      <c r="H830" t="s">
        <v>174</v>
      </c>
      <c r="I830" s="37">
        <v>45700</v>
      </c>
      <c r="J830" t="s">
        <v>165</v>
      </c>
      <c r="K830" t="s">
        <v>166</v>
      </c>
      <c r="L830" t="s">
        <v>175</v>
      </c>
      <c r="M830" t="s">
        <v>1168</v>
      </c>
      <c r="O830" t="s">
        <v>1168</v>
      </c>
      <c r="Q830" t="s">
        <v>1643</v>
      </c>
      <c r="U830" t="s">
        <v>1697</v>
      </c>
      <c r="W830" t="s">
        <v>1702</v>
      </c>
      <c r="X830">
        <v>3</v>
      </c>
      <c r="AA830" s="43">
        <v>307.5</v>
      </c>
      <c r="AC830" s="43">
        <v>307.5</v>
      </c>
      <c r="AF830" s="37">
        <f t="shared" si="25"/>
        <v>45952</v>
      </c>
      <c r="AG830" s="37">
        <f t="shared" si="26"/>
        <v>47158.611570247936</v>
      </c>
      <c r="AH830" t="s">
        <v>1705</v>
      </c>
      <c r="AN830" s="43">
        <v>307.5</v>
      </c>
    </row>
    <row r="831" spans="2:40">
      <c r="B831" t="s">
        <v>1169</v>
      </c>
      <c r="C831" t="s">
        <v>121</v>
      </c>
      <c r="D831" t="s">
        <v>167</v>
      </c>
      <c r="E831" t="s">
        <v>83</v>
      </c>
      <c r="F831" s="37">
        <v>45616</v>
      </c>
      <c r="G831">
        <v>10</v>
      </c>
      <c r="H831" t="s">
        <v>174</v>
      </c>
      <c r="I831" s="37">
        <v>45693</v>
      </c>
      <c r="J831" t="s">
        <v>165</v>
      </c>
      <c r="K831" t="s">
        <v>166</v>
      </c>
      <c r="L831" t="s">
        <v>175</v>
      </c>
      <c r="M831" t="s">
        <v>1169</v>
      </c>
      <c r="O831" t="s">
        <v>1169</v>
      </c>
      <c r="Q831" t="s">
        <v>1643</v>
      </c>
      <c r="U831" t="s">
        <v>1697</v>
      </c>
      <c r="W831" t="s">
        <v>1702</v>
      </c>
      <c r="X831">
        <v>3</v>
      </c>
      <c r="AA831" s="43">
        <v>307.5</v>
      </c>
      <c r="AC831" s="43">
        <v>307.5</v>
      </c>
      <c r="AF831" s="37">
        <f t="shared" si="25"/>
        <v>45945</v>
      </c>
      <c r="AG831" s="37">
        <f t="shared" si="26"/>
        <v>47151.611570247936</v>
      </c>
      <c r="AH831" t="s">
        <v>1705</v>
      </c>
      <c r="AN831" s="43">
        <v>307.5</v>
      </c>
    </row>
    <row r="832" spans="2:40">
      <c r="B832" t="s">
        <v>1170</v>
      </c>
      <c r="C832" t="s">
        <v>121</v>
      </c>
      <c r="D832" t="s">
        <v>167</v>
      </c>
      <c r="E832" t="s">
        <v>83</v>
      </c>
      <c r="F832" s="37">
        <v>45616</v>
      </c>
      <c r="G832">
        <v>10</v>
      </c>
      <c r="H832" t="s">
        <v>174</v>
      </c>
      <c r="I832" s="37">
        <v>45693</v>
      </c>
      <c r="J832" t="s">
        <v>165</v>
      </c>
      <c r="K832" t="s">
        <v>166</v>
      </c>
      <c r="L832" t="s">
        <v>175</v>
      </c>
      <c r="M832" t="s">
        <v>1170</v>
      </c>
      <c r="O832" t="s">
        <v>1170</v>
      </c>
      <c r="Q832" t="s">
        <v>1643</v>
      </c>
      <c r="U832" t="s">
        <v>1698</v>
      </c>
      <c r="W832" t="s">
        <v>1703</v>
      </c>
      <c r="X832">
        <v>3</v>
      </c>
      <c r="AA832" s="43">
        <v>307.5</v>
      </c>
      <c r="AC832" s="43">
        <v>307.5</v>
      </c>
      <c r="AF832" s="37">
        <f t="shared" si="25"/>
        <v>45945</v>
      </c>
      <c r="AG832" s="37">
        <f t="shared" si="26"/>
        <v>47151.611570247936</v>
      </c>
      <c r="AH832" t="s">
        <v>169</v>
      </c>
      <c r="AN832" s="43">
        <v>307.5</v>
      </c>
    </row>
    <row r="833" spans="2:40">
      <c r="B833" t="s">
        <v>1171</v>
      </c>
      <c r="C833" t="s">
        <v>121</v>
      </c>
      <c r="D833" t="s">
        <v>167</v>
      </c>
      <c r="E833" t="s">
        <v>83</v>
      </c>
      <c r="F833" s="37">
        <v>45616</v>
      </c>
      <c r="G833">
        <v>10</v>
      </c>
      <c r="H833" t="s">
        <v>174</v>
      </c>
      <c r="I833" s="37">
        <v>45693</v>
      </c>
      <c r="J833" t="s">
        <v>165</v>
      </c>
      <c r="K833" t="s">
        <v>166</v>
      </c>
      <c r="L833" t="s">
        <v>175</v>
      </c>
      <c r="M833" t="s">
        <v>1171</v>
      </c>
      <c r="O833" t="s">
        <v>1171</v>
      </c>
      <c r="Q833" t="s">
        <v>1643</v>
      </c>
      <c r="U833" t="s">
        <v>1698</v>
      </c>
      <c r="W833" t="s">
        <v>1703</v>
      </c>
      <c r="X833">
        <v>3</v>
      </c>
      <c r="AA833" s="43">
        <v>307.5</v>
      </c>
      <c r="AC833" s="43">
        <v>307.5</v>
      </c>
      <c r="AF833" s="37">
        <f t="shared" si="25"/>
        <v>45945</v>
      </c>
      <c r="AG833" s="37">
        <f t="shared" si="26"/>
        <v>47151.611570247936</v>
      </c>
      <c r="AH833" t="s">
        <v>169</v>
      </c>
      <c r="AN833" s="43">
        <v>307.5</v>
      </c>
    </row>
    <row r="834" spans="2:40">
      <c r="B834" t="s">
        <v>1172</v>
      </c>
      <c r="C834" t="s">
        <v>121</v>
      </c>
      <c r="D834" t="s">
        <v>167</v>
      </c>
      <c r="E834" t="s">
        <v>83</v>
      </c>
      <c r="F834" s="37">
        <v>45616</v>
      </c>
      <c r="G834">
        <v>10</v>
      </c>
      <c r="H834" t="s">
        <v>174</v>
      </c>
      <c r="I834" s="37">
        <v>45693</v>
      </c>
      <c r="J834" t="s">
        <v>165</v>
      </c>
      <c r="K834" t="s">
        <v>166</v>
      </c>
      <c r="L834" t="s">
        <v>175</v>
      </c>
      <c r="M834" t="s">
        <v>1172</v>
      </c>
      <c r="O834" t="s">
        <v>1172</v>
      </c>
      <c r="Q834" t="s">
        <v>1643</v>
      </c>
      <c r="U834" t="s">
        <v>1698</v>
      </c>
      <c r="W834" t="s">
        <v>1703</v>
      </c>
      <c r="X834">
        <v>3</v>
      </c>
      <c r="AA834" s="43">
        <v>307.5</v>
      </c>
      <c r="AC834" s="43">
        <v>307.5</v>
      </c>
      <c r="AF834" s="37">
        <f t="shared" si="25"/>
        <v>45945</v>
      </c>
      <c r="AG834" s="37">
        <f t="shared" si="26"/>
        <v>47151.611570247936</v>
      </c>
      <c r="AH834" t="s">
        <v>169</v>
      </c>
      <c r="AN834" s="43">
        <v>307.5</v>
      </c>
    </row>
    <row r="835" spans="2:40">
      <c r="B835" t="s">
        <v>1173</v>
      </c>
      <c r="C835" t="s">
        <v>121</v>
      </c>
      <c r="D835" t="s">
        <v>167</v>
      </c>
      <c r="E835" t="s">
        <v>83</v>
      </c>
      <c r="F835" s="37">
        <v>45616</v>
      </c>
      <c r="G835">
        <v>10</v>
      </c>
      <c r="H835" t="s">
        <v>174</v>
      </c>
      <c r="I835" s="37">
        <v>45693</v>
      </c>
      <c r="J835" t="s">
        <v>165</v>
      </c>
      <c r="K835" t="s">
        <v>166</v>
      </c>
      <c r="L835" t="s">
        <v>175</v>
      </c>
      <c r="M835" t="s">
        <v>1173</v>
      </c>
      <c r="O835" t="s">
        <v>1173</v>
      </c>
      <c r="Q835" t="s">
        <v>1643</v>
      </c>
      <c r="U835" t="s">
        <v>1698</v>
      </c>
      <c r="W835" t="s">
        <v>1703</v>
      </c>
      <c r="X835">
        <v>3</v>
      </c>
      <c r="AA835" s="43">
        <v>307.5</v>
      </c>
      <c r="AC835" s="43">
        <v>307.5</v>
      </c>
      <c r="AF835" s="37">
        <f t="shared" si="25"/>
        <v>45945</v>
      </c>
      <c r="AG835" s="37">
        <f t="shared" si="26"/>
        <v>47151.611570247936</v>
      </c>
      <c r="AH835" t="s">
        <v>169</v>
      </c>
      <c r="AN835" s="43">
        <v>307.5</v>
      </c>
    </row>
    <row r="836" spans="2:40">
      <c r="B836" t="s">
        <v>1174</v>
      </c>
      <c r="C836" t="s">
        <v>121</v>
      </c>
      <c r="D836" t="s">
        <v>167</v>
      </c>
      <c r="E836" t="s">
        <v>83</v>
      </c>
      <c r="F836" s="37">
        <v>45616</v>
      </c>
      <c r="G836">
        <v>10</v>
      </c>
      <c r="H836" t="s">
        <v>174</v>
      </c>
      <c r="I836" s="37">
        <v>45693</v>
      </c>
      <c r="J836" t="s">
        <v>165</v>
      </c>
      <c r="K836" t="s">
        <v>166</v>
      </c>
      <c r="L836" t="s">
        <v>175</v>
      </c>
      <c r="M836" t="s">
        <v>1174</v>
      </c>
      <c r="O836" t="s">
        <v>1174</v>
      </c>
      <c r="Q836" t="s">
        <v>1643</v>
      </c>
      <c r="U836" t="s">
        <v>1697</v>
      </c>
      <c r="W836" t="s">
        <v>1702</v>
      </c>
      <c r="X836">
        <v>3</v>
      </c>
      <c r="AA836" s="43">
        <v>307.5</v>
      </c>
      <c r="AC836" s="43">
        <v>307.5</v>
      </c>
      <c r="AF836" s="37">
        <f t="shared" si="25"/>
        <v>45945</v>
      </c>
      <c r="AG836" s="37">
        <f t="shared" si="26"/>
        <v>47151.611570247936</v>
      </c>
      <c r="AH836" t="s">
        <v>1705</v>
      </c>
      <c r="AN836" s="43">
        <v>307.5</v>
      </c>
    </row>
    <row r="837" spans="2:40">
      <c r="B837" t="s">
        <v>1175</v>
      </c>
      <c r="C837" t="s">
        <v>121</v>
      </c>
      <c r="D837" t="s">
        <v>167</v>
      </c>
      <c r="E837" t="s">
        <v>83</v>
      </c>
      <c r="F837" s="37">
        <v>45616</v>
      </c>
      <c r="G837">
        <v>10</v>
      </c>
      <c r="H837" t="s">
        <v>174</v>
      </c>
      <c r="I837" s="37">
        <v>45693</v>
      </c>
      <c r="J837" t="s">
        <v>165</v>
      </c>
      <c r="K837" t="s">
        <v>166</v>
      </c>
      <c r="L837" t="s">
        <v>175</v>
      </c>
      <c r="M837" t="s">
        <v>1175</v>
      </c>
      <c r="O837" t="s">
        <v>1175</v>
      </c>
      <c r="Q837" t="s">
        <v>1643</v>
      </c>
      <c r="U837" t="s">
        <v>1698</v>
      </c>
      <c r="W837" t="s">
        <v>1703</v>
      </c>
      <c r="X837">
        <v>3</v>
      </c>
      <c r="AA837" s="43">
        <v>307.5</v>
      </c>
      <c r="AC837" s="43">
        <v>307.5</v>
      </c>
      <c r="AF837" s="37">
        <f t="shared" si="25"/>
        <v>45945</v>
      </c>
      <c r="AG837" s="37">
        <f t="shared" si="26"/>
        <v>47151.611570247936</v>
      </c>
      <c r="AH837" t="s">
        <v>169</v>
      </c>
      <c r="AN837" s="43">
        <v>307.5</v>
      </c>
    </row>
    <row r="838" spans="2:40">
      <c r="B838" t="s">
        <v>1176</v>
      </c>
      <c r="C838" t="s">
        <v>121</v>
      </c>
      <c r="D838" t="s">
        <v>167</v>
      </c>
      <c r="E838" t="s">
        <v>83</v>
      </c>
      <c r="F838" s="37">
        <v>45609</v>
      </c>
      <c r="G838">
        <v>10</v>
      </c>
      <c r="H838" t="s">
        <v>174</v>
      </c>
      <c r="I838" s="37">
        <v>45686</v>
      </c>
      <c r="J838" t="s">
        <v>165</v>
      </c>
      <c r="K838" t="s">
        <v>166</v>
      </c>
      <c r="L838" t="s">
        <v>175</v>
      </c>
      <c r="M838" t="s">
        <v>1176</v>
      </c>
      <c r="O838" t="s">
        <v>1176</v>
      </c>
      <c r="Q838" t="s">
        <v>1643</v>
      </c>
      <c r="U838" t="s">
        <v>1698</v>
      </c>
      <c r="W838" t="s">
        <v>1703</v>
      </c>
      <c r="X838">
        <v>3</v>
      </c>
      <c r="AA838" s="43">
        <v>307.5</v>
      </c>
      <c r="AC838" s="43">
        <v>307.5</v>
      </c>
      <c r="AF838" s="37">
        <f t="shared" si="25"/>
        <v>45938</v>
      </c>
      <c r="AG838" s="37">
        <f t="shared" si="26"/>
        <v>47144.611570247936</v>
      </c>
      <c r="AH838" t="s">
        <v>169</v>
      </c>
      <c r="AN838" s="43">
        <v>307.5</v>
      </c>
    </row>
    <row r="839" spans="2:40">
      <c r="B839" t="s">
        <v>1177</v>
      </c>
      <c r="C839" t="s">
        <v>121</v>
      </c>
      <c r="D839" t="s">
        <v>167</v>
      </c>
      <c r="E839" t="s">
        <v>83</v>
      </c>
      <c r="F839" s="37">
        <v>45609</v>
      </c>
      <c r="G839">
        <v>10</v>
      </c>
      <c r="H839" t="s">
        <v>174</v>
      </c>
      <c r="I839" s="37">
        <v>45686</v>
      </c>
      <c r="J839" t="s">
        <v>165</v>
      </c>
      <c r="K839" t="s">
        <v>166</v>
      </c>
      <c r="L839" t="s">
        <v>175</v>
      </c>
      <c r="M839" t="s">
        <v>1177</v>
      </c>
      <c r="O839" t="s">
        <v>1177</v>
      </c>
      <c r="Q839" t="s">
        <v>1643</v>
      </c>
      <c r="U839" t="s">
        <v>1697</v>
      </c>
      <c r="W839" t="s">
        <v>1702</v>
      </c>
      <c r="X839">
        <v>3</v>
      </c>
      <c r="AA839" s="43">
        <v>307.5</v>
      </c>
      <c r="AC839" s="43">
        <v>307.5</v>
      </c>
      <c r="AF839" s="37">
        <f t="shared" ref="AF839:AF902" si="27">F839+(47*7)</f>
        <v>45938</v>
      </c>
      <c r="AG839" s="37">
        <f t="shared" ref="AG839:AG902" si="28">+AF839+(365*8)/2.42</f>
        <v>47144.611570247936</v>
      </c>
      <c r="AH839" t="s">
        <v>1705</v>
      </c>
      <c r="AN839" s="43">
        <v>307.5</v>
      </c>
    </row>
    <row r="840" spans="2:40">
      <c r="B840" t="s">
        <v>1178</v>
      </c>
      <c r="C840" t="s">
        <v>121</v>
      </c>
      <c r="D840" t="s">
        <v>167</v>
      </c>
      <c r="E840" t="s">
        <v>83</v>
      </c>
      <c r="F840" s="37">
        <v>45609</v>
      </c>
      <c r="G840">
        <v>10</v>
      </c>
      <c r="H840" t="s">
        <v>174</v>
      </c>
      <c r="I840" s="37">
        <v>45686</v>
      </c>
      <c r="J840" t="s">
        <v>165</v>
      </c>
      <c r="K840" t="s">
        <v>166</v>
      </c>
      <c r="L840" t="s">
        <v>175</v>
      </c>
      <c r="M840" t="s">
        <v>1178</v>
      </c>
      <c r="O840" t="s">
        <v>1178</v>
      </c>
      <c r="Q840" t="s">
        <v>1643</v>
      </c>
      <c r="U840" t="s">
        <v>1698</v>
      </c>
      <c r="W840" t="s">
        <v>1703</v>
      </c>
      <c r="X840">
        <v>3</v>
      </c>
      <c r="AA840" s="43">
        <v>307.5</v>
      </c>
      <c r="AC840" s="43">
        <v>307.5</v>
      </c>
      <c r="AF840" s="37">
        <f t="shared" si="27"/>
        <v>45938</v>
      </c>
      <c r="AG840" s="37">
        <f t="shared" si="28"/>
        <v>47144.611570247936</v>
      </c>
      <c r="AH840" t="s">
        <v>169</v>
      </c>
      <c r="AN840" s="43">
        <v>307.5</v>
      </c>
    </row>
    <row r="841" spans="2:40">
      <c r="B841" t="s">
        <v>1179</v>
      </c>
      <c r="C841" t="s">
        <v>121</v>
      </c>
      <c r="D841" t="s">
        <v>167</v>
      </c>
      <c r="E841" t="s">
        <v>83</v>
      </c>
      <c r="F841" s="37">
        <v>45609</v>
      </c>
      <c r="G841">
        <v>10</v>
      </c>
      <c r="H841" t="s">
        <v>174</v>
      </c>
      <c r="I841" s="37">
        <v>45686</v>
      </c>
      <c r="J841" t="s">
        <v>165</v>
      </c>
      <c r="K841" t="s">
        <v>166</v>
      </c>
      <c r="L841" t="s">
        <v>175</v>
      </c>
      <c r="M841" t="s">
        <v>1179</v>
      </c>
      <c r="O841" t="s">
        <v>1179</v>
      </c>
      <c r="Q841" t="s">
        <v>1643</v>
      </c>
      <c r="U841" t="s">
        <v>1698</v>
      </c>
      <c r="W841" t="s">
        <v>1703</v>
      </c>
      <c r="X841">
        <v>3</v>
      </c>
      <c r="AA841" s="43">
        <v>307.5</v>
      </c>
      <c r="AC841" s="43">
        <v>307.5</v>
      </c>
      <c r="AF841" s="37">
        <f t="shared" si="27"/>
        <v>45938</v>
      </c>
      <c r="AG841" s="37">
        <f t="shared" si="28"/>
        <v>47144.611570247936</v>
      </c>
      <c r="AH841" t="s">
        <v>169</v>
      </c>
      <c r="AN841" s="43">
        <v>307.5</v>
      </c>
    </row>
    <row r="842" spans="2:40">
      <c r="B842" t="s">
        <v>1180</v>
      </c>
      <c r="C842" t="s">
        <v>121</v>
      </c>
      <c r="D842" t="s">
        <v>167</v>
      </c>
      <c r="E842" t="s">
        <v>83</v>
      </c>
      <c r="F842" s="37">
        <v>45609</v>
      </c>
      <c r="G842">
        <v>10</v>
      </c>
      <c r="H842" t="s">
        <v>174</v>
      </c>
      <c r="I842" s="37">
        <v>45686</v>
      </c>
      <c r="J842" t="s">
        <v>165</v>
      </c>
      <c r="K842" t="s">
        <v>166</v>
      </c>
      <c r="L842" t="s">
        <v>175</v>
      </c>
      <c r="M842" t="s">
        <v>1180</v>
      </c>
      <c r="O842" t="s">
        <v>1180</v>
      </c>
      <c r="Q842" t="s">
        <v>1643</v>
      </c>
      <c r="U842" t="s">
        <v>1698</v>
      </c>
      <c r="W842" t="s">
        <v>1703</v>
      </c>
      <c r="X842">
        <v>3</v>
      </c>
      <c r="AA842" s="43">
        <v>307.5</v>
      </c>
      <c r="AC842" s="43">
        <v>307.5</v>
      </c>
      <c r="AF842" s="37">
        <f t="shared" si="27"/>
        <v>45938</v>
      </c>
      <c r="AG842" s="37">
        <f t="shared" si="28"/>
        <v>47144.611570247936</v>
      </c>
      <c r="AH842" t="s">
        <v>169</v>
      </c>
      <c r="AN842" s="43">
        <v>307.5</v>
      </c>
    </row>
    <row r="843" spans="2:40">
      <c r="B843" t="s">
        <v>1181</v>
      </c>
      <c r="C843" t="s">
        <v>121</v>
      </c>
      <c r="D843" t="s">
        <v>167</v>
      </c>
      <c r="E843" t="s">
        <v>83</v>
      </c>
      <c r="F843" s="37">
        <v>45609</v>
      </c>
      <c r="G843">
        <v>10</v>
      </c>
      <c r="H843" t="s">
        <v>174</v>
      </c>
      <c r="I843" s="37">
        <v>45686</v>
      </c>
      <c r="J843" t="s">
        <v>165</v>
      </c>
      <c r="K843" t="s">
        <v>166</v>
      </c>
      <c r="L843" t="s">
        <v>175</v>
      </c>
      <c r="M843" t="s">
        <v>1181</v>
      </c>
      <c r="O843" t="s">
        <v>1181</v>
      </c>
      <c r="Q843" t="s">
        <v>1643</v>
      </c>
      <c r="U843" t="s">
        <v>1698</v>
      </c>
      <c r="W843" t="s">
        <v>1703</v>
      </c>
      <c r="X843">
        <v>3</v>
      </c>
      <c r="AA843" s="43">
        <v>307.5</v>
      </c>
      <c r="AC843" s="43">
        <v>307.5</v>
      </c>
      <c r="AF843" s="37">
        <f t="shared" si="27"/>
        <v>45938</v>
      </c>
      <c r="AG843" s="37">
        <f t="shared" si="28"/>
        <v>47144.611570247936</v>
      </c>
      <c r="AH843" t="s">
        <v>169</v>
      </c>
      <c r="AN843" s="43">
        <v>307.5</v>
      </c>
    </row>
    <row r="844" spans="2:40">
      <c r="B844" t="s">
        <v>1182</v>
      </c>
      <c r="C844" t="s">
        <v>121</v>
      </c>
      <c r="D844" t="s">
        <v>167</v>
      </c>
      <c r="E844" t="s">
        <v>83</v>
      </c>
      <c r="F844" s="37">
        <v>45602</v>
      </c>
      <c r="G844">
        <v>10</v>
      </c>
      <c r="H844" t="s">
        <v>174</v>
      </c>
      <c r="I844" s="37">
        <v>45679</v>
      </c>
      <c r="J844" t="s">
        <v>165</v>
      </c>
      <c r="K844" t="s">
        <v>166</v>
      </c>
      <c r="L844" t="s">
        <v>175</v>
      </c>
      <c r="M844" t="s">
        <v>1182</v>
      </c>
      <c r="O844" t="s">
        <v>1182</v>
      </c>
      <c r="Q844" t="s">
        <v>1643</v>
      </c>
      <c r="U844" t="s">
        <v>1698</v>
      </c>
      <c r="W844" t="s">
        <v>1703</v>
      </c>
      <c r="X844">
        <v>3</v>
      </c>
      <c r="AA844" s="43">
        <v>307.5</v>
      </c>
      <c r="AC844" s="43">
        <v>307.5</v>
      </c>
      <c r="AF844" s="37">
        <f t="shared" si="27"/>
        <v>45931</v>
      </c>
      <c r="AG844" s="37">
        <f t="shared" si="28"/>
        <v>47137.611570247936</v>
      </c>
      <c r="AH844" t="s">
        <v>169</v>
      </c>
      <c r="AN844" s="43">
        <v>307.5</v>
      </c>
    </row>
    <row r="845" spans="2:40">
      <c r="B845" t="s">
        <v>1183</v>
      </c>
      <c r="C845" t="s">
        <v>121</v>
      </c>
      <c r="D845" t="s">
        <v>167</v>
      </c>
      <c r="E845" t="s">
        <v>83</v>
      </c>
      <c r="F845" s="37">
        <v>45602</v>
      </c>
      <c r="G845">
        <v>10</v>
      </c>
      <c r="H845" t="s">
        <v>174</v>
      </c>
      <c r="I845" s="37">
        <v>45679</v>
      </c>
      <c r="J845" t="s">
        <v>165</v>
      </c>
      <c r="K845" t="s">
        <v>166</v>
      </c>
      <c r="L845" t="s">
        <v>175</v>
      </c>
      <c r="M845" t="s">
        <v>1183</v>
      </c>
      <c r="O845" t="s">
        <v>1183</v>
      </c>
      <c r="Q845" t="s">
        <v>1643</v>
      </c>
      <c r="U845" t="s">
        <v>1697</v>
      </c>
      <c r="W845" t="s">
        <v>1702</v>
      </c>
      <c r="X845">
        <v>3</v>
      </c>
      <c r="AA845" s="43">
        <v>307.5</v>
      </c>
      <c r="AC845" s="43">
        <v>307.5</v>
      </c>
      <c r="AF845" s="37">
        <f t="shared" si="27"/>
        <v>45931</v>
      </c>
      <c r="AG845" s="37">
        <f t="shared" si="28"/>
        <v>47137.611570247936</v>
      </c>
      <c r="AH845" t="s">
        <v>1705</v>
      </c>
      <c r="AN845" s="43">
        <v>307.5</v>
      </c>
    </row>
    <row r="846" spans="2:40">
      <c r="B846" t="s">
        <v>1184</v>
      </c>
      <c r="C846" t="s">
        <v>121</v>
      </c>
      <c r="D846" t="s">
        <v>167</v>
      </c>
      <c r="E846" t="s">
        <v>83</v>
      </c>
      <c r="F846" s="37">
        <v>45602</v>
      </c>
      <c r="G846">
        <v>10</v>
      </c>
      <c r="H846" t="s">
        <v>174</v>
      </c>
      <c r="I846" s="37">
        <v>45679</v>
      </c>
      <c r="J846" t="s">
        <v>165</v>
      </c>
      <c r="K846" t="s">
        <v>166</v>
      </c>
      <c r="L846" t="s">
        <v>175</v>
      </c>
      <c r="M846" t="s">
        <v>1184</v>
      </c>
      <c r="O846" t="s">
        <v>1184</v>
      </c>
      <c r="Q846" t="s">
        <v>1643</v>
      </c>
      <c r="U846" t="s">
        <v>1697</v>
      </c>
      <c r="W846" t="s">
        <v>1702</v>
      </c>
      <c r="X846">
        <v>3</v>
      </c>
      <c r="AA846" s="43">
        <v>307.5</v>
      </c>
      <c r="AC846" s="43">
        <v>307.5</v>
      </c>
      <c r="AF846" s="37">
        <f t="shared" si="27"/>
        <v>45931</v>
      </c>
      <c r="AG846" s="37">
        <f t="shared" si="28"/>
        <v>47137.611570247936</v>
      </c>
      <c r="AH846" t="s">
        <v>1705</v>
      </c>
      <c r="AN846" s="43">
        <v>307.5</v>
      </c>
    </row>
    <row r="847" spans="2:40">
      <c r="B847" t="s">
        <v>1185</v>
      </c>
      <c r="C847" t="s">
        <v>121</v>
      </c>
      <c r="D847" t="s">
        <v>167</v>
      </c>
      <c r="E847" t="s">
        <v>83</v>
      </c>
      <c r="F847" s="37">
        <v>45602</v>
      </c>
      <c r="G847">
        <v>10</v>
      </c>
      <c r="H847" t="s">
        <v>174</v>
      </c>
      <c r="I847" s="37">
        <v>45679</v>
      </c>
      <c r="J847" t="s">
        <v>165</v>
      </c>
      <c r="K847" t="s">
        <v>166</v>
      </c>
      <c r="L847" t="s">
        <v>175</v>
      </c>
      <c r="M847" t="s">
        <v>1185</v>
      </c>
      <c r="O847" t="s">
        <v>1185</v>
      </c>
      <c r="Q847" t="s">
        <v>1643</v>
      </c>
      <c r="U847" t="s">
        <v>1698</v>
      </c>
      <c r="W847" t="s">
        <v>1703</v>
      </c>
      <c r="X847">
        <v>3</v>
      </c>
      <c r="AA847" s="43">
        <v>307.5</v>
      </c>
      <c r="AC847" s="43">
        <v>307.5</v>
      </c>
      <c r="AF847" s="37">
        <f t="shared" si="27"/>
        <v>45931</v>
      </c>
      <c r="AG847" s="37">
        <f t="shared" si="28"/>
        <v>47137.611570247936</v>
      </c>
      <c r="AH847" t="s">
        <v>169</v>
      </c>
      <c r="AN847" s="43">
        <v>307.5</v>
      </c>
    </row>
    <row r="848" spans="2:40">
      <c r="B848" t="s">
        <v>1186</v>
      </c>
      <c r="C848" t="s">
        <v>121</v>
      </c>
      <c r="D848" t="s">
        <v>167</v>
      </c>
      <c r="E848" t="s">
        <v>83</v>
      </c>
      <c r="F848" s="37">
        <v>45595</v>
      </c>
      <c r="G848">
        <v>10</v>
      </c>
      <c r="H848" t="s">
        <v>174</v>
      </c>
      <c r="I848" s="37">
        <v>45665</v>
      </c>
      <c r="J848" t="s">
        <v>165</v>
      </c>
      <c r="K848" t="s">
        <v>166</v>
      </c>
      <c r="L848" t="s">
        <v>175</v>
      </c>
      <c r="M848" t="s">
        <v>1186</v>
      </c>
      <c r="O848" t="s">
        <v>1186</v>
      </c>
      <c r="Q848" t="s">
        <v>1643</v>
      </c>
      <c r="U848" t="s">
        <v>1696</v>
      </c>
      <c r="W848" t="s">
        <v>1699</v>
      </c>
      <c r="X848">
        <v>4</v>
      </c>
      <c r="AA848" s="43">
        <v>307.5</v>
      </c>
      <c r="AC848" s="43">
        <v>307.5</v>
      </c>
      <c r="AF848" s="37">
        <f t="shared" si="27"/>
        <v>45924</v>
      </c>
      <c r="AG848" s="37">
        <f t="shared" si="28"/>
        <v>47130.611570247936</v>
      </c>
      <c r="AH848" t="s">
        <v>1705</v>
      </c>
      <c r="AN848" s="43">
        <v>307.5</v>
      </c>
    </row>
    <row r="849" spans="2:40">
      <c r="B849" t="s">
        <v>1187</v>
      </c>
      <c r="C849" t="s">
        <v>121</v>
      </c>
      <c r="D849" t="s">
        <v>167</v>
      </c>
      <c r="E849" t="s">
        <v>83</v>
      </c>
      <c r="F849" s="37">
        <v>45595</v>
      </c>
      <c r="G849">
        <v>10</v>
      </c>
      <c r="H849" t="s">
        <v>174</v>
      </c>
      <c r="I849" s="37">
        <v>45665</v>
      </c>
      <c r="J849" t="s">
        <v>165</v>
      </c>
      <c r="K849" t="s">
        <v>166</v>
      </c>
      <c r="L849" t="s">
        <v>175</v>
      </c>
      <c r="M849" t="s">
        <v>1187</v>
      </c>
      <c r="O849" t="s">
        <v>1187</v>
      </c>
      <c r="Q849" t="s">
        <v>1643</v>
      </c>
      <c r="U849" t="s">
        <v>1698</v>
      </c>
      <c r="W849" t="s">
        <v>1703</v>
      </c>
      <c r="X849">
        <v>3</v>
      </c>
      <c r="AA849" s="43">
        <v>307.5</v>
      </c>
      <c r="AC849" s="43">
        <v>307.5</v>
      </c>
      <c r="AF849" s="37">
        <f t="shared" si="27"/>
        <v>45924</v>
      </c>
      <c r="AG849" s="37">
        <f t="shared" si="28"/>
        <v>47130.611570247936</v>
      </c>
      <c r="AH849" t="s">
        <v>169</v>
      </c>
      <c r="AN849" s="43">
        <v>307.5</v>
      </c>
    </row>
    <row r="850" spans="2:40">
      <c r="B850" t="s">
        <v>1188</v>
      </c>
      <c r="C850" t="s">
        <v>121</v>
      </c>
      <c r="D850" t="s">
        <v>167</v>
      </c>
      <c r="E850" t="s">
        <v>83</v>
      </c>
      <c r="F850" s="37">
        <v>45595</v>
      </c>
      <c r="G850">
        <v>10</v>
      </c>
      <c r="H850" t="s">
        <v>174</v>
      </c>
      <c r="I850" s="37">
        <v>45672</v>
      </c>
      <c r="J850" t="s">
        <v>165</v>
      </c>
      <c r="K850" t="s">
        <v>166</v>
      </c>
      <c r="L850" t="s">
        <v>175</v>
      </c>
      <c r="M850" t="s">
        <v>1188</v>
      </c>
      <c r="O850" t="s">
        <v>1188</v>
      </c>
      <c r="Q850" t="s">
        <v>1643</v>
      </c>
      <c r="U850" t="s">
        <v>1698</v>
      </c>
      <c r="W850" t="s">
        <v>1703</v>
      </c>
      <c r="X850">
        <v>3</v>
      </c>
      <c r="AA850" s="43">
        <v>307.5</v>
      </c>
      <c r="AC850" s="43">
        <v>307.5</v>
      </c>
      <c r="AF850" s="37">
        <f t="shared" si="27"/>
        <v>45924</v>
      </c>
      <c r="AG850" s="37">
        <f t="shared" si="28"/>
        <v>47130.611570247936</v>
      </c>
      <c r="AH850" t="s">
        <v>169</v>
      </c>
      <c r="AN850" s="43">
        <v>307.5</v>
      </c>
    </row>
    <row r="851" spans="2:40">
      <c r="B851" t="s">
        <v>1189</v>
      </c>
      <c r="C851" t="s">
        <v>121</v>
      </c>
      <c r="D851" t="s">
        <v>167</v>
      </c>
      <c r="E851" t="s">
        <v>83</v>
      </c>
      <c r="F851" s="37">
        <v>45595</v>
      </c>
      <c r="G851">
        <v>10</v>
      </c>
      <c r="H851" t="s">
        <v>174</v>
      </c>
      <c r="I851" s="37">
        <v>45665</v>
      </c>
      <c r="J851" t="s">
        <v>165</v>
      </c>
      <c r="K851" t="s">
        <v>166</v>
      </c>
      <c r="L851" t="s">
        <v>175</v>
      </c>
      <c r="M851" t="s">
        <v>1189</v>
      </c>
      <c r="O851" t="s">
        <v>1189</v>
      </c>
      <c r="Q851" t="s">
        <v>1643</v>
      </c>
      <c r="U851" t="s">
        <v>1698</v>
      </c>
      <c r="W851" t="s">
        <v>1703</v>
      </c>
      <c r="X851">
        <v>3</v>
      </c>
      <c r="AA851" s="43">
        <v>307.5</v>
      </c>
      <c r="AC851" s="43">
        <v>307.5</v>
      </c>
      <c r="AF851" s="37">
        <f t="shared" si="27"/>
        <v>45924</v>
      </c>
      <c r="AG851" s="37">
        <f t="shared" si="28"/>
        <v>47130.611570247936</v>
      </c>
      <c r="AH851" t="s">
        <v>169</v>
      </c>
      <c r="AN851" s="43">
        <v>307.5</v>
      </c>
    </row>
    <row r="852" spans="2:40">
      <c r="B852" t="s">
        <v>1190</v>
      </c>
      <c r="C852" t="s">
        <v>121</v>
      </c>
      <c r="D852" t="s">
        <v>167</v>
      </c>
      <c r="E852" t="s">
        <v>83</v>
      </c>
      <c r="F852" s="37">
        <v>45595</v>
      </c>
      <c r="G852">
        <v>10</v>
      </c>
      <c r="H852" t="s">
        <v>174</v>
      </c>
      <c r="I852" s="37">
        <v>45665</v>
      </c>
      <c r="J852" t="s">
        <v>165</v>
      </c>
      <c r="K852" t="s">
        <v>166</v>
      </c>
      <c r="L852" t="s">
        <v>175</v>
      </c>
      <c r="M852" t="s">
        <v>1190</v>
      </c>
      <c r="O852" t="s">
        <v>1190</v>
      </c>
      <c r="Q852" t="s">
        <v>1643</v>
      </c>
      <c r="U852" t="s">
        <v>1698</v>
      </c>
      <c r="W852" t="s">
        <v>1703</v>
      </c>
      <c r="X852">
        <v>3</v>
      </c>
      <c r="AA852" s="43">
        <v>307.5</v>
      </c>
      <c r="AC852" s="43">
        <v>307.5</v>
      </c>
      <c r="AF852" s="37">
        <f t="shared" si="27"/>
        <v>45924</v>
      </c>
      <c r="AG852" s="37">
        <f t="shared" si="28"/>
        <v>47130.611570247936</v>
      </c>
      <c r="AH852" t="s">
        <v>169</v>
      </c>
      <c r="AN852" s="43">
        <v>307.5</v>
      </c>
    </row>
    <row r="853" spans="2:40">
      <c r="B853" t="s">
        <v>1191</v>
      </c>
      <c r="C853" t="s">
        <v>121</v>
      </c>
      <c r="D853" t="s">
        <v>167</v>
      </c>
      <c r="E853" t="s">
        <v>83</v>
      </c>
      <c r="F853" s="37">
        <v>45595</v>
      </c>
      <c r="G853">
        <v>10</v>
      </c>
      <c r="H853" t="s">
        <v>174</v>
      </c>
      <c r="I853" s="37">
        <v>45672</v>
      </c>
      <c r="J853" t="s">
        <v>165</v>
      </c>
      <c r="K853" t="s">
        <v>166</v>
      </c>
      <c r="L853" t="s">
        <v>175</v>
      </c>
      <c r="M853" t="s">
        <v>1191</v>
      </c>
      <c r="O853" t="s">
        <v>1191</v>
      </c>
      <c r="Q853" t="s">
        <v>1643</v>
      </c>
      <c r="U853" t="s">
        <v>1698</v>
      </c>
      <c r="W853" t="s">
        <v>1703</v>
      </c>
      <c r="X853">
        <v>3</v>
      </c>
      <c r="AA853" s="43">
        <v>307.5</v>
      </c>
      <c r="AC853" s="43">
        <v>307.5</v>
      </c>
      <c r="AF853" s="37">
        <f t="shared" si="27"/>
        <v>45924</v>
      </c>
      <c r="AG853" s="37">
        <f t="shared" si="28"/>
        <v>47130.611570247936</v>
      </c>
      <c r="AH853" t="s">
        <v>169</v>
      </c>
      <c r="AN853" s="43">
        <v>307.5</v>
      </c>
    </row>
    <row r="854" spans="2:40">
      <c r="B854" t="s">
        <v>1192</v>
      </c>
      <c r="C854" t="s">
        <v>121</v>
      </c>
      <c r="D854" t="s">
        <v>167</v>
      </c>
      <c r="E854" t="s">
        <v>83</v>
      </c>
      <c r="F854" s="37">
        <v>45595</v>
      </c>
      <c r="G854">
        <v>10</v>
      </c>
      <c r="H854" t="s">
        <v>174</v>
      </c>
      <c r="I854" s="37">
        <v>45672</v>
      </c>
      <c r="J854" t="s">
        <v>165</v>
      </c>
      <c r="K854" t="s">
        <v>166</v>
      </c>
      <c r="L854" t="s">
        <v>175</v>
      </c>
      <c r="M854" t="s">
        <v>1192</v>
      </c>
      <c r="O854" t="s">
        <v>1192</v>
      </c>
      <c r="Q854" t="s">
        <v>1643</v>
      </c>
      <c r="U854" t="s">
        <v>1698</v>
      </c>
      <c r="W854" t="s">
        <v>1703</v>
      </c>
      <c r="X854">
        <v>3</v>
      </c>
      <c r="AA854" s="43">
        <v>307.5</v>
      </c>
      <c r="AC854" s="43">
        <v>307.5</v>
      </c>
      <c r="AF854" s="37">
        <f t="shared" si="27"/>
        <v>45924</v>
      </c>
      <c r="AG854" s="37">
        <f t="shared" si="28"/>
        <v>47130.611570247936</v>
      </c>
      <c r="AH854" t="s">
        <v>169</v>
      </c>
      <c r="AN854" s="43">
        <v>307.5</v>
      </c>
    </row>
    <row r="855" spans="2:40">
      <c r="B855" t="s">
        <v>1193</v>
      </c>
      <c r="C855" t="s">
        <v>121</v>
      </c>
      <c r="D855" t="s">
        <v>167</v>
      </c>
      <c r="E855" t="s">
        <v>83</v>
      </c>
      <c r="F855" s="37">
        <v>45595</v>
      </c>
      <c r="G855">
        <v>10</v>
      </c>
      <c r="H855" t="s">
        <v>174</v>
      </c>
      <c r="I855" s="37">
        <v>45665</v>
      </c>
      <c r="J855" t="s">
        <v>165</v>
      </c>
      <c r="K855" t="s">
        <v>166</v>
      </c>
      <c r="L855" t="s">
        <v>175</v>
      </c>
      <c r="M855" t="s">
        <v>1193</v>
      </c>
      <c r="O855" t="s">
        <v>1193</v>
      </c>
      <c r="Q855" t="s">
        <v>1643</v>
      </c>
      <c r="U855" t="s">
        <v>1698</v>
      </c>
      <c r="W855" t="s">
        <v>1703</v>
      </c>
      <c r="X855">
        <v>3</v>
      </c>
      <c r="AA855" s="43">
        <v>307.5</v>
      </c>
      <c r="AC855" s="43">
        <v>307.5</v>
      </c>
      <c r="AF855" s="37">
        <f t="shared" si="27"/>
        <v>45924</v>
      </c>
      <c r="AG855" s="37">
        <f t="shared" si="28"/>
        <v>47130.611570247936</v>
      </c>
      <c r="AH855" t="s">
        <v>169</v>
      </c>
      <c r="AN855" s="43">
        <v>307.5</v>
      </c>
    </row>
    <row r="856" spans="2:40">
      <c r="B856" t="s">
        <v>1194</v>
      </c>
      <c r="C856" t="s">
        <v>121</v>
      </c>
      <c r="D856" t="s">
        <v>167</v>
      </c>
      <c r="E856" t="s">
        <v>83</v>
      </c>
      <c r="F856" s="37">
        <v>45588</v>
      </c>
      <c r="G856">
        <v>10</v>
      </c>
      <c r="H856" t="s">
        <v>174</v>
      </c>
      <c r="I856" s="37">
        <v>45658</v>
      </c>
      <c r="J856" t="s">
        <v>165</v>
      </c>
      <c r="K856" t="s">
        <v>166</v>
      </c>
      <c r="L856" t="s">
        <v>175</v>
      </c>
      <c r="M856" t="s">
        <v>1194</v>
      </c>
      <c r="O856" t="s">
        <v>1194</v>
      </c>
      <c r="Q856" t="s">
        <v>1643</v>
      </c>
      <c r="U856" t="s">
        <v>1697</v>
      </c>
      <c r="W856" t="s">
        <v>1702</v>
      </c>
      <c r="X856">
        <v>4</v>
      </c>
      <c r="AA856" s="43">
        <v>307.5</v>
      </c>
      <c r="AC856" s="43">
        <v>307.5</v>
      </c>
      <c r="AF856" s="37">
        <f t="shared" si="27"/>
        <v>45917</v>
      </c>
      <c r="AG856" s="37">
        <f t="shared" si="28"/>
        <v>47123.611570247936</v>
      </c>
      <c r="AH856" t="s">
        <v>1705</v>
      </c>
      <c r="AN856" s="43">
        <v>307.5</v>
      </c>
    </row>
    <row r="857" spans="2:40">
      <c r="B857" t="s">
        <v>1195</v>
      </c>
      <c r="C857" t="s">
        <v>121</v>
      </c>
      <c r="D857" t="s">
        <v>167</v>
      </c>
      <c r="E857" t="s">
        <v>83</v>
      </c>
      <c r="F857" s="37">
        <v>45588</v>
      </c>
      <c r="G857">
        <v>10</v>
      </c>
      <c r="H857" t="s">
        <v>174</v>
      </c>
      <c r="I857" s="37">
        <v>45658</v>
      </c>
      <c r="J857" t="s">
        <v>165</v>
      </c>
      <c r="K857" t="s">
        <v>166</v>
      </c>
      <c r="L857" t="s">
        <v>175</v>
      </c>
      <c r="M857" t="s">
        <v>1195</v>
      </c>
      <c r="O857" t="s">
        <v>1195</v>
      </c>
      <c r="Q857" t="s">
        <v>1643</v>
      </c>
      <c r="U857" t="s">
        <v>1696</v>
      </c>
      <c r="W857" t="s">
        <v>1699</v>
      </c>
      <c r="X857">
        <v>4</v>
      </c>
      <c r="AA857" s="43">
        <v>307.5</v>
      </c>
      <c r="AC857" s="43">
        <v>307.5</v>
      </c>
      <c r="AF857" s="37">
        <f t="shared" si="27"/>
        <v>45917</v>
      </c>
      <c r="AG857" s="37">
        <f t="shared" si="28"/>
        <v>47123.611570247936</v>
      </c>
      <c r="AH857" t="s">
        <v>1704</v>
      </c>
      <c r="AN857" s="43">
        <v>307.5</v>
      </c>
    </row>
    <row r="858" spans="2:40">
      <c r="B858" t="s">
        <v>1196</v>
      </c>
      <c r="C858" t="s">
        <v>121</v>
      </c>
      <c r="D858" t="s">
        <v>167</v>
      </c>
      <c r="E858" t="s">
        <v>83</v>
      </c>
      <c r="F858" s="37">
        <v>45588</v>
      </c>
      <c r="G858">
        <v>10</v>
      </c>
      <c r="H858" t="s">
        <v>174</v>
      </c>
      <c r="I858" s="37">
        <v>45658</v>
      </c>
      <c r="J858" t="s">
        <v>165</v>
      </c>
      <c r="K858" t="s">
        <v>166</v>
      </c>
      <c r="L858" t="s">
        <v>175</v>
      </c>
      <c r="M858" t="s">
        <v>1196</v>
      </c>
      <c r="O858" t="s">
        <v>1196</v>
      </c>
      <c r="Q858" t="s">
        <v>1643</v>
      </c>
      <c r="U858" t="s">
        <v>1697</v>
      </c>
      <c r="W858" t="s">
        <v>1702</v>
      </c>
      <c r="X858">
        <v>4</v>
      </c>
      <c r="AA858" s="43">
        <v>307.5</v>
      </c>
      <c r="AC858" s="43">
        <v>307.5</v>
      </c>
      <c r="AF858" s="37">
        <f t="shared" si="27"/>
        <v>45917</v>
      </c>
      <c r="AG858" s="37">
        <f t="shared" si="28"/>
        <v>47123.611570247936</v>
      </c>
      <c r="AH858" t="s">
        <v>1705</v>
      </c>
      <c r="AN858" s="43">
        <v>307.5</v>
      </c>
    </row>
    <row r="859" spans="2:40">
      <c r="B859" t="s">
        <v>1197</v>
      </c>
      <c r="C859" t="s">
        <v>121</v>
      </c>
      <c r="D859" t="s">
        <v>167</v>
      </c>
      <c r="E859" t="s">
        <v>83</v>
      </c>
      <c r="F859" s="37">
        <v>45588</v>
      </c>
      <c r="G859">
        <v>10</v>
      </c>
      <c r="H859" t="s">
        <v>174</v>
      </c>
      <c r="I859" s="37">
        <v>45658</v>
      </c>
      <c r="J859" t="s">
        <v>165</v>
      </c>
      <c r="K859" t="s">
        <v>166</v>
      </c>
      <c r="L859" t="s">
        <v>175</v>
      </c>
      <c r="M859" t="s">
        <v>1197</v>
      </c>
      <c r="O859" t="s">
        <v>1197</v>
      </c>
      <c r="Q859" t="s">
        <v>1643</v>
      </c>
      <c r="U859" t="s">
        <v>1697</v>
      </c>
      <c r="W859" t="s">
        <v>1702</v>
      </c>
      <c r="X859">
        <v>4</v>
      </c>
      <c r="AA859" s="43">
        <v>307.5</v>
      </c>
      <c r="AC859" s="43">
        <v>307.5</v>
      </c>
      <c r="AF859" s="37">
        <f t="shared" si="27"/>
        <v>45917</v>
      </c>
      <c r="AG859" s="37">
        <f t="shared" si="28"/>
        <v>47123.611570247936</v>
      </c>
      <c r="AH859" t="s">
        <v>1705</v>
      </c>
      <c r="AN859" s="43">
        <v>307.5</v>
      </c>
    </row>
    <row r="860" spans="2:40">
      <c r="B860" t="s">
        <v>1198</v>
      </c>
      <c r="C860" t="s">
        <v>121</v>
      </c>
      <c r="D860" t="s">
        <v>167</v>
      </c>
      <c r="E860" t="s">
        <v>83</v>
      </c>
      <c r="F860" s="37">
        <v>45588</v>
      </c>
      <c r="G860">
        <v>10</v>
      </c>
      <c r="H860" t="s">
        <v>174</v>
      </c>
      <c r="I860" s="37">
        <v>45658</v>
      </c>
      <c r="J860" t="s">
        <v>165</v>
      </c>
      <c r="K860" t="s">
        <v>166</v>
      </c>
      <c r="L860" t="s">
        <v>175</v>
      </c>
      <c r="M860" t="s">
        <v>1198</v>
      </c>
      <c r="O860" t="s">
        <v>1198</v>
      </c>
      <c r="Q860" t="s">
        <v>1643</v>
      </c>
      <c r="U860" t="s">
        <v>1696</v>
      </c>
      <c r="W860" t="s">
        <v>1699</v>
      </c>
      <c r="X860">
        <v>4</v>
      </c>
      <c r="AA860" s="43">
        <v>307.5</v>
      </c>
      <c r="AC860" s="43">
        <v>307.5</v>
      </c>
      <c r="AF860" s="37">
        <f t="shared" si="27"/>
        <v>45917</v>
      </c>
      <c r="AG860" s="37">
        <f t="shared" si="28"/>
        <v>47123.611570247936</v>
      </c>
      <c r="AH860" t="s">
        <v>1704</v>
      </c>
      <c r="AN860" s="43">
        <v>307.5</v>
      </c>
    </row>
    <row r="861" spans="2:40">
      <c r="B861" t="s">
        <v>1199</v>
      </c>
      <c r="C861" t="s">
        <v>121</v>
      </c>
      <c r="D861" t="s">
        <v>167</v>
      </c>
      <c r="E861" t="s">
        <v>83</v>
      </c>
      <c r="F861" s="37">
        <v>45581</v>
      </c>
      <c r="G861">
        <v>10</v>
      </c>
      <c r="H861" t="s">
        <v>174</v>
      </c>
      <c r="I861" s="37">
        <v>45651</v>
      </c>
      <c r="J861" t="s">
        <v>165</v>
      </c>
      <c r="K861" t="s">
        <v>166</v>
      </c>
      <c r="L861" t="s">
        <v>175</v>
      </c>
      <c r="M861" t="s">
        <v>1199</v>
      </c>
      <c r="O861" t="s">
        <v>1199</v>
      </c>
      <c r="Q861" t="s">
        <v>1643</v>
      </c>
      <c r="U861" t="s">
        <v>1697</v>
      </c>
      <c r="W861" t="s">
        <v>1702</v>
      </c>
      <c r="X861">
        <v>4</v>
      </c>
      <c r="AA861" s="43">
        <v>307.5</v>
      </c>
      <c r="AC861" s="43">
        <v>307.5</v>
      </c>
      <c r="AF861" s="37">
        <f t="shared" si="27"/>
        <v>45910</v>
      </c>
      <c r="AG861" s="37">
        <f t="shared" si="28"/>
        <v>47116.611570247936</v>
      </c>
      <c r="AH861" t="s">
        <v>1705</v>
      </c>
      <c r="AN861" s="43">
        <v>307.5</v>
      </c>
    </row>
    <row r="862" spans="2:40">
      <c r="B862" t="s">
        <v>1200</v>
      </c>
      <c r="C862" t="s">
        <v>121</v>
      </c>
      <c r="D862" t="s">
        <v>167</v>
      </c>
      <c r="E862" t="s">
        <v>83</v>
      </c>
      <c r="F862" s="37">
        <v>45581</v>
      </c>
      <c r="G862">
        <v>10</v>
      </c>
      <c r="H862" t="s">
        <v>174</v>
      </c>
      <c r="I862" s="37">
        <v>45644</v>
      </c>
      <c r="J862" t="s">
        <v>165</v>
      </c>
      <c r="K862" t="s">
        <v>166</v>
      </c>
      <c r="L862" t="s">
        <v>175</v>
      </c>
      <c r="M862" t="s">
        <v>1200</v>
      </c>
      <c r="O862" t="s">
        <v>1200</v>
      </c>
      <c r="Q862" t="s">
        <v>1643</v>
      </c>
      <c r="U862" t="s">
        <v>1698</v>
      </c>
      <c r="W862" t="s">
        <v>1703</v>
      </c>
      <c r="X862">
        <v>3</v>
      </c>
      <c r="AA862" s="43">
        <v>307.5</v>
      </c>
      <c r="AC862" s="43">
        <v>307.5</v>
      </c>
      <c r="AF862" s="37">
        <f t="shared" si="27"/>
        <v>45910</v>
      </c>
      <c r="AG862" s="37">
        <f t="shared" si="28"/>
        <v>47116.611570247936</v>
      </c>
      <c r="AH862" t="s">
        <v>169</v>
      </c>
      <c r="AN862" s="43">
        <v>307.5</v>
      </c>
    </row>
    <row r="863" spans="2:40">
      <c r="B863" t="s">
        <v>1201</v>
      </c>
      <c r="C863" t="s">
        <v>121</v>
      </c>
      <c r="D863" t="s">
        <v>167</v>
      </c>
      <c r="E863" t="s">
        <v>83</v>
      </c>
      <c r="F863" s="37">
        <v>45581</v>
      </c>
      <c r="G863">
        <v>10</v>
      </c>
      <c r="H863" t="s">
        <v>174</v>
      </c>
      <c r="I863" s="37">
        <v>45651</v>
      </c>
      <c r="J863" t="s">
        <v>165</v>
      </c>
      <c r="K863" t="s">
        <v>166</v>
      </c>
      <c r="L863" t="s">
        <v>175</v>
      </c>
      <c r="M863" t="s">
        <v>1201</v>
      </c>
      <c r="O863" t="s">
        <v>1201</v>
      </c>
      <c r="Q863" t="s">
        <v>1643</v>
      </c>
      <c r="U863" t="s">
        <v>1698</v>
      </c>
      <c r="W863" t="s">
        <v>1703</v>
      </c>
      <c r="X863">
        <v>3</v>
      </c>
      <c r="AA863" s="43">
        <v>307.5</v>
      </c>
      <c r="AC863" s="43">
        <v>307.5</v>
      </c>
      <c r="AF863" s="37">
        <f t="shared" si="27"/>
        <v>45910</v>
      </c>
      <c r="AG863" s="37">
        <f t="shared" si="28"/>
        <v>47116.611570247936</v>
      </c>
      <c r="AH863" t="s">
        <v>169</v>
      </c>
      <c r="AN863" s="43">
        <v>307.5</v>
      </c>
    </row>
    <row r="864" spans="2:40">
      <c r="B864" t="s">
        <v>1202</v>
      </c>
      <c r="C864" t="s">
        <v>121</v>
      </c>
      <c r="D864" t="s">
        <v>167</v>
      </c>
      <c r="E864" t="s">
        <v>83</v>
      </c>
      <c r="F864" s="37">
        <v>45581</v>
      </c>
      <c r="G864">
        <v>10</v>
      </c>
      <c r="H864" t="s">
        <v>174</v>
      </c>
      <c r="I864" s="37">
        <v>45651</v>
      </c>
      <c r="J864" t="s">
        <v>165</v>
      </c>
      <c r="K864" t="s">
        <v>166</v>
      </c>
      <c r="L864" t="s">
        <v>175</v>
      </c>
      <c r="M864" t="s">
        <v>1202</v>
      </c>
      <c r="O864" t="s">
        <v>1202</v>
      </c>
      <c r="Q864" t="s">
        <v>1643</v>
      </c>
      <c r="U864" t="s">
        <v>1697</v>
      </c>
      <c r="W864" t="s">
        <v>1702</v>
      </c>
      <c r="X864">
        <v>4</v>
      </c>
      <c r="AA864" s="43">
        <v>307.5</v>
      </c>
      <c r="AC864" s="43">
        <v>307.5</v>
      </c>
      <c r="AF864" s="37">
        <f t="shared" si="27"/>
        <v>45910</v>
      </c>
      <c r="AG864" s="37">
        <f t="shared" si="28"/>
        <v>47116.611570247936</v>
      </c>
      <c r="AH864" t="s">
        <v>1705</v>
      </c>
      <c r="AN864" s="43">
        <v>307.5</v>
      </c>
    </row>
    <row r="865" spans="2:40">
      <c r="B865" t="s">
        <v>1203</v>
      </c>
      <c r="C865" t="s">
        <v>121</v>
      </c>
      <c r="D865" t="s">
        <v>167</v>
      </c>
      <c r="E865" t="s">
        <v>83</v>
      </c>
      <c r="F865" s="37">
        <v>45581</v>
      </c>
      <c r="G865">
        <v>10</v>
      </c>
      <c r="H865" t="s">
        <v>174</v>
      </c>
      <c r="I865" s="37">
        <v>45651</v>
      </c>
      <c r="J865" t="s">
        <v>165</v>
      </c>
      <c r="K865" t="s">
        <v>166</v>
      </c>
      <c r="L865" t="s">
        <v>175</v>
      </c>
      <c r="M865" t="s">
        <v>1203</v>
      </c>
      <c r="O865" t="s">
        <v>1203</v>
      </c>
      <c r="Q865" t="s">
        <v>1643</v>
      </c>
      <c r="U865" t="s">
        <v>1697</v>
      </c>
      <c r="W865" t="s">
        <v>1702</v>
      </c>
      <c r="X865">
        <v>4</v>
      </c>
      <c r="AA865" s="43">
        <v>307.5</v>
      </c>
      <c r="AC865" s="43">
        <v>307.5</v>
      </c>
      <c r="AF865" s="37">
        <f t="shared" si="27"/>
        <v>45910</v>
      </c>
      <c r="AG865" s="37">
        <f t="shared" si="28"/>
        <v>47116.611570247936</v>
      </c>
      <c r="AH865" t="s">
        <v>1705</v>
      </c>
      <c r="AN865" s="43">
        <v>307.5</v>
      </c>
    </row>
    <row r="866" spans="2:40">
      <c r="B866" t="s">
        <v>1204</v>
      </c>
      <c r="C866" t="s">
        <v>121</v>
      </c>
      <c r="D866" t="s">
        <v>167</v>
      </c>
      <c r="E866" t="s">
        <v>83</v>
      </c>
      <c r="F866" s="37">
        <v>45581</v>
      </c>
      <c r="G866">
        <v>10</v>
      </c>
      <c r="H866" t="s">
        <v>174</v>
      </c>
      <c r="I866" s="37">
        <v>45651</v>
      </c>
      <c r="J866" t="s">
        <v>165</v>
      </c>
      <c r="K866" t="s">
        <v>166</v>
      </c>
      <c r="L866" t="s">
        <v>175</v>
      </c>
      <c r="M866" t="s">
        <v>1204</v>
      </c>
      <c r="O866" t="s">
        <v>1204</v>
      </c>
      <c r="Q866" t="s">
        <v>1643</v>
      </c>
      <c r="U866" t="s">
        <v>1698</v>
      </c>
      <c r="W866" t="s">
        <v>1703</v>
      </c>
      <c r="X866">
        <v>3</v>
      </c>
      <c r="AA866" s="43">
        <v>307.5</v>
      </c>
      <c r="AC866" s="43">
        <v>307.5</v>
      </c>
      <c r="AF866" s="37">
        <f t="shared" si="27"/>
        <v>45910</v>
      </c>
      <c r="AG866" s="37">
        <f t="shared" si="28"/>
        <v>47116.611570247936</v>
      </c>
      <c r="AH866" t="s">
        <v>169</v>
      </c>
      <c r="AN866" s="43">
        <v>307.5</v>
      </c>
    </row>
    <row r="867" spans="2:40">
      <c r="B867" t="s">
        <v>1205</v>
      </c>
      <c r="C867" t="s">
        <v>121</v>
      </c>
      <c r="D867" t="s">
        <v>167</v>
      </c>
      <c r="E867" t="s">
        <v>83</v>
      </c>
      <c r="F867" s="37">
        <v>45581</v>
      </c>
      <c r="G867">
        <v>10</v>
      </c>
      <c r="H867" t="s">
        <v>174</v>
      </c>
      <c r="I867" s="37">
        <v>45651</v>
      </c>
      <c r="J867" t="s">
        <v>165</v>
      </c>
      <c r="K867" t="s">
        <v>166</v>
      </c>
      <c r="L867" t="s">
        <v>175</v>
      </c>
      <c r="M867" t="s">
        <v>1205</v>
      </c>
      <c r="O867" t="s">
        <v>1205</v>
      </c>
      <c r="Q867" t="s">
        <v>1643</v>
      </c>
      <c r="U867" t="s">
        <v>1697</v>
      </c>
      <c r="W867" t="s">
        <v>1702</v>
      </c>
      <c r="X867">
        <v>4</v>
      </c>
      <c r="AA867" s="43">
        <v>307.5</v>
      </c>
      <c r="AC867" s="43">
        <v>307.5</v>
      </c>
      <c r="AF867" s="37">
        <f t="shared" si="27"/>
        <v>45910</v>
      </c>
      <c r="AG867" s="37">
        <f t="shared" si="28"/>
        <v>47116.611570247936</v>
      </c>
      <c r="AH867" t="s">
        <v>1705</v>
      </c>
      <c r="AN867" s="43">
        <v>307.5</v>
      </c>
    </row>
    <row r="868" spans="2:40">
      <c r="B868" t="s">
        <v>1206</v>
      </c>
      <c r="C868" t="s">
        <v>121</v>
      </c>
      <c r="D868" t="s">
        <v>167</v>
      </c>
      <c r="E868" t="s">
        <v>83</v>
      </c>
      <c r="F868" s="37">
        <v>45581</v>
      </c>
      <c r="G868">
        <v>10</v>
      </c>
      <c r="H868" t="s">
        <v>174</v>
      </c>
      <c r="I868" s="37">
        <v>45651</v>
      </c>
      <c r="J868" t="s">
        <v>165</v>
      </c>
      <c r="K868" t="s">
        <v>166</v>
      </c>
      <c r="L868" t="s">
        <v>175</v>
      </c>
      <c r="M868" t="s">
        <v>1206</v>
      </c>
      <c r="O868" t="s">
        <v>1206</v>
      </c>
      <c r="Q868" t="s">
        <v>1643</v>
      </c>
      <c r="U868" t="s">
        <v>1697</v>
      </c>
      <c r="W868" t="s">
        <v>1702</v>
      </c>
      <c r="X868">
        <v>4</v>
      </c>
      <c r="AA868" s="43">
        <v>307.5</v>
      </c>
      <c r="AC868" s="43">
        <v>307.5</v>
      </c>
      <c r="AF868" s="37">
        <f t="shared" si="27"/>
        <v>45910</v>
      </c>
      <c r="AG868" s="37">
        <f t="shared" si="28"/>
        <v>47116.611570247936</v>
      </c>
      <c r="AH868" t="s">
        <v>1705</v>
      </c>
      <c r="AN868" s="43">
        <v>307.5</v>
      </c>
    </row>
    <row r="869" spans="2:40">
      <c r="B869" t="s">
        <v>1207</v>
      </c>
      <c r="C869" t="s">
        <v>121</v>
      </c>
      <c r="D869" t="s">
        <v>167</v>
      </c>
      <c r="E869" t="s">
        <v>83</v>
      </c>
      <c r="F869" s="37">
        <v>45581</v>
      </c>
      <c r="G869">
        <v>10</v>
      </c>
      <c r="H869" t="s">
        <v>174</v>
      </c>
      <c r="I869" s="37">
        <v>45651</v>
      </c>
      <c r="J869" t="s">
        <v>165</v>
      </c>
      <c r="K869" t="s">
        <v>166</v>
      </c>
      <c r="L869" t="s">
        <v>175</v>
      </c>
      <c r="M869" t="s">
        <v>1207</v>
      </c>
      <c r="O869" t="s">
        <v>1207</v>
      </c>
      <c r="Q869" t="s">
        <v>1643</v>
      </c>
      <c r="U869" t="s">
        <v>1696</v>
      </c>
      <c r="W869" t="s">
        <v>1699</v>
      </c>
      <c r="X869">
        <v>4</v>
      </c>
      <c r="AA869" s="43">
        <v>307.5</v>
      </c>
      <c r="AC869" s="43">
        <v>307.5</v>
      </c>
      <c r="AF869" s="37">
        <f t="shared" si="27"/>
        <v>45910</v>
      </c>
      <c r="AG869" s="37">
        <f t="shared" si="28"/>
        <v>47116.611570247936</v>
      </c>
      <c r="AH869" t="s">
        <v>1704</v>
      </c>
      <c r="AN869" s="43">
        <v>307.5</v>
      </c>
    </row>
    <row r="870" spans="2:40">
      <c r="B870" t="s">
        <v>1208</v>
      </c>
      <c r="C870" t="s">
        <v>121</v>
      </c>
      <c r="D870" t="s">
        <v>167</v>
      </c>
      <c r="E870" t="s">
        <v>83</v>
      </c>
      <c r="F870" s="37">
        <v>45581</v>
      </c>
      <c r="G870">
        <v>10</v>
      </c>
      <c r="H870" t="s">
        <v>174</v>
      </c>
      <c r="I870" s="37">
        <v>45651</v>
      </c>
      <c r="J870" t="s">
        <v>165</v>
      </c>
      <c r="K870" t="s">
        <v>166</v>
      </c>
      <c r="L870" t="s">
        <v>175</v>
      </c>
      <c r="M870" t="s">
        <v>1208</v>
      </c>
      <c r="O870" t="s">
        <v>1208</v>
      </c>
      <c r="Q870" t="s">
        <v>1643</v>
      </c>
      <c r="U870" t="s">
        <v>1696</v>
      </c>
      <c r="W870" t="s">
        <v>1699</v>
      </c>
      <c r="X870">
        <v>4</v>
      </c>
      <c r="AA870" s="43">
        <v>307.5</v>
      </c>
      <c r="AC870" s="43">
        <v>307.5</v>
      </c>
      <c r="AF870" s="37">
        <f t="shared" si="27"/>
        <v>45910</v>
      </c>
      <c r="AG870" s="37">
        <f t="shared" si="28"/>
        <v>47116.611570247936</v>
      </c>
      <c r="AH870" t="s">
        <v>1704</v>
      </c>
      <c r="AN870" s="43">
        <v>307.5</v>
      </c>
    </row>
    <row r="871" spans="2:40">
      <c r="B871" t="s">
        <v>1209</v>
      </c>
      <c r="C871" t="s">
        <v>121</v>
      </c>
      <c r="D871" t="s">
        <v>167</v>
      </c>
      <c r="E871" t="s">
        <v>83</v>
      </c>
      <c r="F871" s="37">
        <v>45581</v>
      </c>
      <c r="G871">
        <v>10</v>
      </c>
      <c r="H871" t="s">
        <v>174</v>
      </c>
      <c r="I871" s="37">
        <v>45651</v>
      </c>
      <c r="J871" t="s">
        <v>165</v>
      </c>
      <c r="K871" t="s">
        <v>166</v>
      </c>
      <c r="L871" t="s">
        <v>175</v>
      </c>
      <c r="M871" t="s">
        <v>1209</v>
      </c>
      <c r="O871" t="s">
        <v>1209</v>
      </c>
      <c r="Q871" t="s">
        <v>1643</v>
      </c>
      <c r="U871" t="s">
        <v>1697</v>
      </c>
      <c r="W871" t="s">
        <v>1702</v>
      </c>
      <c r="X871">
        <v>4</v>
      </c>
      <c r="AA871" s="43">
        <v>307.5</v>
      </c>
      <c r="AC871" s="43">
        <v>307.5</v>
      </c>
      <c r="AF871" s="37">
        <f t="shared" si="27"/>
        <v>45910</v>
      </c>
      <c r="AG871" s="37">
        <f t="shared" si="28"/>
        <v>47116.611570247936</v>
      </c>
      <c r="AH871" t="s">
        <v>1705</v>
      </c>
      <c r="AN871" s="43">
        <v>307.5</v>
      </c>
    </row>
    <row r="872" spans="2:40">
      <c r="B872" t="s">
        <v>1210</v>
      </c>
      <c r="C872" t="s">
        <v>121</v>
      </c>
      <c r="D872" t="s">
        <v>167</v>
      </c>
      <c r="E872" t="s">
        <v>83</v>
      </c>
      <c r="F872" s="37">
        <v>45574</v>
      </c>
      <c r="G872">
        <v>10</v>
      </c>
      <c r="H872" t="s">
        <v>174</v>
      </c>
      <c r="I872" s="37">
        <v>45637</v>
      </c>
      <c r="J872" t="s">
        <v>165</v>
      </c>
      <c r="K872" t="s">
        <v>166</v>
      </c>
      <c r="L872" t="s">
        <v>175</v>
      </c>
      <c r="M872" t="s">
        <v>1210</v>
      </c>
      <c r="O872" t="s">
        <v>1210</v>
      </c>
      <c r="Q872" t="s">
        <v>1643</v>
      </c>
      <c r="U872" t="s">
        <v>1696</v>
      </c>
      <c r="W872" t="s">
        <v>1699</v>
      </c>
      <c r="X872">
        <v>4</v>
      </c>
      <c r="AA872" s="43">
        <v>307.5</v>
      </c>
      <c r="AC872" s="43">
        <v>307.5</v>
      </c>
      <c r="AF872" s="37">
        <f t="shared" si="27"/>
        <v>45903</v>
      </c>
      <c r="AG872" s="37">
        <f t="shared" si="28"/>
        <v>47109.611570247936</v>
      </c>
      <c r="AH872" t="s">
        <v>1704</v>
      </c>
      <c r="AN872" s="43">
        <v>307.5</v>
      </c>
    </row>
    <row r="873" spans="2:40">
      <c r="B873" t="s">
        <v>1211</v>
      </c>
      <c r="C873" t="s">
        <v>121</v>
      </c>
      <c r="D873" t="s">
        <v>167</v>
      </c>
      <c r="E873" t="s">
        <v>83</v>
      </c>
      <c r="F873" s="37">
        <v>45574</v>
      </c>
      <c r="G873">
        <v>10</v>
      </c>
      <c r="H873" t="s">
        <v>174</v>
      </c>
      <c r="I873" s="37">
        <v>45644</v>
      </c>
      <c r="J873" t="s">
        <v>165</v>
      </c>
      <c r="K873" t="s">
        <v>166</v>
      </c>
      <c r="L873" t="s">
        <v>175</v>
      </c>
      <c r="M873" t="s">
        <v>1211</v>
      </c>
      <c r="O873" t="s">
        <v>1211</v>
      </c>
      <c r="Q873" t="s">
        <v>1643</v>
      </c>
      <c r="U873" t="s">
        <v>1698</v>
      </c>
      <c r="W873" t="s">
        <v>1703</v>
      </c>
      <c r="X873">
        <v>3</v>
      </c>
      <c r="AA873" s="43">
        <v>307.5</v>
      </c>
      <c r="AC873" s="43">
        <v>307.5</v>
      </c>
      <c r="AF873" s="37">
        <f t="shared" si="27"/>
        <v>45903</v>
      </c>
      <c r="AG873" s="37">
        <f t="shared" si="28"/>
        <v>47109.611570247936</v>
      </c>
      <c r="AH873" t="s">
        <v>169</v>
      </c>
      <c r="AN873" s="43">
        <v>307.5</v>
      </c>
    </row>
    <row r="874" spans="2:40">
      <c r="B874" t="s">
        <v>1212</v>
      </c>
      <c r="C874" t="s">
        <v>121</v>
      </c>
      <c r="D874" t="s">
        <v>167</v>
      </c>
      <c r="E874" t="s">
        <v>83</v>
      </c>
      <c r="F874" s="37">
        <v>45574</v>
      </c>
      <c r="G874">
        <v>10</v>
      </c>
      <c r="H874" t="s">
        <v>174</v>
      </c>
      <c r="I874" s="37">
        <v>45644</v>
      </c>
      <c r="J874" t="s">
        <v>165</v>
      </c>
      <c r="K874" t="s">
        <v>166</v>
      </c>
      <c r="L874" t="s">
        <v>175</v>
      </c>
      <c r="M874" t="s">
        <v>1212</v>
      </c>
      <c r="O874" t="s">
        <v>1212</v>
      </c>
      <c r="Q874" t="s">
        <v>1643</v>
      </c>
      <c r="U874" t="s">
        <v>1697</v>
      </c>
      <c r="W874" t="s">
        <v>1702</v>
      </c>
      <c r="X874">
        <v>4</v>
      </c>
      <c r="AA874" s="43">
        <v>307.5</v>
      </c>
      <c r="AC874" s="43">
        <v>307.5</v>
      </c>
      <c r="AF874" s="37">
        <f t="shared" si="27"/>
        <v>45903</v>
      </c>
      <c r="AG874" s="37">
        <f t="shared" si="28"/>
        <v>47109.611570247936</v>
      </c>
      <c r="AH874" t="s">
        <v>1705</v>
      </c>
      <c r="AN874" s="43">
        <v>307.5</v>
      </c>
    </row>
    <row r="875" spans="2:40">
      <c r="B875" t="s">
        <v>1213</v>
      </c>
      <c r="C875" t="s">
        <v>121</v>
      </c>
      <c r="D875" t="s">
        <v>167</v>
      </c>
      <c r="E875" t="s">
        <v>83</v>
      </c>
      <c r="F875" s="37">
        <v>45574</v>
      </c>
      <c r="G875">
        <v>10</v>
      </c>
      <c r="H875" t="s">
        <v>174</v>
      </c>
      <c r="I875" s="37">
        <v>45644</v>
      </c>
      <c r="J875" t="s">
        <v>165</v>
      </c>
      <c r="K875" t="s">
        <v>166</v>
      </c>
      <c r="L875" t="s">
        <v>175</v>
      </c>
      <c r="M875" t="s">
        <v>1213</v>
      </c>
      <c r="O875" t="s">
        <v>1213</v>
      </c>
      <c r="Q875" t="s">
        <v>1643</v>
      </c>
      <c r="U875" t="s">
        <v>1696</v>
      </c>
      <c r="W875" t="s">
        <v>1699</v>
      </c>
      <c r="X875">
        <v>4</v>
      </c>
      <c r="AA875" s="43">
        <v>307.5</v>
      </c>
      <c r="AC875" s="43">
        <v>307.5</v>
      </c>
      <c r="AF875" s="37">
        <f t="shared" si="27"/>
        <v>45903</v>
      </c>
      <c r="AG875" s="37">
        <f t="shared" si="28"/>
        <v>47109.611570247936</v>
      </c>
      <c r="AH875" t="s">
        <v>1704</v>
      </c>
      <c r="AN875" s="43">
        <v>307.5</v>
      </c>
    </row>
    <row r="876" spans="2:40">
      <c r="B876" t="s">
        <v>1214</v>
      </c>
      <c r="C876" t="s">
        <v>121</v>
      </c>
      <c r="D876" t="s">
        <v>167</v>
      </c>
      <c r="E876" t="s">
        <v>83</v>
      </c>
      <c r="F876" s="37">
        <v>45574</v>
      </c>
      <c r="G876">
        <v>10</v>
      </c>
      <c r="H876" t="s">
        <v>174</v>
      </c>
      <c r="I876" s="37">
        <v>45644</v>
      </c>
      <c r="J876" t="s">
        <v>165</v>
      </c>
      <c r="K876" t="s">
        <v>166</v>
      </c>
      <c r="L876" t="s">
        <v>175</v>
      </c>
      <c r="M876" t="s">
        <v>1214</v>
      </c>
      <c r="O876" t="s">
        <v>1214</v>
      </c>
      <c r="Q876" t="s">
        <v>1643</v>
      </c>
      <c r="U876" t="s">
        <v>1697</v>
      </c>
      <c r="W876" t="s">
        <v>1702</v>
      </c>
      <c r="X876">
        <v>4</v>
      </c>
      <c r="AA876" s="43">
        <v>307.5</v>
      </c>
      <c r="AC876" s="43">
        <v>307.5</v>
      </c>
      <c r="AF876" s="37">
        <f t="shared" si="27"/>
        <v>45903</v>
      </c>
      <c r="AG876" s="37">
        <f t="shared" si="28"/>
        <v>47109.611570247936</v>
      </c>
      <c r="AH876" t="s">
        <v>1705</v>
      </c>
      <c r="AN876" s="43">
        <v>307.5</v>
      </c>
    </row>
    <row r="877" spans="2:40">
      <c r="B877" t="s">
        <v>1215</v>
      </c>
      <c r="C877" t="s">
        <v>121</v>
      </c>
      <c r="D877" t="s">
        <v>167</v>
      </c>
      <c r="E877" t="s">
        <v>83</v>
      </c>
      <c r="F877" s="37">
        <v>45574</v>
      </c>
      <c r="G877">
        <v>10</v>
      </c>
      <c r="H877" t="s">
        <v>174</v>
      </c>
      <c r="I877" s="37">
        <v>45644</v>
      </c>
      <c r="J877" t="s">
        <v>165</v>
      </c>
      <c r="K877" t="s">
        <v>166</v>
      </c>
      <c r="L877" t="s">
        <v>175</v>
      </c>
      <c r="M877" t="s">
        <v>1215</v>
      </c>
      <c r="O877" t="s">
        <v>1215</v>
      </c>
      <c r="Q877" t="s">
        <v>1643</v>
      </c>
      <c r="U877" t="s">
        <v>1697</v>
      </c>
      <c r="W877" t="s">
        <v>1702</v>
      </c>
      <c r="X877">
        <v>4</v>
      </c>
      <c r="AA877" s="43">
        <v>307.5</v>
      </c>
      <c r="AC877" s="43">
        <v>307.5</v>
      </c>
      <c r="AF877" s="37">
        <f t="shared" si="27"/>
        <v>45903</v>
      </c>
      <c r="AG877" s="37">
        <f t="shared" si="28"/>
        <v>47109.611570247936</v>
      </c>
      <c r="AH877" t="s">
        <v>1705</v>
      </c>
      <c r="AN877" s="43">
        <v>307.5</v>
      </c>
    </row>
    <row r="878" spans="2:40">
      <c r="B878" t="s">
        <v>1216</v>
      </c>
      <c r="C878" t="s">
        <v>121</v>
      </c>
      <c r="D878" t="s">
        <v>167</v>
      </c>
      <c r="E878" t="s">
        <v>83</v>
      </c>
      <c r="F878" s="37">
        <v>45574</v>
      </c>
      <c r="G878">
        <v>10</v>
      </c>
      <c r="H878" t="s">
        <v>174</v>
      </c>
      <c r="I878" s="37">
        <v>45644</v>
      </c>
      <c r="J878" t="s">
        <v>165</v>
      </c>
      <c r="K878" t="s">
        <v>166</v>
      </c>
      <c r="L878" t="s">
        <v>175</v>
      </c>
      <c r="M878" t="s">
        <v>1216</v>
      </c>
      <c r="O878" t="s">
        <v>1216</v>
      </c>
      <c r="Q878" t="s">
        <v>1643</v>
      </c>
      <c r="U878" t="s">
        <v>1697</v>
      </c>
      <c r="W878" t="s">
        <v>1702</v>
      </c>
      <c r="X878">
        <v>4</v>
      </c>
      <c r="AA878" s="43">
        <v>307.5</v>
      </c>
      <c r="AC878" s="43">
        <v>307.5</v>
      </c>
      <c r="AF878" s="37">
        <f t="shared" si="27"/>
        <v>45903</v>
      </c>
      <c r="AG878" s="37">
        <f t="shared" si="28"/>
        <v>47109.611570247936</v>
      </c>
      <c r="AH878" t="s">
        <v>1705</v>
      </c>
      <c r="AN878" s="43">
        <v>307.5</v>
      </c>
    </row>
    <row r="879" spans="2:40">
      <c r="B879" t="s">
        <v>1217</v>
      </c>
      <c r="C879" t="s">
        <v>121</v>
      </c>
      <c r="D879" t="s">
        <v>167</v>
      </c>
      <c r="E879" t="s">
        <v>83</v>
      </c>
      <c r="F879" s="37">
        <v>45574</v>
      </c>
      <c r="G879">
        <v>10</v>
      </c>
      <c r="H879" t="s">
        <v>174</v>
      </c>
      <c r="I879" s="37">
        <v>45644</v>
      </c>
      <c r="J879" t="s">
        <v>165</v>
      </c>
      <c r="K879" t="s">
        <v>166</v>
      </c>
      <c r="L879" t="s">
        <v>175</v>
      </c>
      <c r="M879" t="s">
        <v>1217</v>
      </c>
      <c r="O879" t="s">
        <v>1217</v>
      </c>
      <c r="Q879" t="s">
        <v>1643</v>
      </c>
      <c r="U879" t="s">
        <v>1697</v>
      </c>
      <c r="W879" t="s">
        <v>1702</v>
      </c>
      <c r="X879">
        <v>4</v>
      </c>
      <c r="AA879" s="43">
        <v>307.5</v>
      </c>
      <c r="AC879" s="43">
        <v>307.5</v>
      </c>
      <c r="AF879" s="37">
        <f t="shared" si="27"/>
        <v>45903</v>
      </c>
      <c r="AG879" s="37">
        <f t="shared" si="28"/>
        <v>47109.611570247936</v>
      </c>
      <c r="AH879" t="s">
        <v>1705</v>
      </c>
      <c r="AN879" s="43">
        <v>307.5</v>
      </c>
    </row>
    <row r="880" spans="2:40">
      <c r="B880" t="s">
        <v>1218</v>
      </c>
      <c r="C880" t="s">
        <v>121</v>
      </c>
      <c r="D880" t="s">
        <v>167</v>
      </c>
      <c r="E880" t="s">
        <v>83</v>
      </c>
      <c r="F880" s="37">
        <v>45567</v>
      </c>
      <c r="G880">
        <v>10</v>
      </c>
      <c r="H880" t="s">
        <v>174</v>
      </c>
      <c r="I880" s="37">
        <v>45637</v>
      </c>
      <c r="J880" t="s">
        <v>165</v>
      </c>
      <c r="K880" t="s">
        <v>166</v>
      </c>
      <c r="L880" t="s">
        <v>175</v>
      </c>
      <c r="M880" t="s">
        <v>1218</v>
      </c>
      <c r="O880" t="s">
        <v>1218</v>
      </c>
      <c r="Q880" t="s">
        <v>1643</v>
      </c>
      <c r="U880" t="s">
        <v>1697</v>
      </c>
      <c r="W880" t="s">
        <v>1702</v>
      </c>
      <c r="X880">
        <v>4</v>
      </c>
      <c r="AA880" s="43">
        <v>307.5</v>
      </c>
      <c r="AC880" s="43">
        <v>307.5</v>
      </c>
      <c r="AF880" s="37">
        <f t="shared" si="27"/>
        <v>45896</v>
      </c>
      <c r="AG880" s="37">
        <f t="shared" si="28"/>
        <v>47102.611570247936</v>
      </c>
      <c r="AH880" t="s">
        <v>1705</v>
      </c>
      <c r="AN880" s="43">
        <v>307.5</v>
      </c>
    </row>
    <row r="881" spans="2:40">
      <c r="B881" t="s">
        <v>1219</v>
      </c>
      <c r="C881" t="s">
        <v>121</v>
      </c>
      <c r="D881" t="s">
        <v>167</v>
      </c>
      <c r="E881" t="s">
        <v>83</v>
      </c>
      <c r="F881" s="37">
        <v>45567</v>
      </c>
      <c r="G881">
        <v>10</v>
      </c>
      <c r="H881" t="s">
        <v>174</v>
      </c>
      <c r="I881" s="37">
        <v>45637</v>
      </c>
      <c r="J881" t="s">
        <v>165</v>
      </c>
      <c r="K881" t="s">
        <v>166</v>
      </c>
      <c r="L881" t="s">
        <v>175</v>
      </c>
      <c r="M881" t="s">
        <v>1219</v>
      </c>
      <c r="O881" t="s">
        <v>1219</v>
      </c>
      <c r="Q881" t="s">
        <v>1643</v>
      </c>
      <c r="U881" t="s">
        <v>1696</v>
      </c>
      <c r="W881" t="s">
        <v>1699</v>
      </c>
      <c r="X881">
        <v>4</v>
      </c>
      <c r="AA881" s="43">
        <v>307.5</v>
      </c>
      <c r="AC881" s="43">
        <v>307.5</v>
      </c>
      <c r="AF881" s="37">
        <f t="shared" si="27"/>
        <v>45896</v>
      </c>
      <c r="AG881" s="37">
        <f t="shared" si="28"/>
        <v>47102.611570247936</v>
      </c>
      <c r="AH881" t="s">
        <v>1704</v>
      </c>
      <c r="AN881" s="43">
        <v>307.5</v>
      </c>
    </row>
    <row r="882" spans="2:40">
      <c r="B882" t="s">
        <v>1220</v>
      </c>
      <c r="C882" t="s">
        <v>121</v>
      </c>
      <c r="D882" t="s">
        <v>167</v>
      </c>
      <c r="E882" t="s">
        <v>83</v>
      </c>
      <c r="F882" s="37">
        <v>45567</v>
      </c>
      <c r="G882">
        <v>10</v>
      </c>
      <c r="H882" t="s">
        <v>174</v>
      </c>
      <c r="I882" s="37">
        <v>45637</v>
      </c>
      <c r="J882" t="s">
        <v>165</v>
      </c>
      <c r="K882" t="s">
        <v>166</v>
      </c>
      <c r="L882" t="s">
        <v>175</v>
      </c>
      <c r="M882" t="s">
        <v>1220</v>
      </c>
      <c r="O882" t="s">
        <v>1220</v>
      </c>
      <c r="Q882" t="s">
        <v>1643</v>
      </c>
      <c r="U882" t="s">
        <v>1697</v>
      </c>
      <c r="W882" t="s">
        <v>1702</v>
      </c>
      <c r="X882">
        <v>4</v>
      </c>
      <c r="AA882" s="43">
        <v>307.5</v>
      </c>
      <c r="AC882" s="43">
        <v>307.5</v>
      </c>
      <c r="AF882" s="37">
        <f t="shared" si="27"/>
        <v>45896</v>
      </c>
      <c r="AG882" s="37">
        <f t="shared" si="28"/>
        <v>47102.611570247936</v>
      </c>
      <c r="AH882" t="s">
        <v>1705</v>
      </c>
      <c r="AN882" s="43">
        <v>307.5</v>
      </c>
    </row>
    <row r="883" spans="2:40">
      <c r="B883" t="s">
        <v>1221</v>
      </c>
      <c r="C883" t="s">
        <v>121</v>
      </c>
      <c r="D883" t="s">
        <v>167</v>
      </c>
      <c r="E883" t="s">
        <v>83</v>
      </c>
      <c r="F883" s="37">
        <v>45567</v>
      </c>
      <c r="G883">
        <v>10</v>
      </c>
      <c r="H883" t="s">
        <v>174</v>
      </c>
      <c r="I883" s="37">
        <v>45637</v>
      </c>
      <c r="J883" t="s">
        <v>165</v>
      </c>
      <c r="K883" t="s">
        <v>166</v>
      </c>
      <c r="L883" t="s">
        <v>175</v>
      </c>
      <c r="M883" t="s">
        <v>1221</v>
      </c>
      <c r="O883" t="s">
        <v>1221</v>
      </c>
      <c r="Q883" t="s">
        <v>1643</v>
      </c>
      <c r="U883" t="s">
        <v>1697</v>
      </c>
      <c r="W883" t="s">
        <v>1702</v>
      </c>
      <c r="X883">
        <v>4</v>
      </c>
      <c r="AA883" s="43">
        <v>307.5</v>
      </c>
      <c r="AC883" s="43">
        <v>307.5</v>
      </c>
      <c r="AF883" s="37">
        <f t="shared" si="27"/>
        <v>45896</v>
      </c>
      <c r="AG883" s="37">
        <f t="shared" si="28"/>
        <v>47102.611570247936</v>
      </c>
      <c r="AH883" t="s">
        <v>1705</v>
      </c>
      <c r="AN883" s="43">
        <v>307.5</v>
      </c>
    </row>
    <row r="884" spans="2:40">
      <c r="B884" t="s">
        <v>1222</v>
      </c>
      <c r="C884" t="s">
        <v>121</v>
      </c>
      <c r="D884" t="s">
        <v>167</v>
      </c>
      <c r="E884" t="s">
        <v>83</v>
      </c>
      <c r="F884" s="37">
        <v>45567</v>
      </c>
      <c r="G884">
        <v>10</v>
      </c>
      <c r="H884" t="s">
        <v>174</v>
      </c>
      <c r="I884" s="37">
        <v>45637</v>
      </c>
      <c r="J884" t="s">
        <v>165</v>
      </c>
      <c r="K884" t="s">
        <v>166</v>
      </c>
      <c r="L884" t="s">
        <v>175</v>
      </c>
      <c r="M884" t="s">
        <v>1222</v>
      </c>
      <c r="O884" t="s">
        <v>1222</v>
      </c>
      <c r="Q884" t="s">
        <v>1643</v>
      </c>
      <c r="U884" t="s">
        <v>1697</v>
      </c>
      <c r="W884" t="s">
        <v>1702</v>
      </c>
      <c r="X884">
        <v>4</v>
      </c>
      <c r="AA884" s="43">
        <v>307.5</v>
      </c>
      <c r="AC884" s="43">
        <v>307.5</v>
      </c>
      <c r="AF884" s="37">
        <f t="shared" si="27"/>
        <v>45896</v>
      </c>
      <c r="AG884" s="37">
        <f t="shared" si="28"/>
        <v>47102.611570247936</v>
      </c>
      <c r="AH884" t="s">
        <v>1705</v>
      </c>
      <c r="AN884" s="43">
        <v>307.5</v>
      </c>
    </row>
    <row r="885" spans="2:40">
      <c r="B885" t="s">
        <v>1223</v>
      </c>
      <c r="C885" t="s">
        <v>121</v>
      </c>
      <c r="D885" t="s">
        <v>167</v>
      </c>
      <c r="E885" t="s">
        <v>83</v>
      </c>
      <c r="F885" s="37">
        <v>45560</v>
      </c>
      <c r="G885">
        <v>10</v>
      </c>
      <c r="H885" t="s">
        <v>174</v>
      </c>
      <c r="I885" s="37">
        <v>45630</v>
      </c>
      <c r="J885" t="s">
        <v>165</v>
      </c>
      <c r="K885" t="s">
        <v>166</v>
      </c>
      <c r="L885" t="s">
        <v>175</v>
      </c>
      <c r="M885" t="s">
        <v>1223</v>
      </c>
      <c r="O885" t="s">
        <v>1223</v>
      </c>
      <c r="Q885" t="s">
        <v>1643</v>
      </c>
      <c r="U885" t="s">
        <v>1697</v>
      </c>
      <c r="W885" t="s">
        <v>1702</v>
      </c>
      <c r="X885">
        <v>4</v>
      </c>
      <c r="AA885" s="43">
        <v>307.5</v>
      </c>
      <c r="AC885" s="43">
        <v>307.5</v>
      </c>
      <c r="AF885" s="37">
        <f t="shared" si="27"/>
        <v>45889</v>
      </c>
      <c r="AG885" s="37">
        <f t="shared" si="28"/>
        <v>47095.611570247936</v>
      </c>
      <c r="AH885" t="s">
        <v>1705</v>
      </c>
      <c r="AN885" s="43">
        <v>307.5</v>
      </c>
    </row>
    <row r="886" spans="2:40">
      <c r="B886" t="s">
        <v>1224</v>
      </c>
      <c r="C886" t="s">
        <v>121</v>
      </c>
      <c r="D886" t="s">
        <v>167</v>
      </c>
      <c r="E886" t="s">
        <v>83</v>
      </c>
      <c r="F886" s="37">
        <v>45560</v>
      </c>
      <c r="G886">
        <v>10</v>
      </c>
      <c r="H886" t="s">
        <v>174</v>
      </c>
      <c r="I886" s="37">
        <v>45630</v>
      </c>
      <c r="J886" t="s">
        <v>165</v>
      </c>
      <c r="K886" t="s">
        <v>166</v>
      </c>
      <c r="L886" t="s">
        <v>175</v>
      </c>
      <c r="M886" t="s">
        <v>1224</v>
      </c>
      <c r="O886" t="s">
        <v>1224</v>
      </c>
      <c r="Q886" t="s">
        <v>1643</v>
      </c>
      <c r="U886" t="s">
        <v>1697</v>
      </c>
      <c r="W886" t="s">
        <v>1702</v>
      </c>
      <c r="X886">
        <v>4</v>
      </c>
      <c r="AA886" s="43">
        <v>307.5</v>
      </c>
      <c r="AC886" s="43">
        <v>307.5</v>
      </c>
      <c r="AF886" s="37">
        <f t="shared" si="27"/>
        <v>45889</v>
      </c>
      <c r="AG886" s="37">
        <f t="shared" si="28"/>
        <v>47095.611570247936</v>
      </c>
      <c r="AH886" t="s">
        <v>1705</v>
      </c>
      <c r="AN886" s="43">
        <v>307.5</v>
      </c>
    </row>
    <row r="887" spans="2:40">
      <c r="B887" t="s">
        <v>1225</v>
      </c>
      <c r="C887" t="s">
        <v>121</v>
      </c>
      <c r="D887" t="s">
        <v>167</v>
      </c>
      <c r="E887" t="s">
        <v>83</v>
      </c>
      <c r="F887" s="37">
        <v>45560</v>
      </c>
      <c r="G887">
        <v>10</v>
      </c>
      <c r="H887" t="s">
        <v>174</v>
      </c>
      <c r="I887" s="37">
        <v>45630</v>
      </c>
      <c r="J887" t="s">
        <v>165</v>
      </c>
      <c r="K887" t="s">
        <v>166</v>
      </c>
      <c r="L887" t="s">
        <v>175</v>
      </c>
      <c r="M887" t="s">
        <v>1225</v>
      </c>
      <c r="O887" t="s">
        <v>1225</v>
      </c>
      <c r="Q887" t="s">
        <v>1643</v>
      </c>
      <c r="U887" t="s">
        <v>1697</v>
      </c>
      <c r="W887" t="s">
        <v>1702</v>
      </c>
      <c r="X887">
        <v>4</v>
      </c>
      <c r="AA887" s="43">
        <v>307.5</v>
      </c>
      <c r="AC887" s="43">
        <v>307.5</v>
      </c>
      <c r="AF887" s="37">
        <f t="shared" si="27"/>
        <v>45889</v>
      </c>
      <c r="AG887" s="37">
        <f t="shared" si="28"/>
        <v>47095.611570247936</v>
      </c>
      <c r="AH887" t="s">
        <v>1705</v>
      </c>
      <c r="AN887" s="43">
        <v>307.5</v>
      </c>
    </row>
    <row r="888" spans="2:40">
      <c r="B888" t="s">
        <v>1226</v>
      </c>
      <c r="C888" t="s">
        <v>121</v>
      </c>
      <c r="D888" t="s">
        <v>167</v>
      </c>
      <c r="E888" t="s">
        <v>83</v>
      </c>
      <c r="F888" s="37">
        <v>45560</v>
      </c>
      <c r="G888">
        <v>10</v>
      </c>
      <c r="H888" t="s">
        <v>174</v>
      </c>
      <c r="I888" s="37">
        <v>45630</v>
      </c>
      <c r="J888" t="s">
        <v>165</v>
      </c>
      <c r="K888" t="s">
        <v>166</v>
      </c>
      <c r="L888" t="s">
        <v>175</v>
      </c>
      <c r="M888" t="s">
        <v>1226</v>
      </c>
      <c r="O888" t="s">
        <v>1226</v>
      </c>
      <c r="Q888" t="s">
        <v>1643</v>
      </c>
      <c r="U888" t="s">
        <v>1697</v>
      </c>
      <c r="W888" t="s">
        <v>1702</v>
      </c>
      <c r="X888">
        <v>4</v>
      </c>
      <c r="AA888" s="43">
        <v>307.5</v>
      </c>
      <c r="AC888" s="43">
        <v>307.5</v>
      </c>
      <c r="AF888" s="37">
        <f t="shared" si="27"/>
        <v>45889</v>
      </c>
      <c r="AG888" s="37">
        <f t="shared" si="28"/>
        <v>47095.611570247936</v>
      </c>
      <c r="AH888" t="s">
        <v>1705</v>
      </c>
      <c r="AN888" s="43">
        <v>307.5</v>
      </c>
    </row>
    <row r="889" spans="2:40">
      <c r="B889" t="s">
        <v>1227</v>
      </c>
      <c r="C889" t="s">
        <v>121</v>
      </c>
      <c r="D889" t="s">
        <v>167</v>
      </c>
      <c r="E889" t="s">
        <v>83</v>
      </c>
      <c r="F889" s="37">
        <v>45560</v>
      </c>
      <c r="G889">
        <v>10</v>
      </c>
      <c r="H889" t="s">
        <v>174</v>
      </c>
      <c r="I889" s="37">
        <v>45630</v>
      </c>
      <c r="J889" t="s">
        <v>165</v>
      </c>
      <c r="K889" t="s">
        <v>166</v>
      </c>
      <c r="L889" t="s">
        <v>175</v>
      </c>
      <c r="M889" t="s">
        <v>1227</v>
      </c>
      <c r="O889" t="s">
        <v>1227</v>
      </c>
      <c r="Q889" t="s">
        <v>1643</v>
      </c>
      <c r="U889" t="s">
        <v>1697</v>
      </c>
      <c r="W889" t="s">
        <v>1702</v>
      </c>
      <c r="X889">
        <v>4</v>
      </c>
      <c r="AA889" s="43">
        <v>307.5</v>
      </c>
      <c r="AC889" s="43">
        <v>307.5</v>
      </c>
      <c r="AF889" s="37">
        <f t="shared" si="27"/>
        <v>45889</v>
      </c>
      <c r="AG889" s="37">
        <f t="shared" si="28"/>
        <v>47095.611570247936</v>
      </c>
      <c r="AH889" t="s">
        <v>1705</v>
      </c>
      <c r="AN889" s="43">
        <v>307.5</v>
      </c>
    </row>
    <row r="890" spans="2:40">
      <c r="B890" t="s">
        <v>1228</v>
      </c>
      <c r="C890" t="s">
        <v>121</v>
      </c>
      <c r="D890" t="s">
        <v>167</v>
      </c>
      <c r="E890" t="s">
        <v>83</v>
      </c>
      <c r="F890" s="37">
        <v>45553</v>
      </c>
      <c r="G890">
        <v>10</v>
      </c>
      <c r="H890" t="s">
        <v>174</v>
      </c>
      <c r="I890" s="37">
        <v>45624</v>
      </c>
      <c r="J890" t="s">
        <v>165</v>
      </c>
      <c r="K890" t="s">
        <v>166</v>
      </c>
      <c r="L890" t="s">
        <v>175</v>
      </c>
      <c r="M890" t="s">
        <v>1228</v>
      </c>
      <c r="O890" t="s">
        <v>1228</v>
      </c>
      <c r="Q890" t="s">
        <v>1643</v>
      </c>
      <c r="U890" t="s">
        <v>1697</v>
      </c>
      <c r="W890" t="s">
        <v>1702</v>
      </c>
      <c r="X890">
        <v>4</v>
      </c>
      <c r="AA890" s="43">
        <v>307.5</v>
      </c>
      <c r="AC890" s="43">
        <v>307.5</v>
      </c>
      <c r="AF890" s="37">
        <f t="shared" si="27"/>
        <v>45882</v>
      </c>
      <c r="AG890" s="37">
        <f t="shared" si="28"/>
        <v>47088.611570247936</v>
      </c>
      <c r="AH890" t="s">
        <v>1705</v>
      </c>
      <c r="AN890" s="43">
        <v>307.5</v>
      </c>
    </row>
    <row r="891" spans="2:40">
      <c r="B891" t="s">
        <v>1229</v>
      </c>
      <c r="C891" t="s">
        <v>121</v>
      </c>
      <c r="D891" t="s">
        <v>167</v>
      </c>
      <c r="E891" t="s">
        <v>83</v>
      </c>
      <c r="F891" s="37">
        <v>45546</v>
      </c>
      <c r="G891">
        <v>10</v>
      </c>
      <c r="H891" t="s">
        <v>174</v>
      </c>
      <c r="I891" s="37">
        <v>45616</v>
      </c>
      <c r="J891" t="s">
        <v>165</v>
      </c>
      <c r="K891" t="s">
        <v>166</v>
      </c>
      <c r="L891" t="s">
        <v>175</v>
      </c>
      <c r="M891" t="s">
        <v>1229</v>
      </c>
      <c r="O891" t="s">
        <v>1229</v>
      </c>
      <c r="Q891" t="s">
        <v>1643</v>
      </c>
      <c r="U891" t="s">
        <v>1697</v>
      </c>
      <c r="W891" t="s">
        <v>1702</v>
      </c>
      <c r="X891">
        <v>4</v>
      </c>
      <c r="AA891" s="43">
        <v>307.5</v>
      </c>
      <c r="AC891" s="43">
        <v>307.5</v>
      </c>
      <c r="AF891" s="37">
        <f t="shared" si="27"/>
        <v>45875</v>
      </c>
      <c r="AG891" s="37">
        <f t="shared" si="28"/>
        <v>47081.611570247936</v>
      </c>
      <c r="AH891" t="s">
        <v>1705</v>
      </c>
      <c r="AN891" s="43">
        <v>307.5</v>
      </c>
    </row>
    <row r="892" spans="2:40">
      <c r="B892" t="s">
        <v>1230</v>
      </c>
      <c r="C892" t="s">
        <v>121</v>
      </c>
      <c r="D892" t="s">
        <v>167</v>
      </c>
      <c r="E892" t="s">
        <v>83</v>
      </c>
      <c r="F892" s="37">
        <v>45546</v>
      </c>
      <c r="G892">
        <v>10</v>
      </c>
      <c r="H892" t="s">
        <v>174</v>
      </c>
      <c r="I892" s="37">
        <v>45616</v>
      </c>
      <c r="J892" t="s">
        <v>165</v>
      </c>
      <c r="K892" t="s">
        <v>166</v>
      </c>
      <c r="L892" t="s">
        <v>175</v>
      </c>
      <c r="M892" t="s">
        <v>1230</v>
      </c>
      <c r="O892" t="s">
        <v>1230</v>
      </c>
      <c r="Q892" t="s">
        <v>1643</v>
      </c>
      <c r="U892" t="s">
        <v>1697</v>
      </c>
      <c r="W892" t="s">
        <v>1702</v>
      </c>
      <c r="X892">
        <v>4</v>
      </c>
      <c r="AA892" s="43">
        <v>307.5</v>
      </c>
      <c r="AC892" s="43">
        <v>307.5</v>
      </c>
      <c r="AF892" s="37">
        <f t="shared" si="27"/>
        <v>45875</v>
      </c>
      <c r="AG892" s="37">
        <f t="shared" si="28"/>
        <v>47081.611570247936</v>
      </c>
      <c r="AH892" t="s">
        <v>1705</v>
      </c>
      <c r="AN892" s="43">
        <v>307.5</v>
      </c>
    </row>
    <row r="893" spans="2:40">
      <c r="B893" t="s">
        <v>1231</v>
      </c>
      <c r="C893" t="s">
        <v>121</v>
      </c>
      <c r="D893" t="s">
        <v>167</v>
      </c>
      <c r="E893" t="s">
        <v>83</v>
      </c>
      <c r="F893" s="37">
        <v>45546</v>
      </c>
      <c r="G893">
        <v>10</v>
      </c>
      <c r="H893" t="s">
        <v>174</v>
      </c>
      <c r="I893" s="37">
        <v>45616</v>
      </c>
      <c r="J893" t="s">
        <v>165</v>
      </c>
      <c r="K893" t="s">
        <v>166</v>
      </c>
      <c r="L893" t="s">
        <v>175</v>
      </c>
      <c r="M893" t="s">
        <v>1231</v>
      </c>
      <c r="O893" t="s">
        <v>1231</v>
      </c>
      <c r="Q893" t="s">
        <v>1643</v>
      </c>
      <c r="U893" t="s">
        <v>1697</v>
      </c>
      <c r="W893" t="s">
        <v>1702</v>
      </c>
      <c r="X893">
        <v>4</v>
      </c>
      <c r="AA893" s="43">
        <v>307.5</v>
      </c>
      <c r="AC893" s="43">
        <v>307.5</v>
      </c>
      <c r="AF893" s="37">
        <f t="shared" si="27"/>
        <v>45875</v>
      </c>
      <c r="AG893" s="37">
        <f t="shared" si="28"/>
        <v>47081.611570247936</v>
      </c>
      <c r="AH893" t="s">
        <v>1705</v>
      </c>
      <c r="AN893" s="43">
        <v>307.5</v>
      </c>
    </row>
    <row r="894" spans="2:40">
      <c r="B894" t="s">
        <v>1232</v>
      </c>
      <c r="C894" t="s">
        <v>121</v>
      </c>
      <c r="D894" t="s">
        <v>167</v>
      </c>
      <c r="E894" t="s">
        <v>83</v>
      </c>
      <c r="F894" s="37">
        <v>45546</v>
      </c>
      <c r="G894">
        <v>10</v>
      </c>
      <c r="H894" t="s">
        <v>174</v>
      </c>
      <c r="I894" s="37">
        <v>45616</v>
      </c>
      <c r="J894" t="s">
        <v>165</v>
      </c>
      <c r="K894" t="s">
        <v>166</v>
      </c>
      <c r="L894" t="s">
        <v>175</v>
      </c>
      <c r="M894" t="s">
        <v>1232</v>
      </c>
      <c r="O894" t="s">
        <v>1232</v>
      </c>
      <c r="Q894" t="s">
        <v>1643</v>
      </c>
      <c r="U894" t="s">
        <v>1697</v>
      </c>
      <c r="W894" t="s">
        <v>1702</v>
      </c>
      <c r="X894">
        <v>4</v>
      </c>
      <c r="AA894" s="43">
        <v>307.5</v>
      </c>
      <c r="AC894" s="43">
        <v>307.5</v>
      </c>
      <c r="AF894" s="37">
        <f t="shared" si="27"/>
        <v>45875</v>
      </c>
      <c r="AG894" s="37">
        <f t="shared" si="28"/>
        <v>47081.611570247936</v>
      </c>
      <c r="AH894" t="s">
        <v>1705</v>
      </c>
      <c r="AN894" s="43">
        <v>307.5</v>
      </c>
    </row>
    <row r="895" spans="2:40">
      <c r="B895" t="s">
        <v>1233</v>
      </c>
      <c r="C895" t="s">
        <v>121</v>
      </c>
      <c r="D895" t="s">
        <v>167</v>
      </c>
      <c r="E895" t="s">
        <v>83</v>
      </c>
      <c r="F895" s="37">
        <v>45546</v>
      </c>
      <c r="G895">
        <v>10</v>
      </c>
      <c r="H895" t="s">
        <v>174</v>
      </c>
      <c r="I895" s="37">
        <v>45616</v>
      </c>
      <c r="J895" t="s">
        <v>165</v>
      </c>
      <c r="K895" t="s">
        <v>166</v>
      </c>
      <c r="L895" t="s">
        <v>175</v>
      </c>
      <c r="M895" t="s">
        <v>1233</v>
      </c>
      <c r="O895" t="s">
        <v>1233</v>
      </c>
      <c r="Q895" t="s">
        <v>1643</v>
      </c>
      <c r="U895" t="s">
        <v>1697</v>
      </c>
      <c r="W895" t="s">
        <v>1702</v>
      </c>
      <c r="X895">
        <v>4</v>
      </c>
      <c r="AA895" s="43">
        <v>307.5</v>
      </c>
      <c r="AC895" s="43">
        <v>307.5</v>
      </c>
      <c r="AF895" s="37">
        <f t="shared" si="27"/>
        <v>45875</v>
      </c>
      <c r="AG895" s="37">
        <f t="shared" si="28"/>
        <v>47081.611570247936</v>
      </c>
      <c r="AH895" t="s">
        <v>1705</v>
      </c>
      <c r="AN895" s="43">
        <v>307.5</v>
      </c>
    </row>
    <row r="896" spans="2:40">
      <c r="B896" t="s">
        <v>1234</v>
      </c>
      <c r="C896" t="s">
        <v>121</v>
      </c>
      <c r="D896" t="s">
        <v>167</v>
      </c>
      <c r="E896" t="s">
        <v>83</v>
      </c>
      <c r="F896" s="37">
        <v>45546</v>
      </c>
      <c r="G896">
        <v>10</v>
      </c>
      <c r="H896" t="s">
        <v>174</v>
      </c>
      <c r="I896" s="37">
        <v>45616</v>
      </c>
      <c r="J896" t="s">
        <v>165</v>
      </c>
      <c r="K896" t="s">
        <v>166</v>
      </c>
      <c r="L896" t="s">
        <v>175</v>
      </c>
      <c r="M896" t="s">
        <v>1234</v>
      </c>
      <c r="O896" t="s">
        <v>1234</v>
      </c>
      <c r="Q896" t="s">
        <v>1643</v>
      </c>
      <c r="U896" t="s">
        <v>1697</v>
      </c>
      <c r="W896" t="s">
        <v>1702</v>
      </c>
      <c r="X896">
        <v>4</v>
      </c>
      <c r="AA896" s="43">
        <v>307.5</v>
      </c>
      <c r="AC896" s="43">
        <v>307.5</v>
      </c>
      <c r="AF896" s="37">
        <f t="shared" si="27"/>
        <v>45875</v>
      </c>
      <c r="AG896" s="37">
        <f t="shared" si="28"/>
        <v>47081.611570247936</v>
      </c>
      <c r="AH896" t="s">
        <v>1705</v>
      </c>
      <c r="AN896" s="43">
        <v>307.5</v>
      </c>
    </row>
    <row r="897" spans="2:40">
      <c r="B897" t="s">
        <v>1235</v>
      </c>
      <c r="C897" t="s">
        <v>121</v>
      </c>
      <c r="D897" t="s">
        <v>167</v>
      </c>
      <c r="E897" t="s">
        <v>83</v>
      </c>
      <c r="F897" s="37">
        <v>45546</v>
      </c>
      <c r="G897">
        <v>10</v>
      </c>
      <c r="H897" t="s">
        <v>174</v>
      </c>
      <c r="I897" s="37">
        <v>45616</v>
      </c>
      <c r="J897" t="s">
        <v>165</v>
      </c>
      <c r="K897" t="s">
        <v>166</v>
      </c>
      <c r="L897" t="s">
        <v>175</v>
      </c>
      <c r="M897" t="s">
        <v>1235</v>
      </c>
      <c r="O897" t="s">
        <v>1235</v>
      </c>
      <c r="Q897" t="s">
        <v>1643</v>
      </c>
      <c r="U897" t="s">
        <v>1697</v>
      </c>
      <c r="W897" t="s">
        <v>1702</v>
      </c>
      <c r="X897">
        <v>4</v>
      </c>
      <c r="AA897" s="43">
        <v>307.5</v>
      </c>
      <c r="AC897" s="43">
        <v>307.5</v>
      </c>
      <c r="AF897" s="37">
        <f t="shared" si="27"/>
        <v>45875</v>
      </c>
      <c r="AG897" s="37">
        <f t="shared" si="28"/>
        <v>47081.611570247936</v>
      </c>
      <c r="AH897" t="s">
        <v>1705</v>
      </c>
      <c r="AN897" s="43">
        <v>307.5</v>
      </c>
    </row>
    <row r="898" spans="2:40">
      <c r="B898" t="s">
        <v>1236</v>
      </c>
      <c r="C898" t="s">
        <v>121</v>
      </c>
      <c r="D898" t="s">
        <v>167</v>
      </c>
      <c r="E898" t="s">
        <v>83</v>
      </c>
      <c r="F898" s="37">
        <v>45539</v>
      </c>
      <c r="G898">
        <v>10</v>
      </c>
      <c r="H898" t="s">
        <v>174</v>
      </c>
      <c r="I898" s="37">
        <v>45609</v>
      </c>
      <c r="J898" t="s">
        <v>165</v>
      </c>
      <c r="K898" t="s">
        <v>166</v>
      </c>
      <c r="L898" t="s">
        <v>175</v>
      </c>
      <c r="M898" t="s">
        <v>1236</v>
      </c>
      <c r="O898" t="s">
        <v>1236</v>
      </c>
      <c r="Q898" t="s">
        <v>1643</v>
      </c>
      <c r="U898" t="s">
        <v>1697</v>
      </c>
      <c r="W898" t="s">
        <v>1702</v>
      </c>
      <c r="X898">
        <v>4</v>
      </c>
      <c r="AA898" s="43">
        <v>307.5</v>
      </c>
      <c r="AC898" s="43">
        <v>307.5</v>
      </c>
      <c r="AF898" s="37">
        <f t="shared" si="27"/>
        <v>45868</v>
      </c>
      <c r="AG898" s="37">
        <f t="shared" si="28"/>
        <v>47074.611570247936</v>
      </c>
      <c r="AH898" t="s">
        <v>1705</v>
      </c>
      <c r="AN898" s="43">
        <v>307.5</v>
      </c>
    </row>
    <row r="899" spans="2:40">
      <c r="B899" t="s">
        <v>1237</v>
      </c>
      <c r="C899" t="s">
        <v>121</v>
      </c>
      <c r="D899" t="s">
        <v>167</v>
      </c>
      <c r="E899" t="s">
        <v>83</v>
      </c>
      <c r="F899" s="37">
        <v>45539</v>
      </c>
      <c r="G899">
        <v>10</v>
      </c>
      <c r="H899" t="s">
        <v>174</v>
      </c>
      <c r="I899" s="37">
        <v>45609</v>
      </c>
      <c r="J899" t="s">
        <v>165</v>
      </c>
      <c r="K899" t="s">
        <v>166</v>
      </c>
      <c r="L899" t="s">
        <v>175</v>
      </c>
      <c r="M899" t="s">
        <v>1237</v>
      </c>
      <c r="O899" t="s">
        <v>1237</v>
      </c>
      <c r="Q899" t="s">
        <v>1643</v>
      </c>
      <c r="U899" t="s">
        <v>1697</v>
      </c>
      <c r="W899" t="s">
        <v>1702</v>
      </c>
      <c r="X899">
        <v>4</v>
      </c>
      <c r="AA899" s="43">
        <v>307.5</v>
      </c>
      <c r="AC899" s="43">
        <v>307.5</v>
      </c>
      <c r="AF899" s="37">
        <f t="shared" si="27"/>
        <v>45868</v>
      </c>
      <c r="AG899" s="37">
        <f t="shared" si="28"/>
        <v>47074.611570247936</v>
      </c>
      <c r="AH899" t="s">
        <v>1705</v>
      </c>
      <c r="AN899" s="43">
        <v>307.5</v>
      </c>
    </row>
    <row r="900" spans="2:40">
      <c r="B900" t="s">
        <v>1238</v>
      </c>
      <c r="C900" t="s">
        <v>121</v>
      </c>
      <c r="D900" t="s">
        <v>167</v>
      </c>
      <c r="E900" t="s">
        <v>83</v>
      </c>
      <c r="F900" s="37">
        <v>45539</v>
      </c>
      <c r="G900">
        <v>10</v>
      </c>
      <c r="H900" t="s">
        <v>174</v>
      </c>
      <c r="I900" s="37">
        <v>45609</v>
      </c>
      <c r="J900" t="s">
        <v>165</v>
      </c>
      <c r="K900" t="s">
        <v>166</v>
      </c>
      <c r="L900" t="s">
        <v>175</v>
      </c>
      <c r="M900" t="s">
        <v>1238</v>
      </c>
      <c r="O900" t="s">
        <v>1238</v>
      </c>
      <c r="Q900" t="s">
        <v>1643</v>
      </c>
      <c r="U900" t="s">
        <v>1697</v>
      </c>
      <c r="W900" t="s">
        <v>1702</v>
      </c>
      <c r="X900">
        <v>4</v>
      </c>
      <c r="AA900" s="43">
        <v>307.5</v>
      </c>
      <c r="AC900" s="43">
        <v>307.5</v>
      </c>
      <c r="AF900" s="37">
        <f t="shared" si="27"/>
        <v>45868</v>
      </c>
      <c r="AG900" s="37">
        <f t="shared" si="28"/>
        <v>47074.611570247936</v>
      </c>
      <c r="AH900" t="s">
        <v>1705</v>
      </c>
      <c r="AN900" s="43">
        <v>307.5</v>
      </c>
    </row>
    <row r="901" spans="2:40">
      <c r="B901" t="s">
        <v>1239</v>
      </c>
      <c r="C901" t="s">
        <v>121</v>
      </c>
      <c r="D901" t="s">
        <v>167</v>
      </c>
      <c r="E901" t="s">
        <v>83</v>
      </c>
      <c r="F901" s="37">
        <v>45539</v>
      </c>
      <c r="G901">
        <v>10</v>
      </c>
      <c r="H901" t="s">
        <v>174</v>
      </c>
      <c r="I901" s="37">
        <v>45609</v>
      </c>
      <c r="J901" t="s">
        <v>165</v>
      </c>
      <c r="K901" t="s">
        <v>166</v>
      </c>
      <c r="L901" t="s">
        <v>175</v>
      </c>
      <c r="M901" t="s">
        <v>1239</v>
      </c>
      <c r="O901" t="s">
        <v>1239</v>
      </c>
      <c r="Q901" t="s">
        <v>1643</v>
      </c>
      <c r="U901" t="s">
        <v>1697</v>
      </c>
      <c r="W901" t="s">
        <v>1702</v>
      </c>
      <c r="X901">
        <v>4</v>
      </c>
      <c r="AA901" s="43">
        <v>307.5</v>
      </c>
      <c r="AC901" s="43">
        <v>307.5</v>
      </c>
      <c r="AF901" s="37">
        <f t="shared" si="27"/>
        <v>45868</v>
      </c>
      <c r="AG901" s="37">
        <f t="shared" si="28"/>
        <v>47074.611570247936</v>
      </c>
      <c r="AH901" t="s">
        <v>1705</v>
      </c>
      <c r="AN901" s="43">
        <v>307.5</v>
      </c>
    </row>
    <row r="902" spans="2:40">
      <c r="B902" t="s">
        <v>1240</v>
      </c>
      <c r="C902" t="s">
        <v>121</v>
      </c>
      <c r="D902" t="s">
        <v>167</v>
      </c>
      <c r="E902" t="s">
        <v>83</v>
      </c>
      <c r="F902" s="37">
        <v>45539</v>
      </c>
      <c r="G902">
        <v>10</v>
      </c>
      <c r="H902" t="s">
        <v>174</v>
      </c>
      <c r="I902" s="37">
        <v>45609</v>
      </c>
      <c r="J902" t="s">
        <v>165</v>
      </c>
      <c r="K902" t="s">
        <v>166</v>
      </c>
      <c r="L902" t="s">
        <v>175</v>
      </c>
      <c r="M902" t="s">
        <v>1240</v>
      </c>
      <c r="O902" t="s">
        <v>1240</v>
      </c>
      <c r="Q902" t="s">
        <v>1643</v>
      </c>
      <c r="U902" t="s">
        <v>1697</v>
      </c>
      <c r="W902" t="s">
        <v>1702</v>
      </c>
      <c r="X902">
        <v>4</v>
      </c>
      <c r="AA902" s="43">
        <v>307.5</v>
      </c>
      <c r="AC902" s="43">
        <v>307.5</v>
      </c>
      <c r="AF902" s="37">
        <f t="shared" si="27"/>
        <v>45868</v>
      </c>
      <c r="AG902" s="37">
        <f t="shared" si="28"/>
        <v>47074.611570247936</v>
      </c>
      <c r="AH902" t="s">
        <v>1705</v>
      </c>
      <c r="AN902" s="43">
        <v>307.5</v>
      </c>
    </row>
    <row r="903" spans="2:40">
      <c r="B903" t="s">
        <v>1241</v>
      </c>
      <c r="C903" t="s">
        <v>121</v>
      </c>
      <c r="D903" t="s">
        <v>167</v>
      </c>
      <c r="E903" t="s">
        <v>83</v>
      </c>
      <c r="F903" s="37">
        <v>45532</v>
      </c>
      <c r="G903">
        <v>10</v>
      </c>
      <c r="H903" t="s">
        <v>174</v>
      </c>
      <c r="I903" s="37">
        <v>45602</v>
      </c>
      <c r="J903" t="s">
        <v>165</v>
      </c>
      <c r="K903" t="s">
        <v>166</v>
      </c>
      <c r="L903" t="s">
        <v>175</v>
      </c>
      <c r="M903" t="s">
        <v>1241</v>
      </c>
      <c r="O903" t="s">
        <v>1241</v>
      </c>
      <c r="Q903" t="s">
        <v>1644</v>
      </c>
      <c r="U903" t="s">
        <v>1697</v>
      </c>
      <c r="W903" t="s">
        <v>1702</v>
      </c>
      <c r="X903">
        <v>4</v>
      </c>
      <c r="AA903" s="43">
        <v>307.5</v>
      </c>
      <c r="AC903" s="43">
        <v>307.5</v>
      </c>
      <c r="AF903" s="37">
        <f t="shared" ref="AF903:AF966" si="29">F903+(47*7)</f>
        <v>45861</v>
      </c>
      <c r="AG903" s="37">
        <f t="shared" ref="AG903:AG966" si="30">+AF903+(365*8)/2.42</f>
        <v>47067.611570247936</v>
      </c>
      <c r="AH903" t="s">
        <v>1705</v>
      </c>
      <c r="AN903" s="43">
        <v>307.5</v>
      </c>
    </row>
    <row r="904" spans="2:40">
      <c r="B904" t="s">
        <v>1242</v>
      </c>
      <c r="C904" t="s">
        <v>121</v>
      </c>
      <c r="D904" t="s">
        <v>167</v>
      </c>
      <c r="E904" t="s">
        <v>83</v>
      </c>
      <c r="F904" s="37">
        <v>45532</v>
      </c>
      <c r="G904">
        <v>10</v>
      </c>
      <c r="H904" t="s">
        <v>174</v>
      </c>
      <c r="I904" s="37">
        <v>45602</v>
      </c>
      <c r="J904" t="s">
        <v>165</v>
      </c>
      <c r="K904" t="s">
        <v>166</v>
      </c>
      <c r="L904" t="s">
        <v>175</v>
      </c>
      <c r="M904" t="s">
        <v>1242</v>
      </c>
      <c r="O904" t="s">
        <v>1242</v>
      </c>
      <c r="Q904" t="s">
        <v>1644</v>
      </c>
      <c r="U904" t="s">
        <v>1697</v>
      </c>
      <c r="W904" t="s">
        <v>1702</v>
      </c>
      <c r="X904">
        <v>4</v>
      </c>
      <c r="AA904" s="43">
        <v>307.5</v>
      </c>
      <c r="AC904" s="43">
        <v>307.5</v>
      </c>
      <c r="AF904" s="37">
        <f t="shared" si="29"/>
        <v>45861</v>
      </c>
      <c r="AG904" s="37">
        <f t="shared" si="30"/>
        <v>47067.611570247936</v>
      </c>
      <c r="AH904" t="s">
        <v>1705</v>
      </c>
      <c r="AN904" s="43">
        <v>307.5</v>
      </c>
    </row>
    <row r="905" spans="2:40">
      <c r="B905" t="s">
        <v>1243</v>
      </c>
      <c r="C905" t="s">
        <v>121</v>
      </c>
      <c r="D905" t="s">
        <v>167</v>
      </c>
      <c r="E905" t="s">
        <v>83</v>
      </c>
      <c r="F905" s="37">
        <v>45532</v>
      </c>
      <c r="G905">
        <v>10</v>
      </c>
      <c r="H905" t="s">
        <v>174</v>
      </c>
      <c r="I905" s="37">
        <v>45602</v>
      </c>
      <c r="J905" t="s">
        <v>165</v>
      </c>
      <c r="K905" t="s">
        <v>166</v>
      </c>
      <c r="L905" t="s">
        <v>175</v>
      </c>
      <c r="M905" t="s">
        <v>1243</v>
      </c>
      <c r="O905" t="s">
        <v>1243</v>
      </c>
      <c r="Q905" t="s">
        <v>1644</v>
      </c>
      <c r="U905" t="s">
        <v>1697</v>
      </c>
      <c r="W905" t="s">
        <v>1702</v>
      </c>
      <c r="X905">
        <v>4</v>
      </c>
      <c r="AA905" s="43">
        <v>307.5</v>
      </c>
      <c r="AC905" s="43">
        <v>307.5</v>
      </c>
      <c r="AF905" s="37">
        <f t="shared" si="29"/>
        <v>45861</v>
      </c>
      <c r="AG905" s="37">
        <f t="shared" si="30"/>
        <v>47067.611570247936</v>
      </c>
      <c r="AH905" t="s">
        <v>1705</v>
      </c>
      <c r="AN905" s="43">
        <v>307.5</v>
      </c>
    </row>
    <row r="906" spans="2:40">
      <c r="B906" t="s">
        <v>1244</v>
      </c>
      <c r="C906" t="s">
        <v>121</v>
      </c>
      <c r="D906" t="s">
        <v>167</v>
      </c>
      <c r="E906" t="s">
        <v>83</v>
      </c>
      <c r="F906" s="37">
        <v>45532</v>
      </c>
      <c r="G906">
        <v>10</v>
      </c>
      <c r="H906" t="s">
        <v>174</v>
      </c>
      <c r="I906" s="37">
        <v>45602</v>
      </c>
      <c r="J906" t="s">
        <v>165</v>
      </c>
      <c r="K906" t="s">
        <v>166</v>
      </c>
      <c r="L906" t="s">
        <v>175</v>
      </c>
      <c r="M906" t="s">
        <v>1244</v>
      </c>
      <c r="O906" t="s">
        <v>1244</v>
      </c>
      <c r="Q906" t="s">
        <v>1644</v>
      </c>
      <c r="U906" t="s">
        <v>1697</v>
      </c>
      <c r="W906" t="s">
        <v>1702</v>
      </c>
      <c r="X906">
        <v>4</v>
      </c>
      <c r="AA906" s="43">
        <v>307.5</v>
      </c>
      <c r="AC906" s="43">
        <v>307.5</v>
      </c>
      <c r="AF906" s="37">
        <f t="shared" si="29"/>
        <v>45861</v>
      </c>
      <c r="AG906" s="37">
        <f t="shared" si="30"/>
        <v>47067.611570247936</v>
      </c>
      <c r="AH906" t="s">
        <v>1705</v>
      </c>
      <c r="AN906" s="43">
        <v>307.5</v>
      </c>
    </row>
    <row r="907" spans="2:40">
      <c r="B907" t="s">
        <v>1245</v>
      </c>
      <c r="C907" t="s">
        <v>121</v>
      </c>
      <c r="D907" t="s">
        <v>167</v>
      </c>
      <c r="E907" t="s">
        <v>83</v>
      </c>
      <c r="F907" s="37">
        <v>45532</v>
      </c>
      <c r="G907">
        <v>10</v>
      </c>
      <c r="H907" t="s">
        <v>174</v>
      </c>
      <c r="I907" s="37">
        <v>45602</v>
      </c>
      <c r="J907" t="s">
        <v>165</v>
      </c>
      <c r="K907" t="s">
        <v>166</v>
      </c>
      <c r="L907" t="s">
        <v>175</v>
      </c>
      <c r="M907" t="s">
        <v>1245</v>
      </c>
      <c r="O907" t="s">
        <v>1245</v>
      </c>
      <c r="Q907" t="s">
        <v>1644</v>
      </c>
      <c r="U907" t="s">
        <v>1697</v>
      </c>
      <c r="W907" t="s">
        <v>1702</v>
      </c>
      <c r="X907">
        <v>4</v>
      </c>
      <c r="AA907" s="43">
        <v>307.5</v>
      </c>
      <c r="AC907" s="43">
        <v>307.5</v>
      </c>
      <c r="AF907" s="37">
        <f t="shared" si="29"/>
        <v>45861</v>
      </c>
      <c r="AG907" s="37">
        <f t="shared" si="30"/>
        <v>47067.611570247936</v>
      </c>
      <c r="AH907" t="s">
        <v>1705</v>
      </c>
      <c r="AN907" s="43">
        <v>307.5</v>
      </c>
    </row>
    <row r="908" spans="2:40">
      <c r="B908" t="s">
        <v>1246</v>
      </c>
      <c r="C908" t="s">
        <v>121</v>
      </c>
      <c r="D908" t="s">
        <v>167</v>
      </c>
      <c r="E908" t="s">
        <v>83</v>
      </c>
      <c r="F908" s="37">
        <v>45532</v>
      </c>
      <c r="G908">
        <v>10</v>
      </c>
      <c r="H908" t="s">
        <v>174</v>
      </c>
      <c r="I908" s="37">
        <v>45602</v>
      </c>
      <c r="J908" t="s">
        <v>165</v>
      </c>
      <c r="K908" t="s">
        <v>166</v>
      </c>
      <c r="L908" t="s">
        <v>175</v>
      </c>
      <c r="M908" t="s">
        <v>1246</v>
      </c>
      <c r="O908" t="s">
        <v>1246</v>
      </c>
      <c r="Q908" t="s">
        <v>1644</v>
      </c>
      <c r="U908" t="s">
        <v>1697</v>
      </c>
      <c r="W908" t="s">
        <v>1702</v>
      </c>
      <c r="X908">
        <v>4</v>
      </c>
      <c r="AA908" s="43">
        <v>307.5</v>
      </c>
      <c r="AC908" s="43">
        <v>307.5</v>
      </c>
      <c r="AF908" s="37">
        <f t="shared" si="29"/>
        <v>45861</v>
      </c>
      <c r="AG908" s="37">
        <f t="shared" si="30"/>
        <v>47067.611570247936</v>
      </c>
      <c r="AH908" t="s">
        <v>1705</v>
      </c>
      <c r="AN908" s="43">
        <v>307.5</v>
      </c>
    </row>
    <row r="909" spans="2:40">
      <c r="B909" t="s">
        <v>1247</v>
      </c>
      <c r="C909" t="s">
        <v>121</v>
      </c>
      <c r="D909" t="s">
        <v>167</v>
      </c>
      <c r="E909" t="s">
        <v>83</v>
      </c>
      <c r="F909" s="37">
        <v>45532</v>
      </c>
      <c r="G909">
        <v>10</v>
      </c>
      <c r="H909" t="s">
        <v>174</v>
      </c>
      <c r="I909" s="37">
        <v>45602</v>
      </c>
      <c r="J909" t="s">
        <v>165</v>
      </c>
      <c r="K909" t="s">
        <v>166</v>
      </c>
      <c r="L909" t="s">
        <v>175</v>
      </c>
      <c r="M909" t="s">
        <v>1247</v>
      </c>
      <c r="O909" t="s">
        <v>1247</v>
      </c>
      <c r="Q909" t="s">
        <v>1644</v>
      </c>
      <c r="U909" t="s">
        <v>1697</v>
      </c>
      <c r="W909" t="s">
        <v>1702</v>
      </c>
      <c r="X909">
        <v>4</v>
      </c>
      <c r="AA909" s="43">
        <v>307.5</v>
      </c>
      <c r="AC909" s="43">
        <v>307.5</v>
      </c>
      <c r="AF909" s="37">
        <f t="shared" si="29"/>
        <v>45861</v>
      </c>
      <c r="AG909" s="37">
        <f t="shared" si="30"/>
        <v>47067.611570247936</v>
      </c>
      <c r="AH909" t="s">
        <v>1705</v>
      </c>
      <c r="AN909" s="43">
        <v>307.5</v>
      </c>
    </row>
    <row r="910" spans="2:40">
      <c r="B910" t="s">
        <v>1248</v>
      </c>
      <c r="C910" t="s">
        <v>121</v>
      </c>
      <c r="D910" t="s">
        <v>167</v>
      </c>
      <c r="E910" t="s">
        <v>83</v>
      </c>
      <c r="F910" s="37">
        <v>45525</v>
      </c>
      <c r="G910">
        <v>10</v>
      </c>
      <c r="H910" t="s">
        <v>174</v>
      </c>
      <c r="I910" s="37">
        <v>45595</v>
      </c>
      <c r="J910" t="s">
        <v>165</v>
      </c>
      <c r="K910" t="s">
        <v>166</v>
      </c>
      <c r="L910" t="s">
        <v>175</v>
      </c>
      <c r="M910" t="s">
        <v>1248</v>
      </c>
      <c r="O910" t="s">
        <v>1248</v>
      </c>
      <c r="Q910" t="s">
        <v>1645</v>
      </c>
      <c r="U910" t="s">
        <v>1697</v>
      </c>
      <c r="W910" t="s">
        <v>1702</v>
      </c>
      <c r="X910">
        <v>4</v>
      </c>
      <c r="AA910" s="43">
        <v>307.5</v>
      </c>
      <c r="AC910" s="43">
        <v>307.5</v>
      </c>
      <c r="AF910" s="37">
        <f t="shared" si="29"/>
        <v>45854</v>
      </c>
      <c r="AG910" s="37">
        <f t="shared" si="30"/>
        <v>47060.611570247936</v>
      </c>
      <c r="AH910" t="s">
        <v>1705</v>
      </c>
      <c r="AN910" s="43">
        <v>307.5</v>
      </c>
    </row>
    <row r="911" spans="2:40">
      <c r="B911" t="s">
        <v>1249</v>
      </c>
      <c r="C911" t="s">
        <v>121</v>
      </c>
      <c r="D911" t="s">
        <v>167</v>
      </c>
      <c r="E911" t="s">
        <v>83</v>
      </c>
      <c r="F911" s="37">
        <v>45525</v>
      </c>
      <c r="G911">
        <v>10</v>
      </c>
      <c r="H911" t="s">
        <v>174</v>
      </c>
      <c r="I911" s="37">
        <v>45595</v>
      </c>
      <c r="J911" t="s">
        <v>165</v>
      </c>
      <c r="K911" t="s">
        <v>166</v>
      </c>
      <c r="L911" t="s">
        <v>175</v>
      </c>
      <c r="M911" t="s">
        <v>1249</v>
      </c>
      <c r="O911" t="s">
        <v>1249</v>
      </c>
      <c r="Q911" t="s">
        <v>1645</v>
      </c>
      <c r="U911" t="s">
        <v>1697</v>
      </c>
      <c r="W911" t="s">
        <v>1702</v>
      </c>
      <c r="X911">
        <v>4</v>
      </c>
      <c r="AA911" s="43">
        <v>307.5</v>
      </c>
      <c r="AC911" s="43">
        <v>307.5</v>
      </c>
      <c r="AF911" s="37">
        <f t="shared" si="29"/>
        <v>45854</v>
      </c>
      <c r="AG911" s="37">
        <f t="shared" si="30"/>
        <v>47060.611570247936</v>
      </c>
      <c r="AH911" t="s">
        <v>1705</v>
      </c>
      <c r="AN911" s="43">
        <v>307.5</v>
      </c>
    </row>
    <row r="912" spans="2:40">
      <c r="B912" t="s">
        <v>1250</v>
      </c>
      <c r="C912" t="s">
        <v>121</v>
      </c>
      <c r="D912" t="s">
        <v>167</v>
      </c>
      <c r="E912" t="s">
        <v>83</v>
      </c>
      <c r="F912" s="37">
        <v>45525</v>
      </c>
      <c r="G912">
        <v>10</v>
      </c>
      <c r="H912" t="s">
        <v>174</v>
      </c>
      <c r="I912" s="37">
        <v>45595</v>
      </c>
      <c r="J912" t="s">
        <v>165</v>
      </c>
      <c r="K912" t="s">
        <v>166</v>
      </c>
      <c r="L912" t="s">
        <v>175</v>
      </c>
      <c r="M912" t="s">
        <v>1250</v>
      </c>
      <c r="O912" t="s">
        <v>1250</v>
      </c>
      <c r="Q912" t="s">
        <v>1645</v>
      </c>
      <c r="U912" t="s">
        <v>1697</v>
      </c>
      <c r="W912" t="s">
        <v>1702</v>
      </c>
      <c r="X912">
        <v>4</v>
      </c>
      <c r="AA912" s="43">
        <v>307.5</v>
      </c>
      <c r="AC912" s="43">
        <v>307.5</v>
      </c>
      <c r="AF912" s="37">
        <f t="shared" si="29"/>
        <v>45854</v>
      </c>
      <c r="AG912" s="37">
        <f t="shared" si="30"/>
        <v>47060.611570247936</v>
      </c>
      <c r="AH912" t="s">
        <v>1705</v>
      </c>
      <c r="AN912" s="43">
        <v>307.5</v>
      </c>
    </row>
    <row r="913" spans="2:40">
      <c r="B913" t="s">
        <v>1251</v>
      </c>
      <c r="C913" t="s">
        <v>121</v>
      </c>
      <c r="D913" t="s">
        <v>167</v>
      </c>
      <c r="E913" t="s">
        <v>83</v>
      </c>
      <c r="F913" s="37">
        <v>45525</v>
      </c>
      <c r="G913">
        <v>10</v>
      </c>
      <c r="H913" t="s">
        <v>174</v>
      </c>
      <c r="I913" s="37">
        <v>45595</v>
      </c>
      <c r="J913" t="s">
        <v>165</v>
      </c>
      <c r="K913" t="s">
        <v>166</v>
      </c>
      <c r="L913" t="s">
        <v>175</v>
      </c>
      <c r="M913" t="s">
        <v>1251</v>
      </c>
      <c r="O913" t="s">
        <v>1251</v>
      </c>
      <c r="Q913" t="s">
        <v>1645</v>
      </c>
      <c r="U913" t="s">
        <v>1697</v>
      </c>
      <c r="W913" t="s">
        <v>1702</v>
      </c>
      <c r="X913">
        <v>4</v>
      </c>
      <c r="AA913" s="43">
        <v>307.5</v>
      </c>
      <c r="AC913" s="43">
        <v>307.5</v>
      </c>
      <c r="AF913" s="37">
        <f t="shared" si="29"/>
        <v>45854</v>
      </c>
      <c r="AG913" s="37">
        <f t="shared" si="30"/>
        <v>47060.611570247936</v>
      </c>
      <c r="AH913" t="s">
        <v>1705</v>
      </c>
      <c r="AN913" s="43">
        <v>307.5</v>
      </c>
    </row>
    <row r="914" spans="2:40">
      <c r="B914" t="s">
        <v>1252</v>
      </c>
      <c r="C914" t="s">
        <v>121</v>
      </c>
      <c r="D914" t="s">
        <v>167</v>
      </c>
      <c r="E914" t="s">
        <v>83</v>
      </c>
      <c r="F914" s="37">
        <v>45525</v>
      </c>
      <c r="G914">
        <v>10</v>
      </c>
      <c r="H914" t="s">
        <v>174</v>
      </c>
      <c r="I914" s="37">
        <v>45595</v>
      </c>
      <c r="J914" t="s">
        <v>165</v>
      </c>
      <c r="K914" t="s">
        <v>166</v>
      </c>
      <c r="L914" t="s">
        <v>175</v>
      </c>
      <c r="M914" t="s">
        <v>1252</v>
      </c>
      <c r="O914" t="s">
        <v>1252</v>
      </c>
      <c r="Q914" t="s">
        <v>1645</v>
      </c>
      <c r="U914" t="s">
        <v>1697</v>
      </c>
      <c r="W914" t="s">
        <v>1702</v>
      </c>
      <c r="X914">
        <v>4</v>
      </c>
      <c r="AA914" s="43">
        <v>307.5</v>
      </c>
      <c r="AC914" s="43">
        <v>307.5</v>
      </c>
      <c r="AF914" s="37">
        <f t="shared" si="29"/>
        <v>45854</v>
      </c>
      <c r="AG914" s="37">
        <f t="shared" si="30"/>
        <v>47060.611570247936</v>
      </c>
      <c r="AH914" t="s">
        <v>1705</v>
      </c>
      <c r="AN914" s="43">
        <v>307.5</v>
      </c>
    </row>
    <row r="915" spans="2:40">
      <c r="B915" t="s">
        <v>1253</v>
      </c>
      <c r="C915" t="s">
        <v>121</v>
      </c>
      <c r="D915" t="s">
        <v>167</v>
      </c>
      <c r="E915" t="s">
        <v>83</v>
      </c>
      <c r="F915" s="37">
        <v>45518</v>
      </c>
      <c r="G915">
        <v>10</v>
      </c>
      <c r="H915" t="s">
        <v>174</v>
      </c>
      <c r="I915" s="37">
        <v>45589</v>
      </c>
      <c r="J915" t="s">
        <v>165</v>
      </c>
      <c r="K915" t="s">
        <v>166</v>
      </c>
      <c r="L915" t="s">
        <v>175</v>
      </c>
      <c r="M915" t="s">
        <v>1253</v>
      </c>
      <c r="O915" t="s">
        <v>1253</v>
      </c>
      <c r="Q915" t="s">
        <v>1645</v>
      </c>
      <c r="U915" t="s">
        <v>1697</v>
      </c>
      <c r="W915" t="s">
        <v>1702</v>
      </c>
      <c r="X915">
        <v>4</v>
      </c>
      <c r="AA915" s="43">
        <v>307.5</v>
      </c>
      <c r="AC915" s="43">
        <v>307.5</v>
      </c>
      <c r="AF915" s="37">
        <f t="shared" si="29"/>
        <v>45847</v>
      </c>
      <c r="AG915" s="37">
        <f t="shared" si="30"/>
        <v>47053.611570247936</v>
      </c>
      <c r="AH915" t="s">
        <v>1705</v>
      </c>
      <c r="AN915" s="43">
        <v>307.5</v>
      </c>
    </row>
    <row r="916" spans="2:40">
      <c r="B916" t="s">
        <v>1254</v>
      </c>
      <c r="C916" t="s">
        <v>121</v>
      </c>
      <c r="D916" t="s">
        <v>167</v>
      </c>
      <c r="E916" t="s">
        <v>83</v>
      </c>
      <c r="F916" s="37">
        <v>45518</v>
      </c>
      <c r="G916">
        <v>10</v>
      </c>
      <c r="H916" t="s">
        <v>174</v>
      </c>
      <c r="I916" s="37">
        <v>45589</v>
      </c>
      <c r="J916" t="s">
        <v>165</v>
      </c>
      <c r="K916" t="s">
        <v>166</v>
      </c>
      <c r="L916" t="s">
        <v>175</v>
      </c>
      <c r="M916" t="s">
        <v>1254</v>
      </c>
      <c r="O916" t="s">
        <v>1254</v>
      </c>
      <c r="Q916" t="s">
        <v>1645</v>
      </c>
      <c r="U916" t="s">
        <v>1697</v>
      </c>
      <c r="W916" t="s">
        <v>1702</v>
      </c>
      <c r="X916">
        <v>4</v>
      </c>
      <c r="AA916" s="43">
        <v>307.5</v>
      </c>
      <c r="AC916" s="43">
        <v>307.5</v>
      </c>
      <c r="AF916" s="37">
        <f t="shared" si="29"/>
        <v>45847</v>
      </c>
      <c r="AG916" s="37">
        <f t="shared" si="30"/>
        <v>47053.611570247936</v>
      </c>
      <c r="AH916" t="s">
        <v>1705</v>
      </c>
      <c r="AN916" s="43">
        <v>307.5</v>
      </c>
    </row>
    <row r="917" spans="2:40">
      <c r="B917" t="s">
        <v>1255</v>
      </c>
      <c r="C917" t="s">
        <v>121</v>
      </c>
      <c r="D917" t="s">
        <v>167</v>
      </c>
      <c r="E917" t="s">
        <v>83</v>
      </c>
      <c r="F917" s="37">
        <v>45518</v>
      </c>
      <c r="G917">
        <v>10</v>
      </c>
      <c r="H917" t="s">
        <v>174</v>
      </c>
      <c r="I917" s="37">
        <v>45589</v>
      </c>
      <c r="J917" t="s">
        <v>165</v>
      </c>
      <c r="K917" t="s">
        <v>166</v>
      </c>
      <c r="L917" t="s">
        <v>175</v>
      </c>
      <c r="M917" t="s">
        <v>1255</v>
      </c>
      <c r="O917" t="s">
        <v>1255</v>
      </c>
      <c r="Q917" t="s">
        <v>1645</v>
      </c>
      <c r="U917" t="s">
        <v>1697</v>
      </c>
      <c r="W917" t="s">
        <v>1702</v>
      </c>
      <c r="X917">
        <v>4</v>
      </c>
      <c r="AA917" s="43">
        <v>307.5</v>
      </c>
      <c r="AC917" s="43">
        <v>307.5</v>
      </c>
      <c r="AF917" s="37">
        <f t="shared" si="29"/>
        <v>45847</v>
      </c>
      <c r="AG917" s="37">
        <f t="shared" si="30"/>
        <v>47053.611570247936</v>
      </c>
      <c r="AH917" t="s">
        <v>1705</v>
      </c>
      <c r="AN917" s="43">
        <v>307.5</v>
      </c>
    </row>
    <row r="918" spans="2:40">
      <c r="B918" t="s">
        <v>1256</v>
      </c>
      <c r="C918" t="s">
        <v>121</v>
      </c>
      <c r="D918" t="s">
        <v>167</v>
      </c>
      <c r="E918" t="s">
        <v>83</v>
      </c>
      <c r="F918" s="37">
        <v>45518</v>
      </c>
      <c r="G918">
        <v>10</v>
      </c>
      <c r="H918" t="s">
        <v>174</v>
      </c>
      <c r="I918" s="37">
        <v>45589</v>
      </c>
      <c r="J918" t="s">
        <v>165</v>
      </c>
      <c r="K918" t="s">
        <v>166</v>
      </c>
      <c r="L918" t="s">
        <v>175</v>
      </c>
      <c r="M918" t="s">
        <v>1256</v>
      </c>
      <c r="O918" t="s">
        <v>1256</v>
      </c>
      <c r="Q918" t="s">
        <v>1645</v>
      </c>
      <c r="U918" t="s">
        <v>1697</v>
      </c>
      <c r="W918" t="s">
        <v>1702</v>
      </c>
      <c r="X918">
        <v>4</v>
      </c>
      <c r="AA918" s="43">
        <v>307.5</v>
      </c>
      <c r="AC918" s="43">
        <v>307.5</v>
      </c>
      <c r="AF918" s="37">
        <f t="shared" si="29"/>
        <v>45847</v>
      </c>
      <c r="AG918" s="37">
        <f t="shared" si="30"/>
        <v>47053.611570247936</v>
      </c>
      <c r="AH918" t="s">
        <v>1705</v>
      </c>
      <c r="AN918" s="43">
        <v>307.5</v>
      </c>
    </row>
    <row r="919" spans="2:40">
      <c r="B919" t="s">
        <v>1257</v>
      </c>
      <c r="C919" t="s">
        <v>121</v>
      </c>
      <c r="D919" t="s">
        <v>167</v>
      </c>
      <c r="E919" t="s">
        <v>83</v>
      </c>
      <c r="F919" s="37">
        <v>45518</v>
      </c>
      <c r="G919">
        <v>10</v>
      </c>
      <c r="H919" t="s">
        <v>174</v>
      </c>
      <c r="I919" s="37">
        <v>45589</v>
      </c>
      <c r="J919" t="s">
        <v>165</v>
      </c>
      <c r="K919" t="s">
        <v>166</v>
      </c>
      <c r="L919" t="s">
        <v>175</v>
      </c>
      <c r="M919" t="s">
        <v>1257</v>
      </c>
      <c r="O919" t="s">
        <v>1257</v>
      </c>
      <c r="Q919" t="s">
        <v>1645</v>
      </c>
      <c r="U919" t="s">
        <v>1697</v>
      </c>
      <c r="W919" t="s">
        <v>1702</v>
      </c>
      <c r="X919">
        <v>4</v>
      </c>
      <c r="AA919" s="43">
        <v>307.5</v>
      </c>
      <c r="AC919" s="43">
        <v>307.5</v>
      </c>
      <c r="AF919" s="37">
        <f t="shared" si="29"/>
        <v>45847</v>
      </c>
      <c r="AG919" s="37">
        <f t="shared" si="30"/>
        <v>47053.611570247936</v>
      </c>
      <c r="AH919" t="s">
        <v>1705</v>
      </c>
      <c r="AN919" s="43">
        <v>307.5</v>
      </c>
    </row>
    <row r="920" spans="2:40">
      <c r="B920" t="s">
        <v>1258</v>
      </c>
      <c r="C920" t="s">
        <v>121</v>
      </c>
      <c r="D920" t="s">
        <v>167</v>
      </c>
      <c r="E920" t="s">
        <v>83</v>
      </c>
      <c r="F920" s="37">
        <v>45518</v>
      </c>
      <c r="G920">
        <v>10</v>
      </c>
      <c r="H920" t="s">
        <v>174</v>
      </c>
      <c r="I920" s="37">
        <v>45589</v>
      </c>
      <c r="J920" t="s">
        <v>165</v>
      </c>
      <c r="K920" t="s">
        <v>166</v>
      </c>
      <c r="L920" t="s">
        <v>175</v>
      </c>
      <c r="M920" t="s">
        <v>1258</v>
      </c>
      <c r="O920" t="s">
        <v>1258</v>
      </c>
      <c r="Q920" t="s">
        <v>1645</v>
      </c>
      <c r="U920" t="s">
        <v>1697</v>
      </c>
      <c r="W920" t="s">
        <v>1702</v>
      </c>
      <c r="X920">
        <v>4</v>
      </c>
      <c r="AA920" s="43">
        <v>307.5</v>
      </c>
      <c r="AC920" s="43">
        <v>307.5</v>
      </c>
      <c r="AF920" s="37">
        <f t="shared" si="29"/>
        <v>45847</v>
      </c>
      <c r="AG920" s="37">
        <f t="shared" si="30"/>
        <v>47053.611570247936</v>
      </c>
      <c r="AH920" t="s">
        <v>1705</v>
      </c>
      <c r="AN920" s="43">
        <v>307.5</v>
      </c>
    </row>
    <row r="921" spans="2:40">
      <c r="B921" t="s">
        <v>1259</v>
      </c>
      <c r="C921" t="s">
        <v>121</v>
      </c>
      <c r="D921" t="s">
        <v>167</v>
      </c>
      <c r="E921" t="s">
        <v>83</v>
      </c>
      <c r="F921" s="37">
        <v>45518</v>
      </c>
      <c r="G921">
        <v>10</v>
      </c>
      <c r="H921" t="s">
        <v>174</v>
      </c>
      <c r="I921" s="37">
        <v>45589</v>
      </c>
      <c r="J921" t="s">
        <v>165</v>
      </c>
      <c r="K921" t="s">
        <v>166</v>
      </c>
      <c r="L921" t="s">
        <v>175</v>
      </c>
      <c r="M921" t="s">
        <v>1259</v>
      </c>
      <c r="O921" t="s">
        <v>1259</v>
      </c>
      <c r="Q921" t="s">
        <v>1645</v>
      </c>
      <c r="U921" t="s">
        <v>1697</v>
      </c>
      <c r="W921" t="s">
        <v>1702</v>
      </c>
      <c r="X921">
        <v>4</v>
      </c>
      <c r="AA921" s="43">
        <v>307.5</v>
      </c>
      <c r="AC921" s="43">
        <v>307.5</v>
      </c>
      <c r="AF921" s="37">
        <f t="shared" si="29"/>
        <v>45847</v>
      </c>
      <c r="AG921" s="37">
        <f t="shared" si="30"/>
        <v>47053.611570247936</v>
      </c>
      <c r="AH921" t="s">
        <v>1705</v>
      </c>
      <c r="AN921" s="43">
        <v>307.5</v>
      </c>
    </row>
    <row r="922" spans="2:40">
      <c r="B922" t="s">
        <v>1260</v>
      </c>
      <c r="C922" t="s">
        <v>121</v>
      </c>
      <c r="D922" t="s">
        <v>167</v>
      </c>
      <c r="E922" t="s">
        <v>83</v>
      </c>
      <c r="F922" s="37">
        <v>45518</v>
      </c>
      <c r="G922">
        <v>10</v>
      </c>
      <c r="H922" t="s">
        <v>174</v>
      </c>
      <c r="I922" s="37">
        <v>45589</v>
      </c>
      <c r="J922" t="s">
        <v>165</v>
      </c>
      <c r="K922" t="s">
        <v>166</v>
      </c>
      <c r="L922" t="s">
        <v>175</v>
      </c>
      <c r="M922" t="s">
        <v>1260</v>
      </c>
      <c r="O922" t="s">
        <v>1260</v>
      </c>
      <c r="Q922" t="s">
        <v>1645</v>
      </c>
      <c r="U922" t="s">
        <v>1697</v>
      </c>
      <c r="W922" t="s">
        <v>1702</v>
      </c>
      <c r="X922">
        <v>4</v>
      </c>
      <c r="AA922" s="43">
        <v>307.5</v>
      </c>
      <c r="AC922" s="43">
        <v>307.5</v>
      </c>
      <c r="AF922" s="37">
        <f t="shared" si="29"/>
        <v>45847</v>
      </c>
      <c r="AG922" s="37">
        <f t="shared" si="30"/>
        <v>47053.611570247936</v>
      </c>
      <c r="AH922" t="s">
        <v>1705</v>
      </c>
      <c r="AN922" s="43">
        <v>307.5</v>
      </c>
    </row>
    <row r="923" spans="2:40">
      <c r="B923" t="s">
        <v>1261</v>
      </c>
      <c r="C923" t="s">
        <v>121</v>
      </c>
      <c r="D923" t="s">
        <v>167</v>
      </c>
      <c r="E923" t="s">
        <v>83</v>
      </c>
      <c r="F923" s="37">
        <v>45518</v>
      </c>
      <c r="G923">
        <v>10</v>
      </c>
      <c r="H923" t="s">
        <v>174</v>
      </c>
      <c r="I923" s="37">
        <v>45589</v>
      </c>
      <c r="J923" t="s">
        <v>165</v>
      </c>
      <c r="K923" t="s">
        <v>166</v>
      </c>
      <c r="L923" t="s">
        <v>175</v>
      </c>
      <c r="M923" t="s">
        <v>1261</v>
      </c>
      <c r="O923" t="s">
        <v>1261</v>
      </c>
      <c r="Q923" t="s">
        <v>1645</v>
      </c>
      <c r="U923" t="s">
        <v>1697</v>
      </c>
      <c r="W923" t="s">
        <v>1702</v>
      </c>
      <c r="X923">
        <v>4</v>
      </c>
      <c r="AA923" s="43">
        <v>307.5</v>
      </c>
      <c r="AC923" s="43">
        <v>307.5</v>
      </c>
      <c r="AF923" s="37">
        <f t="shared" si="29"/>
        <v>45847</v>
      </c>
      <c r="AG923" s="37">
        <f t="shared" si="30"/>
        <v>47053.611570247936</v>
      </c>
      <c r="AH923" t="s">
        <v>1705</v>
      </c>
      <c r="AN923" s="43">
        <v>307.5</v>
      </c>
    </row>
    <row r="924" spans="2:40">
      <c r="B924" t="s">
        <v>1262</v>
      </c>
      <c r="C924" t="s">
        <v>121</v>
      </c>
      <c r="D924" t="s">
        <v>167</v>
      </c>
      <c r="E924" t="s">
        <v>83</v>
      </c>
      <c r="F924" s="37">
        <v>45511</v>
      </c>
      <c r="G924">
        <v>10</v>
      </c>
      <c r="H924" t="s">
        <v>174</v>
      </c>
      <c r="I924" s="37">
        <v>45581</v>
      </c>
      <c r="J924" t="s">
        <v>165</v>
      </c>
      <c r="K924" t="s">
        <v>166</v>
      </c>
      <c r="L924" t="s">
        <v>175</v>
      </c>
      <c r="M924" t="s">
        <v>1262</v>
      </c>
      <c r="O924" t="s">
        <v>1262</v>
      </c>
      <c r="Q924" t="s">
        <v>1646</v>
      </c>
      <c r="U924" t="s">
        <v>1697</v>
      </c>
      <c r="W924" t="s">
        <v>1702</v>
      </c>
      <c r="X924">
        <v>4</v>
      </c>
      <c r="AA924" s="43">
        <v>307.5</v>
      </c>
      <c r="AC924" s="43">
        <v>307.5</v>
      </c>
      <c r="AF924" s="37">
        <f t="shared" si="29"/>
        <v>45840</v>
      </c>
      <c r="AG924" s="37">
        <f t="shared" si="30"/>
        <v>47046.611570247936</v>
      </c>
      <c r="AH924" t="s">
        <v>1705</v>
      </c>
      <c r="AN924" s="43">
        <v>307.5</v>
      </c>
    </row>
    <row r="925" spans="2:40">
      <c r="B925" t="s">
        <v>1263</v>
      </c>
      <c r="C925" t="s">
        <v>121</v>
      </c>
      <c r="D925" t="s">
        <v>167</v>
      </c>
      <c r="E925" t="s">
        <v>83</v>
      </c>
      <c r="F925" s="37">
        <v>45511</v>
      </c>
      <c r="G925">
        <v>10</v>
      </c>
      <c r="H925" t="s">
        <v>174</v>
      </c>
      <c r="I925" s="37">
        <v>45581</v>
      </c>
      <c r="J925" t="s">
        <v>165</v>
      </c>
      <c r="K925" t="s">
        <v>166</v>
      </c>
      <c r="L925" t="s">
        <v>175</v>
      </c>
      <c r="M925" t="s">
        <v>1263</v>
      </c>
      <c r="O925" t="s">
        <v>1263</v>
      </c>
      <c r="Q925" t="s">
        <v>1646</v>
      </c>
      <c r="U925" t="s">
        <v>1697</v>
      </c>
      <c r="W925" t="s">
        <v>1702</v>
      </c>
      <c r="X925">
        <v>4</v>
      </c>
      <c r="AA925" s="43">
        <v>307.5</v>
      </c>
      <c r="AC925" s="43">
        <v>307.5</v>
      </c>
      <c r="AF925" s="37">
        <f t="shared" si="29"/>
        <v>45840</v>
      </c>
      <c r="AG925" s="37">
        <f t="shared" si="30"/>
        <v>47046.611570247936</v>
      </c>
      <c r="AH925" t="s">
        <v>1705</v>
      </c>
      <c r="AN925" s="43">
        <v>307.5</v>
      </c>
    </row>
    <row r="926" spans="2:40">
      <c r="B926" t="s">
        <v>1264</v>
      </c>
      <c r="C926" t="s">
        <v>121</v>
      </c>
      <c r="D926" t="s">
        <v>167</v>
      </c>
      <c r="E926" t="s">
        <v>83</v>
      </c>
      <c r="F926" s="37">
        <v>45511</v>
      </c>
      <c r="G926">
        <v>10</v>
      </c>
      <c r="H926" t="s">
        <v>174</v>
      </c>
      <c r="I926" s="37">
        <v>45581</v>
      </c>
      <c r="J926" t="s">
        <v>165</v>
      </c>
      <c r="K926" t="s">
        <v>166</v>
      </c>
      <c r="L926" t="s">
        <v>175</v>
      </c>
      <c r="M926" t="s">
        <v>1264</v>
      </c>
      <c r="O926" t="s">
        <v>1264</v>
      </c>
      <c r="Q926" t="s">
        <v>1646</v>
      </c>
      <c r="U926" t="s">
        <v>1697</v>
      </c>
      <c r="W926" t="s">
        <v>1702</v>
      </c>
      <c r="X926">
        <v>4</v>
      </c>
      <c r="AA926" s="43">
        <v>307.5</v>
      </c>
      <c r="AC926" s="43">
        <v>307.5</v>
      </c>
      <c r="AF926" s="37">
        <f t="shared" si="29"/>
        <v>45840</v>
      </c>
      <c r="AG926" s="37">
        <f t="shared" si="30"/>
        <v>47046.611570247936</v>
      </c>
      <c r="AH926" t="s">
        <v>1705</v>
      </c>
      <c r="AN926" s="43">
        <v>307.5</v>
      </c>
    </row>
    <row r="927" spans="2:40">
      <c r="B927" t="s">
        <v>1265</v>
      </c>
      <c r="C927" t="s">
        <v>121</v>
      </c>
      <c r="D927" t="s">
        <v>167</v>
      </c>
      <c r="E927" t="s">
        <v>83</v>
      </c>
      <c r="F927" s="37">
        <v>45511</v>
      </c>
      <c r="G927">
        <v>10</v>
      </c>
      <c r="H927" t="s">
        <v>174</v>
      </c>
      <c r="I927" s="37">
        <v>45581</v>
      </c>
      <c r="J927" t="s">
        <v>165</v>
      </c>
      <c r="K927" t="s">
        <v>166</v>
      </c>
      <c r="L927" t="s">
        <v>175</v>
      </c>
      <c r="M927" t="s">
        <v>1265</v>
      </c>
      <c r="O927" t="s">
        <v>1265</v>
      </c>
      <c r="Q927" t="s">
        <v>1646</v>
      </c>
      <c r="U927" t="s">
        <v>1697</v>
      </c>
      <c r="W927" t="s">
        <v>1702</v>
      </c>
      <c r="X927">
        <v>4</v>
      </c>
      <c r="AA927" s="43">
        <v>307.5</v>
      </c>
      <c r="AC927" s="43">
        <v>307.5</v>
      </c>
      <c r="AF927" s="37">
        <f t="shared" si="29"/>
        <v>45840</v>
      </c>
      <c r="AG927" s="37">
        <f t="shared" si="30"/>
        <v>47046.611570247936</v>
      </c>
      <c r="AH927" t="s">
        <v>1705</v>
      </c>
      <c r="AN927" s="43">
        <v>307.5</v>
      </c>
    </row>
    <row r="928" spans="2:40">
      <c r="B928" t="s">
        <v>1266</v>
      </c>
      <c r="C928" t="s">
        <v>121</v>
      </c>
      <c r="D928" t="s">
        <v>167</v>
      </c>
      <c r="E928" t="s">
        <v>83</v>
      </c>
      <c r="F928" s="37">
        <v>45511</v>
      </c>
      <c r="G928">
        <v>10</v>
      </c>
      <c r="H928" t="s">
        <v>174</v>
      </c>
      <c r="I928" s="37">
        <v>45581</v>
      </c>
      <c r="J928" t="s">
        <v>165</v>
      </c>
      <c r="K928" t="s">
        <v>166</v>
      </c>
      <c r="L928" t="s">
        <v>175</v>
      </c>
      <c r="M928" t="s">
        <v>1266</v>
      </c>
      <c r="O928" t="s">
        <v>1266</v>
      </c>
      <c r="Q928" t="s">
        <v>1646</v>
      </c>
      <c r="U928" t="s">
        <v>1697</v>
      </c>
      <c r="W928" t="s">
        <v>1702</v>
      </c>
      <c r="X928">
        <v>4</v>
      </c>
      <c r="AA928" s="43">
        <v>307.5</v>
      </c>
      <c r="AC928" s="43">
        <v>307.5</v>
      </c>
      <c r="AF928" s="37">
        <f t="shared" si="29"/>
        <v>45840</v>
      </c>
      <c r="AG928" s="37">
        <f t="shared" si="30"/>
        <v>47046.611570247936</v>
      </c>
      <c r="AH928" t="s">
        <v>1705</v>
      </c>
      <c r="AN928" s="43">
        <v>307.5</v>
      </c>
    </row>
    <row r="929" spans="2:40">
      <c r="B929" t="s">
        <v>1267</v>
      </c>
      <c r="C929" t="s">
        <v>121</v>
      </c>
      <c r="D929" t="s">
        <v>167</v>
      </c>
      <c r="E929" t="s">
        <v>83</v>
      </c>
      <c r="F929" s="37">
        <v>45511</v>
      </c>
      <c r="G929">
        <v>10</v>
      </c>
      <c r="H929" t="s">
        <v>174</v>
      </c>
      <c r="I929" s="37">
        <v>45581</v>
      </c>
      <c r="J929" t="s">
        <v>165</v>
      </c>
      <c r="K929" t="s">
        <v>166</v>
      </c>
      <c r="L929" t="s">
        <v>175</v>
      </c>
      <c r="M929" t="s">
        <v>1267</v>
      </c>
      <c r="O929" t="s">
        <v>1267</v>
      </c>
      <c r="Q929" t="s">
        <v>1646</v>
      </c>
      <c r="U929" t="s">
        <v>1697</v>
      </c>
      <c r="W929" t="s">
        <v>1702</v>
      </c>
      <c r="X929">
        <v>4</v>
      </c>
      <c r="AA929" s="43">
        <v>307.5</v>
      </c>
      <c r="AC929" s="43">
        <v>307.5</v>
      </c>
      <c r="AF929" s="37">
        <f t="shared" si="29"/>
        <v>45840</v>
      </c>
      <c r="AG929" s="37">
        <f t="shared" si="30"/>
        <v>47046.611570247936</v>
      </c>
      <c r="AH929" t="s">
        <v>1705</v>
      </c>
      <c r="AN929" s="43">
        <v>307.5</v>
      </c>
    </row>
    <row r="930" spans="2:40">
      <c r="B930" t="s">
        <v>1268</v>
      </c>
      <c r="C930" t="s">
        <v>121</v>
      </c>
      <c r="D930" t="s">
        <v>167</v>
      </c>
      <c r="E930" t="s">
        <v>83</v>
      </c>
      <c r="F930" s="37">
        <v>45511</v>
      </c>
      <c r="G930">
        <v>10</v>
      </c>
      <c r="H930" t="s">
        <v>174</v>
      </c>
      <c r="I930" s="37">
        <v>45581</v>
      </c>
      <c r="J930" t="s">
        <v>165</v>
      </c>
      <c r="K930" t="s">
        <v>166</v>
      </c>
      <c r="L930" t="s">
        <v>175</v>
      </c>
      <c r="M930" t="s">
        <v>1268</v>
      </c>
      <c r="O930" t="s">
        <v>1268</v>
      </c>
      <c r="Q930" t="s">
        <v>1646</v>
      </c>
      <c r="U930" t="s">
        <v>1697</v>
      </c>
      <c r="W930" t="s">
        <v>1702</v>
      </c>
      <c r="X930">
        <v>4</v>
      </c>
      <c r="AA930" s="43">
        <v>307.5</v>
      </c>
      <c r="AC930" s="43">
        <v>307.5</v>
      </c>
      <c r="AF930" s="37">
        <f t="shared" si="29"/>
        <v>45840</v>
      </c>
      <c r="AG930" s="37">
        <f t="shared" si="30"/>
        <v>47046.611570247936</v>
      </c>
      <c r="AH930" t="s">
        <v>1705</v>
      </c>
      <c r="AN930" s="43">
        <v>307.5</v>
      </c>
    </row>
    <row r="931" spans="2:40">
      <c r="B931" t="s">
        <v>1269</v>
      </c>
      <c r="C931" t="s">
        <v>121</v>
      </c>
      <c r="D931" t="s">
        <v>167</v>
      </c>
      <c r="E931" t="s">
        <v>83</v>
      </c>
      <c r="F931" s="37">
        <v>45505</v>
      </c>
      <c r="G931">
        <v>10</v>
      </c>
      <c r="H931" t="s">
        <v>174</v>
      </c>
      <c r="I931" s="37">
        <v>45574</v>
      </c>
      <c r="J931" t="s">
        <v>165</v>
      </c>
      <c r="K931" t="s">
        <v>166</v>
      </c>
      <c r="L931" t="s">
        <v>175</v>
      </c>
      <c r="M931" t="s">
        <v>1269</v>
      </c>
      <c r="O931" t="s">
        <v>1269</v>
      </c>
      <c r="Q931" t="s">
        <v>1643</v>
      </c>
      <c r="U931" t="s">
        <v>1697</v>
      </c>
      <c r="W931" t="s">
        <v>1702</v>
      </c>
      <c r="X931">
        <v>4</v>
      </c>
      <c r="AA931" s="43">
        <v>307.5</v>
      </c>
      <c r="AC931" s="43">
        <v>307.5</v>
      </c>
      <c r="AF931" s="37">
        <f t="shared" si="29"/>
        <v>45834</v>
      </c>
      <c r="AG931" s="37">
        <f t="shared" si="30"/>
        <v>47040.611570247936</v>
      </c>
      <c r="AH931" t="s">
        <v>1705</v>
      </c>
      <c r="AN931" s="43">
        <v>307.5</v>
      </c>
    </row>
    <row r="932" spans="2:40">
      <c r="B932" t="s">
        <v>1270</v>
      </c>
      <c r="C932" t="s">
        <v>121</v>
      </c>
      <c r="D932" t="s">
        <v>167</v>
      </c>
      <c r="E932" t="s">
        <v>83</v>
      </c>
      <c r="F932" s="37">
        <v>45504</v>
      </c>
      <c r="G932">
        <v>10</v>
      </c>
      <c r="H932" t="s">
        <v>174</v>
      </c>
      <c r="I932" s="37">
        <v>45574</v>
      </c>
      <c r="J932" t="s">
        <v>165</v>
      </c>
      <c r="K932" t="s">
        <v>166</v>
      </c>
      <c r="L932" t="s">
        <v>175</v>
      </c>
      <c r="M932" t="s">
        <v>1270</v>
      </c>
      <c r="O932" t="s">
        <v>1270</v>
      </c>
      <c r="Q932" t="s">
        <v>1646</v>
      </c>
      <c r="U932" t="s">
        <v>1697</v>
      </c>
      <c r="W932" t="s">
        <v>1702</v>
      </c>
      <c r="X932">
        <v>4</v>
      </c>
      <c r="AA932" s="43">
        <v>307.5</v>
      </c>
      <c r="AC932" s="43">
        <v>307.5</v>
      </c>
      <c r="AF932" s="37">
        <f t="shared" si="29"/>
        <v>45833</v>
      </c>
      <c r="AG932" s="37">
        <f t="shared" si="30"/>
        <v>47039.611570247936</v>
      </c>
      <c r="AH932" t="s">
        <v>1705</v>
      </c>
      <c r="AN932" s="43">
        <v>307.5</v>
      </c>
    </row>
    <row r="933" spans="2:40">
      <c r="B933" t="s">
        <v>1271</v>
      </c>
      <c r="C933" t="s">
        <v>121</v>
      </c>
      <c r="D933" t="s">
        <v>167</v>
      </c>
      <c r="E933" t="s">
        <v>83</v>
      </c>
      <c r="F933" s="37">
        <v>45504</v>
      </c>
      <c r="G933">
        <v>10</v>
      </c>
      <c r="H933" t="s">
        <v>174</v>
      </c>
      <c r="I933" s="37">
        <v>45574</v>
      </c>
      <c r="J933" t="s">
        <v>165</v>
      </c>
      <c r="K933" t="s">
        <v>166</v>
      </c>
      <c r="L933" t="s">
        <v>175</v>
      </c>
      <c r="M933" t="s">
        <v>1271</v>
      </c>
      <c r="O933" t="s">
        <v>1271</v>
      </c>
      <c r="Q933" t="s">
        <v>1646</v>
      </c>
      <c r="U933" t="s">
        <v>1697</v>
      </c>
      <c r="W933" t="s">
        <v>1702</v>
      </c>
      <c r="X933">
        <v>4</v>
      </c>
      <c r="AA933" s="43">
        <v>307.5</v>
      </c>
      <c r="AC933" s="43">
        <v>307.5</v>
      </c>
      <c r="AF933" s="37">
        <f t="shared" si="29"/>
        <v>45833</v>
      </c>
      <c r="AG933" s="37">
        <f t="shared" si="30"/>
        <v>47039.611570247936</v>
      </c>
      <c r="AH933" t="s">
        <v>1705</v>
      </c>
      <c r="AN933" s="43">
        <v>307.5</v>
      </c>
    </row>
    <row r="934" spans="2:40">
      <c r="B934" t="s">
        <v>1272</v>
      </c>
      <c r="C934" t="s">
        <v>121</v>
      </c>
      <c r="D934" t="s">
        <v>167</v>
      </c>
      <c r="E934" t="s">
        <v>83</v>
      </c>
      <c r="F934" s="37">
        <v>45504</v>
      </c>
      <c r="G934">
        <v>10</v>
      </c>
      <c r="H934" t="s">
        <v>174</v>
      </c>
      <c r="I934" s="37">
        <v>45574</v>
      </c>
      <c r="J934" t="s">
        <v>165</v>
      </c>
      <c r="K934" t="s">
        <v>166</v>
      </c>
      <c r="L934" t="s">
        <v>175</v>
      </c>
      <c r="M934" t="s">
        <v>1272</v>
      </c>
      <c r="O934" t="s">
        <v>1272</v>
      </c>
      <c r="Q934" t="s">
        <v>1646</v>
      </c>
      <c r="U934" t="s">
        <v>1697</v>
      </c>
      <c r="W934" t="s">
        <v>1702</v>
      </c>
      <c r="X934">
        <v>4</v>
      </c>
      <c r="AA934" s="43">
        <v>307.5</v>
      </c>
      <c r="AC934" s="43">
        <v>307.5</v>
      </c>
      <c r="AF934" s="37">
        <f t="shared" si="29"/>
        <v>45833</v>
      </c>
      <c r="AG934" s="37">
        <f t="shared" si="30"/>
        <v>47039.611570247936</v>
      </c>
      <c r="AH934" t="s">
        <v>1705</v>
      </c>
      <c r="AN934" s="43">
        <v>307.5</v>
      </c>
    </row>
    <row r="935" spans="2:40">
      <c r="B935" t="s">
        <v>1273</v>
      </c>
      <c r="C935" t="s">
        <v>121</v>
      </c>
      <c r="D935" t="s">
        <v>167</v>
      </c>
      <c r="E935" t="s">
        <v>83</v>
      </c>
      <c r="F935" s="37">
        <v>45504</v>
      </c>
      <c r="G935">
        <v>10</v>
      </c>
      <c r="H935" t="s">
        <v>174</v>
      </c>
      <c r="I935" s="37">
        <v>45574</v>
      </c>
      <c r="J935" t="s">
        <v>165</v>
      </c>
      <c r="K935" t="s">
        <v>166</v>
      </c>
      <c r="L935" t="s">
        <v>175</v>
      </c>
      <c r="M935" t="s">
        <v>1273</v>
      </c>
      <c r="O935" t="s">
        <v>1273</v>
      </c>
      <c r="Q935" t="s">
        <v>1646</v>
      </c>
      <c r="U935" t="s">
        <v>1697</v>
      </c>
      <c r="W935" t="s">
        <v>1702</v>
      </c>
      <c r="X935">
        <v>4</v>
      </c>
      <c r="AA935" s="43">
        <v>307.5</v>
      </c>
      <c r="AC935" s="43">
        <v>307.5</v>
      </c>
      <c r="AF935" s="37">
        <f t="shared" si="29"/>
        <v>45833</v>
      </c>
      <c r="AG935" s="37">
        <f t="shared" si="30"/>
        <v>47039.611570247936</v>
      </c>
      <c r="AH935" t="s">
        <v>1705</v>
      </c>
      <c r="AN935" s="43">
        <v>307.5</v>
      </c>
    </row>
    <row r="936" spans="2:40">
      <c r="B936" t="s">
        <v>1274</v>
      </c>
      <c r="C936" t="s">
        <v>121</v>
      </c>
      <c r="D936" t="s">
        <v>167</v>
      </c>
      <c r="E936" t="s">
        <v>83</v>
      </c>
      <c r="F936" s="37">
        <v>45504</v>
      </c>
      <c r="G936">
        <v>10</v>
      </c>
      <c r="H936" t="s">
        <v>174</v>
      </c>
      <c r="I936" s="37">
        <v>45574</v>
      </c>
      <c r="J936" t="s">
        <v>165</v>
      </c>
      <c r="K936" t="s">
        <v>166</v>
      </c>
      <c r="L936" t="s">
        <v>175</v>
      </c>
      <c r="M936" t="s">
        <v>1274</v>
      </c>
      <c r="O936" t="s">
        <v>1274</v>
      </c>
      <c r="Q936" t="s">
        <v>1646</v>
      </c>
      <c r="U936" t="s">
        <v>1697</v>
      </c>
      <c r="W936" t="s">
        <v>1702</v>
      </c>
      <c r="X936">
        <v>4</v>
      </c>
      <c r="AA936" s="43">
        <v>307.5</v>
      </c>
      <c r="AC936" s="43">
        <v>307.5</v>
      </c>
      <c r="AF936" s="37">
        <f t="shared" si="29"/>
        <v>45833</v>
      </c>
      <c r="AG936" s="37">
        <f t="shared" si="30"/>
        <v>47039.611570247936</v>
      </c>
      <c r="AH936" t="s">
        <v>1705</v>
      </c>
      <c r="AN936" s="43">
        <v>307.5</v>
      </c>
    </row>
    <row r="937" spans="2:40">
      <c r="B937" t="s">
        <v>1275</v>
      </c>
      <c r="C937" t="s">
        <v>121</v>
      </c>
      <c r="D937" t="s">
        <v>167</v>
      </c>
      <c r="E937" t="s">
        <v>83</v>
      </c>
      <c r="F937" s="37">
        <v>45504</v>
      </c>
      <c r="G937">
        <v>10</v>
      </c>
      <c r="H937" t="s">
        <v>174</v>
      </c>
      <c r="I937" s="37">
        <v>45574</v>
      </c>
      <c r="J937" t="s">
        <v>165</v>
      </c>
      <c r="K937" t="s">
        <v>166</v>
      </c>
      <c r="L937" t="s">
        <v>175</v>
      </c>
      <c r="M937" t="s">
        <v>1275</v>
      </c>
      <c r="O937" t="s">
        <v>1275</v>
      </c>
      <c r="Q937" t="s">
        <v>1646</v>
      </c>
      <c r="U937" t="s">
        <v>1697</v>
      </c>
      <c r="W937" t="s">
        <v>1702</v>
      </c>
      <c r="X937">
        <v>4</v>
      </c>
      <c r="AA937" s="43">
        <v>307.5</v>
      </c>
      <c r="AC937" s="43">
        <v>307.5</v>
      </c>
      <c r="AF937" s="37">
        <f t="shared" si="29"/>
        <v>45833</v>
      </c>
      <c r="AG937" s="37">
        <f t="shared" si="30"/>
        <v>47039.611570247936</v>
      </c>
      <c r="AH937" t="s">
        <v>1705</v>
      </c>
      <c r="AN937" s="43">
        <v>307.5</v>
      </c>
    </row>
    <row r="938" spans="2:40">
      <c r="B938" t="s">
        <v>1276</v>
      </c>
      <c r="C938" t="s">
        <v>121</v>
      </c>
      <c r="D938" t="s">
        <v>167</v>
      </c>
      <c r="E938" t="s">
        <v>83</v>
      </c>
      <c r="F938" s="37">
        <v>45498</v>
      </c>
      <c r="G938">
        <v>10</v>
      </c>
      <c r="H938" t="s">
        <v>174</v>
      </c>
      <c r="I938" s="37">
        <v>45581</v>
      </c>
      <c r="J938" t="s">
        <v>165</v>
      </c>
      <c r="K938" t="s">
        <v>166</v>
      </c>
      <c r="L938" t="s">
        <v>175</v>
      </c>
      <c r="M938" t="s">
        <v>1276</v>
      </c>
      <c r="O938" t="s">
        <v>1276</v>
      </c>
      <c r="Q938" t="s">
        <v>1643</v>
      </c>
      <c r="U938" t="s">
        <v>1697</v>
      </c>
      <c r="W938" t="s">
        <v>1702</v>
      </c>
      <c r="X938">
        <v>4</v>
      </c>
      <c r="AA938" s="43">
        <v>307.5</v>
      </c>
      <c r="AC938" s="43">
        <v>307.5</v>
      </c>
      <c r="AF938" s="37">
        <f t="shared" si="29"/>
        <v>45827</v>
      </c>
      <c r="AG938" s="37">
        <f t="shared" si="30"/>
        <v>47033.611570247936</v>
      </c>
      <c r="AH938" t="s">
        <v>1705</v>
      </c>
      <c r="AN938" s="43">
        <v>307.5</v>
      </c>
    </row>
    <row r="939" spans="2:40">
      <c r="B939" t="s">
        <v>1277</v>
      </c>
      <c r="C939" t="s">
        <v>121</v>
      </c>
      <c r="D939" t="s">
        <v>167</v>
      </c>
      <c r="E939" t="s">
        <v>83</v>
      </c>
      <c r="F939" s="37">
        <v>45498</v>
      </c>
      <c r="G939">
        <v>10</v>
      </c>
      <c r="H939" t="s">
        <v>174</v>
      </c>
      <c r="I939" s="37">
        <v>45567</v>
      </c>
      <c r="J939" t="s">
        <v>165</v>
      </c>
      <c r="K939" t="s">
        <v>166</v>
      </c>
      <c r="L939" t="s">
        <v>175</v>
      </c>
      <c r="M939" t="s">
        <v>1277</v>
      </c>
      <c r="O939" t="s">
        <v>1277</v>
      </c>
      <c r="Q939" t="s">
        <v>1643</v>
      </c>
      <c r="U939" t="s">
        <v>1697</v>
      </c>
      <c r="W939" t="s">
        <v>1702</v>
      </c>
      <c r="X939">
        <v>4</v>
      </c>
      <c r="AA939" s="43">
        <v>307.5</v>
      </c>
      <c r="AC939" s="43">
        <v>307.5</v>
      </c>
      <c r="AF939" s="37">
        <f t="shared" si="29"/>
        <v>45827</v>
      </c>
      <c r="AG939" s="37">
        <f t="shared" si="30"/>
        <v>47033.611570247936</v>
      </c>
      <c r="AH939" t="s">
        <v>1705</v>
      </c>
      <c r="AN939" s="43">
        <v>307.5</v>
      </c>
    </row>
    <row r="940" spans="2:40">
      <c r="B940" t="s">
        <v>1278</v>
      </c>
      <c r="C940" t="s">
        <v>121</v>
      </c>
      <c r="D940" t="s">
        <v>167</v>
      </c>
      <c r="E940" t="s">
        <v>83</v>
      </c>
      <c r="F940" s="37">
        <v>45497</v>
      </c>
      <c r="G940">
        <v>10</v>
      </c>
      <c r="H940" t="s">
        <v>174</v>
      </c>
      <c r="I940" s="37">
        <v>45567</v>
      </c>
      <c r="J940" t="s">
        <v>165</v>
      </c>
      <c r="K940" t="s">
        <v>166</v>
      </c>
      <c r="L940" t="s">
        <v>175</v>
      </c>
      <c r="M940" t="s">
        <v>1278</v>
      </c>
      <c r="O940" t="s">
        <v>1278</v>
      </c>
      <c r="Q940" t="s">
        <v>1647</v>
      </c>
      <c r="U940" t="s">
        <v>1697</v>
      </c>
      <c r="W940" t="s">
        <v>1702</v>
      </c>
      <c r="X940">
        <v>4</v>
      </c>
      <c r="AA940" s="43">
        <v>307.5</v>
      </c>
      <c r="AC940" s="43">
        <v>307.5</v>
      </c>
      <c r="AF940" s="37">
        <f t="shared" si="29"/>
        <v>45826</v>
      </c>
      <c r="AG940" s="37">
        <f t="shared" si="30"/>
        <v>47032.611570247936</v>
      </c>
      <c r="AH940" t="s">
        <v>1705</v>
      </c>
      <c r="AN940" s="43">
        <v>307.5</v>
      </c>
    </row>
    <row r="941" spans="2:40">
      <c r="B941" t="s">
        <v>1279</v>
      </c>
      <c r="C941" t="s">
        <v>121</v>
      </c>
      <c r="D941" t="s">
        <v>167</v>
      </c>
      <c r="E941" t="s">
        <v>83</v>
      </c>
      <c r="F941" s="37">
        <v>45497</v>
      </c>
      <c r="G941">
        <v>10</v>
      </c>
      <c r="H941" t="s">
        <v>174</v>
      </c>
      <c r="I941" s="37">
        <v>45567</v>
      </c>
      <c r="J941" t="s">
        <v>165</v>
      </c>
      <c r="K941" t="s">
        <v>166</v>
      </c>
      <c r="L941" t="s">
        <v>175</v>
      </c>
      <c r="M941" t="s">
        <v>1279</v>
      </c>
      <c r="O941" t="s">
        <v>1279</v>
      </c>
      <c r="Q941" t="s">
        <v>1647</v>
      </c>
      <c r="U941" t="s">
        <v>1697</v>
      </c>
      <c r="W941" t="s">
        <v>1702</v>
      </c>
      <c r="X941">
        <v>4</v>
      </c>
      <c r="AA941" s="43">
        <v>307.5</v>
      </c>
      <c r="AC941" s="43">
        <v>307.5</v>
      </c>
      <c r="AF941" s="37">
        <f t="shared" si="29"/>
        <v>45826</v>
      </c>
      <c r="AG941" s="37">
        <f t="shared" si="30"/>
        <v>47032.611570247936</v>
      </c>
      <c r="AH941" t="s">
        <v>1705</v>
      </c>
      <c r="AN941" s="43">
        <v>307.5</v>
      </c>
    </row>
    <row r="942" spans="2:40">
      <c r="B942" t="s">
        <v>1280</v>
      </c>
      <c r="C942" t="s">
        <v>121</v>
      </c>
      <c r="D942" t="s">
        <v>167</v>
      </c>
      <c r="E942" t="s">
        <v>83</v>
      </c>
      <c r="F942" s="37">
        <v>45497</v>
      </c>
      <c r="G942">
        <v>10</v>
      </c>
      <c r="H942" t="s">
        <v>174</v>
      </c>
      <c r="I942" s="37">
        <v>45567</v>
      </c>
      <c r="J942" t="s">
        <v>165</v>
      </c>
      <c r="K942" t="s">
        <v>166</v>
      </c>
      <c r="L942" t="s">
        <v>175</v>
      </c>
      <c r="M942" t="s">
        <v>1280</v>
      </c>
      <c r="O942" t="s">
        <v>1280</v>
      </c>
      <c r="Q942" t="s">
        <v>1647</v>
      </c>
      <c r="U942" t="s">
        <v>1697</v>
      </c>
      <c r="W942" t="s">
        <v>1702</v>
      </c>
      <c r="X942">
        <v>4</v>
      </c>
      <c r="AA942" s="43">
        <v>307.5</v>
      </c>
      <c r="AC942" s="43">
        <v>307.5</v>
      </c>
      <c r="AF942" s="37">
        <f t="shared" si="29"/>
        <v>45826</v>
      </c>
      <c r="AG942" s="37">
        <f t="shared" si="30"/>
        <v>47032.611570247936</v>
      </c>
      <c r="AH942" t="s">
        <v>1705</v>
      </c>
      <c r="AN942" s="43">
        <v>307.5</v>
      </c>
    </row>
    <row r="943" spans="2:40">
      <c r="B943" t="s">
        <v>1281</v>
      </c>
      <c r="C943" t="s">
        <v>121</v>
      </c>
      <c r="D943" t="s">
        <v>167</v>
      </c>
      <c r="E943" t="s">
        <v>83</v>
      </c>
      <c r="F943" s="37">
        <v>45497</v>
      </c>
      <c r="G943">
        <v>10</v>
      </c>
      <c r="H943" t="s">
        <v>174</v>
      </c>
      <c r="I943" s="37">
        <v>45567</v>
      </c>
      <c r="J943" t="s">
        <v>165</v>
      </c>
      <c r="K943" t="s">
        <v>166</v>
      </c>
      <c r="L943" t="s">
        <v>175</v>
      </c>
      <c r="M943" t="s">
        <v>1281</v>
      </c>
      <c r="O943" t="s">
        <v>1281</v>
      </c>
      <c r="Q943" t="s">
        <v>1647</v>
      </c>
      <c r="U943" t="s">
        <v>1697</v>
      </c>
      <c r="W943" t="s">
        <v>1702</v>
      </c>
      <c r="X943">
        <v>4</v>
      </c>
      <c r="AA943" s="43">
        <v>307.5</v>
      </c>
      <c r="AC943" s="43">
        <v>307.5</v>
      </c>
      <c r="AF943" s="37">
        <f t="shared" si="29"/>
        <v>45826</v>
      </c>
      <c r="AG943" s="37">
        <f t="shared" si="30"/>
        <v>47032.611570247936</v>
      </c>
      <c r="AH943" t="s">
        <v>1705</v>
      </c>
      <c r="AN943" s="43">
        <v>307.5</v>
      </c>
    </row>
    <row r="944" spans="2:40">
      <c r="B944" t="s">
        <v>1282</v>
      </c>
      <c r="C944" t="s">
        <v>121</v>
      </c>
      <c r="D944" t="s">
        <v>167</v>
      </c>
      <c r="E944" t="s">
        <v>83</v>
      </c>
      <c r="F944" s="37">
        <v>45497</v>
      </c>
      <c r="G944">
        <v>10</v>
      </c>
      <c r="H944" t="s">
        <v>174</v>
      </c>
      <c r="I944" s="37">
        <v>45567</v>
      </c>
      <c r="J944" t="s">
        <v>165</v>
      </c>
      <c r="K944" t="s">
        <v>166</v>
      </c>
      <c r="L944" t="s">
        <v>175</v>
      </c>
      <c r="M944" t="s">
        <v>1282</v>
      </c>
      <c r="O944" t="s">
        <v>1282</v>
      </c>
      <c r="Q944" t="s">
        <v>1647</v>
      </c>
      <c r="U944" t="s">
        <v>1697</v>
      </c>
      <c r="W944" t="s">
        <v>1702</v>
      </c>
      <c r="X944">
        <v>4</v>
      </c>
      <c r="AA944" s="43">
        <v>307.5</v>
      </c>
      <c r="AC944" s="43">
        <v>307.5</v>
      </c>
      <c r="AF944" s="37">
        <f t="shared" si="29"/>
        <v>45826</v>
      </c>
      <c r="AG944" s="37">
        <f t="shared" si="30"/>
        <v>47032.611570247936</v>
      </c>
      <c r="AH944" t="s">
        <v>1705</v>
      </c>
      <c r="AN944" s="43">
        <v>307.5</v>
      </c>
    </row>
    <row r="945" spans="2:40">
      <c r="B945" t="s">
        <v>1283</v>
      </c>
      <c r="C945" t="s">
        <v>121</v>
      </c>
      <c r="D945" t="s">
        <v>167</v>
      </c>
      <c r="E945" t="s">
        <v>83</v>
      </c>
      <c r="F945" s="37">
        <v>45497</v>
      </c>
      <c r="G945">
        <v>10</v>
      </c>
      <c r="H945" t="s">
        <v>174</v>
      </c>
      <c r="I945" s="37">
        <v>45567</v>
      </c>
      <c r="J945" t="s">
        <v>165</v>
      </c>
      <c r="K945" t="s">
        <v>166</v>
      </c>
      <c r="L945" t="s">
        <v>175</v>
      </c>
      <c r="M945" t="s">
        <v>1283</v>
      </c>
      <c r="O945" t="s">
        <v>1283</v>
      </c>
      <c r="Q945" t="s">
        <v>1648</v>
      </c>
      <c r="U945" t="s">
        <v>1697</v>
      </c>
      <c r="W945" t="s">
        <v>1702</v>
      </c>
      <c r="X945">
        <v>4</v>
      </c>
      <c r="AA945" s="43">
        <v>307.5</v>
      </c>
      <c r="AC945" s="43">
        <v>307.5</v>
      </c>
      <c r="AF945" s="37">
        <f t="shared" si="29"/>
        <v>45826</v>
      </c>
      <c r="AG945" s="37">
        <f t="shared" si="30"/>
        <v>47032.611570247936</v>
      </c>
      <c r="AH945" t="s">
        <v>1705</v>
      </c>
      <c r="AN945" s="43">
        <v>307.5</v>
      </c>
    </row>
    <row r="946" spans="2:40">
      <c r="B946" t="s">
        <v>1284</v>
      </c>
      <c r="C946" t="s">
        <v>121</v>
      </c>
      <c r="D946" t="s">
        <v>167</v>
      </c>
      <c r="E946" t="s">
        <v>83</v>
      </c>
      <c r="F946" s="37">
        <v>45495</v>
      </c>
      <c r="G946">
        <v>10</v>
      </c>
      <c r="H946" t="s">
        <v>174</v>
      </c>
      <c r="I946" s="37">
        <v>45567</v>
      </c>
      <c r="J946" t="s">
        <v>165</v>
      </c>
      <c r="K946" t="s">
        <v>166</v>
      </c>
      <c r="L946" t="s">
        <v>175</v>
      </c>
      <c r="M946" t="s">
        <v>1284</v>
      </c>
      <c r="O946" t="s">
        <v>1284</v>
      </c>
      <c r="Q946" t="s">
        <v>1643</v>
      </c>
      <c r="U946" t="s">
        <v>1697</v>
      </c>
      <c r="W946" t="s">
        <v>1702</v>
      </c>
      <c r="X946">
        <v>4</v>
      </c>
      <c r="AA946" s="43">
        <v>307.5</v>
      </c>
      <c r="AC946" s="43">
        <v>307.5</v>
      </c>
      <c r="AF946" s="37">
        <f t="shared" si="29"/>
        <v>45824</v>
      </c>
      <c r="AG946" s="37">
        <f t="shared" si="30"/>
        <v>47030.611570247936</v>
      </c>
      <c r="AH946" t="s">
        <v>1705</v>
      </c>
      <c r="AN946" s="43">
        <v>307.5</v>
      </c>
    </row>
    <row r="947" spans="2:40">
      <c r="B947" t="s">
        <v>1285</v>
      </c>
      <c r="C947" t="s">
        <v>121</v>
      </c>
      <c r="D947" t="s">
        <v>167</v>
      </c>
      <c r="E947" t="s">
        <v>83</v>
      </c>
      <c r="F947" s="37">
        <v>45490</v>
      </c>
      <c r="G947">
        <v>10</v>
      </c>
      <c r="H947" t="s">
        <v>174</v>
      </c>
      <c r="I947" s="37">
        <v>45560</v>
      </c>
      <c r="J947" t="s">
        <v>165</v>
      </c>
      <c r="K947" t="s">
        <v>166</v>
      </c>
      <c r="L947" t="s">
        <v>175</v>
      </c>
      <c r="M947" t="s">
        <v>1285</v>
      </c>
      <c r="O947" t="s">
        <v>1285</v>
      </c>
      <c r="Q947" t="s">
        <v>1647</v>
      </c>
      <c r="U947" t="s">
        <v>1698</v>
      </c>
      <c r="W947" t="s">
        <v>1703</v>
      </c>
      <c r="X947">
        <v>4</v>
      </c>
      <c r="AA947" s="43">
        <v>307.5</v>
      </c>
      <c r="AC947" s="43">
        <v>307.5</v>
      </c>
      <c r="AF947" s="37">
        <f t="shared" si="29"/>
        <v>45819</v>
      </c>
      <c r="AG947" s="37">
        <f t="shared" si="30"/>
        <v>47025.611570247936</v>
      </c>
      <c r="AH947" t="s">
        <v>169</v>
      </c>
      <c r="AN947" s="43">
        <v>307.5</v>
      </c>
    </row>
    <row r="948" spans="2:40">
      <c r="B948" t="s">
        <v>1286</v>
      </c>
      <c r="C948" t="s">
        <v>121</v>
      </c>
      <c r="D948" t="s">
        <v>167</v>
      </c>
      <c r="E948" t="s">
        <v>83</v>
      </c>
      <c r="F948" s="37">
        <v>45490</v>
      </c>
      <c r="G948">
        <v>10</v>
      </c>
      <c r="H948" t="s">
        <v>174</v>
      </c>
      <c r="I948" s="37">
        <v>45560</v>
      </c>
      <c r="J948" t="s">
        <v>165</v>
      </c>
      <c r="K948" t="s">
        <v>166</v>
      </c>
      <c r="L948" t="s">
        <v>175</v>
      </c>
      <c r="M948" t="s">
        <v>1286</v>
      </c>
      <c r="O948" t="s">
        <v>1286</v>
      </c>
      <c r="Q948" t="s">
        <v>1647</v>
      </c>
      <c r="U948" t="s">
        <v>1697</v>
      </c>
      <c r="W948" t="s">
        <v>1702</v>
      </c>
      <c r="X948">
        <v>4</v>
      </c>
      <c r="AA948" s="43">
        <v>307.5</v>
      </c>
      <c r="AC948" s="43">
        <v>307.5</v>
      </c>
      <c r="AF948" s="37">
        <f t="shared" si="29"/>
        <v>45819</v>
      </c>
      <c r="AG948" s="37">
        <f t="shared" si="30"/>
        <v>47025.611570247936</v>
      </c>
      <c r="AH948" t="s">
        <v>1705</v>
      </c>
      <c r="AN948" s="43">
        <v>307.5</v>
      </c>
    </row>
    <row r="949" spans="2:40">
      <c r="B949" t="s">
        <v>1287</v>
      </c>
      <c r="C949" t="s">
        <v>121</v>
      </c>
      <c r="D949" t="s">
        <v>167</v>
      </c>
      <c r="E949" t="s">
        <v>83</v>
      </c>
      <c r="F949" s="37">
        <v>45490</v>
      </c>
      <c r="G949">
        <v>10</v>
      </c>
      <c r="H949" t="s">
        <v>174</v>
      </c>
      <c r="I949" s="37">
        <v>45560</v>
      </c>
      <c r="J949" t="s">
        <v>165</v>
      </c>
      <c r="K949" t="s">
        <v>166</v>
      </c>
      <c r="L949" t="s">
        <v>175</v>
      </c>
      <c r="M949" t="s">
        <v>1287</v>
      </c>
      <c r="O949" t="s">
        <v>1287</v>
      </c>
      <c r="Q949" t="s">
        <v>1643</v>
      </c>
      <c r="U949" t="s">
        <v>1697</v>
      </c>
      <c r="W949" t="s">
        <v>1702</v>
      </c>
      <c r="X949">
        <v>4</v>
      </c>
      <c r="AA949" s="43">
        <v>307.5</v>
      </c>
      <c r="AC949" s="43">
        <v>307.5</v>
      </c>
      <c r="AF949" s="37">
        <f t="shared" si="29"/>
        <v>45819</v>
      </c>
      <c r="AG949" s="37">
        <f t="shared" si="30"/>
        <v>47025.611570247936</v>
      </c>
      <c r="AH949" t="s">
        <v>1705</v>
      </c>
      <c r="AN949" s="43">
        <v>307.5</v>
      </c>
    </row>
    <row r="950" spans="2:40">
      <c r="B950" t="s">
        <v>1288</v>
      </c>
      <c r="C950" t="s">
        <v>121</v>
      </c>
      <c r="D950" t="s">
        <v>167</v>
      </c>
      <c r="E950" t="s">
        <v>83</v>
      </c>
      <c r="F950" s="37">
        <v>45490</v>
      </c>
      <c r="G950">
        <v>10</v>
      </c>
      <c r="H950" t="s">
        <v>174</v>
      </c>
      <c r="I950" s="37">
        <v>45560</v>
      </c>
      <c r="J950" t="s">
        <v>165</v>
      </c>
      <c r="K950" t="s">
        <v>166</v>
      </c>
      <c r="L950" t="s">
        <v>175</v>
      </c>
      <c r="M950" t="s">
        <v>1288</v>
      </c>
      <c r="O950" t="s">
        <v>1288</v>
      </c>
      <c r="Q950" t="s">
        <v>1647</v>
      </c>
      <c r="U950" t="s">
        <v>1697</v>
      </c>
      <c r="W950" t="s">
        <v>1702</v>
      </c>
      <c r="X950">
        <v>4</v>
      </c>
      <c r="AA950" s="43">
        <v>307.5</v>
      </c>
      <c r="AC950" s="43">
        <v>307.5</v>
      </c>
      <c r="AF950" s="37">
        <f t="shared" si="29"/>
        <v>45819</v>
      </c>
      <c r="AG950" s="37">
        <f t="shared" si="30"/>
        <v>47025.611570247936</v>
      </c>
      <c r="AH950" t="s">
        <v>1705</v>
      </c>
      <c r="AN950" s="43">
        <v>307.5</v>
      </c>
    </row>
    <row r="951" spans="2:40">
      <c r="B951" t="s">
        <v>1289</v>
      </c>
      <c r="C951" t="s">
        <v>121</v>
      </c>
      <c r="D951" t="s">
        <v>167</v>
      </c>
      <c r="E951" t="s">
        <v>83</v>
      </c>
      <c r="F951" s="37">
        <v>45490</v>
      </c>
      <c r="G951">
        <v>10</v>
      </c>
      <c r="H951" t="s">
        <v>174</v>
      </c>
      <c r="I951" s="37">
        <v>45560</v>
      </c>
      <c r="J951" t="s">
        <v>165</v>
      </c>
      <c r="K951" t="s">
        <v>166</v>
      </c>
      <c r="L951" t="s">
        <v>175</v>
      </c>
      <c r="M951" t="s">
        <v>1289</v>
      </c>
      <c r="O951" t="s">
        <v>1289</v>
      </c>
      <c r="Q951" t="s">
        <v>1647</v>
      </c>
      <c r="U951" t="s">
        <v>1697</v>
      </c>
      <c r="W951" t="s">
        <v>1702</v>
      </c>
      <c r="X951">
        <v>4</v>
      </c>
      <c r="AA951" s="43">
        <v>307.5</v>
      </c>
      <c r="AC951" s="43">
        <v>307.5</v>
      </c>
      <c r="AF951" s="37">
        <f t="shared" si="29"/>
        <v>45819</v>
      </c>
      <c r="AG951" s="37">
        <f t="shared" si="30"/>
        <v>47025.611570247936</v>
      </c>
      <c r="AH951" t="s">
        <v>1705</v>
      </c>
      <c r="AN951" s="43">
        <v>307.5</v>
      </c>
    </row>
    <row r="952" spans="2:40">
      <c r="B952" t="s">
        <v>1290</v>
      </c>
      <c r="C952" t="s">
        <v>121</v>
      </c>
      <c r="D952" t="s">
        <v>167</v>
      </c>
      <c r="E952" t="s">
        <v>83</v>
      </c>
      <c r="F952" s="37">
        <v>45483</v>
      </c>
      <c r="G952">
        <v>10</v>
      </c>
      <c r="H952" t="s">
        <v>174</v>
      </c>
      <c r="I952" s="37">
        <v>45553</v>
      </c>
      <c r="J952" t="s">
        <v>165</v>
      </c>
      <c r="K952" t="s">
        <v>166</v>
      </c>
      <c r="L952" t="s">
        <v>175</v>
      </c>
      <c r="M952" t="s">
        <v>1290</v>
      </c>
      <c r="O952" t="s">
        <v>1290</v>
      </c>
      <c r="Q952" t="s">
        <v>1643</v>
      </c>
      <c r="U952" t="s">
        <v>1697</v>
      </c>
      <c r="W952" t="s">
        <v>1702</v>
      </c>
      <c r="X952">
        <v>4</v>
      </c>
      <c r="AA952" s="43">
        <v>307.5</v>
      </c>
      <c r="AC952" s="43">
        <v>307.5</v>
      </c>
      <c r="AF952" s="37">
        <f t="shared" si="29"/>
        <v>45812</v>
      </c>
      <c r="AG952" s="37">
        <f t="shared" si="30"/>
        <v>47018.611570247936</v>
      </c>
      <c r="AH952" t="s">
        <v>1705</v>
      </c>
      <c r="AN952" s="43">
        <v>307.5</v>
      </c>
    </row>
    <row r="953" spans="2:40">
      <c r="B953" t="s">
        <v>1291</v>
      </c>
      <c r="C953" t="s">
        <v>121</v>
      </c>
      <c r="D953" t="s">
        <v>167</v>
      </c>
      <c r="E953" t="s">
        <v>83</v>
      </c>
      <c r="F953" s="37">
        <v>45483</v>
      </c>
      <c r="G953">
        <v>10</v>
      </c>
      <c r="H953" t="s">
        <v>174</v>
      </c>
      <c r="I953" s="37">
        <v>45553</v>
      </c>
      <c r="J953" t="s">
        <v>165</v>
      </c>
      <c r="K953" t="s">
        <v>166</v>
      </c>
      <c r="L953" t="s">
        <v>175</v>
      </c>
      <c r="M953" t="s">
        <v>1291</v>
      </c>
      <c r="O953" t="s">
        <v>1291</v>
      </c>
      <c r="Q953" t="s">
        <v>1643</v>
      </c>
      <c r="U953" t="s">
        <v>1697</v>
      </c>
      <c r="W953" t="s">
        <v>1702</v>
      </c>
      <c r="X953">
        <v>4</v>
      </c>
      <c r="AA953" s="43">
        <v>307.5</v>
      </c>
      <c r="AC953" s="43">
        <v>307.5</v>
      </c>
      <c r="AF953" s="37">
        <f t="shared" si="29"/>
        <v>45812</v>
      </c>
      <c r="AG953" s="37">
        <f t="shared" si="30"/>
        <v>47018.611570247936</v>
      </c>
      <c r="AH953" t="s">
        <v>1705</v>
      </c>
      <c r="AN953" s="43">
        <v>307.5</v>
      </c>
    </row>
    <row r="954" spans="2:40">
      <c r="B954" t="s">
        <v>1292</v>
      </c>
      <c r="C954" t="s">
        <v>121</v>
      </c>
      <c r="D954" t="s">
        <v>167</v>
      </c>
      <c r="E954" t="s">
        <v>83</v>
      </c>
      <c r="F954" s="37">
        <v>45483</v>
      </c>
      <c r="G954">
        <v>10</v>
      </c>
      <c r="H954" t="s">
        <v>174</v>
      </c>
      <c r="I954" s="37">
        <v>45553</v>
      </c>
      <c r="J954" t="s">
        <v>165</v>
      </c>
      <c r="K954" t="s">
        <v>166</v>
      </c>
      <c r="L954" t="s">
        <v>175</v>
      </c>
      <c r="M954" t="s">
        <v>1292</v>
      </c>
      <c r="O954" t="s">
        <v>1292</v>
      </c>
      <c r="Q954" t="s">
        <v>1643</v>
      </c>
      <c r="U954" t="s">
        <v>1697</v>
      </c>
      <c r="W954" t="s">
        <v>1702</v>
      </c>
      <c r="X954">
        <v>4</v>
      </c>
      <c r="AA954" s="43">
        <v>307.5</v>
      </c>
      <c r="AC954" s="43">
        <v>307.5</v>
      </c>
      <c r="AF954" s="37">
        <f t="shared" si="29"/>
        <v>45812</v>
      </c>
      <c r="AG954" s="37">
        <f t="shared" si="30"/>
        <v>47018.611570247936</v>
      </c>
      <c r="AH954" t="s">
        <v>1705</v>
      </c>
      <c r="AN954" s="43">
        <v>307.5</v>
      </c>
    </row>
    <row r="955" spans="2:40">
      <c r="B955" t="s">
        <v>1293</v>
      </c>
      <c r="C955" t="s">
        <v>121</v>
      </c>
      <c r="D955" t="s">
        <v>167</v>
      </c>
      <c r="E955" t="s">
        <v>83</v>
      </c>
      <c r="F955" s="37">
        <v>45483</v>
      </c>
      <c r="G955">
        <v>10</v>
      </c>
      <c r="H955" t="s">
        <v>174</v>
      </c>
      <c r="I955" s="37">
        <v>45553</v>
      </c>
      <c r="J955" t="s">
        <v>165</v>
      </c>
      <c r="K955" t="s">
        <v>166</v>
      </c>
      <c r="L955" t="s">
        <v>175</v>
      </c>
      <c r="M955" t="s">
        <v>1293</v>
      </c>
      <c r="O955" t="s">
        <v>1293</v>
      </c>
      <c r="Q955" t="s">
        <v>1643</v>
      </c>
      <c r="U955" t="s">
        <v>1697</v>
      </c>
      <c r="W955" t="s">
        <v>1702</v>
      </c>
      <c r="X955">
        <v>4</v>
      </c>
      <c r="AA955" s="43">
        <v>307.5</v>
      </c>
      <c r="AC955" s="43">
        <v>307.5</v>
      </c>
      <c r="AF955" s="37">
        <f t="shared" si="29"/>
        <v>45812</v>
      </c>
      <c r="AG955" s="37">
        <f t="shared" si="30"/>
        <v>47018.611570247936</v>
      </c>
      <c r="AH955" t="s">
        <v>1705</v>
      </c>
      <c r="AN955" s="43">
        <v>307.5</v>
      </c>
    </row>
    <row r="956" spans="2:40">
      <c r="B956" t="s">
        <v>1294</v>
      </c>
      <c r="C956" t="s">
        <v>121</v>
      </c>
      <c r="D956" t="s">
        <v>167</v>
      </c>
      <c r="E956" t="s">
        <v>83</v>
      </c>
      <c r="F956" s="37">
        <v>45483</v>
      </c>
      <c r="G956">
        <v>10</v>
      </c>
      <c r="H956" t="s">
        <v>174</v>
      </c>
      <c r="I956" s="37">
        <v>45553</v>
      </c>
      <c r="J956" t="s">
        <v>165</v>
      </c>
      <c r="K956" t="s">
        <v>166</v>
      </c>
      <c r="L956" t="s">
        <v>175</v>
      </c>
      <c r="M956" t="s">
        <v>1294</v>
      </c>
      <c r="O956" t="s">
        <v>1294</v>
      </c>
      <c r="Q956" t="s">
        <v>1643</v>
      </c>
      <c r="U956" t="s">
        <v>1698</v>
      </c>
      <c r="W956" t="s">
        <v>1703</v>
      </c>
      <c r="X956">
        <v>4</v>
      </c>
      <c r="AA956" s="43">
        <v>307.5</v>
      </c>
      <c r="AC956" s="43">
        <v>307.5</v>
      </c>
      <c r="AF956" s="37">
        <f t="shared" si="29"/>
        <v>45812</v>
      </c>
      <c r="AG956" s="37">
        <f t="shared" si="30"/>
        <v>47018.611570247936</v>
      </c>
      <c r="AH956" t="s">
        <v>169</v>
      </c>
      <c r="AN956" s="43">
        <v>307.5</v>
      </c>
    </row>
    <row r="957" spans="2:40">
      <c r="B957" t="s">
        <v>1295</v>
      </c>
      <c r="C957" t="s">
        <v>121</v>
      </c>
      <c r="D957" t="s">
        <v>167</v>
      </c>
      <c r="E957" t="s">
        <v>83</v>
      </c>
      <c r="F957" s="37">
        <v>45483</v>
      </c>
      <c r="G957">
        <v>10</v>
      </c>
      <c r="H957" t="s">
        <v>174</v>
      </c>
      <c r="I957" s="37">
        <v>45553</v>
      </c>
      <c r="J957" t="s">
        <v>165</v>
      </c>
      <c r="K957" t="s">
        <v>166</v>
      </c>
      <c r="L957" t="s">
        <v>175</v>
      </c>
      <c r="M957" t="s">
        <v>1295</v>
      </c>
      <c r="O957" t="s">
        <v>1295</v>
      </c>
      <c r="Q957" t="s">
        <v>1643</v>
      </c>
      <c r="U957" t="s">
        <v>1698</v>
      </c>
      <c r="W957" t="s">
        <v>1703</v>
      </c>
      <c r="X957">
        <v>4</v>
      </c>
      <c r="AA957" s="43">
        <v>307.5</v>
      </c>
      <c r="AC957" s="43">
        <v>307.5</v>
      </c>
      <c r="AF957" s="37">
        <f t="shared" si="29"/>
        <v>45812</v>
      </c>
      <c r="AG957" s="37">
        <f t="shared" si="30"/>
        <v>47018.611570247936</v>
      </c>
      <c r="AH957" t="s">
        <v>169</v>
      </c>
      <c r="AN957" s="43">
        <v>307.5</v>
      </c>
    </row>
    <row r="958" spans="2:40">
      <c r="B958" t="s">
        <v>1296</v>
      </c>
      <c r="C958" t="s">
        <v>121</v>
      </c>
      <c r="D958" t="s">
        <v>167</v>
      </c>
      <c r="E958" t="s">
        <v>83</v>
      </c>
      <c r="F958" s="37">
        <v>45483</v>
      </c>
      <c r="G958">
        <v>10</v>
      </c>
      <c r="H958" t="s">
        <v>174</v>
      </c>
      <c r="I958" s="37">
        <v>45553</v>
      </c>
      <c r="J958" t="s">
        <v>165</v>
      </c>
      <c r="K958" t="s">
        <v>166</v>
      </c>
      <c r="L958" t="s">
        <v>175</v>
      </c>
      <c r="M958" t="s">
        <v>1296</v>
      </c>
      <c r="O958" t="s">
        <v>1296</v>
      </c>
      <c r="Q958" t="s">
        <v>1649</v>
      </c>
      <c r="U958" t="s">
        <v>1697</v>
      </c>
      <c r="W958" t="s">
        <v>1702</v>
      </c>
      <c r="X958">
        <v>4</v>
      </c>
      <c r="AA958" s="43">
        <v>307.5</v>
      </c>
      <c r="AC958" s="43">
        <v>307.5</v>
      </c>
      <c r="AF958" s="37">
        <f t="shared" si="29"/>
        <v>45812</v>
      </c>
      <c r="AG958" s="37">
        <f t="shared" si="30"/>
        <v>47018.611570247936</v>
      </c>
      <c r="AH958" t="s">
        <v>1705</v>
      </c>
      <c r="AN958" s="43">
        <v>307.5</v>
      </c>
    </row>
    <row r="959" spans="2:40">
      <c r="B959" t="s">
        <v>1297</v>
      </c>
      <c r="C959" t="s">
        <v>121</v>
      </c>
      <c r="D959" t="s">
        <v>167</v>
      </c>
      <c r="E959" t="s">
        <v>83</v>
      </c>
      <c r="F959" s="37">
        <v>45483</v>
      </c>
      <c r="G959">
        <v>10</v>
      </c>
      <c r="H959" t="s">
        <v>174</v>
      </c>
      <c r="I959" s="37">
        <v>45553</v>
      </c>
      <c r="J959" t="s">
        <v>165</v>
      </c>
      <c r="K959" t="s">
        <v>166</v>
      </c>
      <c r="L959" t="s">
        <v>175</v>
      </c>
      <c r="M959" t="s">
        <v>1297</v>
      </c>
      <c r="O959" t="s">
        <v>1297</v>
      </c>
      <c r="Q959" t="s">
        <v>1649</v>
      </c>
      <c r="U959" t="s">
        <v>1697</v>
      </c>
      <c r="W959" t="s">
        <v>1702</v>
      </c>
      <c r="X959">
        <v>4</v>
      </c>
      <c r="AA959" s="43">
        <v>307.5</v>
      </c>
      <c r="AC959" s="43">
        <v>307.5</v>
      </c>
      <c r="AF959" s="37">
        <f t="shared" si="29"/>
        <v>45812</v>
      </c>
      <c r="AG959" s="37">
        <f t="shared" si="30"/>
        <v>47018.611570247936</v>
      </c>
      <c r="AH959" t="s">
        <v>1705</v>
      </c>
      <c r="AN959" s="43">
        <v>307.5</v>
      </c>
    </row>
    <row r="960" spans="2:40">
      <c r="B960" t="s">
        <v>1298</v>
      </c>
      <c r="C960" t="s">
        <v>121</v>
      </c>
      <c r="D960" t="s">
        <v>167</v>
      </c>
      <c r="E960" t="s">
        <v>83</v>
      </c>
      <c r="F960" s="37">
        <v>45483</v>
      </c>
      <c r="G960">
        <v>10</v>
      </c>
      <c r="H960" t="s">
        <v>174</v>
      </c>
      <c r="I960" s="37">
        <v>45553</v>
      </c>
      <c r="J960" t="s">
        <v>165</v>
      </c>
      <c r="K960" t="s">
        <v>166</v>
      </c>
      <c r="L960" t="s">
        <v>175</v>
      </c>
      <c r="M960" t="s">
        <v>1298</v>
      </c>
      <c r="O960" t="s">
        <v>1298</v>
      </c>
      <c r="Q960" t="s">
        <v>1643</v>
      </c>
      <c r="U960" t="s">
        <v>1698</v>
      </c>
      <c r="W960" t="s">
        <v>1703</v>
      </c>
      <c r="X960">
        <v>4</v>
      </c>
      <c r="AA960" s="43">
        <v>307.5</v>
      </c>
      <c r="AC960" s="43">
        <v>307.5</v>
      </c>
      <c r="AF960" s="37">
        <f t="shared" si="29"/>
        <v>45812</v>
      </c>
      <c r="AG960" s="37">
        <f t="shared" si="30"/>
        <v>47018.611570247936</v>
      </c>
      <c r="AH960" t="s">
        <v>169</v>
      </c>
      <c r="AN960" s="43">
        <v>307.5</v>
      </c>
    </row>
    <row r="961" spans="2:40">
      <c r="B961" t="s">
        <v>1299</v>
      </c>
      <c r="C961" t="s">
        <v>121</v>
      </c>
      <c r="D961" t="s">
        <v>167</v>
      </c>
      <c r="E961" t="s">
        <v>83</v>
      </c>
      <c r="F961" s="37">
        <v>45483</v>
      </c>
      <c r="G961">
        <v>10</v>
      </c>
      <c r="H961" t="s">
        <v>174</v>
      </c>
      <c r="I961" s="37">
        <v>45553</v>
      </c>
      <c r="J961" t="s">
        <v>165</v>
      </c>
      <c r="K961" t="s">
        <v>166</v>
      </c>
      <c r="L961" t="s">
        <v>175</v>
      </c>
      <c r="M961" t="s">
        <v>1299</v>
      </c>
      <c r="O961" t="s">
        <v>1299</v>
      </c>
      <c r="Q961" t="s">
        <v>1649</v>
      </c>
      <c r="U961" t="s">
        <v>1697</v>
      </c>
      <c r="W961" t="s">
        <v>1702</v>
      </c>
      <c r="X961">
        <v>4</v>
      </c>
      <c r="AA961" s="43">
        <v>307.5</v>
      </c>
      <c r="AC961" s="43">
        <v>307.5</v>
      </c>
      <c r="AF961" s="37">
        <f t="shared" si="29"/>
        <v>45812</v>
      </c>
      <c r="AG961" s="37">
        <f t="shared" si="30"/>
        <v>47018.611570247936</v>
      </c>
      <c r="AH961" t="s">
        <v>1705</v>
      </c>
      <c r="AN961" s="43">
        <v>307.5</v>
      </c>
    </row>
    <row r="962" spans="2:40">
      <c r="B962" t="s">
        <v>1300</v>
      </c>
      <c r="C962" t="s">
        <v>121</v>
      </c>
      <c r="D962" t="s">
        <v>167</v>
      </c>
      <c r="E962" t="s">
        <v>83</v>
      </c>
      <c r="F962" s="37">
        <v>45476</v>
      </c>
      <c r="G962">
        <v>10</v>
      </c>
      <c r="H962" t="s">
        <v>174</v>
      </c>
      <c r="I962" s="37">
        <v>45546</v>
      </c>
      <c r="J962" t="s">
        <v>165</v>
      </c>
      <c r="K962" t="s">
        <v>166</v>
      </c>
      <c r="L962" t="s">
        <v>175</v>
      </c>
      <c r="M962" t="s">
        <v>1300</v>
      </c>
      <c r="O962" t="s">
        <v>1300</v>
      </c>
      <c r="Q962" t="s">
        <v>1643</v>
      </c>
      <c r="U962" t="s">
        <v>1698</v>
      </c>
      <c r="W962" t="s">
        <v>1703</v>
      </c>
      <c r="X962">
        <v>4</v>
      </c>
      <c r="AA962" s="43">
        <v>307.5</v>
      </c>
      <c r="AC962" s="43">
        <v>307.5</v>
      </c>
      <c r="AF962" s="37">
        <f t="shared" si="29"/>
        <v>45805</v>
      </c>
      <c r="AG962" s="37">
        <f t="shared" si="30"/>
        <v>47011.611570247936</v>
      </c>
      <c r="AH962" t="s">
        <v>169</v>
      </c>
      <c r="AN962" s="43">
        <v>307.5</v>
      </c>
    </row>
    <row r="963" spans="2:40">
      <c r="B963" t="s">
        <v>1301</v>
      </c>
      <c r="C963" t="s">
        <v>121</v>
      </c>
      <c r="D963" t="s">
        <v>167</v>
      </c>
      <c r="E963" t="s">
        <v>83</v>
      </c>
      <c r="F963" s="37">
        <v>45476</v>
      </c>
      <c r="G963">
        <v>10</v>
      </c>
      <c r="H963" t="s">
        <v>174</v>
      </c>
      <c r="I963" s="37">
        <v>45546</v>
      </c>
      <c r="J963" t="s">
        <v>165</v>
      </c>
      <c r="K963" t="s">
        <v>166</v>
      </c>
      <c r="L963" t="s">
        <v>175</v>
      </c>
      <c r="M963" t="s">
        <v>1301</v>
      </c>
      <c r="O963" t="s">
        <v>1301</v>
      </c>
      <c r="Q963" t="s">
        <v>1643</v>
      </c>
      <c r="U963" t="s">
        <v>1697</v>
      </c>
      <c r="W963" t="s">
        <v>1702</v>
      </c>
      <c r="X963">
        <v>4</v>
      </c>
      <c r="AA963" s="43">
        <v>307.5</v>
      </c>
      <c r="AC963" s="43">
        <v>307.5</v>
      </c>
      <c r="AF963" s="37">
        <f t="shared" si="29"/>
        <v>45805</v>
      </c>
      <c r="AG963" s="37">
        <f t="shared" si="30"/>
        <v>47011.611570247936</v>
      </c>
      <c r="AH963" t="s">
        <v>1705</v>
      </c>
      <c r="AN963" s="43">
        <v>307.5</v>
      </c>
    </row>
    <row r="964" spans="2:40">
      <c r="B964" t="s">
        <v>1302</v>
      </c>
      <c r="C964" t="s">
        <v>121</v>
      </c>
      <c r="D964" t="s">
        <v>167</v>
      </c>
      <c r="E964" t="s">
        <v>83</v>
      </c>
      <c r="F964" s="37">
        <v>45476</v>
      </c>
      <c r="G964">
        <v>10</v>
      </c>
      <c r="H964" t="s">
        <v>174</v>
      </c>
      <c r="I964" s="37">
        <v>45546</v>
      </c>
      <c r="J964" t="s">
        <v>165</v>
      </c>
      <c r="K964" t="s">
        <v>166</v>
      </c>
      <c r="L964" t="s">
        <v>175</v>
      </c>
      <c r="M964" t="s">
        <v>1302</v>
      </c>
      <c r="O964" t="s">
        <v>1302</v>
      </c>
      <c r="Q964" t="s">
        <v>1643</v>
      </c>
      <c r="U964" t="s">
        <v>1698</v>
      </c>
      <c r="W964" t="s">
        <v>1703</v>
      </c>
      <c r="X964">
        <v>4</v>
      </c>
      <c r="AA964" s="43">
        <v>307.5</v>
      </c>
      <c r="AC964" s="43">
        <v>307.5</v>
      </c>
      <c r="AF964" s="37">
        <f t="shared" si="29"/>
        <v>45805</v>
      </c>
      <c r="AG964" s="37">
        <f t="shared" si="30"/>
        <v>47011.611570247936</v>
      </c>
      <c r="AH964" t="s">
        <v>169</v>
      </c>
      <c r="AN964" s="43">
        <v>307.5</v>
      </c>
    </row>
    <row r="965" spans="2:40">
      <c r="B965" t="s">
        <v>1303</v>
      </c>
      <c r="C965" t="s">
        <v>121</v>
      </c>
      <c r="D965" t="s">
        <v>167</v>
      </c>
      <c r="E965" t="s">
        <v>83</v>
      </c>
      <c r="F965" s="37">
        <v>45476</v>
      </c>
      <c r="G965">
        <v>10</v>
      </c>
      <c r="H965" t="s">
        <v>174</v>
      </c>
      <c r="I965" s="37">
        <v>45546</v>
      </c>
      <c r="J965" t="s">
        <v>165</v>
      </c>
      <c r="K965" t="s">
        <v>166</v>
      </c>
      <c r="L965" t="s">
        <v>175</v>
      </c>
      <c r="M965" t="s">
        <v>1303</v>
      </c>
      <c r="O965" t="s">
        <v>1303</v>
      </c>
      <c r="Q965" t="s">
        <v>1643</v>
      </c>
      <c r="U965" t="s">
        <v>1698</v>
      </c>
      <c r="W965" t="s">
        <v>1703</v>
      </c>
      <c r="X965">
        <v>4</v>
      </c>
      <c r="AA965" s="43">
        <v>307.5</v>
      </c>
      <c r="AC965" s="43">
        <v>307.5</v>
      </c>
      <c r="AF965" s="37">
        <f t="shared" si="29"/>
        <v>45805</v>
      </c>
      <c r="AG965" s="37">
        <f t="shared" si="30"/>
        <v>47011.611570247936</v>
      </c>
      <c r="AH965" t="s">
        <v>169</v>
      </c>
      <c r="AN965" s="43">
        <v>307.5</v>
      </c>
    </row>
    <row r="966" spans="2:40">
      <c r="B966" t="s">
        <v>1304</v>
      </c>
      <c r="C966" t="s">
        <v>121</v>
      </c>
      <c r="D966" t="s">
        <v>167</v>
      </c>
      <c r="E966" t="s">
        <v>83</v>
      </c>
      <c r="F966" s="37">
        <v>45476</v>
      </c>
      <c r="G966">
        <v>10</v>
      </c>
      <c r="H966" t="s">
        <v>174</v>
      </c>
      <c r="I966" s="37">
        <v>45546</v>
      </c>
      <c r="J966" t="s">
        <v>165</v>
      </c>
      <c r="K966" t="s">
        <v>166</v>
      </c>
      <c r="L966" t="s">
        <v>175</v>
      </c>
      <c r="M966" t="s">
        <v>1304</v>
      </c>
      <c r="O966" t="s">
        <v>1304</v>
      </c>
      <c r="Q966" t="s">
        <v>1643</v>
      </c>
      <c r="U966" t="s">
        <v>1697</v>
      </c>
      <c r="W966" t="s">
        <v>1702</v>
      </c>
      <c r="X966">
        <v>4</v>
      </c>
      <c r="AA966" s="43">
        <v>307.5</v>
      </c>
      <c r="AC966" s="43">
        <v>307.5</v>
      </c>
      <c r="AF966" s="37">
        <f t="shared" si="29"/>
        <v>45805</v>
      </c>
      <c r="AG966" s="37">
        <f t="shared" si="30"/>
        <v>47011.611570247936</v>
      </c>
      <c r="AH966" t="s">
        <v>1705</v>
      </c>
      <c r="AN966" s="43">
        <v>307.5</v>
      </c>
    </row>
    <row r="967" spans="2:40">
      <c r="B967" t="s">
        <v>1305</v>
      </c>
      <c r="C967" t="s">
        <v>121</v>
      </c>
      <c r="D967" t="s">
        <v>167</v>
      </c>
      <c r="E967" t="s">
        <v>83</v>
      </c>
      <c r="F967" s="37">
        <v>45469</v>
      </c>
      <c r="G967">
        <v>10</v>
      </c>
      <c r="H967" t="s">
        <v>174</v>
      </c>
      <c r="I967" s="37">
        <v>45539</v>
      </c>
      <c r="J967" t="s">
        <v>165</v>
      </c>
      <c r="K967" t="s">
        <v>166</v>
      </c>
      <c r="L967" t="s">
        <v>175</v>
      </c>
      <c r="M967" t="s">
        <v>1305</v>
      </c>
      <c r="O967" t="s">
        <v>1305</v>
      </c>
      <c r="Q967" t="s">
        <v>1643</v>
      </c>
      <c r="U967" t="s">
        <v>1698</v>
      </c>
      <c r="W967" t="s">
        <v>1703</v>
      </c>
      <c r="X967">
        <v>4</v>
      </c>
      <c r="AA967" s="43">
        <v>307.5</v>
      </c>
      <c r="AC967" s="43">
        <v>307.5</v>
      </c>
      <c r="AF967" s="37">
        <f t="shared" ref="AF967:AF1030" si="31">F967+(47*7)</f>
        <v>45798</v>
      </c>
      <c r="AG967" s="37">
        <f t="shared" ref="AG967:AG1030" si="32">+AF967+(365*8)/2.42</f>
        <v>47004.611570247936</v>
      </c>
      <c r="AH967" t="s">
        <v>169</v>
      </c>
      <c r="AN967" s="43">
        <v>307.5</v>
      </c>
    </row>
    <row r="968" spans="2:40">
      <c r="B968" t="s">
        <v>1306</v>
      </c>
      <c r="C968" t="s">
        <v>121</v>
      </c>
      <c r="D968" t="s">
        <v>167</v>
      </c>
      <c r="E968" t="s">
        <v>83</v>
      </c>
      <c r="F968" s="37">
        <v>45469</v>
      </c>
      <c r="G968">
        <v>10</v>
      </c>
      <c r="H968" t="s">
        <v>174</v>
      </c>
      <c r="I968" s="37">
        <v>45539</v>
      </c>
      <c r="J968" t="s">
        <v>165</v>
      </c>
      <c r="K968" t="s">
        <v>166</v>
      </c>
      <c r="L968" t="s">
        <v>175</v>
      </c>
      <c r="M968" t="s">
        <v>1306</v>
      </c>
      <c r="O968" t="s">
        <v>1306</v>
      </c>
      <c r="Q968" t="s">
        <v>1643</v>
      </c>
      <c r="U968" t="s">
        <v>1698</v>
      </c>
      <c r="W968" t="s">
        <v>1703</v>
      </c>
      <c r="X968">
        <v>4</v>
      </c>
      <c r="AA968" s="43">
        <v>307.5</v>
      </c>
      <c r="AC968" s="43">
        <v>307.5</v>
      </c>
      <c r="AF968" s="37">
        <f t="shared" si="31"/>
        <v>45798</v>
      </c>
      <c r="AG968" s="37">
        <f t="shared" si="32"/>
        <v>47004.611570247936</v>
      </c>
      <c r="AH968" t="s">
        <v>169</v>
      </c>
      <c r="AN968" s="43">
        <v>307.5</v>
      </c>
    </row>
    <row r="969" spans="2:40">
      <c r="B969" t="s">
        <v>1307</v>
      </c>
      <c r="C969" t="s">
        <v>121</v>
      </c>
      <c r="D969" t="s">
        <v>167</v>
      </c>
      <c r="E969" t="s">
        <v>83</v>
      </c>
      <c r="F969" s="37">
        <v>45469</v>
      </c>
      <c r="G969">
        <v>10</v>
      </c>
      <c r="H969" t="s">
        <v>174</v>
      </c>
      <c r="I969" s="37">
        <v>45539</v>
      </c>
      <c r="J969" t="s">
        <v>165</v>
      </c>
      <c r="K969" t="s">
        <v>166</v>
      </c>
      <c r="L969" t="s">
        <v>175</v>
      </c>
      <c r="M969" t="s">
        <v>1307</v>
      </c>
      <c r="O969" t="s">
        <v>1307</v>
      </c>
      <c r="Q969" t="s">
        <v>1643</v>
      </c>
      <c r="U969" t="s">
        <v>1698</v>
      </c>
      <c r="W969" t="s">
        <v>1703</v>
      </c>
      <c r="X969">
        <v>4</v>
      </c>
      <c r="AA969" s="43">
        <v>307.5</v>
      </c>
      <c r="AC969" s="43">
        <v>307.5</v>
      </c>
      <c r="AF969" s="37">
        <f t="shared" si="31"/>
        <v>45798</v>
      </c>
      <c r="AG969" s="37">
        <f t="shared" si="32"/>
        <v>47004.611570247936</v>
      </c>
      <c r="AH969" t="s">
        <v>169</v>
      </c>
      <c r="AN969" s="43">
        <v>307.5</v>
      </c>
    </row>
    <row r="970" spans="2:40">
      <c r="B970" t="s">
        <v>1308</v>
      </c>
      <c r="C970" t="s">
        <v>121</v>
      </c>
      <c r="D970" t="s">
        <v>167</v>
      </c>
      <c r="E970" t="s">
        <v>83</v>
      </c>
      <c r="F970" s="37">
        <v>45469</v>
      </c>
      <c r="G970">
        <v>10</v>
      </c>
      <c r="H970" t="s">
        <v>174</v>
      </c>
      <c r="I970" s="37">
        <v>45539</v>
      </c>
      <c r="J970" t="s">
        <v>165</v>
      </c>
      <c r="K970" t="s">
        <v>166</v>
      </c>
      <c r="L970" t="s">
        <v>175</v>
      </c>
      <c r="M970" t="s">
        <v>1308</v>
      </c>
      <c r="O970" t="s">
        <v>1308</v>
      </c>
      <c r="Q970" t="s">
        <v>1643</v>
      </c>
      <c r="U970" t="s">
        <v>1697</v>
      </c>
      <c r="W970" t="s">
        <v>1702</v>
      </c>
      <c r="X970">
        <v>4</v>
      </c>
      <c r="AA970" s="43">
        <v>307.5</v>
      </c>
      <c r="AC970" s="43">
        <v>307.5</v>
      </c>
      <c r="AF970" s="37">
        <f t="shared" si="31"/>
        <v>45798</v>
      </c>
      <c r="AG970" s="37">
        <f t="shared" si="32"/>
        <v>47004.611570247936</v>
      </c>
      <c r="AH970" t="s">
        <v>1705</v>
      </c>
      <c r="AN970" s="43">
        <v>307.5</v>
      </c>
    </row>
    <row r="971" spans="2:40">
      <c r="B971" t="s">
        <v>1309</v>
      </c>
      <c r="C971" t="s">
        <v>121</v>
      </c>
      <c r="D971" t="s">
        <v>167</v>
      </c>
      <c r="E971" t="s">
        <v>83</v>
      </c>
      <c r="F971" s="37">
        <v>45469</v>
      </c>
      <c r="G971">
        <v>10</v>
      </c>
      <c r="H971" t="s">
        <v>174</v>
      </c>
      <c r="I971" s="37">
        <v>45539</v>
      </c>
      <c r="J971" t="s">
        <v>165</v>
      </c>
      <c r="K971" t="s">
        <v>166</v>
      </c>
      <c r="L971" t="s">
        <v>175</v>
      </c>
      <c r="M971" t="s">
        <v>1309</v>
      </c>
      <c r="O971" t="s">
        <v>1309</v>
      </c>
      <c r="Q971" t="s">
        <v>1643</v>
      </c>
      <c r="U971" t="s">
        <v>1698</v>
      </c>
      <c r="W971" t="s">
        <v>1703</v>
      </c>
      <c r="X971">
        <v>4</v>
      </c>
      <c r="AA971" s="43">
        <v>307.5</v>
      </c>
      <c r="AC971" s="43">
        <v>307.5</v>
      </c>
      <c r="AF971" s="37">
        <f t="shared" si="31"/>
        <v>45798</v>
      </c>
      <c r="AG971" s="37">
        <f t="shared" si="32"/>
        <v>47004.611570247936</v>
      </c>
      <c r="AH971" t="s">
        <v>169</v>
      </c>
      <c r="AN971" s="43">
        <v>307.5</v>
      </c>
    </row>
    <row r="972" spans="2:40">
      <c r="B972" t="s">
        <v>1310</v>
      </c>
      <c r="C972" t="s">
        <v>121</v>
      </c>
      <c r="D972" t="s">
        <v>167</v>
      </c>
      <c r="E972" t="s">
        <v>83</v>
      </c>
      <c r="F972" s="37">
        <v>45469</v>
      </c>
      <c r="G972">
        <v>10</v>
      </c>
      <c r="H972" t="s">
        <v>174</v>
      </c>
      <c r="I972" s="37">
        <v>45539</v>
      </c>
      <c r="J972" t="s">
        <v>165</v>
      </c>
      <c r="K972" t="s">
        <v>166</v>
      </c>
      <c r="L972" t="s">
        <v>175</v>
      </c>
      <c r="M972" t="s">
        <v>1310</v>
      </c>
      <c r="O972" t="s">
        <v>1310</v>
      </c>
      <c r="Q972" t="s">
        <v>1643</v>
      </c>
      <c r="U972" t="s">
        <v>1698</v>
      </c>
      <c r="W972" t="s">
        <v>1703</v>
      </c>
      <c r="X972">
        <v>4</v>
      </c>
      <c r="AA972" s="43">
        <v>307.5</v>
      </c>
      <c r="AC972" s="43">
        <v>307.5</v>
      </c>
      <c r="AF972" s="37">
        <f t="shared" si="31"/>
        <v>45798</v>
      </c>
      <c r="AG972" s="37">
        <f t="shared" si="32"/>
        <v>47004.611570247936</v>
      </c>
      <c r="AH972" t="s">
        <v>169</v>
      </c>
      <c r="AN972" s="43">
        <v>307.5</v>
      </c>
    </row>
    <row r="973" spans="2:40">
      <c r="B973" t="s">
        <v>1311</v>
      </c>
      <c r="C973" t="s">
        <v>121</v>
      </c>
      <c r="D973" t="s">
        <v>167</v>
      </c>
      <c r="E973" t="s">
        <v>83</v>
      </c>
      <c r="F973" s="37">
        <v>45469</v>
      </c>
      <c r="G973">
        <v>10</v>
      </c>
      <c r="H973" t="s">
        <v>174</v>
      </c>
      <c r="I973" s="37">
        <v>45539</v>
      </c>
      <c r="J973" t="s">
        <v>165</v>
      </c>
      <c r="K973" t="s">
        <v>166</v>
      </c>
      <c r="L973" t="s">
        <v>175</v>
      </c>
      <c r="M973" t="s">
        <v>1311</v>
      </c>
      <c r="O973" t="s">
        <v>1311</v>
      </c>
      <c r="Q973" t="s">
        <v>1643</v>
      </c>
      <c r="U973" t="s">
        <v>1697</v>
      </c>
      <c r="W973" t="s">
        <v>1702</v>
      </c>
      <c r="X973">
        <v>4</v>
      </c>
      <c r="AA973" s="43">
        <v>307.5</v>
      </c>
      <c r="AC973" s="43">
        <v>307.5</v>
      </c>
      <c r="AF973" s="37">
        <f t="shared" si="31"/>
        <v>45798</v>
      </c>
      <c r="AG973" s="37">
        <f t="shared" si="32"/>
        <v>47004.611570247936</v>
      </c>
      <c r="AH973" t="s">
        <v>1705</v>
      </c>
      <c r="AN973" s="43">
        <v>307.5</v>
      </c>
    </row>
    <row r="974" spans="2:40">
      <c r="B974" t="s">
        <v>1312</v>
      </c>
      <c r="C974" t="s">
        <v>121</v>
      </c>
      <c r="D974" t="s">
        <v>167</v>
      </c>
      <c r="E974" t="s">
        <v>83</v>
      </c>
      <c r="F974" s="37">
        <v>45469</v>
      </c>
      <c r="G974">
        <v>10</v>
      </c>
      <c r="H974" t="s">
        <v>174</v>
      </c>
      <c r="I974" s="37">
        <v>45539</v>
      </c>
      <c r="J974" t="s">
        <v>165</v>
      </c>
      <c r="K974" t="s">
        <v>166</v>
      </c>
      <c r="L974" t="s">
        <v>175</v>
      </c>
      <c r="M974" t="s">
        <v>1312</v>
      </c>
      <c r="O974" t="s">
        <v>1312</v>
      </c>
      <c r="Q974" t="s">
        <v>1643</v>
      </c>
      <c r="U974" t="s">
        <v>1698</v>
      </c>
      <c r="W974" t="s">
        <v>1703</v>
      </c>
      <c r="X974">
        <v>4</v>
      </c>
      <c r="AA974" s="43">
        <v>307.5</v>
      </c>
      <c r="AC974" s="43">
        <v>307.5</v>
      </c>
      <c r="AF974" s="37">
        <f t="shared" si="31"/>
        <v>45798</v>
      </c>
      <c r="AG974" s="37">
        <f t="shared" si="32"/>
        <v>47004.611570247936</v>
      </c>
      <c r="AH974" t="s">
        <v>169</v>
      </c>
      <c r="AN974" s="43">
        <v>307.5</v>
      </c>
    </row>
    <row r="975" spans="2:40">
      <c r="B975" t="s">
        <v>1313</v>
      </c>
      <c r="C975" t="s">
        <v>121</v>
      </c>
      <c r="D975" t="s">
        <v>167</v>
      </c>
      <c r="E975" t="s">
        <v>83</v>
      </c>
      <c r="F975" s="37">
        <v>45467</v>
      </c>
      <c r="G975">
        <v>10</v>
      </c>
      <c r="H975" t="s">
        <v>174</v>
      </c>
      <c r="I975" s="37">
        <v>46091</v>
      </c>
      <c r="J975" t="s">
        <v>165</v>
      </c>
      <c r="K975" t="s">
        <v>166</v>
      </c>
      <c r="L975" t="s">
        <v>175</v>
      </c>
      <c r="M975" t="s">
        <v>1313</v>
      </c>
      <c r="O975" t="s">
        <v>1313</v>
      </c>
      <c r="Q975" t="s">
        <v>1643</v>
      </c>
      <c r="U975" t="s">
        <v>1697</v>
      </c>
      <c r="W975" t="s">
        <v>1702</v>
      </c>
      <c r="X975">
        <v>4</v>
      </c>
      <c r="AA975" s="43">
        <v>307.5</v>
      </c>
      <c r="AC975" s="43">
        <v>307.5</v>
      </c>
      <c r="AF975" s="37">
        <f t="shared" si="31"/>
        <v>45796</v>
      </c>
      <c r="AG975" s="37">
        <f t="shared" si="32"/>
        <v>47002.611570247936</v>
      </c>
      <c r="AH975" t="s">
        <v>1705</v>
      </c>
      <c r="AN975" s="43">
        <v>307.5</v>
      </c>
    </row>
    <row r="976" spans="2:40">
      <c r="B976" t="s">
        <v>1314</v>
      </c>
      <c r="C976" t="s">
        <v>121</v>
      </c>
      <c r="D976" t="s">
        <v>167</v>
      </c>
      <c r="E976" t="s">
        <v>83</v>
      </c>
      <c r="F976" s="37">
        <v>45462</v>
      </c>
      <c r="G976">
        <v>10</v>
      </c>
      <c r="H976" t="s">
        <v>174</v>
      </c>
      <c r="I976" s="37">
        <v>45532</v>
      </c>
      <c r="J976" t="s">
        <v>165</v>
      </c>
      <c r="K976" t="s">
        <v>166</v>
      </c>
      <c r="L976" t="s">
        <v>175</v>
      </c>
      <c r="M976" t="s">
        <v>1314</v>
      </c>
      <c r="O976" t="s">
        <v>1314</v>
      </c>
      <c r="Q976" t="s">
        <v>1650</v>
      </c>
      <c r="U976" t="s">
        <v>1698</v>
      </c>
      <c r="W976" t="s">
        <v>1703</v>
      </c>
      <c r="X976">
        <v>4</v>
      </c>
      <c r="AA976" s="43">
        <v>307.5</v>
      </c>
      <c r="AC976" s="43">
        <v>307.5</v>
      </c>
      <c r="AF976" s="37">
        <f t="shared" si="31"/>
        <v>45791</v>
      </c>
      <c r="AG976" s="37">
        <f t="shared" si="32"/>
        <v>46997.611570247936</v>
      </c>
      <c r="AH976" t="s">
        <v>169</v>
      </c>
      <c r="AN976" s="43">
        <v>307.5</v>
      </c>
    </row>
    <row r="977" spans="2:40">
      <c r="B977" t="s">
        <v>1315</v>
      </c>
      <c r="C977" t="s">
        <v>121</v>
      </c>
      <c r="D977" t="s">
        <v>167</v>
      </c>
      <c r="E977" t="s">
        <v>83</v>
      </c>
      <c r="F977" s="37">
        <v>45462</v>
      </c>
      <c r="G977">
        <v>10</v>
      </c>
      <c r="H977" t="s">
        <v>174</v>
      </c>
      <c r="I977" s="37">
        <v>45532</v>
      </c>
      <c r="J977" t="s">
        <v>165</v>
      </c>
      <c r="K977" t="s">
        <v>166</v>
      </c>
      <c r="L977" t="s">
        <v>175</v>
      </c>
      <c r="M977" t="s">
        <v>1315</v>
      </c>
      <c r="O977" t="s">
        <v>1315</v>
      </c>
      <c r="Q977" t="s">
        <v>1650</v>
      </c>
      <c r="U977" t="s">
        <v>1698</v>
      </c>
      <c r="W977" t="s">
        <v>1703</v>
      </c>
      <c r="X977">
        <v>4</v>
      </c>
      <c r="AA977" s="43">
        <v>307.5</v>
      </c>
      <c r="AC977" s="43">
        <v>307.5</v>
      </c>
      <c r="AF977" s="37">
        <f t="shared" si="31"/>
        <v>45791</v>
      </c>
      <c r="AG977" s="37">
        <f t="shared" si="32"/>
        <v>46997.611570247936</v>
      </c>
      <c r="AH977" t="s">
        <v>169</v>
      </c>
      <c r="AN977" s="43">
        <v>307.5</v>
      </c>
    </row>
    <row r="978" spans="2:40">
      <c r="B978" t="s">
        <v>1316</v>
      </c>
      <c r="C978" t="s">
        <v>121</v>
      </c>
      <c r="D978" t="s">
        <v>167</v>
      </c>
      <c r="E978" t="s">
        <v>83</v>
      </c>
      <c r="F978" s="37">
        <v>45462</v>
      </c>
      <c r="G978">
        <v>10</v>
      </c>
      <c r="H978" t="s">
        <v>174</v>
      </c>
      <c r="I978" s="37">
        <v>45532</v>
      </c>
      <c r="J978" t="s">
        <v>165</v>
      </c>
      <c r="K978" t="s">
        <v>166</v>
      </c>
      <c r="L978" t="s">
        <v>175</v>
      </c>
      <c r="M978" t="s">
        <v>1316</v>
      </c>
      <c r="O978" t="s">
        <v>1316</v>
      </c>
      <c r="Q978" t="s">
        <v>1650</v>
      </c>
      <c r="U978" t="s">
        <v>1698</v>
      </c>
      <c r="W978" t="s">
        <v>1703</v>
      </c>
      <c r="X978">
        <v>4</v>
      </c>
      <c r="AA978" s="43">
        <v>307.5</v>
      </c>
      <c r="AC978" s="43">
        <v>307.5</v>
      </c>
      <c r="AF978" s="37">
        <f t="shared" si="31"/>
        <v>45791</v>
      </c>
      <c r="AG978" s="37">
        <f t="shared" si="32"/>
        <v>46997.611570247936</v>
      </c>
      <c r="AH978" t="s">
        <v>169</v>
      </c>
      <c r="AN978" s="43">
        <v>307.5</v>
      </c>
    </row>
    <row r="979" spans="2:40">
      <c r="B979" t="s">
        <v>1317</v>
      </c>
      <c r="C979" t="s">
        <v>121</v>
      </c>
      <c r="D979" t="s">
        <v>167</v>
      </c>
      <c r="E979" t="s">
        <v>83</v>
      </c>
      <c r="F979" s="37">
        <v>45448</v>
      </c>
      <c r="G979">
        <v>10</v>
      </c>
      <c r="H979" t="s">
        <v>174</v>
      </c>
      <c r="I979" s="37">
        <v>45518</v>
      </c>
      <c r="J979" t="s">
        <v>165</v>
      </c>
      <c r="K979" t="s">
        <v>166</v>
      </c>
      <c r="L979" t="s">
        <v>175</v>
      </c>
      <c r="M979" t="s">
        <v>1317</v>
      </c>
      <c r="O979" t="s">
        <v>1317</v>
      </c>
      <c r="Q979" t="s">
        <v>1651</v>
      </c>
      <c r="U979" t="s">
        <v>1698</v>
      </c>
      <c r="W979" t="s">
        <v>1703</v>
      </c>
      <c r="X979">
        <v>4</v>
      </c>
      <c r="AA979" s="43">
        <v>307.5</v>
      </c>
      <c r="AC979" s="43">
        <v>307.5</v>
      </c>
      <c r="AF979" s="37">
        <f t="shared" si="31"/>
        <v>45777</v>
      </c>
      <c r="AG979" s="37">
        <f t="shared" si="32"/>
        <v>46983.611570247936</v>
      </c>
      <c r="AH979" t="s">
        <v>169</v>
      </c>
      <c r="AN979" s="43">
        <v>307.5</v>
      </c>
    </row>
    <row r="980" spans="2:40">
      <c r="B980" t="s">
        <v>1318</v>
      </c>
      <c r="C980" t="s">
        <v>121</v>
      </c>
      <c r="D980" t="s">
        <v>167</v>
      </c>
      <c r="E980" t="s">
        <v>83</v>
      </c>
      <c r="F980" s="37">
        <v>45448</v>
      </c>
      <c r="G980">
        <v>10</v>
      </c>
      <c r="H980" t="s">
        <v>174</v>
      </c>
      <c r="I980" s="37">
        <v>45518</v>
      </c>
      <c r="J980" t="s">
        <v>165</v>
      </c>
      <c r="K980" t="s">
        <v>166</v>
      </c>
      <c r="L980" t="s">
        <v>175</v>
      </c>
      <c r="M980" t="s">
        <v>1318</v>
      </c>
      <c r="O980" t="s">
        <v>1318</v>
      </c>
      <c r="Q980" t="s">
        <v>1651</v>
      </c>
      <c r="U980" t="s">
        <v>1696</v>
      </c>
      <c r="W980" t="s">
        <v>1699</v>
      </c>
      <c r="X980">
        <v>5</v>
      </c>
      <c r="AA980" s="43">
        <v>307.5</v>
      </c>
      <c r="AC980" s="43">
        <v>307.5</v>
      </c>
      <c r="AF980" s="37">
        <f t="shared" si="31"/>
        <v>45777</v>
      </c>
      <c r="AG980" s="37">
        <f t="shared" si="32"/>
        <v>46983.611570247936</v>
      </c>
      <c r="AH980" t="s">
        <v>1704</v>
      </c>
      <c r="AN980" s="43">
        <v>307.5</v>
      </c>
    </row>
    <row r="981" spans="2:40">
      <c r="B981" t="s">
        <v>1319</v>
      </c>
      <c r="C981" t="s">
        <v>121</v>
      </c>
      <c r="D981" t="s">
        <v>167</v>
      </c>
      <c r="E981" t="s">
        <v>83</v>
      </c>
      <c r="F981" s="37">
        <v>45448</v>
      </c>
      <c r="G981">
        <v>10</v>
      </c>
      <c r="H981" t="s">
        <v>174</v>
      </c>
      <c r="I981" s="37">
        <v>45518</v>
      </c>
      <c r="J981" t="s">
        <v>165</v>
      </c>
      <c r="K981" t="s">
        <v>166</v>
      </c>
      <c r="L981" t="s">
        <v>175</v>
      </c>
      <c r="M981" t="s">
        <v>1319</v>
      </c>
      <c r="O981" t="s">
        <v>1319</v>
      </c>
      <c r="Q981" t="s">
        <v>1651</v>
      </c>
      <c r="U981" t="s">
        <v>1697</v>
      </c>
      <c r="W981" t="s">
        <v>1702</v>
      </c>
      <c r="X981">
        <v>4</v>
      </c>
      <c r="AA981" s="43">
        <v>307.5</v>
      </c>
      <c r="AC981" s="43">
        <v>307.5</v>
      </c>
      <c r="AF981" s="37">
        <f t="shared" si="31"/>
        <v>45777</v>
      </c>
      <c r="AG981" s="37">
        <f t="shared" si="32"/>
        <v>46983.611570247936</v>
      </c>
      <c r="AH981" t="s">
        <v>1705</v>
      </c>
      <c r="AN981" s="43">
        <v>307.5</v>
      </c>
    </row>
    <row r="982" spans="2:40">
      <c r="B982" t="s">
        <v>1320</v>
      </c>
      <c r="C982" t="s">
        <v>121</v>
      </c>
      <c r="D982" t="s">
        <v>167</v>
      </c>
      <c r="E982" t="s">
        <v>83</v>
      </c>
      <c r="F982" s="37">
        <v>45448</v>
      </c>
      <c r="G982">
        <v>10</v>
      </c>
      <c r="H982" t="s">
        <v>174</v>
      </c>
      <c r="I982" s="37">
        <v>45518</v>
      </c>
      <c r="J982" t="s">
        <v>165</v>
      </c>
      <c r="K982" t="s">
        <v>166</v>
      </c>
      <c r="L982" t="s">
        <v>175</v>
      </c>
      <c r="M982" t="s">
        <v>1320</v>
      </c>
      <c r="O982" t="s">
        <v>1320</v>
      </c>
      <c r="Q982" t="s">
        <v>1651</v>
      </c>
      <c r="U982" t="s">
        <v>1696</v>
      </c>
      <c r="W982" t="s">
        <v>1699</v>
      </c>
      <c r="X982">
        <v>5</v>
      </c>
      <c r="AA982" s="43">
        <v>307.5</v>
      </c>
      <c r="AC982" s="43">
        <v>307.5</v>
      </c>
      <c r="AF982" s="37">
        <f t="shared" si="31"/>
        <v>45777</v>
      </c>
      <c r="AG982" s="37">
        <f t="shared" si="32"/>
        <v>46983.611570247936</v>
      </c>
      <c r="AH982" t="s">
        <v>1704</v>
      </c>
      <c r="AN982" s="43">
        <v>307.5</v>
      </c>
    </row>
    <row r="983" spans="2:40">
      <c r="B983" t="s">
        <v>1321</v>
      </c>
      <c r="C983" t="s">
        <v>121</v>
      </c>
      <c r="D983" t="s">
        <v>167</v>
      </c>
      <c r="E983" t="s">
        <v>83</v>
      </c>
      <c r="F983" s="37">
        <v>45448</v>
      </c>
      <c r="G983">
        <v>10</v>
      </c>
      <c r="H983" t="s">
        <v>174</v>
      </c>
      <c r="I983" s="37">
        <v>45518</v>
      </c>
      <c r="J983" t="s">
        <v>165</v>
      </c>
      <c r="K983" t="s">
        <v>166</v>
      </c>
      <c r="L983" t="s">
        <v>175</v>
      </c>
      <c r="M983" t="s">
        <v>1321</v>
      </c>
      <c r="O983" t="s">
        <v>1321</v>
      </c>
      <c r="Q983" t="s">
        <v>1643</v>
      </c>
      <c r="U983" t="s">
        <v>1696</v>
      </c>
      <c r="W983" t="s">
        <v>1699</v>
      </c>
      <c r="X983">
        <v>5</v>
      </c>
      <c r="AA983" s="43">
        <v>307.5</v>
      </c>
      <c r="AC983" s="43">
        <v>307.5</v>
      </c>
      <c r="AF983" s="37">
        <f t="shared" si="31"/>
        <v>45777</v>
      </c>
      <c r="AG983" s="37">
        <f t="shared" si="32"/>
        <v>46983.611570247936</v>
      </c>
      <c r="AH983" t="s">
        <v>1704</v>
      </c>
      <c r="AN983" s="43">
        <v>307.5</v>
      </c>
    </row>
    <row r="984" spans="2:40">
      <c r="B984" t="s">
        <v>1322</v>
      </c>
      <c r="C984" t="s">
        <v>121</v>
      </c>
      <c r="D984" t="s">
        <v>167</v>
      </c>
      <c r="E984" t="s">
        <v>83</v>
      </c>
      <c r="F984" s="37">
        <v>45448</v>
      </c>
      <c r="G984">
        <v>10</v>
      </c>
      <c r="H984" t="s">
        <v>174</v>
      </c>
      <c r="I984" s="37">
        <v>45518</v>
      </c>
      <c r="J984" t="s">
        <v>165</v>
      </c>
      <c r="K984" t="s">
        <v>166</v>
      </c>
      <c r="L984" t="s">
        <v>175</v>
      </c>
      <c r="M984" t="s">
        <v>1322</v>
      </c>
      <c r="O984" t="s">
        <v>1322</v>
      </c>
      <c r="Q984" t="s">
        <v>1651</v>
      </c>
      <c r="U984" t="s">
        <v>1698</v>
      </c>
      <c r="W984" t="s">
        <v>1703</v>
      </c>
      <c r="X984">
        <v>4</v>
      </c>
      <c r="AA984" s="43">
        <v>307.5</v>
      </c>
      <c r="AC984" s="43">
        <v>307.5</v>
      </c>
      <c r="AF984" s="37">
        <f t="shared" si="31"/>
        <v>45777</v>
      </c>
      <c r="AG984" s="37">
        <f t="shared" si="32"/>
        <v>46983.611570247936</v>
      </c>
      <c r="AH984" t="s">
        <v>169</v>
      </c>
      <c r="AN984" s="43">
        <v>307.5</v>
      </c>
    </row>
    <row r="985" spans="2:40">
      <c r="B985" t="s">
        <v>1323</v>
      </c>
      <c r="C985" t="s">
        <v>121</v>
      </c>
      <c r="D985" t="s">
        <v>167</v>
      </c>
      <c r="E985" t="s">
        <v>83</v>
      </c>
      <c r="F985" s="37">
        <v>45448</v>
      </c>
      <c r="G985">
        <v>10</v>
      </c>
      <c r="H985" t="s">
        <v>174</v>
      </c>
      <c r="I985" s="37">
        <v>45518</v>
      </c>
      <c r="J985" t="s">
        <v>165</v>
      </c>
      <c r="K985" t="s">
        <v>166</v>
      </c>
      <c r="L985" t="s">
        <v>175</v>
      </c>
      <c r="M985" t="s">
        <v>1323</v>
      </c>
      <c r="O985" t="s">
        <v>1323</v>
      </c>
      <c r="Q985" t="s">
        <v>1652</v>
      </c>
      <c r="U985" t="s">
        <v>1698</v>
      </c>
      <c r="W985" t="s">
        <v>1703</v>
      </c>
      <c r="X985">
        <v>4</v>
      </c>
      <c r="AA985" s="43">
        <v>307.5</v>
      </c>
      <c r="AC985" s="43">
        <v>307.5</v>
      </c>
      <c r="AF985" s="37">
        <f t="shared" si="31"/>
        <v>45777</v>
      </c>
      <c r="AG985" s="37">
        <f t="shared" si="32"/>
        <v>46983.611570247936</v>
      </c>
      <c r="AH985" t="s">
        <v>169</v>
      </c>
      <c r="AN985" s="43">
        <v>307.5</v>
      </c>
    </row>
    <row r="986" spans="2:40">
      <c r="B986" t="s">
        <v>1324</v>
      </c>
      <c r="C986" t="s">
        <v>121</v>
      </c>
      <c r="D986" t="s">
        <v>167</v>
      </c>
      <c r="E986" t="s">
        <v>83</v>
      </c>
      <c r="F986" s="37">
        <v>45448</v>
      </c>
      <c r="G986">
        <v>10</v>
      </c>
      <c r="H986" t="s">
        <v>174</v>
      </c>
      <c r="I986" s="37">
        <v>45518</v>
      </c>
      <c r="J986" t="s">
        <v>165</v>
      </c>
      <c r="K986" t="s">
        <v>166</v>
      </c>
      <c r="L986" t="s">
        <v>175</v>
      </c>
      <c r="M986" t="s">
        <v>1324</v>
      </c>
      <c r="O986" t="s">
        <v>1324</v>
      </c>
      <c r="Q986" t="s">
        <v>1651</v>
      </c>
      <c r="U986" t="s">
        <v>1698</v>
      </c>
      <c r="W986" t="s">
        <v>1703</v>
      </c>
      <c r="X986">
        <v>4</v>
      </c>
      <c r="AA986" s="43">
        <v>307.5</v>
      </c>
      <c r="AC986" s="43">
        <v>307.5</v>
      </c>
      <c r="AF986" s="37">
        <f t="shared" si="31"/>
        <v>45777</v>
      </c>
      <c r="AG986" s="37">
        <f t="shared" si="32"/>
        <v>46983.611570247936</v>
      </c>
      <c r="AH986" t="s">
        <v>169</v>
      </c>
      <c r="AN986" s="43">
        <v>307.5</v>
      </c>
    </row>
    <row r="987" spans="2:40">
      <c r="B987" t="s">
        <v>1325</v>
      </c>
      <c r="C987" t="s">
        <v>121</v>
      </c>
      <c r="D987" t="s">
        <v>167</v>
      </c>
      <c r="E987" t="s">
        <v>83</v>
      </c>
      <c r="F987" s="37">
        <v>45448</v>
      </c>
      <c r="G987">
        <v>10</v>
      </c>
      <c r="H987" t="s">
        <v>174</v>
      </c>
      <c r="I987" s="37">
        <v>45518</v>
      </c>
      <c r="J987" t="s">
        <v>165</v>
      </c>
      <c r="K987" t="s">
        <v>166</v>
      </c>
      <c r="L987" t="s">
        <v>175</v>
      </c>
      <c r="M987" t="s">
        <v>1325</v>
      </c>
      <c r="O987" t="s">
        <v>1325</v>
      </c>
      <c r="Q987" t="s">
        <v>1643</v>
      </c>
      <c r="U987" t="s">
        <v>1696</v>
      </c>
      <c r="W987" t="s">
        <v>1699</v>
      </c>
      <c r="X987">
        <v>5</v>
      </c>
      <c r="AA987" s="43">
        <v>307.5</v>
      </c>
      <c r="AC987" s="43">
        <v>307.5</v>
      </c>
      <c r="AF987" s="37">
        <f t="shared" si="31"/>
        <v>45777</v>
      </c>
      <c r="AG987" s="37">
        <f t="shared" si="32"/>
        <v>46983.611570247936</v>
      </c>
      <c r="AH987" t="s">
        <v>1704</v>
      </c>
      <c r="AN987" s="43">
        <v>307.5</v>
      </c>
    </row>
    <row r="988" spans="2:40">
      <c r="B988" t="s">
        <v>1326</v>
      </c>
      <c r="C988" t="s">
        <v>121</v>
      </c>
      <c r="D988" t="s">
        <v>167</v>
      </c>
      <c r="E988" t="s">
        <v>83</v>
      </c>
      <c r="F988" s="37">
        <v>45441</v>
      </c>
      <c r="G988">
        <v>10</v>
      </c>
      <c r="H988" t="s">
        <v>174</v>
      </c>
      <c r="I988" s="37">
        <v>45511</v>
      </c>
      <c r="J988" t="s">
        <v>165</v>
      </c>
      <c r="K988" t="s">
        <v>166</v>
      </c>
      <c r="L988" t="s">
        <v>175</v>
      </c>
      <c r="M988" t="s">
        <v>1326</v>
      </c>
      <c r="O988" t="s">
        <v>1326</v>
      </c>
      <c r="Q988" t="s">
        <v>1653</v>
      </c>
      <c r="U988" t="s">
        <v>1696</v>
      </c>
      <c r="W988" t="s">
        <v>1699</v>
      </c>
      <c r="X988">
        <v>5</v>
      </c>
      <c r="AA988" s="43">
        <v>307.5</v>
      </c>
      <c r="AC988" s="43">
        <v>307.5</v>
      </c>
      <c r="AF988" s="37">
        <f t="shared" si="31"/>
        <v>45770</v>
      </c>
      <c r="AG988" s="37">
        <f t="shared" si="32"/>
        <v>46976.611570247936</v>
      </c>
      <c r="AH988" t="s">
        <v>1704</v>
      </c>
      <c r="AN988" s="43">
        <v>307.5</v>
      </c>
    </row>
    <row r="989" spans="2:40">
      <c r="B989" t="s">
        <v>1327</v>
      </c>
      <c r="C989" t="s">
        <v>121</v>
      </c>
      <c r="D989" t="s">
        <v>167</v>
      </c>
      <c r="E989" t="s">
        <v>83</v>
      </c>
      <c r="F989" s="37">
        <v>45441</v>
      </c>
      <c r="G989">
        <v>10</v>
      </c>
      <c r="H989" t="s">
        <v>174</v>
      </c>
      <c r="I989" s="37">
        <v>45511</v>
      </c>
      <c r="J989" t="s">
        <v>165</v>
      </c>
      <c r="K989" t="s">
        <v>166</v>
      </c>
      <c r="L989" t="s">
        <v>175</v>
      </c>
      <c r="M989" t="s">
        <v>1327</v>
      </c>
      <c r="O989" t="s">
        <v>1327</v>
      </c>
      <c r="Q989" t="s">
        <v>1653</v>
      </c>
      <c r="U989" t="s">
        <v>1698</v>
      </c>
      <c r="W989" t="s">
        <v>1703</v>
      </c>
      <c r="X989">
        <v>4</v>
      </c>
      <c r="AA989" s="43">
        <v>307.5</v>
      </c>
      <c r="AC989" s="43">
        <v>307.5</v>
      </c>
      <c r="AF989" s="37">
        <f t="shared" si="31"/>
        <v>45770</v>
      </c>
      <c r="AG989" s="37">
        <f t="shared" si="32"/>
        <v>46976.611570247936</v>
      </c>
      <c r="AH989" t="s">
        <v>169</v>
      </c>
      <c r="AN989" s="43">
        <v>307.5</v>
      </c>
    </row>
    <row r="990" spans="2:40">
      <c r="B990" t="s">
        <v>1328</v>
      </c>
      <c r="C990" t="s">
        <v>121</v>
      </c>
      <c r="D990" t="s">
        <v>167</v>
      </c>
      <c r="E990" t="s">
        <v>83</v>
      </c>
      <c r="F990" s="37">
        <v>45441</v>
      </c>
      <c r="G990">
        <v>10</v>
      </c>
      <c r="H990" t="s">
        <v>174</v>
      </c>
      <c r="I990" s="37">
        <v>45511</v>
      </c>
      <c r="J990" t="s">
        <v>165</v>
      </c>
      <c r="K990" t="s">
        <v>166</v>
      </c>
      <c r="L990" t="s">
        <v>175</v>
      </c>
      <c r="M990" t="s">
        <v>1328</v>
      </c>
      <c r="O990" t="s">
        <v>1328</v>
      </c>
      <c r="Q990" t="s">
        <v>1653</v>
      </c>
      <c r="U990" t="s">
        <v>1697</v>
      </c>
      <c r="W990" t="s">
        <v>1702</v>
      </c>
      <c r="X990">
        <v>5</v>
      </c>
      <c r="AA990" s="43">
        <v>307.5</v>
      </c>
      <c r="AC990" s="43">
        <v>307.5</v>
      </c>
      <c r="AF990" s="37">
        <f t="shared" si="31"/>
        <v>45770</v>
      </c>
      <c r="AG990" s="37">
        <f t="shared" si="32"/>
        <v>46976.611570247936</v>
      </c>
      <c r="AH990" t="s">
        <v>1705</v>
      </c>
      <c r="AN990" s="43">
        <v>307.5</v>
      </c>
    </row>
    <row r="991" spans="2:40">
      <c r="B991" t="s">
        <v>1329</v>
      </c>
      <c r="C991" t="s">
        <v>121</v>
      </c>
      <c r="D991" t="s">
        <v>167</v>
      </c>
      <c r="E991" t="s">
        <v>83</v>
      </c>
      <c r="F991" s="37">
        <v>45441</v>
      </c>
      <c r="G991">
        <v>10</v>
      </c>
      <c r="H991" t="s">
        <v>174</v>
      </c>
      <c r="I991" s="37">
        <v>45511</v>
      </c>
      <c r="J991" t="s">
        <v>165</v>
      </c>
      <c r="K991" t="s">
        <v>166</v>
      </c>
      <c r="L991" t="s">
        <v>175</v>
      </c>
      <c r="M991" t="s">
        <v>1329</v>
      </c>
      <c r="O991" t="s">
        <v>1329</v>
      </c>
      <c r="Q991" t="s">
        <v>1653</v>
      </c>
      <c r="U991" t="s">
        <v>1696</v>
      </c>
      <c r="W991" t="s">
        <v>1699</v>
      </c>
      <c r="X991">
        <v>5</v>
      </c>
      <c r="AA991" s="43">
        <v>307.5</v>
      </c>
      <c r="AC991" s="43">
        <v>307.5</v>
      </c>
      <c r="AF991" s="37">
        <f t="shared" si="31"/>
        <v>45770</v>
      </c>
      <c r="AG991" s="37">
        <f t="shared" si="32"/>
        <v>46976.611570247936</v>
      </c>
      <c r="AH991" t="s">
        <v>1704</v>
      </c>
      <c r="AN991" s="43">
        <v>307.5</v>
      </c>
    </row>
    <row r="992" spans="2:40">
      <c r="B992" t="s">
        <v>1330</v>
      </c>
      <c r="C992" t="s">
        <v>121</v>
      </c>
      <c r="D992" t="s">
        <v>167</v>
      </c>
      <c r="E992" t="s">
        <v>83</v>
      </c>
      <c r="F992" s="37">
        <v>45441</v>
      </c>
      <c r="G992">
        <v>10</v>
      </c>
      <c r="H992" t="s">
        <v>174</v>
      </c>
      <c r="I992" s="37">
        <v>45511</v>
      </c>
      <c r="J992" t="s">
        <v>165</v>
      </c>
      <c r="K992" t="s">
        <v>166</v>
      </c>
      <c r="L992" t="s">
        <v>175</v>
      </c>
      <c r="M992" t="s">
        <v>1330</v>
      </c>
      <c r="O992" t="s">
        <v>1330</v>
      </c>
      <c r="Q992" t="s">
        <v>1653</v>
      </c>
      <c r="U992" t="s">
        <v>1697</v>
      </c>
      <c r="W992" t="s">
        <v>1702</v>
      </c>
      <c r="X992">
        <v>5</v>
      </c>
      <c r="AA992" s="43">
        <v>307.5</v>
      </c>
      <c r="AC992" s="43">
        <v>307.5</v>
      </c>
      <c r="AF992" s="37">
        <f t="shared" si="31"/>
        <v>45770</v>
      </c>
      <c r="AG992" s="37">
        <f t="shared" si="32"/>
        <v>46976.611570247936</v>
      </c>
      <c r="AH992" t="s">
        <v>1705</v>
      </c>
      <c r="AN992" s="43">
        <v>307.5</v>
      </c>
    </row>
    <row r="993" spans="2:40">
      <c r="B993" t="s">
        <v>1331</v>
      </c>
      <c r="C993" t="s">
        <v>121</v>
      </c>
      <c r="D993" t="s">
        <v>167</v>
      </c>
      <c r="E993" t="s">
        <v>83</v>
      </c>
      <c r="F993" s="37">
        <v>45441</v>
      </c>
      <c r="G993">
        <v>10</v>
      </c>
      <c r="H993" t="s">
        <v>174</v>
      </c>
      <c r="I993" s="37">
        <v>45511</v>
      </c>
      <c r="J993" t="s">
        <v>165</v>
      </c>
      <c r="K993" t="s">
        <v>166</v>
      </c>
      <c r="L993" t="s">
        <v>175</v>
      </c>
      <c r="M993" t="s">
        <v>1331</v>
      </c>
      <c r="O993" t="s">
        <v>1331</v>
      </c>
      <c r="Q993" t="s">
        <v>1653</v>
      </c>
      <c r="U993" t="s">
        <v>1698</v>
      </c>
      <c r="W993" t="s">
        <v>1703</v>
      </c>
      <c r="X993">
        <v>4</v>
      </c>
      <c r="AA993" s="43">
        <v>307.5</v>
      </c>
      <c r="AC993" s="43">
        <v>307.5</v>
      </c>
      <c r="AF993" s="37">
        <f t="shared" si="31"/>
        <v>45770</v>
      </c>
      <c r="AG993" s="37">
        <f t="shared" si="32"/>
        <v>46976.611570247936</v>
      </c>
      <c r="AH993" t="s">
        <v>169</v>
      </c>
      <c r="AN993" s="43">
        <v>307.5</v>
      </c>
    </row>
    <row r="994" spans="2:40">
      <c r="B994" t="s">
        <v>1332</v>
      </c>
      <c r="C994" t="s">
        <v>121</v>
      </c>
      <c r="D994" t="s">
        <v>167</v>
      </c>
      <c r="E994" t="s">
        <v>83</v>
      </c>
      <c r="F994" s="37">
        <v>45434</v>
      </c>
      <c r="G994">
        <v>10</v>
      </c>
      <c r="H994" t="s">
        <v>174</v>
      </c>
      <c r="I994" s="37">
        <v>45504</v>
      </c>
      <c r="J994" t="s">
        <v>165</v>
      </c>
      <c r="K994" t="s">
        <v>166</v>
      </c>
      <c r="L994" t="s">
        <v>175</v>
      </c>
      <c r="M994" t="s">
        <v>1332</v>
      </c>
      <c r="O994" t="s">
        <v>1332</v>
      </c>
      <c r="Q994" t="s">
        <v>1654</v>
      </c>
      <c r="U994" t="s">
        <v>1696</v>
      </c>
      <c r="W994" t="s">
        <v>1699</v>
      </c>
      <c r="X994">
        <v>5</v>
      </c>
      <c r="AA994" s="43">
        <v>307.5</v>
      </c>
      <c r="AC994" s="43">
        <v>307.5</v>
      </c>
      <c r="AF994" s="37">
        <f t="shared" si="31"/>
        <v>45763</v>
      </c>
      <c r="AG994" s="37">
        <f t="shared" si="32"/>
        <v>46969.611570247936</v>
      </c>
      <c r="AH994" t="s">
        <v>1704</v>
      </c>
      <c r="AN994" s="43">
        <v>307.5</v>
      </c>
    </row>
    <row r="995" spans="2:40">
      <c r="B995" t="s">
        <v>1333</v>
      </c>
      <c r="C995" t="s">
        <v>121</v>
      </c>
      <c r="D995" t="s">
        <v>167</v>
      </c>
      <c r="E995" t="s">
        <v>83</v>
      </c>
      <c r="F995" s="37">
        <v>45434</v>
      </c>
      <c r="G995">
        <v>10</v>
      </c>
      <c r="H995" t="s">
        <v>174</v>
      </c>
      <c r="I995" s="37">
        <v>45504</v>
      </c>
      <c r="J995" t="s">
        <v>165</v>
      </c>
      <c r="K995" t="s">
        <v>166</v>
      </c>
      <c r="L995" t="s">
        <v>175</v>
      </c>
      <c r="M995" t="s">
        <v>1333</v>
      </c>
      <c r="O995" t="s">
        <v>1333</v>
      </c>
      <c r="Q995" t="s">
        <v>1654</v>
      </c>
      <c r="U995" t="s">
        <v>1697</v>
      </c>
      <c r="W995" t="s">
        <v>1702</v>
      </c>
      <c r="X995">
        <v>5</v>
      </c>
      <c r="AA995" s="43">
        <v>307.5</v>
      </c>
      <c r="AC995" s="43">
        <v>307.5</v>
      </c>
      <c r="AF995" s="37">
        <f t="shared" si="31"/>
        <v>45763</v>
      </c>
      <c r="AG995" s="37">
        <f t="shared" si="32"/>
        <v>46969.611570247936</v>
      </c>
      <c r="AH995" t="s">
        <v>1705</v>
      </c>
      <c r="AN995" s="43">
        <v>307.5</v>
      </c>
    </row>
    <row r="996" spans="2:40">
      <c r="B996" t="s">
        <v>1334</v>
      </c>
      <c r="C996" t="s">
        <v>121</v>
      </c>
      <c r="D996" t="s">
        <v>167</v>
      </c>
      <c r="E996" t="s">
        <v>83</v>
      </c>
      <c r="F996" s="37">
        <v>45434</v>
      </c>
      <c r="G996">
        <v>10</v>
      </c>
      <c r="H996" t="s">
        <v>174</v>
      </c>
      <c r="I996" s="37">
        <v>45504</v>
      </c>
      <c r="J996" t="s">
        <v>165</v>
      </c>
      <c r="K996" t="s">
        <v>166</v>
      </c>
      <c r="L996" t="s">
        <v>175</v>
      </c>
      <c r="M996" t="s">
        <v>1334</v>
      </c>
      <c r="O996" t="s">
        <v>1334</v>
      </c>
      <c r="Q996" t="s">
        <v>1654</v>
      </c>
      <c r="U996" t="s">
        <v>1697</v>
      </c>
      <c r="W996" t="s">
        <v>1702</v>
      </c>
      <c r="X996">
        <v>5</v>
      </c>
      <c r="AA996" s="43">
        <v>307.5</v>
      </c>
      <c r="AC996" s="43">
        <v>307.5</v>
      </c>
      <c r="AF996" s="37">
        <f t="shared" si="31"/>
        <v>45763</v>
      </c>
      <c r="AG996" s="37">
        <f t="shared" si="32"/>
        <v>46969.611570247936</v>
      </c>
      <c r="AH996" t="s">
        <v>1705</v>
      </c>
      <c r="AN996" s="43">
        <v>307.5</v>
      </c>
    </row>
    <row r="997" spans="2:40">
      <c r="B997" t="s">
        <v>1335</v>
      </c>
      <c r="C997" t="s">
        <v>121</v>
      </c>
      <c r="D997" t="s">
        <v>167</v>
      </c>
      <c r="E997" t="s">
        <v>83</v>
      </c>
      <c r="F997" s="37">
        <v>45434</v>
      </c>
      <c r="G997">
        <v>10</v>
      </c>
      <c r="H997" t="s">
        <v>174</v>
      </c>
      <c r="I997" s="37">
        <v>45504</v>
      </c>
      <c r="J997" t="s">
        <v>165</v>
      </c>
      <c r="K997" t="s">
        <v>166</v>
      </c>
      <c r="L997" t="s">
        <v>175</v>
      </c>
      <c r="M997" t="s">
        <v>1335</v>
      </c>
      <c r="O997" t="s">
        <v>1335</v>
      </c>
      <c r="Q997" t="s">
        <v>1654</v>
      </c>
      <c r="U997" t="s">
        <v>1697</v>
      </c>
      <c r="W997" t="s">
        <v>1702</v>
      </c>
      <c r="X997">
        <v>5</v>
      </c>
      <c r="AA997" s="43">
        <v>307.5</v>
      </c>
      <c r="AC997" s="43">
        <v>307.5</v>
      </c>
      <c r="AF997" s="37">
        <f t="shared" si="31"/>
        <v>45763</v>
      </c>
      <c r="AG997" s="37">
        <f t="shared" si="32"/>
        <v>46969.611570247936</v>
      </c>
      <c r="AH997" t="s">
        <v>1705</v>
      </c>
      <c r="AN997" s="43">
        <v>307.5</v>
      </c>
    </row>
    <row r="998" spans="2:40">
      <c r="B998" t="s">
        <v>1336</v>
      </c>
      <c r="C998" t="s">
        <v>121</v>
      </c>
      <c r="D998" t="s">
        <v>167</v>
      </c>
      <c r="E998" t="s">
        <v>83</v>
      </c>
      <c r="F998" s="37">
        <v>45434</v>
      </c>
      <c r="G998">
        <v>10</v>
      </c>
      <c r="H998" t="s">
        <v>174</v>
      </c>
      <c r="I998" s="37">
        <v>45504</v>
      </c>
      <c r="J998" t="s">
        <v>165</v>
      </c>
      <c r="K998" t="s">
        <v>166</v>
      </c>
      <c r="L998" t="s">
        <v>175</v>
      </c>
      <c r="M998" t="s">
        <v>1336</v>
      </c>
      <c r="O998" t="s">
        <v>1336</v>
      </c>
      <c r="Q998" t="s">
        <v>1654</v>
      </c>
      <c r="U998" t="s">
        <v>1697</v>
      </c>
      <c r="W998" t="s">
        <v>1702</v>
      </c>
      <c r="X998">
        <v>5</v>
      </c>
      <c r="AA998" s="43">
        <v>307.5</v>
      </c>
      <c r="AC998" s="43">
        <v>307.5</v>
      </c>
      <c r="AF998" s="37">
        <f t="shared" si="31"/>
        <v>45763</v>
      </c>
      <c r="AG998" s="37">
        <f t="shared" si="32"/>
        <v>46969.611570247936</v>
      </c>
      <c r="AH998" t="s">
        <v>1705</v>
      </c>
      <c r="AN998" s="43">
        <v>307.5</v>
      </c>
    </row>
    <row r="999" spans="2:40">
      <c r="B999" t="s">
        <v>1337</v>
      </c>
      <c r="C999" t="s">
        <v>121</v>
      </c>
      <c r="D999" t="s">
        <v>167</v>
      </c>
      <c r="E999" t="s">
        <v>83</v>
      </c>
      <c r="F999" s="37">
        <v>45434</v>
      </c>
      <c r="G999">
        <v>10</v>
      </c>
      <c r="H999" t="s">
        <v>174</v>
      </c>
      <c r="I999" s="37">
        <v>45504</v>
      </c>
      <c r="J999" t="s">
        <v>165</v>
      </c>
      <c r="K999" t="s">
        <v>166</v>
      </c>
      <c r="L999" t="s">
        <v>175</v>
      </c>
      <c r="M999" t="s">
        <v>1337</v>
      </c>
      <c r="O999" t="s">
        <v>1337</v>
      </c>
      <c r="Q999" t="s">
        <v>1654</v>
      </c>
      <c r="U999" t="s">
        <v>1697</v>
      </c>
      <c r="W999" t="s">
        <v>1702</v>
      </c>
      <c r="X999">
        <v>5</v>
      </c>
      <c r="AA999" s="43">
        <v>307.5</v>
      </c>
      <c r="AC999" s="43">
        <v>307.5</v>
      </c>
      <c r="AF999" s="37">
        <f t="shared" si="31"/>
        <v>45763</v>
      </c>
      <c r="AG999" s="37">
        <f t="shared" si="32"/>
        <v>46969.611570247936</v>
      </c>
      <c r="AH999" t="s">
        <v>1705</v>
      </c>
      <c r="AN999" s="43">
        <v>307.5</v>
      </c>
    </row>
    <row r="1000" spans="2:40">
      <c r="B1000" t="s">
        <v>1338</v>
      </c>
      <c r="C1000" t="s">
        <v>121</v>
      </c>
      <c r="D1000" t="s">
        <v>167</v>
      </c>
      <c r="E1000" t="s">
        <v>83</v>
      </c>
      <c r="F1000" s="37">
        <v>45434</v>
      </c>
      <c r="G1000">
        <v>10</v>
      </c>
      <c r="H1000" t="s">
        <v>174</v>
      </c>
      <c r="I1000" s="37">
        <v>45504</v>
      </c>
      <c r="J1000" t="s">
        <v>165</v>
      </c>
      <c r="K1000" t="s">
        <v>166</v>
      </c>
      <c r="L1000" t="s">
        <v>175</v>
      </c>
      <c r="M1000" t="s">
        <v>1338</v>
      </c>
      <c r="O1000" t="s">
        <v>1338</v>
      </c>
      <c r="Q1000" t="s">
        <v>1654</v>
      </c>
      <c r="U1000" t="s">
        <v>1697</v>
      </c>
      <c r="W1000" t="s">
        <v>1702</v>
      </c>
      <c r="X1000">
        <v>5</v>
      </c>
      <c r="AA1000" s="43">
        <v>307.5</v>
      </c>
      <c r="AC1000" s="43">
        <v>307.5</v>
      </c>
      <c r="AF1000" s="37">
        <f t="shared" si="31"/>
        <v>45763</v>
      </c>
      <c r="AG1000" s="37">
        <f t="shared" si="32"/>
        <v>46969.611570247936</v>
      </c>
      <c r="AH1000" t="s">
        <v>1705</v>
      </c>
      <c r="AN1000" s="43">
        <v>307.5</v>
      </c>
    </row>
    <row r="1001" spans="2:40">
      <c r="B1001" t="s">
        <v>1339</v>
      </c>
      <c r="C1001" t="s">
        <v>121</v>
      </c>
      <c r="D1001" t="s">
        <v>167</v>
      </c>
      <c r="E1001" t="s">
        <v>83</v>
      </c>
      <c r="F1001" s="37">
        <v>45427</v>
      </c>
      <c r="G1001">
        <v>10</v>
      </c>
      <c r="H1001" t="s">
        <v>174</v>
      </c>
      <c r="I1001" s="37">
        <v>45497</v>
      </c>
      <c r="J1001" t="s">
        <v>165</v>
      </c>
      <c r="K1001" t="s">
        <v>166</v>
      </c>
      <c r="L1001" t="s">
        <v>175</v>
      </c>
      <c r="M1001" t="s">
        <v>1339</v>
      </c>
      <c r="O1001" t="s">
        <v>1339</v>
      </c>
      <c r="Q1001" t="s">
        <v>1643</v>
      </c>
      <c r="U1001" t="s">
        <v>1697</v>
      </c>
      <c r="W1001" t="s">
        <v>1702</v>
      </c>
      <c r="X1001">
        <v>5</v>
      </c>
      <c r="AA1001" s="43">
        <v>307.5</v>
      </c>
      <c r="AC1001" s="43">
        <v>307.5</v>
      </c>
      <c r="AF1001" s="37">
        <f t="shared" si="31"/>
        <v>45756</v>
      </c>
      <c r="AG1001" s="37">
        <f t="shared" si="32"/>
        <v>46962.611570247936</v>
      </c>
      <c r="AH1001" t="s">
        <v>1705</v>
      </c>
      <c r="AN1001" s="43">
        <v>307.5</v>
      </c>
    </row>
    <row r="1002" spans="2:40">
      <c r="B1002" t="s">
        <v>1340</v>
      </c>
      <c r="C1002" t="s">
        <v>121</v>
      </c>
      <c r="D1002" t="s">
        <v>167</v>
      </c>
      <c r="E1002" t="s">
        <v>83</v>
      </c>
      <c r="F1002" s="37">
        <v>45420</v>
      </c>
      <c r="G1002">
        <v>10</v>
      </c>
      <c r="H1002" t="s">
        <v>174</v>
      </c>
      <c r="I1002" s="37">
        <v>45490</v>
      </c>
      <c r="J1002" t="s">
        <v>165</v>
      </c>
      <c r="K1002" t="s">
        <v>166</v>
      </c>
      <c r="L1002" t="s">
        <v>175</v>
      </c>
      <c r="M1002" t="s">
        <v>1340</v>
      </c>
      <c r="O1002" t="s">
        <v>1340</v>
      </c>
      <c r="Q1002" t="s">
        <v>1655</v>
      </c>
      <c r="U1002" t="s">
        <v>1697</v>
      </c>
      <c r="W1002" t="s">
        <v>1702</v>
      </c>
      <c r="X1002">
        <v>5</v>
      </c>
      <c r="AA1002" s="43">
        <v>307.5</v>
      </c>
      <c r="AC1002" s="43">
        <v>307.5</v>
      </c>
      <c r="AF1002" s="37">
        <f t="shared" si="31"/>
        <v>45749</v>
      </c>
      <c r="AG1002" s="37">
        <f t="shared" si="32"/>
        <v>46955.611570247936</v>
      </c>
      <c r="AH1002" t="s">
        <v>1705</v>
      </c>
      <c r="AN1002" s="43">
        <v>307.5</v>
      </c>
    </row>
    <row r="1003" spans="2:40">
      <c r="B1003" t="s">
        <v>1341</v>
      </c>
      <c r="C1003" t="s">
        <v>121</v>
      </c>
      <c r="D1003" t="s">
        <v>167</v>
      </c>
      <c r="E1003" t="s">
        <v>83</v>
      </c>
      <c r="F1003" s="37">
        <v>45420</v>
      </c>
      <c r="G1003">
        <v>10</v>
      </c>
      <c r="H1003" t="s">
        <v>174</v>
      </c>
      <c r="I1003" s="37">
        <v>45490</v>
      </c>
      <c r="J1003" t="s">
        <v>165</v>
      </c>
      <c r="K1003" t="s">
        <v>166</v>
      </c>
      <c r="L1003" t="s">
        <v>175</v>
      </c>
      <c r="M1003" t="s">
        <v>1341</v>
      </c>
      <c r="O1003" t="s">
        <v>1341</v>
      </c>
      <c r="Q1003" t="s">
        <v>1655</v>
      </c>
      <c r="U1003" t="s">
        <v>1697</v>
      </c>
      <c r="W1003" t="s">
        <v>1702</v>
      </c>
      <c r="X1003">
        <v>5</v>
      </c>
      <c r="AA1003" s="43">
        <v>307.5</v>
      </c>
      <c r="AC1003" s="43">
        <v>307.5</v>
      </c>
      <c r="AF1003" s="37">
        <f t="shared" si="31"/>
        <v>45749</v>
      </c>
      <c r="AG1003" s="37">
        <f t="shared" si="32"/>
        <v>46955.611570247936</v>
      </c>
      <c r="AH1003" t="s">
        <v>1705</v>
      </c>
      <c r="AN1003" s="43">
        <v>307.5</v>
      </c>
    </row>
    <row r="1004" spans="2:40">
      <c r="B1004" t="s">
        <v>1342</v>
      </c>
      <c r="C1004" t="s">
        <v>121</v>
      </c>
      <c r="D1004" t="s">
        <v>167</v>
      </c>
      <c r="E1004" t="s">
        <v>83</v>
      </c>
      <c r="F1004" s="37">
        <v>45420</v>
      </c>
      <c r="G1004">
        <v>10</v>
      </c>
      <c r="H1004" t="s">
        <v>174</v>
      </c>
      <c r="I1004" s="37">
        <v>45490</v>
      </c>
      <c r="J1004" t="s">
        <v>165</v>
      </c>
      <c r="K1004" t="s">
        <v>166</v>
      </c>
      <c r="L1004" t="s">
        <v>175</v>
      </c>
      <c r="M1004" t="s">
        <v>1342</v>
      </c>
      <c r="O1004" t="s">
        <v>1342</v>
      </c>
      <c r="Q1004" t="s">
        <v>1652</v>
      </c>
      <c r="U1004" t="s">
        <v>1697</v>
      </c>
      <c r="W1004" t="s">
        <v>1702</v>
      </c>
      <c r="X1004">
        <v>5</v>
      </c>
      <c r="AA1004" s="43">
        <v>307.5</v>
      </c>
      <c r="AC1004" s="43">
        <v>307.5</v>
      </c>
      <c r="AF1004" s="37">
        <f t="shared" si="31"/>
        <v>45749</v>
      </c>
      <c r="AG1004" s="37">
        <f t="shared" si="32"/>
        <v>46955.611570247936</v>
      </c>
      <c r="AH1004" t="s">
        <v>1705</v>
      </c>
      <c r="AN1004" s="43">
        <v>307.5</v>
      </c>
    </row>
    <row r="1005" spans="2:40">
      <c r="B1005" t="s">
        <v>1343</v>
      </c>
      <c r="C1005" t="s">
        <v>121</v>
      </c>
      <c r="D1005" t="s">
        <v>167</v>
      </c>
      <c r="E1005" t="s">
        <v>83</v>
      </c>
      <c r="F1005" s="37">
        <v>45420</v>
      </c>
      <c r="G1005">
        <v>10</v>
      </c>
      <c r="H1005" t="s">
        <v>174</v>
      </c>
      <c r="I1005" s="37">
        <v>45490</v>
      </c>
      <c r="J1005" t="s">
        <v>165</v>
      </c>
      <c r="K1005" t="s">
        <v>166</v>
      </c>
      <c r="L1005" t="s">
        <v>175</v>
      </c>
      <c r="M1005" t="s">
        <v>1343</v>
      </c>
      <c r="O1005" t="s">
        <v>1343</v>
      </c>
      <c r="Q1005" t="s">
        <v>1655</v>
      </c>
      <c r="U1005" t="s">
        <v>1697</v>
      </c>
      <c r="W1005" t="s">
        <v>1702</v>
      </c>
      <c r="X1005">
        <v>5</v>
      </c>
      <c r="AA1005" s="43">
        <v>307.5</v>
      </c>
      <c r="AC1005" s="43">
        <v>307.5</v>
      </c>
      <c r="AF1005" s="37">
        <f t="shared" si="31"/>
        <v>45749</v>
      </c>
      <c r="AG1005" s="37">
        <f t="shared" si="32"/>
        <v>46955.611570247936</v>
      </c>
      <c r="AH1005" t="s">
        <v>1705</v>
      </c>
      <c r="AN1005" s="43">
        <v>307.5</v>
      </c>
    </row>
    <row r="1006" spans="2:40">
      <c r="B1006" t="s">
        <v>1344</v>
      </c>
      <c r="C1006" t="s">
        <v>121</v>
      </c>
      <c r="D1006" t="s">
        <v>167</v>
      </c>
      <c r="E1006" t="s">
        <v>83</v>
      </c>
      <c r="F1006" s="37">
        <v>45420</v>
      </c>
      <c r="G1006">
        <v>10</v>
      </c>
      <c r="H1006" t="s">
        <v>174</v>
      </c>
      <c r="I1006" s="37">
        <v>45490</v>
      </c>
      <c r="J1006" t="s">
        <v>165</v>
      </c>
      <c r="K1006" t="s">
        <v>166</v>
      </c>
      <c r="L1006" t="s">
        <v>175</v>
      </c>
      <c r="M1006" t="s">
        <v>1344</v>
      </c>
      <c r="O1006" t="s">
        <v>1344</v>
      </c>
      <c r="Q1006" t="s">
        <v>1655</v>
      </c>
      <c r="U1006" t="s">
        <v>1697</v>
      </c>
      <c r="W1006" t="s">
        <v>1702</v>
      </c>
      <c r="X1006">
        <v>5</v>
      </c>
      <c r="AA1006" s="43">
        <v>307.5</v>
      </c>
      <c r="AC1006" s="43">
        <v>307.5</v>
      </c>
      <c r="AF1006" s="37">
        <f t="shared" si="31"/>
        <v>45749</v>
      </c>
      <c r="AG1006" s="37">
        <f t="shared" si="32"/>
        <v>46955.611570247936</v>
      </c>
      <c r="AH1006" t="s">
        <v>1705</v>
      </c>
      <c r="AN1006" s="43">
        <v>307.5</v>
      </c>
    </row>
    <row r="1007" spans="2:40">
      <c r="B1007" t="s">
        <v>1345</v>
      </c>
      <c r="C1007" t="s">
        <v>121</v>
      </c>
      <c r="D1007" t="s">
        <v>167</v>
      </c>
      <c r="E1007" t="s">
        <v>83</v>
      </c>
      <c r="F1007" s="37">
        <v>45420</v>
      </c>
      <c r="G1007">
        <v>10</v>
      </c>
      <c r="H1007" t="s">
        <v>174</v>
      </c>
      <c r="I1007" s="37">
        <v>45490</v>
      </c>
      <c r="J1007" t="s">
        <v>165</v>
      </c>
      <c r="K1007" t="s">
        <v>166</v>
      </c>
      <c r="L1007" t="s">
        <v>175</v>
      </c>
      <c r="M1007" t="s">
        <v>1345</v>
      </c>
      <c r="O1007" t="s">
        <v>1345</v>
      </c>
      <c r="Q1007" t="s">
        <v>1655</v>
      </c>
      <c r="U1007" t="s">
        <v>1696</v>
      </c>
      <c r="W1007" t="s">
        <v>1702</v>
      </c>
      <c r="X1007">
        <v>5</v>
      </c>
      <c r="AA1007" s="43">
        <v>307.5</v>
      </c>
      <c r="AC1007" s="43">
        <v>307.5</v>
      </c>
      <c r="AF1007" s="37">
        <f t="shared" si="31"/>
        <v>45749</v>
      </c>
      <c r="AG1007" s="37">
        <f t="shared" si="32"/>
        <v>46955.611570247936</v>
      </c>
      <c r="AH1007" t="s">
        <v>1704</v>
      </c>
      <c r="AN1007" s="43">
        <v>307.5</v>
      </c>
    </row>
    <row r="1008" spans="2:40">
      <c r="B1008" t="s">
        <v>1346</v>
      </c>
      <c r="C1008" t="s">
        <v>121</v>
      </c>
      <c r="D1008" t="s">
        <v>167</v>
      </c>
      <c r="E1008" t="s">
        <v>83</v>
      </c>
      <c r="F1008" s="37">
        <v>45414</v>
      </c>
      <c r="G1008">
        <v>10</v>
      </c>
      <c r="H1008" t="s">
        <v>174</v>
      </c>
      <c r="I1008" s="37">
        <v>46218</v>
      </c>
      <c r="J1008" t="s">
        <v>165</v>
      </c>
      <c r="K1008" t="s">
        <v>166</v>
      </c>
      <c r="L1008" t="s">
        <v>175</v>
      </c>
      <c r="M1008" t="s">
        <v>1346</v>
      </c>
      <c r="O1008" t="s">
        <v>1346</v>
      </c>
      <c r="Q1008" t="s">
        <v>1643</v>
      </c>
      <c r="U1008" t="s">
        <v>1697</v>
      </c>
      <c r="W1008" t="s">
        <v>1702</v>
      </c>
      <c r="X1008">
        <v>5</v>
      </c>
      <c r="AA1008" s="43">
        <v>307.5</v>
      </c>
      <c r="AC1008" s="43">
        <v>307.5</v>
      </c>
      <c r="AF1008" s="37">
        <f t="shared" si="31"/>
        <v>45743</v>
      </c>
      <c r="AG1008" s="37">
        <f t="shared" si="32"/>
        <v>46949.611570247936</v>
      </c>
      <c r="AH1008" t="s">
        <v>1705</v>
      </c>
      <c r="AN1008" s="43">
        <v>307.5</v>
      </c>
    </row>
    <row r="1009" spans="2:40">
      <c r="B1009" t="s">
        <v>1347</v>
      </c>
      <c r="C1009" t="s">
        <v>121</v>
      </c>
      <c r="D1009" t="s">
        <v>167</v>
      </c>
      <c r="E1009" t="s">
        <v>83</v>
      </c>
      <c r="F1009" s="37">
        <v>45414</v>
      </c>
      <c r="G1009">
        <v>10</v>
      </c>
      <c r="H1009" t="s">
        <v>174</v>
      </c>
      <c r="I1009" s="37">
        <v>46218</v>
      </c>
      <c r="J1009" t="s">
        <v>165</v>
      </c>
      <c r="K1009" t="s">
        <v>166</v>
      </c>
      <c r="L1009" t="s">
        <v>175</v>
      </c>
      <c r="M1009" t="s">
        <v>1347</v>
      </c>
      <c r="O1009" t="s">
        <v>1347</v>
      </c>
      <c r="Q1009" t="s">
        <v>1643</v>
      </c>
      <c r="U1009" t="s">
        <v>1697</v>
      </c>
      <c r="W1009" t="s">
        <v>1702</v>
      </c>
      <c r="X1009">
        <v>5</v>
      </c>
      <c r="AA1009" s="43">
        <v>307.5</v>
      </c>
      <c r="AC1009" s="43">
        <v>307.5</v>
      </c>
      <c r="AF1009" s="37">
        <f t="shared" si="31"/>
        <v>45743</v>
      </c>
      <c r="AG1009" s="37">
        <f t="shared" si="32"/>
        <v>46949.611570247936</v>
      </c>
      <c r="AH1009" t="s">
        <v>1705</v>
      </c>
      <c r="AN1009" s="43">
        <v>307.5</v>
      </c>
    </row>
    <row r="1010" spans="2:40">
      <c r="B1010" t="s">
        <v>1348</v>
      </c>
      <c r="C1010" t="s">
        <v>121</v>
      </c>
      <c r="D1010" t="s">
        <v>167</v>
      </c>
      <c r="E1010" t="s">
        <v>83</v>
      </c>
      <c r="F1010" s="37">
        <v>45413</v>
      </c>
      <c r="G1010">
        <v>10</v>
      </c>
      <c r="H1010" t="s">
        <v>174</v>
      </c>
      <c r="I1010" s="37">
        <v>45483</v>
      </c>
      <c r="J1010" t="s">
        <v>165</v>
      </c>
      <c r="K1010" t="s">
        <v>166</v>
      </c>
      <c r="L1010" t="s">
        <v>175</v>
      </c>
      <c r="M1010" t="s">
        <v>1348</v>
      </c>
      <c r="O1010" t="s">
        <v>1348</v>
      </c>
      <c r="Q1010" t="s">
        <v>1655</v>
      </c>
      <c r="U1010" t="s">
        <v>1697</v>
      </c>
      <c r="W1010" t="s">
        <v>1702</v>
      </c>
      <c r="X1010">
        <v>5</v>
      </c>
      <c r="AA1010" s="43">
        <v>307.5</v>
      </c>
      <c r="AC1010" s="43">
        <v>307.5</v>
      </c>
      <c r="AF1010" s="37">
        <f t="shared" si="31"/>
        <v>45742</v>
      </c>
      <c r="AG1010" s="37">
        <f t="shared" si="32"/>
        <v>46948.611570247936</v>
      </c>
      <c r="AH1010" t="s">
        <v>1705</v>
      </c>
      <c r="AN1010" s="43">
        <v>307.5</v>
      </c>
    </row>
    <row r="1011" spans="2:40">
      <c r="B1011" t="s">
        <v>1349</v>
      </c>
      <c r="C1011" t="s">
        <v>121</v>
      </c>
      <c r="D1011" t="s">
        <v>167</v>
      </c>
      <c r="E1011" t="s">
        <v>83</v>
      </c>
      <c r="F1011" s="37">
        <v>45413</v>
      </c>
      <c r="G1011">
        <v>10</v>
      </c>
      <c r="H1011" t="s">
        <v>174</v>
      </c>
      <c r="I1011" s="37">
        <v>45483</v>
      </c>
      <c r="J1011" t="s">
        <v>165</v>
      </c>
      <c r="K1011" t="s">
        <v>166</v>
      </c>
      <c r="L1011" t="s">
        <v>175</v>
      </c>
      <c r="M1011" t="s">
        <v>1349</v>
      </c>
      <c r="O1011" t="s">
        <v>1349</v>
      </c>
      <c r="Q1011" t="s">
        <v>1643</v>
      </c>
      <c r="U1011" t="s">
        <v>1697</v>
      </c>
      <c r="W1011" t="s">
        <v>1702</v>
      </c>
      <c r="X1011">
        <v>5</v>
      </c>
      <c r="AA1011" s="43">
        <v>307.5</v>
      </c>
      <c r="AC1011" s="43">
        <v>307.5</v>
      </c>
      <c r="AF1011" s="37">
        <f t="shared" si="31"/>
        <v>45742</v>
      </c>
      <c r="AG1011" s="37">
        <f t="shared" si="32"/>
        <v>46948.611570247936</v>
      </c>
      <c r="AH1011" t="s">
        <v>1705</v>
      </c>
      <c r="AN1011" s="43">
        <v>307.5</v>
      </c>
    </row>
    <row r="1012" spans="2:40">
      <c r="B1012" t="s">
        <v>1350</v>
      </c>
      <c r="C1012" t="s">
        <v>121</v>
      </c>
      <c r="D1012" t="s">
        <v>167</v>
      </c>
      <c r="E1012" t="s">
        <v>83</v>
      </c>
      <c r="F1012" s="37">
        <v>45413</v>
      </c>
      <c r="G1012">
        <v>10</v>
      </c>
      <c r="H1012" t="s">
        <v>174</v>
      </c>
      <c r="I1012" s="37">
        <v>45483</v>
      </c>
      <c r="J1012" t="s">
        <v>165</v>
      </c>
      <c r="K1012" t="s">
        <v>166</v>
      </c>
      <c r="L1012" t="s">
        <v>175</v>
      </c>
      <c r="M1012" t="s">
        <v>1350</v>
      </c>
      <c r="O1012" t="s">
        <v>1350</v>
      </c>
      <c r="Q1012" t="s">
        <v>1655</v>
      </c>
      <c r="U1012" t="s">
        <v>1697</v>
      </c>
      <c r="W1012" t="s">
        <v>1702</v>
      </c>
      <c r="X1012">
        <v>5</v>
      </c>
      <c r="AA1012" s="43">
        <v>307.5</v>
      </c>
      <c r="AC1012" s="43">
        <v>307.5</v>
      </c>
      <c r="AF1012" s="37">
        <f t="shared" si="31"/>
        <v>45742</v>
      </c>
      <c r="AG1012" s="37">
        <f t="shared" si="32"/>
        <v>46948.611570247936</v>
      </c>
      <c r="AH1012" t="s">
        <v>1705</v>
      </c>
      <c r="AN1012" s="43">
        <v>307.5</v>
      </c>
    </row>
    <row r="1013" spans="2:40">
      <c r="B1013" t="s">
        <v>1351</v>
      </c>
      <c r="C1013" t="s">
        <v>121</v>
      </c>
      <c r="D1013" t="s">
        <v>167</v>
      </c>
      <c r="E1013" t="s">
        <v>83</v>
      </c>
      <c r="F1013" s="37">
        <v>45413</v>
      </c>
      <c r="G1013">
        <v>10</v>
      </c>
      <c r="H1013" t="s">
        <v>174</v>
      </c>
      <c r="I1013" s="37">
        <v>45483</v>
      </c>
      <c r="J1013" t="s">
        <v>165</v>
      </c>
      <c r="K1013" t="s">
        <v>166</v>
      </c>
      <c r="L1013" t="s">
        <v>175</v>
      </c>
      <c r="M1013" t="s">
        <v>1351</v>
      </c>
      <c r="O1013" t="s">
        <v>1351</v>
      </c>
      <c r="Q1013" t="s">
        <v>1655</v>
      </c>
      <c r="U1013" t="s">
        <v>1697</v>
      </c>
      <c r="W1013" t="s">
        <v>1702</v>
      </c>
      <c r="X1013">
        <v>5</v>
      </c>
      <c r="AA1013" s="43">
        <v>307.5</v>
      </c>
      <c r="AC1013" s="43">
        <v>307.5</v>
      </c>
      <c r="AF1013" s="37">
        <f t="shared" si="31"/>
        <v>45742</v>
      </c>
      <c r="AG1013" s="37">
        <f t="shared" si="32"/>
        <v>46948.611570247936</v>
      </c>
      <c r="AH1013" t="s">
        <v>1705</v>
      </c>
      <c r="AN1013" s="43">
        <v>307.5</v>
      </c>
    </row>
    <row r="1014" spans="2:40">
      <c r="B1014" t="s">
        <v>1352</v>
      </c>
      <c r="C1014" t="s">
        <v>121</v>
      </c>
      <c r="D1014" t="s">
        <v>167</v>
      </c>
      <c r="E1014" t="s">
        <v>83</v>
      </c>
      <c r="F1014" s="37">
        <v>45413</v>
      </c>
      <c r="G1014">
        <v>10</v>
      </c>
      <c r="H1014" t="s">
        <v>174</v>
      </c>
      <c r="I1014" s="37">
        <v>45483</v>
      </c>
      <c r="J1014" t="s">
        <v>165</v>
      </c>
      <c r="K1014" t="s">
        <v>166</v>
      </c>
      <c r="L1014" t="s">
        <v>175</v>
      </c>
      <c r="M1014" t="s">
        <v>1352</v>
      </c>
      <c r="O1014" t="s">
        <v>1352</v>
      </c>
      <c r="Q1014" t="s">
        <v>1643</v>
      </c>
      <c r="U1014" t="s">
        <v>1697</v>
      </c>
      <c r="W1014" t="s">
        <v>1702</v>
      </c>
      <c r="X1014">
        <v>5</v>
      </c>
      <c r="AA1014" s="43">
        <v>307.5</v>
      </c>
      <c r="AC1014" s="43">
        <v>307.5</v>
      </c>
      <c r="AF1014" s="37">
        <f t="shared" si="31"/>
        <v>45742</v>
      </c>
      <c r="AG1014" s="37">
        <f t="shared" si="32"/>
        <v>46948.611570247936</v>
      </c>
      <c r="AH1014" t="s">
        <v>1705</v>
      </c>
      <c r="AN1014" s="43">
        <v>307.5</v>
      </c>
    </row>
    <row r="1015" spans="2:40">
      <c r="B1015" t="s">
        <v>1353</v>
      </c>
      <c r="C1015" t="s">
        <v>121</v>
      </c>
      <c r="D1015" t="s">
        <v>167</v>
      </c>
      <c r="E1015" t="s">
        <v>83</v>
      </c>
      <c r="F1015" s="37">
        <v>45413</v>
      </c>
      <c r="G1015">
        <v>10</v>
      </c>
      <c r="H1015" t="s">
        <v>174</v>
      </c>
      <c r="I1015" s="37">
        <v>45483</v>
      </c>
      <c r="J1015" t="s">
        <v>165</v>
      </c>
      <c r="K1015" t="s">
        <v>166</v>
      </c>
      <c r="L1015" t="s">
        <v>175</v>
      </c>
      <c r="M1015" t="s">
        <v>1353</v>
      </c>
      <c r="O1015" t="s">
        <v>1353</v>
      </c>
      <c r="Q1015" t="s">
        <v>1655</v>
      </c>
      <c r="U1015" t="s">
        <v>1697</v>
      </c>
      <c r="W1015" t="s">
        <v>1702</v>
      </c>
      <c r="X1015">
        <v>5</v>
      </c>
      <c r="AA1015" s="43">
        <v>307.5</v>
      </c>
      <c r="AC1015" s="43">
        <v>307.5</v>
      </c>
      <c r="AF1015" s="37">
        <f t="shared" si="31"/>
        <v>45742</v>
      </c>
      <c r="AG1015" s="37">
        <f t="shared" si="32"/>
        <v>46948.611570247936</v>
      </c>
      <c r="AH1015" t="s">
        <v>1705</v>
      </c>
      <c r="AN1015" s="43">
        <v>307.5</v>
      </c>
    </row>
    <row r="1016" spans="2:40">
      <c r="B1016" t="s">
        <v>1354</v>
      </c>
      <c r="C1016" t="s">
        <v>121</v>
      </c>
      <c r="D1016" t="s">
        <v>167</v>
      </c>
      <c r="E1016" t="s">
        <v>83</v>
      </c>
      <c r="F1016" s="37">
        <v>45413</v>
      </c>
      <c r="G1016">
        <v>10</v>
      </c>
      <c r="H1016" t="s">
        <v>174</v>
      </c>
      <c r="I1016" s="37">
        <v>45483</v>
      </c>
      <c r="J1016" t="s">
        <v>165</v>
      </c>
      <c r="K1016" t="s">
        <v>166</v>
      </c>
      <c r="L1016" t="s">
        <v>175</v>
      </c>
      <c r="M1016" t="s">
        <v>1354</v>
      </c>
      <c r="O1016" t="s">
        <v>1354</v>
      </c>
      <c r="Q1016" t="s">
        <v>1643</v>
      </c>
      <c r="U1016" t="s">
        <v>1697</v>
      </c>
      <c r="W1016" t="s">
        <v>1702</v>
      </c>
      <c r="X1016">
        <v>5</v>
      </c>
      <c r="AA1016" s="43">
        <v>307.5</v>
      </c>
      <c r="AC1016" s="43">
        <v>307.5</v>
      </c>
      <c r="AF1016" s="37">
        <f t="shared" si="31"/>
        <v>45742</v>
      </c>
      <c r="AG1016" s="37">
        <f t="shared" si="32"/>
        <v>46948.611570247936</v>
      </c>
      <c r="AH1016" t="s">
        <v>1705</v>
      </c>
      <c r="AN1016" s="43">
        <v>307.5</v>
      </c>
    </row>
    <row r="1017" spans="2:40">
      <c r="B1017" t="s">
        <v>1355</v>
      </c>
      <c r="C1017" t="s">
        <v>121</v>
      </c>
      <c r="D1017" t="s">
        <v>167</v>
      </c>
      <c r="E1017" t="s">
        <v>83</v>
      </c>
      <c r="F1017" s="37">
        <v>45413</v>
      </c>
      <c r="G1017">
        <v>10</v>
      </c>
      <c r="H1017" t="s">
        <v>174</v>
      </c>
      <c r="I1017" s="37">
        <v>45483</v>
      </c>
      <c r="J1017" t="s">
        <v>165</v>
      </c>
      <c r="K1017" t="s">
        <v>166</v>
      </c>
      <c r="L1017" t="s">
        <v>175</v>
      </c>
      <c r="M1017" t="s">
        <v>1355</v>
      </c>
      <c r="O1017" t="s">
        <v>1355</v>
      </c>
      <c r="Q1017" t="s">
        <v>1655</v>
      </c>
      <c r="U1017" t="s">
        <v>1697</v>
      </c>
      <c r="W1017" t="s">
        <v>1702</v>
      </c>
      <c r="X1017">
        <v>5</v>
      </c>
      <c r="AA1017" s="43">
        <v>307.5</v>
      </c>
      <c r="AC1017" s="43">
        <v>307.5</v>
      </c>
      <c r="AF1017" s="37">
        <f t="shared" si="31"/>
        <v>45742</v>
      </c>
      <c r="AG1017" s="37">
        <f t="shared" si="32"/>
        <v>46948.611570247936</v>
      </c>
      <c r="AH1017" t="s">
        <v>1705</v>
      </c>
      <c r="AN1017" s="43">
        <v>307.5</v>
      </c>
    </row>
    <row r="1018" spans="2:40">
      <c r="B1018" t="s">
        <v>1356</v>
      </c>
      <c r="C1018" t="s">
        <v>121</v>
      </c>
      <c r="D1018" t="s">
        <v>167</v>
      </c>
      <c r="E1018" t="s">
        <v>83</v>
      </c>
      <c r="F1018" s="37">
        <v>45413</v>
      </c>
      <c r="G1018">
        <v>10</v>
      </c>
      <c r="H1018" t="s">
        <v>174</v>
      </c>
      <c r="I1018" s="37">
        <v>45483</v>
      </c>
      <c r="J1018" t="s">
        <v>165</v>
      </c>
      <c r="K1018" t="s">
        <v>166</v>
      </c>
      <c r="L1018" t="s">
        <v>175</v>
      </c>
      <c r="M1018" t="s">
        <v>1356</v>
      </c>
      <c r="O1018" t="s">
        <v>1356</v>
      </c>
      <c r="Q1018" t="s">
        <v>1655</v>
      </c>
      <c r="U1018" t="s">
        <v>1697</v>
      </c>
      <c r="W1018" t="s">
        <v>1702</v>
      </c>
      <c r="X1018">
        <v>5</v>
      </c>
      <c r="AA1018" s="43">
        <v>307.5</v>
      </c>
      <c r="AC1018" s="43">
        <v>307.5</v>
      </c>
      <c r="AF1018" s="37">
        <f t="shared" si="31"/>
        <v>45742</v>
      </c>
      <c r="AG1018" s="37">
        <f t="shared" si="32"/>
        <v>46948.611570247936</v>
      </c>
      <c r="AH1018" t="s">
        <v>1705</v>
      </c>
      <c r="AN1018" s="43">
        <v>307.5</v>
      </c>
    </row>
    <row r="1019" spans="2:40">
      <c r="B1019" t="s">
        <v>1357</v>
      </c>
      <c r="C1019" t="s">
        <v>121</v>
      </c>
      <c r="D1019" t="s">
        <v>167</v>
      </c>
      <c r="E1019" t="s">
        <v>83</v>
      </c>
      <c r="F1019" s="37">
        <v>45413</v>
      </c>
      <c r="G1019">
        <v>10</v>
      </c>
      <c r="H1019" t="s">
        <v>174</v>
      </c>
      <c r="I1019" s="37">
        <v>45483</v>
      </c>
      <c r="J1019" t="s">
        <v>165</v>
      </c>
      <c r="K1019" t="s">
        <v>166</v>
      </c>
      <c r="L1019" t="s">
        <v>175</v>
      </c>
      <c r="M1019" t="s">
        <v>1357</v>
      </c>
      <c r="O1019" t="s">
        <v>1357</v>
      </c>
      <c r="Q1019" t="s">
        <v>1643</v>
      </c>
      <c r="U1019" t="s">
        <v>1696</v>
      </c>
      <c r="W1019" t="s">
        <v>1699</v>
      </c>
      <c r="X1019">
        <v>5</v>
      </c>
      <c r="AA1019" s="43">
        <v>307.5</v>
      </c>
      <c r="AC1019" s="43">
        <v>307.5</v>
      </c>
      <c r="AF1019" s="37">
        <f t="shared" si="31"/>
        <v>45742</v>
      </c>
      <c r="AG1019" s="37">
        <f t="shared" si="32"/>
        <v>46948.611570247936</v>
      </c>
      <c r="AH1019" t="s">
        <v>1704</v>
      </c>
      <c r="AN1019" s="43">
        <v>307.5</v>
      </c>
    </row>
    <row r="1020" spans="2:40">
      <c r="B1020" t="s">
        <v>1358</v>
      </c>
      <c r="C1020" t="s">
        <v>121</v>
      </c>
      <c r="D1020" t="s">
        <v>167</v>
      </c>
      <c r="E1020" t="s">
        <v>83</v>
      </c>
      <c r="F1020" s="37">
        <v>45413</v>
      </c>
      <c r="G1020">
        <v>10</v>
      </c>
      <c r="H1020" t="s">
        <v>174</v>
      </c>
      <c r="I1020" s="37">
        <v>45483</v>
      </c>
      <c r="J1020" t="s">
        <v>165</v>
      </c>
      <c r="K1020" t="s">
        <v>166</v>
      </c>
      <c r="L1020" t="s">
        <v>175</v>
      </c>
      <c r="M1020" t="s">
        <v>1358</v>
      </c>
      <c r="O1020" t="s">
        <v>1358</v>
      </c>
      <c r="Q1020" t="s">
        <v>1655</v>
      </c>
      <c r="U1020" t="s">
        <v>1697</v>
      </c>
      <c r="W1020" t="s">
        <v>1702</v>
      </c>
      <c r="X1020">
        <v>5</v>
      </c>
      <c r="AA1020" s="43">
        <v>307.5</v>
      </c>
      <c r="AC1020" s="43">
        <v>307.5</v>
      </c>
      <c r="AF1020" s="37">
        <f t="shared" si="31"/>
        <v>45742</v>
      </c>
      <c r="AG1020" s="37">
        <f t="shared" si="32"/>
        <v>46948.611570247936</v>
      </c>
      <c r="AH1020" t="s">
        <v>1705</v>
      </c>
      <c r="AN1020" s="43">
        <v>307.5</v>
      </c>
    </row>
    <row r="1021" spans="2:40">
      <c r="B1021" t="s">
        <v>1359</v>
      </c>
      <c r="C1021" t="s">
        <v>121</v>
      </c>
      <c r="D1021" t="s">
        <v>167</v>
      </c>
      <c r="E1021" t="s">
        <v>83</v>
      </c>
      <c r="F1021" s="37">
        <v>45413</v>
      </c>
      <c r="G1021">
        <v>10</v>
      </c>
      <c r="H1021" t="s">
        <v>174</v>
      </c>
      <c r="I1021" s="37">
        <v>45483</v>
      </c>
      <c r="J1021" t="s">
        <v>165</v>
      </c>
      <c r="K1021" t="s">
        <v>166</v>
      </c>
      <c r="L1021" t="s">
        <v>175</v>
      </c>
      <c r="M1021" t="s">
        <v>1359</v>
      </c>
      <c r="O1021" t="s">
        <v>1359</v>
      </c>
      <c r="Q1021" t="s">
        <v>1643</v>
      </c>
      <c r="U1021" t="s">
        <v>1698</v>
      </c>
      <c r="W1021" t="s">
        <v>1703</v>
      </c>
      <c r="X1021">
        <v>4</v>
      </c>
      <c r="AA1021" s="43">
        <v>307.5</v>
      </c>
      <c r="AC1021" s="43">
        <v>307.5</v>
      </c>
      <c r="AF1021" s="37">
        <f t="shared" si="31"/>
        <v>45742</v>
      </c>
      <c r="AG1021" s="37">
        <f t="shared" si="32"/>
        <v>46948.611570247936</v>
      </c>
      <c r="AH1021" t="s">
        <v>169</v>
      </c>
      <c r="AN1021" s="43">
        <v>307.5</v>
      </c>
    </row>
    <row r="1022" spans="2:40">
      <c r="B1022" t="s">
        <v>1360</v>
      </c>
      <c r="C1022" t="s">
        <v>121</v>
      </c>
      <c r="D1022" t="s">
        <v>167</v>
      </c>
      <c r="E1022" t="s">
        <v>83</v>
      </c>
      <c r="F1022" s="37">
        <v>45409</v>
      </c>
      <c r="G1022">
        <v>10</v>
      </c>
      <c r="H1022" t="s">
        <v>174</v>
      </c>
      <c r="I1022" s="37">
        <v>45567</v>
      </c>
      <c r="J1022" t="s">
        <v>165</v>
      </c>
      <c r="K1022" t="s">
        <v>166</v>
      </c>
      <c r="L1022" t="s">
        <v>175</v>
      </c>
      <c r="M1022" t="s">
        <v>1360</v>
      </c>
      <c r="O1022" t="s">
        <v>1360</v>
      </c>
      <c r="Q1022" t="s">
        <v>1643</v>
      </c>
      <c r="U1022" t="s">
        <v>1697</v>
      </c>
      <c r="W1022" t="s">
        <v>1702</v>
      </c>
      <c r="X1022">
        <v>4</v>
      </c>
      <c r="AA1022" s="43">
        <v>307.5</v>
      </c>
      <c r="AC1022" s="43">
        <v>307.5</v>
      </c>
      <c r="AF1022" s="37">
        <f t="shared" si="31"/>
        <v>45738</v>
      </c>
      <c r="AG1022" s="37">
        <f t="shared" si="32"/>
        <v>46944.611570247936</v>
      </c>
      <c r="AH1022" t="s">
        <v>1705</v>
      </c>
      <c r="AN1022" s="43">
        <v>307.5</v>
      </c>
    </row>
    <row r="1023" spans="2:40">
      <c r="B1023" t="s">
        <v>1361</v>
      </c>
      <c r="C1023" t="s">
        <v>121</v>
      </c>
      <c r="D1023" t="s">
        <v>167</v>
      </c>
      <c r="E1023" t="s">
        <v>83</v>
      </c>
      <c r="F1023" s="37">
        <v>45406</v>
      </c>
      <c r="G1023">
        <v>10</v>
      </c>
      <c r="H1023" t="s">
        <v>174</v>
      </c>
      <c r="I1023" s="37">
        <v>45476</v>
      </c>
      <c r="J1023" t="s">
        <v>165</v>
      </c>
      <c r="K1023" t="s">
        <v>166</v>
      </c>
      <c r="L1023" t="s">
        <v>175</v>
      </c>
      <c r="M1023" t="s">
        <v>1361</v>
      </c>
      <c r="O1023" t="s">
        <v>1361</v>
      </c>
      <c r="Q1023" t="s">
        <v>1656</v>
      </c>
      <c r="U1023" t="s">
        <v>1697</v>
      </c>
      <c r="W1023" t="s">
        <v>1702</v>
      </c>
      <c r="X1023">
        <v>5</v>
      </c>
      <c r="AA1023" s="43">
        <v>307.5</v>
      </c>
      <c r="AC1023" s="43">
        <v>307.5</v>
      </c>
      <c r="AF1023" s="37">
        <f t="shared" si="31"/>
        <v>45735</v>
      </c>
      <c r="AG1023" s="37">
        <f t="shared" si="32"/>
        <v>46941.611570247936</v>
      </c>
      <c r="AH1023" t="s">
        <v>1705</v>
      </c>
      <c r="AN1023" s="43">
        <v>307.5</v>
      </c>
    </row>
    <row r="1024" spans="2:40">
      <c r="B1024" t="s">
        <v>1362</v>
      </c>
      <c r="C1024" t="s">
        <v>121</v>
      </c>
      <c r="D1024" t="s">
        <v>167</v>
      </c>
      <c r="E1024" t="s">
        <v>83</v>
      </c>
      <c r="F1024" s="37">
        <v>45406</v>
      </c>
      <c r="G1024">
        <v>10</v>
      </c>
      <c r="H1024" t="s">
        <v>174</v>
      </c>
      <c r="I1024" s="37">
        <v>45476</v>
      </c>
      <c r="J1024" t="s">
        <v>165</v>
      </c>
      <c r="K1024" t="s">
        <v>166</v>
      </c>
      <c r="L1024" t="s">
        <v>175</v>
      </c>
      <c r="M1024" t="s">
        <v>1362</v>
      </c>
      <c r="O1024" t="s">
        <v>1362</v>
      </c>
      <c r="Q1024" t="s">
        <v>1656</v>
      </c>
      <c r="U1024" t="s">
        <v>1697</v>
      </c>
      <c r="W1024" t="s">
        <v>1702</v>
      </c>
      <c r="X1024">
        <v>5</v>
      </c>
      <c r="AA1024" s="43">
        <v>307.5</v>
      </c>
      <c r="AC1024" s="43">
        <v>307.5</v>
      </c>
      <c r="AF1024" s="37">
        <f t="shared" si="31"/>
        <v>45735</v>
      </c>
      <c r="AG1024" s="37">
        <f t="shared" si="32"/>
        <v>46941.611570247936</v>
      </c>
      <c r="AH1024" t="s">
        <v>1705</v>
      </c>
      <c r="AN1024" s="43">
        <v>307.5</v>
      </c>
    </row>
    <row r="1025" spans="2:40">
      <c r="B1025" t="s">
        <v>1363</v>
      </c>
      <c r="C1025" t="s">
        <v>121</v>
      </c>
      <c r="D1025" t="s">
        <v>167</v>
      </c>
      <c r="E1025" t="s">
        <v>83</v>
      </c>
      <c r="F1025" s="37">
        <v>45406</v>
      </c>
      <c r="G1025">
        <v>10</v>
      </c>
      <c r="H1025" t="s">
        <v>174</v>
      </c>
      <c r="I1025" s="37">
        <v>45476</v>
      </c>
      <c r="J1025" t="s">
        <v>165</v>
      </c>
      <c r="K1025" t="s">
        <v>166</v>
      </c>
      <c r="L1025" t="s">
        <v>175</v>
      </c>
      <c r="M1025" t="s">
        <v>1363</v>
      </c>
      <c r="O1025" t="s">
        <v>1363</v>
      </c>
      <c r="Q1025" t="s">
        <v>1656</v>
      </c>
      <c r="U1025" t="s">
        <v>1697</v>
      </c>
      <c r="W1025" t="s">
        <v>1702</v>
      </c>
      <c r="X1025">
        <v>5</v>
      </c>
      <c r="AA1025" s="43">
        <v>307.5</v>
      </c>
      <c r="AC1025" s="43">
        <v>307.5</v>
      </c>
      <c r="AF1025" s="37">
        <f t="shared" si="31"/>
        <v>45735</v>
      </c>
      <c r="AG1025" s="37">
        <f t="shared" si="32"/>
        <v>46941.611570247936</v>
      </c>
      <c r="AH1025" t="s">
        <v>1705</v>
      </c>
      <c r="AN1025" s="43">
        <v>307.5</v>
      </c>
    </row>
    <row r="1026" spans="2:40">
      <c r="B1026" t="s">
        <v>1364</v>
      </c>
      <c r="C1026" t="s">
        <v>121</v>
      </c>
      <c r="D1026" t="s">
        <v>167</v>
      </c>
      <c r="E1026" t="s">
        <v>83</v>
      </c>
      <c r="F1026" s="37">
        <v>45399</v>
      </c>
      <c r="G1026">
        <v>10</v>
      </c>
      <c r="H1026" t="s">
        <v>174</v>
      </c>
      <c r="I1026" s="37">
        <v>45469</v>
      </c>
      <c r="J1026" t="s">
        <v>165</v>
      </c>
      <c r="K1026" t="s">
        <v>166</v>
      </c>
      <c r="L1026" t="s">
        <v>175</v>
      </c>
      <c r="M1026" t="s">
        <v>1364</v>
      </c>
      <c r="O1026" t="s">
        <v>1364</v>
      </c>
      <c r="Q1026" t="s">
        <v>1655</v>
      </c>
      <c r="U1026" t="s">
        <v>1697</v>
      </c>
      <c r="W1026" t="s">
        <v>1702</v>
      </c>
      <c r="X1026">
        <v>5</v>
      </c>
      <c r="AA1026" s="43">
        <v>307.5</v>
      </c>
      <c r="AC1026" s="43">
        <v>307.5</v>
      </c>
      <c r="AF1026" s="37">
        <f t="shared" si="31"/>
        <v>45728</v>
      </c>
      <c r="AG1026" s="37">
        <f t="shared" si="32"/>
        <v>46934.611570247936</v>
      </c>
      <c r="AH1026" t="s">
        <v>1705</v>
      </c>
      <c r="AN1026" s="43">
        <v>307.5</v>
      </c>
    </row>
    <row r="1027" spans="2:40">
      <c r="B1027" t="s">
        <v>1365</v>
      </c>
      <c r="C1027" t="s">
        <v>121</v>
      </c>
      <c r="D1027" t="s">
        <v>167</v>
      </c>
      <c r="E1027" t="s">
        <v>83</v>
      </c>
      <c r="F1027" s="37">
        <v>45399</v>
      </c>
      <c r="G1027">
        <v>10</v>
      </c>
      <c r="H1027" t="s">
        <v>174</v>
      </c>
      <c r="I1027" s="37">
        <v>45469</v>
      </c>
      <c r="J1027" t="s">
        <v>165</v>
      </c>
      <c r="K1027" t="s">
        <v>166</v>
      </c>
      <c r="L1027" t="s">
        <v>175</v>
      </c>
      <c r="M1027" t="s">
        <v>1365</v>
      </c>
      <c r="O1027" t="s">
        <v>1365</v>
      </c>
      <c r="Q1027" t="s">
        <v>1655</v>
      </c>
      <c r="U1027" t="s">
        <v>1697</v>
      </c>
      <c r="W1027" t="s">
        <v>1702</v>
      </c>
      <c r="X1027">
        <v>5</v>
      </c>
      <c r="AA1027" s="43">
        <v>307.5</v>
      </c>
      <c r="AC1027" s="43">
        <v>307.5</v>
      </c>
      <c r="AF1027" s="37">
        <f t="shared" si="31"/>
        <v>45728</v>
      </c>
      <c r="AG1027" s="37">
        <f t="shared" si="32"/>
        <v>46934.611570247936</v>
      </c>
      <c r="AH1027" t="s">
        <v>1705</v>
      </c>
      <c r="AN1027" s="43">
        <v>307.5</v>
      </c>
    </row>
    <row r="1028" spans="2:40">
      <c r="B1028" t="s">
        <v>1366</v>
      </c>
      <c r="C1028" t="s">
        <v>121</v>
      </c>
      <c r="D1028" t="s">
        <v>167</v>
      </c>
      <c r="E1028" t="s">
        <v>83</v>
      </c>
      <c r="F1028" s="37">
        <v>45399</v>
      </c>
      <c r="G1028">
        <v>10</v>
      </c>
      <c r="H1028" t="s">
        <v>174</v>
      </c>
      <c r="I1028" s="37">
        <v>45469</v>
      </c>
      <c r="J1028" t="s">
        <v>165</v>
      </c>
      <c r="K1028" t="s">
        <v>166</v>
      </c>
      <c r="L1028" t="s">
        <v>175</v>
      </c>
      <c r="M1028" t="s">
        <v>1366</v>
      </c>
      <c r="O1028" t="s">
        <v>1366</v>
      </c>
      <c r="Q1028" t="s">
        <v>1655</v>
      </c>
      <c r="U1028" t="s">
        <v>1697</v>
      </c>
      <c r="W1028" t="s">
        <v>1702</v>
      </c>
      <c r="X1028">
        <v>5</v>
      </c>
      <c r="AA1028" s="43">
        <v>307.5</v>
      </c>
      <c r="AC1028" s="43">
        <v>307.5</v>
      </c>
      <c r="AF1028" s="37">
        <f t="shared" si="31"/>
        <v>45728</v>
      </c>
      <c r="AG1028" s="37">
        <f t="shared" si="32"/>
        <v>46934.611570247936</v>
      </c>
      <c r="AH1028" t="s">
        <v>1705</v>
      </c>
      <c r="AN1028" s="43">
        <v>307.5</v>
      </c>
    </row>
    <row r="1029" spans="2:40">
      <c r="B1029" t="s">
        <v>1367</v>
      </c>
      <c r="C1029" t="s">
        <v>121</v>
      </c>
      <c r="D1029" t="s">
        <v>167</v>
      </c>
      <c r="E1029" t="s">
        <v>83</v>
      </c>
      <c r="F1029" s="37">
        <v>45399</v>
      </c>
      <c r="G1029">
        <v>10</v>
      </c>
      <c r="H1029" t="s">
        <v>174</v>
      </c>
      <c r="I1029" s="37">
        <v>45469</v>
      </c>
      <c r="J1029" t="s">
        <v>165</v>
      </c>
      <c r="K1029" t="s">
        <v>166</v>
      </c>
      <c r="L1029" t="s">
        <v>175</v>
      </c>
      <c r="M1029" t="s">
        <v>1367</v>
      </c>
      <c r="O1029" t="s">
        <v>1367</v>
      </c>
      <c r="Q1029" t="s">
        <v>1655</v>
      </c>
      <c r="U1029" t="s">
        <v>1697</v>
      </c>
      <c r="W1029" t="s">
        <v>1702</v>
      </c>
      <c r="X1029">
        <v>5</v>
      </c>
      <c r="AA1029" s="43">
        <v>307.5</v>
      </c>
      <c r="AC1029" s="43">
        <v>307.5</v>
      </c>
      <c r="AF1029" s="37">
        <f t="shared" si="31"/>
        <v>45728</v>
      </c>
      <c r="AG1029" s="37">
        <f t="shared" si="32"/>
        <v>46934.611570247936</v>
      </c>
      <c r="AH1029" t="s">
        <v>1705</v>
      </c>
      <c r="AN1029" s="43">
        <v>307.5</v>
      </c>
    </row>
    <row r="1030" spans="2:40">
      <c r="B1030" t="s">
        <v>1368</v>
      </c>
      <c r="C1030" t="s">
        <v>121</v>
      </c>
      <c r="D1030" t="s">
        <v>167</v>
      </c>
      <c r="E1030" t="s">
        <v>83</v>
      </c>
      <c r="F1030" s="37">
        <v>45399</v>
      </c>
      <c r="G1030">
        <v>10</v>
      </c>
      <c r="H1030" t="s">
        <v>174</v>
      </c>
      <c r="I1030" s="37">
        <v>45469</v>
      </c>
      <c r="J1030" t="s">
        <v>165</v>
      </c>
      <c r="K1030" t="s">
        <v>166</v>
      </c>
      <c r="L1030" t="s">
        <v>175</v>
      </c>
      <c r="M1030" t="s">
        <v>1368</v>
      </c>
      <c r="O1030" t="s">
        <v>1368</v>
      </c>
      <c r="Q1030" t="s">
        <v>1655</v>
      </c>
      <c r="U1030" t="s">
        <v>1697</v>
      </c>
      <c r="W1030" t="s">
        <v>1702</v>
      </c>
      <c r="X1030">
        <v>5</v>
      </c>
      <c r="AA1030" s="43">
        <v>307.5</v>
      </c>
      <c r="AC1030" s="43">
        <v>307.5</v>
      </c>
      <c r="AF1030" s="37">
        <f t="shared" si="31"/>
        <v>45728</v>
      </c>
      <c r="AG1030" s="37">
        <f t="shared" si="32"/>
        <v>46934.611570247936</v>
      </c>
      <c r="AH1030" t="s">
        <v>1705</v>
      </c>
      <c r="AN1030" s="43">
        <v>307.5</v>
      </c>
    </row>
    <row r="1031" spans="2:40">
      <c r="B1031" t="s">
        <v>1369</v>
      </c>
      <c r="C1031" t="s">
        <v>121</v>
      </c>
      <c r="D1031" t="s">
        <v>167</v>
      </c>
      <c r="E1031" t="s">
        <v>83</v>
      </c>
      <c r="F1031" s="37">
        <v>45392</v>
      </c>
      <c r="G1031">
        <v>10</v>
      </c>
      <c r="H1031" t="s">
        <v>174</v>
      </c>
      <c r="I1031" s="37">
        <v>45462</v>
      </c>
      <c r="J1031" t="s">
        <v>165</v>
      </c>
      <c r="K1031" t="s">
        <v>166</v>
      </c>
      <c r="L1031" t="s">
        <v>175</v>
      </c>
      <c r="M1031" t="s">
        <v>1369</v>
      </c>
      <c r="O1031" t="s">
        <v>1369</v>
      </c>
      <c r="Q1031" t="s">
        <v>1657</v>
      </c>
      <c r="U1031" t="s">
        <v>1697</v>
      </c>
      <c r="W1031" t="s">
        <v>1702</v>
      </c>
      <c r="X1031">
        <v>5</v>
      </c>
      <c r="AA1031" s="43">
        <v>307.5</v>
      </c>
      <c r="AC1031" s="43">
        <v>307.5</v>
      </c>
      <c r="AF1031" s="37">
        <f t="shared" ref="AF1031:AF1094" si="33">F1031+(47*7)</f>
        <v>45721</v>
      </c>
      <c r="AG1031" s="37">
        <f t="shared" ref="AG1031:AG1094" si="34">+AF1031+(365*8)/2.42</f>
        <v>46927.611570247936</v>
      </c>
      <c r="AH1031" t="s">
        <v>1705</v>
      </c>
      <c r="AN1031" s="43">
        <v>307.5</v>
      </c>
    </row>
    <row r="1032" spans="2:40">
      <c r="B1032" t="s">
        <v>1370</v>
      </c>
      <c r="C1032" t="s">
        <v>121</v>
      </c>
      <c r="D1032" t="s">
        <v>167</v>
      </c>
      <c r="E1032" t="s">
        <v>83</v>
      </c>
      <c r="F1032" s="37">
        <v>45392</v>
      </c>
      <c r="G1032">
        <v>10</v>
      </c>
      <c r="H1032" t="s">
        <v>174</v>
      </c>
      <c r="I1032" s="37">
        <v>45462</v>
      </c>
      <c r="J1032" t="s">
        <v>165</v>
      </c>
      <c r="K1032" t="s">
        <v>166</v>
      </c>
      <c r="L1032" t="s">
        <v>175</v>
      </c>
      <c r="M1032" t="s">
        <v>1370</v>
      </c>
      <c r="O1032" t="s">
        <v>1370</v>
      </c>
      <c r="Q1032" t="s">
        <v>1651</v>
      </c>
      <c r="U1032" t="s">
        <v>1697</v>
      </c>
      <c r="W1032" t="s">
        <v>1702</v>
      </c>
      <c r="X1032">
        <v>5</v>
      </c>
      <c r="AA1032" s="43">
        <v>307.5</v>
      </c>
      <c r="AC1032" s="43">
        <v>307.5</v>
      </c>
      <c r="AF1032" s="37">
        <f t="shared" si="33"/>
        <v>45721</v>
      </c>
      <c r="AG1032" s="37">
        <f t="shared" si="34"/>
        <v>46927.611570247936</v>
      </c>
      <c r="AH1032" t="s">
        <v>1705</v>
      </c>
      <c r="AN1032" s="43">
        <v>307.5</v>
      </c>
    </row>
    <row r="1033" spans="2:40">
      <c r="B1033" t="s">
        <v>1371</v>
      </c>
      <c r="C1033" t="s">
        <v>121</v>
      </c>
      <c r="D1033" t="s">
        <v>167</v>
      </c>
      <c r="E1033" t="s">
        <v>83</v>
      </c>
      <c r="F1033" s="37">
        <v>45392</v>
      </c>
      <c r="G1033">
        <v>10</v>
      </c>
      <c r="H1033" t="s">
        <v>174</v>
      </c>
      <c r="I1033" s="37">
        <v>45462</v>
      </c>
      <c r="J1033" t="s">
        <v>165</v>
      </c>
      <c r="K1033" t="s">
        <v>166</v>
      </c>
      <c r="L1033" t="s">
        <v>175</v>
      </c>
      <c r="M1033" t="s">
        <v>1371</v>
      </c>
      <c r="O1033" t="s">
        <v>1371</v>
      </c>
      <c r="Q1033" t="s">
        <v>1651</v>
      </c>
      <c r="U1033" t="s">
        <v>1697</v>
      </c>
      <c r="W1033" t="s">
        <v>1702</v>
      </c>
      <c r="X1033">
        <v>5</v>
      </c>
      <c r="AA1033" s="43">
        <v>307.5</v>
      </c>
      <c r="AC1033" s="43">
        <v>307.5</v>
      </c>
      <c r="AF1033" s="37">
        <f t="shared" si="33"/>
        <v>45721</v>
      </c>
      <c r="AG1033" s="37">
        <f t="shared" si="34"/>
        <v>46927.611570247936</v>
      </c>
      <c r="AH1033" t="s">
        <v>1705</v>
      </c>
      <c r="AN1033" s="43">
        <v>307.5</v>
      </c>
    </row>
    <row r="1034" spans="2:40">
      <c r="B1034" t="s">
        <v>1372</v>
      </c>
      <c r="C1034" t="s">
        <v>121</v>
      </c>
      <c r="D1034" t="s">
        <v>167</v>
      </c>
      <c r="E1034" t="s">
        <v>83</v>
      </c>
      <c r="F1034" s="37">
        <v>45392</v>
      </c>
      <c r="G1034">
        <v>10</v>
      </c>
      <c r="H1034" t="s">
        <v>174</v>
      </c>
      <c r="I1034" s="37">
        <v>45462</v>
      </c>
      <c r="J1034" t="s">
        <v>165</v>
      </c>
      <c r="K1034" t="s">
        <v>166</v>
      </c>
      <c r="L1034" t="s">
        <v>175</v>
      </c>
      <c r="M1034" t="s">
        <v>1372</v>
      </c>
      <c r="O1034" t="s">
        <v>1372</v>
      </c>
      <c r="Q1034" t="s">
        <v>1651</v>
      </c>
      <c r="U1034" t="s">
        <v>1697</v>
      </c>
      <c r="W1034" t="s">
        <v>1702</v>
      </c>
      <c r="X1034">
        <v>5</v>
      </c>
      <c r="AA1034" s="43">
        <v>307.5</v>
      </c>
      <c r="AC1034" s="43">
        <v>307.5</v>
      </c>
      <c r="AF1034" s="37">
        <f t="shared" si="33"/>
        <v>45721</v>
      </c>
      <c r="AG1034" s="37">
        <f t="shared" si="34"/>
        <v>46927.611570247936</v>
      </c>
      <c r="AH1034" t="s">
        <v>1705</v>
      </c>
      <c r="AN1034" s="43">
        <v>307.5</v>
      </c>
    </row>
    <row r="1035" spans="2:40">
      <c r="B1035" t="s">
        <v>1373</v>
      </c>
      <c r="C1035" t="s">
        <v>121</v>
      </c>
      <c r="D1035" t="s">
        <v>167</v>
      </c>
      <c r="E1035" t="s">
        <v>83</v>
      </c>
      <c r="F1035" s="37">
        <v>45392</v>
      </c>
      <c r="G1035">
        <v>10</v>
      </c>
      <c r="H1035" t="s">
        <v>174</v>
      </c>
      <c r="I1035" s="37">
        <v>45462</v>
      </c>
      <c r="J1035" t="s">
        <v>165</v>
      </c>
      <c r="K1035" t="s">
        <v>166</v>
      </c>
      <c r="L1035" t="s">
        <v>175</v>
      </c>
      <c r="M1035" t="s">
        <v>1373</v>
      </c>
      <c r="O1035" t="s">
        <v>1373</v>
      </c>
      <c r="Q1035" t="s">
        <v>1651</v>
      </c>
      <c r="U1035" t="s">
        <v>1697</v>
      </c>
      <c r="W1035" t="s">
        <v>1702</v>
      </c>
      <c r="X1035">
        <v>5</v>
      </c>
      <c r="AA1035" s="43">
        <v>307.5</v>
      </c>
      <c r="AC1035" s="43">
        <v>307.5</v>
      </c>
      <c r="AF1035" s="37">
        <f t="shared" si="33"/>
        <v>45721</v>
      </c>
      <c r="AG1035" s="37">
        <f t="shared" si="34"/>
        <v>46927.611570247936</v>
      </c>
      <c r="AH1035" t="s">
        <v>1705</v>
      </c>
      <c r="AN1035" s="43">
        <v>307.5</v>
      </c>
    </row>
    <row r="1036" spans="2:40">
      <c r="B1036" t="s">
        <v>1374</v>
      </c>
      <c r="C1036" t="s">
        <v>121</v>
      </c>
      <c r="D1036" t="s">
        <v>167</v>
      </c>
      <c r="E1036" t="s">
        <v>83</v>
      </c>
      <c r="F1036" s="37">
        <v>45392</v>
      </c>
      <c r="G1036">
        <v>10</v>
      </c>
      <c r="H1036" t="s">
        <v>174</v>
      </c>
      <c r="I1036" s="37">
        <v>45462</v>
      </c>
      <c r="J1036" t="s">
        <v>165</v>
      </c>
      <c r="K1036" t="s">
        <v>166</v>
      </c>
      <c r="L1036" t="s">
        <v>175</v>
      </c>
      <c r="M1036" t="s">
        <v>1374</v>
      </c>
      <c r="O1036" t="s">
        <v>1374</v>
      </c>
      <c r="Q1036" t="s">
        <v>1651</v>
      </c>
      <c r="U1036" t="s">
        <v>1697</v>
      </c>
      <c r="W1036" t="s">
        <v>1702</v>
      </c>
      <c r="X1036">
        <v>5</v>
      </c>
      <c r="AA1036" s="43">
        <v>307.5</v>
      </c>
      <c r="AC1036" s="43">
        <v>307.5</v>
      </c>
      <c r="AF1036" s="37">
        <f t="shared" si="33"/>
        <v>45721</v>
      </c>
      <c r="AG1036" s="37">
        <f t="shared" si="34"/>
        <v>46927.611570247936</v>
      </c>
      <c r="AH1036" t="s">
        <v>1705</v>
      </c>
      <c r="AN1036" s="43">
        <v>307.5</v>
      </c>
    </row>
    <row r="1037" spans="2:40">
      <c r="B1037" t="s">
        <v>1375</v>
      </c>
      <c r="C1037" t="s">
        <v>121</v>
      </c>
      <c r="D1037" t="s">
        <v>167</v>
      </c>
      <c r="E1037" t="s">
        <v>83</v>
      </c>
      <c r="F1037" s="37">
        <v>45392</v>
      </c>
      <c r="G1037">
        <v>10</v>
      </c>
      <c r="H1037" t="s">
        <v>174</v>
      </c>
      <c r="I1037" s="37">
        <v>45462</v>
      </c>
      <c r="J1037" t="s">
        <v>165</v>
      </c>
      <c r="K1037" t="s">
        <v>166</v>
      </c>
      <c r="L1037" t="s">
        <v>175</v>
      </c>
      <c r="M1037" t="s">
        <v>1375</v>
      </c>
      <c r="O1037" t="s">
        <v>1375</v>
      </c>
      <c r="Q1037" t="s">
        <v>1657</v>
      </c>
      <c r="U1037" t="s">
        <v>1697</v>
      </c>
      <c r="W1037" t="s">
        <v>1702</v>
      </c>
      <c r="X1037">
        <v>5</v>
      </c>
      <c r="AA1037" s="43">
        <v>307.5</v>
      </c>
      <c r="AC1037" s="43">
        <v>307.5</v>
      </c>
      <c r="AF1037" s="37">
        <f t="shared" si="33"/>
        <v>45721</v>
      </c>
      <c r="AG1037" s="37">
        <f t="shared" si="34"/>
        <v>46927.611570247936</v>
      </c>
      <c r="AH1037" t="s">
        <v>1705</v>
      </c>
      <c r="AN1037" s="43">
        <v>307.5</v>
      </c>
    </row>
    <row r="1038" spans="2:40">
      <c r="B1038" t="s">
        <v>1376</v>
      </c>
      <c r="C1038" t="s">
        <v>121</v>
      </c>
      <c r="D1038" t="s">
        <v>167</v>
      </c>
      <c r="E1038" t="s">
        <v>83</v>
      </c>
      <c r="F1038" s="37">
        <v>45386</v>
      </c>
      <c r="G1038">
        <v>10</v>
      </c>
      <c r="H1038" t="s">
        <v>174</v>
      </c>
      <c r="I1038" s="37">
        <v>45462</v>
      </c>
      <c r="J1038" t="s">
        <v>165</v>
      </c>
      <c r="K1038" t="s">
        <v>166</v>
      </c>
      <c r="L1038" t="s">
        <v>175</v>
      </c>
      <c r="M1038" t="s">
        <v>1376</v>
      </c>
      <c r="O1038" t="s">
        <v>1376</v>
      </c>
      <c r="Q1038" t="s">
        <v>1657</v>
      </c>
      <c r="U1038" t="s">
        <v>1697</v>
      </c>
      <c r="W1038" t="s">
        <v>1702</v>
      </c>
      <c r="X1038">
        <v>5</v>
      </c>
      <c r="AA1038" s="43">
        <v>307.5</v>
      </c>
      <c r="AC1038" s="43">
        <v>307.5</v>
      </c>
      <c r="AF1038" s="37">
        <f t="shared" si="33"/>
        <v>45715</v>
      </c>
      <c r="AG1038" s="37">
        <f t="shared" si="34"/>
        <v>46921.611570247936</v>
      </c>
      <c r="AH1038" t="s">
        <v>1705</v>
      </c>
      <c r="AN1038" s="43">
        <v>307.5</v>
      </c>
    </row>
    <row r="1039" spans="2:40">
      <c r="B1039" t="s">
        <v>1377</v>
      </c>
      <c r="C1039" t="s">
        <v>121</v>
      </c>
      <c r="D1039" t="s">
        <v>167</v>
      </c>
      <c r="E1039" t="s">
        <v>83</v>
      </c>
      <c r="F1039" s="37">
        <v>45386</v>
      </c>
      <c r="G1039">
        <v>10</v>
      </c>
      <c r="H1039" t="s">
        <v>174</v>
      </c>
      <c r="I1039" s="37">
        <v>45462</v>
      </c>
      <c r="J1039" t="s">
        <v>165</v>
      </c>
      <c r="K1039" t="s">
        <v>166</v>
      </c>
      <c r="L1039" t="s">
        <v>175</v>
      </c>
      <c r="M1039" t="s">
        <v>1377</v>
      </c>
      <c r="O1039" t="s">
        <v>1377</v>
      </c>
      <c r="Q1039" t="s">
        <v>1657</v>
      </c>
      <c r="U1039" t="s">
        <v>1697</v>
      </c>
      <c r="W1039" t="s">
        <v>1702</v>
      </c>
      <c r="X1039">
        <v>5</v>
      </c>
      <c r="AA1039" s="43">
        <v>307.5</v>
      </c>
      <c r="AC1039" s="43">
        <v>307.5</v>
      </c>
      <c r="AF1039" s="37">
        <f t="shared" si="33"/>
        <v>45715</v>
      </c>
      <c r="AG1039" s="37">
        <f t="shared" si="34"/>
        <v>46921.611570247936</v>
      </c>
      <c r="AH1039" t="s">
        <v>1705</v>
      </c>
      <c r="AN1039" s="43">
        <v>307.5</v>
      </c>
    </row>
    <row r="1040" spans="2:40">
      <c r="B1040" t="s">
        <v>1378</v>
      </c>
      <c r="C1040" t="s">
        <v>121</v>
      </c>
      <c r="D1040" t="s">
        <v>167</v>
      </c>
      <c r="E1040" t="s">
        <v>83</v>
      </c>
      <c r="F1040" s="37">
        <v>45386</v>
      </c>
      <c r="G1040">
        <v>10</v>
      </c>
      <c r="H1040" t="s">
        <v>174</v>
      </c>
      <c r="I1040" s="37">
        <v>45462</v>
      </c>
      <c r="J1040" t="s">
        <v>165</v>
      </c>
      <c r="K1040" t="s">
        <v>166</v>
      </c>
      <c r="L1040" t="s">
        <v>175</v>
      </c>
      <c r="M1040" t="s">
        <v>1378</v>
      </c>
      <c r="O1040" t="s">
        <v>1378</v>
      </c>
      <c r="Q1040" t="s">
        <v>1657</v>
      </c>
      <c r="U1040" t="s">
        <v>1697</v>
      </c>
      <c r="W1040" t="s">
        <v>1702</v>
      </c>
      <c r="X1040">
        <v>5</v>
      </c>
      <c r="AA1040" s="43">
        <v>307.5</v>
      </c>
      <c r="AC1040" s="43">
        <v>307.5</v>
      </c>
      <c r="AF1040" s="37">
        <f t="shared" si="33"/>
        <v>45715</v>
      </c>
      <c r="AG1040" s="37">
        <f t="shared" si="34"/>
        <v>46921.611570247936</v>
      </c>
      <c r="AH1040" t="s">
        <v>1705</v>
      </c>
      <c r="AN1040" s="43">
        <v>307.5</v>
      </c>
    </row>
    <row r="1041" spans="2:40">
      <c r="B1041" t="s">
        <v>1379</v>
      </c>
      <c r="C1041" t="s">
        <v>121</v>
      </c>
      <c r="D1041" t="s">
        <v>167</v>
      </c>
      <c r="E1041" t="s">
        <v>83</v>
      </c>
      <c r="F1041" s="37">
        <v>45378</v>
      </c>
      <c r="G1041">
        <v>10</v>
      </c>
      <c r="H1041" t="s">
        <v>174</v>
      </c>
      <c r="I1041" s="37">
        <v>45448</v>
      </c>
      <c r="J1041" t="s">
        <v>165</v>
      </c>
      <c r="K1041" t="s">
        <v>166</v>
      </c>
      <c r="L1041" t="s">
        <v>175</v>
      </c>
      <c r="M1041" t="s">
        <v>1379</v>
      </c>
      <c r="O1041" t="s">
        <v>1379</v>
      </c>
      <c r="Q1041" t="s">
        <v>1651</v>
      </c>
      <c r="U1041" t="s">
        <v>1697</v>
      </c>
      <c r="W1041" t="s">
        <v>1702</v>
      </c>
      <c r="X1041">
        <v>5</v>
      </c>
      <c r="AA1041" s="43">
        <v>307.5</v>
      </c>
      <c r="AC1041" s="43">
        <v>307.5</v>
      </c>
      <c r="AF1041" s="37">
        <f t="shared" si="33"/>
        <v>45707</v>
      </c>
      <c r="AG1041" s="37">
        <f t="shared" si="34"/>
        <v>46913.611570247936</v>
      </c>
      <c r="AH1041" t="s">
        <v>1705</v>
      </c>
      <c r="AN1041" s="43">
        <v>307.5</v>
      </c>
    </row>
    <row r="1042" spans="2:40">
      <c r="B1042" t="s">
        <v>1380</v>
      </c>
      <c r="C1042" t="s">
        <v>121</v>
      </c>
      <c r="D1042" t="s">
        <v>167</v>
      </c>
      <c r="E1042" t="s">
        <v>83</v>
      </c>
      <c r="F1042" s="37">
        <v>45378</v>
      </c>
      <c r="G1042">
        <v>10</v>
      </c>
      <c r="H1042" t="s">
        <v>174</v>
      </c>
      <c r="I1042" s="37">
        <v>45448</v>
      </c>
      <c r="J1042" t="s">
        <v>165</v>
      </c>
      <c r="K1042" t="s">
        <v>166</v>
      </c>
      <c r="L1042" t="s">
        <v>175</v>
      </c>
      <c r="M1042" t="s">
        <v>1380</v>
      </c>
      <c r="O1042" t="s">
        <v>1380</v>
      </c>
      <c r="Q1042" t="s">
        <v>1651</v>
      </c>
      <c r="U1042" t="s">
        <v>1697</v>
      </c>
      <c r="W1042" t="s">
        <v>1702</v>
      </c>
      <c r="X1042">
        <v>5</v>
      </c>
      <c r="AA1042" s="43">
        <v>307.5</v>
      </c>
      <c r="AC1042" s="43">
        <v>307.5</v>
      </c>
      <c r="AF1042" s="37">
        <f t="shared" si="33"/>
        <v>45707</v>
      </c>
      <c r="AG1042" s="37">
        <f t="shared" si="34"/>
        <v>46913.611570247936</v>
      </c>
      <c r="AH1042" t="s">
        <v>1705</v>
      </c>
      <c r="AN1042" s="43">
        <v>307.5</v>
      </c>
    </row>
    <row r="1043" spans="2:40">
      <c r="B1043" t="s">
        <v>1381</v>
      </c>
      <c r="C1043" t="s">
        <v>121</v>
      </c>
      <c r="D1043" t="s">
        <v>167</v>
      </c>
      <c r="E1043" t="s">
        <v>83</v>
      </c>
      <c r="F1043" s="37">
        <v>45378</v>
      </c>
      <c r="G1043">
        <v>10</v>
      </c>
      <c r="H1043" t="s">
        <v>174</v>
      </c>
      <c r="I1043" s="37">
        <v>45448</v>
      </c>
      <c r="J1043" t="s">
        <v>165</v>
      </c>
      <c r="K1043" t="s">
        <v>166</v>
      </c>
      <c r="L1043" t="s">
        <v>175</v>
      </c>
      <c r="M1043" t="s">
        <v>1381</v>
      </c>
      <c r="O1043" t="s">
        <v>1381</v>
      </c>
      <c r="Q1043" t="s">
        <v>1651</v>
      </c>
      <c r="U1043" t="s">
        <v>1697</v>
      </c>
      <c r="W1043" t="s">
        <v>1702</v>
      </c>
      <c r="X1043">
        <v>5</v>
      </c>
      <c r="AA1043" s="43">
        <v>307.5</v>
      </c>
      <c r="AC1043" s="43">
        <v>307.5</v>
      </c>
      <c r="AF1043" s="37">
        <f t="shared" si="33"/>
        <v>45707</v>
      </c>
      <c r="AG1043" s="37">
        <f t="shared" si="34"/>
        <v>46913.611570247936</v>
      </c>
      <c r="AH1043" t="s">
        <v>1705</v>
      </c>
      <c r="AN1043" s="43">
        <v>307.5</v>
      </c>
    </row>
    <row r="1044" spans="2:40">
      <c r="B1044" t="s">
        <v>1382</v>
      </c>
      <c r="C1044" t="s">
        <v>121</v>
      </c>
      <c r="D1044" t="s">
        <v>167</v>
      </c>
      <c r="E1044" t="s">
        <v>83</v>
      </c>
      <c r="F1044" s="37">
        <v>45378</v>
      </c>
      <c r="G1044">
        <v>10</v>
      </c>
      <c r="H1044" t="s">
        <v>174</v>
      </c>
      <c r="I1044" s="37">
        <v>45448</v>
      </c>
      <c r="J1044" t="s">
        <v>165</v>
      </c>
      <c r="K1044" t="s">
        <v>166</v>
      </c>
      <c r="L1044" t="s">
        <v>175</v>
      </c>
      <c r="M1044" t="s">
        <v>1382</v>
      </c>
      <c r="O1044" t="s">
        <v>1382</v>
      </c>
      <c r="Q1044" t="s">
        <v>1651</v>
      </c>
      <c r="U1044" t="s">
        <v>1697</v>
      </c>
      <c r="W1044" t="s">
        <v>1702</v>
      </c>
      <c r="X1044">
        <v>5</v>
      </c>
      <c r="AA1044" s="43">
        <v>307.5</v>
      </c>
      <c r="AC1044" s="43">
        <v>307.5</v>
      </c>
      <c r="AF1044" s="37">
        <f t="shared" si="33"/>
        <v>45707</v>
      </c>
      <c r="AG1044" s="37">
        <f t="shared" si="34"/>
        <v>46913.611570247936</v>
      </c>
      <c r="AH1044" t="s">
        <v>1705</v>
      </c>
      <c r="AN1044" s="43">
        <v>307.5</v>
      </c>
    </row>
    <row r="1045" spans="2:40">
      <c r="B1045" t="s">
        <v>1383</v>
      </c>
      <c r="C1045" t="s">
        <v>121</v>
      </c>
      <c r="D1045" t="s">
        <v>167</v>
      </c>
      <c r="E1045" t="s">
        <v>83</v>
      </c>
      <c r="F1045" s="37">
        <v>45378</v>
      </c>
      <c r="G1045">
        <v>10</v>
      </c>
      <c r="H1045" t="s">
        <v>174</v>
      </c>
      <c r="I1045" s="37">
        <v>45448</v>
      </c>
      <c r="J1045" t="s">
        <v>165</v>
      </c>
      <c r="K1045" t="s">
        <v>166</v>
      </c>
      <c r="L1045" t="s">
        <v>175</v>
      </c>
      <c r="M1045" t="s">
        <v>1383</v>
      </c>
      <c r="O1045" t="s">
        <v>1383</v>
      </c>
      <c r="Q1045" t="s">
        <v>1651</v>
      </c>
      <c r="U1045" t="s">
        <v>1697</v>
      </c>
      <c r="W1045" t="s">
        <v>1702</v>
      </c>
      <c r="X1045">
        <v>5</v>
      </c>
      <c r="AA1045" s="43">
        <v>307.5</v>
      </c>
      <c r="AC1045" s="43">
        <v>307.5</v>
      </c>
      <c r="AF1045" s="37">
        <f t="shared" si="33"/>
        <v>45707</v>
      </c>
      <c r="AG1045" s="37">
        <f t="shared" si="34"/>
        <v>46913.611570247936</v>
      </c>
      <c r="AH1045" t="s">
        <v>1705</v>
      </c>
      <c r="AN1045" s="43">
        <v>307.5</v>
      </c>
    </row>
    <row r="1046" spans="2:40">
      <c r="B1046" t="s">
        <v>1384</v>
      </c>
      <c r="C1046" t="s">
        <v>121</v>
      </c>
      <c r="D1046" t="s">
        <v>167</v>
      </c>
      <c r="E1046" t="s">
        <v>83</v>
      </c>
      <c r="F1046" s="37">
        <v>45378</v>
      </c>
      <c r="G1046">
        <v>10</v>
      </c>
      <c r="H1046" t="s">
        <v>174</v>
      </c>
      <c r="I1046" s="37">
        <v>45448</v>
      </c>
      <c r="J1046" t="s">
        <v>165</v>
      </c>
      <c r="K1046" t="s">
        <v>166</v>
      </c>
      <c r="L1046" t="s">
        <v>175</v>
      </c>
      <c r="M1046" t="s">
        <v>1384</v>
      </c>
      <c r="O1046" t="s">
        <v>1384</v>
      </c>
      <c r="Q1046" t="s">
        <v>1651</v>
      </c>
      <c r="U1046" t="s">
        <v>1697</v>
      </c>
      <c r="W1046" t="s">
        <v>1702</v>
      </c>
      <c r="X1046">
        <v>5</v>
      </c>
      <c r="AA1046" s="43">
        <v>307.5</v>
      </c>
      <c r="AC1046" s="43">
        <v>307.5</v>
      </c>
      <c r="AF1046" s="37">
        <f t="shared" si="33"/>
        <v>45707</v>
      </c>
      <c r="AG1046" s="37">
        <f t="shared" si="34"/>
        <v>46913.611570247936</v>
      </c>
      <c r="AH1046" t="s">
        <v>1705</v>
      </c>
      <c r="AN1046" s="43">
        <v>307.5</v>
      </c>
    </row>
    <row r="1047" spans="2:40">
      <c r="B1047" t="s">
        <v>1385</v>
      </c>
      <c r="C1047" t="s">
        <v>121</v>
      </c>
      <c r="D1047" t="s">
        <v>167</v>
      </c>
      <c r="E1047" t="s">
        <v>83</v>
      </c>
      <c r="F1047" s="37">
        <v>45371</v>
      </c>
      <c r="G1047">
        <v>10</v>
      </c>
      <c r="H1047" t="s">
        <v>174</v>
      </c>
      <c r="I1047" s="37">
        <v>45441</v>
      </c>
      <c r="J1047" t="s">
        <v>165</v>
      </c>
      <c r="K1047" t="s">
        <v>166</v>
      </c>
      <c r="L1047" t="s">
        <v>175</v>
      </c>
      <c r="M1047" t="s">
        <v>1385</v>
      </c>
      <c r="O1047" t="s">
        <v>1385</v>
      </c>
      <c r="Q1047" t="s">
        <v>1645</v>
      </c>
      <c r="U1047" t="s">
        <v>1697</v>
      </c>
      <c r="W1047" t="s">
        <v>1702</v>
      </c>
      <c r="X1047">
        <v>5</v>
      </c>
      <c r="AA1047" s="43">
        <v>307.5</v>
      </c>
      <c r="AC1047" s="43">
        <v>307.5</v>
      </c>
      <c r="AF1047" s="37">
        <f t="shared" si="33"/>
        <v>45700</v>
      </c>
      <c r="AG1047" s="37">
        <f t="shared" si="34"/>
        <v>46906.611570247936</v>
      </c>
      <c r="AH1047" t="s">
        <v>1705</v>
      </c>
      <c r="AN1047" s="43">
        <v>307.5</v>
      </c>
    </row>
    <row r="1048" spans="2:40">
      <c r="B1048" t="s">
        <v>1386</v>
      </c>
      <c r="C1048" t="s">
        <v>121</v>
      </c>
      <c r="D1048" t="s">
        <v>167</v>
      </c>
      <c r="E1048" t="s">
        <v>83</v>
      </c>
      <c r="F1048" s="37">
        <v>45371</v>
      </c>
      <c r="G1048">
        <v>10</v>
      </c>
      <c r="H1048" t="s">
        <v>174</v>
      </c>
      <c r="I1048" s="37">
        <v>45441</v>
      </c>
      <c r="J1048" t="s">
        <v>165</v>
      </c>
      <c r="K1048" t="s">
        <v>166</v>
      </c>
      <c r="L1048" t="s">
        <v>175</v>
      </c>
      <c r="M1048" t="s">
        <v>1386</v>
      </c>
      <c r="O1048" t="s">
        <v>1386</v>
      </c>
      <c r="Q1048" t="s">
        <v>1645</v>
      </c>
      <c r="U1048" t="s">
        <v>1697</v>
      </c>
      <c r="W1048" t="s">
        <v>1702</v>
      </c>
      <c r="X1048">
        <v>5</v>
      </c>
      <c r="AA1048" s="43">
        <v>307.5</v>
      </c>
      <c r="AC1048" s="43">
        <v>307.5</v>
      </c>
      <c r="AF1048" s="37">
        <f t="shared" si="33"/>
        <v>45700</v>
      </c>
      <c r="AG1048" s="37">
        <f t="shared" si="34"/>
        <v>46906.611570247936</v>
      </c>
      <c r="AH1048" t="s">
        <v>1705</v>
      </c>
      <c r="AN1048" s="43">
        <v>307.5</v>
      </c>
    </row>
    <row r="1049" spans="2:40">
      <c r="B1049" t="s">
        <v>1387</v>
      </c>
      <c r="C1049" t="s">
        <v>121</v>
      </c>
      <c r="D1049" t="s">
        <v>167</v>
      </c>
      <c r="E1049" t="s">
        <v>83</v>
      </c>
      <c r="F1049" s="37">
        <v>45371</v>
      </c>
      <c r="G1049">
        <v>10</v>
      </c>
      <c r="H1049" t="s">
        <v>174</v>
      </c>
      <c r="I1049" s="37">
        <v>45441</v>
      </c>
      <c r="J1049" t="s">
        <v>165</v>
      </c>
      <c r="K1049" t="s">
        <v>166</v>
      </c>
      <c r="L1049" t="s">
        <v>175</v>
      </c>
      <c r="M1049" t="s">
        <v>1387</v>
      </c>
      <c r="O1049" t="s">
        <v>1387</v>
      </c>
      <c r="Q1049" t="s">
        <v>1645</v>
      </c>
      <c r="U1049" t="s">
        <v>1697</v>
      </c>
      <c r="W1049" t="s">
        <v>1702</v>
      </c>
      <c r="X1049">
        <v>5</v>
      </c>
      <c r="AA1049" s="43">
        <v>307.5</v>
      </c>
      <c r="AC1049" s="43">
        <v>307.5</v>
      </c>
      <c r="AF1049" s="37">
        <f t="shared" si="33"/>
        <v>45700</v>
      </c>
      <c r="AG1049" s="37">
        <f t="shared" si="34"/>
        <v>46906.611570247936</v>
      </c>
      <c r="AH1049" t="s">
        <v>1705</v>
      </c>
      <c r="AN1049" s="43">
        <v>307.5</v>
      </c>
    </row>
    <row r="1050" spans="2:40">
      <c r="B1050" t="s">
        <v>1388</v>
      </c>
      <c r="C1050" t="s">
        <v>121</v>
      </c>
      <c r="D1050" t="s">
        <v>167</v>
      </c>
      <c r="E1050" t="s">
        <v>83</v>
      </c>
      <c r="F1050" s="37">
        <v>45371</v>
      </c>
      <c r="G1050">
        <v>10</v>
      </c>
      <c r="H1050" t="s">
        <v>174</v>
      </c>
      <c r="I1050" s="37">
        <v>45441</v>
      </c>
      <c r="J1050" t="s">
        <v>165</v>
      </c>
      <c r="K1050" t="s">
        <v>166</v>
      </c>
      <c r="L1050" t="s">
        <v>175</v>
      </c>
      <c r="M1050" t="s">
        <v>1388</v>
      </c>
      <c r="O1050" t="s">
        <v>1388</v>
      </c>
      <c r="Q1050" t="s">
        <v>1645</v>
      </c>
      <c r="U1050" t="s">
        <v>1697</v>
      </c>
      <c r="W1050" t="s">
        <v>1702</v>
      </c>
      <c r="X1050">
        <v>5</v>
      </c>
      <c r="AA1050" s="43">
        <v>307.5</v>
      </c>
      <c r="AC1050" s="43">
        <v>307.5</v>
      </c>
      <c r="AF1050" s="37">
        <f t="shared" si="33"/>
        <v>45700</v>
      </c>
      <c r="AG1050" s="37">
        <f t="shared" si="34"/>
        <v>46906.611570247936</v>
      </c>
      <c r="AH1050" t="s">
        <v>1705</v>
      </c>
      <c r="AN1050" s="43">
        <v>307.5</v>
      </c>
    </row>
    <row r="1051" spans="2:40">
      <c r="B1051" t="s">
        <v>1389</v>
      </c>
      <c r="C1051" t="s">
        <v>121</v>
      </c>
      <c r="D1051" t="s">
        <v>167</v>
      </c>
      <c r="E1051" t="s">
        <v>83</v>
      </c>
      <c r="F1051" s="37">
        <v>45371</v>
      </c>
      <c r="G1051">
        <v>10</v>
      </c>
      <c r="H1051" t="s">
        <v>174</v>
      </c>
      <c r="I1051" s="37">
        <v>45441</v>
      </c>
      <c r="J1051" t="s">
        <v>165</v>
      </c>
      <c r="K1051" t="s">
        <v>166</v>
      </c>
      <c r="L1051" t="s">
        <v>175</v>
      </c>
      <c r="M1051" t="s">
        <v>1389</v>
      </c>
      <c r="O1051" t="s">
        <v>1389</v>
      </c>
      <c r="Q1051" t="s">
        <v>1645</v>
      </c>
      <c r="U1051" t="s">
        <v>1697</v>
      </c>
      <c r="W1051" t="s">
        <v>1702</v>
      </c>
      <c r="X1051">
        <v>5</v>
      </c>
      <c r="AA1051" s="43">
        <v>307.5</v>
      </c>
      <c r="AC1051" s="43">
        <v>307.5</v>
      </c>
      <c r="AF1051" s="37">
        <f t="shared" si="33"/>
        <v>45700</v>
      </c>
      <c r="AG1051" s="37">
        <f t="shared" si="34"/>
        <v>46906.611570247936</v>
      </c>
      <c r="AH1051" t="s">
        <v>1705</v>
      </c>
      <c r="AN1051" s="43">
        <v>307.5</v>
      </c>
    </row>
    <row r="1052" spans="2:40">
      <c r="B1052" t="s">
        <v>1390</v>
      </c>
      <c r="C1052" t="s">
        <v>121</v>
      </c>
      <c r="D1052" t="s">
        <v>167</v>
      </c>
      <c r="E1052" t="s">
        <v>83</v>
      </c>
      <c r="F1052" s="37">
        <v>45364</v>
      </c>
      <c r="G1052">
        <v>10</v>
      </c>
      <c r="H1052" t="s">
        <v>174</v>
      </c>
      <c r="I1052" s="37">
        <v>45434</v>
      </c>
      <c r="J1052" t="s">
        <v>165</v>
      </c>
      <c r="K1052" t="s">
        <v>166</v>
      </c>
      <c r="L1052" t="s">
        <v>175</v>
      </c>
      <c r="M1052" t="s">
        <v>1390</v>
      </c>
      <c r="O1052" t="s">
        <v>1390</v>
      </c>
      <c r="Q1052" t="s">
        <v>1646</v>
      </c>
      <c r="U1052" t="s">
        <v>1697</v>
      </c>
      <c r="W1052" t="s">
        <v>1702</v>
      </c>
      <c r="X1052">
        <v>5</v>
      </c>
      <c r="AA1052" s="43">
        <v>307.5</v>
      </c>
      <c r="AC1052" s="43">
        <v>307.5</v>
      </c>
      <c r="AF1052" s="37">
        <f t="shared" si="33"/>
        <v>45693</v>
      </c>
      <c r="AG1052" s="37">
        <f t="shared" si="34"/>
        <v>46899.611570247936</v>
      </c>
      <c r="AH1052" t="s">
        <v>1705</v>
      </c>
      <c r="AN1052" s="43">
        <v>307.5</v>
      </c>
    </row>
    <row r="1053" spans="2:40">
      <c r="B1053" t="s">
        <v>1391</v>
      </c>
      <c r="C1053" t="s">
        <v>121</v>
      </c>
      <c r="D1053" t="s">
        <v>167</v>
      </c>
      <c r="E1053" t="s">
        <v>83</v>
      </c>
      <c r="F1053" s="37">
        <v>45364</v>
      </c>
      <c r="G1053">
        <v>10</v>
      </c>
      <c r="H1053" t="s">
        <v>174</v>
      </c>
      <c r="I1053" s="37">
        <v>45434</v>
      </c>
      <c r="J1053" t="s">
        <v>165</v>
      </c>
      <c r="K1053" t="s">
        <v>166</v>
      </c>
      <c r="L1053" t="s">
        <v>175</v>
      </c>
      <c r="M1053" t="s">
        <v>1391</v>
      </c>
      <c r="O1053" t="s">
        <v>1391</v>
      </c>
      <c r="Q1053" t="s">
        <v>1646</v>
      </c>
      <c r="U1053" t="s">
        <v>1697</v>
      </c>
      <c r="W1053" t="s">
        <v>1702</v>
      </c>
      <c r="X1053">
        <v>5</v>
      </c>
      <c r="AA1053" s="43">
        <v>307.5</v>
      </c>
      <c r="AC1053" s="43">
        <v>307.5</v>
      </c>
      <c r="AF1053" s="37">
        <f t="shared" si="33"/>
        <v>45693</v>
      </c>
      <c r="AG1053" s="37">
        <f t="shared" si="34"/>
        <v>46899.611570247936</v>
      </c>
      <c r="AH1053" t="s">
        <v>1705</v>
      </c>
      <c r="AN1053" s="43">
        <v>307.5</v>
      </c>
    </row>
    <row r="1054" spans="2:40">
      <c r="B1054" t="s">
        <v>1392</v>
      </c>
      <c r="C1054" t="s">
        <v>121</v>
      </c>
      <c r="D1054" t="s">
        <v>167</v>
      </c>
      <c r="E1054" t="s">
        <v>83</v>
      </c>
      <c r="F1054" s="37">
        <v>45364</v>
      </c>
      <c r="G1054">
        <v>10</v>
      </c>
      <c r="H1054" t="s">
        <v>174</v>
      </c>
      <c r="I1054" s="37">
        <v>45434</v>
      </c>
      <c r="J1054" t="s">
        <v>165</v>
      </c>
      <c r="K1054" t="s">
        <v>166</v>
      </c>
      <c r="L1054" t="s">
        <v>175</v>
      </c>
      <c r="M1054" t="s">
        <v>1392</v>
      </c>
      <c r="O1054" t="s">
        <v>1392</v>
      </c>
      <c r="Q1054" t="s">
        <v>1646</v>
      </c>
      <c r="U1054" t="s">
        <v>1697</v>
      </c>
      <c r="W1054" t="s">
        <v>1702</v>
      </c>
      <c r="X1054">
        <v>5</v>
      </c>
      <c r="AA1054" s="43">
        <v>307.5</v>
      </c>
      <c r="AC1054" s="43">
        <v>307.5</v>
      </c>
      <c r="AF1054" s="37">
        <f t="shared" si="33"/>
        <v>45693</v>
      </c>
      <c r="AG1054" s="37">
        <f t="shared" si="34"/>
        <v>46899.611570247936</v>
      </c>
      <c r="AH1054" t="s">
        <v>1705</v>
      </c>
      <c r="AN1054" s="43">
        <v>307.5</v>
      </c>
    </row>
    <row r="1055" spans="2:40">
      <c r="B1055" t="s">
        <v>1393</v>
      </c>
      <c r="C1055" t="s">
        <v>121</v>
      </c>
      <c r="D1055" t="s">
        <v>167</v>
      </c>
      <c r="E1055" t="s">
        <v>83</v>
      </c>
      <c r="F1055" s="37">
        <v>45364</v>
      </c>
      <c r="G1055">
        <v>10</v>
      </c>
      <c r="H1055" t="s">
        <v>174</v>
      </c>
      <c r="I1055" s="37">
        <v>45434</v>
      </c>
      <c r="J1055" t="s">
        <v>165</v>
      </c>
      <c r="K1055" t="s">
        <v>166</v>
      </c>
      <c r="L1055" t="s">
        <v>175</v>
      </c>
      <c r="M1055" t="s">
        <v>1393</v>
      </c>
      <c r="O1055" t="s">
        <v>1393</v>
      </c>
      <c r="Q1055" t="s">
        <v>1646</v>
      </c>
      <c r="U1055" t="s">
        <v>1697</v>
      </c>
      <c r="W1055" t="s">
        <v>1702</v>
      </c>
      <c r="X1055">
        <v>5</v>
      </c>
      <c r="AA1055" s="43">
        <v>307.5</v>
      </c>
      <c r="AC1055" s="43">
        <v>307.5</v>
      </c>
      <c r="AF1055" s="37">
        <f t="shared" si="33"/>
        <v>45693</v>
      </c>
      <c r="AG1055" s="37">
        <f t="shared" si="34"/>
        <v>46899.611570247936</v>
      </c>
      <c r="AH1055" t="s">
        <v>1705</v>
      </c>
      <c r="AN1055" s="43">
        <v>307.5</v>
      </c>
    </row>
    <row r="1056" spans="2:40">
      <c r="B1056" t="s">
        <v>1394</v>
      </c>
      <c r="C1056" t="s">
        <v>121</v>
      </c>
      <c r="D1056" t="s">
        <v>167</v>
      </c>
      <c r="E1056" t="s">
        <v>83</v>
      </c>
      <c r="F1056" s="37">
        <v>45364</v>
      </c>
      <c r="G1056">
        <v>10</v>
      </c>
      <c r="H1056" t="s">
        <v>174</v>
      </c>
      <c r="I1056" s="37">
        <v>45434</v>
      </c>
      <c r="J1056" t="s">
        <v>165</v>
      </c>
      <c r="K1056" t="s">
        <v>166</v>
      </c>
      <c r="L1056" t="s">
        <v>175</v>
      </c>
      <c r="M1056" t="s">
        <v>1394</v>
      </c>
      <c r="O1056" t="s">
        <v>1394</v>
      </c>
      <c r="Q1056" t="s">
        <v>1646</v>
      </c>
      <c r="U1056" t="s">
        <v>1697</v>
      </c>
      <c r="W1056" t="s">
        <v>1702</v>
      </c>
      <c r="X1056">
        <v>5</v>
      </c>
      <c r="AA1056" s="43">
        <v>307.5</v>
      </c>
      <c r="AC1056" s="43">
        <v>307.5</v>
      </c>
      <c r="AF1056" s="37">
        <f t="shared" si="33"/>
        <v>45693</v>
      </c>
      <c r="AG1056" s="37">
        <f t="shared" si="34"/>
        <v>46899.611570247936</v>
      </c>
      <c r="AH1056" t="s">
        <v>1705</v>
      </c>
      <c r="AN1056" s="43">
        <v>307.5</v>
      </c>
    </row>
    <row r="1057" spans="2:40">
      <c r="B1057" t="s">
        <v>1395</v>
      </c>
      <c r="C1057" t="s">
        <v>121</v>
      </c>
      <c r="D1057" t="s">
        <v>167</v>
      </c>
      <c r="E1057" t="s">
        <v>83</v>
      </c>
      <c r="F1057" s="37">
        <v>45364</v>
      </c>
      <c r="G1057">
        <v>10</v>
      </c>
      <c r="H1057" t="s">
        <v>174</v>
      </c>
      <c r="I1057" s="37">
        <v>45434</v>
      </c>
      <c r="J1057" t="s">
        <v>165</v>
      </c>
      <c r="K1057" t="s">
        <v>166</v>
      </c>
      <c r="L1057" t="s">
        <v>175</v>
      </c>
      <c r="M1057" t="s">
        <v>1395</v>
      </c>
      <c r="O1057" t="s">
        <v>1395</v>
      </c>
      <c r="Q1057" t="s">
        <v>1646</v>
      </c>
      <c r="U1057" t="s">
        <v>1697</v>
      </c>
      <c r="W1057" t="s">
        <v>1702</v>
      </c>
      <c r="X1057">
        <v>5</v>
      </c>
      <c r="AA1057" s="43">
        <v>307.5</v>
      </c>
      <c r="AC1057" s="43">
        <v>307.5</v>
      </c>
      <c r="AF1057" s="37">
        <f t="shared" si="33"/>
        <v>45693</v>
      </c>
      <c r="AG1057" s="37">
        <f t="shared" si="34"/>
        <v>46899.611570247936</v>
      </c>
      <c r="AH1057" t="s">
        <v>1705</v>
      </c>
      <c r="AN1057" s="43">
        <v>307.5</v>
      </c>
    </row>
    <row r="1058" spans="2:40">
      <c r="B1058" t="s">
        <v>1396</v>
      </c>
      <c r="C1058" t="s">
        <v>121</v>
      </c>
      <c r="D1058" t="s">
        <v>167</v>
      </c>
      <c r="E1058" t="s">
        <v>83</v>
      </c>
      <c r="F1058" s="37">
        <v>45363</v>
      </c>
      <c r="G1058">
        <v>10</v>
      </c>
      <c r="H1058" t="s">
        <v>174</v>
      </c>
      <c r="I1058" s="37">
        <v>45539</v>
      </c>
      <c r="J1058" t="s">
        <v>165</v>
      </c>
      <c r="K1058" t="s">
        <v>166</v>
      </c>
      <c r="L1058" t="s">
        <v>175</v>
      </c>
      <c r="M1058" t="s">
        <v>1396</v>
      </c>
      <c r="O1058" t="s">
        <v>1396</v>
      </c>
      <c r="Q1058" t="s">
        <v>1643</v>
      </c>
      <c r="U1058" t="s">
        <v>1697</v>
      </c>
      <c r="W1058" t="s">
        <v>1702</v>
      </c>
      <c r="X1058">
        <v>5</v>
      </c>
      <c r="AA1058" s="43">
        <v>307.5</v>
      </c>
      <c r="AC1058" s="43">
        <v>307.5</v>
      </c>
      <c r="AF1058" s="37">
        <f t="shared" si="33"/>
        <v>45692</v>
      </c>
      <c r="AG1058" s="37">
        <f t="shared" si="34"/>
        <v>46898.611570247936</v>
      </c>
      <c r="AH1058" t="s">
        <v>1705</v>
      </c>
      <c r="AN1058" s="43">
        <v>307.5</v>
      </c>
    </row>
    <row r="1059" spans="2:40">
      <c r="B1059" t="s">
        <v>1397</v>
      </c>
      <c r="C1059" t="s">
        <v>121</v>
      </c>
      <c r="D1059" t="s">
        <v>167</v>
      </c>
      <c r="E1059" t="s">
        <v>83</v>
      </c>
      <c r="F1059" s="37">
        <v>45357</v>
      </c>
      <c r="G1059">
        <v>10</v>
      </c>
      <c r="H1059" t="s">
        <v>174</v>
      </c>
      <c r="I1059" s="37">
        <v>45427</v>
      </c>
      <c r="J1059" t="s">
        <v>165</v>
      </c>
      <c r="K1059" t="s">
        <v>166</v>
      </c>
      <c r="L1059" t="s">
        <v>175</v>
      </c>
      <c r="M1059" t="s">
        <v>1397</v>
      </c>
      <c r="O1059" t="s">
        <v>1397</v>
      </c>
      <c r="Q1059" t="s">
        <v>1646</v>
      </c>
      <c r="U1059" t="s">
        <v>1697</v>
      </c>
      <c r="W1059" t="s">
        <v>1702</v>
      </c>
      <c r="X1059">
        <v>5</v>
      </c>
      <c r="AA1059" s="43">
        <v>307.5</v>
      </c>
      <c r="AC1059" s="43">
        <v>307.5</v>
      </c>
      <c r="AF1059" s="37">
        <f t="shared" si="33"/>
        <v>45686</v>
      </c>
      <c r="AG1059" s="37">
        <f t="shared" si="34"/>
        <v>46892.611570247936</v>
      </c>
      <c r="AH1059" t="s">
        <v>1705</v>
      </c>
      <c r="AN1059" s="43">
        <v>307.5</v>
      </c>
    </row>
    <row r="1060" spans="2:40">
      <c r="B1060" t="s">
        <v>1398</v>
      </c>
      <c r="C1060" t="s">
        <v>121</v>
      </c>
      <c r="D1060" t="s">
        <v>167</v>
      </c>
      <c r="E1060" t="s">
        <v>83</v>
      </c>
      <c r="F1060" s="37">
        <v>45357</v>
      </c>
      <c r="G1060">
        <v>10</v>
      </c>
      <c r="H1060" t="s">
        <v>174</v>
      </c>
      <c r="I1060" s="37">
        <v>45427</v>
      </c>
      <c r="J1060" t="s">
        <v>165</v>
      </c>
      <c r="K1060" t="s">
        <v>166</v>
      </c>
      <c r="L1060" t="s">
        <v>175</v>
      </c>
      <c r="M1060" t="s">
        <v>1398</v>
      </c>
      <c r="O1060" t="s">
        <v>1398</v>
      </c>
      <c r="Q1060" t="s">
        <v>1646</v>
      </c>
      <c r="U1060" t="s">
        <v>1697</v>
      </c>
      <c r="W1060" t="s">
        <v>1702</v>
      </c>
      <c r="X1060">
        <v>5</v>
      </c>
      <c r="AA1060" s="43">
        <v>307.5</v>
      </c>
      <c r="AC1060" s="43">
        <v>307.5</v>
      </c>
      <c r="AF1060" s="37">
        <f t="shared" si="33"/>
        <v>45686</v>
      </c>
      <c r="AG1060" s="37">
        <f t="shared" si="34"/>
        <v>46892.611570247936</v>
      </c>
      <c r="AH1060" t="s">
        <v>1705</v>
      </c>
      <c r="AN1060" s="43">
        <v>307.5</v>
      </c>
    </row>
    <row r="1061" spans="2:40">
      <c r="B1061" t="s">
        <v>1399</v>
      </c>
      <c r="C1061" t="s">
        <v>121</v>
      </c>
      <c r="D1061" t="s">
        <v>167</v>
      </c>
      <c r="E1061" t="s">
        <v>83</v>
      </c>
      <c r="F1061" s="37">
        <v>45357</v>
      </c>
      <c r="G1061">
        <v>10</v>
      </c>
      <c r="H1061" t="s">
        <v>174</v>
      </c>
      <c r="I1061" s="37">
        <v>45427</v>
      </c>
      <c r="J1061" t="s">
        <v>165</v>
      </c>
      <c r="K1061" t="s">
        <v>166</v>
      </c>
      <c r="L1061" t="s">
        <v>175</v>
      </c>
      <c r="M1061" t="s">
        <v>1399</v>
      </c>
      <c r="O1061" t="s">
        <v>1399</v>
      </c>
      <c r="Q1061" t="s">
        <v>1646</v>
      </c>
      <c r="U1061" t="s">
        <v>1697</v>
      </c>
      <c r="W1061" t="s">
        <v>1702</v>
      </c>
      <c r="X1061">
        <v>5</v>
      </c>
      <c r="AA1061" s="43">
        <v>307.5</v>
      </c>
      <c r="AC1061" s="43">
        <v>307.5</v>
      </c>
      <c r="AF1061" s="37">
        <f t="shared" si="33"/>
        <v>45686</v>
      </c>
      <c r="AG1061" s="37">
        <f t="shared" si="34"/>
        <v>46892.611570247936</v>
      </c>
      <c r="AH1061" t="s">
        <v>1705</v>
      </c>
      <c r="AN1061" s="43">
        <v>307.5</v>
      </c>
    </row>
    <row r="1062" spans="2:40">
      <c r="B1062" t="s">
        <v>1400</v>
      </c>
      <c r="C1062" t="s">
        <v>121</v>
      </c>
      <c r="D1062" t="s">
        <v>167</v>
      </c>
      <c r="E1062" t="s">
        <v>83</v>
      </c>
      <c r="F1062" s="37">
        <v>45357</v>
      </c>
      <c r="G1062">
        <v>10</v>
      </c>
      <c r="H1062" t="s">
        <v>174</v>
      </c>
      <c r="I1062" s="37">
        <v>45427</v>
      </c>
      <c r="J1062" t="s">
        <v>165</v>
      </c>
      <c r="K1062" t="s">
        <v>166</v>
      </c>
      <c r="L1062" t="s">
        <v>175</v>
      </c>
      <c r="M1062" t="s">
        <v>1400</v>
      </c>
      <c r="O1062" t="s">
        <v>1400</v>
      </c>
      <c r="Q1062" t="s">
        <v>1646</v>
      </c>
      <c r="U1062" t="s">
        <v>1697</v>
      </c>
      <c r="W1062" t="s">
        <v>1702</v>
      </c>
      <c r="X1062">
        <v>5</v>
      </c>
      <c r="AA1062" s="43">
        <v>307.5</v>
      </c>
      <c r="AC1062" s="43">
        <v>307.5</v>
      </c>
      <c r="AF1062" s="37">
        <f t="shared" si="33"/>
        <v>45686</v>
      </c>
      <c r="AG1062" s="37">
        <f t="shared" si="34"/>
        <v>46892.611570247936</v>
      </c>
      <c r="AH1062" t="s">
        <v>1705</v>
      </c>
      <c r="AN1062" s="43">
        <v>307.5</v>
      </c>
    </row>
    <row r="1063" spans="2:40">
      <c r="B1063" t="s">
        <v>1401</v>
      </c>
      <c r="C1063" t="s">
        <v>121</v>
      </c>
      <c r="D1063" t="s">
        <v>167</v>
      </c>
      <c r="E1063" t="s">
        <v>83</v>
      </c>
      <c r="F1063" s="37">
        <v>45357</v>
      </c>
      <c r="G1063">
        <v>10</v>
      </c>
      <c r="H1063" t="s">
        <v>174</v>
      </c>
      <c r="I1063" s="37">
        <v>45427</v>
      </c>
      <c r="J1063" t="s">
        <v>165</v>
      </c>
      <c r="K1063" t="s">
        <v>166</v>
      </c>
      <c r="L1063" t="s">
        <v>175</v>
      </c>
      <c r="M1063" t="s">
        <v>1401</v>
      </c>
      <c r="O1063" t="s">
        <v>1401</v>
      </c>
      <c r="Q1063" t="s">
        <v>1646</v>
      </c>
      <c r="U1063" t="s">
        <v>1697</v>
      </c>
      <c r="W1063" t="s">
        <v>1702</v>
      </c>
      <c r="X1063">
        <v>5</v>
      </c>
      <c r="AA1063" s="43">
        <v>307.5</v>
      </c>
      <c r="AC1063" s="43">
        <v>307.5</v>
      </c>
      <c r="AF1063" s="37">
        <f t="shared" si="33"/>
        <v>45686</v>
      </c>
      <c r="AG1063" s="37">
        <f t="shared" si="34"/>
        <v>46892.611570247936</v>
      </c>
      <c r="AH1063" t="s">
        <v>1705</v>
      </c>
      <c r="AN1063" s="43">
        <v>307.5</v>
      </c>
    </row>
    <row r="1064" spans="2:40">
      <c r="B1064" t="s">
        <v>1402</v>
      </c>
      <c r="C1064" t="s">
        <v>121</v>
      </c>
      <c r="D1064" t="s">
        <v>167</v>
      </c>
      <c r="E1064" t="s">
        <v>83</v>
      </c>
      <c r="F1064" s="37">
        <v>45350</v>
      </c>
      <c r="G1064">
        <v>10</v>
      </c>
      <c r="H1064" t="s">
        <v>174</v>
      </c>
      <c r="I1064" s="37">
        <v>45420</v>
      </c>
      <c r="J1064" t="s">
        <v>165</v>
      </c>
      <c r="K1064" t="s">
        <v>166</v>
      </c>
      <c r="L1064" t="s">
        <v>175</v>
      </c>
      <c r="M1064" t="s">
        <v>1402</v>
      </c>
      <c r="O1064" t="s">
        <v>1402</v>
      </c>
      <c r="Q1064" t="s">
        <v>1643</v>
      </c>
      <c r="U1064" t="s">
        <v>1697</v>
      </c>
      <c r="W1064" t="s">
        <v>1702</v>
      </c>
      <c r="X1064">
        <v>5</v>
      </c>
      <c r="AA1064" s="43">
        <v>307.5</v>
      </c>
      <c r="AC1064" s="43">
        <v>307.5</v>
      </c>
      <c r="AF1064" s="37">
        <f t="shared" si="33"/>
        <v>45679</v>
      </c>
      <c r="AG1064" s="37">
        <f t="shared" si="34"/>
        <v>46885.611570247936</v>
      </c>
      <c r="AH1064" t="s">
        <v>1705</v>
      </c>
      <c r="AN1064" s="43">
        <v>307.5</v>
      </c>
    </row>
    <row r="1065" spans="2:40">
      <c r="B1065" t="s">
        <v>1403</v>
      </c>
      <c r="C1065" t="s">
        <v>121</v>
      </c>
      <c r="D1065" t="s">
        <v>167</v>
      </c>
      <c r="E1065" t="s">
        <v>83</v>
      </c>
      <c r="F1065" s="37">
        <v>45350</v>
      </c>
      <c r="G1065">
        <v>10</v>
      </c>
      <c r="H1065" t="s">
        <v>174</v>
      </c>
      <c r="I1065" s="37">
        <v>45420</v>
      </c>
      <c r="J1065" t="s">
        <v>165</v>
      </c>
      <c r="K1065" t="s">
        <v>166</v>
      </c>
      <c r="L1065" t="s">
        <v>175</v>
      </c>
      <c r="M1065" t="s">
        <v>1403</v>
      </c>
      <c r="O1065" t="s">
        <v>1403</v>
      </c>
      <c r="Q1065" t="s">
        <v>1658</v>
      </c>
      <c r="U1065" t="s">
        <v>1697</v>
      </c>
      <c r="W1065" t="s">
        <v>1702</v>
      </c>
      <c r="X1065">
        <v>5</v>
      </c>
      <c r="AA1065" s="43">
        <v>307.5</v>
      </c>
      <c r="AC1065" s="43">
        <v>307.5</v>
      </c>
      <c r="AF1065" s="37">
        <f t="shared" si="33"/>
        <v>45679</v>
      </c>
      <c r="AG1065" s="37">
        <f t="shared" si="34"/>
        <v>46885.611570247936</v>
      </c>
      <c r="AH1065" t="s">
        <v>1705</v>
      </c>
      <c r="AN1065" s="43">
        <v>307.5</v>
      </c>
    </row>
    <row r="1066" spans="2:40">
      <c r="B1066" t="s">
        <v>1404</v>
      </c>
      <c r="C1066" t="s">
        <v>121</v>
      </c>
      <c r="D1066" t="s">
        <v>167</v>
      </c>
      <c r="E1066" t="s">
        <v>83</v>
      </c>
      <c r="F1066" s="37">
        <v>45350</v>
      </c>
      <c r="G1066">
        <v>10</v>
      </c>
      <c r="H1066" t="s">
        <v>174</v>
      </c>
      <c r="I1066" s="37">
        <v>45420</v>
      </c>
      <c r="J1066" t="s">
        <v>165</v>
      </c>
      <c r="K1066" t="s">
        <v>166</v>
      </c>
      <c r="L1066" t="s">
        <v>175</v>
      </c>
      <c r="M1066" t="s">
        <v>1404</v>
      </c>
      <c r="O1066" t="s">
        <v>1404</v>
      </c>
      <c r="Q1066" t="s">
        <v>1658</v>
      </c>
      <c r="U1066" t="s">
        <v>1697</v>
      </c>
      <c r="W1066" t="s">
        <v>1702</v>
      </c>
      <c r="X1066">
        <v>5</v>
      </c>
      <c r="AA1066" s="43">
        <v>307.5</v>
      </c>
      <c r="AC1066" s="43">
        <v>307.5</v>
      </c>
      <c r="AF1066" s="37">
        <f t="shared" si="33"/>
        <v>45679</v>
      </c>
      <c r="AG1066" s="37">
        <f t="shared" si="34"/>
        <v>46885.611570247936</v>
      </c>
      <c r="AH1066" t="s">
        <v>1705</v>
      </c>
      <c r="AN1066" s="43">
        <v>307.5</v>
      </c>
    </row>
    <row r="1067" spans="2:40">
      <c r="B1067" t="s">
        <v>1405</v>
      </c>
      <c r="C1067" t="s">
        <v>121</v>
      </c>
      <c r="D1067" t="s">
        <v>167</v>
      </c>
      <c r="E1067" t="s">
        <v>83</v>
      </c>
      <c r="F1067" s="37">
        <v>45350</v>
      </c>
      <c r="G1067">
        <v>10</v>
      </c>
      <c r="H1067" t="s">
        <v>174</v>
      </c>
      <c r="I1067" s="37">
        <v>45420</v>
      </c>
      <c r="J1067" t="s">
        <v>165</v>
      </c>
      <c r="K1067" t="s">
        <v>166</v>
      </c>
      <c r="L1067" t="s">
        <v>175</v>
      </c>
      <c r="M1067" t="s">
        <v>1405</v>
      </c>
      <c r="O1067" t="s">
        <v>1405</v>
      </c>
      <c r="Q1067" t="s">
        <v>1658</v>
      </c>
      <c r="U1067" t="s">
        <v>1697</v>
      </c>
      <c r="W1067" t="s">
        <v>1702</v>
      </c>
      <c r="X1067">
        <v>5</v>
      </c>
      <c r="AA1067" s="43">
        <v>307.5</v>
      </c>
      <c r="AC1067" s="43">
        <v>307.5</v>
      </c>
      <c r="AF1067" s="37">
        <f t="shared" si="33"/>
        <v>45679</v>
      </c>
      <c r="AG1067" s="37">
        <f t="shared" si="34"/>
        <v>46885.611570247936</v>
      </c>
      <c r="AH1067" t="s">
        <v>1705</v>
      </c>
      <c r="AN1067" s="43">
        <v>307.5</v>
      </c>
    </row>
    <row r="1068" spans="2:40">
      <c r="B1068" t="s">
        <v>1406</v>
      </c>
      <c r="C1068" t="s">
        <v>121</v>
      </c>
      <c r="D1068" t="s">
        <v>167</v>
      </c>
      <c r="E1068" t="s">
        <v>83</v>
      </c>
      <c r="F1068" s="37">
        <v>45350</v>
      </c>
      <c r="G1068">
        <v>10</v>
      </c>
      <c r="H1068" t="s">
        <v>174</v>
      </c>
      <c r="I1068" s="37">
        <v>45420</v>
      </c>
      <c r="J1068" t="s">
        <v>165</v>
      </c>
      <c r="K1068" t="s">
        <v>166</v>
      </c>
      <c r="L1068" t="s">
        <v>175</v>
      </c>
      <c r="M1068" t="s">
        <v>1406</v>
      </c>
      <c r="O1068" t="s">
        <v>1406</v>
      </c>
      <c r="Q1068" t="s">
        <v>1658</v>
      </c>
      <c r="U1068" t="s">
        <v>1697</v>
      </c>
      <c r="W1068" t="s">
        <v>1702</v>
      </c>
      <c r="X1068">
        <v>5</v>
      </c>
      <c r="AA1068" s="43">
        <v>307.5</v>
      </c>
      <c r="AC1068" s="43">
        <v>307.5</v>
      </c>
      <c r="AF1068" s="37">
        <f t="shared" si="33"/>
        <v>45679</v>
      </c>
      <c r="AG1068" s="37">
        <f t="shared" si="34"/>
        <v>46885.611570247936</v>
      </c>
      <c r="AH1068" t="s">
        <v>1705</v>
      </c>
      <c r="AN1068" s="43">
        <v>307.5</v>
      </c>
    </row>
    <row r="1069" spans="2:40">
      <c r="B1069" t="s">
        <v>1407</v>
      </c>
      <c r="C1069" t="s">
        <v>121</v>
      </c>
      <c r="D1069" t="s">
        <v>167</v>
      </c>
      <c r="E1069" t="s">
        <v>83</v>
      </c>
      <c r="F1069" s="37">
        <v>45350</v>
      </c>
      <c r="G1069">
        <v>10</v>
      </c>
      <c r="H1069" t="s">
        <v>174</v>
      </c>
      <c r="I1069" s="37">
        <v>45420</v>
      </c>
      <c r="J1069" t="s">
        <v>165</v>
      </c>
      <c r="K1069" t="s">
        <v>166</v>
      </c>
      <c r="L1069" t="s">
        <v>175</v>
      </c>
      <c r="M1069" t="s">
        <v>1407</v>
      </c>
      <c r="O1069" t="s">
        <v>1407</v>
      </c>
      <c r="Q1069" t="s">
        <v>1643</v>
      </c>
      <c r="U1069" t="s">
        <v>1697</v>
      </c>
      <c r="W1069" t="s">
        <v>1702</v>
      </c>
      <c r="X1069">
        <v>5</v>
      </c>
      <c r="AA1069" s="43">
        <v>307.5</v>
      </c>
      <c r="AC1069" s="43">
        <v>307.5</v>
      </c>
      <c r="AF1069" s="37">
        <f t="shared" si="33"/>
        <v>45679</v>
      </c>
      <c r="AG1069" s="37">
        <f t="shared" si="34"/>
        <v>46885.611570247936</v>
      </c>
      <c r="AH1069" t="s">
        <v>1705</v>
      </c>
      <c r="AN1069" s="43">
        <v>307.5</v>
      </c>
    </row>
    <row r="1070" spans="2:40">
      <c r="B1070" t="s">
        <v>1408</v>
      </c>
      <c r="C1070" t="s">
        <v>121</v>
      </c>
      <c r="D1070" t="s">
        <v>167</v>
      </c>
      <c r="E1070" t="s">
        <v>83</v>
      </c>
      <c r="F1070" s="37">
        <v>45343</v>
      </c>
      <c r="G1070">
        <v>10</v>
      </c>
      <c r="H1070" t="s">
        <v>174</v>
      </c>
      <c r="I1070" s="37">
        <v>45413</v>
      </c>
      <c r="J1070" t="s">
        <v>165</v>
      </c>
      <c r="K1070" t="s">
        <v>166</v>
      </c>
      <c r="L1070" t="s">
        <v>175</v>
      </c>
      <c r="M1070" t="s">
        <v>1408</v>
      </c>
      <c r="O1070" t="s">
        <v>1408</v>
      </c>
      <c r="Q1070" t="s">
        <v>1659</v>
      </c>
      <c r="U1070" t="s">
        <v>1697</v>
      </c>
      <c r="W1070" t="s">
        <v>1702</v>
      </c>
      <c r="X1070">
        <v>5</v>
      </c>
      <c r="AA1070" s="43">
        <v>307.5</v>
      </c>
      <c r="AC1070" s="43">
        <v>307.5</v>
      </c>
      <c r="AF1070" s="37">
        <f t="shared" si="33"/>
        <v>45672</v>
      </c>
      <c r="AG1070" s="37">
        <f t="shared" si="34"/>
        <v>46878.611570247936</v>
      </c>
      <c r="AH1070" t="s">
        <v>1705</v>
      </c>
      <c r="AN1070" s="43">
        <v>307.5</v>
      </c>
    </row>
    <row r="1071" spans="2:40">
      <c r="B1071" t="s">
        <v>1409</v>
      </c>
      <c r="C1071" t="s">
        <v>121</v>
      </c>
      <c r="D1071" t="s">
        <v>167</v>
      </c>
      <c r="E1071" t="s">
        <v>83</v>
      </c>
      <c r="F1071" s="37">
        <v>45343</v>
      </c>
      <c r="G1071">
        <v>10</v>
      </c>
      <c r="H1071" t="s">
        <v>174</v>
      </c>
      <c r="I1071" s="37">
        <v>45413</v>
      </c>
      <c r="J1071" t="s">
        <v>165</v>
      </c>
      <c r="K1071" t="s">
        <v>166</v>
      </c>
      <c r="L1071" t="s">
        <v>175</v>
      </c>
      <c r="M1071" t="s">
        <v>1409</v>
      </c>
      <c r="O1071" t="s">
        <v>1409</v>
      </c>
      <c r="Q1071" t="s">
        <v>1659</v>
      </c>
      <c r="U1071" t="s">
        <v>1697</v>
      </c>
      <c r="W1071" t="s">
        <v>1702</v>
      </c>
      <c r="X1071">
        <v>5</v>
      </c>
      <c r="AA1071" s="43">
        <v>307.5</v>
      </c>
      <c r="AC1071" s="43">
        <v>307.5</v>
      </c>
      <c r="AF1071" s="37">
        <f t="shared" si="33"/>
        <v>45672</v>
      </c>
      <c r="AG1071" s="37">
        <f t="shared" si="34"/>
        <v>46878.611570247936</v>
      </c>
      <c r="AH1071" t="s">
        <v>1705</v>
      </c>
      <c r="AN1071" s="43">
        <v>307.5</v>
      </c>
    </row>
    <row r="1072" spans="2:40">
      <c r="B1072" t="s">
        <v>1410</v>
      </c>
      <c r="C1072" t="s">
        <v>121</v>
      </c>
      <c r="D1072" t="s">
        <v>167</v>
      </c>
      <c r="E1072" t="s">
        <v>83</v>
      </c>
      <c r="F1072" s="37">
        <v>45343</v>
      </c>
      <c r="G1072">
        <v>10</v>
      </c>
      <c r="H1072" t="s">
        <v>174</v>
      </c>
      <c r="I1072" s="37">
        <v>45413</v>
      </c>
      <c r="J1072" t="s">
        <v>165</v>
      </c>
      <c r="K1072" t="s">
        <v>166</v>
      </c>
      <c r="L1072" t="s">
        <v>175</v>
      </c>
      <c r="M1072" t="s">
        <v>1410</v>
      </c>
      <c r="O1072" t="s">
        <v>1410</v>
      </c>
      <c r="Q1072" t="s">
        <v>1659</v>
      </c>
      <c r="U1072" t="s">
        <v>1697</v>
      </c>
      <c r="W1072" t="s">
        <v>1702</v>
      </c>
      <c r="X1072">
        <v>5</v>
      </c>
      <c r="AA1072" s="43">
        <v>307.5</v>
      </c>
      <c r="AC1072" s="43">
        <v>307.5</v>
      </c>
      <c r="AF1072" s="37">
        <f t="shared" si="33"/>
        <v>45672</v>
      </c>
      <c r="AG1072" s="37">
        <f t="shared" si="34"/>
        <v>46878.611570247936</v>
      </c>
      <c r="AH1072" t="s">
        <v>1705</v>
      </c>
      <c r="AN1072" s="43">
        <v>307.5</v>
      </c>
    </row>
    <row r="1073" spans="2:40">
      <c r="B1073" t="s">
        <v>1411</v>
      </c>
      <c r="C1073" t="s">
        <v>121</v>
      </c>
      <c r="D1073" t="s">
        <v>167</v>
      </c>
      <c r="E1073" t="s">
        <v>83</v>
      </c>
      <c r="F1073" s="37">
        <v>45343</v>
      </c>
      <c r="G1073">
        <v>10</v>
      </c>
      <c r="H1073" t="s">
        <v>174</v>
      </c>
      <c r="I1073" s="37">
        <v>45413</v>
      </c>
      <c r="J1073" t="s">
        <v>165</v>
      </c>
      <c r="K1073" t="s">
        <v>166</v>
      </c>
      <c r="L1073" t="s">
        <v>175</v>
      </c>
      <c r="M1073" t="s">
        <v>1411</v>
      </c>
      <c r="O1073" t="s">
        <v>1411</v>
      </c>
      <c r="Q1073" t="s">
        <v>1658</v>
      </c>
      <c r="U1073" t="s">
        <v>1697</v>
      </c>
      <c r="W1073" t="s">
        <v>1702</v>
      </c>
      <c r="X1073">
        <v>5</v>
      </c>
      <c r="AA1073" s="43">
        <v>307.5</v>
      </c>
      <c r="AC1073" s="43">
        <v>307.5</v>
      </c>
      <c r="AF1073" s="37">
        <f t="shared" si="33"/>
        <v>45672</v>
      </c>
      <c r="AG1073" s="37">
        <f t="shared" si="34"/>
        <v>46878.611570247936</v>
      </c>
      <c r="AH1073" t="s">
        <v>1705</v>
      </c>
      <c r="AN1073" s="43">
        <v>307.5</v>
      </c>
    </row>
    <row r="1074" spans="2:40">
      <c r="B1074" t="s">
        <v>1412</v>
      </c>
      <c r="C1074" t="s">
        <v>121</v>
      </c>
      <c r="D1074" t="s">
        <v>167</v>
      </c>
      <c r="E1074" t="s">
        <v>83</v>
      </c>
      <c r="F1074" s="37">
        <v>45343</v>
      </c>
      <c r="G1074">
        <v>10</v>
      </c>
      <c r="H1074" t="s">
        <v>174</v>
      </c>
      <c r="I1074" s="37">
        <v>45413</v>
      </c>
      <c r="J1074" t="s">
        <v>165</v>
      </c>
      <c r="K1074" t="s">
        <v>166</v>
      </c>
      <c r="L1074" t="s">
        <v>175</v>
      </c>
      <c r="M1074" t="s">
        <v>1412</v>
      </c>
      <c r="O1074" t="s">
        <v>1412</v>
      </c>
      <c r="Q1074" t="s">
        <v>1659</v>
      </c>
      <c r="U1074" t="s">
        <v>1697</v>
      </c>
      <c r="W1074" t="s">
        <v>1702</v>
      </c>
      <c r="X1074">
        <v>5</v>
      </c>
      <c r="AA1074" s="43">
        <v>307.5</v>
      </c>
      <c r="AC1074" s="43">
        <v>307.5</v>
      </c>
      <c r="AF1074" s="37">
        <f t="shared" si="33"/>
        <v>45672</v>
      </c>
      <c r="AG1074" s="37">
        <f t="shared" si="34"/>
        <v>46878.611570247936</v>
      </c>
      <c r="AH1074" t="s">
        <v>1705</v>
      </c>
      <c r="AN1074" s="43">
        <v>307.5</v>
      </c>
    </row>
    <row r="1075" spans="2:40">
      <c r="B1075" t="s">
        <v>1413</v>
      </c>
      <c r="C1075" t="s">
        <v>121</v>
      </c>
      <c r="D1075" t="s">
        <v>167</v>
      </c>
      <c r="E1075" t="s">
        <v>83</v>
      </c>
      <c r="F1075" s="37">
        <v>45343</v>
      </c>
      <c r="G1075">
        <v>10</v>
      </c>
      <c r="H1075" t="s">
        <v>174</v>
      </c>
      <c r="I1075" s="37">
        <v>45413</v>
      </c>
      <c r="J1075" t="s">
        <v>165</v>
      </c>
      <c r="K1075" t="s">
        <v>166</v>
      </c>
      <c r="L1075" t="s">
        <v>175</v>
      </c>
      <c r="M1075" t="s">
        <v>1413</v>
      </c>
      <c r="O1075" t="s">
        <v>1413</v>
      </c>
      <c r="Q1075" t="s">
        <v>1658</v>
      </c>
      <c r="U1075" t="s">
        <v>1697</v>
      </c>
      <c r="W1075" t="s">
        <v>1702</v>
      </c>
      <c r="X1075">
        <v>5</v>
      </c>
      <c r="AA1075" s="43">
        <v>307.5</v>
      </c>
      <c r="AC1075" s="43">
        <v>307.5</v>
      </c>
      <c r="AF1075" s="37">
        <f t="shared" si="33"/>
        <v>45672</v>
      </c>
      <c r="AG1075" s="37">
        <f t="shared" si="34"/>
        <v>46878.611570247936</v>
      </c>
      <c r="AH1075" t="s">
        <v>1705</v>
      </c>
      <c r="AN1075" s="43">
        <v>307.5</v>
      </c>
    </row>
    <row r="1076" spans="2:40">
      <c r="B1076" t="s">
        <v>1414</v>
      </c>
      <c r="C1076" t="s">
        <v>121</v>
      </c>
      <c r="D1076" t="s">
        <v>167</v>
      </c>
      <c r="E1076" t="s">
        <v>83</v>
      </c>
      <c r="F1076" s="37">
        <v>45336</v>
      </c>
      <c r="G1076">
        <v>10</v>
      </c>
      <c r="H1076" t="s">
        <v>174</v>
      </c>
      <c r="I1076" s="37">
        <v>45406</v>
      </c>
      <c r="J1076" t="s">
        <v>165</v>
      </c>
      <c r="K1076" t="s">
        <v>166</v>
      </c>
      <c r="L1076" t="s">
        <v>175</v>
      </c>
      <c r="M1076" t="s">
        <v>1414</v>
      </c>
      <c r="O1076" t="s">
        <v>1414</v>
      </c>
      <c r="Q1076" t="s">
        <v>1652</v>
      </c>
      <c r="U1076" t="s">
        <v>1698</v>
      </c>
      <c r="W1076" t="s">
        <v>1703</v>
      </c>
      <c r="X1076">
        <v>5</v>
      </c>
      <c r="AA1076" s="43">
        <v>307.5</v>
      </c>
      <c r="AC1076" s="43">
        <v>307.5</v>
      </c>
      <c r="AF1076" s="37">
        <f t="shared" si="33"/>
        <v>45665</v>
      </c>
      <c r="AG1076" s="37">
        <f t="shared" si="34"/>
        <v>46871.611570247936</v>
      </c>
      <c r="AH1076" t="s">
        <v>1705</v>
      </c>
      <c r="AN1076" s="43">
        <v>307.5</v>
      </c>
    </row>
    <row r="1077" spans="2:40">
      <c r="B1077" t="s">
        <v>1415</v>
      </c>
      <c r="C1077" t="s">
        <v>121</v>
      </c>
      <c r="D1077" t="s">
        <v>167</v>
      </c>
      <c r="E1077" t="s">
        <v>83</v>
      </c>
      <c r="F1077" s="37">
        <v>45336</v>
      </c>
      <c r="G1077">
        <v>10</v>
      </c>
      <c r="H1077" t="s">
        <v>174</v>
      </c>
      <c r="I1077" s="37">
        <v>45406</v>
      </c>
      <c r="J1077" t="s">
        <v>165</v>
      </c>
      <c r="K1077" t="s">
        <v>166</v>
      </c>
      <c r="L1077" t="s">
        <v>175</v>
      </c>
      <c r="M1077" t="s">
        <v>1415</v>
      </c>
      <c r="O1077" t="s">
        <v>1415</v>
      </c>
      <c r="Q1077" t="s">
        <v>1652</v>
      </c>
      <c r="U1077" t="s">
        <v>1697</v>
      </c>
      <c r="W1077" t="s">
        <v>1702</v>
      </c>
      <c r="X1077">
        <v>5</v>
      </c>
      <c r="AA1077" s="43">
        <v>307.5</v>
      </c>
      <c r="AC1077" s="43">
        <v>307.5</v>
      </c>
      <c r="AF1077" s="37">
        <f t="shared" si="33"/>
        <v>45665</v>
      </c>
      <c r="AG1077" s="37">
        <f t="shared" si="34"/>
        <v>46871.611570247936</v>
      </c>
      <c r="AH1077" t="s">
        <v>1705</v>
      </c>
      <c r="AN1077" s="43">
        <v>307.5</v>
      </c>
    </row>
    <row r="1078" spans="2:40">
      <c r="B1078" t="s">
        <v>1416</v>
      </c>
      <c r="C1078" t="s">
        <v>121</v>
      </c>
      <c r="D1078" t="s">
        <v>167</v>
      </c>
      <c r="E1078" t="s">
        <v>83</v>
      </c>
      <c r="F1078" s="37">
        <v>45336</v>
      </c>
      <c r="G1078">
        <v>10</v>
      </c>
      <c r="H1078" t="s">
        <v>174</v>
      </c>
      <c r="I1078" s="37">
        <v>45406</v>
      </c>
      <c r="J1078" t="s">
        <v>165</v>
      </c>
      <c r="K1078" t="s">
        <v>166</v>
      </c>
      <c r="L1078" t="s">
        <v>175</v>
      </c>
      <c r="M1078" t="s">
        <v>1416</v>
      </c>
      <c r="O1078" t="s">
        <v>1416</v>
      </c>
      <c r="Q1078" t="s">
        <v>1652</v>
      </c>
      <c r="U1078" t="s">
        <v>1698</v>
      </c>
      <c r="W1078" t="s">
        <v>1703</v>
      </c>
      <c r="X1078">
        <v>5</v>
      </c>
      <c r="AA1078" s="43">
        <v>307.5</v>
      </c>
      <c r="AC1078" s="43">
        <v>307.5</v>
      </c>
      <c r="AF1078" s="37">
        <f t="shared" si="33"/>
        <v>45665</v>
      </c>
      <c r="AG1078" s="37">
        <f t="shared" si="34"/>
        <v>46871.611570247936</v>
      </c>
      <c r="AH1078" t="s">
        <v>169</v>
      </c>
      <c r="AN1078" s="43">
        <v>307.5</v>
      </c>
    </row>
    <row r="1079" spans="2:40">
      <c r="B1079" t="s">
        <v>1417</v>
      </c>
      <c r="C1079" t="s">
        <v>121</v>
      </c>
      <c r="D1079" t="s">
        <v>167</v>
      </c>
      <c r="E1079" t="s">
        <v>83</v>
      </c>
      <c r="F1079" s="37">
        <v>45336</v>
      </c>
      <c r="G1079">
        <v>10</v>
      </c>
      <c r="H1079" t="s">
        <v>174</v>
      </c>
      <c r="I1079" s="37">
        <v>45406</v>
      </c>
      <c r="J1079" t="s">
        <v>165</v>
      </c>
      <c r="K1079" t="s">
        <v>166</v>
      </c>
      <c r="L1079" t="s">
        <v>175</v>
      </c>
      <c r="M1079" t="s">
        <v>1417</v>
      </c>
      <c r="O1079" t="s">
        <v>1417</v>
      </c>
      <c r="Q1079" t="s">
        <v>1652</v>
      </c>
      <c r="U1079" t="s">
        <v>1697</v>
      </c>
      <c r="W1079" t="s">
        <v>1702</v>
      </c>
      <c r="X1079">
        <v>5</v>
      </c>
      <c r="AA1079" s="43">
        <v>307.5</v>
      </c>
      <c r="AC1079" s="43">
        <v>307.5</v>
      </c>
      <c r="AF1079" s="37">
        <f t="shared" si="33"/>
        <v>45665</v>
      </c>
      <c r="AG1079" s="37">
        <f t="shared" si="34"/>
        <v>46871.611570247936</v>
      </c>
      <c r="AH1079" t="s">
        <v>1705</v>
      </c>
      <c r="AN1079" s="43">
        <v>307.5</v>
      </c>
    </row>
    <row r="1080" spans="2:40">
      <c r="B1080" t="s">
        <v>1418</v>
      </c>
      <c r="C1080" t="s">
        <v>121</v>
      </c>
      <c r="D1080" t="s">
        <v>167</v>
      </c>
      <c r="E1080" t="s">
        <v>83</v>
      </c>
      <c r="F1080" s="37">
        <v>45336</v>
      </c>
      <c r="G1080">
        <v>10</v>
      </c>
      <c r="H1080" t="s">
        <v>174</v>
      </c>
      <c r="I1080" s="37">
        <v>45406</v>
      </c>
      <c r="J1080" t="s">
        <v>165</v>
      </c>
      <c r="K1080" t="s">
        <v>166</v>
      </c>
      <c r="L1080" t="s">
        <v>175</v>
      </c>
      <c r="M1080" t="s">
        <v>1418</v>
      </c>
      <c r="O1080" t="s">
        <v>1418</v>
      </c>
      <c r="Q1080" t="s">
        <v>1652</v>
      </c>
      <c r="U1080" t="s">
        <v>1698</v>
      </c>
      <c r="W1080" t="s">
        <v>1703</v>
      </c>
      <c r="X1080">
        <v>5</v>
      </c>
      <c r="AA1080" s="43">
        <v>307.5</v>
      </c>
      <c r="AC1080" s="43">
        <v>307.5</v>
      </c>
      <c r="AF1080" s="37">
        <f t="shared" si="33"/>
        <v>45665</v>
      </c>
      <c r="AG1080" s="37">
        <f t="shared" si="34"/>
        <v>46871.611570247936</v>
      </c>
      <c r="AH1080" t="s">
        <v>169</v>
      </c>
      <c r="AN1080" s="43">
        <v>307.5</v>
      </c>
    </row>
    <row r="1081" spans="2:40">
      <c r="B1081" t="s">
        <v>1419</v>
      </c>
      <c r="C1081" t="s">
        <v>121</v>
      </c>
      <c r="D1081" t="s">
        <v>167</v>
      </c>
      <c r="E1081" t="s">
        <v>83</v>
      </c>
      <c r="F1081" s="37">
        <v>45336</v>
      </c>
      <c r="G1081">
        <v>10</v>
      </c>
      <c r="H1081" t="s">
        <v>174</v>
      </c>
      <c r="I1081" s="37">
        <v>45406</v>
      </c>
      <c r="J1081" t="s">
        <v>165</v>
      </c>
      <c r="K1081" t="s">
        <v>166</v>
      </c>
      <c r="L1081" t="s">
        <v>175</v>
      </c>
      <c r="M1081" t="s">
        <v>1419</v>
      </c>
      <c r="O1081" t="s">
        <v>1419</v>
      </c>
      <c r="Q1081" t="s">
        <v>1652</v>
      </c>
      <c r="U1081" t="s">
        <v>1697</v>
      </c>
      <c r="W1081" t="s">
        <v>1702</v>
      </c>
      <c r="X1081">
        <v>5</v>
      </c>
      <c r="AA1081" s="43">
        <v>307.5</v>
      </c>
      <c r="AC1081" s="43">
        <v>307.5</v>
      </c>
      <c r="AF1081" s="37">
        <f t="shared" si="33"/>
        <v>45665</v>
      </c>
      <c r="AG1081" s="37">
        <f t="shared" si="34"/>
        <v>46871.611570247936</v>
      </c>
      <c r="AH1081" t="s">
        <v>1705</v>
      </c>
      <c r="AN1081" s="43">
        <v>307.5</v>
      </c>
    </row>
    <row r="1082" spans="2:40">
      <c r="B1082" t="s">
        <v>1420</v>
      </c>
      <c r="C1082" t="s">
        <v>121</v>
      </c>
      <c r="D1082" t="s">
        <v>167</v>
      </c>
      <c r="E1082" t="s">
        <v>83</v>
      </c>
      <c r="F1082" s="37">
        <v>45329</v>
      </c>
      <c r="G1082">
        <v>10</v>
      </c>
      <c r="H1082" t="s">
        <v>174</v>
      </c>
      <c r="I1082" s="37">
        <v>45399</v>
      </c>
      <c r="J1082" t="s">
        <v>165</v>
      </c>
      <c r="K1082" t="s">
        <v>166</v>
      </c>
      <c r="L1082" t="s">
        <v>175</v>
      </c>
      <c r="M1082" t="s">
        <v>1420</v>
      </c>
      <c r="O1082" t="s">
        <v>1420</v>
      </c>
      <c r="Q1082" t="s">
        <v>1643</v>
      </c>
      <c r="U1082" t="s">
        <v>1698</v>
      </c>
      <c r="W1082" t="s">
        <v>1703</v>
      </c>
      <c r="X1082">
        <v>5</v>
      </c>
      <c r="AA1082" s="43">
        <v>307.5</v>
      </c>
      <c r="AC1082" s="43">
        <v>307.5</v>
      </c>
      <c r="AF1082" s="37">
        <f t="shared" si="33"/>
        <v>45658</v>
      </c>
      <c r="AG1082" s="37">
        <f t="shared" si="34"/>
        <v>46864.611570247936</v>
      </c>
      <c r="AH1082" t="s">
        <v>169</v>
      </c>
      <c r="AN1082" s="43">
        <v>307.5</v>
      </c>
    </row>
    <row r="1083" spans="2:40">
      <c r="B1083" t="s">
        <v>1421</v>
      </c>
      <c r="C1083" t="s">
        <v>121</v>
      </c>
      <c r="D1083" t="s">
        <v>167</v>
      </c>
      <c r="E1083" t="s">
        <v>83</v>
      </c>
      <c r="F1083" s="37">
        <v>45329</v>
      </c>
      <c r="G1083">
        <v>10</v>
      </c>
      <c r="H1083" t="s">
        <v>174</v>
      </c>
      <c r="I1083" s="37">
        <v>45399</v>
      </c>
      <c r="J1083" t="s">
        <v>165</v>
      </c>
      <c r="K1083" t="s">
        <v>166</v>
      </c>
      <c r="L1083" t="s">
        <v>175</v>
      </c>
      <c r="M1083" t="s">
        <v>1421</v>
      </c>
      <c r="O1083" t="s">
        <v>1421</v>
      </c>
      <c r="Q1083" t="s">
        <v>1643</v>
      </c>
      <c r="U1083" t="s">
        <v>1698</v>
      </c>
      <c r="W1083" t="s">
        <v>1703</v>
      </c>
      <c r="X1083">
        <v>5</v>
      </c>
      <c r="AA1083" s="43">
        <v>307.5</v>
      </c>
      <c r="AC1083" s="43">
        <v>307.5</v>
      </c>
      <c r="AF1083" s="37">
        <f t="shared" si="33"/>
        <v>45658</v>
      </c>
      <c r="AG1083" s="37">
        <f t="shared" si="34"/>
        <v>46864.611570247936</v>
      </c>
      <c r="AH1083" t="s">
        <v>169</v>
      </c>
      <c r="AN1083" s="43">
        <v>307.5</v>
      </c>
    </row>
    <row r="1084" spans="2:40">
      <c r="B1084" t="s">
        <v>1422</v>
      </c>
      <c r="C1084" t="s">
        <v>121</v>
      </c>
      <c r="D1084" t="s">
        <v>167</v>
      </c>
      <c r="E1084" t="s">
        <v>83</v>
      </c>
      <c r="F1084" s="37">
        <v>45329</v>
      </c>
      <c r="G1084">
        <v>10</v>
      </c>
      <c r="H1084" t="s">
        <v>174</v>
      </c>
      <c r="I1084" s="37">
        <v>45399</v>
      </c>
      <c r="J1084" t="s">
        <v>165</v>
      </c>
      <c r="K1084" t="s">
        <v>166</v>
      </c>
      <c r="L1084" t="s">
        <v>175</v>
      </c>
      <c r="M1084" t="s">
        <v>1422</v>
      </c>
      <c r="O1084" t="s">
        <v>1422</v>
      </c>
      <c r="Q1084" t="s">
        <v>1643</v>
      </c>
      <c r="U1084" t="s">
        <v>1697</v>
      </c>
      <c r="W1084" t="s">
        <v>1702</v>
      </c>
      <c r="X1084">
        <v>5</v>
      </c>
      <c r="AA1084" s="43">
        <v>307.5</v>
      </c>
      <c r="AC1084" s="43">
        <v>307.5</v>
      </c>
      <c r="AF1084" s="37">
        <f t="shared" si="33"/>
        <v>45658</v>
      </c>
      <c r="AG1084" s="37">
        <f t="shared" si="34"/>
        <v>46864.611570247936</v>
      </c>
      <c r="AH1084" t="s">
        <v>1705</v>
      </c>
      <c r="AN1084" s="43">
        <v>307.5</v>
      </c>
    </row>
    <row r="1085" spans="2:40">
      <c r="B1085" t="s">
        <v>1423</v>
      </c>
      <c r="C1085" t="s">
        <v>121</v>
      </c>
      <c r="D1085" t="s">
        <v>167</v>
      </c>
      <c r="E1085" t="s">
        <v>83</v>
      </c>
      <c r="F1085" s="37">
        <v>45329</v>
      </c>
      <c r="G1085">
        <v>10</v>
      </c>
      <c r="H1085" t="s">
        <v>174</v>
      </c>
      <c r="I1085" s="37">
        <v>45399</v>
      </c>
      <c r="J1085" t="s">
        <v>165</v>
      </c>
      <c r="K1085" t="s">
        <v>166</v>
      </c>
      <c r="L1085" t="s">
        <v>175</v>
      </c>
      <c r="M1085" t="s">
        <v>1423</v>
      </c>
      <c r="O1085" t="s">
        <v>1423</v>
      </c>
      <c r="Q1085" t="s">
        <v>1643</v>
      </c>
      <c r="U1085" t="s">
        <v>1697</v>
      </c>
      <c r="W1085" t="s">
        <v>1702</v>
      </c>
      <c r="X1085">
        <v>5</v>
      </c>
      <c r="AA1085" s="43">
        <v>307.5</v>
      </c>
      <c r="AC1085" s="43">
        <v>307.5</v>
      </c>
      <c r="AF1085" s="37">
        <f t="shared" si="33"/>
        <v>45658</v>
      </c>
      <c r="AG1085" s="37">
        <f t="shared" si="34"/>
        <v>46864.611570247936</v>
      </c>
      <c r="AH1085" t="s">
        <v>1705</v>
      </c>
      <c r="AN1085" s="43">
        <v>307.5</v>
      </c>
    </row>
    <row r="1086" spans="2:40">
      <c r="B1086" t="s">
        <v>1424</v>
      </c>
      <c r="C1086" t="s">
        <v>121</v>
      </c>
      <c r="D1086" t="s">
        <v>167</v>
      </c>
      <c r="E1086" t="s">
        <v>83</v>
      </c>
      <c r="F1086" s="37">
        <v>45322</v>
      </c>
      <c r="G1086">
        <v>10</v>
      </c>
      <c r="H1086" t="s">
        <v>174</v>
      </c>
      <c r="I1086" s="37">
        <v>45392</v>
      </c>
      <c r="J1086" t="s">
        <v>165</v>
      </c>
      <c r="K1086" t="s">
        <v>166</v>
      </c>
      <c r="L1086" t="s">
        <v>175</v>
      </c>
      <c r="M1086" t="s">
        <v>1424</v>
      </c>
      <c r="O1086" t="s">
        <v>1424</v>
      </c>
      <c r="Q1086" t="s">
        <v>1660</v>
      </c>
      <c r="U1086" t="s">
        <v>1698</v>
      </c>
      <c r="W1086" t="s">
        <v>1703</v>
      </c>
      <c r="X1086">
        <v>5</v>
      </c>
      <c r="AA1086" s="43">
        <v>307.5</v>
      </c>
      <c r="AC1086" s="43">
        <v>307.5</v>
      </c>
      <c r="AF1086" s="37">
        <f t="shared" si="33"/>
        <v>45651</v>
      </c>
      <c r="AG1086" s="37">
        <f t="shared" si="34"/>
        <v>46857.611570247936</v>
      </c>
      <c r="AH1086" t="s">
        <v>169</v>
      </c>
      <c r="AN1086" s="43">
        <v>307.5</v>
      </c>
    </row>
    <row r="1087" spans="2:40">
      <c r="B1087" t="s">
        <v>1425</v>
      </c>
      <c r="C1087" t="s">
        <v>121</v>
      </c>
      <c r="D1087" t="s">
        <v>167</v>
      </c>
      <c r="E1087" t="s">
        <v>83</v>
      </c>
      <c r="F1087" s="37">
        <v>45322</v>
      </c>
      <c r="G1087">
        <v>10</v>
      </c>
      <c r="H1087" t="s">
        <v>174</v>
      </c>
      <c r="I1087" s="37">
        <v>45392</v>
      </c>
      <c r="J1087" t="s">
        <v>165</v>
      </c>
      <c r="K1087" t="s">
        <v>166</v>
      </c>
      <c r="L1087" t="s">
        <v>175</v>
      </c>
      <c r="M1087" t="s">
        <v>1425</v>
      </c>
      <c r="O1087" t="s">
        <v>1425</v>
      </c>
      <c r="Q1087" t="s">
        <v>1660</v>
      </c>
      <c r="U1087" t="s">
        <v>1697</v>
      </c>
      <c r="W1087" t="s">
        <v>1702</v>
      </c>
      <c r="X1087">
        <v>5</v>
      </c>
      <c r="AA1087" s="43">
        <v>307.5</v>
      </c>
      <c r="AC1087" s="43">
        <v>307.5</v>
      </c>
      <c r="AF1087" s="37">
        <f t="shared" si="33"/>
        <v>45651</v>
      </c>
      <c r="AG1087" s="37">
        <f t="shared" si="34"/>
        <v>46857.611570247936</v>
      </c>
      <c r="AH1087" t="s">
        <v>1704</v>
      </c>
      <c r="AN1087" s="43">
        <v>307.5</v>
      </c>
    </row>
    <row r="1088" spans="2:40">
      <c r="B1088" t="s">
        <v>1426</v>
      </c>
      <c r="C1088" t="s">
        <v>121</v>
      </c>
      <c r="D1088" t="s">
        <v>167</v>
      </c>
      <c r="E1088" t="s">
        <v>83</v>
      </c>
      <c r="F1088" s="37">
        <v>45322</v>
      </c>
      <c r="G1088">
        <v>10</v>
      </c>
      <c r="H1088" t="s">
        <v>174</v>
      </c>
      <c r="I1088" s="37">
        <v>45392</v>
      </c>
      <c r="J1088" t="s">
        <v>165</v>
      </c>
      <c r="K1088" t="s">
        <v>166</v>
      </c>
      <c r="L1088" t="s">
        <v>175</v>
      </c>
      <c r="M1088" t="s">
        <v>1426</v>
      </c>
      <c r="O1088" t="s">
        <v>1426</v>
      </c>
      <c r="Q1088" t="s">
        <v>1660</v>
      </c>
      <c r="U1088" t="s">
        <v>1697</v>
      </c>
      <c r="W1088" t="s">
        <v>1702</v>
      </c>
      <c r="X1088">
        <v>5</v>
      </c>
      <c r="AA1088" s="43">
        <v>307.5</v>
      </c>
      <c r="AC1088" s="43">
        <v>307.5</v>
      </c>
      <c r="AF1088" s="37">
        <f t="shared" si="33"/>
        <v>45651</v>
      </c>
      <c r="AG1088" s="37">
        <f t="shared" si="34"/>
        <v>46857.611570247936</v>
      </c>
      <c r="AH1088" t="s">
        <v>1704</v>
      </c>
      <c r="AN1088" s="43">
        <v>307.5</v>
      </c>
    </row>
    <row r="1089" spans="2:40">
      <c r="B1089" t="s">
        <v>1427</v>
      </c>
      <c r="C1089" t="s">
        <v>121</v>
      </c>
      <c r="D1089" t="s">
        <v>167</v>
      </c>
      <c r="E1089" t="s">
        <v>83</v>
      </c>
      <c r="F1089" s="37">
        <v>45322</v>
      </c>
      <c r="G1089">
        <v>10</v>
      </c>
      <c r="H1089" t="s">
        <v>174</v>
      </c>
      <c r="I1089" s="37">
        <v>45392</v>
      </c>
      <c r="J1089" t="s">
        <v>165</v>
      </c>
      <c r="K1089" t="s">
        <v>166</v>
      </c>
      <c r="L1089" t="s">
        <v>175</v>
      </c>
      <c r="M1089" t="s">
        <v>1427</v>
      </c>
      <c r="O1089" t="s">
        <v>1427</v>
      </c>
      <c r="Q1089" t="s">
        <v>1660</v>
      </c>
      <c r="U1089" t="s">
        <v>1698</v>
      </c>
      <c r="W1089" t="s">
        <v>1703</v>
      </c>
      <c r="X1089">
        <v>5</v>
      </c>
      <c r="AA1089" s="43">
        <v>307.5</v>
      </c>
      <c r="AC1089" s="43">
        <v>307.5</v>
      </c>
      <c r="AF1089" s="37">
        <f t="shared" si="33"/>
        <v>45651</v>
      </c>
      <c r="AG1089" s="37">
        <f t="shared" si="34"/>
        <v>46857.611570247936</v>
      </c>
      <c r="AH1089" t="s">
        <v>169</v>
      </c>
      <c r="AN1089" s="43">
        <v>307.5</v>
      </c>
    </row>
    <row r="1090" spans="2:40">
      <c r="B1090" t="s">
        <v>1428</v>
      </c>
      <c r="C1090" t="s">
        <v>121</v>
      </c>
      <c r="D1090" t="s">
        <v>167</v>
      </c>
      <c r="E1090" t="s">
        <v>83</v>
      </c>
      <c r="F1090" s="37">
        <v>45322</v>
      </c>
      <c r="G1090">
        <v>10</v>
      </c>
      <c r="H1090" t="s">
        <v>174</v>
      </c>
      <c r="I1090" s="37">
        <v>45392</v>
      </c>
      <c r="J1090" t="s">
        <v>165</v>
      </c>
      <c r="K1090" t="s">
        <v>166</v>
      </c>
      <c r="L1090" t="s">
        <v>175</v>
      </c>
      <c r="M1090" t="s">
        <v>1428</v>
      </c>
      <c r="O1090" t="s">
        <v>1428</v>
      </c>
      <c r="Q1090" t="s">
        <v>1660</v>
      </c>
      <c r="U1090" t="s">
        <v>1697</v>
      </c>
      <c r="W1090" t="s">
        <v>1702</v>
      </c>
      <c r="X1090">
        <v>5</v>
      </c>
      <c r="AA1090" s="43">
        <v>307.5</v>
      </c>
      <c r="AC1090" s="43">
        <v>307.5</v>
      </c>
      <c r="AF1090" s="37">
        <f t="shared" si="33"/>
        <v>45651</v>
      </c>
      <c r="AG1090" s="37">
        <f t="shared" si="34"/>
        <v>46857.611570247936</v>
      </c>
      <c r="AH1090" t="s">
        <v>1704</v>
      </c>
      <c r="AN1090" s="43">
        <v>307.5</v>
      </c>
    </row>
    <row r="1091" spans="2:40">
      <c r="B1091" t="s">
        <v>1429</v>
      </c>
      <c r="C1091" t="s">
        <v>121</v>
      </c>
      <c r="D1091" t="s">
        <v>167</v>
      </c>
      <c r="E1091" t="s">
        <v>83</v>
      </c>
      <c r="F1091" s="37">
        <v>45322</v>
      </c>
      <c r="G1091">
        <v>10</v>
      </c>
      <c r="H1091" t="s">
        <v>174</v>
      </c>
      <c r="I1091" s="37">
        <v>45392</v>
      </c>
      <c r="J1091" t="s">
        <v>165</v>
      </c>
      <c r="K1091" t="s">
        <v>166</v>
      </c>
      <c r="L1091" t="s">
        <v>175</v>
      </c>
      <c r="M1091" t="s">
        <v>1429</v>
      </c>
      <c r="O1091" t="s">
        <v>1429</v>
      </c>
      <c r="Q1091" t="s">
        <v>1660</v>
      </c>
      <c r="U1091" t="s">
        <v>1698</v>
      </c>
      <c r="W1091" t="s">
        <v>1703</v>
      </c>
      <c r="X1091">
        <v>5</v>
      </c>
      <c r="AA1091" s="43">
        <v>307.5</v>
      </c>
      <c r="AC1091" s="43">
        <v>307.5</v>
      </c>
      <c r="AF1091" s="37">
        <f t="shared" si="33"/>
        <v>45651</v>
      </c>
      <c r="AG1091" s="37">
        <f t="shared" si="34"/>
        <v>46857.611570247936</v>
      </c>
      <c r="AH1091" t="s">
        <v>169</v>
      </c>
      <c r="AN1091" s="43">
        <v>307.5</v>
      </c>
    </row>
    <row r="1092" spans="2:40">
      <c r="B1092" t="s">
        <v>1430</v>
      </c>
      <c r="C1092" t="s">
        <v>121</v>
      </c>
      <c r="D1092" t="s">
        <v>167</v>
      </c>
      <c r="E1092" t="s">
        <v>83</v>
      </c>
      <c r="F1092" s="37">
        <v>45322</v>
      </c>
      <c r="G1092">
        <v>10</v>
      </c>
      <c r="H1092" t="s">
        <v>174</v>
      </c>
      <c r="I1092" s="37">
        <v>45392</v>
      </c>
      <c r="J1092" t="s">
        <v>165</v>
      </c>
      <c r="K1092" t="s">
        <v>166</v>
      </c>
      <c r="L1092" t="s">
        <v>175</v>
      </c>
      <c r="M1092" t="s">
        <v>1430</v>
      </c>
      <c r="O1092" t="s">
        <v>1430</v>
      </c>
      <c r="Q1092" t="s">
        <v>1660</v>
      </c>
      <c r="U1092" t="s">
        <v>1698</v>
      </c>
      <c r="W1092" t="s">
        <v>1703</v>
      </c>
      <c r="X1092">
        <v>5</v>
      </c>
      <c r="AA1092" s="43">
        <v>307.5</v>
      </c>
      <c r="AC1092" s="43">
        <v>307.5</v>
      </c>
      <c r="AF1092" s="37">
        <f t="shared" si="33"/>
        <v>45651</v>
      </c>
      <c r="AG1092" s="37">
        <f t="shared" si="34"/>
        <v>46857.611570247936</v>
      </c>
      <c r="AH1092" t="s">
        <v>169</v>
      </c>
      <c r="AN1092" s="43">
        <v>307.5</v>
      </c>
    </row>
    <row r="1093" spans="2:40">
      <c r="B1093" t="s">
        <v>1431</v>
      </c>
      <c r="C1093" t="s">
        <v>121</v>
      </c>
      <c r="D1093" t="s">
        <v>167</v>
      </c>
      <c r="E1093" t="s">
        <v>83</v>
      </c>
      <c r="F1093" s="37">
        <v>45315</v>
      </c>
      <c r="G1093">
        <v>10</v>
      </c>
      <c r="H1093" t="s">
        <v>174</v>
      </c>
      <c r="I1093" s="37">
        <v>45385</v>
      </c>
      <c r="J1093" t="s">
        <v>165</v>
      </c>
      <c r="K1093" t="s">
        <v>166</v>
      </c>
      <c r="L1093" t="s">
        <v>175</v>
      </c>
      <c r="M1093" t="s">
        <v>1431</v>
      </c>
      <c r="O1093" t="s">
        <v>1431</v>
      </c>
      <c r="Q1093" t="s">
        <v>1643</v>
      </c>
      <c r="U1093" t="s">
        <v>1698</v>
      </c>
      <c r="W1093" t="s">
        <v>1703</v>
      </c>
      <c r="X1093">
        <v>5</v>
      </c>
      <c r="AA1093" s="43">
        <v>307.5</v>
      </c>
      <c r="AC1093" s="43">
        <v>307.5</v>
      </c>
      <c r="AF1093" s="37">
        <f t="shared" si="33"/>
        <v>45644</v>
      </c>
      <c r="AG1093" s="37">
        <f t="shared" si="34"/>
        <v>46850.611570247936</v>
      </c>
      <c r="AH1093" t="s">
        <v>169</v>
      </c>
      <c r="AN1093" s="43">
        <v>307.5</v>
      </c>
    </row>
    <row r="1094" spans="2:40">
      <c r="B1094" t="s">
        <v>1432</v>
      </c>
      <c r="C1094" t="s">
        <v>121</v>
      </c>
      <c r="D1094" t="s">
        <v>167</v>
      </c>
      <c r="E1094" t="s">
        <v>83</v>
      </c>
      <c r="F1094" s="37">
        <v>45315</v>
      </c>
      <c r="G1094">
        <v>10</v>
      </c>
      <c r="H1094" t="s">
        <v>174</v>
      </c>
      <c r="I1094" s="37">
        <v>45385</v>
      </c>
      <c r="J1094" t="s">
        <v>165</v>
      </c>
      <c r="K1094" t="s">
        <v>166</v>
      </c>
      <c r="L1094" t="s">
        <v>175</v>
      </c>
      <c r="M1094" t="s">
        <v>1432</v>
      </c>
      <c r="O1094" t="s">
        <v>1432</v>
      </c>
      <c r="Q1094" t="s">
        <v>1643</v>
      </c>
      <c r="U1094" t="s">
        <v>1698</v>
      </c>
      <c r="W1094" t="s">
        <v>1703</v>
      </c>
      <c r="X1094">
        <v>5</v>
      </c>
      <c r="AA1094" s="43">
        <v>307.5</v>
      </c>
      <c r="AC1094" s="43">
        <v>307.5</v>
      </c>
      <c r="AF1094" s="37">
        <f t="shared" si="33"/>
        <v>45644</v>
      </c>
      <c r="AG1094" s="37">
        <f t="shared" si="34"/>
        <v>46850.611570247936</v>
      </c>
      <c r="AH1094" t="s">
        <v>169</v>
      </c>
      <c r="AN1094" s="43">
        <v>307.5</v>
      </c>
    </row>
    <row r="1095" spans="2:40">
      <c r="B1095" t="s">
        <v>1433</v>
      </c>
      <c r="C1095" t="s">
        <v>121</v>
      </c>
      <c r="D1095" t="s">
        <v>167</v>
      </c>
      <c r="E1095" t="s">
        <v>83</v>
      </c>
      <c r="F1095" s="37">
        <v>45315</v>
      </c>
      <c r="G1095">
        <v>10</v>
      </c>
      <c r="H1095" t="s">
        <v>174</v>
      </c>
      <c r="I1095" s="37">
        <v>45385</v>
      </c>
      <c r="J1095" t="s">
        <v>165</v>
      </c>
      <c r="K1095" t="s">
        <v>166</v>
      </c>
      <c r="L1095" t="s">
        <v>175</v>
      </c>
      <c r="M1095" t="s">
        <v>1433</v>
      </c>
      <c r="O1095" t="s">
        <v>1433</v>
      </c>
      <c r="Q1095" t="s">
        <v>1661</v>
      </c>
      <c r="U1095" t="s">
        <v>1697</v>
      </c>
      <c r="W1095" t="s">
        <v>1702</v>
      </c>
      <c r="X1095">
        <v>5</v>
      </c>
      <c r="AA1095" s="43">
        <v>307.5</v>
      </c>
      <c r="AC1095" s="43">
        <v>307.5</v>
      </c>
      <c r="AF1095" s="37">
        <f t="shared" ref="AF1095:AF1158" si="35">F1095+(47*7)</f>
        <v>45644</v>
      </c>
      <c r="AG1095" s="37">
        <f t="shared" ref="AG1095:AG1158" si="36">+AF1095+(365*8)/2.42</f>
        <v>46850.611570247936</v>
      </c>
      <c r="AH1095" t="s">
        <v>1705</v>
      </c>
      <c r="AN1095" s="43">
        <v>307.5</v>
      </c>
    </row>
    <row r="1096" spans="2:40">
      <c r="B1096" t="s">
        <v>1434</v>
      </c>
      <c r="C1096" t="s">
        <v>121</v>
      </c>
      <c r="D1096" t="s">
        <v>167</v>
      </c>
      <c r="E1096" t="s">
        <v>83</v>
      </c>
      <c r="F1096" s="37">
        <v>45315</v>
      </c>
      <c r="G1096">
        <v>10</v>
      </c>
      <c r="H1096" t="s">
        <v>174</v>
      </c>
      <c r="I1096" s="37">
        <v>45385</v>
      </c>
      <c r="J1096" t="s">
        <v>165</v>
      </c>
      <c r="K1096" t="s">
        <v>166</v>
      </c>
      <c r="L1096" t="s">
        <v>175</v>
      </c>
      <c r="M1096" t="s">
        <v>1434</v>
      </c>
      <c r="O1096" t="s">
        <v>1434</v>
      </c>
      <c r="Q1096" t="s">
        <v>1661</v>
      </c>
      <c r="U1096" t="s">
        <v>1698</v>
      </c>
      <c r="W1096" t="s">
        <v>1703</v>
      </c>
      <c r="X1096">
        <v>5</v>
      </c>
      <c r="AA1096" s="43">
        <v>307.5</v>
      </c>
      <c r="AC1096" s="43">
        <v>307.5</v>
      </c>
      <c r="AF1096" s="37">
        <f t="shared" si="35"/>
        <v>45644</v>
      </c>
      <c r="AG1096" s="37">
        <f t="shared" si="36"/>
        <v>46850.611570247936</v>
      </c>
      <c r="AH1096" t="s">
        <v>169</v>
      </c>
      <c r="AN1096" s="43">
        <v>307.5</v>
      </c>
    </row>
    <row r="1097" spans="2:40">
      <c r="B1097" t="s">
        <v>1435</v>
      </c>
      <c r="C1097" t="s">
        <v>121</v>
      </c>
      <c r="D1097" t="s">
        <v>167</v>
      </c>
      <c r="E1097" t="s">
        <v>83</v>
      </c>
      <c r="F1097" s="37">
        <v>45315</v>
      </c>
      <c r="G1097">
        <v>10</v>
      </c>
      <c r="H1097" t="s">
        <v>174</v>
      </c>
      <c r="I1097" s="37">
        <v>45385</v>
      </c>
      <c r="J1097" t="s">
        <v>165</v>
      </c>
      <c r="K1097" t="s">
        <v>166</v>
      </c>
      <c r="L1097" t="s">
        <v>175</v>
      </c>
      <c r="M1097" t="s">
        <v>1435</v>
      </c>
      <c r="O1097" t="s">
        <v>1435</v>
      </c>
      <c r="Q1097" t="s">
        <v>1661</v>
      </c>
      <c r="U1097" t="s">
        <v>1698</v>
      </c>
      <c r="W1097" t="s">
        <v>1703</v>
      </c>
      <c r="X1097">
        <v>5</v>
      </c>
      <c r="AA1097" s="43">
        <v>307.5</v>
      </c>
      <c r="AC1097" s="43">
        <v>307.5</v>
      </c>
      <c r="AF1097" s="37">
        <f t="shared" si="35"/>
        <v>45644</v>
      </c>
      <c r="AG1097" s="37">
        <f t="shared" si="36"/>
        <v>46850.611570247936</v>
      </c>
      <c r="AH1097" t="s">
        <v>169</v>
      </c>
      <c r="AN1097" s="43">
        <v>307.5</v>
      </c>
    </row>
    <row r="1098" spans="2:40">
      <c r="B1098" t="s">
        <v>1436</v>
      </c>
      <c r="C1098" t="s">
        <v>121</v>
      </c>
      <c r="D1098" t="s">
        <v>167</v>
      </c>
      <c r="E1098" t="s">
        <v>83</v>
      </c>
      <c r="F1098" s="37">
        <v>45308</v>
      </c>
      <c r="G1098">
        <v>10</v>
      </c>
      <c r="H1098" t="s">
        <v>174</v>
      </c>
      <c r="I1098" s="37">
        <v>45378</v>
      </c>
      <c r="J1098" t="s">
        <v>165</v>
      </c>
      <c r="K1098" t="s">
        <v>166</v>
      </c>
      <c r="L1098" t="s">
        <v>175</v>
      </c>
      <c r="M1098" t="s">
        <v>1436</v>
      </c>
      <c r="O1098" t="s">
        <v>1436</v>
      </c>
      <c r="Q1098" t="s">
        <v>1652</v>
      </c>
      <c r="U1098" t="s">
        <v>1698</v>
      </c>
      <c r="W1098" t="s">
        <v>1703</v>
      </c>
      <c r="X1098">
        <v>5</v>
      </c>
      <c r="AA1098" s="43">
        <v>307.5</v>
      </c>
      <c r="AC1098" s="43">
        <v>307.5</v>
      </c>
      <c r="AF1098" s="37">
        <f t="shared" si="35"/>
        <v>45637</v>
      </c>
      <c r="AG1098" s="37">
        <f t="shared" si="36"/>
        <v>46843.611570247936</v>
      </c>
      <c r="AH1098" t="s">
        <v>169</v>
      </c>
      <c r="AN1098" s="43">
        <v>307.5</v>
      </c>
    </row>
    <row r="1099" spans="2:40">
      <c r="B1099" t="s">
        <v>1437</v>
      </c>
      <c r="C1099" t="s">
        <v>121</v>
      </c>
      <c r="D1099" t="s">
        <v>167</v>
      </c>
      <c r="E1099" t="s">
        <v>83</v>
      </c>
      <c r="F1099" s="37">
        <v>45308</v>
      </c>
      <c r="G1099">
        <v>10</v>
      </c>
      <c r="H1099" t="s">
        <v>174</v>
      </c>
      <c r="I1099" s="37">
        <v>45378</v>
      </c>
      <c r="J1099" t="s">
        <v>165</v>
      </c>
      <c r="K1099" t="s">
        <v>166</v>
      </c>
      <c r="L1099" t="s">
        <v>175</v>
      </c>
      <c r="M1099" t="s">
        <v>1437</v>
      </c>
      <c r="O1099" t="s">
        <v>1437</v>
      </c>
      <c r="Q1099" t="s">
        <v>1652</v>
      </c>
      <c r="U1099" t="s">
        <v>1698</v>
      </c>
      <c r="W1099" t="s">
        <v>1703</v>
      </c>
      <c r="X1099">
        <v>5</v>
      </c>
      <c r="AA1099" s="43">
        <v>307.5</v>
      </c>
      <c r="AC1099" s="43">
        <v>307.5</v>
      </c>
      <c r="AF1099" s="37">
        <f t="shared" si="35"/>
        <v>45637</v>
      </c>
      <c r="AG1099" s="37">
        <f t="shared" si="36"/>
        <v>46843.611570247936</v>
      </c>
      <c r="AH1099" t="s">
        <v>169</v>
      </c>
      <c r="AN1099" s="43">
        <v>307.5</v>
      </c>
    </row>
    <row r="1100" spans="2:40">
      <c r="B1100" t="s">
        <v>1438</v>
      </c>
      <c r="C1100" t="s">
        <v>121</v>
      </c>
      <c r="D1100" t="s">
        <v>167</v>
      </c>
      <c r="E1100" t="s">
        <v>83</v>
      </c>
      <c r="F1100" s="37">
        <v>45308</v>
      </c>
      <c r="G1100">
        <v>10</v>
      </c>
      <c r="H1100" t="s">
        <v>174</v>
      </c>
      <c r="I1100" s="37">
        <v>45378</v>
      </c>
      <c r="J1100" t="s">
        <v>165</v>
      </c>
      <c r="K1100" t="s">
        <v>166</v>
      </c>
      <c r="L1100" t="s">
        <v>175</v>
      </c>
      <c r="M1100" t="s">
        <v>1438</v>
      </c>
      <c r="O1100" t="s">
        <v>1438</v>
      </c>
      <c r="Q1100" t="s">
        <v>1652</v>
      </c>
      <c r="U1100" t="s">
        <v>1698</v>
      </c>
      <c r="W1100" t="s">
        <v>1703</v>
      </c>
      <c r="X1100">
        <v>5</v>
      </c>
      <c r="AA1100" s="43">
        <v>307.5</v>
      </c>
      <c r="AC1100" s="43">
        <v>307.5</v>
      </c>
      <c r="AF1100" s="37">
        <f t="shared" si="35"/>
        <v>45637</v>
      </c>
      <c r="AG1100" s="37">
        <f t="shared" si="36"/>
        <v>46843.611570247936</v>
      </c>
      <c r="AH1100" t="s">
        <v>169</v>
      </c>
      <c r="AN1100" s="43">
        <v>307.5</v>
      </c>
    </row>
    <row r="1101" spans="2:40">
      <c r="B1101" t="s">
        <v>1439</v>
      </c>
      <c r="C1101" t="s">
        <v>121</v>
      </c>
      <c r="D1101" t="s">
        <v>167</v>
      </c>
      <c r="E1101" t="s">
        <v>83</v>
      </c>
      <c r="F1101" s="37">
        <v>45308</v>
      </c>
      <c r="G1101">
        <v>10</v>
      </c>
      <c r="H1101" t="s">
        <v>174</v>
      </c>
      <c r="I1101" s="37">
        <v>45378</v>
      </c>
      <c r="J1101" t="s">
        <v>165</v>
      </c>
      <c r="K1101" t="s">
        <v>166</v>
      </c>
      <c r="L1101" t="s">
        <v>175</v>
      </c>
      <c r="M1101" t="s">
        <v>1439</v>
      </c>
      <c r="O1101" t="s">
        <v>1439</v>
      </c>
      <c r="Q1101" t="s">
        <v>1652</v>
      </c>
      <c r="U1101" t="s">
        <v>1698</v>
      </c>
      <c r="W1101" t="s">
        <v>1703</v>
      </c>
      <c r="X1101">
        <v>5</v>
      </c>
      <c r="AA1101" s="43">
        <v>307.5</v>
      </c>
      <c r="AC1101" s="43">
        <v>307.5</v>
      </c>
      <c r="AF1101" s="37">
        <f t="shared" si="35"/>
        <v>45637</v>
      </c>
      <c r="AG1101" s="37">
        <f t="shared" si="36"/>
        <v>46843.611570247936</v>
      </c>
      <c r="AH1101" t="s">
        <v>169</v>
      </c>
      <c r="AN1101" s="43">
        <v>307.5</v>
      </c>
    </row>
    <row r="1102" spans="2:40">
      <c r="B1102" t="s">
        <v>1440</v>
      </c>
      <c r="C1102" t="s">
        <v>121</v>
      </c>
      <c r="D1102" t="s">
        <v>167</v>
      </c>
      <c r="E1102" t="s">
        <v>83</v>
      </c>
      <c r="F1102" s="37">
        <v>45308</v>
      </c>
      <c r="G1102">
        <v>10</v>
      </c>
      <c r="H1102" t="s">
        <v>174</v>
      </c>
      <c r="I1102" s="37">
        <v>45378</v>
      </c>
      <c r="J1102" t="s">
        <v>165</v>
      </c>
      <c r="K1102" t="s">
        <v>166</v>
      </c>
      <c r="L1102" t="s">
        <v>175</v>
      </c>
      <c r="M1102" t="s">
        <v>1440</v>
      </c>
      <c r="O1102" t="s">
        <v>1440</v>
      </c>
      <c r="Q1102" t="s">
        <v>1652</v>
      </c>
      <c r="U1102" t="s">
        <v>1698</v>
      </c>
      <c r="W1102" t="s">
        <v>1703</v>
      </c>
      <c r="X1102">
        <v>5</v>
      </c>
      <c r="AA1102" s="43">
        <v>307.5</v>
      </c>
      <c r="AC1102" s="43">
        <v>307.5</v>
      </c>
      <c r="AF1102" s="37">
        <f t="shared" si="35"/>
        <v>45637</v>
      </c>
      <c r="AG1102" s="37">
        <f t="shared" si="36"/>
        <v>46843.611570247936</v>
      </c>
      <c r="AH1102" t="s">
        <v>169</v>
      </c>
      <c r="AN1102" s="43">
        <v>307.5</v>
      </c>
    </row>
    <row r="1103" spans="2:40">
      <c r="B1103" t="s">
        <v>1441</v>
      </c>
      <c r="C1103" t="s">
        <v>121</v>
      </c>
      <c r="D1103" t="s">
        <v>167</v>
      </c>
      <c r="E1103" t="s">
        <v>83</v>
      </c>
      <c r="F1103" s="37">
        <v>45308</v>
      </c>
      <c r="G1103">
        <v>10</v>
      </c>
      <c r="H1103" t="s">
        <v>174</v>
      </c>
      <c r="I1103" s="37">
        <v>45378</v>
      </c>
      <c r="J1103" t="s">
        <v>165</v>
      </c>
      <c r="K1103" t="s">
        <v>166</v>
      </c>
      <c r="L1103" t="s">
        <v>175</v>
      </c>
      <c r="M1103" t="s">
        <v>1441</v>
      </c>
      <c r="O1103" t="s">
        <v>1441</v>
      </c>
      <c r="Q1103" t="s">
        <v>1662</v>
      </c>
      <c r="U1103" t="s">
        <v>1698</v>
      </c>
      <c r="W1103" t="s">
        <v>1703</v>
      </c>
      <c r="X1103">
        <v>5</v>
      </c>
      <c r="AA1103" s="43">
        <v>307.5</v>
      </c>
      <c r="AC1103" s="43">
        <v>307.5</v>
      </c>
      <c r="AF1103" s="37">
        <f t="shared" si="35"/>
        <v>45637</v>
      </c>
      <c r="AG1103" s="37">
        <f t="shared" si="36"/>
        <v>46843.611570247936</v>
      </c>
      <c r="AH1103" t="s">
        <v>169</v>
      </c>
      <c r="AN1103" s="43">
        <v>307.5</v>
      </c>
    </row>
    <row r="1104" spans="2:40">
      <c r="B1104" t="s">
        <v>1442</v>
      </c>
      <c r="C1104" t="s">
        <v>121</v>
      </c>
      <c r="D1104" t="s">
        <v>167</v>
      </c>
      <c r="E1104" t="s">
        <v>83</v>
      </c>
      <c r="F1104" s="37">
        <v>45308</v>
      </c>
      <c r="G1104">
        <v>10</v>
      </c>
      <c r="H1104" t="s">
        <v>174</v>
      </c>
      <c r="I1104" s="37">
        <v>45378</v>
      </c>
      <c r="J1104" t="s">
        <v>165</v>
      </c>
      <c r="K1104" t="s">
        <v>166</v>
      </c>
      <c r="L1104" t="s">
        <v>175</v>
      </c>
      <c r="M1104" t="s">
        <v>1442</v>
      </c>
      <c r="O1104" t="s">
        <v>1442</v>
      </c>
      <c r="Q1104" t="s">
        <v>1662</v>
      </c>
      <c r="U1104" t="s">
        <v>1698</v>
      </c>
      <c r="W1104" t="s">
        <v>1703</v>
      </c>
      <c r="X1104">
        <v>5</v>
      </c>
      <c r="AA1104" s="43">
        <v>307.5</v>
      </c>
      <c r="AC1104" s="43">
        <v>307.5</v>
      </c>
      <c r="AF1104" s="37">
        <f t="shared" si="35"/>
        <v>45637</v>
      </c>
      <c r="AG1104" s="37">
        <f t="shared" si="36"/>
        <v>46843.611570247936</v>
      </c>
      <c r="AH1104" t="s">
        <v>169</v>
      </c>
      <c r="AN1104" s="43">
        <v>307.5</v>
      </c>
    </row>
    <row r="1105" spans="2:40">
      <c r="B1105" t="s">
        <v>1443</v>
      </c>
      <c r="C1105" t="s">
        <v>121</v>
      </c>
      <c r="D1105" t="s">
        <v>167</v>
      </c>
      <c r="E1105" t="s">
        <v>83</v>
      </c>
      <c r="F1105" s="37">
        <v>45301</v>
      </c>
      <c r="G1105">
        <v>10</v>
      </c>
      <c r="H1105" t="s">
        <v>174</v>
      </c>
      <c r="I1105" s="37">
        <v>45371</v>
      </c>
      <c r="J1105" t="s">
        <v>165</v>
      </c>
      <c r="K1105" t="s">
        <v>166</v>
      </c>
      <c r="L1105" t="s">
        <v>175</v>
      </c>
      <c r="M1105" t="s">
        <v>1443</v>
      </c>
      <c r="O1105" t="s">
        <v>1443</v>
      </c>
      <c r="Q1105" t="s">
        <v>1663</v>
      </c>
      <c r="U1105" t="s">
        <v>1698</v>
      </c>
      <c r="W1105" t="s">
        <v>1703</v>
      </c>
      <c r="X1105">
        <v>5</v>
      </c>
      <c r="AA1105" s="43">
        <v>307.5</v>
      </c>
      <c r="AC1105" s="43">
        <v>307.5</v>
      </c>
      <c r="AF1105" s="37">
        <f t="shared" si="35"/>
        <v>45630</v>
      </c>
      <c r="AG1105" s="37">
        <f t="shared" si="36"/>
        <v>46836.611570247936</v>
      </c>
      <c r="AH1105" t="s">
        <v>169</v>
      </c>
      <c r="AN1105" s="43">
        <v>307.5</v>
      </c>
    </row>
    <row r="1106" spans="2:40">
      <c r="B1106" t="s">
        <v>1444</v>
      </c>
      <c r="C1106" t="s">
        <v>121</v>
      </c>
      <c r="D1106" t="s">
        <v>167</v>
      </c>
      <c r="E1106" t="s">
        <v>83</v>
      </c>
      <c r="F1106" s="37">
        <v>45301</v>
      </c>
      <c r="G1106">
        <v>10</v>
      </c>
      <c r="H1106" t="s">
        <v>174</v>
      </c>
      <c r="I1106" s="37">
        <v>45371</v>
      </c>
      <c r="J1106" t="s">
        <v>165</v>
      </c>
      <c r="K1106" t="s">
        <v>166</v>
      </c>
      <c r="L1106" t="s">
        <v>175</v>
      </c>
      <c r="M1106" t="s">
        <v>1444</v>
      </c>
      <c r="O1106" t="s">
        <v>1444</v>
      </c>
      <c r="Q1106" t="s">
        <v>1663</v>
      </c>
      <c r="U1106" t="s">
        <v>1698</v>
      </c>
      <c r="W1106" t="s">
        <v>1703</v>
      </c>
      <c r="X1106">
        <v>5</v>
      </c>
      <c r="AA1106" s="43">
        <v>307.5</v>
      </c>
      <c r="AC1106" s="43">
        <v>307.5</v>
      </c>
      <c r="AF1106" s="37">
        <f t="shared" si="35"/>
        <v>45630</v>
      </c>
      <c r="AG1106" s="37">
        <f t="shared" si="36"/>
        <v>46836.611570247936</v>
      </c>
      <c r="AH1106" t="s">
        <v>169</v>
      </c>
      <c r="AN1106" s="43">
        <v>307.5</v>
      </c>
    </row>
    <row r="1107" spans="2:40">
      <c r="B1107" t="s">
        <v>1445</v>
      </c>
      <c r="C1107" t="s">
        <v>121</v>
      </c>
      <c r="D1107" t="s">
        <v>167</v>
      </c>
      <c r="E1107" t="s">
        <v>83</v>
      </c>
      <c r="F1107" s="37">
        <v>45301</v>
      </c>
      <c r="G1107">
        <v>10</v>
      </c>
      <c r="H1107" t="s">
        <v>174</v>
      </c>
      <c r="I1107" s="37">
        <v>45371</v>
      </c>
      <c r="J1107" t="s">
        <v>165</v>
      </c>
      <c r="K1107" t="s">
        <v>166</v>
      </c>
      <c r="L1107" t="s">
        <v>175</v>
      </c>
      <c r="M1107" t="s">
        <v>1445</v>
      </c>
      <c r="O1107" t="s">
        <v>1445</v>
      </c>
      <c r="Q1107" t="s">
        <v>1663</v>
      </c>
      <c r="U1107" t="s">
        <v>1698</v>
      </c>
      <c r="W1107" t="s">
        <v>1703</v>
      </c>
      <c r="X1107">
        <v>5</v>
      </c>
      <c r="AA1107" s="43">
        <v>307.5</v>
      </c>
      <c r="AC1107" s="43">
        <v>307.5</v>
      </c>
      <c r="AF1107" s="37">
        <f t="shared" si="35"/>
        <v>45630</v>
      </c>
      <c r="AG1107" s="37">
        <f t="shared" si="36"/>
        <v>46836.611570247936</v>
      </c>
      <c r="AH1107" t="s">
        <v>169</v>
      </c>
      <c r="AN1107" s="43">
        <v>307.5</v>
      </c>
    </row>
    <row r="1108" spans="2:40">
      <c r="B1108" t="s">
        <v>1446</v>
      </c>
      <c r="C1108" t="s">
        <v>121</v>
      </c>
      <c r="D1108" t="s">
        <v>167</v>
      </c>
      <c r="E1108" t="s">
        <v>83</v>
      </c>
      <c r="F1108" s="37">
        <v>45301</v>
      </c>
      <c r="G1108">
        <v>10</v>
      </c>
      <c r="H1108" t="s">
        <v>174</v>
      </c>
      <c r="I1108" s="37">
        <v>45371</v>
      </c>
      <c r="J1108" t="s">
        <v>165</v>
      </c>
      <c r="K1108" t="s">
        <v>166</v>
      </c>
      <c r="L1108" t="s">
        <v>175</v>
      </c>
      <c r="M1108" t="s">
        <v>1446</v>
      </c>
      <c r="O1108" t="s">
        <v>1446</v>
      </c>
      <c r="Q1108" t="s">
        <v>1663</v>
      </c>
      <c r="U1108" t="s">
        <v>1697</v>
      </c>
      <c r="W1108" t="s">
        <v>1702</v>
      </c>
      <c r="X1108">
        <v>6</v>
      </c>
      <c r="AA1108" s="43">
        <v>307.5</v>
      </c>
      <c r="AC1108" s="43">
        <v>307.5</v>
      </c>
      <c r="AF1108" s="37">
        <f t="shared" si="35"/>
        <v>45630</v>
      </c>
      <c r="AG1108" s="37">
        <f t="shared" si="36"/>
        <v>46836.611570247936</v>
      </c>
      <c r="AH1108" t="s">
        <v>1704</v>
      </c>
      <c r="AN1108" s="43">
        <v>307.5</v>
      </c>
    </row>
    <row r="1109" spans="2:40">
      <c r="B1109" t="s">
        <v>1447</v>
      </c>
      <c r="C1109" t="s">
        <v>121</v>
      </c>
      <c r="D1109" t="s">
        <v>167</v>
      </c>
      <c r="E1109" t="s">
        <v>83</v>
      </c>
      <c r="F1109" s="37">
        <v>45301</v>
      </c>
      <c r="G1109">
        <v>10</v>
      </c>
      <c r="H1109" t="s">
        <v>174</v>
      </c>
      <c r="I1109" s="37">
        <v>45371</v>
      </c>
      <c r="J1109" t="s">
        <v>165</v>
      </c>
      <c r="K1109" t="s">
        <v>166</v>
      </c>
      <c r="L1109" t="s">
        <v>175</v>
      </c>
      <c r="M1109" t="s">
        <v>1447</v>
      </c>
      <c r="O1109" t="s">
        <v>1447</v>
      </c>
      <c r="Q1109" t="s">
        <v>1663</v>
      </c>
      <c r="U1109" t="s">
        <v>1698</v>
      </c>
      <c r="W1109" t="s">
        <v>1703</v>
      </c>
      <c r="X1109">
        <v>5</v>
      </c>
      <c r="AA1109" s="43">
        <v>307.5</v>
      </c>
      <c r="AC1109" s="43">
        <v>307.5</v>
      </c>
      <c r="AF1109" s="37">
        <f t="shared" si="35"/>
        <v>45630</v>
      </c>
      <c r="AG1109" s="37">
        <f t="shared" si="36"/>
        <v>46836.611570247936</v>
      </c>
      <c r="AH1109" t="s">
        <v>169</v>
      </c>
      <c r="AN1109" s="43">
        <v>307.5</v>
      </c>
    </row>
    <row r="1110" spans="2:40">
      <c r="B1110" t="s">
        <v>1448</v>
      </c>
      <c r="C1110" t="s">
        <v>121</v>
      </c>
      <c r="D1110" t="s">
        <v>167</v>
      </c>
      <c r="E1110" t="s">
        <v>83</v>
      </c>
      <c r="F1110" s="37">
        <v>45301</v>
      </c>
      <c r="G1110">
        <v>10</v>
      </c>
      <c r="H1110" t="s">
        <v>174</v>
      </c>
      <c r="I1110" s="37">
        <v>45371</v>
      </c>
      <c r="J1110" t="s">
        <v>165</v>
      </c>
      <c r="K1110" t="s">
        <v>166</v>
      </c>
      <c r="L1110" t="s">
        <v>175</v>
      </c>
      <c r="M1110" t="s">
        <v>1448</v>
      </c>
      <c r="O1110" t="s">
        <v>1448</v>
      </c>
      <c r="Q1110" t="s">
        <v>1663</v>
      </c>
      <c r="U1110" t="s">
        <v>1698</v>
      </c>
      <c r="W1110" t="s">
        <v>1703</v>
      </c>
      <c r="X1110">
        <v>5</v>
      </c>
      <c r="AA1110" s="43">
        <v>307.5</v>
      </c>
      <c r="AC1110" s="43">
        <v>307.5</v>
      </c>
      <c r="AF1110" s="37">
        <f t="shared" si="35"/>
        <v>45630</v>
      </c>
      <c r="AG1110" s="37">
        <f t="shared" si="36"/>
        <v>46836.611570247936</v>
      </c>
      <c r="AH1110" t="s">
        <v>169</v>
      </c>
      <c r="AN1110" s="43">
        <v>307.5</v>
      </c>
    </row>
    <row r="1111" spans="2:40">
      <c r="B1111" t="s">
        <v>1449</v>
      </c>
      <c r="C1111" t="s">
        <v>121</v>
      </c>
      <c r="D1111" t="s">
        <v>167</v>
      </c>
      <c r="E1111" t="s">
        <v>83</v>
      </c>
      <c r="F1111" s="37">
        <v>45287</v>
      </c>
      <c r="G1111">
        <v>10</v>
      </c>
      <c r="H1111" t="s">
        <v>174</v>
      </c>
      <c r="I1111" s="37">
        <v>45357</v>
      </c>
      <c r="J1111" t="s">
        <v>165</v>
      </c>
      <c r="K1111" t="s">
        <v>166</v>
      </c>
      <c r="L1111" t="s">
        <v>175</v>
      </c>
      <c r="M1111" t="s">
        <v>1449</v>
      </c>
      <c r="O1111" t="s">
        <v>1449</v>
      </c>
      <c r="Q1111" t="s">
        <v>1654</v>
      </c>
      <c r="U1111" t="s">
        <v>1697</v>
      </c>
      <c r="W1111" t="s">
        <v>1702</v>
      </c>
      <c r="X1111">
        <v>6</v>
      </c>
      <c r="AA1111" s="43">
        <v>307.5</v>
      </c>
      <c r="AC1111" s="43">
        <v>307.5</v>
      </c>
      <c r="AF1111" s="37">
        <f t="shared" si="35"/>
        <v>45616</v>
      </c>
      <c r="AG1111" s="37">
        <f t="shared" si="36"/>
        <v>46822.611570247936</v>
      </c>
      <c r="AH1111" t="s">
        <v>1705</v>
      </c>
      <c r="AN1111" s="43">
        <v>307.5</v>
      </c>
    </row>
    <row r="1112" spans="2:40">
      <c r="B1112" t="s">
        <v>1450</v>
      </c>
      <c r="C1112" t="s">
        <v>121</v>
      </c>
      <c r="D1112" t="s">
        <v>167</v>
      </c>
      <c r="E1112" t="s">
        <v>83</v>
      </c>
      <c r="F1112" s="37">
        <v>45280</v>
      </c>
      <c r="G1112">
        <v>10</v>
      </c>
      <c r="H1112" t="s">
        <v>174</v>
      </c>
      <c r="I1112" s="37">
        <v>45350</v>
      </c>
      <c r="J1112" t="s">
        <v>165</v>
      </c>
      <c r="K1112" t="s">
        <v>166</v>
      </c>
      <c r="L1112" t="s">
        <v>175</v>
      </c>
      <c r="M1112" t="s">
        <v>1450</v>
      </c>
      <c r="O1112" t="s">
        <v>1450</v>
      </c>
      <c r="Q1112" t="s">
        <v>1651</v>
      </c>
      <c r="U1112" t="s">
        <v>1698</v>
      </c>
      <c r="W1112" t="s">
        <v>1703</v>
      </c>
      <c r="X1112">
        <v>5</v>
      </c>
      <c r="AA1112" s="43">
        <v>307.5</v>
      </c>
      <c r="AC1112" s="43">
        <v>307.5</v>
      </c>
      <c r="AF1112" s="37">
        <f t="shared" si="35"/>
        <v>45609</v>
      </c>
      <c r="AG1112" s="37">
        <f t="shared" si="36"/>
        <v>46815.611570247936</v>
      </c>
      <c r="AH1112" t="s">
        <v>169</v>
      </c>
      <c r="AN1112" s="43">
        <v>307.5</v>
      </c>
    </row>
    <row r="1113" spans="2:40">
      <c r="B1113" t="s">
        <v>1451</v>
      </c>
      <c r="C1113" t="s">
        <v>121</v>
      </c>
      <c r="D1113" t="s">
        <v>167</v>
      </c>
      <c r="E1113" t="s">
        <v>83</v>
      </c>
      <c r="F1113" s="37">
        <v>45280</v>
      </c>
      <c r="G1113">
        <v>10</v>
      </c>
      <c r="H1113" t="s">
        <v>174</v>
      </c>
      <c r="I1113" s="37">
        <v>45350</v>
      </c>
      <c r="J1113" t="s">
        <v>165</v>
      </c>
      <c r="K1113" t="s">
        <v>166</v>
      </c>
      <c r="L1113" t="s">
        <v>175</v>
      </c>
      <c r="M1113" t="s">
        <v>1451</v>
      </c>
      <c r="O1113" t="s">
        <v>1451</v>
      </c>
      <c r="Q1113" t="s">
        <v>1651</v>
      </c>
      <c r="U1113" t="s">
        <v>1696</v>
      </c>
      <c r="W1113" t="s">
        <v>1699</v>
      </c>
      <c r="X1113">
        <v>6</v>
      </c>
      <c r="AA1113" s="43">
        <v>307.5</v>
      </c>
      <c r="AC1113" s="43">
        <v>307.5</v>
      </c>
      <c r="AF1113" s="37">
        <f t="shared" si="35"/>
        <v>45609</v>
      </c>
      <c r="AG1113" s="37">
        <f t="shared" si="36"/>
        <v>46815.611570247936</v>
      </c>
      <c r="AH1113" t="s">
        <v>1704</v>
      </c>
      <c r="AN1113" s="43">
        <v>307.5</v>
      </c>
    </row>
    <row r="1114" spans="2:40">
      <c r="B1114" t="s">
        <v>1452</v>
      </c>
      <c r="C1114" t="s">
        <v>121</v>
      </c>
      <c r="D1114" t="s">
        <v>167</v>
      </c>
      <c r="E1114" t="s">
        <v>83</v>
      </c>
      <c r="F1114" s="37">
        <v>45280</v>
      </c>
      <c r="G1114">
        <v>10</v>
      </c>
      <c r="H1114" t="s">
        <v>174</v>
      </c>
      <c r="I1114" s="37">
        <v>45350</v>
      </c>
      <c r="J1114" t="s">
        <v>165</v>
      </c>
      <c r="K1114" t="s">
        <v>166</v>
      </c>
      <c r="L1114" t="s">
        <v>175</v>
      </c>
      <c r="M1114" t="s">
        <v>1452</v>
      </c>
      <c r="O1114" t="s">
        <v>1452</v>
      </c>
      <c r="Q1114" t="s">
        <v>1651</v>
      </c>
      <c r="U1114" t="s">
        <v>1697</v>
      </c>
      <c r="W1114" t="s">
        <v>1702</v>
      </c>
      <c r="X1114">
        <v>6</v>
      </c>
      <c r="AA1114" s="43">
        <v>307.5</v>
      </c>
      <c r="AC1114" s="43">
        <v>307.5</v>
      </c>
      <c r="AF1114" s="37">
        <f t="shared" si="35"/>
        <v>45609</v>
      </c>
      <c r="AG1114" s="37">
        <f t="shared" si="36"/>
        <v>46815.611570247936</v>
      </c>
      <c r="AH1114" t="s">
        <v>1705</v>
      </c>
      <c r="AN1114" s="43">
        <v>307.5</v>
      </c>
    </row>
    <row r="1115" spans="2:40">
      <c r="B1115" t="s">
        <v>1453</v>
      </c>
      <c r="C1115" t="s">
        <v>121</v>
      </c>
      <c r="D1115" t="s">
        <v>167</v>
      </c>
      <c r="E1115" t="s">
        <v>83</v>
      </c>
      <c r="F1115" s="37">
        <v>45273</v>
      </c>
      <c r="G1115">
        <v>10</v>
      </c>
      <c r="H1115" t="s">
        <v>174</v>
      </c>
      <c r="I1115" s="37">
        <v>45343</v>
      </c>
      <c r="J1115" t="s">
        <v>165</v>
      </c>
      <c r="K1115" t="s">
        <v>166</v>
      </c>
      <c r="L1115" t="s">
        <v>175</v>
      </c>
      <c r="M1115" t="s">
        <v>1453</v>
      </c>
      <c r="O1115" t="s">
        <v>1453</v>
      </c>
      <c r="Q1115" t="s">
        <v>1651</v>
      </c>
      <c r="U1115" t="s">
        <v>1697</v>
      </c>
      <c r="W1115" t="s">
        <v>1702</v>
      </c>
      <c r="X1115">
        <v>6</v>
      </c>
      <c r="AA1115" s="43">
        <v>307.5</v>
      </c>
      <c r="AC1115" s="43">
        <v>307.5</v>
      </c>
      <c r="AF1115" s="37">
        <f t="shared" si="35"/>
        <v>45602</v>
      </c>
      <c r="AG1115" s="37">
        <f t="shared" si="36"/>
        <v>46808.611570247936</v>
      </c>
      <c r="AH1115" t="s">
        <v>1705</v>
      </c>
      <c r="AN1115" s="43">
        <v>307.5</v>
      </c>
    </row>
    <row r="1116" spans="2:40">
      <c r="B1116" t="s">
        <v>1454</v>
      </c>
      <c r="C1116" t="s">
        <v>121</v>
      </c>
      <c r="D1116" t="s">
        <v>167</v>
      </c>
      <c r="E1116" t="s">
        <v>83</v>
      </c>
      <c r="F1116" s="37">
        <v>45273</v>
      </c>
      <c r="G1116">
        <v>10</v>
      </c>
      <c r="H1116" t="s">
        <v>174</v>
      </c>
      <c r="I1116" s="37">
        <v>45343</v>
      </c>
      <c r="J1116" t="s">
        <v>165</v>
      </c>
      <c r="K1116" t="s">
        <v>166</v>
      </c>
      <c r="L1116" t="s">
        <v>175</v>
      </c>
      <c r="M1116" t="s">
        <v>1454</v>
      </c>
      <c r="O1116" t="s">
        <v>1454</v>
      </c>
      <c r="Q1116" t="s">
        <v>1651</v>
      </c>
      <c r="U1116" t="s">
        <v>1697</v>
      </c>
      <c r="W1116" t="s">
        <v>1702</v>
      </c>
      <c r="X1116">
        <v>6</v>
      </c>
      <c r="AA1116" s="43">
        <v>307.5</v>
      </c>
      <c r="AC1116" s="43">
        <v>307.5</v>
      </c>
      <c r="AF1116" s="37">
        <f t="shared" si="35"/>
        <v>45602</v>
      </c>
      <c r="AG1116" s="37">
        <f t="shared" si="36"/>
        <v>46808.611570247936</v>
      </c>
      <c r="AH1116" t="s">
        <v>1705</v>
      </c>
      <c r="AN1116" s="43">
        <v>307.5</v>
      </c>
    </row>
    <row r="1117" spans="2:40">
      <c r="B1117" t="s">
        <v>1455</v>
      </c>
      <c r="C1117" t="s">
        <v>121</v>
      </c>
      <c r="D1117" t="s">
        <v>167</v>
      </c>
      <c r="E1117" t="s">
        <v>83</v>
      </c>
      <c r="F1117" s="37">
        <v>45273</v>
      </c>
      <c r="G1117">
        <v>10</v>
      </c>
      <c r="H1117" t="s">
        <v>174</v>
      </c>
      <c r="I1117" s="37">
        <v>45343</v>
      </c>
      <c r="J1117" t="s">
        <v>165</v>
      </c>
      <c r="K1117" t="s">
        <v>166</v>
      </c>
      <c r="L1117" t="s">
        <v>175</v>
      </c>
      <c r="M1117" t="s">
        <v>1455</v>
      </c>
      <c r="O1117" t="s">
        <v>1455</v>
      </c>
      <c r="Q1117" t="s">
        <v>1651</v>
      </c>
      <c r="U1117" t="s">
        <v>1697</v>
      </c>
      <c r="W1117" t="s">
        <v>1702</v>
      </c>
      <c r="X1117">
        <v>6</v>
      </c>
      <c r="AA1117" s="43">
        <v>307.5</v>
      </c>
      <c r="AC1117" s="43">
        <v>307.5</v>
      </c>
      <c r="AF1117" s="37">
        <f t="shared" si="35"/>
        <v>45602</v>
      </c>
      <c r="AG1117" s="37">
        <f t="shared" si="36"/>
        <v>46808.611570247936</v>
      </c>
      <c r="AH1117" t="s">
        <v>1705</v>
      </c>
      <c r="AN1117" s="43">
        <v>307.5</v>
      </c>
    </row>
    <row r="1118" spans="2:40">
      <c r="B1118" t="s">
        <v>1456</v>
      </c>
      <c r="C1118" t="s">
        <v>121</v>
      </c>
      <c r="D1118" t="s">
        <v>167</v>
      </c>
      <c r="E1118" t="s">
        <v>83</v>
      </c>
      <c r="F1118" s="37">
        <v>45273</v>
      </c>
      <c r="G1118">
        <v>10</v>
      </c>
      <c r="H1118" t="s">
        <v>174</v>
      </c>
      <c r="I1118" s="37">
        <v>45343</v>
      </c>
      <c r="J1118" t="s">
        <v>165</v>
      </c>
      <c r="K1118" t="s">
        <v>166</v>
      </c>
      <c r="L1118" t="s">
        <v>175</v>
      </c>
      <c r="M1118" t="s">
        <v>1456</v>
      </c>
      <c r="O1118" t="s">
        <v>1456</v>
      </c>
      <c r="Q1118" t="s">
        <v>1651</v>
      </c>
      <c r="U1118" t="s">
        <v>1697</v>
      </c>
      <c r="W1118" t="s">
        <v>1702</v>
      </c>
      <c r="X1118">
        <v>6</v>
      </c>
      <c r="AA1118" s="43">
        <v>307.5</v>
      </c>
      <c r="AC1118" s="43">
        <v>307.5</v>
      </c>
      <c r="AF1118" s="37">
        <f t="shared" si="35"/>
        <v>45602</v>
      </c>
      <c r="AG1118" s="37">
        <f t="shared" si="36"/>
        <v>46808.611570247936</v>
      </c>
      <c r="AH1118" t="s">
        <v>1705</v>
      </c>
      <c r="AN1118" s="43">
        <v>307.5</v>
      </c>
    </row>
    <row r="1119" spans="2:40">
      <c r="B1119" t="s">
        <v>1457</v>
      </c>
      <c r="C1119" t="s">
        <v>121</v>
      </c>
      <c r="D1119" t="s">
        <v>167</v>
      </c>
      <c r="E1119" t="s">
        <v>83</v>
      </c>
      <c r="F1119" s="37">
        <v>45273</v>
      </c>
      <c r="G1119">
        <v>10</v>
      </c>
      <c r="H1119" t="s">
        <v>174</v>
      </c>
      <c r="I1119" s="37">
        <v>45343</v>
      </c>
      <c r="J1119" t="s">
        <v>165</v>
      </c>
      <c r="K1119" t="s">
        <v>166</v>
      </c>
      <c r="L1119" t="s">
        <v>175</v>
      </c>
      <c r="M1119" t="s">
        <v>1457</v>
      </c>
      <c r="O1119" t="s">
        <v>1457</v>
      </c>
      <c r="Q1119" t="s">
        <v>1651</v>
      </c>
      <c r="U1119" t="s">
        <v>1697</v>
      </c>
      <c r="W1119" t="s">
        <v>1702</v>
      </c>
      <c r="X1119">
        <v>6</v>
      </c>
      <c r="AA1119" s="43">
        <v>307.5</v>
      </c>
      <c r="AC1119" s="43">
        <v>307.5</v>
      </c>
      <c r="AF1119" s="37">
        <f t="shared" si="35"/>
        <v>45602</v>
      </c>
      <c r="AG1119" s="37">
        <f t="shared" si="36"/>
        <v>46808.611570247936</v>
      </c>
      <c r="AH1119" t="s">
        <v>1705</v>
      </c>
      <c r="AN1119" s="43">
        <v>307.5</v>
      </c>
    </row>
    <row r="1120" spans="2:40">
      <c r="B1120" t="s">
        <v>1458</v>
      </c>
      <c r="C1120" t="s">
        <v>121</v>
      </c>
      <c r="D1120" t="s">
        <v>167</v>
      </c>
      <c r="E1120" t="s">
        <v>83</v>
      </c>
      <c r="F1120" s="37">
        <v>45264</v>
      </c>
      <c r="G1120">
        <v>10</v>
      </c>
      <c r="H1120" t="s">
        <v>174</v>
      </c>
      <c r="I1120" s="37">
        <v>45336</v>
      </c>
      <c r="J1120" t="s">
        <v>165</v>
      </c>
      <c r="K1120" t="s">
        <v>166</v>
      </c>
      <c r="L1120" t="s">
        <v>175</v>
      </c>
      <c r="M1120" t="s">
        <v>1458</v>
      </c>
      <c r="O1120" t="s">
        <v>1458</v>
      </c>
      <c r="Q1120" t="s">
        <v>1656</v>
      </c>
      <c r="U1120" t="s">
        <v>1696</v>
      </c>
      <c r="W1120" t="s">
        <v>1699</v>
      </c>
      <c r="X1120">
        <v>6</v>
      </c>
      <c r="AA1120" s="43">
        <v>307.5</v>
      </c>
      <c r="AC1120" s="43">
        <v>307.5</v>
      </c>
      <c r="AF1120" s="37">
        <f t="shared" si="35"/>
        <v>45593</v>
      </c>
      <c r="AG1120" s="37">
        <f t="shared" si="36"/>
        <v>46799.611570247936</v>
      </c>
      <c r="AH1120" t="s">
        <v>1704</v>
      </c>
      <c r="AN1120" s="43">
        <v>307.5</v>
      </c>
    </row>
    <row r="1121" spans="2:40">
      <c r="B1121" t="s">
        <v>1459</v>
      </c>
      <c r="C1121" t="s">
        <v>121</v>
      </c>
      <c r="D1121" t="s">
        <v>167</v>
      </c>
      <c r="E1121" t="s">
        <v>83</v>
      </c>
      <c r="F1121" s="37">
        <v>45264</v>
      </c>
      <c r="G1121">
        <v>10</v>
      </c>
      <c r="H1121" t="s">
        <v>174</v>
      </c>
      <c r="I1121" s="37">
        <v>45336</v>
      </c>
      <c r="J1121" t="s">
        <v>165</v>
      </c>
      <c r="K1121" t="s">
        <v>166</v>
      </c>
      <c r="L1121" t="s">
        <v>175</v>
      </c>
      <c r="M1121" t="s">
        <v>1459</v>
      </c>
      <c r="O1121" t="s">
        <v>1459</v>
      </c>
      <c r="Q1121" t="s">
        <v>1656</v>
      </c>
      <c r="U1121" t="s">
        <v>1697</v>
      </c>
      <c r="W1121" t="s">
        <v>1702</v>
      </c>
      <c r="X1121">
        <v>6</v>
      </c>
      <c r="AA1121" s="43">
        <v>307.5</v>
      </c>
      <c r="AC1121" s="43">
        <v>307.5</v>
      </c>
      <c r="AF1121" s="37">
        <f t="shared" si="35"/>
        <v>45593</v>
      </c>
      <c r="AG1121" s="37">
        <f t="shared" si="36"/>
        <v>46799.611570247936</v>
      </c>
      <c r="AH1121" t="s">
        <v>1705</v>
      </c>
      <c r="AN1121" s="43">
        <v>307.5</v>
      </c>
    </row>
    <row r="1122" spans="2:40">
      <c r="B1122" t="s">
        <v>1460</v>
      </c>
      <c r="C1122" t="s">
        <v>121</v>
      </c>
      <c r="D1122" t="s">
        <v>167</v>
      </c>
      <c r="E1122" t="s">
        <v>83</v>
      </c>
      <c r="F1122" s="37">
        <v>45264</v>
      </c>
      <c r="G1122">
        <v>10</v>
      </c>
      <c r="H1122" t="s">
        <v>174</v>
      </c>
      <c r="I1122" s="37">
        <v>45336</v>
      </c>
      <c r="J1122" t="s">
        <v>165</v>
      </c>
      <c r="K1122" t="s">
        <v>166</v>
      </c>
      <c r="L1122" t="s">
        <v>175</v>
      </c>
      <c r="M1122" t="s">
        <v>1460</v>
      </c>
      <c r="O1122" t="s">
        <v>1460</v>
      </c>
      <c r="Q1122" t="s">
        <v>1656</v>
      </c>
      <c r="U1122" t="s">
        <v>1697</v>
      </c>
      <c r="W1122" t="s">
        <v>1702</v>
      </c>
      <c r="X1122">
        <v>6</v>
      </c>
      <c r="AA1122" s="43">
        <v>307.5</v>
      </c>
      <c r="AC1122" s="43">
        <v>307.5</v>
      </c>
      <c r="AF1122" s="37">
        <f t="shared" si="35"/>
        <v>45593</v>
      </c>
      <c r="AG1122" s="37">
        <f t="shared" si="36"/>
        <v>46799.611570247936</v>
      </c>
      <c r="AH1122" t="s">
        <v>1705</v>
      </c>
      <c r="AN1122" s="43">
        <v>307.5</v>
      </c>
    </row>
    <row r="1123" spans="2:40">
      <c r="B1123" t="s">
        <v>1461</v>
      </c>
      <c r="C1123" t="s">
        <v>121</v>
      </c>
      <c r="D1123" t="s">
        <v>167</v>
      </c>
      <c r="E1123" t="s">
        <v>83</v>
      </c>
      <c r="F1123" s="37">
        <v>45264</v>
      </c>
      <c r="G1123">
        <v>10</v>
      </c>
      <c r="H1123" t="s">
        <v>174</v>
      </c>
      <c r="I1123" s="37">
        <v>45336</v>
      </c>
      <c r="J1123" t="s">
        <v>165</v>
      </c>
      <c r="K1123" t="s">
        <v>166</v>
      </c>
      <c r="L1123" t="s">
        <v>175</v>
      </c>
      <c r="M1123" t="s">
        <v>1461</v>
      </c>
      <c r="O1123" t="s">
        <v>1461</v>
      </c>
      <c r="Q1123" t="s">
        <v>1656</v>
      </c>
      <c r="U1123" t="s">
        <v>1697</v>
      </c>
      <c r="W1123" t="s">
        <v>1702</v>
      </c>
      <c r="X1123">
        <v>6</v>
      </c>
      <c r="AA1123" s="43">
        <v>307.5</v>
      </c>
      <c r="AC1123" s="43">
        <v>307.5</v>
      </c>
      <c r="AF1123" s="37">
        <f t="shared" si="35"/>
        <v>45593</v>
      </c>
      <c r="AG1123" s="37">
        <f t="shared" si="36"/>
        <v>46799.611570247936</v>
      </c>
      <c r="AH1123" t="s">
        <v>1705</v>
      </c>
      <c r="AN1123" s="43">
        <v>307.5</v>
      </c>
    </row>
    <row r="1124" spans="2:40">
      <c r="B1124" t="s">
        <v>1462</v>
      </c>
      <c r="C1124" t="s">
        <v>121</v>
      </c>
      <c r="D1124" t="s">
        <v>167</v>
      </c>
      <c r="E1124" t="s">
        <v>83</v>
      </c>
      <c r="F1124" s="37">
        <v>45264</v>
      </c>
      <c r="G1124">
        <v>10</v>
      </c>
      <c r="H1124" t="s">
        <v>174</v>
      </c>
      <c r="I1124" s="37">
        <v>45336</v>
      </c>
      <c r="J1124" t="s">
        <v>165</v>
      </c>
      <c r="K1124" t="s">
        <v>166</v>
      </c>
      <c r="L1124" t="s">
        <v>175</v>
      </c>
      <c r="M1124" t="s">
        <v>1462</v>
      </c>
      <c r="O1124" t="s">
        <v>1462</v>
      </c>
      <c r="Q1124" t="s">
        <v>1664</v>
      </c>
      <c r="U1124" t="s">
        <v>1697</v>
      </c>
      <c r="W1124" t="s">
        <v>1702</v>
      </c>
      <c r="X1124">
        <v>6</v>
      </c>
      <c r="AA1124" s="43">
        <v>307.5</v>
      </c>
      <c r="AC1124" s="43">
        <v>307.5</v>
      </c>
      <c r="AF1124" s="37">
        <f t="shared" si="35"/>
        <v>45593</v>
      </c>
      <c r="AG1124" s="37">
        <f t="shared" si="36"/>
        <v>46799.611570247936</v>
      </c>
      <c r="AH1124" t="s">
        <v>1705</v>
      </c>
      <c r="AN1124" s="43">
        <v>307.5</v>
      </c>
    </row>
    <row r="1125" spans="2:40">
      <c r="B1125" t="s">
        <v>1463</v>
      </c>
      <c r="C1125" t="s">
        <v>121</v>
      </c>
      <c r="D1125" t="s">
        <v>167</v>
      </c>
      <c r="E1125" t="s">
        <v>83</v>
      </c>
      <c r="F1125" s="37">
        <v>45264</v>
      </c>
      <c r="G1125">
        <v>10</v>
      </c>
      <c r="H1125" t="s">
        <v>174</v>
      </c>
      <c r="I1125" s="37">
        <v>45336</v>
      </c>
      <c r="J1125" t="s">
        <v>165</v>
      </c>
      <c r="K1125" t="s">
        <v>166</v>
      </c>
      <c r="L1125" t="s">
        <v>175</v>
      </c>
      <c r="M1125" t="s">
        <v>1463</v>
      </c>
      <c r="O1125" t="s">
        <v>1463</v>
      </c>
      <c r="Q1125" t="s">
        <v>1665</v>
      </c>
      <c r="U1125" t="s">
        <v>1697</v>
      </c>
      <c r="W1125" t="s">
        <v>1702</v>
      </c>
      <c r="X1125">
        <v>6</v>
      </c>
      <c r="AA1125" s="43">
        <v>307.5</v>
      </c>
      <c r="AC1125" s="43">
        <v>307.5</v>
      </c>
      <c r="AF1125" s="37">
        <f t="shared" si="35"/>
        <v>45593</v>
      </c>
      <c r="AG1125" s="37">
        <f t="shared" si="36"/>
        <v>46799.611570247936</v>
      </c>
      <c r="AH1125" t="s">
        <v>1705</v>
      </c>
      <c r="AN1125" s="43">
        <v>307.5</v>
      </c>
    </row>
    <row r="1126" spans="2:40">
      <c r="B1126" t="s">
        <v>1464</v>
      </c>
      <c r="C1126" t="s">
        <v>121</v>
      </c>
      <c r="D1126" t="s">
        <v>167</v>
      </c>
      <c r="E1126" t="s">
        <v>83</v>
      </c>
      <c r="F1126" s="37">
        <v>45259</v>
      </c>
      <c r="G1126">
        <v>10</v>
      </c>
      <c r="H1126" t="s">
        <v>174</v>
      </c>
      <c r="I1126" s="37">
        <v>45329</v>
      </c>
      <c r="J1126" t="s">
        <v>165</v>
      </c>
      <c r="K1126" t="s">
        <v>166</v>
      </c>
      <c r="L1126" t="s">
        <v>175</v>
      </c>
      <c r="M1126" t="s">
        <v>1464</v>
      </c>
      <c r="O1126" t="s">
        <v>1464</v>
      </c>
      <c r="Q1126" t="s">
        <v>1656</v>
      </c>
      <c r="U1126" t="s">
        <v>1697</v>
      </c>
      <c r="W1126" t="s">
        <v>1702</v>
      </c>
      <c r="X1126">
        <v>6</v>
      </c>
      <c r="AA1126" s="43">
        <v>307.5</v>
      </c>
      <c r="AC1126" s="43">
        <v>307.5</v>
      </c>
      <c r="AF1126" s="37">
        <f t="shared" si="35"/>
        <v>45588</v>
      </c>
      <c r="AG1126" s="37">
        <f t="shared" si="36"/>
        <v>46794.611570247936</v>
      </c>
      <c r="AH1126" t="s">
        <v>1705</v>
      </c>
      <c r="AN1126" s="43">
        <v>307.5</v>
      </c>
    </row>
    <row r="1127" spans="2:40">
      <c r="B1127" t="s">
        <v>1465</v>
      </c>
      <c r="C1127" t="s">
        <v>121</v>
      </c>
      <c r="D1127" t="s">
        <v>167</v>
      </c>
      <c r="E1127" t="s">
        <v>83</v>
      </c>
      <c r="F1127" s="37">
        <v>45259</v>
      </c>
      <c r="G1127">
        <v>10</v>
      </c>
      <c r="H1127" t="s">
        <v>174</v>
      </c>
      <c r="I1127" s="37">
        <v>45329</v>
      </c>
      <c r="J1127" t="s">
        <v>165</v>
      </c>
      <c r="K1127" t="s">
        <v>166</v>
      </c>
      <c r="L1127" t="s">
        <v>175</v>
      </c>
      <c r="M1127" t="s">
        <v>1465</v>
      </c>
      <c r="O1127" t="s">
        <v>1465</v>
      </c>
      <c r="Q1127" t="s">
        <v>1656</v>
      </c>
      <c r="U1127" t="s">
        <v>1697</v>
      </c>
      <c r="W1127" t="s">
        <v>1702</v>
      </c>
      <c r="X1127">
        <v>6</v>
      </c>
      <c r="AA1127" s="43">
        <v>307.5</v>
      </c>
      <c r="AC1127" s="43">
        <v>307.5</v>
      </c>
      <c r="AF1127" s="37">
        <f t="shared" si="35"/>
        <v>45588</v>
      </c>
      <c r="AG1127" s="37">
        <f t="shared" si="36"/>
        <v>46794.611570247936</v>
      </c>
      <c r="AH1127" t="s">
        <v>1705</v>
      </c>
      <c r="AN1127" s="43">
        <v>307.5</v>
      </c>
    </row>
    <row r="1128" spans="2:40">
      <c r="B1128" t="s">
        <v>1466</v>
      </c>
      <c r="C1128" t="s">
        <v>121</v>
      </c>
      <c r="D1128" t="s">
        <v>167</v>
      </c>
      <c r="E1128" t="s">
        <v>83</v>
      </c>
      <c r="F1128" s="37">
        <v>45259</v>
      </c>
      <c r="G1128">
        <v>10</v>
      </c>
      <c r="H1128" t="s">
        <v>174</v>
      </c>
      <c r="I1128" s="37">
        <v>45329</v>
      </c>
      <c r="J1128" t="s">
        <v>165</v>
      </c>
      <c r="K1128" t="s">
        <v>166</v>
      </c>
      <c r="L1128" t="s">
        <v>175</v>
      </c>
      <c r="M1128" t="s">
        <v>1466</v>
      </c>
      <c r="O1128" t="s">
        <v>1466</v>
      </c>
      <c r="Q1128" t="s">
        <v>1656</v>
      </c>
      <c r="U1128" t="s">
        <v>1697</v>
      </c>
      <c r="W1128" t="s">
        <v>1702</v>
      </c>
      <c r="X1128">
        <v>6</v>
      </c>
      <c r="AA1128" s="43">
        <v>307.5</v>
      </c>
      <c r="AC1128" s="43">
        <v>307.5</v>
      </c>
      <c r="AF1128" s="37">
        <f t="shared" si="35"/>
        <v>45588</v>
      </c>
      <c r="AG1128" s="37">
        <f t="shared" si="36"/>
        <v>46794.611570247936</v>
      </c>
      <c r="AH1128" t="s">
        <v>1705</v>
      </c>
      <c r="AN1128" s="43">
        <v>307.5</v>
      </c>
    </row>
    <row r="1129" spans="2:40">
      <c r="B1129" t="s">
        <v>1467</v>
      </c>
      <c r="C1129" t="s">
        <v>121</v>
      </c>
      <c r="D1129" t="s">
        <v>167</v>
      </c>
      <c r="E1129" t="s">
        <v>83</v>
      </c>
      <c r="F1129" s="37">
        <v>45259</v>
      </c>
      <c r="G1129">
        <v>10</v>
      </c>
      <c r="H1129" t="s">
        <v>174</v>
      </c>
      <c r="I1129" s="37">
        <v>45329</v>
      </c>
      <c r="J1129" t="s">
        <v>165</v>
      </c>
      <c r="K1129" t="s">
        <v>166</v>
      </c>
      <c r="L1129" t="s">
        <v>175</v>
      </c>
      <c r="M1129" t="s">
        <v>1467</v>
      </c>
      <c r="O1129" t="s">
        <v>1467</v>
      </c>
      <c r="Q1129" t="s">
        <v>1656</v>
      </c>
      <c r="U1129" t="s">
        <v>1697</v>
      </c>
      <c r="W1129" t="s">
        <v>1702</v>
      </c>
      <c r="X1129">
        <v>6</v>
      </c>
      <c r="AA1129" s="43">
        <v>307.5</v>
      </c>
      <c r="AC1129" s="43">
        <v>307.5</v>
      </c>
      <c r="AF1129" s="37">
        <f t="shared" si="35"/>
        <v>45588</v>
      </c>
      <c r="AG1129" s="37">
        <f t="shared" si="36"/>
        <v>46794.611570247936</v>
      </c>
      <c r="AH1129" t="s">
        <v>1705</v>
      </c>
      <c r="AN1129" s="43">
        <v>307.5</v>
      </c>
    </row>
    <row r="1130" spans="2:40">
      <c r="B1130" t="s">
        <v>1468</v>
      </c>
      <c r="C1130" t="s">
        <v>121</v>
      </c>
      <c r="D1130" t="s">
        <v>167</v>
      </c>
      <c r="E1130" t="s">
        <v>83</v>
      </c>
      <c r="F1130" s="37">
        <v>45245</v>
      </c>
      <c r="G1130">
        <v>10</v>
      </c>
      <c r="H1130" t="s">
        <v>174</v>
      </c>
      <c r="I1130" s="37">
        <v>45315</v>
      </c>
      <c r="J1130" t="s">
        <v>165</v>
      </c>
      <c r="K1130" t="s">
        <v>166</v>
      </c>
      <c r="L1130" t="s">
        <v>175</v>
      </c>
      <c r="M1130" t="s">
        <v>1468</v>
      </c>
      <c r="O1130" t="s">
        <v>1468</v>
      </c>
      <c r="Q1130" t="s">
        <v>1651</v>
      </c>
      <c r="U1130" t="s">
        <v>1697</v>
      </c>
      <c r="W1130" t="s">
        <v>1702</v>
      </c>
      <c r="X1130">
        <v>6</v>
      </c>
      <c r="AA1130" s="43">
        <v>307.5</v>
      </c>
      <c r="AC1130" s="43">
        <v>307.5</v>
      </c>
      <c r="AF1130" s="37">
        <f t="shared" si="35"/>
        <v>45574</v>
      </c>
      <c r="AG1130" s="37">
        <f t="shared" si="36"/>
        <v>46780.611570247936</v>
      </c>
      <c r="AH1130" t="s">
        <v>1705</v>
      </c>
      <c r="AN1130" s="43">
        <v>307.5</v>
      </c>
    </row>
    <row r="1131" spans="2:40">
      <c r="B1131" t="s">
        <v>1469</v>
      </c>
      <c r="C1131" t="s">
        <v>121</v>
      </c>
      <c r="D1131" t="s">
        <v>167</v>
      </c>
      <c r="E1131" t="s">
        <v>83</v>
      </c>
      <c r="F1131" s="37">
        <v>45245</v>
      </c>
      <c r="G1131">
        <v>10</v>
      </c>
      <c r="H1131" t="s">
        <v>174</v>
      </c>
      <c r="I1131" s="37">
        <v>45308</v>
      </c>
      <c r="J1131" t="s">
        <v>165</v>
      </c>
      <c r="K1131" t="s">
        <v>166</v>
      </c>
      <c r="L1131" t="s">
        <v>175</v>
      </c>
      <c r="M1131" t="s">
        <v>1469</v>
      </c>
      <c r="O1131" t="s">
        <v>1469</v>
      </c>
      <c r="Q1131" t="s">
        <v>1651</v>
      </c>
      <c r="U1131" t="s">
        <v>1697</v>
      </c>
      <c r="W1131" t="s">
        <v>1702</v>
      </c>
      <c r="X1131">
        <v>6</v>
      </c>
      <c r="AA1131" s="43">
        <v>307.5</v>
      </c>
      <c r="AC1131" s="43">
        <v>307.5</v>
      </c>
      <c r="AF1131" s="37">
        <f t="shared" si="35"/>
        <v>45574</v>
      </c>
      <c r="AG1131" s="37">
        <f t="shared" si="36"/>
        <v>46780.611570247936</v>
      </c>
      <c r="AH1131" t="s">
        <v>1705</v>
      </c>
      <c r="AN1131" s="43">
        <v>307.5</v>
      </c>
    </row>
    <row r="1132" spans="2:40">
      <c r="B1132" t="s">
        <v>1470</v>
      </c>
      <c r="C1132" t="s">
        <v>121</v>
      </c>
      <c r="D1132" t="s">
        <v>167</v>
      </c>
      <c r="E1132" t="s">
        <v>83</v>
      </c>
      <c r="F1132" s="37">
        <v>45245</v>
      </c>
      <c r="G1132">
        <v>10</v>
      </c>
      <c r="H1132" t="s">
        <v>174</v>
      </c>
      <c r="I1132" s="37">
        <v>45308</v>
      </c>
      <c r="J1132" t="s">
        <v>165</v>
      </c>
      <c r="K1132" t="s">
        <v>166</v>
      </c>
      <c r="L1132" t="s">
        <v>175</v>
      </c>
      <c r="M1132" t="s">
        <v>1470</v>
      </c>
      <c r="O1132" t="s">
        <v>1470</v>
      </c>
      <c r="Q1132" t="s">
        <v>1651</v>
      </c>
      <c r="U1132" t="s">
        <v>1697</v>
      </c>
      <c r="W1132" t="s">
        <v>1702</v>
      </c>
      <c r="X1132">
        <v>6</v>
      </c>
      <c r="AA1132" s="43">
        <v>307.5</v>
      </c>
      <c r="AC1132" s="43">
        <v>307.5</v>
      </c>
      <c r="AF1132" s="37">
        <f t="shared" si="35"/>
        <v>45574</v>
      </c>
      <c r="AG1132" s="37">
        <f t="shared" si="36"/>
        <v>46780.611570247936</v>
      </c>
      <c r="AH1132" t="s">
        <v>1705</v>
      </c>
      <c r="AN1132" s="43">
        <v>307.5</v>
      </c>
    </row>
    <row r="1133" spans="2:40">
      <c r="B1133" t="s">
        <v>1471</v>
      </c>
      <c r="C1133" t="s">
        <v>121</v>
      </c>
      <c r="D1133" t="s">
        <v>167</v>
      </c>
      <c r="E1133" t="s">
        <v>83</v>
      </c>
      <c r="F1133" s="37">
        <v>45245</v>
      </c>
      <c r="G1133">
        <v>10</v>
      </c>
      <c r="H1133" t="s">
        <v>174</v>
      </c>
      <c r="I1133" s="37">
        <v>45315</v>
      </c>
      <c r="J1133" t="s">
        <v>165</v>
      </c>
      <c r="K1133" t="s">
        <v>166</v>
      </c>
      <c r="L1133" t="s">
        <v>175</v>
      </c>
      <c r="M1133" t="s">
        <v>1471</v>
      </c>
      <c r="O1133" t="s">
        <v>1471</v>
      </c>
      <c r="Q1133" t="s">
        <v>1651</v>
      </c>
      <c r="U1133" t="s">
        <v>1697</v>
      </c>
      <c r="W1133" t="s">
        <v>1702</v>
      </c>
      <c r="X1133">
        <v>6</v>
      </c>
      <c r="AA1133" s="43">
        <v>307.5</v>
      </c>
      <c r="AC1133" s="43">
        <v>307.5</v>
      </c>
      <c r="AF1133" s="37">
        <f t="shared" si="35"/>
        <v>45574</v>
      </c>
      <c r="AG1133" s="37">
        <f t="shared" si="36"/>
        <v>46780.611570247936</v>
      </c>
      <c r="AH1133" t="s">
        <v>1705</v>
      </c>
      <c r="AN1133" s="43">
        <v>307.5</v>
      </c>
    </row>
    <row r="1134" spans="2:40">
      <c r="B1134" t="s">
        <v>1472</v>
      </c>
      <c r="C1134" t="s">
        <v>121</v>
      </c>
      <c r="D1134" t="s">
        <v>167</v>
      </c>
      <c r="E1134" t="s">
        <v>83</v>
      </c>
      <c r="F1134" s="37">
        <v>45245</v>
      </c>
      <c r="G1134">
        <v>10</v>
      </c>
      <c r="H1134" t="s">
        <v>174</v>
      </c>
      <c r="I1134" s="37">
        <v>45315</v>
      </c>
      <c r="J1134" t="s">
        <v>165</v>
      </c>
      <c r="K1134" t="s">
        <v>166</v>
      </c>
      <c r="L1134" t="s">
        <v>175</v>
      </c>
      <c r="M1134" t="s">
        <v>1472</v>
      </c>
      <c r="O1134" t="s">
        <v>1472</v>
      </c>
      <c r="Q1134" t="s">
        <v>1651</v>
      </c>
      <c r="U1134" t="s">
        <v>1697</v>
      </c>
      <c r="W1134" t="s">
        <v>1702</v>
      </c>
      <c r="X1134">
        <v>6</v>
      </c>
      <c r="AA1134" s="43">
        <v>307.5</v>
      </c>
      <c r="AC1134" s="43">
        <v>307.5</v>
      </c>
      <c r="AF1134" s="37">
        <f t="shared" si="35"/>
        <v>45574</v>
      </c>
      <c r="AG1134" s="37">
        <f t="shared" si="36"/>
        <v>46780.611570247936</v>
      </c>
      <c r="AH1134" t="s">
        <v>1705</v>
      </c>
      <c r="AN1134" s="43">
        <v>307.5</v>
      </c>
    </row>
    <row r="1135" spans="2:40">
      <c r="B1135" t="s">
        <v>1473</v>
      </c>
      <c r="C1135" t="s">
        <v>121</v>
      </c>
      <c r="D1135" t="s">
        <v>167</v>
      </c>
      <c r="E1135" t="s">
        <v>83</v>
      </c>
      <c r="F1135" s="37">
        <v>45245</v>
      </c>
      <c r="G1135">
        <v>10</v>
      </c>
      <c r="H1135" t="s">
        <v>174</v>
      </c>
      <c r="I1135" s="37">
        <v>45308</v>
      </c>
      <c r="J1135" t="s">
        <v>165</v>
      </c>
      <c r="K1135" t="s">
        <v>166</v>
      </c>
      <c r="L1135" t="s">
        <v>175</v>
      </c>
      <c r="M1135" t="s">
        <v>1473</v>
      </c>
      <c r="O1135" t="s">
        <v>1473</v>
      </c>
      <c r="Q1135" t="s">
        <v>1651</v>
      </c>
      <c r="U1135" t="s">
        <v>1696</v>
      </c>
      <c r="W1135" t="s">
        <v>1699</v>
      </c>
      <c r="X1135">
        <v>6</v>
      </c>
      <c r="AA1135" s="43">
        <v>307.5</v>
      </c>
      <c r="AC1135" s="43">
        <v>307.5</v>
      </c>
      <c r="AF1135" s="37">
        <f t="shared" si="35"/>
        <v>45574</v>
      </c>
      <c r="AG1135" s="37">
        <f t="shared" si="36"/>
        <v>46780.611570247936</v>
      </c>
      <c r="AH1135" t="s">
        <v>1704</v>
      </c>
      <c r="AN1135" s="43">
        <v>307.5</v>
      </c>
    </row>
    <row r="1136" spans="2:40">
      <c r="B1136" t="s">
        <v>1474</v>
      </c>
      <c r="C1136" t="s">
        <v>121</v>
      </c>
      <c r="D1136" t="s">
        <v>167</v>
      </c>
      <c r="E1136" t="s">
        <v>83</v>
      </c>
      <c r="F1136" s="37">
        <v>45245</v>
      </c>
      <c r="G1136">
        <v>10</v>
      </c>
      <c r="H1136" t="s">
        <v>174</v>
      </c>
      <c r="I1136" s="37">
        <v>45315</v>
      </c>
      <c r="J1136" t="s">
        <v>165</v>
      </c>
      <c r="K1136" t="s">
        <v>166</v>
      </c>
      <c r="L1136" t="s">
        <v>175</v>
      </c>
      <c r="M1136" t="s">
        <v>1474</v>
      </c>
      <c r="O1136" t="s">
        <v>1474</v>
      </c>
      <c r="Q1136" t="s">
        <v>1651</v>
      </c>
      <c r="U1136" t="s">
        <v>1697</v>
      </c>
      <c r="W1136" t="s">
        <v>1702</v>
      </c>
      <c r="X1136">
        <v>6</v>
      </c>
      <c r="AA1136" s="43">
        <v>307.5</v>
      </c>
      <c r="AC1136" s="43">
        <v>307.5</v>
      </c>
      <c r="AF1136" s="37">
        <f t="shared" si="35"/>
        <v>45574</v>
      </c>
      <c r="AG1136" s="37">
        <f t="shared" si="36"/>
        <v>46780.611570247936</v>
      </c>
      <c r="AH1136" t="s">
        <v>1705</v>
      </c>
      <c r="AN1136" s="43">
        <v>307.5</v>
      </c>
    </row>
    <row r="1137" spans="2:40">
      <c r="B1137" t="s">
        <v>1475</v>
      </c>
      <c r="C1137" t="s">
        <v>121</v>
      </c>
      <c r="D1137" t="s">
        <v>167</v>
      </c>
      <c r="E1137" t="s">
        <v>83</v>
      </c>
      <c r="F1137" s="37">
        <v>45245</v>
      </c>
      <c r="G1137">
        <v>10</v>
      </c>
      <c r="H1137" t="s">
        <v>174</v>
      </c>
      <c r="I1137" s="37">
        <v>45315</v>
      </c>
      <c r="J1137" t="s">
        <v>165</v>
      </c>
      <c r="K1137" t="s">
        <v>166</v>
      </c>
      <c r="L1137" t="s">
        <v>175</v>
      </c>
      <c r="M1137" t="s">
        <v>1475</v>
      </c>
      <c r="O1137" t="s">
        <v>1475</v>
      </c>
      <c r="Q1137" t="s">
        <v>1651</v>
      </c>
      <c r="U1137" t="s">
        <v>1697</v>
      </c>
      <c r="W1137" t="s">
        <v>1702</v>
      </c>
      <c r="X1137">
        <v>6</v>
      </c>
      <c r="AA1137" s="43">
        <v>307.5</v>
      </c>
      <c r="AC1137" s="43">
        <v>307.5</v>
      </c>
      <c r="AF1137" s="37">
        <f t="shared" si="35"/>
        <v>45574</v>
      </c>
      <c r="AG1137" s="37">
        <f t="shared" si="36"/>
        <v>46780.611570247936</v>
      </c>
      <c r="AH1137" t="s">
        <v>1705</v>
      </c>
      <c r="AN1137" s="43">
        <v>307.5</v>
      </c>
    </row>
    <row r="1138" spans="2:40">
      <c r="B1138" t="s">
        <v>1476</v>
      </c>
      <c r="C1138" t="s">
        <v>121</v>
      </c>
      <c r="D1138" t="s">
        <v>167</v>
      </c>
      <c r="E1138" t="s">
        <v>83</v>
      </c>
      <c r="F1138" s="37">
        <v>45245</v>
      </c>
      <c r="G1138">
        <v>10</v>
      </c>
      <c r="H1138" t="s">
        <v>174</v>
      </c>
      <c r="I1138" s="37">
        <v>45315</v>
      </c>
      <c r="J1138" t="s">
        <v>165</v>
      </c>
      <c r="K1138" t="s">
        <v>166</v>
      </c>
      <c r="L1138" t="s">
        <v>175</v>
      </c>
      <c r="M1138" t="s">
        <v>1476</v>
      </c>
      <c r="O1138" t="s">
        <v>1476</v>
      </c>
      <c r="Q1138" t="s">
        <v>1651</v>
      </c>
      <c r="U1138" t="s">
        <v>1697</v>
      </c>
      <c r="W1138" t="s">
        <v>1702</v>
      </c>
      <c r="X1138">
        <v>6</v>
      </c>
      <c r="AA1138" s="43">
        <v>307.5</v>
      </c>
      <c r="AC1138" s="43">
        <v>307.5</v>
      </c>
      <c r="AF1138" s="37">
        <f t="shared" si="35"/>
        <v>45574</v>
      </c>
      <c r="AG1138" s="37">
        <f t="shared" si="36"/>
        <v>46780.611570247936</v>
      </c>
      <c r="AH1138" t="s">
        <v>1705</v>
      </c>
      <c r="AN1138" s="43">
        <v>307.5</v>
      </c>
    </row>
    <row r="1139" spans="2:40">
      <c r="B1139" t="s">
        <v>1477</v>
      </c>
      <c r="C1139" t="s">
        <v>121</v>
      </c>
      <c r="D1139" t="s">
        <v>167</v>
      </c>
      <c r="E1139" t="s">
        <v>83</v>
      </c>
      <c r="F1139" s="37">
        <v>45238</v>
      </c>
      <c r="G1139">
        <v>10</v>
      </c>
      <c r="H1139" t="s">
        <v>174</v>
      </c>
      <c r="I1139" s="37">
        <v>45308</v>
      </c>
      <c r="J1139" t="s">
        <v>165</v>
      </c>
      <c r="K1139" t="s">
        <v>166</v>
      </c>
      <c r="L1139" t="s">
        <v>175</v>
      </c>
      <c r="M1139" t="s">
        <v>1477</v>
      </c>
      <c r="O1139" t="s">
        <v>1477</v>
      </c>
      <c r="Q1139" t="s">
        <v>1644</v>
      </c>
      <c r="U1139" t="s">
        <v>1697</v>
      </c>
      <c r="W1139" t="s">
        <v>1702</v>
      </c>
      <c r="X1139">
        <v>6</v>
      </c>
      <c r="AA1139" s="43">
        <v>307.5</v>
      </c>
      <c r="AC1139" s="43">
        <v>307.5</v>
      </c>
      <c r="AF1139" s="37">
        <f t="shared" si="35"/>
        <v>45567</v>
      </c>
      <c r="AG1139" s="37">
        <f t="shared" si="36"/>
        <v>46773.611570247936</v>
      </c>
      <c r="AH1139" t="s">
        <v>1705</v>
      </c>
      <c r="AN1139" s="43">
        <v>307.5</v>
      </c>
    </row>
    <row r="1140" spans="2:40">
      <c r="B1140" t="s">
        <v>1478</v>
      </c>
      <c r="C1140" t="s">
        <v>121</v>
      </c>
      <c r="D1140" t="s">
        <v>167</v>
      </c>
      <c r="E1140" t="s">
        <v>83</v>
      </c>
      <c r="F1140" s="37">
        <v>45238</v>
      </c>
      <c r="G1140">
        <v>10</v>
      </c>
      <c r="H1140" t="s">
        <v>174</v>
      </c>
      <c r="I1140" s="37">
        <v>45308</v>
      </c>
      <c r="J1140" t="s">
        <v>165</v>
      </c>
      <c r="K1140" t="s">
        <v>166</v>
      </c>
      <c r="L1140" t="s">
        <v>175</v>
      </c>
      <c r="M1140" t="s">
        <v>1478</v>
      </c>
      <c r="O1140" t="s">
        <v>1478</v>
      </c>
      <c r="Q1140" t="s">
        <v>1651</v>
      </c>
      <c r="U1140" t="s">
        <v>1697</v>
      </c>
      <c r="W1140" t="s">
        <v>1702</v>
      </c>
      <c r="X1140">
        <v>6</v>
      </c>
      <c r="AA1140" s="43">
        <v>307.5</v>
      </c>
      <c r="AC1140" s="43">
        <v>307.5</v>
      </c>
      <c r="AF1140" s="37">
        <f t="shared" si="35"/>
        <v>45567</v>
      </c>
      <c r="AG1140" s="37">
        <f t="shared" si="36"/>
        <v>46773.611570247936</v>
      </c>
      <c r="AH1140" t="s">
        <v>1705</v>
      </c>
      <c r="AN1140" s="43">
        <v>307.5</v>
      </c>
    </row>
    <row r="1141" spans="2:40">
      <c r="B1141" t="s">
        <v>1479</v>
      </c>
      <c r="C1141" t="s">
        <v>121</v>
      </c>
      <c r="D1141" t="s">
        <v>167</v>
      </c>
      <c r="E1141" t="s">
        <v>83</v>
      </c>
      <c r="F1141" s="37">
        <v>45238</v>
      </c>
      <c r="G1141">
        <v>10</v>
      </c>
      <c r="H1141" t="s">
        <v>174</v>
      </c>
      <c r="I1141" s="37">
        <v>45308</v>
      </c>
      <c r="J1141" t="s">
        <v>165</v>
      </c>
      <c r="K1141" t="s">
        <v>166</v>
      </c>
      <c r="L1141" t="s">
        <v>175</v>
      </c>
      <c r="M1141" t="s">
        <v>1479</v>
      </c>
      <c r="O1141" t="s">
        <v>1479</v>
      </c>
      <c r="Q1141" t="s">
        <v>1644</v>
      </c>
      <c r="U1141" t="s">
        <v>1697</v>
      </c>
      <c r="W1141" t="s">
        <v>1702</v>
      </c>
      <c r="X1141">
        <v>6</v>
      </c>
      <c r="AA1141" s="43">
        <v>307.5</v>
      </c>
      <c r="AC1141" s="43">
        <v>307.5</v>
      </c>
      <c r="AF1141" s="37">
        <f t="shared" si="35"/>
        <v>45567</v>
      </c>
      <c r="AG1141" s="37">
        <f t="shared" si="36"/>
        <v>46773.611570247936</v>
      </c>
      <c r="AH1141" t="s">
        <v>1705</v>
      </c>
      <c r="AN1141" s="43">
        <v>307.5</v>
      </c>
    </row>
    <row r="1142" spans="2:40">
      <c r="B1142" t="s">
        <v>1480</v>
      </c>
      <c r="C1142" t="s">
        <v>121</v>
      </c>
      <c r="D1142" t="s">
        <v>167</v>
      </c>
      <c r="E1142" t="s">
        <v>83</v>
      </c>
      <c r="F1142" s="37">
        <v>45238</v>
      </c>
      <c r="G1142">
        <v>10</v>
      </c>
      <c r="H1142" t="s">
        <v>174</v>
      </c>
      <c r="I1142" s="37">
        <v>45308</v>
      </c>
      <c r="J1142" t="s">
        <v>165</v>
      </c>
      <c r="K1142" t="s">
        <v>166</v>
      </c>
      <c r="L1142" t="s">
        <v>175</v>
      </c>
      <c r="M1142" t="s">
        <v>1480</v>
      </c>
      <c r="O1142" t="s">
        <v>1480</v>
      </c>
      <c r="Q1142" t="s">
        <v>1666</v>
      </c>
      <c r="U1142" t="s">
        <v>1697</v>
      </c>
      <c r="W1142" t="s">
        <v>1702</v>
      </c>
      <c r="X1142">
        <v>6</v>
      </c>
      <c r="AA1142" s="43">
        <v>307.5</v>
      </c>
      <c r="AC1142" s="43">
        <v>307.5</v>
      </c>
      <c r="AF1142" s="37">
        <f t="shared" si="35"/>
        <v>45567</v>
      </c>
      <c r="AG1142" s="37">
        <f t="shared" si="36"/>
        <v>46773.611570247936</v>
      </c>
      <c r="AH1142" t="s">
        <v>1705</v>
      </c>
      <c r="AN1142" s="43">
        <v>307.5</v>
      </c>
    </row>
    <row r="1143" spans="2:40">
      <c r="B1143" t="s">
        <v>1481</v>
      </c>
      <c r="C1143" t="s">
        <v>121</v>
      </c>
      <c r="D1143" t="s">
        <v>167</v>
      </c>
      <c r="E1143" t="s">
        <v>83</v>
      </c>
      <c r="F1143" s="37">
        <v>45231</v>
      </c>
      <c r="G1143">
        <v>10</v>
      </c>
      <c r="H1143" t="s">
        <v>174</v>
      </c>
      <c r="I1143" s="37">
        <v>45301</v>
      </c>
      <c r="J1143" t="s">
        <v>165</v>
      </c>
      <c r="K1143" t="s">
        <v>166</v>
      </c>
      <c r="L1143" t="s">
        <v>175</v>
      </c>
      <c r="M1143" t="s">
        <v>1481</v>
      </c>
      <c r="O1143" t="s">
        <v>1481</v>
      </c>
      <c r="Q1143" t="s">
        <v>1667</v>
      </c>
      <c r="U1143" t="s">
        <v>1697</v>
      </c>
      <c r="W1143" t="s">
        <v>1702</v>
      </c>
      <c r="X1143">
        <v>6</v>
      </c>
      <c r="AA1143" s="43">
        <v>307.5</v>
      </c>
      <c r="AC1143" s="43">
        <v>307.5</v>
      </c>
      <c r="AF1143" s="37">
        <f t="shared" si="35"/>
        <v>45560</v>
      </c>
      <c r="AG1143" s="37">
        <f t="shared" si="36"/>
        <v>46766.611570247936</v>
      </c>
      <c r="AH1143" t="s">
        <v>1705</v>
      </c>
      <c r="AN1143" s="43">
        <v>307.5</v>
      </c>
    </row>
    <row r="1144" spans="2:40">
      <c r="B1144" t="s">
        <v>1482</v>
      </c>
      <c r="C1144" t="s">
        <v>121</v>
      </c>
      <c r="D1144" t="s">
        <v>167</v>
      </c>
      <c r="E1144" t="s">
        <v>83</v>
      </c>
      <c r="F1144" s="37">
        <v>45231</v>
      </c>
      <c r="G1144">
        <v>10</v>
      </c>
      <c r="H1144" t="s">
        <v>174</v>
      </c>
      <c r="I1144" s="37">
        <v>45301</v>
      </c>
      <c r="J1144" t="s">
        <v>165</v>
      </c>
      <c r="K1144" t="s">
        <v>166</v>
      </c>
      <c r="L1144" t="s">
        <v>175</v>
      </c>
      <c r="M1144" t="s">
        <v>1482</v>
      </c>
      <c r="O1144" t="s">
        <v>1482</v>
      </c>
      <c r="Q1144" t="s">
        <v>1667</v>
      </c>
      <c r="U1144" t="s">
        <v>1697</v>
      </c>
      <c r="W1144" t="s">
        <v>1702</v>
      </c>
      <c r="X1144">
        <v>6</v>
      </c>
      <c r="AA1144" s="43">
        <v>307.5</v>
      </c>
      <c r="AC1144" s="43">
        <v>307.5</v>
      </c>
      <c r="AF1144" s="37">
        <f t="shared" si="35"/>
        <v>45560</v>
      </c>
      <c r="AG1144" s="37">
        <f t="shared" si="36"/>
        <v>46766.611570247936</v>
      </c>
      <c r="AH1144" t="s">
        <v>1705</v>
      </c>
      <c r="AN1144" s="43">
        <v>307.5</v>
      </c>
    </row>
    <row r="1145" spans="2:40">
      <c r="B1145" t="s">
        <v>1483</v>
      </c>
      <c r="C1145" t="s">
        <v>121</v>
      </c>
      <c r="D1145" t="s">
        <v>167</v>
      </c>
      <c r="E1145" t="s">
        <v>83</v>
      </c>
      <c r="F1145" s="37">
        <v>45231</v>
      </c>
      <c r="G1145">
        <v>10</v>
      </c>
      <c r="H1145" t="s">
        <v>174</v>
      </c>
      <c r="I1145" s="37">
        <v>45301</v>
      </c>
      <c r="J1145" t="s">
        <v>165</v>
      </c>
      <c r="K1145" t="s">
        <v>166</v>
      </c>
      <c r="L1145" t="s">
        <v>175</v>
      </c>
      <c r="M1145" t="s">
        <v>1483</v>
      </c>
      <c r="O1145" t="s">
        <v>1483</v>
      </c>
      <c r="Q1145" t="s">
        <v>1667</v>
      </c>
      <c r="U1145" t="s">
        <v>1697</v>
      </c>
      <c r="W1145" t="s">
        <v>1702</v>
      </c>
      <c r="X1145">
        <v>6</v>
      </c>
      <c r="AA1145" s="43">
        <v>307.5</v>
      </c>
      <c r="AC1145" s="43">
        <v>307.5</v>
      </c>
      <c r="AF1145" s="37">
        <f t="shared" si="35"/>
        <v>45560</v>
      </c>
      <c r="AG1145" s="37">
        <f t="shared" si="36"/>
        <v>46766.611570247936</v>
      </c>
      <c r="AH1145" t="s">
        <v>1705</v>
      </c>
      <c r="AN1145" s="43">
        <v>307.5</v>
      </c>
    </row>
    <row r="1146" spans="2:40">
      <c r="B1146" t="s">
        <v>1484</v>
      </c>
      <c r="C1146" t="s">
        <v>121</v>
      </c>
      <c r="D1146" t="s">
        <v>167</v>
      </c>
      <c r="E1146" t="s">
        <v>83</v>
      </c>
      <c r="F1146" s="37">
        <v>45224</v>
      </c>
      <c r="G1146">
        <v>10</v>
      </c>
      <c r="H1146" t="s">
        <v>174</v>
      </c>
      <c r="I1146" s="37">
        <v>45294</v>
      </c>
      <c r="J1146" t="s">
        <v>165</v>
      </c>
      <c r="K1146" t="s">
        <v>166</v>
      </c>
      <c r="L1146" t="s">
        <v>175</v>
      </c>
      <c r="M1146" t="s">
        <v>1484</v>
      </c>
      <c r="O1146" t="s">
        <v>1484</v>
      </c>
      <c r="Q1146" t="s">
        <v>1668</v>
      </c>
      <c r="U1146" t="s">
        <v>1697</v>
      </c>
      <c r="W1146" t="s">
        <v>1702</v>
      </c>
      <c r="X1146">
        <v>6</v>
      </c>
      <c r="AA1146" s="43">
        <v>307.5</v>
      </c>
      <c r="AC1146" s="43">
        <v>307.5</v>
      </c>
      <c r="AF1146" s="37">
        <f t="shared" si="35"/>
        <v>45553</v>
      </c>
      <c r="AG1146" s="37">
        <f t="shared" si="36"/>
        <v>46759.611570247936</v>
      </c>
      <c r="AH1146" t="s">
        <v>1705</v>
      </c>
      <c r="AN1146" s="43">
        <v>307.5</v>
      </c>
    </row>
    <row r="1147" spans="2:40">
      <c r="B1147" t="s">
        <v>1485</v>
      </c>
      <c r="C1147" t="s">
        <v>121</v>
      </c>
      <c r="D1147" t="s">
        <v>167</v>
      </c>
      <c r="E1147" t="s">
        <v>83</v>
      </c>
      <c r="F1147" s="37">
        <v>45224</v>
      </c>
      <c r="G1147">
        <v>10</v>
      </c>
      <c r="H1147" t="s">
        <v>174</v>
      </c>
      <c r="I1147" s="37">
        <v>45294</v>
      </c>
      <c r="J1147" t="s">
        <v>165</v>
      </c>
      <c r="K1147" t="s">
        <v>166</v>
      </c>
      <c r="L1147" t="s">
        <v>175</v>
      </c>
      <c r="M1147" t="s">
        <v>1485</v>
      </c>
      <c r="O1147" t="s">
        <v>1485</v>
      </c>
      <c r="Q1147" t="s">
        <v>1668</v>
      </c>
      <c r="U1147" t="s">
        <v>1697</v>
      </c>
      <c r="W1147" t="s">
        <v>1702</v>
      </c>
      <c r="X1147">
        <v>6</v>
      </c>
      <c r="AA1147" s="43">
        <v>307.5</v>
      </c>
      <c r="AC1147" s="43">
        <v>307.5</v>
      </c>
      <c r="AF1147" s="37">
        <f t="shared" si="35"/>
        <v>45553</v>
      </c>
      <c r="AG1147" s="37">
        <f t="shared" si="36"/>
        <v>46759.611570247936</v>
      </c>
      <c r="AH1147" t="s">
        <v>1705</v>
      </c>
      <c r="AN1147" s="43">
        <v>307.5</v>
      </c>
    </row>
    <row r="1148" spans="2:40">
      <c r="B1148" t="s">
        <v>1486</v>
      </c>
      <c r="C1148" t="s">
        <v>121</v>
      </c>
      <c r="D1148" t="s">
        <v>167</v>
      </c>
      <c r="E1148" t="s">
        <v>83</v>
      </c>
      <c r="F1148" s="37">
        <v>45224</v>
      </c>
      <c r="G1148">
        <v>10</v>
      </c>
      <c r="H1148" t="s">
        <v>174</v>
      </c>
      <c r="I1148" s="37">
        <v>45294</v>
      </c>
      <c r="J1148" t="s">
        <v>165</v>
      </c>
      <c r="K1148" t="s">
        <v>166</v>
      </c>
      <c r="L1148" t="s">
        <v>175</v>
      </c>
      <c r="M1148" t="s">
        <v>1486</v>
      </c>
      <c r="O1148" t="s">
        <v>1486</v>
      </c>
      <c r="Q1148" t="s">
        <v>1668</v>
      </c>
      <c r="U1148" t="s">
        <v>1697</v>
      </c>
      <c r="W1148" t="s">
        <v>1702</v>
      </c>
      <c r="X1148">
        <v>6</v>
      </c>
      <c r="AA1148" s="43">
        <v>307.5</v>
      </c>
      <c r="AC1148" s="43">
        <v>307.5</v>
      </c>
      <c r="AF1148" s="37">
        <f t="shared" si="35"/>
        <v>45553</v>
      </c>
      <c r="AG1148" s="37">
        <f t="shared" si="36"/>
        <v>46759.611570247936</v>
      </c>
      <c r="AH1148" t="s">
        <v>1705</v>
      </c>
      <c r="AN1148" s="43">
        <v>307.5</v>
      </c>
    </row>
    <row r="1149" spans="2:40">
      <c r="B1149" t="s">
        <v>1487</v>
      </c>
      <c r="C1149" t="s">
        <v>121</v>
      </c>
      <c r="D1149" t="s">
        <v>167</v>
      </c>
      <c r="E1149" t="s">
        <v>83</v>
      </c>
      <c r="F1149" s="37">
        <v>45217</v>
      </c>
      <c r="G1149">
        <v>10</v>
      </c>
      <c r="H1149" t="s">
        <v>174</v>
      </c>
      <c r="I1149" s="37">
        <v>45285</v>
      </c>
      <c r="J1149" t="s">
        <v>165</v>
      </c>
      <c r="K1149" t="s">
        <v>166</v>
      </c>
      <c r="L1149" t="s">
        <v>175</v>
      </c>
      <c r="M1149" t="s">
        <v>1487</v>
      </c>
      <c r="O1149" t="s">
        <v>1487</v>
      </c>
      <c r="Q1149" t="s">
        <v>1669</v>
      </c>
      <c r="U1149" t="s">
        <v>1697</v>
      </c>
      <c r="W1149" t="s">
        <v>1702</v>
      </c>
      <c r="X1149">
        <v>6</v>
      </c>
      <c r="AA1149" s="43">
        <v>307.5</v>
      </c>
      <c r="AC1149" s="43">
        <v>307.5</v>
      </c>
      <c r="AF1149" s="37">
        <f t="shared" si="35"/>
        <v>45546</v>
      </c>
      <c r="AG1149" s="37">
        <f t="shared" si="36"/>
        <v>46752.611570247936</v>
      </c>
      <c r="AH1149" t="s">
        <v>1705</v>
      </c>
      <c r="AN1149" s="43">
        <v>307.5</v>
      </c>
    </row>
    <row r="1150" spans="2:40">
      <c r="B1150" t="s">
        <v>1488</v>
      </c>
      <c r="C1150" t="s">
        <v>121</v>
      </c>
      <c r="D1150" t="s">
        <v>167</v>
      </c>
      <c r="E1150" t="s">
        <v>83</v>
      </c>
      <c r="F1150" s="37">
        <v>45217</v>
      </c>
      <c r="G1150">
        <v>10</v>
      </c>
      <c r="H1150" t="s">
        <v>174</v>
      </c>
      <c r="I1150" s="37">
        <v>45285</v>
      </c>
      <c r="J1150" t="s">
        <v>165</v>
      </c>
      <c r="K1150" t="s">
        <v>166</v>
      </c>
      <c r="L1150" t="s">
        <v>175</v>
      </c>
      <c r="M1150" t="s">
        <v>1488</v>
      </c>
      <c r="O1150" t="s">
        <v>1488</v>
      </c>
      <c r="Q1150" t="s">
        <v>1669</v>
      </c>
      <c r="U1150" t="s">
        <v>1697</v>
      </c>
      <c r="W1150" t="s">
        <v>1702</v>
      </c>
      <c r="X1150">
        <v>6</v>
      </c>
      <c r="AA1150" s="43">
        <v>307.5</v>
      </c>
      <c r="AC1150" s="43">
        <v>307.5</v>
      </c>
      <c r="AF1150" s="37">
        <f t="shared" si="35"/>
        <v>45546</v>
      </c>
      <c r="AG1150" s="37">
        <f t="shared" si="36"/>
        <v>46752.611570247936</v>
      </c>
      <c r="AH1150" t="s">
        <v>1705</v>
      </c>
      <c r="AN1150" s="43">
        <v>307.5</v>
      </c>
    </row>
    <row r="1151" spans="2:40">
      <c r="B1151" t="s">
        <v>1489</v>
      </c>
      <c r="C1151" t="s">
        <v>121</v>
      </c>
      <c r="D1151" t="s">
        <v>167</v>
      </c>
      <c r="E1151" t="s">
        <v>83</v>
      </c>
      <c r="F1151" s="37">
        <v>45217</v>
      </c>
      <c r="G1151">
        <v>10</v>
      </c>
      <c r="H1151" t="s">
        <v>174</v>
      </c>
      <c r="I1151" s="37">
        <v>45285</v>
      </c>
      <c r="J1151" t="s">
        <v>165</v>
      </c>
      <c r="K1151" t="s">
        <v>166</v>
      </c>
      <c r="L1151" t="s">
        <v>175</v>
      </c>
      <c r="M1151" t="s">
        <v>1489</v>
      </c>
      <c r="O1151" t="s">
        <v>1489</v>
      </c>
      <c r="Q1151" t="s">
        <v>1669</v>
      </c>
      <c r="U1151" t="s">
        <v>1697</v>
      </c>
      <c r="W1151" t="s">
        <v>1702</v>
      </c>
      <c r="X1151">
        <v>6</v>
      </c>
      <c r="AA1151" s="43">
        <v>307.5</v>
      </c>
      <c r="AC1151" s="43">
        <v>307.5</v>
      </c>
      <c r="AF1151" s="37">
        <f t="shared" si="35"/>
        <v>45546</v>
      </c>
      <c r="AG1151" s="37">
        <f t="shared" si="36"/>
        <v>46752.611570247936</v>
      </c>
      <c r="AH1151" t="s">
        <v>1705</v>
      </c>
      <c r="AN1151" s="43">
        <v>307.5</v>
      </c>
    </row>
    <row r="1152" spans="2:40">
      <c r="B1152" t="s">
        <v>1490</v>
      </c>
      <c r="C1152" t="s">
        <v>121</v>
      </c>
      <c r="D1152" t="s">
        <v>167</v>
      </c>
      <c r="E1152" t="s">
        <v>83</v>
      </c>
      <c r="F1152" s="37">
        <v>45210</v>
      </c>
      <c r="G1152">
        <v>10</v>
      </c>
      <c r="H1152" t="s">
        <v>174</v>
      </c>
      <c r="I1152" s="37">
        <v>45278</v>
      </c>
      <c r="J1152" t="s">
        <v>165</v>
      </c>
      <c r="K1152" t="s">
        <v>166</v>
      </c>
      <c r="L1152" t="s">
        <v>175</v>
      </c>
      <c r="M1152" t="s">
        <v>1490</v>
      </c>
      <c r="O1152" t="s">
        <v>1490</v>
      </c>
      <c r="Q1152" t="s">
        <v>1652</v>
      </c>
      <c r="U1152" t="s">
        <v>1697</v>
      </c>
      <c r="W1152" t="s">
        <v>1702</v>
      </c>
      <c r="X1152">
        <v>6</v>
      </c>
      <c r="AA1152" s="43">
        <v>307.5</v>
      </c>
      <c r="AC1152" s="43">
        <v>307.5</v>
      </c>
      <c r="AF1152" s="37">
        <f t="shared" si="35"/>
        <v>45539</v>
      </c>
      <c r="AG1152" s="37">
        <f t="shared" si="36"/>
        <v>46745.611570247936</v>
      </c>
      <c r="AH1152" t="s">
        <v>1705</v>
      </c>
      <c r="AN1152" s="43">
        <v>307.5</v>
      </c>
    </row>
    <row r="1153" spans="2:40">
      <c r="B1153" t="s">
        <v>1491</v>
      </c>
      <c r="C1153" t="s">
        <v>121</v>
      </c>
      <c r="D1153" t="s">
        <v>167</v>
      </c>
      <c r="E1153" t="s">
        <v>83</v>
      </c>
      <c r="F1153" s="37">
        <v>45210</v>
      </c>
      <c r="G1153">
        <v>10</v>
      </c>
      <c r="H1153" t="s">
        <v>174</v>
      </c>
      <c r="I1153" s="37">
        <v>45273</v>
      </c>
      <c r="J1153" t="s">
        <v>165</v>
      </c>
      <c r="K1153" t="s">
        <v>166</v>
      </c>
      <c r="L1153" t="s">
        <v>175</v>
      </c>
      <c r="M1153" t="s">
        <v>1491</v>
      </c>
      <c r="O1153" t="s">
        <v>1491</v>
      </c>
      <c r="Q1153" t="s">
        <v>1646</v>
      </c>
      <c r="U1153" t="s">
        <v>1697</v>
      </c>
      <c r="W1153" t="s">
        <v>1702</v>
      </c>
      <c r="X1153">
        <v>6</v>
      </c>
      <c r="AA1153" s="43">
        <v>307.5</v>
      </c>
      <c r="AC1153" s="43">
        <v>307.5</v>
      </c>
      <c r="AF1153" s="37">
        <f t="shared" si="35"/>
        <v>45539</v>
      </c>
      <c r="AG1153" s="37">
        <f t="shared" si="36"/>
        <v>46745.611570247936</v>
      </c>
      <c r="AH1153" t="s">
        <v>1705</v>
      </c>
      <c r="AN1153" s="43">
        <v>307.5</v>
      </c>
    </row>
    <row r="1154" spans="2:40">
      <c r="B1154" t="s">
        <v>1492</v>
      </c>
      <c r="C1154" t="s">
        <v>121</v>
      </c>
      <c r="D1154" t="s">
        <v>167</v>
      </c>
      <c r="E1154" t="s">
        <v>83</v>
      </c>
      <c r="F1154" s="37">
        <v>45210</v>
      </c>
      <c r="G1154">
        <v>10</v>
      </c>
      <c r="H1154" t="s">
        <v>174</v>
      </c>
      <c r="I1154" s="37">
        <v>45273</v>
      </c>
      <c r="J1154" t="s">
        <v>165</v>
      </c>
      <c r="K1154" t="s">
        <v>166</v>
      </c>
      <c r="L1154" t="s">
        <v>175</v>
      </c>
      <c r="M1154" t="s">
        <v>1492</v>
      </c>
      <c r="O1154" t="s">
        <v>1492</v>
      </c>
      <c r="Q1154" t="s">
        <v>1646</v>
      </c>
      <c r="U1154" t="s">
        <v>1697</v>
      </c>
      <c r="W1154" t="s">
        <v>1702</v>
      </c>
      <c r="X1154">
        <v>6</v>
      </c>
      <c r="AA1154" s="43">
        <v>307.5</v>
      </c>
      <c r="AC1154" s="43">
        <v>307.5</v>
      </c>
      <c r="AF1154" s="37">
        <f t="shared" si="35"/>
        <v>45539</v>
      </c>
      <c r="AG1154" s="37">
        <f t="shared" si="36"/>
        <v>46745.611570247936</v>
      </c>
      <c r="AH1154" t="s">
        <v>1705</v>
      </c>
      <c r="AN1154" s="43">
        <v>307.5</v>
      </c>
    </row>
    <row r="1155" spans="2:40">
      <c r="B1155" t="s">
        <v>1493</v>
      </c>
      <c r="C1155" t="s">
        <v>121</v>
      </c>
      <c r="D1155" t="s">
        <v>167</v>
      </c>
      <c r="E1155" t="s">
        <v>83</v>
      </c>
      <c r="F1155" s="37">
        <v>45210</v>
      </c>
      <c r="G1155">
        <v>10</v>
      </c>
      <c r="H1155" t="s">
        <v>174</v>
      </c>
      <c r="I1155" s="37">
        <v>45278</v>
      </c>
      <c r="J1155" t="s">
        <v>165</v>
      </c>
      <c r="K1155" t="s">
        <v>166</v>
      </c>
      <c r="L1155" t="s">
        <v>175</v>
      </c>
      <c r="M1155" t="s">
        <v>1493</v>
      </c>
      <c r="O1155" t="s">
        <v>1493</v>
      </c>
      <c r="Q1155" t="s">
        <v>1652</v>
      </c>
      <c r="U1155" t="s">
        <v>1697</v>
      </c>
      <c r="W1155" t="s">
        <v>1702</v>
      </c>
      <c r="X1155">
        <v>6</v>
      </c>
      <c r="AA1155" s="43">
        <v>307.5</v>
      </c>
      <c r="AC1155" s="43">
        <v>307.5</v>
      </c>
      <c r="AF1155" s="37">
        <f t="shared" si="35"/>
        <v>45539</v>
      </c>
      <c r="AG1155" s="37">
        <f t="shared" si="36"/>
        <v>46745.611570247936</v>
      </c>
      <c r="AH1155" t="s">
        <v>1705</v>
      </c>
      <c r="AN1155" s="43">
        <v>307.5</v>
      </c>
    </row>
    <row r="1156" spans="2:40">
      <c r="B1156" t="s">
        <v>1494</v>
      </c>
      <c r="C1156" t="s">
        <v>121</v>
      </c>
      <c r="D1156" t="s">
        <v>167</v>
      </c>
      <c r="E1156" t="s">
        <v>83</v>
      </c>
      <c r="F1156" s="37">
        <v>45196</v>
      </c>
      <c r="G1156">
        <v>10</v>
      </c>
      <c r="H1156" t="s">
        <v>174</v>
      </c>
      <c r="I1156" s="37">
        <v>45236</v>
      </c>
      <c r="J1156" t="s">
        <v>165</v>
      </c>
      <c r="K1156" t="s">
        <v>166</v>
      </c>
      <c r="L1156" t="s">
        <v>175</v>
      </c>
      <c r="M1156" t="s">
        <v>1494</v>
      </c>
      <c r="O1156" t="s">
        <v>1494</v>
      </c>
      <c r="Q1156" t="s">
        <v>1643</v>
      </c>
      <c r="U1156" t="s">
        <v>1697</v>
      </c>
      <c r="W1156" t="s">
        <v>1702</v>
      </c>
      <c r="X1156">
        <v>6</v>
      </c>
      <c r="AA1156" s="43">
        <v>307.5</v>
      </c>
      <c r="AC1156" s="43">
        <v>307.5</v>
      </c>
      <c r="AF1156" s="37">
        <f t="shared" si="35"/>
        <v>45525</v>
      </c>
      <c r="AG1156" s="37">
        <f t="shared" si="36"/>
        <v>46731.611570247936</v>
      </c>
      <c r="AH1156" t="s">
        <v>1705</v>
      </c>
      <c r="AN1156" s="43">
        <v>307.5</v>
      </c>
    </row>
    <row r="1157" spans="2:40">
      <c r="B1157" t="s">
        <v>1495</v>
      </c>
      <c r="C1157" t="s">
        <v>121</v>
      </c>
      <c r="D1157" t="s">
        <v>167</v>
      </c>
      <c r="E1157" t="s">
        <v>83</v>
      </c>
      <c r="F1157" s="37">
        <v>45196</v>
      </c>
      <c r="G1157">
        <v>10</v>
      </c>
      <c r="H1157" t="s">
        <v>174</v>
      </c>
      <c r="I1157" s="37">
        <v>45236</v>
      </c>
      <c r="J1157" t="s">
        <v>165</v>
      </c>
      <c r="K1157" t="s">
        <v>166</v>
      </c>
      <c r="L1157" t="s">
        <v>175</v>
      </c>
      <c r="M1157" t="s">
        <v>1495</v>
      </c>
      <c r="O1157" t="s">
        <v>1495</v>
      </c>
      <c r="Q1157" t="s">
        <v>1643</v>
      </c>
      <c r="U1157" t="s">
        <v>1697</v>
      </c>
      <c r="W1157" t="s">
        <v>1702</v>
      </c>
      <c r="X1157">
        <v>6</v>
      </c>
      <c r="AA1157" s="43">
        <v>307.5</v>
      </c>
      <c r="AC1157" s="43">
        <v>307.5</v>
      </c>
      <c r="AF1157" s="37">
        <f t="shared" si="35"/>
        <v>45525</v>
      </c>
      <c r="AG1157" s="37">
        <f t="shared" si="36"/>
        <v>46731.611570247936</v>
      </c>
      <c r="AH1157" t="s">
        <v>1705</v>
      </c>
      <c r="AN1157" s="43">
        <v>307.5</v>
      </c>
    </row>
    <row r="1158" spans="2:40">
      <c r="B1158" t="s">
        <v>1496</v>
      </c>
      <c r="C1158" t="s">
        <v>121</v>
      </c>
      <c r="D1158" t="s">
        <v>167</v>
      </c>
      <c r="E1158" t="s">
        <v>83</v>
      </c>
      <c r="F1158" s="37">
        <v>45196</v>
      </c>
      <c r="G1158">
        <v>10</v>
      </c>
      <c r="H1158" t="s">
        <v>174</v>
      </c>
      <c r="I1158" s="37">
        <v>45236</v>
      </c>
      <c r="J1158" t="s">
        <v>165</v>
      </c>
      <c r="K1158" t="s">
        <v>166</v>
      </c>
      <c r="L1158" t="s">
        <v>175</v>
      </c>
      <c r="M1158" t="s">
        <v>1496</v>
      </c>
      <c r="O1158" t="s">
        <v>1496</v>
      </c>
      <c r="Q1158" t="s">
        <v>1643</v>
      </c>
      <c r="U1158" t="s">
        <v>1697</v>
      </c>
      <c r="W1158" t="s">
        <v>1702</v>
      </c>
      <c r="X1158">
        <v>6</v>
      </c>
      <c r="AA1158" s="43">
        <v>307.5</v>
      </c>
      <c r="AC1158" s="43">
        <v>307.5</v>
      </c>
      <c r="AF1158" s="37">
        <f t="shared" si="35"/>
        <v>45525</v>
      </c>
      <c r="AG1158" s="37">
        <f t="shared" si="36"/>
        <v>46731.611570247936</v>
      </c>
      <c r="AH1158" t="s">
        <v>1705</v>
      </c>
      <c r="AN1158" s="43">
        <v>307.5</v>
      </c>
    </row>
    <row r="1159" spans="2:40">
      <c r="B1159" t="s">
        <v>1497</v>
      </c>
      <c r="C1159" t="s">
        <v>121</v>
      </c>
      <c r="D1159" t="s">
        <v>167</v>
      </c>
      <c r="E1159" t="s">
        <v>83</v>
      </c>
      <c r="F1159" s="37">
        <v>45189</v>
      </c>
      <c r="G1159">
        <v>10</v>
      </c>
      <c r="H1159" t="s">
        <v>174</v>
      </c>
      <c r="I1159" s="37">
        <v>45259</v>
      </c>
      <c r="J1159" t="s">
        <v>165</v>
      </c>
      <c r="K1159" t="s">
        <v>166</v>
      </c>
      <c r="L1159" t="s">
        <v>175</v>
      </c>
      <c r="M1159" t="s">
        <v>1497</v>
      </c>
      <c r="O1159" t="s">
        <v>1497</v>
      </c>
      <c r="Q1159" t="s">
        <v>1647</v>
      </c>
      <c r="U1159" t="s">
        <v>1697</v>
      </c>
      <c r="W1159" t="s">
        <v>1702</v>
      </c>
      <c r="X1159">
        <v>6</v>
      </c>
      <c r="AA1159" s="43">
        <v>307.5</v>
      </c>
      <c r="AC1159" s="43">
        <v>307.5</v>
      </c>
      <c r="AF1159" s="37">
        <f t="shared" ref="AF1159:AF1222" si="37">F1159+(47*7)</f>
        <v>45518</v>
      </c>
      <c r="AG1159" s="37">
        <f t="shared" ref="AG1159:AG1222" si="38">+AF1159+(365*8)/2.42</f>
        <v>46724.611570247936</v>
      </c>
      <c r="AH1159" t="s">
        <v>1705</v>
      </c>
      <c r="AN1159" s="43">
        <v>307.5</v>
      </c>
    </row>
    <row r="1160" spans="2:40">
      <c r="B1160" t="s">
        <v>1498</v>
      </c>
      <c r="C1160" t="s">
        <v>121</v>
      </c>
      <c r="D1160" t="s">
        <v>167</v>
      </c>
      <c r="E1160" t="s">
        <v>83</v>
      </c>
      <c r="F1160" s="37">
        <v>45189</v>
      </c>
      <c r="G1160">
        <v>10</v>
      </c>
      <c r="H1160" t="s">
        <v>174</v>
      </c>
      <c r="I1160" s="37">
        <v>45259</v>
      </c>
      <c r="J1160" t="s">
        <v>165</v>
      </c>
      <c r="K1160" t="s">
        <v>166</v>
      </c>
      <c r="L1160" t="s">
        <v>175</v>
      </c>
      <c r="M1160" t="s">
        <v>1498</v>
      </c>
      <c r="O1160" t="s">
        <v>1498</v>
      </c>
      <c r="Q1160" t="s">
        <v>1647</v>
      </c>
      <c r="U1160" t="s">
        <v>1697</v>
      </c>
      <c r="W1160" t="s">
        <v>1702</v>
      </c>
      <c r="X1160">
        <v>6</v>
      </c>
      <c r="AA1160" s="43">
        <v>307.5</v>
      </c>
      <c r="AC1160" s="43">
        <v>307.5</v>
      </c>
      <c r="AF1160" s="37">
        <f t="shared" si="37"/>
        <v>45518</v>
      </c>
      <c r="AG1160" s="37">
        <f t="shared" si="38"/>
        <v>46724.611570247936</v>
      </c>
      <c r="AH1160" t="s">
        <v>1705</v>
      </c>
      <c r="AN1160" s="43">
        <v>307.5</v>
      </c>
    </row>
    <row r="1161" spans="2:40">
      <c r="B1161" t="s">
        <v>1499</v>
      </c>
      <c r="C1161" t="s">
        <v>121</v>
      </c>
      <c r="D1161" t="s">
        <v>167</v>
      </c>
      <c r="E1161" t="s">
        <v>83</v>
      </c>
      <c r="F1161" s="37">
        <v>45189</v>
      </c>
      <c r="G1161">
        <v>10</v>
      </c>
      <c r="H1161" t="s">
        <v>174</v>
      </c>
      <c r="I1161" s="37">
        <v>45259</v>
      </c>
      <c r="J1161" t="s">
        <v>165</v>
      </c>
      <c r="K1161" t="s">
        <v>166</v>
      </c>
      <c r="L1161" t="s">
        <v>175</v>
      </c>
      <c r="M1161" t="s">
        <v>1499</v>
      </c>
      <c r="O1161" t="s">
        <v>1499</v>
      </c>
      <c r="Q1161" t="s">
        <v>1647</v>
      </c>
      <c r="U1161" t="s">
        <v>1697</v>
      </c>
      <c r="W1161" t="s">
        <v>1702</v>
      </c>
      <c r="X1161">
        <v>6</v>
      </c>
      <c r="AA1161" s="43">
        <v>307.5</v>
      </c>
      <c r="AC1161" s="43">
        <v>307.5</v>
      </c>
      <c r="AF1161" s="37">
        <f t="shared" si="37"/>
        <v>45518</v>
      </c>
      <c r="AG1161" s="37">
        <f t="shared" si="38"/>
        <v>46724.611570247936</v>
      </c>
      <c r="AH1161" t="s">
        <v>1705</v>
      </c>
      <c r="AN1161" s="43">
        <v>307.5</v>
      </c>
    </row>
    <row r="1162" spans="2:40">
      <c r="B1162" t="s">
        <v>1500</v>
      </c>
      <c r="C1162" t="s">
        <v>121</v>
      </c>
      <c r="D1162" t="s">
        <v>167</v>
      </c>
      <c r="E1162" t="s">
        <v>83</v>
      </c>
      <c r="F1162" s="37">
        <v>45189</v>
      </c>
      <c r="G1162">
        <v>10</v>
      </c>
      <c r="H1162" t="s">
        <v>174</v>
      </c>
      <c r="I1162" s="37">
        <v>45259</v>
      </c>
      <c r="J1162" t="s">
        <v>165</v>
      </c>
      <c r="K1162" t="s">
        <v>166</v>
      </c>
      <c r="L1162" t="s">
        <v>175</v>
      </c>
      <c r="M1162" t="s">
        <v>1500</v>
      </c>
      <c r="O1162" t="s">
        <v>1500</v>
      </c>
      <c r="Q1162" t="s">
        <v>1647</v>
      </c>
      <c r="U1162" t="s">
        <v>1697</v>
      </c>
      <c r="W1162" t="s">
        <v>1702</v>
      </c>
      <c r="X1162">
        <v>6</v>
      </c>
      <c r="AA1162" s="43">
        <v>307.5</v>
      </c>
      <c r="AC1162" s="43">
        <v>307.5</v>
      </c>
      <c r="AF1162" s="37">
        <f t="shared" si="37"/>
        <v>45518</v>
      </c>
      <c r="AG1162" s="37">
        <f t="shared" si="38"/>
        <v>46724.611570247936</v>
      </c>
      <c r="AH1162" t="s">
        <v>1705</v>
      </c>
      <c r="AN1162" s="43">
        <v>307.5</v>
      </c>
    </row>
    <row r="1163" spans="2:40">
      <c r="B1163" t="s">
        <v>1501</v>
      </c>
      <c r="C1163" t="s">
        <v>121</v>
      </c>
      <c r="D1163" t="s">
        <v>167</v>
      </c>
      <c r="E1163" t="s">
        <v>83</v>
      </c>
      <c r="F1163" s="37">
        <v>45189</v>
      </c>
      <c r="G1163">
        <v>10</v>
      </c>
      <c r="H1163" t="s">
        <v>174</v>
      </c>
      <c r="I1163" s="37">
        <v>45259</v>
      </c>
      <c r="J1163" t="s">
        <v>165</v>
      </c>
      <c r="K1163" t="s">
        <v>166</v>
      </c>
      <c r="L1163" t="s">
        <v>175</v>
      </c>
      <c r="M1163" t="s">
        <v>1501</v>
      </c>
      <c r="O1163" t="s">
        <v>1501</v>
      </c>
      <c r="Q1163" t="s">
        <v>1647</v>
      </c>
      <c r="U1163" t="s">
        <v>1697</v>
      </c>
      <c r="W1163" t="s">
        <v>1702</v>
      </c>
      <c r="X1163">
        <v>6</v>
      </c>
      <c r="AA1163" s="43">
        <v>307.5</v>
      </c>
      <c r="AC1163" s="43">
        <v>307.5</v>
      </c>
      <c r="AF1163" s="37">
        <f t="shared" si="37"/>
        <v>45518</v>
      </c>
      <c r="AG1163" s="37">
        <f t="shared" si="38"/>
        <v>46724.611570247936</v>
      </c>
      <c r="AH1163" t="s">
        <v>1705</v>
      </c>
      <c r="AN1163" s="43">
        <v>307.5</v>
      </c>
    </row>
    <row r="1164" spans="2:40">
      <c r="B1164" t="s">
        <v>1502</v>
      </c>
      <c r="C1164" t="s">
        <v>121</v>
      </c>
      <c r="D1164" t="s">
        <v>167</v>
      </c>
      <c r="E1164" t="s">
        <v>83</v>
      </c>
      <c r="F1164" s="37">
        <v>45189</v>
      </c>
      <c r="G1164">
        <v>10</v>
      </c>
      <c r="H1164" t="s">
        <v>174</v>
      </c>
      <c r="I1164" s="37">
        <v>45259</v>
      </c>
      <c r="J1164" t="s">
        <v>165</v>
      </c>
      <c r="K1164" t="s">
        <v>166</v>
      </c>
      <c r="L1164" t="s">
        <v>175</v>
      </c>
      <c r="M1164" t="s">
        <v>1502</v>
      </c>
      <c r="O1164" t="s">
        <v>1502</v>
      </c>
      <c r="Q1164" t="s">
        <v>1647</v>
      </c>
      <c r="U1164" t="s">
        <v>1697</v>
      </c>
      <c r="W1164" t="s">
        <v>1702</v>
      </c>
      <c r="X1164">
        <v>6</v>
      </c>
      <c r="AA1164" s="43">
        <v>307.5</v>
      </c>
      <c r="AC1164" s="43">
        <v>307.5</v>
      </c>
      <c r="AF1164" s="37">
        <f t="shared" si="37"/>
        <v>45518</v>
      </c>
      <c r="AG1164" s="37">
        <f t="shared" si="38"/>
        <v>46724.611570247936</v>
      </c>
      <c r="AH1164" t="s">
        <v>1705</v>
      </c>
      <c r="AN1164" s="43">
        <v>307.5</v>
      </c>
    </row>
    <row r="1165" spans="2:40">
      <c r="B1165" t="s">
        <v>1503</v>
      </c>
      <c r="C1165" t="s">
        <v>121</v>
      </c>
      <c r="D1165" t="s">
        <v>167</v>
      </c>
      <c r="E1165" t="s">
        <v>83</v>
      </c>
      <c r="F1165" s="37">
        <v>45182</v>
      </c>
      <c r="G1165">
        <v>10</v>
      </c>
      <c r="H1165" t="s">
        <v>174</v>
      </c>
      <c r="I1165" s="37">
        <v>45252</v>
      </c>
      <c r="J1165" t="s">
        <v>165</v>
      </c>
      <c r="K1165" t="s">
        <v>166</v>
      </c>
      <c r="L1165" t="s">
        <v>175</v>
      </c>
      <c r="M1165" t="s">
        <v>1503</v>
      </c>
      <c r="O1165" t="s">
        <v>1503</v>
      </c>
      <c r="Q1165" t="s">
        <v>1644</v>
      </c>
      <c r="U1165" t="s">
        <v>1697</v>
      </c>
      <c r="W1165" t="s">
        <v>1702</v>
      </c>
      <c r="X1165">
        <v>6</v>
      </c>
      <c r="AA1165" s="43">
        <v>307.5</v>
      </c>
      <c r="AC1165" s="43">
        <v>307.5</v>
      </c>
      <c r="AF1165" s="37">
        <f t="shared" si="37"/>
        <v>45511</v>
      </c>
      <c r="AG1165" s="37">
        <f t="shared" si="38"/>
        <v>46717.611570247936</v>
      </c>
      <c r="AH1165" t="s">
        <v>1705</v>
      </c>
      <c r="AN1165" s="43">
        <v>307.5</v>
      </c>
    </row>
    <row r="1166" spans="2:40">
      <c r="B1166" t="s">
        <v>1504</v>
      </c>
      <c r="C1166" t="s">
        <v>121</v>
      </c>
      <c r="D1166" t="s">
        <v>167</v>
      </c>
      <c r="E1166" t="s">
        <v>83</v>
      </c>
      <c r="F1166" s="37">
        <v>45182</v>
      </c>
      <c r="G1166">
        <v>10</v>
      </c>
      <c r="H1166" t="s">
        <v>174</v>
      </c>
      <c r="I1166" s="37">
        <v>45252</v>
      </c>
      <c r="J1166" t="s">
        <v>165</v>
      </c>
      <c r="K1166" t="s">
        <v>166</v>
      </c>
      <c r="L1166" t="s">
        <v>175</v>
      </c>
      <c r="M1166" t="s">
        <v>1504</v>
      </c>
      <c r="O1166" t="s">
        <v>1504</v>
      </c>
      <c r="Q1166" t="s">
        <v>1644</v>
      </c>
      <c r="U1166" t="s">
        <v>1697</v>
      </c>
      <c r="W1166" t="s">
        <v>1702</v>
      </c>
      <c r="X1166">
        <v>6</v>
      </c>
      <c r="AA1166" s="43">
        <v>307.5</v>
      </c>
      <c r="AC1166" s="43">
        <v>307.5</v>
      </c>
      <c r="AF1166" s="37">
        <f t="shared" si="37"/>
        <v>45511</v>
      </c>
      <c r="AG1166" s="37">
        <f t="shared" si="38"/>
        <v>46717.611570247936</v>
      </c>
      <c r="AH1166" t="s">
        <v>1705</v>
      </c>
      <c r="AN1166" s="43">
        <v>307.5</v>
      </c>
    </row>
    <row r="1167" spans="2:40">
      <c r="B1167" t="s">
        <v>1505</v>
      </c>
      <c r="C1167" t="s">
        <v>121</v>
      </c>
      <c r="D1167" t="s">
        <v>167</v>
      </c>
      <c r="E1167" t="s">
        <v>83</v>
      </c>
      <c r="F1167" s="37">
        <v>45182</v>
      </c>
      <c r="G1167">
        <v>10</v>
      </c>
      <c r="H1167" t="s">
        <v>174</v>
      </c>
      <c r="I1167" s="37">
        <v>45252</v>
      </c>
      <c r="J1167" t="s">
        <v>165</v>
      </c>
      <c r="K1167" t="s">
        <v>166</v>
      </c>
      <c r="L1167" t="s">
        <v>175</v>
      </c>
      <c r="M1167" t="s">
        <v>1505</v>
      </c>
      <c r="O1167" t="s">
        <v>1505</v>
      </c>
      <c r="Q1167" t="s">
        <v>1644</v>
      </c>
      <c r="U1167" t="s">
        <v>1697</v>
      </c>
      <c r="W1167" t="s">
        <v>1702</v>
      </c>
      <c r="X1167">
        <v>6</v>
      </c>
      <c r="AA1167" s="43">
        <v>307.5</v>
      </c>
      <c r="AC1167" s="43">
        <v>307.5</v>
      </c>
      <c r="AF1167" s="37">
        <f t="shared" si="37"/>
        <v>45511</v>
      </c>
      <c r="AG1167" s="37">
        <f t="shared" si="38"/>
        <v>46717.611570247936</v>
      </c>
      <c r="AH1167" t="s">
        <v>1705</v>
      </c>
      <c r="AN1167" s="43">
        <v>307.5</v>
      </c>
    </row>
    <row r="1168" spans="2:40">
      <c r="B1168" t="s">
        <v>1506</v>
      </c>
      <c r="C1168" t="s">
        <v>121</v>
      </c>
      <c r="D1168" t="s">
        <v>167</v>
      </c>
      <c r="E1168" t="s">
        <v>83</v>
      </c>
      <c r="F1168" s="37">
        <v>45175</v>
      </c>
      <c r="G1168">
        <v>10</v>
      </c>
      <c r="H1168" t="s">
        <v>174</v>
      </c>
      <c r="I1168" s="37">
        <v>45245</v>
      </c>
      <c r="J1168" t="s">
        <v>165</v>
      </c>
      <c r="K1168" t="s">
        <v>166</v>
      </c>
      <c r="L1168" t="s">
        <v>175</v>
      </c>
      <c r="M1168" t="s">
        <v>1506</v>
      </c>
      <c r="O1168" t="s">
        <v>1506</v>
      </c>
      <c r="Q1168" t="s">
        <v>1652</v>
      </c>
      <c r="U1168" t="s">
        <v>1698</v>
      </c>
      <c r="W1168" t="s">
        <v>1703</v>
      </c>
      <c r="X1168">
        <v>6</v>
      </c>
      <c r="AA1168" s="43">
        <v>307.5</v>
      </c>
      <c r="AC1168" s="43">
        <v>307.5</v>
      </c>
      <c r="AF1168" s="37">
        <f t="shared" si="37"/>
        <v>45504</v>
      </c>
      <c r="AG1168" s="37">
        <f t="shared" si="38"/>
        <v>46710.611570247936</v>
      </c>
      <c r="AH1168" t="s">
        <v>169</v>
      </c>
      <c r="AN1168" s="43">
        <v>307.5</v>
      </c>
    </row>
    <row r="1169" spans="2:40">
      <c r="B1169" t="s">
        <v>1507</v>
      </c>
      <c r="C1169" t="s">
        <v>121</v>
      </c>
      <c r="D1169" t="s">
        <v>167</v>
      </c>
      <c r="E1169" t="s">
        <v>83</v>
      </c>
      <c r="F1169" s="37">
        <v>45175</v>
      </c>
      <c r="G1169">
        <v>10</v>
      </c>
      <c r="H1169" t="s">
        <v>174</v>
      </c>
      <c r="I1169" s="37">
        <v>45245</v>
      </c>
      <c r="J1169" t="s">
        <v>165</v>
      </c>
      <c r="K1169" t="s">
        <v>166</v>
      </c>
      <c r="L1169" t="s">
        <v>175</v>
      </c>
      <c r="M1169" t="s">
        <v>1507</v>
      </c>
      <c r="O1169" t="s">
        <v>1507</v>
      </c>
      <c r="Q1169" t="s">
        <v>1652</v>
      </c>
      <c r="U1169" t="s">
        <v>1698</v>
      </c>
      <c r="W1169" t="s">
        <v>1703</v>
      </c>
      <c r="X1169">
        <v>6</v>
      </c>
      <c r="AA1169" s="43">
        <v>307.5</v>
      </c>
      <c r="AC1169" s="43">
        <v>307.5</v>
      </c>
      <c r="AF1169" s="37">
        <f t="shared" si="37"/>
        <v>45504</v>
      </c>
      <c r="AG1169" s="37">
        <f t="shared" si="38"/>
        <v>46710.611570247936</v>
      </c>
      <c r="AH1169" t="s">
        <v>169</v>
      </c>
      <c r="AN1169" s="43">
        <v>307.5</v>
      </c>
    </row>
    <row r="1170" spans="2:40">
      <c r="B1170" t="s">
        <v>1508</v>
      </c>
      <c r="C1170" t="s">
        <v>121</v>
      </c>
      <c r="D1170" t="s">
        <v>167</v>
      </c>
      <c r="E1170" t="s">
        <v>83</v>
      </c>
      <c r="F1170" s="37">
        <v>45175</v>
      </c>
      <c r="G1170">
        <v>10</v>
      </c>
      <c r="H1170" t="s">
        <v>174</v>
      </c>
      <c r="I1170" s="37">
        <v>45245</v>
      </c>
      <c r="J1170" t="s">
        <v>165</v>
      </c>
      <c r="K1170" t="s">
        <v>166</v>
      </c>
      <c r="L1170" t="s">
        <v>175</v>
      </c>
      <c r="M1170" t="s">
        <v>1508</v>
      </c>
      <c r="O1170" t="s">
        <v>1508</v>
      </c>
      <c r="Q1170" t="s">
        <v>1652</v>
      </c>
      <c r="U1170" t="s">
        <v>1697</v>
      </c>
      <c r="W1170" t="s">
        <v>1702</v>
      </c>
      <c r="X1170">
        <v>6</v>
      </c>
      <c r="AA1170" s="43">
        <v>307.5</v>
      </c>
      <c r="AC1170" s="43">
        <v>307.5</v>
      </c>
      <c r="AF1170" s="37">
        <f t="shared" si="37"/>
        <v>45504</v>
      </c>
      <c r="AG1170" s="37">
        <f t="shared" si="38"/>
        <v>46710.611570247936</v>
      </c>
      <c r="AH1170" t="s">
        <v>1705</v>
      </c>
      <c r="AN1170" s="43">
        <v>307.5</v>
      </c>
    </row>
    <row r="1171" spans="2:40">
      <c r="B1171" t="s">
        <v>1509</v>
      </c>
      <c r="C1171" t="s">
        <v>121</v>
      </c>
      <c r="D1171" t="s">
        <v>167</v>
      </c>
      <c r="E1171" t="s">
        <v>83</v>
      </c>
      <c r="F1171" s="37">
        <v>45175</v>
      </c>
      <c r="G1171">
        <v>10</v>
      </c>
      <c r="H1171" t="s">
        <v>174</v>
      </c>
      <c r="I1171" s="37">
        <v>45245</v>
      </c>
      <c r="J1171" t="s">
        <v>165</v>
      </c>
      <c r="K1171" t="s">
        <v>166</v>
      </c>
      <c r="L1171" t="s">
        <v>175</v>
      </c>
      <c r="M1171" t="s">
        <v>1509</v>
      </c>
      <c r="O1171" t="s">
        <v>1509</v>
      </c>
      <c r="Q1171" t="s">
        <v>1652</v>
      </c>
      <c r="U1171" t="s">
        <v>1697</v>
      </c>
      <c r="W1171" t="s">
        <v>1702</v>
      </c>
      <c r="X1171">
        <v>6</v>
      </c>
      <c r="AA1171" s="43">
        <v>307.5</v>
      </c>
      <c r="AC1171" s="43">
        <v>307.5</v>
      </c>
      <c r="AF1171" s="37">
        <f t="shared" si="37"/>
        <v>45504</v>
      </c>
      <c r="AG1171" s="37">
        <f t="shared" si="38"/>
        <v>46710.611570247936</v>
      </c>
      <c r="AH1171" t="s">
        <v>1705</v>
      </c>
      <c r="AN1171" s="43">
        <v>307.5</v>
      </c>
    </row>
    <row r="1172" spans="2:40">
      <c r="B1172" t="s">
        <v>1510</v>
      </c>
      <c r="C1172" t="s">
        <v>121</v>
      </c>
      <c r="D1172" t="s">
        <v>167</v>
      </c>
      <c r="E1172" t="s">
        <v>83</v>
      </c>
      <c r="F1172" s="37">
        <v>45175</v>
      </c>
      <c r="G1172">
        <v>10</v>
      </c>
      <c r="H1172" t="s">
        <v>174</v>
      </c>
      <c r="I1172" s="37">
        <v>45245</v>
      </c>
      <c r="J1172" t="s">
        <v>165</v>
      </c>
      <c r="K1172" t="s">
        <v>166</v>
      </c>
      <c r="L1172" t="s">
        <v>175</v>
      </c>
      <c r="M1172" t="s">
        <v>1510</v>
      </c>
      <c r="O1172" t="s">
        <v>1510</v>
      </c>
      <c r="Q1172" t="s">
        <v>1652</v>
      </c>
      <c r="U1172" t="s">
        <v>1698</v>
      </c>
      <c r="W1172" t="s">
        <v>1703</v>
      </c>
      <c r="X1172">
        <v>6</v>
      </c>
      <c r="AA1172" s="43">
        <v>307.5</v>
      </c>
      <c r="AC1172" s="43">
        <v>307.5</v>
      </c>
      <c r="AF1172" s="37">
        <f t="shared" si="37"/>
        <v>45504</v>
      </c>
      <c r="AG1172" s="37">
        <f t="shared" si="38"/>
        <v>46710.611570247936</v>
      </c>
      <c r="AH1172" t="s">
        <v>169</v>
      </c>
      <c r="AN1172" s="43">
        <v>307.5</v>
      </c>
    </row>
    <row r="1173" spans="2:40">
      <c r="B1173" t="s">
        <v>1511</v>
      </c>
      <c r="C1173" t="s">
        <v>121</v>
      </c>
      <c r="D1173" t="s">
        <v>167</v>
      </c>
      <c r="E1173" t="s">
        <v>83</v>
      </c>
      <c r="F1173" s="37">
        <v>45175</v>
      </c>
      <c r="G1173">
        <v>10</v>
      </c>
      <c r="H1173" t="s">
        <v>174</v>
      </c>
      <c r="I1173" s="37">
        <v>45245</v>
      </c>
      <c r="J1173" t="s">
        <v>165</v>
      </c>
      <c r="K1173" t="s">
        <v>166</v>
      </c>
      <c r="L1173" t="s">
        <v>175</v>
      </c>
      <c r="M1173" t="s">
        <v>1511</v>
      </c>
      <c r="O1173" t="s">
        <v>1511</v>
      </c>
      <c r="Q1173" t="s">
        <v>1652</v>
      </c>
      <c r="U1173" t="s">
        <v>1697</v>
      </c>
      <c r="W1173" t="s">
        <v>1702</v>
      </c>
      <c r="X1173">
        <v>6</v>
      </c>
      <c r="AA1173" s="43">
        <v>307.5</v>
      </c>
      <c r="AC1173" s="43">
        <v>307.5</v>
      </c>
      <c r="AF1173" s="37">
        <f t="shared" si="37"/>
        <v>45504</v>
      </c>
      <c r="AG1173" s="37">
        <f t="shared" si="38"/>
        <v>46710.611570247936</v>
      </c>
      <c r="AH1173" t="s">
        <v>1705</v>
      </c>
      <c r="AN1173" s="43">
        <v>307.5</v>
      </c>
    </row>
    <row r="1174" spans="2:40">
      <c r="B1174" t="s">
        <v>1512</v>
      </c>
      <c r="C1174" t="s">
        <v>121</v>
      </c>
      <c r="D1174" t="s">
        <v>167</v>
      </c>
      <c r="E1174" t="s">
        <v>83</v>
      </c>
      <c r="F1174" s="37">
        <v>45168</v>
      </c>
      <c r="G1174">
        <v>10</v>
      </c>
      <c r="H1174" t="s">
        <v>174</v>
      </c>
      <c r="I1174" s="37">
        <v>45238</v>
      </c>
      <c r="J1174" t="s">
        <v>165</v>
      </c>
      <c r="K1174" t="s">
        <v>166</v>
      </c>
      <c r="L1174" t="s">
        <v>175</v>
      </c>
      <c r="M1174" t="s">
        <v>1512</v>
      </c>
      <c r="O1174" t="s">
        <v>1512</v>
      </c>
      <c r="Q1174" t="s">
        <v>1660</v>
      </c>
      <c r="U1174" t="s">
        <v>1698</v>
      </c>
      <c r="W1174" t="s">
        <v>1703</v>
      </c>
      <c r="X1174">
        <v>6</v>
      </c>
      <c r="AA1174" s="43">
        <v>307.5</v>
      </c>
      <c r="AC1174" s="43">
        <v>307.5</v>
      </c>
      <c r="AF1174" s="37">
        <f t="shared" si="37"/>
        <v>45497</v>
      </c>
      <c r="AG1174" s="37">
        <f t="shared" si="38"/>
        <v>46703.611570247936</v>
      </c>
      <c r="AH1174" t="s">
        <v>169</v>
      </c>
      <c r="AN1174" s="43">
        <v>307.5</v>
      </c>
    </row>
    <row r="1175" spans="2:40">
      <c r="B1175" t="s">
        <v>1513</v>
      </c>
      <c r="C1175" t="s">
        <v>121</v>
      </c>
      <c r="D1175" t="s">
        <v>167</v>
      </c>
      <c r="E1175" t="s">
        <v>83</v>
      </c>
      <c r="F1175" s="37">
        <v>45168</v>
      </c>
      <c r="G1175">
        <v>10</v>
      </c>
      <c r="H1175" t="s">
        <v>174</v>
      </c>
      <c r="I1175" s="37">
        <v>45238</v>
      </c>
      <c r="J1175" t="s">
        <v>165</v>
      </c>
      <c r="K1175" t="s">
        <v>166</v>
      </c>
      <c r="L1175" t="s">
        <v>175</v>
      </c>
      <c r="M1175" t="s">
        <v>1513</v>
      </c>
      <c r="O1175" t="s">
        <v>1513</v>
      </c>
      <c r="Q1175" t="s">
        <v>1660</v>
      </c>
      <c r="U1175" t="s">
        <v>1697</v>
      </c>
      <c r="W1175" t="s">
        <v>1702</v>
      </c>
      <c r="X1175">
        <v>6</v>
      </c>
      <c r="AA1175" s="43">
        <v>307.5</v>
      </c>
      <c r="AC1175" s="43">
        <v>307.5</v>
      </c>
      <c r="AF1175" s="37">
        <f t="shared" si="37"/>
        <v>45497</v>
      </c>
      <c r="AG1175" s="37">
        <f t="shared" si="38"/>
        <v>46703.611570247936</v>
      </c>
      <c r="AH1175" t="s">
        <v>1705</v>
      </c>
      <c r="AN1175" s="43">
        <v>307.5</v>
      </c>
    </row>
    <row r="1176" spans="2:40">
      <c r="B1176" t="s">
        <v>1514</v>
      </c>
      <c r="C1176" t="s">
        <v>121</v>
      </c>
      <c r="D1176" t="s">
        <v>167</v>
      </c>
      <c r="E1176" t="s">
        <v>83</v>
      </c>
      <c r="F1176" s="37">
        <v>45168</v>
      </c>
      <c r="G1176">
        <v>10</v>
      </c>
      <c r="H1176" t="s">
        <v>174</v>
      </c>
      <c r="I1176" s="37">
        <v>45238</v>
      </c>
      <c r="J1176" t="s">
        <v>165</v>
      </c>
      <c r="K1176" t="s">
        <v>166</v>
      </c>
      <c r="L1176" t="s">
        <v>175</v>
      </c>
      <c r="M1176" t="s">
        <v>1514</v>
      </c>
      <c r="O1176" t="s">
        <v>1514</v>
      </c>
      <c r="Q1176" t="s">
        <v>1660</v>
      </c>
      <c r="U1176" t="s">
        <v>1696</v>
      </c>
      <c r="W1176" t="s">
        <v>1699</v>
      </c>
      <c r="X1176">
        <v>7</v>
      </c>
      <c r="AA1176" s="43">
        <v>307.5</v>
      </c>
      <c r="AC1176" s="43">
        <v>307.5</v>
      </c>
      <c r="AF1176" s="37">
        <f t="shared" si="37"/>
        <v>45497</v>
      </c>
      <c r="AG1176" s="37">
        <f t="shared" si="38"/>
        <v>46703.611570247936</v>
      </c>
      <c r="AH1176" t="s">
        <v>1704</v>
      </c>
      <c r="AN1176" s="43">
        <v>307.5</v>
      </c>
    </row>
    <row r="1177" spans="2:40">
      <c r="B1177" t="s">
        <v>1515</v>
      </c>
      <c r="C1177" t="s">
        <v>121</v>
      </c>
      <c r="D1177" t="s">
        <v>167</v>
      </c>
      <c r="E1177" t="s">
        <v>83</v>
      </c>
      <c r="F1177" s="37">
        <v>45168</v>
      </c>
      <c r="G1177">
        <v>10</v>
      </c>
      <c r="H1177" t="s">
        <v>174</v>
      </c>
      <c r="I1177" s="37">
        <v>45238</v>
      </c>
      <c r="J1177" t="s">
        <v>165</v>
      </c>
      <c r="K1177" t="s">
        <v>166</v>
      </c>
      <c r="L1177" t="s">
        <v>175</v>
      </c>
      <c r="M1177" t="s">
        <v>1515</v>
      </c>
      <c r="O1177" t="s">
        <v>1515</v>
      </c>
      <c r="Q1177" t="s">
        <v>1660</v>
      </c>
      <c r="U1177" t="s">
        <v>1698</v>
      </c>
      <c r="W1177" t="s">
        <v>1703</v>
      </c>
      <c r="X1177">
        <v>6</v>
      </c>
      <c r="AA1177" s="43">
        <v>307.5</v>
      </c>
      <c r="AC1177" s="43">
        <v>307.5</v>
      </c>
      <c r="AF1177" s="37">
        <f t="shared" si="37"/>
        <v>45497</v>
      </c>
      <c r="AG1177" s="37">
        <f t="shared" si="38"/>
        <v>46703.611570247936</v>
      </c>
      <c r="AH1177" t="s">
        <v>169</v>
      </c>
      <c r="AN1177" s="43">
        <v>307.5</v>
      </c>
    </row>
    <row r="1178" spans="2:40">
      <c r="B1178" t="s">
        <v>1516</v>
      </c>
      <c r="C1178" t="s">
        <v>121</v>
      </c>
      <c r="D1178" t="s">
        <v>167</v>
      </c>
      <c r="E1178" t="s">
        <v>83</v>
      </c>
      <c r="F1178" s="37">
        <v>45161</v>
      </c>
      <c r="G1178">
        <v>10</v>
      </c>
      <c r="H1178" t="s">
        <v>174</v>
      </c>
      <c r="I1178" s="37">
        <v>45231</v>
      </c>
      <c r="J1178" t="s">
        <v>165</v>
      </c>
      <c r="K1178" t="s">
        <v>166</v>
      </c>
      <c r="L1178" t="s">
        <v>175</v>
      </c>
      <c r="M1178" t="s">
        <v>1516</v>
      </c>
      <c r="O1178" t="s">
        <v>1516</v>
      </c>
      <c r="Q1178" t="s">
        <v>1643</v>
      </c>
      <c r="U1178" t="s">
        <v>1698</v>
      </c>
      <c r="W1178" t="s">
        <v>1703</v>
      </c>
      <c r="X1178">
        <v>6</v>
      </c>
      <c r="AA1178" s="43">
        <v>307.5</v>
      </c>
      <c r="AC1178" s="43">
        <v>307.5</v>
      </c>
      <c r="AF1178" s="37">
        <f t="shared" si="37"/>
        <v>45490</v>
      </c>
      <c r="AG1178" s="37">
        <f t="shared" si="38"/>
        <v>46696.611570247936</v>
      </c>
      <c r="AH1178" t="s">
        <v>169</v>
      </c>
      <c r="AN1178" s="43">
        <v>307.5</v>
      </c>
    </row>
    <row r="1179" spans="2:40">
      <c r="B1179" t="s">
        <v>1517</v>
      </c>
      <c r="C1179" t="s">
        <v>121</v>
      </c>
      <c r="D1179" t="s">
        <v>167</v>
      </c>
      <c r="E1179" t="s">
        <v>83</v>
      </c>
      <c r="F1179" s="37">
        <v>45161</v>
      </c>
      <c r="G1179">
        <v>10</v>
      </c>
      <c r="H1179" t="s">
        <v>174</v>
      </c>
      <c r="I1179" s="37">
        <v>45231</v>
      </c>
      <c r="J1179" t="s">
        <v>165</v>
      </c>
      <c r="K1179" t="s">
        <v>166</v>
      </c>
      <c r="L1179" t="s">
        <v>175</v>
      </c>
      <c r="M1179" t="s">
        <v>1517</v>
      </c>
      <c r="O1179" t="s">
        <v>1517</v>
      </c>
      <c r="Q1179" t="s">
        <v>1643</v>
      </c>
      <c r="U1179" t="s">
        <v>1698</v>
      </c>
      <c r="W1179" t="s">
        <v>1703</v>
      </c>
      <c r="X1179">
        <v>6</v>
      </c>
      <c r="AA1179" s="43">
        <v>307.5</v>
      </c>
      <c r="AC1179" s="43">
        <v>307.5</v>
      </c>
      <c r="AF1179" s="37">
        <f t="shared" si="37"/>
        <v>45490</v>
      </c>
      <c r="AG1179" s="37">
        <f t="shared" si="38"/>
        <v>46696.611570247936</v>
      </c>
      <c r="AH1179" t="s">
        <v>169</v>
      </c>
      <c r="AN1179" s="43">
        <v>307.5</v>
      </c>
    </row>
    <row r="1180" spans="2:40">
      <c r="B1180" t="s">
        <v>1518</v>
      </c>
      <c r="C1180" t="s">
        <v>121</v>
      </c>
      <c r="D1180" t="s">
        <v>167</v>
      </c>
      <c r="E1180" t="s">
        <v>83</v>
      </c>
      <c r="F1180" s="37">
        <v>45161</v>
      </c>
      <c r="G1180">
        <v>10</v>
      </c>
      <c r="H1180" t="s">
        <v>174</v>
      </c>
      <c r="I1180" s="37">
        <v>45231</v>
      </c>
      <c r="J1180" t="s">
        <v>165</v>
      </c>
      <c r="K1180" t="s">
        <v>166</v>
      </c>
      <c r="L1180" t="s">
        <v>175</v>
      </c>
      <c r="M1180" t="s">
        <v>1518</v>
      </c>
      <c r="O1180" t="s">
        <v>1518</v>
      </c>
      <c r="Q1180" t="s">
        <v>1643</v>
      </c>
      <c r="U1180" t="s">
        <v>1698</v>
      </c>
      <c r="W1180" t="s">
        <v>1703</v>
      </c>
      <c r="X1180">
        <v>6</v>
      </c>
      <c r="AA1180" s="43">
        <v>307.5</v>
      </c>
      <c r="AC1180" s="43">
        <v>307.5</v>
      </c>
      <c r="AF1180" s="37">
        <f t="shared" si="37"/>
        <v>45490</v>
      </c>
      <c r="AG1180" s="37">
        <f t="shared" si="38"/>
        <v>46696.611570247936</v>
      </c>
      <c r="AH1180" t="s">
        <v>169</v>
      </c>
      <c r="AN1180" s="43">
        <v>307.5</v>
      </c>
    </row>
    <row r="1181" spans="2:40">
      <c r="B1181" t="s">
        <v>1519</v>
      </c>
      <c r="C1181" t="s">
        <v>121</v>
      </c>
      <c r="D1181" t="s">
        <v>167</v>
      </c>
      <c r="E1181" t="s">
        <v>83</v>
      </c>
      <c r="F1181" s="37">
        <v>45161</v>
      </c>
      <c r="G1181">
        <v>10</v>
      </c>
      <c r="H1181" t="s">
        <v>174</v>
      </c>
      <c r="I1181" s="37">
        <v>45231</v>
      </c>
      <c r="J1181" t="s">
        <v>165</v>
      </c>
      <c r="K1181" t="s">
        <v>166</v>
      </c>
      <c r="L1181" t="s">
        <v>175</v>
      </c>
      <c r="M1181" t="s">
        <v>1519</v>
      </c>
      <c r="O1181" t="s">
        <v>1519</v>
      </c>
      <c r="Q1181" t="s">
        <v>1643</v>
      </c>
      <c r="U1181" t="s">
        <v>1697</v>
      </c>
      <c r="W1181" t="s">
        <v>1702</v>
      </c>
      <c r="X1181">
        <v>6</v>
      </c>
      <c r="AA1181" s="43">
        <v>307.5</v>
      </c>
      <c r="AC1181" s="43">
        <v>307.5</v>
      </c>
      <c r="AF1181" s="37">
        <f t="shared" si="37"/>
        <v>45490</v>
      </c>
      <c r="AG1181" s="37">
        <f t="shared" si="38"/>
        <v>46696.611570247936</v>
      </c>
      <c r="AH1181" t="s">
        <v>1705</v>
      </c>
      <c r="AN1181" s="43">
        <v>307.5</v>
      </c>
    </row>
    <row r="1182" spans="2:40">
      <c r="B1182" t="s">
        <v>1520</v>
      </c>
      <c r="C1182" t="s">
        <v>121</v>
      </c>
      <c r="D1182" t="s">
        <v>167</v>
      </c>
      <c r="E1182" t="s">
        <v>83</v>
      </c>
      <c r="F1182" s="37">
        <v>45161</v>
      </c>
      <c r="G1182">
        <v>10</v>
      </c>
      <c r="H1182" t="s">
        <v>174</v>
      </c>
      <c r="I1182" s="37">
        <v>45231</v>
      </c>
      <c r="J1182" t="s">
        <v>165</v>
      </c>
      <c r="K1182" t="s">
        <v>166</v>
      </c>
      <c r="L1182" t="s">
        <v>175</v>
      </c>
      <c r="M1182" t="s">
        <v>1520</v>
      </c>
      <c r="O1182" t="s">
        <v>1520</v>
      </c>
      <c r="Q1182" t="s">
        <v>1643</v>
      </c>
      <c r="U1182" t="s">
        <v>1697</v>
      </c>
      <c r="W1182" t="s">
        <v>1702</v>
      </c>
      <c r="X1182">
        <v>7</v>
      </c>
      <c r="AA1182" s="43">
        <v>307.5</v>
      </c>
      <c r="AC1182" s="43">
        <v>307.5</v>
      </c>
      <c r="AF1182" s="37">
        <f t="shared" si="37"/>
        <v>45490</v>
      </c>
      <c r="AG1182" s="37">
        <f t="shared" si="38"/>
        <v>46696.611570247936</v>
      </c>
      <c r="AH1182" t="s">
        <v>1705</v>
      </c>
      <c r="AN1182" s="43">
        <v>307.5</v>
      </c>
    </row>
    <row r="1183" spans="2:40">
      <c r="B1183" t="s">
        <v>1521</v>
      </c>
      <c r="C1183" t="s">
        <v>121</v>
      </c>
      <c r="D1183" t="s">
        <v>167</v>
      </c>
      <c r="E1183" t="s">
        <v>83</v>
      </c>
      <c r="F1183" s="37">
        <v>45154</v>
      </c>
      <c r="G1183">
        <v>10</v>
      </c>
      <c r="H1183" t="s">
        <v>174</v>
      </c>
      <c r="I1183" s="37">
        <v>45224</v>
      </c>
      <c r="J1183" t="s">
        <v>165</v>
      </c>
      <c r="K1183" t="s">
        <v>166</v>
      </c>
      <c r="L1183" t="s">
        <v>175</v>
      </c>
      <c r="M1183" t="s">
        <v>1521</v>
      </c>
      <c r="O1183" t="s">
        <v>1521</v>
      </c>
      <c r="Q1183" t="s">
        <v>1670</v>
      </c>
      <c r="U1183" t="s">
        <v>1696</v>
      </c>
      <c r="W1183" t="s">
        <v>1699</v>
      </c>
      <c r="X1183">
        <v>7</v>
      </c>
      <c r="AA1183" s="43">
        <v>307.5</v>
      </c>
      <c r="AC1183" s="43">
        <v>307.5</v>
      </c>
      <c r="AF1183" s="37">
        <f t="shared" si="37"/>
        <v>45483</v>
      </c>
      <c r="AG1183" s="37">
        <f t="shared" si="38"/>
        <v>46689.611570247936</v>
      </c>
      <c r="AH1183" t="s">
        <v>1704</v>
      </c>
      <c r="AN1183" s="43">
        <v>307.5</v>
      </c>
    </row>
    <row r="1184" spans="2:40">
      <c r="B1184" t="s">
        <v>1522</v>
      </c>
      <c r="C1184" t="s">
        <v>121</v>
      </c>
      <c r="D1184" t="s">
        <v>167</v>
      </c>
      <c r="E1184" t="s">
        <v>83</v>
      </c>
      <c r="F1184" s="37">
        <v>45154</v>
      </c>
      <c r="G1184">
        <v>10</v>
      </c>
      <c r="H1184" t="s">
        <v>174</v>
      </c>
      <c r="I1184" s="37">
        <v>45224</v>
      </c>
      <c r="J1184" t="s">
        <v>165</v>
      </c>
      <c r="K1184" t="s">
        <v>166</v>
      </c>
      <c r="L1184" t="s">
        <v>175</v>
      </c>
      <c r="M1184" t="s">
        <v>1522</v>
      </c>
      <c r="O1184" t="s">
        <v>1522</v>
      </c>
      <c r="Q1184" t="s">
        <v>1670</v>
      </c>
      <c r="U1184" t="s">
        <v>1698</v>
      </c>
      <c r="W1184" t="s">
        <v>1703</v>
      </c>
      <c r="X1184">
        <v>6</v>
      </c>
      <c r="AA1184" s="43">
        <v>307.5</v>
      </c>
      <c r="AC1184" s="43">
        <v>307.5</v>
      </c>
      <c r="AF1184" s="37">
        <f t="shared" si="37"/>
        <v>45483</v>
      </c>
      <c r="AG1184" s="37">
        <f t="shared" si="38"/>
        <v>46689.611570247936</v>
      </c>
      <c r="AH1184" t="s">
        <v>169</v>
      </c>
      <c r="AN1184" s="43">
        <v>307.5</v>
      </c>
    </row>
    <row r="1185" spans="2:40">
      <c r="B1185" t="s">
        <v>1523</v>
      </c>
      <c r="C1185" t="s">
        <v>121</v>
      </c>
      <c r="D1185" t="s">
        <v>167</v>
      </c>
      <c r="E1185" t="s">
        <v>83</v>
      </c>
      <c r="F1185" s="37">
        <v>45154</v>
      </c>
      <c r="G1185">
        <v>10</v>
      </c>
      <c r="H1185" t="s">
        <v>174</v>
      </c>
      <c r="I1185" s="37">
        <v>45224</v>
      </c>
      <c r="J1185" t="s">
        <v>165</v>
      </c>
      <c r="K1185" t="s">
        <v>166</v>
      </c>
      <c r="L1185" t="s">
        <v>175</v>
      </c>
      <c r="M1185" t="s">
        <v>1523</v>
      </c>
      <c r="O1185" t="s">
        <v>1523</v>
      </c>
      <c r="Q1185" t="s">
        <v>1670</v>
      </c>
      <c r="U1185" t="s">
        <v>1697</v>
      </c>
      <c r="W1185" t="s">
        <v>1702</v>
      </c>
      <c r="X1185">
        <v>6</v>
      </c>
      <c r="AA1185" s="43">
        <v>307.5</v>
      </c>
      <c r="AC1185" s="43">
        <v>307.5</v>
      </c>
      <c r="AF1185" s="37">
        <f t="shared" si="37"/>
        <v>45483</v>
      </c>
      <c r="AG1185" s="37">
        <f t="shared" si="38"/>
        <v>46689.611570247936</v>
      </c>
      <c r="AH1185" t="s">
        <v>1705</v>
      </c>
      <c r="AN1185" s="43">
        <v>307.5</v>
      </c>
    </row>
    <row r="1186" spans="2:40">
      <c r="B1186" t="s">
        <v>1524</v>
      </c>
      <c r="C1186" t="s">
        <v>121</v>
      </c>
      <c r="D1186" t="s">
        <v>167</v>
      </c>
      <c r="E1186" t="s">
        <v>83</v>
      </c>
      <c r="F1186" s="37">
        <v>45154</v>
      </c>
      <c r="G1186">
        <v>10</v>
      </c>
      <c r="H1186" t="s">
        <v>174</v>
      </c>
      <c r="I1186" s="37">
        <v>45224</v>
      </c>
      <c r="J1186" t="s">
        <v>165</v>
      </c>
      <c r="K1186" t="s">
        <v>166</v>
      </c>
      <c r="L1186" t="s">
        <v>175</v>
      </c>
      <c r="M1186" t="s">
        <v>1524</v>
      </c>
      <c r="O1186" t="s">
        <v>1524</v>
      </c>
      <c r="Q1186" t="s">
        <v>1670</v>
      </c>
      <c r="U1186" t="s">
        <v>1698</v>
      </c>
      <c r="W1186" t="s">
        <v>1703</v>
      </c>
      <c r="X1186">
        <v>6</v>
      </c>
      <c r="AA1186" s="43">
        <v>307.5</v>
      </c>
      <c r="AC1186" s="43">
        <v>307.5</v>
      </c>
      <c r="AF1186" s="37">
        <f t="shared" si="37"/>
        <v>45483</v>
      </c>
      <c r="AG1186" s="37">
        <f t="shared" si="38"/>
        <v>46689.611570247936</v>
      </c>
      <c r="AH1186" t="s">
        <v>169</v>
      </c>
      <c r="AN1186" s="43">
        <v>307.5</v>
      </c>
    </row>
    <row r="1187" spans="2:40">
      <c r="B1187" t="s">
        <v>1525</v>
      </c>
      <c r="C1187" t="s">
        <v>121</v>
      </c>
      <c r="D1187" t="s">
        <v>167</v>
      </c>
      <c r="E1187" t="s">
        <v>83</v>
      </c>
      <c r="F1187" s="37">
        <v>45147</v>
      </c>
      <c r="G1187">
        <v>10</v>
      </c>
      <c r="H1187" t="s">
        <v>174</v>
      </c>
      <c r="I1187" s="37">
        <v>45217</v>
      </c>
      <c r="J1187" t="s">
        <v>165</v>
      </c>
      <c r="K1187" t="s">
        <v>166</v>
      </c>
      <c r="L1187" t="s">
        <v>175</v>
      </c>
      <c r="M1187" t="s">
        <v>1525</v>
      </c>
      <c r="O1187" t="s">
        <v>1525</v>
      </c>
      <c r="Q1187" t="s">
        <v>1670</v>
      </c>
      <c r="U1187" t="s">
        <v>1696</v>
      </c>
      <c r="W1187" t="s">
        <v>1699</v>
      </c>
      <c r="X1187">
        <v>7</v>
      </c>
      <c r="AA1187" s="43">
        <v>307.5</v>
      </c>
      <c r="AC1187" s="43">
        <v>307.5</v>
      </c>
      <c r="AF1187" s="37">
        <f t="shared" si="37"/>
        <v>45476</v>
      </c>
      <c r="AG1187" s="37">
        <f t="shared" si="38"/>
        <v>46682.611570247936</v>
      </c>
      <c r="AH1187" t="s">
        <v>1704</v>
      </c>
      <c r="AN1187" s="43">
        <v>307.5</v>
      </c>
    </row>
    <row r="1188" spans="2:40">
      <c r="B1188" t="s">
        <v>1526</v>
      </c>
      <c r="C1188" t="s">
        <v>121</v>
      </c>
      <c r="D1188" t="s">
        <v>167</v>
      </c>
      <c r="E1188" t="s">
        <v>83</v>
      </c>
      <c r="F1188" s="37">
        <v>45147</v>
      </c>
      <c r="G1188">
        <v>10</v>
      </c>
      <c r="H1188" t="s">
        <v>174</v>
      </c>
      <c r="I1188" s="37">
        <v>45217</v>
      </c>
      <c r="J1188" t="s">
        <v>165</v>
      </c>
      <c r="K1188" t="s">
        <v>166</v>
      </c>
      <c r="L1188" t="s">
        <v>175</v>
      </c>
      <c r="M1188" t="s">
        <v>1526</v>
      </c>
      <c r="O1188" t="s">
        <v>1526</v>
      </c>
      <c r="Q1188" t="s">
        <v>1670</v>
      </c>
      <c r="U1188" t="s">
        <v>1697</v>
      </c>
      <c r="W1188" t="s">
        <v>1702</v>
      </c>
      <c r="X1188">
        <v>7</v>
      </c>
      <c r="AA1188" s="43">
        <v>307.5</v>
      </c>
      <c r="AC1188" s="43">
        <v>307.5</v>
      </c>
      <c r="AF1188" s="37">
        <f t="shared" si="37"/>
        <v>45476</v>
      </c>
      <c r="AG1188" s="37">
        <f t="shared" si="38"/>
        <v>46682.611570247936</v>
      </c>
      <c r="AH1188" t="s">
        <v>1705</v>
      </c>
      <c r="AN1188" s="43">
        <v>307.5</v>
      </c>
    </row>
    <row r="1189" spans="2:40">
      <c r="B1189" t="s">
        <v>1527</v>
      </c>
      <c r="C1189" t="s">
        <v>121</v>
      </c>
      <c r="D1189" t="s">
        <v>167</v>
      </c>
      <c r="E1189" t="s">
        <v>83</v>
      </c>
      <c r="F1189" s="37">
        <v>45147</v>
      </c>
      <c r="G1189">
        <v>10</v>
      </c>
      <c r="H1189" t="s">
        <v>174</v>
      </c>
      <c r="I1189" s="37">
        <v>45217</v>
      </c>
      <c r="J1189" t="s">
        <v>165</v>
      </c>
      <c r="K1189" t="s">
        <v>166</v>
      </c>
      <c r="L1189" t="s">
        <v>175</v>
      </c>
      <c r="M1189" t="s">
        <v>1527</v>
      </c>
      <c r="O1189" t="s">
        <v>1527</v>
      </c>
      <c r="Q1189" t="s">
        <v>1663</v>
      </c>
      <c r="U1189" t="s">
        <v>1697</v>
      </c>
      <c r="W1189" t="s">
        <v>1702</v>
      </c>
      <c r="X1189">
        <v>7</v>
      </c>
      <c r="AA1189" s="43">
        <v>307.5</v>
      </c>
      <c r="AC1189" s="43">
        <v>307.5</v>
      </c>
      <c r="AF1189" s="37">
        <f t="shared" si="37"/>
        <v>45476</v>
      </c>
      <c r="AG1189" s="37">
        <f t="shared" si="38"/>
        <v>46682.611570247936</v>
      </c>
      <c r="AH1189" t="s">
        <v>1705</v>
      </c>
      <c r="AN1189" s="43">
        <v>307.5</v>
      </c>
    </row>
    <row r="1190" spans="2:40">
      <c r="B1190" t="s">
        <v>1528</v>
      </c>
      <c r="C1190" t="s">
        <v>121</v>
      </c>
      <c r="D1190" t="s">
        <v>167</v>
      </c>
      <c r="E1190" t="s">
        <v>83</v>
      </c>
      <c r="F1190" s="37">
        <v>45147</v>
      </c>
      <c r="G1190">
        <v>10</v>
      </c>
      <c r="H1190" t="s">
        <v>174</v>
      </c>
      <c r="I1190" s="37">
        <v>45217</v>
      </c>
      <c r="J1190" t="s">
        <v>165</v>
      </c>
      <c r="K1190" t="s">
        <v>166</v>
      </c>
      <c r="L1190" t="s">
        <v>175</v>
      </c>
      <c r="M1190" t="s">
        <v>1528</v>
      </c>
      <c r="O1190" t="s">
        <v>1528</v>
      </c>
      <c r="Q1190" t="s">
        <v>1663</v>
      </c>
      <c r="U1190" t="s">
        <v>1696</v>
      </c>
      <c r="W1190" t="s">
        <v>1699</v>
      </c>
      <c r="X1190">
        <v>7</v>
      </c>
      <c r="AA1190" s="43">
        <v>307.5</v>
      </c>
      <c r="AC1190" s="43">
        <v>307.5</v>
      </c>
      <c r="AF1190" s="37">
        <f t="shared" si="37"/>
        <v>45476</v>
      </c>
      <c r="AG1190" s="37">
        <f t="shared" si="38"/>
        <v>46682.611570247936</v>
      </c>
      <c r="AH1190" t="s">
        <v>1704</v>
      </c>
      <c r="AN1190" s="43">
        <v>307.5</v>
      </c>
    </row>
    <row r="1191" spans="2:40">
      <c r="B1191" t="s">
        <v>1529</v>
      </c>
      <c r="C1191" t="s">
        <v>121</v>
      </c>
      <c r="D1191" t="s">
        <v>167</v>
      </c>
      <c r="E1191" t="s">
        <v>83</v>
      </c>
      <c r="F1191" s="37">
        <v>45147</v>
      </c>
      <c r="G1191">
        <v>10</v>
      </c>
      <c r="H1191" t="s">
        <v>174</v>
      </c>
      <c r="I1191" s="37">
        <v>45217</v>
      </c>
      <c r="J1191" t="s">
        <v>165</v>
      </c>
      <c r="K1191" t="s">
        <v>166</v>
      </c>
      <c r="L1191" t="s">
        <v>175</v>
      </c>
      <c r="M1191" t="s">
        <v>1529</v>
      </c>
      <c r="O1191" t="s">
        <v>1529</v>
      </c>
      <c r="Q1191" t="s">
        <v>1663</v>
      </c>
      <c r="U1191" t="s">
        <v>1697</v>
      </c>
      <c r="W1191" t="s">
        <v>1702</v>
      </c>
      <c r="X1191">
        <v>7</v>
      </c>
      <c r="AA1191" s="43">
        <v>307.5</v>
      </c>
      <c r="AC1191" s="43">
        <v>307.5</v>
      </c>
      <c r="AF1191" s="37">
        <f t="shared" si="37"/>
        <v>45476</v>
      </c>
      <c r="AG1191" s="37">
        <f t="shared" si="38"/>
        <v>46682.611570247936</v>
      </c>
      <c r="AH1191" t="s">
        <v>1705</v>
      </c>
      <c r="AN1191" s="43">
        <v>307.5</v>
      </c>
    </row>
    <row r="1192" spans="2:40">
      <c r="B1192" t="s">
        <v>1530</v>
      </c>
      <c r="C1192" t="s">
        <v>121</v>
      </c>
      <c r="D1192" t="s">
        <v>167</v>
      </c>
      <c r="E1192" t="s">
        <v>83</v>
      </c>
      <c r="F1192" s="37">
        <v>45140</v>
      </c>
      <c r="G1192">
        <v>10</v>
      </c>
      <c r="H1192" t="s">
        <v>174</v>
      </c>
      <c r="I1192" s="37">
        <v>45210</v>
      </c>
      <c r="J1192" t="s">
        <v>165</v>
      </c>
      <c r="K1192" t="s">
        <v>166</v>
      </c>
      <c r="L1192" t="s">
        <v>175</v>
      </c>
      <c r="M1192" t="s">
        <v>1530</v>
      </c>
      <c r="O1192" t="s">
        <v>1530</v>
      </c>
      <c r="Q1192" t="s">
        <v>1654</v>
      </c>
      <c r="U1192" t="s">
        <v>1696</v>
      </c>
      <c r="W1192" t="s">
        <v>1699</v>
      </c>
      <c r="X1192">
        <v>7</v>
      </c>
      <c r="AA1192" s="43">
        <v>307.5</v>
      </c>
      <c r="AC1192" s="43">
        <v>307.5</v>
      </c>
      <c r="AF1192" s="37">
        <f t="shared" si="37"/>
        <v>45469</v>
      </c>
      <c r="AG1192" s="37">
        <f t="shared" si="38"/>
        <v>46675.611570247936</v>
      </c>
      <c r="AH1192" t="s">
        <v>1704</v>
      </c>
      <c r="AN1192" s="43">
        <v>307.5</v>
      </c>
    </row>
    <row r="1193" spans="2:40">
      <c r="B1193" t="s">
        <v>1531</v>
      </c>
      <c r="C1193" t="s">
        <v>121</v>
      </c>
      <c r="D1193" t="s">
        <v>167</v>
      </c>
      <c r="E1193" t="s">
        <v>83</v>
      </c>
      <c r="F1193" s="37">
        <v>45140</v>
      </c>
      <c r="G1193">
        <v>10</v>
      </c>
      <c r="H1193" t="s">
        <v>174</v>
      </c>
      <c r="I1193" s="37">
        <v>45210</v>
      </c>
      <c r="J1193" t="s">
        <v>165</v>
      </c>
      <c r="K1193" t="s">
        <v>166</v>
      </c>
      <c r="L1193" t="s">
        <v>175</v>
      </c>
      <c r="M1193" t="s">
        <v>1531</v>
      </c>
      <c r="O1193" t="s">
        <v>1531</v>
      </c>
      <c r="Q1193" t="s">
        <v>1654</v>
      </c>
      <c r="U1193" t="s">
        <v>1697</v>
      </c>
      <c r="W1193" t="s">
        <v>1702</v>
      </c>
      <c r="X1193">
        <v>7</v>
      </c>
      <c r="AA1193" s="43">
        <v>307.5</v>
      </c>
      <c r="AC1193" s="43">
        <v>307.5</v>
      </c>
      <c r="AF1193" s="37">
        <f t="shared" si="37"/>
        <v>45469</v>
      </c>
      <c r="AG1193" s="37">
        <f t="shared" si="38"/>
        <v>46675.611570247936</v>
      </c>
      <c r="AH1193" t="s">
        <v>1705</v>
      </c>
      <c r="AN1193" s="43">
        <v>307.5</v>
      </c>
    </row>
    <row r="1194" spans="2:40">
      <c r="B1194" t="s">
        <v>1532</v>
      </c>
      <c r="C1194" t="s">
        <v>121</v>
      </c>
      <c r="D1194" t="s">
        <v>167</v>
      </c>
      <c r="E1194" t="s">
        <v>83</v>
      </c>
      <c r="F1194" s="37">
        <v>45133</v>
      </c>
      <c r="G1194">
        <v>10</v>
      </c>
      <c r="H1194" t="s">
        <v>174</v>
      </c>
      <c r="I1194" s="37">
        <v>45203</v>
      </c>
      <c r="J1194" t="s">
        <v>165</v>
      </c>
      <c r="K1194" t="s">
        <v>166</v>
      </c>
      <c r="L1194" t="s">
        <v>175</v>
      </c>
      <c r="M1194" t="s">
        <v>1532</v>
      </c>
      <c r="O1194" t="s">
        <v>1532</v>
      </c>
      <c r="Q1194" t="s">
        <v>1671</v>
      </c>
      <c r="U1194" t="s">
        <v>1696</v>
      </c>
      <c r="W1194" t="s">
        <v>1699</v>
      </c>
      <c r="X1194">
        <v>7</v>
      </c>
      <c r="AA1194" s="43">
        <v>307.5</v>
      </c>
      <c r="AC1194" s="43">
        <v>307.5</v>
      </c>
      <c r="AF1194" s="37">
        <f t="shared" si="37"/>
        <v>45462</v>
      </c>
      <c r="AG1194" s="37">
        <f t="shared" si="38"/>
        <v>46668.611570247936</v>
      </c>
      <c r="AH1194" t="s">
        <v>1704</v>
      </c>
      <c r="AN1194" s="43">
        <v>307.5</v>
      </c>
    </row>
    <row r="1195" spans="2:40">
      <c r="B1195" t="s">
        <v>1533</v>
      </c>
      <c r="C1195" t="s">
        <v>121</v>
      </c>
      <c r="D1195" t="s">
        <v>167</v>
      </c>
      <c r="E1195" t="s">
        <v>83</v>
      </c>
      <c r="F1195" s="37">
        <v>45126</v>
      </c>
      <c r="G1195">
        <v>10</v>
      </c>
      <c r="H1195" t="s">
        <v>174</v>
      </c>
      <c r="I1195" s="37">
        <v>45196</v>
      </c>
      <c r="J1195" t="s">
        <v>165</v>
      </c>
      <c r="K1195" t="s">
        <v>166</v>
      </c>
      <c r="L1195" t="s">
        <v>175</v>
      </c>
      <c r="M1195" t="s">
        <v>1533</v>
      </c>
      <c r="O1195" t="s">
        <v>1533</v>
      </c>
      <c r="Q1195" t="s">
        <v>1671</v>
      </c>
      <c r="U1195" t="s">
        <v>1698</v>
      </c>
      <c r="W1195" t="s">
        <v>1703</v>
      </c>
      <c r="X1195">
        <v>6</v>
      </c>
      <c r="AA1195" s="43">
        <v>307.5</v>
      </c>
      <c r="AC1195" s="43">
        <v>307.5</v>
      </c>
      <c r="AF1195" s="37">
        <f t="shared" si="37"/>
        <v>45455</v>
      </c>
      <c r="AG1195" s="37">
        <f t="shared" si="38"/>
        <v>46661.611570247936</v>
      </c>
      <c r="AH1195" t="s">
        <v>169</v>
      </c>
      <c r="AN1195" s="43">
        <v>307.5</v>
      </c>
    </row>
    <row r="1196" spans="2:40">
      <c r="B1196" t="s">
        <v>1534</v>
      </c>
      <c r="C1196" t="s">
        <v>121</v>
      </c>
      <c r="D1196" t="s">
        <v>167</v>
      </c>
      <c r="E1196" t="s">
        <v>83</v>
      </c>
      <c r="F1196" s="37">
        <v>45126</v>
      </c>
      <c r="G1196">
        <v>10</v>
      </c>
      <c r="H1196" t="s">
        <v>174</v>
      </c>
      <c r="I1196" s="37">
        <v>45196</v>
      </c>
      <c r="J1196" t="s">
        <v>165</v>
      </c>
      <c r="K1196" t="s">
        <v>166</v>
      </c>
      <c r="L1196" t="s">
        <v>175</v>
      </c>
      <c r="M1196" t="s">
        <v>1534</v>
      </c>
      <c r="O1196" t="s">
        <v>1534</v>
      </c>
      <c r="Q1196" t="s">
        <v>1671</v>
      </c>
      <c r="U1196" t="s">
        <v>1697</v>
      </c>
      <c r="W1196" t="s">
        <v>1702</v>
      </c>
      <c r="X1196">
        <v>7</v>
      </c>
      <c r="AA1196" s="43">
        <v>307.5</v>
      </c>
      <c r="AC1196" s="43">
        <v>307.5</v>
      </c>
      <c r="AF1196" s="37">
        <f t="shared" si="37"/>
        <v>45455</v>
      </c>
      <c r="AG1196" s="37">
        <f t="shared" si="38"/>
        <v>46661.611570247936</v>
      </c>
      <c r="AH1196" t="s">
        <v>1705</v>
      </c>
      <c r="AN1196" s="43">
        <v>307.5</v>
      </c>
    </row>
    <row r="1197" spans="2:40">
      <c r="B1197" t="s">
        <v>1535</v>
      </c>
      <c r="C1197" t="s">
        <v>121</v>
      </c>
      <c r="D1197" t="s">
        <v>167</v>
      </c>
      <c r="E1197" t="s">
        <v>83</v>
      </c>
      <c r="F1197" s="37">
        <v>45126</v>
      </c>
      <c r="G1197">
        <v>10</v>
      </c>
      <c r="H1197" t="s">
        <v>174</v>
      </c>
      <c r="I1197" s="37">
        <v>45196</v>
      </c>
      <c r="J1197" t="s">
        <v>165</v>
      </c>
      <c r="K1197" t="s">
        <v>166</v>
      </c>
      <c r="L1197" t="s">
        <v>175</v>
      </c>
      <c r="M1197" t="s">
        <v>1535</v>
      </c>
      <c r="O1197" t="s">
        <v>1535</v>
      </c>
      <c r="Q1197" t="s">
        <v>1671</v>
      </c>
      <c r="U1197" t="s">
        <v>1697</v>
      </c>
      <c r="W1197" t="s">
        <v>1702</v>
      </c>
      <c r="X1197">
        <v>7</v>
      </c>
      <c r="AA1197" s="43">
        <v>307.5</v>
      </c>
      <c r="AC1197" s="43">
        <v>307.5</v>
      </c>
      <c r="AF1197" s="37">
        <f t="shared" si="37"/>
        <v>45455</v>
      </c>
      <c r="AG1197" s="37">
        <f t="shared" si="38"/>
        <v>46661.611570247936</v>
      </c>
      <c r="AH1197" t="s">
        <v>1705</v>
      </c>
      <c r="AN1197" s="43">
        <v>307.5</v>
      </c>
    </row>
    <row r="1198" spans="2:40">
      <c r="B1198" t="s">
        <v>1536</v>
      </c>
      <c r="C1198" t="s">
        <v>121</v>
      </c>
      <c r="D1198" t="s">
        <v>167</v>
      </c>
      <c r="E1198" t="s">
        <v>83</v>
      </c>
      <c r="F1198" s="37">
        <v>45119</v>
      </c>
      <c r="G1198">
        <v>10</v>
      </c>
      <c r="H1198" t="s">
        <v>174</v>
      </c>
      <c r="I1198" s="37">
        <v>45189</v>
      </c>
      <c r="J1198" t="s">
        <v>165</v>
      </c>
      <c r="K1198" t="s">
        <v>166</v>
      </c>
      <c r="L1198" t="s">
        <v>175</v>
      </c>
      <c r="M1198" t="s">
        <v>1536</v>
      </c>
      <c r="O1198" t="s">
        <v>1536</v>
      </c>
      <c r="Q1198" t="s">
        <v>1657</v>
      </c>
      <c r="U1198" t="s">
        <v>1697</v>
      </c>
      <c r="W1198" t="s">
        <v>1702</v>
      </c>
      <c r="X1198">
        <v>7</v>
      </c>
      <c r="AA1198" s="43">
        <v>307.5</v>
      </c>
      <c r="AC1198" s="43">
        <v>307.5</v>
      </c>
      <c r="AF1198" s="37">
        <f t="shared" si="37"/>
        <v>45448</v>
      </c>
      <c r="AG1198" s="37">
        <f t="shared" si="38"/>
        <v>46654.611570247936</v>
      </c>
      <c r="AH1198" t="s">
        <v>1705</v>
      </c>
      <c r="AN1198" s="43">
        <v>307.5</v>
      </c>
    </row>
    <row r="1199" spans="2:40">
      <c r="B1199" t="s">
        <v>1537</v>
      </c>
      <c r="C1199" t="s">
        <v>121</v>
      </c>
      <c r="D1199" t="s">
        <v>167</v>
      </c>
      <c r="E1199" t="s">
        <v>83</v>
      </c>
      <c r="F1199" s="37">
        <v>45119</v>
      </c>
      <c r="G1199">
        <v>10</v>
      </c>
      <c r="H1199" t="s">
        <v>174</v>
      </c>
      <c r="I1199" s="37">
        <v>45189</v>
      </c>
      <c r="J1199" t="s">
        <v>165</v>
      </c>
      <c r="K1199" t="s">
        <v>166</v>
      </c>
      <c r="L1199" t="s">
        <v>175</v>
      </c>
      <c r="M1199" t="s">
        <v>1537</v>
      </c>
      <c r="O1199" t="s">
        <v>1537</v>
      </c>
      <c r="Q1199" t="s">
        <v>1657</v>
      </c>
      <c r="U1199" t="s">
        <v>1697</v>
      </c>
      <c r="W1199" t="s">
        <v>1702</v>
      </c>
      <c r="X1199">
        <v>7</v>
      </c>
      <c r="AA1199" s="43">
        <v>307.5</v>
      </c>
      <c r="AC1199" s="43">
        <v>307.5</v>
      </c>
      <c r="AF1199" s="37">
        <f t="shared" si="37"/>
        <v>45448</v>
      </c>
      <c r="AG1199" s="37">
        <f t="shared" si="38"/>
        <v>46654.611570247936</v>
      </c>
      <c r="AH1199" t="s">
        <v>1705</v>
      </c>
      <c r="AN1199" s="43">
        <v>307.5</v>
      </c>
    </row>
    <row r="1200" spans="2:40">
      <c r="B1200" t="s">
        <v>1538</v>
      </c>
      <c r="C1200" t="s">
        <v>121</v>
      </c>
      <c r="D1200" t="s">
        <v>167</v>
      </c>
      <c r="E1200" t="s">
        <v>83</v>
      </c>
      <c r="F1200" s="37">
        <v>45119</v>
      </c>
      <c r="G1200">
        <v>10</v>
      </c>
      <c r="H1200" t="s">
        <v>174</v>
      </c>
      <c r="I1200" s="37">
        <v>45189</v>
      </c>
      <c r="J1200" t="s">
        <v>165</v>
      </c>
      <c r="K1200" t="s">
        <v>166</v>
      </c>
      <c r="L1200" t="s">
        <v>175</v>
      </c>
      <c r="M1200" t="s">
        <v>1538</v>
      </c>
      <c r="O1200" t="s">
        <v>1538</v>
      </c>
      <c r="Q1200" t="s">
        <v>1657</v>
      </c>
      <c r="U1200" t="s">
        <v>1697</v>
      </c>
      <c r="W1200" t="s">
        <v>1702</v>
      </c>
      <c r="X1200">
        <v>7</v>
      </c>
      <c r="AA1200" s="43">
        <v>307.5</v>
      </c>
      <c r="AC1200" s="43">
        <v>307.5</v>
      </c>
      <c r="AF1200" s="37">
        <f t="shared" si="37"/>
        <v>45448</v>
      </c>
      <c r="AG1200" s="37">
        <f t="shared" si="38"/>
        <v>46654.611570247936</v>
      </c>
      <c r="AH1200" t="s">
        <v>1705</v>
      </c>
      <c r="AN1200" s="43">
        <v>307.5</v>
      </c>
    </row>
    <row r="1201" spans="2:40">
      <c r="B1201" t="s">
        <v>1539</v>
      </c>
      <c r="C1201" t="s">
        <v>121</v>
      </c>
      <c r="D1201" t="s">
        <v>167</v>
      </c>
      <c r="E1201" t="s">
        <v>83</v>
      </c>
      <c r="F1201" s="37">
        <v>45119</v>
      </c>
      <c r="G1201">
        <v>10</v>
      </c>
      <c r="H1201" t="s">
        <v>174</v>
      </c>
      <c r="I1201" s="37">
        <v>45189</v>
      </c>
      <c r="J1201" t="s">
        <v>165</v>
      </c>
      <c r="K1201" t="s">
        <v>166</v>
      </c>
      <c r="L1201" t="s">
        <v>175</v>
      </c>
      <c r="M1201" t="s">
        <v>1539</v>
      </c>
      <c r="O1201" t="s">
        <v>1539</v>
      </c>
      <c r="Q1201" t="s">
        <v>1657</v>
      </c>
      <c r="U1201" t="s">
        <v>1697</v>
      </c>
      <c r="W1201" t="s">
        <v>1702</v>
      </c>
      <c r="X1201">
        <v>7</v>
      </c>
      <c r="AA1201" s="43">
        <v>307.5</v>
      </c>
      <c r="AC1201" s="43">
        <v>307.5</v>
      </c>
      <c r="AF1201" s="37">
        <f t="shared" si="37"/>
        <v>45448</v>
      </c>
      <c r="AG1201" s="37">
        <f t="shared" si="38"/>
        <v>46654.611570247936</v>
      </c>
      <c r="AH1201" t="s">
        <v>1705</v>
      </c>
      <c r="AN1201" s="43">
        <v>307.5</v>
      </c>
    </row>
    <row r="1202" spans="2:40">
      <c r="B1202" t="s">
        <v>1540</v>
      </c>
      <c r="C1202" t="s">
        <v>121</v>
      </c>
      <c r="D1202" t="s">
        <v>167</v>
      </c>
      <c r="E1202" t="s">
        <v>83</v>
      </c>
      <c r="F1202" s="37">
        <v>45119</v>
      </c>
      <c r="G1202">
        <v>10</v>
      </c>
      <c r="H1202" t="s">
        <v>174</v>
      </c>
      <c r="I1202" s="37">
        <v>45189</v>
      </c>
      <c r="J1202" t="s">
        <v>165</v>
      </c>
      <c r="K1202" t="s">
        <v>166</v>
      </c>
      <c r="L1202" t="s">
        <v>175</v>
      </c>
      <c r="M1202" t="s">
        <v>1540</v>
      </c>
      <c r="O1202" t="s">
        <v>1540</v>
      </c>
      <c r="Q1202" t="s">
        <v>1657</v>
      </c>
      <c r="U1202" t="s">
        <v>1697</v>
      </c>
      <c r="W1202" t="s">
        <v>1702</v>
      </c>
      <c r="X1202">
        <v>7</v>
      </c>
      <c r="AA1202" s="43">
        <v>307.5</v>
      </c>
      <c r="AC1202" s="43">
        <v>307.5</v>
      </c>
      <c r="AF1202" s="37">
        <f t="shared" si="37"/>
        <v>45448</v>
      </c>
      <c r="AG1202" s="37">
        <f t="shared" si="38"/>
        <v>46654.611570247936</v>
      </c>
      <c r="AH1202" t="s">
        <v>1705</v>
      </c>
      <c r="AN1202" s="43">
        <v>307.5</v>
      </c>
    </row>
    <row r="1203" spans="2:40">
      <c r="B1203" t="s">
        <v>1541</v>
      </c>
      <c r="C1203" t="s">
        <v>121</v>
      </c>
      <c r="D1203" t="s">
        <v>167</v>
      </c>
      <c r="E1203" t="s">
        <v>83</v>
      </c>
      <c r="F1203" s="37">
        <v>45119</v>
      </c>
      <c r="G1203">
        <v>10</v>
      </c>
      <c r="H1203" t="s">
        <v>174</v>
      </c>
      <c r="I1203" s="37">
        <v>45189</v>
      </c>
      <c r="J1203" t="s">
        <v>165</v>
      </c>
      <c r="K1203" t="s">
        <v>166</v>
      </c>
      <c r="L1203" t="s">
        <v>175</v>
      </c>
      <c r="M1203" t="s">
        <v>1541</v>
      </c>
      <c r="O1203" t="s">
        <v>1541</v>
      </c>
      <c r="Q1203" t="s">
        <v>1657</v>
      </c>
      <c r="U1203" t="s">
        <v>1697</v>
      </c>
      <c r="W1203" t="s">
        <v>1702</v>
      </c>
      <c r="X1203">
        <v>7</v>
      </c>
      <c r="AA1203" s="43">
        <v>307.5</v>
      </c>
      <c r="AC1203" s="43">
        <v>307.5</v>
      </c>
      <c r="AF1203" s="37">
        <f t="shared" si="37"/>
        <v>45448</v>
      </c>
      <c r="AG1203" s="37">
        <f t="shared" si="38"/>
        <v>46654.611570247936</v>
      </c>
      <c r="AH1203" t="s">
        <v>1705</v>
      </c>
      <c r="AN1203" s="43">
        <v>307.5</v>
      </c>
    </row>
    <row r="1204" spans="2:40">
      <c r="B1204" t="s">
        <v>1542</v>
      </c>
      <c r="C1204" t="s">
        <v>121</v>
      </c>
      <c r="D1204" t="s">
        <v>167</v>
      </c>
      <c r="E1204" t="s">
        <v>83</v>
      </c>
      <c r="F1204" s="37">
        <v>45119</v>
      </c>
      <c r="G1204">
        <v>10</v>
      </c>
      <c r="H1204" t="s">
        <v>174</v>
      </c>
      <c r="I1204" s="37">
        <v>45189</v>
      </c>
      <c r="J1204" t="s">
        <v>165</v>
      </c>
      <c r="K1204" t="s">
        <v>166</v>
      </c>
      <c r="L1204" t="s">
        <v>175</v>
      </c>
      <c r="M1204" t="s">
        <v>1542</v>
      </c>
      <c r="O1204" t="s">
        <v>1542</v>
      </c>
      <c r="Q1204" t="s">
        <v>1657</v>
      </c>
      <c r="U1204" t="s">
        <v>1697</v>
      </c>
      <c r="W1204" t="s">
        <v>1702</v>
      </c>
      <c r="X1204">
        <v>7</v>
      </c>
      <c r="AA1204" s="43">
        <v>307.5</v>
      </c>
      <c r="AC1204" s="43">
        <v>307.5</v>
      </c>
      <c r="AF1204" s="37">
        <f t="shared" si="37"/>
        <v>45448</v>
      </c>
      <c r="AG1204" s="37">
        <f t="shared" si="38"/>
        <v>46654.611570247936</v>
      </c>
      <c r="AH1204" t="s">
        <v>1705</v>
      </c>
      <c r="AN1204" s="43">
        <v>307.5</v>
      </c>
    </row>
    <row r="1205" spans="2:40">
      <c r="B1205" t="s">
        <v>1543</v>
      </c>
      <c r="C1205" t="s">
        <v>121</v>
      </c>
      <c r="D1205" t="s">
        <v>167</v>
      </c>
      <c r="E1205" t="s">
        <v>83</v>
      </c>
      <c r="F1205" s="37">
        <v>45119</v>
      </c>
      <c r="G1205">
        <v>10</v>
      </c>
      <c r="H1205" t="s">
        <v>174</v>
      </c>
      <c r="I1205" s="37">
        <v>45189</v>
      </c>
      <c r="J1205" t="s">
        <v>165</v>
      </c>
      <c r="K1205" t="s">
        <v>166</v>
      </c>
      <c r="L1205" t="s">
        <v>175</v>
      </c>
      <c r="M1205" t="s">
        <v>1543</v>
      </c>
      <c r="O1205" t="s">
        <v>1543</v>
      </c>
      <c r="Q1205" t="s">
        <v>1657</v>
      </c>
      <c r="U1205" t="s">
        <v>1697</v>
      </c>
      <c r="W1205" t="s">
        <v>1702</v>
      </c>
      <c r="X1205">
        <v>7</v>
      </c>
      <c r="AA1205" s="43">
        <v>307.5</v>
      </c>
      <c r="AC1205" s="43">
        <v>307.5</v>
      </c>
      <c r="AF1205" s="37">
        <f t="shared" si="37"/>
        <v>45448</v>
      </c>
      <c r="AG1205" s="37">
        <f t="shared" si="38"/>
        <v>46654.611570247936</v>
      </c>
      <c r="AH1205" t="s">
        <v>1705</v>
      </c>
      <c r="AN1205" s="43">
        <v>307.5</v>
      </c>
    </row>
    <row r="1206" spans="2:40">
      <c r="B1206" t="s">
        <v>1544</v>
      </c>
      <c r="C1206" t="s">
        <v>121</v>
      </c>
      <c r="D1206" t="s">
        <v>167</v>
      </c>
      <c r="E1206" t="s">
        <v>83</v>
      </c>
      <c r="F1206" s="37">
        <v>45119</v>
      </c>
      <c r="G1206">
        <v>10</v>
      </c>
      <c r="H1206" t="s">
        <v>174</v>
      </c>
      <c r="I1206" s="37">
        <v>45189</v>
      </c>
      <c r="J1206" t="s">
        <v>165</v>
      </c>
      <c r="K1206" t="s">
        <v>166</v>
      </c>
      <c r="L1206" t="s">
        <v>175</v>
      </c>
      <c r="M1206" t="s">
        <v>1544</v>
      </c>
      <c r="O1206" t="s">
        <v>1544</v>
      </c>
      <c r="Q1206" t="s">
        <v>1657</v>
      </c>
      <c r="U1206" t="s">
        <v>1697</v>
      </c>
      <c r="W1206" t="s">
        <v>1702</v>
      </c>
      <c r="X1206">
        <v>7</v>
      </c>
      <c r="AA1206" s="43">
        <v>307.5</v>
      </c>
      <c r="AC1206" s="43">
        <v>307.5</v>
      </c>
      <c r="AF1206" s="37">
        <f t="shared" si="37"/>
        <v>45448</v>
      </c>
      <c r="AG1206" s="37">
        <f t="shared" si="38"/>
        <v>46654.611570247936</v>
      </c>
      <c r="AH1206" t="s">
        <v>1705</v>
      </c>
      <c r="AN1206" s="43">
        <v>307.5</v>
      </c>
    </row>
    <row r="1207" spans="2:40">
      <c r="B1207" t="s">
        <v>1545</v>
      </c>
      <c r="C1207" t="s">
        <v>121</v>
      </c>
      <c r="D1207" t="s">
        <v>167</v>
      </c>
      <c r="E1207" t="s">
        <v>83</v>
      </c>
      <c r="F1207" s="37">
        <v>45112</v>
      </c>
      <c r="G1207">
        <v>10</v>
      </c>
      <c r="H1207" t="s">
        <v>174</v>
      </c>
      <c r="I1207" s="37">
        <v>45182</v>
      </c>
      <c r="J1207" t="s">
        <v>165</v>
      </c>
      <c r="K1207" t="s">
        <v>166</v>
      </c>
      <c r="L1207" t="s">
        <v>175</v>
      </c>
      <c r="M1207" t="s">
        <v>1545</v>
      </c>
      <c r="O1207" t="s">
        <v>1545</v>
      </c>
      <c r="Q1207" t="s">
        <v>1670</v>
      </c>
      <c r="U1207" t="s">
        <v>1697</v>
      </c>
      <c r="W1207" t="s">
        <v>1702</v>
      </c>
      <c r="X1207">
        <v>7</v>
      </c>
      <c r="AA1207" s="43">
        <v>307.5</v>
      </c>
      <c r="AC1207" s="43">
        <v>307.5</v>
      </c>
      <c r="AF1207" s="37">
        <f t="shared" si="37"/>
        <v>45441</v>
      </c>
      <c r="AG1207" s="37">
        <f t="shared" si="38"/>
        <v>46647.611570247936</v>
      </c>
      <c r="AH1207" t="s">
        <v>1705</v>
      </c>
      <c r="AN1207" s="43">
        <v>307.5</v>
      </c>
    </row>
    <row r="1208" spans="2:40">
      <c r="B1208" t="s">
        <v>1546</v>
      </c>
      <c r="C1208" t="s">
        <v>121</v>
      </c>
      <c r="D1208" t="s">
        <v>167</v>
      </c>
      <c r="E1208" t="s">
        <v>83</v>
      </c>
      <c r="F1208" s="37">
        <v>45108</v>
      </c>
      <c r="G1208">
        <v>10</v>
      </c>
      <c r="H1208" t="s">
        <v>174</v>
      </c>
      <c r="I1208" s="37">
        <v>45161</v>
      </c>
      <c r="J1208" t="s">
        <v>165</v>
      </c>
      <c r="K1208" t="s">
        <v>166</v>
      </c>
      <c r="L1208" t="s">
        <v>175</v>
      </c>
      <c r="M1208" t="s">
        <v>1546</v>
      </c>
      <c r="O1208" t="s">
        <v>1546</v>
      </c>
      <c r="Q1208" t="s">
        <v>1666</v>
      </c>
      <c r="U1208" t="s">
        <v>1697</v>
      </c>
      <c r="W1208" t="s">
        <v>1702</v>
      </c>
      <c r="X1208">
        <v>7</v>
      </c>
      <c r="AA1208" s="43">
        <v>307.5</v>
      </c>
      <c r="AC1208" s="43">
        <v>307.5</v>
      </c>
      <c r="AF1208" s="37">
        <f t="shared" si="37"/>
        <v>45437</v>
      </c>
      <c r="AG1208" s="37">
        <f t="shared" si="38"/>
        <v>46643.611570247936</v>
      </c>
      <c r="AH1208" t="s">
        <v>1705</v>
      </c>
      <c r="AN1208" s="43">
        <v>307.5</v>
      </c>
    </row>
    <row r="1209" spans="2:40">
      <c r="B1209" t="s">
        <v>1547</v>
      </c>
      <c r="C1209" t="s">
        <v>121</v>
      </c>
      <c r="D1209" t="s">
        <v>167</v>
      </c>
      <c r="E1209" t="s">
        <v>83</v>
      </c>
      <c r="F1209" s="37">
        <v>45105</v>
      </c>
      <c r="G1209">
        <v>10</v>
      </c>
      <c r="H1209" t="s">
        <v>174</v>
      </c>
      <c r="I1209" s="37">
        <v>45175</v>
      </c>
      <c r="J1209" t="s">
        <v>165</v>
      </c>
      <c r="K1209" t="s">
        <v>166</v>
      </c>
      <c r="L1209" t="s">
        <v>175</v>
      </c>
      <c r="M1209" t="s">
        <v>1547</v>
      </c>
      <c r="O1209" t="s">
        <v>1547</v>
      </c>
      <c r="Q1209" t="s">
        <v>1662</v>
      </c>
      <c r="U1209" t="s">
        <v>1697</v>
      </c>
      <c r="W1209" t="s">
        <v>1702</v>
      </c>
      <c r="X1209">
        <v>7</v>
      </c>
      <c r="AA1209" s="43">
        <v>307.5</v>
      </c>
      <c r="AC1209" s="43">
        <v>307.5</v>
      </c>
      <c r="AF1209" s="37">
        <f t="shared" si="37"/>
        <v>45434</v>
      </c>
      <c r="AG1209" s="37">
        <f t="shared" si="38"/>
        <v>46640.611570247936</v>
      </c>
      <c r="AH1209" t="s">
        <v>1705</v>
      </c>
      <c r="AN1209" s="43">
        <v>307.5</v>
      </c>
    </row>
    <row r="1210" spans="2:40">
      <c r="B1210" t="s">
        <v>1548</v>
      </c>
      <c r="C1210" t="s">
        <v>121</v>
      </c>
      <c r="D1210" t="s">
        <v>167</v>
      </c>
      <c r="E1210" t="s">
        <v>83</v>
      </c>
      <c r="F1210" s="37">
        <v>45105</v>
      </c>
      <c r="G1210">
        <v>10</v>
      </c>
      <c r="H1210" t="s">
        <v>174</v>
      </c>
      <c r="I1210" s="37">
        <v>45175</v>
      </c>
      <c r="J1210" t="s">
        <v>165</v>
      </c>
      <c r="K1210" t="s">
        <v>166</v>
      </c>
      <c r="L1210" t="s">
        <v>175</v>
      </c>
      <c r="M1210" t="s">
        <v>1548</v>
      </c>
      <c r="O1210" t="s">
        <v>1548</v>
      </c>
      <c r="Q1210" t="s">
        <v>1662</v>
      </c>
      <c r="U1210" t="s">
        <v>1697</v>
      </c>
      <c r="W1210" t="s">
        <v>1702</v>
      </c>
      <c r="X1210">
        <v>7</v>
      </c>
      <c r="AA1210" s="43">
        <v>307.5</v>
      </c>
      <c r="AC1210" s="43">
        <v>307.5</v>
      </c>
      <c r="AF1210" s="37">
        <f t="shared" si="37"/>
        <v>45434</v>
      </c>
      <c r="AG1210" s="37">
        <f t="shared" si="38"/>
        <v>46640.611570247936</v>
      </c>
      <c r="AH1210" t="s">
        <v>1705</v>
      </c>
      <c r="AN1210" s="43">
        <v>307.5</v>
      </c>
    </row>
    <row r="1211" spans="2:40">
      <c r="B1211" t="s">
        <v>1549</v>
      </c>
      <c r="C1211" t="s">
        <v>121</v>
      </c>
      <c r="D1211" t="s">
        <v>167</v>
      </c>
      <c r="E1211" t="s">
        <v>83</v>
      </c>
      <c r="F1211" s="37">
        <v>45105</v>
      </c>
      <c r="G1211">
        <v>10</v>
      </c>
      <c r="H1211" t="s">
        <v>174</v>
      </c>
      <c r="I1211" s="37">
        <v>45175</v>
      </c>
      <c r="J1211" t="s">
        <v>165</v>
      </c>
      <c r="K1211" t="s">
        <v>166</v>
      </c>
      <c r="L1211" t="s">
        <v>175</v>
      </c>
      <c r="M1211" t="s">
        <v>1549</v>
      </c>
      <c r="O1211" t="s">
        <v>1549</v>
      </c>
      <c r="Q1211" t="s">
        <v>1662</v>
      </c>
      <c r="U1211" t="s">
        <v>1697</v>
      </c>
      <c r="W1211" t="s">
        <v>1702</v>
      </c>
      <c r="X1211">
        <v>7</v>
      </c>
      <c r="AA1211" s="43">
        <v>307.5</v>
      </c>
      <c r="AC1211" s="43">
        <v>307.5</v>
      </c>
      <c r="AF1211" s="37">
        <f t="shared" si="37"/>
        <v>45434</v>
      </c>
      <c r="AG1211" s="37">
        <f t="shared" si="38"/>
        <v>46640.611570247936</v>
      </c>
      <c r="AH1211" t="s">
        <v>1705</v>
      </c>
      <c r="AN1211" s="43">
        <v>307.5</v>
      </c>
    </row>
    <row r="1212" spans="2:40">
      <c r="B1212" t="s">
        <v>1550</v>
      </c>
      <c r="C1212" t="s">
        <v>121</v>
      </c>
      <c r="D1212" t="s">
        <v>167</v>
      </c>
      <c r="E1212" t="s">
        <v>83</v>
      </c>
      <c r="F1212" s="37">
        <v>45105</v>
      </c>
      <c r="G1212">
        <v>10</v>
      </c>
      <c r="H1212" t="s">
        <v>174</v>
      </c>
      <c r="I1212" s="37">
        <v>45175</v>
      </c>
      <c r="J1212" t="s">
        <v>165</v>
      </c>
      <c r="K1212" t="s">
        <v>166</v>
      </c>
      <c r="L1212" t="s">
        <v>175</v>
      </c>
      <c r="M1212" t="s">
        <v>1550</v>
      </c>
      <c r="O1212" t="s">
        <v>1550</v>
      </c>
      <c r="Q1212" t="s">
        <v>1662</v>
      </c>
      <c r="U1212" t="s">
        <v>1697</v>
      </c>
      <c r="W1212" t="s">
        <v>1702</v>
      </c>
      <c r="X1212">
        <v>7</v>
      </c>
      <c r="AA1212" s="43">
        <v>307.5</v>
      </c>
      <c r="AC1212" s="43">
        <v>307.5</v>
      </c>
      <c r="AF1212" s="37">
        <f t="shared" si="37"/>
        <v>45434</v>
      </c>
      <c r="AG1212" s="37">
        <f t="shared" si="38"/>
        <v>46640.611570247936</v>
      </c>
      <c r="AH1212" t="s">
        <v>1705</v>
      </c>
      <c r="AN1212" s="43">
        <v>307.5</v>
      </c>
    </row>
    <row r="1213" spans="2:40">
      <c r="B1213" t="s">
        <v>1551</v>
      </c>
      <c r="C1213" t="s">
        <v>121</v>
      </c>
      <c r="D1213" t="s">
        <v>167</v>
      </c>
      <c r="E1213" t="s">
        <v>83</v>
      </c>
      <c r="F1213" s="37">
        <v>45105</v>
      </c>
      <c r="G1213">
        <v>10</v>
      </c>
      <c r="H1213" t="s">
        <v>174</v>
      </c>
      <c r="I1213" s="37">
        <v>45175</v>
      </c>
      <c r="J1213" t="s">
        <v>165</v>
      </c>
      <c r="K1213" t="s">
        <v>166</v>
      </c>
      <c r="L1213" t="s">
        <v>175</v>
      </c>
      <c r="M1213" t="s">
        <v>1551</v>
      </c>
      <c r="O1213" t="s">
        <v>1551</v>
      </c>
      <c r="Q1213" t="s">
        <v>1655</v>
      </c>
      <c r="U1213" t="s">
        <v>1697</v>
      </c>
      <c r="W1213" t="s">
        <v>1702</v>
      </c>
      <c r="X1213">
        <v>7</v>
      </c>
      <c r="AA1213" s="43">
        <v>307.5</v>
      </c>
      <c r="AC1213" s="43">
        <v>307.5</v>
      </c>
      <c r="AF1213" s="37">
        <f t="shared" si="37"/>
        <v>45434</v>
      </c>
      <c r="AG1213" s="37">
        <f t="shared" si="38"/>
        <v>46640.611570247936</v>
      </c>
      <c r="AH1213" t="s">
        <v>1705</v>
      </c>
      <c r="AN1213" s="43">
        <v>307.5</v>
      </c>
    </row>
    <row r="1214" spans="2:40">
      <c r="B1214" t="s">
        <v>1552</v>
      </c>
      <c r="C1214" t="s">
        <v>121</v>
      </c>
      <c r="D1214" t="s">
        <v>167</v>
      </c>
      <c r="E1214" t="s">
        <v>83</v>
      </c>
      <c r="F1214" s="37">
        <v>45105</v>
      </c>
      <c r="G1214">
        <v>10</v>
      </c>
      <c r="H1214" t="s">
        <v>174</v>
      </c>
      <c r="I1214" s="37">
        <v>45175</v>
      </c>
      <c r="J1214" t="s">
        <v>165</v>
      </c>
      <c r="K1214" t="s">
        <v>166</v>
      </c>
      <c r="L1214" t="s">
        <v>175</v>
      </c>
      <c r="M1214" t="s">
        <v>1552</v>
      </c>
      <c r="O1214" t="s">
        <v>1552</v>
      </c>
      <c r="Q1214" t="s">
        <v>1662</v>
      </c>
      <c r="U1214" t="s">
        <v>1697</v>
      </c>
      <c r="W1214" t="s">
        <v>1702</v>
      </c>
      <c r="X1214">
        <v>7</v>
      </c>
      <c r="AA1214" s="43">
        <v>307.5</v>
      </c>
      <c r="AC1214" s="43">
        <v>307.5</v>
      </c>
      <c r="AF1214" s="37">
        <f t="shared" si="37"/>
        <v>45434</v>
      </c>
      <c r="AG1214" s="37">
        <f t="shared" si="38"/>
        <v>46640.611570247936</v>
      </c>
      <c r="AH1214" t="s">
        <v>1705</v>
      </c>
      <c r="AN1214" s="43">
        <v>307.5</v>
      </c>
    </row>
    <row r="1215" spans="2:40">
      <c r="B1215" t="s">
        <v>1553</v>
      </c>
      <c r="C1215" t="s">
        <v>121</v>
      </c>
      <c r="D1215" t="s">
        <v>167</v>
      </c>
      <c r="E1215" t="s">
        <v>83</v>
      </c>
      <c r="F1215" s="37">
        <v>45098</v>
      </c>
      <c r="G1215">
        <v>10</v>
      </c>
      <c r="H1215" t="s">
        <v>174</v>
      </c>
      <c r="I1215" s="37">
        <v>45168</v>
      </c>
      <c r="J1215" t="s">
        <v>165</v>
      </c>
      <c r="K1215" t="s">
        <v>166</v>
      </c>
      <c r="L1215" t="s">
        <v>175</v>
      </c>
      <c r="M1215" t="s">
        <v>1553</v>
      </c>
      <c r="O1215" t="s">
        <v>1553</v>
      </c>
      <c r="Q1215" t="s">
        <v>1651</v>
      </c>
      <c r="U1215" t="s">
        <v>1697</v>
      </c>
      <c r="W1215" t="s">
        <v>1702</v>
      </c>
      <c r="X1215">
        <v>7</v>
      </c>
      <c r="AA1215" s="43">
        <v>307.5</v>
      </c>
      <c r="AC1215" s="43">
        <v>307.5</v>
      </c>
      <c r="AF1215" s="37">
        <f t="shared" si="37"/>
        <v>45427</v>
      </c>
      <c r="AG1215" s="37">
        <f t="shared" si="38"/>
        <v>46633.611570247936</v>
      </c>
      <c r="AH1215" t="s">
        <v>1705</v>
      </c>
      <c r="AN1215" s="43">
        <v>307.5</v>
      </c>
    </row>
    <row r="1216" spans="2:40">
      <c r="B1216" t="s">
        <v>1554</v>
      </c>
      <c r="C1216" t="s">
        <v>121</v>
      </c>
      <c r="D1216" t="s">
        <v>167</v>
      </c>
      <c r="E1216" t="s">
        <v>83</v>
      </c>
      <c r="F1216" s="37">
        <v>45098</v>
      </c>
      <c r="G1216">
        <v>10</v>
      </c>
      <c r="H1216" t="s">
        <v>174</v>
      </c>
      <c r="I1216" s="37">
        <v>45168</v>
      </c>
      <c r="J1216" t="s">
        <v>165</v>
      </c>
      <c r="K1216" t="s">
        <v>166</v>
      </c>
      <c r="L1216" t="s">
        <v>175</v>
      </c>
      <c r="M1216" t="s">
        <v>1554</v>
      </c>
      <c r="O1216" t="s">
        <v>1554</v>
      </c>
      <c r="Q1216" t="s">
        <v>1651</v>
      </c>
      <c r="U1216" t="s">
        <v>1697</v>
      </c>
      <c r="W1216" t="s">
        <v>1702</v>
      </c>
      <c r="X1216">
        <v>7</v>
      </c>
      <c r="AA1216" s="43">
        <v>307.5</v>
      </c>
      <c r="AC1216" s="43">
        <v>307.5</v>
      </c>
      <c r="AF1216" s="37">
        <f t="shared" si="37"/>
        <v>45427</v>
      </c>
      <c r="AG1216" s="37">
        <f t="shared" si="38"/>
        <v>46633.611570247936</v>
      </c>
      <c r="AH1216" t="s">
        <v>1705</v>
      </c>
      <c r="AN1216" s="43">
        <v>307.5</v>
      </c>
    </row>
    <row r="1217" spans="2:40">
      <c r="B1217" t="s">
        <v>1555</v>
      </c>
      <c r="C1217" t="s">
        <v>121</v>
      </c>
      <c r="D1217" t="s">
        <v>167</v>
      </c>
      <c r="E1217" t="s">
        <v>83</v>
      </c>
      <c r="F1217" s="37">
        <v>45098</v>
      </c>
      <c r="G1217">
        <v>10</v>
      </c>
      <c r="H1217" t="s">
        <v>174</v>
      </c>
      <c r="I1217" s="37">
        <v>45168</v>
      </c>
      <c r="J1217" t="s">
        <v>165</v>
      </c>
      <c r="K1217" t="s">
        <v>166</v>
      </c>
      <c r="L1217" t="s">
        <v>175</v>
      </c>
      <c r="M1217" t="s">
        <v>1555</v>
      </c>
      <c r="O1217" t="s">
        <v>1555</v>
      </c>
      <c r="Q1217" t="s">
        <v>1651</v>
      </c>
      <c r="U1217" t="s">
        <v>1697</v>
      </c>
      <c r="W1217" t="s">
        <v>1702</v>
      </c>
      <c r="X1217">
        <v>7</v>
      </c>
      <c r="AA1217" s="43">
        <v>307.5</v>
      </c>
      <c r="AC1217" s="43">
        <v>307.5</v>
      </c>
      <c r="AF1217" s="37">
        <f t="shared" si="37"/>
        <v>45427</v>
      </c>
      <c r="AG1217" s="37">
        <f t="shared" si="38"/>
        <v>46633.611570247936</v>
      </c>
      <c r="AH1217" t="s">
        <v>1705</v>
      </c>
      <c r="AN1217" s="43">
        <v>307.5</v>
      </c>
    </row>
    <row r="1218" spans="2:40">
      <c r="B1218" t="s">
        <v>1556</v>
      </c>
      <c r="C1218" t="s">
        <v>121</v>
      </c>
      <c r="D1218" t="s">
        <v>167</v>
      </c>
      <c r="E1218" t="s">
        <v>83</v>
      </c>
      <c r="F1218" s="37">
        <v>45091</v>
      </c>
      <c r="G1218">
        <v>10</v>
      </c>
      <c r="H1218" t="s">
        <v>174</v>
      </c>
      <c r="I1218" s="37">
        <v>45161</v>
      </c>
      <c r="J1218" t="s">
        <v>165</v>
      </c>
      <c r="K1218" t="s">
        <v>166</v>
      </c>
      <c r="L1218" t="s">
        <v>175</v>
      </c>
      <c r="M1218" t="s">
        <v>1556</v>
      </c>
      <c r="O1218" t="s">
        <v>1556</v>
      </c>
      <c r="Q1218" t="s">
        <v>1666</v>
      </c>
      <c r="U1218" t="s">
        <v>1697</v>
      </c>
      <c r="W1218" t="s">
        <v>1702</v>
      </c>
      <c r="X1218">
        <v>7</v>
      </c>
      <c r="AA1218" s="43">
        <v>307.5</v>
      </c>
      <c r="AC1218" s="43">
        <v>307.5</v>
      </c>
      <c r="AF1218" s="37">
        <f t="shared" si="37"/>
        <v>45420</v>
      </c>
      <c r="AG1218" s="37">
        <f t="shared" si="38"/>
        <v>46626.611570247936</v>
      </c>
      <c r="AH1218" t="s">
        <v>1705</v>
      </c>
      <c r="AN1218" s="43">
        <v>307.5</v>
      </c>
    </row>
    <row r="1219" spans="2:40">
      <c r="B1219" t="s">
        <v>1557</v>
      </c>
      <c r="C1219" t="s">
        <v>121</v>
      </c>
      <c r="D1219" t="s">
        <v>167</v>
      </c>
      <c r="E1219" t="s">
        <v>83</v>
      </c>
      <c r="F1219" s="37">
        <v>45084</v>
      </c>
      <c r="G1219">
        <v>10</v>
      </c>
      <c r="H1219" t="s">
        <v>174</v>
      </c>
      <c r="I1219" s="37">
        <v>45154</v>
      </c>
      <c r="J1219" t="s">
        <v>165</v>
      </c>
      <c r="K1219" t="s">
        <v>166</v>
      </c>
      <c r="L1219" t="s">
        <v>175</v>
      </c>
      <c r="M1219" t="s">
        <v>1557</v>
      </c>
      <c r="O1219" t="s">
        <v>1557</v>
      </c>
      <c r="Q1219" t="s">
        <v>1667</v>
      </c>
      <c r="U1219" t="s">
        <v>1697</v>
      </c>
      <c r="W1219" t="s">
        <v>1702</v>
      </c>
      <c r="X1219">
        <v>7</v>
      </c>
      <c r="AA1219" s="43">
        <v>307.5</v>
      </c>
      <c r="AC1219" s="43">
        <v>307.5</v>
      </c>
      <c r="AF1219" s="37">
        <f t="shared" si="37"/>
        <v>45413</v>
      </c>
      <c r="AG1219" s="37">
        <f t="shared" si="38"/>
        <v>46619.611570247936</v>
      </c>
      <c r="AH1219" t="s">
        <v>1705</v>
      </c>
      <c r="AN1219" s="43">
        <v>307.5</v>
      </c>
    </row>
    <row r="1220" spans="2:40">
      <c r="B1220" t="s">
        <v>1558</v>
      </c>
      <c r="C1220" t="s">
        <v>121</v>
      </c>
      <c r="D1220" t="s">
        <v>167</v>
      </c>
      <c r="E1220" t="s">
        <v>83</v>
      </c>
      <c r="F1220" s="37">
        <v>45084</v>
      </c>
      <c r="G1220">
        <v>10</v>
      </c>
      <c r="H1220" t="s">
        <v>174</v>
      </c>
      <c r="I1220" s="37">
        <v>45154</v>
      </c>
      <c r="J1220" t="s">
        <v>165</v>
      </c>
      <c r="K1220" t="s">
        <v>166</v>
      </c>
      <c r="L1220" t="s">
        <v>175</v>
      </c>
      <c r="M1220" t="s">
        <v>1558</v>
      </c>
      <c r="O1220" t="s">
        <v>1558</v>
      </c>
      <c r="Q1220" t="s">
        <v>1667</v>
      </c>
      <c r="U1220" t="s">
        <v>1697</v>
      </c>
      <c r="W1220" t="s">
        <v>1702</v>
      </c>
      <c r="X1220">
        <v>7</v>
      </c>
      <c r="AA1220" s="43">
        <v>307.5</v>
      </c>
      <c r="AC1220" s="43">
        <v>307.5</v>
      </c>
      <c r="AF1220" s="37">
        <f t="shared" si="37"/>
        <v>45413</v>
      </c>
      <c r="AG1220" s="37">
        <f t="shared" si="38"/>
        <v>46619.611570247936</v>
      </c>
      <c r="AH1220" t="s">
        <v>1705</v>
      </c>
      <c r="AN1220" s="43">
        <v>307.5</v>
      </c>
    </row>
    <row r="1221" spans="2:40">
      <c r="B1221" t="s">
        <v>1559</v>
      </c>
      <c r="C1221" t="s">
        <v>121</v>
      </c>
      <c r="D1221" t="s">
        <v>167</v>
      </c>
      <c r="E1221" t="s">
        <v>83</v>
      </c>
      <c r="F1221" s="37">
        <v>45084</v>
      </c>
      <c r="G1221">
        <v>10</v>
      </c>
      <c r="H1221" t="s">
        <v>174</v>
      </c>
      <c r="I1221" s="37">
        <v>45154</v>
      </c>
      <c r="J1221" t="s">
        <v>165</v>
      </c>
      <c r="K1221" t="s">
        <v>166</v>
      </c>
      <c r="L1221" t="s">
        <v>175</v>
      </c>
      <c r="M1221" t="s">
        <v>1559</v>
      </c>
      <c r="O1221" t="s">
        <v>1559</v>
      </c>
      <c r="Q1221" t="s">
        <v>1667</v>
      </c>
      <c r="U1221" t="s">
        <v>1697</v>
      </c>
      <c r="W1221" t="s">
        <v>1702</v>
      </c>
      <c r="X1221">
        <v>7</v>
      </c>
      <c r="AA1221" s="43">
        <v>307.5</v>
      </c>
      <c r="AC1221" s="43">
        <v>307.5</v>
      </c>
      <c r="AF1221" s="37">
        <f t="shared" si="37"/>
        <v>45413</v>
      </c>
      <c r="AG1221" s="37">
        <f t="shared" si="38"/>
        <v>46619.611570247936</v>
      </c>
      <c r="AH1221" t="s">
        <v>1705</v>
      </c>
      <c r="AN1221" s="43">
        <v>307.5</v>
      </c>
    </row>
    <row r="1222" spans="2:40">
      <c r="B1222" t="s">
        <v>1560</v>
      </c>
      <c r="C1222" t="s">
        <v>121</v>
      </c>
      <c r="D1222" t="s">
        <v>167</v>
      </c>
      <c r="E1222" t="s">
        <v>83</v>
      </c>
      <c r="F1222" s="37">
        <v>45077</v>
      </c>
      <c r="G1222">
        <v>10</v>
      </c>
      <c r="H1222" t="s">
        <v>174</v>
      </c>
      <c r="I1222" s="37">
        <v>45147</v>
      </c>
      <c r="J1222" t="s">
        <v>165</v>
      </c>
      <c r="K1222" t="s">
        <v>166</v>
      </c>
      <c r="L1222" t="s">
        <v>175</v>
      </c>
      <c r="M1222" t="s">
        <v>1560</v>
      </c>
      <c r="O1222" t="s">
        <v>1560</v>
      </c>
      <c r="Q1222" t="s">
        <v>1652</v>
      </c>
      <c r="U1222" t="s">
        <v>1697</v>
      </c>
      <c r="W1222" t="s">
        <v>1702</v>
      </c>
      <c r="X1222">
        <v>7</v>
      </c>
      <c r="AA1222" s="43">
        <v>307.5</v>
      </c>
      <c r="AC1222" s="43">
        <v>307.5</v>
      </c>
      <c r="AF1222" s="37">
        <f t="shared" si="37"/>
        <v>45406</v>
      </c>
      <c r="AG1222" s="37">
        <f t="shared" si="38"/>
        <v>46612.611570247936</v>
      </c>
      <c r="AH1222" t="s">
        <v>1705</v>
      </c>
      <c r="AN1222" s="43">
        <v>307.5</v>
      </c>
    </row>
    <row r="1223" spans="2:40">
      <c r="B1223" t="s">
        <v>1561</v>
      </c>
      <c r="C1223" t="s">
        <v>121</v>
      </c>
      <c r="D1223" t="s">
        <v>167</v>
      </c>
      <c r="E1223" t="s">
        <v>83</v>
      </c>
      <c r="F1223" s="37">
        <v>45070</v>
      </c>
      <c r="G1223">
        <v>10</v>
      </c>
      <c r="H1223" t="s">
        <v>174</v>
      </c>
      <c r="I1223" s="37">
        <v>45140</v>
      </c>
      <c r="J1223" t="s">
        <v>165</v>
      </c>
      <c r="K1223" t="s">
        <v>166</v>
      </c>
      <c r="L1223" t="s">
        <v>175</v>
      </c>
      <c r="M1223" t="s">
        <v>1561</v>
      </c>
      <c r="O1223" t="s">
        <v>1561</v>
      </c>
      <c r="Q1223" t="s">
        <v>1672</v>
      </c>
      <c r="U1223" t="s">
        <v>1697</v>
      </c>
      <c r="W1223" t="s">
        <v>1702</v>
      </c>
      <c r="X1223">
        <v>7</v>
      </c>
      <c r="AA1223" s="43">
        <v>307.5</v>
      </c>
      <c r="AC1223" s="43">
        <v>307.5</v>
      </c>
      <c r="AF1223" s="37">
        <f t="shared" ref="AF1223:AF1286" si="39">F1223+(47*7)</f>
        <v>45399</v>
      </c>
      <c r="AG1223" s="37">
        <f t="shared" ref="AG1223:AG1286" si="40">+AF1223+(365*8)/2.42</f>
        <v>46605.611570247936</v>
      </c>
      <c r="AH1223" t="s">
        <v>1705</v>
      </c>
      <c r="AN1223" s="43">
        <v>307.5</v>
      </c>
    </row>
    <row r="1224" spans="2:40">
      <c r="B1224" t="s">
        <v>1562</v>
      </c>
      <c r="C1224" t="s">
        <v>121</v>
      </c>
      <c r="D1224" t="s">
        <v>167</v>
      </c>
      <c r="E1224" t="s">
        <v>83</v>
      </c>
      <c r="F1224" s="37">
        <v>45070</v>
      </c>
      <c r="G1224">
        <v>10</v>
      </c>
      <c r="H1224" t="s">
        <v>174</v>
      </c>
      <c r="I1224" s="37">
        <v>45140</v>
      </c>
      <c r="J1224" t="s">
        <v>165</v>
      </c>
      <c r="K1224" t="s">
        <v>166</v>
      </c>
      <c r="L1224" t="s">
        <v>175</v>
      </c>
      <c r="M1224" t="s">
        <v>1562</v>
      </c>
      <c r="O1224" t="s">
        <v>1562</v>
      </c>
      <c r="Q1224" t="s">
        <v>1669</v>
      </c>
      <c r="U1224" t="s">
        <v>1697</v>
      </c>
      <c r="W1224" t="s">
        <v>1702</v>
      </c>
      <c r="X1224">
        <v>7</v>
      </c>
      <c r="AA1224" s="43">
        <v>307.5</v>
      </c>
      <c r="AC1224" s="43">
        <v>307.5</v>
      </c>
      <c r="AF1224" s="37">
        <f t="shared" si="39"/>
        <v>45399</v>
      </c>
      <c r="AG1224" s="37">
        <f t="shared" si="40"/>
        <v>46605.611570247936</v>
      </c>
      <c r="AH1224" t="s">
        <v>1705</v>
      </c>
      <c r="AN1224" s="43">
        <v>307.5</v>
      </c>
    </row>
    <row r="1225" spans="2:40">
      <c r="B1225" t="s">
        <v>1563</v>
      </c>
      <c r="C1225" t="s">
        <v>121</v>
      </c>
      <c r="D1225" t="s">
        <v>167</v>
      </c>
      <c r="E1225" t="s">
        <v>83</v>
      </c>
      <c r="F1225" s="37">
        <v>45070</v>
      </c>
      <c r="G1225">
        <v>10</v>
      </c>
      <c r="H1225" t="s">
        <v>174</v>
      </c>
      <c r="I1225" s="37">
        <v>45140</v>
      </c>
      <c r="J1225" t="s">
        <v>165</v>
      </c>
      <c r="K1225" t="s">
        <v>166</v>
      </c>
      <c r="L1225" t="s">
        <v>175</v>
      </c>
      <c r="M1225" t="s">
        <v>1563</v>
      </c>
      <c r="O1225" t="s">
        <v>1563</v>
      </c>
      <c r="Q1225" t="s">
        <v>1652</v>
      </c>
      <c r="U1225" t="s">
        <v>1697</v>
      </c>
      <c r="W1225" t="s">
        <v>1702</v>
      </c>
      <c r="X1225">
        <v>7</v>
      </c>
      <c r="AA1225" s="43">
        <v>307.5</v>
      </c>
      <c r="AC1225" s="43">
        <v>307.5</v>
      </c>
      <c r="AF1225" s="37">
        <f t="shared" si="39"/>
        <v>45399</v>
      </c>
      <c r="AG1225" s="37">
        <f t="shared" si="40"/>
        <v>46605.611570247936</v>
      </c>
      <c r="AH1225" t="s">
        <v>1705</v>
      </c>
      <c r="AN1225" s="43">
        <v>307.5</v>
      </c>
    </row>
    <row r="1226" spans="2:40">
      <c r="B1226" t="s">
        <v>1564</v>
      </c>
      <c r="C1226" t="s">
        <v>121</v>
      </c>
      <c r="D1226" t="s">
        <v>167</v>
      </c>
      <c r="E1226" t="s">
        <v>83</v>
      </c>
      <c r="F1226" s="37">
        <v>45063</v>
      </c>
      <c r="G1226">
        <v>10</v>
      </c>
      <c r="H1226" t="s">
        <v>174</v>
      </c>
      <c r="I1226" s="37">
        <v>45133</v>
      </c>
      <c r="J1226" t="s">
        <v>165</v>
      </c>
      <c r="K1226" t="s">
        <v>166</v>
      </c>
      <c r="L1226" t="s">
        <v>175</v>
      </c>
      <c r="M1226" t="s">
        <v>1564</v>
      </c>
      <c r="O1226" t="s">
        <v>1564</v>
      </c>
      <c r="Q1226" t="s">
        <v>1648</v>
      </c>
      <c r="U1226" t="s">
        <v>1697</v>
      </c>
      <c r="W1226" t="s">
        <v>1702</v>
      </c>
      <c r="X1226">
        <v>7</v>
      </c>
      <c r="AA1226" s="43">
        <v>307.5</v>
      </c>
      <c r="AC1226" s="43">
        <v>307.5</v>
      </c>
      <c r="AF1226" s="37">
        <f t="shared" si="39"/>
        <v>45392</v>
      </c>
      <c r="AG1226" s="37">
        <f t="shared" si="40"/>
        <v>46598.611570247936</v>
      </c>
      <c r="AH1226" t="s">
        <v>1705</v>
      </c>
      <c r="AN1226" s="43">
        <v>307.5</v>
      </c>
    </row>
    <row r="1227" spans="2:40">
      <c r="B1227" t="s">
        <v>1565</v>
      </c>
      <c r="C1227" t="s">
        <v>121</v>
      </c>
      <c r="D1227" t="s">
        <v>167</v>
      </c>
      <c r="E1227" t="s">
        <v>83</v>
      </c>
      <c r="F1227" s="37">
        <v>45063</v>
      </c>
      <c r="G1227">
        <v>10</v>
      </c>
      <c r="H1227" t="s">
        <v>174</v>
      </c>
      <c r="I1227" s="37">
        <v>45133</v>
      </c>
      <c r="J1227" t="s">
        <v>165</v>
      </c>
      <c r="K1227" t="s">
        <v>166</v>
      </c>
      <c r="L1227" t="s">
        <v>175</v>
      </c>
      <c r="M1227" t="s">
        <v>1565</v>
      </c>
      <c r="O1227" t="s">
        <v>1565</v>
      </c>
      <c r="Q1227" t="s">
        <v>1646</v>
      </c>
      <c r="U1227" t="s">
        <v>1697</v>
      </c>
      <c r="W1227" t="s">
        <v>1702</v>
      </c>
      <c r="X1227">
        <v>7</v>
      </c>
      <c r="AA1227" s="43">
        <v>307.5</v>
      </c>
      <c r="AC1227" s="43">
        <v>307.5</v>
      </c>
      <c r="AF1227" s="37">
        <f t="shared" si="39"/>
        <v>45392</v>
      </c>
      <c r="AG1227" s="37">
        <f t="shared" si="40"/>
        <v>46598.611570247936</v>
      </c>
      <c r="AH1227" t="s">
        <v>1705</v>
      </c>
      <c r="AN1227" s="43">
        <v>307.5</v>
      </c>
    </row>
    <row r="1228" spans="2:40">
      <c r="B1228" t="s">
        <v>1566</v>
      </c>
      <c r="C1228" t="s">
        <v>121</v>
      </c>
      <c r="D1228" t="s">
        <v>167</v>
      </c>
      <c r="E1228" t="s">
        <v>83</v>
      </c>
      <c r="F1228" s="37">
        <v>45063</v>
      </c>
      <c r="G1228">
        <v>10</v>
      </c>
      <c r="H1228" t="s">
        <v>174</v>
      </c>
      <c r="I1228" s="37">
        <v>45133</v>
      </c>
      <c r="J1228" t="s">
        <v>165</v>
      </c>
      <c r="K1228" t="s">
        <v>166</v>
      </c>
      <c r="L1228" t="s">
        <v>175</v>
      </c>
      <c r="M1228" t="s">
        <v>1566</v>
      </c>
      <c r="O1228" t="s">
        <v>1566</v>
      </c>
      <c r="Q1228" t="s">
        <v>1646</v>
      </c>
      <c r="U1228" t="s">
        <v>1697</v>
      </c>
      <c r="W1228" t="s">
        <v>1702</v>
      </c>
      <c r="X1228">
        <v>7</v>
      </c>
      <c r="AA1228" s="43">
        <v>307.5</v>
      </c>
      <c r="AC1228" s="43">
        <v>307.5</v>
      </c>
      <c r="AF1228" s="37">
        <f t="shared" si="39"/>
        <v>45392</v>
      </c>
      <c r="AG1228" s="37">
        <f t="shared" si="40"/>
        <v>46598.611570247936</v>
      </c>
      <c r="AH1228" t="s">
        <v>1705</v>
      </c>
      <c r="AN1228" s="43">
        <v>307.5</v>
      </c>
    </row>
    <row r="1229" spans="2:40">
      <c r="B1229" t="s">
        <v>1567</v>
      </c>
      <c r="C1229" t="s">
        <v>121</v>
      </c>
      <c r="D1229" t="s">
        <v>167</v>
      </c>
      <c r="E1229" t="s">
        <v>83</v>
      </c>
      <c r="F1229" s="37">
        <v>45063</v>
      </c>
      <c r="G1229">
        <v>10</v>
      </c>
      <c r="H1229" t="s">
        <v>174</v>
      </c>
      <c r="I1229" s="37">
        <v>45133</v>
      </c>
      <c r="J1229" t="s">
        <v>165</v>
      </c>
      <c r="K1229" t="s">
        <v>166</v>
      </c>
      <c r="L1229" t="s">
        <v>175</v>
      </c>
      <c r="M1229" t="s">
        <v>1567</v>
      </c>
      <c r="O1229" t="s">
        <v>1567</v>
      </c>
      <c r="Q1229" t="s">
        <v>1673</v>
      </c>
      <c r="U1229" t="s">
        <v>1697</v>
      </c>
      <c r="W1229" t="s">
        <v>1702</v>
      </c>
      <c r="X1229">
        <v>7</v>
      </c>
      <c r="AA1229" s="43">
        <v>307.5</v>
      </c>
      <c r="AC1229" s="43">
        <v>307.5</v>
      </c>
      <c r="AF1229" s="37">
        <f t="shared" si="39"/>
        <v>45392</v>
      </c>
      <c r="AG1229" s="37">
        <f t="shared" si="40"/>
        <v>46598.611570247936</v>
      </c>
      <c r="AH1229" t="s">
        <v>1705</v>
      </c>
      <c r="AN1229" s="43">
        <v>307.5</v>
      </c>
    </row>
    <row r="1230" spans="2:40">
      <c r="B1230" t="s">
        <v>1568</v>
      </c>
      <c r="C1230" t="s">
        <v>121</v>
      </c>
      <c r="D1230" t="s">
        <v>167</v>
      </c>
      <c r="E1230" t="s">
        <v>83</v>
      </c>
      <c r="F1230" s="37">
        <v>45056</v>
      </c>
      <c r="G1230">
        <v>10</v>
      </c>
      <c r="H1230" t="s">
        <v>174</v>
      </c>
      <c r="I1230" s="37">
        <v>45126</v>
      </c>
      <c r="J1230" t="s">
        <v>165</v>
      </c>
      <c r="K1230" t="s">
        <v>166</v>
      </c>
      <c r="L1230" t="s">
        <v>175</v>
      </c>
      <c r="M1230" t="s">
        <v>1568</v>
      </c>
      <c r="O1230" t="s">
        <v>1568</v>
      </c>
      <c r="Q1230" t="s">
        <v>1674</v>
      </c>
      <c r="U1230" t="s">
        <v>1697</v>
      </c>
      <c r="W1230" t="s">
        <v>1702</v>
      </c>
      <c r="X1230">
        <v>7</v>
      </c>
      <c r="AA1230" s="43">
        <v>307.5</v>
      </c>
      <c r="AC1230" s="43">
        <v>307.5</v>
      </c>
      <c r="AF1230" s="37">
        <f t="shared" si="39"/>
        <v>45385</v>
      </c>
      <c r="AG1230" s="37">
        <f t="shared" si="40"/>
        <v>46591.611570247936</v>
      </c>
      <c r="AH1230" t="s">
        <v>1705</v>
      </c>
      <c r="AN1230" s="43">
        <v>307.5</v>
      </c>
    </row>
    <row r="1231" spans="2:40">
      <c r="B1231" t="s">
        <v>1569</v>
      </c>
      <c r="C1231" t="s">
        <v>121</v>
      </c>
      <c r="D1231" t="s">
        <v>167</v>
      </c>
      <c r="E1231" t="s">
        <v>83</v>
      </c>
      <c r="F1231" s="37">
        <v>45049</v>
      </c>
      <c r="G1231">
        <v>10</v>
      </c>
      <c r="H1231" t="s">
        <v>174</v>
      </c>
      <c r="I1231" s="37">
        <v>45112</v>
      </c>
      <c r="J1231" t="s">
        <v>165</v>
      </c>
      <c r="K1231" t="s">
        <v>166</v>
      </c>
      <c r="L1231" t="s">
        <v>175</v>
      </c>
      <c r="M1231" t="s">
        <v>1569</v>
      </c>
      <c r="O1231" t="s">
        <v>1569</v>
      </c>
      <c r="Q1231" t="s">
        <v>1643</v>
      </c>
      <c r="U1231" t="s">
        <v>1697</v>
      </c>
      <c r="W1231" t="s">
        <v>1702</v>
      </c>
      <c r="X1231">
        <v>7</v>
      </c>
      <c r="AA1231" s="43">
        <v>307.5</v>
      </c>
      <c r="AC1231" s="43">
        <v>307.5</v>
      </c>
      <c r="AF1231" s="37">
        <f t="shared" si="39"/>
        <v>45378</v>
      </c>
      <c r="AG1231" s="37">
        <f t="shared" si="40"/>
        <v>46584.611570247936</v>
      </c>
      <c r="AH1231" t="s">
        <v>1705</v>
      </c>
      <c r="AN1231" s="43">
        <v>307.5</v>
      </c>
    </row>
    <row r="1232" spans="2:40">
      <c r="B1232" t="s">
        <v>1570</v>
      </c>
      <c r="C1232" t="s">
        <v>121</v>
      </c>
      <c r="D1232" t="s">
        <v>167</v>
      </c>
      <c r="E1232" t="s">
        <v>83</v>
      </c>
      <c r="F1232" s="37">
        <v>45049</v>
      </c>
      <c r="G1232">
        <v>10</v>
      </c>
      <c r="H1232" t="s">
        <v>174</v>
      </c>
      <c r="I1232" s="37">
        <v>45112</v>
      </c>
      <c r="J1232" t="s">
        <v>165</v>
      </c>
      <c r="K1232" t="s">
        <v>166</v>
      </c>
      <c r="L1232" t="s">
        <v>175</v>
      </c>
      <c r="M1232" t="s">
        <v>1570</v>
      </c>
      <c r="O1232" t="s">
        <v>1570</v>
      </c>
      <c r="Q1232" t="s">
        <v>1643</v>
      </c>
      <c r="U1232" t="s">
        <v>1697</v>
      </c>
      <c r="W1232" t="s">
        <v>1702</v>
      </c>
      <c r="X1232">
        <v>7</v>
      </c>
      <c r="AA1232" s="43">
        <v>307.5</v>
      </c>
      <c r="AC1232" s="43">
        <v>307.5</v>
      </c>
      <c r="AF1232" s="37">
        <f t="shared" si="39"/>
        <v>45378</v>
      </c>
      <c r="AG1232" s="37">
        <f t="shared" si="40"/>
        <v>46584.611570247936</v>
      </c>
      <c r="AH1232" t="s">
        <v>1705</v>
      </c>
      <c r="AN1232" s="43">
        <v>307.5</v>
      </c>
    </row>
    <row r="1233" spans="2:40">
      <c r="B1233" t="s">
        <v>1571</v>
      </c>
      <c r="C1233" t="s">
        <v>121</v>
      </c>
      <c r="D1233" t="s">
        <v>167</v>
      </c>
      <c r="E1233" t="s">
        <v>83</v>
      </c>
      <c r="F1233" s="37">
        <v>45049</v>
      </c>
      <c r="G1233">
        <v>10</v>
      </c>
      <c r="H1233" t="s">
        <v>174</v>
      </c>
      <c r="I1233" s="37">
        <v>45112</v>
      </c>
      <c r="J1233" t="s">
        <v>165</v>
      </c>
      <c r="K1233" t="s">
        <v>166</v>
      </c>
      <c r="L1233" t="s">
        <v>175</v>
      </c>
      <c r="M1233" t="s">
        <v>1571</v>
      </c>
      <c r="O1233" t="s">
        <v>1571</v>
      </c>
      <c r="Q1233" t="s">
        <v>1643</v>
      </c>
      <c r="U1233" t="s">
        <v>1697</v>
      </c>
      <c r="W1233" t="s">
        <v>1702</v>
      </c>
      <c r="X1233">
        <v>7</v>
      </c>
      <c r="AA1233" s="43">
        <v>307.5</v>
      </c>
      <c r="AC1233" s="43">
        <v>307.5</v>
      </c>
      <c r="AF1233" s="37">
        <f t="shared" si="39"/>
        <v>45378</v>
      </c>
      <c r="AG1233" s="37">
        <f t="shared" si="40"/>
        <v>46584.611570247936</v>
      </c>
      <c r="AH1233" t="s">
        <v>1705</v>
      </c>
      <c r="AN1233" s="43">
        <v>307.5</v>
      </c>
    </row>
    <row r="1234" spans="2:40">
      <c r="B1234" t="s">
        <v>1572</v>
      </c>
      <c r="C1234" t="s">
        <v>121</v>
      </c>
      <c r="D1234" t="s">
        <v>167</v>
      </c>
      <c r="E1234" t="s">
        <v>83</v>
      </c>
      <c r="F1234" s="37">
        <v>45042</v>
      </c>
      <c r="G1234">
        <v>10</v>
      </c>
      <c r="H1234" t="s">
        <v>174</v>
      </c>
      <c r="I1234" s="37">
        <v>45112</v>
      </c>
      <c r="J1234" t="s">
        <v>165</v>
      </c>
      <c r="K1234" t="s">
        <v>166</v>
      </c>
      <c r="L1234" t="s">
        <v>175</v>
      </c>
      <c r="M1234" t="s">
        <v>1572</v>
      </c>
      <c r="O1234" t="s">
        <v>1572</v>
      </c>
      <c r="Q1234" t="s">
        <v>1649</v>
      </c>
      <c r="U1234" t="s">
        <v>1697</v>
      </c>
      <c r="W1234" t="s">
        <v>1702</v>
      </c>
      <c r="X1234">
        <v>7</v>
      </c>
      <c r="AA1234" s="43">
        <v>307.5</v>
      </c>
      <c r="AC1234" s="43">
        <v>307.5</v>
      </c>
      <c r="AF1234" s="37">
        <f t="shared" si="39"/>
        <v>45371</v>
      </c>
      <c r="AG1234" s="37">
        <f t="shared" si="40"/>
        <v>46577.611570247936</v>
      </c>
      <c r="AH1234" t="s">
        <v>1705</v>
      </c>
      <c r="AN1234" s="43">
        <v>307.5</v>
      </c>
    </row>
    <row r="1235" spans="2:40">
      <c r="B1235" t="s">
        <v>1573</v>
      </c>
      <c r="C1235" t="s">
        <v>121</v>
      </c>
      <c r="D1235" t="s">
        <v>167</v>
      </c>
      <c r="E1235" t="s">
        <v>83</v>
      </c>
      <c r="F1235" s="37">
        <v>45042</v>
      </c>
      <c r="G1235">
        <v>10</v>
      </c>
      <c r="H1235" t="s">
        <v>174</v>
      </c>
      <c r="I1235" s="37">
        <v>45112</v>
      </c>
      <c r="J1235" t="s">
        <v>165</v>
      </c>
      <c r="K1235" t="s">
        <v>166</v>
      </c>
      <c r="L1235" t="s">
        <v>175</v>
      </c>
      <c r="M1235" t="s">
        <v>1573</v>
      </c>
      <c r="O1235" t="s">
        <v>1573</v>
      </c>
      <c r="Q1235" t="s">
        <v>1649</v>
      </c>
      <c r="U1235" t="s">
        <v>1697</v>
      </c>
      <c r="W1235" t="s">
        <v>1702</v>
      </c>
      <c r="X1235">
        <v>7</v>
      </c>
      <c r="AA1235" s="43">
        <v>307.5</v>
      </c>
      <c r="AC1235" s="43">
        <v>307.5</v>
      </c>
      <c r="AF1235" s="37">
        <f t="shared" si="39"/>
        <v>45371</v>
      </c>
      <c r="AG1235" s="37">
        <f t="shared" si="40"/>
        <v>46577.611570247936</v>
      </c>
      <c r="AH1235" t="s">
        <v>1705</v>
      </c>
      <c r="AN1235" s="43">
        <v>307.5</v>
      </c>
    </row>
    <row r="1236" spans="2:40">
      <c r="B1236" t="s">
        <v>1574</v>
      </c>
      <c r="C1236" t="s">
        <v>121</v>
      </c>
      <c r="D1236" t="s">
        <v>167</v>
      </c>
      <c r="E1236" t="s">
        <v>83</v>
      </c>
      <c r="F1236" s="37">
        <v>45042</v>
      </c>
      <c r="G1236">
        <v>10</v>
      </c>
      <c r="H1236" t="s">
        <v>174</v>
      </c>
      <c r="I1236" s="37">
        <v>45112</v>
      </c>
      <c r="J1236" t="s">
        <v>165</v>
      </c>
      <c r="K1236" t="s">
        <v>166</v>
      </c>
      <c r="L1236" t="s">
        <v>175</v>
      </c>
      <c r="M1236" t="s">
        <v>1574</v>
      </c>
      <c r="O1236" t="s">
        <v>1574</v>
      </c>
      <c r="Q1236" t="s">
        <v>1649</v>
      </c>
      <c r="U1236" t="s">
        <v>1697</v>
      </c>
      <c r="W1236" t="s">
        <v>1702</v>
      </c>
      <c r="X1236">
        <v>7</v>
      </c>
      <c r="AA1236" s="43">
        <v>307.5</v>
      </c>
      <c r="AC1236" s="43">
        <v>307.5</v>
      </c>
      <c r="AF1236" s="37">
        <f t="shared" si="39"/>
        <v>45371</v>
      </c>
      <c r="AG1236" s="37">
        <f t="shared" si="40"/>
        <v>46577.611570247936</v>
      </c>
      <c r="AH1236" t="s">
        <v>1705</v>
      </c>
      <c r="AN1236" s="43">
        <v>307.5</v>
      </c>
    </row>
    <row r="1237" spans="2:40">
      <c r="B1237" t="s">
        <v>1575</v>
      </c>
      <c r="C1237" t="s">
        <v>121</v>
      </c>
      <c r="D1237" t="s">
        <v>167</v>
      </c>
      <c r="E1237" t="s">
        <v>83</v>
      </c>
      <c r="F1237" s="37">
        <v>45035</v>
      </c>
      <c r="G1237">
        <v>10</v>
      </c>
      <c r="H1237" t="s">
        <v>174</v>
      </c>
      <c r="I1237" s="37">
        <v>45105</v>
      </c>
      <c r="J1237" t="s">
        <v>165</v>
      </c>
      <c r="K1237" t="s">
        <v>166</v>
      </c>
      <c r="L1237" t="s">
        <v>175</v>
      </c>
      <c r="M1237" t="s">
        <v>1575</v>
      </c>
      <c r="O1237" t="s">
        <v>1575</v>
      </c>
      <c r="Q1237" t="s">
        <v>1647</v>
      </c>
      <c r="U1237" t="s">
        <v>1697</v>
      </c>
      <c r="W1237" t="s">
        <v>1702</v>
      </c>
      <c r="X1237">
        <v>7</v>
      </c>
      <c r="AA1237" s="43">
        <v>307.5</v>
      </c>
      <c r="AC1237" s="43">
        <v>307.5</v>
      </c>
      <c r="AF1237" s="37">
        <f t="shared" si="39"/>
        <v>45364</v>
      </c>
      <c r="AG1237" s="37">
        <f t="shared" si="40"/>
        <v>46570.611570247936</v>
      </c>
      <c r="AH1237" t="s">
        <v>1705</v>
      </c>
      <c r="AN1237" s="43">
        <v>307.5</v>
      </c>
    </row>
    <row r="1238" spans="2:40">
      <c r="B1238" t="s">
        <v>1576</v>
      </c>
      <c r="C1238" t="s">
        <v>121</v>
      </c>
      <c r="D1238" t="s">
        <v>167</v>
      </c>
      <c r="E1238" t="s">
        <v>83</v>
      </c>
      <c r="F1238" s="37">
        <v>45035</v>
      </c>
      <c r="G1238">
        <v>10</v>
      </c>
      <c r="H1238" t="s">
        <v>174</v>
      </c>
      <c r="I1238" s="37">
        <v>45105</v>
      </c>
      <c r="J1238" t="s">
        <v>165</v>
      </c>
      <c r="K1238" t="s">
        <v>166</v>
      </c>
      <c r="L1238" t="s">
        <v>175</v>
      </c>
      <c r="M1238" t="s">
        <v>1576</v>
      </c>
      <c r="O1238" t="s">
        <v>1576</v>
      </c>
      <c r="Q1238" t="s">
        <v>1647</v>
      </c>
      <c r="U1238" t="s">
        <v>1697</v>
      </c>
      <c r="W1238" t="s">
        <v>1702</v>
      </c>
      <c r="X1238">
        <v>7</v>
      </c>
      <c r="AA1238" s="43">
        <v>307.5</v>
      </c>
      <c r="AC1238" s="43">
        <v>307.5</v>
      </c>
      <c r="AF1238" s="37">
        <f t="shared" si="39"/>
        <v>45364</v>
      </c>
      <c r="AG1238" s="37">
        <f t="shared" si="40"/>
        <v>46570.611570247936</v>
      </c>
      <c r="AH1238" t="s">
        <v>1705</v>
      </c>
      <c r="AN1238" s="43">
        <v>307.5</v>
      </c>
    </row>
    <row r="1239" spans="2:40">
      <c r="B1239" t="s">
        <v>1577</v>
      </c>
      <c r="C1239" t="s">
        <v>121</v>
      </c>
      <c r="D1239" t="s">
        <v>167</v>
      </c>
      <c r="E1239" t="s">
        <v>83</v>
      </c>
      <c r="F1239" s="37">
        <v>45035</v>
      </c>
      <c r="G1239">
        <v>10</v>
      </c>
      <c r="H1239" t="s">
        <v>174</v>
      </c>
      <c r="I1239" s="37">
        <v>45105</v>
      </c>
      <c r="J1239" t="s">
        <v>165</v>
      </c>
      <c r="K1239" t="s">
        <v>166</v>
      </c>
      <c r="L1239" t="s">
        <v>175</v>
      </c>
      <c r="M1239" t="s">
        <v>1577</v>
      </c>
      <c r="O1239" t="s">
        <v>1577</v>
      </c>
      <c r="Q1239" t="s">
        <v>1643</v>
      </c>
      <c r="U1239" t="s">
        <v>1697</v>
      </c>
      <c r="W1239" t="s">
        <v>1702</v>
      </c>
      <c r="X1239">
        <v>7</v>
      </c>
      <c r="AA1239" s="43">
        <v>307.5</v>
      </c>
      <c r="AC1239" s="43">
        <v>307.5</v>
      </c>
      <c r="AF1239" s="37">
        <f t="shared" si="39"/>
        <v>45364</v>
      </c>
      <c r="AG1239" s="37">
        <f t="shared" si="40"/>
        <v>46570.611570247936</v>
      </c>
      <c r="AH1239" t="s">
        <v>1705</v>
      </c>
      <c r="AN1239" s="43">
        <v>307.5</v>
      </c>
    </row>
    <row r="1240" spans="2:40">
      <c r="B1240" t="s">
        <v>1578</v>
      </c>
      <c r="C1240" t="s">
        <v>121</v>
      </c>
      <c r="D1240" t="s">
        <v>167</v>
      </c>
      <c r="E1240" t="s">
        <v>83</v>
      </c>
      <c r="F1240" s="37">
        <v>45028</v>
      </c>
      <c r="G1240">
        <v>10</v>
      </c>
      <c r="H1240" t="s">
        <v>174</v>
      </c>
      <c r="I1240" s="37">
        <v>45098</v>
      </c>
      <c r="J1240" t="s">
        <v>165</v>
      </c>
      <c r="K1240" t="s">
        <v>166</v>
      </c>
      <c r="L1240" t="s">
        <v>175</v>
      </c>
      <c r="M1240" t="s">
        <v>1578</v>
      </c>
      <c r="O1240" t="s">
        <v>1578</v>
      </c>
      <c r="Q1240" t="s">
        <v>1675</v>
      </c>
      <c r="U1240" t="s">
        <v>1698</v>
      </c>
      <c r="W1240" t="s">
        <v>1703</v>
      </c>
      <c r="X1240">
        <v>7</v>
      </c>
      <c r="AA1240" s="43">
        <v>307.5</v>
      </c>
      <c r="AC1240" s="43">
        <v>307.5</v>
      </c>
      <c r="AF1240" s="37">
        <f t="shared" si="39"/>
        <v>45357</v>
      </c>
      <c r="AG1240" s="37">
        <f t="shared" si="40"/>
        <v>46563.611570247936</v>
      </c>
      <c r="AH1240" t="s">
        <v>169</v>
      </c>
      <c r="AN1240" s="43">
        <v>307.5</v>
      </c>
    </row>
    <row r="1241" spans="2:40">
      <c r="B1241" t="s">
        <v>1579</v>
      </c>
      <c r="C1241" t="s">
        <v>121</v>
      </c>
      <c r="D1241" t="s">
        <v>167</v>
      </c>
      <c r="E1241" t="s">
        <v>83</v>
      </c>
      <c r="F1241" s="37">
        <v>45028</v>
      </c>
      <c r="G1241">
        <v>10</v>
      </c>
      <c r="H1241" t="s">
        <v>174</v>
      </c>
      <c r="I1241" s="37">
        <v>45098</v>
      </c>
      <c r="J1241" t="s">
        <v>165</v>
      </c>
      <c r="K1241" t="s">
        <v>166</v>
      </c>
      <c r="L1241" t="s">
        <v>175</v>
      </c>
      <c r="M1241" t="s">
        <v>1579</v>
      </c>
      <c r="O1241" t="s">
        <v>1579</v>
      </c>
      <c r="Q1241" t="s">
        <v>1675</v>
      </c>
      <c r="U1241" t="s">
        <v>1698</v>
      </c>
      <c r="W1241" t="s">
        <v>1703</v>
      </c>
      <c r="X1241">
        <v>7</v>
      </c>
      <c r="AA1241" s="43">
        <v>307.5</v>
      </c>
      <c r="AC1241" s="43">
        <v>307.5</v>
      </c>
      <c r="AF1241" s="37">
        <f t="shared" si="39"/>
        <v>45357</v>
      </c>
      <c r="AG1241" s="37">
        <f t="shared" si="40"/>
        <v>46563.611570247936</v>
      </c>
      <c r="AH1241" t="s">
        <v>169</v>
      </c>
      <c r="AN1241" s="43">
        <v>307.5</v>
      </c>
    </row>
    <row r="1242" spans="2:40">
      <c r="B1242" t="s">
        <v>1580</v>
      </c>
      <c r="C1242" t="s">
        <v>121</v>
      </c>
      <c r="D1242" t="s">
        <v>167</v>
      </c>
      <c r="E1242" t="s">
        <v>83</v>
      </c>
      <c r="F1242" s="37">
        <v>45021</v>
      </c>
      <c r="G1242">
        <v>10</v>
      </c>
      <c r="H1242" t="s">
        <v>174</v>
      </c>
      <c r="I1242" s="37">
        <v>45091</v>
      </c>
      <c r="J1242" t="s">
        <v>165</v>
      </c>
      <c r="K1242" t="s">
        <v>166</v>
      </c>
      <c r="L1242" t="s">
        <v>175</v>
      </c>
      <c r="M1242" t="s">
        <v>1580</v>
      </c>
      <c r="O1242" t="s">
        <v>1580</v>
      </c>
      <c r="Q1242" t="s">
        <v>1643</v>
      </c>
      <c r="U1242" t="s">
        <v>1697</v>
      </c>
      <c r="W1242" t="s">
        <v>1702</v>
      </c>
      <c r="X1242">
        <v>7</v>
      </c>
      <c r="AA1242" s="43">
        <v>307.5</v>
      </c>
      <c r="AC1242" s="43">
        <v>307.5</v>
      </c>
      <c r="AF1242" s="37">
        <f t="shared" si="39"/>
        <v>45350</v>
      </c>
      <c r="AG1242" s="37">
        <f t="shared" si="40"/>
        <v>46556.611570247936</v>
      </c>
      <c r="AH1242" t="s">
        <v>1705</v>
      </c>
      <c r="AN1242" s="43">
        <v>307.5</v>
      </c>
    </row>
    <row r="1243" spans="2:40">
      <c r="B1243" t="s">
        <v>1581</v>
      </c>
      <c r="C1243" t="s">
        <v>121</v>
      </c>
      <c r="D1243" t="s">
        <v>167</v>
      </c>
      <c r="E1243" t="s">
        <v>83</v>
      </c>
      <c r="F1243" s="37">
        <v>45021</v>
      </c>
      <c r="G1243">
        <v>10</v>
      </c>
      <c r="H1243" t="s">
        <v>174</v>
      </c>
      <c r="I1243" s="37">
        <v>45091</v>
      </c>
      <c r="J1243" t="s">
        <v>165</v>
      </c>
      <c r="K1243" t="s">
        <v>166</v>
      </c>
      <c r="L1243" t="s">
        <v>175</v>
      </c>
      <c r="M1243" t="s">
        <v>1581</v>
      </c>
      <c r="O1243" t="s">
        <v>1581</v>
      </c>
      <c r="Q1243" t="s">
        <v>1648</v>
      </c>
      <c r="U1243" t="s">
        <v>1696</v>
      </c>
      <c r="W1243" t="s">
        <v>1699</v>
      </c>
      <c r="X1243">
        <v>8</v>
      </c>
      <c r="AA1243" s="43">
        <v>307.5</v>
      </c>
      <c r="AC1243" s="43">
        <v>307.5</v>
      </c>
      <c r="AF1243" s="37">
        <f t="shared" si="39"/>
        <v>45350</v>
      </c>
      <c r="AG1243" s="37">
        <f t="shared" si="40"/>
        <v>46556.611570247936</v>
      </c>
      <c r="AH1243" t="s">
        <v>1704</v>
      </c>
      <c r="AN1243" s="43">
        <v>307.5</v>
      </c>
    </row>
    <row r="1244" spans="2:40">
      <c r="B1244" t="s">
        <v>1582</v>
      </c>
      <c r="C1244" t="s">
        <v>121</v>
      </c>
      <c r="D1244" t="s">
        <v>167</v>
      </c>
      <c r="E1244" t="s">
        <v>83</v>
      </c>
      <c r="F1244" s="37">
        <v>45021</v>
      </c>
      <c r="G1244">
        <v>10</v>
      </c>
      <c r="H1244" t="s">
        <v>174</v>
      </c>
      <c r="I1244" s="37">
        <v>45091</v>
      </c>
      <c r="J1244" t="s">
        <v>165</v>
      </c>
      <c r="K1244" t="s">
        <v>166</v>
      </c>
      <c r="L1244" t="s">
        <v>175</v>
      </c>
      <c r="M1244" t="s">
        <v>1582</v>
      </c>
      <c r="O1244" t="s">
        <v>1582</v>
      </c>
      <c r="Q1244" t="s">
        <v>1660</v>
      </c>
      <c r="U1244" t="s">
        <v>1698</v>
      </c>
      <c r="W1244" t="s">
        <v>1703</v>
      </c>
      <c r="X1244">
        <v>7</v>
      </c>
      <c r="AA1244" s="43">
        <v>307.5</v>
      </c>
      <c r="AC1244" s="43">
        <v>307.5</v>
      </c>
      <c r="AF1244" s="37">
        <f t="shared" si="39"/>
        <v>45350</v>
      </c>
      <c r="AG1244" s="37">
        <f t="shared" si="40"/>
        <v>46556.611570247936</v>
      </c>
      <c r="AH1244" t="s">
        <v>169</v>
      </c>
      <c r="AN1244" s="43">
        <v>307.5</v>
      </c>
    </row>
    <row r="1245" spans="2:40">
      <c r="B1245" t="s">
        <v>1583</v>
      </c>
      <c r="C1245" t="s">
        <v>121</v>
      </c>
      <c r="D1245" t="s">
        <v>167</v>
      </c>
      <c r="E1245" t="s">
        <v>83</v>
      </c>
      <c r="F1245" s="37">
        <v>45021</v>
      </c>
      <c r="G1245">
        <v>10</v>
      </c>
      <c r="H1245" t="s">
        <v>174</v>
      </c>
      <c r="I1245" s="37">
        <v>45091</v>
      </c>
      <c r="J1245" t="s">
        <v>165</v>
      </c>
      <c r="K1245" t="s">
        <v>166</v>
      </c>
      <c r="L1245" t="s">
        <v>175</v>
      </c>
      <c r="M1245" t="s">
        <v>1583</v>
      </c>
      <c r="O1245" t="s">
        <v>1583</v>
      </c>
      <c r="Q1245" t="s">
        <v>1643</v>
      </c>
      <c r="U1245" t="s">
        <v>1698</v>
      </c>
      <c r="W1245" t="s">
        <v>1703</v>
      </c>
      <c r="X1245">
        <v>7</v>
      </c>
      <c r="AA1245" s="43">
        <v>307.5</v>
      </c>
      <c r="AC1245" s="43">
        <v>307.5</v>
      </c>
      <c r="AF1245" s="37">
        <f t="shared" si="39"/>
        <v>45350</v>
      </c>
      <c r="AG1245" s="37">
        <f t="shared" si="40"/>
        <v>46556.611570247936</v>
      </c>
      <c r="AH1245" t="s">
        <v>169</v>
      </c>
      <c r="AN1245" s="43">
        <v>307.5</v>
      </c>
    </row>
    <row r="1246" spans="2:40">
      <c r="B1246" t="s">
        <v>1584</v>
      </c>
      <c r="C1246" t="s">
        <v>121</v>
      </c>
      <c r="D1246" t="s">
        <v>167</v>
      </c>
      <c r="E1246" t="s">
        <v>83</v>
      </c>
      <c r="F1246" s="37">
        <v>45014</v>
      </c>
      <c r="G1246">
        <v>10</v>
      </c>
      <c r="H1246" t="s">
        <v>174</v>
      </c>
      <c r="I1246" s="37">
        <v>45084</v>
      </c>
      <c r="J1246" t="s">
        <v>165</v>
      </c>
      <c r="K1246" t="s">
        <v>166</v>
      </c>
      <c r="L1246" t="s">
        <v>175</v>
      </c>
      <c r="M1246" t="s">
        <v>1584</v>
      </c>
      <c r="O1246" t="s">
        <v>1584</v>
      </c>
      <c r="Q1246" t="s">
        <v>1643</v>
      </c>
      <c r="U1246" t="s">
        <v>1698</v>
      </c>
      <c r="W1246" t="s">
        <v>1703</v>
      </c>
      <c r="X1246">
        <v>7</v>
      </c>
      <c r="AA1246" s="43">
        <v>307.5</v>
      </c>
      <c r="AC1246" s="43">
        <v>307.5</v>
      </c>
      <c r="AF1246" s="37">
        <f t="shared" si="39"/>
        <v>45343</v>
      </c>
      <c r="AG1246" s="37">
        <f t="shared" si="40"/>
        <v>46549.611570247936</v>
      </c>
      <c r="AH1246" t="s">
        <v>169</v>
      </c>
      <c r="AN1246" s="43">
        <v>307.5</v>
      </c>
    </row>
    <row r="1247" spans="2:40">
      <c r="B1247" t="s">
        <v>1585</v>
      </c>
      <c r="C1247" t="s">
        <v>121</v>
      </c>
      <c r="D1247" t="s">
        <v>167</v>
      </c>
      <c r="E1247" t="s">
        <v>83</v>
      </c>
      <c r="F1247" s="37">
        <v>45014</v>
      </c>
      <c r="G1247">
        <v>10</v>
      </c>
      <c r="H1247" t="s">
        <v>174</v>
      </c>
      <c r="I1247" s="37">
        <v>45084</v>
      </c>
      <c r="J1247" t="s">
        <v>165</v>
      </c>
      <c r="K1247" t="s">
        <v>166</v>
      </c>
      <c r="L1247" t="s">
        <v>175</v>
      </c>
      <c r="M1247" t="s">
        <v>1585</v>
      </c>
      <c r="O1247" t="s">
        <v>1585</v>
      </c>
      <c r="Q1247" t="s">
        <v>1676</v>
      </c>
      <c r="U1247" t="s">
        <v>1698</v>
      </c>
      <c r="W1247" t="s">
        <v>1703</v>
      </c>
      <c r="X1247">
        <v>7</v>
      </c>
      <c r="AA1247" s="43">
        <v>307.5</v>
      </c>
      <c r="AC1247" s="43">
        <v>307.5</v>
      </c>
      <c r="AF1247" s="37">
        <f t="shared" si="39"/>
        <v>45343</v>
      </c>
      <c r="AG1247" s="37">
        <f t="shared" si="40"/>
        <v>46549.611570247936</v>
      </c>
      <c r="AH1247" t="s">
        <v>169</v>
      </c>
      <c r="AN1247" s="43">
        <v>307.5</v>
      </c>
    </row>
    <row r="1248" spans="2:40">
      <c r="B1248" t="s">
        <v>1586</v>
      </c>
      <c r="C1248" t="s">
        <v>121</v>
      </c>
      <c r="D1248" t="s">
        <v>167</v>
      </c>
      <c r="E1248" t="s">
        <v>83</v>
      </c>
      <c r="F1248" s="37">
        <v>45014</v>
      </c>
      <c r="G1248">
        <v>10</v>
      </c>
      <c r="H1248" t="s">
        <v>174</v>
      </c>
      <c r="I1248" s="37">
        <v>45084</v>
      </c>
      <c r="J1248" t="s">
        <v>165</v>
      </c>
      <c r="K1248" t="s">
        <v>166</v>
      </c>
      <c r="L1248" t="s">
        <v>175</v>
      </c>
      <c r="M1248" t="s">
        <v>1586</v>
      </c>
      <c r="O1248" t="s">
        <v>1586</v>
      </c>
      <c r="Q1248" t="s">
        <v>1676</v>
      </c>
      <c r="U1248" t="s">
        <v>1697</v>
      </c>
      <c r="W1248" t="s">
        <v>1702</v>
      </c>
      <c r="X1248">
        <v>7</v>
      </c>
      <c r="AA1248" s="43">
        <v>307.5</v>
      </c>
      <c r="AC1248" s="43">
        <v>307.5</v>
      </c>
      <c r="AF1248" s="37">
        <f t="shared" si="39"/>
        <v>45343</v>
      </c>
      <c r="AG1248" s="37">
        <f t="shared" si="40"/>
        <v>46549.611570247936</v>
      </c>
      <c r="AH1248" t="s">
        <v>1705</v>
      </c>
      <c r="AN1248" s="43">
        <v>307.5</v>
      </c>
    </row>
    <row r="1249" spans="2:40">
      <c r="B1249" t="s">
        <v>1587</v>
      </c>
      <c r="C1249" t="s">
        <v>121</v>
      </c>
      <c r="D1249" t="s">
        <v>167</v>
      </c>
      <c r="E1249" t="s">
        <v>83</v>
      </c>
      <c r="F1249" s="37">
        <v>45014</v>
      </c>
      <c r="G1249">
        <v>10</v>
      </c>
      <c r="H1249" t="s">
        <v>174</v>
      </c>
      <c r="I1249" s="37">
        <v>45084</v>
      </c>
      <c r="J1249" t="s">
        <v>165</v>
      </c>
      <c r="K1249" t="s">
        <v>166</v>
      </c>
      <c r="L1249" t="s">
        <v>175</v>
      </c>
      <c r="M1249" t="s">
        <v>1587</v>
      </c>
      <c r="O1249" t="s">
        <v>1587</v>
      </c>
      <c r="Q1249" t="s">
        <v>1677</v>
      </c>
      <c r="U1249" t="s">
        <v>1697</v>
      </c>
      <c r="W1249" t="s">
        <v>1702</v>
      </c>
      <c r="X1249">
        <v>7</v>
      </c>
      <c r="AA1249" s="43">
        <v>307.5</v>
      </c>
      <c r="AC1249" s="43">
        <v>307.5</v>
      </c>
      <c r="AF1249" s="37">
        <f t="shared" si="39"/>
        <v>45343</v>
      </c>
      <c r="AG1249" s="37">
        <f t="shared" si="40"/>
        <v>46549.611570247936</v>
      </c>
      <c r="AH1249" t="s">
        <v>1705</v>
      </c>
      <c r="AN1249" s="43">
        <v>307.5</v>
      </c>
    </row>
    <row r="1250" spans="2:40">
      <c r="B1250" t="s">
        <v>1588</v>
      </c>
      <c r="C1250" t="s">
        <v>121</v>
      </c>
      <c r="D1250" t="s">
        <v>167</v>
      </c>
      <c r="E1250" t="s">
        <v>83</v>
      </c>
      <c r="F1250" s="37">
        <v>45007</v>
      </c>
      <c r="G1250">
        <v>10</v>
      </c>
      <c r="H1250" t="s">
        <v>174</v>
      </c>
      <c r="I1250" s="37">
        <v>45084</v>
      </c>
      <c r="J1250" t="s">
        <v>165</v>
      </c>
      <c r="K1250" t="s">
        <v>166</v>
      </c>
      <c r="L1250" t="s">
        <v>175</v>
      </c>
      <c r="M1250" t="s">
        <v>1588</v>
      </c>
      <c r="O1250" t="s">
        <v>1588</v>
      </c>
      <c r="Q1250" t="s">
        <v>1678</v>
      </c>
      <c r="U1250" t="s">
        <v>1698</v>
      </c>
      <c r="W1250" t="s">
        <v>1703</v>
      </c>
      <c r="X1250">
        <v>7</v>
      </c>
      <c r="AA1250" s="43">
        <v>307.5</v>
      </c>
      <c r="AC1250" s="43">
        <v>307.5</v>
      </c>
      <c r="AF1250" s="37">
        <f t="shared" si="39"/>
        <v>45336</v>
      </c>
      <c r="AG1250" s="37">
        <f t="shared" si="40"/>
        <v>46542.611570247936</v>
      </c>
      <c r="AH1250" t="s">
        <v>169</v>
      </c>
      <c r="AN1250" s="43">
        <v>307.5</v>
      </c>
    </row>
    <row r="1251" spans="2:40">
      <c r="B1251" t="s">
        <v>1589</v>
      </c>
      <c r="C1251" t="s">
        <v>121</v>
      </c>
      <c r="D1251" t="s">
        <v>167</v>
      </c>
      <c r="E1251" t="s">
        <v>83</v>
      </c>
      <c r="F1251" s="37">
        <v>45007</v>
      </c>
      <c r="G1251">
        <v>10</v>
      </c>
      <c r="H1251" t="s">
        <v>174</v>
      </c>
      <c r="I1251" s="37">
        <v>45084</v>
      </c>
      <c r="J1251" t="s">
        <v>165</v>
      </c>
      <c r="K1251" t="s">
        <v>166</v>
      </c>
      <c r="L1251" t="s">
        <v>175</v>
      </c>
      <c r="M1251" t="s">
        <v>1589</v>
      </c>
      <c r="O1251" t="s">
        <v>1589</v>
      </c>
      <c r="Q1251" t="s">
        <v>1679</v>
      </c>
      <c r="U1251" t="s">
        <v>1698</v>
      </c>
      <c r="W1251" t="s">
        <v>1703</v>
      </c>
      <c r="X1251">
        <v>7</v>
      </c>
      <c r="AA1251" s="43">
        <v>307.5</v>
      </c>
      <c r="AC1251" s="43">
        <v>307.5</v>
      </c>
      <c r="AF1251" s="37">
        <f t="shared" si="39"/>
        <v>45336</v>
      </c>
      <c r="AG1251" s="37">
        <f t="shared" si="40"/>
        <v>46542.611570247936</v>
      </c>
      <c r="AH1251" t="s">
        <v>169</v>
      </c>
      <c r="AN1251" s="43">
        <v>307.5</v>
      </c>
    </row>
    <row r="1252" spans="2:40">
      <c r="B1252" t="s">
        <v>1590</v>
      </c>
      <c r="C1252" t="s">
        <v>121</v>
      </c>
      <c r="D1252" t="s">
        <v>167</v>
      </c>
      <c r="E1252" t="s">
        <v>83</v>
      </c>
      <c r="F1252" s="37">
        <v>45007</v>
      </c>
      <c r="G1252">
        <v>10</v>
      </c>
      <c r="H1252" t="s">
        <v>174</v>
      </c>
      <c r="I1252" s="37">
        <v>45084</v>
      </c>
      <c r="J1252" t="s">
        <v>165</v>
      </c>
      <c r="K1252" t="s">
        <v>166</v>
      </c>
      <c r="L1252" t="s">
        <v>175</v>
      </c>
      <c r="M1252" t="s">
        <v>1590</v>
      </c>
      <c r="O1252" t="s">
        <v>1590</v>
      </c>
      <c r="Q1252" t="s">
        <v>1679</v>
      </c>
      <c r="U1252" t="s">
        <v>1698</v>
      </c>
      <c r="W1252" t="s">
        <v>1703</v>
      </c>
      <c r="X1252">
        <v>7</v>
      </c>
      <c r="AA1252" s="43">
        <v>307.5</v>
      </c>
      <c r="AC1252" s="43">
        <v>307.5</v>
      </c>
      <c r="AF1252" s="37">
        <f t="shared" si="39"/>
        <v>45336</v>
      </c>
      <c r="AG1252" s="37">
        <f t="shared" si="40"/>
        <v>46542.611570247936</v>
      </c>
      <c r="AH1252" t="s">
        <v>169</v>
      </c>
      <c r="AN1252" s="43">
        <v>307.5</v>
      </c>
    </row>
    <row r="1253" spans="2:40">
      <c r="B1253" t="s">
        <v>1591</v>
      </c>
      <c r="C1253" t="s">
        <v>121</v>
      </c>
      <c r="D1253" t="s">
        <v>167</v>
      </c>
      <c r="E1253" t="s">
        <v>83</v>
      </c>
      <c r="F1253" s="37">
        <v>45000</v>
      </c>
      <c r="G1253">
        <v>10</v>
      </c>
      <c r="H1253" t="s">
        <v>174</v>
      </c>
      <c r="I1253" s="37">
        <v>45070</v>
      </c>
      <c r="J1253" t="s">
        <v>165</v>
      </c>
      <c r="K1253" t="s">
        <v>166</v>
      </c>
      <c r="L1253" t="s">
        <v>175</v>
      </c>
      <c r="M1253" t="s">
        <v>1591</v>
      </c>
      <c r="O1253" t="s">
        <v>1591</v>
      </c>
      <c r="Q1253" t="s">
        <v>1663</v>
      </c>
      <c r="U1253" t="s">
        <v>1698</v>
      </c>
      <c r="W1253" t="s">
        <v>1703</v>
      </c>
      <c r="X1253">
        <v>7</v>
      </c>
      <c r="AA1253" s="43">
        <v>307.5</v>
      </c>
      <c r="AC1253" s="43">
        <v>307.5</v>
      </c>
      <c r="AF1253" s="37">
        <f t="shared" si="39"/>
        <v>45329</v>
      </c>
      <c r="AG1253" s="37">
        <f t="shared" si="40"/>
        <v>46535.611570247936</v>
      </c>
      <c r="AH1253" t="s">
        <v>169</v>
      </c>
      <c r="AN1253" s="43">
        <v>307.5</v>
      </c>
    </row>
    <row r="1254" spans="2:40">
      <c r="B1254" t="s">
        <v>1592</v>
      </c>
      <c r="C1254" t="s">
        <v>121</v>
      </c>
      <c r="D1254" t="s">
        <v>167</v>
      </c>
      <c r="E1254" t="s">
        <v>83</v>
      </c>
      <c r="F1254" s="37">
        <v>45000</v>
      </c>
      <c r="G1254">
        <v>10</v>
      </c>
      <c r="H1254" t="s">
        <v>174</v>
      </c>
      <c r="I1254" s="37">
        <v>45070</v>
      </c>
      <c r="J1254" t="s">
        <v>165</v>
      </c>
      <c r="K1254" t="s">
        <v>166</v>
      </c>
      <c r="L1254" t="s">
        <v>175</v>
      </c>
      <c r="M1254" t="s">
        <v>1592</v>
      </c>
      <c r="O1254" t="s">
        <v>1592</v>
      </c>
      <c r="Q1254" t="s">
        <v>1663</v>
      </c>
      <c r="U1254" t="s">
        <v>1698</v>
      </c>
      <c r="W1254" t="s">
        <v>1703</v>
      </c>
      <c r="X1254">
        <v>7</v>
      </c>
      <c r="AA1254" s="43">
        <v>307.5</v>
      </c>
      <c r="AC1254" s="43">
        <v>307.5</v>
      </c>
      <c r="AF1254" s="37">
        <f t="shared" si="39"/>
        <v>45329</v>
      </c>
      <c r="AG1254" s="37">
        <f t="shared" si="40"/>
        <v>46535.611570247936</v>
      </c>
      <c r="AH1254" t="s">
        <v>169</v>
      </c>
      <c r="AN1254" s="43">
        <v>307.5</v>
      </c>
    </row>
    <row r="1255" spans="2:40">
      <c r="B1255" t="s">
        <v>1593</v>
      </c>
      <c r="C1255" t="s">
        <v>121</v>
      </c>
      <c r="D1255" t="s">
        <v>167</v>
      </c>
      <c r="E1255" t="s">
        <v>83</v>
      </c>
      <c r="F1255" s="37">
        <v>44986</v>
      </c>
      <c r="G1255">
        <v>10</v>
      </c>
      <c r="H1255" t="s">
        <v>174</v>
      </c>
      <c r="I1255" s="37">
        <v>45056</v>
      </c>
      <c r="J1255" t="s">
        <v>165</v>
      </c>
      <c r="K1255" t="s">
        <v>166</v>
      </c>
      <c r="L1255" t="s">
        <v>175</v>
      </c>
      <c r="M1255" t="s">
        <v>1593</v>
      </c>
      <c r="O1255" t="s">
        <v>1593</v>
      </c>
      <c r="Q1255" t="s">
        <v>1680</v>
      </c>
      <c r="U1255" t="s">
        <v>1697</v>
      </c>
      <c r="W1255" t="s">
        <v>1702</v>
      </c>
      <c r="X1255">
        <v>8</v>
      </c>
      <c r="AA1255" s="43">
        <v>307.5</v>
      </c>
      <c r="AC1255" s="43">
        <v>307.5</v>
      </c>
      <c r="AF1255" s="37">
        <f t="shared" si="39"/>
        <v>45315</v>
      </c>
      <c r="AG1255" s="37">
        <f t="shared" si="40"/>
        <v>46521.611570247936</v>
      </c>
      <c r="AH1255" t="s">
        <v>1705</v>
      </c>
      <c r="AN1255" s="43">
        <v>307.5</v>
      </c>
    </row>
    <row r="1256" spans="2:40">
      <c r="B1256" t="s">
        <v>1594</v>
      </c>
      <c r="C1256" t="s">
        <v>121</v>
      </c>
      <c r="D1256" t="s">
        <v>167</v>
      </c>
      <c r="E1256" t="s">
        <v>83</v>
      </c>
      <c r="F1256" s="37">
        <v>44986</v>
      </c>
      <c r="G1256">
        <v>10</v>
      </c>
      <c r="H1256" t="s">
        <v>174</v>
      </c>
      <c r="I1256" s="37">
        <v>45056</v>
      </c>
      <c r="J1256" t="s">
        <v>165</v>
      </c>
      <c r="K1256" t="s">
        <v>166</v>
      </c>
      <c r="L1256" t="s">
        <v>175</v>
      </c>
      <c r="M1256" t="s">
        <v>1594</v>
      </c>
      <c r="O1256" t="s">
        <v>1594</v>
      </c>
      <c r="Q1256" t="s">
        <v>1680</v>
      </c>
      <c r="U1256" t="s">
        <v>1697</v>
      </c>
      <c r="W1256" t="s">
        <v>1702</v>
      </c>
      <c r="X1256">
        <v>8</v>
      </c>
      <c r="AA1256" s="43">
        <v>307.5</v>
      </c>
      <c r="AC1256" s="43">
        <v>307.5</v>
      </c>
      <c r="AF1256" s="37">
        <f t="shared" si="39"/>
        <v>45315</v>
      </c>
      <c r="AG1256" s="37">
        <f t="shared" si="40"/>
        <v>46521.611570247936</v>
      </c>
      <c r="AH1256" t="s">
        <v>1705</v>
      </c>
      <c r="AN1256" s="43">
        <v>307.5</v>
      </c>
    </row>
    <row r="1257" spans="2:40">
      <c r="B1257" t="s">
        <v>1595</v>
      </c>
      <c r="C1257" t="s">
        <v>121</v>
      </c>
      <c r="D1257" t="s">
        <v>167</v>
      </c>
      <c r="E1257" t="s">
        <v>83</v>
      </c>
      <c r="F1257" s="37">
        <v>44983</v>
      </c>
      <c r="G1257">
        <v>10</v>
      </c>
      <c r="H1257" t="s">
        <v>174</v>
      </c>
      <c r="I1257" s="37">
        <v>45042</v>
      </c>
      <c r="J1257" t="s">
        <v>165</v>
      </c>
      <c r="K1257" t="s">
        <v>166</v>
      </c>
      <c r="L1257" t="s">
        <v>175</v>
      </c>
      <c r="M1257" t="s">
        <v>1595</v>
      </c>
      <c r="O1257" t="s">
        <v>1595</v>
      </c>
      <c r="Q1257" t="s">
        <v>1681</v>
      </c>
      <c r="U1257" t="s">
        <v>1697</v>
      </c>
      <c r="W1257" t="s">
        <v>1702</v>
      </c>
      <c r="X1257">
        <v>8</v>
      </c>
      <c r="AA1257" s="43">
        <v>307.5</v>
      </c>
      <c r="AC1257" s="43">
        <v>307.5</v>
      </c>
      <c r="AF1257" s="37">
        <f t="shared" si="39"/>
        <v>45312</v>
      </c>
      <c r="AG1257" s="37">
        <f t="shared" si="40"/>
        <v>46518.611570247936</v>
      </c>
      <c r="AH1257" t="s">
        <v>1705</v>
      </c>
      <c r="AN1257" s="43">
        <v>307.5</v>
      </c>
    </row>
    <row r="1258" spans="2:40">
      <c r="B1258" t="s">
        <v>1596</v>
      </c>
      <c r="C1258" t="s">
        <v>121</v>
      </c>
      <c r="D1258" t="s">
        <v>167</v>
      </c>
      <c r="E1258" t="s">
        <v>83</v>
      </c>
      <c r="F1258" s="37">
        <v>44972</v>
      </c>
      <c r="G1258">
        <v>10</v>
      </c>
      <c r="H1258" t="s">
        <v>174</v>
      </c>
      <c r="I1258" s="37">
        <v>45042</v>
      </c>
      <c r="J1258" t="s">
        <v>165</v>
      </c>
      <c r="K1258" t="s">
        <v>166</v>
      </c>
      <c r="L1258" t="s">
        <v>175</v>
      </c>
      <c r="M1258" t="s">
        <v>1596</v>
      </c>
      <c r="O1258" t="s">
        <v>1596</v>
      </c>
      <c r="Q1258" t="s">
        <v>1681</v>
      </c>
      <c r="U1258" t="s">
        <v>1697</v>
      </c>
      <c r="W1258" t="s">
        <v>1702</v>
      </c>
      <c r="X1258">
        <v>8</v>
      </c>
      <c r="AA1258" s="43">
        <v>307.5</v>
      </c>
      <c r="AC1258" s="43">
        <v>307.5</v>
      </c>
      <c r="AF1258" s="37">
        <f t="shared" si="39"/>
        <v>45301</v>
      </c>
      <c r="AG1258" s="37">
        <f t="shared" si="40"/>
        <v>46507.611570247936</v>
      </c>
      <c r="AH1258" t="s">
        <v>1705</v>
      </c>
      <c r="AN1258" s="43">
        <v>307.5</v>
      </c>
    </row>
    <row r="1259" spans="2:40">
      <c r="B1259" t="s">
        <v>1597</v>
      </c>
      <c r="C1259" t="s">
        <v>121</v>
      </c>
      <c r="D1259" t="s">
        <v>167</v>
      </c>
      <c r="E1259" t="s">
        <v>83</v>
      </c>
      <c r="F1259" s="37">
        <v>44951</v>
      </c>
      <c r="G1259">
        <v>10</v>
      </c>
      <c r="H1259" t="s">
        <v>174</v>
      </c>
      <c r="I1259" s="37">
        <v>45021</v>
      </c>
      <c r="J1259" t="s">
        <v>165</v>
      </c>
      <c r="K1259" t="s">
        <v>166</v>
      </c>
      <c r="L1259" t="s">
        <v>175</v>
      </c>
      <c r="M1259" t="s">
        <v>1597</v>
      </c>
      <c r="O1259" t="s">
        <v>1597</v>
      </c>
      <c r="Q1259" t="s">
        <v>1657</v>
      </c>
      <c r="U1259" t="s">
        <v>1697</v>
      </c>
      <c r="W1259" t="s">
        <v>1702</v>
      </c>
      <c r="X1259">
        <v>8</v>
      </c>
      <c r="AA1259" s="43">
        <v>307.5</v>
      </c>
      <c r="AC1259" s="43">
        <v>307.5</v>
      </c>
      <c r="AF1259" s="37">
        <f t="shared" si="39"/>
        <v>45280</v>
      </c>
      <c r="AG1259" s="37">
        <f t="shared" si="40"/>
        <v>46486.611570247936</v>
      </c>
      <c r="AH1259" t="s">
        <v>1705</v>
      </c>
      <c r="AN1259" s="43">
        <v>307.5</v>
      </c>
    </row>
    <row r="1260" spans="2:40">
      <c r="B1260" t="s">
        <v>1598</v>
      </c>
      <c r="C1260" t="s">
        <v>121</v>
      </c>
      <c r="D1260" t="s">
        <v>167</v>
      </c>
      <c r="E1260" t="s">
        <v>83</v>
      </c>
      <c r="F1260" s="37">
        <v>44937</v>
      </c>
      <c r="G1260">
        <v>10</v>
      </c>
      <c r="H1260" t="s">
        <v>174</v>
      </c>
      <c r="I1260" s="37">
        <v>45007</v>
      </c>
      <c r="J1260" t="s">
        <v>165</v>
      </c>
      <c r="K1260" t="s">
        <v>166</v>
      </c>
      <c r="L1260" t="s">
        <v>175</v>
      </c>
      <c r="M1260" t="s">
        <v>1598</v>
      </c>
      <c r="O1260" t="s">
        <v>1598</v>
      </c>
      <c r="Q1260" t="s">
        <v>1666</v>
      </c>
      <c r="U1260" t="s">
        <v>1697</v>
      </c>
      <c r="W1260" t="s">
        <v>1702</v>
      </c>
      <c r="X1260">
        <v>8</v>
      </c>
      <c r="AA1260" s="43">
        <v>307.5</v>
      </c>
      <c r="AC1260" s="43">
        <v>307.5</v>
      </c>
      <c r="AF1260" s="37">
        <f t="shared" si="39"/>
        <v>45266</v>
      </c>
      <c r="AG1260" s="37">
        <f t="shared" si="40"/>
        <v>46472.611570247936</v>
      </c>
      <c r="AH1260" t="s">
        <v>1705</v>
      </c>
      <c r="AN1260" s="43">
        <v>307.5</v>
      </c>
    </row>
    <row r="1261" spans="2:40">
      <c r="B1261" t="s">
        <v>1599</v>
      </c>
      <c r="C1261" t="s">
        <v>121</v>
      </c>
      <c r="D1261" t="s">
        <v>167</v>
      </c>
      <c r="E1261" t="s">
        <v>83</v>
      </c>
      <c r="F1261" s="37">
        <v>44937</v>
      </c>
      <c r="G1261">
        <v>10</v>
      </c>
      <c r="H1261" t="s">
        <v>174</v>
      </c>
      <c r="I1261" s="37">
        <v>45007</v>
      </c>
      <c r="J1261" t="s">
        <v>165</v>
      </c>
      <c r="K1261" t="s">
        <v>166</v>
      </c>
      <c r="L1261" t="s">
        <v>175</v>
      </c>
      <c r="M1261" t="s">
        <v>1599</v>
      </c>
      <c r="O1261" t="s">
        <v>1599</v>
      </c>
      <c r="Q1261" t="s">
        <v>1667</v>
      </c>
      <c r="U1261" t="s">
        <v>1697</v>
      </c>
      <c r="W1261" t="s">
        <v>1702</v>
      </c>
      <c r="X1261">
        <v>8</v>
      </c>
      <c r="AA1261" s="43">
        <v>307.5</v>
      </c>
      <c r="AC1261" s="43">
        <v>307.5</v>
      </c>
      <c r="AF1261" s="37">
        <f t="shared" si="39"/>
        <v>45266</v>
      </c>
      <c r="AG1261" s="37">
        <f t="shared" si="40"/>
        <v>46472.611570247936</v>
      </c>
      <c r="AH1261" t="s">
        <v>1705</v>
      </c>
      <c r="AN1261" s="43">
        <v>307.5</v>
      </c>
    </row>
    <row r="1262" spans="2:40">
      <c r="B1262" t="s">
        <v>1600</v>
      </c>
      <c r="C1262" t="s">
        <v>121</v>
      </c>
      <c r="D1262" t="s">
        <v>167</v>
      </c>
      <c r="E1262" t="s">
        <v>83</v>
      </c>
      <c r="F1262" s="37">
        <v>44930</v>
      </c>
      <c r="G1262">
        <v>10</v>
      </c>
      <c r="H1262" t="s">
        <v>174</v>
      </c>
      <c r="I1262" s="37">
        <v>45000</v>
      </c>
      <c r="J1262" t="s">
        <v>165</v>
      </c>
      <c r="K1262" t="s">
        <v>166</v>
      </c>
      <c r="L1262" t="s">
        <v>175</v>
      </c>
      <c r="M1262" t="s">
        <v>1600</v>
      </c>
      <c r="O1262" t="s">
        <v>1600</v>
      </c>
      <c r="Q1262" t="s">
        <v>1668</v>
      </c>
      <c r="U1262" t="s">
        <v>1697</v>
      </c>
      <c r="W1262" t="s">
        <v>1702</v>
      </c>
      <c r="X1262">
        <v>8</v>
      </c>
      <c r="AA1262" s="43">
        <v>307.5</v>
      </c>
      <c r="AC1262" s="43">
        <v>307.5</v>
      </c>
      <c r="AF1262" s="37">
        <f t="shared" si="39"/>
        <v>45259</v>
      </c>
      <c r="AG1262" s="37">
        <f t="shared" si="40"/>
        <v>46465.611570247936</v>
      </c>
      <c r="AH1262" t="s">
        <v>1705</v>
      </c>
      <c r="AN1262" s="43">
        <v>307.5</v>
      </c>
    </row>
    <row r="1263" spans="2:40">
      <c r="B1263" t="s">
        <v>1601</v>
      </c>
      <c r="C1263" t="s">
        <v>121</v>
      </c>
      <c r="D1263" t="s">
        <v>167</v>
      </c>
      <c r="E1263" t="s">
        <v>83</v>
      </c>
      <c r="F1263" s="37">
        <v>44916</v>
      </c>
      <c r="G1263">
        <v>10</v>
      </c>
      <c r="H1263" t="s">
        <v>174</v>
      </c>
      <c r="I1263" s="37">
        <v>44986</v>
      </c>
      <c r="J1263" t="s">
        <v>165</v>
      </c>
      <c r="K1263" t="s">
        <v>166</v>
      </c>
      <c r="L1263" t="s">
        <v>175</v>
      </c>
      <c r="M1263" t="s">
        <v>1601</v>
      </c>
      <c r="O1263" t="s">
        <v>1601</v>
      </c>
      <c r="Q1263" t="s">
        <v>1682</v>
      </c>
      <c r="U1263" t="s">
        <v>1697</v>
      </c>
      <c r="W1263" t="s">
        <v>1702</v>
      </c>
      <c r="X1263">
        <v>8</v>
      </c>
      <c r="AA1263" s="43">
        <v>307.5</v>
      </c>
      <c r="AC1263" s="43">
        <v>307.5</v>
      </c>
      <c r="AF1263" s="37">
        <f t="shared" si="39"/>
        <v>45245</v>
      </c>
      <c r="AG1263" s="37">
        <f t="shared" si="40"/>
        <v>46451.611570247936</v>
      </c>
      <c r="AH1263" t="s">
        <v>1705</v>
      </c>
      <c r="AN1263" s="43">
        <v>307.5</v>
      </c>
    </row>
    <row r="1264" spans="2:40">
      <c r="B1264" t="s">
        <v>1602</v>
      </c>
      <c r="C1264" t="s">
        <v>121</v>
      </c>
      <c r="D1264" t="s">
        <v>167</v>
      </c>
      <c r="E1264" t="s">
        <v>83</v>
      </c>
      <c r="F1264" s="37">
        <v>44916</v>
      </c>
      <c r="G1264">
        <v>10</v>
      </c>
      <c r="H1264" t="s">
        <v>174</v>
      </c>
      <c r="I1264" s="37">
        <v>44986</v>
      </c>
      <c r="J1264" t="s">
        <v>165</v>
      </c>
      <c r="K1264" t="s">
        <v>166</v>
      </c>
      <c r="L1264" t="s">
        <v>175</v>
      </c>
      <c r="M1264" t="s">
        <v>1602</v>
      </c>
      <c r="O1264" t="s">
        <v>1602</v>
      </c>
      <c r="Q1264" t="s">
        <v>1646</v>
      </c>
      <c r="U1264" t="s">
        <v>1697</v>
      </c>
      <c r="W1264" t="s">
        <v>1702</v>
      </c>
      <c r="X1264">
        <v>8</v>
      </c>
      <c r="AA1264" s="43">
        <v>307.5</v>
      </c>
      <c r="AC1264" s="43">
        <v>307.5</v>
      </c>
      <c r="AF1264" s="37">
        <f t="shared" si="39"/>
        <v>45245</v>
      </c>
      <c r="AG1264" s="37">
        <f t="shared" si="40"/>
        <v>46451.611570247936</v>
      </c>
      <c r="AH1264" t="s">
        <v>1705</v>
      </c>
      <c r="AN1264" s="43">
        <v>307.5</v>
      </c>
    </row>
    <row r="1265" spans="2:40">
      <c r="B1265" t="s">
        <v>1603</v>
      </c>
      <c r="C1265" t="s">
        <v>121</v>
      </c>
      <c r="D1265" t="s">
        <v>167</v>
      </c>
      <c r="E1265" t="s">
        <v>83</v>
      </c>
      <c r="F1265" s="37">
        <v>44909</v>
      </c>
      <c r="G1265">
        <v>10</v>
      </c>
      <c r="H1265" t="s">
        <v>174</v>
      </c>
      <c r="I1265" s="37">
        <v>44979</v>
      </c>
      <c r="J1265" t="s">
        <v>165</v>
      </c>
      <c r="K1265" t="s">
        <v>166</v>
      </c>
      <c r="L1265" t="s">
        <v>175</v>
      </c>
      <c r="M1265" t="s">
        <v>1603</v>
      </c>
      <c r="O1265" t="s">
        <v>1603</v>
      </c>
      <c r="Q1265" t="s">
        <v>1672</v>
      </c>
      <c r="U1265" t="s">
        <v>1697</v>
      </c>
      <c r="W1265" t="s">
        <v>1702</v>
      </c>
      <c r="X1265">
        <v>8</v>
      </c>
      <c r="AA1265" s="43">
        <v>307.5</v>
      </c>
      <c r="AC1265" s="43">
        <v>307.5</v>
      </c>
      <c r="AF1265" s="37">
        <f t="shared" si="39"/>
        <v>45238</v>
      </c>
      <c r="AG1265" s="37">
        <f t="shared" si="40"/>
        <v>46444.611570247936</v>
      </c>
      <c r="AH1265" t="s">
        <v>1705</v>
      </c>
      <c r="AN1265" s="43">
        <v>307.5</v>
      </c>
    </row>
    <row r="1266" spans="2:40">
      <c r="B1266" t="s">
        <v>1604</v>
      </c>
      <c r="C1266" t="s">
        <v>121</v>
      </c>
      <c r="D1266" t="s">
        <v>167</v>
      </c>
      <c r="E1266" t="s">
        <v>83</v>
      </c>
      <c r="F1266" s="37">
        <v>44888</v>
      </c>
      <c r="G1266">
        <v>10</v>
      </c>
      <c r="H1266" t="s">
        <v>174</v>
      </c>
      <c r="I1266" s="37">
        <v>44965</v>
      </c>
      <c r="J1266" t="s">
        <v>165</v>
      </c>
      <c r="K1266" t="s">
        <v>166</v>
      </c>
      <c r="L1266" t="s">
        <v>175</v>
      </c>
      <c r="M1266" t="s">
        <v>1604</v>
      </c>
      <c r="O1266" t="s">
        <v>1604</v>
      </c>
      <c r="Q1266" t="s">
        <v>1683</v>
      </c>
      <c r="U1266" t="s">
        <v>1697</v>
      </c>
      <c r="W1266" t="s">
        <v>1702</v>
      </c>
      <c r="X1266">
        <v>8</v>
      </c>
      <c r="AA1266" s="43">
        <v>307.5</v>
      </c>
      <c r="AC1266" s="43">
        <v>307.5</v>
      </c>
      <c r="AF1266" s="37">
        <f t="shared" si="39"/>
        <v>45217</v>
      </c>
      <c r="AG1266" s="37">
        <f t="shared" si="40"/>
        <v>46423.611570247936</v>
      </c>
      <c r="AH1266" t="s">
        <v>1705</v>
      </c>
      <c r="AN1266" s="43">
        <v>307.5</v>
      </c>
    </row>
    <row r="1267" spans="2:40">
      <c r="B1267" t="s">
        <v>1605</v>
      </c>
      <c r="C1267" t="s">
        <v>121</v>
      </c>
      <c r="D1267" t="s">
        <v>167</v>
      </c>
      <c r="E1267" t="s">
        <v>83</v>
      </c>
      <c r="F1267" s="37">
        <v>44881</v>
      </c>
      <c r="G1267">
        <v>10</v>
      </c>
      <c r="H1267" t="s">
        <v>174</v>
      </c>
      <c r="I1267" s="37">
        <v>44958</v>
      </c>
      <c r="J1267" t="s">
        <v>165</v>
      </c>
      <c r="K1267" t="s">
        <v>166</v>
      </c>
      <c r="L1267" t="s">
        <v>175</v>
      </c>
      <c r="M1267" t="s">
        <v>1605</v>
      </c>
      <c r="O1267" t="s">
        <v>1605</v>
      </c>
      <c r="Q1267" t="s">
        <v>1684</v>
      </c>
      <c r="U1267" t="s">
        <v>1696</v>
      </c>
      <c r="W1267" t="s">
        <v>1699</v>
      </c>
      <c r="X1267">
        <v>5</v>
      </c>
      <c r="AA1267" s="43">
        <v>307.5</v>
      </c>
      <c r="AC1267" s="43">
        <v>307.5</v>
      </c>
      <c r="AF1267" s="37">
        <f t="shared" si="39"/>
        <v>45210</v>
      </c>
      <c r="AG1267" s="37">
        <f t="shared" si="40"/>
        <v>46416.611570247936</v>
      </c>
      <c r="AH1267" t="s">
        <v>1704</v>
      </c>
      <c r="AN1267" s="43">
        <v>307.5</v>
      </c>
    </row>
    <row r="1268" spans="2:40">
      <c r="B1268" t="s">
        <v>1606</v>
      </c>
      <c r="C1268" t="s">
        <v>121</v>
      </c>
      <c r="D1268" t="s">
        <v>167</v>
      </c>
      <c r="E1268" t="s">
        <v>83</v>
      </c>
      <c r="F1268" s="37">
        <v>44881</v>
      </c>
      <c r="G1268">
        <v>10</v>
      </c>
      <c r="H1268" t="s">
        <v>174</v>
      </c>
      <c r="I1268" s="37">
        <v>44958</v>
      </c>
      <c r="J1268" t="s">
        <v>165</v>
      </c>
      <c r="K1268" t="s">
        <v>166</v>
      </c>
      <c r="L1268" t="s">
        <v>175</v>
      </c>
      <c r="M1268" t="s">
        <v>1606</v>
      </c>
      <c r="O1268" t="s">
        <v>1606</v>
      </c>
      <c r="Q1268" t="s">
        <v>1684</v>
      </c>
      <c r="U1268" t="s">
        <v>1697</v>
      </c>
      <c r="W1268" t="s">
        <v>1702</v>
      </c>
      <c r="X1268">
        <v>8</v>
      </c>
      <c r="AA1268" s="43">
        <v>307.5</v>
      </c>
      <c r="AC1268" s="43">
        <v>307.5</v>
      </c>
      <c r="AF1268" s="37">
        <f t="shared" si="39"/>
        <v>45210</v>
      </c>
      <c r="AG1268" s="37">
        <f t="shared" si="40"/>
        <v>46416.611570247936</v>
      </c>
      <c r="AH1268" t="s">
        <v>1705</v>
      </c>
      <c r="AN1268" s="43">
        <v>307.5</v>
      </c>
    </row>
    <row r="1269" spans="2:40">
      <c r="B1269" t="s">
        <v>1607</v>
      </c>
      <c r="C1269" t="s">
        <v>121</v>
      </c>
      <c r="D1269" t="s">
        <v>167</v>
      </c>
      <c r="E1269" t="s">
        <v>83</v>
      </c>
      <c r="F1269" s="37">
        <v>44881</v>
      </c>
      <c r="G1269">
        <v>10</v>
      </c>
      <c r="H1269" t="s">
        <v>174</v>
      </c>
      <c r="I1269" s="37">
        <v>44958</v>
      </c>
      <c r="J1269" t="s">
        <v>165</v>
      </c>
      <c r="K1269" t="s">
        <v>166</v>
      </c>
      <c r="L1269" t="s">
        <v>175</v>
      </c>
      <c r="M1269" t="s">
        <v>1607</v>
      </c>
      <c r="O1269" t="s">
        <v>1607</v>
      </c>
      <c r="Q1269" t="s">
        <v>1684</v>
      </c>
      <c r="U1269" t="s">
        <v>1697</v>
      </c>
      <c r="W1269" t="s">
        <v>1702</v>
      </c>
      <c r="X1269">
        <v>8</v>
      </c>
      <c r="AA1269" s="43">
        <v>307.5</v>
      </c>
      <c r="AC1269" s="43">
        <v>307.5</v>
      </c>
      <c r="AF1269" s="37">
        <f t="shared" si="39"/>
        <v>45210</v>
      </c>
      <c r="AG1269" s="37">
        <f t="shared" si="40"/>
        <v>46416.611570247936</v>
      </c>
      <c r="AH1269" t="s">
        <v>1705</v>
      </c>
      <c r="AN1269" s="43">
        <v>307.5</v>
      </c>
    </row>
    <row r="1270" spans="2:40">
      <c r="B1270" t="s">
        <v>1608</v>
      </c>
      <c r="C1270" t="s">
        <v>121</v>
      </c>
      <c r="D1270" t="s">
        <v>167</v>
      </c>
      <c r="E1270" t="s">
        <v>83</v>
      </c>
      <c r="F1270" s="37">
        <v>44874</v>
      </c>
      <c r="G1270">
        <v>10</v>
      </c>
      <c r="H1270" t="s">
        <v>174</v>
      </c>
      <c r="I1270" s="37">
        <v>44951</v>
      </c>
      <c r="J1270" t="s">
        <v>165</v>
      </c>
      <c r="K1270" t="s">
        <v>166</v>
      </c>
      <c r="L1270" t="s">
        <v>175</v>
      </c>
      <c r="M1270" t="s">
        <v>1608</v>
      </c>
      <c r="O1270" t="s">
        <v>1608</v>
      </c>
      <c r="Q1270" t="s">
        <v>1685</v>
      </c>
      <c r="U1270" t="s">
        <v>1697</v>
      </c>
      <c r="W1270" t="s">
        <v>1702</v>
      </c>
      <c r="X1270">
        <v>8</v>
      </c>
      <c r="AA1270" s="43">
        <v>307.5</v>
      </c>
      <c r="AC1270" s="43">
        <v>307.5</v>
      </c>
      <c r="AF1270" s="37">
        <f t="shared" si="39"/>
        <v>45203</v>
      </c>
      <c r="AG1270" s="37">
        <f t="shared" si="40"/>
        <v>46409.611570247936</v>
      </c>
      <c r="AH1270" t="s">
        <v>1705</v>
      </c>
      <c r="AN1270" s="43">
        <v>307.5</v>
      </c>
    </row>
    <row r="1271" spans="2:40">
      <c r="B1271" t="s">
        <v>1609</v>
      </c>
      <c r="C1271" t="s">
        <v>121</v>
      </c>
      <c r="D1271" t="s">
        <v>167</v>
      </c>
      <c r="E1271" t="s">
        <v>83</v>
      </c>
      <c r="F1271" s="37">
        <v>44874</v>
      </c>
      <c r="G1271">
        <v>10</v>
      </c>
      <c r="H1271" t="s">
        <v>174</v>
      </c>
      <c r="I1271" s="37">
        <v>44951</v>
      </c>
      <c r="J1271" t="s">
        <v>165</v>
      </c>
      <c r="K1271" t="s">
        <v>166</v>
      </c>
      <c r="L1271" t="s">
        <v>175</v>
      </c>
      <c r="M1271" t="s">
        <v>1609</v>
      </c>
      <c r="O1271" t="s">
        <v>1609</v>
      </c>
      <c r="Q1271" t="s">
        <v>1685</v>
      </c>
      <c r="U1271" t="s">
        <v>1697</v>
      </c>
      <c r="W1271" t="s">
        <v>1702</v>
      </c>
      <c r="X1271">
        <v>8</v>
      </c>
      <c r="AA1271" s="43">
        <v>307.5</v>
      </c>
      <c r="AC1271" s="43">
        <v>307.5</v>
      </c>
      <c r="AF1271" s="37">
        <f t="shared" si="39"/>
        <v>45203</v>
      </c>
      <c r="AG1271" s="37">
        <f t="shared" si="40"/>
        <v>46409.611570247936</v>
      </c>
      <c r="AH1271" t="s">
        <v>1705</v>
      </c>
      <c r="AN1271" s="43">
        <v>307.5</v>
      </c>
    </row>
    <row r="1272" spans="2:40">
      <c r="B1272" t="s">
        <v>1610</v>
      </c>
      <c r="C1272" t="s">
        <v>121</v>
      </c>
      <c r="D1272" t="s">
        <v>167</v>
      </c>
      <c r="E1272" t="s">
        <v>83</v>
      </c>
      <c r="F1272" s="37">
        <v>44867</v>
      </c>
      <c r="G1272">
        <v>10</v>
      </c>
      <c r="H1272" t="s">
        <v>174</v>
      </c>
      <c r="I1272" s="37">
        <v>44944</v>
      </c>
      <c r="J1272" t="s">
        <v>165</v>
      </c>
      <c r="K1272" t="s">
        <v>166</v>
      </c>
      <c r="L1272" t="s">
        <v>175</v>
      </c>
      <c r="M1272" t="s">
        <v>1610</v>
      </c>
      <c r="O1272" t="s">
        <v>1610</v>
      </c>
      <c r="Q1272" t="s">
        <v>1660</v>
      </c>
      <c r="U1272" t="s">
        <v>1697</v>
      </c>
      <c r="W1272" t="s">
        <v>1702</v>
      </c>
      <c r="X1272">
        <v>8</v>
      </c>
      <c r="AA1272" s="43">
        <v>307.5</v>
      </c>
      <c r="AC1272" s="43">
        <v>307.5</v>
      </c>
      <c r="AF1272" s="37">
        <f t="shared" si="39"/>
        <v>45196</v>
      </c>
      <c r="AG1272" s="37">
        <f t="shared" si="40"/>
        <v>46402.611570247936</v>
      </c>
      <c r="AH1272" t="s">
        <v>1705</v>
      </c>
      <c r="AN1272" s="43">
        <v>307.5</v>
      </c>
    </row>
    <row r="1273" spans="2:40">
      <c r="B1273" t="s">
        <v>1611</v>
      </c>
      <c r="C1273" t="s">
        <v>121</v>
      </c>
      <c r="D1273" t="s">
        <v>167</v>
      </c>
      <c r="E1273" t="s">
        <v>83</v>
      </c>
      <c r="F1273" s="37">
        <v>44867</v>
      </c>
      <c r="G1273">
        <v>10</v>
      </c>
      <c r="H1273" t="s">
        <v>174</v>
      </c>
      <c r="I1273" s="37">
        <v>44944</v>
      </c>
      <c r="J1273" t="s">
        <v>165</v>
      </c>
      <c r="K1273" t="s">
        <v>166</v>
      </c>
      <c r="L1273" t="s">
        <v>175</v>
      </c>
      <c r="M1273" t="s">
        <v>1611</v>
      </c>
      <c r="O1273" t="s">
        <v>1611</v>
      </c>
      <c r="Q1273" t="s">
        <v>1660</v>
      </c>
      <c r="U1273" t="s">
        <v>1698</v>
      </c>
      <c r="W1273" t="s">
        <v>1703</v>
      </c>
      <c r="X1273">
        <v>8</v>
      </c>
      <c r="AA1273" s="43">
        <v>307.5</v>
      </c>
      <c r="AC1273" s="43">
        <v>307.5</v>
      </c>
      <c r="AF1273" s="37">
        <f t="shared" si="39"/>
        <v>45196</v>
      </c>
      <c r="AG1273" s="37">
        <f t="shared" si="40"/>
        <v>46402.611570247936</v>
      </c>
      <c r="AH1273" t="s">
        <v>169</v>
      </c>
      <c r="AN1273" s="43">
        <v>307.5</v>
      </c>
    </row>
    <row r="1274" spans="2:40">
      <c r="B1274" t="s">
        <v>1612</v>
      </c>
      <c r="C1274" t="s">
        <v>121</v>
      </c>
      <c r="D1274" t="s">
        <v>167</v>
      </c>
      <c r="E1274" t="s">
        <v>83</v>
      </c>
      <c r="F1274" s="37">
        <v>44867</v>
      </c>
      <c r="G1274">
        <v>10</v>
      </c>
      <c r="H1274" t="s">
        <v>174</v>
      </c>
      <c r="I1274" s="37">
        <v>44944</v>
      </c>
      <c r="J1274" t="s">
        <v>165</v>
      </c>
      <c r="K1274" t="s">
        <v>166</v>
      </c>
      <c r="L1274" t="s">
        <v>175</v>
      </c>
      <c r="M1274" t="s">
        <v>1612</v>
      </c>
      <c r="O1274" t="s">
        <v>1612</v>
      </c>
      <c r="Q1274" t="s">
        <v>1686</v>
      </c>
      <c r="U1274" t="s">
        <v>1698</v>
      </c>
      <c r="W1274" t="s">
        <v>1703</v>
      </c>
      <c r="X1274">
        <v>8</v>
      </c>
      <c r="AA1274" s="43">
        <v>307.5</v>
      </c>
      <c r="AC1274" s="43">
        <v>307.5</v>
      </c>
      <c r="AF1274" s="37">
        <f t="shared" si="39"/>
        <v>45196</v>
      </c>
      <c r="AG1274" s="37">
        <f t="shared" si="40"/>
        <v>46402.611570247936</v>
      </c>
      <c r="AH1274" t="s">
        <v>169</v>
      </c>
      <c r="AN1274" s="43">
        <v>307.5</v>
      </c>
    </row>
    <row r="1275" spans="2:40">
      <c r="B1275" t="s">
        <v>1613</v>
      </c>
      <c r="C1275" t="s">
        <v>121</v>
      </c>
      <c r="D1275" t="s">
        <v>167</v>
      </c>
      <c r="E1275" t="s">
        <v>83</v>
      </c>
      <c r="F1275" s="37">
        <v>44853</v>
      </c>
      <c r="G1275">
        <v>10</v>
      </c>
      <c r="H1275" t="s">
        <v>174</v>
      </c>
      <c r="I1275" s="37">
        <v>44930</v>
      </c>
      <c r="J1275" t="s">
        <v>165</v>
      </c>
      <c r="K1275" t="s">
        <v>166</v>
      </c>
      <c r="L1275" t="s">
        <v>175</v>
      </c>
      <c r="M1275" t="s">
        <v>1613</v>
      </c>
      <c r="O1275" t="s">
        <v>1613</v>
      </c>
      <c r="Q1275" t="s">
        <v>1687</v>
      </c>
      <c r="U1275" t="s">
        <v>1698</v>
      </c>
      <c r="W1275" t="s">
        <v>1703</v>
      </c>
      <c r="X1275">
        <v>8</v>
      </c>
      <c r="AA1275" s="43">
        <v>307.5</v>
      </c>
      <c r="AC1275" s="43">
        <v>307.5</v>
      </c>
      <c r="AF1275" s="37">
        <f t="shared" si="39"/>
        <v>45182</v>
      </c>
      <c r="AG1275" s="37">
        <f t="shared" si="40"/>
        <v>46388.611570247936</v>
      </c>
      <c r="AH1275" t="s">
        <v>169</v>
      </c>
      <c r="AN1275" s="43">
        <v>307.5</v>
      </c>
    </row>
    <row r="1276" spans="2:40">
      <c r="B1276" t="s">
        <v>1614</v>
      </c>
      <c r="C1276" t="s">
        <v>121</v>
      </c>
      <c r="D1276" t="s">
        <v>167</v>
      </c>
      <c r="E1276" t="s">
        <v>83</v>
      </c>
      <c r="F1276" s="37">
        <v>44833</v>
      </c>
      <c r="G1276">
        <v>10</v>
      </c>
      <c r="H1276" t="s">
        <v>174</v>
      </c>
      <c r="I1276" s="37">
        <v>44874</v>
      </c>
      <c r="J1276" t="s">
        <v>165</v>
      </c>
      <c r="K1276" t="s">
        <v>166</v>
      </c>
      <c r="L1276" t="s">
        <v>175</v>
      </c>
      <c r="M1276" t="s">
        <v>1614</v>
      </c>
      <c r="O1276" t="s">
        <v>1614</v>
      </c>
      <c r="Q1276" t="s">
        <v>1657</v>
      </c>
      <c r="U1276" t="s">
        <v>1697</v>
      </c>
      <c r="W1276" t="s">
        <v>1702</v>
      </c>
      <c r="X1276">
        <v>9</v>
      </c>
      <c r="AA1276" s="43">
        <v>307.5</v>
      </c>
      <c r="AC1276" s="43">
        <v>307.5</v>
      </c>
      <c r="AF1276" s="37">
        <f t="shared" si="39"/>
        <v>45162</v>
      </c>
      <c r="AG1276" s="37">
        <f t="shared" si="40"/>
        <v>46368.611570247936</v>
      </c>
      <c r="AH1276" t="s">
        <v>1705</v>
      </c>
      <c r="AN1276" s="43">
        <v>307.5</v>
      </c>
    </row>
    <row r="1277" spans="2:40">
      <c r="B1277" t="s">
        <v>1615</v>
      </c>
      <c r="C1277" t="s">
        <v>121</v>
      </c>
      <c r="D1277" t="s">
        <v>167</v>
      </c>
      <c r="E1277" t="s">
        <v>83</v>
      </c>
      <c r="F1277" s="37">
        <v>44832</v>
      </c>
      <c r="G1277">
        <v>10</v>
      </c>
      <c r="H1277" t="s">
        <v>174</v>
      </c>
      <c r="I1277" s="37">
        <v>44909</v>
      </c>
      <c r="J1277" t="s">
        <v>165</v>
      </c>
      <c r="K1277" t="s">
        <v>166</v>
      </c>
      <c r="L1277" t="s">
        <v>175</v>
      </c>
      <c r="M1277" t="s">
        <v>1615</v>
      </c>
      <c r="O1277" t="s">
        <v>1615</v>
      </c>
      <c r="Q1277" t="s">
        <v>1680</v>
      </c>
      <c r="U1277" t="s">
        <v>1697</v>
      </c>
      <c r="W1277" t="s">
        <v>1702</v>
      </c>
      <c r="X1277">
        <v>9</v>
      </c>
      <c r="AA1277" s="43">
        <v>307.5</v>
      </c>
      <c r="AC1277" s="43">
        <v>307.5</v>
      </c>
      <c r="AF1277" s="37">
        <f t="shared" si="39"/>
        <v>45161</v>
      </c>
      <c r="AG1277" s="37">
        <f t="shared" si="40"/>
        <v>46367.611570247936</v>
      </c>
      <c r="AH1277" t="s">
        <v>1705</v>
      </c>
      <c r="AN1277" s="43">
        <v>307.5</v>
      </c>
    </row>
    <row r="1278" spans="2:40">
      <c r="B1278" t="s">
        <v>1616</v>
      </c>
      <c r="C1278" t="s">
        <v>121</v>
      </c>
      <c r="D1278" t="s">
        <v>167</v>
      </c>
      <c r="E1278" t="s">
        <v>83</v>
      </c>
      <c r="F1278" s="37">
        <v>44832</v>
      </c>
      <c r="G1278">
        <v>10</v>
      </c>
      <c r="H1278" t="s">
        <v>174</v>
      </c>
      <c r="I1278" s="37">
        <v>44909</v>
      </c>
      <c r="J1278" t="s">
        <v>165</v>
      </c>
      <c r="K1278" t="s">
        <v>166</v>
      </c>
      <c r="L1278" t="s">
        <v>175</v>
      </c>
      <c r="M1278" t="s">
        <v>1616</v>
      </c>
      <c r="O1278" t="s">
        <v>1616</v>
      </c>
      <c r="Q1278" t="s">
        <v>1680</v>
      </c>
      <c r="U1278" t="s">
        <v>1697</v>
      </c>
      <c r="W1278" t="s">
        <v>1702</v>
      </c>
      <c r="X1278">
        <v>9</v>
      </c>
      <c r="AA1278" s="43">
        <v>307.5</v>
      </c>
      <c r="AC1278" s="43">
        <v>307.5</v>
      </c>
      <c r="AF1278" s="37">
        <f t="shared" si="39"/>
        <v>45161</v>
      </c>
      <c r="AG1278" s="37">
        <f t="shared" si="40"/>
        <v>46367.611570247936</v>
      </c>
      <c r="AH1278" t="s">
        <v>1705</v>
      </c>
      <c r="AN1278" s="43">
        <v>307.5</v>
      </c>
    </row>
    <row r="1279" spans="2:40">
      <c r="B1279" t="s">
        <v>1617</v>
      </c>
      <c r="C1279" t="s">
        <v>121</v>
      </c>
      <c r="D1279" t="s">
        <v>167</v>
      </c>
      <c r="E1279" t="s">
        <v>83</v>
      </c>
      <c r="F1279" s="37">
        <v>44832</v>
      </c>
      <c r="G1279">
        <v>10</v>
      </c>
      <c r="H1279" t="s">
        <v>174</v>
      </c>
      <c r="I1279" s="37">
        <v>44909</v>
      </c>
      <c r="J1279" t="s">
        <v>165</v>
      </c>
      <c r="K1279" t="s">
        <v>166</v>
      </c>
      <c r="L1279" t="s">
        <v>175</v>
      </c>
      <c r="M1279" t="s">
        <v>1617</v>
      </c>
      <c r="O1279" t="s">
        <v>1617</v>
      </c>
      <c r="Q1279" t="s">
        <v>1671</v>
      </c>
      <c r="U1279" t="s">
        <v>1697</v>
      </c>
      <c r="W1279" t="s">
        <v>1702</v>
      </c>
      <c r="X1279">
        <v>9</v>
      </c>
      <c r="AA1279" s="43">
        <v>307.5</v>
      </c>
      <c r="AC1279" s="43">
        <v>307.5</v>
      </c>
      <c r="AF1279" s="37">
        <f t="shared" si="39"/>
        <v>45161</v>
      </c>
      <c r="AG1279" s="37">
        <f t="shared" si="40"/>
        <v>46367.611570247936</v>
      </c>
      <c r="AH1279" t="s">
        <v>1705</v>
      </c>
      <c r="AN1279" s="43">
        <v>307.5</v>
      </c>
    </row>
    <row r="1280" spans="2:40">
      <c r="B1280" t="s">
        <v>1618</v>
      </c>
      <c r="C1280" t="s">
        <v>121</v>
      </c>
      <c r="D1280" t="s">
        <v>167</v>
      </c>
      <c r="E1280" t="s">
        <v>83</v>
      </c>
      <c r="F1280" s="37">
        <v>44829</v>
      </c>
      <c r="G1280">
        <v>10</v>
      </c>
      <c r="H1280" t="s">
        <v>174</v>
      </c>
      <c r="I1280" s="37">
        <v>44895</v>
      </c>
      <c r="J1280" t="s">
        <v>165</v>
      </c>
      <c r="K1280" t="s">
        <v>166</v>
      </c>
      <c r="L1280" t="s">
        <v>175</v>
      </c>
      <c r="M1280" t="s">
        <v>1618</v>
      </c>
      <c r="O1280" t="s">
        <v>1618</v>
      </c>
      <c r="Q1280" t="s">
        <v>1681</v>
      </c>
      <c r="U1280" t="s">
        <v>1697</v>
      </c>
      <c r="W1280" t="s">
        <v>1702</v>
      </c>
      <c r="X1280">
        <v>9</v>
      </c>
      <c r="AA1280" s="43">
        <v>307.5</v>
      </c>
      <c r="AC1280" s="43">
        <v>307.5</v>
      </c>
      <c r="AF1280" s="37">
        <f t="shared" si="39"/>
        <v>45158</v>
      </c>
      <c r="AG1280" s="37">
        <f t="shared" si="40"/>
        <v>46364.611570247936</v>
      </c>
      <c r="AH1280" t="s">
        <v>1705</v>
      </c>
      <c r="AN1280" s="43">
        <v>307.5</v>
      </c>
    </row>
    <row r="1281" spans="2:40">
      <c r="B1281" t="s">
        <v>1619</v>
      </c>
      <c r="C1281" t="s">
        <v>121</v>
      </c>
      <c r="D1281" t="s">
        <v>167</v>
      </c>
      <c r="E1281" t="s">
        <v>83</v>
      </c>
      <c r="F1281" s="37">
        <v>44829</v>
      </c>
      <c r="G1281">
        <v>10</v>
      </c>
      <c r="H1281" t="s">
        <v>174</v>
      </c>
      <c r="I1281" s="37">
        <v>44895</v>
      </c>
      <c r="J1281" t="s">
        <v>165</v>
      </c>
      <c r="K1281" t="s">
        <v>166</v>
      </c>
      <c r="L1281" t="s">
        <v>175</v>
      </c>
      <c r="M1281" t="s">
        <v>1619</v>
      </c>
      <c r="O1281" t="s">
        <v>1619</v>
      </c>
      <c r="Q1281" t="s">
        <v>1688</v>
      </c>
      <c r="U1281" t="s">
        <v>1697</v>
      </c>
      <c r="W1281" t="s">
        <v>1702</v>
      </c>
      <c r="X1281">
        <v>9</v>
      </c>
      <c r="AA1281" s="43">
        <v>307.5</v>
      </c>
      <c r="AC1281" s="43">
        <v>307.5</v>
      </c>
      <c r="AF1281" s="37">
        <f t="shared" si="39"/>
        <v>45158</v>
      </c>
      <c r="AG1281" s="37">
        <f t="shared" si="40"/>
        <v>46364.611570247936</v>
      </c>
      <c r="AH1281" t="s">
        <v>1705</v>
      </c>
      <c r="AN1281" s="43">
        <v>307.5</v>
      </c>
    </row>
    <row r="1282" spans="2:40">
      <c r="B1282" t="s">
        <v>1620</v>
      </c>
      <c r="C1282" t="s">
        <v>121</v>
      </c>
      <c r="D1282" t="s">
        <v>167</v>
      </c>
      <c r="E1282" t="s">
        <v>83</v>
      </c>
      <c r="F1282" s="37">
        <v>44776</v>
      </c>
      <c r="G1282">
        <v>10</v>
      </c>
      <c r="H1282" t="s">
        <v>174</v>
      </c>
      <c r="I1282" s="37">
        <v>44853</v>
      </c>
      <c r="J1282" t="s">
        <v>165</v>
      </c>
      <c r="K1282" t="s">
        <v>166</v>
      </c>
      <c r="L1282" t="s">
        <v>175</v>
      </c>
      <c r="M1282" t="s">
        <v>1620</v>
      </c>
      <c r="O1282" t="s">
        <v>1620</v>
      </c>
      <c r="Q1282" t="s">
        <v>1689</v>
      </c>
      <c r="U1282" t="s">
        <v>1697</v>
      </c>
      <c r="W1282" t="s">
        <v>1702</v>
      </c>
      <c r="X1282">
        <v>9</v>
      </c>
      <c r="AA1282" s="43">
        <v>307.5</v>
      </c>
      <c r="AC1282" s="43">
        <v>307.5</v>
      </c>
      <c r="AF1282" s="37">
        <f t="shared" si="39"/>
        <v>45105</v>
      </c>
      <c r="AG1282" s="37">
        <f t="shared" si="40"/>
        <v>46311.611570247936</v>
      </c>
      <c r="AH1282" t="s">
        <v>1705</v>
      </c>
      <c r="AN1282" s="43">
        <v>307.5</v>
      </c>
    </row>
    <row r="1283" spans="2:40">
      <c r="B1283" t="s">
        <v>1621</v>
      </c>
      <c r="C1283" t="s">
        <v>121</v>
      </c>
      <c r="D1283" t="s">
        <v>167</v>
      </c>
      <c r="E1283" t="s">
        <v>83</v>
      </c>
      <c r="F1283" s="37">
        <v>44776</v>
      </c>
      <c r="G1283">
        <v>10</v>
      </c>
      <c r="H1283" t="s">
        <v>174</v>
      </c>
      <c r="I1283" s="37">
        <v>44853</v>
      </c>
      <c r="J1283" t="s">
        <v>165</v>
      </c>
      <c r="K1283" t="s">
        <v>166</v>
      </c>
      <c r="L1283" t="s">
        <v>175</v>
      </c>
      <c r="M1283" t="s">
        <v>1621</v>
      </c>
      <c r="O1283" t="s">
        <v>1621</v>
      </c>
      <c r="Q1283" t="s">
        <v>1668</v>
      </c>
      <c r="U1283" t="s">
        <v>1697</v>
      </c>
      <c r="W1283" t="s">
        <v>1702</v>
      </c>
      <c r="X1283">
        <v>9</v>
      </c>
      <c r="AA1283" s="43">
        <v>307.5</v>
      </c>
      <c r="AC1283" s="43">
        <v>307.5</v>
      </c>
      <c r="AF1283" s="37">
        <f t="shared" si="39"/>
        <v>45105</v>
      </c>
      <c r="AG1283" s="37">
        <f t="shared" si="40"/>
        <v>46311.611570247936</v>
      </c>
      <c r="AH1283" t="s">
        <v>1705</v>
      </c>
      <c r="AN1283" s="43">
        <v>307.5</v>
      </c>
    </row>
    <row r="1284" spans="2:40">
      <c r="B1284" t="s">
        <v>1622</v>
      </c>
      <c r="C1284" t="s">
        <v>121</v>
      </c>
      <c r="D1284" t="s">
        <v>167</v>
      </c>
      <c r="E1284" t="s">
        <v>83</v>
      </c>
      <c r="F1284" s="37">
        <v>44776</v>
      </c>
      <c r="G1284">
        <v>10</v>
      </c>
      <c r="H1284" t="s">
        <v>174</v>
      </c>
      <c r="I1284" s="37">
        <v>44853</v>
      </c>
      <c r="J1284" t="s">
        <v>165</v>
      </c>
      <c r="K1284" t="s">
        <v>166</v>
      </c>
      <c r="L1284" t="s">
        <v>175</v>
      </c>
      <c r="M1284" t="s">
        <v>1622</v>
      </c>
      <c r="O1284" t="s">
        <v>1622</v>
      </c>
      <c r="Q1284" t="s">
        <v>1668</v>
      </c>
      <c r="U1284" t="s">
        <v>1697</v>
      </c>
      <c r="W1284" t="s">
        <v>1702</v>
      </c>
      <c r="X1284">
        <v>9</v>
      </c>
      <c r="AA1284" s="43">
        <v>307.5</v>
      </c>
      <c r="AC1284" s="43">
        <v>307.5</v>
      </c>
      <c r="AF1284" s="37">
        <f t="shared" si="39"/>
        <v>45105</v>
      </c>
      <c r="AG1284" s="37">
        <f t="shared" si="40"/>
        <v>46311.611570247936</v>
      </c>
      <c r="AH1284" t="s">
        <v>1705</v>
      </c>
      <c r="AN1284" s="43">
        <v>307.5</v>
      </c>
    </row>
    <row r="1285" spans="2:40">
      <c r="B1285" t="s">
        <v>1623</v>
      </c>
      <c r="C1285" t="s">
        <v>121</v>
      </c>
      <c r="D1285" t="s">
        <v>167</v>
      </c>
      <c r="E1285" t="s">
        <v>83</v>
      </c>
      <c r="F1285" s="37">
        <v>44769</v>
      </c>
      <c r="G1285">
        <v>10</v>
      </c>
      <c r="H1285" t="s">
        <v>174</v>
      </c>
      <c r="I1285" s="37">
        <v>44818</v>
      </c>
      <c r="J1285" t="s">
        <v>165</v>
      </c>
      <c r="K1285" t="s">
        <v>166</v>
      </c>
      <c r="L1285" t="s">
        <v>175</v>
      </c>
      <c r="M1285" t="s">
        <v>1623</v>
      </c>
      <c r="O1285" t="s">
        <v>1623</v>
      </c>
      <c r="Q1285" t="s">
        <v>1649</v>
      </c>
      <c r="U1285" t="s">
        <v>1697</v>
      </c>
      <c r="W1285" t="s">
        <v>1702</v>
      </c>
      <c r="X1285">
        <v>9</v>
      </c>
      <c r="AA1285" s="43">
        <v>307.5</v>
      </c>
      <c r="AC1285" s="43">
        <v>307.5</v>
      </c>
      <c r="AF1285" s="37">
        <f t="shared" si="39"/>
        <v>45098</v>
      </c>
      <c r="AG1285" s="37">
        <f t="shared" si="40"/>
        <v>46304.611570247936</v>
      </c>
      <c r="AH1285" t="s">
        <v>1705</v>
      </c>
      <c r="AN1285" s="43">
        <v>307.5</v>
      </c>
    </row>
    <row r="1286" spans="2:40">
      <c r="B1286" t="s">
        <v>1624</v>
      </c>
      <c r="C1286" t="s">
        <v>121</v>
      </c>
      <c r="D1286" t="s">
        <v>167</v>
      </c>
      <c r="E1286" t="s">
        <v>83</v>
      </c>
      <c r="F1286" s="37">
        <v>44769</v>
      </c>
      <c r="G1286">
        <v>10</v>
      </c>
      <c r="H1286" t="s">
        <v>174</v>
      </c>
      <c r="I1286" s="37">
        <v>44818</v>
      </c>
      <c r="J1286" t="s">
        <v>165</v>
      </c>
      <c r="K1286" t="s">
        <v>166</v>
      </c>
      <c r="L1286" t="s">
        <v>175</v>
      </c>
      <c r="M1286" t="s">
        <v>1624</v>
      </c>
      <c r="O1286" t="s">
        <v>1624</v>
      </c>
      <c r="Q1286" t="s">
        <v>1649</v>
      </c>
      <c r="U1286" t="s">
        <v>1697</v>
      </c>
      <c r="W1286" t="s">
        <v>1702</v>
      </c>
      <c r="X1286">
        <v>9</v>
      </c>
      <c r="AA1286" s="43">
        <v>307.5</v>
      </c>
      <c r="AC1286" s="43">
        <v>307.5</v>
      </c>
      <c r="AF1286" s="37">
        <f t="shared" si="39"/>
        <v>45098</v>
      </c>
      <c r="AG1286" s="37">
        <f t="shared" si="40"/>
        <v>46304.611570247936</v>
      </c>
      <c r="AH1286" t="s">
        <v>1705</v>
      </c>
      <c r="AN1286" s="43">
        <v>307.5</v>
      </c>
    </row>
    <row r="1287" spans="2:40">
      <c r="B1287" t="s">
        <v>1625</v>
      </c>
      <c r="C1287" t="s">
        <v>121</v>
      </c>
      <c r="D1287" t="s">
        <v>167</v>
      </c>
      <c r="E1287" t="s">
        <v>83</v>
      </c>
      <c r="F1287" s="37">
        <v>44762</v>
      </c>
      <c r="G1287">
        <v>10</v>
      </c>
      <c r="H1287" t="s">
        <v>174</v>
      </c>
      <c r="I1287" s="37">
        <v>44825</v>
      </c>
      <c r="J1287" t="s">
        <v>165</v>
      </c>
      <c r="K1287" t="s">
        <v>166</v>
      </c>
      <c r="L1287" t="s">
        <v>175</v>
      </c>
      <c r="M1287" t="s">
        <v>1625</v>
      </c>
      <c r="O1287" t="s">
        <v>1625</v>
      </c>
      <c r="Q1287" t="s">
        <v>1690</v>
      </c>
      <c r="U1287" t="s">
        <v>1697</v>
      </c>
      <c r="W1287" t="s">
        <v>1702</v>
      </c>
      <c r="X1287">
        <v>9</v>
      </c>
      <c r="AA1287" s="43">
        <v>307.5</v>
      </c>
      <c r="AC1287" s="43">
        <v>307.5</v>
      </c>
      <c r="AF1287" s="37">
        <f t="shared" ref="AF1287:AF1294" si="41">F1287+(47*7)</f>
        <v>45091</v>
      </c>
      <c r="AG1287" s="37">
        <f t="shared" ref="AG1287:AG1294" si="42">+AF1287+(365*8)/2.42</f>
        <v>46297.611570247936</v>
      </c>
      <c r="AH1287" t="s">
        <v>1705</v>
      </c>
      <c r="AN1287" s="43">
        <v>307.5</v>
      </c>
    </row>
    <row r="1288" spans="2:40">
      <c r="B1288" t="s">
        <v>1626</v>
      </c>
      <c r="C1288" t="s">
        <v>121</v>
      </c>
      <c r="D1288" t="s">
        <v>167</v>
      </c>
      <c r="E1288" t="s">
        <v>83</v>
      </c>
      <c r="F1288" s="37">
        <v>44748</v>
      </c>
      <c r="G1288">
        <v>10</v>
      </c>
      <c r="H1288" t="s">
        <v>174</v>
      </c>
      <c r="I1288" s="37">
        <v>44825</v>
      </c>
      <c r="J1288" t="s">
        <v>165</v>
      </c>
      <c r="K1288" t="s">
        <v>166</v>
      </c>
      <c r="L1288" t="s">
        <v>175</v>
      </c>
      <c r="M1288" t="s">
        <v>1626</v>
      </c>
      <c r="O1288" t="s">
        <v>1626</v>
      </c>
      <c r="Q1288" t="s">
        <v>1690</v>
      </c>
      <c r="U1288" t="s">
        <v>1697</v>
      </c>
      <c r="W1288" t="s">
        <v>1702</v>
      </c>
      <c r="X1288">
        <v>9</v>
      </c>
      <c r="AA1288" s="43">
        <v>307.5</v>
      </c>
      <c r="AC1288" s="43">
        <v>307.5</v>
      </c>
      <c r="AF1288" s="37">
        <f t="shared" si="41"/>
        <v>45077</v>
      </c>
      <c r="AG1288" s="37">
        <f t="shared" si="42"/>
        <v>46283.611570247936</v>
      </c>
      <c r="AH1288" t="s">
        <v>1705</v>
      </c>
      <c r="AN1288" s="43">
        <v>307.5</v>
      </c>
    </row>
    <row r="1289" spans="2:40">
      <c r="B1289" t="s">
        <v>1627</v>
      </c>
      <c r="C1289" t="s">
        <v>121</v>
      </c>
      <c r="D1289" t="s">
        <v>167</v>
      </c>
      <c r="E1289" t="s">
        <v>83</v>
      </c>
      <c r="F1289" s="37">
        <v>44748</v>
      </c>
      <c r="G1289">
        <v>10</v>
      </c>
      <c r="H1289" t="s">
        <v>174</v>
      </c>
      <c r="I1289" s="37">
        <v>44825</v>
      </c>
      <c r="J1289" t="s">
        <v>165</v>
      </c>
      <c r="K1289" t="s">
        <v>166</v>
      </c>
      <c r="L1289" t="s">
        <v>175</v>
      </c>
      <c r="M1289" t="s">
        <v>1627</v>
      </c>
      <c r="O1289" t="s">
        <v>1627</v>
      </c>
      <c r="Q1289" t="s">
        <v>1690</v>
      </c>
      <c r="U1289" t="s">
        <v>1697</v>
      </c>
      <c r="W1289" t="s">
        <v>1702</v>
      </c>
      <c r="X1289">
        <v>9</v>
      </c>
      <c r="AA1289" s="43">
        <v>307.5</v>
      </c>
      <c r="AC1289" s="43">
        <v>307.5</v>
      </c>
      <c r="AF1289" s="37">
        <f t="shared" si="41"/>
        <v>45077</v>
      </c>
      <c r="AG1289" s="37">
        <f t="shared" si="42"/>
        <v>46283.611570247936</v>
      </c>
      <c r="AH1289" t="s">
        <v>1705</v>
      </c>
      <c r="AN1289" s="43">
        <v>307.5</v>
      </c>
    </row>
    <row r="1290" spans="2:40">
      <c r="B1290" t="s">
        <v>1628</v>
      </c>
      <c r="C1290" t="s">
        <v>121</v>
      </c>
      <c r="D1290" t="s">
        <v>167</v>
      </c>
      <c r="E1290" t="s">
        <v>83</v>
      </c>
      <c r="F1290" s="37">
        <v>44748</v>
      </c>
      <c r="G1290">
        <v>10</v>
      </c>
      <c r="H1290" t="s">
        <v>174</v>
      </c>
      <c r="I1290" s="37">
        <v>44825</v>
      </c>
      <c r="J1290" t="s">
        <v>165</v>
      </c>
      <c r="K1290" t="s">
        <v>166</v>
      </c>
      <c r="L1290" t="s">
        <v>175</v>
      </c>
      <c r="M1290" t="s">
        <v>1628</v>
      </c>
      <c r="O1290" t="s">
        <v>1628</v>
      </c>
      <c r="Q1290" t="s">
        <v>1690</v>
      </c>
      <c r="U1290" t="s">
        <v>1698</v>
      </c>
      <c r="W1290" t="s">
        <v>1703</v>
      </c>
      <c r="X1290">
        <v>9</v>
      </c>
      <c r="AA1290" s="43">
        <v>307.5</v>
      </c>
      <c r="AC1290" s="43">
        <v>307.5</v>
      </c>
      <c r="AF1290" s="37">
        <f t="shared" si="41"/>
        <v>45077</v>
      </c>
      <c r="AG1290" s="37">
        <f t="shared" si="42"/>
        <v>46283.611570247936</v>
      </c>
      <c r="AH1290" t="s">
        <v>169</v>
      </c>
      <c r="AN1290" s="43">
        <v>307.5</v>
      </c>
    </row>
    <row r="1291" spans="2:40">
      <c r="B1291" t="s">
        <v>1629</v>
      </c>
      <c r="C1291" t="s">
        <v>121</v>
      </c>
      <c r="D1291" t="s">
        <v>167</v>
      </c>
      <c r="E1291" t="s">
        <v>83</v>
      </c>
      <c r="F1291" s="37">
        <v>44741</v>
      </c>
      <c r="G1291">
        <v>10</v>
      </c>
      <c r="H1291" t="s">
        <v>174</v>
      </c>
      <c r="I1291" s="37">
        <v>44818</v>
      </c>
      <c r="J1291" t="s">
        <v>165</v>
      </c>
      <c r="K1291" t="s">
        <v>166</v>
      </c>
      <c r="L1291" t="s">
        <v>175</v>
      </c>
      <c r="M1291" t="s">
        <v>1629</v>
      </c>
      <c r="O1291" t="s">
        <v>1629</v>
      </c>
      <c r="Q1291" t="s">
        <v>1691</v>
      </c>
      <c r="U1291" t="s">
        <v>1697</v>
      </c>
      <c r="W1291" t="s">
        <v>1702</v>
      </c>
      <c r="X1291">
        <v>9</v>
      </c>
      <c r="AA1291" s="43">
        <v>307.5</v>
      </c>
      <c r="AC1291" s="43">
        <v>307.5</v>
      </c>
      <c r="AF1291" s="37">
        <f t="shared" si="41"/>
        <v>45070</v>
      </c>
      <c r="AG1291" s="37">
        <f t="shared" si="42"/>
        <v>46276.611570247936</v>
      </c>
      <c r="AH1291" t="s">
        <v>1705</v>
      </c>
      <c r="AN1291" s="43">
        <v>307.5</v>
      </c>
    </row>
    <row r="1292" spans="2:40">
      <c r="B1292" t="s">
        <v>1630</v>
      </c>
      <c r="C1292" t="s">
        <v>121</v>
      </c>
      <c r="D1292" t="s">
        <v>167</v>
      </c>
      <c r="E1292" t="s">
        <v>83</v>
      </c>
      <c r="F1292" s="37">
        <v>44734</v>
      </c>
      <c r="G1292">
        <v>10</v>
      </c>
      <c r="H1292" t="s">
        <v>174</v>
      </c>
      <c r="I1292" s="37">
        <v>44811</v>
      </c>
      <c r="J1292" t="s">
        <v>165</v>
      </c>
      <c r="K1292" t="s">
        <v>166</v>
      </c>
      <c r="L1292" t="s">
        <v>175</v>
      </c>
      <c r="M1292" t="s">
        <v>1630</v>
      </c>
      <c r="O1292" t="s">
        <v>1630</v>
      </c>
      <c r="Q1292" t="s">
        <v>1692</v>
      </c>
      <c r="U1292" t="s">
        <v>1697</v>
      </c>
      <c r="W1292" t="s">
        <v>1702</v>
      </c>
      <c r="X1292">
        <v>9</v>
      </c>
      <c r="AA1292" s="43">
        <v>307.5</v>
      </c>
      <c r="AC1292" s="43">
        <v>307.5</v>
      </c>
      <c r="AF1292" s="37">
        <f t="shared" si="41"/>
        <v>45063</v>
      </c>
      <c r="AG1292" s="37">
        <f t="shared" si="42"/>
        <v>46269.611570247936</v>
      </c>
      <c r="AH1292" t="s">
        <v>1705</v>
      </c>
      <c r="AN1292" s="43">
        <v>307.5</v>
      </c>
    </row>
    <row r="1293" spans="2:40">
      <c r="B1293" t="s">
        <v>1631</v>
      </c>
      <c r="C1293" t="s">
        <v>121</v>
      </c>
      <c r="D1293" t="s">
        <v>167</v>
      </c>
      <c r="E1293" t="s">
        <v>83</v>
      </c>
      <c r="F1293" s="37">
        <v>44734</v>
      </c>
      <c r="G1293">
        <v>10</v>
      </c>
      <c r="H1293" t="s">
        <v>174</v>
      </c>
      <c r="I1293" s="37">
        <v>44811</v>
      </c>
      <c r="J1293" t="s">
        <v>165</v>
      </c>
      <c r="K1293" t="s">
        <v>166</v>
      </c>
      <c r="L1293" t="s">
        <v>175</v>
      </c>
      <c r="M1293" t="s">
        <v>1631</v>
      </c>
      <c r="O1293" t="s">
        <v>1631</v>
      </c>
      <c r="Q1293" t="s">
        <v>1692</v>
      </c>
      <c r="U1293" t="s">
        <v>1698</v>
      </c>
      <c r="W1293" t="s">
        <v>1703</v>
      </c>
      <c r="X1293">
        <v>9</v>
      </c>
      <c r="AA1293" s="43">
        <v>307.5</v>
      </c>
      <c r="AC1293" s="43">
        <v>307.5</v>
      </c>
      <c r="AF1293" s="37">
        <f t="shared" si="41"/>
        <v>45063</v>
      </c>
      <c r="AG1293" s="37">
        <f t="shared" si="42"/>
        <v>46269.611570247936</v>
      </c>
      <c r="AH1293" t="s">
        <v>169</v>
      </c>
      <c r="AN1293" s="43">
        <v>307.5</v>
      </c>
    </row>
    <row r="1294" spans="2:40">
      <c r="B1294" t="s">
        <v>1632</v>
      </c>
      <c r="C1294" t="s">
        <v>121</v>
      </c>
      <c r="D1294" t="s">
        <v>167</v>
      </c>
      <c r="E1294" t="s">
        <v>83</v>
      </c>
      <c r="F1294" s="37">
        <v>44713</v>
      </c>
      <c r="G1294">
        <v>10</v>
      </c>
      <c r="H1294" t="s">
        <v>174</v>
      </c>
      <c r="I1294" s="37">
        <v>44776</v>
      </c>
      <c r="J1294" t="s">
        <v>165</v>
      </c>
      <c r="K1294" t="s">
        <v>166</v>
      </c>
      <c r="L1294" t="s">
        <v>175</v>
      </c>
      <c r="M1294" t="s">
        <v>1632</v>
      </c>
      <c r="O1294" t="s">
        <v>1632</v>
      </c>
      <c r="Q1294" t="s">
        <v>1663</v>
      </c>
      <c r="U1294" t="s">
        <v>1698</v>
      </c>
      <c r="W1294" t="s">
        <v>1703</v>
      </c>
      <c r="X1294">
        <v>9</v>
      </c>
      <c r="AA1294" s="43">
        <v>307.5</v>
      </c>
      <c r="AC1294" s="43">
        <v>307.5</v>
      </c>
      <c r="AF1294" s="37">
        <f t="shared" si="41"/>
        <v>45042</v>
      </c>
      <c r="AG1294" s="37">
        <f t="shared" si="42"/>
        <v>46248.611570247936</v>
      </c>
      <c r="AH1294" t="s">
        <v>169</v>
      </c>
      <c r="AN1294" s="43">
        <v>307.5</v>
      </c>
    </row>
    <row r="1295" spans="2:40">
      <c r="B1295" t="s">
        <v>1633</v>
      </c>
      <c r="C1295" t="s">
        <v>121</v>
      </c>
      <c r="D1295" t="s">
        <v>167</v>
      </c>
      <c r="E1295" t="s">
        <v>83</v>
      </c>
      <c r="F1295" s="37">
        <v>44710</v>
      </c>
      <c r="G1295">
        <v>10</v>
      </c>
      <c r="H1295" t="s">
        <v>174</v>
      </c>
      <c r="I1295" s="37">
        <v>44776</v>
      </c>
      <c r="J1295" t="s">
        <v>165</v>
      </c>
      <c r="K1295" t="s">
        <v>166</v>
      </c>
      <c r="L1295" t="s">
        <v>175</v>
      </c>
      <c r="M1295" t="s">
        <v>1633</v>
      </c>
      <c r="O1295" t="s">
        <v>1633</v>
      </c>
      <c r="Q1295" t="s">
        <v>1670</v>
      </c>
      <c r="U1295" t="s">
        <v>1698</v>
      </c>
      <c r="W1295" t="s">
        <v>1703</v>
      </c>
      <c r="X1295">
        <v>9</v>
      </c>
      <c r="AA1295" s="43">
        <v>307.5</v>
      </c>
      <c r="AC1295" s="43">
        <v>307.5</v>
      </c>
      <c r="AF1295" s="37">
        <f t="shared" ref="AF1295:AF1304" si="43">F1295+(47*7)</f>
        <v>45039</v>
      </c>
      <c r="AG1295" s="37">
        <f t="shared" ref="AG1295:AG1304" si="44">+AF1295+(365*8)/2.42</f>
        <v>46245.611570247936</v>
      </c>
      <c r="AH1295" t="s">
        <v>169</v>
      </c>
      <c r="AN1295" s="43">
        <v>307.5</v>
      </c>
    </row>
    <row r="1296" spans="2:40">
      <c r="B1296" t="s">
        <v>1634</v>
      </c>
      <c r="C1296" t="s">
        <v>121</v>
      </c>
      <c r="D1296" t="s">
        <v>167</v>
      </c>
      <c r="E1296" t="s">
        <v>83</v>
      </c>
      <c r="F1296" s="37">
        <v>44685</v>
      </c>
      <c r="G1296">
        <v>10</v>
      </c>
      <c r="H1296" t="s">
        <v>174</v>
      </c>
      <c r="I1296" s="37">
        <v>44762</v>
      </c>
      <c r="J1296" t="s">
        <v>165</v>
      </c>
      <c r="K1296" t="s">
        <v>166</v>
      </c>
      <c r="L1296" t="s">
        <v>175</v>
      </c>
      <c r="M1296" t="s">
        <v>1634</v>
      </c>
      <c r="O1296" t="s">
        <v>1634</v>
      </c>
      <c r="Q1296" t="s">
        <v>1693</v>
      </c>
      <c r="U1296" t="s">
        <v>1697</v>
      </c>
      <c r="W1296" t="s">
        <v>1702</v>
      </c>
      <c r="X1296">
        <v>10</v>
      </c>
      <c r="AA1296" s="43">
        <v>307.5</v>
      </c>
      <c r="AC1296" s="43">
        <v>307.5</v>
      </c>
      <c r="AF1296" s="37">
        <f t="shared" si="43"/>
        <v>45014</v>
      </c>
      <c r="AG1296" s="37">
        <f t="shared" si="44"/>
        <v>46220.611570247936</v>
      </c>
      <c r="AH1296" t="s">
        <v>1705</v>
      </c>
      <c r="AN1296" s="43">
        <v>307.5</v>
      </c>
    </row>
    <row r="1297" spans="2:40">
      <c r="B1297" t="s">
        <v>1635</v>
      </c>
      <c r="C1297" t="s">
        <v>121</v>
      </c>
      <c r="D1297" t="s">
        <v>167</v>
      </c>
      <c r="E1297" t="s">
        <v>83</v>
      </c>
      <c r="F1297" s="37">
        <v>44678</v>
      </c>
      <c r="G1297">
        <v>10</v>
      </c>
      <c r="H1297" t="s">
        <v>174</v>
      </c>
      <c r="I1297" s="37">
        <v>44755</v>
      </c>
      <c r="J1297" t="s">
        <v>165</v>
      </c>
      <c r="K1297" t="s">
        <v>166</v>
      </c>
      <c r="L1297" t="s">
        <v>175</v>
      </c>
      <c r="M1297" t="s">
        <v>1635</v>
      </c>
      <c r="O1297" t="s">
        <v>1635</v>
      </c>
      <c r="Q1297" t="s">
        <v>1688</v>
      </c>
      <c r="U1297" t="s">
        <v>1696</v>
      </c>
      <c r="W1297" t="s">
        <v>1699</v>
      </c>
      <c r="X1297">
        <v>10</v>
      </c>
      <c r="AA1297" s="43">
        <v>307.5</v>
      </c>
      <c r="AC1297" s="43">
        <v>307.5</v>
      </c>
      <c r="AF1297" s="37">
        <f t="shared" si="43"/>
        <v>45007</v>
      </c>
      <c r="AG1297" s="37">
        <f t="shared" si="44"/>
        <v>46213.611570247936</v>
      </c>
      <c r="AH1297" t="s">
        <v>1704</v>
      </c>
      <c r="AN1297" s="43">
        <v>307.5</v>
      </c>
    </row>
    <row r="1298" spans="2:40">
      <c r="B1298" t="s">
        <v>1636</v>
      </c>
      <c r="C1298" t="s">
        <v>121</v>
      </c>
      <c r="D1298" t="s">
        <v>167</v>
      </c>
      <c r="E1298" t="s">
        <v>83</v>
      </c>
      <c r="F1298" s="37">
        <v>44678</v>
      </c>
      <c r="G1298">
        <v>10</v>
      </c>
      <c r="H1298" t="s">
        <v>174</v>
      </c>
      <c r="I1298" s="37">
        <v>44755</v>
      </c>
      <c r="J1298" t="s">
        <v>165</v>
      </c>
      <c r="K1298" t="s">
        <v>166</v>
      </c>
      <c r="L1298" t="s">
        <v>175</v>
      </c>
      <c r="M1298" t="s">
        <v>1636</v>
      </c>
      <c r="O1298" t="s">
        <v>1636</v>
      </c>
      <c r="Q1298" t="s">
        <v>1688</v>
      </c>
      <c r="U1298" t="s">
        <v>1697</v>
      </c>
      <c r="W1298" t="s">
        <v>1702</v>
      </c>
      <c r="X1298">
        <v>10</v>
      </c>
      <c r="AA1298" s="43">
        <v>307.5</v>
      </c>
      <c r="AC1298" s="43">
        <v>307.5</v>
      </c>
      <c r="AF1298" s="37">
        <f t="shared" si="43"/>
        <v>45007</v>
      </c>
      <c r="AG1298" s="37">
        <f t="shared" si="44"/>
        <v>46213.611570247936</v>
      </c>
      <c r="AH1298" t="s">
        <v>1705</v>
      </c>
      <c r="AN1298" s="43">
        <v>307.5</v>
      </c>
    </row>
    <row r="1299" spans="2:40">
      <c r="B1299" t="s">
        <v>1637</v>
      </c>
      <c r="C1299" t="s">
        <v>121</v>
      </c>
      <c r="D1299" t="s">
        <v>167</v>
      </c>
      <c r="E1299" t="s">
        <v>83</v>
      </c>
      <c r="F1299" s="37">
        <v>44678</v>
      </c>
      <c r="G1299">
        <v>10</v>
      </c>
      <c r="H1299" t="s">
        <v>174</v>
      </c>
      <c r="I1299" s="37">
        <v>44755</v>
      </c>
      <c r="J1299" t="s">
        <v>165</v>
      </c>
      <c r="K1299" t="s">
        <v>166</v>
      </c>
      <c r="L1299" t="s">
        <v>175</v>
      </c>
      <c r="M1299" t="s">
        <v>1637</v>
      </c>
      <c r="O1299" t="s">
        <v>1637</v>
      </c>
      <c r="Q1299" t="s">
        <v>1680</v>
      </c>
      <c r="U1299" t="s">
        <v>1697</v>
      </c>
      <c r="W1299" t="s">
        <v>1702</v>
      </c>
      <c r="X1299">
        <v>10</v>
      </c>
      <c r="AA1299" s="43">
        <v>307.5</v>
      </c>
      <c r="AC1299" s="43">
        <v>307.5</v>
      </c>
      <c r="AF1299" s="37">
        <f t="shared" si="43"/>
        <v>45007</v>
      </c>
      <c r="AG1299" s="37">
        <f t="shared" si="44"/>
        <v>46213.611570247936</v>
      </c>
      <c r="AH1299" t="s">
        <v>1705</v>
      </c>
      <c r="AN1299" s="43">
        <v>307.5</v>
      </c>
    </row>
    <row r="1300" spans="2:40">
      <c r="B1300" t="s">
        <v>1638</v>
      </c>
      <c r="C1300" t="s">
        <v>121</v>
      </c>
      <c r="D1300" t="s">
        <v>167</v>
      </c>
      <c r="E1300" t="s">
        <v>83</v>
      </c>
      <c r="F1300" s="37">
        <v>44587</v>
      </c>
      <c r="G1300">
        <v>10</v>
      </c>
      <c r="H1300" t="s">
        <v>174</v>
      </c>
      <c r="I1300" s="37">
        <v>44664</v>
      </c>
      <c r="J1300" t="s">
        <v>165</v>
      </c>
      <c r="K1300" t="s">
        <v>166</v>
      </c>
      <c r="L1300" t="s">
        <v>175</v>
      </c>
      <c r="M1300" t="s">
        <v>1638</v>
      </c>
      <c r="O1300" t="s">
        <v>1638</v>
      </c>
      <c r="Q1300" t="s">
        <v>1692</v>
      </c>
      <c r="U1300" t="s">
        <v>1697</v>
      </c>
      <c r="W1300" t="s">
        <v>1702</v>
      </c>
      <c r="X1300">
        <v>10</v>
      </c>
      <c r="AA1300" s="43">
        <v>307.5</v>
      </c>
      <c r="AC1300" s="43">
        <v>307.5</v>
      </c>
      <c r="AF1300" s="37">
        <f t="shared" si="43"/>
        <v>44916</v>
      </c>
      <c r="AG1300" s="37">
        <f t="shared" si="44"/>
        <v>46122.611570247936</v>
      </c>
      <c r="AH1300" t="s">
        <v>1705</v>
      </c>
      <c r="AN1300" s="43">
        <v>307.5</v>
      </c>
    </row>
    <row r="1301" spans="2:40">
      <c r="B1301" t="s">
        <v>1639</v>
      </c>
      <c r="C1301" t="s">
        <v>121</v>
      </c>
      <c r="D1301" t="s">
        <v>167</v>
      </c>
      <c r="E1301" t="s">
        <v>83</v>
      </c>
      <c r="F1301" s="37">
        <v>44573</v>
      </c>
      <c r="G1301">
        <v>10</v>
      </c>
      <c r="H1301" t="s">
        <v>174</v>
      </c>
      <c r="I1301" s="37">
        <v>44650</v>
      </c>
      <c r="J1301" t="s">
        <v>165</v>
      </c>
      <c r="K1301" t="s">
        <v>166</v>
      </c>
      <c r="L1301" t="s">
        <v>175</v>
      </c>
      <c r="M1301" t="s">
        <v>1639</v>
      </c>
      <c r="O1301" t="s">
        <v>1639</v>
      </c>
      <c r="Q1301" t="s">
        <v>1676</v>
      </c>
      <c r="U1301" t="s">
        <v>1697</v>
      </c>
      <c r="W1301" t="s">
        <v>1702</v>
      </c>
      <c r="X1301">
        <v>10</v>
      </c>
      <c r="AA1301" s="43">
        <v>307.5</v>
      </c>
      <c r="AC1301" s="43">
        <v>307.5</v>
      </c>
      <c r="AF1301" s="37">
        <f t="shared" si="43"/>
        <v>44902</v>
      </c>
      <c r="AG1301" s="37">
        <f t="shared" si="44"/>
        <v>46108.611570247936</v>
      </c>
      <c r="AH1301" t="s">
        <v>1705</v>
      </c>
      <c r="AN1301" s="43">
        <v>307.5</v>
      </c>
    </row>
    <row r="1302" spans="2:40">
      <c r="B1302" t="s">
        <v>1640</v>
      </c>
      <c r="C1302" t="s">
        <v>121</v>
      </c>
      <c r="D1302" t="s">
        <v>167</v>
      </c>
      <c r="E1302" t="s">
        <v>83</v>
      </c>
      <c r="F1302" s="37">
        <v>44559</v>
      </c>
      <c r="G1302">
        <v>10</v>
      </c>
      <c r="H1302" t="s">
        <v>174</v>
      </c>
      <c r="I1302" s="37">
        <v>44636</v>
      </c>
      <c r="J1302" t="s">
        <v>165</v>
      </c>
      <c r="K1302" t="s">
        <v>166</v>
      </c>
      <c r="L1302" t="s">
        <v>175</v>
      </c>
      <c r="M1302" t="s">
        <v>1640</v>
      </c>
      <c r="O1302" t="s">
        <v>1640</v>
      </c>
      <c r="Q1302" t="s">
        <v>1679</v>
      </c>
      <c r="U1302" t="s">
        <v>1697</v>
      </c>
      <c r="W1302" t="s">
        <v>1702</v>
      </c>
      <c r="X1302">
        <v>10</v>
      </c>
      <c r="AA1302" s="43">
        <v>307.5</v>
      </c>
      <c r="AC1302" s="43">
        <v>307.5</v>
      </c>
      <c r="AF1302" s="37">
        <f t="shared" si="43"/>
        <v>44888</v>
      </c>
      <c r="AG1302" s="37">
        <f t="shared" si="44"/>
        <v>46094.611570247936</v>
      </c>
      <c r="AH1302" t="s">
        <v>1705</v>
      </c>
      <c r="AN1302" s="43">
        <v>307.5</v>
      </c>
    </row>
    <row r="1303" spans="2:40">
      <c r="B1303" t="s">
        <v>1641</v>
      </c>
      <c r="C1303" t="s">
        <v>121</v>
      </c>
      <c r="D1303" t="s">
        <v>167</v>
      </c>
      <c r="E1303" t="s">
        <v>83</v>
      </c>
      <c r="F1303" s="37">
        <v>44531</v>
      </c>
      <c r="G1303">
        <v>10</v>
      </c>
      <c r="H1303" t="s">
        <v>174</v>
      </c>
      <c r="I1303" s="37">
        <v>44608</v>
      </c>
      <c r="J1303" t="s">
        <v>165</v>
      </c>
      <c r="K1303" t="s">
        <v>166</v>
      </c>
      <c r="L1303" t="s">
        <v>175</v>
      </c>
      <c r="M1303" t="s">
        <v>1641</v>
      </c>
      <c r="O1303" t="s">
        <v>1641</v>
      </c>
      <c r="Q1303" t="s">
        <v>1694</v>
      </c>
      <c r="U1303" t="s">
        <v>1697</v>
      </c>
      <c r="W1303" t="s">
        <v>1702</v>
      </c>
      <c r="X1303">
        <v>11</v>
      </c>
      <c r="AA1303" s="43">
        <v>307.5</v>
      </c>
      <c r="AC1303" s="43">
        <v>307.5</v>
      </c>
      <c r="AF1303" s="37">
        <f t="shared" si="43"/>
        <v>44860</v>
      </c>
      <c r="AG1303" s="37">
        <f t="shared" si="44"/>
        <v>46066.611570247936</v>
      </c>
      <c r="AH1303" t="s">
        <v>1705</v>
      </c>
      <c r="AN1303" s="43">
        <v>307.5</v>
      </c>
    </row>
    <row r="1304" spans="2:40">
      <c r="B1304" t="s">
        <v>1642</v>
      </c>
      <c r="C1304" t="s">
        <v>121</v>
      </c>
      <c r="D1304" t="s">
        <v>167</v>
      </c>
      <c r="E1304" t="s">
        <v>83</v>
      </c>
      <c r="F1304" s="37">
        <v>44440</v>
      </c>
      <c r="G1304">
        <v>10</v>
      </c>
      <c r="H1304" t="s">
        <v>174</v>
      </c>
      <c r="I1304" s="37">
        <v>44503</v>
      </c>
      <c r="J1304" t="s">
        <v>165</v>
      </c>
      <c r="K1304" t="s">
        <v>166</v>
      </c>
      <c r="L1304" t="s">
        <v>175</v>
      </c>
      <c r="M1304" t="s">
        <v>1642</v>
      </c>
      <c r="O1304" t="s">
        <v>1642</v>
      </c>
      <c r="Q1304" t="s">
        <v>1695</v>
      </c>
      <c r="U1304" t="s">
        <v>1697</v>
      </c>
      <c r="W1304" t="s">
        <v>1702</v>
      </c>
      <c r="X1304">
        <v>11</v>
      </c>
      <c r="AA1304" s="43">
        <v>307.5</v>
      </c>
      <c r="AC1304" s="43">
        <v>307.5</v>
      </c>
      <c r="AF1304" s="37">
        <f t="shared" si="43"/>
        <v>44769</v>
      </c>
      <c r="AG1304" s="37">
        <f t="shared" si="44"/>
        <v>45975.611570247936</v>
      </c>
      <c r="AH1304" t="s">
        <v>1705</v>
      </c>
      <c r="AN1304" s="43">
        <v>307.5</v>
      </c>
    </row>
    <row r="1305" spans="2:40">
      <c r="B1305" s="41">
        <v>7180</v>
      </c>
      <c r="C1305" t="s">
        <v>124</v>
      </c>
      <c r="E1305" t="s">
        <v>1707</v>
      </c>
      <c r="F1305" s="37">
        <v>45247</v>
      </c>
      <c r="H1305" t="s">
        <v>174</v>
      </c>
      <c r="J1305" t="s">
        <v>165</v>
      </c>
      <c r="L1305" t="s">
        <v>175</v>
      </c>
      <c r="M1305" s="41">
        <v>7180</v>
      </c>
      <c r="O1305" s="41">
        <v>7180</v>
      </c>
      <c r="U1305" t="s">
        <v>124</v>
      </c>
      <c r="W1305" t="s">
        <v>124</v>
      </c>
      <c r="X1305" s="40" t="s">
        <v>1643</v>
      </c>
      <c r="AA1305" s="43">
        <v>307.5</v>
      </c>
      <c r="AC1305" s="43">
        <v>307.5</v>
      </c>
      <c r="AF1305" s="37"/>
      <c r="AG1305" s="37"/>
      <c r="AH1305" t="s">
        <v>1709</v>
      </c>
      <c r="AN1305" s="43">
        <v>307.5</v>
      </c>
    </row>
    <row r="1306" spans="2:40">
      <c r="B1306" s="41">
        <v>1</v>
      </c>
      <c r="C1306" t="s">
        <v>124</v>
      </c>
      <c r="E1306" t="s">
        <v>1707</v>
      </c>
      <c r="F1306" s="37">
        <v>45556</v>
      </c>
      <c r="H1306" t="s">
        <v>174</v>
      </c>
      <c r="J1306" t="s">
        <v>165</v>
      </c>
      <c r="L1306" t="s">
        <v>175</v>
      </c>
      <c r="M1306" s="41">
        <v>1</v>
      </c>
      <c r="O1306" s="41">
        <v>1</v>
      </c>
      <c r="U1306" t="s">
        <v>124</v>
      </c>
      <c r="W1306" t="s">
        <v>124</v>
      </c>
      <c r="X1306" s="40" t="s">
        <v>1643</v>
      </c>
      <c r="AA1306" s="43">
        <v>307.5</v>
      </c>
      <c r="AC1306" s="43">
        <v>307.5</v>
      </c>
      <c r="AF1306" s="37"/>
      <c r="AG1306" s="37"/>
      <c r="AH1306" t="s">
        <v>1709</v>
      </c>
      <c r="AN1306" s="43">
        <v>307.5</v>
      </c>
    </row>
    <row r="1307" spans="2:40">
      <c r="B1307" s="41">
        <v>10</v>
      </c>
      <c r="C1307" t="s">
        <v>124</v>
      </c>
      <c r="E1307" t="s">
        <v>1707</v>
      </c>
      <c r="F1307" s="37">
        <v>45427</v>
      </c>
      <c r="H1307" t="s">
        <v>174</v>
      </c>
      <c r="J1307" t="s">
        <v>165</v>
      </c>
      <c r="L1307" t="s">
        <v>175</v>
      </c>
      <c r="M1307" s="41">
        <v>10</v>
      </c>
      <c r="O1307" s="41">
        <v>10</v>
      </c>
      <c r="U1307" t="s">
        <v>124</v>
      </c>
      <c r="W1307" t="s">
        <v>124</v>
      </c>
      <c r="X1307" s="40" t="s">
        <v>1643</v>
      </c>
      <c r="AA1307" s="43">
        <v>307.5</v>
      </c>
      <c r="AC1307" s="43">
        <v>307.5</v>
      </c>
      <c r="AF1307" s="37"/>
      <c r="AG1307" s="37"/>
      <c r="AH1307" t="s">
        <v>1709</v>
      </c>
      <c r="AN1307" s="43">
        <v>307.5</v>
      </c>
    </row>
    <row r="1308" spans="2:40">
      <c r="B1308" s="41">
        <v>9</v>
      </c>
      <c r="C1308" t="s">
        <v>124</v>
      </c>
      <c r="E1308" t="s">
        <v>1707</v>
      </c>
      <c r="F1308" s="37">
        <v>45057</v>
      </c>
      <c r="H1308" t="s">
        <v>174</v>
      </c>
      <c r="J1308" t="s">
        <v>165</v>
      </c>
      <c r="L1308" t="s">
        <v>175</v>
      </c>
      <c r="M1308" s="41">
        <v>9</v>
      </c>
      <c r="O1308" s="41">
        <v>9</v>
      </c>
      <c r="U1308" t="s">
        <v>124</v>
      </c>
      <c r="W1308" t="s">
        <v>124</v>
      </c>
      <c r="X1308" s="40" t="s">
        <v>1643</v>
      </c>
      <c r="AA1308" s="43">
        <v>307.5</v>
      </c>
      <c r="AC1308" s="43">
        <v>307.5</v>
      </c>
      <c r="AF1308" s="37"/>
      <c r="AG1308" s="37"/>
      <c r="AH1308" t="s">
        <v>1709</v>
      </c>
      <c r="AN1308" s="43">
        <v>307.5</v>
      </c>
    </row>
    <row r="1309" spans="2:40">
      <c r="B1309" s="41">
        <v>12</v>
      </c>
      <c r="C1309" t="s">
        <v>124</v>
      </c>
      <c r="E1309" t="s">
        <v>1707</v>
      </c>
      <c r="F1309" s="37">
        <v>45839</v>
      </c>
      <c r="H1309" t="s">
        <v>174</v>
      </c>
      <c r="J1309" t="s">
        <v>165</v>
      </c>
      <c r="L1309" t="s">
        <v>175</v>
      </c>
      <c r="M1309" s="41">
        <v>12</v>
      </c>
      <c r="O1309" s="41">
        <v>12</v>
      </c>
      <c r="U1309" t="s">
        <v>124</v>
      </c>
      <c r="W1309" t="s">
        <v>124</v>
      </c>
      <c r="X1309" s="40" t="s">
        <v>1643</v>
      </c>
      <c r="AA1309" s="43">
        <v>307.5</v>
      </c>
      <c r="AC1309" s="43">
        <v>307.5</v>
      </c>
      <c r="AF1309" s="37"/>
      <c r="AG1309" s="37"/>
      <c r="AH1309" t="s">
        <v>1709</v>
      </c>
      <c r="AN1309" s="43">
        <v>307.5</v>
      </c>
    </row>
    <row r="1310" spans="2:40">
      <c r="B1310" s="41">
        <v>11</v>
      </c>
      <c r="C1310" t="s">
        <v>124</v>
      </c>
      <c r="E1310" t="s">
        <v>1707</v>
      </c>
      <c r="F1310" s="37">
        <v>44635</v>
      </c>
      <c r="H1310" t="s">
        <v>174</v>
      </c>
      <c r="J1310" t="s">
        <v>165</v>
      </c>
      <c r="L1310" t="s">
        <v>175</v>
      </c>
      <c r="M1310" s="41">
        <v>11</v>
      </c>
      <c r="O1310" s="41">
        <v>11</v>
      </c>
      <c r="U1310" t="s">
        <v>124</v>
      </c>
      <c r="W1310" t="s">
        <v>124</v>
      </c>
      <c r="X1310" s="40" t="s">
        <v>1643</v>
      </c>
      <c r="AA1310" s="43">
        <v>307.5</v>
      </c>
      <c r="AC1310" s="43">
        <v>307.5</v>
      </c>
      <c r="AF1310" s="37"/>
      <c r="AG1310" s="37"/>
      <c r="AH1310" t="s">
        <v>1709</v>
      </c>
      <c r="AN1310" s="43">
        <v>307.5</v>
      </c>
    </row>
    <row r="1311" spans="2:40">
      <c r="B1311" s="41">
        <v>3</v>
      </c>
      <c r="C1311" t="s">
        <v>124</v>
      </c>
      <c r="E1311" t="s">
        <v>1707</v>
      </c>
      <c r="F1311" s="37">
        <v>44338</v>
      </c>
      <c r="H1311" t="s">
        <v>174</v>
      </c>
      <c r="J1311" t="s">
        <v>165</v>
      </c>
      <c r="L1311" t="s">
        <v>175</v>
      </c>
      <c r="M1311" s="41">
        <v>3</v>
      </c>
      <c r="O1311" s="41">
        <v>3</v>
      </c>
      <c r="U1311" t="s">
        <v>124</v>
      </c>
      <c r="W1311" t="s">
        <v>124</v>
      </c>
      <c r="X1311" s="40" t="s">
        <v>1643</v>
      </c>
      <c r="AA1311" s="43">
        <v>307.5</v>
      </c>
      <c r="AC1311" s="43">
        <v>307.5</v>
      </c>
      <c r="AF1311" s="37"/>
      <c r="AG1311" s="37"/>
      <c r="AH1311" t="s">
        <v>1709</v>
      </c>
      <c r="AN1311" s="43">
        <v>307.5</v>
      </c>
    </row>
    <row r="1312" spans="2:40">
      <c r="B1312" s="41">
        <v>13</v>
      </c>
      <c r="C1312" t="s">
        <v>124</v>
      </c>
      <c r="E1312" t="s">
        <v>1707</v>
      </c>
      <c r="F1312" s="37">
        <v>45938</v>
      </c>
      <c r="H1312" t="s">
        <v>174</v>
      </c>
      <c r="J1312" t="s">
        <v>165</v>
      </c>
      <c r="L1312" t="s">
        <v>175</v>
      </c>
      <c r="M1312" s="41">
        <v>13</v>
      </c>
      <c r="O1312" s="41">
        <v>13</v>
      </c>
      <c r="U1312" t="s">
        <v>124</v>
      </c>
      <c r="W1312" t="s">
        <v>124</v>
      </c>
      <c r="X1312" s="40" t="s">
        <v>1643</v>
      </c>
      <c r="AA1312" s="43">
        <v>307.5</v>
      </c>
      <c r="AC1312" s="43">
        <v>307.5</v>
      </c>
      <c r="AF1312" s="37"/>
      <c r="AG1312" s="37"/>
      <c r="AH1312" t="s">
        <v>1709</v>
      </c>
      <c r="AN1312" s="43">
        <v>307.5</v>
      </c>
    </row>
    <row r="1313" spans="2:40">
      <c r="B1313" s="41">
        <v>7</v>
      </c>
      <c r="C1313" t="s">
        <v>124</v>
      </c>
      <c r="E1313" t="s">
        <v>1707</v>
      </c>
      <c r="F1313" s="37">
        <v>44662</v>
      </c>
      <c r="H1313" t="s">
        <v>174</v>
      </c>
      <c r="J1313" t="s">
        <v>165</v>
      </c>
      <c r="L1313" t="s">
        <v>175</v>
      </c>
      <c r="M1313" s="41">
        <v>7</v>
      </c>
      <c r="O1313" s="41">
        <v>7</v>
      </c>
      <c r="U1313" t="s">
        <v>124</v>
      </c>
      <c r="W1313" t="s">
        <v>124</v>
      </c>
      <c r="X1313" s="40" t="s">
        <v>1643</v>
      </c>
      <c r="AA1313" s="43">
        <v>307.5</v>
      </c>
      <c r="AC1313" s="43">
        <v>307.5</v>
      </c>
      <c r="AF1313" s="37"/>
      <c r="AG1313" s="37"/>
      <c r="AH1313" t="s">
        <v>1709</v>
      </c>
      <c r="AN1313" s="43">
        <v>307.5</v>
      </c>
    </row>
    <row r="1314" spans="2:40">
      <c r="B1314" s="41">
        <v>2</v>
      </c>
      <c r="C1314" t="s">
        <v>124</v>
      </c>
      <c r="E1314" t="s">
        <v>1707</v>
      </c>
      <c r="F1314" s="37">
        <v>44728</v>
      </c>
      <c r="H1314" t="s">
        <v>174</v>
      </c>
      <c r="J1314" t="s">
        <v>165</v>
      </c>
      <c r="L1314" t="s">
        <v>175</v>
      </c>
      <c r="M1314" s="41">
        <v>2</v>
      </c>
      <c r="O1314" s="41">
        <v>2</v>
      </c>
      <c r="U1314" t="s">
        <v>124</v>
      </c>
      <c r="W1314" t="s">
        <v>124</v>
      </c>
      <c r="X1314" s="40" t="s">
        <v>1643</v>
      </c>
      <c r="AA1314" s="43">
        <v>307.5</v>
      </c>
      <c r="AC1314" s="43">
        <v>307.5</v>
      </c>
      <c r="AF1314" s="37"/>
      <c r="AG1314" s="37"/>
      <c r="AH1314" t="s">
        <v>1709</v>
      </c>
      <c r="AN1314" s="43">
        <v>307.5</v>
      </c>
    </row>
    <row r="1315" spans="2:40">
      <c r="B1315" s="41">
        <v>4</v>
      </c>
      <c r="C1315" t="s">
        <v>124</v>
      </c>
      <c r="E1315" t="s">
        <v>1707</v>
      </c>
      <c r="F1315" s="40" t="s">
        <v>1708</v>
      </c>
      <c r="H1315" t="s">
        <v>174</v>
      </c>
      <c r="J1315" t="s">
        <v>165</v>
      </c>
      <c r="L1315" t="s">
        <v>175</v>
      </c>
      <c r="M1315" s="41">
        <v>4</v>
      </c>
      <c r="O1315" s="41">
        <v>4</v>
      </c>
      <c r="U1315" t="s">
        <v>124</v>
      </c>
      <c r="W1315" t="s">
        <v>124</v>
      </c>
      <c r="X1315" s="40" t="s">
        <v>1643</v>
      </c>
      <c r="AA1315" s="43">
        <v>307.5</v>
      </c>
      <c r="AC1315" s="43">
        <v>307.5</v>
      </c>
      <c r="AH1315" t="s">
        <v>1709</v>
      </c>
      <c r="AN1315" s="43">
        <v>307.5</v>
      </c>
    </row>
    <row r="1316" spans="2:40">
      <c r="B1316" s="41" t="s">
        <v>1706</v>
      </c>
      <c r="C1316" t="s">
        <v>124</v>
      </c>
      <c r="E1316" t="s">
        <v>1707</v>
      </c>
      <c r="F1316" s="37">
        <v>45389</v>
      </c>
      <c r="H1316" t="s">
        <v>174</v>
      </c>
      <c r="J1316" t="s">
        <v>165</v>
      </c>
      <c r="L1316" t="s">
        <v>175</v>
      </c>
      <c r="M1316" s="41" t="s">
        <v>1706</v>
      </c>
      <c r="O1316" s="41" t="s">
        <v>1706</v>
      </c>
      <c r="U1316" t="s">
        <v>124</v>
      </c>
      <c r="W1316" t="s">
        <v>124</v>
      </c>
      <c r="X1316" s="40" t="s">
        <v>1643</v>
      </c>
      <c r="AA1316" s="43">
        <v>307.5</v>
      </c>
      <c r="AC1316" s="43">
        <v>307.5</v>
      </c>
      <c r="AH1316" t="s">
        <v>1709</v>
      </c>
      <c r="AN1316" s="43">
        <v>307.5</v>
      </c>
    </row>
    <row r="1317" spans="2:40">
      <c r="B1317" s="41">
        <v>8</v>
      </c>
      <c r="C1317" t="s">
        <v>124</v>
      </c>
      <c r="E1317" t="s">
        <v>1707</v>
      </c>
      <c r="F1317" s="37">
        <v>45172</v>
      </c>
      <c r="H1317" t="s">
        <v>174</v>
      </c>
      <c r="J1317" t="s">
        <v>165</v>
      </c>
      <c r="L1317" t="s">
        <v>175</v>
      </c>
      <c r="M1317" s="41">
        <v>8</v>
      </c>
      <c r="O1317" s="41">
        <v>8</v>
      </c>
      <c r="U1317" t="s">
        <v>124</v>
      </c>
      <c r="W1317" t="s">
        <v>124</v>
      </c>
      <c r="X1317" s="40" t="s">
        <v>1643</v>
      </c>
      <c r="AA1317" s="43">
        <v>307.5</v>
      </c>
      <c r="AC1317" s="43">
        <v>307.5</v>
      </c>
      <c r="AH1317" t="s">
        <v>1709</v>
      </c>
      <c r="AN1317" s="43">
        <v>307.5</v>
      </c>
    </row>
    <row r="1318" spans="2:40">
      <c r="B1318" s="41">
        <v>5</v>
      </c>
      <c r="C1318" t="s">
        <v>124</v>
      </c>
      <c r="E1318" t="s">
        <v>1707</v>
      </c>
      <c r="F1318" s="37">
        <v>44861</v>
      </c>
      <c r="H1318" t="s">
        <v>174</v>
      </c>
      <c r="J1318" t="s">
        <v>165</v>
      </c>
      <c r="L1318" t="s">
        <v>175</v>
      </c>
      <c r="M1318" s="41">
        <v>5</v>
      </c>
      <c r="O1318" s="41">
        <v>5</v>
      </c>
      <c r="AA1318" s="43"/>
      <c r="AH1318" t="s">
        <v>1709</v>
      </c>
    </row>
    <row r="1319" spans="2:40">
      <c r="AA1319" s="43"/>
    </row>
    <row r="1320" spans="2:40">
      <c r="AA1320" s="43"/>
    </row>
    <row r="1321" spans="2:40">
      <c r="AA1321" s="43"/>
    </row>
    <row r="1322" spans="2:40">
      <c r="AA1322" s="43"/>
    </row>
    <row r="1323" spans="2:40">
      <c r="AA1323" s="43"/>
    </row>
    <row r="1324" spans="2:40">
      <c r="AA1324" s="43"/>
    </row>
    <row r="1325" spans="2:40">
      <c r="AA1325" s="43"/>
    </row>
    <row r="1326" spans="2:40">
      <c r="AA1326" s="43"/>
    </row>
    <row r="1327" spans="2:40">
      <c r="AA1327" s="43"/>
    </row>
    <row r="1328" spans="2:40">
      <c r="AA1328" s="43"/>
    </row>
    <row r="1329" spans="27:27">
      <c r="AA1329" s="43"/>
    </row>
    <row r="1330" spans="27:27">
      <c r="AA1330" s="43"/>
    </row>
    <row r="1331" spans="27:27">
      <c r="AA1331" s="43"/>
    </row>
    <row r="1332" spans="27:27">
      <c r="AA1332" s="43"/>
    </row>
    <row r="1333" spans="27:27">
      <c r="AA1333" s="43"/>
    </row>
    <row r="1334" spans="27:27">
      <c r="AA1334" s="43"/>
    </row>
    <row r="1335" spans="27:27">
      <c r="AA1335" s="43"/>
    </row>
    <row r="1336" spans="27:27">
      <c r="AA1336" s="43"/>
    </row>
    <row r="1337" spans="27:27">
      <c r="AA1337" s="43"/>
    </row>
    <row r="1338" spans="27:27">
      <c r="AA1338" s="43"/>
    </row>
    <row r="1339" spans="27:27">
      <c r="AA1339" s="43"/>
    </row>
    <row r="1340" spans="27:27">
      <c r="AA1340" s="43"/>
    </row>
    <row r="1341" spans="27:27">
      <c r="AA1341" s="43"/>
    </row>
    <row r="1342" spans="27:27">
      <c r="AA1342" s="43"/>
    </row>
    <row r="1343" spans="27:27">
      <c r="AA1343" s="43"/>
    </row>
    <row r="1344" spans="27:27">
      <c r="AA1344" s="43"/>
    </row>
    <row r="1345" spans="27:27">
      <c r="AA1345" s="43"/>
    </row>
    <row r="1346" spans="27:27">
      <c r="AA1346" s="43"/>
    </row>
    <row r="1347" spans="27:27">
      <c r="AA1347" s="43"/>
    </row>
    <row r="1348" spans="27:27">
      <c r="AA1348" s="43"/>
    </row>
    <row r="1349" spans="27:27">
      <c r="AA1349" s="43"/>
    </row>
    <row r="1350" spans="27:27">
      <c r="AA1350" s="43"/>
    </row>
    <row r="1351" spans="27:27">
      <c r="AA1351" s="43"/>
    </row>
    <row r="1352" spans="27:27">
      <c r="AA1352" s="43"/>
    </row>
    <row r="1353" spans="27:27">
      <c r="AA1353" s="43"/>
    </row>
    <row r="1354" spans="27:27">
      <c r="AA1354" s="43"/>
    </row>
    <row r="1355" spans="27:27">
      <c r="AA1355" s="43"/>
    </row>
    <row r="1356" spans="27:27">
      <c r="AA1356" s="43"/>
    </row>
    <row r="1357" spans="27:27">
      <c r="AA1357" s="43"/>
    </row>
    <row r="1358" spans="27:27">
      <c r="AA1358" s="43"/>
    </row>
    <row r="1359" spans="27:27">
      <c r="AA1359" s="43"/>
    </row>
    <row r="1360" spans="27:27">
      <c r="AA1360" s="43"/>
    </row>
    <row r="1361" spans="27:27">
      <c r="AA1361" s="43"/>
    </row>
    <row r="1362" spans="27:27">
      <c r="AA1362" s="43"/>
    </row>
    <row r="1363" spans="27:27">
      <c r="AA1363" s="43"/>
    </row>
    <row r="1364" spans="27:27">
      <c r="AA1364" s="43"/>
    </row>
    <row r="1365" spans="27:27">
      <c r="AA1365" s="43"/>
    </row>
    <row r="1366" spans="27:27">
      <c r="AA1366" s="43"/>
    </row>
    <row r="1367" spans="27:27">
      <c r="AA1367" s="43"/>
    </row>
    <row r="1368" spans="27:27">
      <c r="AA1368" s="43"/>
    </row>
    <row r="1369" spans="27:27">
      <c r="AA1369" s="43"/>
    </row>
    <row r="1370" spans="27:27">
      <c r="AA1370" s="43"/>
    </row>
    <row r="1371" spans="27:27">
      <c r="AA1371" s="43"/>
    </row>
    <row r="1372" spans="27:27">
      <c r="AA1372" s="43"/>
    </row>
    <row r="1373" spans="27:27">
      <c r="AA1373" s="43"/>
    </row>
    <row r="1374" spans="27:27">
      <c r="AA1374" s="43"/>
    </row>
    <row r="1375" spans="27:27">
      <c r="AA1375" s="43"/>
    </row>
    <row r="1376" spans="27:27">
      <c r="AA1376" s="43"/>
    </row>
    <row r="1377" spans="27:27">
      <c r="AA1377" s="43"/>
    </row>
    <row r="1378" spans="27:27">
      <c r="AA1378" s="43"/>
    </row>
    <row r="1379" spans="27:27">
      <c r="AA1379" s="43"/>
    </row>
    <row r="1380" spans="27:27">
      <c r="AA1380" s="43"/>
    </row>
    <row r="1381" spans="27:27">
      <c r="AA1381" s="43"/>
    </row>
    <row r="1382" spans="27:27">
      <c r="AA1382" s="43"/>
    </row>
    <row r="1383" spans="27:27">
      <c r="AA1383" s="43"/>
    </row>
    <row r="1384" spans="27:27">
      <c r="AA1384" s="43"/>
    </row>
    <row r="1385" spans="27:27">
      <c r="AA1385" s="43"/>
    </row>
    <row r="1386" spans="27:27">
      <c r="AA1386" s="43"/>
    </row>
    <row r="1387" spans="27:27">
      <c r="AA1387" s="43"/>
    </row>
    <row r="1388" spans="27:27">
      <c r="AA1388" s="43"/>
    </row>
    <row r="1389" spans="27:27">
      <c r="AA1389" s="43"/>
    </row>
    <row r="1390" spans="27:27">
      <c r="AA1390" s="43"/>
    </row>
    <row r="1391" spans="27:27">
      <c r="AA1391" s="43"/>
    </row>
    <row r="1392" spans="27:27">
      <c r="AA1392" s="43"/>
    </row>
    <row r="1393" spans="27:27">
      <c r="AA1393" s="43"/>
    </row>
    <row r="1394" spans="27:27">
      <c r="AA1394" s="43"/>
    </row>
    <row r="1395" spans="27:27">
      <c r="AA1395" s="43"/>
    </row>
    <row r="1396" spans="27:27">
      <c r="AA1396" s="43"/>
    </row>
    <row r="1397" spans="27:27">
      <c r="AA1397" s="43"/>
    </row>
    <row r="1398" spans="27:27">
      <c r="AA1398" s="43"/>
    </row>
    <row r="1399" spans="27:27">
      <c r="AA1399" s="43"/>
    </row>
    <row r="1400" spans="27:27">
      <c r="AA1400" s="43"/>
    </row>
    <row r="1401" spans="27:27">
      <c r="AA1401" s="43"/>
    </row>
    <row r="1402" spans="27:27">
      <c r="AA1402" s="43"/>
    </row>
    <row r="1403" spans="27:27">
      <c r="AA1403" s="43"/>
    </row>
    <row r="1404" spans="27:27">
      <c r="AA1404" s="43"/>
    </row>
    <row r="1405" spans="27:27">
      <c r="AA1405" s="43"/>
    </row>
    <row r="1406" spans="27:27">
      <c r="AA1406" s="43"/>
    </row>
    <row r="1407" spans="27:27">
      <c r="AA1407" s="43"/>
    </row>
    <row r="1408" spans="27:27">
      <c r="AA1408" s="43"/>
    </row>
    <row r="1409" spans="27:27">
      <c r="AA1409" s="43"/>
    </row>
    <row r="1410" spans="27:27">
      <c r="AA1410" s="43"/>
    </row>
    <row r="1411" spans="27:27">
      <c r="AA1411" s="43"/>
    </row>
    <row r="1412" spans="27:27">
      <c r="AA1412" s="43"/>
    </row>
    <row r="1413" spans="27:27">
      <c r="AA1413" s="43"/>
    </row>
    <row r="1414" spans="27:27">
      <c r="AA1414" s="43"/>
    </row>
    <row r="1415" spans="27:27">
      <c r="AA1415" s="43"/>
    </row>
    <row r="1416" spans="27:27">
      <c r="AA1416" s="43"/>
    </row>
    <row r="1417" spans="27:27">
      <c r="AA1417" s="43"/>
    </row>
    <row r="1418" spans="27:27">
      <c r="AA1418" s="43"/>
    </row>
    <row r="1419" spans="27:27">
      <c r="AA1419" s="43"/>
    </row>
    <row r="1420" spans="27:27">
      <c r="AA1420" s="43"/>
    </row>
    <row r="1421" spans="27:27">
      <c r="AA1421" s="43"/>
    </row>
    <row r="1422" spans="27:27">
      <c r="AA1422" s="43"/>
    </row>
    <row r="1423" spans="27:27">
      <c r="AA1423" s="43"/>
    </row>
    <row r="1424" spans="27:27">
      <c r="AA1424" s="43"/>
    </row>
    <row r="1425" spans="27:27">
      <c r="AA1425" s="43"/>
    </row>
    <row r="1426" spans="27:27">
      <c r="AA1426" s="43"/>
    </row>
    <row r="1427" spans="27:27">
      <c r="AA1427" s="43"/>
    </row>
    <row r="1428" spans="27:27">
      <c r="AA1428" s="43"/>
    </row>
    <row r="1429" spans="27:27">
      <c r="AA1429" s="43"/>
    </row>
    <row r="1430" spans="27:27">
      <c r="AA1430" s="43"/>
    </row>
    <row r="1431" spans="27:27">
      <c r="AA1431" s="43"/>
    </row>
    <row r="1432" spans="27:27">
      <c r="AA1432" s="43"/>
    </row>
    <row r="1433" spans="27:27">
      <c r="AA1433" s="43"/>
    </row>
    <row r="1434" spans="27:27">
      <c r="AA1434" s="43"/>
    </row>
    <row r="1435" spans="27:27">
      <c r="AA1435" s="43"/>
    </row>
    <row r="1436" spans="27:27">
      <c r="AA1436" s="43"/>
    </row>
    <row r="1437" spans="27:27">
      <c r="AA1437" s="43"/>
    </row>
  </sheetData>
  <autoFilter ref="H1:H1318" xr:uid="{B5735479-A5D4-463D-B2AE-AE73BF9BE1C7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4334-DDBC-4757-B076-3BE8B36A894A}">
  <dimension ref="A1:Q9"/>
  <sheetViews>
    <sheetView topLeftCell="F1" zoomScale="78" workbookViewId="0">
      <selection activeCell="B9" sqref="B9"/>
    </sheetView>
  </sheetViews>
  <sheetFormatPr defaultColWidth="28.796875" defaultRowHeight="13.8"/>
  <cols>
    <col min="1" max="2" width="13" customWidth="1"/>
    <col min="3" max="3" width="28.296875" bestFit="1" customWidth="1"/>
    <col min="4" max="4" width="28.69921875" bestFit="1" customWidth="1"/>
    <col min="5" max="5" width="21.09765625" bestFit="1" customWidth="1"/>
    <col min="6" max="6" width="28.09765625" bestFit="1" customWidth="1"/>
    <col min="7" max="7" width="26.09765625" bestFit="1" customWidth="1"/>
    <col min="8" max="8" width="27.296875" bestFit="1" customWidth="1"/>
    <col min="9" max="9" width="26.19921875" bestFit="1" customWidth="1"/>
    <col min="10" max="10" width="28.19921875" bestFit="1" customWidth="1"/>
    <col min="11" max="11" width="28.296875" bestFit="1" customWidth="1"/>
    <col min="12" max="12" width="26.19921875" bestFit="1" customWidth="1"/>
    <col min="13" max="13" width="23.09765625" bestFit="1" customWidth="1"/>
    <col min="14" max="14" width="28.296875" bestFit="1" customWidth="1"/>
    <col min="15" max="15" width="27.796875" bestFit="1" customWidth="1"/>
    <col min="16" max="16" width="21.19921875" bestFit="1" customWidth="1"/>
  </cols>
  <sheetData>
    <row r="1" spans="1:17">
      <c r="A1" s="42" t="s">
        <v>120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17">
      <c r="A2" s="25" t="s">
        <v>0</v>
      </c>
      <c r="B2" s="25" t="s">
        <v>163</v>
      </c>
      <c r="C2" s="21" t="s">
        <v>121</v>
      </c>
      <c r="D2" s="21" t="s">
        <v>122</v>
      </c>
      <c r="E2" s="22" t="s">
        <v>123</v>
      </c>
      <c r="F2" s="21" t="s">
        <v>124</v>
      </c>
      <c r="G2" s="21" t="s">
        <v>125</v>
      </c>
      <c r="H2" s="23" t="s">
        <v>126</v>
      </c>
      <c r="I2" s="22" t="s">
        <v>127</v>
      </c>
      <c r="J2" s="23" t="s">
        <v>128</v>
      </c>
      <c r="K2" s="24" t="s">
        <v>129</v>
      </c>
      <c r="L2" s="23" t="s">
        <v>130</v>
      </c>
      <c r="M2" s="22" t="s">
        <v>131</v>
      </c>
      <c r="N2" s="23" t="s">
        <v>132</v>
      </c>
      <c r="O2" s="22" t="s">
        <v>133</v>
      </c>
      <c r="P2" s="24" t="s">
        <v>134</v>
      </c>
    </row>
    <row r="3" spans="1:17" ht="51.75" customHeight="1">
      <c r="A3" s="25" t="s">
        <v>40</v>
      </c>
      <c r="B3" s="25" t="s">
        <v>163</v>
      </c>
      <c r="C3" s="11" t="s">
        <v>135</v>
      </c>
      <c r="D3" s="11" t="s">
        <v>136</v>
      </c>
      <c r="E3" s="12" t="s">
        <v>137</v>
      </c>
      <c r="F3" s="11" t="s">
        <v>138</v>
      </c>
      <c r="G3" s="11" t="s">
        <v>139</v>
      </c>
      <c r="H3" s="8" t="s">
        <v>140</v>
      </c>
      <c r="I3" s="12" t="s">
        <v>141</v>
      </c>
      <c r="J3" s="8" t="s">
        <v>142</v>
      </c>
      <c r="K3" s="9" t="s">
        <v>143</v>
      </c>
      <c r="L3" s="8" t="s">
        <v>144</v>
      </c>
      <c r="M3" s="12" t="s">
        <v>145</v>
      </c>
      <c r="N3" s="8" t="s">
        <v>146</v>
      </c>
      <c r="O3" s="12" t="s">
        <v>147</v>
      </c>
      <c r="P3" s="9" t="s">
        <v>148</v>
      </c>
    </row>
    <row r="4" spans="1:17">
      <c r="A4" s="25" t="s">
        <v>79</v>
      </c>
      <c r="B4" s="25"/>
      <c r="C4" s="11" t="s">
        <v>149</v>
      </c>
      <c r="D4" s="11" t="s">
        <v>150</v>
      </c>
      <c r="E4" s="12" t="s">
        <v>151</v>
      </c>
      <c r="F4" s="11" t="s">
        <v>152</v>
      </c>
      <c r="G4" s="11" t="s">
        <v>153</v>
      </c>
      <c r="H4" s="8" t="s">
        <v>154</v>
      </c>
      <c r="I4" s="12" t="s">
        <v>155</v>
      </c>
      <c r="J4" s="8" t="s">
        <v>156</v>
      </c>
      <c r="K4" s="9" t="s">
        <v>157</v>
      </c>
      <c r="L4" s="8" t="s">
        <v>158</v>
      </c>
      <c r="M4" s="12" t="s">
        <v>159</v>
      </c>
      <c r="N4" s="8" t="s">
        <v>160</v>
      </c>
      <c r="O4" s="12" t="s">
        <v>161</v>
      </c>
      <c r="P4" s="9" t="s">
        <v>85</v>
      </c>
    </row>
    <row r="5" spans="1:17">
      <c r="A5" s="25" t="s">
        <v>114</v>
      </c>
      <c r="B5" s="25" t="s">
        <v>115</v>
      </c>
      <c r="C5" s="5" t="s">
        <v>115</v>
      </c>
      <c r="D5" s="5" t="s">
        <v>115</v>
      </c>
      <c r="E5" s="7" t="s">
        <v>115</v>
      </c>
      <c r="F5" s="11" t="s">
        <v>117</v>
      </c>
      <c r="G5" s="11" t="s">
        <v>117</v>
      </c>
      <c r="H5" s="8" t="s">
        <v>117</v>
      </c>
      <c r="I5" s="7" t="s">
        <v>115</v>
      </c>
      <c r="J5" s="8" t="s">
        <v>116</v>
      </c>
      <c r="K5" s="6" t="s">
        <v>115</v>
      </c>
      <c r="L5" s="8" t="s">
        <v>115</v>
      </c>
      <c r="M5" s="12" t="s">
        <v>115</v>
      </c>
      <c r="N5" s="8" t="s">
        <v>116</v>
      </c>
      <c r="O5" s="12" t="s">
        <v>116</v>
      </c>
      <c r="P5" s="6" t="s">
        <v>115</v>
      </c>
    </row>
    <row r="7" spans="1:17">
      <c r="B7" t="s">
        <v>162</v>
      </c>
      <c r="C7" t="s">
        <v>121</v>
      </c>
      <c r="E7" t="s">
        <v>151</v>
      </c>
      <c r="G7" s="33" t="s">
        <v>164</v>
      </c>
      <c r="H7">
        <v>2</v>
      </c>
      <c r="I7" s="34">
        <v>46219</v>
      </c>
      <c r="J7" s="35">
        <f>+I7+1</f>
        <v>46220</v>
      </c>
      <c r="K7" s="34">
        <f>+I7+116</f>
        <v>46335</v>
      </c>
      <c r="L7" s="34">
        <f>+I7+28</f>
        <v>46247</v>
      </c>
      <c r="M7" s="36" t="s">
        <v>171</v>
      </c>
      <c r="N7" t="b">
        <v>1</v>
      </c>
      <c r="O7" s="36" t="s">
        <v>172</v>
      </c>
      <c r="P7">
        <v>4</v>
      </c>
    </row>
    <row r="9" spans="1:17">
      <c r="B9" t="e">
        <f>+'Animal Register'!#REF!</f>
        <v>#REF!</v>
      </c>
      <c r="C9" t="s">
        <v>173</v>
      </c>
      <c r="E9" t="s">
        <v>151</v>
      </c>
      <c r="G9" s="33" t="s">
        <v>176</v>
      </c>
      <c r="H9">
        <v>1</v>
      </c>
      <c r="I9" s="34" t="e">
        <f>+'Animal Register'!#REF!+(31*7)</f>
        <v>#REF!</v>
      </c>
      <c r="J9" t="s">
        <v>165</v>
      </c>
      <c r="K9" s="34" t="e">
        <f>+I9+116</f>
        <v>#REF!</v>
      </c>
      <c r="L9" s="34" t="e">
        <f>+I9+28</f>
        <v>#REF!</v>
      </c>
      <c r="M9" s="36" t="s">
        <v>171</v>
      </c>
      <c r="P9">
        <v>0</v>
      </c>
    </row>
  </sheetData>
  <mergeCells count="1">
    <mergeCell ref="A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4D28C192-8F9F-4BF7-8576-6FC152F505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1CE624-0CAE-44FF-97AE-0BE2296CAA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2D1635-5729-4393-A801-C1E15CF6DA4C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7146d502-05f5-4fb7-b414-24f33b760985"/>
    <ds:schemaRef ds:uri="http://purl.org/dc/term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Animal Register</vt:lpstr>
      <vt:lpstr> Breeding Record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Tapiwanashe Zimunhu</cp:lastModifiedBy>
  <cp:revision/>
  <dcterms:created xsi:type="dcterms:W3CDTF">2026-08-17T18:24:52Z</dcterms:created>
  <dcterms:modified xsi:type="dcterms:W3CDTF">2026-09-07T06:43:31Z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