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theme/themeOverride2.xml" ContentType="application/vnd.openxmlformats-officedocument.themeOverrid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threadedComments/threadedComment1.xml" ContentType="application/vnd.ms-excel.threadedcomments+xml"/>
  <Override PartName="/xl/threadedComments/threadedComment2.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riplecpigs-my.sharepoint.com/personal/johan_grasmere_co_zw/Documents/Desktop/Navfarm/Breedmaster/"/>
    </mc:Choice>
  </mc:AlternateContent>
  <xr:revisionPtr revIDLastSave="0" documentId="8_{D361A49F-F111-4707-8869-E49D2225458B}" xr6:coauthVersionLast="47" xr6:coauthVersionMax="47" xr10:uidLastSave="{00000000-0000-0000-0000-000000000000}"/>
  <bookViews>
    <workbookView xWindow="-120" yWindow="-120" windowWidth="20730" windowHeight="11040" firstSheet="2" activeTab="3" xr2:uid="{678DADAA-00E9-4014-870D-CE60DDB369F4}"/>
  </bookViews>
  <sheets>
    <sheet name="Breed Master " sheetId="2" r:id="rId1"/>
    <sheet name="Breed L-cycle stages gilts" sheetId="1" r:id="rId2"/>
    <sheet name="Breed lifecycle stages - reprod" sheetId="3" r:id="rId3"/>
    <sheet name="Breeder L-cycle stages -WeanGro" sheetId="4" r:id="rId4"/>
    <sheet name="Sample 10, 16 &amp; 27 wk variation" sheetId="6" r:id="rId5"/>
    <sheet name="GILT FEED SCHEDULE" sheetId="7" r:id="rId6"/>
    <sheet name="SOW FEED SCHEDULE" sheetId="8" r:id="rId7"/>
    <sheet name=" " sheetId="5" r:id="rId8"/>
  </sheets>
  <externalReferences>
    <externalReference r:id="rId9"/>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7" i="1" l="1"/>
  <c r="X8" i="1"/>
  <c r="X9" i="1"/>
  <c r="X10" i="1"/>
  <c r="X11" i="1"/>
  <c r="X6" i="1"/>
  <c r="AF7" i="2" l="1"/>
  <c r="AE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8BB344E2-F5F4-4548-A483-1F64CD43C9B4}">
      <text>
        <r>
          <rPr>
            <b/>
            <sz val="9"/>
            <color indexed="81"/>
            <rFont val="Tahoma"/>
            <family val="2"/>
          </rPr>
          <t>user:</t>
        </r>
        <r>
          <rPr>
            <sz val="9"/>
            <color indexed="81"/>
            <rFont val="Tahoma"/>
            <family val="2"/>
          </rPr>
          <t xml:space="preserve">
Measurement field TBD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tc={AD437AE7-6A5A-4977-A8DF-3A06590AE3D1}</author>
    <author>tc={0ACDBAFA-6A08-457C-8CD0-23EED281C120}</author>
    <author>tc={581456E6-D3F3-4786-887F-EBD01245E15F}</author>
    <author>tc={403A9A34-1857-4990-898B-EE97E0B5A20E}</author>
    <author>tc={F9E4606B-A9A1-4E38-BBF7-47A708289678}</author>
    <author>tc={1256FE6A-A21B-43E1-8409-3BA57A9BEC32}</author>
    <author>tc={A1F0B283-AD6B-49CF-8AF8-87D16A734B25}</author>
    <author>tc={E292B7B3-A18F-400D-9815-51542997835A}</author>
    <author>tc={E1787C9D-ED67-4E8D-ACE2-785AA63EF16A}</author>
  </authors>
  <commentList>
    <comment ref="Y4" authorId="0" shapeId="0" xr:uid="{AD437AE7-6A5A-4977-A8DF-3A06590AE3D1}">
      <text>
        <t>[Threaded comment]
Your version of Excel allows you to read this threaded comment; however, any edits to it will get removed if the file is opened in a newer version of Excel. Learn more: https://go.microsoft.com/fwlink/?linkid=870924
Comment:
    In gilt rearing FCE alerts are not relevant - although we would like to track it
Reply:
    Consider cumulative per month and then monthly summaries per the entire gilt rearing phase</t>
      </text>
    </comment>
    <comment ref="Z4" authorId="1" shapeId="0" xr:uid="{0ACDBAFA-6A08-457C-8CD0-23EED281C120}">
      <text>
        <t>[Threaded comment]
Your version of Excel allows you to read this threaded comment; however, any edits to it will get removed if the file is opened in a newer version of Excel. Learn more: https://go.microsoft.com/fwlink/?linkid=870924
Comment:
    Any gilt mortality should be alerted - no % for this stage as data set too small to run reasonable %’s however we need to take note of any mortality and the reasons in this stage</t>
      </text>
    </comment>
    <comment ref="AB4" authorId="2" shapeId="0" xr:uid="{581456E6-D3F3-4786-887F-EBD01245E15F}">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J4" authorId="3" shapeId="0" xr:uid="{403A9A34-1857-4990-898B-EE97E0B5A20E}">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AP4" authorId="4" shapeId="0" xr:uid="{F9E4606B-A9A1-4E38-BBF7-47A708289678}">
      <text>
        <t>[Threaded comment]
Your version of Excel allows you to read this threaded comment; however, any edits to it will get removed if the file is opened in a newer version of Excel. Learn more: https://go.microsoft.com/fwlink/?linkid=870924
Comment:
    Comments, notes and instructions change - So make this a section that is editable by farm manager and GM</t>
      </text>
    </comment>
    <comment ref="AB6" authorId="5" shapeId="0" xr:uid="{1256FE6A-A21B-43E1-8409-3BA57A9BEC32}">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A29" authorId="6" shapeId="0" xr:uid="{A1F0B283-AD6B-49CF-8AF8-87D16A734B25}">
      <text>
        <t xml:space="preserve">[Threaded comment]
Your version of Excel allows you to read this threaded comment; however, any edits to it will get removed if the file is opened in a newer version of Excel. Learn more: https://go.microsoft.com/fwlink/?linkid=870924
Comment:
    We need an alert to send gilt to the service line. Considerations based on her 24 to 27 week ADG, that she will be minimum in the service line for 10 days, that she will be minimum 30 weeks old and minimum entry service weight based on target range </t>
      </text>
    </comment>
    <comment ref="AD29" authorId="7" shapeId="0" xr:uid="{E292B7B3-A18F-400D-9815-51542997835A}">
      <text>
        <t>[Threaded comment]
Your version of Excel allows you to read this threaded comment; however, any edits to it will get removed if the file is opened in a newer version of Excel. Learn more: https://go.microsoft.com/fwlink/?linkid=870924
Comment:
    Add the range</t>
      </text>
    </comment>
    <comment ref="AC36" authorId="8" shapeId="0" xr:uid="{E1787C9D-ED67-4E8D-ACE2-785AA63EF16A}">
      <text>
        <t>[Threaded comment]
Your version of Excel allows you to read this threaded comment; however, any edits to it will get removed if the file is opened in a newer version of Excel. Learn more: https://go.microsoft.com/fwlink/?linkid=870924
Comment:
    Gilt service target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tc={D7A2DEC0-AB45-4091-9832-DC26EE65D87C}</author>
    <author>tc={673077D9-341B-46D4-AB50-F57AAE15AFBE}</author>
    <author>tc={285C5AD8-92E1-4C4D-B1FB-B3011EF9B9C3}</author>
    <author>tc={1B8D76B9-23E1-40B8-93AA-5736B9BA1A4F}</author>
    <author>tc={F505A4CE-AB65-4583-AEE4-3D10D87385DB}</author>
    <author>tc={61C3CCD6-2903-4771-B8ED-8444286B588F}</author>
    <author>tc={1DEDD61F-496E-437C-AABF-B3AEEED8F9C3}</author>
    <author>tc={AA3A4D31-FC25-487C-9A8E-B66D20EA0E8D}</author>
    <author>tc={297A1AC3-A371-4D78-8B3B-327F87640DAB}</author>
    <author>tc={34507108-A8FD-4CFC-B694-5728872E2AA7}</author>
    <author>tc={EE6FF09B-E582-4372-9ED1-71EAED1C8140}</author>
    <author>tc={AD01ABD4-4D11-4755-9847-98F031DCA75D}</author>
    <author>tc={15508949-68E3-4BB2-8EFB-81F9698E9BC3}</author>
    <author>tc={AE0BBDA6-2D00-4655-8A80-54FC75AB7BE2}</author>
    <author>tc={8E940FC8-BF55-4A09-AABF-74A12039C407}</author>
    <author>tc={3C6A3446-FFFD-4A1D-9FEA-04A6E972F506}</author>
    <author>tc={198DD59D-0E44-43D6-937E-74A80104EBAB}</author>
  </authors>
  <commentList>
    <comment ref="X26" authorId="0" shapeId="0" xr:uid="{D7A2DEC0-AB45-4091-9832-DC26EE65D87C}">
      <text>
        <t xml:space="preserve">[Threaded comment]
Your version of Excel allows you to read this threaded comment; however, any edits to it will get removed if the file is opened in a newer version of Excel. Learn more: https://go.microsoft.com/fwlink/?linkid=870924
Comment:
    We need to see the individual animal weight loss variation </t>
      </text>
    </comment>
    <comment ref="AI26" authorId="1" shapeId="0" xr:uid="{673077D9-341B-46D4-AB50-F57AAE15AFBE}">
      <text>
        <t xml:space="preserve">[Threaded comment]
Your version of Excel allows you to read this threaded comment; however, any edits to it will get removed if the file is opened in a newer version of Excel. Learn more: https://go.microsoft.com/fwlink/?linkid=870924
Comment:
    Gilts should have piglets fostered on to always wean as many piglets as there are teats, even if the BA is lower than the teat #
</t>
      </text>
    </comment>
    <comment ref="Q32" authorId="2" shapeId="0" xr:uid="{285C5AD8-92E1-4C4D-B1FB-B3011EF9B9C3}">
      <text>
        <t>[Threaded comment]
Your version of Excel allows you to read this threaded comment; however, any edits to it will get removed if the file is opened in a newer version of Excel. Learn more: https://go.microsoft.com/fwlink/?linkid=870924
Comment:
    SEE FEED IN GESTATION SHEET</t>
      </text>
    </comment>
    <comment ref="U32" authorId="3" shapeId="0" xr:uid="{1B8D76B9-23E1-40B8-93AA-5736B9BA1A4F}">
      <text>
        <t xml:space="preserve">[Threaded comment]
Your version of Excel allows you to read this threaded comment; however, any edits to it will get removed if the file is opened in a newer version of Excel. Learn more: https://go.microsoft.com/fwlink/?linkid=870924
Comment:
    Gain for the phase more important than ADG </t>
      </text>
    </comment>
    <comment ref="Z32" authorId="4" shapeId="0" xr:uid="{F505A4CE-AB65-4583-AEE4-3D10D87385DB}">
      <text>
        <t>[Threaded comment]
Your version of Excel allows you to read this threaded comment; however, any edits to it will get removed if the file is opened in a newer version of Excel. Learn more: https://go.microsoft.com/fwlink/?linkid=870924
Comment:
    Need alert if 2nd parity farrow rate drops below 90%</t>
      </text>
    </comment>
    <comment ref="AL32" authorId="5" shapeId="0" xr:uid="{61C3CCD6-2903-4771-B8ED-8444286B588F}">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49" authorId="6" shapeId="0" xr:uid="{1DEDD61F-496E-437C-AABF-B3AEEED8F9C3}">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49" authorId="7" shapeId="0" xr:uid="{AA3A4D31-FC25-487C-9A8E-B66D20EA0E8D}">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N49" authorId="8" shapeId="0" xr:uid="{297A1AC3-A371-4D78-8B3B-327F87640DAB}">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49" authorId="9" shapeId="0" xr:uid="{34507108-A8FD-4CFC-B694-5728872E2AA7}">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H60" authorId="10" shapeId="0" xr:uid="{EE6FF09B-E582-4372-9ED1-71EAED1C8140}">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
Reply:
    We need a cull indicator on 3rd parity plus</t>
      </text>
    </comment>
    <comment ref="Q64" authorId="11" shapeId="0" xr:uid="{AD01ABD4-4D11-4755-9847-98F031DCA75D}">
      <text>
        <t>[Threaded comment]
Your version of Excel allows you to read this threaded comment; however, any edits to it will get removed if the file is opened in a newer version of Excel. Learn more: https://go.microsoft.com/fwlink/?linkid=870924
Comment:
    SEE FEED IN GESTATION SHEET</t>
      </text>
    </comment>
    <comment ref="AL64" authorId="12" shapeId="0" xr:uid="{15508949-68E3-4BB2-8EFB-81F9698E9BC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81" authorId="13" shapeId="0" xr:uid="{AE0BBDA6-2D00-4655-8A80-54FC75AB7BE2}">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81" authorId="14" shapeId="0" xr:uid="{8E940FC8-BF55-4A09-AABF-74A12039C407}">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N81" authorId="15" shapeId="0" xr:uid="{3C6A3446-FFFD-4A1D-9FEA-04A6E972F506}">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81" authorId="16" shapeId="0" xr:uid="{198DD59D-0E44-43D6-937E-74A80104EBAB}">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List>
</comments>
</file>

<file path=xl/sharedStrings.xml><?xml version="1.0" encoding="utf-8"?>
<sst xmlns="http://schemas.openxmlformats.org/spreadsheetml/2006/main" count="4381" uniqueCount="572">
  <si>
    <t>Field Name</t>
  </si>
  <si>
    <t>Lifecycle ID</t>
  </si>
  <si>
    <t>Breed</t>
  </si>
  <si>
    <t>CATEGORY</t>
  </si>
  <si>
    <t>Stage Name</t>
  </si>
  <si>
    <t>Calculation Unit</t>
  </si>
  <si>
    <t>Period From</t>
  </si>
  <si>
    <t>Period To</t>
  </si>
  <si>
    <t>location</t>
  </si>
  <si>
    <t>Sub location</t>
  </si>
  <si>
    <t>sub sub location</t>
  </si>
  <si>
    <t>feed bulk /bagged</t>
  </si>
  <si>
    <t>feed silo to draw from</t>
  </si>
  <si>
    <t>GILTS SELECTION CRITERIA</t>
  </si>
  <si>
    <t>Feed Item</t>
  </si>
  <si>
    <t>Feed Qty Per Head Per Day KG</t>
  </si>
  <si>
    <t>Std Body Weight KG</t>
  </si>
  <si>
    <t>Std ADG grams per day</t>
  </si>
  <si>
    <t>Std FCR</t>
  </si>
  <si>
    <t>Std Mortality Rate Pct</t>
  </si>
  <si>
    <t>Output Item</t>
  </si>
  <si>
    <t>Output UOM</t>
  </si>
  <si>
    <t>Std Output Qty</t>
  </si>
  <si>
    <t>ADG of slow growers</t>
  </si>
  <si>
    <t>Animal served under age range</t>
  </si>
  <si>
    <t>Medication Protocol</t>
  </si>
  <si>
    <t>Vaccination Protocol</t>
  </si>
  <si>
    <t>Resource Requirements</t>
  </si>
  <si>
    <t>KPI Lower Limit</t>
  </si>
  <si>
    <t>KPI Upper Limit</t>
  </si>
  <si>
    <t>Alert Severity</t>
  </si>
  <si>
    <t>Stage Notes</t>
  </si>
  <si>
    <t>Blocked</t>
  </si>
  <si>
    <t>Created At</t>
  </si>
  <si>
    <t>Description</t>
  </si>
  <si>
    <t>Primary key.</t>
  </si>
  <si>
    <t>Which breed this standard is for.</t>
  </si>
  <si>
    <t>Which batch stage. Must match production_batches.stage values.</t>
  </si>
  <si>
    <t>Unit for from/to range. Determines how scheduler parameters are generated.</t>
  </si>
  <si>
    <t>Start of this standard range in calc_unit.</t>
  </si>
  <si>
    <t>End of this standard range.</t>
  </si>
  <si>
    <t>Teats</t>
  </si>
  <si>
    <t>Birth Weight</t>
  </si>
  <si>
    <t>Wean weight</t>
  </si>
  <si>
    <t>DAM TSI</t>
  </si>
  <si>
    <t>Body Conformation</t>
  </si>
  <si>
    <t>Standard feed item for this stage and week range. Lookup from item_master category = FEED.</t>
  </si>
  <si>
    <t>Standard feed quantity per animal per day. Scheduler CONSUMPTION parameter standard_qty = this times batch.current_count.</t>
  </si>
  <si>
    <t>Expected average body weight at start of this week range. KPI target.</t>
  </si>
  <si>
    <t>Expected average body weight at end of this week range. KPI target.</t>
  </si>
  <si>
    <t>Standard Average Daily Gain. Alert if actual ADG falls below this.</t>
  </si>
  <si>
    <t>Standard Feed Conversion Ratio. Alert if actual FCR exceeds this.</t>
  </si>
  <si>
    <t>Acceptable mortality percentage for this stage per week.</t>
  </si>
  <si>
    <t>Expected output item at this stage. Used in output forecast.</t>
  </si>
  <si>
    <t>UOM for output quantity.</t>
  </si>
  <si>
    <t>Expected output per animal or sow at end of stage.</t>
  </si>
  <si>
    <t>Standard medication schedule for this stage. Auto-populates CONSUMPTION params on batch create.</t>
  </si>
  <si>
    <t>Standard vaccination schedule for this stage.</t>
  </si>
  <si>
    <t>Labour standard for this stage. Used in resource planning.</t>
  </si>
  <si>
    <t>Alert if actual KPI falls below this.</t>
  </si>
  <si>
    <t>Alert if actual KPI exceeds this.</t>
  </si>
  <si>
    <t>INFO / WARNING / CRITICAL</t>
  </si>
  <si>
    <t>Instructions for farm staff. Shown as tooltip on data entry screen.</t>
  </si>
  <si>
    <t>Example Value</t>
  </si>
  <si>
    <t>uuid-lc-001</t>
  </si>
  <si>
    <t>uuid-breed-01</t>
  </si>
  <si>
    <t>QUARANTINE / GILT_GROWER / FLUSH / GESTATION / FARROWING / WEANING / BOAR_AI / CB_GROWER / SLAUGHTER</t>
  </si>
  <si>
    <t>DAY / WEEK / MONTH</t>
  </si>
  <si>
    <t>1 = very poor, 5 = Excellent. Target is 5</t>
  </si>
  <si>
    <t>uuid-item-gest-feed</t>
  </si>
  <si>
    <t>2.5000</t>
  </si>
  <si>
    <t>45.000</t>
  </si>
  <si>
    <t>800.00</t>
  </si>
  <si>
    <t>2.400</t>
  </si>
  <si>
    <t>0.500</t>
  </si>
  <si>
    <t>uuid-item-piglet / uuid-item-semen-dose</t>
  </si>
  <si>
    <t>HEAD / DOSE / KG</t>
  </si>
  <si>
    <t>11.500 piglets per litter / 4.000 doses per week</t>
  </si>
  <si>
    <t>ADG per day</t>
  </si>
  <si>
    <t>recorded gilt heats</t>
  </si>
  <si>
    <t>recorded heats axtual dates</t>
  </si>
  <si>
    <t>[{"item_id":"...","dose_ml":5,"freq":"ONCE","age_day":7,"route":"IM"}]</t>
  </si>
  <si>
    <t>[{"item_id":"...","dose_ml":2,"freq":"ONCE","age_day":21,"route":"IM"}]</t>
  </si>
  <si>
    <t>[{"resource_type":"FARM_HAND","hrs_per_100_animals":8}]</t>
  </si>
  <si>
    <t>NULL</t>
  </si>
  <si>
    <t>2.800 for FCR</t>
  </si>
  <si>
    <t>CRITICAL</t>
  </si>
  <si>
    <t>Ensure BCS 3.0-3.5 throughout gestation.</t>
  </si>
  <si>
    <t>2025-01-15</t>
  </si>
  <si>
    <t>gilt rearing 4 - 10 weeks</t>
  </si>
  <si>
    <t>weeks</t>
  </si>
  <si>
    <t>4 weeks</t>
  </si>
  <si>
    <t>10 weeks</t>
  </si>
  <si>
    <t>bagged</t>
  </si>
  <si>
    <t>N/A</t>
  </si>
  <si>
    <t>4wks(8 days) - Creep2, 6wks (14 days) - creep 3, 8 to 10wks (17 days) - Wean 1</t>
  </si>
  <si>
    <t>Creep 2 - 0.48, Creep 3 - 0.94, Wean 1 - 1.1</t>
  </si>
  <si>
    <t>7.2 (range 7.2 to 7.5)</t>
  </si>
  <si>
    <t>28 (range 27 to 29)</t>
  </si>
  <si>
    <t>0.547 (alert - below 0.490)</t>
  </si>
  <si>
    <t>10 week old gilts</t>
  </si>
  <si>
    <t>NOP within weight range @ 10 weeks</t>
  </si>
  <si>
    <t>NOP below target weight</t>
  </si>
  <si>
    <t>ADG of pigs below target weight between 4 - 10 weeks</t>
  </si>
  <si>
    <t>Drop down with available drugs and dosage against weight</t>
  </si>
  <si>
    <t xml:space="preserve"> 10 weeks</t>
  </si>
  <si>
    <t>11 week old gilts</t>
  </si>
  <si>
    <t>ADG of pigs below target weight between 11 weeks</t>
  </si>
  <si>
    <t>16 weeks</t>
  </si>
  <si>
    <t>25 weeks</t>
  </si>
  <si>
    <t>NOP within weight range @ 25 weeks</t>
  </si>
  <si>
    <t>ADG of pigs below target weight between 25- 28weeks</t>
  </si>
  <si>
    <t>28 weeks</t>
  </si>
  <si>
    <t>Bulk</t>
  </si>
  <si>
    <t>Super Flush</t>
  </si>
  <si>
    <t>move to service line instruction if correct age and weight based on previous cells</t>
  </si>
  <si>
    <t>157-187kg served gilts</t>
  </si>
  <si>
    <t>( 30 - 35 weeks)target service age</t>
  </si>
  <si>
    <t>30 weeks</t>
  </si>
  <si>
    <t>35 weeks</t>
  </si>
  <si>
    <t>175 (range 157 to 187)</t>
  </si>
  <si>
    <t>ADG of pigs below target weight at service(0.786)</t>
  </si>
  <si>
    <t>% animals served under this range</t>
  </si>
  <si>
    <t>Breed Code</t>
  </si>
  <si>
    <t>Breed Name</t>
  </si>
  <si>
    <t>STAGES</t>
  </si>
  <si>
    <t>Gestation Days</t>
  </si>
  <si>
    <t>Lactation Days</t>
  </si>
  <si>
    <t>Productive Life Months</t>
  </si>
  <si>
    <t>Residual Value Amount</t>
  </si>
  <si>
    <t>Productive Life Cycles</t>
  </si>
  <si>
    <t>Farm / location</t>
  </si>
  <si>
    <t>Avg litter total born</t>
  </si>
  <si>
    <t>Avg Litter Size Born</t>
  </si>
  <si>
    <t># Born dead</t>
  </si>
  <si>
    <t># mummified piglets</t>
  </si>
  <si>
    <t>mortaltiy %</t>
  </si>
  <si>
    <t>Avg Litter Size Weaned</t>
  </si>
  <si>
    <t>Avg Weaning Weight KG</t>
  </si>
  <si>
    <t>total litter mass of the piglets weaned per sow</t>
  </si>
  <si>
    <t>Farrowing Rate %</t>
  </si>
  <si>
    <t>Boar Doses Per Week</t>
  </si>
  <si>
    <t>SO's for the week</t>
  </si>
  <si>
    <t>w/s/y</t>
  </si>
  <si>
    <t>litter index</t>
  </si>
  <si>
    <t>empty days</t>
  </si>
  <si>
    <t>70 day weight</t>
  </si>
  <si>
    <t>70 day gain</t>
  </si>
  <si>
    <t>weaner FCE</t>
  </si>
  <si>
    <t>weaner mortaltiy</t>
  </si>
  <si>
    <t>Grower FCE</t>
  </si>
  <si>
    <t>Grower mortality</t>
  </si>
  <si>
    <t>Grower ADG</t>
  </si>
  <si>
    <t>AVG CDM to colcom</t>
  </si>
  <si>
    <t>Boar Productive Life Months</t>
  </si>
  <si>
    <t>Vaccination Schedule</t>
  </si>
  <si>
    <t>Short unique code per tenant.</t>
  </si>
  <si>
    <t>Full breed name.</t>
  </si>
  <si>
    <t>NEW: Species within the LOB. SOW / BOAR / GILT / PIGLET / COMMERCIAL_PIG for piggery.</t>
  </si>
  <si>
    <t>Standard gestation period in days. 114 days for pigs = 3 months 3 weeks 3 days.</t>
  </si>
  <si>
    <t>Standard nursing or lactation duration in days.</t>
  </si>
  <si>
    <t>Productive life in months. Amortisation denominator.</t>
  </si>
  <si>
    <t>Salvage value as percent of total opening asset value.</t>
  </si>
  <si>
    <t>Expected number of parities in productive life.</t>
  </si>
  <si>
    <t xml:space="preserve">total born is the figure that includes Born live, born dead and mummified </t>
  </si>
  <si>
    <t>Average piglets born live per farrowing. KPI target.</t>
  </si>
  <si>
    <t xml:space="preserve"># of piglets born dead </t>
  </si>
  <si>
    <t># of mummies</t>
  </si>
  <si>
    <t>Mortaltiy % between date of farrow and weaning</t>
  </si>
  <si>
    <t>Average piglets weaned per litter. Used in output forecast.</t>
  </si>
  <si>
    <t>Standard piglet weight at weaning. KPI target.</t>
  </si>
  <si>
    <t>Percent of AI or matings resulting in successful farrowing.</t>
  </si>
  <si>
    <t>For BOAR species - expected semen doses collected per week. KPI target.</t>
  </si>
  <si>
    <t>sows not come on heat by the following Thursday of what was weaned</t>
  </si>
  <si>
    <t>taken from pig expert</t>
  </si>
  <si>
    <t>Boar productive life in months for amortisation.</t>
  </si>
  <si>
    <t>Standard lifetime vaccination schedule. Auto-populates scheduler params on batch create.</t>
  </si>
  <si>
    <t>From File 2.</t>
  </si>
  <si>
    <t>LARGE_WHITE / LANDRACE / DUROC</t>
  </si>
  <si>
    <t>Large White</t>
  </si>
  <si>
    <t>SOW</t>
  </si>
  <si>
    <t>114</t>
  </si>
  <si>
    <t>28</t>
  </si>
  <si>
    <t>36</t>
  </si>
  <si>
    <t>10.00</t>
  </si>
  <si>
    <t>7</t>
  </si>
  <si>
    <t>11.50</t>
  </si>
  <si>
    <t>7.000</t>
  </si>
  <si>
    <t>85.00</t>
  </si>
  <si>
    <t>4.00</t>
  </si>
  <si>
    <t>[{"age_days":21,"vaccine_item_id":"...","dose_ml":2,"route":"IM"}]</t>
  </si>
  <si>
    <t>Mandatory</t>
  </si>
  <si>
    <t>YES</t>
  </si>
  <si>
    <t>NO</t>
  </si>
  <si>
    <t>COND</t>
  </si>
  <si>
    <t>TN-70-Sow</t>
  </si>
  <si>
    <t>42 months</t>
  </si>
  <si>
    <t>accounts</t>
  </si>
  <si>
    <t>3rd vaccination (Every pregnancy cycle) 14 weeks preg farrowsure</t>
  </si>
  <si>
    <t>Teaser Boar</t>
  </si>
  <si>
    <t>Gilt in gestation</t>
  </si>
  <si>
    <t>Gilts farrowing</t>
  </si>
  <si>
    <t>2nd parity service line</t>
  </si>
  <si>
    <t xml:space="preserve">2nd parity gestation </t>
  </si>
  <si>
    <t>2nd parity farrowing</t>
  </si>
  <si>
    <t>3rd parity plus service line</t>
  </si>
  <si>
    <t>3rd parity plus gestation</t>
  </si>
  <si>
    <t>Weaner</t>
  </si>
  <si>
    <t>Grower</t>
  </si>
  <si>
    <t>Colcom</t>
  </si>
  <si>
    <t>1st vaccine - farrowsure (gilt) 25 weeks</t>
  </si>
  <si>
    <t>2nd vaccine - Farrowsure (gilt) 28 weeks</t>
  </si>
  <si>
    <t>Vaccine porcilis 11 weeks pregnant every pregnancy cycle</t>
  </si>
  <si>
    <t>Vaccine porcilis 13 weeks pregnant every pregnancy cycle</t>
  </si>
  <si>
    <t>TN70</t>
  </si>
  <si>
    <t>LionsHead</t>
  </si>
  <si>
    <t>LHSH- 01</t>
  </si>
  <si>
    <t>LHSH1-C1-C56</t>
  </si>
  <si>
    <t>Season Type</t>
  </si>
  <si>
    <t>Gilt Gain in Gestation Variation</t>
  </si>
  <si>
    <t>% maternal weight loss</t>
  </si>
  <si>
    <t>Maternal weight loss variation</t>
  </si>
  <si>
    <t>% loss of animals that lost more than 12%</t>
  </si>
  <si>
    <t>Farrowing Rates</t>
  </si>
  <si>
    <t>Total Born</t>
  </si>
  <si>
    <t>Born Alive</t>
  </si>
  <si>
    <t>Born Dead</t>
  </si>
  <si>
    <t>Mummies</t>
  </si>
  <si>
    <t>Gilts into Farrowing Variation</t>
  </si>
  <si>
    <t>Std teats count</t>
  </si>
  <si>
    <t>Winter/ Summer</t>
  </si>
  <si>
    <t>1</t>
  </si>
  <si>
    <t>11</t>
  </si>
  <si>
    <t>Winter</t>
  </si>
  <si>
    <t>PD Alert</t>
  </si>
  <si>
    <t>Service week</t>
  </si>
  <si>
    <t>from service week</t>
  </si>
  <si>
    <t>15 weeks pregnant</t>
  </si>
  <si>
    <t>gain for period not daily - 74 to 81</t>
  </si>
  <si>
    <t>NOP inside target weight box and variation</t>
  </si>
  <si>
    <t>Mortaltiy reasons</t>
  </si>
  <si>
    <t>littergaurd 2 mls @ 11 weeks preg, littergaurd vaccine 2mls @13 weeks preg and farrowsure vaccine 2mls @ 14 weeks preg</t>
  </si>
  <si>
    <t>weekly farrow batch</t>
  </si>
  <si>
    <t>Bagged</t>
  </si>
  <si>
    <t>LHDS-02</t>
  </si>
  <si>
    <t>LHDS2-P1-P39</t>
  </si>
  <si>
    <t xml:space="preserve">Bagged </t>
  </si>
  <si>
    <t xml:space="preserve">DRYGILT </t>
  </si>
  <si>
    <t xml:space="preserve">As per feed schedule attached </t>
  </si>
  <si>
    <t>235 - 245</t>
  </si>
  <si>
    <t>gilts to farrow range 235-245kgs</t>
  </si>
  <si>
    <t>LHDS-05</t>
  </si>
  <si>
    <t>LHFH-01</t>
  </si>
  <si>
    <t>Lactate Gilt (Ranges from 3-4days after farrow to Weaning)</t>
  </si>
  <si>
    <t>See farrowing feed card as a tmeplate to be used per ind animal</t>
  </si>
  <si>
    <t xml:space="preserve">N/A </t>
  </si>
  <si>
    <t>weeekly weaned batch</t>
  </si>
  <si>
    <t>LHFH-02</t>
  </si>
  <si>
    <t>LHFH-03</t>
  </si>
  <si>
    <t>LHFH2A - B</t>
  </si>
  <si>
    <t>LHFH3A - B</t>
  </si>
  <si>
    <t xml:space="preserve">LHFH1A </t>
  </si>
  <si>
    <t>LHGH-01</t>
  </si>
  <si>
    <t>LHGH1- P2- P39</t>
  </si>
  <si>
    <t>LHGW-01</t>
  </si>
  <si>
    <t>W1 - Gilt rear 1 - Gilt rear 2- Gilt rear 3</t>
  </si>
  <si>
    <t xml:space="preserve">TN70 </t>
  </si>
  <si>
    <t>Gilt rear 3 - Gilt rear 4 - Gilt rear 4.1</t>
  </si>
  <si>
    <t>68 (range 61 to 71)</t>
  </si>
  <si>
    <t>130 (range 118 to 139)</t>
  </si>
  <si>
    <t>0.984 (alert - 0.800)</t>
  </si>
  <si>
    <t>2.6 (alert 2.8)</t>
  </si>
  <si>
    <t>Head 12 - % animals within weight range @ 25 weeks</t>
  </si>
  <si>
    <t>Farrowsure vaccine administerd @ 25 weeks - 2mls</t>
  </si>
  <si>
    <t>Gilt rear 3 - Gilt rear 4 - Gilt rear 4.2</t>
  </si>
  <si>
    <t>Gilt rear 3 - Gilt rear 4 - Gilt rear 4.3</t>
  </si>
  <si>
    <t>Gilt rear 3 - Gilt rear 4 - Gilt rear 4.4</t>
  </si>
  <si>
    <t>Gilt rear 3 - Gilt rear 4 - Gilt rear 4.5</t>
  </si>
  <si>
    <t>Gilt rear 3 - Gilt rear 4 - Gilt rear 4.6</t>
  </si>
  <si>
    <t>Gilt rear 3 - Gilt rear 4 - Gilt rear 4.7</t>
  </si>
  <si>
    <t>Gilt rear 3 - Gilt rear 4 - Gilt rear 4.8</t>
  </si>
  <si>
    <t>Gilt rear 3 - Gilt rear 4 - Gilt rear 4.9</t>
  </si>
  <si>
    <t xml:space="preserve">16 week to 25 week old gilts </t>
  </si>
  <si>
    <t>LHDS5-P13-P28</t>
  </si>
  <si>
    <t xml:space="preserve">Gilt rear 5  </t>
  </si>
  <si>
    <t>150 (range 135 to 160)</t>
  </si>
  <si>
    <t>0.950 (alert - 0.750)</t>
  </si>
  <si>
    <t>2.2 (alert 2.4)</t>
  </si>
  <si>
    <t>1.5 (alert - above 1.7)</t>
  </si>
  <si>
    <t>25 week to 28 week gilts</t>
  </si>
  <si>
    <t>175 (Range 157 to 187)</t>
  </si>
  <si>
    <t>gilt weaning</t>
  </si>
  <si>
    <t>Thursday day of weaning</t>
  </si>
  <si>
    <t>SUPER FLUSH</t>
  </si>
  <si>
    <t>As per Sow Feed schedule - Farr page, 2.5kgs of Super flush at weaning</t>
  </si>
  <si>
    <t>Maternal weight loss between 8 - 12%</t>
  </si>
  <si>
    <t>% animals lost more than 12%</t>
  </si>
  <si>
    <t>16 - piglets weaned per gilt</t>
  </si>
  <si>
    <t>Mortality reasons</t>
  </si>
  <si>
    <t>103kgs - total litter mass</t>
  </si>
  <si>
    <t>184 - 194</t>
  </si>
  <si>
    <t>Wednesday the following week</t>
  </si>
  <si>
    <t>As per Service Line Feed Schedule page</t>
  </si>
  <si>
    <t>2- Stand overs</t>
  </si>
  <si>
    <t>9 animals 2nd parity service target</t>
  </si>
  <si>
    <t>service week</t>
  </si>
  <si>
    <t>Drysow</t>
  </si>
  <si>
    <t>As per Feed schedule - In Dry Sow page</t>
  </si>
  <si>
    <t>alert for 4 week PD</t>
  </si>
  <si>
    <t>Number of 2nds returned to farrowing house against target</t>
  </si>
  <si>
    <t>LIONSHEAD</t>
  </si>
  <si>
    <t>Drysow;90 day plus</t>
  </si>
  <si>
    <t>258-268</t>
  </si>
  <si>
    <t>2 x 2nd parity retunr to farrow house</t>
  </si>
  <si>
    <t>LHDS-03</t>
  </si>
  <si>
    <t>LHDS-04</t>
  </si>
  <si>
    <t>weekly farrowing batch</t>
  </si>
  <si>
    <t>weekly weaned batch</t>
  </si>
  <si>
    <t>Trans feed and Lactate sow</t>
  </si>
  <si>
    <t>As per Sow Feed schedule - Farr page</t>
  </si>
  <si>
    <t>210 - 220</t>
  </si>
  <si>
    <t>7.2kgs Avg wean weight</t>
  </si>
  <si>
    <t>103kgs total litter mass</t>
  </si>
  <si>
    <t>3rd parity farrowing</t>
  </si>
  <si>
    <t>2nd parity weaning</t>
  </si>
  <si>
    <t>Maternal body weight</t>
  </si>
  <si>
    <t>7.2kgs -avg piglet weight</t>
  </si>
  <si>
    <t>LHSH</t>
  </si>
  <si>
    <t>30 service target</t>
  </si>
  <si>
    <t>service target of 30</t>
  </si>
  <si>
    <t>2 stand over</t>
  </si>
  <si>
    <t>alert if more than 2 - 3rd parity plus S/O</t>
  </si>
  <si>
    <t>farrowing batch recorded weekly</t>
  </si>
  <si>
    <t>1 Week</t>
  </si>
  <si>
    <t>Trans feed and Lactate Gilt</t>
  </si>
  <si>
    <t xml:space="preserve">3rd parity weaning </t>
  </si>
  <si>
    <t>weaning batch recorded weekly</t>
  </si>
  <si>
    <t>4 Weeks</t>
  </si>
  <si>
    <t>LHGW1- P1 - 6</t>
  </si>
  <si>
    <t xml:space="preserve"> 11 weeks</t>
  </si>
  <si>
    <t xml:space="preserve"> 12 weeks</t>
  </si>
  <si>
    <t xml:space="preserve"> 13 weeks</t>
  </si>
  <si>
    <t xml:space="preserve"> 14 weeks</t>
  </si>
  <si>
    <t xml:space="preserve"> 15 weeks</t>
  </si>
  <si>
    <t>17 weeks</t>
  </si>
  <si>
    <t>18 weeks</t>
  </si>
  <si>
    <t>19 weeks</t>
  </si>
  <si>
    <t>20 weeks</t>
  </si>
  <si>
    <t>21 weeks</t>
  </si>
  <si>
    <t>22 weeks</t>
  </si>
  <si>
    <t>11 weeks</t>
  </si>
  <si>
    <t>12 weeks</t>
  </si>
  <si>
    <t>13 weeks</t>
  </si>
  <si>
    <t>14 weeks</t>
  </si>
  <si>
    <t>15 weeks</t>
  </si>
  <si>
    <t xml:space="preserve">17 weeks </t>
  </si>
  <si>
    <t xml:space="preserve">18 weeks </t>
  </si>
  <si>
    <t xml:space="preserve">19 weeks </t>
  </si>
  <si>
    <t xml:space="preserve">20 weeks </t>
  </si>
  <si>
    <t xml:space="preserve">21 weeks </t>
  </si>
  <si>
    <t xml:space="preserve">22 weeks </t>
  </si>
  <si>
    <t xml:space="preserve">23 weeks </t>
  </si>
  <si>
    <t xml:space="preserve">24 weeks </t>
  </si>
  <si>
    <t xml:space="preserve">25 weeks </t>
  </si>
  <si>
    <t xml:space="preserve">26 weeks </t>
  </si>
  <si>
    <t xml:space="preserve">27 weeks </t>
  </si>
  <si>
    <t>23 weeks</t>
  </si>
  <si>
    <t>24 weeks</t>
  </si>
  <si>
    <t xml:space="preserve">28 weeks </t>
  </si>
  <si>
    <t>gilt rearing 10 weeks</t>
  </si>
  <si>
    <t>gilt rearing 11 weeks</t>
  </si>
  <si>
    <t>gilt rearing 12 weeks</t>
  </si>
  <si>
    <t>gilt rearing 13 weeks</t>
  </si>
  <si>
    <t>gilt rearing 14 weeks</t>
  </si>
  <si>
    <t>gilt rearing 15 weeks</t>
  </si>
  <si>
    <t>gilt rearing 16 weeks</t>
  </si>
  <si>
    <t>gilt rearing 17 weeks</t>
  </si>
  <si>
    <t>gilt rearing 18 weeks</t>
  </si>
  <si>
    <t>gilt rearing 19 weeks</t>
  </si>
  <si>
    <t>gilt rearing 20 weeks</t>
  </si>
  <si>
    <t>gilt rearing 21 weeks</t>
  </si>
  <si>
    <t>gilt rearing 22 weeks</t>
  </si>
  <si>
    <t>gilt rearing 23 weeks</t>
  </si>
  <si>
    <t>gilt rearing 24 weeks</t>
  </si>
  <si>
    <t>gilt rearing 25weeks</t>
  </si>
  <si>
    <t>ADG of pigs below target weight between 25 weeks</t>
  </si>
  <si>
    <t>Heat recordings</t>
  </si>
  <si>
    <t>Date of heat recorded used for service line calculations</t>
  </si>
  <si>
    <t>Farrowsure vaccine administerd @ 25weeks - 2mls</t>
  </si>
  <si>
    <t>LHGH-02</t>
  </si>
  <si>
    <t>gilt rearing 25 weeks</t>
  </si>
  <si>
    <t>gilt rearing 26 weeks</t>
  </si>
  <si>
    <t>gilt rearing 27 weeks</t>
  </si>
  <si>
    <t>gilt rearing 28weeks</t>
  </si>
  <si>
    <t>gilt rearing gilt to Service line (28 weeks)</t>
  </si>
  <si>
    <t>gilt rearing gilt to Service line (29 weeks)</t>
  </si>
  <si>
    <t>gilt rearing gilt to Service line (30 weeks)</t>
  </si>
  <si>
    <t>gilt rearing gilt to Service line (31 weeks)</t>
  </si>
  <si>
    <t>gilt rearing gilt to Service line(32 weeks)</t>
  </si>
  <si>
    <t>gilt rearing gilt to Service line (33 weeks)</t>
  </si>
  <si>
    <t>gilt rearing gilt to Service line (34 weeks)</t>
  </si>
  <si>
    <t>gilt rearing gilt to Service line (35weeks)</t>
  </si>
  <si>
    <t>11 gilts served @ 31-33weeks</t>
  </si>
  <si>
    <t>Gilt Service Line</t>
  </si>
  <si>
    <t>LHDS-03 - 05</t>
  </si>
  <si>
    <t>CDM</t>
  </si>
  <si>
    <t>Kgs Sold/Sow/Year</t>
  </si>
  <si>
    <t>Total weight gain for the period</t>
  </si>
  <si>
    <t>Expected Livestock Output</t>
  </si>
  <si>
    <t>4 weeks of age</t>
  </si>
  <si>
    <t>10 weeks of age</t>
  </si>
  <si>
    <t>BULK</t>
  </si>
  <si>
    <t>4wks(8 days) - Creep2, 5 to 6wks (14 days) - creep 3, 7 to 10wks (17 days) - Wean 1</t>
  </si>
  <si>
    <t>Creep 2-0.48, Creep 3- 0.94, wean 1- 1.1</t>
  </si>
  <si>
    <t>7.2 (range 7.0 to 7.5)</t>
  </si>
  <si>
    <t>28 (range 27to 29)</t>
  </si>
  <si>
    <t>0.539 (alert - below 0.460)</t>
  </si>
  <si>
    <t>1.45 (alert - above 1.52)</t>
  </si>
  <si>
    <t>10 week old pigs</t>
  </si>
  <si>
    <t>SEE WEANER TREATMENT SHEET</t>
  </si>
  <si>
    <t>10weeks of age</t>
  </si>
  <si>
    <t>10weeks (14days) - Wean 1 (OTC), 12weeks (14days) - Grower 1, 14weeks (14 days) - Grower 2, 16weeks (10days) - Grower 3, 17weeks (28days) - Finisher</t>
  </si>
  <si>
    <t>wean 1 otc (10weeks)-1.6, wean 1 otc(11weeks)-1.7, grower 1(12weeks)-2.2, grower 1(13weeks)-2.5, grower 2 (14weeks)-2.6, grower 2(15weeks)-2.7, grower 3(16weeks)-2.9, grower 3(17-18weeks)-3.1, finisher(19-22)-3.1</t>
  </si>
  <si>
    <t>118 (range 112 to 128)</t>
  </si>
  <si>
    <t>1.100 (alert - below 1.0)</t>
  </si>
  <si>
    <t>2.4 (alert above 2.45)</t>
  </si>
  <si>
    <t>22-23 weeks</t>
  </si>
  <si>
    <t>988 PIG/HOUSE</t>
  </si>
  <si>
    <t>SEE GROWER TREATMENT SHEET</t>
  </si>
  <si>
    <t>29 (range 27to 29)</t>
  </si>
  <si>
    <t>wean 1 otc (10weeks)-1.6, wean 1 otc(11weeks)-1.7, grower 1(12weeks)-2.2, grower 1(13weeks)-2.5, grower 2 (14weeks)-2.6, grower 2(15weeks)-2.7, grower 3(16weeks)-2.9, grower 3(17-18weeks)-3.1, finisher(19-22)-3.2</t>
  </si>
  <si>
    <t>30 (range 27to 29)</t>
  </si>
  <si>
    <t>wean 1 otc (10weeks)-1.6, wean 1 otc(11weeks)-1.7, grower 1(12weeks)-2.2, grower 1(13weeks)-2.5, grower 2 (14weeks)-2.6, grower 2(15weeks)-2.7, grower 3(16weeks)-2.9, grower 3(17-18weeks)-3.1, finisher(19-22)-3.3</t>
  </si>
  <si>
    <t>31 (range 27to 29)</t>
  </si>
  <si>
    <t>wean 1 otc (10weeks)-1.6, wean 1 otc(11weeks)-1.7, grower 1(12weeks)-2.2, grower 1(13weeks)-2.5, grower 2 (14weeks)-2.6, grower 2(15weeks)-2.7, grower 3(16weeks)-2.9, grower 3(17-18weeks)-3.1, finisher(19-22)-3.4</t>
  </si>
  <si>
    <t>32 (range 27to 29)</t>
  </si>
  <si>
    <t>wean 1 otc (10weeks)-1.6, wean 1 otc(11weeks)-1.7, grower 1(12weeks)-2.2, grower 1(13weeks)-2.5, grower 2 (14weeks)-2.6, grower 2(15weeks)-2.7, grower 3(16weeks)-2.9, grower 3(17-18weeks)-3.1, finisher(19-22)-3.5</t>
  </si>
  <si>
    <t>33 (range 27to 29)</t>
  </si>
  <si>
    <t>wean 1 otc (10weeks)-1.6, wean 1 otc(11weeks)-1.7, grower 1(12weeks)-2.2, grower 1(13weeks)-2.5, grower 2 (14weeks)-2.6, grower 2(15weeks)-2.7, grower 3(16weeks)-2.9, grower 3(17-18weeks)-3.1, finisher(19-22)-3.6</t>
  </si>
  <si>
    <t>34 (range 27to 29)</t>
  </si>
  <si>
    <t>wean 1 otc (10weeks)-1.6, wean 1 otc(11weeks)-1.7, grower 1(12weeks)-2.2, grower 1(13weeks)-2.5, grower 2 (14weeks)-2.6, grower 2(15weeks)-2.7, grower 3(16weeks)-2.9, grower 3(17-18weeks)-3.1, finisher(19-22)-3.7</t>
  </si>
  <si>
    <t>35 (range 27to 29)</t>
  </si>
  <si>
    <t>wean 1 otc (10weeks)-1.6, wean 1 otc(11weeks)-1.7, grower 1(12weeks)-2.2, grower 1(13weeks)-2.5, grower 2 (14weeks)-2.6, grower 2(15weeks)-2.7, grower 3(16weeks)-2.9, grower 3(17-18weeks)-3.1, finisher(19-22)-3.8</t>
  </si>
  <si>
    <t>36 (range 27to 29)</t>
  </si>
  <si>
    <t>wean 1 otc (10weeks)-1.6, wean 1 otc(11weeks)-1.7, grower 1(12weeks)-2.2, grower 1(13weeks)-2.5, grower 2 (14weeks)-2.6, grower 2(15weeks)-2.7, grower 3(16weeks)-2.9, grower 3(17-18weeks)-3.1, finisher(19-22)-3.9</t>
  </si>
  <si>
    <t>37 (range 27to 29)</t>
  </si>
  <si>
    <t>38 (range 27to 29)</t>
  </si>
  <si>
    <t>39 (range 27to 29)</t>
  </si>
  <si>
    <t>40 (range 27to 29)</t>
  </si>
  <si>
    <t>GRGH-14</t>
  </si>
  <si>
    <t>41 (range 27to 29)</t>
  </si>
  <si>
    <t>slaughter batch</t>
  </si>
  <si>
    <t>Growers to colcom against budget</t>
  </si>
  <si>
    <t>Avg CDM against budget</t>
  </si>
  <si>
    <t>kgs against budget</t>
  </si>
  <si>
    <t>LHWN-01A</t>
  </si>
  <si>
    <t>LHWN1A-P1-P10</t>
  </si>
  <si>
    <t>LHWN-01B</t>
  </si>
  <si>
    <t>LHWN1B-P1-P10</t>
  </si>
  <si>
    <t>LHWN-02A</t>
  </si>
  <si>
    <t>LHWN2A-P1-P10</t>
  </si>
  <si>
    <t>LHWN-02B</t>
  </si>
  <si>
    <t>LHWN2B-P1-P10</t>
  </si>
  <si>
    <t>LHWN-03A</t>
  </si>
  <si>
    <t>LHWN3A-P1-P10</t>
  </si>
  <si>
    <t>LHWN-03B</t>
  </si>
  <si>
    <t>LHWN3B-P1-P10</t>
  </si>
  <si>
    <t>LHWN-1A</t>
  </si>
  <si>
    <t>LHWN-1B</t>
  </si>
  <si>
    <t>LHWN-2A</t>
  </si>
  <si>
    <t>LHWN-2B</t>
  </si>
  <si>
    <t>LHWN-3A</t>
  </si>
  <si>
    <t>LHWN-3B</t>
  </si>
  <si>
    <t>LHOG-01A</t>
  </si>
  <si>
    <t>LHOG1 - P1-P7</t>
  </si>
  <si>
    <t>LHOG-01B</t>
  </si>
  <si>
    <t>LHOG1 - P8-P14</t>
  </si>
  <si>
    <t>LHOG-02A</t>
  </si>
  <si>
    <t>LHOG2 - P1-P7</t>
  </si>
  <si>
    <t>LHOG-02B</t>
  </si>
  <si>
    <t>LHOG2 - P8-P14</t>
  </si>
  <si>
    <t>LHOG-03A</t>
  </si>
  <si>
    <t>LHOG3 - P1-P7</t>
  </si>
  <si>
    <t>LHOG-03B</t>
  </si>
  <si>
    <t>LHOG3 - P8-P14</t>
  </si>
  <si>
    <t>LHOG-04A</t>
  </si>
  <si>
    <t>LHOG4 - P8-P14</t>
  </si>
  <si>
    <t>LHOG-04B</t>
  </si>
  <si>
    <t>LHOG4 - P1-P7</t>
  </si>
  <si>
    <t>LHOG-05A</t>
  </si>
  <si>
    <t>LHOG5 - P8-P14</t>
  </si>
  <si>
    <t>LHOG-05B</t>
  </si>
  <si>
    <t>LHOG5 - P1-P7</t>
  </si>
  <si>
    <t>LHOG-06A</t>
  </si>
  <si>
    <t>LHOG6 - P8-P14</t>
  </si>
  <si>
    <t>LHOG-06B</t>
  </si>
  <si>
    <t>LHOG6 - P1-P7</t>
  </si>
  <si>
    <t>LHNG-01A</t>
  </si>
  <si>
    <t>LHNG1-P6-P10</t>
  </si>
  <si>
    <t>LHNG-01B</t>
  </si>
  <si>
    <t>LHNG1-P1-P5</t>
  </si>
  <si>
    <t>LHNG-02A</t>
  </si>
  <si>
    <t>LHNG2-P6-P10</t>
  </si>
  <si>
    <t>LHNG-02B</t>
  </si>
  <si>
    <t>LHNG2-P1-P5</t>
  </si>
  <si>
    <t>LHNG-03A</t>
  </si>
  <si>
    <t>LHNG3-P6-P10</t>
  </si>
  <si>
    <t>LHNG-03B</t>
  </si>
  <si>
    <t>LHNG3-P1-P5</t>
  </si>
  <si>
    <t>LHNG-04A</t>
  </si>
  <si>
    <t>LHNG4-P6-P10</t>
  </si>
  <si>
    <t>LHNG-04B</t>
  </si>
  <si>
    <t>LHNG4-P1-P5</t>
  </si>
  <si>
    <t>LHNG-05</t>
  </si>
  <si>
    <t>LHNG5-P1-P16</t>
  </si>
  <si>
    <t>LHNG-06A</t>
  </si>
  <si>
    <t>LHNG6-P1-P8</t>
  </si>
  <si>
    <t>LHNG-06B</t>
  </si>
  <si>
    <t>LHNG6-P9-P16</t>
  </si>
  <si>
    <t>LHNG-07</t>
  </si>
  <si>
    <t>LHNG7-P1-P10</t>
  </si>
  <si>
    <t>LHNG-08</t>
  </si>
  <si>
    <t>LHNG-08-P01</t>
  </si>
  <si>
    <t>LHNG-08-P02</t>
  </si>
  <si>
    <t>LHNG-08-P03</t>
  </si>
  <si>
    <t>LHNG-08-P04</t>
  </si>
  <si>
    <t>LHNG-08-P05</t>
  </si>
  <si>
    <t>LHNG-08-P06</t>
  </si>
  <si>
    <t>LHNG-08-P07</t>
  </si>
  <si>
    <t>LHNG-09</t>
  </si>
  <si>
    <t>LHNG9-P1-P16</t>
  </si>
  <si>
    <t>wean 1 otc (10weeks)-1.6, wean 1 otc(11weeks)-1.7, grower 1(12weeks)-2.2, grower 1(13weeks)-2.5, grower 2 (14weeks)-2.6, grower 2(15weeks)-2.7, grower 3(16weeks)-2.9, grower 3(17-18weeks)-3.1, finisher(19-22)-3.10</t>
  </si>
  <si>
    <t>wean 1 otc (10weeks)-1.6, wean 1 otc(11weeks)-1.7, grower 1(12weeks)-2.2, grower 1(13weeks)-2.5, grower 2 (14weeks)-2.6, grower 2(15weeks)-2.7, grower 3(16weeks)-2.9, grower 3(17-18weeks)-3.1, finisher(19-22)-3.11</t>
  </si>
  <si>
    <t>wean 1 otc (10weeks)-1.6, wean 1 otc(11weeks)-1.7, grower 1(12weeks)-2.2, grower 1(13weeks)-2.5, grower 2 (14weeks)-2.6, grower 2(15weeks)-2.7, grower 3(16weeks)-2.9, grower 3(17-18weeks)-3.1, finisher(19-22)-3.12</t>
  </si>
  <si>
    <t>wean 1 otc (10weeks)-1.6, wean 1 otc(11weeks)-1.7, grower 1(12weeks)-2.2, grower 1(13weeks)-2.5, grower 2 (14weeks)-2.6, grower 2(15weeks)-2.7, grower 3(16weeks)-2.9, grower 3(17-18weeks)-3.1, finisher(19-22)-3.13</t>
  </si>
  <si>
    <t>wean 1 otc (10weeks)-1.6, wean 1 otc(11weeks)-1.7, grower 1(12weeks)-2.2, grower 1(13weeks)-2.5, grower 2 (14weeks)-2.6, grower 2(15weeks)-2.7, grower 3(16weeks)-2.9, grower 3(17-18weeks)-3.1, finisher(19-22)-3.14</t>
  </si>
  <si>
    <t>wean 1 otc (10weeks)-1.6, wean 1 otc(11weeks)-1.7, grower 1(12weeks)-2.2, grower 1(13weeks)-2.5, grower 2 (14weeks)-2.6, grower 2(15weeks)-2.7, grower 3(16weeks)-2.9, grower 3(17-18weeks)-3.1, finisher(19-22)-3.15</t>
  </si>
  <si>
    <t>wean 1 otc (10weeks)-1.6, wean 1 otc(11weeks)-1.7, grower 1(12weeks)-2.2, grower 1(13weeks)-2.5, grower 2 (14weeks)-2.6, grower 2(15weeks)-2.7, grower 3(16weeks)-2.9, grower 3(17-18weeks)-3.1, finisher(19-22)-3.16</t>
  </si>
  <si>
    <t>wean 1 otc (10weeks)-1.6, wean 1 otc(11weeks)-1.7, grower 1(12weeks)-2.2, grower 1(13weeks)-2.5, grower 2 (14weeks)-2.6, grower 2(15weeks)-2.7, grower 3(16weeks)-2.9, grower 3(17-18weeks)-3.1, finisher(19-22)-3.17</t>
  </si>
  <si>
    <t>wean 1 otc (10weeks)-1.6, wean 1 otc(11weeks)-1.7, grower 1(12weeks)-2.2, grower 1(13weeks)-2.5, grower 2 (14weeks)-2.6, grower 2(15weeks)-2.7, grower 3(16weeks)-2.9, grower 3(17-18weeks)-3.1, finisher(19-22)-3.18</t>
  </si>
  <si>
    <t>wean 1 otc (10weeks)-1.6, wean 1 otc(11weeks)-1.7, grower 1(12weeks)-2.2, grower 1(13weeks)-2.5, grower 2 (14weeks)-2.6, grower 2(15weeks)-2.7, grower 3(16weeks)-2.9, grower 3(17-18weeks)-3.1, finisher(19-22)-3.19</t>
  </si>
  <si>
    <t>wean 1 otc (10weeks)-1.6, wean 1 otc(11weeks)-1.7, grower 1(12weeks)-2.2, grower 1(13weeks)-2.5, grower 2 (14weeks)-2.6, grower 2(15weeks)-2.7, grower 3(16weeks)-2.9, grower 3(17-18weeks)-3.1, finisher(19-22)-3.20</t>
  </si>
  <si>
    <t>wean 1 otc (10weeks)-1.6, wean 1 otc(11weeks)-1.7, grower 1(12weeks)-2.2, grower 1(13weeks)-2.5, grower 2 (14weeks)-2.6, grower 2(15weeks)-2.7, grower 3(16weeks)-2.9, grower 3(17-18weeks)-3.1, finisher(19-22)-3.21</t>
  </si>
  <si>
    <t>wean 1 otc (10weeks)-1.6, wean 1 otc(11weeks)-1.7, grower 1(12weeks)-2.2, grower 1(13weeks)-2.5, grower 2 (14weeks)-2.6, grower 2(15weeks)-2.7, grower 3(16weeks)-2.9, grower 3(17-18weeks)-3.1, finisher(19-22)-3.22</t>
  </si>
  <si>
    <t>wean 1 otc (10weeks)-1.6, wean 1 otc(11weeks)-1.7, grower 1(12weeks)-2.2, grower 1(13weeks)-2.5, grower 2 (14weeks)-2.6, grower 2(15weeks)-2.7, grower 3(16weeks)-2.9, grower 3(17-18weeks)-3.1, finisher(19-22)-3.23</t>
  </si>
  <si>
    <t>wean 1 otc (10weeks)-1.6, wean 1 otc(11weeks)-1.7, grower 1(12weeks)-2.2, grower 1(13weeks)-2.5, grower 2 (14weeks)-2.6, grower 2(15weeks)-2.7, grower 3(16weeks)-2.9, grower 3(17-18weeks)-3.1, finisher(19-22)-3.24</t>
  </si>
  <si>
    <t>wean 1 otc (10weeks)-1.6, wean 1 otc(11weeks)-1.7, grower 1(12weeks)-2.2, grower 1(13weeks)-2.5, grower 2 (14weeks)-2.6, grower 2(15weeks)-2.7, grower 3(16weeks)-2.9, grower 3(17-18weeks)-3.1, finisher(19-22)-3.25</t>
  </si>
  <si>
    <t>wean 1 otc (10weeks)-1.6, wean 1 otc(11weeks)-1.7, grower 1(12weeks)-2.2, grower 1(13weeks)-2.5, grower 2 (14weeks)-2.6, grower 2(15weeks)-2.7, grower 3(16weeks)-2.9, grower 3(17-18weeks)-3.1, finisher(19-22)-3.26</t>
  </si>
  <si>
    <t>wean 1 otc (10weeks)-1.6, wean 1 otc(11weeks)-1.7, grower 1(12weeks)-2.2, grower 1(13weeks)-2.5, grower 2 (14weeks)-2.6, grower 2(15weeks)-2.7, grower 3(16weeks)-2.9, grower 3(17-18weeks)-3.1, finisher(19-22)-3.27</t>
  </si>
  <si>
    <t>1.4kgs of feed per day for the period</t>
  </si>
  <si>
    <t>1.5kgs of feed per day for the period</t>
  </si>
  <si>
    <t>1.6kgs of feed per day for the period</t>
  </si>
  <si>
    <t>1.7kgs of feed per day for the period</t>
  </si>
  <si>
    <t>1.8kgs of feed per day for the period</t>
  </si>
  <si>
    <t>1.9kgs of feed per day for the period</t>
  </si>
  <si>
    <t>2.0kgs of feed per day for the period</t>
  </si>
  <si>
    <t>2.2kgs of feed per day for the period (Ad lib)</t>
  </si>
  <si>
    <t>2.3kgs of feed per day for the period (Ad lib)</t>
  </si>
  <si>
    <t>2.4kgs of feed per day for the period (Ad lib)</t>
  </si>
  <si>
    <t>2.5kgs of feed per day for the period (Ad lib)</t>
  </si>
  <si>
    <t>2.6kgs of feed per day for the period (Ad lib)</t>
  </si>
  <si>
    <t>2.7kgs of feed per day for the period (Ad lib)</t>
  </si>
  <si>
    <t>2.8kgs of feed per day for the period (Ad lib)</t>
  </si>
  <si>
    <t>2.9kgs of feed per day for the period (Ad lib)</t>
  </si>
  <si>
    <t>3.0kgs of feed per day for the period (Ad lib)</t>
  </si>
  <si>
    <t>3.3kgs of feed per day for the period (Ad lib)</t>
  </si>
  <si>
    <t>3.5kgs of feed per day for the period (Ad lib)</t>
  </si>
  <si>
    <t>4.5kgs of feed per day up to service</t>
  </si>
  <si>
    <t>35weeks (alert to cull)</t>
  </si>
  <si>
    <t>236 to 246kgs</t>
  </si>
  <si>
    <t>189 - 198</t>
  </si>
  <si>
    <t>LHOG-06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</si>
</sst>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00"/>
    <numFmt numFmtId="166" formatCode="#,##0.000"/>
    <numFmt numFmtId="167" formatCode="0.0"/>
    <numFmt numFmtId="168" formatCode="0.0%"/>
    <numFmt numFmtId="169" formatCode="#,##0.0"/>
  </numFmts>
  <fonts count="11" x14ac:knownFonts="1">
    <font>
      <sz val="11"/>
      <color theme="1"/>
      <name val="Aptos Narrow"/>
      <family val="2"/>
      <scheme val="minor"/>
    </font>
    <font>
      <sz val="11"/>
      <color theme="1"/>
      <name val="Aptos Narrow"/>
      <family val="2"/>
      <scheme val="minor"/>
    </font>
    <font>
      <b/>
      <sz val="9"/>
      <color rgb="FFFFFFFF"/>
      <name val="Aptos Narrow"/>
      <family val="2"/>
      <scheme val="minor"/>
    </font>
    <font>
      <b/>
      <sz val="9"/>
      <color rgb="FF2C3E50"/>
      <name val="Aptos Narrow"/>
      <family val="2"/>
      <scheme val="minor"/>
    </font>
    <font>
      <sz val="9"/>
      <color rgb="FF2C3E50"/>
      <name val="Aptos Narrow"/>
      <family val="2"/>
      <scheme val="minor"/>
    </font>
    <font>
      <sz val="9"/>
      <color rgb="FFC0392B"/>
      <name val="Aptos Narrow"/>
      <family val="2"/>
      <scheme val="minor"/>
    </font>
    <font>
      <b/>
      <sz val="9"/>
      <color indexed="81"/>
      <name val="Tahoma"/>
      <family val="2"/>
    </font>
    <font>
      <sz val="9"/>
      <color indexed="81"/>
      <name val="Tahoma"/>
      <family val="2"/>
    </font>
    <font>
      <sz val="8"/>
      <name val="Aptos Narrow"/>
      <family val="2"/>
      <scheme val="minor"/>
    </font>
    <font>
      <sz val="11"/>
      <color theme="1"/>
      <name val="Aptos Narrow"/>
      <family val="2"/>
      <charset val="1"/>
    </font>
    <font>
      <sz val="11"/>
      <name val="Aptos Narrow"/>
      <family val="2"/>
      <scheme val="minor"/>
    </font>
  </fonts>
  <fills count="11">
    <fill>
      <patternFill patternType="none"/>
    </fill>
    <fill>
      <patternFill patternType="gray125"/>
    </fill>
    <fill>
      <patternFill patternType="solid">
        <fgColor rgb="FF2E86C1"/>
      </patternFill>
    </fill>
    <fill>
      <patternFill patternType="solid">
        <fgColor rgb="FFD5F5E3"/>
      </patternFill>
    </fill>
    <fill>
      <patternFill patternType="solid">
        <fgColor rgb="FFD6EAF8"/>
      </patternFill>
    </fill>
    <fill>
      <patternFill patternType="solid">
        <fgColor rgb="FFF2F3F4"/>
      </patternFill>
    </fill>
    <fill>
      <patternFill patternType="solid">
        <fgColor rgb="FFFFFFFF"/>
      </patternFill>
    </fill>
    <fill>
      <patternFill patternType="solid">
        <fgColor rgb="FFFFFF00"/>
        <bgColor indexed="64"/>
      </patternFill>
    </fill>
    <fill>
      <patternFill patternType="solid">
        <fgColor theme="0" tint="-4.9989318521683403E-2"/>
        <bgColor indexed="64"/>
      </patternFill>
    </fill>
    <fill>
      <patternFill patternType="solid">
        <fgColor rgb="FFFEF9E7"/>
      </patternFill>
    </fill>
    <fill>
      <patternFill patternType="solid">
        <fgColor theme="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9" fillId="0" borderId="0"/>
  </cellStyleXfs>
  <cellXfs count="58">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0" fillId="0" borderId="0" xfId="0" applyAlignment="1">
      <alignment horizontal="center"/>
    </xf>
    <xf numFmtId="16" fontId="0" fillId="0" borderId="0" xfId="0" applyNumberFormat="1" applyAlignment="1">
      <alignment horizontal="center"/>
    </xf>
    <xf numFmtId="10" fontId="0" fillId="0" borderId="0" xfId="0" applyNumberFormat="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66" fontId="0" fillId="0" borderId="0" xfId="0" applyNumberFormat="1" applyAlignment="1">
      <alignment horizontal="center"/>
    </xf>
    <xf numFmtId="164" fontId="0" fillId="0" borderId="0" xfId="1" applyFont="1" applyFill="1" applyAlignment="1">
      <alignment horizontal="center"/>
    </xf>
    <xf numFmtId="0" fontId="3"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9" fontId="0" fillId="0" borderId="0" xfId="0" applyNumberFormat="1"/>
    <xf numFmtId="167" fontId="0" fillId="0" borderId="0" xfId="0" applyNumberFormat="1"/>
    <xf numFmtId="168" fontId="0" fillId="0" borderId="0" xfId="2" applyNumberFormat="1" applyFont="1" applyFill="1" applyAlignment="1">
      <alignment horizontal="center"/>
    </xf>
    <xf numFmtId="167" fontId="0" fillId="0" borderId="0" xfId="0" applyNumberFormat="1" applyAlignment="1">
      <alignment horizontal="center"/>
    </xf>
    <xf numFmtId="169" fontId="0" fillId="0" borderId="0" xfId="0" applyNumberFormat="1" applyAlignment="1">
      <alignment horizontal="center"/>
    </xf>
    <xf numFmtId="9" fontId="0" fillId="0" borderId="0" xfId="0" applyNumberFormat="1" applyAlignment="1">
      <alignment horizontal="center"/>
    </xf>
    <xf numFmtId="0" fontId="0" fillId="0" borderId="0" xfId="0" applyAlignment="1">
      <alignment wrapText="1"/>
    </xf>
    <xf numFmtId="4" fontId="4" fillId="4" borderId="1" xfId="0" applyNumberFormat="1"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0" fillId="0" borderId="0" xfId="0" applyAlignment="1">
      <alignment horizontal="left"/>
    </xf>
    <xf numFmtId="3" fontId="0" fillId="0" borderId="0" xfId="0" applyNumberFormat="1" applyAlignment="1">
      <alignment horizontal="center"/>
    </xf>
    <xf numFmtId="3" fontId="0" fillId="0" borderId="0" xfId="0" applyNumberFormat="1" applyAlignment="1">
      <alignment horizontal="left"/>
    </xf>
    <xf numFmtId="0" fontId="10" fillId="0" borderId="0" xfId="0" applyFont="1" applyAlignment="1">
      <alignment horizontal="center"/>
    </xf>
    <xf numFmtId="0" fontId="10" fillId="0" borderId="0" xfId="0" applyFont="1" applyAlignment="1">
      <alignment horizontal="left"/>
    </xf>
    <xf numFmtId="9" fontId="0" fillId="0" borderId="0" xfId="0" applyNumberFormat="1" applyAlignment="1">
      <alignment horizontal="left"/>
    </xf>
    <xf numFmtId="169" fontId="0" fillId="0" borderId="0" xfId="0" applyNumberFormat="1" applyAlignment="1">
      <alignment horizontal="left"/>
    </xf>
    <xf numFmtId="167" fontId="0" fillId="0" borderId="0" xfId="0" applyNumberFormat="1" applyAlignment="1">
      <alignment horizontal="left"/>
    </xf>
    <xf numFmtId="0" fontId="3" fillId="4"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cellXfs>
  <cellStyles count="4">
    <cellStyle name="Comma" xfId="1" builtinId="3"/>
    <cellStyle name="Normal" xfId="0" builtinId="0"/>
    <cellStyle name="Normal 2" xfId="3" xr:uid="{BBEBAAF7-CDFD-4FA8-9A98-981991ADA69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16 weeks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report'!$A$59</c:f>
              <c:strCache>
                <c:ptCount val="1"/>
                <c:pt idx="0">
                  <c:v># Of Animals Under</c:v>
                </c:pt>
              </c:strCache>
            </c:strRef>
          </c:tx>
          <c:spPr>
            <a:solidFill>
              <a:srgbClr val="FF0000"/>
            </a:solidFill>
            <a:ln>
              <a:solidFill>
                <a:srgbClr val="FF000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report'!$Y$59:$BO$59</c:f>
              <c:numCache>
                <c:formatCode>General</c:formatCode>
                <c:ptCount val="43"/>
                <c:pt idx="0">
                  <c:v>2</c:v>
                </c:pt>
                <c:pt idx="1">
                  <c:v>8</c:v>
                </c:pt>
                <c:pt idx="2">
                  <c:v>2</c:v>
                </c:pt>
                <c:pt idx="3">
                  <c:v>4</c:v>
                </c:pt>
                <c:pt idx="4">
                  <c:v>6</c:v>
                </c:pt>
                <c:pt idx="5">
                  <c:v>6</c:v>
                </c:pt>
                <c:pt idx="6">
                  <c:v>12</c:v>
                </c:pt>
                <c:pt idx="7">
                  <c:v>13</c:v>
                </c:pt>
                <c:pt idx="8">
                  <c:v>8</c:v>
                </c:pt>
                <c:pt idx="9">
                  <c:v>11</c:v>
                </c:pt>
                <c:pt idx="10">
                  <c:v>2</c:v>
                </c:pt>
                <c:pt idx="11">
                  <c:v>2</c:v>
                </c:pt>
                <c:pt idx="12">
                  <c:v>9</c:v>
                </c:pt>
                <c:pt idx="13">
                  <c:v>9</c:v>
                </c:pt>
                <c:pt idx="14">
                  <c:v>5</c:v>
                </c:pt>
                <c:pt idx="15">
                  <c:v>1</c:v>
                </c:pt>
                <c:pt idx="16">
                  <c:v>2</c:v>
                </c:pt>
                <c:pt idx="17">
                  <c:v>3</c:v>
                </c:pt>
                <c:pt idx="18">
                  <c:v>6</c:v>
                </c:pt>
                <c:pt idx="19">
                  <c:v>5</c:v>
                </c:pt>
                <c:pt idx="20">
                  <c:v>8</c:v>
                </c:pt>
                <c:pt idx="21">
                  <c:v>2</c:v>
                </c:pt>
                <c:pt idx="22">
                  <c:v>4</c:v>
                </c:pt>
                <c:pt idx="23">
                  <c:v>2</c:v>
                </c:pt>
                <c:pt idx="25">
                  <c:v>2</c:v>
                </c:pt>
                <c:pt idx="26">
                  <c:v>1</c:v>
                </c:pt>
                <c:pt idx="27">
                  <c:v>2</c:v>
                </c:pt>
                <c:pt idx="28">
                  <c:v>4</c:v>
                </c:pt>
                <c:pt idx="29">
                  <c:v>9</c:v>
                </c:pt>
                <c:pt idx="30">
                  <c:v>6</c:v>
                </c:pt>
                <c:pt idx="31">
                  <c:v>3</c:v>
                </c:pt>
                <c:pt idx="32">
                  <c:v>2</c:v>
                </c:pt>
                <c:pt idx="33">
                  <c:v>2</c:v>
                </c:pt>
                <c:pt idx="34">
                  <c:v>7</c:v>
                </c:pt>
                <c:pt idx="37">
                  <c:v>7</c:v>
                </c:pt>
              </c:numCache>
            </c:numRef>
          </c:val>
          <c:extLst>
            <c:ext xmlns:c16="http://schemas.microsoft.com/office/drawing/2014/chart" uri="{C3380CC4-5D6E-409C-BE32-E72D297353CC}">
              <c16:uniqueId val="{00000000-6404-4C7D-B20A-6F6CC4D2B988}"/>
            </c:ext>
          </c:extLst>
        </c:ser>
        <c:ser>
          <c:idx val="1"/>
          <c:order val="1"/>
          <c:tx>
            <c:strRef>
              <c:f>'[2]Weekly report'!$A$61</c:f>
              <c:strCache>
                <c:ptCount val="1"/>
                <c:pt idx="0">
                  <c:v># Of Animals In</c:v>
                </c:pt>
              </c:strCache>
            </c:strRef>
          </c:tx>
          <c:spPr>
            <a:solidFill>
              <a:srgbClr val="00B050"/>
            </a:solidFill>
            <a:ln>
              <a:solidFill>
                <a:srgbClr val="00B05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report'!$Y$61:$BO$61</c:f>
              <c:numCache>
                <c:formatCode>General</c:formatCode>
                <c:ptCount val="43"/>
                <c:pt idx="0">
                  <c:v>2</c:v>
                </c:pt>
                <c:pt idx="2">
                  <c:v>1</c:v>
                </c:pt>
                <c:pt idx="3">
                  <c:v>1</c:v>
                </c:pt>
                <c:pt idx="4">
                  <c:v>4</c:v>
                </c:pt>
                <c:pt idx="5">
                  <c:v>4</c:v>
                </c:pt>
                <c:pt idx="8">
                  <c:v>2</c:v>
                </c:pt>
                <c:pt idx="10">
                  <c:v>3</c:v>
                </c:pt>
                <c:pt idx="11">
                  <c:v>5</c:v>
                </c:pt>
                <c:pt idx="12">
                  <c:v>1</c:v>
                </c:pt>
                <c:pt idx="13">
                  <c:v>1</c:v>
                </c:pt>
                <c:pt idx="14">
                  <c:v>1</c:v>
                </c:pt>
                <c:pt idx="15">
                  <c:v>5</c:v>
                </c:pt>
                <c:pt idx="16">
                  <c:v>7</c:v>
                </c:pt>
                <c:pt idx="17">
                  <c:v>7</c:v>
                </c:pt>
                <c:pt idx="18">
                  <c:v>6</c:v>
                </c:pt>
                <c:pt idx="19">
                  <c:v>6</c:v>
                </c:pt>
                <c:pt idx="20">
                  <c:v>3</c:v>
                </c:pt>
                <c:pt idx="21">
                  <c:v>7</c:v>
                </c:pt>
                <c:pt idx="22">
                  <c:v>8</c:v>
                </c:pt>
                <c:pt idx="23">
                  <c:v>8</c:v>
                </c:pt>
                <c:pt idx="24">
                  <c:v>7</c:v>
                </c:pt>
                <c:pt idx="25">
                  <c:v>2</c:v>
                </c:pt>
                <c:pt idx="26">
                  <c:v>5</c:v>
                </c:pt>
                <c:pt idx="27">
                  <c:v>7</c:v>
                </c:pt>
                <c:pt idx="28">
                  <c:v>5</c:v>
                </c:pt>
                <c:pt idx="29">
                  <c:v>1</c:v>
                </c:pt>
                <c:pt idx="30">
                  <c:v>5</c:v>
                </c:pt>
                <c:pt idx="31">
                  <c:v>7</c:v>
                </c:pt>
                <c:pt idx="32">
                  <c:v>7</c:v>
                </c:pt>
                <c:pt idx="33">
                  <c:v>4</c:v>
                </c:pt>
                <c:pt idx="34">
                  <c:v>7</c:v>
                </c:pt>
                <c:pt idx="35">
                  <c:v>4</c:v>
                </c:pt>
                <c:pt idx="36">
                  <c:v>4</c:v>
                </c:pt>
                <c:pt idx="37">
                  <c:v>5</c:v>
                </c:pt>
              </c:numCache>
            </c:numRef>
          </c:val>
          <c:extLst>
            <c:ext xmlns:c16="http://schemas.microsoft.com/office/drawing/2014/chart" uri="{C3380CC4-5D6E-409C-BE32-E72D297353CC}">
              <c16:uniqueId val="{00000001-6404-4C7D-B20A-6F6CC4D2B988}"/>
            </c:ext>
          </c:extLst>
        </c:ser>
        <c:ser>
          <c:idx val="2"/>
          <c:order val="2"/>
          <c:tx>
            <c:strRef>
              <c:f>'[2]Weekly report'!$A$63</c:f>
              <c:strCache>
                <c:ptCount val="1"/>
                <c:pt idx="0">
                  <c:v># Of Animals Over</c:v>
                </c:pt>
              </c:strCache>
            </c:strRef>
          </c:tx>
          <c:spPr>
            <a:solidFill>
              <a:srgbClr val="0070C0"/>
            </a:solidFill>
            <a:ln>
              <a:solidFill>
                <a:srgbClr val="0070C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report'!$Y$63:$BO$63</c:f>
              <c:numCache>
                <c:formatCode>General</c:formatCode>
                <c:ptCount val="43"/>
                <c:pt idx="0">
                  <c:v>6</c:v>
                </c:pt>
                <c:pt idx="1">
                  <c:v>4</c:v>
                </c:pt>
                <c:pt idx="2">
                  <c:v>9</c:v>
                </c:pt>
                <c:pt idx="3">
                  <c:v>7</c:v>
                </c:pt>
                <c:pt idx="8">
                  <c:v>1</c:v>
                </c:pt>
                <c:pt idx="10">
                  <c:v>5</c:v>
                </c:pt>
                <c:pt idx="11">
                  <c:v>3</c:v>
                </c:pt>
                <c:pt idx="12">
                  <c:v>2</c:v>
                </c:pt>
                <c:pt idx="13">
                  <c:v>2</c:v>
                </c:pt>
                <c:pt idx="14">
                  <c:v>6</c:v>
                </c:pt>
                <c:pt idx="15">
                  <c:v>3</c:v>
                </c:pt>
                <c:pt idx="16">
                  <c:v>2</c:v>
                </c:pt>
                <c:pt idx="17">
                  <c:v>1</c:v>
                </c:pt>
                <c:pt idx="20">
                  <c:v>1</c:v>
                </c:pt>
                <c:pt idx="21">
                  <c:v>1</c:v>
                </c:pt>
                <c:pt idx="23">
                  <c:v>2</c:v>
                </c:pt>
                <c:pt idx="24">
                  <c:v>5</c:v>
                </c:pt>
                <c:pt idx="25">
                  <c:v>8</c:v>
                </c:pt>
                <c:pt idx="26">
                  <c:v>3</c:v>
                </c:pt>
                <c:pt idx="27">
                  <c:v>2</c:v>
                </c:pt>
                <c:pt idx="28">
                  <c:v>1</c:v>
                </c:pt>
                <c:pt idx="30">
                  <c:v>1</c:v>
                </c:pt>
                <c:pt idx="32">
                  <c:v>1</c:v>
                </c:pt>
                <c:pt idx="33">
                  <c:v>2</c:v>
                </c:pt>
                <c:pt idx="34">
                  <c:v>1</c:v>
                </c:pt>
                <c:pt idx="35">
                  <c:v>8</c:v>
                </c:pt>
                <c:pt idx="36">
                  <c:v>6</c:v>
                </c:pt>
              </c:numCache>
            </c:numRef>
          </c:val>
          <c:extLst>
            <c:ext xmlns:c16="http://schemas.microsoft.com/office/drawing/2014/chart" uri="{C3380CC4-5D6E-409C-BE32-E72D297353CC}">
              <c16:uniqueId val="{00000002-6404-4C7D-B20A-6F6CC4D2B988}"/>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27 week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report'!$A$99</c:f>
              <c:strCache>
                <c:ptCount val="1"/>
                <c:pt idx="0">
                  <c:v># Of Animals Under</c:v>
                </c:pt>
              </c:strCache>
            </c:strRef>
          </c:tx>
          <c:spPr>
            <a:solidFill>
              <a:srgbClr val="FF0000"/>
            </a:solidFill>
            <a:ln>
              <a:solidFill>
                <a:srgbClr val="FF000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report'!$Y$99:$BO$99</c:f>
              <c:numCache>
                <c:formatCode>General</c:formatCode>
                <c:ptCount val="43"/>
                <c:pt idx="0">
                  <c:v>3</c:v>
                </c:pt>
                <c:pt idx="1">
                  <c:v>3</c:v>
                </c:pt>
                <c:pt idx="8">
                  <c:v>4</c:v>
                </c:pt>
                <c:pt idx="12">
                  <c:v>2</c:v>
                </c:pt>
                <c:pt idx="15">
                  <c:v>1</c:v>
                </c:pt>
                <c:pt idx="18">
                  <c:v>2</c:v>
                </c:pt>
                <c:pt idx="20">
                  <c:v>3</c:v>
                </c:pt>
                <c:pt idx="21">
                  <c:v>1</c:v>
                </c:pt>
                <c:pt idx="22">
                  <c:v>1</c:v>
                </c:pt>
                <c:pt idx="24">
                  <c:v>3</c:v>
                </c:pt>
                <c:pt idx="25">
                  <c:v>1</c:v>
                </c:pt>
                <c:pt idx="29">
                  <c:v>2</c:v>
                </c:pt>
                <c:pt idx="30">
                  <c:v>2</c:v>
                </c:pt>
                <c:pt idx="31">
                  <c:v>4</c:v>
                </c:pt>
                <c:pt idx="33">
                  <c:v>1</c:v>
                </c:pt>
                <c:pt idx="35">
                  <c:v>2</c:v>
                </c:pt>
                <c:pt idx="37">
                  <c:v>1</c:v>
                </c:pt>
              </c:numCache>
            </c:numRef>
          </c:val>
          <c:extLst>
            <c:ext xmlns:c16="http://schemas.microsoft.com/office/drawing/2014/chart" uri="{C3380CC4-5D6E-409C-BE32-E72D297353CC}">
              <c16:uniqueId val="{00000000-7EFA-4E06-9A75-DA98F59C4586}"/>
            </c:ext>
          </c:extLst>
        </c:ser>
        <c:ser>
          <c:idx val="1"/>
          <c:order val="1"/>
          <c:tx>
            <c:strRef>
              <c:f>'[2]Weekly report'!$A$101</c:f>
              <c:strCache>
                <c:ptCount val="1"/>
                <c:pt idx="0">
                  <c:v># Of Animals In</c:v>
                </c:pt>
              </c:strCache>
            </c:strRef>
          </c:tx>
          <c:spPr>
            <a:solidFill>
              <a:srgbClr val="00B050"/>
            </a:solidFill>
            <a:ln>
              <a:solidFill>
                <a:srgbClr val="00B05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report'!$Y$101:$BO$101</c:f>
              <c:numCache>
                <c:formatCode>General</c:formatCode>
                <c:ptCount val="43"/>
                <c:pt idx="0">
                  <c:v>2</c:v>
                </c:pt>
                <c:pt idx="1">
                  <c:v>3</c:v>
                </c:pt>
                <c:pt idx="3">
                  <c:v>1</c:v>
                </c:pt>
                <c:pt idx="4">
                  <c:v>1</c:v>
                </c:pt>
                <c:pt idx="5">
                  <c:v>1</c:v>
                </c:pt>
                <c:pt idx="6">
                  <c:v>1</c:v>
                </c:pt>
                <c:pt idx="7">
                  <c:v>2</c:v>
                </c:pt>
                <c:pt idx="8">
                  <c:v>3</c:v>
                </c:pt>
                <c:pt idx="9">
                  <c:v>2</c:v>
                </c:pt>
                <c:pt idx="10">
                  <c:v>4</c:v>
                </c:pt>
                <c:pt idx="11">
                  <c:v>9</c:v>
                </c:pt>
                <c:pt idx="13">
                  <c:v>1</c:v>
                </c:pt>
                <c:pt idx="14">
                  <c:v>7</c:v>
                </c:pt>
                <c:pt idx="16">
                  <c:v>1</c:v>
                </c:pt>
                <c:pt idx="17">
                  <c:v>3</c:v>
                </c:pt>
                <c:pt idx="18">
                  <c:v>2</c:v>
                </c:pt>
                <c:pt idx="19">
                  <c:v>3</c:v>
                </c:pt>
                <c:pt idx="20">
                  <c:v>8</c:v>
                </c:pt>
                <c:pt idx="21">
                  <c:v>8</c:v>
                </c:pt>
                <c:pt idx="22">
                  <c:v>8</c:v>
                </c:pt>
                <c:pt idx="23">
                  <c:v>8</c:v>
                </c:pt>
                <c:pt idx="24">
                  <c:v>8</c:v>
                </c:pt>
                <c:pt idx="25">
                  <c:v>9</c:v>
                </c:pt>
                <c:pt idx="26">
                  <c:v>5</c:v>
                </c:pt>
                <c:pt idx="27">
                  <c:v>11</c:v>
                </c:pt>
                <c:pt idx="28">
                  <c:v>10</c:v>
                </c:pt>
                <c:pt idx="29">
                  <c:v>9</c:v>
                </c:pt>
                <c:pt idx="30">
                  <c:v>6</c:v>
                </c:pt>
                <c:pt idx="31">
                  <c:v>7</c:v>
                </c:pt>
                <c:pt idx="32">
                  <c:v>8</c:v>
                </c:pt>
                <c:pt idx="33">
                  <c:v>11</c:v>
                </c:pt>
                <c:pt idx="34">
                  <c:v>12</c:v>
                </c:pt>
                <c:pt idx="35">
                  <c:v>9</c:v>
                </c:pt>
                <c:pt idx="36">
                  <c:v>7</c:v>
                </c:pt>
                <c:pt idx="37">
                  <c:v>11</c:v>
                </c:pt>
              </c:numCache>
            </c:numRef>
          </c:val>
          <c:extLst>
            <c:ext xmlns:c16="http://schemas.microsoft.com/office/drawing/2014/chart" uri="{C3380CC4-5D6E-409C-BE32-E72D297353CC}">
              <c16:uniqueId val="{00000001-7EFA-4E06-9A75-DA98F59C4586}"/>
            </c:ext>
          </c:extLst>
        </c:ser>
        <c:ser>
          <c:idx val="2"/>
          <c:order val="2"/>
          <c:tx>
            <c:strRef>
              <c:f>'[2]Weekly report'!$A$103</c:f>
              <c:strCache>
                <c:ptCount val="1"/>
                <c:pt idx="0">
                  <c:v># Of Animals Over</c:v>
                </c:pt>
              </c:strCache>
            </c:strRef>
          </c:tx>
          <c:spPr>
            <a:solidFill>
              <a:srgbClr val="0070C0"/>
            </a:solidFill>
            <a:ln>
              <a:solidFill>
                <a:srgbClr val="0070C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report'!$Y$103:$BO$103</c:f>
              <c:numCache>
                <c:formatCode>General</c:formatCode>
                <c:ptCount val="43"/>
                <c:pt idx="0">
                  <c:v>2</c:v>
                </c:pt>
                <c:pt idx="1">
                  <c:v>4</c:v>
                </c:pt>
                <c:pt idx="2">
                  <c:v>10</c:v>
                </c:pt>
                <c:pt idx="3">
                  <c:v>9</c:v>
                </c:pt>
                <c:pt idx="4">
                  <c:v>9</c:v>
                </c:pt>
                <c:pt idx="5">
                  <c:v>9</c:v>
                </c:pt>
                <c:pt idx="6">
                  <c:v>11</c:v>
                </c:pt>
                <c:pt idx="7">
                  <c:v>8</c:v>
                </c:pt>
                <c:pt idx="8">
                  <c:v>5</c:v>
                </c:pt>
                <c:pt idx="9">
                  <c:v>9</c:v>
                </c:pt>
                <c:pt idx="10">
                  <c:v>7</c:v>
                </c:pt>
                <c:pt idx="12">
                  <c:v>11</c:v>
                </c:pt>
                <c:pt idx="13">
                  <c:v>9</c:v>
                </c:pt>
                <c:pt idx="14">
                  <c:v>4</c:v>
                </c:pt>
                <c:pt idx="15">
                  <c:v>11</c:v>
                </c:pt>
                <c:pt idx="16">
                  <c:v>7</c:v>
                </c:pt>
                <c:pt idx="17">
                  <c:v>7</c:v>
                </c:pt>
                <c:pt idx="18">
                  <c:v>8</c:v>
                </c:pt>
                <c:pt idx="19">
                  <c:v>8</c:v>
                </c:pt>
                <c:pt idx="21">
                  <c:v>1</c:v>
                </c:pt>
                <c:pt idx="23">
                  <c:v>1</c:v>
                </c:pt>
                <c:pt idx="24">
                  <c:v>1</c:v>
                </c:pt>
                <c:pt idx="25">
                  <c:v>2</c:v>
                </c:pt>
                <c:pt idx="26">
                  <c:v>4</c:v>
                </c:pt>
                <c:pt idx="28">
                  <c:v>1</c:v>
                </c:pt>
                <c:pt idx="30">
                  <c:v>2</c:v>
                </c:pt>
                <c:pt idx="31">
                  <c:v>1</c:v>
                </c:pt>
                <c:pt idx="32">
                  <c:v>2</c:v>
                </c:pt>
                <c:pt idx="35">
                  <c:v>1</c:v>
                </c:pt>
                <c:pt idx="36">
                  <c:v>4</c:v>
                </c:pt>
              </c:numCache>
            </c:numRef>
          </c:val>
          <c:extLst>
            <c:ext xmlns:c16="http://schemas.microsoft.com/office/drawing/2014/chart" uri="{C3380CC4-5D6E-409C-BE32-E72D297353CC}">
              <c16:uniqueId val="{00000002-7EFA-4E06-9A75-DA98F59C4586}"/>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251831</xdr:colOff>
      <xdr:row>15</xdr:row>
      <xdr:rowOff>190499</xdr:rowOff>
    </xdr:to>
    <xdr:pic>
      <xdr:nvPicPr>
        <xdr:cNvPr id="2" name="Picture 1">
          <a:extLst>
            <a:ext uri="{FF2B5EF4-FFF2-40B4-BE49-F238E27FC236}">
              <a16:creationId xmlns:a16="http://schemas.microsoft.com/office/drawing/2014/main" id="{B898F372-3D0B-4516-A2DB-18E4ECBBA86B}"/>
            </a:ext>
          </a:extLst>
        </xdr:cNvPr>
        <xdr:cNvPicPr>
          <a:picLocks noChangeAspect="1"/>
        </xdr:cNvPicPr>
      </xdr:nvPicPr>
      <xdr:blipFill>
        <a:blip xmlns:r="http://schemas.openxmlformats.org/officeDocument/2006/relationships" r:embed="rId1"/>
        <a:stretch>
          <a:fillRect/>
        </a:stretch>
      </xdr:blipFill>
      <xdr:spPr>
        <a:xfrm>
          <a:off x="1" y="0"/>
          <a:ext cx="5738230" cy="3047999"/>
        </a:xfrm>
        <a:prstGeom prst="rect">
          <a:avLst/>
        </a:prstGeom>
      </xdr:spPr>
    </xdr:pic>
    <xdr:clientData/>
  </xdr:twoCellAnchor>
  <xdr:twoCellAnchor>
    <xdr:from>
      <xdr:col>9</xdr:col>
      <xdr:colOff>504826</xdr:colOff>
      <xdr:row>0</xdr:row>
      <xdr:rowOff>0</xdr:rowOff>
    </xdr:from>
    <xdr:to>
      <xdr:col>19</xdr:col>
      <xdr:colOff>409576</xdr:colOff>
      <xdr:row>15</xdr:row>
      <xdr:rowOff>180975</xdr:rowOff>
    </xdr:to>
    <xdr:graphicFrame macro="">
      <xdr:nvGraphicFramePr>
        <xdr:cNvPr id="3" name="Chart 1">
          <a:extLst>
            <a:ext uri="{FF2B5EF4-FFF2-40B4-BE49-F238E27FC236}">
              <a16:creationId xmlns:a16="http://schemas.microsoft.com/office/drawing/2014/main" id="{3CAB9C90-D7E1-4848-8483-0CFFB0C99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1</xdr:rowOff>
    </xdr:from>
    <xdr:to>
      <xdr:col>9</xdr:col>
      <xdr:colOff>266701</xdr:colOff>
      <xdr:row>32</xdr:row>
      <xdr:rowOff>38101</xdr:rowOff>
    </xdr:to>
    <xdr:graphicFrame macro="">
      <xdr:nvGraphicFramePr>
        <xdr:cNvPr id="4" name="Chart 1">
          <a:extLst>
            <a:ext uri="{FF2B5EF4-FFF2-40B4-BE49-F238E27FC236}">
              <a16:creationId xmlns:a16="http://schemas.microsoft.com/office/drawing/2014/main" id="{E3BE830B-0B05-433C-8E54-C07E36837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immyson_grasmere_co_zw/Documents/Documents/CCC/FY27/NAVFarm/Porta%20-%20KPI%20Triple%20C%20Pigs.xlsx" TargetMode="External"/><Relationship Id="rId2" Type="http://schemas.openxmlformats.org/officeDocument/2006/relationships/externalLinkPath" Target="https://triplecpigs-my.sharepoint.com/personal/jimmyson_grasmere_co_zw/Documents/Documents/CCC/FY27/NAVFarm/Porta%20-%20KPI%20Triple%20C%20Pigs.xlsx" TargetMode="External"/><Relationship Id="rId1" Type="http://schemas.openxmlformats.org/officeDocument/2006/relationships/externalLinkPath" Target="/personal/jimmyson_grasmere_co_zw/Documents/Documents/CCC/FY27/NAVFarm/Porta%20-%20KPI%20Triple%20C%20Pig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ropbox\Triple%20C%20Pigs%20Production%20Folder\1.%20Weekly%20Farm%20Report%20-%20good\Porta\Porta%20weekly%20farm%20report.xlsx" TargetMode="External"/><Relationship Id="rId1" Type="http://schemas.openxmlformats.org/officeDocument/2006/relationships/externalLinkPath" Target="file:///C:\Users\user\Dropbox\Triple%20C%20Pigs%20Production%20Folder\1.%20Weekly%20Farm%20Report%20-%20good\Porta\Porta%20weekly%20farm%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92">
          <cell r="E92">
            <v>1.5</v>
          </cell>
        </row>
        <row r="95">
          <cell r="E95">
            <v>1.1000000000000001</v>
          </cell>
        </row>
        <row r="98">
          <cell r="E98">
            <v>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report"/>
    </sheetNames>
    <sheetDataSet>
      <sheetData sheetId="0"/>
      <sheetData sheetId="1">
        <row r="3">
          <cell r="Y3">
            <v>2534</v>
          </cell>
          <cell r="Z3">
            <v>2535</v>
          </cell>
          <cell r="AA3">
            <v>2536</v>
          </cell>
          <cell r="AB3">
            <v>2537</v>
          </cell>
          <cell r="AC3">
            <v>2538</v>
          </cell>
          <cell r="AD3">
            <v>2539</v>
          </cell>
          <cell r="AE3">
            <v>2540</v>
          </cell>
          <cell r="AF3">
            <v>2541</v>
          </cell>
          <cell r="AG3">
            <v>2542</v>
          </cell>
          <cell r="AH3">
            <v>2543</v>
          </cell>
          <cell r="AI3">
            <v>2544</v>
          </cell>
          <cell r="AJ3">
            <v>2545</v>
          </cell>
          <cell r="AK3">
            <v>2546</v>
          </cell>
          <cell r="AL3">
            <v>2547</v>
          </cell>
          <cell r="AM3">
            <v>2548</v>
          </cell>
          <cell r="AN3">
            <v>2549</v>
          </cell>
          <cell r="AO3">
            <v>2550</v>
          </cell>
          <cell r="AP3">
            <v>2551</v>
          </cell>
          <cell r="AQ3">
            <v>2552</v>
          </cell>
          <cell r="AR3">
            <v>2601</v>
          </cell>
          <cell r="AS3">
            <v>2602</v>
          </cell>
          <cell r="AT3">
            <v>2603</v>
          </cell>
          <cell r="AU3">
            <v>2604</v>
          </cell>
          <cell r="AV3">
            <v>2605</v>
          </cell>
          <cell r="AW3">
            <v>2606</v>
          </cell>
          <cell r="AX3">
            <v>2607</v>
          </cell>
          <cell r="AY3">
            <v>2608</v>
          </cell>
          <cell r="AZ3">
            <v>2609</v>
          </cell>
          <cell r="BA3">
            <v>2610</v>
          </cell>
          <cell r="BB3">
            <v>2611</v>
          </cell>
          <cell r="BC3">
            <v>2612</v>
          </cell>
          <cell r="BD3">
            <v>2613</v>
          </cell>
          <cell r="BE3">
            <v>2614</v>
          </cell>
          <cell r="BF3">
            <v>2615</v>
          </cell>
          <cell r="BG3">
            <v>2616</v>
          </cell>
          <cell r="BH3">
            <v>2617</v>
          </cell>
          <cell r="BI3">
            <v>2618</v>
          </cell>
          <cell r="BJ3">
            <v>2619</v>
          </cell>
          <cell r="BK3">
            <v>2620</v>
          </cell>
          <cell r="BL3">
            <v>2621</v>
          </cell>
          <cell r="BM3">
            <v>2622</v>
          </cell>
          <cell r="BN3">
            <v>2623</v>
          </cell>
          <cell r="BO3">
            <v>2624</v>
          </cell>
        </row>
        <row r="5">
          <cell r="Y5">
            <v>2523</v>
          </cell>
          <cell r="Z5">
            <v>2524</v>
          </cell>
          <cell r="AA5">
            <v>2525</v>
          </cell>
          <cell r="AB5">
            <v>2526</v>
          </cell>
          <cell r="AC5">
            <v>2527</v>
          </cell>
          <cell r="AD5">
            <v>2528</v>
          </cell>
          <cell r="AE5">
            <v>2529</v>
          </cell>
          <cell r="AF5">
            <v>2530</v>
          </cell>
          <cell r="AG5">
            <v>2531</v>
          </cell>
          <cell r="AH5">
            <v>2532</v>
          </cell>
          <cell r="AI5">
            <v>2533</v>
          </cell>
          <cell r="AJ5">
            <v>2534</v>
          </cell>
          <cell r="AK5">
            <v>2535</v>
          </cell>
          <cell r="AL5">
            <v>2536</v>
          </cell>
          <cell r="AM5">
            <v>2537</v>
          </cell>
          <cell r="AN5">
            <v>2538</v>
          </cell>
          <cell r="AO5">
            <v>2539</v>
          </cell>
          <cell r="AP5">
            <v>2540</v>
          </cell>
          <cell r="AQ5">
            <v>2541</v>
          </cell>
          <cell r="AR5">
            <v>2542</v>
          </cell>
          <cell r="AS5">
            <v>2543</v>
          </cell>
          <cell r="AT5">
            <v>2544</v>
          </cell>
          <cell r="AU5">
            <v>2545</v>
          </cell>
          <cell r="AV5">
            <v>2546</v>
          </cell>
          <cell r="AW5">
            <v>2547</v>
          </cell>
          <cell r="AX5">
            <v>2548</v>
          </cell>
          <cell r="AY5">
            <v>2549</v>
          </cell>
          <cell r="AZ5">
            <v>2550</v>
          </cell>
          <cell r="BA5">
            <v>2551</v>
          </cell>
          <cell r="BB5">
            <v>2552</v>
          </cell>
          <cell r="BC5">
            <v>2601</v>
          </cell>
          <cell r="BD5">
            <v>2602</v>
          </cell>
          <cell r="BE5">
            <v>2603</v>
          </cell>
          <cell r="BF5">
            <v>2604</v>
          </cell>
          <cell r="BG5">
            <v>2605</v>
          </cell>
          <cell r="BH5">
            <v>2606</v>
          </cell>
          <cell r="BI5">
            <v>2607</v>
          </cell>
          <cell r="BJ5">
            <v>2608</v>
          </cell>
          <cell r="BK5">
            <v>2609</v>
          </cell>
          <cell r="BL5">
            <v>2610</v>
          </cell>
          <cell r="BM5">
            <v>2611</v>
          </cell>
          <cell r="BN5">
            <v>2612</v>
          </cell>
          <cell r="BO5">
            <v>2613</v>
          </cell>
        </row>
        <row r="59">
          <cell r="A59" t="str">
            <v># Of Animals Under</v>
          </cell>
          <cell r="Y59">
            <v>2</v>
          </cell>
          <cell r="Z59">
            <v>8</v>
          </cell>
          <cell r="AA59">
            <v>2</v>
          </cell>
          <cell r="AB59">
            <v>4</v>
          </cell>
          <cell r="AC59">
            <v>6</v>
          </cell>
          <cell r="AD59">
            <v>6</v>
          </cell>
          <cell r="AE59">
            <v>12</v>
          </cell>
          <cell r="AF59">
            <v>13</v>
          </cell>
          <cell r="AG59">
            <v>8</v>
          </cell>
          <cell r="AH59">
            <v>11</v>
          </cell>
          <cell r="AI59">
            <v>2</v>
          </cell>
          <cell r="AJ59">
            <v>2</v>
          </cell>
          <cell r="AK59">
            <v>9</v>
          </cell>
          <cell r="AL59">
            <v>9</v>
          </cell>
          <cell r="AM59">
            <v>5</v>
          </cell>
          <cell r="AN59">
            <v>1</v>
          </cell>
          <cell r="AO59">
            <v>2</v>
          </cell>
          <cell r="AP59">
            <v>3</v>
          </cell>
          <cell r="AQ59">
            <v>6</v>
          </cell>
          <cell r="AR59">
            <v>5</v>
          </cell>
          <cell r="AS59">
            <v>8</v>
          </cell>
          <cell r="AT59">
            <v>2</v>
          </cell>
          <cell r="AU59">
            <v>4</v>
          </cell>
          <cell r="AV59">
            <v>2</v>
          </cell>
          <cell r="AX59">
            <v>2</v>
          </cell>
          <cell r="AY59">
            <v>1</v>
          </cell>
          <cell r="AZ59">
            <v>2</v>
          </cell>
          <cell r="BA59">
            <v>4</v>
          </cell>
          <cell r="BB59">
            <v>9</v>
          </cell>
          <cell r="BC59">
            <v>6</v>
          </cell>
          <cell r="BD59">
            <v>3</v>
          </cell>
          <cell r="BE59">
            <v>2</v>
          </cell>
          <cell r="BF59">
            <v>2</v>
          </cell>
          <cell r="BG59">
            <v>7</v>
          </cell>
          <cell r="BJ59">
            <v>7</v>
          </cell>
        </row>
        <row r="61">
          <cell r="A61" t="str">
            <v># Of Animals In</v>
          </cell>
          <cell r="Y61">
            <v>2</v>
          </cell>
          <cell r="AA61">
            <v>1</v>
          </cell>
          <cell r="AB61">
            <v>1</v>
          </cell>
          <cell r="AC61">
            <v>4</v>
          </cell>
          <cell r="AD61">
            <v>4</v>
          </cell>
          <cell r="AG61">
            <v>2</v>
          </cell>
          <cell r="AI61">
            <v>3</v>
          </cell>
          <cell r="AJ61">
            <v>5</v>
          </cell>
          <cell r="AK61">
            <v>1</v>
          </cell>
          <cell r="AL61">
            <v>1</v>
          </cell>
          <cell r="AM61">
            <v>1</v>
          </cell>
          <cell r="AN61">
            <v>5</v>
          </cell>
          <cell r="AO61">
            <v>7</v>
          </cell>
          <cell r="AP61">
            <v>7</v>
          </cell>
          <cell r="AQ61">
            <v>6</v>
          </cell>
          <cell r="AR61">
            <v>6</v>
          </cell>
          <cell r="AS61">
            <v>3</v>
          </cell>
          <cell r="AT61">
            <v>7</v>
          </cell>
          <cell r="AU61">
            <v>8</v>
          </cell>
          <cell r="AV61">
            <v>8</v>
          </cell>
          <cell r="AW61">
            <v>7</v>
          </cell>
          <cell r="AX61">
            <v>2</v>
          </cell>
          <cell r="AY61">
            <v>5</v>
          </cell>
          <cell r="AZ61">
            <v>7</v>
          </cell>
          <cell r="BA61">
            <v>5</v>
          </cell>
          <cell r="BB61">
            <v>1</v>
          </cell>
          <cell r="BC61">
            <v>5</v>
          </cell>
          <cell r="BD61">
            <v>7</v>
          </cell>
          <cell r="BE61">
            <v>7</v>
          </cell>
          <cell r="BF61">
            <v>4</v>
          </cell>
          <cell r="BG61">
            <v>7</v>
          </cell>
          <cell r="BH61">
            <v>4</v>
          </cell>
          <cell r="BI61">
            <v>4</v>
          </cell>
          <cell r="BJ61">
            <v>5</v>
          </cell>
        </row>
        <row r="63">
          <cell r="A63" t="str">
            <v># Of Animals Over</v>
          </cell>
          <cell r="Y63">
            <v>6</v>
          </cell>
          <cell r="Z63">
            <v>4</v>
          </cell>
          <cell r="AA63">
            <v>9</v>
          </cell>
          <cell r="AB63">
            <v>7</v>
          </cell>
          <cell r="AG63">
            <v>1</v>
          </cell>
          <cell r="AI63">
            <v>5</v>
          </cell>
          <cell r="AJ63">
            <v>3</v>
          </cell>
          <cell r="AK63">
            <v>2</v>
          </cell>
          <cell r="AL63">
            <v>2</v>
          </cell>
          <cell r="AM63">
            <v>6</v>
          </cell>
          <cell r="AN63">
            <v>3</v>
          </cell>
          <cell r="AO63">
            <v>2</v>
          </cell>
          <cell r="AP63">
            <v>1</v>
          </cell>
          <cell r="AS63">
            <v>1</v>
          </cell>
          <cell r="AT63">
            <v>1</v>
          </cell>
          <cell r="AV63">
            <v>2</v>
          </cell>
          <cell r="AW63">
            <v>5</v>
          </cell>
          <cell r="AX63">
            <v>8</v>
          </cell>
          <cell r="AY63">
            <v>3</v>
          </cell>
          <cell r="AZ63">
            <v>2</v>
          </cell>
          <cell r="BA63">
            <v>1</v>
          </cell>
          <cell r="BC63">
            <v>1</v>
          </cell>
          <cell r="BE63">
            <v>1</v>
          </cell>
          <cell r="BF63">
            <v>2</v>
          </cell>
          <cell r="BG63">
            <v>1</v>
          </cell>
          <cell r="BH63">
            <v>8</v>
          </cell>
          <cell r="BI63">
            <v>6</v>
          </cell>
        </row>
        <row r="99">
          <cell r="A99" t="str">
            <v># Of Animals Under</v>
          </cell>
          <cell r="Y99">
            <v>3</v>
          </cell>
          <cell r="Z99">
            <v>3</v>
          </cell>
          <cell r="AG99">
            <v>4</v>
          </cell>
          <cell r="AK99">
            <v>2</v>
          </cell>
          <cell r="AN99">
            <v>1</v>
          </cell>
          <cell r="AQ99">
            <v>2</v>
          </cell>
          <cell r="AS99">
            <v>3</v>
          </cell>
          <cell r="AT99">
            <v>1</v>
          </cell>
          <cell r="AU99">
            <v>1</v>
          </cell>
          <cell r="AW99">
            <v>3</v>
          </cell>
          <cell r="AX99">
            <v>1</v>
          </cell>
          <cell r="BB99">
            <v>2</v>
          </cell>
          <cell r="BC99">
            <v>2</v>
          </cell>
          <cell r="BD99">
            <v>4</v>
          </cell>
          <cell r="BF99">
            <v>1</v>
          </cell>
          <cell r="BH99">
            <v>2</v>
          </cell>
          <cell r="BJ99">
            <v>1</v>
          </cell>
        </row>
        <row r="101">
          <cell r="A101" t="str">
            <v># Of Animals In</v>
          </cell>
          <cell r="Y101">
            <v>2</v>
          </cell>
          <cell r="Z101">
            <v>3</v>
          </cell>
          <cell r="AB101">
            <v>1</v>
          </cell>
          <cell r="AC101">
            <v>1</v>
          </cell>
          <cell r="AD101">
            <v>1</v>
          </cell>
          <cell r="AE101">
            <v>1</v>
          </cell>
          <cell r="AF101">
            <v>2</v>
          </cell>
          <cell r="AG101">
            <v>3</v>
          </cell>
          <cell r="AH101">
            <v>2</v>
          </cell>
          <cell r="AI101">
            <v>4</v>
          </cell>
          <cell r="AJ101">
            <v>9</v>
          </cell>
          <cell r="AL101">
            <v>1</v>
          </cell>
          <cell r="AM101">
            <v>7</v>
          </cell>
          <cell r="AO101">
            <v>1</v>
          </cell>
          <cell r="AP101">
            <v>3</v>
          </cell>
          <cell r="AQ101">
            <v>2</v>
          </cell>
          <cell r="AR101">
            <v>3</v>
          </cell>
          <cell r="AS101">
            <v>8</v>
          </cell>
          <cell r="AT101">
            <v>8</v>
          </cell>
          <cell r="AU101">
            <v>8</v>
          </cell>
          <cell r="AV101">
            <v>8</v>
          </cell>
          <cell r="AW101">
            <v>8</v>
          </cell>
          <cell r="AX101">
            <v>9</v>
          </cell>
          <cell r="AY101">
            <v>5</v>
          </cell>
          <cell r="AZ101">
            <v>11</v>
          </cell>
          <cell r="BA101">
            <v>10</v>
          </cell>
          <cell r="BB101">
            <v>9</v>
          </cell>
          <cell r="BC101">
            <v>6</v>
          </cell>
          <cell r="BD101">
            <v>7</v>
          </cell>
          <cell r="BE101">
            <v>8</v>
          </cell>
          <cell r="BF101">
            <v>11</v>
          </cell>
          <cell r="BG101">
            <v>12</v>
          </cell>
          <cell r="BH101">
            <v>9</v>
          </cell>
          <cell r="BI101">
            <v>7</v>
          </cell>
          <cell r="BJ101">
            <v>11</v>
          </cell>
        </row>
        <row r="103">
          <cell r="A103" t="str">
            <v># Of Animals Over</v>
          </cell>
          <cell r="Y103">
            <v>2</v>
          </cell>
          <cell r="Z103">
            <v>4</v>
          </cell>
          <cell r="AA103">
            <v>10</v>
          </cell>
          <cell r="AB103">
            <v>9</v>
          </cell>
          <cell r="AC103">
            <v>9</v>
          </cell>
          <cell r="AD103">
            <v>9</v>
          </cell>
          <cell r="AE103">
            <v>11</v>
          </cell>
          <cell r="AF103">
            <v>8</v>
          </cell>
          <cell r="AG103">
            <v>5</v>
          </cell>
          <cell r="AH103">
            <v>9</v>
          </cell>
          <cell r="AI103">
            <v>7</v>
          </cell>
          <cell r="AK103">
            <v>11</v>
          </cell>
          <cell r="AL103">
            <v>9</v>
          </cell>
          <cell r="AM103">
            <v>4</v>
          </cell>
          <cell r="AN103">
            <v>11</v>
          </cell>
          <cell r="AO103">
            <v>7</v>
          </cell>
          <cell r="AP103">
            <v>7</v>
          </cell>
          <cell r="AQ103">
            <v>8</v>
          </cell>
          <cell r="AR103">
            <v>8</v>
          </cell>
          <cell r="AT103">
            <v>1</v>
          </cell>
          <cell r="AV103">
            <v>1</v>
          </cell>
          <cell r="AW103">
            <v>1</v>
          </cell>
          <cell r="AX103">
            <v>2</v>
          </cell>
          <cell r="AY103">
            <v>4</v>
          </cell>
          <cell r="BA103">
            <v>1</v>
          </cell>
          <cell r="BC103">
            <v>2</v>
          </cell>
          <cell r="BD103">
            <v>1</v>
          </cell>
          <cell r="BE103">
            <v>2</v>
          </cell>
          <cell r="BH103">
            <v>1</v>
          </cell>
          <cell r="BI103">
            <v>4</v>
          </cell>
        </row>
      </sheetData>
    </sheetDataSet>
  </externalBook>
</externalLink>
</file>

<file path=xl/persons/person.xml><?xml version="1.0" encoding="utf-8"?>
<personList xmlns="http://schemas.microsoft.com/office/spreadsheetml/2018/threadedcomments" xmlns:x="http://schemas.openxmlformats.org/spreadsheetml/2006/main">
  <person displayName="Gerd Baum" id="{5B8C7658-DEEB-485F-AF4F-A8C7610476D6}" userId="S::gerd@grasmere.co.zw::a5c77314-ef41-4af9-ac65-8053ac1041de" providerId="AD"/>
  <person displayName="Johan Odendaal" id="{984DEC67-A731-480B-917A-D69EEDF93858}" userId="S::johan@grasmere.co.zw::ac39a918-291c-46e8-a600-fc4196287077" providerId="AD"/>
  <person displayName="Jimmyson Kazangarare" id="{51284FA4-357D-4B0D-9D22-31EB02C88F7D}" userId="S::Jimmyson@grasmere.co.zw::c5cb7563-8501-40f5-9ddf-79bf36741f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4" dT="2026-09-09T05:31:53.23" personId="{984DEC67-A731-480B-917A-D69EEDF93858}" id="{AD437AE7-6A5A-4977-A8DF-3A06590AE3D1}">
    <text>In gilt rearing FCE alerts are not relevant - although we would like to track it</text>
  </threadedComment>
  <threadedComment ref="Y4" dT="2026-09-09T05:33:34.59" personId="{984DEC67-A731-480B-917A-D69EEDF93858}" id="{AC08C226-4B9D-4633-84DE-DDE2A6A6EBD6}" parentId="{AD437AE7-6A5A-4977-A8DF-3A06590AE3D1}">
    <text>Consider cumulative per month and then monthly summaries per the entire gilt rearing phase</text>
  </threadedComment>
  <threadedComment ref="Z4" dT="2026-09-08T14:49:29.54" personId="{984DEC67-A731-480B-917A-D69EEDF93858}" id="{0ACDBAFA-6A08-457C-8CD0-23EED281C120}">
    <text>Any gilt mortality should be alerted - no % for this stage as data set too small to run reasonable %’s however we need to take note of any mortality and the reasons in this stage</text>
  </threadedComment>
  <threadedComment ref="AB4" dT="2026-09-09T05:34:38.63" personId="{984DEC67-A731-480B-917A-D69EEDF93858}" id="{581456E6-D3F3-4786-887F-EBD01245E15F}">
    <text xml:space="preserve">See sample sheet - Sample 10, 16 and 27 week variation </text>
  </threadedComment>
  <threadedComment ref="AJ4" dT="2026-09-09T05:35:43.65" personId="{984DEC67-A731-480B-917A-D69EEDF93858}" id="{403A9A34-1857-4990-898B-EE97E0B5A20E}">
    <text>See medication table</text>
  </threadedComment>
  <threadedComment ref="AP4" dT="2026-08-25T04:39:36.35" personId="{984DEC67-A731-480B-917A-D69EEDF93858}" id="{F9E4606B-A9A1-4E38-BBF7-47A708289678}">
    <text>Comments, notes and instructions change - So make this a section that is editable by farm manager and GM</text>
  </threadedComment>
  <threadedComment ref="AB6" dT="2026-09-09T05:34:38.63" personId="{984DEC67-A731-480B-917A-D69EEDF93858}" id="{1256FE6A-A21B-43E1-8409-3BA57A9BEC32}">
    <text xml:space="preserve">See sample sheet - Sample 10, 16 and 27 week variation </text>
  </threadedComment>
  <threadedComment ref="AA29" dT="2026-09-08T14:44:59.07" personId="{984DEC67-A731-480B-917A-D69EEDF93858}" id="{A1F0B283-AD6B-49CF-8AF8-87D16A734B25}">
    <text xml:space="preserve">We need an alert to send gilt to the service line. Considerations based on her 24 to 27 week ADG, that she will be minimum in the service line for 10 days, that she will be minimum 30 weeks old and minimum entry service weight based on target range </text>
  </threadedComment>
  <threadedComment ref="AD29" dT="2026-08-28T13:35:04.78" personId="{984DEC67-A731-480B-917A-D69EEDF93858}" id="{E292B7B3-A18F-400D-9815-51542997835A}">
    <text>Add the range</text>
  </threadedComment>
  <threadedComment ref="AC36" dT="2026-09-09T12:59:48.68" personId="{984DEC67-A731-480B-917A-D69EEDF93858}" id="{E1787C9D-ED67-4E8D-ACE2-785AA63EF16A}">
    <text>Gilt service target</text>
  </threadedComment>
</ThreadedComments>
</file>

<file path=xl/threadedComments/threadedComment2.xml><?xml version="1.0" encoding="utf-8"?>
<ThreadedComments xmlns="http://schemas.microsoft.com/office/spreadsheetml/2018/threadedcomments" xmlns:x="http://schemas.openxmlformats.org/spreadsheetml/2006/main">
  <threadedComment ref="X26" dT="2026-09-08T08:18:28.74" personId="{51284FA4-357D-4B0D-9D22-31EB02C88F7D}" id="{D7A2DEC0-AB45-4091-9832-DC26EE65D87C}">
    <text xml:space="preserve">We need to see the individual animal weight loss variation </text>
  </threadedComment>
  <threadedComment ref="AI26" dT="2026-09-04T12:00:14.04" personId="{984DEC67-A731-480B-917A-D69EEDF93858}" id="{673077D9-341B-46D4-AB50-F57AAE15AFBE}">
    <text xml:space="preserve">Gilts should have piglets fostered on to always wean as many piglets as there are teats, even if the BA is lower than the teat #
</text>
  </threadedComment>
  <threadedComment ref="Q32" dT="2026-09-09T09:38:43.60" personId="{5B8C7658-DEEB-485F-AF4F-A8C7610476D6}" id="{285C5AD8-92E1-4C4D-B1FB-B3011EF9B9C3}">
    <text>SEE FEED IN GESTATION SHEET</text>
  </threadedComment>
  <threadedComment ref="U32" dT="2026-09-04T12:37:15.35" personId="{984DEC67-A731-480B-917A-D69EEDF93858}" id="{1B8D76B9-23E1-40B8-93AA-5736B9BA1A4F}">
    <text xml:space="preserve">Gain for the phase more important than ADG </text>
  </threadedComment>
  <threadedComment ref="Z32" dT="2026-09-04T12:43:19.86" personId="{984DEC67-A731-480B-917A-D69EEDF93858}" id="{F505A4CE-AB65-4583-AEE4-3D10D87385DB}">
    <text>Need alert if 2nd parity farrow rate drops below 90%</text>
  </threadedComment>
  <threadedComment ref="AL32" dT="2026-09-03T14:28:28.15" personId="{984DEC67-A731-480B-917A-D69EEDF93858}" id="{61C3CCD6-2903-4771-B8ED-8444286B588F}">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32" dT="2026-09-03T14:29:47.87" personId="{984DEC67-A731-480B-917A-D69EEDF93858}" id="{7E4C3B3A-2C37-472B-AF55-48A645A82007}" parentId="{61C3CCD6-2903-4771-B8ED-8444286B588F}">
    <text>NB: Codes need to be the same as the pig vision mortality codes</text>
  </threadedComment>
  <threadedComment ref="AE49" dT="2026-09-04T05:49:43.48" personId="{984DEC67-A731-480B-917A-D69EEDF93858}" id="{1DEDD61F-496E-437C-AABF-B3AEEED8F9C3}">
    <text>Avg birth weight of piglets born from gilts - will not always be measured but sometimes we require this so we need an option</text>
  </threadedComment>
  <threadedComment ref="AE49" dT="2026-09-04T07:05:06.05" personId="{984DEC67-A731-480B-917A-D69EEDF93858}" id="{3715B891-E31B-4E30-97BA-DD93134904D0}" parentId="{1DEDD61F-496E-437C-AABF-B3AEEED8F9C3}">
    <text xml:space="preserve">Target birth weight is 1.3kgs </text>
  </threadedComment>
  <threadedComment ref="AL49" dT="2026-09-04T05:38:42.84" personId="{984DEC67-A731-480B-917A-D69EEDF93858}" id="{AA3A4D31-FC25-487C-9A8E-B66D20EA0E8D}">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N49" dT="2026-09-04T05:53:47.88" personId="{984DEC67-A731-480B-917A-D69EEDF93858}" id="{297A1AC3-A371-4D78-8B3B-327F87640DAB}">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49" dT="2026-09-04T05:55:08.94" personId="{984DEC67-A731-480B-917A-D69EEDF93858}" id="{34507108-A8FD-4CFC-B694-5728872E2AA7}">
    <text>This is the total litter mass per gilt - weaned per sow x avg wean weight -we always capture this for the whole herd and not always as per individual animal however we need the option</text>
  </threadedComment>
  <threadedComment ref="H60" dT="2026-09-04T06:25:15.74" personId="{984DEC67-A731-480B-917A-D69EEDF93858}" id="{EE6FF09B-E582-4372-9ED1-71EAED1C8140}">
    <text>After the Wednesday an animal will now be considered a stand over</text>
  </threadedComment>
  <threadedComment ref="H60" dT="2026-09-04T13:46:30.01" personId="{984DEC67-A731-480B-917A-D69EEDF93858}" id="{7DBA7260-F23F-4E07-BB7A-3BC1BDAFAA2A}" parentId="{EE6FF09B-E582-4372-9ED1-71EAED1C8140}">
    <text>We need a cull indicator on 3rd parity plus</text>
  </threadedComment>
  <threadedComment ref="Q64" dT="2026-09-09T09:38:43.60" personId="{5B8C7658-DEEB-485F-AF4F-A8C7610476D6}" id="{AD01ABD4-4D11-4755-9847-98F031DCA75D}">
    <text>SEE FEED IN GESTATION SHEET</text>
  </threadedComment>
  <threadedComment ref="AL64" dT="2026-09-03T14:28:28.15" personId="{984DEC67-A731-480B-917A-D69EEDF93858}" id="{15508949-68E3-4BB2-8EFB-81F9698E9BC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4" dT="2026-09-03T14:29:47.87" personId="{984DEC67-A731-480B-917A-D69EEDF93858}" id="{A81E607D-02E6-45DD-8E6D-5EAD4BF8CADC}" parentId="{15508949-68E3-4BB2-8EFB-81F9698E9BC3}">
    <text>NB: Codes need to be the same as the pig vision mortality codes</text>
  </threadedComment>
  <threadedComment ref="AE81" dT="2026-09-04T05:49:43.48" personId="{984DEC67-A731-480B-917A-D69EEDF93858}" id="{AE0BBDA6-2D00-4655-8A80-54FC75AB7BE2}">
    <text>Avg birth weight of piglets born from gilts - will not always be measured but sometimes we require this so we need an option</text>
  </threadedComment>
  <threadedComment ref="AE81" dT="2026-09-04T07:05:06.05" personId="{984DEC67-A731-480B-917A-D69EEDF93858}" id="{A4C86972-7FC4-4C9C-9508-B57FFDAE8DBC}" parentId="{AE0BBDA6-2D00-4655-8A80-54FC75AB7BE2}">
    <text xml:space="preserve">Target birth weight is 1.3kgs </text>
  </threadedComment>
  <threadedComment ref="AL81" dT="2026-09-04T05:38:42.84" personId="{984DEC67-A731-480B-917A-D69EEDF93858}" id="{8E940FC8-BF55-4A09-AABF-74A12039C407}">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N81" dT="2026-09-04T05:53:47.88" personId="{984DEC67-A731-480B-917A-D69EEDF93858}" id="{3C6A3446-FFFD-4A1D-9FEA-04A6E972F506}">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81" dT="2026-09-04T05:55:08.94" personId="{984DEC67-A731-480B-917A-D69EEDF93858}" id="{198DD59D-0E44-43D6-937E-74A80104EBAB}">
    <text>This is the total litter mass per gilt - weaned per sow x avg wean weight -we always capture this for the whole herd and not always as per individual animal however we need the option</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AB1B-8A3D-4607-AD10-6FE2C3BB1F6F}">
  <dimension ref="A1:AM31"/>
  <sheetViews>
    <sheetView topLeftCell="AH1" workbookViewId="0">
      <selection activeCell="AQ13" sqref="AQ13"/>
    </sheetView>
  </sheetViews>
  <sheetFormatPr defaultColWidth="23.5703125" defaultRowHeight="15" x14ac:dyDescent="0.25"/>
  <cols>
    <col min="1" max="1" width="10.85546875" bestFit="1" customWidth="1"/>
    <col min="2" max="2" width="17.140625" customWidth="1"/>
    <col min="3" max="3" width="13.7109375" customWidth="1"/>
    <col min="4" max="4" width="18.28515625" customWidth="1"/>
    <col min="5" max="5" width="19" customWidth="1"/>
    <col min="6" max="6" width="14.140625" customWidth="1"/>
    <col min="7" max="10" width="14.7109375" customWidth="1"/>
    <col min="11" max="11" width="19.140625" customWidth="1"/>
    <col min="12" max="12" width="13.42578125" customWidth="1"/>
    <col min="13" max="15" width="12.5703125" customWidth="1"/>
    <col min="16" max="16" width="16.85546875" customWidth="1"/>
    <col min="17" max="17" width="13.7109375" customWidth="1"/>
    <col min="18" max="18" width="20.85546875" customWidth="1"/>
    <col min="19" max="19" width="13.28515625" customWidth="1"/>
    <col min="20" max="20" width="17.140625" customWidth="1"/>
    <col min="21" max="21" width="15.85546875" customWidth="1"/>
    <col min="22" max="22" width="14.85546875" customWidth="1"/>
    <col min="23" max="32" width="22.42578125" customWidth="1"/>
    <col min="33" max="33" width="19.140625" bestFit="1" customWidth="1"/>
    <col min="34" max="34" width="35.28515625" customWidth="1"/>
    <col min="35" max="35" width="33.42578125" customWidth="1"/>
    <col min="36" max="36" width="38.28515625" customWidth="1"/>
    <col min="37" max="37" width="29.28515625" customWidth="1"/>
    <col min="38" max="38" width="39" customWidth="1"/>
    <col min="39" max="39" width="8.42578125" bestFit="1" customWidth="1"/>
  </cols>
  <sheetData>
    <row r="1" spans="1:39" ht="24" x14ac:dyDescent="0.25">
      <c r="A1" s="1" t="s">
        <v>0</v>
      </c>
      <c r="B1" s="4" t="s">
        <v>123</v>
      </c>
      <c r="C1" s="5" t="s">
        <v>124</v>
      </c>
      <c r="D1" s="4" t="s">
        <v>125</v>
      </c>
      <c r="E1" s="5" t="s">
        <v>126</v>
      </c>
      <c r="F1" s="4" t="s">
        <v>127</v>
      </c>
      <c r="G1" s="5" t="s">
        <v>128</v>
      </c>
      <c r="H1" s="24" t="s">
        <v>129</v>
      </c>
      <c r="I1" s="5" t="s">
        <v>130</v>
      </c>
      <c r="J1" s="5" t="s">
        <v>131</v>
      </c>
      <c r="K1" s="6" t="s">
        <v>132</v>
      </c>
      <c r="L1" s="4" t="s">
        <v>133</v>
      </c>
      <c r="M1" s="6" t="s">
        <v>134</v>
      </c>
      <c r="N1" s="6" t="s">
        <v>135</v>
      </c>
      <c r="O1" s="6" t="s">
        <v>136</v>
      </c>
      <c r="P1" s="5" t="s">
        <v>137</v>
      </c>
      <c r="Q1" s="4" t="s">
        <v>138</v>
      </c>
      <c r="R1" s="6" t="s">
        <v>139</v>
      </c>
      <c r="S1" s="5" t="s">
        <v>140</v>
      </c>
      <c r="T1" s="4" t="s">
        <v>141</v>
      </c>
      <c r="U1" s="6" t="s">
        <v>142</v>
      </c>
      <c r="V1" s="6" t="s">
        <v>143</v>
      </c>
      <c r="W1" s="6" t="s">
        <v>144</v>
      </c>
      <c r="X1" s="6" t="s">
        <v>145</v>
      </c>
      <c r="Y1" s="6" t="s">
        <v>146</v>
      </c>
      <c r="Z1" s="6" t="s">
        <v>147</v>
      </c>
      <c r="AA1" s="6" t="s">
        <v>148</v>
      </c>
      <c r="AB1" s="6" t="s">
        <v>149</v>
      </c>
      <c r="AC1" s="6" t="s">
        <v>150</v>
      </c>
      <c r="AD1" s="6" t="s">
        <v>151</v>
      </c>
      <c r="AE1" s="6" t="s">
        <v>152</v>
      </c>
      <c r="AF1" s="6" t="s">
        <v>153</v>
      </c>
      <c r="AG1" s="5" t="s">
        <v>154</v>
      </c>
      <c r="AH1" s="4" t="s">
        <v>155</v>
      </c>
      <c r="AI1" s="6" t="s">
        <v>155</v>
      </c>
      <c r="AJ1" s="6" t="s">
        <v>155</v>
      </c>
      <c r="AK1" s="6" t="s">
        <v>155</v>
      </c>
      <c r="AL1" s="6" t="s">
        <v>155</v>
      </c>
      <c r="AM1" s="4" t="s">
        <v>32</v>
      </c>
    </row>
    <row r="2" spans="1:39" ht="24" x14ac:dyDescent="0.25">
      <c r="A2" s="1" t="s">
        <v>0</v>
      </c>
      <c r="B2" s="4" t="s">
        <v>123</v>
      </c>
      <c r="C2" s="5" t="s">
        <v>124</v>
      </c>
      <c r="D2" s="4" t="s">
        <v>125</v>
      </c>
      <c r="E2" s="5" t="s">
        <v>126</v>
      </c>
      <c r="F2" s="4" t="s">
        <v>127</v>
      </c>
      <c r="G2" s="5" t="s">
        <v>128</v>
      </c>
      <c r="H2" s="24" t="s">
        <v>129</v>
      </c>
      <c r="I2" s="5" t="s">
        <v>130</v>
      </c>
      <c r="J2" s="5" t="s">
        <v>131</v>
      </c>
      <c r="K2" s="6" t="s">
        <v>132</v>
      </c>
      <c r="L2" s="4" t="s">
        <v>133</v>
      </c>
      <c r="M2" s="6" t="s">
        <v>134</v>
      </c>
      <c r="N2" s="6" t="s">
        <v>135</v>
      </c>
      <c r="O2" s="6" t="s">
        <v>136</v>
      </c>
      <c r="P2" s="5" t="s">
        <v>137</v>
      </c>
      <c r="Q2" s="4" t="s">
        <v>138</v>
      </c>
      <c r="R2" s="6" t="s">
        <v>139</v>
      </c>
      <c r="S2" s="5" t="s">
        <v>140</v>
      </c>
      <c r="T2" s="4" t="s">
        <v>141</v>
      </c>
      <c r="U2" s="6" t="s">
        <v>142</v>
      </c>
      <c r="V2" s="6" t="s">
        <v>143</v>
      </c>
      <c r="W2" s="6" t="s">
        <v>144</v>
      </c>
      <c r="X2" s="6" t="s">
        <v>145</v>
      </c>
      <c r="Y2" s="6" t="s">
        <v>146</v>
      </c>
      <c r="Z2" s="6" t="s">
        <v>147</v>
      </c>
      <c r="AA2" s="6" t="s">
        <v>148</v>
      </c>
      <c r="AB2" s="6" t="s">
        <v>149</v>
      </c>
      <c r="AC2" s="6" t="s">
        <v>150</v>
      </c>
      <c r="AD2" s="6" t="s">
        <v>151</v>
      </c>
      <c r="AE2" s="6" t="s">
        <v>152</v>
      </c>
      <c r="AF2" s="6" t="s">
        <v>153</v>
      </c>
      <c r="AG2" s="5" t="s">
        <v>154</v>
      </c>
      <c r="AH2" s="4" t="s">
        <v>155</v>
      </c>
      <c r="AI2" s="6" t="s">
        <v>155</v>
      </c>
      <c r="AJ2" s="6" t="s">
        <v>155</v>
      </c>
      <c r="AK2" s="6" t="s">
        <v>155</v>
      </c>
      <c r="AL2" s="6" t="s">
        <v>155</v>
      </c>
      <c r="AM2" s="4" t="s">
        <v>32</v>
      </c>
    </row>
    <row r="3" spans="1:39" ht="60" x14ac:dyDescent="0.25">
      <c r="A3" s="1" t="s">
        <v>34</v>
      </c>
      <c r="B3" s="11" t="s">
        <v>156</v>
      </c>
      <c r="C3" s="12" t="s">
        <v>157</v>
      </c>
      <c r="D3" s="11" t="s">
        <v>158</v>
      </c>
      <c r="E3" s="12" t="s">
        <v>159</v>
      </c>
      <c r="F3" s="11" t="s">
        <v>160</v>
      </c>
      <c r="G3" s="12" t="s">
        <v>161</v>
      </c>
      <c r="H3" s="25" t="s">
        <v>162</v>
      </c>
      <c r="I3" s="12" t="s">
        <v>163</v>
      </c>
      <c r="J3" s="12"/>
      <c r="K3" s="13" t="s">
        <v>164</v>
      </c>
      <c r="L3" s="11" t="s">
        <v>165</v>
      </c>
      <c r="M3" s="13" t="s">
        <v>166</v>
      </c>
      <c r="N3" s="13" t="s">
        <v>167</v>
      </c>
      <c r="O3" s="13" t="s">
        <v>168</v>
      </c>
      <c r="P3" s="12" t="s">
        <v>169</v>
      </c>
      <c r="Q3" s="11" t="s">
        <v>170</v>
      </c>
      <c r="R3" s="13"/>
      <c r="S3" s="12" t="s">
        <v>171</v>
      </c>
      <c r="T3" s="11" t="s">
        <v>172</v>
      </c>
      <c r="U3" s="13" t="s">
        <v>173</v>
      </c>
      <c r="V3" s="13" t="s">
        <v>174</v>
      </c>
      <c r="W3" s="13" t="s">
        <v>174</v>
      </c>
      <c r="X3" s="13" t="s">
        <v>174</v>
      </c>
      <c r="Y3" s="13"/>
      <c r="Z3" s="13"/>
      <c r="AA3" s="13"/>
      <c r="AB3" s="13"/>
      <c r="AC3" s="13"/>
      <c r="AD3" s="13"/>
      <c r="AE3" s="13"/>
      <c r="AF3" s="13"/>
      <c r="AG3" s="12" t="s">
        <v>175</v>
      </c>
      <c r="AH3" s="11" t="s">
        <v>176</v>
      </c>
      <c r="AI3" s="13" t="s">
        <v>176</v>
      </c>
      <c r="AJ3" s="13" t="s">
        <v>176</v>
      </c>
      <c r="AK3" s="13" t="s">
        <v>176</v>
      </c>
      <c r="AL3" s="13" t="s">
        <v>176</v>
      </c>
      <c r="AM3" s="11" t="s">
        <v>177</v>
      </c>
    </row>
    <row r="4" spans="1:39" ht="24" x14ac:dyDescent="0.25">
      <c r="A4" s="1" t="s">
        <v>63</v>
      </c>
      <c r="B4" s="11" t="s">
        <v>178</v>
      </c>
      <c r="C4" s="12" t="s">
        <v>179</v>
      </c>
      <c r="D4" s="26" t="s">
        <v>180</v>
      </c>
      <c r="E4" s="27" t="s">
        <v>181</v>
      </c>
      <c r="F4" s="26" t="s">
        <v>182</v>
      </c>
      <c r="G4" s="27" t="s">
        <v>183</v>
      </c>
      <c r="H4" s="28" t="s">
        <v>184</v>
      </c>
      <c r="I4" s="12" t="s">
        <v>185</v>
      </c>
      <c r="J4" s="12"/>
      <c r="K4" s="13"/>
      <c r="L4" s="11" t="s">
        <v>186</v>
      </c>
      <c r="M4" s="13"/>
      <c r="N4" s="13"/>
      <c r="O4" s="13"/>
      <c r="P4" s="12" t="s">
        <v>184</v>
      </c>
      <c r="Q4" s="11" t="s">
        <v>187</v>
      </c>
      <c r="R4" s="13"/>
      <c r="S4" s="12" t="s">
        <v>188</v>
      </c>
      <c r="T4" s="11" t="s">
        <v>189</v>
      </c>
      <c r="U4" s="13"/>
      <c r="V4" s="13"/>
      <c r="W4" s="13"/>
      <c r="X4" s="13"/>
      <c r="Y4" s="13"/>
      <c r="Z4" s="13"/>
      <c r="AA4" s="13"/>
      <c r="AB4" s="13"/>
      <c r="AC4" s="13"/>
      <c r="AD4" s="13"/>
      <c r="AE4" s="13"/>
      <c r="AF4" s="13"/>
      <c r="AG4" s="12">
        <v>18</v>
      </c>
      <c r="AH4" s="11" t="s">
        <v>190</v>
      </c>
      <c r="AI4" s="13" t="s">
        <v>190</v>
      </c>
      <c r="AJ4" s="13" t="s">
        <v>190</v>
      </c>
      <c r="AK4" s="13" t="s">
        <v>190</v>
      </c>
      <c r="AL4" s="13" t="s">
        <v>190</v>
      </c>
      <c r="AM4" s="11" t="b">
        <v>0</v>
      </c>
    </row>
    <row r="5" spans="1:39" x14ac:dyDescent="0.25">
      <c r="A5" s="1" t="s">
        <v>191</v>
      </c>
      <c r="B5" s="29" t="s">
        <v>192</v>
      </c>
      <c r="C5" s="30" t="s">
        <v>192</v>
      </c>
      <c r="D5" s="29" t="s">
        <v>192</v>
      </c>
      <c r="E5" s="27" t="s">
        <v>193</v>
      </c>
      <c r="F5" s="26" t="s">
        <v>193</v>
      </c>
      <c r="G5" s="27" t="s">
        <v>193</v>
      </c>
      <c r="H5" s="28" t="s">
        <v>193</v>
      </c>
      <c r="I5" s="27" t="s">
        <v>193</v>
      </c>
      <c r="J5" s="27"/>
      <c r="K5" s="31"/>
      <c r="L5" s="26" t="s">
        <v>193</v>
      </c>
      <c r="M5" s="31"/>
      <c r="N5" s="31"/>
      <c r="O5" s="31"/>
      <c r="P5" s="27" t="s">
        <v>193</v>
      </c>
      <c r="Q5" s="26" t="s">
        <v>193</v>
      </c>
      <c r="R5" s="31"/>
      <c r="S5" s="27" t="s">
        <v>193</v>
      </c>
      <c r="T5" s="26" t="s">
        <v>194</v>
      </c>
      <c r="U5" s="31"/>
      <c r="V5" s="31"/>
      <c r="W5" s="31"/>
      <c r="X5" s="31"/>
      <c r="Y5" s="31"/>
      <c r="Z5" s="31"/>
      <c r="AA5" s="31"/>
      <c r="AB5" s="31"/>
      <c r="AC5" s="31"/>
      <c r="AD5" s="31"/>
      <c r="AE5" s="31"/>
      <c r="AF5" s="31"/>
      <c r="AG5" s="27" t="s">
        <v>194</v>
      </c>
      <c r="AH5" s="26" t="s">
        <v>193</v>
      </c>
      <c r="AI5" s="31" t="s">
        <v>193</v>
      </c>
      <c r="AJ5" s="31" t="s">
        <v>193</v>
      </c>
      <c r="AK5" s="31" t="s">
        <v>193</v>
      </c>
      <c r="AL5" s="31" t="s">
        <v>193</v>
      </c>
      <c r="AM5" s="29" t="s">
        <v>192</v>
      </c>
    </row>
    <row r="6" spans="1:39" ht="15" customHeight="1" x14ac:dyDescent="0.25">
      <c r="E6" s="17"/>
      <c r="F6" s="17"/>
      <c r="G6" s="17"/>
      <c r="H6" s="17"/>
      <c r="S6" s="32"/>
    </row>
    <row r="7" spans="1:39" ht="30" x14ac:dyDescent="0.25">
      <c r="B7" t="s">
        <v>195</v>
      </c>
      <c r="C7" t="s">
        <v>195</v>
      </c>
      <c r="E7" s="17">
        <v>116</v>
      </c>
      <c r="F7" s="17">
        <v>28</v>
      </c>
      <c r="G7" s="17" t="s">
        <v>196</v>
      </c>
      <c r="H7" s="17" t="s">
        <v>197</v>
      </c>
      <c r="I7">
        <v>8</v>
      </c>
      <c r="J7" t="s">
        <v>310</v>
      </c>
      <c r="K7" s="33">
        <v>16.100000000000001</v>
      </c>
      <c r="L7" s="33">
        <v>15</v>
      </c>
      <c r="M7" s="33">
        <v>0.8</v>
      </c>
      <c r="N7" s="33">
        <v>0.3</v>
      </c>
      <c r="O7" s="34">
        <v>7.4999999999999997E-2</v>
      </c>
      <c r="P7" s="35">
        <v>13.9</v>
      </c>
      <c r="Q7" s="17">
        <v>7.2</v>
      </c>
      <c r="R7" s="36">
        <v>104</v>
      </c>
      <c r="S7" s="37">
        <v>0.92</v>
      </c>
      <c r="T7" s="17">
        <v>159</v>
      </c>
      <c r="U7" s="17">
        <v>3</v>
      </c>
      <c r="V7" s="36">
        <v>33.6</v>
      </c>
      <c r="W7">
        <v>2.42</v>
      </c>
      <c r="X7">
        <v>18</v>
      </c>
      <c r="Y7">
        <v>28</v>
      </c>
      <c r="Z7">
        <v>21</v>
      </c>
      <c r="AA7">
        <v>1.45</v>
      </c>
      <c r="AB7" s="32">
        <v>5.0000000000000001E-3</v>
      </c>
      <c r="AC7">
        <v>2.4</v>
      </c>
      <c r="AD7" s="32">
        <v>1.6E-2</v>
      </c>
      <c r="AE7">
        <f>+[1]Sheet1!$E$95</f>
        <v>1.1000000000000001</v>
      </c>
      <c r="AF7">
        <f>+[1]Sheet1!$E$98</f>
        <v>94</v>
      </c>
      <c r="AG7">
        <v>29</v>
      </c>
      <c r="AH7" s="38" t="s">
        <v>210</v>
      </c>
      <c r="AI7" s="38" t="s">
        <v>211</v>
      </c>
      <c r="AJ7" s="38" t="s">
        <v>198</v>
      </c>
      <c r="AK7" s="38" t="s">
        <v>212</v>
      </c>
      <c r="AL7" s="38" t="s">
        <v>213</v>
      </c>
    </row>
    <row r="8" spans="1:39" ht="15" customHeight="1" x14ac:dyDescent="0.25">
      <c r="C8" t="s">
        <v>199</v>
      </c>
      <c r="H8" s="17"/>
      <c r="S8" s="32"/>
      <c r="T8" s="17"/>
      <c r="AH8" s="38"/>
      <c r="AK8" s="38"/>
      <c r="AL8" s="38"/>
    </row>
    <row r="9" spans="1:39" ht="15" customHeight="1" x14ac:dyDescent="0.25">
      <c r="S9" s="32"/>
      <c r="T9" s="17"/>
      <c r="AK9" s="38"/>
      <c r="AL9" s="38"/>
    </row>
    <row r="10" spans="1:39" ht="15" customHeight="1" x14ac:dyDescent="0.25">
      <c r="S10" s="32"/>
      <c r="T10" s="17"/>
      <c r="AK10" s="38"/>
      <c r="AL10" s="38"/>
    </row>
    <row r="11" spans="1:39" ht="15" customHeight="1" x14ac:dyDescent="0.25">
      <c r="S11" s="32"/>
      <c r="T11" s="17"/>
      <c r="AK11" s="38"/>
      <c r="AL11" s="38"/>
    </row>
    <row r="12" spans="1:39" ht="15" customHeight="1" x14ac:dyDescent="0.25">
      <c r="S12" s="32"/>
      <c r="T12" s="17"/>
      <c r="AK12" s="38"/>
      <c r="AL12" s="38"/>
    </row>
    <row r="13" spans="1:39" ht="15" customHeight="1" x14ac:dyDescent="0.25">
      <c r="S13" s="32"/>
      <c r="T13" s="17"/>
      <c r="AK13" s="38"/>
      <c r="AL13" s="38"/>
    </row>
    <row r="14" spans="1:39" ht="15" customHeight="1" x14ac:dyDescent="0.25">
      <c r="S14" s="32"/>
      <c r="T14" s="17"/>
      <c r="AK14" s="38"/>
      <c r="AL14" s="38"/>
    </row>
    <row r="15" spans="1:39" ht="15" customHeight="1" x14ac:dyDescent="0.25">
      <c r="S15" s="32"/>
      <c r="T15" s="17"/>
      <c r="AK15" s="38"/>
      <c r="AL15" s="38"/>
    </row>
    <row r="16" spans="1:39" ht="15" customHeight="1" x14ac:dyDescent="0.25">
      <c r="S16" s="32"/>
      <c r="T16" s="17"/>
      <c r="AK16" s="38"/>
      <c r="AL16" s="38"/>
    </row>
    <row r="17" spans="19:38" ht="15" customHeight="1" x14ac:dyDescent="0.25">
      <c r="S17" s="32"/>
      <c r="T17" s="17"/>
      <c r="AK17" s="38"/>
      <c r="AL17" s="38"/>
    </row>
    <row r="18" spans="19:38" ht="15" customHeight="1" x14ac:dyDescent="0.25">
      <c r="S18" s="32"/>
      <c r="T18" s="17"/>
      <c r="AK18" s="38"/>
      <c r="AL18" s="38"/>
    </row>
    <row r="19" spans="19:38" ht="15" customHeight="1" x14ac:dyDescent="0.25">
      <c r="S19" s="32"/>
      <c r="T19" s="17"/>
      <c r="AK19" s="38"/>
      <c r="AL19" s="38"/>
    </row>
    <row r="20" spans="19:38" ht="15" customHeight="1" x14ac:dyDescent="0.25">
      <c r="S20" s="32"/>
      <c r="T20" s="17"/>
      <c r="AK20" s="38"/>
      <c r="AL20" s="38"/>
    </row>
    <row r="21" spans="19:38" ht="15" customHeight="1" x14ac:dyDescent="0.25">
      <c r="S21" s="32"/>
      <c r="T21" s="17"/>
      <c r="AK21" s="38"/>
      <c r="AL21" s="38"/>
    </row>
    <row r="22" spans="19:38" ht="15" customHeight="1" x14ac:dyDescent="0.25">
      <c r="S22" s="32"/>
      <c r="T22" s="17"/>
      <c r="AK22" s="38"/>
      <c r="AL22" s="38"/>
    </row>
    <row r="23" spans="19:38" ht="15" customHeight="1" x14ac:dyDescent="0.25">
      <c r="S23" s="32"/>
      <c r="T23" s="17"/>
      <c r="AK23" s="38"/>
      <c r="AL23" s="38"/>
    </row>
    <row r="24" spans="19:38" ht="15" customHeight="1" x14ac:dyDescent="0.25">
      <c r="S24" s="32"/>
      <c r="T24" s="17"/>
      <c r="AK24" s="38"/>
      <c r="AL24" s="38"/>
    </row>
    <row r="25" spans="19:38" ht="15" customHeight="1" x14ac:dyDescent="0.25">
      <c r="S25" s="32"/>
      <c r="T25" s="17"/>
      <c r="AK25" s="38"/>
      <c r="AL25" s="38"/>
    </row>
    <row r="26" spans="19:38" ht="15" customHeight="1" x14ac:dyDescent="0.25">
      <c r="S26" s="32"/>
      <c r="T26" s="17"/>
      <c r="AK26" s="38"/>
      <c r="AL26" s="38"/>
    </row>
    <row r="28" spans="19:38" ht="15" customHeight="1" x14ac:dyDescent="0.25"/>
    <row r="29" spans="19:38" ht="15" customHeight="1" x14ac:dyDescent="0.25"/>
    <row r="30" spans="19:38" ht="15" customHeight="1" x14ac:dyDescent="0.25"/>
    <row r="31" spans="19:38" ht="15" customHeight="1" x14ac:dyDescent="0.25"/>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1E93-DABE-49B9-BEE8-4D97DF148ABA}">
  <dimension ref="A1:AR98"/>
  <sheetViews>
    <sheetView topLeftCell="AI1" zoomScale="85" zoomScaleNormal="85" workbookViewId="0">
      <pane ySplit="3" topLeftCell="A25" activePane="bottomLeft" state="frozen"/>
      <selection activeCell="B1" sqref="B1"/>
      <selection pane="bottomLeft" activeCell="H41" sqref="H41"/>
    </sheetView>
  </sheetViews>
  <sheetFormatPr defaultColWidth="48.140625" defaultRowHeight="15" x14ac:dyDescent="0.25"/>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6" width="18.140625" customWidth="1"/>
    <col min="17" max="17" width="45.28515625" customWidth="1"/>
    <col min="18" max="18" width="35" customWidth="1"/>
    <col min="19" max="19" width="19.5703125" customWidth="1"/>
    <col min="20" max="20" width="71.140625" customWidth="1"/>
    <col min="21" max="21" width="75.85546875" customWidth="1"/>
    <col min="22" max="22" width="34.42578125" customWidth="1"/>
    <col min="23" max="23" width="28.28515625" customWidth="1"/>
    <col min="24" max="24" width="28.42578125" customWidth="1"/>
    <col min="25" max="25" width="47.5703125" customWidth="1"/>
    <col min="26" max="26" width="25.140625" customWidth="1"/>
    <col min="27" max="27" width="71.5703125" customWidth="1"/>
    <col min="28" max="28" width="47.85546875" customWidth="1"/>
    <col min="29" max="29" width="29.7109375" customWidth="1"/>
    <col min="30" max="30" width="28.140625" customWidth="1"/>
    <col min="31" max="31" width="48.42578125" customWidth="1"/>
    <col min="32" max="32" width="26.28515625" customWidth="1"/>
    <col min="33" max="33" width="24.5703125" customWidth="1"/>
    <col min="34" max="34" width="33.42578125" customWidth="1"/>
    <col min="35" max="35" width="49.28515625" customWidth="1"/>
    <col min="36" max="36" width="54" bestFit="1" customWidth="1"/>
    <col min="37" max="37" width="45.28515625" customWidth="1"/>
    <col min="38" max="38" width="31.85546875" customWidth="1"/>
    <col min="39" max="39" width="18.5703125" customWidth="1"/>
    <col min="40" max="40" width="51.7109375" customWidth="1"/>
    <col min="41" max="41" width="61.42578125" customWidth="1"/>
    <col min="42" max="42" width="28" customWidth="1"/>
    <col min="43" max="43" width="14.42578125" customWidth="1"/>
    <col min="44" max="44" width="11.140625" customWidth="1"/>
  </cols>
  <sheetData>
    <row r="1" spans="1:44" ht="28.5" customHeight="1" x14ac:dyDescent="0.25">
      <c r="A1" s="1" t="s">
        <v>0</v>
      </c>
      <c r="B1" s="2" t="s">
        <v>1</v>
      </c>
      <c r="C1" s="3" t="s">
        <v>2</v>
      </c>
      <c r="D1" s="3" t="s">
        <v>3</v>
      </c>
      <c r="E1" s="4" t="s">
        <v>4</v>
      </c>
      <c r="F1" s="5" t="s">
        <v>5</v>
      </c>
      <c r="G1" s="4" t="s">
        <v>6</v>
      </c>
      <c r="H1" s="5" t="s">
        <v>7</v>
      </c>
      <c r="I1" s="6" t="s">
        <v>8</v>
      </c>
      <c r="J1" s="6" t="s">
        <v>9</v>
      </c>
      <c r="K1" s="6" t="s">
        <v>10</v>
      </c>
      <c r="L1" s="6" t="s">
        <v>11</v>
      </c>
      <c r="M1" s="6" t="s">
        <v>12</v>
      </c>
      <c r="N1" s="6" t="s">
        <v>12</v>
      </c>
      <c r="O1" s="55" t="s">
        <v>13</v>
      </c>
      <c r="P1" s="56"/>
      <c r="Q1" s="56"/>
      <c r="R1" s="56"/>
      <c r="S1" s="57"/>
      <c r="T1" s="3" t="s">
        <v>14</v>
      </c>
      <c r="U1" s="5" t="s">
        <v>15</v>
      </c>
      <c r="V1" s="6" t="s">
        <v>16</v>
      </c>
      <c r="W1" s="5" t="s">
        <v>16</v>
      </c>
      <c r="X1" s="4" t="s">
        <v>17</v>
      </c>
      <c r="Y1" s="5" t="s">
        <v>18</v>
      </c>
      <c r="Z1" s="4" t="s">
        <v>19</v>
      </c>
      <c r="AA1" s="3" t="s">
        <v>20</v>
      </c>
      <c r="AB1" s="3" t="s">
        <v>21</v>
      </c>
      <c r="AC1" s="5" t="s">
        <v>22</v>
      </c>
      <c r="AD1" s="6" t="s">
        <v>21</v>
      </c>
      <c r="AE1" s="6" t="s">
        <v>22</v>
      </c>
      <c r="AF1" s="6" t="s">
        <v>23</v>
      </c>
      <c r="AG1" s="6" t="s">
        <v>24</v>
      </c>
      <c r="AH1" s="6" t="s">
        <v>21</v>
      </c>
      <c r="AI1" s="6" t="s">
        <v>22</v>
      </c>
      <c r="AJ1" s="4" t="s">
        <v>25</v>
      </c>
      <c r="AK1" s="5" t="s">
        <v>26</v>
      </c>
      <c r="AL1" s="4" t="s">
        <v>27</v>
      </c>
      <c r="AM1" s="7" t="s">
        <v>28</v>
      </c>
      <c r="AN1" s="4" t="s">
        <v>29</v>
      </c>
      <c r="AO1" s="5" t="s">
        <v>30</v>
      </c>
      <c r="AP1" s="4" t="s">
        <v>31</v>
      </c>
      <c r="AQ1" s="5" t="s">
        <v>32</v>
      </c>
      <c r="AR1" s="8" t="s">
        <v>33</v>
      </c>
    </row>
    <row r="2" spans="1:44" ht="38.25" customHeight="1" x14ac:dyDescent="0.25">
      <c r="A2" s="1" t="s">
        <v>34</v>
      </c>
      <c r="B2" s="9" t="s">
        <v>35</v>
      </c>
      <c r="C2" s="10" t="s">
        <v>36</v>
      </c>
      <c r="D2" s="10"/>
      <c r="E2" s="11" t="s">
        <v>37</v>
      </c>
      <c r="F2" s="12" t="s">
        <v>38</v>
      </c>
      <c r="G2" s="11" t="s">
        <v>39</v>
      </c>
      <c r="H2" s="12" t="s">
        <v>40</v>
      </c>
      <c r="I2" s="13"/>
      <c r="J2" s="13"/>
      <c r="K2" s="13"/>
      <c r="L2" s="13"/>
      <c r="M2" s="13"/>
      <c r="N2" s="13"/>
      <c r="O2" s="5" t="s">
        <v>41</v>
      </c>
      <c r="P2" s="5" t="s">
        <v>42</v>
      </c>
      <c r="Q2" s="14" t="s">
        <v>43</v>
      </c>
      <c r="R2" s="14" t="s">
        <v>44</v>
      </c>
      <c r="S2" s="14" t="s">
        <v>45</v>
      </c>
      <c r="T2" s="10" t="s">
        <v>46</v>
      </c>
      <c r="U2" s="12" t="s">
        <v>47</v>
      </c>
      <c r="V2" s="13" t="s">
        <v>48</v>
      </c>
      <c r="W2" s="12" t="s">
        <v>49</v>
      </c>
      <c r="X2" s="11" t="s">
        <v>50</v>
      </c>
      <c r="Y2" s="12" t="s">
        <v>51</v>
      </c>
      <c r="Z2" s="11" t="s">
        <v>52</v>
      </c>
      <c r="AA2" s="10" t="s">
        <v>53</v>
      </c>
      <c r="AB2" s="10" t="s">
        <v>54</v>
      </c>
      <c r="AC2" s="12" t="s">
        <v>55</v>
      </c>
      <c r="AD2" s="13" t="s">
        <v>54</v>
      </c>
      <c r="AE2" s="13" t="s">
        <v>55</v>
      </c>
      <c r="AF2" s="13"/>
      <c r="AG2" s="13"/>
      <c r="AH2" s="13" t="s">
        <v>54</v>
      </c>
      <c r="AI2" s="13" t="s">
        <v>55</v>
      </c>
      <c r="AJ2" s="11" t="s">
        <v>56</v>
      </c>
      <c r="AK2" s="12" t="s">
        <v>57</v>
      </c>
      <c r="AL2" s="11" t="s">
        <v>58</v>
      </c>
      <c r="AM2" s="15" t="s">
        <v>59</v>
      </c>
      <c r="AN2" s="11" t="s">
        <v>60</v>
      </c>
      <c r="AO2" s="12" t="s">
        <v>61</v>
      </c>
      <c r="AP2" s="11" t="s">
        <v>62</v>
      </c>
      <c r="AQ2" s="12"/>
      <c r="AR2" s="16"/>
    </row>
    <row r="3" spans="1:44" ht="39" customHeight="1" x14ac:dyDescent="0.25">
      <c r="A3" s="1" t="s">
        <v>63</v>
      </c>
      <c r="B3" s="9" t="s">
        <v>64</v>
      </c>
      <c r="C3" s="10" t="s">
        <v>65</v>
      </c>
      <c r="D3" s="10"/>
      <c r="E3" s="11" t="s">
        <v>66</v>
      </c>
      <c r="F3" s="12" t="s">
        <v>67</v>
      </c>
      <c r="G3" s="11"/>
      <c r="H3" s="12"/>
      <c r="I3" s="13"/>
      <c r="J3" s="13"/>
      <c r="K3" s="13"/>
      <c r="L3" s="13"/>
      <c r="M3" s="13"/>
      <c r="N3" s="13"/>
      <c r="O3" s="12"/>
      <c r="P3" s="12"/>
      <c r="Q3" s="12"/>
      <c r="R3" s="12"/>
      <c r="S3" s="12" t="s">
        <v>68</v>
      </c>
      <c r="T3" s="10" t="s">
        <v>69</v>
      </c>
      <c r="U3" s="12" t="s">
        <v>70</v>
      </c>
      <c r="V3" s="13">
        <v>7.5</v>
      </c>
      <c r="W3" s="12" t="s">
        <v>71</v>
      </c>
      <c r="X3" s="11" t="s">
        <v>72</v>
      </c>
      <c r="Y3" s="12" t="s">
        <v>73</v>
      </c>
      <c r="Z3" s="11" t="s">
        <v>74</v>
      </c>
      <c r="AA3" s="10" t="s">
        <v>75</v>
      </c>
      <c r="AB3" s="10" t="s">
        <v>76</v>
      </c>
      <c r="AC3" s="12" t="s">
        <v>77</v>
      </c>
      <c r="AD3" s="13" t="s">
        <v>76</v>
      </c>
      <c r="AE3" s="13" t="s">
        <v>77</v>
      </c>
      <c r="AF3" s="13" t="s">
        <v>78</v>
      </c>
      <c r="AG3" s="13"/>
      <c r="AH3" s="13" t="s">
        <v>79</v>
      </c>
      <c r="AI3" s="13" t="s">
        <v>80</v>
      </c>
      <c r="AJ3" s="11" t="s">
        <v>81</v>
      </c>
      <c r="AK3" s="12" t="s">
        <v>82</v>
      </c>
      <c r="AL3" s="11" t="s">
        <v>83</v>
      </c>
      <c r="AM3" s="15" t="s">
        <v>84</v>
      </c>
      <c r="AN3" s="11" t="s">
        <v>85</v>
      </c>
      <c r="AO3" s="12" t="s">
        <v>86</v>
      </c>
      <c r="AP3" s="11" t="s">
        <v>87</v>
      </c>
      <c r="AQ3" s="12" t="b">
        <v>0</v>
      </c>
      <c r="AR3" s="16" t="s">
        <v>88</v>
      </c>
    </row>
    <row r="4" spans="1:44" s="17" customFormat="1" ht="15" customHeight="1" x14ac:dyDescent="0.25">
      <c r="C4" s="17" t="s">
        <v>214</v>
      </c>
      <c r="E4" s="17" t="s">
        <v>89</v>
      </c>
      <c r="F4" s="17" t="s">
        <v>90</v>
      </c>
      <c r="G4" s="18" t="s">
        <v>91</v>
      </c>
      <c r="H4" s="17" t="s">
        <v>92</v>
      </c>
      <c r="I4" s="17" t="s">
        <v>215</v>
      </c>
      <c r="J4" s="17" t="s">
        <v>264</v>
      </c>
      <c r="K4" s="17" t="s">
        <v>338</v>
      </c>
      <c r="L4" s="17" t="s">
        <v>93</v>
      </c>
      <c r="M4" s="17" t="s">
        <v>94</v>
      </c>
      <c r="N4" s="17" t="s">
        <v>94</v>
      </c>
      <c r="O4" s="17">
        <v>16</v>
      </c>
      <c r="P4" s="17" t="s">
        <v>94</v>
      </c>
      <c r="Q4" s="17">
        <v>7.2</v>
      </c>
      <c r="R4" s="17">
        <v>100</v>
      </c>
      <c r="S4" s="17">
        <v>5</v>
      </c>
      <c r="T4" s="17" t="s">
        <v>95</v>
      </c>
      <c r="U4" s="17" t="s">
        <v>96</v>
      </c>
      <c r="V4" s="17" t="s">
        <v>97</v>
      </c>
      <c r="W4" s="17" t="s">
        <v>98</v>
      </c>
      <c r="X4" s="17" t="s">
        <v>99</v>
      </c>
      <c r="Y4" s="17" t="s">
        <v>288</v>
      </c>
      <c r="Z4" s="19"/>
      <c r="AA4" s="17" t="s">
        <v>100</v>
      </c>
      <c r="AB4" s="17" t="s">
        <v>101</v>
      </c>
      <c r="AC4" s="17">
        <v>12</v>
      </c>
      <c r="AD4" s="17" t="s">
        <v>102</v>
      </c>
      <c r="AE4" s="17" t="s">
        <v>103</v>
      </c>
      <c r="AF4" s="20">
        <v>0.53100000000000003</v>
      </c>
      <c r="AG4" s="20"/>
      <c r="AH4" s="20"/>
      <c r="AI4" s="20"/>
      <c r="AJ4" s="17" t="s">
        <v>104</v>
      </c>
      <c r="AK4" s="17" t="s">
        <v>94</v>
      </c>
    </row>
    <row r="5" spans="1:44" s="17" customFormat="1" ht="15" customHeight="1" x14ac:dyDescent="0.25">
      <c r="Y5" s="22"/>
    </row>
    <row r="6" spans="1:44" s="17" customFormat="1" ht="15" customHeight="1" x14ac:dyDescent="0.25">
      <c r="C6" s="17" t="s">
        <v>214</v>
      </c>
      <c r="D6" s="21"/>
      <c r="E6" s="17" t="s">
        <v>369</v>
      </c>
      <c r="F6" s="17" t="s">
        <v>90</v>
      </c>
      <c r="G6" s="17" t="s">
        <v>105</v>
      </c>
      <c r="H6" s="18" t="s">
        <v>350</v>
      </c>
      <c r="I6" s="17" t="s">
        <v>215</v>
      </c>
      <c r="J6" s="17" t="s">
        <v>262</v>
      </c>
      <c r="K6" s="17" t="s">
        <v>263</v>
      </c>
      <c r="L6" s="17" t="s">
        <v>93</v>
      </c>
      <c r="M6" s="17" t="s">
        <v>94</v>
      </c>
      <c r="N6" s="17" t="s">
        <v>94</v>
      </c>
      <c r="O6" s="17">
        <v>16</v>
      </c>
      <c r="P6" s="17" t="s">
        <v>94</v>
      </c>
      <c r="Q6" s="17" t="s">
        <v>94</v>
      </c>
      <c r="R6" s="17" t="s">
        <v>94</v>
      </c>
      <c r="S6" s="17">
        <v>5</v>
      </c>
      <c r="T6" s="17" t="s">
        <v>265</v>
      </c>
      <c r="U6" s="17" t="s">
        <v>549</v>
      </c>
      <c r="V6" s="17">
        <v>28</v>
      </c>
      <c r="W6" s="17">
        <v>68</v>
      </c>
      <c r="X6" s="22">
        <f t="shared" ref="X6" si="0">+(W6-V6)/7</f>
        <v>5.7142857142857144</v>
      </c>
      <c r="Y6" s="21" t="s">
        <v>287</v>
      </c>
      <c r="Z6" s="19"/>
      <c r="AA6" s="17" t="s">
        <v>106</v>
      </c>
      <c r="AB6" s="17" t="s">
        <v>101</v>
      </c>
      <c r="AC6" s="17">
        <v>12</v>
      </c>
      <c r="AD6" s="17" t="s">
        <v>102</v>
      </c>
      <c r="AE6" s="17" t="s">
        <v>107</v>
      </c>
      <c r="AF6" s="20">
        <v>0.81</v>
      </c>
      <c r="AG6" s="20"/>
      <c r="AH6" s="20"/>
      <c r="AI6" s="20"/>
      <c r="AJ6" s="17" t="s">
        <v>104</v>
      </c>
      <c r="AK6" s="17" t="s">
        <v>94</v>
      </c>
    </row>
    <row r="7" spans="1:44" s="17" customFormat="1" ht="15" customHeight="1" x14ac:dyDescent="0.25">
      <c r="C7" s="17" t="s">
        <v>214</v>
      </c>
      <c r="D7" s="21"/>
      <c r="E7" s="17" t="s">
        <v>370</v>
      </c>
      <c r="F7" s="17" t="s">
        <v>90</v>
      </c>
      <c r="G7" s="17" t="s">
        <v>339</v>
      </c>
      <c r="H7" s="18" t="s">
        <v>351</v>
      </c>
      <c r="I7" s="17" t="s">
        <v>215</v>
      </c>
      <c r="J7" s="17" t="s">
        <v>262</v>
      </c>
      <c r="K7" s="17" t="s">
        <v>263</v>
      </c>
      <c r="L7" s="17" t="s">
        <v>93</v>
      </c>
      <c r="M7" s="17" t="s">
        <v>94</v>
      </c>
      <c r="N7" s="17" t="s">
        <v>94</v>
      </c>
      <c r="O7" s="17">
        <v>16</v>
      </c>
      <c r="P7" s="17" t="s">
        <v>94</v>
      </c>
      <c r="Q7" s="17" t="s">
        <v>94</v>
      </c>
      <c r="R7" s="17" t="s">
        <v>94</v>
      </c>
      <c r="S7" s="17">
        <v>5</v>
      </c>
      <c r="T7" s="17" t="s">
        <v>265</v>
      </c>
      <c r="U7" s="17" t="s">
        <v>550</v>
      </c>
      <c r="V7" s="17">
        <v>28</v>
      </c>
      <c r="W7" s="17">
        <v>68</v>
      </c>
      <c r="X7" s="22">
        <f t="shared" ref="X7:X11" si="1">+(W7-V7)/7</f>
        <v>5.7142857142857144</v>
      </c>
      <c r="Y7" s="21" t="s">
        <v>287</v>
      </c>
      <c r="Z7" s="19"/>
      <c r="AA7" s="17" t="s">
        <v>106</v>
      </c>
      <c r="AB7" s="17" t="s">
        <v>101</v>
      </c>
      <c r="AC7" s="17">
        <v>12</v>
      </c>
      <c r="AD7" s="17" t="s">
        <v>102</v>
      </c>
      <c r="AE7" s="17" t="s">
        <v>107</v>
      </c>
      <c r="AF7" s="20">
        <v>0.81</v>
      </c>
      <c r="AG7" s="20"/>
      <c r="AH7" s="20"/>
      <c r="AI7" s="20"/>
      <c r="AJ7" s="17" t="s">
        <v>104</v>
      </c>
      <c r="AK7" s="17" t="s">
        <v>94</v>
      </c>
    </row>
    <row r="8" spans="1:44" s="17" customFormat="1" ht="15" customHeight="1" x14ac:dyDescent="0.25">
      <c r="C8" s="17" t="s">
        <v>214</v>
      </c>
      <c r="D8" s="21"/>
      <c r="E8" s="17" t="s">
        <v>371</v>
      </c>
      <c r="F8" s="17" t="s">
        <v>90</v>
      </c>
      <c r="G8" s="17" t="s">
        <v>340</v>
      </c>
      <c r="H8" s="18" t="s">
        <v>352</v>
      </c>
      <c r="I8" s="17" t="s">
        <v>215</v>
      </c>
      <c r="J8" s="17" t="s">
        <v>262</v>
      </c>
      <c r="K8" s="17" t="s">
        <v>263</v>
      </c>
      <c r="L8" s="17" t="s">
        <v>93</v>
      </c>
      <c r="M8" s="17" t="s">
        <v>94</v>
      </c>
      <c r="N8" s="17" t="s">
        <v>94</v>
      </c>
      <c r="O8" s="17">
        <v>16</v>
      </c>
      <c r="P8" s="17" t="s">
        <v>94</v>
      </c>
      <c r="Q8" s="17" t="s">
        <v>94</v>
      </c>
      <c r="R8" s="17" t="s">
        <v>94</v>
      </c>
      <c r="S8" s="17">
        <v>5</v>
      </c>
      <c r="T8" s="17" t="s">
        <v>265</v>
      </c>
      <c r="U8" s="17" t="s">
        <v>551</v>
      </c>
      <c r="V8" s="17">
        <v>28</v>
      </c>
      <c r="W8" s="17">
        <v>68</v>
      </c>
      <c r="X8" s="22">
        <f t="shared" si="1"/>
        <v>5.7142857142857144</v>
      </c>
      <c r="Y8" s="21" t="s">
        <v>287</v>
      </c>
      <c r="Z8" s="19"/>
      <c r="AA8" s="17" t="s">
        <v>106</v>
      </c>
      <c r="AB8" s="17" t="s">
        <v>101</v>
      </c>
      <c r="AC8" s="17">
        <v>12</v>
      </c>
      <c r="AD8" s="17" t="s">
        <v>102</v>
      </c>
      <c r="AE8" s="17" t="s">
        <v>107</v>
      </c>
      <c r="AF8" s="20">
        <v>0.81</v>
      </c>
      <c r="AG8" s="20"/>
      <c r="AH8" s="20"/>
      <c r="AI8" s="20"/>
      <c r="AJ8" s="17" t="s">
        <v>104</v>
      </c>
      <c r="AK8" s="17" t="s">
        <v>94</v>
      </c>
    </row>
    <row r="9" spans="1:44" s="17" customFormat="1" ht="15" customHeight="1" x14ac:dyDescent="0.25">
      <c r="C9" s="17" t="s">
        <v>214</v>
      </c>
      <c r="D9" s="21"/>
      <c r="E9" s="17" t="s">
        <v>372</v>
      </c>
      <c r="F9" s="17" t="s">
        <v>90</v>
      </c>
      <c r="G9" s="17" t="s">
        <v>341</v>
      </c>
      <c r="H9" s="18" t="s">
        <v>353</v>
      </c>
      <c r="I9" s="17" t="s">
        <v>215</v>
      </c>
      <c r="J9" s="17" t="s">
        <v>262</v>
      </c>
      <c r="K9" s="17" t="s">
        <v>263</v>
      </c>
      <c r="L9" s="17" t="s">
        <v>93</v>
      </c>
      <c r="M9" s="17" t="s">
        <v>94</v>
      </c>
      <c r="N9" s="17" t="s">
        <v>94</v>
      </c>
      <c r="O9" s="17">
        <v>16</v>
      </c>
      <c r="P9" s="17" t="s">
        <v>94</v>
      </c>
      <c r="Q9" s="17" t="s">
        <v>94</v>
      </c>
      <c r="R9" s="17" t="s">
        <v>94</v>
      </c>
      <c r="S9" s="17">
        <v>5</v>
      </c>
      <c r="T9" s="17" t="s">
        <v>265</v>
      </c>
      <c r="U9" s="17" t="s">
        <v>552</v>
      </c>
      <c r="V9" s="17">
        <v>28</v>
      </c>
      <c r="W9" s="17">
        <v>68</v>
      </c>
      <c r="X9" s="22">
        <f t="shared" si="1"/>
        <v>5.7142857142857144</v>
      </c>
      <c r="Y9" s="21" t="s">
        <v>287</v>
      </c>
      <c r="Z9" s="19"/>
      <c r="AA9" s="17" t="s">
        <v>106</v>
      </c>
      <c r="AB9" s="17" t="s">
        <v>101</v>
      </c>
      <c r="AC9" s="17">
        <v>12</v>
      </c>
      <c r="AD9" s="17" t="s">
        <v>102</v>
      </c>
      <c r="AE9" s="17" t="s">
        <v>107</v>
      </c>
      <c r="AF9" s="20">
        <v>0.81</v>
      </c>
      <c r="AG9" s="20"/>
      <c r="AH9" s="20"/>
      <c r="AI9" s="20"/>
      <c r="AJ9" s="17" t="s">
        <v>104</v>
      </c>
      <c r="AK9" s="17" t="s">
        <v>94</v>
      </c>
    </row>
    <row r="10" spans="1:44" s="17" customFormat="1" ht="15" customHeight="1" x14ac:dyDescent="0.25">
      <c r="C10" s="17" t="s">
        <v>214</v>
      </c>
      <c r="D10" s="21"/>
      <c r="E10" s="17" t="s">
        <v>373</v>
      </c>
      <c r="F10" s="17" t="s">
        <v>90</v>
      </c>
      <c r="G10" s="17" t="s">
        <v>342</v>
      </c>
      <c r="H10" s="18" t="s">
        <v>354</v>
      </c>
      <c r="I10" s="17" t="s">
        <v>215</v>
      </c>
      <c r="J10" s="17" t="s">
        <v>262</v>
      </c>
      <c r="K10" s="17" t="s">
        <v>263</v>
      </c>
      <c r="L10" s="17" t="s">
        <v>93</v>
      </c>
      <c r="M10" s="17" t="s">
        <v>94</v>
      </c>
      <c r="N10" s="17" t="s">
        <v>94</v>
      </c>
      <c r="O10" s="17">
        <v>16</v>
      </c>
      <c r="P10" s="17" t="s">
        <v>94</v>
      </c>
      <c r="Q10" s="17" t="s">
        <v>94</v>
      </c>
      <c r="R10" s="17" t="s">
        <v>94</v>
      </c>
      <c r="S10" s="17">
        <v>5</v>
      </c>
      <c r="T10" s="17" t="s">
        <v>265</v>
      </c>
      <c r="U10" s="17" t="s">
        <v>553</v>
      </c>
      <c r="V10" s="17">
        <v>28</v>
      </c>
      <c r="W10" s="17">
        <v>68</v>
      </c>
      <c r="X10" s="22">
        <f t="shared" si="1"/>
        <v>5.7142857142857144</v>
      </c>
      <c r="Y10" s="21" t="s">
        <v>287</v>
      </c>
      <c r="Z10" s="19"/>
      <c r="AA10" s="17" t="s">
        <v>106</v>
      </c>
      <c r="AB10" s="17" t="s">
        <v>101</v>
      </c>
      <c r="AC10" s="17">
        <v>12</v>
      </c>
      <c r="AD10" s="17" t="s">
        <v>102</v>
      </c>
      <c r="AE10" s="17" t="s">
        <v>107</v>
      </c>
      <c r="AF10" s="20">
        <v>0.81</v>
      </c>
      <c r="AG10" s="20"/>
      <c r="AH10" s="20"/>
      <c r="AI10" s="20"/>
      <c r="AJ10" s="17" t="s">
        <v>104</v>
      </c>
      <c r="AK10" s="17" t="s">
        <v>94</v>
      </c>
    </row>
    <row r="11" spans="1:44" s="17" customFormat="1" ht="15" customHeight="1" x14ac:dyDescent="0.25">
      <c r="C11" s="17" t="s">
        <v>214</v>
      </c>
      <c r="D11" s="21"/>
      <c r="E11" s="17" t="s">
        <v>374</v>
      </c>
      <c r="F11" s="17" t="s">
        <v>90</v>
      </c>
      <c r="G11" s="17" t="s">
        <v>343</v>
      </c>
      <c r="H11" s="18" t="s">
        <v>108</v>
      </c>
      <c r="I11" s="17" t="s">
        <v>215</v>
      </c>
      <c r="J11" s="17" t="s">
        <v>262</v>
      </c>
      <c r="K11" s="17" t="s">
        <v>263</v>
      </c>
      <c r="L11" s="17" t="s">
        <v>93</v>
      </c>
      <c r="M11" s="17" t="s">
        <v>94</v>
      </c>
      <c r="N11" s="17" t="s">
        <v>94</v>
      </c>
      <c r="O11" s="17">
        <v>16</v>
      </c>
      <c r="P11" s="17" t="s">
        <v>94</v>
      </c>
      <c r="Q11" s="17" t="s">
        <v>94</v>
      </c>
      <c r="R11" s="17" t="s">
        <v>94</v>
      </c>
      <c r="S11" s="17">
        <v>5</v>
      </c>
      <c r="T11" s="17" t="s">
        <v>265</v>
      </c>
      <c r="U11" s="17" t="s">
        <v>554</v>
      </c>
      <c r="V11" s="17">
        <v>28</v>
      </c>
      <c r="W11" s="17">
        <v>68</v>
      </c>
      <c r="X11" s="22">
        <f t="shared" si="1"/>
        <v>5.7142857142857144</v>
      </c>
      <c r="Y11" s="21" t="s">
        <v>287</v>
      </c>
      <c r="Z11" s="19"/>
      <c r="AA11" s="17" t="s">
        <v>106</v>
      </c>
      <c r="AB11" s="17" t="s">
        <v>101</v>
      </c>
      <c r="AC11" s="17">
        <v>12</v>
      </c>
      <c r="AD11" s="17" t="s">
        <v>102</v>
      </c>
      <c r="AE11" s="17" t="s">
        <v>107</v>
      </c>
      <c r="AF11" s="20">
        <v>0.81</v>
      </c>
      <c r="AG11" s="20"/>
      <c r="AH11" s="20"/>
      <c r="AI11" s="20"/>
      <c r="AJ11" s="17" t="s">
        <v>104</v>
      </c>
      <c r="AK11" s="17" t="s">
        <v>94</v>
      </c>
    </row>
    <row r="12" spans="1:44" s="17" customFormat="1" ht="15" customHeight="1" x14ac:dyDescent="0.25">
      <c r="Y12" s="22"/>
    </row>
    <row r="13" spans="1:44" s="17" customFormat="1" ht="15" customHeight="1" x14ac:dyDescent="0.25">
      <c r="C13" s="17" t="s">
        <v>266</v>
      </c>
      <c r="E13" s="17" t="s">
        <v>375</v>
      </c>
      <c r="F13" s="17" t="s">
        <v>90</v>
      </c>
      <c r="G13" s="17" t="s">
        <v>108</v>
      </c>
      <c r="H13" s="17" t="s">
        <v>355</v>
      </c>
      <c r="I13" s="17" t="s">
        <v>215</v>
      </c>
      <c r="J13" s="17" t="s">
        <v>262</v>
      </c>
      <c r="K13" s="17" t="s">
        <v>263</v>
      </c>
      <c r="L13" s="17" t="s">
        <v>246</v>
      </c>
      <c r="M13" s="17" t="s">
        <v>94</v>
      </c>
      <c r="N13" s="17" t="s">
        <v>94</v>
      </c>
      <c r="O13" s="17">
        <v>16</v>
      </c>
      <c r="P13" s="17" t="s">
        <v>94</v>
      </c>
      <c r="Q13" s="17" t="s">
        <v>94</v>
      </c>
      <c r="R13" s="17" t="s">
        <v>94</v>
      </c>
      <c r="S13" s="17" t="s">
        <v>255</v>
      </c>
      <c r="T13" s="17" t="s">
        <v>267</v>
      </c>
      <c r="U13" s="17" t="s">
        <v>555</v>
      </c>
      <c r="V13" s="17" t="s">
        <v>268</v>
      </c>
      <c r="W13" s="17" t="s">
        <v>269</v>
      </c>
      <c r="X13" s="17" t="s">
        <v>270</v>
      </c>
      <c r="Y13" s="22" t="s">
        <v>271</v>
      </c>
      <c r="AA13" s="17" t="s">
        <v>282</v>
      </c>
      <c r="AB13" s="17" t="s">
        <v>272</v>
      </c>
      <c r="AC13" s="17">
        <v>12</v>
      </c>
      <c r="AD13" s="17" t="s">
        <v>102</v>
      </c>
      <c r="AE13" s="17" t="s">
        <v>385</v>
      </c>
      <c r="AF13" s="17">
        <v>0.877</v>
      </c>
      <c r="AJ13" s="17" t="s">
        <v>104</v>
      </c>
      <c r="AK13" s="17" t="s">
        <v>94</v>
      </c>
    </row>
    <row r="14" spans="1:44" s="17" customFormat="1" ht="15" customHeight="1" x14ac:dyDescent="0.25">
      <c r="C14" s="17" t="s">
        <v>266</v>
      </c>
      <c r="E14" s="17" t="s">
        <v>376</v>
      </c>
      <c r="F14" s="17" t="s">
        <v>90</v>
      </c>
      <c r="G14" s="17" t="s">
        <v>344</v>
      </c>
      <c r="H14" s="17" t="s">
        <v>356</v>
      </c>
      <c r="I14" s="17" t="s">
        <v>215</v>
      </c>
      <c r="J14" s="17" t="s">
        <v>262</v>
      </c>
      <c r="K14" s="17" t="s">
        <v>263</v>
      </c>
      <c r="L14" s="17" t="s">
        <v>246</v>
      </c>
      <c r="M14" s="17" t="s">
        <v>94</v>
      </c>
      <c r="N14" s="17" t="s">
        <v>94</v>
      </c>
      <c r="O14" s="17">
        <v>16</v>
      </c>
      <c r="P14" s="17" t="s">
        <v>94</v>
      </c>
      <c r="Q14" s="17" t="s">
        <v>94</v>
      </c>
      <c r="R14" s="17" t="s">
        <v>94</v>
      </c>
      <c r="S14" s="17" t="s">
        <v>255</v>
      </c>
      <c r="T14" s="17" t="s">
        <v>274</v>
      </c>
      <c r="U14" s="17" t="s">
        <v>556</v>
      </c>
      <c r="V14" s="17" t="s">
        <v>268</v>
      </c>
      <c r="W14" s="17" t="s">
        <v>269</v>
      </c>
      <c r="X14" s="17" t="s">
        <v>270</v>
      </c>
      <c r="Y14" s="22" t="s">
        <v>271</v>
      </c>
      <c r="AA14" s="17" t="s">
        <v>282</v>
      </c>
      <c r="AB14" s="17" t="s">
        <v>272</v>
      </c>
      <c r="AC14" s="17">
        <v>12</v>
      </c>
      <c r="AD14" s="17" t="s">
        <v>102</v>
      </c>
      <c r="AE14" s="17" t="s">
        <v>385</v>
      </c>
      <c r="AF14" s="17">
        <v>0.877</v>
      </c>
      <c r="AJ14" s="17" t="s">
        <v>104</v>
      </c>
      <c r="AK14" s="17" t="s">
        <v>94</v>
      </c>
    </row>
    <row r="15" spans="1:44" s="17" customFormat="1" ht="15" customHeight="1" x14ac:dyDescent="0.25">
      <c r="C15" s="17" t="s">
        <v>266</v>
      </c>
      <c r="E15" s="17" t="s">
        <v>377</v>
      </c>
      <c r="F15" s="17" t="s">
        <v>90</v>
      </c>
      <c r="G15" s="17" t="s">
        <v>345</v>
      </c>
      <c r="H15" s="17" t="s">
        <v>357</v>
      </c>
      <c r="I15" s="17" t="s">
        <v>215</v>
      </c>
      <c r="J15" s="17" t="s">
        <v>262</v>
      </c>
      <c r="K15" s="17" t="s">
        <v>263</v>
      </c>
      <c r="L15" s="17" t="s">
        <v>246</v>
      </c>
      <c r="M15" s="17" t="s">
        <v>94</v>
      </c>
      <c r="N15" s="17" t="s">
        <v>94</v>
      </c>
      <c r="O15" s="17">
        <v>16</v>
      </c>
      <c r="P15" s="17" t="s">
        <v>94</v>
      </c>
      <c r="Q15" s="17" t="s">
        <v>94</v>
      </c>
      <c r="R15" s="17" t="s">
        <v>94</v>
      </c>
      <c r="S15" s="17" t="s">
        <v>255</v>
      </c>
      <c r="T15" s="17" t="s">
        <v>275</v>
      </c>
      <c r="U15" s="17" t="s">
        <v>557</v>
      </c>
      <c r="V15" s="17" t="s">
        <v>268</v>
      </c>
      <c r="W15" s="17" t="s">
        <v>269</v>
      </c>
      <c r="X15" s="17" t="s">
        <v>270</v>
      </c>
      <c r="Y15" s="22" t="s">
        <v>271</v>
      </c>
      <c r="AA15" s="17" t="s">
        <v>282</v>
      </c>
      <c r="AB15" s="17" t="s">
        <v>272</v>
      </c>
      <c r="AC15" s="17">
        <v>12</v>
      </c>
      <c r="AD15" s="17" t="s">
        <v>102</v>
      </c>
      <c r="AE15" s="17" t="s">
        <v>385</v>
      </c>
      <c r="AF15" s="17">
        <v>0.877</v>
      </c>
      <c r="AJ15" s="17" t="s">
        <v>104</v>
      </c>
      <c r="AK15" s="17" t="s">
        <v>94</v>
      </c>
    </row>
    <row r="16" spans="1:44" s="17" customFormat="1" ht="15" customHeight="1" x14ac:dyDescent="0.25">
      <c r="C16" s="17" t="s">
        <v>266</v>
      </c>
      <c r="E16" s="17" t="s">
        <v>378</v>
      </c>
      <c r="F16" s="17" t="s">
        <v>90</v>
      </c>
      <c r="G16" s="17" t="s">
        <v>346</v>
      </c>
      <c r="H16" s="17" t="s">
        <v>358</v>
      </c>
      <c r="I16" s="17" t="s">
        <v>215</v>
      </c>
      <c r="J16" s="17" t="s">
        <v>262</v>
      </c>
      <c r="K16" s="17" t="s">
        <v>263</v>
      </c>
      <c r="L16" s="17" t="s">
        <v>246</v>
      </c>
      <c r="M16" s="17" t="s">
        <v>94</v>
      </c>
      <c r="N16" s="17" t="s">
        <v>94</v>
      </c>
      <c r="O16" s="17">
        <v>16</v>
      </c>
      <c r="P16" s="17" t="s">
        <v>94</v>
      </c>
      <c r="Q16" s="17" t="s">
        <v>94</v>
      </c>
      <c r="R16" s="17" t="s">
        <v>94</v>
      </c>
      <c r="S16" s="17" t="s">
        <v>255</v>
      </c>
      <c r="T16" s="17" t="s">
        <v>276</v>
      </c>
      <c r="U16" s="17" t="s">
        <v>558</v>
      </c>
      <c r="V16" s="17" t="s">
        <v>268</v>
      </c>
      <c r="W16" s="17" t="s">
        <v>269</v>
      </c>
      <c r="X16" s="17" t="s">
        <v>270</v>
      </c>
      <c r="Y16" s="22" t="s">
        <v>271</v>
      </c>
      <c r="AA16" s="17" t="s">
        <v>282</v>
      </c>
      <c r="AB16" s="17" t="s">
        <v>272</v>
      </c>
      <c r="AC16" s="17">
        <v>12</v>
      </c>
      <c r="AD16" s="17" t="s">
        <v>102</v>
      </c>
      <c r="AE16" s="17" t="s">
        <v>385</v>
      </c>
      <c r="AF16" s="17">
        <v>0.877</v>
      </c>
      <c r="AJ16" s="17" t="s">
        <v>104</v>
      </c>
      <c r="AK16" s="17" t="s">
        <v>94</v>
      </c>
    </row>
    <row r="17" spans="3:37" s="17" customFormat="1" ht="15" customHeight="1" x14ac:dyDescent="0.25">
      <c r="C17" s="17" t="s">
        <v>266</v>
      </c>
      <c r="E17" s="17" t="s">
        <v>379</v>
      </c>
      <c r="F17" s="17" t="s">
        <v>90</v>
      </c>
      <c r="G17" s="17" t="s">
        <v>347</v>
      </c>
      <c r="H17" s="17" t="s">
        <v>359</v>
      </c>
      <c r="I17" s="17" t="s">
        <v>215</v>
      </c>
      <c r="J17" s="17" t="s">
        <v>262</v>
      </c>
      <c r="K17" s="17" t="s">
        <v>263</v>
      </c>
      <c r="L17" s="17" t="s">
        <v>246</v>
      </c>
      <c r="M17" s="17" t="s">
        <v>94</v>
      </c>
      <c r="N17" s="17" t="s">
        <v>94</v>
      </c>
      <c r="O17" s="17">
        <v>16</v>
      </c>
      <c r="P17" s="17" t="s">
        <v>94</v>
      </c>
      <c r="Q17" s="17" t="s">
        <v>94</v>
      </c>
      <c r="R17" s="17" t="s">
        <v>94</v>
      </c>
      <c r="S17" s="17" t="s">
        <v>255</v>
      </c>
      <c r="T17" s="17" t="s">
        <v>277</v>
      </c>
      <c r="U17" s="17" t="s">
        <v>559</v>
      </c>
      <c r="V17" s="17" t="s">
        <v>268</v>
      </c>
      <c r="W17" s="17" t="s">
        <v>269</v>
      </c>
      <c r="X17" s="17" t="s">
        <v>270</v>
      </c>
      <c r="Y17" s="22" t="s">
        <v>271</v>
      </c>
      <c r="AA17" s="17" t="s">
        <v>282</v>
      </c>
      <c r="AB17" s="17" t="s">
        <v>272</v>
      </c>
      <c r="AC17" s="17">
        <v>12</v>
      </c>
      <c r="AD17" s="17" t="s">
        <v>102</v>
      </c>
      <c r="AE17" s="17" t="s">
        <v>385</v>
      </c>
      <c r="AF17" s="17">
        <v>0.877</v>
      </c>
      <c r="AJ17" s="17" t="s">
        <v>104</v>
      </c>
      <c r="AK17" s="17" t="s">
        <v>94</v>
      </c>
    </row>
    <row r="18" spans="3:37" s="17" customFormat="1" ht="15" customHeight="1" x14ac:dyDescent="0.25">
      <c r="C18" s="17" t="s">
        <v>266</v>
      </c>
      <c r="E18" s="17" t="s">
        <v>380</v>
      </c>
      <c r="F18" s="17" t="s">
        <v>90</v>
      </c>
      <c r="G18" s="17" t="s">
        <v>348</v>
      </c>
      <c r="H18" s="17" t="s">
        <v>360</v>
      </c>
      <c r="I18" s="17" t="s">
        <v>215</v>
      </c>
      <c r="J18" s="17" t="s">
        <v>262</v>
      </c>
      <c r="K18" s="17" t="s">
        <v>263</v>
      </c>
      <c r="L18" s="17" t="s">
        <v>246</v>
      </c>
      <c r="M18" s="17" t="s">
        <v>94</v>
      </c>
      <c r="N18" s="17" t="s">
        <v>94</v>
      </c>
      <c r="O18" s="17">
        <v>16</v>
      </c>
      <c r="P18" s="17" t="s">
        <v>94</v>
      </c>
      <c r="Q18" s="17" t="s">
        <v>94</v>
      </c>
      <c r="R18" s="17" t="s">
        <v>94</v>
      </c>
      <c r="S18" s="17" t="s">
        <v>255</v>
      </c>
      <c r="T18" s="17" t="s">
        <v>278</v>
      </c>
      <c r="U18" s="17" t="s">
        <v>560</v>
      </c>
      <c r="V18" s="17" t="s">
        <v>268</v>
      </c>
      <c r="W18" s="17" t="s">
        <v>269</v>
      </c>
      <c r="X18" s="17" t="s">
        <v>270</v>
      </c>
      <c r="Y18" s="22" t="s">
        <v>271</v>
      </c>
      <c r="AA18" s="17" t="s">
        <v>282</v>
      </c>
      <c r="AB18" s="17" t="s">
        <v>272</v>
      </c>
      <c r="AC18" s="17">
        <v>12</v>
      </c>
      <c r="AD18" s="17" t="s">
        <v>102</v>
      </c>
      <c r="AE18" s="17" t="s">
        <v>385</v>
      </c>
      <c r="AF18" s="17">
        <v>0.877</v>
      </c>
      <c r="AJ18" s="17" t="s">
        <v>104</v>
      </c>
      <c r="AK18" s="17" t="s">
        <v>94</v>
      </c>
    </row>
    <row r="19" spans="3:37" s="17" customFormat="1" ht="15" customHeight="1" x14ac:dyDescent="0.25">
      <c r="C19" s="17" t="s">
        <v>266</v>
      </c>
      <c r="E19" s="17" t="s">
        <v>381</v>
      </c>
      <c r="F19" s="17" t="s">
        <v>90</v>
      </c>
      <c r="G19" s="17" t="s">
        <v>349</v>
      </c>
      <c r="H19" s="17" t="s">
        <v>361</v>
      </c>
      <c r="I19" s="17" t="s">
        <v>215</v>
      </c>
      <c r="J19" s="17" t="s">
        <v>262</v>
      </c>
      <c r="K19" s="17" t="s">
        <v>263</v>
      </c>
      <c r="L19" s="17" t="s">
        <v>246</v>
      </c>
      <c r="M19" s="17" t="s">
        <v>94</v>
      </c>
      <c r="N19" s="17" t="s">
        <v>94</v>
      </c>
      <c r="O19" s="17">
        <v>16</v>
      </c>
      <c r="P19" s="17" t="s">
        <v>94</v>
      </c>
      <c r="Q19" s="17" t="s">
        <v>94</v>
      </c>
      <c r="R19" s="17" t="s">
        <v>94</v>
      </c>
      <c r="S19" s="17" t="s">
        <v>255</v>
      </c>
      <c r="T19" s="17" t="s">
        <v>279</v>
      </c>
      <c r="U19" s="17" t="s">
        <v>561</v>
      </c>
      <c r="V19" s="17" t="s">
        <v>268</v>
      </c>
      <c r="W19" s="17" t="s">
        <v>269</v>
      </c>
      <c r="X19" s="17" t="s">
        <v>270</v>
      </c>
      <c r="Y19" s="22" t="s">
        <v>271</v>
      </c>
      <c r="AA19" s="17" t="s">
        <v>282</v>
      </c>
      <c r="AB19" s="17" t="s">
        <v>272</v>
      </c>
      <c r="AC19" s="17">
        <v>12</v>
      </c>
      <c r="AD19" s="17" t="s">
        <v>102</v>
      </c>
      <c r="AE19" s="17" t="s">
        <v>385</v>
      </c>
      <c r="AF19" s="17">
        <v>0.877</v>
      </c>
      <c r="AJ19" s="17" t="s">
        <v>104</v>
      </c>
      <c r="AK19" s="17" t="s">
        <v>94</v>
      </c>
    </row>
    <row r="20" spans="3:37" s="17" customFormat="1" ht="15" customHeight="1" x14ac:dyDescent="0.25">
      <c r="C20" s="17" t="s">
        <v>266</v>
      </c>
      <c r="E20" s="17" t="s">
        <v>382</v>
      </c>
      <c r="F20" s="17" t="s">
        <v>90</v>
      </c>
      <c r="G20" s="17" t="s">
        <v>366</v>
      </c>
      <c r="H20" s="17" t="s">
        <v>362</v>
      </c>
      <c r="I20" s="17" t="s">
        <v>215</v>
      </c>
      <c r="J20" s="17" t="s">
        <v>262</v>
      </c>
      <c r="K20" s="17" t="s">
        <v>263</v>
      </c>
      <c r="L20" s="17" t="s">
        <v>246</v>
      </c>
      <c r="M20" s="17" t="s">
        <v>94</v>
      </c>
      <c r="N20" s="17" t="s">
        <v>94</v>
      </c>
      <c r="O20" s="17">
        <v>16</v>
      </c>
      <c r="P20" s="17" t="s">
        <v>94</v>
      </c>
      <c r="Q20" s="17" t="s">
        <v>94</v>
      </c>
      <c r="R20" s="17" t="s">
        <v>94</v>
      </c>
      <c r="S20" s="17" t="s">
        <v>255</v>
      </c>
      <c r="T20" s="17" t="s">
        <v>280</v>
      </c>
      <c r="U20" s="17" t="s">
        <v>562</v>
      </c>
      <c r="V20" s="17" t="s">
        <v>268</v>
      </c>
      <c r="W20" s="17" t="s">
        <v>269</v>
      </c>
      <c r="X20" s="17" t="s">
        <v>270</v>
      </c>
      <c r="Y20" s="22" t="s">
        <v>271</v>
      </c>
      <c r="AA20" s="17" t="s">
        <v>282</v>
      </c>
      <c r="AB20" s="17" t="s">
        <v>272</v>
      </c>
      <c r="AC20" s="17">
        <v>12</v>
      </c>
      <c r="AD20" s="17" t="s">
        <v>102</v>
      </c>
      <c r="AE20" s="17" t="s">
        <v>385</v>
      </c>
      <c r="AF20" s="17">
        <v>0.877</v>
      </c>
      <c r="AJ20" s="17" t="s">
        <v>104</v>
      </c>
      <c r="AK20" s="17" t="s">
        <v>94</v>
      </c>
    </row>
    <row r="21" spans="3:37" s="17" customFormat="1" ht="15" customHeight="1" x14ac:dyDescent="0.25">
      <c r="C21" s="17" t="s">
        <v>266</v>
      </c>
      <c r="E21" s="17" t="s">
        <v>383</v>
      </c>
      <c r="F21" s="17" t="s">
        <v>90</v>
      </c>
      <c r="G21" s="17" t="s">
        <v>367</v>
      </c>
      <c r="H21" s="17" t="s">
        <v>363</v>
      </c>
      <c r="I21" s="17" t="s">
        <v>215</v>
      </c>
      <c r="J21" s="17" t="s">
        <v>262</v>
      </c>
      <c r="K21" s="17" t="s">
        <v>263</v>
      </c>
      <c r="L21" s="17" t="s">
        <v>246</v>
      </c>
      <c r="M21" s="17" t="s">
        <v>94</v>
      </c>
      <c r="N21" s="17" t="s">
        <v>94</v>
      </c>
      <c r="O21" s="17">
        <v>16</v>
      </c>
      <c r="P21" s="17" t="s">
        <v>94</v>
      </c>
      <c r="Q21" s="17" t="s">
        <v>94</v>
      </c>
      <c r="R21" s="17" t="s">
        <v>94</v>
      </c>
      <c r="S21" s="17" t="s">
        <v>255</v>
      </c>
      <c r="T21" s="17" t="s">
        <v>281</v>
      </c>
      <c r="U21" s="17" t="s">
        <v>563</v>
      </c>
      <c r="V21" s="17" t="s">
        <v>268</v>
      </c>
      <c r="W21" s="17" t="s">
        <v>269</v>
      </c>
      <c r="X21" s="17" t="s">
        <v>270</v>
      </c>
      <c r="Y21" s="22" t="s">
        <v>271</v>
      </c>
      <c r="AA21" s="17" t="s">
        <v>282</v>
      </c>
      <c r="AB21" s="17" t="s">
        <v>272</v>
      </c>
      <c r="AC21" s="17">
        <v>12</v>
      </c>
      <c r="AD21" s="17" t="s">
        <v>102</v>
      </c>
      <c r="AE21" s="17" t="s">
        <v>385</v>
      </c>
      <c r="AF21" s="17">
        <v>0.877</v>
      </c>
      <c r="AJ21" s="17" t="s">
        <v>104</v>
      </c>
      <c r="AK21" s="17" t="s">
        <v>94</v>
      </c>
    </row>
    <row r="22" spans="3:37" s="17" customFormat="1" ht="15" customHeight="1" x14ac:dyDescent="0.25">
      <c r="E22" s="17" t="s">
        <v>384</v>
      </c>
      <c r="F22" s="17" t="s">
        <v>90</v>
      </c>
      <c r="G22" s="17" t="s">
        <v>109</v>
      </c>
      <c r="H22" s="17" t="s">
        <v>109</v>
      </c>
      <c r="I22" s="17" t="s">
        <v>215</v>
      </c>
      <c r="J22" s="17" t="s">
        <v>389</v>
      </c>
      <c r="K22" s="17" t="s">
        <v>263</v>
      </c>
      <c r="L22" s="17" t="s">
        <v>93</v>
      </c>
      <c r="M22" s="17" t="s">
        <v>94</v>
      </c>
      <c r="N22" s="17" t="s">
        <v>94</v>
      </c>
      <c r="O22" s="17">
        <v>16</v>
      </c>
      <c r="P22" s="17" t="s">
        <v>94</v>
      </c>
      <c r="Q22" s="17" t="s">
        <v>94</v>
      </c>
      <c r="R22" s="17" t="s">
        <v>94</v>
      </c>
      <c r="S22" s="17" t="s">
        <v>94</v>
      </c>
      <c r="T22" s="17" t="s">
        <v>281</v>
      </c>
      <c r="U22" s="17" t="s">
        <v>563</v>
      </c>
      <c r="V22" s="17" t="s">
        <v>268</v>
      </c>
      <c r="W22" s="17" t="s">
        <v>269</v>
      </c>
      <c r="X22" s="17" t="s">
        <v>270</v>
      </c>
      <c r="Y22" s="22" t="s">
        <v>271</v>
      </c>
      <c r="Z22" s="19"/>
      <c r="AA22" s="17" t="s">
        <v>282</v>
      </c>
      <c r="AB22" s="17" t="s">
        <v>110</v>
      </c>
      <c r="AC22" s="17">
        <v>12</v>
      </c>
      <c r="AD22" s="17" t="s">
        <v>102</v>
      </c>
      <c r="AE22" s="17" t="s">
        <v>385</v>
      </c>
      <c r="AF22" s="20">
        <v>0.877</v>
      </c>
      <c r="AG22" s="22"/>
      <c r="AH22" s="17" t="s">
        <v>386</v>
      </c>
      <c r="AI22" s="17" t="s">
        <v>387</v>
      </c>
      <c r="AJ22" s="17" t="s">
        <v>104</v>
      </c>
      <c r="AK22" s="17" t="s">
        <v>388</v>
      </c>
    </row>
    <row r="23" spans="3:37" s="17" customFormat="1" ht="15" customHeight="1" x14ac:dyDescent="0.25">
      <c r="Y23" s="22"/>
    </row>
    <row r="24" spans="3:37" s="17" customFormat="1" ht="15" customHeight="1" x14ac:dyDescent="0.25">
      <c r="C24" s="17" t="s">
        <v>214</v>
      </c>
      <c r="E24" s="17" t="s">
        <v>390</v>
      </c>
      <c r="F24" s="17" t="s">
        <v>90</v>
      </c>
      <c r="G24" s="17" t="s">
        <v>363</v>
      </c>
      <c r="H24" s="17" t="s">
        <v>364</v>
      </c>
      <c r="I24" s="17" t="s">
        <v>215</v>
      </c>
      <c r="J24" s="17" t="s">
        <v>251</v>
      </c>
      <c r="K24" s="17" t="s">
        <v>283</v>
      </c>
      <c r="L24" s="17" t="s">
        <v>243</v>
      </c>
      <c r="M24" s="17" t="s">
        <v>94</v>
      </c>
      <c r="N24" s="17" t="s">
        <v>94</v>
      </c>
      <c r="O24" s="17">
        <v>16</v>
      </c>
      <c r="P24" s="17" t="s">
        <v>94</v>
      </c>
      <c r="Q24" s="17" t="s">
        <v>94</v>
      </c>
      <c r="R24" s="17" t="s">
        <v>94</v>
      </c>
      <c r="S24" s="17" t="s">
        <v>94</v>
      </c>
      <c r="T24" s="17" t="s">
        <v>284</v>
      </c>
      <c r="U24" s="17" t="s">
        <v>564</v>
      </c>
      <c r="V24" s="17" t="s">
        <v>269</v>
      </c>
      <c r="W24" s="17" t="s">
        <v>285</v>
      </c>
      <c r="X24" s="17" t="s">
        <v>286</v>
      </c>
      <c r="Y24" s="22" t="s">
        <v>255</v>
      </c>
      <c r="AA24" s="17" t="s">
        <v>289</v>
      </c>
      <c r="AB24" s="17" t="s">
        <v>110</v>
      </c>
      <c r="AC24" s="17">
        <v>12</v>
      </c>
      <c r="AD24" s="17" t="s">
        <v>102</v>
      </c>
      <c r="AE24" s="17" t="s">
        <v>111</v>
      </c>
      <c r="AF24" s="17">
        <v>0.81</v>
      </c>
      <c r="AJ24" s="17" t="s">
        <v>104</v>
      </c>
      <c r="AK24" s="17" t="s">
        <v>273</v>
      </c>
    </row>
    <row r="25" spans="3:37" s="17" customFormat="1" ht="15" customHeight="1" x14ac:dyDescent="0.25">
      <c r="C25" s="17" t="s">
        <v>214</v>
      </c>
      <c r="E25" s="17" t="s">
        <v>391</v>
      </c>
      <c r="F25" s="17" t="s">
        <v>90</v>
      </c>
      <c r="G25" s="17" t="s">
        <v>364</v>
      </c>
      <c r="H25" s="17" t="s">
        <v>365</v>
      </c>
      <c r="I25" s="17" t="s">
        <v>215</v>
      </c>
      <c r="J25" s="17" t="s">
        <v>251</v>
      </c>
      <c r="K25" s="17" t="s">
        <v>283</v>
      </c>
      <c r="L25" s="17" t="s">
        <v>243</v>
      </c>
      <c r="M25" s="17" t="s">
        <v>94</v>
      </c>
      <c r="N25" s="17" t="s">
        <v>94</v>
      </c>
      <c r="O25" s="17">
        <v>16</v>
      </c>
      <c r="P25" s="17" t="s">
        <v>94</v>
      </c>
      <c r="Q25" s="17" t="s">
        <v>94</v>
      </c>
      <c r="R25" s="17" t="s">
        <v>94</v>
      </c>
      <c r="S25" s="17" t="s">
        <v>94</v>
      </c>
      <c r="T25" s="17" t="s">
        <v>284</v>
      </c>
      <c r="U25" s="17" t="s">
        <v>565</v>
      </c>
      <c r="V25" s="17" t="s">
        <v>269</v>
      </c>
      <c r="W25" s="17" t="s">
        <v>285</v>
      </c>
      <c r="X25" s="17" t="s">
        <v>286</v>
      </c>
      <c r="Y25" s="22" t="s">
        <v>255</v>
      </c>
      <c r="AA25" s="17" t="s">
        <v>289</v>
      </c>
      <c r="AB25" s="17" t="s">
        <v>110</v>
      </c>
      <c r="AC25" s="17">
        <v>12</v>
      </c>
      <c r="AD25" s="17" t="s">
        <v>102</v>
      </c>
      <c r="AE25" s="17" t="s">
        <v>111</v>
      </c>
      <c r="AF25" s="17">
        <v>0.81</v>
      </c>
      <c r="AJ25" s="17" t="s">
        <v>104</v>
      </c>
      <c r="AK25" s="17" t="s">
        <v>273</v>
      </c>
    </row>
    <row r="26" spans="3:37" s="17" customFormat="1" ht="15" customHeight="1" x14ac:dyDescent="0.25">
      <c r="C26" s="17" t="s">
        <v>214</v>
      </c>
      <c r="E26" s="17" t="s">
        <v>392</v>
      </c>
      <c r="F26" s="17" t="s">
        <v>90</v>
      </c>
      <c r="G26" s="17" t="s">
        <v>365</v>
      </c>
      <c r="H26" s="17" t="s">
        <v>368</v>
      </c>
      <c r="I26" s="17" t="s">
        <v>215</v>
      </c>
      <c r="J26" s="17" t="s">
        <v>251</v>
      </c>
      <c r="K26" s="17" t="s">
        <v>283</v>
      </c>
      <c r="L26" s="17" t="s">
        <v>243</v>
      </c>
      <c r="M26" s="17" t="s">
        <v>94</v>
      </c>
      <c r="N26" s="17" t="s">
        <v>94</v>
      </c>
      <c r="O26" s="17">
        <v>16</v>
      </c>
      <c r="P26" s="17" t="s">
        <v>94</v>
      </c>
      <c r="Q26" s="17" t="s">
        <v>94</v>
      </c>
      <c r="R26" s="17" t="s">
        <v>94</v>
      </c>
      <c r="S26" s="17" t="s">
        <v>94</v>
      </c>
      <c r="T26" s="17" t="s">
        <v>284</v>
      </c>
      <c r="U26" s="17" t="s">
        <v>566</v>
      </c>
      <c r="V26" s="17" t="s">
        <v>269</v>
      </c>
      <c r="W26" s="17" t="s">
        <v>285</v>
      </c>
      <c r="X26" s="17" t="s">
        <v>286</v>
      </c>
      <c r="Y26" s="22" t="s">
        <v>255</v>
      </c>
      <c r="AA26" s="17" t="s">
        <v>289</v>
      </c>
      <c r="AB26" s="17" t="s">
        <v>110</v>
      </c>
      <c r="AC26" s="17">
        <v>12</v>
      </c>
      <c r="AD26" s="17" t="s">
        <v>102</v>
      </c>
      <c r="AE26" s="17" t="s">
        <v>111</v>
      </c>
      <c r="AF26" s="17">
        <v>0.81</v>
      </c>
      <c r="AJ26" s="17" t="s">
        <v>104</v>
      </c>
      <c r="AK26" s="17" t="s">
        <v>273</v>
      </c>
    </row>
    <row r="27" spans="3:37" s="17" customFormat="1" ht="15" customHeight="1" x14ac:dyDescent="0.25">
      <c r="E27" s="17" t="s">
        <v>393</v>
      </c>
      <c r="F27" s="17" t="s">
        <v>90</v>
      </c>
      <c r="G27" s="17" t="s">
        <v>368</v>
      </c>
      <c r="H27" s="17" t="s">
        <v>368</v>
      </c>
      <c r="I27" s="17" t="s">
        <v>215</v>
      </c>
      <c r="J27" s="17" t="s">
        <v>251</v>
      </c>
      <c r="K27" s="17" t="s">
        <v>283</v>
      </c>
      <c r="L27" s="17" t="s">
        <v>243</v>
      </c>
      <c r="M27" s="17" t="s">
        <v>94</v>
      </c>
      <c r="N27" s="17" t="s">
        <v>94</v>
      </c>
      <c r="O27" s="17">
        <v>16</v>
      </c>
      <c r="P27" s="17" t="s">
        <v>94</v>
      </c>
      <c r="Q27" s="17" t="s">
        <v>94</v>
      </c>
      <c r="R27" s="17" t="s">
        <v>94</v>
      </c>
      <c r="S27" s="17" t="s">
        <v>94</v>
      </c>
      <c r="T27" s="17" t="s">
        <v>284</v>
      </c>
      <c r="U27" s="17" t="s">
        <v>566</v>
      </c>
      <c r="V27" s="17" t="s">
        <v>269</v>
      </c>
      <c r="W27" s="17" t="s">
        <v>285</v>
      </c>
      <c r="X27" s="17" t="s">
        <v>286</v>
      </c>
      <c r="Y27" s="22" t="s">
        <v>255</v>
      </c>
      <c r="AA27" s="17" t="s">
        <v>289</v>
      </c>
      <c r="AB27" s="17" t="s">
        <v>110</v>
      </c>
      <c r="AC27" s="17">
        <v>12</v>
      </c>
      <c r="AD27" s="17" t="s">
        <v>102</v>
      </c>
      <c r="AE27" s="17" t="s">
        <v>111</v>
      </c>
      <c r="AF27" s="17">
        <v>0.81</v>
      </c>
      <c r="AH27" s="17" t="s">
        <v>386</v>
      </c>
      <c r="AI27" s="17" t="s">
        <v>387</v>
      </c>
      <c r="AJ27" s="17" t="s">
        <v>104</v>
      </c>
      <c r="AK27" s="17" t="s">
        <v>273</v>
      </c>
    </row>
    <row r="28" spans="3:37" s="17" customFormat="1" ht="15" customHeight="1" x14ac:dyDescent="0.25">
      <c r="Y28" s="22"/>
    </row>
    <row r="29" spans="3:37" s="17" customFormat="1" ht="15" customHeight="1" x14ac:dyDescent="0.25">
      <c r="C29" s="17" t="s">
        <v>214</v>
      </c>
      <c r="E29" s="17" t="s">
        <v>394</v>
      </c>
      <c r="F29" s="17" t="s">
        <v>90</v>
      </c>
      <c r="G29" s="17" t="s">
        <v>112</v>
      </c>
      <c r="H29" s="17" t="s">
        <v>119</v>
      </c>
      <c r="I29" s="17" t="s">
        <v>215</v>
      </c>
      <c r="J29" s="17" t="s">
        <v>216</v>
      </c>
      <c r="K29" s="17" t="s">
        <v>217</v>
      </c>
      <c r="L29" s="17" t="s">
        <v>113</v>
      </c>
      <c r="M29" s="17" t="s">
        <v>216</v>
      </c>
      <c r="N29" s="17" t="s">
        <v>94</v>
      </c>
      <c r="O29" s="17">
        <v>16</v>
      </c>
      <c r="P29" s="17" t="s">
        <v>94</v>
      </c>
      <c r="Q29" s="17" t="s">
        <v>94</v>
      </c>
      <c r="R29" s="17" t="s">
        <v>94</v>
      </c>
      <c r="S29" s="17" t="s">
        <v>94</v>
      </c>
      <c r="T29" s="17" t="s">
        <v>114</v>
      </c>
      <c r="U29" s="17" t="s">
        <v>559</v>
      </c>
      <c r="V29" s="17" t="s">
        <v>285</v>
      </c>
      <c r="W29" s="17" t="s">
        <v>290</v>
      </c>
      <c r="X29" s="17">
        <v>0.89300000000000002</v>
      </c>
      <c r="Y29" s="22" t="s">
        <v>94</v>
      </c>
      <c r="AA29" s="17" t="s">
        <v>115</v>
      </c>
      <c r="AB29" s="17" t="s">
        <v>116</v>
      </c>
      <c r="AC29" s="17">
        <v>12</v>
      </c>
      <c r="AD29" s="17" t="s">
        <v>117</v>
      </c>
      <c r="AJ29" s="17" t="s">
        <v>104</v>
      </c>
      <c r="AK29" s="17" t="s">
        <v>94</v>
      </c>
    </row>
    <row r="30" spans="3:37" s="17" customFormat="1" ht="15" customHeight="1" x14ac:dyDescent="0.25">
      <c r="E30" s="17" t="s">
        <v>395</v>
      </c>
      <c r="F30" s="17" t="s">
        <v>90</v>
      </c>
      <c r="G30" s="17" t="s">
        <v>112</v>
      </c>
      <c r="H30" s="17" t="s">
        <v>119</v>
      </c>
      <c r="I30" s="17" t="s">
        <v>215</v>
      </c>
      <c r="J30" s="17" t="s">
        <v>216</v>
      </c>
      <c r="K30" s="17" t="s">
        <v>217</v>
      </c>
      <c r="L30" s="17" t="s">
        <v>113</v>
      </c>
      <c r="M30" s="17" t="s">
        <v>216</v>
      </c>
      <c r="N30" s="17" t="s">
        <v>94</v>
      </c>
      <c r="O30" s="17">
        <v>16</v>
      </c>
      <c r="P30" s="17" t="s">
        <v>94</v>
      </c>
      <c r="Q30" s="17" t="s">
        <v>94</v>
      </c>
      <c r="R30" s="17" t="s">
        <v>94</v>
      </c>
      <c r="S30" s="17" t="s">
        <v>94</v>
      </c>
      <c r="T30" s="17" t="s">
        <v>114</v>
      </c>
      <c r="U30" s="17" t="s">
        <v>559</v>
      </c>
      <c r="V30" s="17" t="s">
        <v>285</v>
      </c>
      <c r="W30" s="17" t="s">
        <v>290</v>
      </c>
      <c r="X30" s="17">
        <v>0.89300000000000002</v>
      </c>
      <c r="Y30" s="22" t="s">
        <v>94</v>
      </c>
      <c r="AA30" s="17" t="s">
        <v>115</v>
      </c>
      <c r="AB30" s="17" t="s">
        <v>116</v>
      </c>
      <c r="AC30" s="17">
        <v>12</v>
      </c>
      <c r="AD30" s="17" t="s">
        <v>117</v>
      </c>
      <c r="AJ30" s="17" t="s">
        <v>104</v>
      </c>
      <c r="AK30" s="17" t="s">
        <v>94</v>
      </c>
    </row>
    <row r="31" spans="3:37" s="17" customFormat="1" ht="15" customHeight="1" x14ac:dyDescent="0.25">
      <c r="E31" s="17" t="s">
        <v>396</v>
      </c>
      <c r="F31" s="17" t="s">
        <v>90</v>
      </c>
      <c r="G31" s="17" t="s">
        <v>112</v>
      </c>
      <c r="H31" s="17" t="s">
        <v>119</v>
      </c>
      <c r="I31" s="17" t="s">
        <v>215</v>
      </c>
      <c r="J31" s="17" t="s">
        <v>216</v>
      </c>
      <c r="K31" s="17" t="s">
        <v>217</v>
      </c>
      <c r="L31" s="17" t="s">
        <v>113</v>
      </c>
      <c r="M31" s="17" t="s">
        <v>216</v>
      </c>
      <c r="N31" s="17" t="s">
        <v>94</v>
      </c>
      <c r="O31" s="17">
        <v>16</v>
      </c>
      <c r="P31" s="17" t="s">
        <v>94</v>
      </c>
      <c r="Q31" s="17" t="s">
        <v>94</v>
      </c>
      <c r="R31" s="17" t="s">
        <v>94</v>
      </c>
      <c r="S31" s="17" t="s">
        <v>94</v>
      </c>
      <c r="T31" s="17" t="s">
        <v>114</v>
      </c>
      <c r="U31" s="17" t="s">
        <v>559</v>
      </c>
      <c r="V31" s="17" t="s">
        <v>285</v>
      </c>
      <c r="W31" s="17" t="s">
        <v>290</v>
      </c>
      <c r="X31" s="17">
        <v>0.89300000000000002</v>
      </c>
      <c r="Y31" s="22" t="s">
        <v>94</v>
      </c>
      <c r="AA31" s="17" t="s">
        <v>115</v>
      </c>
      <c r="AB31" s="17" t="s">
        <v>116</v>
      </c>
      <c r="AC31" s="17">
        <v>12</v>
      </c>
      <c r="AD31" s="17" t="s">
        <v>117</v>
      </c>
      <c r="AJ31" s="17" t="s">
        <v>104</v>
      </c>
      <c r="AK31" s="17" t="s">
        <v>94</v>
      </c>
    </row>
    <row r="32" spans="3:37" s="17" customFormat="1" ht="15" customHeight="1" x14ac:dyDescent="0.25">
      <c r="E32" s="17" t="s">
        <v>397</v>
      </c>
      <c r="F32" s="17" t="s">
        <v>90</v>
      </c>
      <c r="G32" s="17" t="s">
        <v>112</v>
      </c>
      <c r="H32" s="17" t="s">
        <v>119</v>
      </c>
      <c r="I32" s="17" t="s">
        <v>215</v>
      </c>
      <c r="J32" s="17" t="s">
        <v>216</v>
      </c>
      <c r="K32" s="17" t="s">
        <v>217</v>
      </c>
      <c r="L32" s="17" t="s">
        <v>113</v>
      </c>
      <c r="M32" s="17" t="s">
        <v>216</v>
      </c>
      <c r="N32" s="17" t="s">
        <v>94</v>
      </c>
      <c r="O32" s="17">
        <v>16</v>
      </c>
      <c r="P32" s="17" t="s">
        <v>94</v>
      </c>
      <c r="Q32" s="17" t="s">
        <v>94</v>
      </c>
      <c r="R32" s="17" t="s">
        <v>94</v>
      </c>
      <c r="S32" s="17" t="s">
        <v>94</v>
      </c>
      <c r="T32" s="17" t="s">
        <v>114</v>
      </c>
      <c r="U32" s="17" t="s">
        <v>559</v>
      </c>
      <c r="V32" s="17" t="s">
        <v>285</v>
      </c>
      <c r="W32" s="17" t="s">
        <v>290</v>
      </c>
      <c r="X32" s="17">
        <v>0.89300000000000002</v>
      </c>
      <c r="Y32" s="22" t="s">
        <v>94</v>
      </c>
      <c r="AA32" s="17" t="s">
        <v>115</v>
      </c>
      <c r="AB32" s="17" t="s">
        <v>116</v>
      </c>
      <c r="AC32" s="17">
        <v>12</v>
      </c>
      <c r="AD32" s="17" t="s">
        <v>117</v>
      </c>
      <c r="AJ32" s="17" t="s">
        <v>104</v>
      </c>
      <c r="AK32" s="17" t="s">
        <v>94</v>
      </c>
    </row>
    <row r="33" spans="3:41" s="17" customFormat="1" ht="15" customHeight="1" x14ac:dyDescent="0.25">
      <c r="E33" s="17" t="s">
        <v>398</v>
      </c>
      <c r="F33" s="17" t="s">
        <v>90</v>
      </c>
      <c r="G33" s="17" t="s">
        <v>112</v>
      </c>
      <c r="H33" s="17" t="s">
        <v>119</v>
      </c>
      <c r="I33" s="17" t="s">
        <v>215</v>
      </c>
      <c r="J33" s="17" t="s">
        <v>216</v>
      </c>
      <c r="K33" s="17" t="s">
        <v>217</v>
      </c>
      <c r="L33" s="17" t="s">
        <v>113</v>
      </c>
      <c r="M33" s="17" t="s">
        <v>216</v>
      </c>
      <c r="N33" s="17" t="s">
        <v>94</v>
      </c>
      <c r="O33" s="17">
        <v>16</v>
      </c>
      <c r="P33" s="17" t="s">
        <v>94</v>
      </c>
      <c r="Q33" s="17" t="s">
        <v>94</v>
      </c>
      <c r="R33" s="17" t="s">
        <v>94</v>
      </c>
      <c r="S33" s="17" t="s">
        <v>94</v>
      </c>
      <c r="T33" s="17" t="s">
        <v>114</v>
      </c>
      <c r="U33" s="17" t="s">
        <v>559</v>
      </c>
      <c r="V33" s="17" t="s">
        <v>285</v>
      </c>
      <c r="W33" s="17" t="s">
        <v>290</v>
      </c>
      <c r="X33" s="17">
        <v>0.89300000000000002</v>
      </c>
      <c r="Y33" s="22" t="s">
        <v>94</v>
      </c>
      <c r="AA33" s="17" t="s">
        <v>115</v>
      </c>
      <c r="AB33" s="17" t="s">
        <v>116</v>
      </c>
      <c r="AC33" s="17">
        <v>12</v>
      </c>
      <c r="AD33" s="17" t="s">
        <v>117</v>
      </c>
      <c r="AJ33" s="17" t="s">
        <v>104</v>
      </c>
      <c r="AK33" s="17" t="s">
        <v>94</v>
      </c>
    </row>
    <row r="34" spans="3:41" s="17" customFormat="1" ht="15" customHeight="1" x14ac:dyDescent="0.25">
      <c r="E34" s="17" t="s">
        <v>399</v>
      </c>
      <c r="F34" s="17" t="s">
        <v>90</v>
      </c>
      <c r="G34" s="17" t="s">
        <v>112</v>
      </c>
      <c r="H34" s="17" t="s">
        <v>119</v>
      </c>
      <c r="I34" s="17" t="s">
        <v>215</v>
      </c>
      <c r="J34" s="17" t="s">
        <v>216</v>
      </c>
      <c r="K34" s="17" t="s">
        <v>217</v>
      </c>
      <c r="L34" s="17" t="s">
        <v>113</v>
      </c>
      <c r="M34" s="17" t="s">
        <v>216</v>
      </c>
      <c r="N34" s="17" t="s">
        <v>94</v>
      </c>
      <c r="O34" s="17">
        <v>16</v>
      </c>
      <c r="P34" s="17" t="s">
        <v>94</v>
      </c>
      <c r="Q34" s="17" t="s">
        <v>94</v>
      </c>
      <c r="R34" s="17" t="s">
        <v>94</v>
      </c>
      <c r="S34" s="17" t="s">
        <v>94</v>
      </c>
      <c r="T34" s="17" t="s">
        <v>114</v>
      </c>
      <c r="U34" s="17" t="s">
        <v>559</v>
      </c>
      <c r="V34" s="17" t="s">
        <v>285</v>
      </c>
      <c r="W34" s="17" t="s">
        <v>290</v>
      </c>
      <c r="X34" s="17">
        <v>0.89300000000000002</v>
      </c>
      <c r="Y34" s="22" t="s">
        <v>94</v>
      </c>
      <c r="AA34" s="17" t="s">
        <v>115</v>
      </c>
      <c r="AB34" s="17" t="s">
        <v>116</v>
      </c>
      <c r="AC34" s="17">
        <v>12</v>
      </c>
      <c r="AD34" s="17" t="s">
        <v>117</v>
      </c>
      <c r="AJ34" s="17" t="s">
        <v>104</v>
      </c>
      <c r="AK34" s="17" t="s">
        <v>94</v>
      </c>
    </row>
    <row r="35" spans="3:41" s="17" customFormat="1" ht="15" customHeight="1" x14ac:dyDescent="0.25">
      <c r="E35" s="17" t="s">
        <v>400</v>
      </c>
      <c r="F35" s="17" t="s">
        <v>90</v>
      </c>
      <c r="G35" s="17" t="s">
        <v>112</v>
      </c>
      <c r="H35" s="17" t="s">
        <v>119</v>
      </c>
      <c r="I35" s="17" t="s">
        <v>215</v>
      </c>
      <c r="J35" s="17" t="s">
        <v>216</v>
      </c>
      <c r="K35" s="17" t="s">
        <v>217</v>
      </c>
      <c r="L35" s="17" t="s">
        <v>113</v>
      </c>
      <c r="M35" s="17" t="s">
        <v>216</v>
      </c>
      <c r="N35" s="17" t="s">
        <v>94</v>
      </c>
      <c r="O35" s="17">
        <v>16</v>
      </c>
      <c r="P35" s="17" t="s">
        <v>94</v>
      </c>
      <c r="Q35" s="17" t="s">
        <v>94</v>
      </c>
      <c r="R35" s="17" t="s">
        <v>94</v>
      </c>
      <c r="S35" s="17" t="s">
        <v>94</v>
      </c>
      <c r="T35" s="17" t="s">
        <v>114</v>
      </c>
      <c r="U35" s="17" t="s">
        <v>559</v>
      </c>
      <c r="V35" s="17" t="s">
        <v>285</v>
      </c>
      <c r="W35" s="17" t="s">
        <v>290</v>
      </c>
      <c r="X35" s="17">
        <v>0.89300000000000002</v>
      </c>
      <c r="Y35" s="22" t="s">
        <v>94</v>
      </c>
      <c r="AA35" s="17" t="s">
        <v>115</v>
      </c>
      <c r="AB35" s="17" t="s">
        <v>116</v>
      </c>
      <c r="AC35" s="17">
        <v>12</v>
      </c>
      <c r="AD35" s="17" t="s">
        <v>117</v>
      </c>
      <c r="AJ35" s="17" t="s">
        <v>104</v>
      </c>
      <c r="AK35" s="17" t="s">
        <v>94</v>
      </c>
    </row>
    <row r="36" spans="3:41" s="17" customFormat="1" ht="15" customHeight="1" x14ac:dyDescent="0.25">
      <c r="C36" s="17" t="s">
        <v>214</v>
      </c>
      <c r="E36" s="17" t="s">
        <v>401</v>
      </c>
      <c r="F36" s="17" t="s">
        <v>90</v>
      </c>
      <c r="G36" s="17" t="s">
        <v>118</v>
      </c>
      <c r="H36" s="17" t="s">
        <v>119</v>
      </c>
      <c r="I36" s="17" t="s">
        <v>215</v>
      </c>
      <c r="J36" s="17" t="s">
        <v>216</v>
      </c>
      <c r="K36" s="17" t="s">
        <v>217</v>
      </c>
      <c r="L36" s="17" t="s">
        <v>113</v>
      </c>
      <c r="M36" s="17" t="s">
        <v>216</v>
      </c>
      <c r="N36" s="17" t="s">
        <v>94</v>
      </c>
      <c r="O36" s="17">
        <v>16</v>
      </c>
      <c r="P36" s="17" t="s">
        <v>94</v>
      </c>
      <c r="Q36" s="17" t="s">
        <v>94</v>
      </c>
      <c r="R36" s="17" t="s">
        <v>94</v>
      </c>
      <c r="S36" s="17" t="s">
        <v>94</v>
      </c>
      <c r="T36" s="17" t="s">
        <v>114</v>
      </c>
      <c r="U36" s="17" t="s">
        <v>559</v>
      </c>
      <c r="V36" s="17" t="s">
        <v>285</v>
      </c>
      <c r="W36" s="17" t="s">
        <v>290</v>
      </c>
      <c r="X36" s="17">
        <v>0.89300000000000002</v>
      </c>
      <c r="Y36" s="22" t="s">
        <v>94</v>
      </c>
      <c r="AA36" s="17" t="s">
        <v>115</v>
      </c>
      <c r="AB36" s="17" t="s">
        <v>116</v>
      </c>
      <c r="AC36" s="17">
        <v>12</v>
      </c>
      <c r="AD36" s="17" t="s">
        <v>117</v>
      </c>
      <c r="AJ36" s="17" t="s">
        <v>104</v>
      </c>
      <c r="AK36" s="17" t="s">
        <v>94</v>
      </c>
    </row>
    <row r="37" spans="3:41" s="17" customFormat="1" ht="15" customHeight="1" x14ac:dyDescent="0.25"/>
    <row r="38" spans="3:41" s="17" customFormat="1" ht="15" customHeight="1" x14ac:dyDescent="0.25"/>
    <row r="39" spans="3:41" s="17" customFormat="1" ht="15" customHeight="1" x14ac:dyDescent="0.25"/>
    <row r="40" spans="3:41" s="17" customFormat="1" ht="15" customHeight="1" x14ac:dyDescent="0.25">
      <c r="E40" s="17" t="s">
        <v>403</v>
      </c>
      <c r="F40" s="17" t="s">
        <v>90</v>
      </c>
      <c r="G40" s="17" t="s">
        <v>118</v>
      </c>
      <c r="H40" s="17" t="s">
        <v>568</v>
      </c>
      <c r="I40" s="17" t="s">
        <v>215</v>
      </c>
      <c r="J40" s="17" t="s">
        <v>216</v>
      </c>
      <c r="K40" s="17" t="s">
        <v>217</v>
      </c>
      <c r="L40" s="17" t="s">
        <v>113</v>
      </c>
      <c r="M40" s="17" t="s">
        <v>216</v>
      </c>
      <c r="N40" s="17" t="s">
        <v>216</v>
      </c>
      <c r="O40" s="17">
        <v>16</v>
      </c>
      <c r="P40" s="17" t="s">
        <v>94</v>
      </c>
      <c r="Q40" s="17" t="s">
        <v>94</v>
      </c>
      <c r="R40" s="17" t="s">
        <v>94</v>
      </c>
      <c r="S40" s="17" t="s">
        <v>94</v>
      </c>
      <c r="T40" s="17" t="s">
        <v>114</v>
      </c>
      <c r="U40" s="17" t="s">
        <v>567</v>
      </c>
      <c r="V40" s="17" t="s">
        <v>120</v>
      </c>
      <c r="W40" s="17" t="s">
        <v>94</v>
      </c>
      <c r="X40" s="17">
        <v>0.89300000000000002</v>
      </c>
      <c r="Y40" s="17" t="s">
        <v>94</v>
      </c>
      <c r="Z40" s="17" t="s">
        <v>94</v>
      </c>
      <c r="AA40" s="17" t="s">
        <v>94</v>
      </c>
      <c r="AB40" s="17" t="s">
        <v>94</v>
      </c>
      <c r="AC40" s="17">
        <v>11</v>
      </c>
      <c r="AD40" s="17" t="s">
        <v>402</v>
      </c>
      <c r="AF40" s="17" t="s">
        <v>121</v>
      </c>
      <c r="AG40" s="17" t="s">
        <v>122</v>
      </c>
      <c r="AJ40" s="17" t="s">
        <v>104</v>
      </c>
      <c r="AK40" s="17" t="s">
        <v>94</v>
      </c>
      <c r="AL40" s="17" t="s">
        <v>94</v>
      </c>
      <c r="AM40" s="17" t="s">
        <v>94</v>
      </c>
      <c r="AO40" s="17" t="s">
        <v>94</v>
      </c>
    </row>
    <row r="41" spans="3:41" s="17" customFormat="1" ht="15" customHeight="1" x14ac:dyDescent="0.25"/>
    <row r="42" spans="3:41" s="17" customFormat="1" ht="15" customHeight="1" x14ac:dyDescent="0.25"/>
    <row r="62" spans="21:21" s="17" customFormat="1" ht="15" customHeight="1" x14ac:dyDescent="0.25"/>
    <row r="63" spans="21:21" s="17" customFormat="1" ht="15" customHeight="1" x14ac:dyDescent="0.25">
      <c r="U63" s="23"/>
    </row>
    <row r="64" spans="21:21" s="17" customFormat="1" ht="15" customHeight="1" x14ac:dyDescent="0.25">
      <c r="U64" s="23"/>
    </row>
    <row r="65" spans="21:21" s="17" customFormat="1" ht="15" customHeight="1" x14ac:dyDescent="0.25">
      <c r="U65" s="23"/>
    </row>
    <row r="66" spans="21:21" s="17" customFormat="1" ht="15" customHeight="1" x14ac:dyDescent="0.25">
      <c r="U66" s="23"/>
    </row>
    <row r="67" spans="21:21" s="17" customFormat="1" ht="15" customHeight="1" x14ac:dyDescent="0.25">
      <c r="U67" s="23"/>
    </row>
    <row r="68" spans="21:21" s="17" customFormat="1" ht="15" customHeight="1" x14ac:dyDescent="0.25"/>
    <row r="69" spans="21:21" s="17" customFormat="1" ht="15" customHeight="1" x14ac:dyDescent="0.25"/>
    <row r="70" spans="21:21" s="17" customFormat="1" ht="15" customHeight="1" x14ac:dyDescent="0.25"/>
    <row r="71" spans="21:21" s="17" customFormat="1" ht="15" customHeight="1" x14ac:dyDescent="0.25"/>
    <row r="72" spans="21:21" s="17" customFormat="1" ht="15" customHeight="1" x14ac:dyDescent="0.25"/>
    <row r="73" spans="21:21" s="17" customFormat="1" ht="15" customHeight="1" x14ac:dyDescent="0.25"/>
    <row r="74" spans="21:21" s="17" customFormat="1" ht="15" customHeight="1" x14ac:dyDescent="0.25"/>
    <row r="75" spans="21:21" s="17" customFormat="1" ht="15" customHeight="1" x14ac:dyDescent="0.25"/>
    <row r="76" spans="21:21" s="17" customFormat="1" ht="15" customHeight="1" x14ac:dyDescent="0.25"/>
    <row r="77" spans="21:21" s="17" customFormat="1" ht="15" customHeight="1" x14ac:dyDescent="0.25"/>
    <row r="78" spans="21:21" s="17" customFormat="1" ht="15" customHeight="1" x14ac:dyDescent="0.25"/>
    <row r="79" spans="21:21" s="17" customFormat="1" ht="15" customHeight="1" x14ac:dyDescent="0.25"/>
    <row r="80" spans="21:21" s="17" customFormat="1" ht="15" customHeight="1" x14ac:dyDescent="0.25"/>
    <row r="81" s="17" customFormat="1" ht="15" customHeight="1" x14ac:dyDescent="0.25"/>
    <row r="82" s="17" customFormat="1" ht="15" customHeight="1" x14ac:dyDescent="0.25"/>
    <row r="83" s="17" customFormat="1" ht="15" customHeight="1" x14ac:dyDescent="0.25"/>
    <row r="84" s="17" customFormat="1" ht="15" customHeight="1" x14ac:dyDescent="0.25"/>
    <row r="85" s="17" customFormat="1" ht="15" customHeight="1" x14ac:dyDescent="0.25"/>
    <row r="86" s="17" customFormat="1" ht="15" customHeight="1" x14ac:dyDescent="0.25"/>
    <row r="87" s="17" customFormat="1" ht="15" customHeight="1" x14ac:dyDescent="0.25"/>
    <row r="88" s="17" customFormat="1" ht="15" customHeight="1" x14ac:dyDescent="0.25"/>
    <row r="89" s="17" customFormat="1" ht="15" customHeight="1" x14ac:dyDescent="0.25"/>
    <row r="90" s="17" customFormat="1" ht="15" customHeight="1" x14ac:dyDescent="0.25"/>
    <row r="91" s="17" customFormat="1" ht="15" customHeight="1" x14ac:dyDescent="0.25"/>
    <row r="92" s="17" customFormat="1" ht="15" customHeight="1" x14ac:dyDescent="0.25"/>
    <row r="93" s="17" customFormat="1" ht="15" customHeight="1" x14ac:dyDescent="0.25"/>
    <row r="94" s="17" customFormat="1" ht="15" customHeight="1" x14ac:dyDescent="0.25"/>
    <row r="95" s="17" customFormat="1" ht="15" customHeight="1" x14ac:dyDescent="0.25"/>
    <row r="96" s="17" customFormat="1" ht="15" customHeight="1" x14ac:dyDescent="0.25"/>
    <row r="97" s="17" customFormat="1" ht="15" customHeight="1" x14ac:dyDescent="0.25"/>
    <row r="98" s="17" customFormat="1" ht="15" customHeight="1" x14ac:dyDescent="0.25"/>
  </sheetData>
  <mergeCells count="1">
    <mergeCell ref="O1:S1"/>
  </mergeCells>
  <phoneticPr fontId="8"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A2FE-A6FE-4F10-92CE-658BF5085795}">
  <dimension ref="A1:AU87"/>
  <sheetViews>
    <sheetView topLeftCell="E1" zoomScaleNormal="100" workbookViewId="0">
      <pane ySplit="4" topLeftCell="A75" activePane="bottomLeft" state="frozen"/>
      <selection activeCell="D1" sqref="D1"/>
      <selection pane="bottomLeft" activeCell="AG49" sqref="AG49:AK51"/>
    </sheetView>
  </sheetViews>
  <sheetFormatPr defaultColWidth="48.140625" defaultRowHeight="15" x14ac:dyDescent="0.25"/>
  <cols>
    <col min="1" max="1" width="10.85546875" hidden="1" customWidth="1"/>
    <col min="2" max="2" width="8.85546875" hidden="1" customWidth="1"/>
    <col min="3" max="3" width="22" hidden="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6" width="18.140625" customWidth="1"/>
    <col min="17" max="17" width="71.140625" customWidth="1"/>
    <col min="18" max="18" width="75.85546875" customWidth="1"/>
    <col min="19" max="19" width="34.42578125" customWidth="1"/>
    <col min="20" max="20" width="28.28515625" customWidth="1"/>
    <col min="21" max="21" width="34.42578125" customWidth="1"/>
    <col min="22" max="22" width="28.42578125" customWidth="1"/>
    <col min="23" max="23" width="34.140625" customWidth="1"/>
    <col min="24" max="24" width="47.5703125" customWidth="1"/>
    <col min="25" max="25" width="27.28515625" customWidth="1"/>
    <col min="26" max="32" width="33.5703125" customWidth="1"/>
    <col min="33" max="33" width="29.7109375" customWidth="1"/>
    <col min="34" max="34" width="28.140625" customWidth="1"/>
    <col min="35" max="35" width="48.42578125" customWidth="1"/>
    <col min="36" max="36" width="37.7109375" customWidth="1"/>
    <col min="37" max="37" width="33.42578125" customWidth="1"/>
    <col min="38" max="38" width="27.28515625" customWidth="1"/>
    <col min="39" max="39" width="49.28515625" customWidth="1"/>
    <col min="40" max="40" width="54" bestFit="1" customWidth="1"/>
    <col min="41" max="41" width="44.7109375" customWidth="1"/>
    <col min="42" max="42" width="31.85546875" customWidth="1"/>
    <col min="43" max="43" width="18.5703125" customWidth="1"/>
    <col min="44" max="44" width="51.7109375" customWidth="1"/>
    <col min="45" max="45" width="28" customWidth="1"/>
    <col min="46" max="46" width="14.42578125" customWidth="1"/>
    <col min="47" max="47" width="11.140625" customWidth="1"/>
  </cols>
  <sheetData>
    <row r="1" spans="1:47" ht="28.5" customHeight="1" x14ac:dyDescent="0.25">
      <c r="A1" s="1" t="s">
        <v>0</v>
      </c>
      <c r="B1" s="2" t="s">
        <v>1</v>
      </c>
      <c r="C1" s="3" t="s">
        <v>2</v>
      </c>
      <c r="D1" s="3" t="s">
        <v>3</v>
      </c>
      <c r="E1" s="4" t="s">
        <v>4</v>
      </c>
      <c r="F1" s="5" t="s">
        <v>5</v>
      </c>
      <c r="G1" s="4" t="s">
        <v>6</v>
      </c>
      <c r="H1" s="5" t="s">
        <v>7</v>
      </c>
      <c r="I1" s="6" t="s">
        <v>8</v>
      </c>
      <c r="J1" s="6" t="s">
        <v>9</v>
      </c>
      <c r="K1" s="6" t="s">
        <v>10</v>
      </c>
      <c r="L1" s="6" t="s">
        <v>11</v>
      </c>
      <c r="M1" s="6" t="s">
        <v>12</v>
      </c>
      <c r="N1" s="6" t="s">
        <v>12</v>
      </c>
      <c r="O1" s="5" t="s">
        <v>41</v>
      </c>
      <c r="P1" s="5" t="s">
        <v>218</v>
      </c>
      <c r="Q1" s="3" t="s">
        <v>14</v>
      </c>
      <c r="R1" s="5" t="s">
        <v>15</v>
      </c>
      <c r="S1" s="6" t="s">
        <v>16</v>
      </c>
      <c r="T1" s="5" t="s">
        <v>16</v>
      </c>
      <c r="U1" s="4" t="s">
        <v>17</v>
      </c>
      <c r="V1" s="4" t="s">
        <v>219</v>
      </c>
      <c r="W1" s="4" t="s">
        <v>220</v>
      </c>
      <c r="X1" s="5" t="s">
        <v>221</v>
      </c>
      <c r="Y1" s="4" t="s">
        <v>222</v>
      </c>
      <c r="Z1" s="3" t="s">
        <v>223</v>
      </c>
      <c r="AA1" s="3" t="s">
        <v>224</v>
      </c>
      <c r="AB1" s="3" t="s">
        <v>225</v>
      </c>
      <c r="AC1" s="3" t="s">
        <v>226</v>
      </c>
      <c r="AD1" s="3" t="s">
        <v>227</v>
      </c>
      <c r="AE1" s="3" t="s">
        <v>42</v>
      </c>
      <c r="AF1" s="3" t="s">
        <v>127</v>
      </c>
      <c r="AG1" s="5" t="s">
        <v>22</v>
      </c>
      <c r="AH1" s="6" t="s">
        <v>21</v>
      </c>
      <c r="AI1" s="6" t="s">
        <v>22</v>
      </c>
      <c r="AJ1" s="6" t="s">
        <v>228</v>
      </c>
      <c r="AK1" s="6" t="s">
        <v>21</v>
      </c>
      <c r="AL1" s="4" t="s">
        <v>19</v>
      </c>
      <c r="AM1" s="6" t="s">
        <v>22</v>
      </c>
      <c r="AN1" s="4" t="s">
        <v>25</v>
      </c>
      <c r="AO1" s="5" t="s">
        <v>26</v>
      </c>
      <c r="AP1" s="4" t="s">
        <v>27</v>
      </c>
      <c r="AQ1" s="7" t="s">
        <v>28</v>
      </c>
      <c r="AR1" s="4" t="s">
        <v>29</v>
      </c>
      <c r="AS1" s="4" t="s">
        <v>31</v>
      </c>
      <c r="AT1" s="5" t="s">
        <v>32</v>
      </c>
      <c r="AU1" s="8" t="s">
        <v>33</v>
      </c>
    </row>
    <row r="2" spans="1:47" ht="38.25" customHeight="1" x14ac:dyDescent="0.25">
      <c r="A2" s="1" t="s">
        <v>34</v>
      </c>
      <c r="B2" s="9" t="s">
        <v>35</v>
      </c>
      <c r="C2" s="10" t="s">
        <v>36</v>
      </c>
      <c r="D2" s="10"/>
      <c r="E2" s="11" t="s">
        <v>37</v>
      </c>
      <c r="F2" s="12" t="s">
        <v>38</v>
      </c>
      <c r="G2" s="11" t="s">
        <v>39</v>
      </c>
      <c r="H2" s="12" t="s">
        <v>40</v>
      </c>
      <c r="I2" s="13"/>
      <c r="J2" s="13"/>
      <c r="K2" s="13"/>
      <c r="L2" s="13"/>
      <c r="M2" s="13"/>
      <c r="N2" s="13"/>
      <c r="O2" s="12" t="s">
        <v>229</v>
      </c>
      <c r="P2" s="12" t="s">
        <v>230</v>
      </c>
      <c r="Q2" s="10" t="s">
        <v>46</v>
      </c>
      <c r="R2" s="12" t="s">
        <v>47</v>
      </c>
      <c r="S2" s="13" t="s">
        <v>48</v>
      </c>
      <c r="T2" s="12" t="s">
        <v>49</v>
      </c>
      <c r="U2" s="11" t="s">
        <v>50</v>
      </c>
      <c r="V2" s="11"/>
      <c r="W2" s="11"/>
      <c r="X2" s="12" t="s">
        <v>51</v>
      </c>
      <c r="Y2" s="11"/>
      <c r="Z2" s="10"/>
      <c r="AA2" s="39"/>
      <c r="AB2" s="10"/>
      <c r="AC2" s="10"/>
      <c r="AD2" s="10"/>
      <c r="AE2" s="10"/>
      <c r="AF2" s="10"/>
      <c r="AG2" s="12" t="s">
        <v>55</v>
      </c>
      <c r="AH2" s="13" t="s">
        <v>54</v>
      </c>
      <c r="AI2" s="13" t="s">
        <v>55</v>
      </c>
      <c r="AJ2" s="13"/>
      <c r="AK2" s="13" t="s">
        <v>54</v>
      </c>
      <c r="AL2" s="11" t="s">
        <v>52</v>
      </c>
      <c r="AM2" s="13" t="s">
        <v>55</v>
      </c>
      <c r="AN2" s="11" t="s">
        <v>56</v>
      </c>
      <c r="AO2" s="12" t="s">
        <v>57</v>
      </c>
      <c r="AP2" s="11" t="s">
        <v>58</v>
      </c>
      <c r="AQ2" s="15" t="s">
        <v>59</v>
      </c>
      <c r="AR2" s="11" t="s">
        <v>60</v>
      </c>
      <c r="AS2" s="11" t="s">
        <v>62</v>
      </c>
      <c r="AT2" s="12"/>
      <c r="AU2" s="16"/>
    </row>
    <row r="3" spans="1:47" ht="39" customHeight="1" x14ac:dyDescent="0.25">
      <c r="A3" s="1" t="s">
        <v>63</v>
      </c>
      <c r="B3" s="9" t="s">
        <v>64</v>
      </c>
      <c r="C3" s="10" t="s">
        <v>65</v>
      </c>
      <c r="D3" s="10"/>
      <c r="E3" s="11" t="s">
        <v>66</v>
      </c>
      <c r="F3" s="12" t="s">
        <v>67</v>
      </c>
      <c r="G3" s="11" t="s">
        <v>231</v>
      </c>
      <c r="H3" s="12" t="s">
        <v>232</v>
      </c>
      <c r="I3" s="13"/>
      <c r="J3" s="13"/>
      <c r="K3" s="13"/>
      <c r="L3" s="13"/>
      <c r="M3" s="13"/>
      <c r="N3" s="13"/>
      <c r="O3" s="12">
        <v>12</v>
      </c>
      <c r="P3" s="12" t="s">
        <v>233</v>
      </c>
      <c r="Q3" s="10" t="s">
        <v>69</v>
      </c>
      <c r="R3" s="12" t="s">
        <v>70</v>
      </c>
      <c r="S3" s="13">
        <v>7.5</v>
      </c>
      <c r="T3" s="12" t="s">
        <v>71</v>
      </c>
      <c r="U3" s="11" t="s">
        <v>72</v>
      </c>
      <c r="V3" s="11"/>
      <c r="W3" s="11"/>
      <c r="X3" s="12" t="s">
        <v>73</v>
      </c>
      <c r="Y3" s="11"/>
      <c r="Z3" s="10"/>
      <c r="AA3" s="10"/>
      <c r="AB3" s="10"/>
      <c r="AC3" s="10"/>
      <c r="AD3" s="10"/>
      <c r="AE3" s="10"/>
      <c r="AF3" s="10"/>
      <c r="AG3" s="12" t="s">
        <v>77</v>
      </c>
      <c r="AH3" s="13" t="s">
        <v>234</v>
      </c>
      <c r="AI3" s="13" t="s">
        <v>77</v>
      </c>
      <c r="AJ3" s="13"/>
      <c r="AK3" s="13" t="s">
        <v>76</v>
      </c>
      <c r="AL3" s="11" t="s">
        <v>74</v>
      </c>
      <c r="AM3" s="13" t="s">
        <v>77</v>
      </c>
      <c r="AN3" s="11" t="s">
        <v>81</v>
      </c>
      <c r="AO3" s="12" t="s">
        <v>82</v>
      </c>
      <c r="AP3" s="11" t="s">
        <v>83</v>
      </c>
      <c r="AQ3" s="15" t="s">
        <v>84</v>
      </c>
      <c r="AR3" s="11" t="s">
        <v>85</v>
      </c>
      <c r="AS3" s="11" t="s">
        <v>87</v>
      </c>
      <c r="AT3" s="12" t="b">
        <v>0</v>
      </c>
      <c r="AU3" s="16" t="s">
        <v>88</v>
      </c>
    </row>
    <row r="4" spans="1:47" ht="13.5" customHeight="1" x14ac:dyDescent="0.25">
      <c r="A4" s="1" t="s">
        <v>191</v>
      </c>
      <c r="B4" s="40" t="s">
        <v>192</v>
      </c>
      <c r="C4" s="41" t="s">
        <v>192</v>
      </c>
      <c r="D4" s="41"/>
      <c r="E4" s="29" t="s">
        <v>192</v>
      </c>
      <c r="F4" s="30" t="s">
        <v>192</v>
      </c>
      <c r="G4" s="29" t="s">
        <v>192</v>
      </c>
      <c r="H4" s="30" t="s">
        <v>192</v>
      </c>
      <c r="I4" s="42"/>
      <c r="J4" s="42"/>
      <c r="K4" s="42"/>
      <c r="L4" s="42"/>
      <c r="M4" s="42"/>
      <c r="N4" s="42"/>
      <c r="O4" s="30" t="s">
        <v>192</v>
      </c>
      <c r="P4" s="30" t="s">
        <v>192</v>
      </c>
      <c r="Q4" s="43" t="s">
        <v>193</v>
      </c>
      <c r="R4" s="27" t="s">
        <v>193</v>
      </c>
      <c r="S4" s="31" t="s">
        <v>193</v>
      </c>
      <c r="T4" s="27" t="s">
        <v>193</v>
      </c>
      <c r="U4" s="26" t="s">
        <v>193</v>
      </c>
      <c r="V4" s="26"/>
      <c r="W4" s="26"/>
      <c r="X4" s="27" t="s">
        <v>193</v>
      </c>
      <c r="Y4" s="26"/>
      <c r="Z4" s="43"/>
      <c r="AA4" s="43"/>
      <c r="AB4" s="43"/>
      <c r="AC4" s="43"/>
      <c r="AD4" s="43"/>
      <c r="AE4" s="43"/>
      <c r="AF4" s="43"/>
      <c r="AG4" s="27" t="s">
        <v>193</v>
      </c>
      <c r="AH4" s="31" t="s">
        <v>194</v>
      </c>
      <c r="AI4" s="31" t="s">
        <v>193</v>
      </c>
      <c r="AJ4" s="31"/>
      <c r="AK4" s="31" t="s">
        <v>194</v>
      </c>
      <c r="AL4" s="26" t="s">
        <v>193</v>
      </c>
      <c r="AM4" s="31" t="s">
        <v>193</v>
      </c>
      <c r="AN4" s="26" t="s">
        <v>193</v>
      </c>
      <c r="AO4" s="27" t="s">
        <v>193</v>
      </c>
      <c r="AP4" s="26" t="s">
        <v>193</v>
      </c>
      <c r="AQ4" s="44" t="s">
        <v>193</v>
      </c>
      <c r="AR4" s="26" t="s">
        <v>193</v>
      </c>
      <c r="AS4" s="26" t="s">
        <v>193</v>
      </c>
      <c r="AT4" s="30" t="s">
        <v>192</v>
      </c>
      <c r="AU4" s="45" t="s">
        <v>192</v>
      </c>
    </row>
    <row r="5" spans="1:47" x14ac:dyDescent="0.25">
      <c r="E5" t="s">
        <v>200</v>
      </c>
      <c r="F5" t="s">
        <v>235</v>
      </c>
      <c r="G5" t="s">
        <v>236</v>
      </c>
      <c r="H5" t="s">
        <v>237</v>
      </c>
      <c r="I5" t="s">
        <v>215</v>
      </c>
      <c r="J5" t="s">
        <v>244</v>
      </c>
      <c r="K5" t="s">
        <v>245</v>
      </c>
      <c r="L5" t="s">
        <v>246</v>
      </c>
      <c r="M5" t="s">
        <v>94</v>
      </c>
      <c r="N5" t="s">
        <v>94</v>
      </c>
      <c r="O5">
        <v>16</v>
      </c>
      <c r="P5" t="s">
        <v>94</v>
      </c>
      <c r="Q5" t="s">
        <v>247</v>
      </c>
      <c r="R5" t="s">
        <v>248</v>
      </c>
      <c r="S5" s="17" t="s">
        <v>120</v>
      </c>
      <c r="T5" t="s">
        <v>249</v>
      </c>
      <c r="U5" s="17" t="s">
        <v>238</v>
      </c>
      <c r="V5" t="s">
        <v>94</v>
      </c>
      <c r="W5" t="s">
        <v>94</v>
      </c>
      <c r="X5" t="s">
        <v>94</v>
      </c>
      <c r="Y5" t="s">
        <v>94</v>
      </c>
      <c r="Z5" s="32">
        <v>0.94</v>
      </c>
      <c r="AA5" t="s">
        <v>94</v>
      </c>
      <c r="AB5" t="s">
        <v>94</v>
      </c>
      <c r="AC5" t="s">
        <v>94</v>
      </c>
      <c r="AD5" t="s">
        <v>94</v>
      </c>
      <c r="AE5" t="s">
        <v>94</v>
      </c>
      <c r="AF5" t="s">
        <v>94</v>
      </c>
      <c r="AH5" t="s">
        <v>308</v>
      </c>
      <c r="AI5" t="s">
        <v>250</v>
      </c>
      <c r="AJ5" t="s">
        <v>239</v>
      </c>
      <c r="AK5" t="s">
        <v>94</v>
      </c>
      <c r="AL5" t="s">
        <v>240</v>
      </c>
      <c r="AM5" t="s">
        <v>94</v>
      </c>
      <c r="AN5" t="s">
        <v>104</v>
      </c>
      <c r="AO5" t="s">
        <v>241</v>
      </c>
      <c r="AP5" t="s">
        <v>94</v>
      </c>
      <c r="AQ5" t="s">
        <v>94</v>
      </c>
      <c r="AR5" t="s">
        <v>94</v>
      </c>
    </row>
    <row r="6" spans="1:47" x14ac:dyDescent="0.25">
      <c r="E6" t="s">
        <v>200</v>
      </c>
      <c r="F6" t="s">
        <v>235</v>
      </c>
      <c r="G6" t="s">
        <v>236</v>
      </c>
      <c r="H6" t="s">
        <v>237</v>
      </c>
      <c r="I6" t="s">
        <v>215</v>
      </c>
      <c r="J6" t="s">
        <v>244</v>
      </c>
      <c r="K6" t="s">
        <v>245</v>
      </c>
      <c r="L6" t="s">
        <v>246</v>
      </c>
      <c r="M6" t="s">
        <v>94</v>
      </c>
      <c r="N6" t="s">
        <v>94</v>
      </c>
      <c r="O6">
        <v>16</v>
      </c>
      <c r="P6" t="s">
        <v>94</v>
      </c>
      <c r="Q6" t="s">
        <v>247</v>
      </c>
      <c r="R6" t="s">
        <v>248</v>
      </c>
      <c r="S6" s="17" t="s">
        <v>120</v>
      </c>
      <c r="T6" t="s">
        <v>249</v>
      </c>
      <c r="U6" s="17" t="s">
        <v>238</v>
      </c>
      <c r="V6" t="s">
        <v>94</v>
      </c>
      <c r="W6" t="s">
        <v>94</v>
      </c>
      <c r="X6" t="s">
        <v>94</v>
      </c>
      <c r="Y6" t="s">
        <v>94</v>
      </c>
      <c r="Z6" s="32">
        <v>0.94</v>
      </c>
      <c r="AA6" t="s">
        <v>94</v>
      </c>
      <c r="AB6" t="s">
        <v>94</v>
      </c>
      <c r="AC6" t="s">
        <v>94</v>
      </c>
      <c r="AD6" t="s">
        <v>94</v>
      </c>
      <c r="AE6" t="s">
        <v>94</v>
      </c>
      <c r="AF6" t="s">
        <v>94</v>
      </c>
      <c r="AH6" t="s">
        <v>308</v>
      </c>
      <c r="AI6" t="s">
        <v>250</v>
      </c>
      <c r="AJ6" t="s">
        <v>239</v>
      </c>
      <c r="AK6" t="s">
        <v>94</v>
      </c>
      <c r="AL6" t="s">
        <v>240</v>
      </c>
      <c r="AM6" t="s">
        <v>94</v>
      </c>
      <c r="AN6" t="s">
        <v>104</v>
      </c>
      <c r="AO6" t="s">
        <v>241</v>
      </c>
      <c r="AP6" t="s">
        <v>94</v>
      </c>
      <c r="AQ6" t="s">
        <v>94</v>
      </c>
      <c r="AR6" t="s">
        <v>94</v>
      </c>
    </row>
    <row r="7" spans="1:47" x14ac:dyDescent="0.25">
      <c r="E7" t="s">
        <v>200</v>
      </c>
      <c r="F7" t="s">
        <v>235</v>
      </c>
      <c r="G7" t="s">
        <v>236</v>
      </c>
      <c r="H7" t="s">
        <v>237</v>
      </c>
      <c r="I7" t="s">
        <v>215</v>
      </c>
      <c r="J7" t="s">
        <v>244</v>
      </c>
      <c r="K7" t="s">
        <v>245</v>
      </c>
      <c r="L7" t="s">
        <v>246</v>
      </c>
      <c r="M7" t="s">
        <v>94</v>
      </c>
      <c r="N7" t="s">
        <v>94</v>
      </c>
      <c r="O7">
        <v>16</v>
      </c>
      <c r="P7" t="s">
        <v>94</v>
      </c>
      <c r="Q7" t="s">
        <v>247</v>
      </c>
      <c r="R7" t="s">
        <v>248</v>
      </c>
      <c r="S7" s="17" t="s">
        <v>120</v>
      </c>
      <c r="T7" t="s">
        <v>249</v>
      </c>
      <c r="U7" s="17" t="s">
        <v>238</v>
      </c>
      <c r="V7" t="s">
        <v>94</v>
      </c>
      <c r="W7" t="s">
        <v>94</v>
      </c>
      <c r="X7" t="s">
        <v>94</v>
      </c>
      <c r="Y7" t="s">
        <v>94</v>
      </c>
      <c r="Z7" s="32">
        <v>0.94</v>
      </c>
      <c r="AA7" t="s">
        <v>94</v>
      </c>
      <c r="AB7" t="s">
        <v>94</v>
      </c>
      <c r="AC7" t="s">
        <v>94</v>
      </c>
      <c r="AD7" t="s">
        <v>94</v>
      </c>
      <c r="AE7" t="s">
        <v>94</v>
      </c>
      <c r="AF7" t="s">
        <v>94</v>
      </c>
      <c r="AH7" t="s">
        <v>308</v>
      </c>
      <c r="AI7" t="s">
        <v>250</v>
      </c>
      <c r="AJ7" t="s">
        <v>239</v>
      </c>
      <c r="AK7" t="s">
        <v>94</v>
      </c>
      <c r="AL7" t="s">
        <v>240</v>
      </c>
      <c r="AM7" t="s">
        <v>94</v>
      </c>
      <c r="AN7" t="s">
        <v>104</v>
      </c>
      <c r="AO7" t="s">
        <v>241</v>
      </c>
      <c r="AP7" t="s">
        <v>94</v>
      </c>
      <c r="AQ7" t="s">
        <v>94</v>
      </c>
      <c r="AR7" t="s">
        <v>94</v>
      </c>
    </row>
    <row r="8" spans="1:47" x14ac:dyDescent="0.25">
      <c r="E8" t="s">
        <v>200</v>
      </c>
      <c r="F8" t="s">
        <v>235</v>
      </c>
      <c r="G8" t="s">
        <v>236</v>
      </c>
      <c r="H8" t="s">
        <v>237</v>
      </c>
      <c r="I8" t="s">
        <v>215</v>
      </c>
      <c r="J8" t="s">
        <v>244</v>
      </c>
      <c r="K8" t="s">
        <v>245</v>
      </c>
      <c r="L8" t="s">
        <v>246</v>
      </c>
      <c r="M8" t="s">
        <v>94</v>
      </c>
      <c r="N8" t="s">
        <v>94</v>
      </c>
      <c r="O8">
        <v>16</v>
      </c>
      <c r="P8" t="s">
        <v>94</v>
      </c>
      <c r="Q8" t="s">
        <v>247</v>
      </c>
      <c r="R8" t="s">
        <v>248</v>
      </c>
      <c r="S8" s="17" t="s">
        <v>120</v>
      </c>
      <c r="T8" t="s">
        <v>249</v>
      </c>
      <c r="U8" s="17" t="s">
        <v>238</v>
      </c>
      <c r="V8" t="s">
        <v>94</v>
      </c>
      <c r="W8" t="s">
        <v>94</v>
      </c>
      <c r="X8" t="s">
        <v>94</v>
      </c>
      <c r="Y8" t="s">
        <v>94</v>
      </c>
      <c r="Z8" s="32">
        <v>0.94</v>
      </c>
      <c r="AA8" t="s">
        <v>94</v>
      </c>
      <c r="AB8" t="s">
        <v>94</v>
      </c>
      <c r="AC8" t="s">
        <v>94</v>
      </c>
      <c r="AD8" t="s">
        <v>94</v>
      </c>
      <c r="AE8" t="s">
        <v>94</v>
      </c>
      <c r="AF8" t="s">
        <v>94</v>
      </c>
      <c r="AH8" t="s">
        <v>308</v>
      </c>
      <c r="AI8" t="s">
        <v>250</v>
      </c>
      <c r="AJ8" t="s">
        <v>239</v>
      </c>
      <c r="AK8" t="s">
        <v>94</v>
      </c>
      <c r="AL8" t="s">
        <v>240</v>
      </c>
      <c r="AM8" t="s">
        <v>94</v>
      </c>
      <c r="AN8" t="s">
        <v>104</v>
      </c>
      <c r="AO8" t="s">
        <v>241</v>
      </c>
      <c r="AP8" t="s">
        <v>94</v>
      </c>
      <c r="AQ8" t="s">
        <v>94</v>
      </c>
      <c r="AR8" t="s">
        <v>94</v>
      </c>
    </row>
    <row r="9" spans="1:47" x14ac:dyDescent="0.25">
      <c r="E9" t="s">
        <v>200</v>
      </c>
      <c r="F9" t="s">
        <v>235</v>
      </c>
      <c r="G9" t="s">
        <v>236</v>
      </c>
      <c r="H9" t="s">
        <v>237</v>
      </c>
      <c r="I9" t="s">
        <v>215</v>
      </c>
      <c r="J9" t="s">
        <v>244</v>
      </c>
      <c r="K9" t="s">
        <v>245</v>
      </c>
      <c r="L9" t="s">
        <v>246</v>
      </c>
      <c r="M9" t="s">
        <v>94</v>
      </c>
      <c r="N9" t="s">
        <v>94</v>
      </c>
      <c r="O9">
        <v>16</v>
      </c>
      <c r="P9" t="s">
        <v>94</v>
      </c>
      <c r="Q9" t="s">
        <v>247</v>
      </c>
      <c r="R9" t="s">
        <v>248</v>
      </c>
      <c r="S9" s="17" t="s">
        <v>120</v>
      </c>
      <c r="T9" t="s">
        <v>249</v>
      </c>
      <c r="U9" s="17" t="s">
        <v>238</v>
      </c>
      <c r="V9" t="s">
        <v>94</v>
      </c>
      <c r="W9" t="s">
        <v>94</v>
      </c>
      <c r="X9" t="s">
        <v>94</v>
      </c>
      <c r="Y9" t="s">
        <v>94</v>
      </c>
      <c r="Z9" s="32">
        <v>0.94</v>
      </c>
      <c r="AA9" t="s">
        <v>94</v>
      </c>
      <c r="AB9" t="s">
        <v>94</v>
      </c>
      <c r="AC9" t="s">
        <v>94</v>
      </c>
      <c r="AD9" t="s">
        <v>94</v>
      </c>
      <c r="AE9" t="s">
        <v>94</v>
      </c>
      <c r="AF9" t="s">
        <v>94</v>
      </c>
      <c r="AH9" t="s">
        <v>308</v>
      </c>
      <c r="AI9" t="s">
        <v>250</v>
      </c>
      <c r="AJ9" t="s">
        <v>239</v>
      </c>
      <c r="AK9" t="s">
        <v>94</v>
      </c>
      <c r="AL9" t="s">
        <v>240</v>
      </c>
      <c r="AM9" t="s">
        <v>94</v>
      </c>
      <c r="AN9" t="s">
        <v>104</v>
      </c>
      <c r="AO9" t="s">
        <v>241</v>
      </c>
      <c r="AP9" t="s">
        <v>94</v>
      </c>
      <c r="AQ9" t="s">
        <v>94</v>
      </c>
      <c r="AR9" t="s">
        <v>94</v>
      </c>
    </row>
    <row r="10" spans="1:47" x14ac:dyDescent="0.25">
      <c r="E10" t="s">
        <v>200</v>
      </c>
      <c r="F10" t="s">
        <v>235</v>
      </c>
      <c r="G10" t="s">
        <v>236</v>
      </c>
      <c r="H10" t="s">
        <v>237</v>
      </c>
      <c r="I10" t="s">
        <v>215</v>
      </c>
      <c r="J10" t="s">
        <v>244</v>
      </c>
      <c r="K10" t="s">
        <v>245</v>
      </c>
      <c r="L10" t="s">
        <v>246</v>
      </c>
      <c r="M10" t="s">
        <v>94</v>
      </c>
      <c r="N10" t="s">
        <v>94</v>
      </c>
      <c r="O10">
        <v>16</v>
      </c>
      <c r="P10" t="s">
        <v>94</v>
      </c>
      <c r="Q10" t="s">
        <v>247</v>
      </c>
      <c r="R10" t="s">
        <v>248</v>
      </c>
      <c r="S10" s="17" t="s">
        <v>120</v>
      </c>
      <c r="T10" t="s">
        <v>249</v>
      </c>
      <c r="U10" s="17" t="s">
        <v>238</v>
      </c>
      <c r="V10" t="s">
        <v>94</v>
      </c>
      <c r="W10" t="s">
        <v>94</v>
      </c>
      <c r="X10" t="s">
        <v>94</v>
      </c>
      <c r="Y10" t="s">
        <v>94</v>
      </c>
      <c r="Z10" s="32">
        <v>0.94</v>
      </c>
      <c r="AA10" t="s">
        <v>94</v>
      </c>
      <c r="AB10" t="s">
        <v>94</v>
      </c>
      <c r="AC10" t="s">
        <v>94</v>
      </c>
      <c r="AD10" t="s">
        <v>94</v>
      </c>
      <c r="AE10" t="s">
        <v>94</v>
      </c>
      <c r="AF10" t="s">
        <v>94</v>
      </c>
      <c r="AH10" t="s">
        <v>308</v>
      </c>
      <c r="AI10" t="s">
        <v>250</v>
      </c>
      <c r="AJ10" t="s">
        <v>239</v>
      </c>
      <c r="AK10" t="s">
        <v>94</v>
      </c>
      <c r="AL10" t="s">
        <v>240</v>
      </c>
      <c r="AM10" t="s">
        <v>94</v>
      </c>
      <c r="AN10" t="s">
        <v>104</v>
      </c>
      <c r="AO10" t="s">
        <v>241</v>
      </c>
      <c r="AP10" t="s">
        <v>94</v>
      </c>
      <c r="AQ10" t="s">
        <v>94</v>
      </c>
      <c r="AR10" t="s">
        <v>94</v>
      </c>
    </row>
    <row r="11" spans="1:47" x14ac:dyDescent="0.25">
      <c r="E11" t="s">
        <v>200</v>
      </c>
      <c r="F11" t="s">
        <v>235</v>
      </c>
      <c r="G11" t="s">
        <v>236</v>
      </c>
      <c r="H11" t="s">
        <v>237</v>
      </c>
      <c r="I11" t="s">
        <v>215</v>
      </c>
      <c r="J11" t="s">
        <v>244</v>
      </c>
      <c r="K11" t="s">
        <v>245</v>
      </c>
      <c r="L11" t="s">
        <v>246</v>
      </c>
      <c r="M11" t="s">
        <v>94</v>
      </c>
      <c r="N11" t="s">
        <v>94</v>
      </c>
      <c r="O11">
        <v>16</v>
      </c>
      <c r="P11" t="s">
        <v>94</v>
      </c>
      <c r="Q11" t="s">
        <v>247</v>
      </c>
      <c r="R11" t="s">
        <v>248</v>
      </c>
      <c r="S11" s="17" t="s">
        <v>120</v>
      </c>
      <c r="T11" t="s">
        <v>249</v>
      </c>
      <c r="U11" s="17" t="s">
        <v>238</v>
      </c>
      <c r="V11" t="s">
        <v>94</v>
      </c>
      <c r="W11" t="s">
        <v>94</v>
      </c>
      <c r="X11" t="s">
        <v>94</v>
      </c>
      <c r="Y11" t="s">
        <v>94</v>
      </c>
      <c r="Z11" s="32">
        <v>0.94</v>
      </c>
      <c r="AA11" t="s">
        <v>94</v>
      </c>
      <c r="AB11" t="s">
        <v>94</v>
      </c>
      <c r="AC11" t="s">
        <v>94</v>
      </c>
      <c r="AD11" t="s">
        <v>94</v>
      </c>
      <c r="AE11" t="s">
        <v>94</v>
      </c>
      <c r="AF11" t="s">
        <v>94</v>
      </c>
      <c r="AH11" t="s">
        <v>308</v>
      </c>
      <c r="AI11" t="s">
        <v>250</v>
      </c>
      <c r="AJ11" t="s">
        <v>239</v>
      </c>
      <c r="AK11" t="s">
        <v>94</v>
      </c>
      <c r="AL11" t="s">
        <v>240</v>
      </c>
      <c r="AM11" t="s">
        <v>94</v>
      </c>
      <c r="AN11" t="s">
        <v>104</v>
      </c>
      <c r="AO11" t="s">
        <v>241</v>
      </c>
      <c r="AP11" t="s">
        <v>94</v>
      </c>
      <c r="AQ11" t="s">
        <v>94</v>
      </c>
      <c r="AR11" t="s">
        <v>94</v>
      </c>
    </row>
    <row r="12" spans="1:47" s="17" customFormat="1" ht="15" customHeight="1" x14ac:dyDescent="0.25">
      <c r="E12" t="s">
        <v>200</v>
      </c>
      <c r="F12" t="s">
        <v>235</v>
      </c>
      <c r="G12" t="s">
        <v>236</v>
      </c>
      <c r="H12" t="s">
        <v>237</v>
      </c>
      <c r="I12" t="s">
        <v>215</v>
      </c>
      <c r="J12" t="s">
        <v>244</v>
      </c>
      <c r="K12" t="s">
        <v>245</v>
      </c>
      <c r="L12" t="s">
        <v>246</v>
      </c>
      <c r="M12" t="s">
        <v>94</v>
      </c>
      <c r="N12" t="s">
        <v>94</v>
      </c>
      <c r="O12">
        <v>16</v>
      </c>
      <c r="P12" t="s">
        <v>94</v>
      </c>
      <c r="Q12" t="s">
        <v>247</v>
      </c>
      <c r="R12" t="s">
        <v>248</v>
      </c>
      <c r="S12" s="17" t="s">
        <v>120</v>
      </c>
      <c r="T12" t="s">
        <v>249</v>
      </c>
      <c r="U12" s="17" t="s">
        <v>238</v>
      </c>
      <c r="V12" t="s">
        <v>94</v>
      </c>
      <c r="W12" t="s">
        <v>94</v>
      </c>
      <c r="X12" t="s">
        <v>94</v>
      </c>
      <c r="Y12" t="s">
        <v>94</v>
      </c>
      <c r="Z12" s="32">
        <v>0.94</v>
      </c>
      <c r="AA12" t="s">
        <v>94</v>
      </c>
      <c r="AB12" t="s">
        <v>94</v>
      </c>
      <c r="AC12" t="s">
        <v>94</v>
      </c>
      <c r="AD12" t="s">
        <v>94</v>
      </c>
      <c r="AE12" t="s">
        <v>94</v>
      </c>
      <c r="AF12" t="s">
        <v>94</v>
      </c>
      <c r="AG12"/>
      <c r="AH12" t="s">
        <v>308</v>
      </c>
      <c r="AI12" t="s">
        <v>250</v>
      </c>
      <c r="AJ12" t="s">
        <v>239</v>
      </c>
      <c r="AK12" t="s">
        <v>94</v>
      </c>
      <c r="AL12" t="s">
        <v>240</v>
      </c>
      <c r="AM12" t="s">
        <v>94</v>
      </c>
      <c r="AN12" t="s">
        <v>104</v>
      </c>
      <c r="AO12" t="s">
        <v>241</v>
      </c>
      <c r="AP12" t="s">
        <v>94</v>
      </c>
      <c r="AQ12" t="s">
        <v>94</v>
      </c>
      <c r="AR12" t="s">
        <v>94</v>
      </c>
      <c r="AS12"/>
      <c r="AT12"/>
      <c r="AU12"/>
    </row>
    <row r="13" spans="1:47" s="17" customFormat="1" ht="15" customHeight="1" x14ac:dyDescent="0.25">
      <c r="E13" t="s">
        <v>200</v>
      </c>
      <c r="F13" t="s">
        <v>235</v>
      </c>
      <c r="G13" t="s">
        <v>236</v>
      </c>
      <c r="H13" t="s">
        <v>237</v>
      </c>
      <c r="I13" t="s">
        <v>215</v>
      </c>
      <c r="J13" t="s">
        <v>244</v>
      </c>
      <c r="K13" t="s">
        <v>245</v>
      </c>
      <c r="L13" t="s">
        <v>246</v>
      </c>
      <c r="M13" t="s">
        <v>94</v>
      </c>
      <c r="N13" t="s">
        <v>94</v>
      </c>
      <c r="O13">
        <v>16</v>
      </c>
      <c r="P13" t="s">
        <v>94</v>
      </c>
      <c r="Q13" t="s">
        <v>247</v>
      </c>
      <c r="R13" t="s">
        <v>248</v>
      </c>
      <c r="S13" s="17" t="s">
        <v>120</v>
      </c>
      <c r="T13" t="s">
        <v>249</v>
      </c>
      <c r="U13" s="17" t="s">
        <v>238</v>
      </c>
      <c r="V13" t="s">
        <v>94</v>
      </c>
      <c r="W13" t="s">
        <v>94</v>
      </c>
      <c r="X13" t="s">
        <v>94</v>
      </c>
      <c r="Y13" t="s">
        <v>94</v>
      </c>
      <c r="Z13" s="32">
        <v>0.94</v>
      </c>
      <c r="AA13" t="s">
        <v>94</v>
      </c>
      <c r="AB13" t="s">
        <v>94</v>
      </c>
      <c r="AC13" t="s">
        <v>94</v>
      </c>
      <c r="AD13" t="s">
        <v>94</v>
      </c>
      <c r="AE13" t="s">
        <v>94</v>
      </c>
      <c r="AF13" t="s">
        <v>94</v>
      </c>
      <c r="AG13"/>
      <c r="AH13" t="s">
        <v>308</v>
      </c>
      <c r="AI13" t="s">
        <v>250</v>
      </c>
      <c r="AJ13" t="s">
        <v>239</v>
      </c>
      <c r="AK13" t="s">
        <v>94</v>
      </c>
      <c r="AL13" t="s">
        <v>240</v>
      </c>
      <c r="AM13" t="s">
        <v>94</v>
      </c>
      <c r="AN13" t="s">
        <v>104</v>
      </c>
      <c r="AO13" t="s">
        <v>241</v>
      </c>
      <c r="AP13" t="s">
        <v>94</v>
      </c>
      <c r="AQ13" t="s">
        <v>94</v>
      </c>
      <c r="AR13" t="s">
        <v>94</v>
      </c>
      <c r="AS13"/>
      <c r="AT13"/>
      <c r="AU13"/>
    </row>
    <row r="14" spans="1:47" s="17" customFormat="1" ht="15" customHeight="1" x14ac:dyDescent="0.25">
      <c r="E14" t="s">
        <v>200</v>
      </c>
      <c r="F14" t="s">
        <v>235</v>
      </c>
      <c r="G14" t="s">
        <v>236</v>
      </c>
      <c r="H14" t="s">
        <v>237</v>
      </c>
      <c r="I14" t="s">
        <v>215</v>
      </c>
      <c r="J14" t="s">
        <v>244</v>
      </c>
      <c r="K14" t="s">
        <v>245</v>
      </c>
      <c r="L14" t="s">
        <v>246</v>
      </c>
      <c r="M14" t="s">
        <v>94</v>
      </c>
      <c r="N14" t="s">
        <v>94</v>
      </c>
      <c r="O14">
        <v>16</v>
      </c>
      <c r="P14" t="s">
        <v>94</v>
      </c>
      <c r="Q14" t="s">
        <v>247</v>
      </c>
      <c r="R14" t="s">
        <v>248</v>
      </c>
      <c r="S14" s="17" t="s">
        <v>120</v>
      </c>
      <c r="T14" t="s">
        <v>249</v>
      </c>
      <c r="U14" s="17" t="s">
        <v>238</v>
      </c>
      <c r="V14" t="s">
        <v>94</v>
      </c>
      <c r="W14" t="s">
        <v>94</v>
      </c>
      <c r="X14" t="s">
        <v>94</v>
      </c>
      <c r="Y14" t="s">
        <v>94</v>
      </c>
      <c r="Z14" s="32">
        <v>0.94</v>
      </c>
      <c r="AA14" t="s">
        <v>94</v>
      </c>
      <c r="AB14" t="s">
        <v>94</v>
      </c>
      <c r="AC14" t="s">
        <v>94</v>
      </c>
      <c r="AD14" t="s">
        <v>94</v>
      </c>
      <c r="AE14" t="s">
        <v>94</v>
      </c>
      <c r="AF14" t="s">
        <v>94</v>
      </c>
      <c r="AG14"/>
      <c r="AH14" t="s">
        <v>308</v>
      </c>
      <c r="AI14" t="s">
        <v>250</v>
      </c>
      <c r="AJ14" t="s">
        <v>239</v>
      </c>
      <c r="AK14" t="s">
        <v>94</v>
      </c>
      <c r="AL14" t="s">
        <v>240</v>
      </c>
      <c r="AM14" t="s">
        <v>94</v>
      </c>
      <c r="AN14" t="s">
        <v>104</v>
      </c>
      <c r="AO14" t="s">
        <v>241</v>
      </c>
      <c r="AP14" t="s">
        <v>94</v>
      </c>
      <c r="AQ14" t="s">
        <v>94</v>
      </c>
      <c r="AR14" t="s">
        <v>94</v>
      </c>
      <c r="AS14"/>
      <c r="AT14"/>
      <c r="AU14"/>
    </row>
    <row r="15" spans="1:47" s="17" customFormat="1" ht="15" customHeight="1" x14ac:dyDescent="0.25">
      <c r="E15" t="s">
        <v>200</v>
      </c>
      <c r="F15" t="s">
        <v>235</v>
      </c>
      <c r="G15" t="s">
        <v>236</v>
      </c>
      <c r="H15" t="s">
        <v>237</v>
      </c>
      <c r="I15" t="s">
        <v>215</v>
      </c>
      <c r="J15" t="s">
        <v>244</v>
      </c>
      <c r="K15" t="s">
        <v>245</v>
      </c>
      <c r="L15" t="s">
        <v>246</v>
      </c>
      <c r="M15" t="s">
        <v>94</v>
      </c>
      <c r="N15" t="s">
        <v>94</v>
      </c>
      <c r="O15">
        <v>16</v>
      </c>
      <c r="P15" t="s">
        <v>94</v>
      </c>
      <c r="Q15" t="s">
        <v>247</v>
      </c>
      <c r="R15" t="s">
        <v>248</v>
      </c>
      <c r="S15" s="17" t="s">
        <v>120</v>
      </c>
      <c r="T15" t="s">
        <v>249</v>
      </c>
      <c r="U15" s="17" t="s">
        <v>238</v>
      </c>
      <c r="V15" t="s">
        <v>94</v>
      </c>
      <c r="W15" t="s">
        <v>94</v>
      </c>
      <c r="X15" t="s">
        <v>94</v>
      </c>
      <c r="Y15" t="s">
        <v>94</v>
      </c>
      <c r="Z15" s="32">
        <v>0.94</v>
      </c>
      <c r="AA15" t="s">
        <v>94</v>
      </c>
      <c r="AB15" t="s">
        <v>94</v>
      </c>
      <c r="AC15" t="s">
        <v>94</v>
      </c>
      <c r="AD15" t="s">
        <v>94</v>
      </c>
      <c r="AE15" t="s">
        <v>94</v>
      </c>
      <c r="AF15" t="s">
        <v>94</v>
      </c>
      <c r="AG15"/>
      <c r="AH15" t="s">
        <v>308</v>
      </c>
      <c r="AI15" t="s">
        <v>250</v>
      </c>
      <c r="AJ15" t="s">
        <v>239</v>
      </c>
      <c r="AK15" t="s">
        <v>94</v>
      </c>
      <c r="AL15" t="s">
        <v>240</v>
      </c>
      <c r="AM15" t="s">
        <v>94</v>
      </c>
      <c r="AN15" t="s">
        <v>104</v>
      </c>
      <c r="AO15" t="s">
        <v>241</v>
      </c>
      <c r="AP15" t="s">
        <v>94</v>
      </c>
      <c r="AQ15" t="s">
        <v>94</v>
      </c>
      <c r="AR15" t="s">
        <v>94</v>
      </c>
      <c r="AS15"/>
      <c r="AT15"/>
      <c r="AU15"/>
    </row>
    <row r="16" spans="1:47" s="17" customFormat="1" ht="15" customHeight="1" x14ac:dyDescent="0.25">
      <c r="E16" t="s">
        <v>200</v>
      </c>
      <c r="F16" t="s">
        <v>235</v>
      </c>
      <c r="G16" t="s">
        <v>236</v>
      </c>
      <c r="H16" t="s">
        <v>237</v>
      </c>
      <c r="I16" t="s">
        <v>215</v>
      </c>
      <c r="J16" t="s">
        <v>244</v>
      </c>
      <c r="K16" t="s">
        <v>245</v>
      </c>
      <c r="L16" t="s">
        <v>246</v>
      </c>
      <c r="M16" t="s">
        <v>94</v>
      </c>
      <c r="N16" t="s">
        <v>94</v>
      </c>
      <c r="O16">
        <v>16</v>
      </c>
      <c r="P16" t="s">
        <v>94</v>
      </c>
      <c r="Q16" t="s">
        <v>247</v>
      </c>
      <c r="R16" t="s">
        <v>248</v>
      </c>
      <c r="S16" s="17" t="s">
        <v>120</v>
      </c>
      <c r="T16" t="s">
        <v>249</v>
      </c>
      <c r="U16" s="17" t="s">
        <v>238</v>
      </c>
      <c r="V16" t="s">
        <v>94</v>
      </c>
      <c r="W16" t="s">
        <v>94</v>
      </c>
      <c r="X16" t="s">
        <v>94</v>
      </c>
      <c r="Y16" t="s">
        <v>94</v>
      </c>
      <c r="Z16" s="32">
        <v>0.94</v>
      </c>
      <c r="AA16" t="s">
        <v>94</v>
      </c>
      <c r="AB16" t="s">
        <v>94</v>
      </c>
      <c r="AC16" t="s">
        <v>94</v>
      </c>
      <c r="AD16" t="s">
        <v>94</v>
      </c>
      <c r="AE16" t="s">
        <v>94</v>
      </c>
      <c r="AF16" t="s">
        <v>94</v>
      </c>
      <c r="AG16"/>
      <c r="AH16" t="s">
        <v>308</v>
      </c>
      <c r="AI16" t="s">
        <v>250</v>
      </c>
      <c r="AJ16" t="s">
        <v>239</v>
      </c>
      <c r="AK16" t="s">
        <v>94</v>
      </c>
      <c r="AL16" t="s">
        <v>240</v>
      </c>
      <c r="AM16" t="s">
        <v>94</v>
      </c>
      <c r="AN16" t="s">
        <v>104</v>
      </c>
      <c r="AO16" t="s">
        <v>241</v>
      </c>
      <c r="AP16" t="s">
        <v>94</v>
      </c>
      <c r="AQ16" t="s">
        <v>94</v>
      </c>
      <c r="AR16" t="s">
        <v>94</v>
      </c>
      <c r="AS16"/>
      <c r="AT16"/>
      <c r="AU16"/>
    </row>
    <row r="17" spans="5:47" s="17" customFormat="1" ht="15" customHeight="1" x14ac:dyDescent="0.25">
      <c r="E17" t="s">
        <v>200</v>
      </c>
      <c r="F17" t="s">
        <v>235</v>
      </c>
      <c r="G17" t="s">
        <v>236</v>
      </c>
      <c r="H17" t="s">
        <v>237</v>
      </c>
      <c r="I17" t="s">
        <v>215</v>
      </c>
      <c r="J17" t="s">
        <v>244</v>
      </c>
      <c r="K17" t="s">
        <v>245</v>
      </c>
      <c r="L17" t="s">
        <v>246</v>
      </c>
      <c r="M17" t="s">
        <v>94</v>
      </c>
      <c r="N17" t="s">
        <v>94</v>
      </c>
      <c r="O17">
        <v>16</v>
      </c>
      <c r="P17" t="s">
        <v>94</v>
      </c>
      <c r="Q17" t="s">
        <v>247</v>
      </c>
      <c r="R17" t="s">
        <v>248</v>
      </c>
      <c r="S17" s="17" t="s">
        <v>120</v>
      </c>
      <c r="T17" t="s">
        <v>249</v>
      </c>
      <c r="U17" s="17" t="s">
        <v>238</v>
      </c>
      <c r="V17" t="s">
        <v>94</v>
      </c>
      <c r="W17" t="s">
        <v>94</v>
      </c>
      <c r="X17" t="s">
        <v>94</v>
      </c>
      <c r="Y17" t="s">
        <v>94</v>
      </c>
      <c r="Z17" s="32">
        <v>0.94</v>
      </c>
      <c r="AA17" t="s">
        <v>94</v>
      </c>
      <c r="AB17" t="s">
        <v>94</v>
      </c>
      <c r="AC17" t="s">
        <v>94</v>
      </c>
      <c r="AD17" t="s">
        <v>94</v>
      </c>
      <c r="AE17" t="s">
        <v>94</v>
      </c>
      <c r="AF17" t="s">
        <v>94</v>
      </c>
      <c r="AG17"/>
      <c r="AH17" t="s">
        <v>308</v>
      </c>
      <c r="AI17" t="s">
        <v>250</v>
      </c>
      <c r="AJ17" t="s">
        <v>239</v>
      </c>
      <c r="AK17" t="s">
        <v>94</v>
      </c>
      <c r="AL17" t="s">
        <v>240</v>
      </c>
      <c r="AM17" t="s">
        <v>94</v>
      </c>
      <c r="AN17" t="s">
        <v>104</v>
      </c>
      <c r="AO17" t="s">
        <v>241</v>
      </c>
      <c r="AP17" t="s">
        <v>94</v>
      </c>
      <c r="AQ17" t="s">
        <v>94</v>
      </c>
      <c r="AR17" t="s">
        <v>94</v>
      </c>
      <c r="AS17"/>
      <c r="AT17"/>
      <c r="AU17"/>
    </row>
    <row r="18" spans="5:47" s="17" customFormat="1" ht="15" customHeight="1" x14ac:dyDescent="0.25">
      <c r="E18" t="s">
        <v>200</v>
      </c>
      <c r="F18" t="s">
        <v>235</v>
      </c>
      <c r="G18" t="s">
        <v>236</v>
      </c>
      <c r="H18" t="s">
        <v>237</v>
      </c>
      <c r="I18" t="s">
        <v>215</v>
      </c>
      <c r="J18" t="s">
        <v>244</v>
      </c>
      <c r="K18" t="s">
        <v>245</v>
      </c>
      <c r="L18" t="s">
        <v>246</v>
      </c>
      <c r="M18" t="s">
        <v>94</v>
      </c>
      <c r="N18" t="s">
        <v>94</v>
      </c>
      <c r="O18">
        <v>16</v>
      </c>
      <c r="P18" t="s">
        <v>94</v>
      </c>
      <c r="Q18" t="s">
        <v>247</v>
      </c>
      <c r="R18" t="s">
        <v>248</v>
      </c>
      <c r="S18" s="17" t="s">
        <v>120</v>
      </c>
      <c r="T18" t="s">
        <v>249</v>
      </c>
      <c r="U18" s="17" t="s">
        <v>238</v>
      </c>
      <c r="V18" t="s">
        <v>94</v>
      </c>
      <c r="W18" t="s">
        <v>94</v>
      </c>
      <c r="X18" t="s">
        <v>94</v>
      </c>
      <c r="Y18" t="s">
        <v>94</v>
      </c>
      <c r="Z18" s="32">
        <v>0.94</v>
      </c>
      <c r="AA18" t="s">
        <v>94</v>
      </c>
      <c r="AB18" t="s">
        <v>94</v>
      </c>
      <c r="AC18" t="s">
        <v>94</v>
      </c>
      <c r="AD18" t="s">
        <v>94</v>
      </c>
      <c r="AE18" t="s">
        <v>94</v>
      </c>
      <c r="AF18" t="s">
        <v>94</v>
      </c>
      <c r="AG18"/>
      <c r="AH18" t="s">
        <v>308</v>
      </c>
      <c r="AI18" t="s">
        <v>250</v>
      </c>
      <c r="AJ18" t="s">
        <v>239</v>
      </c>
      <c r="AK18" t="s">
        <v>94</v>
      </c>
      <c r="AL18" t="s">
        <v>240</v>
      </c>
      <c r="AM18" t="s">
        <v>94</v>
      </c>
      <c r="AN18" t="s">
        <v>104</v>
      </c>
      <c r="AO18" t="s">
        <v>241</v>
      </c>
      <c r="AP18" t="s">
        <v>94</v>
      </c>
      <c r="AQ18" t="s">
        <v>94</v>
      </c>
      <c r="AR18" t="s">
        <v>94</v>
      </c>
      <c r="AS18"/>
      <c r="AT18"/>
      <c r="AU18"/>
    </row>
    <row r="19" spans="5:47" s="17" customFormat="1" ht="15" customHeight="1" x14ac:dyDescent="0.25">
      <c r="E19" t="s">
        <v>200</v>
      </c>
      <c r="F19" t="s">
        <v>235</v>
      </c>
      <c r="G19" t="s">
        <v>236</v>
      </c>
      <c r="H19" t="s">
        <v>237</v>
      </c>
      <c r="I19" t="s">
        <v>215</v>
      </c>
      <c r="J19" t="s">
        <v>244</v>
      </c>
      <c r="K19" t="s">
        <v>245</v>
      </c>
      <c r="L19" t="s">
        <v>246</v>
      </c>
      <c r="M19" t="s">
        <v>94</v>
      </c>
      <c r="N19" t="s">
        <v>94</v>
      </c>
      <c r="O19">
        <v>16</v>
      </c>
      <c r="P19" t="s">
        <v>94</v>
      </c>
      <c r="Q19" t="s">
        <v>247</v>
      </c>
      <c r="R19" t="s">
        <v>248</v>
      </c>
      <c r="S19" s="17" t="s">
        <v>120</v>
      </c>
      <c r="T19" t="s">
        <v>249</v>
      </c>
      <c r="U19" s="17" t="s">
        <v>238</v>
      </c>
      <c r="V19" t="s">
        <v>94</v>
      </c>
      <c r="W19" t="s">
        <v>94</v>
      </c>
      <c r="X19" t="s">
        <v>94</v>
      </c>
      <c r="Y19" t="s">
        <v>94</v>
      </c>
      <c r="Z19" s="32">
        <v>0.94</v>
      </c>
      <c r="AA19" t="s">
        <v>94</v>
      </c>
      <c r="AB19" t="s">
        <v>94</v>
      </c>
      <c r="AC19" t="s">
        <v>94</v>
      </c>
      <c r="AD19" t="s">
        <v>94</v>
      </c>
      <c r="AE19" t="s">
        <v>94</v>
      </c>
      <c r="AF19" t="s">
        <v>94</v>
      </c>
      <c r="AG19"/>
      <c r="AH19" t="s">
        <v>308</v>
      </c>
      <c r="AI19" t="s">
        <v>250</v>
      </c>
      <c r="AJ19" t="s">
        <v>239</v>
      </c>
      <c r="AK19" t="s">
        <v>94</v>
      </c>
      <c r="AL19" t="s">
        <v>240</v>
      </c>
      <c r="AM19" t="s">
        <v>94</v>
      </c>
      <c r="AN19" t="s">
        <v>104</v>
      </c>
      <c r="AO19" t="s">
        <v>241</v>
      </c>
      <c r="AP19" t="s">
        <v>94</v>
      </c>
      <c r="AQ19" t="s">
        <v>94</v>
      </c>
      <c r="AR19" t="s">
        <v>94</v>
      </c>
      <c r="AS19"/>
      <c r="AT19"/>
      <c r="AU19"/>
    </row>
    <row r="20" spans="5:47" s="17" customFormat="1" ht="15" customHeight="1" x14ac:dyDescent="0.25">
      <c r="E20" t="s">
        <v>200</v>
      </c>
      <c r="F20" t="s">
        <v>235</v>
      </c>
      <c r="G20" t="s">
        <v>236</v>
      </c>
      <c r="H20" t="s">
        <v>237</v>
      </c>
      <c r="I20" t="s">
        <v>215</v>
      </c>
      <c r="J20" t="s">
        <v>244</v>
      </c>
      <c r="K20" t="s">
        <v>245</v>
      </c>
      <c r="L20" t="s">
        <v>246</v>
      </c>
      <c r="M20" t="s">
        <v>94</v>
      </c>
      <c r="N20" t="s">
        <v>94</v>
      </c>
      <c r="O20">
        <v>16</v>
      </c>
      <c r="P20" t="s">
        <v>94</v>
      </c>
      <c r="Q20" t="s">
        <v>247</v>
      </c>
      <c r="R20" t="s">
        <v>248</v>
      </c>
      <c r="S20" s="17" t="s">
        <v>120</v>
      </c>
      <c r="T20" t="s">
        <v>249</v>
      </c>
      <c r="U20" s="17" t="s">
        <v>238</v>
      </c>
      <c r="V20" t="s">
        <v>94</v>
      </c>
      <c r="W20" t="s">
        <v>94</v>
      </c>
      <c r="X20" t="s">
        <v>94</v>
      </c>
      <c r="Y20" t="s">
        <v>94</v>
      </c>
      <c r="Z20" s="32">
        <v>0.94</v>
      </c>
      <c r="AA20" t="s">
        <v>94</v>
      </c>
      <c r="AB20" t="s">
        <v>94</v>
      </c>
      <c r="AC20" t="s">
        <v>94</v>
      </c>
      <c r="AD20" t="s">
        <v>94</v>
      </c>
      <c r="AE20" t="s">
        <v>94</v>
      </c>
      <c r="AF20" t="s">
        <v>94</v>
      </c>
      <c r="AG20"/>
      <c r="AH20" t="s">
        <v>308</v>
      </c>
      <c r="AI20" t="s">
        <v>250</v>
      </c>
      <c r="AJ20" t="s">
        <v>239</v>
      </c>
      <c r="AK20" t="s">
        <v>94</v>
      </c>
      <c r="AL20" t="s">
        <v>240</v>
      </c>
      <c r="AM20" t="s">
        <v>94</v>
      </c>
      <c r="AN20" t="s">
        <v>104</v>
      </c>
      <c r="AO20" t="s">
        <v>241</v>
      </c>
      <c r="AP20" t="s">
        <v>94</v>
      </c>
      <c r="AQ20" t="s">
        <v>94</v>
      </c>
      <c r="AR20" t="s">
        <v>94</v>
      </c>
      <c r="AS20"/>
      <c r="AT20"/>
      <c r="AU20"/>
    </row>
    <row r="21" spans="5:47" s="17" customFormat="1" ht="15" customHeight="1" x14ac:dyDescent="0.25"/>
    <row r="22" spans="5:47" s="46" customFormat="1" ht="15" customHeight="1" x14ac:dyDescent="0.25">
      <c r="E22" s="46" t="s">
        <v>201</v>
      </c>
      <c r="F22" s="46" t="s">
        <v>90</v>
      </c>
      <c r="G22" s="46" t="s">
        <v>242</v>
      </c>
      <c r="H22" s="46" t="s">
        <v>256</v>
      </c>
      <c r="I22" s="46" t="s">
        <v>215</v>
      </c>
      <c r="J22" s="46" t="s">
        <v>252</v>
      </c>
      <c r="L22" s="46" t="s">
        <v>113</v>
      </c>
      <c r="M22" s="46" t="s">
        <v>252</v>
      </c>
      <c r="N22" s="46" t="s">
        <v>252</v>
      </c>
      <c r="O22" s="46">
        <v>16</v>
      </c>
      <c r="P22" s="46" t="s">
        <v>94</v>
      </c>
      <c r="Q22" s="46" t="s">
        <v>253</v>
      </c>
      <c r="R22" s="46" t="s">
        <v>254</v>
      </c>
      <c r="S22" s="17" t="s">
        <v>569</v>
      </c>
      <c r="T22" s="17" t="s">
        <v>570</v>
      </c>
      <c r="U22" s="46" t="s">
        <v>94</v>
      </c>
      <c r="V22" s="46" t="s">
        <v>94</v>
      </c>
      <c r="W22" s="46" t="s">
        <v>94</v>
      </c>
      <c r="X22" s="46" t="s">
        <v>94</v>
      </c>
      <c r="AA22" s="46">
        <v>15.7</v>
      </c>
      <c r="AB22" s="46">
        <v>15</v>
      </c>
      <c r="AC22" s="46">
        <v>0.5</v>
      </c>
      <c r="AD22" s="46">
        <v>0.2</v>
      </c>
      <c r="AE22" s="46">
        <v>1.3</v>
      </c>
      <c r="AF22" s="46">
        <v>28</v>
      </c>
      <c r="AG22" s="46" t="s">
        <v>94</v>
      </c>
      <c r="AH22" s="46" t="s">
        <v>94</v>
      </c>
      <c r="AI22" s="46" t="s">
        <v>94</v>
      </c>
      <c r="AJ22" s="46" t="s">
        <v>94</v>
      </c>
      <c r="AK22" s="46" t="s">
        <v>94</v>
      </c>
      <c r="AL22" s="46" t="s">
        <v>94</v>
      </c>
      <c r="AM22" s="46" t="s">
        <v>94</v>
      </c>
      <c r="AN22" t="s">
        <v>104</v>
      </c>
    </row>
    <row r="23" spans="5:47" s="46" customFormat="1" ht="15" customHeight="1" x14ac:dyDescent="0.25">
      <c r="E23" s="46" t="s">
        <v>201</v>
      </c>
      <c r="F23" s="46" t="s">
        <v>90</v>
      </c>
      <c r="G23" s="46" t="s">
        <v>242</v>
      </c>
      <c r="H23" s="46" t="s">
        <v>256</v>
      </c>
      <c r="I23" s="46" t="s">
        <v>215</v>
      </c>
      <c r="J23" s="46" t="s">
        <v>257</v>
      </c>
      <c r="L23" s="46" t="s">
        <v>113</v>
      </c>
      <c r="M23" s="46" t="s">
        <v>257</v>
      </c>
      <c r="N23" s="46" t="s">
        <v>257</v>
      </c>
      <c r="O23" s="46">
        <v>16</v>
      </c>
      <c r="P23" s="46" t="s">
        <v>94</v>
      </c>
      <c r="Q23" s="46" t="s">
        <v>253</v>
      </c>
      <c r="R23" s="46" t="s">
        <v>254</v>
      </c>
      <c r="S23" s="17" t="s">
        <v>569</v>
      </c>
      <c r="T23" s="17" t="s">
        <v>570</v>
      </c>
      <c r="U23" s="46" t="s">
        <v>94</v>
      </c>
      <c r="V23" s="46" t="s">
        <v>94</v>
      </c>
      <c r="W23" s="46" t="s">
        <v>94</v>
      </c>
      <c r="X23" s="46" t="s">
        <v>94</v>
      </c>
      <c r="AA23" s="46">
        <v>15.7</v>
      </c>
      <c r="AB23" s="46">
        <v>15</v>
      </c>
      <c r="AC23" s="46">
        <v>0.5</v>
      </c>
      <c r="AD23" s="46">
        <v>0.2</v>
      </c>
      <c r="AE23" s="46">
        <v>1.3</v>
      </c>
      <c r="AF23" s="46">
        <v>28</v>
      </c>
      <c r="AG23" s="46" t="s">
        <v>94</v>
      </c>
    </row>
    <row r="24" spans="5:47" s="46" customFormat="1" ht="15" customHeight="1" x14ac:dyDescent="0.25">
      <c r="E24" s="46" t="s">
        <v>201</v>
      </c>
      <c r="F24" s="46" t="s">
        <v>90</v>
      </c>
      <c r="G24" s="46" t="s">
        <v>242</v>
      </c>
      <c r="H24" s="46" t="s">
        <v>256</v>
      </c>
      <c r="I24" s="46" t="s">
        <v>215</v>
      </c>
      <c r="J24" s="46" t="s">
        <v>258</v>
      </c>
      <c r="L24" s="46" t="s">
        <v>113</v>
      </c>
      <c r="M24" s="46" t="s">
        <v>258</v>
      </c>
      <c r="N24" s="46" t="s">
        <v>258</v>
      </c>
      <c r="O24" s="46">
        <v>16</v>
      </c>
      <c r="P24" s="46" t="s">
        <v>94</v>
      </c>
      <c r="Q24" s="46" t="s">
        <v>253</v>
      </c>
      <c r="R24" s="46" t="s">
        <v>254</v>
      </c>
      <c r="S24" s="17" t="s">
        <v>569</v>
      </c>
      <c r="T24" s="17" t="s">
        <v>570</v>
      </c>
      <c r="U24" s="46" t="s">
        <v>94</v>
      </c>
      <c r="V24" s="46" t="s">
        <v>94</v>
      </c>
      <c r="W24" s="46" t="s">
        <v>94</v>
      </c>
      <c r="X24" s="46" t="s">
        <v>94</v>
      </c>
      <c r="AA24" s="46">
        <v>15.7</v>
      </c>
      <c r="AB24" s="46">
        <v>15</v>
      </c>
      <c r="AC24" s="46">
        <v>0.5</v>
      </c>
      <c r="AD24" s="46">
        <v>0.2</v>
      </c>
      <c r="AE24" s="46">
        <v>1.3</v>
      </c>
      <c r="AF24" s="46">
        <v>28</v>
      </c>
      <c r="AG24" s="46" t="s">
        <v>94</v>
      </c>
    </row>
    <row r="25" spans="5:47" s="46" customFormat="1" ht="15" customHeight="1" x14ac:dyDescent="0.25"/>
    <row r="26" spans="5:47" s="46" customFormat="1" ht="15" customHeight="1" x14ac:dyDescent="0.25">
      <c r="E26" s="46" t="s">
        <v>291</v>
      </c>
      <c r="F26" s="46" t="s">
        <v>90</v>
      </c>
      <c r="G26" s="46" t="s">
        <v>292</v>
      </c>
      <c r="H26" s="46" t="s">
        <v>94</v>
      </c>
      <c r="I26" s="46" t="s">
        <v>215</v>
      </c>
      <c r="J26" s="46" t="s">
        <v>252</v>
      </c>
      <c r="L26" s="46" t="s">
        <v>113</v>
      </c>
      <c r="M26" s="46" t="s">
        <v>252</v>
      </c>
      <c r="N26" s="46" t="s">
        <v>252</v>
      </c>
      <c r="O26" s="46">
        <v>16</v>
      </c>
      <c r="P26" s="46" t="s">
        <v>94</v>
      </c>
      <c r="Q26" s="46" t="s">
        <v>293</v>
      </c>
      <c r="R26" s="46" t="s">
        <v>294</v>
      </c>
      <c r="S26" s="17" t="s">
        <v>570</v>
      </c>
      <c r="T26" s="46" t="s">
        <v>94</v>
      </c>
      <c r="U26" s="46" t="s">
        <v>94</v>
      </c>
      <c r="V26" s="46" t="s">
        <v>94</v>
      </c>
      <c r="W26" s="46" t="s">
        <v>295</v>
      </c>
      <c r="X26" s="46" t="s">
        <v>221</v>
      </c>
      <c r="Y26" s="46" t="s">
        <v>296</v>
      </c>
      <c r="Z26" s="46" t="s">
        <v>94</v>
      </c>
      <c r="AA26" s="46" t="s">
        <v>94</v>
      </c>
      <c r="AB26" s="46" t="s">
        <v>94</v>
      </c>
      <c r="AC26" s="46" t="s">
        <v>94</v>
      </c>
      <c r="AD26" s="46" t="s">
        <v>94</v>
      </c>
      <c r="AE26" s="46" t="s">
        <v>94</v>
      </c>
      <c r="AF26" s="46" t="s">
        <v>94</v>
      </c>
      <c r="AG26" s="46" t="s">
        <v>94</v>
      </c>
      <c r="AH26" s="46" t="s">
        <v>299</v>
      </c>
      <c r="AI26" s="46" t="s">
        <v>297</v>
      </c>
      <c r="AJ26" s="46" t="s">
        <v>94</v>
      </c>
      <c r="AK26" s="46" t="s">
        <v>94</v>
      </c>
      <c r="AL26" s="46" t="s">
        <v>298</v>
      </c>
      <c r="AM26" s="46" t="s">
        <v>94</v>
      </c>
      <c r="AN26" s="46" t="s">
        <v>104</v>
      </c>
      <c r="AO26" s="46" t="s">
        <v>94</v>
      </c>
      <c r="AP26" s="46" t="s">
        <v>94</v>
      </c>
      <c r="AQ26" s="46" t="s">
        <v>94</v>
      </c>
      <c r="AR26" s="46" t="s">
        <v>94</v>
      </c>
    </row>
    <row r="27" spans="5:47" s="46" customFormat="1" ht="15" customHeight="1" x14ac:dyDescent="0.25">
      <c r="E27" s="46" t="s">
        <v>291</v>
      </c>
      <c r="F27" s="46" t="s">
        <v>90</v>
      </c>
      <c r="G27" s="46" t="s">
        <v>292</v>
      </c>
      <c r="H27" s="46" t="s">
        <v>94</v>
      </c>
      <c r="I27" s="46" t="s">
        <v>215</v>
      </c>
      <c r="J27" s="46" t="s">
        <v>257</v>
      </c>
      <c r="L27" s="46" t="s">
        <v>113</v>
      </c>
      <c r="M27" s="46" t="s">
        <v>257</v>
      </c>
      <c r="N27" s="46" t="s">
        <v>257</v>
      </c>
      <c r="O27" s="46">
        <v>16</v>
      </c>
      <c r="P27" s="46" t="s">
        <v>94</v>
      </c>
      <c r="Q27" s="46" t="s">
        <v>293</v>
      </c>
      <c r="R27" s="46" t="s">
        <v>294</v>
      </c>
      <c r="S27" s="17" t="s">
        <v>570</v>
      </c>
      <c r="T27" s="46" t="s">
        <v>94</v>
      </c>
      <c r="U27" s="46" t="s">
        <v>94</v>
      </c>
      <c r="V27" s="46" t="s">
        <v>94</v>
      </c>
      <c r="W27" s="46" t="s">
        <v>295</v>
      </c>
      <c r="X27" s="46" t="s">
        <v>221</v>
      </c>
      <c r="Y27" s="46" t="s">
        <v>296</v>
      </c>
      <c r="Z27" s="46" t="s">
        <v>94</v>
      </c>
      <c r="AA27" s="46" t="s">
        <v>94</v>
      </c>
      <c r="AB27" s="46" t="s">
        <v>94</v>
      </c>
      <c r="AC27" s="46" t="s">
        <v>94</v>
      </c>
      <c r="AD27" s="46" t="s">
        <v>94</v>
      </c>
      <c r="AE27" s="46" t="s">
        <v>94</v>
      </c>
      <c r="AF27" s="46" t="s">
        <v>94</v>
      </c>
      <c r="AG27" s="46" t="s">
        <v>94</v>
      </c>
      <c r="AH27" s="46" t="s">
        <v>299</v>
      </c>
      <c r="AI27" s="46" t="s">
        <v>297</v>
      </c>
      <c r="AJ27" s="46" t="s">
        <v>94</v>
      </c>
      <c r="AK27" s="46" t="s">
        <v>94</v>
      </c>
      <c r="AL27" s="46" t="s">
        <v>298</v>
      </c>
      <c r="AM27" s="46" t="s">
        <v>94</v>
      </c>
      <c r="AN27" s="46" t="s">
        <v>104</v>
      </c>
      <c r="AO27" s="46" t="s">
        <v>94</v>
      </c>
      <c r="AP27" s="46" t="s">
        <v>94</v>
      </c>
      <c r="AQ27" s="46" t="s">
        <v>94</v>
      </c>
      <c r="AR27" s="46" t="s">
        <v>94</v>
      </c>
    </row>
    <row r="28" spans="5:47" s="46" customFormat="1" ht="15" customHeight="1" x14ac:dyDescent="0.25">
      <c r="E28" s="46" t="s">
        <v>291</v>
      </c>
      <c r="F28" s="46" t="s">
        <v>90</v>
      </c>
      <c r="G28" s="46" t="s">
        <v>292</v>
      </c>
      <c r="H28" s="46" t="s">
        <v>94</v>
      </c>
      <c r="I28" s="46" t="s">
        <v>215</v>
      </c>
      <c r="J28" s="46" t="s">
        <v>258</v>
      </c>
      <c r="L28" s="46" t="s">
        <v>113</v>
      </c>
      <c r="M28" s="46" t="s">
        <v>258</v>
      </c>
      <c r="N28" s="46" t="s">
        <v>258</v>
      </c>
      <c r="O28" s="46">
        <v>16</v>
      </c>
      <c r="P28" s="46" t="s">
        <v>94</v>
      </c>
      <c r="Q28" s="46" t="s">
        <v>293</v>
      </c>
      <c r="R28" s="46" t="s">
        <v>294</v>
      </c>
      <c r="S28" s="17" t="s">
        <v>570</v>
      </c>
      <c r="T28" s="46" t="s">
        <v>94</v>
      </c>
      <c r="U28" s="46" t="s">
        <v>94</v>
      </c>
      <c r="V28" s="46" t="s">
        <v>94</v>
      </c>
      <c r="W28" s="46" t="s">
        <v>295</v>
      </c>
      <c r="X28" s="46" t="s">
        <v>221</v>
      </c>
      <c r="Y28" s="46" t="s">
        <v>296</v>
      </c>
      <c r="Z28" s="46" t="s">
        <v>94</v>
      </c>
      <c r="AA28" s="46" t="s">
        <v>94</v>
      </c>
      <c r="AB28" s="46" t="s">
        <v>94</v>
      </c>
      <c r="AC28" s="46" t="s">
        <v>94</v>
      </c>
      <c r="AD28" s="46" t="s">
        <v>94</v>
      </c>
      <c r="AE28" s="46" t="s">
        <v>94</v>
      </c>
      <c r="AF28" s="46" t="s">
        <v>94</v>
      </c>
      <c r="AG28" s="46" t="s">
        <v>94</v>
      </c>
      <c r="AH28" s="46" t="s">
        <v>299</v>
      </c>
      <c r="AI28" s="46" t="s">
        <v>297</v>
      </c>
      <c r="AJ28" s="46" t="s">
        <v>94</v>
      </c>
      <c r="AK28" s="46" t="s">
        <v>94</v>
      </c>
      <c r="AL28" s="46" t="s">
        <v>298</v>
      </c>
      <c r="AM28" s="46" t="s">
        <v>94</v>
      </c>
      <c r="AN28" s="46" t="s">
        <v>104</v>
      </c>
      <c r="AO28" s="46" t="s">
        <v>94</v>
      </c>
      <c r="AP28" s="46" t="s">
        <v>94</v>
      </c>
      <c r="AQ28" s="46" t="s">
        <v>94</v>
      </c>
      <c r="AR28" s="46" t="s">
        <v>94</v>
      </c>
    </row>
    <row r="29" spans="5:47" s="46" customFormat="1" ht="15" customHeight="1" x14ac:dyDescent="0.25"/>
    <row r="30" spans="5:47" s="46" customFormat="1" ht="15" customHeight="1" x14ac:dyDescent="0.25">
      <c r="E30" s="46" t="s">
        <v>202</v>
      </c>
      <c r="F30" s="46" t="s">
        <v>90</v>
      </c>
      <c r="G30" s="46" t="s">
        <v>292</v>
      </c>
      <c r="H30" s="46" t="s">
        <v>301</v>
      </c>
      <c r="I30" s="46" t="s">
        <v>215</v>
      </c>
      <c r="J30" s="46" t="s">
        <v>327</v>
      </c>
      <c r="K30" s="46" t="s">
        <v>216</v>
      </c>
      <c r="L30" s="46" t="s">
        <v>113</v>
      </c>
      <c r="M30" s="46" t="s">
        <v>216</v>
      </c>
      <c r="N30" s="46" t="s">
        <v>94</v>
      </c>
      <c r="O30" s="46" t="s">
        <v>94</v>
      </c>
      <c r="P30" s="46" t="s">
        <v>94</v>
      </c>
      <c r="Q30" s="46" t="s">
        <v>293</v>
      </c>
      <c r="R30" s="46" t="s">
        <v>302</v>
      </c>
      <c r="S30" s="46">
        <v>210</v>
      </c>
      <c r="T30" s="46" t="s">
        <v>94</v>
      </c>
      <c r="U30" s="46" t="s">
        <v>94</v>
      </c>
      <c r="V30" s="46" t="s">
        <v>94</v>
      </c>
      <c r="W30" s="46" t="s">
        <v>94</v>
      </c>
      <c r="X30" s="46" t="s">
        <v>94</v>
      </c>
      <c r="Z30" s="46" t="s">
        <v>94</v>
      </c>
      <c r="AA30" s="46" t="s">
        <v>94</v>
      </c>
      <c r="AB30" s="46" t="s">
        <v>94</v>
      </c>
      <c r="AC30" s="46" t="s">
        <v>94</v>
      </c>
      <c r="AD30" s="46" t="s">
        <v>94</v>
      </c>
      <c r="AE30" s="46" t="s">
        <v>94</v>
      </c>
      <c r="AF30" s="46" t="s">
        <v>94</v>
      </c>
      <c r="AG30" s="46" t="s">
        <v>304</v>
      </c>
      <c r="AH30" s="46" t="s">
        <v>303</v>
      </c>
      <c r="AI30" s="46" t="s">
        <v>94</v>
      </c>
      <c r="AJ30" s="46" t="s">
        <v>94</v>
      </c>
      <c r="AK30" s="46" t="s">
        <v>94</v>
      </c>
      <c r="AL30" s="46" t="s">
        <v>94</v>
      </c>
      <c r="AM30" s="46" t="s">
        <v>94</v>
      </c>
      <c r="AN30" s="46" t="s">
        <v>104</v>
      </c>
      <c r="AO30" s="46" t="s">
        <v>94</v>
      </c>
      <c r="AP30" s="46" t="s">
        <v>94</v>
      </c>
      <c r="AQ30" s="46" t="s">
        <v>94</v>
      </c>
      <c r="AR30" s="46" t="s">
        <v>94</v>
      </c>
    </row>
    <row r="31" spans="5:47" s="17" customFormat="1" ht="15" customHeight="1" x14ac:dyDescent="0.25"/>
    <row r="32" spans="5:47" s="46" customFormat="1" ht="15" customHeight="1" x14ac:dyDescent="0.25">
      <c r="E32" s="46" t="s">
        <v>203</v>
      </c>
      <c r="F32" s="46" t="s">
        <v>90</v>
      </c>
      <c r="G32" s="46" t="s">
        <v>305</v>
      </c>
      <c r="H32" s="46" t="s">
        <v>237</v>
      </c>
      <c r="I32" s="46" t="s">
        <v>215</v>
      </c>
      <c r="J32" t="s">
        <v>244</v>
      </c>
      <c r="K32"/>
      <c r="L32" s="46" t="s">
        <v>246</v>
      </c>
      <c r="M32" s="46" t="s">
        <v>244</v>
      </c>
      <c r="N32" s="46" t="s">
        <v>94</v>
      </c>
      <c r="O32" s="46" t="s">
        <v>94</v>
      </c>
      <c r="P32" s="46" t="s">
        <v>94</v>
      </c>
      <c r="Q32" s="46" t="s">
        <v>311</v>
      </c>
      <c r="R32" s="50" t="s">
        <v>307</v>
      </c>
      <c r="S32" s="46" t="s">
        <v>300</v>
      </c>
      <c r="T32" s="46" t="s">
        <v>312</v>
      </c>
      <c r="U32" s="46">
        <v>64</v>
      </c>
      <c r="V32" s="46" t="s">
        <v>94</v>
      </c>
      <c r="W32" s="46" t="s">
        <v>94</v>
      </c>
      <c r="X32" s="46" t="s">
        <v>94</v>
      </c>
      <c r="Z32" s="51">
        <v>0.92</v>
      </c>
      <c r="AA32" s="46" t="s">
        <v>94</v>
      </c>
      <c r="AB32" s="46" t="s">
        <v>94</v>
      </c>
      <c r="AC32" s="46" t="s">
        <v>94</v>
      </c>
      <c r="AD32" s="46" t="s">
        <v>94</v>
      </c>
      <c r="AE32" s="46" t="s">
        <v>94</v>
      </c>
      <c r="AF32" s="46" t="s">
        <v>94</v>
      </c>
      <c r="AH32" s="46" t="s">
        <v>308</v>
      </c>
      <c r="AI32" s="46" t="s">
        <v>309</v>
      </c>
      <c r="AJ32" s="46" t="s">
        <v>313</v>
      </c>
      <c r="AK32" s="46" t="s">
        <v>94</v>
      </c>
      <c r="AL32" s="46" t="s">
        <v>240</v>
      </c>
      <c r="AM32" s="46" t="s">
        <v>94</v>
      </c>
      <c r="AN32" s="46" t="s">
        <v>104</v>
      </c>
      <c r="AO32" s="46" t="s">
        <v>241</v>
      </c>
      <c r="AP32" s="46" t="s">
        <v>94</v>
      </c>
      <c r="AQ32" s="46" t="s">
        <v>94</v>
      </c>
      <c r="AR32" s="46" t="s">
        <v>94</v>
      </c>
    </row>
    <row r="33" spans="5:44" s="46" customFormat="1" ht="15" customHeight="1" x14ac:dyDescent="0.25">
      <c r="E33" s="46" t="s">
        <v>203</v>
      </c>
      <c r="F33" s="46" t="s">
        <v>90</v>
      </c>
      <c r="G33" s="46" t="s">
        <v>305</v>
      </c>
      <c r="H33" s="46" t="s">
        <v>237</v>
      </c>
      <c r="I33" s="46" t="s">
        <v>215</v>
      </c>
      <c r="J33" t="s">
        <v>244</v>
      </c>
      <c r="K33"/>
      <c r="L33" s="46" t="s">
        <v>246</v>
      </c>
      <c r="M33" s="46" t="s">
        <v>314</v>
      </c>
      <c r="N33" s="46" t="s">
        <v>94</v>
      </c>
      <c r="O33" s="46" t="s">
        <v>94</v>
      </c>
      <c r="P33" s="46" t="s">
        <v>94</v>
      </c>
      <c r="Q33" s="46" t="s">
        <v>311</v>
      </c>
      <c r="R33" s="50" t="s">
        <v>307</v>
      </c>
      <c r="S33" s="46" t="s">
        <v>300</v>
      </c>
      <c r="T33" s="46" t="s">
        <v>312</v>
      </c>
      <c r="U33" s="46">
        <v>64</v>
      </c>
      <c r="V33" s="46" t="s">
        <v>94</v>
      </c>
      <c r="W33" s="46" t="s">
        <v>94</v>
      </c>
      <c r="X33" s="46" t="s">
        <v>94</v>
      </c>
      <c r="Z33" s="51">
        <v>0.92</v>
      </c>
      <c r="AA33" s="46" t="s">
        <v>94</v>
      </c>
      <c r="AB33" s="46" t="s">
        <v>94</v>
      </c>
      <c r="AC33" s="46" t="s">
        <v>94</v>
      </c>
      <c r="AD33" s="46" t="s">
        <v>94</v>
      </c>
      <c r="AE33" s="46" t="s">
        <v>94</v>
      </c>
      <c r="AF33" s="46" t="s">
        <v>94</v>
      </c>
      <c r="AH33" s="46" t="s">
        <v>308</v>
      </c>
      <c r="AI33" s="46" t="s">
        <v>309</v>
      </c>
      <c r="AJ33" s="46" t="s">
        <v>313</v>
      </c>
      <c r="AK33" s="46" t="s">
        <v>94</v>
      </c>
      <c r="AL33" s="46" t="s">
        <v>240</v>
      </c>
      <c r="AM33" s="46" t="s">
        <v>94</v>
      </c>
      <c r="AN33" s="46" t="s">
        <v>104</v>
      </c>
      <c r="AO33" s="46" t="s">
        <v>241</v>
      </c>
      <c r="AP33" s="46" t="s">
        <v>94</v>
      </c>
      <c r="AQ33" s="46" t="s">
        <v>94</v>
      </c>
      <c r="AR33" s="46" t="s">
        <v>94</v>
      </c>
    </row>
    <row r="34" spans="5:44" s="46" customFormat="1" ht="15" customHeight="1" x14ac:dyDescent="0.25">
      <c r="E34" s="46" t="s">
        <v>203</v>
      </c>
      <c r="F34" s="46" t="s">
        <v>90</v>
      </c>
      <c r="G34" s="46" t="s">
        <v>305</v>
      </c>
      <c r="H34" s="46" t="s">
        <v>237</v>
      </c>
      <c r="I34" s="46" t="s">
        <v>215</v>
      </c>
      <c r="J34" t="s">
        <v>244</v>
      </c>
      <c r="K34"/>
      <c r="L34" s="46" t="s">
        <v>246</v>
      </c>
      <c r="M34" s="46" t="s">
        <v>315</v>
      </c>
      <c r="N34" s="46" t="s">
        <v>94</v>
      </c>
      <c r="O34" s="46" t="s">
        <v>94</v>
      </c>
      <c r="P34" s="46" t="s">
        <v>94</v>
      </c>
      <c r="Q34" s="46" t="s">
        <v>311</v>
      </c>
      <c r="R34" s="50" t="s">
        <v>307</v>
      </c>
      <c r="S34" s="46" t="s">
        <v>300</v>
      </c>
      <c r="T34" s="46" t="s">
        <v>312</v>
      </c>
      <c r="U34" s="46">
        <v>64</v>
      </c>
      <c r="V34" s="46" t="s">
        <v>94</v>
      </c>
      <c r="W34" s="46" t="s">
        <v>94</v>
      </c>
      <c r="X34" s="46" t="s">
        <v>94</v>
      </c>
      <c r="Z34" s="51">
        <v>0.92</v>
      </c>
      <c r="AA34" s="46" t="s">
        <v>94</v>
      </c>
      <c r="AB34" s="46" t="s">
        <v>94</v>
      </c>
      <c r="AC34" s="46" t="s">
        <v>94</v>
      </c>
      <c r="AD34" s="46" t="s">
        <v>94</v>
      </c>
      <c r="AE34" s="46" t="s">
        <v>94</v>
      </c>
      <c r="AF34" s="46" t="s">
        <v>94</v>
      </c>
      <c r="AH34" s="46" t="s">
        <v>308</v>
      </c>
      <c r="AI34" s="46" t="s">
        <v>309</v>
      </c>
      <c r="AJ34" s="46" t="s">
        <v>313</v>
      </c>
      <c r="AK34" s="46" t="s">
        <v>94</v>
      </c>
      <c r="AL34" s="46" t="s">
        <v>240</v>
      </c>
      <c r="AM34" s="46" t="s">
        <v>94</v>
      </c>
      <c r="AN34" s="46" t="s">
        <v>104</v>
      </c>
      <c r="AO34" s="46" t="s">
        <v>241</v>
      </c>
      <c r="AP34" s="46" t="s">
        <v>94</v>
      </c>
      <c r="AQ34" s="46" t="s">
        <v>94</v>
      </c>
      <c r="AR34" s="46" t="s">
        <v>94</v>
      </c>
    </row>
    <row r="35" spans="5:44" s="46" customFormat="1" ht="15" customHeight="1" x14ac:dyDescent="0.25">
      <c r="E35" s="46" t="s">
        <v>203</v>
      </c>
      <c r="F35" s="46" t="s">
        <v>90</v>
      </c>
      <c r="G35" s="46" t="s">
        <v>305</v>
      </c>
      <c r="H35" s="46" t="s">
        <v>237</v>
      </c>
      <c r="I35" s="46" t="s">
        <v>215</v>
      </c>
      <c r="J35" t="s">
        <v>244</v>
      </c>
      <c r="K35"/>
      <c r="L35" s="46" t="s">
        <v>246</v>
      </c>
      <c r="M35" s="46" t="s">
        <v>315</v>
      </c>
      <c r="N35" s="46" t="s">
        <v>94</v>
      </c>
      <c r="O35" s="46" t="s">
        <v>94</v>
      </c>
      <c r="P35" s="46" t="s">
        <v>94</v>
      </c>
      <c r="Q35" s="46" t="s">
        <v>311</v>
      </c>
      <c r="R35" s="50" t="s">
        <v>307</v>
      </c>
      <c r="S35" s="46" t="s">
        <v>300</v>
      </c>
      <c r="T35" s="46" t="s">
        <v>312</v>
      </c>
      <c r="U35" s="46">
        <v>64</v>
      </c>
      <c r="V35" s="46" t="s">
        <v>94</v>
      </c>
      <c r="W35" s="46" t="s">
        <v>94</v>
      </c>
      <c r="X35" s="46" t="s">
        <v>94</v>
      </c>
      <c r="Z35" s="51">
        <v>0.92</v>
      </c>
      <c r="AA35" s="46" t="s">
        <v>94</v>
      </c>
      <c r="AB35" s="46" t="s">
        <v>94</v>
      </c>
      <c r="AC35" s="46" t="s">
        <v>94</v>
      </c>
      <c r="AD35" s="46" t="s">
        <v>94</v>
      </c>
      <c r="AE35" s="46" t="s">
        <v>94</v>
      </c>
      <c r="AF35" s="46" t="s">
        <v>94</v>
      </c>
      <c r="AH35" s="46" t="s">
        <v>308</v>
      </c>
      <c r="AI35" s="46" t="s">
        <v>309</v>
      </c>
      <c r="AJ35" s="46" t="s">
        <v>313</v>
      </c>
      <c r="AK35" s="46" t="s">
        <v>94</v>
      </c>
      <c r="AL35" s="46" t="s">
        <v>240</v>
      </c>
      <c r="AM35" s="46" t="s">
        <v>94</v>
      </c>
      <c r="AN35" s="46" t="s">
        <v>104</v>
      </c>
      <c r="AO35" s="46" t="s">
        <v>241</v>
      </c>
      <c r="AP35" s="46" t="s">
        <v>94</v>
      </c>
      <c r="AQ35" s="46" t="s">
        <v>94</v>
      </c>
      <c r="AR35" s="46" t="s">
        <v>94</v>
      </c>
    </row>
    <row r="36" spans="5:44" s="46" customFormat="1" ht="15" customHeight="1" x14ac:dyDescent="0.25">
      <c r="E36" s="46" t="s">
        <v>203</v>
      </c>
      <c r="F36" s="46" t="s">
        <v>90</v>
      </c>
      <c r="G36" s="46" t="s">
        <v>305</v>
      </c>
      <c r="H36" s="46" t="s">
        <v>237</v>
      </c>
      <c r="I36" s="46" t="s">
        <v>215</v>
      </c>
      <c r="J36" t="s">
        <v>244</v>
      </c>
      <c r="K36"/>
      <c r="L36" s="46" t="s">
        <v>246</v>
      </c>
      <c r="M36" s="46" t="s">
        <v>315</v>
      </c>
      <c r="N36" s="46" t="s">
        <v>94</v>
      </c>
      <c r="O36" s="46" t="s">
        <v>94</v>
      </c>
      <c r="P36" s="46" t="s">
        <v>94</v>
      </c>
      <c r="Q36" s="46" t="s">
        <v>311</v>
      </c>
      <c r="R36" s="50" t="s">
        <v>307</v>
      </c>
      <c r="S36" s="46" t="s">
        <v>300</v>
      </c>
      <c r="T36" s="46" t="s">
        <v>312</v>
      </c>
      <c r="U36" s="46">
        <v>64</v>
      </c>
      <c r="V36" s="46" t="s">
        <v>94</v>
      </c>
      <c r="W36" s="46" t="s">
        <v>94</v>
      </c>
      <c r="X36" s="46" t="s">
        <v>94</v>
      </c>
      <c r="Z36" s="51">
        <v>0.92</v>
      </c>
      <c r="AA36" s="46" t="s">
        <v>94</v>
      </c>
      <c r="AB36" s="46" t="s">
        <v>94</v>
      </c>
      <c r="AC36" s="46" t="s">
        <v>94</v>
      </c>
      <c r="AD36" s="46" t="s">
        <v>94</v>
      </c>
      <c r="AE36" s="46" t="s">
        <v>94</v>
      </c>
      <c r="AF36" s="46" t="s">
        <v>94</v>
      </c>
      <c r="AH36" s="46" t="s">
        <v>308</v>
      </c>
      <c r="AI36" s="46" t="s">
        <v>309</v>
      </c>
      <c r="AJ36" s="46" t="s">
        <v>313</v>
      </c>
      <c r="AK36" s="46" t="s">
        <v>94</v>
      </c>
      <c r="AL36" s="46" t="s">
        <v>240</v>
      </c>
      <c r="AM36" s="46" t="s">
        <v>94</v>
      </c>
      <c r="AN36" s="46" t="s">
        <v>104</v>
      </c>
      <c r="AO36" s="46" t="s">
        <v>241</v>
      </c>
      <c r="AP36" s="46" t="s">
        <v>94</v>
      </c>
      <c r="AQ36" s="46" t="s">
        <v>94</v>
      </c>
      <c r="AR36" s="46" t="s">
        <v>94</v>
      </c>
    </row>
    <row r="37" spans="5:44" s="46" customFormat="1" ht="15" customHeight="1" x14ac:dyDescent="0.25">
      <c r="E37" s="46" t="s">
        <v>203</v>
      </c>
      <c r="F37" s="46" t="s">
        <v>90</v>
      </c>
      <c r="G37" s="46" t="s">
        <v>305</v>
      </c>
      <c r="H37" s="46" t="s">
        <v>237</v>
      </c>
      <c r="I37" s="46" t="s">
        <v>215</v>
      </c>
      <c r="J37" t="s">
        <v>244</v>
      </c>
      <c r="K37"/>
      <c r="L37" s="46" t="s">
        <v>246</v>
      </c>
      <c r="M37" s="46" t="s">
        <v>315</v>
      </c>
      <c r="N37" s="46" t="s">
        <v>94</v>
      </c>
      <c r="O37" s="46" t="s">
        <v>94</v>
      </c>
      <c r="P37" s="46" t="s">
        <v>94</v>
      </c>
      <c r="Q37" s="46" t="s">
        <v>311</v>
      </c>
      <c r="R37" s="50" t="s">
        <v>307</v>
      </c>
      <c r="S37" s="46" t="s">
        <v>300</v>
      </c>
      <c r="T37" s="46" t="s">
        <v>312</v>
      </c>
      <c r="U37" s="46">
        <v>64</v>
      </c>
      <c r="V37" s="46" t="s">
        <v>94</v>
      </c>
      <c r="W37" s="46" t="s">
        <v>94</v>
      </c>
      <c r="X37" s="46" t="s">
        <v>94</v>
      </c>
      <c r="Z37" s="51">
        <v>0.92</v>
      </c>
      <c r="AA37" s="46" t="s">
        <v>94</v>
      </c>
      <c r="AB37" s="46" t="s">
        <v>94</v>
      </c>
      <c r="AC37" s="46" t="s">
        <v>94</v>
      </c>
      <c r="AD37" s="46" t="s">
        <v>94</v>
      </c>
      <c r="AE37" s="46" t="s">
        <v>94</v>
      </c>
      <c r="AF37" s="46" t="s">
        <v>94</v>
      </c>
      <c r="AH37" s="46" t="s">
        <v>308</v>
      </c>
      <c r="AI37" s="46" t="s">
        <v>309</v>
      </c>
      <c r="AJ37" s="46" t="s">
        <v>313</v>
      </c>
      <c r="AK37" s="46" t="s">
        <v>94</v>
      </c>
      <c r="AL37" s="46" t="s">
        <v>240</v>
      </c>
      <c r="AM37" s="46" t="s">
        <v>94</v>
      </c>
      <c r="AN37" s="46" t="s">
        <v>104</v>
      </c>
      <c r="AO37" s="46" t="s">
        <v>241</v>
      </c>
      <c r="AP37" s="46" t="s">
        <v>94</v>
      </c>
      <c r="AQ37" s="46" t="s">
        <v>94</v>
      </c>
      <c r="AR37" s="46" t="s">
        <v>94</v>
      </c>
    </row>
    <row r="38" spans="5:44" s="46" customFormat="1" ht="15" customHeight="1" x14ac:dyDescent="0.25">
      <c r="E38" s="46" t="s">
        <v>203</v>
      </c>
      <c r="F38" s="46" t="s">
        <v>90</v>
      </c>
      <c r="G38" s="46" t="s">
        <v>305</v>
      </c>
      <c r="H38" s="46" t="s">
        <v>237</v>
      </c>
      <c r="I38" s="46" t="s">
        <v>215</v>
      </c>
      <c r="J38" t="s">
        <v>244</v>
      </c>
      <c r="K38"/>
      <c r="L38" s="46" t="s">
        <v>246</v>
      </c>
      <c r="M38" s="46" t="s">
        <v>315</v>
      </c>
      <c r="N38" s="46" t="s">
        <v>94</v>
      </c>
      <c r="O38" s="46" t="s">
        <v>94</v>
      </c>
      <c r="P38" s="46" t="s">
        <v>94</v>
      </c>
      <c r="Q38" s="46" t="s">
        <v>311</v>
      </c>
      <c r="R38" s="50" t="s">
        <v>307</v>
      </c>
      <c r="S38" s="46" t="s">
        <v>300</v>
      </c>
      <c r="T38" s="46" t="s">
        <v>312</v>
      </c>
      <c r="U38" s="46">
        <v>64</v>
      </c>
      <c r="V38" s="46" t="s">
        <v>94</v>
      </c>
      <c r="W38" s="46" t="s">
        <v>94</v>
      </c>
      <c r="X38" s="46" t="s">
        <v>94</v>
      </c>
      <c r="Z38" s="51">
        <v>0.92</v>
      </c>
      <c r="AA38" s="46" t="s">
        <v>94</v>
      </c>
      <c r="AB38" s="46" t="s">
        <v>94</v>
      </c>
      <c r="AC38" s="46" t="s">
        <v>94</v>
      </c>
      <c r="AD38" s="46" t="s">
        <v>94</v>
      </c>
      <c r="AE38" s="46" t="s">
        <v>94</v>
      </c>
      <c r="AF38" s="46" t="s">
        <v>94</v>
      </c>
      <c r="AH38" s="46" t="s">
        <v>308</v>
      </c>
      <c r="AI38" s="46" t="s">
        <v>309</v>
      </c>
      <c r="AJ38" s="46" t="s">
        <v>313</v>
      </c>
      <c r="AK38" s="46" t="s">
        <v>94</v>
      </c>
      <c r="AL38" s="46" t="s">
        <v>240</v>
      </c>
      <c r="AM38" s="46" t="s">
        <v>94</v>
      </c>
      <c r="AN38" s="46" t="s">
        <v>104</v>
      </c>
      <c r="AO38" s="46" t="s">
        <v>241</v>
      </c>
      <c r="AP38" s="46" t="s">
        <v>94</v>
      </c>
      <c r="AQ38" s="46" t="s">
        <v>94</v>
      </c>
      <c r="AR38" s="46" t="s">
        <v>94</v>
      </c>
    </row>
    <row r="39" spans="5:44" s="46" customFormat="1" ht="15" customHeight="1" x14ac:dyDescent="0.25">
      <c r="E39" s="46" t="s">
        <v>203</v>
      </c>
      <c r="F39" s="46" t="s">
        <v>90</v>
      </c>
      <c r="G39" s="46" t="s">
        <v>305</v>
      </c>
      <c r="H39" s="46" t="s">
        <v>237</v>
      </c>
      <c r="I39" s="46" t="s">
        <v>215</v>
      </c>
      <c r="J39" t="s">
        <v>244</v>
      </c>
      <c r="K39"/>
      <c r="L39" s="46" t="s">
        <v>246</v>
      </c>
      <c r="M39" s="46" t="s">
        <v>315</v>
      </c>
      <c r="N39" s="46" t="s">
        <v>94</v>
      </c>
      <c r="O39" s="46" t="s">
        <v>94</v>
      </c>
      <c r="P39" s="46" t="s">
        <v>94</v>
      </c>
      <c r="Q39" s="46" t="s">
        <v>311</v>
      </c>
      <c r="R39" s="50" t="s">
        <v>307</v>
      </c>
      <c r="S39" s="46" t="s">
        <v>300</v>
      </c>
      <c r="T39" s="46" t="s">
        <v>312</v>
      </c>
      <c r="U39" s="46">
        <v>64</v>
      </c>
      <c r="V39" s="46" t="s">
        <v>94</v>
      </c>
      <c r="W39" s="46" t="s">
        <v>94</v>
      </c>
      <c r="X39" s="46" t="s">
        <v>94</v>
      </c>
      <c r="Z39" s="51">
        <v>0.92</v>
      </c>
      <c r="AA39" s="46" t="s">
        <v>94</v>
      </c>
      <c r="AB39" s="46" t="s">
        <v>94</v>
      </c>
      <c r="AC39" s="46" t="s">
        <v>94</v>
      </c>
      <c r="AD39" s="46" t="s">
        <v>94</v>
      </c>
      <c r="AE39" s="46" t="s">
        <v>94</v>
      </c>
      <c r="AF39" s="46" t="s">
        <v>94</v>
      </c>
      <c r="AH39" s="46" t="s">
        <v>308</v>
      </c>
      <c r="AI39" s="46" t="s">
        <v>309</v>
      </c>
      <c r="AJ39" s="46" t="s">
        <v>313</v>
      </c>
      <c r="AK39" s="46" t="s">
        <v>94</v>
      </c>
      <c r="AL39" s="46" t="s">
        <v>240</v>
      </c>
      <c r="AM39" s="46" t="s">
        <v>94</v>
      </c>
      <c r="AN39" s="46" t="s">
        <v>104</v>
      </c>
      <c r="AO39" s="46" t="s">
        <v>241</v>
      </c>
      <c r="AP39" s="46" t="s">
        <v>94</v>
      </c>
      <c r="AQ39" s="46" t="s">
        <v>94</v>
      </c>
      <c r="AR39" s="46" t="s">
        <v>94</v>
      </c>
    </row>
    <row r="40" spans="5:44" s="46" customFormat="1" ht="15" customHeight="1" x14ac:dyDescent="0.25">
      <c r="E40" s="46" t="s">
        <v>203</v>
      </c>
      <c r="F40" s="46" t="s">
        <v>90</v>
      </c>
      <c r="G40" s="46" t="s">
        <v>305</v>
      </c>
      <c r="H40" s="46" t="s">
        <v>237</v>
      </c>
      <c r="I40" s="46" t="s">
        <v>215</v>
      </c>
      <c r="J40" t="s">
        <v>244</v>
      </c>
      <c r="K40"/>
      <c r="L40" s="46" t="s">
        <v>246</v>
      </c>
      <c r="M40" s="46" t="s">
        <v>315</v>
      </c>
      <c r="N40" s="46" t="s">
        <v>94</v>
      </c>
      <c r="O40" s="46" t="s">
        <v>94</v>
      </c>
      <c r="P40" s="46" t="s">
        <v>94</v>
      </c>
      <c r="Q40" s="46" t="s">
        <v>311</v>
      </c>
      <c r="R40" s="50" t="s">
        <v>307</v>
      </c>
      <c r="S40" s="46" t="s">
        <v>300</v>
      </c>
      <c r="T40" s="46" t="s">
        <v>312</v>
      </c>
      <c r="U40" s="46">
        <v>64</v>
      </c>
      <c r="V40" s="46" t="s">
        <v>94</v>
      </c>
      <c r="W40" s="46" t="s">
        <v>94</v>
      </c>
      <c r="X40" s="46" t="s">
        <v>94</v>
      </c>
      <c r="Z40" s="51">
        <v>0.92</v>
      </c>
      <c r="AA40" s="46" t="s">
        <v>94</v>
      </c>
      <c r="AB40" s="46" t="s">
        <v>94</v>
      </c>
      <c r="AC40" s="46" t="s">
        <v>94</v>
      </c>
      <c r="AD40" s="46" t="s">
        <v>94</v>
      </c>
      <c r="AE40" s="46" t="s">
        <v>94</v>
      </c>
      <c r="AF40" s="46" t="s">
        <v>94</v>
      </c>
      <c r="AH40" s="46" t="s">
        <v>308</v>
      </c>
      <c r="AI40" s="46" t="s">
        <v>309</v>
      </c>
      <c r="AJ40" s="46" t="s">
        <v>313</v>
      </c>
      <c r="AK40" s="46" t="s">
        <v>94</v>
      </c>
      <c r="AL40" s="46" t="s">
        <v>240</v>
      </c>
      <c r="AM40" s="46" t="s">
        <v>94</v>
      </c>
      <c r="AN40" s="46" t="s">
        <v>104</v>
      </c>
      <c r="AO40" s="46" t="s">
        <v>241</v>
      </c>
      <c r="AP40" s="46" t="s">
        <v>94</v>
      </c>
      <c r="AQ40" s="46" t="s">
        <v>94</v>
      </c>
      <c r="AR40" s="46" t="s">
        <v>94</v>
      </c>
    </row>
    <row r="41" spans="5:44" s="46" customFormat="1" ht="15" customHeight="1" x14ac:dyDescent="0.25">
      <c r="E41" s="46" t="s">
        <v>203</v>
      </c>
      <c r="F41" s="46" t="s">
        <v>90</v>
      </c>
      <c r="G41" s="46" t="s">
        <v>305</v>
      </c>
      <c r="H41" s="46" t="s">
        <v>237</v>
      </c>
      <c r="I41" s="46" t="s">
        <v>215</v>
      </c>
      <c r="J41" t="s">
        <v>244</v>
      </c>
      <c r="K41"/>
      <c r="L41" s="46" t="s">
        <v>246</v>
      </c>
      <c r="M41" s="46" t="s">
        <v>315</v>
      </c>
      <c r="N41" s="46" t="s">
        <v>94</v>
      </c>
      <c r="O41" s="46" t="s">
        <v>94</v>
      </c>
      <c r="P41" s="46" t="s">
        <v>94</v>
      </c>
      <c r="Q41" s="46" t="s">
        <v>311</v>
      </c>
      <c r="R41" s="50" t="s">
        <v>307</v>
      </c>
      <c r="S41" s="46" t="s">
        <v>300</v>
      </c>
      <c r="T41" s="46" t="s">
        <v>312</v>
      </c>
      <c r="U41" s="46">
        <v>64</v>
      </c>
      <c r="V41" s="46" t="s">
        <v>94</v>
      </c>
      <c r="W41" s="46" t="s">
        <v>94</v>
      </c>
      <c r="X41" s="46" t="s">
        <v>94</v>
      </c>
      <c r="Z41" s="51">
        <v>0.92</v>
      </c>
      <c r="AA41" s="46" t="s">
        <v>94</v>
      </c>
      <c r="AB41" s="46" t="s">
        <v>94</v>
      </c>
      <c r="AC41" s="46" t="s">
        <v>94</v>
      </c>
      <c r="AD41" s="46" t="s">
        <v>94</v>
      </c>
      <c r="AE41" s="46" t="s">
        <v>94</v>
      </c>
      <c r="AF41" s="46" t="s">
        <v>94</v>
      </c>
      <c r="AH41" s="46" t="s">
        <v>308</v>
      </c>
      <c r="AI41" s="46" t="s">
        <v>309</v>
      </c>
      <c r="AJ41" s="46" t="s">
        <v>313</v>
      </c>
      <c r="AK41" s="46" t="s">
        <v>94</v>
      </c>
      <c r="AL41" s="46" t="s">
        <v>240</v>
      </c>
      <c r="AM41" s="46" t="s">
        <v>94</v>
      </c>
      <c r="AN41" s="46" t="s">
        <v>104</v>
      </c>
      <c r="AO41" s="46" t="s">
        <v>241</v>
      </c>
      <c r="AP41" s="46" t="s">
        <v>94</v>
      </c>
      <c r="AQ41" s="46" t="s">
        <v>94</v>
      </c>
      <c r="AR41" s="46" t="s">
        <v>94</v>
      </c>
    </row>
    <row r="42" spans="5:44" s="46" customFormat="1" ht="15" customHeight="1" x14ac:dyDescent="0.25">
      <c r="E42" s="46" t="s">
        <v>203</v>
      </c>
      <c r="F42" s="46" t="s">
        <v>90</v>
      </c>
      <c r="G42" s="46" t="s">
        <v>305</v>
      </c>
      <c r="H42" s="46" t="s">
        <v>237</v>
      </c>
      <c r="I42" s="46" t="s">
        <v>215</v>
      </c>
      <c r="J42" t="s">
        <v>244</v>
      </c>
      <c r="K42"/>
      <c r="L42" s="46" t="s">
        <v>246</v>
      </c>
      <c r="M42" s="46" t="s">
        <v>315</v>
      </c>
      <c r="N42" s="46" t="s">
        <v>94</v>
      </c>
      <c r="O42" s="46" t="s">
        <v>94</v>
      </c>
      <c r="P42" s="46" t="s">
        <v>94</v>
      </c>
      <c r="Q42" s="46" t="s">
        <v>311</v>
      </c>
      <c r="R42" s="50" t="s">
        <v>307</v>
      </c>
      <c r="S42" s="46" t="s">
        <v>300</v>
      </c>
      <c r="T42" s="46" t="s">
        <v>312</v>
      </c>
      <c r="U42" s="46">
        <v>64</v>
      </c>
      <c r="V42" s="46" t="s">
        <v>94</v>
      </c>
      <c r="W42" s="46" t="s">
        <v>94</v>
      </c>
      <c r="X42" s="46" t="s">
        <v>94</v>
      </c>
      <c r="Z42" s="51">
        <v>0.92</v>
      </c>
      <c r="AA42" s="46" t="s">
        <v>94</v>
      </c>
      <c r="AB42" s="46" t="s">
        <v>94</v>
      </c>
      <c r="AC42" s="46" t="s">
        <v>94</v>
      </c>
      <c r="AD42" s="46" t="s">
        <v>94</v>
      </c>
      <c r="AE42" s="46" t="s">
        <v>94</v>
      </c>
      <c r="AF42" s="46" t="s">
        <v>94</v>
      </c>
      <c r="AH42" s="46" t="s">
        <v>308</v>
      </c>
      <c r="AI42" s="46" t="s">
        <v>309</v>
      </c>
      <c r="AJ42" s="46" t="s">
        <v>313</v>
      </c>
      <c r="AK42" s="46" t="s">
        <v>94</v>
      </c>
      <c r="AL42" s="46" t="s">
        <v>240</v>
      </c>
      <c r="AM42" s="46" t="s">
        <v>94</v>
      </c>
      <c r="AN42" s="46" t="s">
        <v>104</v>
      </c>
      <c r="AO42" s="46" t="s">
        <v>241</v>
      </c>
      <c r="AP42" s="46" t="s">
        <v>94</v>
      </c>
      <c r="AQ42" s="46" t="s">
        <v>94</v>
      </c>
      <c r="AR42" s="46" t="s">
        <v>94</v>
      </c>
    </row>
    <row r="43" spans="5:44" s="46" customFormat="1" ht="15" customHeight="1" x14ac:dyDescent="0.25">
      <c r="E43" s="46" t="s">
        <v>203</v>
      </c>
      <c r="F43" s="46" t="s">
        <v>90</v>
      </c>
      <c r="G43" s="46" t="s">
        <v>305</v>
      </c>
      <c r="H43" s="46" t="s">
        <v>237</v>
      </c>
      <c r="I43" s="46" t="s">
        <v>215</v>
      </c>
      <c r="J43" t="s">
        <v>244</v>
      </c>
      <c r="K43"/>
      <c r="L43" s="46" t="s">
        <v>246</v>
      </c>
      <c r="M43" s="46" t="s">
        <v>315</v>
      </c>
      <c r="N43" s="46" t="s">
        <v>94</v>
      </c>
      <c r="O43" s="46" t="s">
        <v>94</v>
      </c>
      <c r="P43" s="46" t="s">
        <v>94</v>
      </c>
      <c r="Q43" s="46" t="s">
        <v>311</v>
      </c>
      <c r="R43" s="50" t="s">
        <v>307</v>
      </c>
      <c r="S43" s="46" t="s">
        <v>300</v>
      </c>
      <c r="T43" s="46" t="s">
        <v>312</v>
      </c>
      <c r="U43" s="46">
        <v>64</v>
      </c>
      <c r="V43" s="46" t="s">
        <v>94</v>
      </c>
      <c r="W43" s="46" t="s">
        <v>94</v>
      </c>
      <c r="X43" s="46" t="s">
        <v>94</v>
      </c>
      <c r="Z43" s="51">
        <v>0.92</v>
      </c>
      <c r="AA43" s="46" t="s">
        <v>94</v>
      </c>
      <c r="AB43" s="46" t="s">
        <v>94</v>
      </c>
      <c r="AC43" s="46" t="s">
        <v>94</v>
      </c>
      <c r="AD43" s="46" t="s">
        <v>94</v>
      </c>
      <c r="AE43" s="46" t="s">
        <v>94</v>
      </c>
      <c r="AF43" s="46" t="s">
        <v>94</v>
      </c>
      <c r="AH43" s="46" t="s">
        <v>308</v>
      </c>
      <c r="AI43" s="46" t="s">
        <v>309</v>
      </c>
      <c r="AJ43" s="46" t="s">
        <v>313</v>
      </c>
      <c r="AK43" s="46" t="s">
        <v>94</v>
      </c>
      <c r="AL43" s="46" t="s">
        <v>240</v>
      </c>
      <c r="AM43" s="46" t="s">
        <v>94</v>
      </c>
      <c r="AN43" s="46" t="s">
        <v>104</v>
      </c>
      <c r="AO43" s="46" t="s">
        <v>241</v>
      </c>
      <c r="AP43" s="46" t="s">
        <v>94</v>
      </c>
      <c r="AQ43" s="46" t="s">
        <v>94</v>
      </c>
      <c r="AR43" s="46" t="s">
        <v>94</v>
      </c>
    </row>
    <row r="44" spans="5:44" s="46" customFormat="1" ht="15" customHeight="1" x14ac:dyDescent="0.25">
      <c r="E44" s="46" t="s">
        <v>203</v>
      </c>
      <c r="F44" s="46" t="s">
        <v>90</v>
      </c>
      <c r="G44" s="46" t="s">
        <v>305</v>
      </c>
      <c r="H44" s="46" t="s">
        <v>237</v>
      </c>
      <c r="I44" s="46" t="s">
        <v>215</v>
      </c>
      <c r="J44" t="s">
        <v>244</v>
      </c>
      <c r="K44"/>
      <c r="L44" s="46" t="s">
        <v>246</v>
      </c>
      <c r="M44" s="46" t="s">
        <v>315</v>
      </c>
      <c r="N44" s="46" t="s">
        <v>94</v>
      </c>
      <c r="O44" s="46" t="s">
        <v>94</v>
      </c>
      <c r="P44" s="46" t="s">
        <v>94</v>
      </c>
      <c r="Q44" s="46" t="s">
        <v>311</v>
      </c>
      <c r="R44" s="50" t="s">
        <v>307</v>
      </c>
      <c r="S44" s="46" t="s">
        <v>300</v>
      </c>
      <c r="T44" s="46" t="s">
        <v>312</v>
      </c>
      <c r="U44" s="46">
        <v>64</v>
      </c>
      <c r="V44" s="46" t="s">
        <v>94</v>
      </c>
      <c r="W44" s="46" t="s">
        <v>94</v>
      </c>
      <c r="X44" s="46" t="s">
        <v>94</v>
      </c>
      <c r="Z44" s="51">
        <v>0.92</v>
      </c>
      <c r="AA44" s="46" t="s">
        <v>94</v>
      </c>
      <c r="AB44" s="46" t="s">
        <v>94</v>
      </c>
      <c r="AC44" s="46" t="s">
        <v>94</v>
      </c>
      <c r="AD44" s="46" t="s">
        <v>94</v>
      </c>
      <c r="AE44" s="46" t="s">
        <v>94</v>
      </c>
      <c r="AF44" s="46" t="s">
        <v>94</v>
      </c>
      <c r="AH44" s="46" t="s">
        <v>308</v>
      </c>
      <c r="AI44" s="46" t="s">
        <v>309</v>
      </c>
      <c r="AJ44" s="46" t="s">
        <v>313</v>
      </c>
      <c r="AK44" s="46" t="s">
        <v>94</v>
      </c>
      <c r="AL44" s="46" t="s">
        <v>240</v>
      </c>
      <c r="AM44" s="46" t="s">
        <v>94</v>
      </c>
      <c r="AN44" s="46" t="s">
        <v>104</v>
      </c>
      <c r="AO44" s="46" t="s">
        <v>241</v>
      </c>
      <c r="AP44" s="46" t="s">
        <v>94</v>
      </c>
      <c r="AQ44" s="46" t="s">
        <v>94</v>
      </c>
      <c r="AR44" s="46" t="s">
        <v>94</v>
      </c>
    </row>
    <row r="45" spans="5:44" s="46" customFormat="1" ht="15" customHeight="1" x14ac:dyDescent="0.25">
      <c r="E45" s="46" t="s">
        <v>203</v>
      </c>
      <c r="F45" s="46" t="s">
        <v>90</v>
      </c>
      <c r="G45" s="46" t="s">
        <v>305</v>
      </c>
      <c r="H45" s="46" t="s">
        <v>237</v>
      </c>
      <c r="I45" s="46" t="s">
        <v>215</v>
      </c>
      <c r="J45" t="s">
        <v>244</v>
      </c>
      <c r="K45"/>
      <c r="L45" s="46" t="s">
        <v>246</v>
      </c>
      <c r="M45" s="46" t="s">
        <v>315</v>
      </c>
      <c r="N45" s="46" t="s">
        <v>94</v>
      </c>
      <c r="O45" s="46" t="s">
        <v>94</v>
      </c>
      <c r="P45" s="46" t="s">
        <v>94</v>
      </c>
      <c r="Q45" s="46" t="s">
        <v>311</v>
      </c>
      <c r="R45" s="50" t="s">
        <v>307</v>
      </c>
      <c r="S45" s="46" t="s">
        <v>300</v>
      </c>
      <c r="T45" s="46" t="s">
        <v>312</v>
      </c>
      <c r="U45" s="46">
        <v>64</v>
      </c>
      <c r="V45" s="46" t="s">
        <v>94</v>
      </c>
      <c r="W45" s="46" t="s">
        <v>94</v>
      </c>
      <c r="X45" s="46" t="s">
        <v>94</v>
      </c>
      <c r="Z45" s="51">
        <v>0.92</v>
      </c>
      <c r="AA45" s="46" t="s">
        <v>94</v>
      </c>
      <c r="AB45" s="46" t="s">
        <v>94</v>
      </c>
      <c r="AC45" s="46" t="s">
        <v>94</v>
      </c>
      <c r="AD45" s="46" t="s">
        <v>94</v>
      </c>
      <c r="AE45" s="46" t="s">
        <v>94</v>
      </c>
      <c r="AF45" s="46" t="s">
        <v>94</v>
      </c>
      <c r="AH45" s="46" t="s">
        <v>308</v>
      </c>
      <c r="AI45" s="46" t="s">
        <v>309</v>
      </c>
      <c r="AJ45" s="46" t="s">
        <v>313</v>
      </c>
      <c r="AK45" s="46" t="s">
        <v>94</v>
      </c>
      <c r="AL45" s="46" t="s">
        <v>240</v>
      </c>
      <c r="AM45" s="46" t="s">
        <v>94</v>
      </c>
      <c r="AN45" s="46" t="s">
        <v>104</v>
      </c>
      <c r="AO45" s="46" t="s">
        <v>241</v>
      </c>
      <c r="AP45" s="46" t="s">
        <v>94</v>
      </c>
      <c r="AQ45" s="46" t="s">
        <v>94</v>
      </c>
      <c r="AR45" s="46" t="s">
        <v>94</v>
      </c>
    </row>
    <row r="46" spans="5:44" s="46" customFormat="1" ht="15" customHeight="1" x14ac:dyDescent="0.25">
      <c r="E46" s="46" t="s">
        <v>203</v>
      </c>
      <c r="F46" s="46" t="s">
        <v>90</v>
      </c>
      <c r="G46" s="46" t="s">
        <v>305</v>
      </c>
      <c r="H46" s="46" t="s">
        <v>237</v>
      </c>
      <c r="I46" s="46" t="s">
        <v>215</v>
      </c>
      <c r="J46" t="s">
        <v>244</v>
      </c>
      <c r="K46"/>
      <c r="L46" s="46" t="s">
        <v>246</v>
      </c>
      <c r="M46" s="46" t="s">
        <v>315</v>
      </c>
      <c r="N46" s="46" t="s">
        <v>94</v>
      </c>
      <c r="O46" s="46" t="s">
        <v>94</v>
      </c>
      <c r="P46" s="46" t="s">
        <v>94</v>
      </c>
      <c r="Q46" s="46" t="s">
        <v>311</v>
      </c>
      <c r="R46" s="50" t="s">
        <v>307</v>
      </c>
      <c r="S46" s="46" t="s">
        <v>300</v>
      </c>
      <c r="T46" s="46" t="s">
        <v>312</v>
      </c>
      <c r="U46" s="46">
        <v>64</v>
      </c>
      <c r="V46" s="46" t="s">
        <v>94</v>
      </c>
      <c r="W46" s="46" t="s">
        <v>94</v>
      </c>
      <c r="X46" s="46" t="s">
        <v>94</v>
      </c>
      <c r="Z46" s="51">
        <v>0.92</v>
      </c>
      <c r="AA46" s="46" t="s">
        <v>94</v>
      </c>
      <c r="AB46" s="46" t="s">
        <v>94</v>
      </c>
      <c r="AC46" s="46" t="s">
        <v>94</v>
      </c>
      <c r="AD46" s="46" t="s">
        <v>94</v>
      </c>
      <c r="AE46" s="46" t="s">
        <v>94</v>
      </c>
      <c r="AF46" s="46" t="s">
        <v>94</v>
      </c>
      <c r="AH46" s="46" t="s">
        <v>308</v>
      </c>
      <c r="AI46" s="46" t="s">
        <v>309</v>
      </c>
      <c r="AJ46" s="46" t="s">
        <v>313</v>
      </c>
      <c r="AK46" s="46" t="s">
        <v>94</v>
      </c>
      <c r="AL46" s="46" t="s">
        <v>240</v>
      </c>
      <c r="AM46" s="46" t="s">
        <v>94</v>
      </c>
      <c r="AN46" s="46" t="s">
        <v>104</v>
      </c>
      <c r="AO46" s="46" t="s">
        <v>241</v>
      </c>
      <c r="AP46" s="46" t="s">
        <v>94</v>
      </c>
      <c r="AQ46" s="46" t="s">
        <v>94</v>
      </c>
      <c r="AR46" s="46" t="s">
        <v>94</v>
      </c>
    </row>
    <row r="47" spans="5:44" s="46" customFormat="1" ht="15" customHeight="1" x14ac:dyDescent="0.25">
      <c r="E47" s="46" t="s">
        <v>203</v>
      </c>
      <c r="F47" s="46" t="s">
        <v>90</v>
      </c>
      <c r="G47" s="46" t="s">
        <v>305</v>
      </c>
      <c r="H47" s="46" t="s">
        <v>237</v>
      </c>
      <c r="I47" s="46" t="s">
        <v>215</v>
      </c>
      <c r="J47" t="s">
        <v>244</v>
      </c>
      <c r="K47"/>
      <c r="L47" s="46" t="s">
        <v>246</v>
      </c>
      <c r="M47" s="46" t="s">
        <v>315</v>
      </c>
      <c r="N47" s="46" t="s">
        <v>94</v>
      </c>
      <c r="O47" s="46" t="s">
        <v>94</v>
      </c>
      <c r="P47" s="46" t="s">
        <v>94</v>
      </c>
      <c r="Q47" s="46" t="s">
        <v>311</v>
      </c>
      <c r="R47" s="50" t="s">
        <v>307</v>
      </c>
      <c r="S47" s="46" t="s">
        <v>300</v>
      </c>
      <c r="T47" s="46" t="s">
        <v>312</v>
      </c>
      <c r="U47" s="46">
        <v>64</v>
      </c>
      <c r="V47" s="46" t="s">
        <v>94</v>
      </c>
      <c r="W47" s="46" t="s">
        <v>94</v>
      </c>
      <c r="X47" s="46" t="s">
        <v>94</v>
      </c>
      <c r="Z47" s="51">
        <v>0.92</v>
      </c>
      <c r="AA47" s="46" t="s">
        <v>94</v>
      </c>
      <c r="AB47" s="46" t="s">
        <v>94</v>
      </c>
      <c r="AC47" s="46" t="s">
        <v>94</v>
      </c>
      <c r="AD47" s="46" t="s">
        <v>94</v>
      </c>
      <c r="AE47" s="46" t="s">
        <v>94</v>
      </c>
      <c r="AF47" s="46" t="s">
        <v>94</v>
      </c>
      <c r="AH47" s="46" t="s">
        <v>308</v>
      </c>
      <c r="AI47" s="46" t="s">
        <v>309</v>
      </c>
      <c r="AJ47" s="46" t="s">
        <v>313</v>
      </c>
      <c r="AK47" s="46" t="s">
        <v>94</v>
      </c>
      <c r="AL47" s="46" t="s">
        <v>240</v>
      </c>
      <c r="AM47" s="46" t="s">
        <v>94</v>
      </c>
      <c r="AN47" s="46" t="s">
        <v>104</v>
      </c>
      <c r="AO47" s="46" t="s">
        <v>241</v>
      </c>
      <c r="AP47" s="46" t="s">
        <v>94</v>
      </c>
      <c r="AQ47" s="46" t="s">
        <v>94</v>
      </c>
      <c r="AR47" s="46" t="s">
        <v>94</v>
      </c>
    </row>
    <row r="48" spans="5:44" s="46" customFormat="1" ht="15" customHeight="1" x14ac:dyDescent="0.25">
      <c r="J48"/>
      <c r="K48"/>
      <c r="R48" s="50"/>
      <c r="Z48" s="51"/>
    </row>
    <row r="49" spans="5:44" s="46" customFormat="1" ht="15" customHeight="1" x14ac:dyDescent="0.25">
      <c r="E49" s="46" t="s">
        <v>204</v>
      </c>
      <c r="F49" s="46" t="s">
        <v>90</v>
      </c>
      <c r="G49" s="46" t="s">
        <v>316</v>
      </c>
      <c r="H49" s="46" t="s">
        <v>317</v>
      </c>
      <c r="I49" s="46" t="s">
        <v>215</v>
      </c>
      <c r="J49" s="46" t="s">
        <v>252</v>
      </c>
      <c r="K49" s="46" t="s">
        <v>261</v>
      </c>
      <c r="L49" s="46" t="s">
        <v>113</v>
      </c>
      <c r="M49" s="46" t="s">
        <v>252</v>
      </c>
      <c r="N49" s="48" t="s">
        <v>94</v>
      </c>
      <c r="O49" s="46">
        <v>16</v>
      </c>
      <c r="P49" s="46" t="s">
        <v>94</v>
      </c>
      <c r="Q49" s="46" t="s">
        <v>318</v>
      </c>
      <c r="R49" s="46" t="s">
        <v>319</v>
      </c>
      <c r="S49" s="46" t="s">
        <v>312</v>
      </c>
      <c r="T49" s="46" t="s">
        <v>320</v>
      </c>
      <c r="U49" s="46" t="s">
        <v>94</v>
      </c>
      <c r="V49" s="46" t="s">
        <v>94</v>
      </c>
      <c r="W49" s="46" t="s">
        <v>94</v>
      </c>
      <c r="X49" s="46" t="s">
        <v>94</v>
      </c>
      <c r="Z49" s="46" t="s">
        <v>94</v>
      </c>
      <c r="AA49" s="52">
        <v>15.9</v>
      </c>
      <c r="AB49" s="52">
        <v>15.2</v>
      </c>
      <c r="AC49" s="52">
        <v>0.5</v>
      </c>
      <c r="AD49" s="52">
        <v>0.2</v>
      </c>
      <c r="AE49" s="46">
        <v>1.3</v>
      </c>
      <c r="AF49" s="46">
        <v>28</v>
      </c>
      <c r="AG49" s="46" t="s">
        <v>94</v>
      </c>
      <c r="AH49" s="46" t="s">
        <v>94</v>
      </c>
      <c r="AI49" s="46" t="s">
        <v>94</v>
      </c>
      <c r="AJ49" s="46" t="s">
        <v>94</v>
      </c>
      <c r="AK49" s="46" t="s">
        <v>94</v>
      </c>
      <c r="AL49" s="46" t="s">
        <v>298</v>
      </c>
      <c r="AM49" s="46" t="s">
        <v>94</v>
      </c>
      <c r="AN49" s="46" t="s">
        <v>321</v>
      </c>
      <c r="AO49" s="46" t="s">
        <v>322</v>
      </c>
      <c r="AP49" s="46" t="s">
        <v>94</v>
      </c>
      <c r="AQ49" s="46" t="s">
        <v>94</v>
      </c>
      <c r="AR49" s="46" t="s">
        <v>94</v>
      </c>
    </row>
    <row r="50" spans="5:44" s="46" customFormat="1" ht="15" customHeight="1" x14ac:dyDescent="0.25">
      <c r="E50" s="46" t="s">
        <v>204</v>
      </c>
      <c r="F50" s="46" t="s">
        <v>90</v>
      </c>
      <c r="G50" s="46" t="s">
        <v>316</v>
      </c>
      <c r="H50" s="46" t="s">
        <v>317</v>
      </c>
      <c r="I50" s="46" t="s">
        <v>215</v>
      </c>
      <c r="J50" s="46" t="s">
        <v>257</v>
      </c>
      <c r="K50" s="46" t="s">
        <v>259</v>
      </c>
      <c r="L50" s="46" t="s">
        <v>113</v>
      </c>
      <c r="M50" s="46" t="s">
        <v>257</v>
      </c>
      <c r="N50" s="48" t="s">
        <v>94</v>
      </c>
      <c r="O50" s="46">
        <v>16</v>
      </c>
      <c r="P50" s="46" t="s">
        <v>94</v>
      </c>
      <c r="Q50" s="46" t="s">
        <v>318</v>
      </c>
      <c r="R50" s="46" t="s">
        <v>319</v>
      </c>
      <c r="S50" s="46" t="s">
        <v>312</v>
      </c>
      <c r="T50" s="46" t="s">
        <v>320</v>
      </c>
      <c r="U50" s="46" t="s">
        <v>94</v>
      </c>
      <c r="V50" s="46" t="s">
        <v>94</v>
      </c>
      <c r="W50" s="46" t="s">
        <v>94</v>
      </c>
      <c r="X50" s="46" t="s">
        <v>94</v>
      </c>
      <c r="Z50" s="46" t="s">
        <v>94</v>
      </c>
      <c r="AA50" s="52">
        <v>15.9</v>
      </c>
      <c r="AB50" s="52">
        <v>15.2</v>
      </c>
      <c r="AC50" s="52">
        <v>0.5</v>
      </c>
      <c r="AD50" s="52">
        <v>0.2</v>
      </c>
      <c r="AE50" s="46">
        <v>1.3</v>
      </c>
      <c r="AF50" s="46">
        <v>28</v>
      </c>
      <c r="AG50" s="46" t="s">
        <v>94</v>
      </c>
      <c r="AH50" s="46" t="s">
        <v>94</v>
      </c>
      <c r="AI50" s="46" t="s">
        <v>94</v>
      </c>
      <c r="AJ50" s="46" t="s">
        <v>94</v>
      </c>
      <c r="AK50" s="46" t="s">
        <v>94</v>
      </c>
      <c r="AL50" s="46" t="s">
        <v>298</v>
      </c>
      <c r="AM50" s="46" t="s">
        <v>94</v>
      </c>
      <c r="AN50" s="46" t="s">
        <v>321</v>
      </c>
      <c r="AO50" s="46" t="s">
        <v>322</v>
      </c>
      <c r="AP50" s="46" t="s">
        <v>94</v>
      </c>
      <c r="AQ50" s="46" t="s">
        <v>94</v>
      </c>
      <c r="AR50" s="46" t="s">
        <v>94</v>
      </c>
    </row>
    <row r="51" spans="5:44" s="46" customFormat="1" ht="15" customHeight="1" x14ac:dyDescent="0.25">
      <c r="E51" s="46" t="s">
        <v>204</v>
      </c>
      <c r="F51" s="46" t="s">
        <v>90</v>
      </c>
      <c r="G51" s="46" t="s">
        <v>316</v>
      </c>
      <c r="H51" s="46" t="s">
        <v>317</v>
      </c>
      <c r="I51" s="46" t="s">
        <v>215</v>
      </c>
      <c r="J51" s="46" t="s">
        <v>258</v>
      </c>
      <c r="K51" s="46" t="s">
        <v>260</v>
      </c>
      <c r="L51" s="46" t="s">
        <v>113</v>
      </c>
      <c r="M51" s="46" t="s">
        <v>258</v>
      </c>
      <c r="N51" s="48" t="s">
        <v>94</v>
      </c>
      <c r="O51" s="46">
        <v>16</v>
      </c>
      <c r="P51" s="46" t="s">
        <v>94</v>
      </c>
      <c r="Q51" s="46" t="s">
        <v>318</v>
      </c>
      <c r="R51" s="46" t="s">
        <v>319</v>
      </c>
      <c r="S51" s="46" t="s">
        <v>312</v>
      </c>
      <c r="T51" s="46" t="s">
        <v>320</v>
      </c>
      <c r="U51" s="46" t="s">
        <v>94</v>
      </c>
      <c r="V51" s="46" t="s">
        <v>94</v>
      </c>
      <c r="W51" s="46" t="s">
        <v>94</v>
      </c>
      <c r="X51" s="46" t="s">
        <v>94</v>
      </c>
      <c r="Z51" s="46" t="s">
        <v>94</v>
      </c>
      <c r="AA51" s="52">
        <v>15.9</v>
      </c>
      <c r="AB51" s="52">
        <v>15.2</v>
      </c>
      <c r="AC51" s="52">
        <v>0.5</v>
      </c>
      <c r="AD51" s="52">
        <v>0.2</v>
      </c>
      <c r="AE51" s="46">
        <v>1.3</v>
      </c>
      <c r="AF51" s="46">
        <v>28</v>
      </c>
      <c r="AG51" s="46" t="s">
        <v>94</v>
      </c>
      <c r="AH51" s="46" t="s">
        <v>94</v>
      </c>
      <c r="AI51" s="46" t="s">
        <v>94</v>
      </c>
      <c r="AJ51" s="46" t="s">
        <v>94</v>
      </c>
      <c r="AK51" s="46" t="s">
        <v>94</v>
      </c>
      <c r="AL51" s="46" t="s">
        <v>298</v>
      </c>
      <c r="AM51" s="46" t="s">
        <v>94</v>
      </c>
      <c r="AN51" s="46" t="s">
        <v>321</v>
      </c>
      <c r="AO51" s="46" t="s">
        <v>322</v>
      </c>
      <c r="AP51" s="46" t="s">
        <v>94</v>
      </c>
      <c r="AQ51" s="46" t="s">
        <v>94</v>
      </c>
      <c r="AR51" s="46" t="s">
        <v>94</v>
      </c>
    </row>
    <row r="52" spans="5:44" s="17" customFormat="1" ht="15" customHeight="1" x14ac:dyDescent="0.25"/>
    <row r="53" spans="5:44" s="17" customFormat="1" ht="15" customHeight="1" x14ac:dyDescent="0.25"/>
    <row r="54" spans="5:44" ht="15" customHeight="1" x14ac:dyDescent="0.25">
      <c r="E54" t="s">
        <v>324</v>
      </c>
      <c r="F54" t="s">
        <v>90</v>
      </c>
      <c r="G54" t="s">
        <v>292</v>
      </c>
      <c r="H54" t="s">
        <v>94</v>
      </c>
      <c r="I54" s="46" t="s">
        <v>215</v>
      </c>
      <c r="J54" s="46" t="s">
        <v>252</v>
      </c>
      <c r="K54" s="46" t="s">
        <v>261</v>
      </c>
      <c r="L54" s="46" t="s">
        <v>113</v>
      </c>
      <c r="M54" s="46" t="s">
        <v>252</v>
      </c>
      <c r="N54" s="46"/>
      <c r="O54" s="46">
        <v>16</v>
      </c>
      <c r="P54" t="s">
        <v>94</v>
      </c>
      <c r="Q54" t="s">
        <v>114</v>
      </c>
      <c r="R54" t="s">
        <v>294</v>
      </c>
      <c r="S54" t="s">
        <v>320</v>
      </c>
      <c r="U54" t="s">
        <v>94</v>
      </c>
      <c r="V54" t="s">
        <v>94</v>
      </c>
      <c r="W54" t="s">
        <v>295</v>
      </c>
      <c r="X54" t="s">
        <v>221</v>
      </c>
      <c r="Y54" t="s">
        <v>296</v>
      </c>
      <c r="Z54" t="s">
        <v>94</v>
      </c>
      <c r="AA54" t="s">
        <v>94</v>
      </c>
      <c r="AB54" t="s">
        <v>94</v>
      </c>
      <c r="AC54" t="s">
        <v>94</v>
      </c>
      <c r="AD54" t="s">
        <v>94</v>
      </c>
      <c r="AE54" t="s">
        <v>94</v>
      </c>
      <c r="AF54" t="s">
        <v>94</v>
      </c>
      <c r="AH54" t="s">
        <v>299</v>
      </c>
      <c r="AI54" t="s">
        <v>326</v>
      </c>
      <c r="AJ54" t="s">
        <v>94</v>
      </c>
      <c r="AK54" t="s">
        <v>325</v>
      </c>
      <c r="AL54" t="s">
        <v>296</v>
      </c>
      <c r="AM54" t="s">
        <v>94</v>
      </c>
      <c r="AN54" t="s">
        <v>104</v>
      </c>
      <c r="AO54" t="s">
        <v>94</v>
      </c>
      <c r="AP54" t="s">
        <v>94</v>
      </c>
      <c r="AQ54" t="s">
        <v>94</v>
      </c>
      <c r="AR54" t="s">
        <v>94</v>
      </c>
    </row>
    <row r="55" spans="5:44" ht="15" customHeight="1" x14ac:dyDescent="0.25">
      <c r="E55" t="s">
        <v>324</v>
      </c>
      <c r="F55" t="s">
        <v>90</v>
      </c>
      <c r="G55" t="s">
        <v>292</v>
      </c>
      <c r="H55" t="s">
        <v>94</v>
      </c>
      <c r="I55" s="46" t="s">
        <v>215</v>
      </c>
      <c r="J55" s="46" t="s">
        <v>257</v>
      </c>
      <c r="K55" s="46" t="s">
        <v>259</v>
      </c>
      <c r="L55" s="46" t="s">
        <v>113</v>
      </c>
      <c r="M55" s="46" t="s">
        <v>257</v>
      </c>
      <c r="N55" s="46"/>
      <c r="O55" s="46">
        <v>16</v>
      </c>
      <c r="P55" t="s">
        <v>94</v>
      </c>
      <c r="Q55" t="s">
        <v>114</v>
      </c>
      <c r="R55" t="s">
        <v>294</v>
      </c>
      <c r="S55" t="s">
        <v>320</v>
      </c>
      <c r="U55" t="s">
        <v>94</v>
      </c>
      <c r="V55" t="s">
        <v>94</v>
      </c>
      <c r="W55" t="s">
        <v>295</v>
      </c>
      <c r="X55" t="s">
        <v>221</v>
      </c>
      <c r="Y55" t="s">
        <v>296</v>
      </c>
      <c r="Z55" t="s">
        <v>94</v>
      </c>
      <c r="AA55" t="s">
        <v>94</v>
      </c>
      <c r="AB55" t="s">
        <v>94</v>
      </c>
      <c r="AC55" t="s">
        <v>94</v>
      </c>
      <c r="AD55" t="s">
        <v>94</v>
      </c>
      <c r="AE55" t="s">
        <v>94</v>
      </c>
      <c r="AF55" t="s">
        <v>94</v>
      </c>
      <c r="AH55" t="s">
        <v>299</v>
      </c>
      <c r="AI55" t="s">
        <v>326</v>
      </c>
      <c r="AJ55" t="s">
        <v>94</v>
      </c>
      <c r="AK55" t="s">
        <v>325</v>
      </c>
      <c r="AL55" t="s">
        <v>296</v>
      </c>
      <c r="AM55" t="s">
        <v>94</v>
      </c>
      <c r="AN55" t="s">
        <v>104</v>
      </c>
      <c r="AO55" t="s">
        <v>94</v>
      </c>
      <c r="AP55" t="s">
        <v>94</v>
      </c>
      <c r="AQ55" t="s">
        <v>94</v>
      </c>
      <c r="AR55" t="s">
        <v>94</v>
      </c>
    </row>
    <row r="56" spans="5:44" ht="15" customHeight="1" x14ac:dyDescent="0.25">
      <c r="E56" t="s">
        <v>324</v>
      </c>
      <c r="F56" t="s">
        <v>90</v>
      </c>
      <c r="G56" t="s">
        <v>292</v>
      </c>
      <c r="H56" t="s">
        <v>94</v>
      </c>
      <c r="I56" s="46" t="s">
        <v>215</v>
      </c>
      <c r="J56" s="46" t="s">
        <v>258</v>
      </c>
      <c r="K56" s="46" t="s">
        <v>260</v>
      </c>
      <c r="L56" s="46" t="s">
        <v>113</v>
      </c>
      <c r="M56" s="46" t="s">
        <v>258</v>
      </c>
      <c r="N56" s="46"/>
      <c r="O56" s="46">
        <v>16</v>
      </c>
      <c r="P56" t="s">
        <v>94</v>
      </c>
      <c r="Q56" t="s">
        <v>114</v>
      </c>
      <c r="R56" t="s">
        <v>294</v>
      </c>
      <c r="S56" t="s">
        <v>320</v>
      </c>
      <c r="U56" t="s">
        <v>94</v>
      </c>
      <c r="V56" t="s">
        <v>94</v>
      </c>
      <c r="W56" t="s">
        <v>295</v>
      </c>
      <c r="X56" t="s">
        <v>221</v>
      </c>
      <c r="Y56" t="s">
        <v>296</v>
      </c>
      <c r="Z56" t="s">
        <v>94</v>
      </c>
      <c r="AA56" t="s">
        <v>94</v>
      </c>
      <c r="AB56" t="s">
        <v>94</v>
      </c>
      <c r="AC56" t="s">
        <v>94</v>
      </c>
      <c r="AD56" t="s">
        <v>94</v>
      </c>
      <c r="AE56" t="s">
        <v>94</v>
      </c>
      <c r="AF56" t="s">
        <v>94</v>
      </c>
      <c r="AH56" t="s">
        <v>299</v>
      </c>
      <c r="AI56" t="s">
        <v>326</v>
      </c>
      <c r="AJ56" t="s">
        <v>94</v>
      </c>
      <c r="AK56" t="s">
        <v>325</v>
      </c>
      <c r="AL56" t="s">
        <v>296</v>
      </c>
      <c r="AM56" t="s">
        <v>94</v>
      </c>
      <c r="AN56" t="s">
        <v>104</v>
      </c>
      <c r="AO56" t="s">
        <v>94</v>
      </c>
      <c r="AP56" t="s">
        <v>94</v>
      </c>
      <c r="AQ56" t="s">
        <v>94</v>
      </c>
      <c r="AR56" t="s">
        <v>94</v>
      </c>
    </row>
    <row r="57" spans="5:44" s="17" customFormat="1" ht="15" customHeight="1" x14ac:dyDescent="0.25"/>
    <row r="58" spans="5:44" s="17" customFormat="1" ht="15" customHeight="1" x14ac:dyDescent="0.25"/>
    <row r="60" spans="5:44" s="46" customFormat="1" ht="15" customHeight="1" x14ac:dyDescent="0.25">
      <c r="E60" s="46" t="s">
        <v>205</v>
      </c>
      <c r="F60" s="46" t="s">
        <v>90</v>
      </c>
      <c r="G60" s="46" t="s">
        <v>292</v>
      </c>
      <c r="H60" s="46" t="s">
        <v>301</v>
      </c>
      <c r="I60" s="46" t="s">
        <v>215</v>
      </c>
      <c r="J60" s="46" t="s">
        <v>327</v>
      </c>
      <c r="K60" s="46" t="s">
        <v>216</v>
      </c>
      <c r="L60" s="46" t="s">
        <v>113</v>
      </c>
      <c r="M60" s="46" t="s">
        <v>216</v>
      </c>
      <c r="N60" s="46" t="s">
        <v>94</v>
      </c>
      <c r="O60" s="46" t="s">
        <v>94</v>
      </c>
      <c r="P60" s="46" t="s">
        <v>94</v>
      </c>
      <c r="Q60" s="46" t="s">
        <v>114</v>
      </c>
      <c r="R60" s="46" t="s">
        <v>302</v>
      </c>
      <c r="S60" s="46">
        <v>220</v>
      </c>
      <c r="U60" s="46" t="s">
        <v>94</v>
      </c>
      <c r="V60" s="46" t="s">
        <v>94</v>
      </c>
      <c r="W60" s="46" t="s">
        <v>94</v>
      </c>
      <c r="X60" s="46" t="s">
        <v>94</v>
      </c>
      <c r="AG60" s="46" t="s">
        <v>328</v>
      </c>
      <c r="AH60" s="46" t="s">
        <v>329</v>
      </c>
      <c r="AI60" s="46" t="s">
        <v>330</v>
      </c>
      <c r="AJ60" s="46" t="s">
        <v>331</v>
      </c>
      <c r="AK60" s="46" t="s">
        <v>94</v>
      </c>
      <c r="AL60" s="46" t="s">
        <v>94</v>
      </c>
      <c r="AM60" s="46" t="s">
        <v>94</v>
      </c>
      <c r="AN60" s="46" t="s">
        <v>94</v>
      </c>
      <c r="AO60" s="46" t="s">
        <v>94</v>
      </c>
      <c r="AP60" s="46" t="s">
        <v>94</v>
      </c>
      <c r="AQ60" s="46" t="s">
        <v>94</v>
      </c>
      <c r="AR60" s="46" t="s">
        <v>94</v>
      </c>
    </row>
    <row r="64" spans="5:44" s="46" customFormat="1" ht="15" customHeight="1" x14ac:dyDescent="0.25">
      <c r="E64" s="46" t="s">
        <v>206</v>
      </c>
      <c r="F64" s="46" t="s">
        <v>235</v>
      </c>
      <c r="G64" s="46" t="s">
        <v>305</v>
      </c>
      <c r="H64" s="46" t="s">
        <v>237</v>
      </c>
      <c r="I64" s="46" t="s">
        <v>215</v>
      </c>
      <c r="J64" t="s">
        <v>404</v>
      </c>
      <c r="K64"/>
      <c r="L64" s="46" t="s">
        <v>243</v>
      </c>
      <c r="M64" s="48" t="s">
        <v>94</v>
      </c>
      <c r="N64" s="48"/>
      <c r="O64" s="46" t="s">
        <v>94</v>
      </c>
      <c r="P64" s="46" t="s">
        <v>94</v>
      </c>
      <c r="Q64" s="46" t="s">
        <v>306</v>
      </c>
      <c r="R64" s="46" t="s">
        <v>307</v>
      </c>
      <c r="S64" s="46" t="s">
        <v>94</v>
      </c>
      <c r="T64" s="46" t="s">
        <v>94</v>
      </c>
      <c r="U64" s="46" t="s">
        <v>94</v>
      </c>
      <c r="V64" s="46" t="s">
        <v>94</v>
      </c>
      <c r="W64" s="46" t="s">
        <v>94</v>
      </c>
      <c r="X64" s="46" t="s">
        <v>94</v>
      </c>
      <c r="Z64" s="51">
        <v>0.92</v>
      </c>
      <c r="AA64" s="46" t="s">
        <v>94</v>
      </c>
      <c r="AB64" s="46" t="s">
        <v>94</v>
      </c>
      <c r="AC64" s="46" t="s">
        <v>94</v>
      </c>
      <c r="AD64" s="46" t="s">
        <v>94</v>
      </c>
      <c r="AE64" s="46" t="s">
        <v>94</v>
      </c>
      <c r="AF64" s="46" t="s">
        <v>94</v>
      </c>
      <c r="AG64" s="46" t="s">
        <v>94</v>
      </c>
      <c r="AH64" s="46" t="s">
        <v>308</v>
      </c>
      <c r="AI64" s="46" t="s">
        <v>94</v>
      </c>
      <c r="AJ64" s="46" t="s">
        <v>94</v>
      </c>
      <c r="AK64" s="46" t="s">
        <v>94</v>
      </c>
      <c r="AL64" s="46" t="s">
        <v>240</v>
      </c>
      <c r="AM64" s="46" t="s">
        <v>94</v>
      </c>
      <c r="AN64" s="46" t="s">
        <v>104</v>
      </c>
      <c r="AO64" s="46" t="s">
        <v>241</v>
      </c>
      <c r="AP64" s="46" t="s">
        <v>94</v>
      </c>
      <c r="AQ64" s="46" t="s">
        <v>94</v>
      </c>
      <c r="AR64" s="46" t="s">
        <v>94</v>
      </c>
    </row>
    <row r="65" spans="5:44" s="46" customFormat="1" ht="15" customHeight="1" x14ac:dyDescent="0.25">
      <c r="E65" s="46" t="s">
        <v>206</v>
      </c>
      <c r="F65" s="46" t="s">
        <v>235</v>
      </c>
      <c r="G65" s="46" t="s">
        <v>305</v>
      </c>
      <c r="H65" s="46" t="s">
        <v>237</v>
      </c>
      <c r="I65" s="46" t="s">
        <v>215</v>
      </c>
      <c r="J65" t="s">
        <v>404</v>
      </c>
      <c r="K65"/>
      <c r="L65" s="46" t="s">
        <v>243</v>
      </c>
      <c r="M65" s="48" t="s">
        <v>94</v>
      </c>
      <c r="N65" s="48"/>
      <c r="O65" s="46" t="s">
        <v>94</v>
      </c>
      <c r="P65" s="46" t="s">
        <v>94</v>
      </c>
      <c r="Q65" s="46" t="s">
        <v>306</v>
      </c>
      <c r="R65" s="46" t="s">
        <v>307</v>
      </c>
      <c r="S65" s="46" t="s">
        <v>94</v>
      </c>
      <c r="T65" s="46" t="s">
        <v>94</v>
      </c>
      <c r="U65" s="46" t="s">
        <v>94</v>
      </c>
      <c r="V65" s="46" t="s">
        <v>94</v>
      </c>
      <c r="W65" s="46" t="s">
        <v>94</v>
      </c>
      <c r="X65" s="46" t="s">
        <v>94</v>
      </c>
      <c r="Z65" s="51">
        <v>0.92</v>
      </c>
      <c r="AA65" s="46" t="s">
        <v>94</v>
      </c>
      <c r="AB65" s="46" t="s">
        <v>94</v>
      </c>
      <c r="AC65" s="46" t="s">
        <v>94</v>
      </c>
      <c r="AD65" s="46" t="s">
        <v>94</v>
      </c>
      <c r="AE65" s="46" t="s">
        <v>94</v>
      </c>
      <c r="AF65" s="46" t="s">
        <v>94</v>
      </c>
      <c r="AG65" s="46" t="s">
        <v>94</v>
      </c>
      <c r="AH65" s="46" t="s">
        <v>308</v>
      </c>
      <c r="AI65" s="46" t="s">
        <v>94</v>
      </c>
      <c r="AJ65" s="46" t="s">
        <v>94</v>
      </c>
      <c r="AK65" s="46" t="s">
        <v>94</v>
      </c>
      <c r="AL65" s="46" t="s">
        <v>240</v>
      </c>
      <c r="AM65" s="46" t="s">
        <v>94</v>
      </c>
      <c r="AN65" s="46" t="s">
        <v>104</v>
      </c>
      <c r="AO65" s="46" t="s">
        <v>241</v>
      </c>
      <c r="AP65" s="46" t="s">
        <v>94</v>
      </c>
      <c r="AQ65" s="46" t="s">
        <v>94</v>
      </c>
      <c r="AR65" s="46" t="s">
        <v>94</v>
      </c>
    </row>
    <row r="66" spans="5:44" s="46" customFormat="1" ht="15" customHeight="1" x14ac:dyDescent="0.25">
      <c r="E66" s="46" t="s">
        <v>206</v>
      </c>
      <c r="F66" s="46" t="s">
        <v>235</v>
      </c>
      <c r="G66" s="46" t="s">
        <v>305</v>
      </c>
      <c r="H66" s="46" t="s">
        <v>237</v>
      </c>
      <c r="I66" s="46" t="s">
        <v>215</v>
      </c>
      <c r="J66" t="s">
        <v>404</v>
      </c>
      <c r="K66"/>
      <c r="L66" s="46" t="s">
        <v>243</v>
      </c>
      <c r="M66" s="48" t="s">
        <v>94</v>
      </c>
      <c r="N66" s="48"/>
      <c r="O66" s="46" t="s">
        <v>94</v>
      </c>
      <c r="P66" s="46" t="s">
        <v>94</v>
      </c>
      <c r="Q66" s="46" t="s">
        <v>306</v>
      </c>
      <c r="R66" s="46" t="s">
        <v>307</v>
      </c>
      <c r="S66" s="46" t="s">
        <v>94</v>
      </c>
      <c r="T66" s="46" t="s">
        <v>94</v>
      </c>
      <c r="U66" s="46" t="s">
        <v>94</v>
      </c>
      <c r="V66" s="46" t="s">
        <v>94</v>
      </c>
      <c r="W66" s="46" t="s">
        <v>94</v>
      </c>
      <c r="X66" s="46" t="s">
        <v>94</v>
      </c>
      <c r="Z66" s="51">
        <v>0.92</v>
      </c>
      <c r="AA66" s="46" t="s">
        <v>94</v>
      </c>
      <c r="AB66" s="46" t="s">
        <v>94</v>
      </c>
      <c r="AC66" s="46" t="s">
        <v>94</v>
      </c>
      <c r="AD66" s="46" t="s">
        <v>94</v>
      </c>
      <c r="AE66" s="46" t="s">
        <v>94</v>
      </c>
      <c r="AF66" s="46" t="s">
        <v>94</v>
      </c>
      <c r="AG66" s="46" t="s">
        <v>94</v>
      </c>
      <c r="AH66" s="46" t="s">
        <v>308</v>
      </c>
      <c r="AI66" s="46" t="s">
        <v>94</v>
      </c>
      <c r="AJ66" s="46" t="s">
        <v>94</v>
      </c>
      <c r="AK66" s="46" t="s">
        <v>94</v>
      </c>
      <c r="AL66" s="46" t="s">
        <v>240</v>
      </c>
      <c r="AM66" s="46" t="s">
        <v>94</v>
      </c>
      <c r="AN66" s="46" t="s">
        <v>104</v>
      </c>
      <c r="AO66" s="46" t="s">
        <v>241</v>
      </c>
      <c r="AP66" s="46" t="s">
        <v>94</v>
      </c>
      <c r="AQ66" s="46" t="s">
        <v>94</v>
      </c>
      <c r="AR66" s="46" t="s">
        <v>94</v>
      </c>
    </row>
    <row r="67" spans="5:44" s="46" customFormat="1" ht="15" customHeight="1" x14ac:dyDescent="0.25">
      <c r="E67" s="46" t="s">
        <v>206</v>
      </c>
      <c r="F67" s="46" t="s">
        <v>235</v>
      </c>
      <c r="G67" s="46" t="s">
        <v>305</v>
      </c>
      <c r="H67" s="46" t="s">
        <v>237</v>
      </c>
      <c r="I67" s="46" t="s">
        <v>215</v>
      </c>
      <c r="J67" t="s">
        <v>404</v>
      </c>
      <c r="K67"/>
      <c r="L67" s="46" t="s">
        <v>243</v>
      </c>
      <c r="M67" s="48" t="s">
        <v>94</v>
      </c>
      <c r="N67" s="48"/>
      <c r="O67" s="46" t="s">
        <v>94</v>
      </c>
      <c r="P67" s="46" t="s">
        <v>94</v>
      </c>
      <c r="Q67" s="46" t="s">
        <v>306</v>
      </c>
      <c r="R67" s="46" t="s">
        <v>307</v>
      </c>
      <c r="S67" s="46" t="s">
        <v>94</v>
      </c>
      <c r="T67" s="46" t="s">
        <v>94</v>
      </c>
      <c r="U67" s="46" t="s">
        <v>94</v>
      </c>
      <c r="V67" s="46" t="s">
        <v>94</v>
      </c>
      <c r="W67" s="46" t="s">
        <v>94</v>
      </c>
      <c r="X67" s="46" t="s">
        <v>94</v>
      </c>
      <c r="Z67" s="51">
        <v>0.92</v>
      </c>
      <c r="AA67" s="46" t="s">
        <v>94</v>
      </c>
      <c r="AB67" s="46" t="s">
        <v>94</v>
      </c>
      <c r="AC67" s="46" t="s">
        <v>94</v>
      </c>
      <c r="AD67" s="46" t="s">
        <v>94</v>
      </c>
      <c r="AE67" s="46" t="s">
        <v>94</v>
      </c>
      <c r="AF67" s="46" t="s">
        <v>94</v>
      </c>
      <c r="AG67" s="46" t="s">
        <v>94</v>
      </c>
      <c r="AH67" s="46" t="s">
        <v>308</v>
      </c>
      <c r="AI67" s="46" t="s">
        <v>94</v>
      </c>
      <c r="AJ67" s="46" t="s">
        <v>94</v>
      </c>
      <c r="AK67" s="46" t="s">
        <v>94</v>
      </c>
      <c r="AL67" s="46" t="s">
        <v>240</v>
      </c>
      <c r="AM67" s="46" t="s">
        <v>94</v>
      </c>
      <c r="AN67" s="46" t="s">
        <v>104</v>
      </c>
      <c r="AO67" s="46" t="s">
        <v>241</v>
      </c>
      <c r="AP67" s="46" t="s">
        <v>94</v>
      </c>
      <c r="AQ67" s="46" t="s">
        <v>94</v>
      </c>
      <c r="AR67" s="46" t="s">
        <v>94</v>
      </c>
    </row>
    <row r="68" spans="5:44" s="46" customFormat="1" ht="15" customHeight="1" x14ac:dyDescent="0.25">
      <c r="E68" s="46" t="s">
        <v>206</v>
      </c>
      <c r="F68" s="46" t="s">
        <v>235</v>
      </c>
      <c r="G68" s="46" t="s">
        <v>305</v>
      </c>
      <c r="H68" s="46" t="s">
        <v>237</v>
      </c>
      <c r="I68" s="46" t="s">
        <v>215</v>
      </c>
      <c r="J68" t="s">
        <v>404</v>
      </c>
      <c r="K68"/>
      <c r="L68" s="46" t="s">
        <v>243</v>
      </c>
      <c r="M68" s="48" t="s">
        <v>94</v>
      </c>
      <c r="N68" s="48"/>
      <c r="O68" s="46" t="s">
        <v>94</v>
      </c>
      <c r="P68" s="46" t="s">
        <v>94</v>
      </c>
      <c r="Q68" s="46" t="s">
        <v>306</v>
      </c>
      <c r="R68" s="46" t="s">
        <v>307</v>
      </c>
      <c r="S68" s="46" t="s">
        <v>94</v>
      </c>
      <c r="T68" s="46" t="s">
        <v>94</v>
      </c>
      <c r="U68" s="46" t="s">
        <v>94</v>
      </c>
      <c r="V68" s="46" t="s">
        <v>94</v>
      </c>
      <c r="W68" s="46" t="s">
        <v>94</v>
      </c>
      <c r="X68" s="46" t="s">
        <v>94</v>
      </c>
      <c r="Z68" s="51">
        <v>0.92</v>
      </c>
      <c r="AA68" s="46" t="s">
        <v>94</v>
      </c>
      <c r="AB68" s="46" t="s">
        <v>94</v>
      </c>
      <c r="AC68" s="46" t="s">
        <v>94</v>
      </c>
      <c r="AD68" s="46" t="s">
        <v>94</v>
      </c>
      <c r="AE68" s="46" t="s">
        <v>94</v>
      </c>
      <c r="AF68" s="46" t="s">
        <v>94</v>
      </c>
      <c r="AG68" s="46" t="s">
        <v>94</v>
      </c>
      <c r="AH68" s="46" t="s">
        <v>308</v>
      </c>
      <c r="AI68" s="46" t="s">
        <v>94</v>
      </c>
      <c r="AJ68" s="46" t="s">
        <v>94</v>
      </c>
      <c r="AK68" s="46" t="s">
        <v>94</v>
      </c>
      <c r="AL68" s="46" t="s">
        <v>240</v>
      </c>
      <c r="AM68" s="46" t="s">
        <v>94</v>
      </c>
      <c r="AN68" s="46" t="s">
        <v>104</v>
      </c>
      <c r="AO68" s="46" t="s">
        <v>241</v>
      </c>
      <c r="AP68" s="46" t="s">
        <v>94</v>
      </c>
      <c r="AQ68" s="46" t="s">
        <v>94</v>
      </c>
      <c r="AR68" s="46" t="s">
        <v>94</v>
      </c>
    </row>
    <row r="69" spans="5:44" s="46" customFormat="1" ht="15" customHeight="1" x14ac:dyDescent="0.25">
      <c r="E69" s="46" t="s">
        <v>206</v>
      </c>
      <c r="F69" s="46" t="s">
        <v>235</v>
      </c>
      <c r="G69" s="46" t="s">
        <v>305</v>
      </c>
      <c r="H69" s="46" t="s">
        <v>237</v>
      </c>
      <c r="I69" s="46" t="s">
        <v>215</v>
      </c>
      <c r="J69" t="s">
        <v>404</v>
      </c>
      <c r="K69"/>
      <c r="L69" s="46" t="s">
        <v>243</v>
      </c>
      <c r="M69" s="48" t="s">
        <v>94</v>
      </c>
      <c r="N69" s="48"/>
      <c r="O69" s="46" t="s">
        <v>94</v>
      </c>
      <c r="P69" s="46" t="s">
        <v>94</v>
      </c>
      <c r="Q69" s="46" t="s">
        <v>306</v>
      </c>
      <c r="R69" s="46" t="s">
        <v>307</v>
      </c>
      <c r="S69" s="46" t="s">
        <v>94</v>
      </c>
      <c r="T69" s="46" t="s">
        <v>94</v>
      </c>
      <c r="U69" s="46" t="s">
        <v>94</v>
      </c>
      <c r="V69" s="46" t="s">
        <v>94</v>
      </c>
      <c r="W69" s="46" t="s">
        <v>94</v>
      </c>
      <c r="X69" s="46" t="s">
        <v>94</v>
      </c>
      <c r="Z69" s="51">
        <v>0.92</v>
      </c>
      <c r="AA69" s="46" t="s">
        <v>94</v>
      </c>
      <c r="AB69" s="46" t="s">
        <v>94</v>
      </c>
      <c r="AC69" s="46" t="s">
        <v>94</v>
      </c>
      <c r="AD69" s="46" t="s">
        <v>94</v>
      </c>
      <c r="AE69" s="46" t="s">
        <v>94</v>
      </c>
      <c r="AF69" s="46" t="s">
        <v>94</v>
      </c>
      <c r="AG69" s="46" t="s">
        <v>94</v>
      </c>
      <c r="AH69" s="46" t="s">
        <v>308</v>
      </c>
      <c r="AI69" s="46" t="s">
        <v>94</v>
      </c>
      <c r="AJ69" s="46" t="s">
        <v>94</v>
      </c>
      <c r="AK69" s="46" t="s">
        <v>94</v>
      </c>
      <c r="AL69" s="46" t="s">
        <v>240</v>
      </c>
      <c r="AM69" s="46" t="s">
        <v>94</v>
      </c>
      <c r="AN69" s="46" t="s">
        <v>104</v>
      </c>
      <c r="AO69" s="46" t="s">
        <v>241</v>
      </c>
      <c r="AP69" s="46" t="s">
        <v>94</v>
      </c>
      <c r="AQ69" s="46" t="s">
        <v>94</v>
      </c>
      <c r="AR69" s="46" t="s">
        <v>94</v>
      </c>
    </row>
    <row r="70" spans="5:44" s="46" customFormat="1" ht="15" customHeight="1" x14ac:dyDescent="0.25">
      <c r="E70" s="46" t="s">
        <v>206</v>
      </c>
      <c r="F70" s="46" t="s">
        <v>235</v>
      </c>
      <c r="G70" s="46" t="s">
        <v>305</v>
      </c>
      <c r="H70" s="46" t="s">
        <v>237</v>
      </c>
      <c r="I70" s="46" t="s">
        <v>215</v>
      </c>
      <c r="J70" t="s">
        <v>404</v>
      </c>
      <c r="K70"/>
      <c r="L70" s="46" t="s">
        <v>243</v>
      </c>
      <c r="M70" s="48" t="s">
        <v>94</v>
      </c>
      <c r="N70" s="48"/>
      <c r="O70" s="46" t="s">
        <v>94</v>
      </c>
      <c r="P70" s="46" t="s">
        <v>94</v>
      </c>
      <c r="Q70" s="46" t="s">
        <v>306</v>
      </c>
      <c r="R70" s="46" t="s">
        <v>307</v>
      </c>
      <c r="S70" s="46" t="s">
        <v>94</v>
      </c>
      <c r="T70" s="46" t="s">
        <v>94</v>
      </c>
      <c r="U70" s="46" t="s">
        <v>94</v>
      </c>
      <c r="V70" s="46" t="s">
        <v>94</v>
      </c>
      <c r="W70" s="46" t="s">
        <v>94</v>
      </c>
      <c r="X70" s="46" t="s">
        <v>94</v>
      </c>
      <c r="Z70" s="51">
        <v>0.92</v>
      </c>
      <c r="AA70" s="46" t="s">
        <v>94</v>
      </c>
      <c r="AB70" s="46" t="s">
        <v>94</v>
      </c>
      <c r="AC70" s="46" t="s">
        <v>94</v>
      </c>
      <c r="AD70" s="46" t="s">
        <v>94</v>
      </c>
      <c r="AE70" s="46" t="s">
        <v>94</v>
      </c>
      <c r="AF70" s="46" t="s">
        <v>94</v>
      </c>
      <c r="AG70" s="46" t="s">
        <v>94</v>
      </c>
      <c r="AH70" s="46" t="s">
        <v>308</v>
      </c>
      <c r="AI70" s="46" t="s">
        <v>94</v>
      </c>
      <c r="AJ70" s="46" t="s">
        <v>94</v>
      </c>
      <c r="AK70" s="46" t="s">
        <v>94</v>
      </c>
      <c r="AL70" s="46" t="s">
        <v>240</v>
      </c>
      <c r="AM70" s="46" t="s">
        <v>94</v>
      </c>
      <c r="AN70" s="46" t="s">
        <v>104</v>
      </c>
      <c r="AO70" s="46" t="s">
        <v>241</v>
      </c>
      <c r="AP70" s="46" t="s">
        <v>94</v>
      </c>
      <c r="AQ70" s="46" t="s">
        <v>94</v>
      </c>
      <c r="AR70" s="46" t="s">
        <v>94</v>
      </c>
    </row>
    <row r="71" spans="5:44" s="46" customFormat="1" ht="15" customHeight="1" x14ac:dyDescent="0.25">
      <c r="E71" s="46" t="s">
        <v>206</v>
      </c>
      <c r="F71" s="46" t="s">
        <v>235</v>
      </c>
      <c r="G71" s="46" t="s">
        <v>305</v>
      </c>
      <c r="H71" s="46" t="s">
        <v>237</v>
      </c>
      <c r="I71" s="46" t="s">
        <v>215</v>
      </c>
      <c r="J71" t="s">
        <v>404</v>
      </c>
      <c r="K71"/>
      <c r="L71" s="46" t="s">
        <v>243</v>
      </c>
      <c r="M71" s="48" t="s">
        <v>94</v>
      </c>
      <c r="N71" s="48"/>
      <c r="O71" s="46" t="s">
        <v>94</v>
      </c>
      <c r="P71" s="46" t="s">
        <v>94</v>
      </c>
      <c r="Q71" s="46" t="s">
        <v>306</v>
      </c>
      <c r="R71" s="46" t="s">
        <v>307</v>
      </c>
      <c r="S71" s="46" t="s">
        <v>94</v>
      </c>
      <c r="T71" s="46" t="s">
        <v>94</v>
      </c>
      <c r="U71" s="46" t="s">
        <v>94</v>
      </c>
      <c r="V71" s="46" t="s">
        <v>94</v>
      </c>
      <c r="W71" s="46" t="s">
        <v>94</v>
      </c>
      <c r="X71" s="46" t="s">
        <v>94</v>
      </c>
      <c r="Z71" s="51">
        <v>0.92</v>
      </c>
      <c r="AA71" s="46" t="s">
        <v>94</v>
      </c>
      <c r="AB71" s="46" t="s">
        <v>94</v>
      </c>
      <c r="AC71" s="46" t="s">
        <v>94</v>
      </c>
      <c r="AD71" s="46" t="s">
        <v>94</v>
      </c>
      <c r="AE71" s="46" t="s">
        <v>94</v>
      </c>
      <c r="AF71" s="46" t="s">
        <v>94</v>
      </c>
      <c r="AG71" s="46" t="s">
        <v>94</v>
      </c>
      <c r="AH71" s="46" t="s">
        <v>308</v>
      </c>
      <c r="AI71" s="46" t="s">
        <v>94</v>
      </c>
      <c r="AJ71" s="46" t="s">
        <v>94</v>
      </c>
      <c r="AK71" s="46" t="s">
        <v>94</v>
      </c>
      <c r="AL71" s="46" t="s">
        <v>240</v>
      </c>
      <c r="AM71" s="46" t="s">
        <v>94</v>
      </c>
      <c r="AN71" s="46" t="s">
        <v>104</v>
      </c>
      <c r="AO71" s="46" t="s">
        <v>241</v>
      </c>
      <c r="AP71" s="46" t="s">
        <v>94</v>
      </c>
      <c r="AQ71" s="46" t="s">
        <v>94</v>
      </c>
      <c r="AR71" s="46" t="s">
        <v>94</v>
      </c>
    </row>
    <row r="72" spans="5:44" s="46" customFormat="1" ht="15" customHeight="1" x14ac:dyDescent="0.25">
      <c r="E72" s="46" t="s">
        <v>206</v>
      </c>
      <c r="F72" s="46" t="s">
        <v>235</v>
      </c>
      <c r="G72" s="46" t="s">
        <v>305</v>
      </c>
      <c r="H72" s="46" t="s">
        <v>237</v>
      </c>
      <c r="I72" s="46" t="s">
        <v>215</v>
      </c>
      <c r="J72" t="s">
        <v>404</v>
      </c>
      <c r="K72"/>
      <c r="L72" s="46" t="s">
        <v>243</v>
      </c>
      <c r="M72" s="48" t="s">
        <v>94</v>
      </c>
      <c r="N72" s="48"/>
      <c r="O72" s="46" t="s">
        <v>94</v>
      </c>
      <c r="P72" s="46" t="s">
        <v>94</v>
      </c>
      <c r="Q72" s="46" t="s">
        <v>306</v>
      </c>
      <c r="R72" s="46" t="s">
        <v>307</v>
      </c>
      <c r="S72" s="46" t="s">
        <v>94</v>
      </c>
      <c r="T72" s="46" t="s">
        <v>94</v>
      </c>
      <c r="U72" s="46" t="s">
        <v>94</v>
      </c>
      <c r="V72" s="46" t="s">
        <v>94</v>
      </c>
      <c r="W72" s="46" t="s">
        <v>94</v>
      </c>
      <c r="X72" s="46" t="s">
        <v>94</v>
      </c>
      <c r="Z72" s="51">
        <v>0.92</v>
      </c>
      <c r="AA72" s="46" t="s">
        <v>94</v>
      </c>
      <c r="AB72" s="46" t="s">
        <v>94</v>
      </c>
      <c r="AC72" s="46" t="s">
        <v>94</v>
      </c>
      <c r="AD72" s="46" t="s">
        <v>94</v>
      </c>
      <c r="AE72" s="46" t="s">
        <v>94</v>
      </c>
      <c r="AF72" s="46" t="s">
        <v>94</v>
      </c>
      <c r="AG72" s="46" t="s">
        <v>94</v>
      </c>
      <c r="AH72" s="46" t="s">
        <v>308</v>
      </c>
      <c r="AI72" s="46" t="s">
        <v>94</v>
      </c>
      <c r="AJ72" s="46" t="s">
        <v>94</v>
      </c>
      <c r="AK72" s="46" t="s">
        <v>94</v>
      </c>
      <c r="AL72" s="46" t="s">
        <v>240</v>
      </c>
      <c r="AM72" s="46" t="s">
        <v>94</v>
      </c>
      <c r="AN72" s="46" t="s">
        <v>104</v>
      </c>
      <c r="AO72" s="46" t="s">
        <v>241</v>
      </c>
      <c r="AP72" s="46" t="s">
        <v>94</v>
      </c>
      <c r="AQ72" s="46" t="s">
        <v>94</v>
      </c>
      <c r="AR72" s="46" t="s">
        <v>94</v>
      </c>
    </row>
    <row r="73" spans="5:44" s="46" customFormat="1" ht="15" customHeight="1" x14ac:dyDescent="0.25">
      <c r="E73" s="46" t="s">
        <v>206</v>
      </c>
      <c r="F73" s="46" t="s">
        <v>235</v>
      </c>
      <c r="G73" s="46" t="s">
        <v>305</v>
      </c>
      <c r="H73" s="46" t="s">
        <v>237</v>
      </c>
      <c r="I73" s="46" t="s">
        <v>215</v>
      </c>
      <c r="J73" t="s">
        <v>404</v>
      </c>
      <c r="K73"/>
      <c r="L73" s="46" t="s">
        <v>243</v>
      </c>
      <c r="M73" s="48" t="s">
        <v>94</v>
      </c>
      <c r="N73" s="48"/>
      <c r="O73" s="46" t="s">
        <v>94</v>
      </c>
      <c r="P73" s="46" t="s">
        <v>94</v>
      </c>
      <c r="Q73" s="46" t="s">
        <v>306</v>
      </c>
      <c r="R73" s="46" t="s">
        <v>307</v>
      </c>
      <c r="S73" s="46" t="s">
        <v>94</v>
      </c>
      <c r="T73" s="46" t="s">
        <v>94</v>
      </c>
      <c r="U73" s="46" t="s">
        <v>94</v>
      </c>
      <c r="V73" s="46" t="s">
        <v>94</v>
      </c>
      <c r="W73" s="46" t="s">
        <v>94</v>
      </c>
      <c r="X73" s="46" t="s">
        <v>94</v>
      </c>
      <c r="Z73" s="51">
        <v>0.92</v>
      </c>
      <c r="AA73" s="46" t="s">
        <v>94</v>
      </c>
      <c r="AB73" s="46" t="s">
        <v>94</v>
      </c>
      <c r="AC73" s="46" t="s">
        <v>94</v>
      </c>
      <c r="AD73" s="46" t="s">
        <v>94</v>
      </c>
      <c r="AE73" s="46" t="s">
        <v>94</v>
      </c>
      <c r="AF73" s="46" t="s">
        <v>94</v>
      </c>
      <c r="AG73" s="46" t="s">
        <v>94</v>
      </c>
      <c r="AH73" s="46" t="s">
        <v>308</v>
      </c>
      <c r="AI73" s="46" t="s">
        <v>94</v>
      </c>
      <c r="AJ73" s="46" t="s">
        <v>94</v>
      </c>
      <c r="AK73" s="46" t="s">
        <v>94</v>
      </c>
      <c r="AL73" s="46" t="s">
        <v>240</v>
      </c>
      <c r="AM73" s="46" t="s">
        <v>94</v>
      </c>
      <c r="AN73" s="46" t="s">
        <v>104</v>
      </c>
      <c r="AO73" s="46" t="s">
        <v>241</v>
      </c>
      <c r="AP73" s="46" t="s">
        <v>94</v>
      </c>
      <c r="AQ73" s="46" t="s">
        <v>94</v>
      </c>
      <c r="AR73" s="46" t="s">
        <v>94</v>
      </c>
    </row>
    <row r="74" spans="5:44" s="46" customFormat="1" ht="15" customHeight="1" x14ac:dyDescent="0.25">
      <c r="E74" s="46" t="s">
        <v>206</v>
      </c>
      <c r="F74" s="46" t="s">
        <v>235</v>
      </c>
      <c r="G74" s="46" t="s">
        <v>305</v>
      </c>
      <c r="H74" s="46" t="s">
        <v>237</v>
      </c>
      <c r="I74" s="46" t="s">
        <v>215</v>
      </c>
      <c r="J74" t="s">
        <v>404</v>
      </c>
      <c r="K74"/>
      <c r="L74" s="46" t="s">
        <v>243</v>
      </c>
      <c r="M74" s="48" t="s">
        <v>94</v>
      </c>
      <c r="N74" s="48"/>
      <c r="O74" s="46" t="s">
        <v>94</v>
      </c>
      <c r="P74" s="46" t="s">
        <v>94</v>
      </c>
      <c r="Q74" s="46" t="s">
        <v>306</v>
      </c>
      <c r="R74" s="46" t="s">
        <v>307</v>
      </c>
      <c r="S74" s="46" t="s">
        <v>94</v>
      </c>
      <c r="T74" s="46" t="s">
        <v>94</v>
      </c>
      <c r="U74" s="46" t="s">
        <v>94</v>
      </c>
      <c r="V74" s="46" t="s">
        <v>94</v>
      </c>
      <c r="W74" s="46" t="s">
        <v>94</v>
      </c>
      <c r="X74" s="46" t="s">
        <v>94</v>
      </c>
      <c r="Z74" s="51">
        <v>0.92</v>
      </c>
      <c r="AA74" s="46" t="s">
        <v>94</v>
      </c>
      <c r="AB74" s="46" t="s">
        <v>94</v>
      </c>
      <c r="AC74" s="46" t="s">
        <v>94</v>
      </c>
      <c r="AD74" s="46" t="s">
        <v>94</v>
      </c>
      <c r="AE74" s="46" t="s">
        <v>94</v>
      </c>
      <c r="AF74" s="46" t="s">
        <v>94</v>
      </c>
      <c r="AG74" s="46" t="s">
        <v>94</v>
      </c>
      <c r="AH74" s="46" t="s">
        <v>308</v>
      </c>
      <c r="AI74" s="46" t="s">
        <v>94</v>
      </c>
      <c r="AJ74" s="46" t="s">
        <v>94</v>
      </c>
      <c r="AK74" s="46" t="s">
        <v>94</v>
      </c>
      <c r="AL74" s="46" t="s">
        <v>240</v>
      </c>
      <c r="AM74" s="46" t="s">
        <v>94</v>
      </c>
      <c r="AN74" s="46" t="s">
        <v>104</v>
      </c>
      <c r="AO74" s="46" t="s">
        <v>241</v>
      </c>
      <c r="AP74" s="46" t="s">
        <v>94</v>
      </c>
      <c r="AQ74" s="46" t="s">
        <v>94</v>
      </c>
      <c r="AR74" s="46" t="s">
        <v>94</v>
      </c>
    </row>
    <row r="75" spans="5:44" s="46" customFormat="1" ht="15" customHeight="1" x14ac:dyDescent="0.25">
      <c r="E75" s="46" t="s">
        <v>206</v>
      </c>
      <c r="F75" s="46" t="s">
        <v>235</v>
      </c>
      <c r="G75" s="46" t="s">
        <v>305</v>
      </c>
      <c r="H75" s="46" t="s">
        <v>237</v>
      </c>
      <c r="I75" s="46" t="s">
        <v>215</v>
      </c>
      <c r="J75" t="s">
        <v>404</v>
      </c>
      <c r="K75"/>
      <c r="L75" s="46" t="s">
        <v>243</v>
      </c>
      <c r="M75" s="48" t="s">
        <v>94</v>
      </c>
      <c r="N75" s="48"/>
      <c r="O75" s="46" t="s">
        <v>94</v>
      </c>
      <c r="P75" s="46" t="s">
        <v>94</v>
      </c>
      <c r="Q75" s="46" t="s">
        <v>306</v>
      </c>
      <c r="R75" s="46" t="s">
        <v>307</v>
      </c>
      <c r="S75" s="46" t="s">
        <v>94</v>
      </c>
      <c r="T75" s="46" t="s">
        <v>94</v>
      </c>
      <c r="U75" s="46" t="s">
        <v>94</v>
      </c>
      <c r="V75" s="46" t="s">
        <v>94</v>
      </c>
      <c r="W75" s="46" t="s">
        <v>94</v>
      </c>
      <c r="X75" s="46" t="s">
        <v>94</v>
      </c>
      <c r="Z75" s="51">
        <v>0.92</v>
      </c>
      <c r="AA75" s="46" t="s">
        <v>94</v>
      </c>
      <c r="AB75" s="46" t="s">
        <v>94</v>
      </c>
      <c r="AC75" s="46" t="s">
        <v>94</v>
      </c>
      <c r="AD75" s="46" t="s">
        <v>94</v>
      </c>
      <c r="AE75" s="46" t="s">
        <v>94</v>
      </c>
      <c r="AF75" s="46" t="s">
        <v>94</v>
      </c>
      <c r="AG75" s="46" t="s">
        <v>94</v>
      </c>
      <c r="AH75" s="46" t="s">
        <v>308</v>
      </c>
      <c r="AI75" s="46" t="s">
        <v>94</v>
      </c>
      <c r="AJ75" s="46" t="s">
        <v>94</v>
      </c>
      <c r="AK75" s="46" t="s">
        <v>94</v>
      </c>
      <c r="AL75" s="46" t="s">
        <v>240</v>
      </c>
      <c r="AM75" s="46" t="s">
        <v>94</v>
      </c>
      <c r="AN75" s="46" t="s">
        <v>104</v>
      </c>
      <c r="AO75" s="46" t="s">
        <v>241</v>
      </c>
      <c r="AP75" s="46" t="s">
        <v>94</v>
      </c>
      <c r="AQ75" s="46" t="s">
        <v>94</v>
      </c>
      <c r="AR75" s="46" t="s">
        <v>94</v>
      </c>
    </row>
    <row r="76" spans="5:44" s="46" customFormat="1" ht="15" customHeight="1" x14ac:dyDescent="0.25">
      <c r="E76" s="46" t="s">
        <v>206</v>
      </c>
      <c r="F76" s="46" t="s">
        <v>235</v>
      </c>
      <c r="G76" s="46" t="s">
        <v>305</v>
      </c>
      <c r="H76" s="46" t="s">
        <v>237</v>
      </c>
      <c r="I76" s="46" t="s">
        <v>215</v>
      </c>
      <c r="J76" t="s">
        <v>404</v>
      </c>
      <c r="K76"/>
      <c r="L76" s="46" t="s">
        <v>243</v>
      </c>
      <c r="M76" s="48" t="s">
        <v>94</v>
      </c>
      <c r="N76" s="48"/>
      <c r="O76" s="46" t="s">
        <v>94</v>
      </c>
      <c r="P76" s="46" t="s">
        <v>94</v>
      </c>
      <c r="Q76" s="46" t="s">
        <v>306</v>
      </c>
      <c r="R76" s="46" t="s">
        <v>307</v>
      </c>
      <c r="S76" s="46" t="s">
        <v>94</v>
      </c>
      <c r="T76" s="46" t="s">
        <v>94</v>
      </c>
      <c r="U76" s="46" t="s">
        <v>94</v>
      </c>
      <c r="V76" s="46" t="s">
        <v>94</v>
      </c>
      <c r="W76" s="46" t="s">
        <v>94</v>
      </c>
      <c r="X76" s="46" t="s">
        <v>94</v>
      </c>
      <c r="Z76" s="51">
        <v>0.92</v>
      </c>
      <c r="AA76" s="46" t="s">
        <v>94</v>
      </c>
      <c r="AB76" s="46" t="s">
        <v>94</v>
      </c>
      <c r="AC76" s="46" t="s">
        <v>94</v>
      </c>
      <c r="AD76" s="46" t="s">
        <v>94</v>
      </c>
      <c r="AE76" s="46" t="s">
        <v>94</v>
      </c>
      <c r="AF76" s="46" t="s">
        <v>94</v>
      </c>
      <c r="AG76" s="46" t="s">
        <v>94</v>
      </c>
      <c r="AH76" s="46" t="s">
        <v>308</v>
      </c>
      <c r="AI76" s="46" t="s">
        <v>94</v>
      </c>
      <c r="AJ76" s="46" t="s">
        <v>94</v>
      </c>
      <c r="AK76" s="46" t="s">
        <v>94</v>
      </c>
      <c r="AL76" s="46" t="s">
        <v>240</v>
      </c>
      <c r="AM76" s="46" t="s">
        <v>94</v>
      </c>
      <c r="AN76" s="46" t="s">
        <v>104</v>
      </c>
      <c r="AO76" s="46" t="s">
        <v>241</v>
      </c>
      <c r="AP76" s="46" t="s">
        <v>94</v>
      </c>
      <c r="AQ76" s="46" t="s">
        <v>94</v>
      </c>
      <c r="AR76" s="46" t="s">
        <v>94</v>
      </c>
    </row>
    <row r="77" spans="5:44" s="46" customFormat="1" ht="15" customHeight="1" x14ac:dyDescent="0.25">
      <c r="E77" s="46" t="s">
        <v>206</v>
      </c>
      <c r="F77" s="46" t="s">
        <v>235</v>
      </c>
      <c r="G77" s="46" t="s">
        <v>305</v>
      </c>
      <c r="H77" s="46" t="s">
        <v>237</v>
      </c>
      <c r="I77" s="46" t="s">
        <v>215</v>
      </c>
      <c r="J77" t="s">
        <v>404</v>
      </c>
      <c r="K77"/>
      <c r="L77" s="46" t="s">
        <v>243</v>
      </c>
      <c r="M77" s="48" t="s">
        <v>94</v>
      </c>
      <c r="N77" s="48"/>
      <c r="O77" s="46" t="s">
        <v>94</v>
      </c>
      <c r="P77" s="46" t="s">
        <v>94</v>
      </c>
      <c r="Q77" s="46" t="s">
        <v>306</v>
      </c>
      <c r="R77" s="46" t="s">
        <v>307</v>
      </c>
      <c r="S77" s="46" t="s">
        <v>94</v>
      </c>
      <c r="T77" s="46" t="s">
        <v>94</v>
      </c>
      <c r="U77" s="46" t="s">
        <v>94</v>
      </c>
      <c r="V77" s="46" t="s">
        <v>94</v>
      </c>
      <c r="W77" s="46" t="s">
        <v>94</v>
      </c>
      <c r="X77" s="46" t="s">
        <v>94</v>
      </c>
      <c r="Z77" s="51">
        <v>0.92</v>
      </c>
      <c r="AA77" s="46" t="s">
        <v>94</v>
      </c>
      <c r="AB77" s="46" t="s">
        <v>94</v>
      </c>
      <c r="AC77" s="46" t="s">
        <v>94</v>
      </c>
      <c r="AD77" s="46" t="s">
        <v>94</v>
      </c>
      <c r="AE77" s="46" t="s">
        <v>94</v>
      </c>
      <c r="AF77" s="46" t="s">
        <v>94</v>
      </c>
      <c r="AG77" s="46" t="s">
        <v>94</v>
      </c>
      <c r="AH77" s="46" t="s">
        <v>308</v>
      </c>
      <c r="AI77" s="46" t="s">
        <v>94</v>
      </c>
      <c r="AJ77" s="46" t="s">
        <v>94</v>
      </c>
      <c r="AK77" s="46" t="s">
        <v>94</v>
      </c>
      <c r="AL77" s="46" t="s">
        <v>240</v>
      </c>
      <c r="AM77" s="46" t="s">
        <v>94</v>
      </c>
      <c r="AN77" s="46" t="s">
        <v>104</v>
      </c>
      <c r="AO77" s="46" t="s">
        <v>241</v>
      </c>
      <c r="AP77" s="46" t="s">
        <v>94</v>
      </c>
      <c r="AQ77" s="46" t="s">
        <v>94</v>
      </c>
      <c r="AR77" s="46" t="s">
        <v>94</v>
      </c>
    </row>
    <row r="78" spans="5:44" s="46" customFormat="1" ht="15" customHeight="1" x14ac:dyDescent="0.25">
      <c r="E78" s="46" t="s">
        <v>206</v>
      </c>
      <c r="F78" s="46" t="s">
        <v>235</v>
      </c>
      <c r="G78" s="46" t="s">
        <v>305</v>
      </c>
      <c r="H78" s="46" t="s">
        <v>237</v>
      </c>
      <c r="I78" s="46" t="s">
        <v>215</v>
      </c>
      <c r="J78" t="s">
        <v>404</v>
      </c>
      <c r="K78"/>
      <c r="L78" s="46" t="s">
        <v>243</v>
      </c>
      <c r="M78" s="48" t="s">
        <v>94</v>
      </c>
      <c r="N78" s="48"/>
      <c r="O78" s="46" t="s">
        <v>94</v>
      </c>
      <c r="P78" s="46" t="s">
        <v>94</v>
      </c>
      <c r="Q78" s="46" t="s">
        <v>306</v>
      </c>
      <c r="R78" s="46" t="s">
        <v>307</v>
      </c>
      <c r="S78" s="46" t="s">
        <v>94</v>
      </c>
      <c r="T78" s="46" t="s">
        <v>94</v>
      </c>
      <c r="U78" s="46" t="s">
        <v>94</v>
      </c>
      <c r="V78" s="46" t="s">
        <v>94</v>
      </c>
      <c r="W78" s="46" t="s">
        <v>94</v>
      </c>
      <c r="X78" s="46" t="s">
        <v>94</v>
      </c>
      <c r="Z78" s="51">
        <v>0.92</v>
      </c>
      <c r="AA78" s="46" t="s">
        <v>94</v>
      </c>
      <c r="AB78" s="46" t="s">
        <v>94</v>
      </c>
      <c r="AC78" s="46" t="s">
        <v>94</v>
      </c>
      <c r="AD78" s="46" t="s">
        <v>94</v>
      </c>
      <c r="AE78" s="46" t="s">
        <v>94</v>
      </c>
      <c r="AF78" s="46" t="s">
        <v>94</v>
      </c>
      <c r="AG78" s="46" t="s">
        <v>94</v>
      </c>
      <c r="AH78" s="46" t="s">
        <v>308</v>
      </c>
      <c r="AI78" s="46" t="s">
        <v>94</v>
      </c>
      <c r="AJ78" s="46" t="s">
        <v>94</v>
      </c>
      <c r="AK78" s="46" t="s">
        <v>94</v>
      </c>
      <c r="AL78" s="46" t="s">
        <v>240</v>
      </c>
      <c r="AM78" s="46" t="s">
        <v>94</v>
      </c>
      <c r="AN78" s="46" t="s">
        <v>104</v>
      </c>
      <c r="AO78" s="46" t="s">
        <v>241</v>
      </c>
      <c r="AP78" s="46" t="s">
        <v>94</v>
      </c>
      <c r="AQ78" s="46" t="s">
        <v>94</v>
      </c>
      <c r="AR78" s="46" t="s">
        <v>94</v>
      </c>
    </row>
    <row r="79" spans="5:44" s="46" customFormat="1" ht="15" customHeight="1" x14ac:dyDescent="0.25">
      <c r="E79" s="46" t="s">
        <v>206</v>
      </c>
      <c r="F79" s="46" t="s">
        <v>235</v>
      </c>
      <c r="G79" s="46" t="s">
        <v>305</v>
      </c>
      <c r="H79" s="46" t="s">
        <v>237</v>
      </c>
      <c r="I79" s="46" t="s">
        <v>215</v>
      </c>
      <c r="J79" t="s">
        <v>404</v>
      </c>
      <c r="K79"/>
      <c r="L79" s="46" t="s">
        <v>243</v>
      </c>
      <c r="M79" s="48" t="s">
        <v>94</v>
      </c>
      <c r="N79" s="48"/>
      <c r="O79" s="46" t="s">
        <v>94</v>
      </c>
      <c r="P79" s="46" t="s">
        <v>94</v>
      </c>
      <c r="Q79" s="46" t="s">
        <v>306</v>
      </c>
      <c r="R79" s="46" t="s">
        <v>307</v>
      </c>
      <c r="S79" s="46" t="s">
        <v>94</v>
      </c>
      <c r="T79" s="46" t="s">
        <v>94</v>
      </c>
      <c r="U79" s="46" t="s">
        <v>94</v>
      </c>
      <c r="V79" s="46" t="s">
        <v>94</v>
      </c>
      <c r="W79" s="46" t="s">
        <v>94</v>
      </c>
      <c r="X79" s="46" t="s">
        <v>94</v>
      </c>
      <c r="Z79" s="51">
        <v>0.92</v>
      </c>
      <c r="AA79" s="46" t="s">
        <v>94</v>
      </c>
      <c r="AB79" s="46" t="s">
        <v>94</v>
      </c>
      <c r="AC79" s="46" t="s">
        <v>94</v>
      </c>
      <c r="AD79" s="46" t="s">
        <v>94</v>
      </c>
      <c r="AE79" s="46" t="s">
        <v>94</v>
      </c>
      <c r="AF79" s="46" t="s">
        <v>94</v>
      </c>
      <c r="AG79" s="46" t="s">
        <v>94</v>
      </c>
      <c r="AH79" s="46" t="s">
        <v>308</v>
      </c>
      <c r="AI79" s="46" t="s">
        <v>94</v>
      </c>
      <c r="AJ79" s="46" t="s">
        <v>94</v>
      </c>
      <c r="AK79" s="46" t="s">
        <v>94</v>
      </c>
      <c r="AL79" s="46" t="s">
        <v>240</v>
      </c>
      <c r="AM79" s="46" t="s">
        <v>94</v>
      </c>
      <c r="AN79" s="46" t="s">
        <v>104</v>
      </c>
      <c r="AO79" s="46" t="s">
        <v>241</v>
      </c>
      <c r="AP79" s="46" t="s">
        <v>94</v>
      </c>
      <c r="AQ79" s="46" t="s">
        <v>94</v>
      </c>
      <c r="AR79" s="46" t="s">
        <v>94</v>
      </c>
    </row>
    <row r="80" spans="5:44" s="46" customFormat="1" ht="15" customHeight="1" x14ac:dyDescent="0.25">
      <c r="J80"/>
      <c r="K80"/>
      <c r="M80" s="48"/>
      <c r="N80" s="48"/>
      <c r="Z80" s="51"/>
    </row>
    <row r="81" spans="5:44" s="46" customFormat="1" ht="15" customHeight="1" x14ac:dyDescent="0.25">
      <c r="E81" s="46" t="s">
        <v>323</v>
      </c>
      <c r="F81" s="46" t="s">
        <v>90</v>
      </c>
      <c r="G81" s="46" t="s">
        <v>332</v>
      </c>
      <c r="H81" s="46" t="s">
        <v>333</v>
      </c>
      <c r="I81" s="46" t="s">
        <v>215</v>
      </c>
      <c r="J81" s="46" t="s">
        <v>252</v>
      </c>
      <c r="K81" s="46" t="s">
        <v>261</v>
      </c>
      <c r="L81" s="46" t="s">
        <v>113</v>
      </c>
      <c r="M81" s="46" t="s">
        <v>252</v>
      </c>
      <c r="N81" s="48"/>
      <c r="O81" s="46" t="s">
        <v>94</v>
      </c>
      <c r="P81" s="46" t="s">
        <v>94</v>
      </c>
      <c r="Q81" s="46" t="s">
        <v>334</v>
      </c>
      <c r="R81" s="46" t="s">
        <v>319</v>
      </c>
      <c r="S81" s="46" t="s">
        <v>94</v>
      </c>
      <c r="T81" s="46" t="s">
        <v>94</v>
      </c>
      <c r="U81" s="46" t="s">
        <v>94</v>
      </c>
      <c r="V81" s="46" t="s">
        <v>94</v>
      </c>
      <c r="W81" s="46" t="s">
        <v>94</v>
      </c>
      <c r="X81" s="46" t="s">
        <v>94</v>
      </c>
      <c r="Z81" s="46" t="s">
        <v>94</v>
      </c>
      <c r="AA81" s="46">
        <v>16.7</v>
      </c>
      <c r="AB81" s="53">
        <v>16</v>
      </c>
      <c r="AC81" s="53">
        <v>0.6</v>
      </c>
      <c r="AD81" s="53">
        <v>0.4</v>
      </c>
      <c r="AE81" s="46">
        <v>1.3</v>
      </c>
      <c r="AF81" s="46">
        <v>28</v>
      </c>
      <c r="AG81" s="46" t="s">
        <v>94</v>
      </c>
      <c r="AH81" s="46" t="s">
        <v>94</v>
      </c>
      <c r="AI81" s="46" t="s">
        <v>94</v>
      </c>
      <c r="AJ81" s="46" t="s">
        <v>94</v>
      </c>
      <c r="AK81" s="46" t="s">
        <v>94</v>
      </c>
      <c r="AL81" s="46" t="s">
        <v>298</v>
      </c>
      <c r="AM81" s="46" t="s">
        <v>94</v>
      </c>
      <c r="AN81" s="46" t="s">
        <v>321</v>
      </c>
      <c r="AO81" s="46" t="s">
        <v>322</v>
      </c>
      <c r="AP81" s="46" t="s">
        <v>94</v>
      </c>
      <c r="AQ81" s="46" t="s">
        <v>94</v>
      </c>
      <c r="AR81" s="46" t="s">
        <v>94</v>
      </c>
    </row>
    <row r="82" spans="5:44" s="46" customFormat="1" ht="15" customHeight="1" x14ac:dyDescent="0.25">
      <c r="E82" s="46" t="s">
        <v>323</v>
      </c>
      <c r="F82" s="46" t="s">
        <v>90</v>
      </c>
      <c r="G82" s="46" t="s">
        <v>332</v>
      </c>
      <c r="H82" s="46" t="s">
        <v>333</v>
      </c>
      <c r="I82" s="46" t="s">
        <v>215</v>
      </c>
      <c r="J82" s="46" t="s">
        <v>257</v>
      </c>
      <c r="K82" s="46" t="s">
        <v>259</v>
      </c>
      <c r="L82" s="46" t="s">
        <v>113</v>
      </c>
      <c r="M82" s="46" t="s">
        <v>257</v>
      </c>
      <c r="N82" s="48"/>
      <c r="O82" s="46" t="s">
        <v>94</v>
      </c>
      <c r="P82" s="46" t="s">
        <v>94</v>
      </c>
      <c r="Q82" s="46" t="s">
        <v>334</v>
      </c>
      <c r="R82" s="46" t="s">
        <v>319</v>
      </c>
      <c r="S82" s="46" t="s">
        <v>94</v>
      </c>
      <c r="T82" s="46" t="s">
        <v>94</v>
      </c>
      <c r="U82" s="46" t="s">
        <v>94</v>
      </c>
      <c r="V82" s="46" t="s">
        <v>94</v>
      </c>
      <c r="W82" s="46" t="s">
        <v>94</v>
      </c>
      <c r="X82" s="46" t="s">
        <v>94</v>
      </c>
      <c r="Z82" s="46" t="s">
        <v>94</v>
      </c>
      <c r="AA82" s="46">
        <v>16.7</v>
      </c>
      <c r="AB82" s="53">
        <v>16</v>
      </c>
      <c r="AC82" s="53">
        <v>0.6</v>
      </c>
      <c r="AD82" s="53">
        <v>0.4</v>
      </c>
      <c r="AE82" s="46">
        <v>1.3</v>
      </c>
      <c r="AF82" s="46">
        <v>28</v>
      </c>
      <c r="AG82" s="46" t="s">
        <v>94</v>
      </c>
      <c r="AH82" s="46" t="s">
        <v>94</v>
      </c>
      <c r="AI82" s="46" t="s">
        <v>94</v>
      </c>
      <c r="AJ82" s="46" t="s">
        <v>94</v>
      </c>
      <c r="AK82" s="46" t="s">
        <v>94</v>
      </c>
      <c r="AL82" s="46" t="s">
        <v>298</v>
      </c>
      <c r="AM82" s="46" t="s">
        <v>94</v>
      </c>
      <c r="AN82" s="46" t="s">
        <v>321</v>
      </c>
      <c r="AO82" s="46" t="s">
        <v>322</v>
      </c>
      <c r="AP82" s="46" t="s">
        <v>94</v>
      </c>
      <c r="AQ82" s="46" t="s">
        <v>94</v>
      </c>
      <c r="AR82" s="46" t="s">
        <v>94</v>
      </c>
    </row>
    <row r="83" spans="5:44" s="46" customFormat="1" ht="15" customHeight="1" x14ac:dyDescent="0.25">
      <c r="E83" s="46" t="s">
        <v>323</v>
      </c>
      <c r="F83" s="46" t="s">
        <v>90</v>
      </c>
      <c r="G83" s="46" t="s">
        <v>332</v>
      </c>
      <c r="H83" s="46" t="s">
        <v>333</v>
      </c>
      <c r="I83" s="46" t="s">
        <v>215</v>
      </c>
      <c r="J83" s="46" t="s">
        <v>258</v>
      </c>
      <c r="K83" s="46" t="s">
        <v>260</v>
      </c>
      <c r="L83" s="46" t="s">
        <v>113</v>
      </c>
      <c r="M83" s="46" t="s">
        <v>258</v>
      </c>
      <c r="N83" s="48"/>
      <c r="O83" s="46" t="s">
        <v>94</v>
      </c>
      <c r="P83" s="46" t="s">
        <v>94</v>
      </c>
      <c r="Q83" s="46" t="s">
        <v>334</v>
      </c>
      <c r="R83" s="46" t="s">
        <v>319</v>
      </c>
      <c r="S83" s="46" t="s">
        <v>94</v>
      </c>
      <c r="T83" s="46" t="s">
        <v>94</v>
      </c>
      <c r="U83" s="46" t="s">
        <v>94</v>
      </c>
      <c r="V83" s="46" t="s">
        <v>94</v>
      </c>
      <c r="W83" s="46" t="s">
        <v>94</v>
      </c>
      <c r="X83" s="46" t="s">
        <v>94</v>
      </c>
      <c r="Z83" s="46" t="s">
        <v>94</v>
      </c>
      <c r="AA83" s="46">
        <v>16.7</v>
      </c>
      <c r="AB83" s="53">
        <v>16</v>
      </c>
      <c r="AC83" s="53">
        <v>0.6</v>
      </c>
      <c r="AD83" s="53">
        <v>0.4</v>
      </c>
      <c r="AE83" s="46">
        <v>1.3</v>
      </c>
      <c r="AF83" s="46">
        <v>28</v>
      </c>
      <c r="AG83" s="46" t="s">
        <v>94</v>
      </c>
      <c r="AH83" s="46" t="s">
        <v>94</v>
      </c>
      <c r="AI83" s="46" t="s">
        <v>94</v>
      </c>
      <c r="AJ83" s="46" t="s">
        <v>94</v>
      </c>
      <c r="AK83" s="46" t="s">
        <v>94</v>
      </c>
      <c r="AL83" s="46" t="s">
        <v>298</v>
      </c>
      <c r="AM83" s="46" t="s">
        <v>94</v>
      </c>
      <c r="AN83" s="46" t="s">
        <v>321</v>
      </c>
      <c r="AO83" s="46" t="s">
        <v>322</v>
      </c>
      <c r="AP83" s="46" t="s">
        <v>94</v>
      </c>
      <c r="AQ83" s="46" t="s">
        <v>94</v>
      </c>
      <c r="AR83" s="46" t="s">
        <v>94</v>
      </c>
    </row>
    <row r="85" spans="5:44" s="46" customFormat="1" ht="15" customHeight="1" x14ac:dyDescent="0.25">
      <c r="E85" s="46" t="s">
        <v>335</v>
      </c>
      <c r="F85" s="46" t="s">
        <v>90</v>
      </c>
      <c r="G85" s="46" t="s">
        <v>336</v>
      </c>
      <c r="H85" s="46" t="s">
        <v>337</v>
      </c>
      <c r="I85" s="46" t="s">
        <v>215</v>
      </c>
      <c r="J85" s="46" t="s">
        <v>252</v>
      </c>
      <c r="K85" s="46" t="s">
        <v>261</v>
      </c>
      <c r="L85" s="46" t="s">
        <v>113</v>
      </c>
      <c r="M85" s="46" t="s">
        <v>261</v>
      </c>
      <c r="O85" s="46">
        <v>16</v>
      </c>
      <c r="P85" s="46" t="s">
        <v>94</v>
      </c>
      <c r="Q85" s="46" t="s">
        <v>114</v>
      </c>
      <c r="R85" s="46" t="s">
        <v>294</v>
      </c>
      <c r="S85" s="46" t="s">
        <v>94</v>
      </c>
      <c r="T85" s="46" t="s">
        <v>94</v>
      </c>
      <c r="U85" s="46" t="s">
        <v>94</v>
      </c>
      <c r="V85" s="46" t="s">
        <v>94</v>
      </c>
      <c r="W85" s="46" t="s">
        <v>94</v>
      </c>
      <c r="X85" s="46" t="s">
        <v>94</v>
      </c>
      <c r="Y85" s="46" t="s">
        <v>94</v>
      </c>
      <c r="Z85" s="46" t="s">
        <v>94</v>
      </c>
      <c r="AA85" s="46" t="s">
        <v>94</v>
      </c>
      <c r="AB85" s="46" t="s">
        <v>94</v>
      </c>
      <c r="AC85" s="46" t="s">
        <v>94</v>
      </c>
      <c r="AD85" s="46" t="s">
        <v>94</v>
      </c>
      <c r="AE85" s="46" t="s">
        <v>94</v>
      </c>
      <c r="AF85" s="46" t="s">
        <v>94</v>
      </c>
      <c r="AG85" s="46" t="s">
        <v>94</v>
      </c>
      <c r="AH85" s="46" t="s">
        <v>299</v>
      </c>
      <c r="AI85" s="46" t="s">
        <v>326</v>
      </c>
      <c r="AJ85" s="46" t="s">
        <v>94</v>
      </c>
      <c r="AK85" s="46" t="s">
        <v>94</v>
      </c>
      <c r="AL85" s="46" t="s">
        <v>296</v>
      </c>
      <c r="AM85" s="46" t="s">
        <v>94</v>
      </c>
      <c r="AN85" s="46" t="s">
        <v>104</v>
      </c>
      <c r="AO85" s="46" t="s">
        <v>94</v>
      </c>
    </row>
    <row r="86" spans="5:44" s="46" customFormat="1" ht="15" customHeight="1" x14ac:dyDescent="0.25">
      <c r="E86" s="46" t="s">
        <v>335</v>
      </c>
      <c r="F86" s="46" t="s">
        <v>90</v>
      </c>
      <c r="G86" s="46" t="s">
        <v>336</v>
      </c>
      <c r="H86" s="46" t="s">
        <v>337</v>
      </c>
      <c r="I86" s="46" t="s">
        <v>215</v>
      </c>
      <c r="J86" s="46" t="s">
        <v>257</v>
      </c>
      <c r="K86" s="46" t="s">
        <v>259</v>
      </c>
      <c r="L86" s="46" t="s">
        <v>113</v>
      </c>
      <c r="M86" s="46" t="s">
        <v>259</v>
      </c>
      <c r="O86" s="46">
        <v>16</v>
      </c>
      <c r="P86" s="46" t="s">
        <v>94</v>
      </c>
      <c r="Q86" s="46" t="s">
        <v>114</v>
      </c>
      <c r="R86" s="46" t="s">
        <v>294</v>
      </c>
      <c r="S86" s="46" t="s">
        <v>94</v>
      </c>
      <c r="T86" s="46" t="s">
        <v>94</v>
      </c>
      <c r="U86" s="46" t="s">
        <v>94</v>
      </c>
      <c r="V86" s="46" t="s">
        <v>94</v>
      </c>
      <c r="W86" s="46" t="s">
        <v>94</v>
      </c>
      <c r="X86" s="46" t="s">
        <v>94</v>
      </c>
      <c r="Y86" s="46" t="s">
        <v>94</v>
      </c>
      <c r="Z86" s="46" t="s">
        <v>94</v>
      </c>
      <c r="AA86" s="46" t="s">
        <v>94</v>
      </c>
      <c r="AB86" s="46" t="s">
        <v>94</v>
      </c>
      <c r="AC86" s="46" t="s">
        <v>94</v>
      </c>
      <c r="AD86" s="46" t="s">
        <v>94</v>
      </c>
      <c r="AE86" s="46" t="s">
        <v>94</v>
      </c>
      <c r="AF86" s="46" t="s">
        <v>94</v>
      </c>
      <c r="AG86" s="46" t="s">
        <v>94</v>
      </c>
      <c r="AH86" s="46" t="s">
        <v>299</v>
      </c>
      <c r="AI86" s="46" t="s">
        <v>326</v>
      </c>
      <c r="AJ86" s="46" t="s">
        <v>94</v>
      </c>
      <c r="AK86" s="46" t="s">
        <v>94</v>
      </c>
      <c r="AL86" s="46" t="s">
        <v>296</v>
      </c>
      <c r="AM86" s="46" t="s">
        <v>94</v>
      </c>
      <c r="AN86" s="46" t="s">
        <v>104</v>
      </c>
      <c r="AO86" s="46" t="s">
        <v>94</v>
      </c>
    </row>
    <row r="87" spans="5:44" s="46" customFormat="1" ht="15" customHeight="1" x14ac:dyDescent="0.25">
      <c r="E87" s="46" t="s">
        <v>335</v>
      </c>
      <c r="F87" s="46" t="s">
        <v>90</v>
      </c>
      <c r="G87" s="46" t="s">
        <v>336</v>
      </c>
      <c r="H87" s="46" t="s">
        <v>337</v>
      </c>
      <c r="I87" s="46" t="s">
        <v>215</v>
      </c>
      <c r="J87" s="46" t="s">
        <v>258</v>
      </c>
      <c r="K87" s="46" t="s">
        <v>260</v>
      </c>
      <c r="L87" s="46" t="s">
        <v>113</v>
      </c>
      <c r="M87" s="46" t="s">
        <v>260</v>
      </c>
      <c r="O87" s="46">
        <v>16</v>
      </c>
      <c r="P87" s="46" t="s">
        <v>94</v>
      </c>
      <c r="Q87" s="46" t="s">
        <v>114</v>
      </c>
      <c r="R87" s="46" t="s">
        <v>294</v>
      </c>
      <c r="S87" s="46" t="s">
        <v>94</v>
      </c>
      <c r="T87" s="46" t="s">
        <v>94</v>
      </c>
      <c r="U87" s="46" t="s">
        <v>94</v>
      </c>
      <c r="V87" s="46" t="s">
        <v>94</v>
      </c>
      <c r="W87" s="46" t="s">
        <v>94</v>
      </c>
      <c r="X87" s="46" t="s">
        <v>94</v>
      </c>
      <c r="Y87" s="46" t="s">
        <v>94</v>
      </c>
      <c r="Z87" s="46" t="s">
        <v>94</v>
      </c>
      <c r="AA87" s="46" t="s">
        <v>94</v>
      </c>
      <c r="AB87" s="46" t="s">
        <v>94</v>
      </c>
      <c r="AC87" s="46" t="s">
        <v>94</v>
      </c>
      <c r="AD87" s="46" t="s">
        <v>94</v>
      </c>
      <c r="AE87" s="46" t="s">
        <v>94</v>
      </c>
      <c r="AF87" s="46" t="s">
        <v>94</v>
      </c>
      <c r="AG87" s="46" t="s">
        <v>94</v>
      </c>
      <c r="AH87" s="46" t="s">
        <v>299</v>
      </c>
      <c r="AI87" s="46" t="s">
        <v>326</v>
      </c>
      <c r="AJ87" s="46" t="s">
        <v>94</v>
      </c>
      <c r="AK87" s="46" t="s">
        <v>94</v>
      </c>
      <c r="AL87" s="46" t="s">
        <v>296</v>
      </c>
      <c r="AM87" s="46" t="s">
        <v>94</v>
      </c>
      <c r="AN87" s="46" t="s">
        <v>104</v>
      </c>
      <c r="AO87" s="46" t="s">
        <v>94</v>
      </c>
    </row>
  </sheetData>
  <phoneticPr fontId="8"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BE47-BE08-42DC-868E-80E5FAB0A7DD}">
  <dimension ref="A1:AA78"/>
  <sheetViews>
    <sheetView tabSelected="1" topLeftCell="D1" zoomScale="85" zoomScaleNormal="85" workbookViewId="0">
      <pane ySplit="4" topLeftCell="A12" activePane="bottomLeft" state="frozen"/>
      <selection activeCell="D1" sqref="D1"/>
      <selection pane="bottomLeft" activeCell="M27" sqref="M27"/>
    </sheetView>
  </sheetViews>
  <sheetFormatPr defaultRowHeight="15" x14ac:dyDescent="0.25"/>
  <cols>
    <col min="1" max="3" width="0" hidden="1" customWidth="1"/>
    <col min="5" max="5" width="35.7109375" bestFit="1" customWidth="1"/>
    <col min="6" max="6" width="23.5703125" bestFit="1" customWidth="1"/>
    <col min="7" max="7" width="15.7109375" bestFit="1" customWidth="1"/>
    <col min="8" max="8" width="14.7109375" bestFit="1" customWidth="1"/>
    <col min="9" max="9" width="17.42578125" customWidth="1"/>
    <col min="10" max="10" width="17.5703125" customWidth="1"/>
    <col min="11" max="11" width="21.5703125" customWidth="1"/>
    <col min="12" max="12" width="24" customWidth="1"/>
    <col min="13" max="13" width="20.5703125" customWidth="1"/>
    <col min="14" max="14" width="16.85546875" customWidth="1"/>
    <col min="15" max="15" width="136.85546875" bestFit="1" customWidth="1"/>
    <col min="16" max="16" width="191.140625" customWidth="1"/>
    <col min="17" max="17" width="23" customWidth="1"/>
    <col min="18" max="18" width="24.28515625" customWidth="1"/>
    <col min="19" max="19" width="24.28515625" bestFit="1" customWidth="1"/>
    <col min="20" max="20" width="22" bestFit="1" customWidth="1"/>
    <col min="21" max="21" width="18.140625" bestFit="1" customWidth="1"/>
    <col min="22" max="22" width="31.5703125" bestFit="1" customWidth="1"/>
    <col min="23" max="23" width="31.5703125" customWidth="1"/>
    <col min="24" max="24" width="29.42578125" bestFit="1" customWidth="1"/>
    <col min="25" max="25" width="17.7109375" bestFit="1" customWidth="1"/>
    <col min="26" max="26" width="34.28515625" bestFit="1" customWidth="1"/>
    <col min="27" max="27" width="22.140625" customWidth="1"/>
  </cols>
  <sheetData>
    <row r="1" spans="1:27" ht="24" x14ac:dyDescent="0.25">
      <c r="A1" s="1" t="s">
        <v>0</v>
      </c>
      <c r="B1" s="2" t="s">
        <v>1</v>
      </c>
      <c r="C1" s="3" t="s">
        <v>2</v>
      </c>
      <c r="D1" s="3" t="s">
        <v>3</v>
      </c>
      <c r="E1" s="4" t="s">
        <v>4</v>
      </c>
      <c r="F1" s="5" t="s">
        <v>5</v>
      </c>
      <c r="G1" s="4" t="s">
        <v>6</v>
      </c>
      <c r="H1" s="5" t="s">
        <v>7</v>
      </c>
      <c r="I1" s="6" t="s">
        <v>8</v>
      </c>
      <c r="J1" s="6" t="s">
        <v>9</v>
      </c>
      <c r="K1" s="6" t="s">
        <v>10</v>
      </c>
      <c r="L1" s="6" t="s">
        <v>11</v>
      </c>
      <c r="M1" s="6" t="s">
        <v>12</v>
      </c>
      <c r="N1" s="6" t="s">
        <v>12</v>
      </c>
      <c r="O1" s="3" t="s">
        <v>14</v>
      </c>
      <c r="P1" s="5" t="s">
        <v>15</v>
      </c>
      <c r="Q1" s="6" t="s">
        <v>16</v>
      </c>
      <c r="R1" s="5" t="s">
        <v>16</v>
      </c>
      <c r="S1" s="4" t="s">
        <v>17</v>
      </c>
      <c r="T1" s="5" t="s">
        <v>18</v>
      </c>
      <c r="U1" s="4" t="s">
        <v>19</v>
      </c>
      <c r="V1" s="3" t="s">
        <v>20</v>
      </c>
      <c r="W1" s="54" t="s">
        <v>405</v>
      </c>
      <c r="X1" s="5" t="s">
        <v>22</v>
      </c>
      <c r="Y1" s="6" t="s">
        <v>22</v>
      </c>
      <c r="Z1" s="4" t="s">
        <v>25</v>
      </c>
      <c r="AA1" s="4" t="s">
        <v>406</v>
      </c>
    </row>
    <row r="2" spans="1:27" ht="48" x14ac:dyDescent="0.25">
      <c r="A2" s="1" t="s">
        <v>34</v>
      </c>
      <c r="B2" s="9" t="s">
        <v>35</v>
      </c>
      <c r="C2" s="10" t="s">
        <v>36</v>
      </c>
      <c r="D2" s="10"/>
      <c r="E2" s="11" t="s">
        <v>37</v>
      </c>
      <c r="F2" s="12" t="s">
        <v>38</v>
      </c>
      <c r="G2" s="11" t="s">
        <v>39</v>
      </c>
      <c r="H2" s="12" t="s">
        <v>40</v>
      </c>
      <c r="I2" s="13"/>
      <c r="J2" s="13"/>
      <c r="K2" s="13"/>
      <c r="L2" s="13"/>
      <c r="M2" s="13"/>
      <c r="N2" s="13"/>
      <c r="O2" s="10" t="s">
        <v>46</v>
      </c>
      <c r="P2" s="12" t="s">
        <v>47</v>
      </c>
      <c r="Q2" s="13" t="s">
        <v>48</v>
      </c>
      <c r="R2" s="12" t="s">
        <v>49</v>
      </c>
      <c r="S2" s="11" t="s">
        <v>50</v>
      </c>
      <c r="T2" s="12" t="s">
        <v>51</v>
      </c>
      <c r="U2" s="11" t="s">
        <v>52</v>
      </c>
      <c r="V2" s="10" t="s">
        <v>53</v>
      </c>
      <c r="W2" s="10"/>
      <c r="X2" s="12" t="s">
        <v>55</v>
      </c>
      <c r="Y2" s="13" t="s">
        <v>55</v>
      </c>
      <c r="Z2" s="11" t="s">
        <v>56</v>
      </c>
      <c r="AA2" s="11"/>
    </row>
    <row r="3" spans="1:27" ht="36" x14ac:dyDescent="0.25">
      <c r="A3" s="1" t="s">
        <v>63</v>
      </c>
      <c r="B3" s="9" t="s">
        <v>64</v>
      </c>
      <c r="C3" s="10" t="s">
        <v>65</v>
      </c>
      <c r="D3" s="10"/>
      <c r="E3" s="11" t="s">
        <v>66</v>
      </c>
      <c r="F3" s="12" t="s">
        <v>67</v>
      </c>
      <c r="G3" s="11" t="s">
        <v>231</v>
      </c>
      <c r="H3" s="12" t="s">
        <v>232</v>
      </c>
      <c r="I3" s="13"/>
      <c r="J3" s="13"/>
      <c r="K3" s="13"/>
      <c r="L3" s="13"/>
      <c r="M3" s="13"/>
      <c r="N3" s="13"/>
      <c r="O3" s="10" t="s">
        <v>69</v>
      </c>
      <c r="P3" s="12" t="s">
        <v>70</v>
      </c>
      <c r="Q3" s="13">
        <v>7.5</v>
      </c>
      <c r="R3" s="12" t="s">
        <v>71</v>
      </c>
      <c r="S3" s="11" t="s">
        <v>72</v>
      </c>
      <c r="T3" s="12" t="s">
        <v>73</v>
      </c>
      <c r="U3" s="11" t="s">
        <v>74</v>
      </c>
      <c r="V3" s="10" t="s">
        <v>75</v>
      </c>
      <c r="W3" s="10"/>
      <c r="X3" s="12" t="s">
        <v>407</v>
      </c>
      <c r="Y3" s="13" t="s">
        <v>408</v>
      </c>
      <c r="Z3" s="11" t="s">
        <v>81</v>
      </c>
      <c r="AA3" s="11"/>
    </row>
    <row r="4" spans="1:27" ht="13.5" customHeight="1" x14ac:dyDescent="0.25">
      <c r="A4" s="1" t="s">
        <v>191</v>
      </c>
      <c r="B4" s="40" t="s">
        <v>192</v>
      </c>
      <c r="C4" s="41" t="s">
        <v>192</v>
      </c>
      <c r="D4" s="41"/>
      <c r="E4" s="29" t="s">
        <v>192</v>
      </c>
      <c r="F4" s="30" t="s">
        <v>192</v>
      </c>
      <c r="G4" s="29" t="s">
        <v>192</v>
      </c>
      <c r="H4" s="30" t="s">
        <v>192</v>
      </c>
      <c r="I4" s="42"/>
      <c r="J4" s="42"/>
      <c r="K4" s="42"/>
      <c r="L4" s="42"/>
      <c r="M4" s="42"/>
      <c r="N4" s="42"/>
      <c r="O4" s="43" t="s">
        <v>193</v>
      </c>
      <c r="P4" s="27" t="s">
        <v>193</v>
      </c>
      <c r="Q4" s="31" t="s">
        <v>193</v>
      </c>
      <c r="R4" s="27" t="s">
        <v>193</v>
      </c>
      <c r="S4" s="26" t="s">
        <v>193</v>
      </c>
      <c r="T4" s="27" t="s">
        <v>193</v>
      </c>
      <c r="U4" s="26" t="s">
        <v>193</v>
      </c>
      <c r="V4" s="43" t="s">
        <v>193</v>
      </c>
      <c r="W4" s="43"/>
      <c r="X4" s="27" t="s">
        <v>193</v>
      </c>
      <c r="Y4" s="31" t="s">
        <v>193</v>
      </c>
      <c r="Z4" s="26" t="s">
        <v>193</v>
      </c>
      <c r="AA4" s="26"/>
    </row>
    <row r="5" spans="1:27" s="17" customFormat="1" ht="15" customHeight="1" x14ac:dyDescent="0.25">
      <c r="E5" s="17" t="s">
        <v>207</v>
      </c>
      <c r="F5" s="17" t="s">
        <v>90</v>
      </c>
      <c r="G5" s="17" t="s">
        <v>409</v>
      </c>
      <c r="H5" s="17" t="s">
        <v>410</v>
      </c>
      <c r="I5" s="17" t="s">
        <v>215</v>
      </c>
      <c r="J5" s="17" t="s">
        <v>455</v>
      </c>
      <c r="K5" s="17" t="s">
        <v>456</v>
      </c>
      <c r="L5" s="17" t="s">
        <v>411</v>
      </c>
      <c r="M5" t="s">
        <v>467</v>
      </c>
      <c r="N5" s="17" t="s">
        <v>94</v>
      </c>
      <c r="O5" s="17" t="s">
        <v>412</v>
      </c>
      <c r="P5" s="17" t="s">
        <v>413</v>
      </c>
      <c r="Q5" s="17" t="s">
        <v>414</v>
      </c>
      <c r="R5" s="49" t="s">
        <v>415</v>
      </c>
      <c r="S5" s="49" t="s">
        <v>416</v>
      </c>
      <c r="T5" s="17" t="s">
        <v>417</v>
      </c>
      <c r="U5" s="19">
        <v>8.0000000000000002E-3</v>
      </c>
      <c r="V5" s="17" t="s">
        <v>418</v>
      </c>
      <c r="W5" s="17" t="s">
        <v>94</v>
      </c>
      <c r="X5" s="17">
        <v>19.8</v>
      </c>
      <c r="Y5" s="17">
        <v>645</v>
      </c>
      <c r="Z5" s="17" t="s">
        <v>419</v>
      </c>
      <c r="AA5" s="17" t="s">
        <v>94</v>
      </c>
    </row>
    <row r="6" spans="1:27" s="17" customFormat="1" ht="15" customHeight="1" x14ac:dyDescent="0.25">
      <c r="E6" s="17" t="s">
        <v>207</v>
      </c>
      <c r="F6" s="17" t="s">
        <v>90</v>
      </c>
      <c r="G6" s="17" t="s">
        <v>409</v>
      </c>
      <c r="H6" s="17" t="s">
        <v>410</v>
      </c>
      <c r="I6" s="17" t="s">
        <v>215</v>
      </c>
      <c r="J6" s="17" t="s">
        <v>457</v>
      </c>
      <c r="K6" s="17" t="s">
        <v>458</v>
      </c>
      <c r="L6" s="17" t="s">
        <v>411</v>
      </c>
      <c r="M6" t="s">
        <v>468</v>
      </c>
      <c r="N6" s="17" t="s">
        <v>94</v>
      </c>
      <c r="O6" s="17" t="s">
        <v>412</v>
      </c>
      <c r="P6" s="17" t="s">
        <v>413</v>
      </c>
      <c r="Q6" s="17" t="s">
        <v>414</v>
      </c>
      <c r="R6" s="49" t="s">
        <v>415</v>
      </c>
      <c r="S6" s="49" t="s">
        <v>416</v>
      </c>
      <c r="T6" s="17" t="s">
        <v>417</v>
      </c>
      <c r="U6" s="19">
        <v>8.0000000000000002E-3</v>
      </c>
      <c r="V6" s="17" t="s">
        <v>418</v>
      </c>
      <c r="W6" s="17" t="s">
        <v>94</v>
      </c>
      <c r="X6" s="17">
        <v>19.8</v>
      </c>
      <c r="Y6" s="17">
        <v>645</v>
      </c>
      <c r="Z6" s="17" t="s">
        <v>419</v>
      </c>
      <c r="AA6" s="17" t="s">
        <v>94</v>
      </c>
    </row>
    <row r="7" spans="1:27" s="17" customFormat="1" ht="15" customHeight="1" x14ac:dyDescent="0.25">
      <c r="E7" s="17" t="s">
        <v>207</v>
      </c>
      <c r="F7" s="17" t="s">
        <v>90</v>
      </c>
      <c r="G7" s="17" t="s">
        <v>409</v>
      </c>
      <c r="H7" s="17" t="s">
        <v>410</v>
      </c>
      <c r="I7" s="17" t="s">
        <v>215</v>
      </c>
      <c r="J7" s="17" t="s">
        <v>459</v>
      </c>
      <c r="K7" s="17" t="s">
        <v>460</v>
      </c>
      <c r="L7" s="17" t="s">
        <v>411</v>
      </c>
      <c r="M7" t="s">
        <v>469</v>
      </c>
      <c r="N7" s="17" t="s">
        <v>94</v>
      </c>
      <c r="O7" s="17" t="s">
        <v>412</v>
      </c>
      <c r="P7" s="17" t="s">
        <v>413</v>
      </c>
      <c r="Q7" s="17" t="s">
        <v>414</v>
      </c>
      <c r="R7" s="49" t="s">
        <v>415</v>
      </c>
      <c r="S7" s="49" t="s">
        <v>416</v>
      </c>
      <c r="T7" s="17" t="s">
        <v>417</v>
      </c>
      <c r="U7" s="19">
        <v>8.0000000000000002E-3</v>
      </c>
      <c r="V7" s="17" t="s">
        <v>418</v>
      </c>
      <c r="W7" s="17" t="s">
        <v>94</v>
      </c>
      <c r="X7" s="17">
        <v>19.8</v>
      </c>
      <c r="Y7" s="17">
        <v>645</v>
      </c>
      <c r="Z7" s="17" t="s">
        <v>419</v>
      </c>
      <c r="AA7" s="17" t="s">
        <v>94</v>
      </c>
    </row>
    <row r="8" spans="1:27" s="17" customFormat="1" ht="15" customHeight="1" x14ac:dyDescent="0.25">
      <c r="E8" s="17" t="s">
        <v>207</v>
      </c>
      <c r="F8" s="17" t="s">
        <v>90</v>
      </c>
      <c r="G8" s="17" t="s">
        <v>409</v>
      </c>
      <c r="H8" s="17" t="s">
        <v>410</v>
      </c>
      <c r="I8" s="17" t="s">
        <v>215</v>
      </c>
      <c r="J8" s="17" t="s">
        <v>461</v>
      </c>
      <c r="K8" s="17" t="s">
        <v>462</v>
      </c>
      <c r="L8" s="17" t="s">
        <v>411</v>
      </c>
      <c r="M8" t="s">
        <v>470</v>
      </c>
      <c r="N8" s="17" t="s">
        <v>94</v>
      </c>
      <c r="O8" s="17" t="s">
        <v>412</v>
      </c>
      <c r="P8" s="17" t="s">
        <v>413</v>
      </c>
      <c r="Q8" s="17" t="s">
        <v>414</v>
      </c>
      <c r="R8" s="49" t="s">
        <v>415</v>
      </c>
      <c r="S8" s="49" t="s">
        <v>416</v>
      </c>
      <c r="T8" s="17" t="s">
        <v>417</v>
      </c>
      <c r="U8" s="19">
        <v>8.0000000000000002E-3</v>
      </c>
      <c r="V8" s="17" t="s">
        <v>418</v>
      </c>
      <c r="W8" s="17" t="s">
        <v>94</v>
      </c>
      <c r="X8" s="17">
        <v>19.8</v>
      </c>
      <c r="Y8" s="17">
        <v>645</v>
      </c>
      <c r="Z8" s="17" t="s">
        <v>419</v>
      </c>
      <c r="AA8" s="17" t="s">
        <v>94</v>
      </c>
    </row>
    <row r="9" spans="1:27" s="17" customFormat="1" ht="15" customHeight="1" x14ac:dyDescent="0.25">
      <c r="E9" s="17" t="s">
        <v>207</v>
      </c>
      <c r="F9" s="17" t="s">
        <v>90</v>
      </c>
      <c r="G9" s="17" t="s">
        <v>409</v>
      </c>
      <c r="H9" s="17" t="s">
        <v>410</v>
      </c>
      <c r="I9" s="17" t="s">
        <v>215</v>
      </c>
      <c r="J9" s="17" t="s">
        <v>463</v>
      </c>
      <c r="K9" s="17" t="s">
        <v>464</v>
      </c>
      <c r="L9" s="17" t="s">
        <v>411</v>
      </c>
      <c r="M9" t="s">
        <v>471</v>
      </c>
      <c r="N9" s="17" t="s">
        <v>94</v>
      </c>
      <c r="O9" s="17" t="s">
        <v>412</v>
      </c>
      <c r="P9" s="17" t="s">
        <v>413</v>
      </c>
      <c r="Q9" s="17" t="s">
        <v>414</v>
      </c>
      <c r="R9" s="49" t="s">
        <v>415</v>
      </c>
      <c r="S9" s="49" t="s">
        <v>416</v>
      </c>
      <c r="T9" s="17" t="s">
        <v>417</v>
      </c>
      <c r="U9" s="19">
        <v>8.0000000000000002E-3</v>
      </c>
      <c r="V9" s="17" t="s">
        <v>418</v>
      </c>
      <c r="W9" s="17" t="s">
        <v>94</v>
      </c>
      <c r="X9" s="17">
        <v>19.8</v>
      </c>
      <c r="Y9" s="17">
        <v>645</v>
      </c>
      <c r="Z9" s="17" t="s">
        <v>419</v>
      </c>
      <c r="AA9" s="17" t="s">
        <v>94</v>
      </c>
    </row>
    <row r="10" spans="1:27" s="17" customFormat="1" ht="15" customHeight="1" x14ac:dyDescent="0.25">
      <c r="E10" s="17" t="s">
        <v>207</v>
      </c>
      <c r="F10" s="17" t="s">
        <v>90</v>
      </c>
      <c r="G10" s="17" t="s">
        <v>409</v>
      </c>
      <c r="H10" s="17" t="s">
        <v>410</v>
      </c>
      <c r="I10" s="17" t="s">
        <v>215</v>
      </c>
      <c r="J10" s="17" t="s">
        <v>465</v>
      </c>
      <c r="K10" s="17" t="s">
        <v>466</v>
      </c>
      <c r="L10" s="17" t="s">
        <v>411</v>
      </c>
      <c r="M10" t="s">
        <v>472</v>
      </c>
      <c r="N10" s="17" t="s">
        <v>94</v>
      </c>
      <c r="O10" s="17" t="s">
        <v>412</v>
      </c>
      <c r="P10" s="17" t="s">
        <v>413</v>
      </c>
      <c r="Q10" s="17" t="s">
        <v>414</v>
      </c>
      <c r="R10" s="49" t="s">
        <v>415</v>
      </c>
      <c r="S10" s="49" t="s">
        <v>416</v>
      </c>
      <c r="T10" s="17" t="s">
        <v>417</v>
      </c>
      <c r="U10" s="19">
        <v>8.0000000000000002E-3</v>
      </c>
      <c r="V10" s="17" t="s">
        <v>418</v>
      </c>
      <c r="W10" s="17" t="s">
        <v>94</v>
      </c>
      <c r="X10" s="17">
        <v>19.8</v>
      </c>
      <c r="Y10" s="17">
        <v>645</v>
      </c>
      <c r="Z10" s="17" t="s">
        <v>419</v>
      </c>
      <c r="AA10" s="17" t="s">
        <v>94</v>
      </c>
    </row>
    <row r="11" spans="1:27" s="17" customFormat="1" ht="15" customHeight="1" x14ac:dyDescent="0.25">
      <c r="M11"/>
      <c r="R11" s="49"/>
      <c r="S11" s="49"/>
      <c r="U11" s="19"/>
    </row>
    <row r="12" spans="1:27" s="17" customFormat="1" ht="15" customHeight="1" x14ac:dyDescent="0.25">
      <c r="M12"/>
      <c r="R12" s="49"/>
      <c r="S12" s="49"/>
      <c r="U12" s="19"/>
    </row>
    <row r="13" spans="1:27" s="17" customFormat="1" ht="15" customHeight="1" x14ac:dyDescent="0.25">
      <c r="M13"/>
      <c r="R13" s="49"/>
      <c r="S13" s="49"/>
      <c r="U13" s="19"/>
    </row>
    <row r="14" spans="1:27" s="17" customFormat="1" ht="15" customHeight="1" x14ac:dyDescent="0.25">
      <c r="R14" s="49"/>
      <c r="S14" s="49"/>
      <c r="T14" s="49"/>
      <c r="U14" s="19"/>
    </row>
    <row r="15" spans="1:27" s="17" customFormat="1" ht="15" customHeight="1" x14ac:dyDescent="0.25">
      <c r="E15" s="17" t="s">
        <v>208</v>
      </c>
      <c r="F15" s="17" t="s">
        <v>90</v>
      </c>
      <c r="G15" s="17" t="s">
        <v>420</v>
      </c>
      <c r="H15" s="17" t="s">
        <v>360</v>
      </c>
      <c r="I15" s="17" t="s">
        <v>215</v>
      </c>
      <c r="J15" s="17" t="s">
        <v>473</v>
      </c>
      <c r="K15" s="17" t="s">
        <v>474</v>
      </c>
      <c r="L15" s="17" t="s">
        <v>411</v>
      </c>
      <c r="M15" s="17" t="s">
        <v>473</v>
      </c>
      <c r="N15" s="17" t="s">
        <v>94</v>
      </c>
      <c r="O15" s="17" t="s">
        <v>421</v>
      </c>
      <c r="P15" s="17" t="s">
        <v>422</v>
      </c>
      <c r="Q15" s="49" t="s">
        <v>415</v>
      </c>
      <c r="R15" s="49" t="s">
        <v>423</v>
      </c>
      <c r="S15" s="49" t="s">
        <v>424</v>
      </c>
      <c r="T15" s="17" t="s">
        <v>425</v>
      </c>
      <c r="U15" s="19">
        <v>0.02</v>
      </c>
      <c r="V15" s="17" t="s">
        <v>360</v>
      </c>
      <c r="W15" s="17">
        <v>90</v>
      </c>
      <c r="X15" s="17" t="s">
        <v>94</v>
      </c>
      <c r="Z15" s="17" t="s">
        <v>428</v>
      </c>
      <c r="AA15" s="47">
        <v>3019</v>
      </c>
    </row>
    <row r="16" spans="1:27" s="17" customFormat="1" ht="15" customHeight="1" x14ac:dyDescent="0.25">
      <c r="E16" s="17" t="s">
        <v>208</v>
      </c>
      <c r="F16" s="17" t="s">
        <v>90</v>
      </c>
      <c r="G16" s="17" t="s">
        <v>420</v>
      </c>
      <c r="H16" s="17" t="s">
        <v>360</v>
      </c>
      <c r="I16" s="17" t="s">
        <v>215</v>
      </c>
      <c r="J16" s="17" t="s">
        <v>475</v>
      </c>
      <c r="K16" s="17" t="s">
        <v>476</v>
      </c>
      <c r="L16" s="17" t="s">
        <v>411</v>
      </c>
      <c r="M16" s="17" t="s">
        <v>475</v>
      </c>
      <c r="N16" s="17" t="s">
        <v>94</v>
      </c>
      <c r="O16" s="17" t="s">
        <v>421</v>
      </c>
      <c r="P16" s="17" t="s">
        <v>422</v>
      </c>
      <c r="Q16" s="49" t="s">
        <v>429</v>
      </c>
      <c r="R16" s="49" t="s">
        <v>423</v>
      </c>
      <c r="S16" s="17" t="s">
        <v>424</v>
      </c>
      <c r="T16" s="17" t="s">
        <v>425</v>
      </c>
      <c r="U16" s="19">
        <v>0.02</v>
      </c>
      <c r="V16" s="17" t="s">
        <v>360</v>
      </c>
      <c r="W16" s="17">
        <v>90</v>
      </c>
      <c r="X16" s="17" t="s">
        <v>94</v>
      </c>
      <c r="Z16" s="17" t="s">
        <v>428</v>
      </c>
      <c r="AA16" s="47">
        <v>3019</v>
      </c>
    </row>
    <row r="17" spans="5:27" s="17" customFormat="1" x14ac:dyDescent="0.25">
      <c r="E17" s="17" t="s">
        <v>208</v>
      </c>
      <c r="F17" s="17" t="s">
        <v>90</v>
      </c>
      <c r="G17" s="17" t="s">
        <v>420</v>
      </c>
      <c r="H17" s="17" t="s">
        <v>360</v>
      </c>
      <c r="I17" s="17" t="s">
        <v>215</v>
      </c>
      <c r="J17" s="17" t="s">
        <v>477</v>
      </c>
      <c r="K17" s="17" t="s">
        <v>478</v>
      </c>
      <c r="L17" s="17" t="s">
        <v>411</v>
      </c>
      <c r="M17" s="17" t="s">
        <v>477</v>
      </c>
      <c r="N17" s="17" t="s">
        <v>94</v>
      </c>
      <c r="O17" s="17" t="s">
        <v>421</v>
      </c>
      <c r="P17" s="17" t="s">
        <v>430</v>
      </c>
      <c r="Q17" s="49" t="s">
        <v>431</v>
      </c>
      <c r="R17" s="49" t="s">
        <v>423</v>
      </c>
      <c r="S17" s="17" t="s">
        <v>424</v>
      </c>
      <c r="T17" s="17" t="s">
        <v>425</v>
      </c>
      <c r="U17" s="19">
        <v>0.02</v>
      </c>
      <c r="V17" s="17" t="s">
        <v>360</v>
      </c>
      <c r="W17" s="17">
        <v>90</v>
      </c>
      <c r="X17" s="17" t="s">
        <v>94</v>
      </c>
      <c r="Z17" s="17" t="s">
        <v>428</v>
      </c>
      <c r="AA17" s="47">
        <v>3019</v>
      </c>
    </row>
    <row r="18" spans="5:27" s="17" customFormat="1" ht="15" customHeight="1" x14ac:dyDescent="0.25">
      <c r="E18" s="17" t="s">
        <v>208</v>
      </c>
      <c r="F18" s="17" t="s">
        <v>90</v>
      </c>
      <c r="G18" s="17" t="s">
        <v>420</v>
      </c>
      <c r="H18" s="17" t="s">
        <v>360</v>
      </c>
      <c r="I18" s="17" t="s">
        <v>215</v>
      </c>
      <c r="J18" s="17" t="s">
        <v>479</v>
      </c>
      <c r="K18" s="17" t="s">
        <v>480</v>
      </c>
      <c r="L18" s="17" t="s">
        <v>411</v>
      </c>
      <c r="M18" s="17" t="s">
        <v>479</v>
      </c>
      <c r="N18" s="17" t="s">
        <v>94</v>
      </c>
      <c r="O18" s="17" t="s">
        <v>421</v>
      </c>
      <c r="P18" s="17" t="s">
        <v>432</v>
      </c>
      <c r="Q18" s="49" t="s">
        <v>433</v>
      </c>
      <c r="R18" s="49" t="s">
        <v>423</v>
      </c>
      <c r="S18" s="17" t="s">
        <v>424</v>
      </c>
      <c r="T18" s="17" t="s">
        <v>425</v>
      </c>
      <c r="U18" s="19">
        <v>0.02</v>
      </c>
      <c r="V18" s="17" t="s">
        <v>360</v>
      </c>
      <c r="W18" s="17">
        <v>90</v>
      </c>
      <c r="X18" s="17" t="s">
        <v>94</v>
      </c>
      <c r="Z18" s="17" t="s">
        <v>428</v>
      </c>
      <c r="AA18" s="47">
        <v>3019</v>
      </c>
    </row>
    <row r="19" spans="5:27" s="17" customFormat="1" ht="15" customHeight="1" x14ac:dyDescent="0.25">
      <c r="E19" s="17" t="s">
        <v>208</v>
      </c>
      <c r="F19" s="17" t="s">
        <v>90</v>
      </c>
      <c r="G19" s="17" t="s">
        <v>420</v>
      </c>
      <c r="H19" s="17" t="s">
        <v>360</v>
      </c>
      <c r="I19" s="17" t="s">
        <v>215</v>
      </c>
      <c r="J19" s="17" t="s">
        <v>481</v>
      </c>
      <c r="K19" s="17" t="s">
        <v>482</v>
      </c>
      <c r="L19" s="17" t="s">
        <v>411</v>
      </c>
      <c r="M19" s="17" t="s">
        <v>481</v>
      </c>
      <c r="N19" s="17" t="s">
        <v>94</v>
      </c>
      <c r="O19" s="17" t="s">
        <v>421</v>
      </c>
      <c r="P19" s="17" t="s">
        <v>434</v>
      </c>
      <c r="Q19" s="49" t="s">
        <v>435</v>
      </c>
      <c r="R19" s="49" t="s">
        <v>423</v>
      </c>
      <c r="S19" s="17" t="s">
        <v>424</v>
      </c>
      <c r="T19" s="17" t="s">
        <v>425</v>
      </c>
      <c r="U19" s="19">
        <v>0.02</v>
      </c>
      <c r="V19" s="17" t="s">
        <v>360</v>
      </c>
      <c r="W19" s="17">
        <v>90</v>
      </c>
      <c r="X19" s="17" t="s">
        <v>94</v>
      </c>
      <c r="Z19" s="17" t="s">
        <v>428</v>
      </c>
      <c r="AA19" s="47">
        <v>3019</v>
      </c>
    </row>
    <row r="20" spans="5:27" s="17" customFormat="1" ht="15" customHeight="1" x14ac:dyDescent="0.25">
      <c r="E20" s="17" t="s">
        <v>208</v>
      </c>
      <c r="F20" s="17" t="s">
        <v>90</v>
      </c>
      <c r="G20" s="17" t="s">
        <v>420</v>
      </c>
      <c r="H20" s="17" t="s">
        <v>360</v>
      </c>
      <c r="I20" s="17" t="s">
        <v>215</v>
      </c>
      <c r="J20" s="17" t="s">
        <v>483</v>
      </c>
      <c r="K20" s="17" t="s">
        <v>484</v>
      </c>
      <c r="L20" s="17" t="s">
        <v>411</v>
      </c>
      <c r="M20" s="17" t="s">
        <v>483</v>
      </c>
      <c r="N20" s="17" t="s">
        <v>94</v>
      </c>
      <c r="O20" s="17" t="s">
        <v>421</v>
      </c>
      <c r="P20" s="17" t="s">
        <v>436</v>
      </c>
      <c r="Q20" s="49" t="s">
        <v>437</v>
      </c>
      <c r="R20" s="49" t="s">
        <v>423</v>
      </c>
      <c r="S20" s="17" t="s">
        <v>424</v>
      </c>
      <c r="T20" s="17" t="s">
        <v>425</v>
      </c>
      <c r="U20" s="19">
        <v>0.02</v>
      </c>
      <c r="V20" s="17" t="s">
        <v>360</v>
      </c>
      <c r="W20" s="17">
        <v>90</v>
      </c>
      <c r="X20" s="17" t="s">
        <v>94</v>
      </c>
      <c r="Z20" s="17" t="s">
        <v>428</v>
      </c>
      <c r="AA20" s="47">
        <v>3019</v>
      </c>
    </row>
    <row r="21" spans="5:27" s="17" customFormat="1" ht="15" customHeight="1" x14ac:dyDescent="0.25">
      <c r="E21" s="17" t="s">
        <v>208</v>
      </c>
      <c r="F21" s="17" t="s">
        <v>90</v>
      </c>
      <c r="G21" s="17" t="s">
        <v>420</v>
      </c>
      <c r="H21" s="17" t="s">
        <v>360</v>
      </c>
      <c r="I21" s="17" t="s">
        <v>215</v>
      </c>
      <c r="J21" s="17" t="s">
        <v>485</v>
      </c>
      <c r="K21" s="17" t="s">
        <v>486</v>
      </c>
      <c r="L21" s="17" t="s">
        <v>411</v>
      </c>
      <c r="M21" s="17" t="s">
        <v>485</v>
      </c>
      <c r="N21" s="17" t="s">
        <v>94</v>
      </c>
      <c r="O21" s="17" t="s">
        <v>421</v>
      </c>
      <c r="P21" s="17" t="s">
        <v>438</v>
      </c>
      <c r="Q21" s="49" t="s">
        <v>439</v>
      </c>
      <c r="R21" s="49" t="s">
        <v>423</v>
      </c>
      <c r="S21" s="17" t="s">
        <v>424</v>
      </c>
      <c r="T21" s="17" t="s">
        <v>425</v>
      </c>
      <c r="U21" s="19">
        <v>0.02</v>
      </c>
      <c r="V21" s="17" t="s">
        <v>360</v>
      </c>
      <c r="W21" s="17">
        <v>90</v>
      </c>
      <c r="X21" s="17" t="s">
        <v>94</v>
      </c>
      <c r="Z21" s="17" t="s">
        <v>428</v>
      </c>
      <c r="AA21" s="47">
        <v>3019</v>
      </c>
    </row>
    <row r="22" spans="5:27" s="17" customFormat="1" ht="15" customHeight="1" x14ac:dyDescent="0.25">
      <c r="E22" s="17" t="s">
        <v>208</v>
      </c>
      <c r="F22" s="17" t="s">
        <v>90</v>
      </c>
      <c r="G22" s="17" t="s">
        <v>420</v>
      </c>
      <c r="H22" s="17" t="s">
        <v>360</v>
      </c>
      <c r="I22" s="17" t="s">
        <v>215</v>
      </c>
      <c r="J22" s="17" t="s">
        <v>487</v>
      </c>
      <c r="K22" s="17" t="s">
        <v>488</v>
      </c>
      <c r="L22" s="17" t="s">
        <v>411</v>
      </c>
      <c r="M22" s="17" t="s">
        <v>487</v>
      </c>
      <c r="N22" s="17" t="s">
        <v>94</v>
      </c>
      <c r="O22" s="17" t="s">
        <v>421</v>
      </c>
      <c r="P22" s="17" t="s">
        <v>440</v>
      </c>
      <c r="Q22" s="49" t="s">
        <v>441</v>
      </c>
      <c r="R22" s="49" t="s">
        <v>423</v>
      </c>
      <c r="S22" s="17" t="s">
        <v>424</v>
      </c>
      <c r="T22" s="17" t="s">
        <v>425</v>
      </c>
      <c r="U22" s="19">
        <v>0.02</v>
      </c>
      <c r="V22" s="17" t="s">
        <v>360</v>
      </c>
      <c r="W22" s="17">
        <v>90</v>
      </c>
      <c r="X22" s="17" t="s">
        <v>94</v>
      </c>
      <c r="Z22" s="17" t="s">
        <v>428</v>
      </c>
      <c r="AA22" s="47">
        <v>3019</v>
      </c>
    </row>
    <row r="23" spans="5:27" s="17" customFormat="1" ht="15" customHeight="1" x14ac:dyDescent="0.25">
      <c r="E23" s="17" t="s">
        <v>208</v>
      </c>
      <c r="F23" s="17" t="s">
        <v>90</v>
      </c>
      <c r="G23" s="17" t="s">
        <v>420</v>
      </c>
      <c r="H23" s="17" t="s">
        <v>360</v>
      </c>
      <c r="I23" s="17" t="s">
        <v>215</v>
      </c>
      <c r="J23" s="17" t="s">
        <v>489</v>
      </c>
      <c r="K23" s="17" t="s">
        <v>490</v>
      </c>
      <c r="L23" s="17" t="s">
        <v>411</v>
      </c>
      <c r="M23" s="17" t="s">
        <v>489</v>
      </c>
      <c r="N23" s="17" t="s">
        <v>94</v>
      </c>
      <c r="O23" s="17" t="s">
        <v>421</v>
      </c>
      <c r="P23" s="17" t="s">
        <v>442</v>
      </c>
      <c r="Q23" s="49" t="s">
        <v>443</v>
      </c>
      <c r="R23" s="49" t="s">
        <v>423</v>
      </c>
      <c r="S23" s="17" t="s">
        <v>424</v>
      </c>
      <c r="T23" s="17" t="s">
        <v>425</v>
      </c>
      <c r="U23" s="19">
        <v>0.02</v>
      </c>
      <c r="V23" s="17" t="s">
        <v>360</v>
      </c>
      <c r="W23" s="17">
        <v>90</v>
      </c>
      <c r="X23" s="17" t="s">
        <v>94</v>
      </c>
      <c r="Z23" s="17" t="s">
        <v>428</v>
      </c>
      <c r="AA23" s="47">
        <v>3019</v>
      </c>
    </row>
    <row r="24" spans="5:27" s="17" customFormat="1" ht="15" customHeight="1" x14ac:dyDescent="0.25">
      <c r="E24" s="17" t="s">
        <v>208</v>
      </c>
      <c r="F24" s="17" t="s">
        <v>90</v>
      </c>
      <c r="G24" s="17" t="s">
        <v>420</v>
      </c>
      <c r="H24" s="17" t="s">
        <v>360</v>
      </c>
      <c r="I24" s="17" t="s">
        <v>215</v>
      </c>
      <c r="J24" s="17" t="s">
        <v>491</v>
      </c>
      <c r="K24" s="17" t="s">
        <v>492</v>
      </c>
      <c r="L24" s="17" t="s">
        <v>411</v>
      </c>
      <c r="M24" s="17" t="s">
        <v>491</v>
      </c>
      <c r="N24" s="17" t="s">
        <v>94</v>
      </c>
      <c r="O24" s="17" t="s">
        <v>421</v>
      </c>
      <c r="P24" s="17" t="s">
        <v>444</v>
      </c>
      <c r="Q24" s="49" t="s">
        <v>445</v>
      </c>
      <c r="R24" s="49" t="s">
        <v>423</v>
      </c>
      <c r="S24" s="17" t="s">
        <v>424</v>
      </c>
      <c r="T24" s="17" t="s">
        <v>425</v>
      </c>
      <c r="U24" s="19">
        <v>0.02</v>
      </c>
      <c r="V24" s="17" t="s">
        <v>360</v>
      </c>
      <c r="W24" s="17">
        <v>90</v>
      </c>
      <c r="X24" s="17" t="s">
        <v>94</v>
      </c>
      <c r="Z24" s="17" t="s">
        <v>428</v>
      </c>
      <c r="AA24" s="47">
        <v>3019</v>
      </c>
    </row>
    <row r="25" spans="5:27" s="17" customFormat="1" ht="15" customHeight="1" x14ac:dyDescent="0.25">
      <c r="E25" s="17" t="s">
        <v>208</v>
      </c>
      <c r="F25" s="17" t="s">
        <v>90</v>
      </c>
      <c r="G25" s="17" t="s">
        <v>420</v>
      </c>
      <c r="H25" s="17" t="s">
        <v>360</v>
      </c>
      <c r="I25" s="17" t="s">
        <v>215</v>
      </c>
      <c r="J25" s="17" t="s">
        <v>493</v>
      </c>
      <c r="K25" s="17" t="s">
        <v>494</v>
      </c>
      <c r="L25" s="17" t="s">
        <v>411</v>
      </c>
      <c r="M25" s="17" t="s">
        <v>571</v>
      </c>
      <c r="N25" s="17" t="s">
        <v>94</v>
      </c>
      <c r="O25" s="17" t="s">
        <v>421</v>
      </c>
      <c r="P25" s="17" t="s">
        <v>444</v>
      </c>
      <c r="Q25" s="49" t="s">
        <v>446</v>
      </c>
      <c r="R25" s="49" t="s">
        <v>423</v>
      </c>
      <c r="S25" s="17" t="s">
        <v>424</v>
      </c>
      <c r="T25" s="17" t="s">
        <v>425</v>
      </c>
      <c r="U25" s="19">
        <v>0.02</v>
      </c>
      <c r="V25" s="17" t="s">
        <v>360</v>
      </c>
      <c r="W25" s="17">
        <v>90</v>
      </c>
      <c r="X25" s="17" t="s">
        <v>94</v>
      </c>
      <c r="Z25" s="17" t="s">
        <v>428</v>
      </c>
      <c r="AA25" s="47">
        <v>3019</v>
      </c>
    </row>
    <row r="26" spans="5:27" s="17" customFormat="1" ht="15" customHeight="1" x14ac:dyDescent="0.25">
      <c r="E26" s="17" t="s">
        <v>208</v>
      </c>
      <c r="F26" s="17" t="s">
        <v>90</v>
      </c>
      <c r="G26" s="17" t="s">
        <v>420</v>
      </c>
      <c r="H26" s="17" t="s">
        <v>360</v>
      </c>
      <c r="I26" s="17" t="s">
        <v>215</v>
      </c>
      <c r="J26" s="17" t="s">
        <v>495</v>
      </c>
      <c r="K26" s="17" t="s">
        <v>496</v>
      </c>
      <c r="L26" s="17" t="s">
        <v>411</v>
      </c>
      <c r="M26" s="17" t="s">
        <v>571</v>
      </c>
      <c r="N26" s="17" t="s">
        <v>94</v>
      </c>
      <c r="O26" s="17" t="s">
        <v>421</v>
      </c>
      <c r="P26" s="17" t="s">
        <v>444</v>
      </c>
      <c r="Q26" s="49" t="s">
        <v>447</v>
      </c>
      <c r="R26" s="49" t="s">
        <v>423</v>
      </c>
      <c r="S26" s="17" t="s">
        <v>424</v>
      </c>
      <c r="T26" s="17" t="s">
        <v>425</v>
      </c>
      <c r="U26" s="19">
        <v>0.02</v>
      </c>
      <c r="V26" s="17" t="s">
        <v>360</v>
      </c>
      <c r="W26" s="17">
        <v>90</v>
      </c>
      <c r="X26" s="17" t="s">
        <v>94</v>
      </c>
      <c r="Z26" s="17" t="s">
        <v>428</v>
      </c>
      <c r="AA26" s="47">
        <v>3019</v>
      </c>
    </row>
    <row r="27" spans="5:27" s="17" customFormat="1" ht="15" customHeight="1" x14ac:dyDescent="0.25">
      <c r="E27" s="17" t="s">
        <v>208</v>
      </c>
      <c r="F27" s="17" t="s">
        <v>90</v>
      </c>
      <c r="G27" s="17" t="s">
        <v>420</v>
      </c>
      <c r="H27" s="17" t="s">
        <v>360</v>
      </c>
      <c r="I27" s="17" t="s">
        <v>215</v>
      </c>
      <c r="J27" s="17" t="s">
        <v>497</v>
      </c>
      <c r="K27" s="17" t="s">
        <v>498</v>
      </c>
      <c r="L27" s="17" t="s">
        <v>411</v>
      </c>
      <c r="M27" s="17" t="s">
        <v>497</v>
      </c>
      <c r="N27" s="17" t="s">
        <v>94</v>
      </c>
      <c r="O27" s="17" t="s">
        <v>421</v>
      </c>
      <c r="P27" s="17" t="s">
        <v>444</v>
      </c>
      <c r="Q27" s="49" t="s">
        <v>448</v>
      </c>
      <c r="R27" s="49" t="s">
        <v>423</v>
      </c>
      <c r="S27" s="17" t="s">
        <v>424</v>
      </c>
      <c r="T27" s="17" t="s">
        <v>425</v>
      </c>
      <c r="U27" s="19">
        <v>0.02</v>
      </c>
      <c r="V27" s="17" t="s">
        <v>360</v>
      </c>
      <c r="W27" s="17">
        <v>90</v>
      </c>
      <c r="X27" s="17" t="s">
        <v>94</v>
      </c>
      <c r="Z27" s="17" t="s">
        <v>428</v>
      </c>
      <c r="AA27" s="47">
        <v>3019</v>
      </c>
    </row>
    <row r="28" spans="5:27" s="17" customFormat="1" ht="15" customHeight="1" x14ac:dyDescent="0.25">
      <c r="E28" s="17" t="s">
        <v>208</v>
      </c>
      <c r="F28" s="17" t="s">
        <v>90</v>
      </c>
      <c r="G28" s="17" t="s">
        <v>420</v>
      </c>
      <c r="H28" s="17" t="s">
        <v>360</v>
      </c>
      <c r="I28" s="17" t="s">
        <v>215</v>
      </c>
      <c r="J28" s="17" t="s">
        <v>499</v>
      </c>
      <c r="K28" s="17" t="s">
        <v>500</v>
      </c>
      <c r="L28" s="17" t="s">
        <v>411</v>
      </c>
      <c r="M28" s="17" t="s">
        <v>499</v>
      </c>
      <c r="N28" s="17" t="s">
        <v>94</v>
      </c>
      <c r="O28" s="17" t="s">
        <v>421</v>
      </c>
      <c r="P28" s="17" t="s">
        <v>444</v>
      </c>
      <c r="Q28" s="49" t="s">
        <v>450</v>
      </c>
      <c r="R28" s="49" t="s">
        <v>423</v>
      </c>
      <c r="S28" s="17" t="s">
        <v>424</v>
      </c>
      <c r="T28" s="17" t="s">
        <v>425</v>
      </c>
      <c r="U28" s="19">
        <v>0.02</v>
      </c>
      <c r="V28" s="17" t="s">
        <v>360</v>
      </c>
      <c r="W28" s="17">
        <v>90</v>
      </c>
      <c r="X28" s="17" t="s">
        <v>94</v>
      </c>
      <c r="Z28" s="17" t="s">
        <v>428</v>
      </c>
      <c r="AA28" s="47">
        <v>3019</v>
      </c>
    </row>
    <row r="29" spans="5:27" s="17" customFormat="1" ht="15" customHeight="1" x14ac:dyDescent="0.25">
      <c r="E29" s="17" t="s">
        <v>208</v>
      </c>
      <c r="F29" s="17" t="s">
        <v>90</v>
      </c>
      <c r="G29" s="17" t="s">
        <v>420</v>
      </c>
      <c r="H29" s="17" t="s">
        <v>360</v>
      </c>
      <c r="I29" s="17" t="s">
        <v>215</v>
      </c>
      <c r="J29" s="17" t="s">
        <v>501</v>
      </c>
      <c r="K29" s="17" t="s">
        <v>502</v>
      </c>
      <c r="L29" s="17" t="s">
        <v>411</v>
      </c>
      <c r="M29" s="17" t="s">
        <v>501</v>
      </c>
      <c r="N29" s="17" t="s">
        <v>94</v>
      </c>
      <c r="O29" s="17" t="s">
        <v>421</v>
      </c>
      <c r="P29" s="17" t="s">
        <v>531</v>
      </c>
      <c r="Q29" s="49" t="s">
        <v>450</v>
      </c>
      <c r="R29" s="49" t="s">
        <v>423</v>
      </c>
      <c r="S29" s="17" t="s">
        <v>424</v>
      </c>
      <c r="T29" s="17" t="s">
        <v>425</v>
      </c>
      <c r="U29" s="19">
        <v>0.02</v>
      </c>
      <c r="V29" s="17" t="s">
        <v>360</v>
      </c>
      <c r="W29" s="17">
        <v>90</v>
      </c>
      <c r="X29" s="17" t="s">
        <v>94</v>
      </c>
      <c r="Z29" s="17" t="s">
        <v>428</v>
      </c>
      <c r="AA29" s="47">
        <v>3019</v>
      </c>
    </row>
    <row r="30" spans="5:27" s="17" customFormat="1" ht="15" customHeight="1" x14ac:dyDescent="0.25">
      <c r="E30" s="17" t="s">
        <v>208</v>
      </c>
      <c r="F30" s="17" t="s">
        <v>90</v>
      </c>
      <c r="G30" s="17" t="s">
        <v>420</v>
      </c>
      <c r="H30" s="17" t="s">
        <v>360</v>
      </c>
      <c r="I30" s="17" t="s">
        <v>215</v>
      </c>
      <c r="J30" s="17" t="s">
        <v>503</v>
      </c>
      <c r="K30" s="17" t="s">
        <v>504</v>
      </c>
      <c r="L30" s="17" t="s">
        <v>411</v>
      </c>
      <c r="M30" s="17" t="s">
        <v>503</v>
      </c>
      <c r="N30" s="17" t="s">
        <v>94</v>
      </c>
      <c r="O30" s="17" t="s">
        <v>421</v>
      </c>
      <c r="P30" s="17" t="s">
        <v>532</v>
      </c>
      <c r="Q30" s="49" t="s">
        <v>450</v>
      </c>
      <c r="R30" s="49" t="s">
        <v>423</v>
      </c>
      <c r="S30" s="17" t="s">
        <v>424</v>
      </c>
      <c r="T30" s="17" t="s">
        <v>425</v>
      </c>
      <c r="U30" s="19">
        <v>0.02</v>
      </c>
      <c r="V30" s="17" t="s">
        <v>360</v>
      </c>
      <c r="W30" s="17">
        <v>90</v>
      </c>
      <c r="X30" s="17" t="s">
        <v>94</v>
      </c>
      <c r="Z30" s="17" t="s">
        <v>428</v>
      </c>
      <c r="AA30" s="47">
        <v>3019</v>
      </c>
    </row>
    <row r="31" spans="5:27" s="17" customFormat="1" ht="15" customHeight="1" x14ac:dyDescent="0.25">
      <c r="E31" s="17" t="s">
        <v>208</v>
      </c>
      <c r="F31" s="17" t="s">
        <v>90</v>
      </c>
      <c r="G31" s="17" t="s">
        <v>420</v>
      </c>
      <c r="H31" s="17" t="s">
        <v>360</v>
      </c>
      <c r="I31" s="17" t="s">
        <v>215</v>
      </c>
      <c r="J31" s="17" t="s">
        <v>505</v>
      </c>
      <c r="K31" s="17" t="s">
        <v>506</v>
      </c>
      <c r="L31" s="17" t="s">
        <v>411</v>
      </c>
      <c r="M31" s="17" t="s">
        <v>505</v>
      </c>
      <c r="N31" s="17" t="s">
        <v>94</v>
      </c>
      <c r="O31" s="17" t="s">
        <v>421</v>
      </c>
      <c r="P31" s="17" t="s">
        <v>533</v>
      </c>
      <c r="Q31" s="49" t="s">
        <v>450</v>
      </c>
      <c r="R31" s="49" t="s">
        <v>423</v>
      </c>
      <c r="S31" s="17" t="s">
        <v>424</v>
      </c>
      <c r="T31" s="17" t="s">
        <v>425</v>
      </c>
      <c r="U31" s="19">
        <v>0.02</v>
      </c>
      <c r="V31" s="17" t="s">
        <v>360</v>
      </c>
      <c r="W31" s="17">
        <v>90</v>
      </c>
      <c r="X31" s="17" t="s">
        <v>94</v>
      </c>
      <c r="Z31" s="17" t="s">
        <v>428</v>
      </c>
      <c r="AA31" s="47">
        <v>3019</v>
      </c>
    </row>
    <row r="32" spans="5:27" s="17" customFormat="1" ht="15" customHeight="1" x14ac:dyDescent="0.25">
      <c r="E32" s="17" t="s">
        <v>208</v>
      </c>
      <c r="F32" s="17" t="s">
        <v>90</v>
      </c>
      <c r="G32" s="17" t="s">
        <v>420</v>
      </c>
      <c r="H32" s="17" t="s">
        <v>360</v>
      </c>
      <c r="I32" s="17" t="s">
        <v>215</v>
      </c>
      <c r="J32" s="17" t="s">
        <v>507</v>
      </c>
      <c r="K32" s="17" t="s">
        <v>508</v>
      </c>
      <c r="L32" s="17" t="s">
        <v>411</v>
      </c>
      <c r="M32" s="17" t="s">
        <v>507</v>
      </c>
      <c r="N32" s="17" t="s">
        <v>94</v>
      </c>
      <c r="O32" s="17" t="s">
        <v>421</v>
      </c>
      <c r="P32" s="17" t="s">
        <v>534</v>
      </c>
      <c r="Q32" s="49" t="s">
        <v>450</v>
      </c>
      <c r="R32" s="49" t="s">
        <v>423</v>
      </c>
      <c r="S32" s="17" t="s">
        <v>424</v>
      </c>
      <c r="T32" s="17" t="s">
        <v>425</v>
      </c>
      <c r="U32" s="19">
        <v>0.02</v>
      </c>
      <c r="V32" s="17" t="s">
        <v>360</v>
      </c>
      <c r="W32" s="17">
        <v>90</v>
      </c>
      <c r="X32" s="17" t="s">
        <v>94</v>
      </c>
      <c r="Z32" s="17" t="s">
        <v>428</v>
      </c>
      <c r="AA32" s="47">
        <v>3019</v>
      </c>
    </row>
    <row r="33" spans="5:27" s="17" customFormat="1" ht="15" customHeight="1" x14ac:dyDescent="0.25">
      <c r="E33" s="17" t="s">
        <v>208</v>
      </c>
      <c r="F33" s="17" t="s">
        <v>90</v>
      </c>
      <c r="G33" s="17" t="s">
        <v>420</v>
      </c>
      <c r="H33" s="17" t="s">
        <v>360</v>
      </c>
      <c r="I33" s="17" t="s">
        <v>215</v>
      </c>
      <c r="J33" s="17" t="s">
        <v>509</v>
      </c>
      <c r="K33" s="17" t="s">
        <v>510</v>
      </c>
      <c r="L33" s="17" t="s">
        <v>411</v>
      </c>
      <c r="M33" s="17" t="s">
        <v>509</v>
      </c>
      <c r="N33" s="17" t="s">
        <v>94</v>
      </c>
      <c r="O33" s="17" t="s">
        <v>421</v>
      </c>
      <c r="P33" s="17" t="s">
        <v>535</v>
      </c>
      <c r="Q33" s="49" t="s">
        <v>450</v>
      </c>
      <c r="R33" s="49" t="s">
        <v>423</v>
      </c>
      <c r="S33" s="17" t="s">
        <v>424</v>
      </c>
      <c r="T33" s="17" t="s">
        <v>425</v>
      </c>
      <c r="U33" s="19">
        <v>0.02</v>
      </c>
      <c r="V33" s="17" t="s">
        <v>360</v>
      </c>
      <c r="W33" s="17">
        <v>90</v>
      </c>
      <c r="X33" s="17" t="s">
        <v>94</v>
      </c>
      <c r="Z33" s="17" t="s">
        <v>428</v>
      </c>
      <c r="AA33" s="47">
        <v>3019</v>
      </c>
    </row>
    <row r="34" spans="5:27" s="17" customFormat="1" ht="15" customHeight="1" x14ac:dyDescent="0.25">
      <c r="E34" s="17" t="s">
        <v>208</v>
      </c>
      <c r="F34" s="17" t="s">
        <v>90</v>
      </c>
      <c r="G34" s="17" t="s">
        <v>420</v>
      </c>
      <c r="H34" s="17" t="s">
        <v>360</v>
      </c>
      <c r="I34" s="17" t="s">
        <v>215</v>
      </c>
      <c r="J34" s="17" t="s">
        <v>511</v>
      </c>
      <c r="K34" s="17" t="s">
        <v>512</v>
      </c>
      <c r="L34" s="17" t="s">
        <v>411</v>
      </c>
      <c r="M34" s="17" t="s">
        <v>511</v>
      </c>
      <c r="N34" s="17" t="s">
        <v>94</v>
      </c>
      <c r="O34" s="17" t="s">
        <v>421</v>
      </c>
      <c r="P34" s="17" t="s">
        <v>536</v>
      </c>
      <c r="Q34" s="49" t="s">
        <v>450</v>
      </c>
      <c r="R34" s="49" t="s">
        <v>423</v>
      </c>
      <c r="S34" s="17" t="s">
        <v>424</v>
      </c>
      <c r="T34" s="17" t="s">
        <v>425</v>
      </c>
      <c r="U34" s="19">
        <v>0.02</v>
      </c>
      <c r="V34" s="17" t="s">
        <v>360</v>
      </c>
      <c r="W34" s="17">
        <v>90</v>
      </c>
      <c r="X34" s="17" t="s">
        <v>94</v>
      </c>
      <c r="Z34" s="17" t="s">
        <v>428</v>
      </c>
      <c r="AA34" s="47">
        <v>3019</v>
      </c>
    </row>
    <row r="35" spans="5:27" s="17" customFormat="1" ht="15" customHeight="1" x14ac:dyDescent="0.25">
      <c r="E35" s="17" t="s">
        <v>208</v>
      </c>
      <c r="F35" s="17" t="s">
        <v>90</v>
      </c>
      <c r="G35" s="17" t="s">
        <v>420</v>
      </c>
      <c r="H35" s="17" t="s">
        <v>360</v>
      </c>
      <c r="I35" s="17" t="s">
        <v>215</v>
      </c>
      <c r="J35" s="17" t="s">
        <v>513</v>
      </c>
      <c r="K35" s="17" t="s">
        <v>514</v>
      </c>
      <c r="L35" s="17" t="s">
        <v>411</v>
      </c>
      <c r="M35" s="17" t="s">
        <v>513</v>
      </c>
      <c r="N35" s="17" t="s">
        <v>94</v>
      </c>
      <c r="O35" s="17" t="s">
        <v>421</v>
      </c>
      <c r="P35" s="17" t="s">
        <v>537</v>
      </c>
      <c r="Q35" s="49" t="s">
        <v>450</v>
      </c>
      <c r="R35" s="49" t="s">
        <v>423</v>
      </c>
      <c r="S35" s="17" t="s">
        <v>424</v>
      </c>
      <c r="T35" s="17" t="s">
        <v>425</v>
      </c>
      <c r="U35" s="19">
        <v>0.02</v>
      </c>
      <c r="V35" s="17" t="s">
        <v>360</v>
      </c>
      <c r="W35" s="17">
        <v>90</v>
      </c>
      <c r="X35" s="17" t="s">
        <v>94</v>
      </c>
      <c r="Z35" s="17" t="s">
        <v>428</v>
      </c>
      <c r="AA35" s="47">
        <v>3019</v>
      </c>
    </row>
    <row r="36" spans="5:27" s="17" customFormat="1" ht="15" customHeight="1" x14ac:dyDescent="0.25">
      <c r="E36" s="17" t="s">
        <v>208</v>
      </c>
      <c r="F36" s="17" t="s">
        <v>90</v>
      </c>
      <c r="G36" s="17" t="s">
        <v>420</v>
      </c>
      <c r="H36" s="17" t="s">
        <v>360</v>
      </c>
      <c r="I36" s="17" t="s">
        <v>215</v>
      </c>
      <c r="J36" s="17" t="s">
        <v>515</v>
      </c>
      <c r="K36" s="17" t="s">
        <v>516</v>
      </c>
      <c r="L36" s="17" t="s">
        <v>411</v>
      </c>
      <c r="M36" s="17" t="s">
        <v>515</v>
      </c>
      <c r="N36" s="17" t="s">
        <v>94</v>
      </c>
      <c r="O36" s="17" t="s">
        <v>421</v>
      </c>
      <c r="P36" s="17" t="s">
        <v>538</v>
      </c>
      <c r="Q36" s="49" t="s">
        <v>450</v>
      </c>
      <c r="R36" s="49" t="s">
        <v>423</v>
      </c>
      <c r="S36" s="17" t="s">
        <v>424</v>
      </c>
      <c r="T36" s="17" t="s">
        <v>425</v>
      </c>
      <c r="U36" s="19">
        <v>0.02</v>
      </c>
      <c r="V36" s="17" t="s">
        <v>360</v>
      </c>
      <c r="W36" s="17">
        <v>90</v>
      </c>
      <c r="X36" s="17" t="s">
        <v>94</v>
      </c>
      <c r="Z36" s="17" t="s">
        <v>428</v>
      </c>
      <c r="AA36" s="47">
        <v>3019</v>
      </c>
    </row>
    <row r="37" spans="5:27" s="17" customFormat="1" ht="15" customHeight="1" x14ac:dyDescent="0.25">
      <c r="E37" s="17" t="s">
        <v>208</v>
      </c>
      <c r="F37" s="17" t="s">
        <v>90</v>
      </c>
      <c r="G37" s="17" t="s">
        <v>420</v>
      </c>
      <c r="H37" s="17" t="s">
        <v>360</v>
      </c>
      <c r="I37" s="17" t="s">
        <v>215</v>
      </c>
      <c r="J37" s="17" t="s">
        <v>517</v>
      </c>
      <c r="K37" s="17" t="s">
        <v>518</v>
      </c>
      <c r="L37" s="17" t="s">
        <v>411</v>
      </c>
      <c r="M37" s="17" t="s">
        <v>517</v>
      </c>
      <c r="N37" s="17" t="s">
        <v>94</v>
      </c>
      <c r="O37" s="17" t="s">
        <v>421</v>
      </c>
      <c r="P37" s="17" t="s">
        <v>539</v>
      </c>
      <c r="Q37" s="49" t="s">
        <v>450</v>
      </c>
      <c r="R37" s="49" t="s">
        <v>423</v>
      </c>
      <c r="S37" s="17" t="s">
        <v>424</v>
      </c>
      <c r="T37" s="17" t="s">
        <v>425</v>
      </c>
      <c r="U37" s="19">
        <v>0.02</v>
      </c>
      <c r="V37" s="17" t="s">
        <v>360</v>
      </c>
      <c r="W37" s="17">
        <v>90</v>
      </c>
      <c r="X37" s="17" t="s">
        <v>94</v>
      </c>
      <c r="Z37" s="17" t="s">
        <v>428</v>
      </c>
      <c r="AA37" s="47">
        <v>3019</v>
      </c>
    </row>
    <row r="38" spans="5:27" s="17" customFormat="1" ht="15" customHeight="1" x14ac:dyDescent="0.25">
      <c r="E38" s="17" t="s">
        <v>208</v>
      </c>
      <c r="F38" s="17" t="s">
        <v>90</v>
      </c>
      <c r="G38" s="17" t="s">
        <v>420</v>
      </c>
      <c r="H38" s="17" t="s">
        <v>360</v>
      </c>
      <c r="I38" s="17" t="s">
        <v>215</v>
      </c>
      <c r="J38" s="17" t="s">
        <v>519</v>
      </c>
      <c r="K38" s="17" t="s">
        <v>520</v>
      </c>
      <c r="L38" s="17" t="s">
        <v>411</v>
      </c>
      <c r="M38" s="17" t="s">
        <v>519</v>
      </c>
      <c r="N38" s="17" t="s">
        <v>94</v>
      </c>
      <c r="O38" s="17" t="s">
        <v>421</v>
      </c>
      <c r="P38" s="17" t="s">
        <v>540</v>
      </c>
      <c r="Q38" s="49" t="s">
        <v>450</v>
      </c>
      <c r="R38" s="49" t="s">
        <v>423</v>
      </c>
      <c r="S38" s="17" t="s">
        <v>424</v>
      </c>
      <c r="T38" s="17" t="s">
        <v>425</v>
      </c>
      <c r="U38" s="19">
        <v>0.02</v>
      </c>
      <c r="V38" s="17" t="s">
        <v>360</v>
      </c>
      <c r="W38" s="17">
        <v>90</v>
      </c>
      <c r="X38" s="17" t="s">
        <v>94</v>
      </c>
      <c r="Z38" s="17" t="s">
        <v>428</v>
      </c>
      <c r="AA38" s="47">
        <v>3019</v>
      </c>
    </row>
    <row r="39" spans="5:27" s="17" customFormat="1" ht="15" customHeight="1" x14ac:dyDescent="0.25">
      <c r="E39" s="17" t="s">
        <v>208</v>
      </c>
      <c r="F39" s="17" t="s">
        <v>90</v>
      </c>
      <c r="G39" s="17" t="s">
        <v>420</v>
      </c>
      <c r="H39" s="17" t="s">
        <v>360</v>
      </c>
      <c r="I39" s="17" t="s">
        <v>215</v>
      </c>
      <c r="J39" s="17" t="s">
        <v>521</v>
      </c>
      <c r="K39" s="17" t="s">
        <v>522</v>
      </c>
      <c r="L39" s="17" t="s">
        <v>411</v>
      </c>
      <c r="M39" s="17" t="s">
        <v>521</v>
      </c>
      <c r="N39" s="17" t="s">
        <v>94</v>
      </c>
      <c r="O39" s="17" t="s">
        <v>421</v>
      </c>
      <c r="P39" s="17" t="s">
        <v>541</v>
      </c>
      <c r="Q39" s="49" t="s">
        <v>450</v>
      </c>
      <c r="R39" s="49" t="s">
        <v>423</v>
      </c>
      <c r="S39" s="17" t="s">
        <v>424</v>
      </c>
      <c r="T39" s="17" t="s">
        <v>425</v>
      </c>
      <c r="U39" s="19">
        <v>0.02</v>
      </c>
      <c r="V39" s="17" t="s">
        <v>360</v>
      </c>
      <c r="W39" s="17">
        <v>90</v>
      </c>
      <c r="X39" s="17" t="s">
        <v>94</v>
      </c>
      <c r="Z39" s="17" t="s">
        <v>428</v>
      </c>
      <c r="AA39" s="47">
        <v>3019</v>
      </c>
    </row>
    <row r="40" spans="5:27" s="17" customFormat="1" ht="15" customHeight="1" x14ac:dyDescent="0.25">
      <c r="E40" s="17" t="s">
        <v>208</v>
      </c>
      <c r="F40" s="17" t="s">
        <v>90</v>
      </c>
      <c r="G40" s="17" t="s">
        <v>420</v>
      </c>
      <c r="H40" s="17" t="s">
        <v>360</v>
      </c>
      <c r="I40" s="17" t="s">
        <v>215</v>
      </c>
      <c r="J40" s="17" t="s">
        <v>521</v>
      </c>
      <c r="K40" s="17" t="s">
        <v>523</v>
      </c>
      <c r="L40" s="17" t="s">
        <v>411</v>
      </c>
      <c r="M40" s="17" t="s">
        <v>521</v>
      </c>
      <c r="N40" s="17" t="s">
        <v>94</v>
      </c>
      <c r="O40" s="17" t="s">
        <v>421</v>
      </c>
      <c r="P40" s="17" t="s">
        <v>542</v>
      </c>
      <c r="Q40" s="49" t="s">
        <v>450</v>
      </c>
      <c r="R40" s="49" t="s">
        <v>423</v>
      </c>
      <c r="S40" s="17" t="s">
        <v>424</v>
      </c>
      <c r="T40" s="17" t="s">
        <v>425</v>
      </c>
      <c r="U40" s="19">
        <v>0.02</v>
      </c>
      <c r="V40" s="17" t="s">
        <v>360</v>
      </c>
      <c r="W40" s="17">
        <v>90</v>
      </c>
      <c r="X40" s="17" t="s">
        <v>94</v>
      </c>
      <c r="Z40" s="17" t="s">
        <v>428</v>
      </c>
      <c r="AA40" s="47">
        <v>3019</v>
      </c>
    </row>
    <row r="41" spans="5:27" s="17" customFormat="1" ht="15" customHeight="1" x14ac:dyDescent="0.25">
      <c r="E41" s="17" t="s">
        <v>208</v>
      </c>
      <c r="F41" s="17" t="s">
        <v>90</v>
      </c>
      <c r="G41" s="17" t="s">
        <v>420</v>
      </c>
      <c r="H41" s="17" t="s">
        <v>360</v>
      </c>
      <c r="I41" s="17" t="s">
        <v>215</v>
      </c>
      <c r="J41" s="17" t="s">
        <v>521</v>
      </c>
      <c r="K41" s="17" t="s">
        <v>524</v>
      </c>
      <c r="L41" s="17" t="s">
        <v>411</v>
      </c>
      <c r="M41" s="17" t="s">
        <v>521</v>
      </c>
      <c r="N41" s="17" t="s">
        <v>94</v>
      </c>
      <c r="O41" s="17" t="s">
        <v>421</v>
      </c>
      <c r="P41" s="17" t="s">
        <v>543</v>
      </c>
      <c r="Q41" s="49" t="s">
        <v>450</v>
      </c>
      <c r="R41" s="49" t="s">
        <v>423</v>
      </c>
      <c r="S41" s="17" t="s">
        <v>424</v>
      </c>
      <c r="T41" s="17" t="s">
        <v>425</v>
      </c>
      <c r="U41" s="19">
        <v>0.02</v>
      </c>
      <c r="V41" s="17" t="s">
        <v>360</v>
      </c>
      <c r="W41" s="17">
        <v>90</v>
      </c>
      <c r="X41" s="17" t="s">
        <v>94</v>
      </c>
      <c r="Z41" s="17" t="s">
        <v>428</v>
      </c>
      <c r="AA41" s="47">
        <v>3019</v>
      </c>
    </row>
    <row r="42" spans="5:27" s="17" customFormat="1" ht="15" customHeight="1" x14ac:dyDescent="0.25">
      <c r="E42" s="17" t="s">
        <v>208</v>
      </c>
      <c r="F42" s="17" t="s">
        <v>90</v>
      </c>
      <c r="G42" s="17" t="s">
        <v>420</v>
      </c>
      <c r="H42" s="17" t="s">
        <v>360</v>
      </c>
      <c r="I42" s="17" t="s">
        <v>215</v>
      </c>
      <c r="J42" s="17" t="s">
        <v>521</v>
      </c>
      <c r="K42" s="17" t="s">
        <v>525</v>
      </c>
      <c r="L42" s="17" t="s">
        <v>411</v>
      </c>
      <c r="M42" s="17" t="s">
        <v>521</v>
      </c>
      <c r="N42" s="17" t="s">
        <v>94</v>
      </c>
      <c r="O42" s="17" t="s">
        <v>421</v>
      </c>
      <c r="P42" s="17" t="s">
        <v>544</v>
      </c>
      <c r="Q42" s="49" t="s">
        <v>450</v>
      </c>
      <c r="R42" s="49" t="s">
        <v>423</v>
      </c>
      <c r="S42" s="17" t="s">
        <v>424</v>
      </c>
      <c r="T42" s="17" t="s">
        <v>425</v>
      </c>
      <c r="U42" s="19">
        <v>0.02</v>
      </c>
      <c r="V42" s="17" t="s">
        <v>360</v>
      </c>
      <c r="W42" s="17">
        <v>90</v>
      </c>
      <c r="X42" s="17" t="s">
        <v>94</v>
      </c>
      <c r="Z42" s="17" t="s">
        <v>428</v>
      </c>
      <c r="AA42" s="47">
        <v>3019</v>
      </c>
    </row>
    <row r="43" spans="5:27" s="17" customFormat="1" ht="15" customHeight="1" x14ac:dyDescent="0.25">
      <c r="E43" s="17" t="s">
        <v>208</v>
      </c>
      <c r="F43" s="17" t="s">
        <v>90</v>
      </c>
      <c r="G43" s="17" t="s">
        <v>420</v>
      </c>
      <c r="H43" s="17" t="s">
        <v>360</v>
      </c>
      <c r="I43" s="17" t="s">
        <v>215</v>
      </c>
      <c r="J43" s="17" t="s">
        <v>521</v>
      </c>
      <c r="K43" s="17" t="s">
        <v>526</v>
      </c>
      <c r="L43" s="17" t="s">
        <v>411</v>
      </c>
      <c r="M43" s="17" t="s">
        <v>521</v>
      </c>
      <c r="N43" s="17" t="s">
        <v>94</v>
      </c>
      <c r="O43" s="17" t="s">
        <v>421</v>
      </c>
      <c r="P43" s="17" t="s">
        <v>545</v>
      </c>
      <c r="Q43" s="49" t="s">
        <v>450</v>
      </c>
      <c r="R43" s="49" t="s">
        <v>423</v>
      </c>
      <c r="S43" s="17" t="s">
        <v>424</v>
      </c>
      <c r="T43" s="17" t="s">
        <v>425</v>
      </c>
      <c r="U43" s="19">
        <v>0.02</v>
      </c>
      <c r="V43" s="17" t="s">
        <v>360</v>
      </c>
      <c r="W43" s="17">
        <v>90</v>
      </c>
      <c r="X43" s="17" t="s">
        <v>94</v>
      </c>
      <c r="Z43" s="17" t="s">
        <v>428</v>
      </c>
      <c r="AA43" s="47">
        <v>3019</v>
      </c>
    </row>
    <row r="44" spans="5:27" s="17" customFormat="1" ht="15" customHeight="1" x14ac:dyDescent="0.25">
      <c r="E44" s="17" t="s">
        <v>208</v>
      </c>
      <c r="F44" s="17" t="s">
        <v>90</v>
      </c>
      <c r="G44" s="17" t="s">
        <v>420</v>
      </c>
      <c r="H44" s="17" t="s">
        <v>360</v>
      </c>
      <c r="I44" s="17" t="s">
        <v>215</v>
      </c>
      <c r="J44" s="17" t="s">
        <v>521</v>
      </c>
      <c r="K44" s="17" t="s">
        <v>527</v>
      </c>
      <c r="L44" s="17" t="s">
        <v>411</v>
      </c>
      <c r="M44" s="17" t="s">
        <v>521</v>
      </c>
      <c r="N44" s="17" t="s">
        <v>94</v>
      </c>
      <c r="O44" s="17" t="s">
        <v>421</v>
      </c>
      <c r="P44" s="17" t="s">
        <v>546</v>
      </c>
      <c r="Q44" s="49" t="s">
        <v>450</v>
      </c>
      <c r="R44" s="49" t="s">
        <v>423</v>
      </c>
      <c r="S44" s="17" t="s">
        <v>424</v>
      </c>
      <c r="T44" s="17" t="s">
        <v>425</v>
      </c>
      <c r="U44" s="19">
        <v>0.02</v>
      </c>
      <c r="V44" s="17" t="s">
        <v>360</v>
      </c>
      <c r="W44" s="17">
        <v>90</v>
      </c>
      <c r="X44" s="17" t="s">
        <v>94</v>
      </c>
      <c r="Z44" s="17" t="s">
        <v>428</v>
      </c>
      <c r="AA44" s="47">
        <v>3019</v>
      </c>
    </row>
    <row r="45" spans="5:27" s="17" customFormat="1" ht="15" customHeight="1" x14ac:dyDescent="0.25">
      <c r="E45" s="17" t="s">
        <v>208</v>
      </c>
      <c r="F45" s="17" t="s">
        <v>90</v>
      </c>
      <c r="G45" s="17" t="s">
        <v>420</v>
      </c>
      <c r="H45" s="17" t="s">
        <v>360</v>
      </c>
      <c r="I45" s="17" t="s">
        <v>215</v>
      </c>
      <c r="J45" s="17" t="s">
        <v>521</v>
      </c>
      <c r="K45" s="17" t="s">
        <v>528</v>
      </c>
      <c r="L45" s="17" t="s">
        <v>411</v>
      </c>
      <c r="M45" s="17" t="s">
        <v>521</v>
      </c>
      <c r="N45" s="17" t="s">
        <v>94</v>
      </c>
      <c r="O45" s="17" t="s">
        <v>421</v>
      </c>
      <c r="P45" s="17" t="s">
        <v>547</v>
      </c>
      <c r="Q45" s="49" t="s">
        <v>450</v>
      </c>
      <c r="R45" s="49" t="s">
        <v>423</v>
      </c>
      <c r="S45" s="17" t="s">
        <v>424</v>
      </c>
      <c r="T45" s="17" t="s">
        <v>425</v>
      </c>
      <c r="U45" s="19">
        <v>0.02</v>
      </c>
      <c r="V45" s="17" t="s">
        <v>360</v>
      </c>
      <c r="W45" s="17">
        <v>90</v>
      </c>
      <c r="X45" s="17" t="s">
        <v>94</v>
      </c>
      <c r="Z45" s="17" t="s">
        <v>428</v>
      </c>
      <c r="AA45" s="47">
        <v>3019</v>
      </c>
    </row>
    <row r="46" spans="5:27" s="17" customFormat="1" ht="15" customHeight="1" x14ac:dyDescent="0.25">
      <c r="E46" s="17" t="s">
        <v>208</v>
      </c>
      <c r="F46" s="17" t="s">
        <v>90</v>
      </c>
      <c r="G46" s="17" t="s">
        <v>420</v>
      </c>
      <c r="H46" s="17" t="s">
        <v>360</v>
      </c>
      <c r="I46" s="17" t="s">
        <v>215</v>
      </c>
      <c r="J46" s="17" t="s">
        <v>529</v>
      </c>
      <c r="K46" s="17" t="s">
        <v>530</v>
      </c>
      <c r="L46" s="17" t="s">
        <v>411</v>
      </c>
      <c r="M46" s="17" t="s">
        <v>529</v>
      </c>
      <c r="N46" s="17" t="s">
        <v>94</v>
      </c>
      <c r="O46" s="17" t="s">
        <v>421</v>
      </c>
      <c r="P46" s="17" t="s">
        <v>548</v>
      </c>
      <c r="Q46" s="49" t="s">
        <v>450</v>
      </c>
      <c r="R46" s="49" t="s">
        <v>423</v>
      </c>
      <c r="S46" s="17" t="s">
        <v>424</v>
      </c>
      <c r="T46" s="17" t="s">
        <v>425</v>
      </c>
      <c r="U46" s="19">
        <v>0.02</v>
      </c>
      <c r="V46" s="17" t="s">
        <v>360</v>
      </c>
      <c r="W46" s="17">
        <v>90</v>
      </c>
      <c r="X46" s="17" t="s">
        <v>94</v>
      </c>
      <c r="Z46" s="17" t="s">
        <v>428</v>
      </c>
      <c r="AA46" s="47">
        <v>3019</v>
      </c>
    </row>
    <row r="47" spans="5:27" s="17" customFormat="1" ht="15" customHeight="1" x14ac:dyDescent="0.25">
      <c r="Q47" s="49"/>
      <c r="R47" s="49"/>
      <c r="U47" s="19"/>
      <c r="AA47" s="47"/>
    </row>
    <row r="48" spans="5:27" s="17" customFormat="1" ht="15" customHeight="1" x14ac:dyDescent="0.25">
      <c r="Q48" s="49"/>
      <c r="R48" s="49"/>
      <c r="U48" s="19"/>
      <c r="AA48" s="47"/>
    </row>
    <row r="49" spans="5:27" s="17" customFormat="1" ht="15" customHeight="1" x14ac:dyDescent="0.25">
      <c r="Q49" s="49"/>
      <c r="R49" s="49"/>
      <c r="U49" s="19"/>
      <c r="AA49" s="47"/>
    </row>
    <row r="50" spans="5:27" s="17" customFormat="1" ht="15" customHeight="1" x14ac:dyDescent="0.25">
      <c r="Q50" s="49"/>
      <c r="R50" s="49"/>
      <c r="U50" s="19"/>
      <c r="AA50" s="47"/>
    </row>
    <row r="51" spans="5:27" s="17" customFormat="1" ht="15" customHeight="1" x14ac:dyDescent="0.25">
      <c r="Q51" s="49"/>
      <c r="R51" s="49"/>
      <c r="U51" s="19"/>
      <c r="AA51" s="47"/>
    </row>
    <row r="52" spans="5:27" s="17" customFormat="1" ht="15" customHeight="1" x14ac:dyDescent="0.25">
      <c r="Q52" s="49"/>
      <c r="R52" s="49"/>
      <c r="U52" s="19"/>
      <c r="AA52" s="47"/>
    </row>
    <row r="53" spans="5:27" s="17" customFormat="1" ht="15" customHeight="1" x14ac:dyDescent="0.25">
      <c r="Q53" s="49"/>
      <c r="R53" s="49"/>
      <c r="U53" s="19"/>
      <c r="AA53" s="47"/>
    </row>
    <row r="54" spans="5:27" s="17" customFormat="1" ht="15" customHeight="1" x14ac:dyDescent="0.25">
      <c r="Q54" s="49"/>
      <c r="R54" s="49"/>
      <c r="U54" s="19"/>
      <c r="AA54" s="47"/>
    </row>
    <row r="55" spans="5:27" s="17" customFormat="1" ht="15" customHeight="1" x14ac:dyDescent="0.25">
      <c r="Q55" s="49"/>
      <c r="R55" s="49"/>
      <c r="U55" s="19"/>
      <c r="AA55" s="47"/>
    </row>
    <row r="56" spans="5:27" s="17" customFormat="1" ht="15" customHeight="1" x14ac:dyDescent="0.25">
      <c r="Q56" s="49"/>
      <c r="R56" s="49"/>
      <c r="U56" s="19"/>
      <c r="AA56" s="47"/>
    </row>
    <row r="57" spans="5:27" s="17" customFormat="1" ht="15" customHeight="1" x14ac:dyDescent="0.25">
      <c r="Q57" s="49"/>
      <c r="R57" s="49"/>
      <c r="S57" s="49"/>
      <c r="T57" s="49"/>
      <c r="U57" s="19"/>
    </row>
    <row r="58" spans="5:27" s="17" customFormat="1" ht="15" customHeight="1" x14ac:dyDescent="0.25">
      <c r="Q58" s="49"/>
      <c r="R58" s="49"/>
      <c r="S58" s="49"/>
      <c r="T58" s="49"/>
      <c r="U58" s="19"/>
    </row>
    <row r="59" spans="5:27" s="17" customFormat="1" ht="15" customHeight="1" x14ac:dyDescent="0.25">
      <c r="E59" s="17" t="s">
        <v>209</v>
      </c>
      <c r="F59" s="17" t="s">
        <v>90</v>
      </c>
      <c r="G59" s="17" t="s">
        <v>451</v>
      </c>
      <c r="H59" s="17" t="s">
        <v>94</v>
      </c>
      <c r="I59" s="17" t="s">
        <v>94</v>
      </c>
      <c r="J59" s="17" t="s">
        <v>94</v>
      </c>
      <c r="K59" s="17" t="s">
        <v>94</v>
      </c>
      <c r="L59" s="17" t="s">
        <v>94</v>
      </c>
      <c r="M59" s="17" t="s">
        <v>94</v>
      </c>
      <c r="N59" s="17" t="s">
        <v>94</v>
      </c>
      <c r="O59" s="17" t="s">
        <v>94</v>
      </c>
      <c r="P59" s="17" t="s">
        <v>94</v>
      </c>
      <c r="Q59" s="17" t="s">
        <v>94</v>
      </c>
      <c r="R59" s="49" t="s">
        <v>94</v>
      </c>
      <c r="S59" s="49" t="s">
        <v>94</v>
      </c>
      <c r="T59" s="49" t="s">
        <v>94</v>
      </c>
      <c r="U59" s="17" t="s">
        <v>94</v>
      </c>
      <c r="V59" s="17" t="s">
        <v>452</v>
      </c>
      <c r="X59" s="17" t="s">
        <v>453</v>
      </c>
      <c r="Y59" s="17" t="s">
        <v>454</v>
      </c>
    </row>
    <row r="78" spans="5:27" s="17" customFormat="1" ht="15" customHeight="1" x14ac:dyDescent="0.25">
      <c r="E78" s="17" t="s">
        <v>208</v>
      </c>
      <c r="F78" s="17" t="s">
        <v>90</v>
      </c>
      <c r="G78" s="17" t="s">
        <v>420</v>
      </c>
      <c r="H78" s="17" t="s">
        <v>349</v>
      </c>
      <c r="I78" s="17" t="s">
        <v>215</v>
      </c>
      <c r="J78" s="17" t="s">
        <v>449</v>
      </c>
      <c r="K78" s="17" t="s">
        <v>94</v>
      </c>
      <c r="L78" s="17" t="s">
        <v>411</v>
      </c>
      <c r="M78" s="17" t="s">
        <v>449</v>
      </c>
      <c r="N78" s="17" t="s">
        <v>94</v>
      </c>
      <c r="O78" s="17" t="s">
        <v>421</v>
      </c>
      <c r="P78" s="17" t="s">
        <v>444</v>
      </c>
      <c r="Q78" s="49" t="s">
        <v>450</v>
      </c>
      <c r="R78" s="49" t="s">
        <v>423</v>
      </c>
      <c r="S78" s="17" t="s">
        <v>424</v>
      </c>
      <c r="T78" s="17" t="s">
        <v>425</v>
      </c>
      <c r="U78" s="19">
        <v>0.02</v>
      </c>
      <c r="V78" s="17" t="s">
        <v>426</v>
      </c>
      <c r="W78" s="17">
        <v>94</v>
      </c>
      <c r="X78" s="17" t="s">
        <v>94</v>
      </c>
      <c r="Y78" s="17" t="s">
        <v>427</v>
      </c>
      <c r="Z78" s="17" t="s">
        <v>428</v>
      </c>
      <c r="AA78" s="47">
        <v>3095</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A3CB2-4195-4A2E-887F-F4FA9E19F9F9}">
  <dimension ref="A1"/>
  <sheetViews>
    <sheetView workbookViewId="0">
      <selection activeCell="Q33" sqref="Q3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35DBF-FDF9-4B91-8ED2-6BE5E9A8976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D95E-54D9-4C24-A7DC-006DB5788EB8}">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A659-EF1F-4EBE-8515-CDA8B56E403B}">
  <dimension ref="A1"/>
  <sheetViews>
    <sheetView workbookViewId="0">
      <selection activeCell="L20" sqref="L20"/>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DBE4213E-DD8B-40A6-AD52-CE2BA8A3FDD5}"/>
</file>

<file path=customXml/itemProps2.xml><?xml version="1.0" encoding="utf-8"?>
<ds:datastoreItem xmlns:ds="http://schemas.openxmlformats.org/officeDocument/2006/customXml" ds:itemID="{3FA94142-F51F-4245-BA2C-681DD80BFF9A}"/>
</file>

<file path=customXml/itemProps3.xml><?xml version="1.0" encoding="utf-8"?>
<ds:datastoreItem xmlns:ds="http://schemas.openxmlformats.org/officeDocument/2006/customXml" ds:itemID="{7C0BCAFC-69FA-41BA-A3AC-EB6168BDD5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Breed Master </vt:lpstr>
      <vt:lpstr>Breed L-cycle stages gilts</vt:lpstr>
      <vt:lpstr>Breed lifecycle stages - reprod</vt:lpstr>
      <vt:lpstr>Breeder L-cycle stages -WeanGro</vt:lpstr>
      <vt:lpstr>Sample 10, 16 &amp; 27 wk variation</vt:lpstr>
      <vt:lpstr>GILT FEED SCHEDULE</vt:lpstr>
      <vt:lpstr>SOW FEED SCHEDULE</vt:lpstr>
      <vt:lpst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Johnan Fourie</dc:creator>
  <cp:lastModifiedBy>Johan Odendaal</cp:lastModifiedBy>
  <dcterms:created xsi:type="dcterms:W3CDTF">2026-09-10T06:32:14Z</dcterms:created>
  <dcterms:modified xsi:type="dcterms:W3CDTF">2026-09-10T15:14:05Z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