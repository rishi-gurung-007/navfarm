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triplecpigs-my.sharepoint.com/personal/johan_grasmere_co_zw/Documents/Desktop/Navfarm/Breedmaster/"/>
    </mc:Choice>
  </mc:AlternateContent>
  <xr:revisionPtr revIDLastSave="28" documentId="8_{74DABD64-F1F4-4685-9317-E989E776AFFD}" xr6:coauthVersionLast="47" xr6:coauthVersionMax="47" xr10:uidLastSave="{4BC791EE-CF0E-4F02-BB7C-13307F1B60AB}"/>
  <bookViews>
    <workbookView xWindow="-120" yWindow="-120" windowWidth="20730" windowHeight="11040" tabRatio="760" firstSheet="1" xr2:uid="{00000000-000D-0000-FFFF-FFFF00000000}"/>
  </bookViews>
  <sheets>
    <sheet name="Breed Master" sheetId="2" r:id="rId1"/>
    <sheet name="Breed L-cycle stages gilts" sheetId="14" r:id="rId2"/>
    <sheet name="Breed lifecycle stages - reprod" sheetId="3" r:id="rId3"/>
    <sheet name="Breeder L-cycle stages -WeanGro" sheetId="13" r:id="rId4"/>
    <sheet name="Sample 10, 16 &amp; 27 wk variation" sheetId="4" r:id="rId5"/>
    <sheet name="Medication Table" sheetId="5" r:id="rId6"/>
    <sheet name="Gilt Feed Schedule- farr" sheetId="15" r:id="rId7"/>
    <sheet name="Sow Feed Schedule- Farr" sheetId="16" r:id="rId8"/>
    <sheet name="Feed schedule - In Dry sow" sheetId="17" r:id="rId9"/>
    <sheet name="Service Line Feed Schedule" sheetId="11" r:id="rId10"/>
    <sheet name="Treatment Card" sheetId="12" r:id="rId11"/>
  </sheets>
  <externalReferences>
    <externalReference r:id="rId12"/>
    <externalReference r:id="rId13"/>
  </externalReferences>
  <definedNames>
    <definedName name="_xlnm.Print_Area" localSheetId="9">'Service Line Feed Schedule'!#REF!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1" i="14" l="1"/>
  <c r="X32" i="14"/>
  <c r="X33" i="14"/>
  <c r="X34" i="14"/>
  <c r="Y29" i="14"/>
  <c r="G16" i="11"/>
  <c r="G14" i="11"/>
  <c r="G11" i="11"/>
  <c r="G10" i="11"/>
  <c r="G9" i="11"/>
  <c r="G8" i="11"/>
  <c r="G7" i="11"/>
  <c r="G6" i="11"/>
  <c r="G5" i="11"/>
  <c r="Y31" i="14" l="1"/>
  <c r="AE7" i="2"/>
  <c r="AA7" i="2"/>
  <c r="V7" i="2"/>
  <c r="R7" i="2" l="1"/>
  <c r="Y34" i="14" l="1"/>
  <c r="Y33" i="14"/>
  <c r="Y32" i="14"/>
  <c r="Y28" i="14"/>
  <c r="Y27" i="14"/>
  <c r="Y26" i="14"/>
  <c r="Y25" i="14"/>
  <c r="Y24" i="14"/>
  <c r="Y23" i="14"/>
  <c r="Y22" i="14"/>
  <c r="Y21" i="14"/>
  <c r="X18" i="14"/>
  <c r="X17" i="14"/>
  <c r="X16" i="14"/>
  <c r="X15" i="14"/>
  <c r="X14" i="14"/>
  <c r="X13" i="14"/>
  <c r="X12" i="14"/>
  <c r="V41" i="14" l="1"/>
  <c r="X36" i="14"/>
  <c r="Y36" i="14"/>
  <c r="X37" i="14" l="1"/>
  <c r="Y37" i="14"/>
  <c r="Y38" i="14" l="1"/>
  <c r="X38" i="14"/>
  <c r="X39" i="14" l="1"/>
  <c r="Y39" i="14"/>
  <c r="Y40" i="14" l="1"/>
  <c r="X40" i="14"/>
  <c r="Y41" i="14" l="1"/>
  <c r="X41" i="14"/>
  <c r="Y42" i="14" l="1"/>
  <c r="X4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520978D3-7AE6-4C5C-90FA-283421CCD75C}">
      <text>
        <r>
          <rPr>
            <b/>
            <sz val="9"/>
            <color indexed="81"/>
            <rFont val="Tahoma"/>
            <family val="2"/>
          </rPr>
          <t>user:</t>
        </r>
        <r>
          <rPr>
            <sz val="9"/>
            <color indexed="81"/>
            <rFont val="Tahoma"/>
            <family val="2"/>
          </rPr>
          <t xml:space="preserve">
Measurement field TBD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tc={C99CC828-2B74-4562-8D9F-19530547B68A}</author>
    <author>tc={E2E39CA5-3E54-4464-8E31-3571A09169B1}</author>
    <author>tc={7C7BDC80-284B-4A9C-87AC-509BDB8141CD}</author>
    <author>tc={17CF061D-35B3-4E57-BC8B-EF0047703905}</author>
    <author>tc={4F3F829C-9F5D-40F0-AE9D-81A976A74F37}</author>
    <author>tc={2F4AE91B-EDCA-4D56-AF93-BEBF66C6872F}</author>
    <author>tc={DA85A988-B3F3-4811-A23C-734F9B3BF81E}</author>
    <author>tc={4BBDC28E-9800-4775-A321-78DF488C9AF4}</author>
    <author>tc={FCCA8653-E899-4018-8C76-F3118ABC06E1}</author>
    <author>tc={0C957A00-5ADB-4948-A3B7-92F42702AFDE}</author>
    <author>tc={4B006DF6-667E-4717-87BD-05DF0974690D}</author>
    <author>tc={5659378A-3BA6-4DDB-8854-2098329716FC}</author>
    <author>tc={D7D2C386-ECA2-497C-BC59-3C866162396A}</author>
    <author>tc={C8F3ABA6-641E-46D1-B1AE-3AA38D1C73E6}</author>
    <author>tc={AE231DD7-0278-410C-A6E3-80101F9A58C8}</author>
    <author>tc={1F310382-18C1-46E5-B160-106B526FDB45}</author>
  </authors>
  <commentList>
    <comment ref="R4" authorId="0" shapeId="0" xr:uid="{C99CC828-2B74-4562-8D9F-19530547B68A}">
      <text>
        <t>[Threaded comment]
Your version of Excel allows you to read this threaded comment; however, any edits to it will get removed if the file is opened in a newer version of Excel. Learn more: https://go.microsoft.com/fwlink/?linkid=870924
Comment:
    Each piglet must be linked to its DAM TSI for later analysis of reproduction performance against TSI and must be visible on her individual page</t>
      </text>
    </comment>
    <comment ref="AC4" authorId="1" shapeId="0" xr:uid="{E2E39CA5-3E54-4464-8E31-3571A09169B1}">
      <text>
        <t>[Threaded comment]
Your version of Excel allows you to read this threaded comment; however, any edits to it will get removed if the file is opened in a newer version of Excel. Learn more: https://go.microsoft.com/fwlink/?linkid=870924
Comment:
    NB: We create a scoring system that takes into account the 5 selection parameters, birth weight, wean weight, teats, DAM TSI and conformation, then we average the 5 numbers out which then give us a quality score indicator as a number to track the quality of breeding gilts being despatched to other farms - The target of this internal number is 85</t>
      </text>
    </comment>
    <comment ref="AE4" authorId="2" shapeId="0" xr:uid="{7C7BDC80-284B-4A9C-87AC-509BDB8141CD}">
      <text>
        <t>[Threaded comment]
Your version of Excel allows you to read this threaded comment; however, any edits to it will get removed if the file is opened in a newer version of Excel. Learn more: https://go.microsoft.com/fwlink/?linkid=870924
Comment:
    Each individual piglet to be linked to its DAM</t>
      </text>
    </comment>
    <comment ref="AF4" authorId="3" shapeId="0" xr:uid="{17CF061D-35B3-4E57-BC8B-EF0047703905}">
      <text>
        <t>[Threaded comment]
Your version of Excel allows you to read this threaded comment; however, any edits to it will get removed if the file is opened in a newer version of Excel. Learn more: https://go.microsoft.com/fwlink/?linkid=870924
Comment:
    Each piglet to be linked to its sire or sire code</t>
      </text>
    </comment>
    <comment ref="AJ4" authorId="4" shapeId="0" xr:uid="{4F3F829C-9F5D-40F0-AE9D-81A976A74F37}">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Y10" authorId="5" shapeId="0" xr:uid="{2F4AE91B-EDCA-4D56-AF93-BEBF66C6872F}">
      <text>
        <t>[Threaded comment]
Your version of Excel allows you to read this threaded comment; however, any edits to it will get removed if the file is opened in a newer version of Excel. Learn more: https://go.microsoft.com/fwlink/?linkid=870924
Comment:
    In gilt rearing FCE alerts are not relevant - although we would like to track it
Reply:
    Consider cumulative per month and then monthly summaries per the entire gilt rearing phase</t>
      </text>
    </comment>
    <comment ref="Z10" authorId="6" shapeId="0" xr:uid="{DA85A988-B3F3-4811-A23C-734F9B3BF81E}">
      <text>
        <t>[Threaded comment]
Your version of Excel allows you to read this threaded comment; however, any edits to it will get removed if the file is opened in a newer version of Excel. Learn more: https://go.microsoft.com/fwlink/?linkid=870924
Comment:
    Any gilt mortality should be alerted - no % for this stage as data set too small to run reasonable %’s however we need to take note of any mortality and the reasons in this stage</t>
      </text>
    </comment>
    <comment ref="AB10" authorId="7" shapeId="0" xr:uid="{4BBDC28E-9800-4775-A321-78DF488C9AF4}">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J10" authorId="8" shapeId="0" xr:uid="{FCCA8653-E899-4018-8C76-F3118ABC06E1}">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AP10" authorId="9" shapeId="0" xr:uid="{0C957A00-5ADB-4948-A3B7-92F42702AFDE}">
      <text>
        <t>[Threaded comment]
Your version of Excel allows you to read this threaded comment; however, any edits to it will get removed if the file is opened in a newer version of Excel. Learn more: https://go.microsoft.com/fwlink/?linkid=870924
Comment:
    Comments, notes and instructions change - So make this a section that is editable by farm manager and GM</t>
      </text>
    </comment>
    <comment ref="T12" authorId="10" shapeId="0" xr:uid="{4B006DF6-667E-4717-87BD-05DF0974690D}">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B12" authorId="11" shapeId="0" xr:uid="{5659378A-3BA6-4DDB-8854-2098329716FC}">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T21" authorId="12" shapeId="0" xr:uid="{D7D2C386-ECA2-497C-BC59-3C866162396A}">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A36" authorId="13" shapeId="0" xr:uid="{C8F3ABA6-641E-46D1-B1AE-3AA38D1C73E6}">
      <text>
        <t xml:space="preserve">[Threaded comment]
Your version of Excel allows you to read this threaded comment; however, any edits to it will get removed if the file is opened in a newer version of Excel. Learn more: https://go.microsoft.com/fwlink/?linkid=870924
Comment:
    We need an alert to send gilt to the service line. Considerations based on her 24 to 27 week ADG, that she will be minimum in the service line for 10 days, that she will be minimum 30 weeks old and minimum entry service weight based on target range </t>
      </text>
    </comment>
    <comment ref="AC36" authorId="14" shapeId="0" xr:uid="{AE231DD7-0278-410C-A6E3-80101F9A58C8}">
      <text>
        <t>[Threaded comment]
Your version of Excel allows you to read this threaded comment; however, any edits to it will get removed if the file is opened in a newer version of Excel. Learn more: https://go.microsoft.com/fwlink/?linkid=870924
Comment:
    Add the range</t>
      </text>
    </comment>
    <comment ref="AD36" authorId="15" shapeId="0" xr:uid="{1F310382-18C1-46E5-B160-106B526FDB45}">
      <text>
        <t>[Threaded comment]
Your version of Excel allows you to read this threaded comment; however, any edits to it will get removed if the file is opened in a newer version of Excel. Learn more: https://go.microsoft.com/fwlink/?linkid=870924
Comment:
    Add the range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tc={A6949E70-733F-46C1-9C9D-FE16CAF33AA6}</author>
    <author>tc={16F213FF-B868-4064-9FD3-BA3FFAB9CAD5}</author>
    <author>tc={285D4ACE-A952-404B-86FF-D5CE98934BC5}</author>
    <author>tc={66A817B5-F89B-4872-AD86-73EC85A74C54}</author>
    <author>tc={F85AE7DB-70B6-4CE0-92A2-6D279D998571}</author>
    <author>tc={8E82196A-3E47-4B92-AC87-923A8A0AD74D}</author>
    <author>tc={CEAF5C90-4E01-4539-A2A9-B344E45C1C91}</author>
    <author>tc={CF346133-B352-4337-B954-9B2363476923}</author>
    <author>tc={D3884F45-635F-4331-9DAB-00665D59C155}</author>
    <author>tc={8761415D-58CE-4907-A7BB-9CA419BCCF3A}</author>
    <author>tc={C0CF3356-4B95-47E9-B567-A95166C907C6}</author>
    <author>tc={5DDF0941-B787-478A-9147-545C1C2611EA}</author>
    <author>tc={570DB669-8EAF-414C-B024-E9C5CBF98F68}</author>
    <author>tc={2433A027-88D3-4ED6-BADE-90CC41B2508D}</author>
    <author>tc={C144E625-38BC-4378-B210-7B0D8EF44401}</author>
    <author>tc={4515A46E-ED40-4C6A-AB0A-7310F4DE1F19}</author>
    <author>tc={D05A20BB-FEE4-4922-8F15-1D06EA667D3E}</author>
    <author>tc={46B3C7E6-79DA-432F-B52E-C373BB3187EC}</author>
    <author>tc={64E14DD5-9C6B-42E8-A530-E73DBF3C00AA}</author>
    <author>tc={4B3C6E83-85D3-462F-B64B-44AA8D94234B}</author>
    <author>tc={C0ACE53E-ACC4-4B48-BF3F-76B0CB3AA026}</author>
    <author>tc={0AACC1A0-D89C-4F2C-BF86-CFE47A51FB3F}</author>
    <author>tc={6357D954-D1BA-4282-A7F9-364A89206F65}</author>
    <author>tc={7F56044D-D36D-40F2-859F-348346812D7C}</author>
    <author>tc={15447164-56F4-4D8B-ACDA-BE80BF4E239D}</author>
    <author>tc={4A7C85D0-4585-4A41-AD17-E644967D63F4}</author>
    <author>tc={088909D5-3CEA-4FD9-AA56-CE98C4E51DE1}</author>
    <author>tc={FC237FF9-D10B-49DC-990B-1F2D743AC79B}</author>
    <author>tc={0CB4EFF5-2300-4C59-9DC3-D45F8A552F67}</author>
    <author>tc={79CD9B93-A6F0-457F-9384-E66C7877FF07}</author>
    <author>tc={CD608DE8-D138-4823-8C8B-C2850DAD44BE}</author>
    <author>tc={CBA401EE-5CF8-4B03-AC4B-12AED850CA1F}</author>
    <author>tc={0E6C3C66-5F61-42A3-B93E-F19243DC1263}</author>
    <author>tc={AAE7B7B0-468D-42D0-AFF7-59FA4A5303E1}</author>
    <author>tc={2CBFFF50-5777-4C0E-948A-28ACE8578D51}</author>
    <author>tc={70C730DE-DD04-4459-9662-7C93036D9ECC}</author>
    <author>tc={FB2BE20D-1F47-4547-9BE1-26A72666CEF4}</author>
    <author>tc={CB259783-8B4A-45E9-A51A-5C6342E28B4D}</author>
    <author>tc={AE43A445-AE8F-4E38-89F5-B3D50796E32E}</author>
    <author>tc={5A2B36BD-0FA1-4AEF-9ADB-F4FBF8BACE50}</author>
    <author>tc={B1395D96-A62B-4D6D-B17F-E05EC09BD294}</author>
    <author>tc={CF9F5566-A146-4CC3-B549-90D9B5B5BB83}</author>
    <author>tc={407B503E-1E27-4954-98C7-277BD0E46283}</author>
    <author>tc={35CEF78F-9013-4FA0-A207-11A574A2EDD3}</author>
    <author>tc={281D7D16-5854-419E-AC81-C8410F5F07FC}</author>
    <author>tc={EAD4EB26-165C-4FA4-BB15-223ACF7850DF}</author>
    <author>tc={98942C8F-3A37-42B5-961B-0886E394A825}</author>
    <author>tc={55DE47A6-4FA4-45E4-8A98-3BC4620CBE95}</author>
    <author>tc={8F48001D-CCA9-43EF-A52F-A13E83597177}</author>
    <author>tc={763C1461-DBCA-4DDA-8780-12B428A41BE6}</author>
    <author>tc={97EEF62E-944F-41C8-8C3F-61F0D14208C3}</author>
    <author>tc={77E1F520-0ACF-496A-9D6D-2D987123A6FD}</author>
    <author>tc={48FDB245-C99E-4948-827C-7BDD4C504652}</author>
    <author>tc={FA0C1089-3025-43E3-96EF-AB35866CE9CC}</author>
    <author>tc={9E7344AA-B632-47F2-9616-3DFCFED64384}</author>
    <author>tc={D5A9FB27-1F57-425C-B453-D7C2B0DB6A7A}</author>
    <author>tc={25575579-9F3C-47B8-9DBA-3D2AE8CAC7FD}</author>
    <author>tc={CB847B1F-CB3F-47CB-A8E0-23835BE1F0EF}</author>
  </authors>
  <commentList>
    <comment ref="R5" authorId="0" shapeId="0" xr:uid="{A6949E70-733F-46C1-9C9D-FE16CAF33AA6}">
      <text>
        <t>[Threaded comment]
Your version of Excel allows you to read this threaded comment; however, any edits to it will get removed if the file is opened in a newer version of Excel. Learn more: https://go.microsoft.com/fwlink/?linkid=870924
Comment:
    See sheet - feed schedule - in dry sow</t>
      </text>
    </comment>
    <comment ref="U5" authorId="1" shapeId="0" xr:uid="{16F213FF-B868-4064-9FD3-BA3FFAB9CAD5}">
      <text>
        <t>[Threaded comment]
Your version of Excel allows you to read this threaded comment; however, any edits to it will get removed if the file is opened in a newer version of Excel. Learn more: https://go.microsoft.com/fwlink/?linkid=870924
Comment:
    We need to know the # of animals gaining the weight within this range and the variation of this - of those not gaining the specified range we need to now what this is whether higher or lower</t>
      </text>
    </comment>
    <comment ref="Z5" authorId="2" shapeId="0" xr:uid="{285D4ACE-A952-404B-86FF-D5CE98934BC5}">
      <text>
        <t xml:space="preserve">[Threaded comment]
Your version of Excel allows you to read this threaded comment; however, any edits to it will get removed if the file is opened in a newer version of Excel. Learn more: https://go.microsoft.com/fwlink/?linkid=870924
Comment:
    We need a field to measure current gilt farrow rates per batch and the reasons for any losses
</t>
      </text>
    </comment>
    <comment ref="AJ5" authorId="3" shapeId="0" xr:uid="{66A817B5-F89B-4872-AD86-73EC85A74C54}">
      <text>
        <t>[Threaded comment]
Your version of Excel allows you to read this threaded comment; however, any edits to it will get removed if the file is opened in a newer version of Excel. Learn more: https://go.microsoft.com/fwlink/?linkid=870924
Comment:
    We need to know the % of animals going into the farrowing house within these target ranges and what the variation of this looks like</t>
      </text>
    </comment>
    <comment ref="AL5" authorId="4" shapeId="0" xr:uid="{F85AE7DB-70B6-4CE0-92A2-6D279D998571}">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G22" authorId="5" shapeId="0" xr:uid="{8E82196A-3E47-4B92-AC87-923A8A0AD74D}">
      <text>
        <t>[Threaded comment]
Your version of Excel allows you to read this threaded comment; however, any edits to it will get removed if the file is opened in a newer version of Excel. Learn more: https://go.microsoft.com/fwlink/?linkid=870924
Comment:
    Expected to farrow based on service week as well as service day - but the whole batch from a service week will move into the farrowing house</t>
      </text>
    </comment>
    <comment ref="H22" authorId="6" shapeId="0" xr:uid="{CEAF5C90-4E01-4539-A2A9-B344E45C1C91}">
      <text>
        <t>[Threaded comment]
Your version of Excel allows you to read this threaded comment; however, any edits to it will get removed if the file is opened in a newer version of Excel. Learn more: https://go.microsoft.com/fwlink/?linkid=870924
Comment:
    Every week there is a weaned batch based on the entire weeks batch that farrowed</t>
      </text>
    </comment>
    <comment ref="R22" authorId="7" shapeId="0" xr:uid="{CF346133-B352-4337-B954-9B2363476923}">
      <text>
        <t>[Threaded comment]
Your version of Excel allows you to read this threaded comment; however, any edits to it will get removed if the file is opened in a newer version of Excel. Learn more: https://go.microsoft.com/fwlink/?linkid=870924
Comment:
    As per Gilt Feed schedule - Farr page</t>
      </text>
    </comment>
    <comment ref="AA22" authorId="8" shapeId="0" xr:uid="{D3884F45-635F-4331-9DAB-00665D59C155}">
      <text>
        <t>[Threaded comment]
Your version of Excel allows you to read this threaded comment; however, any edits to it will get removed if the file is opened in a newer version of Excel. Learn more: https://go.microsoft.com/fwlink/?linkid=870924
Comment:
    TB of the gilts that farrowed - to be analyzed independently of other sows that farrowed</t>
      </text>
    </comment>
    <comment ref="AB22" authorId="9" shapeId="0" xr:uid="{8761415D-58CE-4907-A7BB-9CA419BCCF3A}">
      <text>
        <t>[Threaded comment]
Your version of Excel allows you to read this threaded comment; however, any edits to it will get removed if the file is opened in a newer version of Excel. Learn more: https://go.microsoft.com/fwlink/?linkid=870924
Comment:
    BA of the gilts to be analysed indepentantly of the other sows - both TB and BA to have drop down so as to just choose the number of TB, BA. BD and mummy</t>
      </text>
    </comment>
    <comment ref="AC22" authorId="10" shapeId="0" xr:uid="{C0CF3356-4B95-47E9-B567-A95166C907C6}">
      <text>
        <t xml:space="preserve">[Threaded comment]
Your version of Excel allows you to read this threaded comment; however, any edits to it will get removed if the file is opened in a newer version of Excel. Learn more: https://go.microsoft.com/fwlink/?linkid=870924
Comment:
    To be measured as both a % of born dead as well as an avg # against all gilts that farrowed
Reply:
    BD to also be split into 2 separate fields - Born deads are identified as piglets that were alive when the sow started farrowing and died during the farrowing process. Mummies are piglets that died sometime during pregnancy. </t>
      </text>
    </comment>
    <comment ref="AE22" authorId="11" shapeId="0" xr:uid="{5DDF0941-B787-478A-9147-545C1C2611EA}">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G22" authorId="12" shapeId="0" xr:uid="{570DB669-8EAF-414C-B024-E9C5CBF98F68}">
      <text>
        <t>[Threaded comment]
Your version of Excel allows you to read this threaded comment; however, any edits to it will get removed if the file is opened in a newer version of Excel. Learn more: https://go.microsoft.com/fwlink/?linkid=870924
Comment:
    This is the weight of the gilt after she has farrowed. The formula is - weight into farrowing less Total Born x 1.3 - 8.9 - this maternal body weight is needed when we calculate her maternal body weight loss as a % when she weans</t>
      </text>
    </comment>
    <comment ref="AL22" authorId="13" shapeId="0" xr:uid="{2433A027-88D3-4ED6-BADE-90CC41B2508D}">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gilt mortality - if more than 2 gilt mortality's recorded in a batch there needs to be an alert. Mortality codes to link with pig expert, also drop down for reasons needed for independent analysis</t>
      </text>
    </comment>
    <comment ref="AN22" authorId="14" shapeId="0" xr:uid="{C144E625-38BC-4378-B210-7B0D8EF44401}">
      <text>
        <t>[Threaded comment]
Your version of Excel allows you to read this threaded comment; however, any edits to it will get removed if the file is opened in a newer version of Excel. Learn more: https://go.microsoft.com/fwlink/?linkid=870924
Comment:
    See sheet farrowing treatment - include piglet treatments</t>
      </text>
    </comment>
    <comment ref="X28" authorId="15" shapeId="0" xr:uid="{4515A46E-ED40-4C6A-AB0A-7310F4DE1F19}">
      <text>
        <t xml:space="preserve">[Threaded comment]
Your version of Excel allows you to read this threaded comment; however, any edits to it will get removed if the file is opened in a newer version of Excel. Learn more: https://go.microsoft.com/fwlink/?linkid=870924
Comment:
    We need to see the individual animal weight loss variation </t>
      </text>
    </comment>
    <comment ref="AI28" authorId="16" shapeId="0" xr:uid="{D05A20BB-FEE4-4922-8F15-1D06EA667D3E}">
      <text>
        <t xml:space="preserve">[Threaded comment]
Your version of Excel allows you to read this threaded comment; however, any edits to it will get removed if the file is opened in a newer version of Excel. Learn more: https://go.microsoft.com/fwlink/?linkid=870924
Comment:
    Gilts should have piglets fostered on to always wean as many piglets as there are teats, even if the BA is lower than the teat #
</t>
      </text>
    </comment>
    <comment ref="H34" authorId="17" shapeId="0" xr:uid="{46B3C7E6-79DA-432F-B52E-C373BB3187EC}">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t>
      </text>
    </comment>
    <comment ref="S34" authorId="18" shapeId="0" xr:uid="{64E14DD5-9C6B-42E8-A530-E73DBF3C00AA}">
      <text>
        <t>[Threaded comment]
Your version of Excel allows you to read this threaded comment; however, any edits to it will get removed if the file is opened in a newer version of Excel. Learn more: https://go.microsoft.com/fwlink/?linkid=870924
Comment:
    This is the wean weight from farrowing</t>
      </text>
    </comment>
    <comment ref="AH34" authorId="19" shapeId="0" xr:uid="{4B3C6E83-85D3-462F-B64B-44AA8D94234B}">
      <text>
        <t xml:space="preserve">[Threaded comment]
Your version of Excel allows you to read this threaded comment; however, any edits to it will get removed if the file is opened in a newer version of Excel. Learn more: https://go.microsoft.com/fwlink/?linkid=870924
Comment:
    Alert of more than 2 second parity stand over
</t>
      </text>
    </comment>
    <comment ref="Q36" authorId="20" shapeId="0" xr:uid="{C0ACE53E-ACC4-4B48-BF3F-76B0CB3AA026}">
      <text>
        <t>[Threaded comment]
Your version of Excel allows you to read this threaded comment; however, any edits to it will get removed if the file is opened in a newer version of Excel. Learn more: https://go.microsoft.com/fwlink/?linkid=870924
Comment:
    See sheet - farrow feed schedule
Reply:
    See sheet - dry sow feed schedule</t>
      </text>
    </comment>
    <comment ref="U36" authorId="21" shapeId="0" xr:uid="{0AACC1A0-D89C-4F2C-BF86-CFE47A51FB3F}">
      <text>
        <t xml:space="preserve">[Threaded comment]
Your version of Excel allows you to read this threaded comment; however, any edits to it will get removed if the file is opened in a newer version of Excel. Learn more: https://go.microsoft.com/fwlink/?linkid=870924
Comment:
    Gain for the phase more important than ADG </t>
      </text>
    </comment>
    <comment ref="Z36" authorId="22" shapeId="0" xr:uid="{6357D954-D1BA-4282-A7F9-364A89206F65}">
      <text>
        <t>[Threaded comment]
Your version of Excel allows you to read this threaded comment; however, any edits to it will get removed if the file is opened in a newer version of Excel. Learn more: https://go.microsoft.com/fwlink/?linkid=870924
Comment:
    Need alert if 2nd parity farrow rate drops below 90%</t>
      </text>
    </comment>
    <comment ref="AJ36" authorId="23" shapeId="0" xr:uid="{7F56044D-D36D-40F2-859F-348346812D7C}">
      <text>
        <t>[Threaded comment]
Your version of Excel allows you to read this threaded comment; however, any edits to it will get removed if the file is opened in a newer version of Excel. Learn more: https://go.microsoft.com/fwlink/?linkid=870924
Comment:
    Alert of less than 8 2nd parity return to farrow house</t>
      </text>
    </comment>
    <comment ref="AL36" authorId="24" shapeId="0" xr:uid="{15447164-56F4-4D8B-ACDA-BE80BF4E239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53" authorId="25" shapeId="0" xr:uid="{4A7C85D0-4585-4A41-AD17-E644967D63F4}">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G53" authorId="26" shapeId="0" xr:uid="{088909D5-3CEA-4FD9-AA56-CE98C4E51DE1}">
      <text>
        <t>[Threaded comment]
Your version of Excel allows you to read this threaded comment; however, any edits to it will get removed if the file is opened in a newer version of Excel. Learn more: https://go.microsoft.com/fwlink/?linkid=870924
Comment:
    TB of the 2nds that farrowed - to be analyzed independently of other sows that farrowed</t>
      </text>
    </comment>
    <comment ref="AL53" authorId="27" shapeId="0" xr:uid="{FC237FF9-D10B-49DC-990B-1F2D743AC79B}">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N53" authorId="28" shapeId="0" xr:uid="{0CB4EFF5-2300-4C59-9DC3-D45F8A552F67}">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53" authorId="29" shapeId="0" xr:uid="{79CD9B93-A6F0-457F-9384-E66C7877FF07}">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N54" authorId="30" shapeId="0" xr:uid="{CD608DE8-D138-4823-8C8B-C2850DAD44BE}">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54" authorId="31" shapeId="0" xr:uid="{CBA401EE-5CF8-4B03-AC4B-12AED850CA1F}">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N55" authorId="32" shapeId="0" xr:uid="{0E6C3C66-5F61-42A3-B93E-F19243DC1263}">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55" authorId="33" shapeId="0" xr:uid="{AAE7B7B0-468D-42D0-AFF7-59FA4A5303E1}">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N56" authorId="34" shapeId="0" xr:uid="{2CBFFF50-5777-4C0E-948A-28ACE8578D51}">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56" authorId="35" shapeId="0" xr:uid="{70C730DE-DD04-4459-9662-7C93036D9ECC}">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N57" authorId="36" shapeId="0" xr:uid="{FB2BE20D-1F47-4547-9BE1-26A72666CEF4}">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57" authorId="37" shapeId="0" xr:uid="{CB259783-8B4A-45E9-A51A-5C6342E28B4D}">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K59" authorId="38" shapeId="0" xr:uid="{AE43A445-AE8F-4E38-89F5-B3D50796E32E}">
      <text>
        <t>[Threaded comment]
Your version of Excel allows you to read this threaded comment; however, any edits to it will get removed if the file is opened in a newer version of Excel. Learn more: https://go.microsoft.com/fwlink/?linkid=870924
Comment:
    This is the weight of the 2nd parity after she has farrowed. The formula is - weight into farrowing less Total Born x 1.3 - 8.9 - this maternal body weight is needed when we calculate her maternal body weight loss as a % when she weans</t>
      </text>
    </comment>
    <comment ref="H65" authorId="39" shapeId="0" xr:uid="{5A2B36BD-0FA1-4AEF-9ADB-F4FBF8BACE50}">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
Reply:
    We need a cull indicator on 3rd parity plus</t>
      </text>
    </comment>
    <comment ref="AL67" authorId="40" shapeId="0" xr:uid="{B1395D96-A62B-4D6D-B17F-E05EC09BD29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68" authorId="41" shapeId="0" xr:uid="{CF9F5566-A146-4CC3-B549-90D9B5B5BB8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69" authorId="42" shapeId="0" xr:uid="{407B503E-1E27-4954-98C7-277BD0E4628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0" authorId="43" shapeId="0" xr:uid="{35CEF78F-9013-4FA0-A207-11A574A2EDD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1" authorId="44" shapeId="0" xr:uid="{281D7D16-5854-419E-AC81-C8410F5F07FC}">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2" authorId="45" shapeId="0" xr:uid="{EAD4EB26-165C-4FA4-BB15-223ACF7850DF}">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3" authorId="46" shapeId="0" xr:uid="{98942C8F-3A37-42B5-961B-0886E394A82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4" authorId="47" shapeId="0" xr:uid="{55DE47A6-4FA4-45E4-8A98-3BC4620CBE9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5" authorId="48" shapeId="0" xr:uid="{8F48001D-CCA9-43EF-A52F-A13E83597177}">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6" authorId="49" shapeId="0" xr:uid="{763C1461-DBCA-4DDA-8780-12B428A41BE6}">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7" authorId="50" shapeId="0" xr:uid="{97EEF62E-944F-41C8-8C3F-61F0D14208C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8" authorId="51" shapeId="0" xr:uid="{77E1F520-0ACF-496A-9D6D-2D987123A6F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79" authorId="52" shapeId="0" xr:uid="{48FDB245-C99E-4948-827C-7BDD4C504652}">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80" authorId="53" shapeId="0" xr:uid="{FA0C1089-3025-43E3-96EF-AB35866CE9CC}">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81" authorId="54" shapeId="0" xr:uid="{9E7344AA-B632-47F2-9616-3DFCFED6438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82" authorId="55" shapeId="0" xr:uid="{D5A9FB27-1F57-425C-B453-D7C2B0DB6A7A}">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84" authorId="56" shapeId="0" xr:uid="{25575579-9F3C-47B8-9DBA-3D2AE8CAC7FD}">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84" authorId="57" shapeId="0" xr:uid="{CB847B1F-CB3F-47CB-A8E0-23835BE1F0EF}">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Johan Odendaal</author>
  </authors>
  <commentList>
    <comment ref="E52" authorId="0" shapeId="0" xr:uid="{BFC73A9C-F71D-450C-A016-F2B53356681A}">
      <text>
        <r>
          <rPr>
            <b/>
            <sz val="9"/>
            <color indexed="81"/>
            <rFont val="Tahoma"/>
            <charset val="1"/>
          </rPr>
          <t>Johan Odendaal:</t>
        </r>
        <r>
          <rPr>
            <sz val="9"/>
            <color indexed="81"/>
            <rFont val="Tahoma"/>
            <charset val="1"/>
          </rPr>
          <t xml:space="preserve">
using advocin as 1st line genta did not work</t>
        </r>
      </text>
    </comment>
    <comment ref="E53" authorId="0" shapeId="0" xr:uid="{B72F7ABB-718D-4E92-A2C8-53B1A7E7E471}">
      <text>
        <r>
          <rPr>
            <b/>
            <sz val="9"/>
            <color indexed="81"/>
            <rFont val="Tahoma"/>
            <charset val="1"/>
          </rPr>
          <t>Johan Odendaal:</t>
        </r>
        <r>
          <rPr>
            <sz val="9"/>
            <color indexed="81"/>
            <rFont val="Tahoma"/>
            <charset val="1"/>
          </rPr>
          <t xml:space="preserve">
have used kyrotim once - only use advocin</t>
        </r>
      </text>
    </comment>
    <comment ref="E56" authorId="0" shapeId="0" xr:uid="{6F6F605F-87A0-4A3E-8F11-F44F1F19D755}">
      <text>
        <r>
          <rPr>
            <b/>
            <sz val="9"/>
            <color indexed="81"/>
            <rFont val="Tahoma"/>
            <charset val="1"/>
          </rPr>
          <t>Johan Odendaal:</t>
        </r>
        <r>
          <rPr>
            <sz val="9"/>
            <color indexed="81"/>
            <rFont val="Tahoma"/>
            <charset val="1"/>
          </rPr>
          <t xml:space="preserve">
using inflacam</t>
        </r>
      </text>
    </comment>
    <comment ref="E61" authorId="0" shapeId="0" xr:uid="{329E4EE5-E71A-4EE2-AD44-46C8428CAA7B}">
      <text>
        <r>
          <rPr>
            <b/>
            <sz val="9"/>
            <color indexed="81"/>
            <rFont val="Tahoma"/>
            <charset val="1"/>
          </rPr>
          <t>Johan Odendaal:</t>
        </r>
        <r>
          <rPr>
            <sz val="9"/>
            <color indexed="81"/>
            <rFont val="Tahoma"/>
            <charset val="1"/>
          </rPr>
          <t xml:space="preserve">
inflacam</t>
        </r>
      </text>
    </comment>
    <comment ref="E71" authorId="0" shapeId="0" xr:uid="{F636555D-856A-4675-A7F8-7E0991E82B3D}">
      <text>
        <r>
          <rPr>
            <b/>
            <sz val="9"/>
            <color indexed="81"/>
            <rFont val="Tahoma"/>
            <charset val="1"/>
          </rPr>
          <t>Johan Odendaal:</t>
        </r>
        <r>
          <rPr>
            <sz val="9"/>
            <color indexed="81"/>
            <rFont val="Tahoma"/>
            <charset val="1"/>
          </rPr>
          <t xml:space="preserve">
using penstrep</t>
        </r>
      </text>
    </comment>
    <comment ref="E73" authorId="0" shapeId="0" xr:uid="{71633CE0-0BF6-4871-BFBB-C53736087C12}">
      <text>
        <r>
          <rPr>
            <b/>
            <sz val="9"/>
            <color indexed="81"/>
            <rFont val="Tahoma"/>
            <charset val="1"/>
          </rPr>
          <t>Johan Odendaal:</t>
        </r>
        <r>
          <rPr>
            <sz val="9"/>
            <color indexed="81"/>
            <rFont val="Tahoma"/>
            <charset val="1"/>
          </rPr>
          <t xml:space="preserve">
inflacam</t>
        </r>
      </text>
    </comment>
    <comment ref="E74" authorId="0" shapeId="0" xr:uid="{05487E25-F192-46F0-A4AF-8883927E4520}">
      <text>
        <r>
          <rPr>
            <b/>
            <sz val="9"/>
            <color indexed="81"/>
            <rFont val="Tahoma"/>
            <charset val="1"/>
          </rPr>
          <t>Johan Odendaal:</t>
        </r>
        <r>
          <rPr>
            <sz val="9"/>
            <color indexed="81"/>
            <rFont val="Tahoma"/>
            <charset val="1"/>
          </rPr>
          <t xml:space="preserve">
Intertrim</t>
        </r>
      </text>
    </comment>
    <comment ref="E76" authorId="0" shapeId="0" xr:uid="{F2E10A5B-7E41-40B5-A23D-E47224E0C0EE}">
      <text>
        <r>
          <rPr>
            <b/>
            <sz val="9"/>
            <color indexed="81"/>
            <rFont val="Tahoma"/>
            <charset val="1"/>
          </rPr>
          <t>Johan Odendaal:</t>
        </r>
        <r>
          <rPr>
            <sz val="9"/>
            <color indexed="81"/>
            <rFont val="Tahoma"/>
            <charset val="1"/>
          </rPr>
          <t xml:space="preserve">
inflacam</t>
        </r>
      </text>
    </comment>
    <comment ref="E84" authorId="0" shapeId="0" xr:uid="{1874DE71-98D9-4362-8D55-3B69023DC1D0}">
      <text>
        <r>
          <rPr>
            <b/>
            <sz val="9"/>
            <color indexed="81"/>
            <rFont val="Tahoma"/>
            <charset val="1"/>
          </rPr>
          <t>Johan Odendaal:</t>
        </r>
        <r>
          <rPr>
            <sz val="9"/>
            <color indexed="81"/>
            <rFont val="Tahoma"/>
            <charset val="1"/>
          </rPr>
          <t xml:space="preserve">
inflacam</t>
        </r>
      </text>
    </comment>
    <comment ref="E86" authorId="0" shapeId="0" xr:uid="{97593B3D-2859-4545-9D52-77279D84F0B6}">
      <text>
        <r>
          <rPr>
            <b/>
            <sz val="9"/>
            <color indexed="81"/>
            <rFont val="Tahoma"/>
            <charset val="1"/>
          </rPr>
          <t>Johan Odendaal:</t>
        </r>
        <r>
          <rPr>
            <sz val="9"/>
            <color indexed="81"/>
            <rFont val="Tahoma"/>
            <charset val="1"/>
          </rPr>
          <t xml:space="preserve">
inflacam</t>
        </r>
      </text>
    </comment>
    <comment ref="E87" authorId="0" shapeId="0" xr:uid="{F4C3DD48-C7DE-40B8-B42F-C1EFC97BBF4F}">
      <text>
        <r>
          <rPr>
            <b/>
            <sz val="9"/>
            <color indexed="81"/>
            <rFont val="Tahoma"/>
            <charset val="1"/>
          </rPr>
          <t>Johan Odendaal:</t>
        </r>
        <r>
          <rPr>
            <sz val="9"/>
            <color indexed="81"/>
            <rFont val="Tahoma"/>
            <charset val="1"/>
          </rPr>
          <t xml:space="preserve">
using penstrep
Finding Penstrep works better on discharge</t>
        </r>
      </text>
    </comment>
    <comment ref="E89" authorId="0" shapeId="0" xr:uid="{F7EBB1EE-DFFE-46D0-B46A-F77B05422ACE}">
      <text>
        <r>
          <rPr>
            <b/>
            <sz val="9"/>
            <color indexed="81"/>
            <rFont val="Tahoma"/>
            <charset val="1"/>
          </rPr>
          <t>Johan Odendaal:</t>
        </r>
        <r>
          <rPr>
            <sz val="9"/>
            <color indexed="81"/>
            <rFont val="Tahoma"/>
            <charset val="1"/>
          </rPr>
          <t xml:space="preserve">
inflacam</t>
        </r>
      </text>
    </comment>
    <comment ref="E91" authorId="0" shapeId="0" xr:uid="{E73737E2-C7A4-42A4-9571-9CB207F8DC09}">
      <text>
        <r>
          <rPr>
            <b/>
            <sz val="9"/>
            <color indexed="81"/>
            <rFont val="Tahoma"/>
            <charset val="1"/>
          </rPr>
          <t>Johan Odendaal:</t>
        </r>
        <r>
          <rPr>
            <sz val="9"/>
            <color indexed="81"/>
            <rFont val="Tahoma"/>
            <charset val="1"/>
          </rPr>
          <t xml:space="preserve">
inflacam</t>
        </r>
      </text>
    </comment>
    <comment ref="E92" authorId="0" shapeId="0" xr:uid="{946E91A8-A661-468E-B222-8600064C8BC5}">
      <text>
        <r>
          <rPr>
            <b/>
            <sz val="9"/>
            <color indexed="81"/>
            <rFont val="Tahoma"/>
            <charset val="1"/>
          </rPr>
          <t>Johan Odendaal:</t>
        </r>
        <r>
          <rPr>
            <sz val="9"/>
            <color indexed="81"/>
            <rFont val="Tahoma"/>
            <charset val="1"/>
          </rPr>
          <t xml:space="preserve">
using intertrim as seen to work better</t>
        </r>
      </text>
    </comment>
    <comment ref="C93" authorId="0" shapeId="0" xr:uid="{C1FDC9D2-1C0A-49E4-A9EB-D56399027BD4}">
      <text>
        <r>
          <rPr>
            <b/>
            <sz val="9"/>
            <color indexed="81"/>
            <rFont val="Tahoma"/>
            <charset val="1"/>
          </rPr>
          <t>Johan Odendaal:</t>
        </r>
        <r>
          <rPr>
            <sz val="9"/>
            <color indexed="81"/>
            <rFont val="Tahoma"/>
            <charset val="1"/>
          </rPr>
          <t xml:space="preserve">
Pj added row</t>
        </r>
      </text>
    </comment>
    <comment ref="C95" authorId="0" shapeId="0" xr:uid="{7B9009A4-2805-44E9-A0A0-4135CB8DC5E0}">
      <text>
        <r>
          <rPr>
            <b/>
            <sz val="9"/>
            <color indexed="81"/>
            <rFont val="Tahoma"/>
            <charset val="1"/>
          </rPr>
          <t>Johan Odendaal:</t>
        </r>
        <r>
          <rPr>
            <sz val="9"/>
            <color indexed="81"/>
            <rFont val="Tahoma"/>
            <charset val="1"/>
          </rPr>
          <t xml:space="preserve">
PJ added row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Johan Odendaal</author>
  </authors>
  <commentList>
    <comment ref="D38" authorId="0" shapeId="0" xr:uid="{DF367D9B-B8B9-4928-ACCA-F901E0762082}">
      <text>
        <r>
          <rPr>
            <b/>
            <sz val="9"/>
            <color indexed="81"/>
            <rFont val="Tahoma"/>
            <charset val="1"/>
          </rPr>
          <t>Johan Odendaal:</t>
        </r>
        <r>
          <rPr>
            <sz val="9"/>
            <color indexed="81"/>
            <rFont val="Tahoma"/>
            <charset val="1"/>
          </rPr>
          <t xml:space="preserve">
using advocin as 1st line genta did not work</t>
        </r>
      </text>
    </comment>
    <comment ref="D39" authorId="0" shapeId="0" xr:uid="{F6641E2E-4F82-4AB9-A5A2-096D75948B1C}">
      <text>
        <r>
          <rPr>
            <b/>
            <sz val="9"/>
            <color indexed="81"/>
            <rFont val="Tahoma"/>
            <charset val="1"/>
          </rPr>
          <t>Johan Odendaal:</t>
        </r>
        <r>
          <rPr>
            <sz val="9"/>
            <color indexed="81"/>
            <rFont val="Tahoma"/>
            <charset val="1"/>
          </rPr>
          <t xml:space="preserve">
have used kyrotim once - only use advocin</t>
        </r>
      </text>
    </comment>
    <comment ref="D42" authorId="0" shapeId="0" xr:uid="{C40247ED-3ACC-4B43-B28C-0A50812AEF9F}">
      <text>
        <r>
          <rPr>
            <b/>
            <sz val="9"/>
            <color indexed="81"/>
            <rFont val="Tahoma"/>
            <charset val="1"/>
          </rPr>
          <t>Johan Odendaal:</t>
        </r>
        <r>
          <rPr>
            <sz val="9"/>
            <color indexed="81"/>
            <rFont val="Tahoma"/>
            <charset val="1"/>
          </rPr>
          <t xml:space="preserve">
using inflacam</t>
        </r>
      </text>
    </comment>
    <comment ref="D47" authorId="0" shapeId="0" xr:uid="{D0325F9F-8FC9-402D-9B24-8A3F6F1B802A}">
      <text>
        <r>
          <rPr>
            <b/>
            <sz val="9"/>
            <color indexed="81"/>
            <rFont val="Tahoma"/>
            <charset val="1"/>
          </rPr>
          <t>Johan Odendaal:</t>
        </r>
        <r>
          <rPr>
            <sz val="9"/>
            <color indexed="81"/>
            <rFont val="Tahoma"/>
            <charset val="1"/>
          </rPr>
          <t xml:space="preserve">
inflacam</t>
        </r>
      </text>
    </comment>
  </commentList>
</comments>
</file>

<file path=xl/sharedStrings.xml><?xml version="1.0" encoding="utf-8"?>
<sst xmlns="http://schemas.openxmlformats.org/spreadsheetml/2006/main" count="4874" uniqueCount="683">
  <si>
    <t>Field Name</t>
  </si>
  <si>
    <t>Breed Code</t>
  </si>
  <si>
    <t>Breed Name</t>
  </si>
  <si>
    <t>STAGES</t>
  </si>
  <si>
    <t>Gestation Days</t>
  </si>
  <si>
    <t>Lactation Days</t>
  </si>
  <si>
    <t>Productive Life Months</t>
  </si>
  <si>
    <t>Residual Value Amount</t>
  </si>
  <si>
    <t>Productive Life Cycles</t>
  </si>
  <si>
    <t>Farm / location</t>
  </si>
  <si>
    <t>Avg litter total born</t>
  </si>
  <si>
    <t>Avg Litter Size Born</t>
  </si>
  <si>
    <t># Born dead</t>
  </si>
  <si>
    <t># mummified piglets</t>
  </si>
  <si>
    <t>mortaltiy %</t>
  </si>
  <si>
    <t>Avg Litter Size Weaned</t>
  </si>
  <si>
    <t>Avg Weaning Weight KG</t>
  </si>
  <si>
    <t>total litter mass of the piglets weaned per sow</t>
  </si>
  <si>
    <t>Farrowing Rate %</t>
  </si>
  <si>
    <t>Boar Doses Per Week</t>
  </si>
  <si>
    <t>SO's for the week</t>
  </si>
  <si>
    <t>w/s/y</t>
  </si>
  <si>
    <t>litter index</t>
  </si>
  <si>
    <t>empty days</t>
  </si>
  <si>
    <t>70 day weight</t>
  </si>
  <si>
    <t>70 day gain</t>
  </si>
  <si>
    <t>weaner FCE</t>
  </si>
  <si>
    <t>weaner mortaltiy</t>
  </si>
  <si>
    <t>Grower FCE</t>
  </si>
  <si>
    <t>Grower mortality</t>
  </si>
  <si>
    <t>Grower ADG</t>
  </si>
  <si>
    <t>AVG CDM to colcom</t>
  </si>
  <si>
    <t>Boar Productive Life Months</t>
  </si>
  <si>
    <t>Vaccination Schedule</t>
  </si>
  <si>
    <t>Blocked</t>
  </si>
  <si>
    <t>Description</t>
  </si>
  <si>
    <t>Short unique code per tenant.</t>
  </si>
  <si>
    <t>Full breed name.</t>
  </si>
  <si>
    <t>NEW: Species within the LOB. SOW / BOAR / GILT / PIGLET / COMMERCIAL_PIG for piggery.</t>
  </si>
  <si>
    <t>Standard gestation period in days. 114 days for pigs = 3 months 3 weeks 3 days.</t>
  </si>
  <si>
    <t>Standard nursing or lactation duration in days.</t>
  </si>
  <si>
    <t>Productive life in months. Amortisation denominator.</t>
  </si>
  <si>
    <t>Salvage value as percent of total opening asset value.</t>
  </si>
  <si>
    <t>Expected number of parities in productive life.</t>
  </si>
  <si>
    <t xml:space="preserve">total born is the figure that includes Born live, born dead and mummified </t>
  </si>
  <si>
    <t>Average piglets born live per farrowing. KPI target.</t>
  </si>
  <si>
    <t xml:space="preserve"># of piglets born dead </t>
  </si>
  <si>
    <t># of mummies</t>
  </si>
  <si>
    <t>Mortaltiy % between date of farrow and weaning</t>
  </si>
  <si>
    <t>Average piglets weaned per litter. Used in output forecast.</t>
  </si>
  <si>
    <t>Standard piglet weight at weaning. KPI target.</t>
  </si>
  <si>
    <t>Percent of AI or matings resulting in successful farrowing.</t>
  </si>
  <si>
    <t>For BOAR species - expected semen doses collected per week. KPI target.</t>
  </si>
  <si>
    <t>sows not come on heat by the following Thursday of what was weaned</t>
  </si>
  <si>
    <t>taken from pig expert</t>
  </si>
  <si>
    <t>Boar productive life in months for amortisation.</t>
  </si>
  <si>
    <t>Standard lifetime vaccination schedule. Auto-populates scheduler params on batch create.</t>
  </si>
  <si>
    <t>From File 2.</t>
  </si>
  <si>
    <t>Example Value</t>
  </si>
  <si>
    <t>LARGE_WHITE / LANDRACE / DUROC</t>
  </si>
  <si>
    <t>Large White</t>
  </si>
  <si>
    <t>SOW</t>
  </si>
  <si>
    <t>114</t>
  </si>
  <si>
    <t>28</t>
  </si>
  <si>
    <t>36</t>
  </si>
  <si>
    <t>10.00</t>
  </si>
  <si>
    <t>7</t>
  </si>
  <si>
    <t>11.50</t>
  </si>
  <si>
    <t>7.000</t>
  </si>
  <si>
    <t>85.00</t>
  </si>
  <si>
    <t>4.00</t>
  </si>
  <si>
    <t>[{"age_days":21,"vaccine_item_id":"...","dose_ml":2,"route":"IM"}]</t>
  </si>
  <si>
    <t>Mandatory</t>
  </si>
  <si>
    <t>YES</t>
  </si>
  <si>
    <t>NO</t>
  </si>
  <si>
    <t>COND</t>
  </si>
  <si>
    <t>Z-Line-Sow</t>
  </si>
  <si>
    <t>46 months</t>
  </si>
  <si>
    <t>accounts</t>
  </si>
  <si>
    <t>Multiplier</t>
  </si>
  <si>
    <t>1st vaccine - farrowsure (gilt) 25 weeks</t>
  </si>
  <si>
    <t>2nd vaccine - Farrowsure (gilt) 27 weeks</t>
  </si>
  <si>
    <t>3rd vaccination (Every pregnancy cycle) 14 weeks preg farrowsure</t>
  </si>
  <si>
    <t>Vaccine porcillis 11 weeks pregnant every pregnancy cycle</t>
  </si>
  <si>
    <t>Vaccine porcillis 13 weeks pregnant every pregnancy cycle</t>
  </si>
  <si>
    <t>Teaser Boar</t>
  </si>
  <si>
    <t>Lifecycle ID</t>
  </si>
  <si>
    <t>Breed</t>
  </si>
  <si>
    <t>CATEGORY</t>
  </si>
  <si>
    <t>Stage Name</t>
  </si>
  <si>
    <t>Calculation Unit</t>
  </si>
  <si>
    <t>Period From</t>
  </si>
  <si>
    <t>Period To</t>
  </si>
  <si>
    <t>location</t>
  </si>
  <si>
    <t>Sub location</t>
  </si>
  <si>
    <t>sub sub location</t>
  </si>
  <si>
    <t>feed bulk /bagged</t>
  </si>
  <si>
    <t>feed silo to draw from</t>
  </si>
  <si>
    <t>GILTS SELECTION CRITERIA</t>
  </si>
  <si>
    <t>Feed Item</t>
  </si>
  <si>
    <t>Feed Qty Per Head Per Day KG</t>
  </si>
  <si>
    <t>Std Body Weight KG</t>
  </si>
  <si>
    <t>Std ADG grams per day</t>
  </si>
  <si>
    <t>Std FCR</t>
  </si>
  <si>
    <t>Std Mortality Rate Pct</t>
  </si>
  <si>
    <t>Output Item</t>
  </si>
  <si>
    <t>Output UOM</t>
  </si>
  <si>
    <t>Std Output Qty</t>
  </si>
  <si>
    <t>ADG of slow growers</t>
  </si>
  <si>
    <t>Animal served under age range</t>
  </si>
  <si>
    <t>Medication Protocol</t>
  </si>
  <si>
    <t>Vaccination Protocol</t>
  </si>
  <si>
    <t>Resource Requirements</t>
  </si>
  <si>
    <t>KPI Lower Limit</t>
  </si>
  <si>
    <t>KPI Upper Limit</t>
  </si>
  <si>
    <t>Alert Severity</t>
  </si>
  <si>
    <t>Stage Notes</t>
  </si>
  <si>
    <t>Created At</t>
  </si>
  <si>
    <t>Primary key.</t>
  </si>
  <si>
    <t>Which breed this standard is for.</t>
  </si>
  <si>
    <t>Which batch stage. Must match production_batches.stage values.</t>
  </si>
  <si>
    <t>Unit for from/to range. Determines how scheduler parameters are generated.</t>
  </si>
  <si>
    <t>Start of this standard range in calc_unit.</t>
  </si>
  <si>
    <t>End of this standard range.</t>
  </si>
  <si>
    <t>Teats</t>
  </si>
  <si>
    <t>Birth Weight</t>
  </si>
  <si>
    <t>Wean weight</t>
  </si>
  <si>
    <t>DAM TSI</t>
  </si>
  <si>
    <t>Body Conformation</t>
  </si>
  <si>
    <t>Standard feed item for this stage and week range. Lookup from item_master category = FEED.</t>
  </si>
  <si>
    <t>Standard feed quantity per animal per day. Scheduler CONSUMPTION parameter standard_qty = this times batch.current_count.</t>
  </si>
  <si>
    <t>Expected average body weight at start of this week range. KPI target.</t>
  </si>
  <si>
    <t>Expected average body weight at end of this week range. KPI target.</t>
  </si>
  <si>
    <t>Standard Average Daily Gain. Alert if actual ADG falls below this.</t>
  </si>
  <si>
    <t>Standard Feed Conversion Ratio. Alert if actual FCR exceeds this.</t>
  </si>
  <si>
    <t>Acceptable mortality percentage for this stage per week.</t>
  </si>
  <si>
    <t>Expected output item at this stage. Used in output forecast.</t>
  </si>
  <si>
    <t>UOM for output quantity.</t>
  </si>
  <si>
    <t>Expected output per animal or sow at end of stage.</t>
  </si>
  <si>
    <t>Standard medication schedule for this stage. Auto-populates CONSUMPTION params on batch create.</t>
  </si>
  <si>
    <t>Standard vaccination schedule for this stage.</t>
  </si>
  <si>
    <t>Labour standard for this stage. Used in resource planning.</t>
  </si>
  <si>
    <t>Alert if actual KPI falls below this.</t>
  </si>
  <si>
    <t>Alert if actual KPI exceeds this.</t>
  </si>
  <si>
    <t>INFO / WARNING / CRITICAL</t>
  </si>
  <si>
    <t>Instructions for farm staff. Shown as tooltip on data entry screen.</t>
  </si>
  <si>
    <t>uuid-lc-001</t>
  </si>
  <si>
    <t>uuid-breed-01</t>
  </si>
  <si>
    <t>QUARANTINE / GILT_GROWER / FLUSH / GESTATION / FARROWING / WEANING / BOAR_AI / CB_GROWER / SLAUGHTER</t>
  </si>
  <si>
    <t>DAY / WEEK / MONTH</t>
  </si>
  <si>
    <t>1 = very poor, 5 = Excellent. Target is 5</t>
  </si>
  <si>
    <t>uuid-item-gest-feed</t>
  </si>
  <si>
    <t>2.5000</t>
  </si>
  <si>
    <t>45.000</t>
  </si>
  <si>
    <t>800.00</t>
  </si>
  <si>
    <t>2.400</t>
  </si>
  <si>
    <t>0.500</t>
  </si>
  <si>
    <t>uuid-item-piglet / uuid-item-semen-dose</t>
  </si>
  <si>
    <t>HEAD / DOSE / KG</t>
  </si>
  <si>
    <t>11.500 piglets per litter / 4.000 doses per week</t>
  </si>
  <si>
    <t>ADG per day</t>
  </si>
  <si>
    <t>recorded gilt heats</t>
  </si>
  <si>
    <t>recorded heats axtual dates</t>
  </si>
  <si>
    <t>[{"item_id":"...","dose_ml":5,"freq":"ONCE","age_day":7,"route":"IM"}]</t>
  </si>
  <si>
    <t>[{"item_id":"...","dose_ml":2,"freq":"ONCE","age_day":21,"route":"IM"}]</t>
  </si>
  <si>
    <t>[{"resource_type":"FARM_HAND","hrs_per_100_animals":8}]</t>
  </si>
  <si>
    <t>NULL</t>
  </si>
  <si>
    <t>2.800 for FCR</t>
  </si>
  <si>
    <t>CRITICAL</t>
  </si>
  <si>
    <t>Ensure BCS 3.0-3.5 throughout gestation.</t>
  </si>
  <si>
    <t>2025-01-15</t>
  </si>
  <si>
    <t>Multiplier gilt processing</t>
  </si>
  <si>
    <t>weeks</t>
  </si>
  <si>
    <t>birth</t>
  </si>
  <si>
    <t>4 weeks</t>
  </si>
  <si>
    <t>MFH</t>
  </si>
  <si>
    <t>MFH-01</t>
  </si>
  <si>
    <t>bagged</t>
  </si>
  <si>
    <t>N/A</t>
  </si>
  <si>
    <t>Creep 1</t>
  </si>
  <si>
    <t>500g per piglet for the whole period</t>
  </si>
  <si>
    <t>4 week old TN70 gilts - to be sent to other farms</t>
  </si>
  <si>
    <t>70 gilts per week</t>
  </si>
  <si>
    <t>qualtiy gilt scoring matrix</t>
  </si>
  <si>
    <t>NOP that fell below the target matrix</t>
  </si>
  <si>
    <t>DAM link</t>
  </si>
  <si>
    <t>SIRE link</t>
  </si>
  <si>
    <t>Drop down with available drugs and dosage against weight</t>
  </si>
  <si>
    <t>1 ml Vepured - Monday in post active</t>
  </si>
  <si>
    <t>MFH-02</t>
  </si>
  <si>
    <t>5 week old TN70 gilts - to be sent to other farms</t>
  </si>
  <si>
    <t>MFH-03</t>
  </si>
  <si>
    <t>6 week old TN70 gilts - to be sent to other farms</t>
  </si>
  <si>
    <t>MFH-04</t>
  </si>
  <si>
    <t>7 week old TN70 gilts - to be sent to other farms</t>
  </si>
  <si>
    <t>MFH-05</t>
  </si>
  <si>
    <t>8 week old TN70 gilts - to be sent to other farms</t>
  </si>
  <si>
    <t>gilt rearing 4 - 10 weeks</t>
  </si>
  <si>
    <t>10 weeks</t>
  </si>
  <si>
    <t>MGE</t>
  </si>
  <si>
    <t>MGE -P01 - P12</t>
  </si>
  <si>
    <t>4wks(8 days) - Creep2, 6wks (14 days) - creep 3, 8 to 10wks (17 days) - Wean 1</t>
  </si>
  <si>
    <t>Creep 2 - 0.48, Creep 3 - 0.94, Wean 1 - 1.1</t>
  </si>
  <si>
    <t>7.3 (range 7.2 to 7.5)</t>
  </si>
  <si>
    <t>28 (range 27 to 29)</t>
  </si>
  <si>
    <t>0.526 (alert - below 0.490)</t>
  </si>
  <si>
    <t>10 week old gilts</t>
  </si>
  <si>
    <t>NOP within weight range @ 10 weeks</t>
  </si>
  <si>
    <t>NOP below target weight</t>
  </si>
  <si>
    <t>ADG of pigs below target weight between 4 - 10 weeks</t>
  </si>
  <si>
    <t>gilt rearing 10 weeks</t>
  </si>
  <si>
    <t xml:space="preserve"> 10 weeks</t>
  </si>
  <si>
    <t>11 weeks</t>
  </si>
  <si>
    <t>MGD</t>
  </si>
  <si>
    <t>MGD - P01 - P12</t>
  </si>
  <si>
    <t xml:space="preserve">W1 </t>
  </si>
  <si>
    <t>1.4kgs of feed per day for the period</t>
  </si>
  <si>
    <t>11 week old gilts</t>
  </si>
  <si>
    <t>ADG of pigs below target weight between 11 weeks</t>
  </si>
  <si>
    <t>gilt rearing 11 weeks</t>
  </si>
  <si>
    <t xml:space="preserve"> 11 weeks</t>
  </si>
  <si>
    <t>12 weeks</t>
  </si>
  <si>
    <t>W1 - Gilt rear 1</t>
  </si>
  <si>
    <t>1.5kgs of feed per day for the period</t>
  </si>
  <si>
    <t>12 week old gilts</t>
  </si>
  <si>
    <t>ADG of pigs below target weight between 12 weeks</t>
  </si>
  <si>
    <t>gilt rearing 12 weeks</t>
  </si>
  <si>
    <t xml:space="preserve"> 12 weeks</t>
  </si>
  <si>
    <t>13 weeks</t>
  </si>
  <si>
    <t xml:space="preserve">W1 - Gilt rear 1 </t>
  </si>
  <si>
    <t>1.6kgs of feed per day for the period</t>
  </si>
  <si>
    <t>13 week old gilts</t>
  </si>
  <si>
    <t>ADG of pigs below target weight between 13 weeks</t>
  </si>
  <si>
    <t>gilt rearing 13 weeks</t>
  </si>
  <si>
    <t xml:space="preserve"> 13 weeks</t>
  </si>
  <si>
    <t>14 weeks</t>
  </si>
  <si>
    <t xml:space="preserve">W1 - Gilt rear 1 - Gilt rear 2 </t>
  </si>
  <si>
    <t>1.7kgs of feed per day for the period</t>
  </si>
  <si>
    <t>14 week old gilts</t>
  </si>
  <si>
    <t>ADG of pigs below target weight between 14 weeks</t>
  </si>
  <si>
    <t>gilt rearing 14 weeks</t>
  </si>
  <si>
    <t xml:space="preserve"> 14 weeks</t>
  </si>
  <si>
    <t>15 weeks</t>
  </si>
  <si>
    <t>W1 - Gilt rear 1 - Gilt rear 2</t>
  </si>
  <si>
    <t>1.8kgs of feed per day for the period</t>
  </si>
  <si>
    <t>15 week old gilts</t>
  </si>
  <si>
    <t>ADG of pigs below target weight between 15 weeks</t>
  </si>
  <si>
    <t>gilt rearing 15 weeks</t>
  </si>
  <si>
    <t xml:space="preserve"> 15 weeks</t>
  </si>
  <si>
    <t>16 weeks</t>
  </si>
  <si>
    <t>1.9kgs of feed per day for the period</t>
  </si>
  <si>
    <t>16 week old gilts</t>
  </si>
  <si>
    <t>ADG of pigs below target weight between 16 weeks</t>
  </si>
  <si>
    <t>gilt rearing 16 weeks</t>
  </si>
  <si>
    <t xml:space="preserve"> 16 weeks</t>
  </si>
  <si>
    <t>17 weeks</t>
  </si>
  <si>
    <t>Gilt rear 1 - Gilt rear 2 - Gilt rear 3</t>
  </si>
  <si>
    <t>2.0kgs of feed per day for the period</t>
  </si>
  <si>
    <t>17 week old gilts</t>
  </si>
  <si>
    <t>NOP within weight range @ 16 weeks</t>
  </si>
  <si>
    <t>ADG of pigs below target weight between 17 weeks</t>
  </si>
  <si>
    <t>gilt rearing 17 weeks</t>
  </si>
  <si>
    <t>18 weeks</t>
  </si>
  <si>
    <t>MGA</t>
  </si>
  <si>
    <t>MGA - P01 - P20</t>
  </si>
  <si>
    <t>Gilt rear 1 - Gilt rear 2</t>
  </si>
  <si>
    <t>2.2kgs of feed per day for the period (Ad lib)</t>
  </si>
  <si>
    <t>18 week old gilts</t>
  </si>
  <si>
    <t>ADG of pigs below target weight between 18 weeks</t>
  </si>
  <si>
    <t>Heat recordings</t>
  </si>
  <si>
    <t>Date of heat recorded used for service line calculations</t>
  </si>
  <si>
    <t>gilt rearing 18 weeks</t>
  </si>
  <si>
    <t>19 weeks</t>
  </si>
  <si>
    <t>2.3kgs of feed per day for the period (Ad lib)</t>
  </si>
  <si>
    <t>19 week old gilts</t>
  </si>
  <si>
    <t>ADG of pigs below target weight between 19 weeks</t>
  </si>
  <si>
    <t>gilt rearing 19 weeks</t>
  </si>
  <si>
    <t>20 weeks</t>
  </si>
  <si>
    <t>2.4kgs of feed per day for the period (Ad lib)</t>
  </si>
  <si>
    <t>20 week old gilts</t>
  </si>
  <si>
    <t>ADG of pigs below target weight between 20 weeks</t>
  </si>
  <si>
    <t>gilt rearing 20 weeks</t>
  </si>
  <si>
    <t>21 weeks</t>
  </si>
  <si>
    <t xml:space="preserve">Gilt rear 2 - Gilt rear 3 </t>
  </si>
  <si>
    <t>2.5kgs of feed per day for the period (Ad lib)</t>
  </si>
  <si>
    <t>21 week old gilts</t>
  </si>
  <si>
    <t>ADG of pigs below target weight between 21 weeks</t>
  </si>
  <si>
    <t>gilt rearing 21 weeks</t>
  </si>
  <si>
    <t>22 weeks</t>
  </si>
  <si>
    <t>Gilt rear 2 - Gilt rear 3</t>
  </si>
  <si>
    <t>2.6kgs of feed per day for the period (Ad lib)</t>
  </si>
  <si>
    <t>22 week old gilts</t>
  </si>
  <si>
    <t>ADG of pigs below target weight between 22 weeks</t>
  </si>
  <si>
    <t>gilt rearing 22 weeks</t>
  </si>
  <si>
    <t>23 weeks</t>
  </si>
  <si>
    <t>2.7kgs of feed per day for the period (Ad lib)</t>
  </si>
  <si>
    <t>23 week old gilts</t>
  </si>
  <si>
    <t>ADG of pigs below target weight between 23 weeks</t>
  </si>
  <si>
    <t>gilt rearing 23 weeks</t>
  </si>
  <si>
    <t>24 weeks</t>
  </si>
  <si>
    <t xml:space="preserve">Gilt rear 3 - Gilt rear 4 </t>
  </si>
  <si>
    <t>2.8kgs of feed per day for the period (Ad lib)</t>
  </si>
  <si>
    <t>24 week old gilts</t>
  </si>
  <si>
    <t>ADG of pigs below target weight between 24 weeks</t>
  </si>
  <si>
    <t>gilt rearing 24 weeks</t>
  </si>
  <si>
    <t>25 weeks</t>
  </si>
  <si>
    <t>2.9kgs of feed per day for the period (Ad lib)</t>
  </si>
  <si>
    <t>25 week old gilts</t>
  </si>
  <si>
    <t>NOP within weight range @ 25 weeks</t>
  </si>
  <si>
    <t>ADG of pigs below target weight between 25 weeks</t>
  </si>
  <si>
    <t>gilt rearing 25 weeks</t>
  </si>
  <si>
    <t>25weeks</t>
  </si>
  <si>
    <t>Farrowsure vaccine administerd @ 25 weeks - 2mls</t>
  </si>
  <si>
    <t>MGBC</t>
  </si>
  <si>
    <t>MGBC - P01 - P8</t>
  </si>
  <si>
    <t xml:space="preserve"> Gilt rear 5</t>
  </si>
  <si>
    <t>3.0kgs of feed per day for the period (Ad lib)</t>
  </si>
  <si>
    <t>ADG of pigs below target weight between 25 - 28 weeks</t>
  </si>
  <si>
    <t>gilt rearing 26 weeks</t>
  </si>
  <si>
    <t>26 weeks</t>
  </si>
  <si>
    <t>26 week old gilts</t>
  </si>
  <si>
    <t>gilt rearing 27 weeks</t>
  </si>
  <si>
    <t>27 weeks</t>
  </si>
  <si>
    <t>3.3kgs of feed per day for the period (Ad lib)</t>
  </si>
  <si>
    <t>27 week old gilts</t>
  </si>
  <si>
    <t>gilt rearing 28 weeks</t>
  </si>
  <si>
    <t>28 weeks</t>
  </si>
  <si>
    <t>3.5kgs of feed per day for the period (Ad lib)</t>
  </si>
  <si>
    <t>28 week old gilts</t>
  </si>
  <si>
    <t>NOP within weight range @ 28 weeks</t>
  </si>
  <si>
    <t>Farrowsure vaccine administerd @ 28 weeks - 2mls</t>
  </si>
  <si>
    <t>gilt rearing gilt to Service line (28 weeks)</t>
  </si>
  <si>
    <t>29 weeks</t>
  </si>
  <si>
    <t>MSL</t>
  </si>
  <si>
    <t>MSL-Cr01 - Cr25</t>
  </si>
  <si>
    <t>Bulk</t>
  </si>
  <si>
    <t>MSL 1</t>
  </si>
  <si>
    <t>move to service line instruction if correct age and weight based on previous cells</t>
  </si>
  <si>
    <t>150-160kg served gilts</t>
  </si>
  <si>
    <t>( 30 - 34 weeks)target service age</t>
  </si>
  <si>
    <t>gilt rearing gilt to Service line (29 weeks)</t>
  </si>
  <si>
    <t>30 weeks</t>
  </si>
  <si>
    <t>gilt rearing gilt to Service line (30 weeks)</t>
  </si>
  <si>
    <t>31 weeks</t>
  </si>
  <si>
    <t>gilt rearing gilt to Service line (31 weeks)</t>
  </si>
  <si>
    <t>32 weeks</t>
  </si>
  <si>
    <t>gilt rearing gilt to Service line(32 weeks)</t>
  </si>
  <si>
    <t>33 weeks</t>
  </si>
  <si>
    <t>gilt rearing gilt to Service line (33 weeks)</t>
  </si>
  <si>
    <t>34 weeks</t>
  </si>
  <si>
    <t>gilt rearing gilt to Service line (34 weeks)</t>
  </si>
  <si>
    <t>35 weeks</t>
  </si>
  <si>
    <t>Gilt service line</t>
  </si>
  <si>
    <t>35 weeks (alert to cull)</t>
  </si>
  <si>
    <t>Super Flush</t>
  </si>
  <si>
    <t>5kgs of feed per day up to service</t>
  </si>
  <si>
    <t>155(range 150 to 160)</t>
  </si>
  <si>
    <r>
      <t xml:space="preserve">6 gilts served </t>
    </r>
    <r>
      <rPr>
        <b/>
        <sz val="11"/>
        <color theme="1"/>
        <rFont val="Aptos Narrow"/>
        <family val="2"/>
        <scheme val="minor"/>
      </rPr>
      <t>@ 31-33weeks</t>
    </r>
  </si>
  <si>
    <t>ADG of pigs below target weight at service(0.786)</t>
  </si>
  <si>
    <t>Season Type</t>
  </si>
  <si>
    <t>Gilt Gain in Gestation Variation</t>
  </si>
  <si>
    <t>% maternal weight loss</t>
  </si>
  <si>
    <t>Maternal weight loss variation</t>
  </si>
  <si>
    <t>% loss of animals that lost more than 12%</t>
  </si>
  <si>
    <t>Farrowing Rates</t>
  </si>
  <si>
    <t>Total Born</t>
  </si>
  <si>
    <t>Born Alive</t>
  </si>
  <si>
    <t>Born Dead</t>
  </si>
  <si>
    <t>Mummies</t>
  </si>
  <si>
    <t>Gilts into Farrowing Variation</t>
  </si>
  <si>
    <t>Std teats count</t>
  </si>
  <si>
    <t>Winter/ Summer</t>
  </si>
  <si>
    <t>1</t>
  </si>
  <si>
    <t>11</t>
  </si>
  <si>
    <t>Winter</t>
  </si>
  <si>
    <t>PD Alert</t>
  </si>
  <si>
    <t>Gilt in gestation</t>
  </si>
  <si>
    <t>Service week</t>
  </si>
  <si>
    <t>from service week</t>
  </si>
  <si>
    <t>15 weeks pregnant</t>
  </si>
  <si>
    <t>MDS</t>
  </si>
  <si>
    <t>MDS-01</t>
  </si>
  <si>
    <t>MDS-DS1</t>
  </si>
  <si>
    <t>MDS-DG1</t>
  </si>
  <si>
    <t>Dry Gilt</t>
  </si>
  <si>
    <t>As per Feed schedule - In Dry Sow page</t>
  </si>
  <si>
    <t>155 (range 150 to 160)</t>
  </si>
  <si>
    <t>236-246</t>
  </si>
  <si>
    <t>gain for period not daily - 74 to 81</t>
  </si>
  <si>
    <t>Gilt gain in gestation variation</t>
  </si>
  <si>
    <t>alert for 4 week PD</t>
  </si>
  <si>
    <t>gilts to farrow range 236-246kgs</t>
  </si>
  <si>
    <t>NOP inside target weight box and variation</t>
  </si>
  <si>
    <t>Mortaltiy reasons</t>
  </si>
  <si>
    <t>Porcillis 2 mls @ 11 weeks preg, Porcillis vaccine 2mls @13 weeks preg and farrowsure vaccine 2mls @ 14 weeks preg</t>
  </si>
  <si>
    <t>MDS-02</t>
  </si>
  <si>
    <t>MDS-03</t>
  </si>
  <si>
    <t>MDS-04</t>
  </si>
  <si>
    <t>MDS-05</t>
  </si>
  <si>
    <t>MDS-06</t>
  </si>
  <si>
    <t>MDS-07</t>
  </si>
  <si>
    <t>MDS-08</t>
  </si>
  <si>
    <t>MDS-09</t>
  </si>
  <si>
    <t>MDS-DS2</t>
  </si>
  <si>
    <t>MDS-DG2</t>
  </si>
  <si>
    <t>MDS-10</t>
  </si>
  <si>
    <t>MDS-11</t>
  </si>
  <si>
    <t>MDS-12</t>
  </si>
  <si>
    <t>MDS-13</t>
  </si>
  <si>
    <t>MDS-14</t>
  </si>
  <si>
    <t>MDS-15</t>
  </si>
  <si>
    <t>MDS-16</t>
  </si>
  <si>
    <t>Gilts farrowing</t>
  </si>
  <si>
    <t>weekly farrow batch</t>
  </si>
  <si>
    <t>weekly weaned batch</t>
  </si>
  <si>
    <t>MFHLZ - 1 &amp; 2</t>
  </si>
  <si>
    <t xml:space="preserve">MFH Trans - 1 </t>
  </si>
  <si>
    <t>Trans feed and Lactate z line</t>
  </si>
  <si>
    <t>Drop down with feed levels and P2 option</t>
  </si>
  <si>
    <t>236 to 246kgs</t>
  </si>
  <si>
    <t>Mortality reasons</t>
  </si>
  <si>
    <t>MFHLZ - 3 &amp; 4</t>
  </si>
  <si>
    <t>MFH Trans - 2</t>
  </si>
  <si>
    <t>gilt weaning</t>
  </si>
  <si>
    <t>Thursday day of weaning</t>
  </si>
  <si>
    <t>MSL1</t>
  </si>
  <si>
    <t>SUPER FLUSH</t>
  </si>
  <si>
    <t>As per Gilt Feed schedule - Farr page 2.5 kgs of super flush at weaning</t>
  </si>
  <si>
    <t>189 - 198kgs</t>
  </si>
  <si>
    <t>Maternal weight loss between 8 - 12%</t>
  </si>
  <si>
    <t>% animals lost more than 12%</t>
  </si>
  <si>
    <t>104kgs - total litter mass</t>
  </si>
  <si>
    <t>16 - piglets weaned per gilt</t>
  </si>
  <si>
    <t>2nd parity service line</t>
  </si>
  <si>
    <t>Wednesday the following week</t>
  </si>
  <si>
    <t>MSL-Cr 26 - Cr 49</t>
  </si>
  <si>
    <t>As per Service Line Feed Schedule page</t>
  </si>
  <si>
    <t>3.1 animals 2nd parity service target</t>
  </si>
  <si>
    <t>1 - Stand overs</t>
  </si>
  <si>
    <t xml:space="preserve">2nd parity gestation </t>
  </si>
  <si>
    <t>service week</t>
  </si>
  <si>
    <t>dry gilt</t>
  </si>
  <si>
    <t>254 - 263</t>
  </si>
  <si>
    <t>Number of 2nds returned to farrowing house against target</t>
  </si>
  <si>
    <t>5 x 2nd parity retunr to farrow house</t>
  </si>
  <si>
    <t>2nd parity farrowing</t>
  </si>
  <si>
    <t>weekly farrowing batch</t>
  </si>
  <si>
    <t>As per Sow Feed schedule - Farr page</t>
  </si>
  <si>
    <t>210 - 220kgs</t>
  </si>
  <si>
    <t>Total born</t>
  </si>
  <si>
    <t>7.5kgs Avg wean weight</t>
  </si>
  <si>
    <t>104kgs total litter mass</t>
  </si>
  <si>
    <t>2nd parity weaning</t>
  </si>
  <si>
    <t>7.5kgs -avg piglet weight</t>
  </si>
  <si>
    <t>Maternal body weight</t>
  </si>
  <si>
    <t>3rd parity plus service line</t>
  </si>
  <si>
    <t>service target</t>
  </si>
  <si>
    <t>service target of 16.9</t>
  </si>
  <si>
    <t>stand over</t>
  </si>
  <si>
    <t>alert if more than 1 - 3rd parity plus S/O</t>
  </si>
  <si>
    <t>3rd parity plus gestation</t>
  </si>
  <si>
    <t>Dry Sow</t>
  </si>
  <si>
    <t>3rd parity farrowing</t>
  </si>
  <si>
    <t>farrowing batch recorded weekly</t>
  </si>
  <si>
    <t>1 Week</t>
  </si>
  <si>
    <t>Trans feed and Lactate Gilt</t>
  </si>
  <si>
    <t xml:space="preserve">3rd parity weaning </t>
  </si>
  <si>
    <t>weaning batch recorded weekly</t>
  </si>
  <si>
    <t>4 Weeks</t>
  </si>
  <si>
    <t>As per Sow Feed schedule - Farr page, 2.5kgs of Super flush at weaning</t>
  </si>
  <si>
    <t>104kg - total litter mass</t>
  </si>
  <si>
    <t>CDM</t>
  </si>
  <si>
    <t>Kgs Sold/Sow/Year</t>
  </si>
  <si>
    <t>Total weight gain for the period</t>
  </si>
  <si>
    <t>Expected Livestock Output</t>
  </si>
  <si>
    <t>Weaner</t>
  </si>
  <si>
    <t>4 weeks of age</t>
  </si>
  <si>
    <t>10 weeks of age</t>
  </si>
  <si>
    <t>MWH -01</t>
  </si>
  <si>
    <t>BULK</t>
  </si>
  <si>
    <t>MWH1</t>
  </si>
  <si>
    <t>4wks(8 days) - Creep2, 5 to 6wks (14 days) - creep 3, 7 to 10wks (17 days) - Wean 1</t>
  </si>
  <si>
    <t>Creep 2-0.48, Creep 3- 0.94, wean 1- 1.1</t>
  </si>
  <si>
    <t>7.5 (range 7 to  8)</t>
  </si>
  <si>
    <t>28 (range 25 to 31)</t>
  </si>
  <si>
    <t>0.539(alert - below 0.459)</t>
  </si>
  <si>
    <t>1.5 (alert - above 1.57)</t>
  </si>
  <si>
    <t>10 week old pigs</t>
  </si>
  <si>
    <t>229 PIGLETS</t>
  </si>
  <si>
    <t>SEE WEANER TREATMENT SHEET</t>
  </si>
  <si>
    <t>MWH -02</t>
  </si>
  <si>
    <t>MWH2</t>
  </si>
  <si>
    <t>MWH -03</t>
  </si>
  <si>
    <t>MWH3</t>
  </si>
  <si>
    <t>MWH -04</t>
  </si>
  <si>
    <t>MWH4</t>
  </si>
  <si>
    <t>MWH -05</t>
  </si>
  <si>
    <t>MWH5</t>
  </si>
  <si>
    <t>MWH -06</t>
  </si>
  <si>
    <t>MWH6</t>
  </si>
  <si>
    <t>Double stock</t>
  </si>
  <si>
    <t>MDST -01</t>
  </si>
  <si>
    <t>MDST 01</t>
  </si>
  <si>
    <t>2 weeks at Wean 1 OTC, 2 weeks Grower 1</t>
  </si>
  <si>
    <t>Wean 1 OTC - (14 days) - 3.3kgs, Grower 1 - (14days) - 4.8kgs</t>
  </si>
  <si>
    <t>48 (range 45 to 51)</t>
  </si>
  <si>
    <t>0.700 (alert - below 0.670)</t>
  </si>
  <si>
    <t>2.0 (alert - above 2.2)</t>
  </si>
  <si>
    <t>14 week old pigs</t>
  </si>
  <si>
    <t>Avg gain at movement to Grower</t>
  </si>
  <si>
    <t>FCE</t>
  </si>
  <si>
    <t>SEE GROWER TREATMENT SHEET</t>
  </si>
  <si>
    <t>MDST -02</t>
  </si>
  <si>
    <t>MDST 02</t>
  </si>
  <si>
    <t>MDST -03</t>
  </si>
  <si>
    <t>MDST 03</t>
  </si>
  <si>
    <t>MDST -04</t>
  </si>
  <si>
    <t>MDST 04</t>
  </si>
  <si>
    <t>Grower</t>
  </si>
  <si>
    <t>14 weeks of age</t>
  </si>
  <si>
    <t>MGH-01</t>
  </si>
  <si>
    <t>MGH1</t>
  </si>
  <si>
    <t>10weeks (14days) - Wean 1 (OTC), 12weeks (14days) - Grower 1, 14weeks (14 days) - Grower 2, 16weeks (10days) - Grower 3, 17weeks (28days) - Finisher</t>
  </si>
  <si>
    <t>wean 1 otc (10weeks)-1.6, wean 1 otc(11weeks)-1.7, grower 1(12weeks)-2.2, grower 1(13weeks)-2.5, grower 2 (14weeks)-2.6, grower 2(15weeks)-2.7, grower 3(16weeks)-2.9, grower 3(17-18weeks)-3.1, finisher(19-22)-3.1</t>
  </si>
  <si>
    <t>118 (range 112 to 128)</t>
  </si>
  <si>
    <t>1.100 (alert - below 1.0)</t>
  </si>
  <si>
    <t>2.4 (alert above 2.45)</t>
  </si>
  <si>
    <t>22-23 weeks</t>
  </si>
  <si>
    <t>226 PIG/HOUSE</t>
  </si>
  <si>
    <t>MGH-02</t>
  </si>
  <si>
    <t>MGH2</t>
  </si>
  <si>
    <t>MGH-03</t>
  </si>
  <si>
    <t>MGH3</t>
  </si>
  <si>
    <t>wean 1 otc (10weeks)-1.6, wean 1 otc(11weeks)-1.7, grower 1(12weeks)-2.2, grower 1(13weeks)-2.5, grower 2 (14weeks)-2.6, grower 2(15weeks)-2.7, grower 3(16weeks)-2.9, grower 3(17-18weeks)-3.1, finisher(19-22)-3.2</t>
  </si>
  <si>
    <t>MGH-04</t>
  </si>
  <si>
    <t>MGH4</t>
  </si>
  <si>
    <t>wean 1 otc (10weeks)-1.6, wean 1 otc(11weeks)-1.7, grower 1(12weeks)-2.2, grower 1(13weeks)-2.5, grower 2 (14weeks)-2.6, grower 2(15weeks)-2.7, grower 3(16weeks)-2.9, grower 3(17-18weeks)-3.1, finisher(19-22)-3.3</t>
  </si>
  <si>
    <t>MGH-05</t>
  </si>
  <si>
    <t>MGH5</t>
  </si>
  <si>
    <t>wean 1 otc (10weeks)-1.6, wean 1 otc(11weeks)-1.7, grower 1(12weeks)-2.2, grower 1(13weeks)-2.5, grower 2 (14weeks)-2.6, grower 2(15weeks)-2.7, grower 3(16weeks)-2.9, grower 3(17-18weeks)-3.1, finisher(19-22)-3.4</t>
  </si>
  <si>
    <t>MGH-06</t>
  </si>
  <si>
    <t>MGH6</t>
  </si>
  <si>
    <t>wean 1 otc (10weeks)-1.6, wean 1 otc(11weeks)-1.7, grower 1(12weeks)-2.2, grower 1(13weeks)-2.5, grower 2 (14weeks)-2.6, grower 2(15weeks)-2.7, grower 3(16weeks)-2.9, grower 3(17-18weeks)-3.1, finisher(19-22)-3.5</t>
  </si>
  <si>
    <t>MGH-07</t>
  </si>
  <si>
    <t>MGH7</t>
  </si>
  <si>
    <t>wean 1 otc (10weeks)-1.6, wean 1 otc(11weeks)-1.7, grower 1(12weeks)-2.2, grower 1(13weeks)-2.5, grower 2 (14weeks)-2.6, grower 2(15weeks)-2.7, grower 3(16weeks)-2.9, grower 3(17-18weeks)-3.1, finisher(19-22)-3.6</t>
  </si>
  <si>
    <t>MGH-08</t>
  </si>
  <si>
    <t>MGH8</t>
  </si>
  <si>
    <t>wean 1 otc (10weeks)-1.6, wean 1 otc(11weeks)-1.7, grower 1(12weeks)-2.2, grower 1(13weeks)-2.5, grower 2 (14weeks)-2.6, grower 2(15weeks)-2.7, grower 3(16weeks)-2.9, grower 3(17-18weeks)-3.1, finisher(19-22)-3.7</t>
  </si>
  <si>
    <t>MGH-09</t>
  </si>
  <si>
    <t>MGH9</t>
  </si>
  <si>
    <t>wean 1 otc (10weeks)-1.6, wean 1 otc(11weeks)-1.7, grower 1(12weeks)-2.2, grower 1(13weeks)-2.5, grower 2 (14weeks)-2.6, grower 2(15weeks)-2.7, grower 3(16weeks)-2.9, grower 3(17-18weeks)-3.1, finisher(19-22)-3.8</t>
  </si>
  <si>
    <t>MGH-10</t>
  </si>
  <si>
    <t>MGH10</t>
  </si>
  <si>
    <t>wean 1 otc (10weeks)-1.6, wean 1 otc(11weeks)-1.7, grower 1(12weeks)-2.2, grower 1(13weeks)-2.5, grower 2 (14weeks)-2.6, grower 2(15weeks)-2.7, grower 3(16weeks)-2.9, grower 3(17-18weeks)-3.1, finisher(19-22)-3.9</t>
  </si>
  <si>
    <t>Suckling Piglets</t>
  </si>
  <si>
    <t>Problem</t>
  </si>
  <si>
    <t>Symptom</t>
  </si>
  <si>
    <t>Drug</t>
  </si>
  <si>
    <t>Dose</t>
  </si>
  <si>
    <t>Repeat</t>
  </si>
  <si>
    <t>E.coli</t>
  </si>
  <si>
    <t>Scour                                  -1st Line</t>
  </si>
  <si>
    <t>Gentamycin</t>
  </si>
  <si>
    <t>0.5ml</t>
  </si>
  <si>
    <t>every day for 3 days</t>
  </si>
  <si>
    <t xml:space="preserve">                                             - 2nd Line</t>
  </si>
  <si>
    <t>Advocin</t>
  </si>
  <si>
    <t>0.25ml</t>
  </si>
  <si>
    <t>Joint Ill</t>
  </si>
  <si>
    <t>Swollen joint</t>
  </si>
  <si>
    <t>Lincomycin</t>
  </si>
  <si>
    <t xml:space="preserve">                                    - alternative</t>
  </si>
  <si>
    <t>Penstrep LA</t>
  </si>
  <si>
    <t>after 3 days, if needed</t>
  </si>
  <si>
    <t xml:space="preserve">                                    -if severe add</t>
  </si>
  <si>
    <t>Ketoprofen</t>
  </si>
  <si>
    <t>0.1ml</t>
  </si>
  <si>
    <t>after 24hrs, if needed</t>
  </si>
  <si>
    <t>Injury (facial lesions)</t>
  </si>
  <si>
    <t>Intramox 150 LA</t>
  </si>
  <si>
    <t>after 2 days, if needed</t>
  </si>
  <si>
    <t xml:space="preserve"> </t>
  </si>
  <si>
    <t>Greasy Pig</t>
  </si>
  <si>
    <t xml:space="preserve">Typical skin lesions    </t>
  </si>
  <si>
    <t>Meningitis</t>
  </si>
  <si>
    <t>Pig cant stand, tremors, paddling</t>
  </si>
  <si>
    <t>Lactating Sows</t>
  </si>
  <si>
    <t>Fever</t>
  </si>
  <si>
    <t>Sow not eating</t>
  </si>
  <si>
    <t>Limoxin 200 LA</t>
  </si>
  <si>
    <t>24ml</t>
  </si>
  <si>
    <t>5ml</t>
  </si>
  <si>
    <t>After 24 hrs, if needed</t>
  </si>
  <si>
    <t>Aided Farrowing</t>
  </si>
  <si>
    <t>Hand used</t>
  </si>
  <si>
    <t>Penstrep</t>
  </si>
  <si>
    <t>No</t>
  </si>
  <si>
    <t>Intertocin</t>
  </si>
  <si>
    <t>1ml</t>
  </si>
  <si>
    <t>Discharge</t>
  </si>
  <si>
    <t>Milky vaginal secretion</t>
  </si>
  <si>
    <t>Sore Foot/Injury</t>
  </si>
  <si>
    <t>Injury or open wound on foot</t>
  </si>
  <si>
    <t xml:space="preserve">            - if bad add</t>
  </si>
  <si>
    <t>Lawsonia</t>
  </si>
  <si>
    <t>Scours</t>
  </si>
  <si>
    <t>Alamycin LA</t>
  </si>
  <si>
    <t>Swollen Joint</t>
  </si>
  <si>
    <t>Daily for 3 days</t>
  </si>
  <si>
    <t>DRY SOWS</t>
  </si>
  <si>
    <t>after 24 hrs, if needed</t>
  </si>
  <si>
    <t>Injury</t>
  </si>
  <si>
    <t>Cuts on skin</t>
  </si>
  <si>
    <t>Abscess</t>
  </si>
  <si>
    <t>soft lump</t>
  </si>
  <si>
    <t>sore foot</t>
  </si>
  <si>
    <t>teremycin</t>
  </si>
  <si>
    <t>1ml /10kg</t>
  </si>
  <si>
    <t>treat for 3 days</t>
  </si>
  <si>
    <t>inflacam</t>
  </si>
  <si>
    <t>fighting</t>
  </si>
  <si>
    <t>if severe</t>
  </si>
  <si>
    <t>penstrep</t>
  </si>
  <si>
    <t>GILTS</t>
  </si>
  <si>
    <t>NB: when 1st sow in batch gets to 10.8kgs - move whole batch to 4 times per day feeding</t>
  </si>
  <si>
    <t>Days after</t>
  </si>
  <si>
    <t>date</t>
  </si>
  <si>
    <t>TRANS</t>
  </si>
  <si>
    <t>setting</t>
  </si>
  <si>
    <t>AM</t>
  </si>
  <si>
    <t>Double drop</t>
  </si>
  <si>
    <t>PM</t>
  </si>
  <si>
    <t>Total</t>
  </si>
  <si>
    <t>NB: when 1st sow in batch gets to 7.3kgs - move whole batch to 3 times per day feeding</t>
  </si>
  <si>
    <t>SOWS</t>
  </si>
  <si>
    <t>days after farrowing</t>
  </si>
  <si>
    <t>0600AM</t>
  </si>
  <si>
    <t>DOUBLE DROP</t>
  </si>
  <si>
    <t>1500PM</t>
  </si>
  <si>
    <t>TOTAL</t>
  </si>
  <si>
    <t>SOWS INTO D/S</t>
  </si>
  <si>
    <t>≤11MM- 3.2Kgs</t>
  </si>
  <si>
    <t>Service to 5weeks 2.5 Kgs</t>
  </si>
  <si>
    <t>≥12mm-15mm – 3.1Kgs</t>
  </si>
  <si>
    <t>5weeks to 8 weeks 2.4Kgs</t>
  </si>
  <si>
    <t>≥16mm-2.8Kgs</t>
  </si>
  <si>
    <t>@5 WEEKS PREG</t>
  </si>
  <si>
    <t>NB: If under 10 keep @ 3.2kgs</t>
  </si>
  <si>
    <t>≤11mm- 2.8Kgs</t>
  </si>
  <si>
    <t xml:space="preserve">12-15mm-2.5Kgs </t>
  </si>
  <si>
    <t>≥16mm-2.3Kgs</t>
  </si>
  <si>
    <t>Density and setting</t>
  </si>
  <si>
    <t>12  WEEKS PREG</t>
  </si>
  <si>
    <t>≤11mm- 3.2Kgs</t>
  </si>
  <si>
    <t>2.8kgs</t>
  </si>
  <si>
    <t>≤12mm- 3.1Kgs</t>
  </si>
  <si>
    <t>@15WEEKS PREG</t>
  </si>
  <si>
    <t>Individual checks</t>
  </si>
  <si>
    <t xml:space="preserve">FLUSH FEED </t>
  </si>
  <si>
    <t>FLUSH FEED</t>
  </si>
  <si>
    <t>6kgs</t>
  </si>
  <si>
    <t xml:space="preserve">5Kgs </t>
  </si>
  <si>
    <t>WEANED SOW AND GILTS FLUSH FEED</t>
  </si>
  <si>
    <t>FH</t>
  </si>
  <si>
    <t xml:space="preserve">SVCL </t>
  </si>
  <si>
    <t>SCL</t>
  </si>
  <si>
    <t>DAY</t>
  </si>
  <si>
    <t>TM 05:30</t>
  </si>
  <si>
    <t>TM 11:00</t>
  </si>
  <si>
    <t>TM 16:00</t>
  </si>
  <si>
    <t>THERSDAY</t>
  </si>
  <si>
    <t>FRIDAY</t>
  </si>
  <si>
    <t>SATURDAY</t>
  </si>
  <si>
    <t>SUNDAY</t>
  </si>
  <si>
    <t>MONDAY</t>
  </si>
  <si>
    <t>TUESDAY</t>
  </si>
  <si>
    <t>WEDNESDAY</t>
  </si>
  <si>
    <t>IF ITS EARLIER THAN 14 DAYS</t>
  </si>
  <si>
    <t>SOW AND PIGLET TREATMENT CARD</t>
  </si>
  <si>
    <t>DATE</t>
  </si>
  <si>
    <t>PIGLET TREATMENT</t>
  </si>
  <si>
    <t>SOW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</si>
</sst>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
    <numFmt numFmtId="167" formatCode="0.0"/>
    <numFmt numFmtId="168" formatCode="#,##0.000"/>
  </numFmts>
  <fonts count="28">
    <font>
      <sz val="11"/>
      <color theme="1"/>
      <name val="Aptos Narrow"/>
      <family val="2"/>
      <scheme val="minor"/>
    </font>
    <font>
      <b/>
      <sz val="9"/>
      <color rgb="FFFFFFFF"/>
      <name val="Aptos Narrow"/>
      <family val="2"/>
      <scheme val="minor"/>
    </font>
    <font>
      <sz val="9"/>
      <color rgb="FF2C3E50"/>
      <name val="Aptos Narrow"/>
      <family val="2"/>
      <scheme val="minor"/>
    </font>
    <font>
      <sz val="9"/>
      <color rgb="FFC0392B"/>
      <name val="Aptos Narrow"/>
      <family val="2"/>
      <scheme val="minor"/>
    </font>
    <font>
      <b/>
      <sz val="9"/>
      <color rgb="FF2C3E50"/>
      <name val="Aptos Narrow"/>
      <family val="2"/>
      <scheme val="minor"/>
    </font>
    <font>
      <sz val="8"/>
      <name val="Aptos Narrow"/>
      <family val="2"/>
      <scheme val="minor"/>
    </font>
    <font>
      <sz val="11"/>
      <color theme="1"/>
      <name val="Aptos Narrow"/>
      <family val="2"/>
      <scheme val="minor"/>
    </font>
    <font>
      <b/>
      <sz val="11"/>
      <color indexed="8"/>
      <name val="Calibri"/>
      <family val="2"/>
    </font>
    <font>
      <sz val="9"/>
      <color indexed="81"/>
      <name val="Tahoma"/>
      <family val="2"/>
    </font>
    <font>
      <b/>
      <sz val="9"/>
      <color indexed="81"/>
      <name val="Tahoma"/>
      <family val="2"/>
    </font>
    <font>
      <b/>
      <sz val="11"/>
      <color theme="1"/>
      <name val="Aptos Narrow"/>
      <family val="2"/>
      <scheme val="minor"/>
    </font>
    <font>
      <sz val="14"/>
      <color theme="1"/>
      <name val="Aptos Narrow"/>
      <family val="2"/>
      <scheme val="minor"/>
    </font>
    <font>
      <sz val="11"/>
      <name val="Aptos Narrow"/>
      <family val="2"/>
      <scheme val="minor"/>
    </font>
    <font>
      <b/>
      <sz val="12"/>
      <color theme="1"/>
      <name val="Aptos Narrow"/>
      <family val="2"/>
      <scheme val="minor"/>
    </font>
    <font>
      <b/>
      <sz val="14"/>
      <color theme="1"/>
      <name val="Aptos Narrow"/>
      <family val="2"/>
      <scheme val="minor"/>
    </font>
    <font>
      <b/>
      <sz val="9"/>
      <color indexed="8"/>
      <name val="Calibri"/>
      <family val="2"/>
    </font>
    <font>
      <sz val="9"/>
      <color theme="1"/>
      <name val="Aptos Narrow"/>
      <family val="2"/>
      <scheme val="minor"/>
    </font>
    <font>
      <sz val="9"/>
      <color theme="1"/>
      <name val="Calibri"/>
      <family val="2"/>
    </font>
    <font>
      <sz val="9"/>
      <color indexed="81"/>
      <name val="Tahoma"/>
      <charset val="1"/>
    </font>
    <font>
      <b/>
      <sz val="9"/>
      <color theme="1"/>
      <name val="Aptos Narrow"/>
      <family val="2"/>
      <scheme val="minor"/>
    </font>
    <font>
      <b/>
      <sz val="8"/>
      <color theme="1"/>
      <name val="Aptos Narrow"/>
      <family val="2"/>
      <scheme val="minor"/>
    </font>
    <font>
      <b/>
      <u/>
      <sz val="18"/>
      <color theme="1"/>
      <name val="Times New Roman"/>
      <family val="1"/>
    </font>
    <font>
      <sz val="16"/>
      <color theme="1"/>
      <name val="Calibri"/>
      <family val="2"/>
    </font>
    <font>
      <b/>
      <sz val="18"/>
      <color theme="1"/>
      <name val="Times New Roman"/>
      <family val="1"/>
    </font>
    <font>
      <b/>
      <sz val="16"/>
      <color theme="1"/>
      <name val="Calibri"/>
      <family val="2"/>
    </font>
    <font>
      <b/>
      <sz val="20"/>
      <color theme="1"/>
      <name val="Calibri"/>
      <family val="2"/>
    </font>
    <font>
      <sz val="16"/>
      <color theme="1"/>
      <name val="Times New Roman"/>
      <family val="1"/>
    </font>
    <font>
      <b/>
      <sz val="9"/>
      <color indexed="81"/>
      <name val="Tahoma"/>
      <charset val="1"/>
    </font>
  </fonts>
  <fills count="21">
    <fill>
      <patternFill patternType="none"/>
    </fill>
    <fill>
      <patternFill patternType="gray125"/>
    </fill>
    <fill>
      <patternFill patternType="solid">
        <fgColor rgb="FFD5F5E3"/>
      </patternFill>
    </fill>
    <fill>
      <patternFill patternType="solid">
        <fgColor rgb="FFD6EAF8"/>
      </patternFill>
    </fill>
    <fill>
      <patternFill patternType="solid">
        <fgColor rgb="FFF2F3F4"/>
      </patternFill>
    </fill>
    <fill>
      <patternFill patternType="solid">
        <fgColor rgb="FFFFFFFF"/>
      </patternFill>
    </fill>
    <fill>
      <patternFill patternType="solid">
        <fgColor rgb="FFFEF9E7"/>
      </patternFill>
    </fill>
    <fill>
      <patternFill patternType="solid">
        <fgColor rgb="FF2E86C1"/>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22"/>
      </patternFill>
    </fill>
    <fill>
      <patternFill patternType="solid">
        <fgColor rgb="FF92D050"/>
        <bgColor indexed="49"/>
      </patternFill>
    </fill>
    <fill>
      <patternFill patternType="solid">
        <fgColor theme="4" tint="0.79998168889431442"/>
        <bgColor indexed="64"/>
      </patternFill>
    </fill>
    <fill>
      <patternFill patternType="solid">
        <fgColor rgb="FF92D050"/>
        <bgColor indexed="64"/>
      </patternFill>
    </fill>
    <fill>
      <patternFill patternType="solid">
        <fgColor theme="4" tint="0.79998168889431442"/>
        <bgColor indexed="13"/>
      </patternFill>
    </fill>
    <fill>
      <patternFill patternType="solid">
        <fgColor theme="0" tint="-0.14999847407452621"/>
        <bgColor indexed="64"/>
      </patternFill>
    </fill>
    <fill>
      <patternFill patternType="solid">
        <fgColor rgb="FFFF0000"/>
        <bgColor indexed="64"/>
      </patternFill>
    </fill>
    <fill>
      <patternFill patternType="solid">
        <fgColor rgb="FFFFFF00"/>
        <bgColor indexed="22"/>
      </patternFill>
    </fill>
    <fill>
      <patternFill patternType="solid">
        <fgColor rgb="FFFFFF00"/>
        <bgColor indexed="49"/>
      </patternFill>
    </fill>
    <fill>
      <patternFill patternType="solid">
        <fgColor rgb="FFFFFF00"/>
        <bgColor indexed="13"/>
      </patternFill>
    </fill>
  </fills>
  <borders count="77">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thin">
        <color auto="1"/>
      </left>
      <right/>
      <top style="thin">
        <color auto="1"/>
      </top>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medium">
        <color auto="1"/>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8"/>
      </bottom>
      <diagonal/>
    </border>
    <border>
      <left style="thin">
        <color indexed="64"/>
      </left>
      <right style="thin">
        <color indexed="64"/>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auto="1"/>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auto="1"/>
      </right>
      <top/>
      <bottom style="thin">
        <color auto="1"/>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
      <left/>
      <right style="medium">
        <color indexed="64"/>
      </right>
      <top style="thin">
        <color indexed="64"/>
      </top>
      <bottom/>
      <diagonal/>
    </border>
    <border>
      <left/>
      <right style="medium">
        <color indexed="64"/>
      </right>
      <top style="thin">
        <color indexed="8"/>
      </top>
      <bottom/>
      <diagonal/>
    </border>
    <border>
      <left style="medium">
        <color indexed="64"/>
      </left>
      <right/>
      <top style="thin">
        <color indexed="64"/>
      </top>
      <bottom/>
      <diagonal/>
    </border>
    <border>
      <left/>
      <right/>
      <top style="thin">
        <color indexed="64"/>
      </top>
      <bottom/>
      <diagonal/>
    </border>
    <border>
      <left/>
      <right style="medium">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323">
    <xf numFmtId="0" fontId="0" fillId="0" borderId="0" xfId="0"/>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9" fontId="0" fillId="0" borderId="0" xfId="0" applyNumberFormat="1"/>
    <xf numFmtId="0" fontId="4"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0" fillId="0" borderId="0" xfId="0" applyAlignment="1">
      <alignment horizontal="center"/>
    </xf>
    <xf numFmtId="165" fontId="0" fillId="0" borderId="0" xfId="1" applyNumberFormat="1" applyFont="1" applyFill="1" applyAlignment="1">
      <alignment horizontal="center"/>
    </xf>
    <xf numFmtId="9" fontId="0" fillId="0" borderId="0" xfId="0" applyNumberFormat="1" applyAlignment="1">
      <alignment horizontal="center"/>
    </xf>
    <xf numFmtId="0" fontId="0" fillId="0" borderId="0" xfId="0" applyAlignment="1">
      <alignment wrapText="1"/>
    </xf>
    <xf numFmtId="0" fontId="0" fillId="0" borderId="2" xfId="0" applyBorder="1"/>
    <xf numFmtId="0" fontId="0" fillId="0" borderId="3" xfId="0" applyBorder="1"/>
    <xf numFmtId="0" fontId="14" fillId="0" borderId="0" xfId="0" applyFont="1" applyAlignment="1">
      <alignment horizontal="center"/>
    </xf>
    <xf numFmtId="0" fontId="14" fillId="0" borderId="0" xfId="0" applyFont="1"/>
    <xf numFmtId="0" fontId="13" fillId="0" borderId="0" xfId="0" applyFont="1" applyAlignment="1">
      <alignment horizontal="center" vertical="center"/>
    </xf>
    <xf numFmtId="0" fontId="10" fillId="0" borderId="0" xfId="0" applyFont="1"/>
    <xf numFmtId="0" fontId="0" fillId="0" borderId="0" xfId="0" applyAlignment="1">
      <alignment vertical="center"/>
    </xf>
    <xf numFmtId="0" fontId="10" fillId="0" borderId="0" xfId="0" applyFont="1" applyAlignment="1">
      <alignment vertical="center"/>
    </xf>
    <xf numFmtId="167" fontId="0" fillId="0" borderId="0" xfId="0" applyNumberFormat="1"/>
    <xf numFmtId="0" fontId="10" fillId="0" borderId="23" xfId="0" applyFont="1" applyBorder="1" applyAlignment="1">
      <alignment vertical="center"/>
    </xf>
    <xf numFmtId="0" fontId="0" fillId="0" borderId="23" xfId="0"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xf numFmtId="0" fontId="16" fillId="0" borderId="0" xfId="0" applyFont="1"/>
    <xf numFmtId="0" fontId="16" fillId="11" borderId="5" xfId="0" applyFont="1" applyFill="1" applyBorder="1" applyAlignment="1">
      <alignment vertical="center"/>
    </xf>
    <xf numFmtId="0" fontId="16" fillId="11" borderId="6" xfId="0" applyFont="1" applyFill="1" applyBorder="1" applyAlignment="1">
      <alignment vertical="center"/>
    </xf>
    <xf numFmtId="0" fontId="16" fillId="11" borderId="21" xfId="0" applyFont="1" applyFill="1" applyBorder="1" applyAlignment="1">
      <alignment vertical="center"/>
    </xf>
    <xf numFmtId="0" fontId="7" fillId="0" borderId="0" xfId="0" applyFont="1"/>
    <xf numFmtId="0" fontId="7" fillId="0" borderId="29" xfId="0" applyFont="1" applyBorder="1"/>
    <xf numFmtId="0" fontId="7" fillId="0" borderId="30" xfId="0" applyFont="1" applyBorder="1"/>
    <xf numFmtId="0" fontId="7" fillId="0" borderId="27" xfId="0" applyFont="1" applyBorder="1"/>
    <xf numFmtId="0" fontId="0" fillId="15" borderId="28" xfId="0" applyFill="1" applyBorder="1"/>
    <xf numFmtId="0" fontId="0" fillId="0" borderId="22" xfId="0" applyBorder="1"/>
    <xf numFmtId="0" fontId="0" fillId="15" borderId="2" xfId="0" applyFill="1" applyBorder="1"/>
    <xf numFmtId="0" fontId="0" fillId="15" borderId="3" xfId="0" applyFill="1" applyBorder="1"/>
    <xf numFmtId="0" fontId="0" fillId="15" borderId="22" xfId="0" applyFill="1" applyBorder="1"/>
    <xf numFmtId="0" fontId="7" fillId="0" borderId="24" xfId="0" applyFont="1" applyBorder="1"/>
    <xf numFmtId="0" fontId="7" fillId="0" borderId="25" xfId="0" applyFont="1" applyBorder="1"/>
    <xf numFmtId="0" fontId="7" fillId="0" borderId="26" xfId="0" applyFont="1" applyBorder="1"/>
    <xf numFmtId="0" fontId="0" fillId="11" borderId="3" xfId="0" applyFill="1" applyBorder="1"/>
    <xf numFmtId="0" fontId="0" fillId="11" borderId="22" xfId="0" applyFill="1" applyBorder="1"/>
    <xf numFmtId="0" fontId="0" fillId="11" borderId="2" xfId="0" applyFill="1" applyBorder="1"/>
    <xf numFmtId="0" fontId="0" fillId="0" borderId="28" xfId="0" applyBorder="1"/>
    <xf numFmtId="0" fontId="0" fillId="11" borderId="28" xfId="0" applyFill="1" applyBorder="1"/>
    <xf numFmtId="0" fontId="0" fillId="11" borderId="5" xfId="0" applyFill="1" applyBorder="1"/>
    <xf numFmtId="0" fontId="0" fillId="11" borderId="6" xfId="0" applyFill="1" applyBorder="1"/>
    <xf numFmtId="0" fontId="0" fillId="11" borderId="21" xfId="0" applyFill="1" applyBorder="1"/>
    <xf numFmtId="0" fontId="7" fillId="0" borderId="12" xfId="0" applyFont="1" applyBorder="1"/>
    <xf numFmtId="0" fontId="7" fillId="0" borderId="11" xfId="0" applyFont="1" applyBorder="1"/>
    <xf numFmtId="0" fontId="0" fillId="12" borderId="19" xfId="0" applyFill="1" applyBorder="1"/>
    <xf numFmtId="0" fontId="0" fillId="12" borderId="31" xfId="0" applyFill="1" applyBorder="1"/>
    <xf numFmtId="0" fontId="0" fillId="0" borderId="15" xfId="0" applyBorder="1"/>
    <xf numFmtId="0" fontId="0" fillId="0" borderId="19" xfId="0" applyBorder="1"/>
    <xf numFmtId="0" fontId="0" fillId="0" borderId="31" xfId="0" applyBorder="1"/>
    <xf numFmtId="0" fontId="10" fillId="0" borderId="29" xfId="0" applyFont="1" applyBorder="1"/>
    <xf numFmtId="0" fontId="0" fillId="13" borderId="32" xfId="0" applyFill="1" applyBorder="1"/>
    <xf numFmtId="0" fontId="0" fillId="0" borderId="32" xfId="0" applyBorder="1"/>
    <xf numFmtId="0" fontId="0" fillId="0" borderId="33" xfId="0" applyBorder="1"/>
    <xf numFmtId="0" fontId="0" fillId="0" borderId="21" xfId="0" applyBorder="1"/>
    <xf numFmtId="164" fontId="0" fillId="0" borderId="0" xfId="0" applyNumberFormat="1" applyAlignment="1">
      <alignment horizontal="center"/>
    </xf>
    <xf numFmtId="0" fontId="12" fillId="0" borderId="0" xfId="0" applyFont="1" applyAlignment="1">
      <alignment horizontal="center"/>
    </xf>
    <xf numFmtId="16" fontId="0" fillId="0" borderId="0" xfId="0" applyNumberFormat="1" applyAlignment="1">
      <alignment horizontal="center"/>
    </xf>
    <xf numFmtId="10" fontId="0" fillId="0" borderId="0" xfId="0" applyNumberFormat="1" applyAlignment="1">
      <alignment horizontal="center"/>
    </xf>
    <xf numFmtId="3" fontId="0" fillId="0" borderId="0" xfId="0" applyNumberFormat="1" applyAlignment="1">
      <alignment horizontal="center"/>
    </xf>
    <xf numFmtId="43" fontId="0" fillId="0" borderId="0" xfId="2" applyFont="1" applyFill="1" applyAlignment="1">
      <alignment horizontal="center"/>
    </xf>
    <xf numFmtId="2" fontId="0" fillId="0" borderId="0" xfId="0" applyNumberFormat="1" applyAlignment="1">
      <alignment horizontal="center"/>
    </xf>
    <xf numFmtId="168" fontId="0" fillId="0" borderId="0" xfId="0" applyNumberFormat="1" applyAlignment="1">
      <alignment horizontal="center"/>
    </xf>
    <xf numFmtId="4" fontId="2" fillId="3" borderId="1" xfId="0" applyNumberFormat="1" applyFont="1" applyFill="1" applyBorder="1" applyAlignment="1">
      <alignment horizontal="left" vertical="center" wrapText="1"/>
    </xf>
    <xf numFmtId="167" fontId="0" fillId="0" borderId="0" xfId="0" applyNumberFormat="1" applyAlignment="1">
      <alignment horizontal="center"/>
    </xf>
    <xf numFmtId="166" fontId="0" fillId="0" borderId="0" xfId="0" applyNumberFormat="1" applyAlignment="1">
      <alignment horizontal="center"/>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23" xfId="0" applyBorder="1" applyAlignment="1">
      <alignment horizontal="center" vertical="center"/>
    </xf>
    <xf numFmtId="0" fontId="10" fillId="0" borderId="23" xfId="0" applyFont="1" applyBorder="1" applyAlignment="1">
      <alignment horizontal="center" vertical="center"/>
    </xf>
    <xf numFmtId="0" fontId="16" fillId="11" borderId="6" xfId="0" applyFont="1" applyFill="1" applyBorder="1" applyAlignment="1">
      <alignment horizontal="center" vertical="center" wrapText="1"/>
    </xf>
    <xf numFmtId="0" fontId="17" fillId="0" borderId="0" xfId="0" applyFont="1" applyAlignment="1">
      <alignment horizontal="center"/>
    </xf>
    <xf numFmtId="0" fontId="14" fillId="0" borderId="12" xfId="0" applyFont="1" applyBorder="1"/>
    <xf numFmtId="0" fontId="19" fillId="0" borderId="30" xfId="0" applyFont="1" applyBorder="1" applyAlignment="1">
      <alignment horizontal="center"/>
    </xf>
    <xf numFmtId="0" fontId="19" fillId="0" borderId="37" xfId="0" applyFont="1" applyBorder="1" applyAlignment="1">
      <alignment horizontal="center"/>
    </xf>
    <xf numFmtId="0" fontId="19" fillId="0" borderId="38" xfId="0" applyFont="1" applyBorder="1" applyAlignment="1">
      <alignment horizontal="center"/>
    </xf>
    <xf numFmtId="0" fontId="19" fillId="0" borderId="11" xfId="0" applyFont="1" applyBorder="1" applyAlignment="1">
      <alignment horizontal="center"/>
    </xf>
    <xf numFmtId="0" fontId="19" fillId="0" borderId="39" xfId="0" applyFont="1" applyBorder="1" applyAlignment="1">
      <alignment horizontal="center"/>
    </xf>
    <xf numFmtId="0" fontId="14" fillId="0" borderId="8" xfId="0" applyFont="1" applyBorder="1"/>
    <xf numFmtId="0" fontId="14" fillId="0" borderId="40" xfId="0" applyFont="1" applyBorder="1" applyAlignment="1">
      <alignment horizontal="center"/>
    </xf>
    <xf numFmtId="0" fontId="14" fillId="0" borderId="41" xfId="0" applyFont="1" applyBorder="1" applyAlignment="1">
      <alignment horizontal="center"/>
    </xf>
    <xf numFmtId="0" fontId="14" fillId="0" borderId="38" xfId="0" applyFont="1" applyBorder="1" applyAlignment="1">
      <alignment horizontal="center"/>
    </xf>
    <xf numFmtId="0" fontId="14" fillId="0" borderId="42" xfId="0" applyFont="1" applyBorder="1" applyAlignment="1">
      <alignment horizontal="center"/>
    </xf>
    <xf numFmtId="0" fontId="14" fillId="0" borderId="43" xfId="0" applyFont="1" applyBorder="1" applyAlignment="1">
      <alignment horizontal="center"/>
    </xf>
    <xf numFmtId="0" fontId="0" fillId="0" borderId="43" xfId="0" applyBorder="1"/>
    <xf numFmtId="0" fontId="14" fillId="0" borderId="15" xfId="0" applyFont="1" applyBorder="1"/>
    <xf numFmtId="0" fontId="14" fillId="0" borderId="20" xfId="0" applyFont="1" applyBorder="1" applyAlignment="1">
      <alignment horizontal="center"/>
    </xf>
    <xf numFmtId="0" fontId="14" fillId="16" borderId="8" xfId="0" applyFont="1" applyFill="1" applyBorder="1" applyAlignment="1">
      <alignment horizontal="center"/>
    </xf>
    <xf numFmtId="0" fontId="14" fillId="16" borderId="9" xfId="0" applyFont="1" applyFill="1" applyBorder="1" applyAlignment="1">
      <alignment horizontal="center"/>
    </xf>
    <xf numFmtId="0" fontId="14" fillId="16" borderId="38" xfId="0" applyFont="1" applyFill="1" applyBorder="1" applyAlignment="1">
      <alignment horizontal="center"/>
    </xf>
    <xf numFmtId="0" fontId="14" fillId="8" borderId="12" xfId="0" applyFont="1" applyFill="1" applyBorder="1" applyAlignment="1">
      <alignment horizontal="center"/>
    </xf>
    <xf numFmtId="0" fontId="14" fillId="8" borderId="11" xfId="0" applyFont="1" applyFill="1" applyBorder="1" applyAlignment="1">
      <alignment horizontal="center"/>
    </xf>
    <xf numFmtId="0" fontId="14" fillId="0" borderId="11" xfId="0" applyFont="1" applyBorder="1" applyAlignment="1">
      <alignment horizontal="center"/>
    </xf>
    <xf numFmtId="0" fontId="14" fillId="0" borderId="27" xfId="0" applyFont="1" applyBorder="1" applyAlignment="1">
      <alignment horizontal="center"/>
    </xf>
    <xf numFmtId="0" fontId="14" fillId="0" borderId="23" xfId="0" applyFont="1" applyBorder="1"/>
    <xf numFmtId="0" fontId="14" fillId="16" borderId="23" xfId="0" applyFont="1" applyFill="1" applyBorder="1" applyAlignment="1">
      <alignment horizontal="center" vertical="center"/>
    </xf>
    <xf numFmtId="0" fontId="14" fillId="16" borderId="8" xfId="0" applyFont="1" applyFill="1" applyBorder="1" applyAlignment="1">
      <alignment horizontal="center" vertical="center"/>
    </xf>
    <xf numFmtId="0" fontId="14" fillId="16" borderId="38" xfId="0" applyFont="1" applyFill="1" applyBorder="1" applyAlignment="1">
      <alignment horizontal="center" vertical="center"/>
    </xf>
    <xf numFmtId="0" fontId="14" fillId="0" borderId="9" xfId="0" applyFont="1" applyBorder="1"/>
    <xf numFmtId="0" fontId="14" fillId="8" borderId="40" xfId="0" applyFont="1" applyFill="1" applyBorder="1" applyAlignment="1">
      <alignment horizontal="center" vertical="center"/>
    </xf>
    <xf numFmtId="0" fontId="14" fillId="8" borderId="43" xfId="0" applyFont="1" applyFill="1" applyBorder="1" applyAlignment="1">
      <alignment horizontal="center" vertical="center"/>
    </xf>
    <xf numFmtId="0" fontId="14" fillId="0" borderId="44" xfId="0" applyFont="1" applyBorder="1" applyAlignment="1">
      <alignment horizontal="center"/>
    </xf>
    <xf numFmtId="0" fontId="11" fillId="16" borderId="45" xfId="0" applyFont="1" applyFill="1" applyBorder="1" applyAlignment="1">
      <alignment horizontal="center" vertical="center"/>
    </xf>
    <xf numFmtId="0" fontId="11" fillId="16" borderId="46" xfId="0" applyFont="1" applyFill="1" applyBorder="1" applyAlignment="1">
      <alignment horizontal="center" vertical="center"/>
    </xf>
    <xf numFmtId="0" fontId="11" fillId="16" borderId="38" xfId="0" applyFont="1" applyFill="1" applyBorder="1" applyAlignment="1">
      <alignment horizontal="center" vertical="center"/>
    </xf>
    <xf numFmtId="0" fontId="14" fillId="0" borderId="27" xfId="0" applyFont="1" applyBorder="1" applyAlignment="1">
      <alignment horizontal="center" vertical="center"/>
    </xf>
    <xf numFmtId="0" fontId="14" fillId="8" borderId="2" xfId="0" applyFont="1" applyFill="1" applyBorder="1" applyAlignment="1">
      <alignment horizontal="center" vertical="center"/>
    </xf>
    <xf numFmtId="0" fontId="14" fillId="8" borderId="3" xfId="0" applyFont="1" applyFill="1" applyBorder="1" applyAlignment="1">
      <alignment horizontal="center" vertical="center"/>
    </xf>
    <xf numFmtId="0" fontId="14" fillId="0" borderId="3" xfId="0" applyFont="1" applyBorder="1" applyAlignment="1">
      <alignment horizontal="center"/>
    </xf>
    <xf numFmtId="0" fontId="14" fillId="0" borderId="4" xfId="0" applyFont="1" applyBorder="1" applyAlignment="1">
      <alignment horizontal="center"/>
    </xf>
    <xf numFmtId="0" fontId="11" fillId="16" borderId="47" xfId="0" applyFont="1" applyFill="1" applyBorder="1" applyAlignment="1">
      <alignment horizontal="center" vertical="center"/>
    </xf>
    <xf numFmtId="0" fontId="14" fillId="8" borderId="27" xfId="0" applyFont="1" applyFill="1" applyBorder="1" applyAlignment="1">
      <alignment horizontal="center" vertical="center"/>
    </xf>
    <xf numFmtId="0" fontId="11" fillId="8" borderId="48" xfId="0" applyFont="1" applyFill="1" applyBorder="1" applyAlignment="1">
      <alignment horizontal="center" vertical="center"/>
    </xf>
    <xf numFmtId="0" fontId="11" fillId="8" borderId="49" xfId="0" applyFont="1" applyFill="1" applyBorder="1" applyAlignment="1">
      <alignment horizontal="center" vertical="center"/>
    </xf>
    <xf numFmtId="0" fontId="11" fillId="0" borderId="49" xfId="0" applyFont="1" applyBorder="1" applyAlignment="1">
      <alignment horizontal="center"/>
    </xf>
    <xf numFmtId="0" fontId="11" fillId="0" borderId="50" xfId="0" applyFont="1" applyBorder="1" applyAlignment="1">
      <alignment horizontal="center"/>
    </xf>
    <xf numFmtId="0" fontId="14" fillId="8" borderId="22" xfId="0" applyFont="1" applyFill="1" applyBorder="1" applyAlignment="1">
      <alignment horizontal="center" vertical="center"/>
    </xf>
    <xf numFmtId="0" fontId="11" fillId="8" borderId="38" xfId="0" applyFont="1" applyFill="1" applyBorder="1" applyAlignment="1">
      <alignment horizontal="center" vertical="center"/>
    </xf>
    <xf numFmtId="0" fontId="11" fillId="0" borderId="38" xfId="0" applyFont="1" applyBorder="1" applyAlignment="1">
      <alignment horizontal="center"/>
    </xf>
    <xf numFmtId="0" fontId="11" fillId="0" borderId="51" xfId="0" applyFont="1" applyBorder="1" applyAlignment="1">
      <alignment horizontal="center"/>
    </xf>
    <xf numFmtId="0" fontId="0" fillId="0" borderId="38" xfId="0" applyBorder="1" applyAlignment="1">
      <alignment horizontal="center"/>
    </xf>
    <xf numFmtId="0" fontId="11" fillId="8" borderId="51" xfId="0" applyFont="1" applyFill="1" applyBorder="1" applyAlignment="1">
      <alignment horizontal="center" vertical="center"/>
    </xf>
    <xf numFmtId="0" fontId="11" fillId="8" borderId="52" xfId="0" applyFont="1" applyFill="1" applyBorder="1" applyAlignment="1">
      <alignment horizontal="center"/>
    </xf>
    <xf numFmtId="0" fontId="11" fillId="8" borderId="53" xfId="0" applyFont="1" applyFill="1" applyBorder="1" applyAlignment="1">
      <alignment horizontal="center" vertical="center"/>
    </xf>
    <xf numFmtId="0" fontId="14" fillId="0" borderId="53" xfId="0" applyFont="1" applyBorder="1" applyAlignment="1">
      <alignment horizontal="center"/>
    </xf>
    <xf numFmtId="0" fontId="0" fillId="0" borderId="53" xfId="0" applyBorder="1"/>
    <xf numFmtId="0" fontId="11" fillId="8" borderId="54" xfId="0" applyFont="1" applyFill="1" applyBorder="1" applyAlignment="1">
      <alignment horizontal="center" vertical="center"/>
    </xf>
    <xf numFmtId="0" fontId="14" fillId="0" borderId="20" xfId="0" applyFont="1" applyBorder="1"/>
    <xf numFmtId="0" fontId="14" fillId="8" borderId="0" xfId="0" applyFont="1" applyFill="1" applyAlignment="1">
      <alignment horizontal="center" vertical="center"/>
    </xf>
    <xf numFmtId="0" fontId="11" fillId="8" borderId="28" xfId="0" applyFont="1" applyFill="1" applyBorder="1" applyAlignment="1">
      <alignment horizontal="center" vertical="center"/>
    </xf>
    <xf numFmtId="0" fontId="11" fillId="8" borderId="32" xfId="0" applyFont="1" applyFill="1" applyBorder="1" applyAlignment="1">
      <alignment horizontal="center" vertical="center"/>
    </xf>
    <xf numFmtId="0" fontId="11" fillId="0" borderId="32" xfId="0" applyFont="1" applyBorder="1" applyAlignment="1">
      <alignment horizontal="center"/>
    </xf>
    <xf numFmtId="0" fontId="11" fillId="0" borderId="55" xfId="0" applyFont="1" applyBorder="1" applyAlignment="1">
      <alignment horizontal="center"/>
    </xf>
    <xf numFmtId="0" fontId="11" fillId="8" borderId="47" xfId="0" applyFont="1" applyFill="1" applyBorder="1" applyAlignment="1">
      <alignment horizontal="center" vertical="center"/>
    </xf>
    <xf numFmtId="0" fontId="11" fillId="16" borderId="56" xfId="0" applyFont="1" applyFill="1" applyBorder="1" applyAlignment="1">
      <alignment horizontal="center" vertical="center"/>
    </xf>
    <xf numFmtId="0" fontId="11" fillId="16" borderId="13" xfId="0" applyFont="1" applyFill="1" applyBorder="1" applyAlignment="1">
      <alignment horizontal="center" vertical="center"/>
    </xf>
    <xf numFmtId="0" fontId="11" fillId="16" borderId="57" xfId="0" applyFont="1" applyFill="1" applyBorder="1" applyAlignment="1">
      <alignment horizontal="center" vertical="center"/>
    </xf>
    <xf numFmtId="0" fontId="11" fillId="16" borderId="58" xfId="0" applyFont="1" applyFill="1" applyBorder="1" applyAlignment="1">
      <alignment horizontal="center" vertical="center"/>
    </xf>
    <xf numFmtId="0" fontId="11" fillId="16" borderId="38" xfId="0" applyFont="1" applyFill="1" applyBorder="1" applyAlignment="1">
      <alignment horizontal="center"/>
    </xf>
    <xf numFmtId="0" fontId="11" fillId="16" borderId="12" xfId="0" applyFont="1" applyFill="1" applyBorder="1" applyAlignment="1">
      <alignment horizontal="center" vertical="center"/>
    </xf>
    <xf numFmtId="0" fontId="11" fillId="16" borderId="11" xfId="0" applyFont="1" applyFill="1" applyBorder="1" applyAlignment="1">
      <alignment horizontal="center" vertical="center"/>
    </xf>
    <xf numFmtId="0" fontId="11" fillId="16" borderId="14" xfId="0" applyFont="1" applyFill="1" applyBorder="1" applyAlignment="1">
      <alignment horizontal="center" vertical="center"/>
    </xf>
    <xf numFmtId="0" fontId="11" fillId="16" borderId="20" xfId="0" applyFont="1" applyFill="1" applyBorder="1" applyAlignment="1">
      <alignment horizontal="center" vertical="center"/>
    </xf>
    <xf numFmtId="0" fontId="11" fillId="8" borderId="56" xfId="0" applyFont="1" applyFill="1" applyBorder="1" applyAlignment="1">
      <alignment horizontal="center"/>
    </xf>
    <xf numFmtId="0" fontId="14" fillId="16" borderId="40" xfId="0" applyFont="1" applyFill="1" applyBorder="1" applyAlignment="1">
      <alignment horizontal="center" vertical="center"/>
    </xf>
    <xf numFmtId="0" fontId="14" fillId="16" borderId="41" xfId="0" applyFont="1" applyFill="1" applyBorder="1" applyAlignment="1">
      <alignment horizontal="center" vertical="center"/>
    </xf>
    <xf numFmtId="0" fontId="14" fillId="8" borderId="20" xfId="0" applyFont="1" applyFill="1" applyBorder="1" applyAlignment="1">
      <alignment horizontal="center" vertical="center"/>
    </xf>
    <xf numFmtId="0" fontId="14" fillId="0" borderId="30" xfId="0" applyFont="1" applyBorder="1" applyAlignment="1">
      <alignment horizontal="center"/>
    </xf>
    <xf numFmtId="0" fontId="14" fillId="0" borderId="37" xfId="0" applyFont="1" applyBorder="1" applyAlignment="1">
      <alignment horizontal="center"/>
    </xf>
    <xf numFmtId="0" fontId="14" fillId="0" borderId="39" xfId="0" applyFont="1" applyBorder="1" applyAlignment="1">
      <alignment horizontal="center"/>
    </xf>
    <xf numFmtId="0" fontId="14" fillId="0" borderId="40" xfId="0" applyFont="1" applyBorder="1"/>
    <xf numFmtId="0" fontId="14" fillId="8" borderId="8" xfId="0" applyFont="1" applyFill="1" applyBorder="1" applyAlignment="1">
      <alignment horizontal="center"/>
    </xf>
    <xf numFmtId="0" fontId="14" fillId="8" borderId="9" xfId="0" applyFont="1" applyFill="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1" fillId="16" borderId="49" xfId="0" applyFont="1" applyFill="1" applyBorder="1" applyAlignment="1">
      <alignment horizontal="center" vertical="center"/>
    </xf>
    <xf numFmtId="0" fontId="14" fillId="0" borderId="11" xfId="0" applyFont="1" applyBorder="1" applyAlignment="1">
      <alignment horizontal="center" vertical="center"/>
    </xf>
    <xf numFmtId="0" fontId="11" fillId="8" borderId="45" xfId="0" applyFont="1" applyFill="1" applyBorder="1" applyAlignment="1">
      <alignment horizontal="center" vertical="center"/>
    </xf>
    <xf numFmtId="0" fontId="11" fillId="8" borderId="57" xfId="0" applyFont="1" applyFill="1" applyBorder="1" applyAlignment="1">
      <alignment horizontal="center"/>
    </xf>
    <xf numFmtId="0" fontId="11" fillId="8" borderId="59" xfId="0" applyFont="1" applyFill="1" applyBorder="1" applyAlignment="1">
      <alignment horizontal="center" vertical="center"/>
    </xf>
    <xf numFmtId="0" fontId="14" fillId="0" borderId="59" xfId="0" applyFont="1" applyBorder="1" applyAlignment="1">
      <alignment horizontal="center"/>
    </xf>
    <xf numFmtId="0" fontId="11" fillId="8" borderId="60" xfId="0" applyFont="1" applyFill="1" applyBorder="1" applyAlignment="1">
      <alignment horizontal="center" vertical="center"/>
    </xf>
    <xf numFmtId="0" fontId="14" fillId="8" borderId="11" xfId="0" applyFont="1" applyFill="1" applyBorder="1" applyAlignment="1">
      <alignment horizontal="center" vertical="center"/>
    </xf>
    <xf numFmtId="0" fontId="11" fillId="16" borderId="59" xfId="0" applyFont="1" applyFill="1" applyBorder="1" applyAlignment="1">
      <alignment horizontal="center" vertical="center"/>
    </xf>
    <xf numFmtId="0" fontId="11" fillId="16" borderId="58" xfId="0" applyFont="1" applyFill="1" applyBorder="1" applyAlignment="1">
      <alignment horizontal="center"/>
    </xf>
    <xf numFmtId="0" fontId="11" fillId="8" borderId="47" xfId="0" applyFont="1" applyFill="1" applyBorder="1" applyAlignment="1">
      <alignment horizontal="center"/>
    </xf>
    <xf numFmtId="0" fontId="11" fillId="16" borderId="15" xfId="0" applyFont="1" applyFill="1" applyBorder="1" applyAlignment="1">
      <alignment horizontal="center" vertical="center"/>
    </xf>
    <xf numFmtId="0" fontId="11" fillId="16" borderId="0" xfId="0" applyFont="1" applyFill="1" applyAlignment="1">
      <alignment horizontal="center" vertical="center"/>
    </xf>
    <xf numFmtId="0" fontId="11" fillId="16" borderId="0" xfId="0" applyFont="1" applyFill="1" applyAlignment="1">
      <alignment horizontal="center"/>
    </xf>
    <xf numFmtId="0" fontId="14" fillId="16" borderId="43" xfId="0" applyFont="1" applyFill="1" applyBorder="1" applyAlignment="1">
      <alignment horizontal="center" vertical="center"/>
    </xf>
    <xf numFmtId="0" fontId="14" fillId="0" borderId="21" xfId="0" applyFont="1" applyBorder="1" applyAlignment="1">
      <alignment horizontal="center"/>
    </xf>
    <xf numFmtId="0" fontId="14" fillId="16" borderId="10" xfId="0" applyFont="1" applyFill="1" applyBorder="1" applyAlignment="1">
      <alignment horizontal="center"/>
    </xf>
    <xf numFmtId="0" fontId="11" fillId="16" borderId="50" xfId="0" applyFont="1" applyFill="1" applyBorder="1" applyAlignment="1">
      <alignment horizontal="center" vertical="center"/>
    </xf>
    <xf numFmtId="0" fontId="14" fillId="0" borderId="12" xfId="0" applyFont="1" applyBorder="1" applyAlignment="1">
      <alignment horizontal="center" vertical="center"/>
    </xf>
    <xf numFmtId="0" fontId="11" fillId="16" borderId="51" xfId="0" applyFont="1" applyFill="1" applyBorder="1" applyAlignment="1">
      <alignment horizontal="center" vertical="center"/>
    </xf>
    <xf numFmtId="0" fontId="14" fillId="8" borderId="15" xfId="0" applyFont="1" applyFill="1" applyBorder="1" applyAlignment="1">
      <alignment horizontal="center" vertical="center"/>
    </xf>
    <xf numFmtId="0" fontId="14" fillId="8" borderId="14" xfId="0" applyFont="1" applyFill="1" applyBorder="1" applyAlignment="1">
      <alignment horizontal="center" vertical="center"/>
    </xf>
    <xf numFmtId="0" fontId="14" fillId="8" borderId="12" xfId="0" applyFont="1" applyFill="1" applyBorder="1" applyAlignment="1">
      <alignment horizontal="center" vertical="center"/>
    </xf>
    <xf numFmtId="0" fontId="14" fillId="16" borderId="44" xfId="0" applyFont="1" applyFill="1" applyBorder="1" applyAlignment="1">
      <alignment horizontal="center" vertical="center"/>
    </xf>
    <xf numFmtId="0" fontId="14" fillId="0" borderId="17" xfId="0" applyFont="1" applyBorder="1" applyAlignment="1">
      <alignment horizontal="center" vertical="center"/>
    </xf>
    <xf numFmtId="0" fontId="14" fillId="8" borderId="17" xfId="0" applyFont="1" applyFill="1" applyBorder="1" applyAlignment="1">
      <alignment horizontal="center" vertical="center"/>
    </xf>
    <xf numFmtId="0" fontId="14" fillId="8" borderId="16" xfId="0" applyFont="1" applyFill="1" applyBorder="1" applyAlignment="1">
      <alignment horizontal="center" vertical="center"/>
    </xf>
    <xf numFmtId="0" fontId="0" fillId="0" borderId="18" xfId="0" applyBorder="1"/>
    <xf numFmtId="0" fontId="14" fillId="0" borderId="14" xfId="0" applyFont="1" applyBorder="1"/>
    <xf numFmtId="0" fontId="11" fillId="16" borderId="53" xfId="0" applyFont="1" applyFill="1" applyBorder="1" applyAlignment="1">
      <alignment horizontal="center" vertical="center"/>
    </xf>
    <xf numFmtId="0" fontId="11" fillId="16" borderId="27" xfId="0" applyFont="1" applyFill="1" applyBorder="1" applyAlignment="1">
      <alignment horizontal="center"/>
    </xf>
    <xf numFmtId="0" fontId="11" fillId="16" borderId="21" xfId="0" applyFont="1" applyFill="1" applyBorder="1" applyAlignment="1">
      <alignment horizontal="center"/>
    </xf>
    <xf numFmtId="0" fontId="20" fillId="8" borderId="30" xfId="0" applyFont="1" applyFill="1" applyBorder="1" applyAlignment="1">
      <alignment horizontal="center"/>
    </xf>
    <xf numFmtId="0" fontId="20" fillId="8" borderId="39" xfId="0" applyFont="1" applyFill="1" applyBorder="1" applyAlignment="1">
      <alignment horizontal="center"/>
    </xf>
    <xf numFmtId="0" fontId="10" fillId="0" borderId="40" xfId="0" applyFont="1" applyBorder="1"/>
    <xf numFmtId="0" fontId="10" fillId="8" borderId="43" xfId="0" applyFont="1" applyFill="1" applyBorder="1" applyAlignment="1">
      <alignment horizontal="center"/>
    </xf>
    <xf numFmtId="0" fontId="10" fillId="8" borderId="44" xfId="0" applyFont="1" applyFill="1" applyBorder="1" applyAlignment="1">
      <alignment horizontal="center"/>
    </xf>
    <xf numFmtId="0" fontId="10" fillId="8" borderId="0" xfId="0" applyFont="1" applyFill="1" applyAlignment="1">
      <alignment horizontal="center"/>
    </xf>
    <xf numFmtId="0" fontId="14" fillId="0" borderId="8" xfId="0" applyFont="1" applyBorder="1" applyAlignment="1">
      <alignment horizont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 xfId="0" applyFont="1" applyBorder="1" applyAlignment="1">
      <alignment horizont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1" fillId="0" borderId="45" xfId="0" applyFont="1" applyBorder="1" applyAlignment="1">
      <alignment horizont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xf>
    <xf numFmtId="0" fontId="11" fillId="0" borderId="38" xfId="0" applyFont="1" applyBorder="1" applyAlignment="1">
      <alignment horizontal="center" vertical="center"/>
    </xf>
    <xf numFmtId="0" fontId="11" fillId="0" borderId="51" xfId="0" applyFont="1" applyBorder="1" applyAlignment="1">
      <alignment horizontal="center" vertical="center"/>
    </xf>
    <xf numFmtId="0" fontId="11" fillId="0" borderId="57" xfId="0" applyFont="1" applyBorder="1" applyAlignment="1">
      <alignment horizontal="center"/>
    </xf>
    <xf numFmtId="0" fontId="11" fillId="0" borderId="59" xfId="0" applyFont="1" applyBorder="1" applyAlignment="1">
      <alignment horizontal="center"/>
    </xf>
    <xf numFmtId="0" fontId="11" fillId="0" borderId="59" xfId="0" applyFont="1" applyBorder="1" applyAlignment="1">
      <alignment horizontal="center" vertical="center"/>
    </xf>
    <xf numFmtId="0" fontId="11" fillId="0" borderId="60" xfId="0" applyFont="1" applyBorder="1" applyAlignment="1">
      <alignment horizontal="center"/>
    </xf>
    <xf numFmtId="0" fontId="14" fillId="0" borderId="42" xfId="0" applyFont="1" applyBorder="1" applyAlignment="1">
      <alignment horizontal="center" vertical="center"/>
    </xf>
    <xf numFmtId="0" fontId="14" fillId="0" borderId="14" xfId="0" applyFont="1" applyBorder="1" applyAlignment="1">
      <alignment horizontal="center"/>
    </xf>
    <xf numFmtId="0" fontId="14" fillId="0" borderId="6" xfId="0" applyFont="1" applyBorder="1" applyAlignment="1">
      <alignment horizontal="center" vertical="center"/>
    </xf>
    <xf numFmtId="0" fontId="14" fillId="0" borderId="61" xfId="0" applyFont="1" applyBorder="1" applyAlignment="1">
      <alignment horizontal="center" vertical="center"/>
    </xf>
    <xf numFmtId="0" fontId="14" fillId="0" borderId="7" xfId="0" applyFont="1" applyBorder="1" applyAlignment="1">
      <alignment horizontal="center" vertical="center"/>
    </xf>
    <xf numFmtId="0" fontId="21" fillId="0" borderId="23" xfId="0" applyFont="1" applyBorder="1" applyAlignment="1">
      <alignment vertical="center" wrapText="1"/>
    </xf>
    <xf numFmtId="0" fontId="21" fillId="0" borderId="10" xfId="0" applyFont="1" applyBorder="1" applyAlignment="1">
      <alignment vertical="center" wrapText="1"/>
    </xf>
    <xf numFmtId="0" fontId="22" fillId="0" borderId="18" xfId="0" applyFont="1" applyBorder="1" applyAlignment="1">
      <alignment vertical="center" wrapText="1"/>
    </xf>
    <xf numFmtId="0" fontId="22" fillId="0" borderId="21" xfId="0" applyFont="1" applyBorder="1" applyAlignment="1">
      <alignment vertical="center" wrapText="1"/>
    </xf>
    <xf numFmtId="0" fontId="23" fillId="0" borderId="21" xfId="0" applyFont="1" applyBorder="1" applyAlignment="1">
      <alignment vertical="center" wrapText="1"/>
    </xf>
    <xf numFmtId="0" fontId="21" fillId="0" borderId="16" xfId="0" applyFont="1" applyBorder="1" applyAlignment="1">
      <alignment vertical="center" wrapText="1"/>
    </xf>
    <xf numFmtId="0" fontId="21" fillId="0" borderId="18" xfId="0" applyFont="1" applyBorder="1" applyAlignment="1">
      <alignment vertical="center" wrapText="1"/>
    </xf>
    <xf numFmtId="0" fontId="24" fillId="0" borderId="21" xfId="0" applyFont="1" applyBorder="1" applyAlignment="1">
      <alignment vertical="center" wrapText="1"/>
    </xf>
    <xf numFmtId="0" fontId="25" fillId="0" borderId="16" xfId="0" applyFont="1" applyBorder="1" applyAlignment="1">
      <alignment vertical="center" wrapText="1"/>
    </xf>
    <xf numFmtId="0" fontId="26" fillId="0" borderId="21" xfId="0" applyFont="1" applyBorder="1" applyAlignment="1">
      <alignment vertical="center" wrapText="1"/>
    </xf>
    <xf numFmtId="0" fontId="21" fillId="0" borderId="21" xfId="0" applyFont="1" applyBorder="1" applyAlignment="1">
      <alignment vertical="center" wrapText="1"/>
    </xf>
    <xf numFmtId="0" fontId="24" fillId="0" borderId="18" xfId="0" applyFont="1" applyBorder="1" applyAlignment="1">
      <alignment vertical="center" wrapText="1"/>
    </xf>
    <xf numFmtId="0" fontId="0" fillId="17" borderId="0" xfId="0" applyFill="1"/>
    <xf numFmtId="0" fontId="0" fillId="0" borderId="38" xfId="0" applyBorder="1"/>
    <xf numFmtId="0" fontId="0" fillId="17" borderId="38" xfId="0" applyFill="1" applyBorder="1"/>
    <xf numFmtId="0" fontId="0" fillId="18" borderId="3" xfId="0" applyFill="1" applyBorder="1"/>
    <xf numFmtId="0" fontId="0" fillId="0" borderId="56" xfId="0" applyBorder="1"/>
    <xf numFmtId="0" fontId="0" fillId="11" borderId="56" xfId="0" applyFill="1" applyBorder="1"/>
    <xf numFmtId="0" fontId="0" fillId="11" borderId="53" xfId="0" applyFill="1" applyBorder="1"/>
    <xf numFmtId="0" fontId="0" fillId="11" borderId="32" xfId="0" applyFill="1" applyBorder="1"/>
    <xf numFmtId="0" fontId="0" fillId="11" borderId="33" xfId="0" applyFill="1" applyBorder="1"/>
    <xf numFmtId="0" fontId="0" fillId="12" borderId="33" xfId="0" applyFill="1" applyBorder="1"/>
    <xf numFmtId="0" fontId="0" fillId="12" borderId="62" xfId="0" applyFill="1" applyBorder="1"/>
    <xf numFmtId="0" fontId="0" fillId="14" borderId="62" xfId="0" applyFill="1" applyBorder="1"/>
    <xf numFmtId="0" fontId="0" fillId="0" borderId="14" xfId="0" applyBorder="1"/>
    <xf numFmtId="0" fontId="0" fillId="0" borderId="20" xfId="0" applyBorder="1"/>
    <xf numFmtId="0" fontId="0" fillId="15" borderId="56" xfId="0" applyFill="1" applyBorder="1"/>
    <xf numFmtId="0" fontId="0" fillId="15" borderId="53" xfId="0" applyFill="1" applyBorder="1"/>
    <xf numFmtId="0" fontId="0" fillId="15" borderId="32" xfId="0" applyFill="1" applyBorder="1"/>
    <xf numFmtId="0" fontId="0" fillId="15" borderId="33" xfId="0" applyFill="1" applyBorder="1"/>
    <xf numFmtId="0" fontId="0" fillId="15" borderId="47" xfId="0" applyFill="1" applyBorder="1"/>
    <xf numFmtId="0" fontId="0" fillId="15" borderId="38" xfId="0" applyFill="1" applyBorder="1"/>
    <xf numFmtId="0" fontId="0" fillId="20" borderId="38" xfId="0" applyFill="1" applyBorder="1"/>
    <xf numFmtId="0" fontId="0" fillId="13" borderId="53" xfId="0" applyFill="1" applyBorder="1"/>
    <xf numFmtId="0" fontId="0" fillId="0" borderId="57" xfId="0" applyBorder="1"/>
    <xf numFmtId="0" fontId="0" fillId="0" borderId="59" xfId="0" applyBorder="1"/>
    <xf numFmtId="0" fontId="0" fillId="9" borderId="63" xfId="0" applyFill="1" applyBorder="1"/>
    <xf numFmtId="0" fontId="0" fillId="0" borderId="64" xfId="0" applyBorder="1"/>
    <xf numFmtId="0" fontId="0" fillId="9" borderId="2" xfId="0" applyFill="1" applyBorder="1"/>
    <xf numFmtId="0" fontId="0" fillId="9" borderId="0" xfId="0" applyFill="1"/>
    <xf numFmtId="0" fontId="0" fillId="9" borderId="38" xfId="0" applyFill="1" applyBorder="1"/>
    <xf numFmtId="0" fontId="16" fillId="0" borderId="0" xfId="0" applyFont="1" applyAlignment="1">
      <alignment horizontal="center" vertical="center" wrapText="1"/>
    </xf>
    <xf numFmtId="0" fontId="16" fillId="0" borderId="0" xfId="0" applyFont="1" applyAlignment="1">
      <alignment wrapText="1"/>
    </xf>
    <xf numFmtId="0" fontId="16" fillId="0" borderId="0" xfId="0" applyFont="1" applyAlignment="1">
      <alignment vertical="center" wrapText="1"/>
    </xf>
    <xf numFmtId="165" fontId="0" fillId="0" borderId="0" xfId="0" applyNumberFormat="1"/>
    <xf numFmtId="0" fontId="0" fillId="11" borderId="65" xfId="0" applyFill="1" applyBorder="1"/>
    <xf numFmtId="0" fontId="0" fillId="11" borderId="66" xfId="0" applyFill="1" applyBorder="1"/>
    <xf numFmtId="0" fontId="0" fillId="0" borderId="67" xfId="0" applyBorder="1"/>
    <xf numFmtId="0" fontId="0" fillId="11" borderId="67" xfId="0" applyFill="1" applyBorder="1"/>
    <xf numFmtId="0" fontId="0" fillId="11" borderId="68" xfId="0" applyFill="1" applyBorder="1"/>
    <xf numFmtId="0" fontId="0" fillId="12" borderId="69" xfId="0" applyFill="1" applyBorder="1"/>
    <xf numFmtId="0" fontId="0" fillId="12" borderId="70" xfId="0" applyFill="1" applyBorder="1"/>
    <xf numFmtId="0" fontId="0" fillId="12" borderId="67" xfId="0" applyFill="1" applyBorder="1"/>
    <xf numFmtId="0" fontId="0" fillId="0" borderId="69" xfId="0" applyBorder="1"/>
    <xf numFmtId="0" fontId="0" fillId="0" borderId="70" xfId="0" applyBorder="1"/>
    <xf numFmtId="0" fontId="0" fillId="12" borderId="71" xfId="0" applyFill="1" applyBorder="1"/>
    <xf numFmtId="0" fontId="0" fillId="14" borderId="72" xfId="0" applyFill="1" applyBorder="1"/>
    <xf numFmtId="0" fontId="0" fillId="9" borderId="72" xfId="0" applyFill="1" applyBorder="1"/>
    <xf numFmtId="0" fontId="0" fillId="14" borderId="71" xfId="0" applyFill="1" applyBorder="1"/>
    <xf numFmtId="0" fontId="0" fillId="15" borderId="67" xfId="0" applyFill="1" applyBorder="1"/>
    <xf numFmtId="0" fontId="0" fillId="15" borderId="71" xfId="0" applyFill="1" applyBorder="1"/>
    <xf numFmtId="0" fontId="0" fillId="13" borderId="67" xfId="0" applyFill="1" applyBorder="1"/>
    <xf numFmtId="0" fontId="19" fillId="0" borderId="73" xfId="0" applyFont="1" applyBorder="1" applyAlignment="1">
      <alignment horizontal="center"/>
    </xf>
    <xf numFmtId="0" fontId="14" fillId="0" borderId="73" xfId="0" applyFont="1" applyBorder="1" applyAlignment="1">
      <alignment horizontal="center"/>
    </xf>
    <xf numFmtId="0" fontId="14" fillId="16" borderId="73" xfId="0" applyFont="1" applyFill="1" applyBorder="1" applyAlignment="1">
      <alignment horizontal="center"/>
    </xf>
    <xf numFmtId="0" fontId="14" fillId="16" borderId="73" xfId="0" applyFont="1" applyFill="1" applyBorder="1" applyAlignment="1">
      <alignment horizontal="center" vertical="center"/>
    </xf>
    <xf numFmtId="0" fontId="11" fillId="16" borderId="73" xfId="0" applyFont="1" applyFill="1" applyBorder="1" applyAlignment="1">
      <alignment horizontal="center" vertical="center"/>
    </xf>
    <xf numFmtId="0" fontId="11" fillId="16" borderId="74" xfId="0" applyFont="1" applyFill="1" applyBorder="1" applyAlignment="1">
      <alignment horizontal="center" vertical="center"/>
    </xf>
    <xf numFmtId="0" fontId="11" fillId="8" borderId="73" xfId="0" applyFont="1" applyFill="1" applyBorder="1" applyAlignment="1">
      <alignment horizontal="center" vertical="center"/>
    </xf>
    <xf numFmtId="0" fontId="11" fillId="16" borderId="73" xfId="0" applyFont="1" applyFill="1" applyBorder="1" applyAlignment="1">
      <alignment horizontal="center"/>
    </xf>
    <xf numFmtId="0" fontId="4" fillId="5" borderId="34" xfId="0" applyFont="1" applyFill="1" applyBorder="1" applyAlignment="1">
      <alignment horizontal="center" vertical="center" wrapText="1"/>
    </xf>
    <xf numFmtId="0" fontId="4" fillId="5" borderId="35"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23" fillId="0" borderId="17" xfId="0" applyFont="1" applyBorder="1" applyAlignment="1">
      <alignment vertical="center" wrapText="1"/>
    </xf>
    <xf numFmtId="0" fontId="23" fillId="0" borderId="18" xfId="0" applyFont="1" applyBorder="1" applyAlignment="1">
      <alignment vertical="center" wrapText="1"/>
    </xf>
    <xf numFmtId="0" fontId="0" fillId="11" borderId="75" xfId="0" applyFill="1" applyBorder="1"/>
    <xf numFmtId="0" fontId="0" fillId="11" borderId="76" xfId="0" applyFill="1" applyBorder="1"/>
    <xf numFmtId="0" fontId="0" fillId="12" borderId="72" xfId="0" applyFill="1" applyBorder="1"/>
    <xf numFmtId="0" fontId="0" fillId="19" borderId="72" xfId="0" applyFill="1" applyBorder="1"/>
  </cellXfs>
  <cellStyles count="3">
    <cellStyle name="Comma" xfId="2" builtinId="3"/>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16 weeks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report'!$A$59</c:f>
              <c:strCache>
                <c:ptCount val="1"/>
                <c:pt idx="0">
                  <c:v># Of Animals Under</c:v>
                </c:pt>
              </c:strCache>
            </c:strRef>
          </c:tx>
          <c:spPr>
            <a:solidFill>
              <a:srgbClr val="FF0000"/>
            </a:solidFill>
            <a:ln>
              <a:solidFill>
                <a:srgbClr val="FF000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report'!$Y$59:$BO$59</c:f>
              <c:numCache>
                <c:formatCode>General</c:formatCode>
                <c:ptCount val="43"/>
                <c:pt idx="0">
                  <c:v>2</c:v>
                </c:pt>
                <c:pt idx="1">
                  <c:v>8</c:v>
                </c:pt>
                <c:pt idx="2">
                  <c:v>2</c:v>
                </c:pt>
                <c:pt idx="3">
                  <c:v>4</c:v>
                </c:pt>
                <c:pt idx="4">
                  <c:v>6</c:v>
                </c:pt>
                <c:pt idx="5">
                  <c:v>6</c:v>
                </c:pt>
                <c:pt idx="6">
                  <c:v>12</c:v>
                </c:pt>
                <c:pt idx="7">
                  <c:v>13</c:v>
                </c:pt>
                <c:pt idx="8">
                  <c:v>8</c:v>
                </c:pt>
                <c:pt idx="9">
                  <c:v>11</c:v>
                </c:pt>
                <c:pt idx="10">
                  <c:v>2</c:v>
                </c:pt>
                <c:pt idx="11">
                  <c:v>2</c:v>
                </c:pt>
                <c:pt idx="12">
                  <c:v>9</c:v>
                </c:pt>
                <c:pt idx="13">
                  <c:v>9</c:v>
                </c:pt>
                <c:pt idx="14">
                  <c:v>5</c:v>
                </c:pt>
                <c:pt idx="15">
                  <c:v>1</c:v>
                </c:pt>
                <c:pt idx="16">
                  <c:v>2</c:v>
                </c:pt>
                <c:pt idx="17">
                  <c:v>3</c:v>
                </c:pt>
                <c:pt idx="18">
                  <c:v>6</c:v>
                </c:pt>
                <c:pt idx="19">
                  <c:v>5</c:v>
                </c:pt>
                <c:pt idx="20">
                  <c:v>8</c:v>
                </c:pt>
                <c:pt idx="21">
                  <c:v>2</c:v>
                </c:pt>
                <c:pt idx="22">
                  <c:v>4</c:v>
                </c:pt>
                <c:pt idx="23">
                  <c:v>2</c:v>
                </c:pt>
                <c:pt idx="25">
                  <c:v>2</c:v>
                </c:pt>
                <c:pt idx="26">
                  <c:v>1</c:v>
                </c:pt>
                <c:pt idx="27">
                  <c:v>2</c:v>
                </c:pt>
                <c:pt idx="28">
                  <c:v>4</c:v>
                </c:pt>
                <c:pt idx="29">
                  <c:v>9</c:v>
                </c:pt>
                <c:pt idx="30">
                  <c:v>6</c:v>
                </c:pt>
                <c:pt idx="31">
                  <c:v>3</c:v>
                </c:pt>
                <c:pt idx="32">
                  <c:v>2</c:v>
                </c:pt>
                <c:pt idx="33">
                  <c:v>2</c:v>
                </c:pt>
                <c:pt idx="34">
                  <c:v>7</c:v>
                </c:pt>
                <c:pt idx="37">
                  <c:v>7</c:v>
                </c:pt>
              </c:numCache>
            </c:numRef>
          </c:val>
          <c:extLst>
            <c:ext xmlns:c16="http://schemas.microsoft.com/office/drawing/2014/chart" uri="{C3380CC4-5D6E-409C-BE32-E72D297353CC}">
              <c16:uniqueId val="{00000000-1D58-4D74-B354-FB4146C30151}"/>
            </c:ext>
          </c:extLst>
        </c:ser>
        <c:ser>
          <c:idx val="1"/>
          <c:order val="1"/>
          <c:tx>
            <c:strRef>
              <c:f>'[2]Weekly report'!$A$61</c:f>
              <c:strCache>
                <c:ptCount val="1"/>
                <c:pt idx="0">
                  <c:v># Of Animals In</c:v>
                </c:pt>
              </c:strCache>
            </c:strRef>
          </c:tx>
          <c:spPr>
            <a:solidFill>
              <a:srgbClr val="00B050"/>
            </a:solidFill>
            <a:ln>
              <a:solidFill>
                <a:srgbClr val="00B05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report'!$Y$61:$BO$61</c:f>
              <c:numCache>
                <c:formatCode>General</c:formatCode>
                <c:ptCount val="43"/>
                <c:pt idx="0">
                  <c:v>2</c:v>
                </c:pt>
                <c:pt idx="2">
                  <c:v>1</c:v>
                </c:pt>
                <c:pt idx="3">
                  <c:v>1</c:v>
                </c:pt>
                <c:pt idx="4">
                  <c:v>4</c:v>
                </c:pt>
                <c:pt idx="5">
                  <c:v>4</c:v>
                </c:pt>
                <c:pt idx="8">
                  <c:v>2</c:v>
                </c:pt>
                <c:pt idx="10">
                  <c:v>3</c:v>
                </c:pt>
                <c:pt idx="11">
                  <c:v>5</c:v>
                </c:pt>
                <c:pt idx="12">
                  <c:v>1</c:v>
                </c:pt>
                <c:pt idx="13">
                  <c:v>1</c:v>
                </c:pt>
                <c:pt idx="14">
                  <c:v>1</c:v>
                </c:pt>
                <c:pt idx="15">
                  <c:v>5</c:v>
                </c:pt>
                <c:pt idx="16">
                  <c:v>7</c:v>
                </c:pt>
                <c:pt idx="17">
                  <c:v>7</c:v>
                </c:pt>
                <c:pt idx="18">
                  <c:v>6</c:v>
                </c:pt>
                <c:pt idx="19">
                  <c:v>6</c:v>
                </c:pt>
                <c:pt idx="20">
                  <c:v>3</c:v>
                </c:pt>
                <c:pt idx="21">
                  <c:v>7</c:v>
                </c:pt>
                <c:pt idx="22">
                  <c:v>8</c:v>
                </c:pt>
                <c:pt idx="23">
                  <c:v>8</c:v>
                </c:pt>
                <c:pt idx="24">
                  <c:v>7</c:v>
                </c:pt>
                <c:pt idx="25">
                  <c:v>2</c:v>
                </c:pt>
                <c:pt idx="26">
                  <c:v>5</c:v>
                </c:pt>
                <c:pt idx="27">
                  <c:v>7</c:v>
                </c:pt>
                <c:pt idx="28">
                  <c:v>5</c:v>
                </c:pt>
                <c:pt idx="29">
                  <c:v>1</c:v>
                </c:pt>
                <c:pt idx="30">
                  <c:v>5</c:v>
                </c:pt>
                <c:pt idx="31">
                  <c:v>7</c:v>
                </c:pt>
                <c:pt idx="32">
                  <c:v>7</c:v>
                </c:pt>
                <c:pt idx="33">
                  <c:v>4</c:v>
                </c:pt>
                <c:pt idx="34">
                  <c:v>7</c:v>
                </c:pt>
                <c:pt idx="35">
                  <c:v>4</c:v>
                </c:pt>
                <c:pt idx="36">
                  <c:v>4</c:v>
                </c:pt>
                <c:pt idx="37">
                  <c:v>5</c:v>
                </c:pt>
              </c:numCache>
            </c:numRef>
          </c:val>
          <c:extLst>
            <c:ext xmlns:c16="http://schemas.microsoft.com/office/drawing/2014/chart" uri="{C3380CC4-5D6E-409C-BE32-E72D297353CC}">
              <c16:uniqueId val="{00000001-1D58-4D74-B354-FB4146C30151}"/>
            </c:ext>
          </c:extLst>
        </c:ser>
        <c:ser>
          <c:idx val="2"/>
          <c:order val="2"/>
          <c:tx>
            <c:strRef>
              <c:f>'[2]Weekly report'!$A$63</c:f>
              <c:strCache>
                <c:ptCount val="1"/>
                <c:pt idx="0">
                  <c:v># Of Animals Over</c:v>
                </c:pt>
              </c:strCache>
            </c:strRef>
          </c:tx>
          <c:spPr>
            <a:solidFill>
              <a:srgbClr val="0070C0"/>
            </a:solidFill>
            <a:ln>
              <a:solidFill>
                <a:srgbClr val="0070C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report'!$Y$63:$BO$63</c:f>
              <c:numCache>
                <c:formatCode>General</c:formatCode>
                <c:ptCount val="43"/>
                <c:pt idx="0">
                  <c:v>6</c:v>
                </c:pt>
                <c:pt idx="1">
                  <c:v>4</c:v>
                </c:pt>
                <c:pt idx="2">
                  <c:v>9</c:v>
                </c:pt>
                <c:pt idx="3">
                  <c:v>7</c:v>
                </c:pt>
                <c:pt idx="8">
                  <c:v>1</c:v>
                </c:pt>
                <c:pt idx="10">
                  <c:v>5</c:v>
                </c:pt>
                <c:pt idx="11">
                  <c:v>3</c:v>
                </c:pt>
                <c:pt idx="12">
                  <c:v>2</c:v>
                </c:pt>
                <c:pt idx="13">
                  <c:v>2</c:v>
                </c:pt>
                <c:pt idx="14">
                  <c:v>6</c:v>
                </c:pt>
                <c:pt idx="15">
                  <c:v>3</c:v>
                </c:pt>
                <c:pt idx="16">
                  <c:v>2</c:v>
                </c:pt>
                <c:pt idx="17">
                  <c:v>1</c:v>
                </c:pt>
                <c:pt idx="20">
                  <c:v>1</c:v>
                </c:pt>
                <c:pt idx="21">
                  <c:v>1</c:v>
                </c:pt>
                <c:pt idx="23">
                  <c:v>2</c:v>
                </c:pt>
                <c:pt idx="24">
                  <c:v>5</c:v>
                </c:pt>
                <c:pt idx="25">
                  <c:v>8</c:v>
                </c:pt>
                <c:pt idx="26">
                  <c:v>3</c:v>
                </c:pt>
                <c:pt idx="27">
                  <c:v>2</c:v>
                </c:pt>
                <c:pt idx="28">
                  <c:v>1</c:v>
                </c:pt>
                <c:pt idx="30">
                  <c:v>1</c:v>
                </c:pt>
                <c:pt idx="32">
                  <c:v>1</c:v>
                </c:pt>
                <c:pt idx="33">
                  <c:v>2</c:v>
                </c:pt>
                <c:pt idx="34">
                  <c:v>1</c:v>
                </c:pt>
                <c:pt idx="35">
                  <c:v>8</c:v>
                </c:pt>
                <c:pt idx="36">
                  <c:v>6</c:v>
                </c:pt>
              </c:numCache>
            </c:numRef>
          </c:val>
          <c:extLst>
            <c:ext xmlns:c16="http://schemas.microsoft.com/office/drawing/2014/chart" uri="{C3380CC4-5D6E-409C-BE32-E72D297353CC}">
              <c16:uniqueId val="{00000002-1D58-4D74-B354-FB4146C30151}"/>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27 week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report'!$A$99</c:f>
              <c:strCache>
                <c:ptCount val="1"/>
                <c:pt idx="0">
                  <c:v># Of Animals Under</c:v>
                </c:pt>
              </c:strCache>
            </c:strRef>
          </c:tx>
          <c:spPr>
            <a:solidFill>
              <a:srgbClr val="FF0000"/>
            </a:solidFill>
            <a:ln>
              <a:solidFill>
                <a:srgbClr val="FF000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report'!$Y$99:$BO$99</c:f>
              <c:numCache>
                <c:formatCode>General</c:formatCode>
                <c:ptCount val="43"/>
                <c:pt idx="0">
                  <c:v>3</c:v>
                </c:pt>
                <c:pt idx="1">
                  <c:v>3</c:v>
                </c:pt>
                <c:pt idx="8">
                  <c:v>4</c:v>
                </c:pt>
                <c:pt idx="12">
                  <c:v>2</c:v>
                </c:pt>
                <c:pt idx="15">
                  <c:v>1</c:v>
                </c:pt>
                <c:pt idx="18">
                  <c:v>2</c:v>
                </c:pt>
                <c:pt idx="20">
                  <c:v>3</c:v>
                </c:pt>
                <c:pt idx="21">
                  <c:v>1</c:v>
                </c:pt>
                <c:pt idx="22">
                  <c:v>1</c:v>
                </c:pt>
                <c:pt idx="24">
                  <c:v>3</c:v>
                </c:pt>
                <c:pt idx="25">
                  <c:v>1</c:v>
                </c:pt>
                <c:pt idx="29">
                  <c:v>2</c:v>
                </c:pt>
                <c:pt idx="30">
                  <c:v>2</c:v>
                </c:pt>
                <c:pt idx="31">
                  <c:v>4</c:v>
                </c:pt>
                <c:pt idx="33">
                  <c:v>1</c:v>
                </c:pt>
                <c:pt idx="35">
                  <c:v>2</c:v>
                </c:pt>
                <c:pt idx="37">
                  <c:v>1</c:v>
                </c:pt>
              </c:numCache>
            </c:numRef>
          </c:val>
          <c:extLst>
            <c:ext xmlns:c16="http://schemas.microsoft.com/office/drawing/2014/chart" uri="{C3380CC4-5D6E-409C-BE32-E72D297353CC}">
              <c16:uniqueId val="{00000000-E71B-423E-9855-9905B8224190}"/>
            </c:ext>
          </c:extLst>
        </c:ser>
        <c:ser>
          <c:idx val="1"/>
          <c:order val="1"/>
          <c:tx>
            <c:strRef>
              <c:f>'[2]Weekly report'!$A$101</c:f>
              <c:strCache>
                <c:ptCount val="1"/>
                <c:pt idx="0">
                  <c:v># Of Animals In</c:v>
                </c:pt>
              </c:strCache>
            </c:strRef>
          </c:tx>
          <c:spPr>
            <a:solidFill>
              <a:srgbClr val="00B050"/>
            </a:solidFill>
            <a:ln>
              <a:solidFill>
                <a:srgbClr val="00B05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report'!$Y$101:$BO$101</c:f>
              <c:numCache>
                <c:formatCode>General</c:formatCode>
                <c:ptCount val="43"/>
                <c:pt idx="0">
                  <c:v>2</c:v>
                </c:pt>
                <c:pt idx="1">
                  <c:v>3</c:v>
                </c:pt>
                <c:pt idx="3">
                  <c:v>1</c:v>
                </c:pt>
                <c:pt idx="4">
                  <c:v>1</c:v>
                </c:pt>
                <c:pt idx="5">
                  <c:v>1</c:v>
                </c:pt>
                <c:pt idx="6">
                  <c:v>1</c:v>
                </c:pt>
                <c:pt idx="7">
                  <c:v>2</c:v>
                </c:pt>
                <c:pt idx="8">
                  <c:v>3</c:v>
                </c:pt>
                <c:pt idx="9">
                  <c:v>2</c:v>
                </c:pt>
                <c:pt idx="10">
                  <c:v>4</c:v>
                </c:pt>
                <c:pt idx="11">
                  <c:v>9</c:v>
                </c:pt>
                <c:pt idx="13">
                  <c:v>1</c:v>
                </c:pt>
                <c:pt idx="14">
                  <c:v>7</c:v>
                </c:pt>
                <c:pt idx="16">
                  <c:v>1</c:v>
                </c:pt>
                <c:pt idx="17">
                  <c:v>3</c:v>
                </c:pt>
                <c:pt idx="18">
                  <c:v>2</c:v>
                </c:pt>
                <c:pt idx="19">
                  <c:v>3</c:v>
                </c:pt>
                <c:pt idx="20">
                  <c:v>8</c:v>
                </c:pt>
                <c:pt idx="21">
                  <c:v>8</c:v>
                </c:pt>
                <c:pt idx="22">
                  <c:v>8</c:v>
                </c:pt>
                <c:pt idx="23">
                  <c:v>8</c:v>
                </c:pt>
                <c:pt idx="24">
                  <c:v>8</c:v>
                </c:pt>
                <c:pt idx="25">
                  <c:v>9</c:v>
                </c:pt>
                <c:pt idx="26">
                  <c:v>5</c:v>
                </c:pt>
                <c:pt idx="27">
                  <c:v>11</c:v>
                </c:pt>
                <c:pt idx="28">
                  <c:v>10</c:v>
                </c:pt>
                <c:pt idx="29">
                  <c:v>9</c:v>
                </c:pt>
                <c:pt idx="30">
                  <c:v>6</c:v>
                </c:pt>
                <c:pt idx="31">
                  <c:v>7</c:v>
                </c:pt>
                <c:pt idx="32">
                  <c:v>8</c:v>
                </c:pt>
                <c:pt idx="33">
                  <c:v>11</c:v>
                </c:pt>
                <c:pt idx="34">
                  <c:v>12</c:v>
                </c:pt>
                <c:pt idx="35">
                  <c:v>9</c:v>
                </c:pt>
                <c:pt idx="36">
                  <c:v>7</c:v>
                </c:pt>
                <c:pt idx="37">
                  <c:v>11</c:v>
                </c:pt>
              </c:numCache>
            </c:numRef>
          </c:val>
          <c:extLst>
            <c:ext xmlns:c16="http://schemas.microsoft.com/office/drawing/2014/chart" uri="{C3380CC4-5D6E-409C-BE32-E72D297353CC}">
              <c16:uniqueId val="{00000001-E71B-423E-9855-9905B8224190}"/>
            </c:ext>
          </c:extLst>
        </c:ser>
        <c:ser>
          <c:idx val="2"/>
          <c:order val="2"/>
          <c:tx>
            <c:strRef>
              <c:f>'[2]Weekly report'!$A$103</c:f>
              <c:strCache>
                <c:ptCount val="1"/>
                <c:pt idx="0">
                  <c:v># Of Animals Over</c:v>
                </c:pt>
              </c:strCache>
            </c:strRef>
          </c:tx>
          <c:spPr>
            <a:solidFill>
              <a:srgbClr val="0070C0"/>
            </a:solidFill>
            <a:ln>
              <a:solidFill>
                <a:srgbClr val="0070C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report'!$Y$103:$BO$103</c:f>
              <c:numCache>
                <c:formatCode>General</c:formatCode>
                <c:ptCount val="43"/>
                <c:pt idx="0">
                  <c:v>2</c:v>
                </c:pt>
                <c:pt idx="1">
                  <c:v>4</c:v>
                </c:pt>
                <c:pt idx="2">
                  <c:v>10</c:v>
                </c:pt>
                <c:pt idx="3">
                  <c:v>9</c:v>
                </c:pt>
                <c:pt idx="4">
                  <c:v>9</c:v>
                </c:pt>
                <c:pt idx="5">
                  <c:v>9</c:v>
                </c:pt>
                <c:pt idx="6">
                  <c:v>11</c:v>
                </c:pt>
                <c:pt idx="7">
                  <c:v>8</c:v>
                </c:pt>
                <c:pt idx="8">
                  <c:v>5</c:v>
                </c:pt>
                <c:pt idx="9">
                  <c:v>9</c:v>
                </c:pt>
                <c:pt idx="10">
                  <c:v>7</c:v>
                </c:pt>
                <c:pt idx="12">
                  <c:v>11</c:v>
                </c:pt>
                <c:pt idx="13">
                  <c:v>9</c:v>
                </c:pt>
                <c:pt idx="14">
                  <c:v>4</c:v>
                </c:pt>
                <c:pt idx="15">
                  <c:v>11</c:v>
                </c:pt>
                <c:pt idx="16">
                  <c:v>7</c:v>
                </c:pt>
                <c:pt idx="17">
                  <c:v>7</c:v>
                </c:pt>
                <c:pt idx="18">
                  <c:v>8</c:v>
                </c:pt>
                <c:pt idx="19">
                  <c:v>8</c:v>
                </c:pt>
                <c:pt idx="21">
                  <c:v>1</c:v>
                </c:pt>
                <c:pt idx="23">
                  <c:v>1</c:v>
                </c:pt>
                <c:pt idx="24">
                  <c:v>1</c:v>
                </c:pt>
                <c:pt idx="25">
                  <c:v>2</c:v>
                </c:pt>
                <c:pt idx="26">
                  <c:v>4</c:v>
                </c:pt>
                <c:pt idx="28">
                  <c:v>1</c:v>
                </c:pt>
                <c:pt idx="30">
                  <c:v>2</c:v>
                </c:pt>
                <c:pt idx="31">
                  <c:v>1</c:v>
                </c:pt>
                <c:pt idx="32">
                  <c:v>2</c:v>
                </c:pt>
                <c:pt idx="35">
                  <c:v>1</c:v>
                </c:pt>
                <c:pt idx="36">
                  <c:v>4</c:v>
                </c:pt>
              </c:numCache>
            </c:numRef>
          </c:val>
          <c:extLst>
            <c:ext xmlns:c16="http://schemas.microsoft.com/office/drawing/2014/chart" uri="{C3380CC4-5D6E-409C-BE32-E72D297353CC}">
              <c16:uniqueId val="{00000002-E71B-423E-9855-9905B8224190}"/>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251831</xdr:colOff>
      <xdr:row>15</xdr:row>
      <xdr:rowOff>190499</xdr:rowOff>
    </xdr:to>
    <xdr:pic>
      <xdr:nvPicPr>
        <xdr:cNvPr id="2" name="Picture 1">
          <a:extLst>
            <a:ext uri="{FF2B5EF4-FFF2-40B4-BE49-F238E27FC236}">
              <a16:creationId xmlns:a16="http://schemas.microsoft.com/office/drawing/2014/main" id="{A5DA78FB-AC04-4681-2606-D42B64E32417}"/>
            </a:ext>
          </a:extLst>
        </xdr:cNvPr>
        <xdr:cNvPicPr>
          <a:picLocks noChangeAspect="1"/>
        </xdr:cNvPicPr>
      </xdr:nvPicPr>
      <xdr:blipFill>
        <a:blip xmlns:r="http://schemas.openxmlformats.org/officeDocument/2006/relationships" r:embed="rId1"/>
        <a:stretch>
          <a:fillRect/>
        </a:stretch>
      </xdr:blipFill>
      <xdr:spPr>
        <a:xfrm>
          <a:off x="1" y="0"/>
          <a:ext cx="5738230" cy="3047999"/>
        </a:xfrm>
        <a:prstGeom prst="rect">
          <a:avLst/>
        </a:prstGeom>
      </xdr:spPr>
    </xdr:pic>
    <xdr:clientData/>
  </xdr:twoCellAnchor>
  <xdr:twoCellAnchor>
    <xdr:from>
      <xdr:col>9</xdr:col>
      <xdr:colOff>504826</xdr:colOff>
      <xdr:row>0</xdr:row>
      <xdr:rowOff>0</xdr:rowOff>
    </xdr:from>
    <xdr:to>
      <xdr:col>19</xdr:col>
      <xdr:colOff>409576</xdr:colOff>
      <xdr:row>15</xdr:row>
      <xdr:rowOff>180975</xdr:rowOff>
    </xdr:to>
    <xdr:graphicFrame macro="">
      <xdr:nvGraphicFramePr>
        <xdr:cNvPr id="3" name="Chart 1">
          <a:extLst>
            <a:ext uri="{FF2B5EF4-FFF2-40B4-BE49-F238E27FC236}">
              <a16:creationId xmlns:a16="http://schemas.microsoft.com/office/drawing/2014/main" id="{BB4AC189-9E86-4F6C-8B2D-056720D2F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1</xdr:rowOff>
    </xdr:from>
    <xdr:to>
      <xdr:col>9</xdr:col>
      <xdr:colOff>266701</xdr:colOff>
      <xdr:row>32</xdr:row>
      <xdr:rowOff>38101</xdr:rowOff>
    </xdr:to>
    <xdr:graphicFrame macro="">
      <xdr:nvGraphicFramePr>
        <xdr:cNvPr id="4" name="Chart 1">
          <a:extLst>
            <a:ext uri="{FF2B5EF4-FFF2-40B4-BE49-F238E27FC236}">
              <a16:creationId xmlns:a16="http://schemas.microsoft.com/office/drawing/2014/main" id="{096EDA44-816C-4080-BADB-A484F3D2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6</xdr:col>
      <xdr:colOff>1411015</xdr:colOff>
      <xdr:row>16</xdr:row>
      <xdr:rowOff>124221</xdr:rowOff>
    </xdr:to>
    <xdr:pic>
      <xdr:nvPicPr>
        <xdr:cNvPr id="3" name="Picture 2">
          <a:extLst>
            <a:ext uri="{FF2B5EF4-FFF2-40B4-BE49-F238E27FC236}">
              <a16:creationId xmlns:a16="http://schemas.microsoft.com/office/drawing/2014/main" id="{9950333C-F53A-41C7-AFE7-AC38CF025F26}"/>
            </a:ext>
          </a:extLst>
        </xdr:cNvPr>
        <xdr:cNvPicPr>
          <a:picLocks noChangeAspect="1"/>
        </xdr:cNvPicPr>
      </xdr:nvPicPr>
      <xdr:blipFill>
        <a:blip xmlns:r="http://schemas.openxmlformats.org/officeDocument/2006/relationships" r:embed="rId1"/>
        <a:stretch>
          <a:fillRect/>
        </a:stretch>
      </xdr:blipFill>
      <xdr:spPr>
        <a:xfrm>
          <a:off x="942975" y="190500"/>
          <a:ext cx="8430940" cy="2981721"/>
        </a:xfrm>
        <a:prstGeom prst="rect">
          <a:avLst/>
        </a:prstGeom>
      </xdr:spPr>
    </xdr:pic>
    <xdr:clientData/>
  </xdr:twoCellAnchor>
  <xdr:twoCellAnchor editAs="oneCell">
    <xdr:from>
      <xdr:col>1</xdr:col>
      <xdr:colOff>438150</xdr:colOff>
      <xdr:row>18</xdr:row>
      <xdr:rowOff>171450</xdr:rowOff>
    </xdr:from>
    <xdr:to>
      <xdr:col>6</xdr:col>
      <xdr:colOff>1153828</xdr:colOff>
      <xdr:row>45</xdr:row>
      <xdr:rowOff>153081</xdr:rowOff>
    </xdr:to>
    <xdr:pic>
      <xdr:nvPicPr>
        <xdr:cNvPr id="6" name="Picture 5">
          <a:extLst>
            <a:ext uri="{FF2B5EF4-FFF2-40B4-BE49-F238E27FC236}">
              <a16:creationId xmlns:a16="http://schemas.microsoft.com/office/drawing/2014/main" id="{AE6A4BBC-FD53-447E-91F9-290DF75C7988}"/>
            </a:ext>
          </a:extLst>
        </xdr:cNvPr>
        <xdr:cNvPicPr>
          <a:picLocks noChangeAspect="1"/>
        </xdr:cNvPicPr>
      </xdr:nvPicPr>
      <xdr:blipFill>
        <a:blip xmlns:r="http://schemas.openxmlformats.org/officeDocument/2006/relationships" r:embed="rId2"/>
        <a:stretch>
          <a:fillRect/>
        </a:stretch>
      </xdr:blipFill>
      <xdr:spPr>
        <a:xfrm>
          <a:off x="771525" y="3600450"/>
          <a:ext cx="8345203" cy="51251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285750</xdr:colOff>
      <xdr:row>2</xdr:row>
      <xdr:rowOff>161925</xdr:rowOff>
    </xdr:from>
    <xdr:to>
      <xdr:col>27</xdr:col>
      <xdr:colOff>533860</xdr:colOff>
      <xdr:row>26</xdr:row>
      <xdr:rowOff>19668</xdr:rowOff>
    </xdr:to>
    <xdr:pic>
      <xdr:nvPicPr>
        <xdr:cNvPr id="2" name="Picture 1">
          <a:extLst>
            <a:ext uri="{FF2B5EF4-FFF2-40B4-BE49-F238E27FC236}">
              <a16:creationId xmlns:a16="http://schemas.microsoft.com/office/drawing/2014/main" id="{FA089D74-14BE-AD2A-F927-04805C0B521E}"/>
            </a:ext>
          </a:extLst>
        </xdr:cNvPr>
        <xdr:cNvPicPr>
          <a:picLocks noChangeAspect="1"/>
        </xdr:cNvPicPr>
      </xdr:nvPicPr>
      <xdr:blipFill>
        <a:blip xmlns:r="http://schemas.openxmlformats.org/officeDocument/2006/relationships" r:embed="rId1"/>
        <a:stretch>
          <a:fillRect/>
        </a:stretch>
      </xdr:blipFill>
      <xdr:spPr>
        <a:xfrm>
          <a:off x="19469100" y="542925"/>
          <a:ext cx="3296110" cy="4429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jimmyson_grasmere_co_zw/Documents/Documents/CCC/FY27/NAVFarm/Porta%20-%20KPI%20Triple%20C%20Pigs.xlsx" TargetMode="External"/><Relationship Id="rId2" Type="http://schemas.openxmlformats.org/officeDocument/2006/relationships/externalLinkPath" Target="https://triplecpigs-my.sharepoint.com/personal/jimmyson_grasmere_co_zw/Documents/Documents/CCC/FY27/NAVFarm/Porta%20-%20KPI%20Triple%20C%20Pigs.xlsx" TargetMode="External"/><Relationship Id="rId1" Type="http://schemas.openxmlformats.org/officeDocument/2006/relationships/externalLinkPath" Target="/personal/jimmyson_grasmere_co_zw/Documents/Documents/CCC/FY27/NAVFarm/Porta%20-%20KPI%20Triple%20C%20Pig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ropbox\Triple%20C%20Pigs%20Production%20Folder\1.%20Weekly%20Farm%20Report%20-%20good\Porta\Porta%20weekly%20farm%20report.xlsx" TargetMode="External"/><Relationship Id="rId1" Type="http://schemas.openxmlformats.org/officeDocument/2006/relationships/externalLinkPath" Target="file:///C:\Users\user\Dropbox\Triple%20C%20Pigs%20Production%20Folder\1.%20Weekly%20Farm%20Report%20-%20good\Porta\Porta%20weekly%20farm%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92">
          <cell r="E92">
            <v>1.5</v>
          </cell>
        </row>
        <row r="95">
          <cell r="E95">
            <v>1.1000000000000001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report"/>
    </sheetNames>
    <sheetDataSet>
      <sheetData sheetId="0"/>
      <sheetData sheetId="1">
        <row r="3">
          <cell r="Y3">
            <v>2534</v>
          </cell>
          <cell r="Z3">
            <v>2535</v>
          </cell>
          <cell r="AA3">
            <v>2536</v>
          </cell>
          <cell r="AB3">
            <v>2537</v>
          </cell>
          <cell r="AC3">
            <v>2538</v>
          </cell>
          <cell r="AD3">
            <v>2539</v>
          </cell>
          <cell r="AE3">
            <v>2540</v>
          </cell>
          <cell r="AF3">
            <v>2541</v>
          </cell>
          <cell r="AG3">
            <v>2542</v>
          </cell>
          <cell r="AH3">
            <v>2543</v>
          </cell>
          <cell r="AI3">
            <v>2544</v>
          </cell>
          <cell r="AJ3">
            <v>2545</v>
          </cell>
          <cell r="AK3">
            <v>2546</v>
          </cell>
          <cell r="AL3">
            <v>2547</v>
          </cell>
          <cell r="AM3">
            <v>2548</v>
          </cell>
          <cell r="AN3">
            <v>2549</v>
          </cell>
          <cell r="AO3">
            <v>2550</v>
          </cell>
          <cell r="AP3">
            <v>2551</v>
          </cell>
          <cell r="AQ3">
            <v>2552</v>
          </cell>
          <cell r="AR3">
            <v>2601</v>
          </cell>
          <cell r="AS3">
            <v>2602</v>
          </cell>
          <cell r="AT3">
            <v>2603</v>
          </cell>
          <cell r="AU3">
            <v>2604</v>
          </cell>
          <cell r="AV3">
            <v>2605</v>
          </cell>
          <cell r="AW3">
            <v>2606</v>
          </cell>
          <cell r="AX3">
            <v>2607</v>
          </cell>
          <cell r="AY3">
            <v>2608</v>
          </cell>
          <cell r="AZ3">
            <v>2609</v>
          </cell>
          <cell r="BA3">
            <v>2610</v>
          </cell>
          <cell r="BB3">
            <v>2611</v>
          </cell>
          <cell r="BC3">
            <v>2612</v>
          </cell>
          <cell r="BD3">
            <v>2613</v>
          </cell>
          <cell r="BE3">
            <v>2614</v>
          </cell>
          <cell r="BF3">
            <v>2615</v>
          </cell>
          <cell r="BG3">
            <v>2616</v>
          </cell>
          <cell r="BH3">
            <v>2617</v>
          </cell>
          <cell r="BI3">
            <v>2618</v>
          </cell>
          <cell r="BJ3">
            <v>2619</v>
          </cell>
          <cell r="BK3">
            <v>2620</v>
          </cell>
          <cell r="BL3">
            <v>2621</v>
          </cell>
          <cell r="BM3">
            <v>2622</v>
          </cell>
          <cell r="BN3">
            <v>2623</v>
          </cell>
          <cell r="BO3">
            <v>2624</v>
          </cell>
        </row>
        <row r="5">
          <cell r="Y5">
            <v>2523</v>
          </cell>
          <cell r="Z5">
            <v>2524</v>
          </cell>
          <cell r="AA5">
            <v>2525</v>
          </cell>
          <cell r="AB5">
            <v>2526</v>
          </cell>
          <cell r="AC5">
            <v>2527</v>
          </cell>
          <cell r="AD5">
            <v>2528</v>
          </cell>
          <cell r="AE5">
            <v>2529</v>
          </cell>
          <cell r="AF5">
            <v>2530</v>
          </cell>
          <cell r="AG5">
            <v>2531</v>
          </cell>
          <cell r="AH5">
            <v>2532</v>
          </cell>
          <cell r="AI5">
            <v>2533</v>
          </cell>
          <cell r="AJ5">
            <v>2534</v>
          </cell>
          <cell r="AK5">
            <v>2535</v>
          </cell>
          <cell r="AL5">
            <v>2536</v>
          </cell>
          <cell r="AM5">
            <v>2537</v>
          </cell>
          <cell r="AN5">
            <v>2538</v>
          </cell>
          <cell r="AO5">
            <v>2539</v>
          </cell>
          <cell r="AP5">
            <v>2540</v>
          </cell>
          <cell r="AQ5">
            <v>2541</v>
          </cell>
          <cell r="AR5">
            <v>2542</v>
          </cell>
          <cell r="AS5">
            <v>2543</v>
          </cell>
          <cell r="AT5">
            <v>2544</v>
          </cell>
          <cell r="AU5">
            <v>2545</v>
          </cell>
          <cell r="AV5">
            <v>2546</v>
          </cell>
          <cell r="AW5">
            <v>2547</v>
          </cell>
          <cell r="AX5">
            <v>2548</v>
          </cell>
          <cell r="AY5">
            <v>2549</v>
          </cell>
          <cell r="AZ5">
            <v>2550</v>
          </cell>
          <cell r="BA5">
            <v>2551</v>
          </cell>
          <cell r="BB5">
            <v>2552</v>
          </cell>
          <cell r="BC5">
            <v>2601</v>
          </cell>
          <cell r="BD5">
            <v>2602</v>
          </cell>
          <cell r="BE5">
            <v>2603</v>
          </cell>
          <cell r="BF5">
            <v>2604</v>
          </cell>
          <cell r="BG5">
            <v>2605</v>
          </cell>
          <cell r="BH5">
            <v>2606</v>
          </cell>
          <cell r="BI5">
            <v>2607</v>
          </cell>
          <cell r="BJ5">
            <v>2608</v>
          </cell>
          <cell r="BK5">
            <v>2609</v>
          </cell>
          <cell r="BL5">
            <v>2610</v>
          </cell>
          <cell r="BM5">
            <v>2611</v>
          </cell>
          <cell r="BN5">
            <v>2612</v>
          </cell>
          <cell r="BO5">
            <v>2613</v>
          </cell>
        </row>
        <row r="59">
          <cell r="A59" t="str">
            <v># Of Animals Under</v>
          </cell>
          <cell r="Y59">
            <v>2</v>
          </cell>
          <cell r="Z59">
            <v>8</v>
          </cell>
          <cell r="AA59">
            <v>2</v>
          </cell>
          <cell r="AB59">
            <v>4</v>
          </cell>
          <cell r="AC59">
            <v>6</v>
          </cell>
          <cell r="AD59">
            <v>6</v>
          </cell>
          <cell r="AE59">
            <v>12</v>
          </cell>
          <cell r="AF59">
            <v>13</v>
          </cell>
          <cell r="AG59">
            <v>8</v>
          </cell>
          <cell r="AH59">
            <v>11</v>
          </cell>
          <cell r="AI59">
            <v>2</v>
          </cell>
          <cell r="AJ59">
            <v>2</v>
          </cell>
          <cell r="AK59">
            <v>9</v>
          </cell>
          <cell r="AL59">
            <v>9</v>
          </cell>
          <cell r="AM59">
            <v>5</v>
          </cell>
          <cell r="AN59">
            <v>1</v>
          </cell>
          <cell r="AO59">
            <v>2</v>
          </cell>
          <cell r="AP59">
            <v>3</v>
          </cell>
          <cell r="AQ59">
            <v>6</v>
          </cell>
          <cell r="AR59">
            <v>5</v>
          </cell>
          <cell r="AS59">
            <v>8</v>
          </cell>
          <cell r="AT59">
            <v>2</v>
          </cell>
          <cell r="AU59">
            <v>4</v>
          </cell>
          <cell r="AV59">
            <v>2</v>
          </cell>
          <cell r="AX59">
            <v>2</v>
          </cell>
          <cell r="AY59">
            <v>1</v>
          </cell>
          <cell r="AZ59">
            <v>2</v>
          </cell>
          <cell r="BA59">
            <v>4</v>
          </cell>
          <cell r="BB59">
            <v>9</v>
          </cell>
          <cell r="BC59">
            <v>6</v>
          </cell>
          <cell r="BD59">
            <v>3</v>
          </cell>
          <cell r="BE59">
            <v>2</v>
          </cell>
          <cell r="BF59">
            <v>2</v>
          </cell>
          <cell r="BG59">
            <v>7</v>
          </cell>
          <cell r="BJ59">
            <v>7</v>
          </cell>
        </row>
        <row r="61">
          <cell r="A61" t="str">
            <v># Of Animals In</v>
          </cell>
          <cell r="Y61">
            <v>2</v>
          </cell>
          <cell r="AA61">
            <v>1</v>
          </cell>
          <cell r="AB61">
            <v>1</v>
          </cell>
          <cell r="AC61">
            <v>4</v>
          </cell>
          <cell r="AD61">
            <v>4</v>
          </cell>
          <cell r="AG61">
            <v>2</v>
          </cell>
          <cell r="AI61">
            <v>3</v>
          </cell>
          <cell r="AJ61">
            <v>5</v>
          </cell>
          <cell r="AK61">
            <v>1</v>
          </cell>
          <cell r="AL61">
            <v>1</v>
          </cell>
          <cell r="AM61">
            <v>1</v>
          </cell>
          <cell r="AN61">
            <v>5</v>
          </cell>
          <cell r="AO61">
            <v>7</v>
          </cell>
          <cell r="AP61">
            <v>7</v>
          </cell>
          <cell r="AQ61">
            <v>6</v>
          </cell>
          <cell r="AR61">
            <v>6</v>
          </cell>
          <cell r="AS61">
            <v>3</v>
          </cell>
          <cell r="AT61">
            <v>7</v>
          </cell>
          <cell r="AU61">
            <v>8</v>
          </cell>
          <cell r="AV61">
            <v>8</v>
          </cell>
          <cell r="AW61">
            <v>7</v>
          </cell>
          <cell r="AX61">
            <v>2</v>
          </cell>
          <cell r="AY61">
            <v>5</v>
          </cell>
          <cell r="AZ61">
            <v>7</v>
          </cell>
          <cell r="BA61">
            <v>5</v>
          </cell>
          <cell r="BB61">
            <v>1</v>
          </cell>
          <cell r="BC61">
            <v>5</v>
          </cell>
          <cell r="BD61">
            <v>7</v>
          </cell>
          <cell r="BE61">
            <v>7</v>
          </cell>
          <cell r="BF61">
            <v>4</v>
          </cell>
          <cell r="BG61">
            <v>7</v>
          </cell>
          <cell r="BH61">
            <v>4</v>
          </cell>
          <cell r="BI61">
            <v>4</v>
          </cell>
          <cell r="BJ61">
            <v>5</v>
          </cell>
        </row>
        <row r="63">
          <cell r="A63" t="str">
            <v># Of Animals Over</v>
          </cell>
          <cell r="Y63">
            <v>6</v>
          </cell>
          <cell r="Z63">
            <v>4</v>
          </cell>
          <cell r="AA63">
            <v>9</v>
          </cell>
          <cell r="AB63">
            <v>7</v>
          </cell>
          <cell r="AG63">
            <v>1</v>
          </cell>
          <cell r="AI63">
            <v>5</v>
          </cell>
          <cell r="AJ63">
            <v>3</v>
          </cell>
          <cell r="AK63">
            <v>2</v>
          </cell>
          <cell r="AL63">
            <v>2</v>
          </cell>
          <cell r="AM63">
            <v>6</v>
          </cell>
          <cell r="AN63">
            <v>3</v>
          </cell>
          <cell r="AO63">
            <v>2</v>
          </cell>
          <cell r="AP63">
            <v>1</v>
          </cell>
          <cell r="AS63">
            <v>1</v>
          </cell>
          <cell r="AT63">
            <v>1</v>
          </cell>
          <cell r="AV63">
            <v>2</v>
          </cell>
          <cell r="AW63">
            <v>5</v>
          </cell>
          <cell r="AX63">
            <v>8</v>
          </cell>
          <cell r="AY63">
            <v>3</v>
          </cell>
          <cell r="AZ63">
            <v>2</v>
          </cell>
          <cell r="BA63">
            <v>1</v>
          </cell>
          <cell r="BC63">
            <v>1</v>
          </cell>
          <cell r="BE63">
            <v>1</v>
          </cell>
          <cell r="BF63">
            <v>2</v>
          </cell>
          <cell r="BG63">
            <v>1</v>
          </cell>
          <cell r="BH63">
            <v>8</v>
          </cell>
          <cell r="BI63">
            <v>6</v>
          </cell>
        </row>
        <row r="99">
          <cell r="A99" t="str">
            <v># Of Animals Under</v>
          </cell>
          <cell r="Y99">
            <v>3</v>
          </cell>
          <cell r="Z99">
            <v>3</v>
          </cell>
          <cell r="AG99">
            <v>4</v>
          </cell>
          <cell r="AK99">
            <v>2</v>
          </cell>
          <cell r="AN99">
            <v>1</v>
          </cell>
          <cell r="AQ99">
            <v>2</v>
          </cell>
          <cell r="AS99">
            <v>3</v>
          </cell>
          <cell r="AT99">
            <v>1</v>
          </cell>
          <cell r="AU99">
            <v>1</v>
          </cell>
          <cell r="AW99">
            <v>3</v>
          </cell>
          <cell r="AX99">
            <v>1</v>
          </cell>
          <cell r="BB99">
            <v>2</v>
          </cell>
          <cell r="BC99">
            <v>2</v>
          </cell>
          <cell r="BD99">
            <v>4</v>
          </cell>
          <cell r="BF99">
            <v>1</v>
          </cell>
          <cell r="BH99">
            <v>2</v>
          </cell>
          <cell r="BJ99">
            <v>1</v>
          </cell>
        </row>
        <row r="101">
          <cell r="A101" t="str">
            <v># Of Animals In</v>
          </cell>
          <cell r="Y101">
            <v>2</v>
          </cell>
          <cell r="Z101">
            <v>3</v>
          </cell>
          <cell r="AB101">
            <v>1</v>
          </cell>
          <cell r="AC101">
            <v>1</v>
          </cell>
          <cell r="AD101">
            <v>1</v>
          </cell>
          <cell r="AE101">
            <v>1</v>
          </cell>
          <cell r="AF101">
            <v>2</v>
          </cell>
          <cell r="AG101">
            <v>3</v>
          </cell>
          <cell r="AH101">
            <v>2</v>
          </cell>
          <cell r="AI101">
            <v>4</v>
          </cell>
          <cell r="AJ101">
            <v>9</v>
          </cell>
          <cell r="AL101">
            <v>1</v>
          </cell>
          <cell r="AM101">
            <v>7</v>
          </cell>
          <cell r="AO101">
            <v>1</v>
          </cell>
          <cell r="AP101">
            <v>3</v>
          </cell>
          <cell r="AQ101">
            <v>2</v>
          </cell>
          <cell r="AR101">
            <v>3</v>
          </cell>
          <cell r="AS101">
            <v>8</v>
          </cell>
          <cell r="AT101">
            <v>8</v>
          </cell>
          <cell r="AU101">
            <v>8</v>
          </cell>
          <cell r="AV101">
            <v>8</v>
          </cell>
          <cell r="AW101">
            <v>8</v>
          </cell>
          <cell r="AX101">
            <v>9</v>
          </cell>
          <cell r="AY101">
            <v>5</v>
          </cell>
          <cell r="AZ101">
            <v>11</v>
          </cell>
          <cell r="BA101">
            <v>10</v>
          </cell>
          <cell r="BB101">
            <v>9</v>
          </cell>
          <cell r="BC101">
            <v>6</v>
          </cell>
          <cell r="BD101">
            <v>7</v>
          </cell>
          <cell r="BE101">
            <v>8</v>
          </cell>
          <cell r="BF101">
            <v>11</v>
          </cell>
          <cell r="BG101">
            <v>12</v>
          </cell>
          <cell r="BH101">
            <v>9</v>
          </cell>
          <cell r="BI101">
            <v>7</v>
          </cell>
          <cell r="BJ101">
            <v>11</v>
          </cell>
        </row>
        <row r="103">
          <cell r="A103" t="str">
            <v># Of Animals Over</v>
          </cell>
          <cell r="Y103">
            <v>2</v>
          </cell>
          <cell r="Z103">
            <v>4</v>
          </cell>
          <cell r="AA103">
            <v>10</v>
          </cell>
          <cell r="AB103">
            <v>9</v>
          </cell>
          <cell r="AC103">
            <v>9</v>
          </cell>
          <cell r="AD103">
            <v>9</v>
          </cell>
          <cell r="AE103">
            <v>11</v>
          </cell>
          <cell r="AF103">
            <v>8</v>
          </cell>
          <cell r="AG103">
            <v>5</v>
          </cell>
          <cell r="AH103">
            <v>9</v>
          </cell>
          <cell r="AI103">
            <v>7</v>
          </cell>
          <cell r="AK103">
            <v>11</v>
          </cell>
          <cell r="AL103">
            <v>9</v>
          </cell>
          <cell r="AM103">
            <v>4</v>
          </cell>
          <cell r="AN103">
            <v>11</v>
          </cell>
          <cell r="AO103">
            <v>7</v>
          </cell>
          <cell r="AP103">
            <v>7</v>
          </cell>
          <cell r="AQ103">
            <v>8</v>
          </cell>
          <cell r="AR103">
            <v>8</v>
          </cell>
          <cell r="AT103">
            <v>1</v>
          </cell>
          <cell r="AV103">
            <v>1</v>
          </cell>
          <cell r="AW103">
            <v>1</v>
          </cell>
          <cell r="AX103">
            <v>2</v>
          </cell>
          <cell r="AY103">
            <v>4</v>
          </cell>
          <cell r="BA103">
            <v>1</v>
          </cell>
          <cell r="BC103">
            <v>2</v>
          </cell>
          <cell r="BD103">
            <v>1</v>
          </cell>
          <cell r="BE103">
            <v>2</v>
          </cell>
          <cell r="BH103">
            <v>1</v>
          </cell>
          <cell r="BI103">
            <v>4</v>
          </cell>
        </row>
      </sheetData>
    </sheetDataSet>
  </externalBook>
</externalLink>
</file>

<file path=xl/persons/person.xml><?xml version="1.0" encoding="utf-8"?>
<personList xmlns="http://schemas.microsoft.com/office/spreadsheetml/2018/threadedcomments" xmlns:x="http://schemas.openxmlformats.org/spreadsheetml/2006/main">
  <person displayName="Johan Odendaal" id="{96DB4F4D-DEE8-4A29-92F0-851276145DD3}" userId="S::johan@grasmere.co.zw::ac39a918-291c-46e8-a600-fc4196287077" providerId="AD"/>
  <person displayName="Jimmyson Kazangarare" id="{20878126-D6C6-47CF-89AD-B3A63D79E79F}" userId="S::Jimmyson@grasmere.co.zw::c5cb7563-8501-40f5-9ddf-79bf36741f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R4" dT="2026-09-10T05:12:09.13" personId="{96DB4F4D-DEE8-4A29-92F0-851276145DD3}" id="{C99CC828-2B74-4562-8D9F-19530547B68A}">
    <text>Each piglet must be linked to its DAM TSI for later analysis of reproduction performance against TSI and must be visible on her individual page</text>
  </threadedComment>
  <threadedComment ref="AC4" dT="2026-09-10T04:59:05.85" personId="{96DB4F4D-DEE8-4A29-92F0-851276145DD3}" id="{E2E39CA5-3E54-4464-8E31-3571A09169B1}">
    <text>NB: We create a scoring system that takes into account the 5 selection parameters, birth weight, wean weight, teats, DAM TSI and conformation, then we average the 5 numbers out which then give us a quality score indicator as a number to track the quality of breeding gilts being despatched to other farms - The target of this internal number is 85</text>
  </threadedComment>
  <threadedComment ref="AE4" dT="2026-09-10T05:10:15.11" personId="{96DB4F4D-DEE8-4A29-92F0-851276145DD3}" id="{7C7BDC80-284B-4A9C-87AC-509BDB8141CD}">
    <text>Each individual piglet to be linked to its DAM</text>
  </threadedComment>
  <threadedComment ref="AF4" dT="2026-09-10T05:10:43.88" personId="{96DB4F4D-DEE8-4A29-92F0-851276145DD3}" id="{17CF061D-35B3-4E57-BC8B-EF0047703905}">
    <text>Each piglet to be linked to its sire or sire code</text>
  </threadedComment>
  <threadedComment ref="AJ4" dT="2026-09-09T05:35:43.65" personId="{96DB4F4D-DEE8-4A29-92F0-851276145DD3}" id="{4F3F829C-9F5D-40F0-AE9D-81A976A74F37}">
    <text>See medication table</text>
  </threadedComment>
  <threadedComment ref="Y10" dT="2026-09-09T05:31:53.23" personId="{96DB4F4D-DEE8-4A29-92F0-851276145DD3}" id="{2F4AE91B-EDCA-4D56-AF93-BEBF66C6872F}">
    <text>In gilt rearing FCE alerts are not relevant - although we would like to track it</text>
  </threadedComment>
  <threadedComment ref="Y10" dT="2026-09-09T05:33:34.59" personId="{96DB4F4D-DEE8-4A29-92F0-851276145DD3}" id="{B06895FB-3BC4-4CA1-B0C0-8573CCA8FF54}" parentId="{2F4AE91B-EDCA-4D56-AF93-BEBF66C6872F}">
    <text>Consider cumulative per month and then monthly summaries per the entire gilt rearing phase</text>
  </threadedComment>
  <threadedComment ref="Z10" dT="2026-09-08T14:49:29.54" personId="{96DB4F4D-DEE8-4A29-92F0-851276145DD3}" id="{DA85A988-B3F3-4811-A23C-734F9B3BF81E}">
    <text>Any gilt mortality should be alerted - no % for this stage as data set too small to run reasonable %’s however we need to take note of any mortality and the reasons in this stage</text>
  </threadedComment>
  <threadedComment ref="AB10" dT="2026-09-09T05:34:38.63" personId="{96DB4F4D-DEE8-4A29-92F0-851276145DD3}" id="{4BBDC28E-9800-4775-A321-78DF488C9AF4}">
    <text xml:space="preserve">See sample sheet - Sample 10, 16 and 27 week variation </text>
  </threadedComment>
  <threadedComment ref="AJ10" dT="2026-09-09T05:35:43.65" personId="{96DB4F4D-DEE8-4A29-92F0-851276145DD3}" id="{FCCA8653-E899-4018-8C76-F3118ABC06E1}">
    <text>See medication table</text>
  </threadedComment>
  <threadedComment ref="AP10" dT="2026-08-25T04:39:36.35" personId="{96DB4F4D-DEE8-4A29-92F0-851276145DD3}" id="{0C957A00-5ADB-4948-A3B7-92F42702AFDE}">
    <text>Comments, notes and instructions change - So make this a section that is editable by farm manager and GM</text>
  </threadedComment>
  <threadedComment ref="T12" dT="2026-08-28T05:50:40.98" personId="{96DB4F4D-DEE8-4A29-92F0-851276145DD3}" id="{4B006DF6-667E-4717-87BD-05DF0974690D}">
    <text xml:space="preserve">There is no specific period as diets are changed or held onto based on weights </text>
  </threadedComment>
  <threadedComment ref="AB12" dT="2026-09-09T05:34:38.63" personId="{96DB4F4D-DEE8-4A29-92F0-851276145DD3}" id="{5659378A-3BA6-4DDB-8854-2098329716FC}">
    <text xml:space="preserve">See sample sheet - Sample 10, 16 and 27 week variation </text>
  </threadedComment>
  <threadedComment ref="T21" dT="2026-08-28T05:50:40.98" personId="{96DB4F4D-DEE8-4A29-92F0-851276145DD3}" id="{D7D2C386-ECA2-497C-BC59-3C866162396A}">
    <text xml:space="preserve">There is no specific period as diets are changed or held onto based on weights </text>
  </threadedComment>
  <threadedComment ref="AA36" dT="2026-09-08T14:44:59.07" personId="{96DB4F4D-DEE8-4A29-92F0-851276145DD3}" id="{C8F3ABA6-641E-46D1-B1AE-3AA38D1C73E6}">
    <text xml:space="preserve">We need an alert to send gilt to the service line. Considerations based on her 24 to 27 week ADG, that she will be minimum in the service line for 10 days, that she will be minimum 30 weeks old and minimum entry service weight based on target range </text>
  </threadedComment>
  <threadedComment ref="AC36" dT="2026-08-28T13:35:04.78" personId="{96DB4F4D-DEE8-4A29-92F0-851276145DD3}" id="{AE231DD7-0278-410C-A6E3-80101F9A58C8}">
    <text>Add the range</text>
  </threadedComment>
  <threadedComment ref="AD36" dT="2026-08-28T13:35:04.78" personId="{96DB4F4D-DEE8-4A29-92F0-851276145DD3}" id="{1F310382-18C1-46E5-B160-106B526FDB45}">
    <text>Add the range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R5" dT="2026-09-09T06:13:57.25" personId="{96DB4F4D-DEE8-4A29-92F0-851276145DD3}" id="{A6949E70-733F-46C1-9C9D-FE16CAF33AA6}">
    <text>See sheet - feed schedule - in dry sow</text>
  </threadedComment>
  <threadedComment ref="U5" dT="2026-09-03T14:35:35.51" personId="{96DB4F4D-DEE8-4A29-92F0-851276145DD3}" id="{16F213FF-B868-4064-9FD3-BA3FFAB9CAD5}">
    <text>We need to know the # of animals gaining the weight within this range and the variation of this - of those not gaining the specified range we need to now what this is whether higher or lower</text>
  </threadedComment>
  <threadedComment ref="Z5" dT="2026-09-03T14:31:07.64" personId="{96DB4F4D-DEE8-4A29-92F0-851276145DD3}" id="{285D4ACE-A952-404B-86FF-D5CE98934BC5}">
    <text xml:space="preserve">We need a field to measure current gilt farrow rates per batch and the reasons for any losses
</text>
  </threadedComment>
  <threadedComment ref="AJ5" dT="2026-09-03T14:33:37.56" personId="{96DB4F4D-DEE8-4A29-92F0-851276145DD3}" id="{66A817B5-F89B-4872-AD86-73EC85A74C54}">
    <text>We need to know the % of animals going into the farrowing house within these target ranges and what the variation of this looks like</text>
  </threadedComment>
  <threadedComment ref="AL5" dT="2026-09-03T14:28:28.15" personId="{96DB4F4D-DEE8-4A29-92F0-851276145DD3}" id="{F85AE7DB-70B6-4CE0-92A2-6D279D998571}">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5" dT="2026-09-03T14:29:47.87" personId="{96DB4F4D-DEE8-4A29-92F0-851276145DD3}" id="{2DA56FD0-969F-428C-B2E3-45DA07C4D6BE}" parentId="{F85AE7DB-70B6-4CE0-92A2-6D279D998571}">
    <text>NB: Codes need to be the same as the pig vision mortality codes</text>
  </threadedComment>
  <threadedComment ref="G22" dT="2026-09-04T05:23:28.41" personId="{96DB4F4D-DEE8-4A29-92F0-851276145DD3}" id="{8E82196A-3E47-4B92-AC87-923A8A0AD74D}">
    <text>Expected to farrow based on service week as well as service day - but the whole batch from a service week will move into the farrowing house</text>
  </threadedComment>
  <threadedComment ref="H22" dT="2026-09-04T05:24:12.32" personId="{96DB4F4D-DEE8-4A29-92F0-851276145DD3}" id="{CEAF5C90-4E01-4539-A2A9-B344E45C1C91}">
    <text>Every week there is a weaned batch based on the entire weeks batch that farrowed</text>
  </threadedComment>
  <threadedComment ref="R22" dT="2026-09-06T13:59:38.66" personId="{20878126-D6C6-47CF-89AD-B3A63D79E79F}" id="{CF346133-B352-4337-B954-9B2363476923}">
    <text>As per Gilt Feed schedule - Farr page</text>
  </threadedComment>
  <threadedComment ref="AA22" dT="2026-09-04T05:45:43.16" personId="{96DB4F4D-DEE8-4A29-92F0-851276145DD3}" id="{D3884F45-635F-4331-9DAB-00665D59C155}">
    <text>TB of the gilts that farrowed - to be analyzed independently of other sows that farrowed</text>
  </threadedComment>
  <threadedComment ref="AB22" dT="2026-09-04T05:46:40.91" personId="{96DB4F4D-DEE8-4A29-92F0-851276145DD3}" id="{8761415D-58CE-4907-A7BB-9CA419BCCF3A}">
    <text>BA of the gilts to be analysed indepentantly of the other sows - both TB and BA to have drop down so as to just choose the number of TB, BA. BD and mummy</text>
  </threadedComment>
  <threadedComment ref="AC22" dT="2026-09-04T05:47:51.80" personId="{96DB4F4D-DEE8-4A29-92F0-851276145DD3}" id="{C0CF3356-4B95-47E9-B567-A95166C907C6}">
    <text>To be measured as both a % of born dead as well as an avg # against all gilts that farrowed</text>
  </threadedComment>
  <threadedComment ref="AC22" dT="2026-09-04T05:49:09.26" personId="{96DB4F4D-DEE8-4A29-92F0-851276145DD3}" id="{F90F7348-45AE-4467-9C42-9B9795B9D073}" parentId="{C0CF3356-4B95-47E9-B567-A95166C907C6}">
    <text xml:space="preserve">BD to also be split into 2 separate fields - Born deads are identified as piglets that were alive when the sow started farrowing and died during the farrowing process. Mummies are piglets that died sometime during pregnancy. </text>
  </threadedComment>
  <threadedComment ref="AE22" dT="2026-09-04T05:49:43.48" personId="{96DB4F4D-DEE8-4A29-92F0-851276145DD3}" id="{5DDF0941-B787-478A-9147-545C1C2611EA}">
    <text>Avg birth weight of piglets born from gilts - will not always be measured but sometimes we require this so we need an option</text>
  </threadedComment>
  <threadedComment ref="AE22" dT="2026-09-04T07:05:06.05" personId="{96DB4F4D-DEE8-4A29-92F0-851276145DD3}" id="{D9AD63CF-15AC-467E-8F49-575A40ACBBA6}" parentId="{5DDF0941-B787-478A-9147-545C1C2611EA}">
    <text xml:space="preserve">Target birth weight is 1.3kgs </text>
  </threadedComment>
  <threadedComment ref="AG22" dT="2026-09-04T05:51:42.10" personId="{96DB4F4D-DEE8-4A29-92F0-851276145DD3}" id="{570DB669-8EAF-414C-B024-E9C5CBF98F68}">
    <text>This is the weight of the gilt after she has farrowed. The formula is - weight into farrowing less Total Born x 1.3 - 8.9 - this maternal body weight is needed when we calculate her maternal body weight loss as a % when she weans</text>
  </threadedComment>
  <threadedComment ref="AL22" dT="2026-09-04T05:38:42.84" personId="{96DB4F4D-DEE8-4A29-92F0-851276145DD3}" id="{2433A027-88D3-4ED6-BADE-90CC41B2508D}">
    <text>Not to be confused with piglet mortality under the sow. This is the gilt mortality - if more than 2 gilt mortality's recorded in a batch there needs to be an alert. Mortality codes to link with pig expert, also drop down for reasons needed for independent analysis</text>
  </threadedComment>
  <threadedComment ref="AN22" dT="2026-09-04T06:00:52.24" personId="{96DB4F4D-DEE8-4A29-92F0-851276145DD3}" id="{C144E625-38BC-4378-B210-7B0D8EF44401}">
    <text>See sheet farrowing treatment - include piglet treatments</text>
  </threadedComment>
  <threadedComment ref="X28" dT="2026-09-08T08:18:28.74" personId="{20878126-D6C6-47CF-89AD-B3A63D79E79F}" id="{4515A46E-ED40-4C6A-AB0A-7310F4DE1F19}">
    <text xml:space="preserve">We need to see the individual animal weight loss variation </text>
  </threadedComment>
  <threadedComment ref="AI28" dT="2026-09-04T12:00:14.04" personId="{96DB4F4D-DEE8-4A29-92F0-851276145DD3}" id="{D05A20BB-FEE4-4922-8F15-1D06EA667D3E}">
    <text xml:space="preserve">Gilts should have piglets fostered on to always wean as many piglets as there are teats, even if the BA is lower than the teat #
</text>
  </threadedComment>
  <threadedComment ref="H34" dT="2026-09-04T06:25:15.74" personId="{96DB4F4D-DEE8-4A29-92F0-851276145DD3}" id="{46B3C7E6-79DA-432F-B52E-C373BB3187EC}">
    <text>After the Wednesday an animal will now be considered a stand over</text>
  </threadedComment>
  <threadedComment ref="S34" dT="2026-09-04T12:14:21.19" personId="{96DB4F4D-DEE8-4A29-92F0-851276145DD3}" id="{64E14DD5-9C6B-42E8-A530-E73DBF3C00AA}">
    <text>This is the wean weight from farrowing</text>
  </threadedComment>
  <threadedComment ref="AH34" dT="2026-09-04T12:22:49.06" personId="{96DB4F4D-DEE8-4A29-92F0-851276145DD3}" id="{4B3C6E83-85D3-462F-B64B-44AA8D94234B}">
    <text xml:space="preserve">Alert of more than 2 second parity stand over
</text>
  </threadedComment>
  <threadedComment ref="Q36" dT="2026-09-04T05:28:06.36" personId="{96DB4F4D-DEE8-4A29-92F0-851276145DD3}" id="{C0ACE53E-ACC4-4B48-BF3F-76B0CB3AA026}">
    <text>See sheet - farrow feed schedule</text>
  </threadedComment>
  <threadedComment ref="Q36" dT="2026-09-04T13:20:07.68" personId="{96DB4F4D-DEE8-4A29-92F0-851276145DD3}" id="{5F37FDDB-16B9-4CD0-842A-F326FAE61E29}" parentId="{C0ACE53E-ACC4-4B48-BF3F-76B0CB3AA026}">
    <text>See sheet - dry sow feed schedule</text>
  </threadedComment>
  <threadedComment ref="U36" dT="2026-09-04T12:37:15.35" personId="{96DB4F4D-DEE8-4A29-92F0-851276145DD3}" id="{0AACC1A0-D89C-4F2C-BF86-CFE47A51FB3F}">
    <text xml:space="preserve">Gain for the phase more important than ADG </text>
  </threadedComment>
  <threadedComment ref="Z36" dT="2026-09-04T12:43:19.86" personId="{96DB4F4D-DEE8-4A29-92F0-851276145DD3}" id="{6357D954-D1BA-4282-A7F9-364A89206F65}">
    <text>Need alert if 2nd parity farrow rate drops below 90%</text>
  </threadedComment>
  <threadedComment ref="AJ36" dT="2026-09-06T14:39:09.88" personId="{20878126-D6C6-47CF-89AD-B3A63D79E79F}" id="{7F56044D-D36D-40F2-859F-348346812D7C}">
    <text>Alert of less than 8 2nd parity return to farrow house</text>
  </threadedComment>
  <threadedComment ref="AL36" dT="2026-09-03T14:28:28.15" personId="{96DB4F4D-DEE8-4A29-92F0-851276145DD3}" id="{15447164-56F4-4D8B-ACDA-BE80BF4E239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36" dT="2026-09-03T14:29:47.87" personId="{96DB4F4D-DEE8-4A29-92F0-851276145DD3}" id="{DE3C5661-FA3F-4222-9763-5D521BD7D2D8}" parentId="{15447164-56F4-4D8B-ACDA-BE80BF4E239D}">
    <text>NB: Codes need to be the same as the pig vision mortality codes</text>
  </threadedComment>
  <threadedComment ref="AE53" dT="2026-09-04T05:49:43.48" personId="{96DB4F4D-DEE8-4A29-92F0-851276145DD3}" id="{4A7C85D0-4585-4A41-AD17-E644967D63F4}">
    <text>Avg birth weight of piglets born from gilts - will not always be measured but sometimes we require this so we need an option</text>
  </threadedComment>
  <threadedComment ref="AE53" dT="2026-09-04T07:05:06.05" personId="{96DB4F4D-DEE8-4A29-92F0-851276145DD3}" id="{3C66E188-8CA8-41CA-988D-8CAEFCD5E739}" parentId="{4A7C85D0-4585-4A41-AD17-E644967D63F4}">
    <text xml:space="preserve">Target birth weight is 1.3kgs </text>
  </threadedComment>
  <threadedComment ref="AG53" dT="2026-09-04T05:45:43.16" personId="{96DB4F4D-DEE8-4A29-92F0-851276145DD3}" id="{088909D5-3CEA-4FD9-AA56-CE98C4E51DE1}">
    <text>TB of the 2nds that farrowed - to be analyzed independently of other sows that farrowed</text>
  </threadedComment>
  <threadedComment ref="AL53" dT="2026-09-04T05:38:42.84" personId="{96DB4F4D-DEE8-4A29-92F0-851276145DD3}" id="{FC237FF9-D10B-49DC-990B-1F2D743AC79B}">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N53" dT="2026-09-04T05:53:47.88" personId="{96DB4F4D-DEE8-4A29-92F0-851276145DD3}" id="{0CB4EFF5-2300-4C59-9DC3-D45F8A552F67}">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53" dT="2026-09-04T05:55:08.94" personId="{96DB4F4D-DEE8-4A29-92F0-851276145DD3}" id="{79CD9B93-A6F0-457F-9384-E66C7877FF07}">
    <text>This is the total litter mass per gilt - weaned per sow x avg wean weight -we always capture this for the whole herd and not always as per individual animal however we need the option</text>
  </threadedComment>
  <threadedComment ref="AN54" dT="2026-09-04T05:53:47.88" personId="{96DB4F4D-DEE8-4A29-92F0-851276145DD3}" id="{CD608DE8-D138-4823-8C8B-C2850DAD44BE}">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54" dT="2026-09-04T05:55:08.94" personId="{96DB4F4D-DEE8-4A29-92F0-851276145DD3}" id="{CBA401EE-5CF8-4B03-AC4B-12AED850CA1F}">
    <text>This is the total litter mass per gilt - weaned per sow x avg wean weight -we always capture this for the whole herd and not always as per individual animal however we need the option</text>
  </threadedComment>
  <threadedComment ref="AN55" dT="2026-09-04T05:53:47.88" personId="{96DB4F4D-DEE8-4A29-92F0-851276145DD3}" id="{0E6C3C66-5F61-42A3-B93E-F19243DC1263}">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55" dT="2026-09-04T05:55:08.94" personId="{96DB4F4D-DEE8-4A29-92F0-851276145DD3}" id="{AAE7B7B0-468D-42D0-AFF7-59FA4A5303E1}">
    <text>This is the total litter mass per gilt - weaned per sow x avg wean weight -we always capture this for the whole herd and not always as per individual animal however we need the option</text>
  </threadedComment>
  <threadedComment ref="AN56" dT="2026-09-04T05:53:47.88" personId="{96DB4F4D-DEE8-4A29-92F0-851276145DD3}" id="{2CBFFF50-5777-4C0E-948A-28ACE8578D51}">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56" dT="2026-09-04T05:55:08.94" personId="{96DB4F4D-DEE8-4A29-92F0-851276145DD3}" id="{70C730DE-DD04-4459-9662-7C93036D9ECC}">
    <text>This is the total litter mass per gilt - weaned per sow x avg wean weight -we always capture this for the whole herd and not always as per individual animal however we need the option</text>
  </threadedComment>
  <threadedComment ref="AN57" dT="2026-09-04T05:53:47.88" personId="{96DB4F4D-DEE8-4A29-92F0-851276145DD3}" id="{FB2BE20D-1F47-4547-9BE1-26A72666CEF4}">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57" dT="2026-09-04T05:55:08.94" personId="{96DB4F4D-DEE8-4A29-92F0-851276145DD3}" id="{CB259783-8B4A-45E9-A51A-5C6342E28B4D}">
    <text>This is the total litter mass per gilt - weaned per sow x avg wean weight -we always capture this for the whole herd and not always as per individual animal however we need the option</text>
  </threadedComment>
  <threadedComment ref="AK59" dT="2026-09-04T05:51:42.10" personId="{96DB4F4D-DEE8-4A29-92F0-851276145DD3}" id="{AE43A445-AE8F-4E38-89F5-B3D50796E32E}">
    <text>This is the weight of the 2nd parity after she has farrowed. The formula is - weight into farrowing less Total Born x 1.3 - 8.9 - this maternal body weight is needed when we calculate her maternal body weight loss as a % when she weans</text>
  </threadedComment>
  <threadedComment ref="H65" dT="2026-09-04T06:25:15.74" personId="{96DB4F4D-DEE8-4A29-92F0-851276145DD3}" id="{5A2B36BD-0FA1-4AEF-9ADB-F4FBF8BACE50}">
    <text>After the Wednesday an animal will now be considered a stand over</text>
  </threadedComment>
  <threadedComment ref="H65" dT="2026-09-04T13:46:30.01" personId="{96DB4F4D-DEE8-4A29-92F0-851276145DD3}" id="{24D7194C-0997-4255-A9AB-75C8C7358782}" parentId="{5A2B36BD-0FA1-4AEF-9ADB-F4FBF8BACE50}">
    <text>We need a cull indicator on 3rd parity plus</text>
  </threadedComment>
  <threadedComment ref="AL67" dT="2026-09-03T14:28:28.15" personId="{96DB4F4D-DEE8-4A29-92F0-851276145DD3}" id="{B1395D96-A62B-4D6D-B17F-E05EC09BD29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7" dT="2026-09-03T14:29:47.87" personId="{96DB4F4D-DEE8-4A29-92F0-851276145DD3}" id="{8F8D4D6F-FE71-4FAD-8647-E208B893AB46}" parentId="{B1395D96-A62B-4D6D-B17F-E05EC09BD294}">
    <text>NB: Codes need to be the same as the pig vision mortality codes</text>
  </threadedComment>
  <threadedComment ref="AL68" dT="2026-09-03T14:28:28.15" personId="{96DB4F4D-DEE8-4A29-92F0-851276145DD3}" id="{CF9F5566-A146-4CC3-B549-90D9B5B5BB8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8" dT="2026-09-03T14:29:47.87" personId="{96DB4F4D-DEE8-4A29-92F0-851276145DD3}" id="{7C38EFD8-FC76-4367-9D2E-18E7715FC03E}" parentId="{CF9F5566-A146-4CC3-B549-90D9B5B5BB83}">
    <text>NB: Codes need to be the same as the pig vision mortality codes</text>
  </threadedComment>
  <threadedComment ref="AL69" dT="2026-09-03T14:28:28.15" personId="{96DB4F4D-DEE8-4A29-92F0-851276145DD3}" id="{407B503E-1E27-4954-98C7-277BD0E4628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9" dT="2026-09-03T14:29:47.87" personId="{96DB4F4D-DEE8-4A29-92F0-851276145DD3}" id="{CAC3C6D6-F7D7-434D-BD13-52723BD7C60A}" parentId="{407B503E-1E27-4954-98C7-277BD0E46283}">
    <text>NB: Codes need to be the same as the pig vision mortality codes</text>
  </threadedComment>
  <threadedComment ref="AL70" dT="2026-09-03T14:28:28.15" personId="{96DB4F4D-DEE8-4A29-92F0-851276145DD3}" id="{35CEF78F-9013-4FA0-A207-11A574A2EDD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0" dT="2026-09-03T14:29:47.87" personId="{96DB4F4D-DEE8-4A29-92F0-851276145DD3}" id="{419782FE-8C9D-4D45-A096-24E746916FAB}" parentId="{35CEF78F-9013-4FA0-A207-11A574A2EDD3}">
    <text>NB: Codes need to be the same as the pig vision mortality codes</text>
  </threadedComment>
  <threadedComment ref="AL71" dT="2026-09-03T14:28:28.15" personId="{96DB4F4D-DEE8-4A29-92F0-851276145DD3}" id="{281D7D16-5854-419E-AC81-C8410F5F07FC}">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1" dT="2026-09-03T14:29:47.87" personId="{96DB4F4D-DEE8-4A29-92F0-851276145DD3}" id="{FFCD5E13-12FD-465E-A67E-6E489197771F}" parentId="{281D7D16-5854-419E-AC81-C8410F5F07FC}">
    <text>NB: Codes need to be the same as the pig vision mortality codes</text>
  </threadedComment>
  <threadedComment ref="AL72" dT="2026-09-03T14:28:28.15" personId="{96DB4F4D-DEE8-4A29-92F0-851276145DD3}" id="{EAD4EB26-165C-4FA4-BB15-223ACF7850DF}">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2" dT="2026-09-03T14:29:47.87" personId="{96DB4F4D-DEE8-4A29-92F0-851276145DD3}" id="{0C781D5D-EF07-4636-B06F-872C84EEC32F}" parentId="{EAD4EB26-165C-4FA4-BB15-223ACF7850DF}">
    <text>NB: Codes need to be the same as the pig vision mortality codes</text>
  </threadedComment>
  <threadedComment ref="AL73" dT="2026-09-03T14:28:28.15" personId="{96DB4F4D-DEE8-4A29-92F0-851276145DD3}" id="{98942C8F-3A37-42B5-961B-0886E394A82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3" dT="2026-09-03T14:29:47.87" personId="{96DB4F4D-DEE8-4A29-92F0-851276145DD3}" id="{0BB0DCF4-5A97-4D33-8885-FD939846B16A}" parentId="{98942C8F-3A37-42B5-961B-0886E394A825}">
    <text>NB: Codes need to be the same as the pig vision mortality codes</text>
  </threadedComment>
  <threadedComment ref="AL74" dT="2026-09-03T14:28:28.15" personId="{96DB4F4D-DEE8-4A29-92F0-851276145DD3}" id="{55DE47A6-4FA4-45E4-8A98-3BC4620CBE9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4" dT="2026-09-03T14:29:47.87" personId="{96DB4F4D-DEE8-4A29-92F0-851276145DD3}" id="{25AD7CA3-A324-4D83-A428-DF6D0E6A53C1}" parentId="{55DE47A6-4FA4-45E4-8A98-3BC4620CBE95}">
    <text>NB: Codes need to be the same as the pig vision mortality codes</text>
  </threadedComment>
  <threadedComment ref="AL75" dT="2026-09-03T14:28:28.15" personId="{96DB4F4D-DEE8-4A29-92F0-851276145DD3}" id="{8F48001D-CCA9-43EF-A52F-A13E83597177}">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5" dT="2026-09-03T14:29:47.87" personId="{96DB4F4D-DEE8-4A29-92F0-851276145DD3}" id="{90A8D3AB-A4A5-4F3E-840C-A8678328EDA9}" parentId="{8F48001D-CCA9-43EF-A52F-A13E83597177}">
    <text>NB: Codes need to be the same as the pig vision mortality codes</text>
  </threadedComment>
  <threadedComment ref="AL76" dT="2026-09-03T14:28:28.15" personId="{96DB4F4D-DEE8-4A29-92F0-851276145DD3}" id="{763C1461-DBCA-4DDA-8780-12B428A41BE6}">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6" dT="2026-09-03T14:29:47.87" personId="{96DB4F4D-DEE8-4A29-92F0-851276145DD3}" id="{3F11F2AF-5814-418A-B8EF-65D902116873}" parentId="{763C1461-DBCA-4DDA-8780-12B428A41BE6}">
    <text>NB: Codes need to be the same as the pig vision mortality codes</text>
  </threadedComment>
  <threadedComment ref="AL77" dT="2026-09-03T14:28:28.15" personId="{96DB4F4D-DEE8-4A29-92F0-851276145DD3}" id="{97EEF62E-944F-41C8-8C3F-61F0D14208C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7" dT="2026-09-03T14:29:47.87" personId="{96DB4F4D-DEE8-4A29-92F0-851276145DD3}" id="{1CDEB49A-EE17-4B82-897C-4B2473313DE2}" parentId="{97EEF62E-944F-41C8-8C3F-61F0D14208C3}">
    <text>NB: Codes need to be the same as the pig vision mortality codes</text>
  </threadedComment>
  <threadedComment ref="AL78" dT="2026-09-03T14:28:28.15" personId="{96DB4F4D-DEE8-4A29-92F0-851276145DD3}" id="{77E1F520-0ACF-496A-9D6D-2D987123A6F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8" dT="2026-09-03T14:29:47.87" personId="{96DB4F4D-DEE8-4A29-92F0-851276145DD3}" id="{78FD9100-315E-4416-BC1E-9C7EDD0241CF}" parentId="{77E1F520-0ACF-496A-9D6D-2D987123A6FD}">
    <text>NB: Codes need to be the same as the pig vision mortality codes</text>
  </threadedComment>
  <threadedComment ref="AL79" dT="2026-09-03T14:28:28.15" personId="{96DB4F4D-DEE8-4A29-92F0-851276145DD3}" id="{48FDB245-C99E-4948-827C-7BDD4C504652}">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79" dT="2026-09-03T14:29:47.87" personId="{96DB4F4D-DEE8-4A29-92F0-851276145DD3}" id="{7D5E61E3-E49A-4551-A9CE-63C88B4FB933}" parentId="{48FDB245-C99E-4948-827C-7BDD4C504652}">
    <text>NB: Codes need to be the same as the pig vision mortality codes</text>
  </threadedComment>
  <threadedComment ref="AL80" dT="2026-09-03T14:28:28.15" personId="{96DB4F4D-DEE8-4A29-92F0-851276145DD3}" id="{FA0C1089-3025-43E3-96EF-AB35866CE9CC}">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80" dT="2026-09-03T14:29:47.87" personId="{96DB4F4D-DEE8-4A29-92F0-851276145DD3}" id="{22E194D9-1A11-4C34-A5DB-95901171AAA3}" parentId="{FA0C1089-3025-43E3-96EF-AB35866CE9CC}">
    <text>NB: Codes need to be the same as the pig vision mortality codes</text>
  </threadedComment>
  <threadedComment ref="AL81" dT="2026-09-03T14:28:28.15" personId="{96DB4F4D-DEE8-4A29-92F0-851276145DD3}" id="{9E7344AA-B632-47F2-9616-3DFCFED6438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81" dT="2026-09-03T14:29:47.87" personId="{96DB4F4D-DEE8-4A29-92F0-851276145DD3}" id="{B5E34D17-6D7D-4328-991C-3C5011C7B680}" parentId="{9E7344AA-B632-47F2-9616-3DFCFED64384}">
    <text>NB: Codes need to be the same as the pig vision mortality codes</text>
  </threadedComment>
  <threadedComment ref="AL82" dT="2026-09-03T14:28:28.15" personId="{96DB4F4D-DEE8-4A29-92F0-851276145DD3}" id="{D5A9FB27-1F57-425C-B453-D7C2B0DB6A7A}">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82" dT="2026-09-03T14:29:47.87" personId="{96DB4F4D-DEE8-4A29-92F0-851276145DD3}" id="{26776D03-8DC5-4A55-927E-9D1D7FF0190E}" parentId="{D5A9FB27-1F57-425C-B453-D7C2B0DB6A7A}">
    <text>NB: Codes need to be the same as the pig vision mortality codes</text>
  </threadedComment>
  <threadedComment ref="AE84" dT="2026-09-04T05:49:43.48" personId="{96DB4F4D-DEE8-4A29-92F0-851276145DD3}" id="{25575579-9F3C-47B8-9DBA-3D2AE8CAC7FD}">
    <text>Avg birth weight of piglets born from gilts - will not always be measured but sometimes we require this so we need an option</text>
  </threadedComment>
  <threadedComment ref="AE84" dT="2026-09-04T07:05:06.05" personId="{96DB4F4D-DEE8-4A29-92F0-851276145DD3}" id="{437EF6A4-5C7F-44DD-96CF-E829D4478AD8}" parentId="{25575579-9F3C-47B8-9DBA-3D2AE8CAC7FD}">
    <text xml:space="preserve">Target birth weight is 1.3kgs </text>
  </threadedComment>
  <threadedComment ref="AL84" dT="2026-09-04T05:38:42.84" personId="{96DB4F4D-DEE8-4A29-92F0-851276145DD3}" id="{CB847B1F-CB3F-47CB-A8E0-23835BE1F0EF}">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
  <sheetViews>
    <sheetView tabSelected="1" topLeftCell="A2" zoomScaleNormal="100" workbookViewId="0">
      <pane xSplit="3" ySplit="4" topLeftCell="D6" activePane="bottomRight" state="frozen"/>
      <selection pane="bottomRight" activeCell="A6" sqref="A6:XFD10"/>
      <selection pane="bottomLeft" activeCell="A5" sqref="A5"/>
      <selection pane="topRight" activeCell="D2" sqref="D2"/>
    </sheetView>
  </sheetViews>
  <sheetFormatPr defaultColWidth="23.5703125" defaultRowHeight="15" customHeight="1"/>
  <cols>
    <col min="1" max="1" width="10.85546875" bestFit="1" customWidth="1"/>
    <col min="2" max="2" width="17.140625" customWidth="1"/>
    <col min="3" max="3" width="13.7109375" customWidth="1"/>
    <col min="4" max="4" width="18.28515625" customWidth="1"/>
    <col min="5" max="5" width="19" customWidth="1"/>
    <col min="6" max="6" width="14.140625" customWidth="1"/>
    <col min="7" max="10" width="14.7109375" customWidth="1"/>
    <col min="11" max="11" width="19.140625" customWidth="1"/>
    <col min="12" max="12" width="13.42578125" customWidth="1"/>
    <col min="13" max="15" width="12.5703125" customWidth="1"/>
    <col min="16" max="16" width="16.85546875" customWidth="1"/>
    <col min="17" max="17" width="13.7109375" customWidth="1"/>
    <col min="18" max="18" width="20.85546875" customWidth="1"/>
    <col min="19" max="19" width="13.28515625" customWidth="1"/>
    <col min="20" max="20" width="17.140625" customWidth="1"/>
    <col min="21" max="21" width="15.85546875" customWidth="1"/>
    <col min="22" max="22" width="14.85546875" customWidth="1"/>
    <col min="23" max="32" width="22.42578125" customWidth="1"/>
    <col min="33" max="33" width="19.140625" bestFit="1" customWidth="1"/>
    <col min="34" max="34" width="35.28515625" customWidth="1"/>
    <col min="35" max="35" width="33.42578125" customWidth="1"/>
    <col min="36" max="36" width="38.28515625" customWidth="1"/>
    <col min="37" max="37" width="29.28515625" customWidth="1"/>
    <col min="38" max="38" width="39" customWidth="1"/>
    <col min="39" max="39" width="8.42578125" bestFit="1" customWidth="1"/>
  </cols>
  <sheetData>
    <row r="1" spans="1:39" ht="24">
      <c r="A1" s="19" t="s">
        <v>0</v>
      </c>
      <c r="B1" s="12" t="s">
        <v>1</v>
      </c>
      <c r="C1" s="13" t="s">
        <v>2</v>
      </c>
      <c r="D1" s="12" t="s">
        <v>3</v>
      </c>
      <c r="E1" s="13" t="s">
        <v>4</v>
      </c>
      <c r="F1" s="12" t="s">
        <v>5</v>
      </c>
      <c r="G1" s="13" t="s">
        <v>6</v>
      </c>
      <c r="H1" s="21" t="s">
        <v>7</v>
      </c>
      <c r="I1" s="13" t="s">
        <v>8</v>
      </c>
      <c r="J1" s="13" t="s">
        <v>9</v>
      </c>
      <c r="K1" s="24" t="s">
        <v>10</v>
      </c>
      <c r="L1" s="12" t="s">
        <v>11</v>
      </c>
      <c r="M1" s="24" t="s">
        <v>12</v>
      </c>
      <c r="N1" s="24" t="s">
        <v>13</v>
      </c>
      <c r="O1" s="24" t="s">
        <v>14</v>
      </c>
      <c r="P1" s="13" t="s">
        <v>15</v>
      </c>
      <c r="Q1" s="12" t="s">
        <v>16</v>
      </c>
      <c r="R1" s="24" t="s">
        <v>17</v>
      </c>
      <c r="S1" s="13" t="s">
        <v>18</v>
      </c>
      <c r="T1" s="12" t="s">
        <v>19</v>
      </c>
      <c r="U1" s="24" t="s">
        <v>20</v>
      </c>
      <c r="V1" s="24" t="s">
        <v>21</v>
      </c>
      <c r="W1" s="24" t="s">
        <v>22</v>
      </c>
      <c r="X1" s="24" t="s">
        <v>23</v>
      </c>
      <c r="Y1" s="24" t="s">
        <v>24</v>
      </c>
      <c r="Z1" s="24" t="s">
        <v>25</v>
      </c>
      <c r="AA1" s="24" t="s">
        <v>26</v>
      </c>
      <c r="AB1" s="24" t="s">
        <v>27</v>
      </c>
      <c r="AC1" s="24" t="s">
        <v>28</v>
      </c>
      <c r="AD1" s="24" t="s">
        <v>29</v>
      </c>
      <c r="AE1" s="24" t="s">
        <v>30</v>
      </c>
      <c r="AF1" s="24" t="s">
        <v>31</v>
      </c>
      <c r="AG1" s="13" t="s">
        <v>32</v>
      </c>
      <c r="AH1" s="12" t="s">
        <v>33</v>
      </c>
      <c r="AI1" s="24" t="s">
        <v>33</v>
      </c>
      <c r="AJ1" s="24" t="s">
        <v>33</v>
      </c>
      <c r="AK1" s="24" t="s">
        <v>33</v>
      </c>
      <c r="AL1" s="24" t="s">
        <v>33</v>
      </c>
      <c r="AM1" s="12" t="s">
        <v>34</v>
      </c>
    </row>
    <row r="2" spans="1:39" ht="24">
      <c r="A2" s="19" t="s">
        <v>0</v>
      </c>
      <c r="B2" s="12" t="s">
        <v>1</v>
      </c>
      <c r="C2" s="13" t="s">
        <v>2</v>
      </c>
      <c r="D2" s="12" t="s">
        <v>3</v>
      </c>
      <c r="E2" s="13" t="s">
        <v>4</v>
      </c>
      <c r="F2" s="12" t="s">
        <v>5</v>
      </c>
      <c r="G2" s="13" t="s">
        <v>6</v>
      </c>
      <c r="H2" s="21" t="s">
        <v>7</v>
      </c>
      <c r="I2" s="13" t="s">
        <v>8</v>
      </c>
      <c r="J2" s="13" t="s">
        <v>9</v>
      </c>
      <c r="K2" s="24" t="s">
        <v>10</v>
      </c>
      <c r="L2" s="12" t="s">
        <v>11</v>
      </c>
      <c r="M2" s="24" t="s">
        <v>12</v>
      </c>
      <c r="N2" s="24" t="s">
        <v>13</v>
      </c>
      <c r="O2" s="24" t="s">
        <v>14</v>
      </c>
      <c r="P2" s="13" t="s">
        <v>15</v>
      </c>
      <c r="Q2" s="12" t="s">
        <v>16</v>
      </c>
      <c r="R2" s="24" t="s">
        <v>17</v>
      </c>
      <c r="S2" s="13" t="s">
        <v>18</v>
      </c>
      <c r="T2" s="12" t="s">
        <v>19</v>
      </c>
      <c r="U2" s="24" t="s">
        <v>20</v>
      </c>
      <c r="V2" s="24" t="s">
        <v>21</v>
      </c>
      <c r="W2" s="24" t="s">
        <v>22</v>
      </c>
      <c r="X2" s="24" t="s">
        <v>23</v>
      </c>
      <c r="Y2" s="24" t="s">
        <v>24</v>
      </c>
      <c r="Z2" s="24" t="s">
        <v>25</v>
      </c>
      <c r="AA2" s="24" t="s">
        <v>26</v>
      </c>
      <c r="AB2" s="24" t="s">
        <v>27</v>
      </c>
      <c r="AC2" s="24" t="s">
        <v>28</v>
      </c>
      <c r="AD2" s="24" t="s">
        <v>29</v>
      </c>
      <c r="AE2" s="24" t="s">
        <v>30</v>
      </c>
      <c r="AF2" s="24" t="s">
        <v>31</v>
      </c>
      <c r="AG2" s="13" t="s">
        <v>32</v>
      </c>
      <c r="AH2" s="12" t="s">
        <v>33</v>
      </c>
      <c r="AI2" s="24" t="s">
        <v>33</v>
      </c>
      <c r="AJ2" s="24" t="s">
        <v>33</v>
      </c>
      <c r="AK2" s="24" t="s">
        <v>33</v>
      </c>
      <c r="AL2" s="24" t="s">
        <v>33</v>
      </c>
      <c r="AM2" s="12" t="s">
        <v>34</v>
      </c>
    </row>
    <row r="3" spans="1:39" ht="60">
      <c r="A3" s="19" t="s">
        <v>35</v>
      </c>
      <c r="B3" s="3" t="s">
        <v>36</v>
      </c>
      <c r="C3" s="4" t="s">
        <v>37</v>
      </c>
      <c r="D3" s="3" t="s">
        <v>38</v>
      </c>
      <c r="E3" s="4" t="s">
        <v>39</v>
      </c>
      <c r="F3" s="3" t="s">
        <v>40</v>
      </c>
      <c r="G3" s="4" t="s">
        <v>41</v>
      </c>
      <c r="H3" s="20" t="s">
        <v>42</v>
      </c>
      <c r="I3" s="4" t="s">
        <v>43</v>
      </c>
      <c r="J3" s="4"/>
      <c r="K3" s="25" t="s">
        <v>44</v>
      </c>
      <c r="L3" s="3" t="s">
        <v>45</v>
      </c>
      <c r="M3" s="25" t="s">
        <v>46</v>
      </c>
      <c r="N3" s="25" t="s">
        <v>47</v>
      </c>
      <c r="O3" s="25" t="s">
        <v>48</v>
      </c>
      <c r="P3" s="4" t="s">
        <v>49</v>
      </c>
      <c r="Q3" s="3" t="s">
        <v>50</v>
      </c>
      <c r="R3" s="25"/>
      <c r="S3" s="4" t="s">
        <v>51</v>
      </c>
      <c r="T3" s="3" t="s">
        <v>52</v>
      </c>
      <c r="U3" s="25" t="s">
        <v>53</v>
      </c>
      <c r="V3" s="25" t="s">
        <v>54</v>
      </c>
      <c r="W3" s="25" t="s">
        <v>54</v>
      </c>
      <c r="X3" s="25" t="s">
        <v>54</v>
      </c>
      <c r="Y3" s="25"/>
      <c r="Z3" s="25"/>
      <c r="AA3" s="25"/>
      <c r="AB3" s="25"/>
      <c r="AC3" s="25"/>
      <c r="AD3" s="25"/>
      <c r="AE3" s="25"/>
      <c r="AF3" s="25"/>
      <c r="AG3" s="4" t="s">
        <v>55</v>
      </c>
      <c r="AH3" s="3" t="s">
        <v>56</v>
      </c>
      <c r="AI3" s="25" t="s">
        <v>56</v>
      </c>
      <c r="AJ3" s="25" t="s">
        <v>56</v>
      </c>
      <c r="AK3" s="25" t="s">
        <v>56</v>
      </c>
      <c r="AL3" s="25" t="s">
        <v>56</v>
      </c>
      <c r="AM3" s="3" t="s">
        <v>57</v>
      </c>
    </row>
    <row r="4" spans="1:39" ht="24">
      <c r="A4" s="19" t="s">
        <v>58</v>
      </c>
      <c r="B4" s="3" t="s">
        <v>59</v>
      </c>
      <c r="C4" s="4" t="s">
        <v>60</v>
      </c>
      <c r="D4" s="11" t="s">
        <v>61</v>
      </c>
      <c r="E4" s="10" t="s">
        <v>62</v>
      </c>
      <c r="F4" s="11" t="s">
        <v>63</v>
      </c>
      <c r="G4" s="10" t="s">
        <v>64</v>
      </c>
      <c r="H4" s="22" t="s">
        <v>65</v>
      </c>
      <c r="I4" s="4" t="s">
        <v>66</v>
      </c>
      <c r="J4" s="4"/>
      <c r="K4" s="25"/>
      <c r="L4" s="3" t="s">
        <v>67</v>
      </c>
      <c r="M4" s="25"/>
      <c r="N4" s="25"/>
      <c r="O4" s="25"/>
      <c r="P4" s="4" t="s">
        <v>65</v>
      </c>
      <c r="Q4" s="3" t="s">
        <v>68</v>
      </c>
      <c r="R4" s="25"/>
      <c r="S4" s="4" t="s">
        <v>69</v>
      </c>
      <c r="T4" s="3" t="s">
        <v>70</v>
      </c>
      <c r="U4" s="25"/>
      <c r="V4" s="25"/>
      <c r="W4" s="25"/>
      <c r="X4" s="25"/>
      <c r="Y4" s="25"/>
      <c r="Z4" s="25"/>
      <c r="AA4" s="25"/>
      <c r="AB4" s="25"/>
      <c r="AC4" s="25"/>
      <c r="AD4" s="25"/>
      <c r="AE4" s="25"/>
      <c r="AF4" s="25"/>
      <c r="AG4" s="4">
        <v>18</v>
      </c>
      <c r="AH4" s="3" t="s">
        <v>71</v>
      </c>
      <c r="AI4" s="25" t="s">
        <v>71</v>
      </c>
      <c r="AJ4" s="25" t="s">
        <v>71</v>
      </c>
      <c r="AK4" s="25" t="s">
        <v>71</v>
      </c>
      <c r="AL4" s="25" t="s">
        <v>71</v>
      </c>
      <c r="AM4" s="3" t="b">
        <v>0</v>
      </c>
    </row>
    <row r="5" spans="1:39">
      <c r="A5" s="19" t="s">
        <v>72</v>
      </c>
      <c r="B5" s="8" t="s">
        <v>73</v>
      </c>
      <c r="C5" s="9" t="s">
        <v>73</v>
      </c>
      <c r="D5" s="8" t="s">
        <v>73</v>
      </c>
      <c r="E5" s="10" t="s">
        <v>74</v>
      </c>
      <c r="F5" s="11" t="s">
        <v>74</v>
      </c>
      <c r="G5" s="10" t="s">
        <v>74</v>
      </c>
      <c r="H5" s="22" t="s">
        <v>74</v>
      </c>
      <c r="I5" s="10" t="s">
        <v>74</v>
      </c>
      <c r="J5" s="10"/>
      <c r="K5" s="26"/>
      <c r="L5" s="11" t="s">
        <v>74</v>
      </c>
      <c r="M5" s="26"/>
      <c r="N5" s="26"/>
      <c r="O5" s="26"/>
      <c r="P5" s="10" t="s">
        <v>74</v>
      </c>
      <c r="Q5" s="11" t="s">
        <v>74</v>
      </c>
      <c r="R5" s="26"/>
      <c r="S5" s="10" t="s">
        <v>74</v>
      </c>
      <c r="T5" s="11" t="s">
        <v>75</v>
      </c>
      <c r="U5" s="26"/>
      <c r="V5" s="26"/>
      <c r="W5" s="26"/>
      <c r="X5" s="26"/>
      <c r="Y5" s="26"/>
      <c r="Z5" s="26"/>
      <c r="AA5" s="26"/>
      <c r="AB5" s="26"/>
      <c r="AC5" s="26"/>
      <c r="AD5" s="26"/>
      <c r="AE5" s="26"/>
      <c r="AF5" s="26"/>
      <c r="AG5" s="10" t="s">
        <v>75</v>
      </c>
      <c r="AH5" s="11" t="s">
        <v>74</v>
      </c>
      <c r="AI5" s="26" t="s">
        <v>74</v>
      </c>
      <c r="AJ5" s="26" t="s">
        <v>74</v>
      </c>
      <c r="AK5" s="26" t="s">
        <v>74</v>
      </c>
      <c r="AL5" s="26" t="s">
        <v>74</v>
      </c>
      <c r="AM5" s="8" t="s">
        <v>73</v>
      </c>
    </row>
    <row r="6" spans="1:39">
      <c r="E6" s="31"/>
      <c r="F6" s="31"/>
      <c r="G6" s="31"/>
      <c r="H6" s="31"/>
      <c r="S6" s="23"/>
    </row>
    <row r="7" spans="1:39" ht="29.25">
      <c r="B7" t="s">
        <v>76</v>
      </c>
      <c r="C7" t="s">
        <v>76</v>
      </c>
      <c r="E7" s="31">
        <v>116</v>
      </c>
      <c r="F7" s="31">
        <v>28</v>
      </c>
      <c r="G7" s="31" t="s">
        <v>77</v>
      </c>
      <c r="H7" s="31" t="s">
        <v>78</v>
      </c>
      <c r="I7">
        <v>10</v>
      </c>
      <c r="J7" t="s">
        <v>79</v>
      </c>
      <c r="K7" s="43">
        <v>16</v>
      </c>
      <c r="L7" s="43">
        <v>15</v>
      </c>
      <c r="M7" s="43">
        <v>0.7</v>
      </c>
      <c r="N7" s="43">
        <v>0.3</v>
      </c>
      <c r="O7" s="32">
        <v>0.08</v>
      </c>
      <c r="P7" s="94">
        <v>13.8</v>
      </c>
      <c r="Q7" s="31">
        <v>7.5</v>
      </c>
      <c r="R7" s="95">
        <f>+Q7*P7</f>
        <v>103.5</v>
      </c>
      <c r="S7" s="33">
        <v>0.9</v>
      </c>
      <c r="T7" s="31">
        <v>36</v>
      </c>
      <c r="U7" s="31">
        <v>1</v>
      </c>
      <c r="V7" s="95">
        <f>+P7*W7</f>
        <v>33.396000000000001</v>
      </c>
      <c r="W7">
        <v>2.42</v>
      </c>
      <c r="X7">
        <v>18</v>
      </c>
      <c r="Y7">
        <v>28</v>
      </c>
      <c r="Z7">
        <v>20.5</v>
      </c>
      <c r="AA7">
        <f>+[1]Sheet1!$E$92</f>
        <v>1.5</v>
      </c>
      <c r="AB7" s="288">
        <v>1.2E-2</v>
      </c>
      <c r="AC7">
        <v>2.4</v>
      </c>
      <c r="AD7" s="23">
        <v>0.02</v>
      </c>
      <c r="AE7">
        <f>+[1]Sheet1!$E$95</f>
        <v>1.1000000000000001</v>
      </c>
      <c r="AF7">
        <v>89</v>
      </c>
      <c r="AG7">
        <v>29</v>
      </c>
      <c r="AH7" s="34" t="s">
        <v>80</v>
      </c>
      <c r="AI7" s="34" t="s">
        <v>81</v>
      </c>
      <c r="AJ7" s="34" t="s">
        <v>82</v>
      </c>
      <c r="AK7" s="34" t="s">
        <v>83</v>
      </c>
      <c r="AL7" s="34" t="s">
        <v>84</v>
      </c>
    </row>
    <row r="8" spans="1:39">
      <c r="C8" t="s">
        <v>85</v>
      </c>
      <c r="H8" s="31"/>
      <c r="S8" s="23"/>
      <c r="T8" s="31"/>
      <c r="AH8" s="34"/>
      <c r="AK8" s="34"/>
      <c r="AL8" s="34"/>
    </row>
    <row r="9" spans="1:39">
      <c r="S9" s="23"/>
      <c r="T9" s="31"/>
      <c r="AK9" s="34"/>
      <c r="AL9" s="34"/>
    </row>
    <row r="10" spans="1:39">
      <c r="S10" s="23"/>
      <c r="T10" s="31"/>
      <c r="AK10" s="34"/>
      <c r="AL10" s="34"/>
    </row>
    <row r="11" spans="1:39" ht="15" customHeight="1">
      <c r="S11" s="23"/>
      <c r="T11" s="31"/>
      <c r="AK11" s="34"/>
      <c r="AL11" s="34"/>
    </row>
    <row r="12" spans="1:39" ht="15" customHeight="1">
      <c r="S12" s="23"/>
      <c r="T12" s="31"/>
      <c r="AK12" s="34"/>
      <c r="AL12" s="34"/>
    </row>
    <row r="13" spans="1:39" ht="15" customHeight="1">
      <c r="S13" s="23"/>
      <c r="T13" s="31"/>
      <c r="AK13" s="34"/>
      <c r="AL13" s="34"/>
    </row>
    <row r="14" spans="1:39" ht="15" customHeight="1">
      <c r="S14" s="23"/>
      <c r="T14" s="31"/>
      <c r="AK14" s="34"/>
      <c r="AL14" s="34"/>
    </row>
    <row r="15" spans="1:39" ht="15" customHeight="1">
      <c r="S15" s="23"/>
      <c r="T15" s="31"/>
      <c r="AK15" s="34"/>
      <c r="AL15" s="34"/>
    </row>
    <row r="16" spans="1:39" ht="15" customHeight="1">
      <c r="S16" s="23"/>
      <c r="T16" s="31"/>
      <c r="AK16" s="34"/>
      <c r="AL16" s="34"/>
    </row>
    <row r="17" spans="19:38" ht="15" customHeight="1">
      <c r="S17" s="23"/>
      <c r="T17" s="31"/>
      <c r="AK17" s="34"/>
      <c r="AL17" s="34"/>
    </row>
    <row r="18" spans="19:38" ht="15" customHeight="1">
      <c r="S18" s="23"/>
      <c r="T18" s="31"/>
      <c r="AK18" s="34"/>
      <c r="AL18" s="34"/>
    </row>
    <row r="19" spans="19:38" ht="15" customHeight="1">
      <c r="S19" s="23"/>
      <c r="T19" s="31"/>
      <c r="AK19" s="34"/>
      <c r="AL19" s="34"/>
    </row>
    <row r="20" spans="19:38" ht="15" customHeight="1">
      <c r="S20" s="23"/>
      <c r="T20" s="31"/>
      <c r="AK20" s="34"/>
      <c r="AL20" s="34"/>
    </row>
    <row r="21" spans="19:38" ht="15" customHeight="1">
      <c r="S21" s="23"/>
      <c r="T21" s="31"/>
      <c r="AK21" s="34"/>
      <c r="AL21" s="34"/>
    </row>
    <row r="22" spans="19:38" ht="15" customHeight="1">
      <c r="S22" s="23"/>
      <c r="T22" s="31"/>
      <c r="AK22" s="34"/>
      <c r="AL22" s="34"/>
    </row>
    <row r="23" spans="19:38" ht="15" customHeight="1">
      <c r="S23" s="23"/>
      <c r="T23" s="31"/>
      <c r="AK23" s="34"/>
      <c r="AL23" s="34"/>
    </row>
    <row r="24" spans="19:38" ht="15" customHeight="1">
      <c r="S24" s="23"/>
      <c r="T24" s="31"/>
      <c r="AK24" s="34"/>
      <c r="AL24" s="34"/>
    </row>
    <row r="25" spans="19:38" ht="15" customHeight="1">
      <c r="S25" s="23"/>
      <c r="T25" s="31"/>
      <c r="AK25" s="34"/>
      <c r="AL25" s="34"/>
    </row>
    <row r="26" spans="19:38" ht="15" customHeight="1">
      <c r="S26" s="23"/>
      <c r="T26" s="31"/>
      <c r="AK26" s="34"/>
      <c r="AL26" s="34"/>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3F7D-EE85-4D48-8087-F1B9927E3C88}">
  <dimension ref="A1:AR106"/>
  <sheetViews>
    <sheetView zoomScale="78" zoomScaleNormal="80" workbookViewId="0">
      <selection activeCell="AJ9" sqref="AJ9"/>
    </sheetView>
  </sheetViews>
  <sheetFormatPr defaultColWidth="48.140625" defaultRowHeight="15" customHeight="1"/>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8" width="18.140625" customWidth="1"/>
    <col min="19" max="19" width="19.5703125" customWidth="1"/>
    <col min="20" max="20" width="71.140625" customWidth="1"/>
    <col min="21" max="21" width="75.85546875" customWidth="1"/>
    <col min="22" max="22" width="34.42578125" customWidth="1"/>
    <col min="23" max="23" width="28.28515625" customWidth="1"/>
    <col min="24" max="24" width="28.42578125" customWidth="1"/>
    <col min="25" max="25" width="47.5703125" customWidth="1"/>
    <col min="26" max="26" width="25.140625" customWidth="1"/>
    <col min="27" max="27" width="71.5703125" customWidth="1"/>
    <col min="28" max="28" width="33.5703125" bestFit="1" customWidth="1"/>
    <col min="29" max="29" width="29.7109375" customWidth="1"/>
    <col min="30" max="30" width="33.85546875" customWidth="1"/>
    <col min="31" max="31" width="48.42578125" customWidth="1"/>
    <col min="32" max="32" width="44" customWidth="1"/>
    <col min="33" max="33" width="33.7109375" customWidth="1"/>
    <col min="34" max="34" width="33.42578125" customWidth="1"/>
    <col min="35" max="35" width="49.28515625" customWidth="1"/>
    <col min="36" max="36" width="54" bestFit="1" customWidth="1"/>
    <col min="37" max="37" width="45.28515625" customWidth="1"/>
    <col min="38" max="38" width="31.85546875" customWidth="1"/>
    <col min="39" max="39" width="18.5703125" customWidth="1"/>
    <col min="40" max="40" width="51.7109375" customWidth="1"/>
    <col min="41" max="41" width="61.42578125" customWidth="1"/>
    <col min="42" max="42" width="28" customWidth="1"/>
    <col min="43" max="43" width="14.42578125" customWidth="1"/>
    <col min="44" max="44" width="11.140625" customWidth="1"/>
  </cols>
  <sheetData>
    <row r="1" spans="1:44"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314" t="s">
        <v>98</v>
      </c>
      <c r="P1" s="315"/>
      <c r="Q1" s="315"/>
      <c r="R1" s="315"/>
      <c r="S1" s="316"/>
      <c r="T1" s="17" t="s">
        <v>99</v>
      </c>
      <c r="U1" s="13" t="s">
        <v>100</v>
      </c>
      <c r="V1" s="24" t="s">
        <v>101</v>
      </c>
      <c r="W1" s="13" t="s">
        <v>101</v>
      </c>
      <c r="X1" s="12" t="s">
        <v>102</v>
      </c>
      <c r="Y1" s="13" t="s">
        <v>103</v>
      </c>
      <c r="Z1" s="12" t="s">
        <v>104</v>
      </c>
      <c r="AA1" s="17" t="s">
        <v>105</v>
      </c>
      <c r="AB1" s="17" t="s">
        <v>106</v>
      </c>
      <c r="AC1" s="13" t="s">
        <v>107</v>
      </c>
      <c r="AD1" s="24" t="s">
        <v>106</v>
      </c>
      <c r="AE1" s="24" t="s">
        <v>107</v>
      </c>
      <c r="AF1" s="24" t="s">
        <v>108</v>
      </c>
      <c r="AG1" s="24" t="s">
        <v>109</v>
      </c>
      <c r="AH1" s="24" t="s">
        <v>106</v>
      </c>
      <c r="AI1" s="24" t="s">
        <v>107</v>
      </c>
      <c r="AJ1" s="12" t="s">
        <v>110</v>
      </c>
      <c r="AK1" s="13" t="s">
        <v>111</v>
      </c>
      <c r="AL1" s="12" t="s">
        <v>112</v>
      </c>
      <c r="AM1" s="27" t="s">
        <v>113</v>
      </c>
      <c r="AN1" s="12" t="s">
        <v>114</v>
      </c>
      <c r="AO1" s="13" t="s">
        <v>115</v>
      </c>
      <c r="AP1" s="12" t="s">
        <v>116</v>
      </c>
      <c r="AQ1" s="13" t="s">
        <v>34</v>
      </c>
      <c r="AR1" s="18" t="s">
        <v>117</v>
      </c>
    </row>
    <row r="2" spans="1:44" ht="38.25" customHeight="1">
      <c r="A2" s="19" t="s">
        <v>35</v>
      </c>
      <c r="B2" s="1" t="s">
        <v>118</v>
      </c>
      <c r="C2" s="2" t="s">
        <v>119</v>
      </c>
      <c r="D2" s="2"/>
      <c r="E2" s="3" t="s">
        <v>120</v>
      </c>
      <c r="F2" s="4" t="s">
        <v>121</v>
      </c>
      <c r="G2" s="3" t="s">
        <v>122</v>
      </c>
      <c r="H2" s="4" t="s">
        <v>123</v>
      </c>
      <c r="I2" s="25"/>
      <c r="J2" s="25"/>
      <c r="K2" s="25"/>
      <c r="L2" s="25"/>
      <c r="M2" s="25"/>
      <c r="N2" s="25"/>
      <c r="O2" s="13" t="s">
        <v>124</v>
      </c>
      <c r="P2" s="13" t="s">
        <v>125</v>
      </c>
      <c r="Q2" s="96" t="s">
        <v>126</v>
      </c>
      <c r="R2" s="96" t="s">
        <v>127</v>
      </c>
      <c r="S2" s="96" t="s">
        <v>128</v>
      </c>
      <c r="T2" s="2" t="s">
        <v>129</v>
      </c>
      <c r="U2" s="4" t="s">
        <v>130</v>
      </c>
      <c r="V2" s="25" t="s">
        <v>131</v>
      </c>
      <c r="W2" s="4" t="s">
        <v>132</v>
      </c>
      <c r="X2" s="3" t="s">
        <v>133</v>
      </c>
      <c r="Y2" s="4" t="s">
        <v>134</v>
      </c>
      <c r="Z2" s="3" t="s">
        <v>135</v>
      </c>
      <c r="AA2" s="2" t="s">
        <v>136</v>
      </c>
      <c r="AB2" s="2" t="s">
        <v>137</v>
      </c>
      <c r="AC2" s="4" t="s">
        <v>138</v>
      </c>
      <c r="AD2" s="25" t="s">
        <v>137</v>
      </c>
      <c r="AE2" s="25" t="s">
        <v>138</v>
      </c>
      <c r="AF2" s="25"/>
      <c r="AG2" s="25"/>
      <c r="AH2" s="25" t="s">
        <v>137</v>
      </c>
      <c r="AI2" s="25" t="s">
        <v>138</v>
      </c>
      <c r="AJ2" s="3" t="s">
        <v>139</v>
      </c>
      <c r="AK2" s="4" t="s">
        <v>140</v>
      </c>
      <c r="AL2" s="3" t="s">
        <v>141</v>
      </c>
      <c r="AM2" s="28" t="s">
        <v>142</v>
      </c>
      <c r="AN2" s="3" t="s">
        <v>143</v>
      </c>
      <c r="AO2" s="4" t="s">
        <v>144</v>
      </c>
      <c r="AP2" s="3" t="s">
        <v>145</v>
      </c>
      <c r="AQ2" s="4"/>
      <c r="AR2" s="14"/>
    </row>
    <row r="3" spans="1:44" ht="39" customHeight="1">
      <c r="A3" s="19" t="s">
        <v>58</v>
      </c>
      <c r="B3" s="1" t="s">
        <v>146</v>
      </c>
      <c r="C3" s="2" t="s">
        <v>147</v>
      </c>
      <c r="D3" s="2"/>
      <c r="E3" s="3" t="s">
        <v>148</v>
      </c>
      <c r="F3" s="4" t="s">
        <v>149</v>
      </c>
      <c r="G3" s="3"/>
      <c r="H3" s="4"/>
      <c r="I3" s="25"/>
      <c r="J3" s="25"/>
      <c r="K3" s="25"/>
      <c r="L3" s="25"/>
      <c r="M3" s="25"/>
      <c r="N3" s="25"/>
      <c r="O3" s="4"/>
      <c r="P3" s="4"/>
      <c r="Q3" s="4"/>
      <c r="R3" s="4"/>
      <c r="S3" s="4" t="s">
        <v>150</v>
      </c>
      <c r="T3" s="2" t="s">
        <v>151</v>
      </c>
      <c r="U3" s="4" t="s">
        <v>152</v>
      </c>
      <c r="V3" s="25">
        <v>7.5</v>
      </c>
      <c r="W3" s="4" t="s">
        <v>153</v>
      </c>
      <c r="X3" s="3" t="s">
        <v>154</v>
      </c>
      <c r="Y3" s="4" t="s">
        <v>155</v>
      </c>
      <c r="Z3" s="3" t="s">
        <v>156</v>
      </c>
      <c r="AA3" s="2" t="s">
        <v>157</v>
      </c>
      <c r="AB3" s="2" t="s">
        <v>158</v>
      </c>
      <c r="AC3" s="4" t="s">
        <v>159</v>
      </c>
      <c r="AD3" s="25" t="s">
        <v>158</v>
      </c>
      <c r="AE3" s="25" t="s">
        <v>159</v>
      </c>
      <c r="AF3" s="25" t="s">
        <v>160</v>
      </c>
      <c r="AG3" s="25"/>
      <c r="AH3" s="25" t="s">
        <v>161</v>
      </c>
      <c r="AI3" s="25" t="s">
        <v>162</v>
      </c>
      <c r="AJ3" s="3" t="s">
        <v>163</v>
      </c>
      <c r="AK3" s="4" t="s">
        <v>164</v>
      </c>
      <c r="AL3" s="3" t="s">
        <v>165</v>
      </c>
      <c r="AM3" s="28" t="s">
        <v>166</v>
      </c>
      <c r="AN3" s="3" t="s">
        <v>167</v>
      </c>
      <c r="AO3" s="4" t="s">
        <v>168</v>
      </c>
      <c r="AP3" s="3" t="s">
        <v>169</v>
      </c>
      <c r="AQ3" s="4" t="b">
        <v>0</v>
      </c>
      <c r="AR3" s="14" t="s">
        <v>170</v>
      </c>
    </row>
    <row r="4" spans="1:44" s="31" customFormat="1" ht="15" customHeight="1">
      <c r="E4" s="31" t="s">
        <v>171</v>
      </c>
      <c r="F4" s="31" t="s">
        <v>172</v>
      </c>
      <c r="G4" s="31" t="s">
        <v>173</v>
      </c>
      <c r="H4" s="31" t="s">
        <v>174</v>
      </c>
      <c r="I4" s="31" t="s">
        <v>79</v>
      </c>
      <c r="J4" s="31" t="s">
        <v>175</v>
      </c>
      <c r="K4" s="31" t="s">
        <v>176</v>
      </c>
      <c r="L4" s="31" t="s">
        <v>177</v>
      </c>
      <c r="M4" s="31" t="s">
        <v>178</v>
      </c>
      <c r="N4" s="31" t="s">
        <v>178</v>
      </c>
      <c r="O4" s="31">
        <v>16</v>
      </c>
      <c r="P4" s="31">
        <v>1.3</v>
      </c>
      <c r="Q4" s="31">
        <v>7.5</v>
      </c>
      <c r="R4" s="31">
        <v>100</v>
      </c>
      <c r="S4" s="31">
        <v>5</v>
      </c>
      <c r="T4" s="31" t="s">
        <v>179</v>
      </c>
      <c r="U4" s="31" t="s">
        <v>180</v>
      </c>
      <c r="V4" s="31">
        <v>1.3</v>
      </c>
      <c r="W4" s="31">
        <v>7.5</v>
      </c>
      <c r="X4" s="31">
        <v>0.22</v>
      </c>
      <c r="Y4" s="31" t="s">
        <v>178</v>
      </c>
      <c r="Z4" s="33">
        <v>0.08</v>
      </c>
      <c r="AA4" s="31" t="s">
        <v>181</v>
      </c>
      <c r="AB4" s="31" t="s">
        <v>182</v>
      </c>
      <c r="AC4" s="31" t="s">
        <v>183</v>
      </c>
      <c r="AD4" s="31" t="s">
        <v>184</v>
      </c>
      <c r="AE4" s="31" t="s">
        <v>185</v>
      </c>
      <c r="AF4" s="31" t="s">
        <v>186</v>
      </c>
      <c r="AG4" s="31" t="s">
        <v>178</v>
      </c>
      <c r="AH4" s="31" t="s">
        <v>178</v>
      </c>
      <c r="AI4" s="31" t="s">
        <v>178</v>
      </c>
      <c r="AJ4" s="31" t="s">
        <v>187</v>
      </c>
      <c r="AK4" s="31" t="s">
        <v>188</v>
      </c>
    </row>
    <row r="5" spans="1:44" s="31" customFormat="1" ht="15" customHeight="1">
      <c r="E5" s="31" t="s">
        <v>171</v>
      </c>
      <c r="F5" s="31" t="s">
        <v>172</v>
      </c>
      <c r="G5" s="31" t="s">
        <v>173</v>
      </c>
      <c r="H5" s="31" t="s">
        <v>174</v>
      </c>
      <c r="I5" s="31" t="s">
        <v>79</v>
      </c>
      <c r="J5" s="31" t="s">
        <v>175</v>
      </c>
      <c r="K5" s="31" t="s">
        <v>189</v>
      </c>
      <c r="L5" s="31" t="s">
        <v>177</v>
      </c>
      <c r="M5" s="31" t="s">
        <v>178</v>
      </c>
      <c r="N5" s="31" t="s">
        <v>178</v>
      </c>
      <c r="O5" s="31">
        <v>16</v>
      </c>
      <c r="P5" s="31">
        <v>1.3</v>
      </c>
      <c r="Q5" s="31">
        <v>7.5</v>
      </c>
      <c r="R5" s="31">
        <v>100</v>
      </c>
      <c r="S5" s="31">
        <v>5</v>
      </c>
      <c r="T5" s="31" t="s">
        <v>179</v>
      </c>
      <c r="U5" s="31" t="s">
        <v>180</v>
      </c>
      <c r="V5" s="31">
        <v>1.3</v>
      </c>
      <c r="W5" s="31">
        <v>7.5</v>
      </c>
      <c r="X5" s="31">
        <v>0.22</v>
      </c>
      <c r="Y5" s="31" t="s">
        <v>178</v>
      </c>
      <c r="Z5" s="33">
        <v>0.08</v>
      </c>
      <c r="AA5" s="31" t="s">
        <v>190</v>
      </c>
      <c r="AB5" s="31" t="s">
        <v>182</v>
      </c>
      <c r="AC5" s="31" t="s">
        <v>183</v>
      </c>
      <c r="AD5" s="31" t="s">
        <v>184</v>
      </c>
      <c r="AE5" s="31" t="s">
        <v>185</v>
      </c>
      <c r="AF5" s="31" t="s">
        <v>186</v>
      </c>
      <c r="AG5" s="31" t="s">
        <v>178</v>
      </c>
      <c r="AH5" s="31" t="s">
        <v>178</v>
      </c>
      <c r="AI5" s="31" t="s">
        <v>178</v>
      </c>
      <c r="AJ5" s="31" t="s">
        <v>187</v>
      </c>
      <c r="AK5" s="31" t="s">
        <v>188</v>
      </c>
    </row>
    <row r="6" spans="1:44" s="31" customFormat="1" ht="15" customHeight="1">
      <c r="E6" s="31" t="s">
        <v>171</v>
      </c>
      <c r="F6" s="31" t="s">
        <v>172</v>
      </c>
      <c r="G6" s="31" t="s">
        <v>173</v>
      </c>
      <c r="H6" s="31" t="s">
        <v>174</v>
      </c>
      <c r="I6" s="31" t="s">
        <v>79</v>
      </c>
      <c r="J6" s="31" t="s">
        <v>175</v>
      </c>
      <c r="K6" s="31" t="s">
        <v>191</v>
      </c>
      <c r="L6" s="31" t="s">
        <v>177</v>
      </c>
      <c r="M6" s="31" t="s">
        <v>178</v>
      </c>
      <c r="N6" s="31" t="s">
        <v>178</v>
      </c>
      <c r="O6" s="31">
        <v>16</v>
      </c>
      <c r="P6" s="31">
        <v>1.3</v>
      </c>
      <c r="Q6" s="31">
        <v>7.5</v>
      </c>
      <c r="R6" s="31">
        <v>100</v>
      </c>
      <c r="S6" s="31">
        <v>5</v>
      </c>
      <c r="T6" s="31" t="s">
        <v>179</v>
      </c>
      <c r="U6" s="31" t="s">
        <v>180</v>
      </c>
      <c r="V6" s="31">
        <v>1.3</v>
      </c>
      <c r="W6" s="31">
        <v>7.5</v>
      </c>
      <c r="X6" s="31">
        <v>0.22</v>
      </c>
      <c r="Y6" s="31" t="s">
        <v>178</v>
      </c>
      <c r="Z6" s="33">
        <v>0.08</v>
      </c>
      <c r="AA6" s="31" t="s">
        <v>192</v>
      </c>
      <c r="AB6" s="31" t="s">
        <v>182</v>
      </c>
      <c r="AC6" s="31" t="s">
        <v>183</v>
      </c>
      <c r="AD6" s="31" t="s">
        <v>184</v>
      </c>
      <c r="AE6" s="31" t="s">
        <v>185</v>
      </c>
      <c r="AF6" s="31" t="s">
        <v>186</v>
      </c>
      <c r="AG6" s="31" t="s">
        <v>178</v>
      </c>
      <c r="AH6" s="31" t="s">
        <v>178</v>
      </c>
      <c r="AI6" s="31" t="s">
        <v>178</v>
      </c>
      <c r="AJ6" s="31" t="s">
        <v>187</v>
      </c>
      <c r="AK6" s="31" t="s">
        <v>188</v>
      </c>
    </row>
    <row r="7" spans="1:44" s="31" customFormat="1" ht="15" customHeight="1">
      <c r="E7" s="31" t="s">
        <v>171</v>
      </c>
      <c r="F7" s="31" t="s">
        <v>172</v>
      </c>
      <c r="G7" s="31" t="s">
        <v>173</v>
      </c>
      <c r="H7" s="31" t="s">
        <v>174</v>
      </c>
      <c r="I7" s="31" t="s">
        <v>79</v>
      </c>
      <c r="J7" s="31" t="s">
        <v>175</v>
      </c>
      <c r="K7" s="31" t="s">
        <v>193</v>
      </c>
      <c r="L7" s="31" t="s">
        <v>177</v>
      </c>
      <c r="M7" s="31" t="s">
        <v>178</v>
      </c>
      <c r="N7" s="31" t="s">
        <v>178</v>
      </c>
      <c r="O7" s="31">
        <v>16</v>
      </c>
      <c r="P7" s="31">
        <v>1.3</v>
      </c>
      <c r="Q7" s="31">
        <v>7.5</v>
      </c>
      <c r="R7" s="31">
        <v>100</v>
      </c>
      <c r="S7" s="31">
        <v>5</v>
      </c>
      <c r="T7" s="31" t="s">
        <v>179</v>
      </c>
      <c r="U7" s="31" t="s">
        <v>180</v>
      </c>
      <c r="V7" s="31">
        <v>1.3</v>
      </c>
      <c r="W7" s="31">
        <v>7.5</v>
      </c>
      <c r="X7" s="31">
        <v>0.22</v>
      </c>
      <c r="Y7" s="31" t="s">
        <v>178</v>
      </c>
      <c r="Z7" s="33">
        <v>0.08</v>
      </c>
      <c r="AA7" s="31" t="s">
        <v>194</v>
      </c>
      <c r="AB7" s="31" t="s">
        <v>182</v>
      </c>
      <c r="AC7" s="31" t="s">
        <v>183</v>
      </c>
      <c r="AD7" s="31" t="s">
        <v>184</v>
      </c>
      <c r="AE7" s="31" t="s">
        <v>185</v>
      </c>
      <c r="AF7" s="31" t="s">
        <v>186</v>
      </c>
      <c r="AG7" s="31" t="s">
        <v>178</v>
      </c>
      <c r="AH7" s="31" t="s">
        <v>178</v>
      </c>
      <c r="AI7" s="31" t="s">
        <v>178</v>
      </c>
      <c r="AJ7" s="31" t="s">
        <v>187</v>
      </c>
      <c r="AK7" s="31" t="s">
        <v>188</v>
      </c>
    </row>
    <row r="8" spans="1:44" s="31" customFormat="1" ht="15" customHeight="1">
      <c r="E8" s="31" t="s">
        <v>171</v>
      </c>
      <c r="F8" s="31" t="s">
        <v>172</v>
      </c>
      <c r="G8" s="31" t="s">
        <v>173</v>
      </c>
      <c r="H8" s="31" t="s">
        <v>174</v>
      </c>
      <c r="I8" s="31" t="s">
        <v>79</v>
      </c>
      <c r="J8" s="31" t="s">
        <v>175</v>
      </c>
      <c r="K8" s="31" t="s">
        <v>195</v>
      </c>
      <c r="L8" s="31" t="s">
        <v>177</v>
      </c>
      <c r="M8" s="31" t="s">
        <v>178</v>
      </c>
      <c r="N8" s="31" t="s">
        <v>178</v>
      </c>
      <c r="O8" s="31">
        <v>16</v>
      </c>
      <c r="P8" s="31">
        <v>1.3</v>
      </c>
      <c r="Q8" s="31">
        <v>7.5</v>
      </c>
      <c r="R8" s="31">
        <v>100</v>
      </c>
      <c r="S8" s="31">
        <v>5</v>
      </c>
      <c r="T8" s="31" t="s">
        <v>179</v>
      </c>
      <c r="U8" s="31" t="s">
        <v>180</v>
      </c>
      <c r="V8" s="31">
        <v>1.3</v>
      </c>
      <c r="W8" s="31">
        <v>7.5</v>
      </c>
      <c r="X8" s="31">
        <v>0.22</v>
      </c>
      <c r="Y8" s="31" t="s">
        <v>178</v>
      </c>
      <c r="Z8" s="33">
        <v>0.08</v>
      </c>
      <c r="AA8" s="31" t="s">
        <v>196</v>
      </c>
      <c r="AB8" s="31" t="s">
        <v>182</v>
      </c>
      <c r="AC8" s="31" t="s">
        <v>183</v>
      </c>
      <c r="AD8" s="31" t="s">
        <v>184</v>
      </c>
      <c r="AE8" s="31" t="s">
        <v>185</v>
      </c>
      <c r="AF8" s="31" t="s">
        <v>186</v>
      </c>
      <c r="AG8" s="31" t="s">
        <v>178</v>
      </c>
      <c r="AH8" s="31" t="s">
        <v>178</v>
      </c>
      <c r="AI8" s="31" t="s">
        <v>178</v>
      </c>
      <c r="AJ8" s="31" t="s">
        <v>187</v>
      </c>
      <c r="AK8" s="31" t="s">
        <v>188</v>
      </c>
    </row>
    <row r="9" spans="1:44" s="31" customFormat="1" ht="15" customHeight="1">
      <c r="G9" s="87"/>
      <c r="J9" s="101"/>
      <c r="Z9" s="88"/>
      <c r="AF9" s="85"/>
      <c r="AG9" s="85"/>
      <c r="AH9" s="85"/>
      <c r="AI9" s="85"/>
    </row>
    <row r="10" spans="1:44" s="31" customFormat="1" ht="15" customHeight="1">
      <c r="E10" s="31" t="s">
        <v>197</v>
      </c>
      <c r="F10" s="31" t="s">
        <v>172</v>
      </c>
      <c r="G10" s="87" t="s">
        <v>174</v>
      </c>
      <c r="H10" s="31" t="s">
        <v>198</v>
      </c>
      <c r="I10" s="31" t="s">
        <v>79</v>
      </c>
      <c r="J10" s="101" t="s">
        <v>199</v>
      </c>
      <c r="K10" s="31" t="s">
        <v>200</v>
      </c>
      <c r="L10" s="31" t="s">
        <v>177</v>
      </c>
      <c r="M10" s="31" t="s">
        <v>178</v>
      </c>
      <c r="N10" s="31" t="s">
        <v>178</v>
      </c>
      <c r="O10" s="31">
        <v>16</v>
      </c>
      <c r="P10" s="31" t="s">
        <v>178</v>
      </c>
      <c r="Q10" s="31" t="s">
        <v>178</v>
      </c>
      <c r="R10" s="31" t="s">
        <v>178</v>
      </c>
      <c r="S10" s="31" t="s">
        <v>178</v>
      </c>
      <c r="T10" s="31" t="s">
        <v>201</v>
      </c>
      <c r="U10" s="31" t="s">
        <v>202</v>
      </c>
      <c r="V10" s="31" t="s">
        <v>203</v>
      </c>
      <c r="W10" s="31" t="s">
        <v>204</v>
      </c>
      <c r="X10" s="31" t="s">
        <v>205</v>
      </c>
      <c r="Y10" s="31">
        <v>1.5</v>
      </c>
      <c r="Z10" s="88"/>
      <c r="AA10" s="31" t="s">
        <v>206</v>
      </c>
      <c r="AB10" s="31" t="s">
        <v>207</v>
      </c>
      <c r="AC10" s="31">
        <v>6</v>
      </c>
      <c r="AD10" s="31" t="s">
        <v>208</v>
      </c>
      <c r="AE10" s="31" t="s">
        <v>209</v>
      </c>
      <c r="AF10" s="85">
        <v>0.55000000000000004</v>
      </c>
      <c r="AG10" s="85"/>
      <c r="AH10" s="85"/>
      <c r="AI10" s="85"/>
      <c r="AJ10" s="31" t="s">
        <v>187</v>
      </c>
      <c r="AK10" s="31" t="s">
        <v>178</v>
      </c>
    </row>
    <row r="11" spans="1:44" s="31" customFormat="1" ht="15" customHeight="1">
      <c r="G11" s="87"/>
      <c r="Z11" s="88"/>
      <c r="AF11" s="85"/>
      <c r="AG11" s="85"/>
      <c r="AH11" s="85"/>
      <c r="AI11" s="85"/>
    </row>
    <row r="12" spans="1:44" s="31" customFormat="1" ht="15" customHeight="1">
      <c r="D12" s="91"/>
      <c r="E12" s="31" t="s">
        <v>210</v>
      </c>
      <c r="F12" s="31" t="s">
        <v>172</v>
      </c>
      <c r="G12" s="31" t="s">
        <v>211</v>
      </c>
      <c r="H12" s="87" t="s">
        <v>212</v>
      </c>
      <c r="I12" s="31" t="s">
        <v>79</v>
      </c>
      <c r="J12" s="101" t="s">
        <v>213</v>
      </c>
      <c r="K12" s="31" t="s">
        <v>214</v>
      </c>
      <c r="L12" s="31" t="s">
        <v>177</v>
      </c>
      <c r="M12" s="31" t="s">
        <v>178</v>
      </c>
      <c r="N12" s="31" t="s">
        <v>178</v>
      </c>
      <c r="O12" s="31">
        <v>16</v>
      </c>
      <c r="P12" s="31">
        <v>1.3</v>
      </c>
      <c r="Q12" s="31">
        <v>7.3</v>
      </c>
      <c r="R12" s="31">
        <v>100</v>
      </c>
      <c r="S12" s="31">
        <v>5</v>
      </c>
      <c r="T12" s="31" t="s">
        <v>215</v>
      </c>
      <c r="U12" s="31" t="s">
        <v>216</v>
      </c>
      <c r="V12" s="31">
        <v>28</v>
      </c>
      <c r="W12" s="31">
        <v>33</v>
      </c>
      <c r="X12" s="92">
        <f t="shared" ref="X12:X18" si="0">+(W12-V12)/7</f>
        <v>0.7142857142857143</v>
      </c>
      <c r="Y12" s="91">
        <v>1.4</v>
      </c>
      <c r="Z12" s="88"/>
      <c r="AA12" s="31" t="s">
        <v>217</v>
      </c>
      <c r="AB12" s="31" t="s">
        <v>207</v>
      </c>
      <c r="AC12" s="31">
        <v>6</v>
      </c>
      <c r="AD12" s="31" t="s">
        <v>208</v>
      </c>
      <c r="AE12" s="31" t="s">
        <v>218</v>
      </c>
      <c r="AF12" s="85">
        <v>0.71399999999999997</v>
      </c>
      <c r="AG12" s="85"/>
      <c r="AH12" s="85"/>
      <c r="AI12" s="85"/>
      <c r="AJ12" s="31" t="s">
        <v>187</v>
      </c>
      <c r="AK12" s="31" t="s">
        <v>178</v>
      </c>
    </row>
    <row r="13" spans="1:44" s="31" customFormat="1" ht="15" customHeight="1">
      <c r="D13" s="91"/>
      <c r="E13" s="31" t="s">
        <v>219</v>
      </c>
      <c r="F13" s="31" t="s">
        <v>172</v>
      </c>
      <c r="G13" s="31" t="s">
        <v>220</v>
      </c>
      <c r="H13" s="87" t="s">
        <v>221</v>
      </c>
      <c r="I13" s="31" t="s">
        <v>79</v>
      </c>
      <c r="J13" s="101" t="s">
        <v>213</v>
      </c>
      <c r="K13" s="31" t="s">
        <v>214</v>
      </c>
      <c r="L13" s="31" t="s">
        <v>177</v>
      </c>
      <c r="M13" s="31" t="s">
        <v>178</v>
      </c>
      <c r="N13" s="31" t="s">
        <v>178</v>
      </c>
      <c r="O13" s="31">
        <v>16</v>
      </c>
      <c r="P13" s="31" t="s">
        <v>178</v>
      </c>
      <c r="Q13" s="31" t="s">
        <v>178</v>
      </c>
      <c r="R13" s="31" t="s">
        <v>178</v>
      </c>
      <c r="S13" s="31" t="s">
        <v>178</v>
      </c>
      <c r="T13" s="31" t="s">
        <v>222</v>
      </c>
      <c r="U13" s="31" t="s">
        <v>223</v>
      </c>
      <c r="V13" s="31">
        <v>33</v>
      </c>
      <c r="W13" s="31">
        <v>37</v>
      </c>
      <c r="X13" s="92">
        <f t="shared" si="0"/>
        <v>0.5714285714285714</v>
      </c>
      <c r="Y13" s="91">
        <v>1.75</v>
      </c>
      <c r="Z13" s="88"/>
      <c r="AA13" s="31" t="s">
        <v>224</v>
      </c>
      <c r="AC13" s="31">
        <v>6</v>
      </c>
      <c r="AD13" s="31" t="s">
        <v>208</v>
      </c>
      <c r="AE13" s="31" t="s">
        <v>225</v>
      </c>
      <c r="AF13" s="85">
        <v>0.71399999999999997</v>
      </c>
      <c r="AG13" s="85"/>
      <c r="AH13" s="85"/>
      <c r="AI13" s="85"/>
      <c r="AJ13" s="31" t="s">
        <v>187</v>
      </c>
      <c r="AK13" s="31" t="s">
        <v>178</v>
      </c>
    </row>
    <row r="14" spans="1:44" s="31" customFormat="1" ht="15" customHeight="1">
      <c r="D14" s="91"/>
      <c r="E14" s="31" t="s">
        <v>226</v>
      </c>
      <c r="F14" s="31" t="s">
        <v>172</v>
      </c>
      <c r="G14" s="31" t="s">
        <v>227</v>
      </c>
      <c r="H14" s="87" t="s">
        <v>228</v>
      </c>
      <c r="I14" s="31" t="s">
        <v>79</v>
      </c>
      <c r="J14" s="101" t="s">
        <v>213</v>
      </c>
      <c r="K14" s="31" t="s">
        <v>214</v>
      </c>
      <c r="L14" s="31" t="s">
        <v>177</v>
      </c>
      <c r="M14" s="31" t="s">
        <v>178</v>
      </c>
      <c r="N14" s="31" t="s">
        <v>178</v>
      </c>
      <c r="O14" s="31">
        <v>16</v>
      </c>
      <c r="P14" s="31" t="s">
        <v>178</v>
      </c>
      <c r="Q14" s="31" t="s">
        <v>178</v>
      </c>
      <c r="R14" s="31" t="s">
        <v>178</v>
      </c>
      <c r="S14" s="31" t="s">
        <v>178</v>
      </c>
      <c r="T14" s="31" t="s">
        <v>229</v>
      </c>
      <c r="U14" s="31" t="s">
        <v>230</v>
      </c>
      <c r="V14" s="31">
        <v>37</v>
      </c>
      <c r="W14" s="31">
        <v>43</v>
      </c>
      <c r="X14" s="92">
        <f t="shared" si="0"/>
        <v>0.8571428571428571</v>
      </c>
      <c r="Y14" s="91">
        <v>1.6</v>
      </c>
      <c r="Z14" s="88"/>
      <c r="AA14" s="31" t="s">
        <v>231</v>
      </c>
      <c r="AC14" s="31">
        <v>6</v>
      </c>
      <c r="AD14" s="31" t="s">
        <v>208</v>
      </c>
      <c r="AE14" s="31" t="s">
        <v>232</v>
      </c>
      <c r="AF14" s="85">
        <v>0.71399999999999997</v>
      </c>
      <c r="AG14" s="85"/>
      <c r="AH14" s="85"/>
      <c r="AI14" s="85"/>
      <c r="AJ14" s="31" t="s">
        <v>187</v>
      </c>
      <c r="AK14" s="31" t="s">
        <v>178</v>
      </c>
    </row>
    <row r="15" spans="1:44" s="31" customFormat="1" ht="15" customHeight="1">
      <c r="D15" s="91"/>
      <c r="E15" s="31" t="s">
        <v>233</v>
      </c>
      <c r="F15" s="31" t="s">
        <v>172</v>
      </c>
      <c r="G15" s="31" t="s">
        <v>234</v>
      </c>
      <c r="H15" s="87" t="s">
        <v>235</v>
      </c>
      <c r="I15" s="31" t="s">
        <v>79</v>
      </c>
      <c r="J15" s="101" t="s">
        <v>213</v>
      </c>
      <c r="K15" s="31" t="s">
        <v>214</v>
      </c>
      <c r="L15" s="31" t="s">
        <v>177</v>
      </c>
      <c r="M15" s="31" t="s">
        <v>178</v>
      </c>
      <c r="N15" s="31" t="s">
        <v>178</v>
      </c>
      <c r="O15" s="31">
        <v>16</v>
      </c>
      <c r="P15" s="31" t="s">
        <v>178</v>
      </c>
      <c r="Q15" s="31" t="s">
        <v>178</v>
      </c>
      <c r="R15" s="31" t="s">
        <v>178</v>
      </c>
      <c r="S15" s="31" t="s">
        <v>178</v>
      </c>
      <c r="T15" s="31" t="s">
        <v>236</v>
      </c>
      <c r="U15" s="31" t="s">
        <v>237</v>
      </c>
      <c r="V15" s="31">
        <v>43</v>
      </c>
      <c r="W15" s="31">
        <v>48</v>
      </c>
      <c r="X15" s="92">
        <f t="shared" si="0"/>
        <v>0.7142857142857143</v>
      </c>
      <c r="Y15" s="91">
        <v>1.7</v>
      </c>
      <c r="Z15" s="88"/>
      <c r="AA15" s="31" t="s">
        <v>238</v>
      </c>
      <c r="AC15" s="31">
        <v>6</v>
      </c>
      <c r="AD15" s="31" t="s">
        <v>208</v>
      </c>
      <c r="AE15" s="31" t="s">
        <v>239</v>
      </c>
      <c r="AF15" s="85">
        <v>0.71399999999999997</v>
      </c>
      <c r="AG15" s="85"/>
      <c r="AH15" s="85"/>
      <c r="AI15" s="85"/>
      <c r="AJ15" s="31" t="s">
        <v>187</v>
      </c>
      <c r="AK15" s="31" t="s">
        <v>178</v>
      </c>
    </row>
    <row r="16" spans="1:44" s="31" customFormat="1" ht="15" customHeight="1">
      <c r="D16" s="91"/>
      <c r="E16" s="31" t="s">
        <v>240</v>
      </c>
      <c r="F16" s="31" t="s">
        <v>172</v>
      </c>
      <c r="G16" s="31" t="s">
        <v>241</v>
      </c>
      <c r="H16" s="87" t="s">
        <v>242</v>
      </c>
      <c r="I16" s="31" t="s">
        <v>79</v>
      </c>
      <c r="J16" s="101" t="s">
        <v>213</v>
      </c>
      <c r="K16" s="31" t="s">
        <v>214</v>
      </c>
      <c r="L16" s="31" t="s">
        <v>177</v>
      </c>
      <c r="M16" s="31" t="s">
        <v>178</v>
      </c>
      <c r="N16" s="31" t="s">
        <v>178</v>
      </c>
      <c r="O16" s="31">
        <v>16</v>
      </c>
      <c r="P16" s="31" t="s">
        <v>178</v>
      </c>
      <c r="Q16" s="31" t="s">
        <v>178</v>
      </c>
      <c r="R16" s="31" t="s">
        <v>178</v>
      </c>
      <c r="S16" s="31" t="s">
        <v>178</v>
      </c>
      <c r="T16" s="31" t="s">
        <v>243</v>
      </c>
      <c r="U16" s="31" t="s">
        <v>244</v>
      </c>
      <c r="V16" s="31">
        <v>48</v>
      </c>
      <c r="W16" s="31">
        <v>54</v>
      </c>
      <c r="X16" s="92">
        <f t="shared" si="0"/>
        <v>0.8571428571428571</v>
      </c>
      <c r="Y16" s="91">
        <v>2.1</v>
      </c>
      <c r="Z16" s="88"/>
      <c r="AA16" s="31" t="s">
        <v>245</v>
      </c>
      <c r="AC16" s="31">
        <v>6</v>
      </c>
      <c r="AD16" s="31" t="s">
        <v>208</v>
      </c>
      <c r="AE16" s="31" t="s">
        <v>246</v>
      </c>
      <c r="AF16" s="85">
        <v>0.71399999999999997</v>
      </c>
      <c r="AG16" s="85"/>
      <c r="AH16" s="85"/>
      <c r="AI16" s="85"/>
      <c r="AJ16" s="31" t="s">
        <v>187</v>
      </c>
      <c r="AK16" s="31" t="s">
        <v>178</v>
      </c>
    </row>
    <row r="17" spans="4:37" s="31" customFormat="1" ht="15" customHeight="1">
      <c r="D17" s="91"/>
      <c r="E17" s="31" t="s">
        <v>247</v>
      </c>
      <c r="F17" s="31" t="s">
        <v>172</v>
      </c>
      <c r="G17" s="31" t="s">
        <v>248</v>
      </c>
      <c r="H17" s="87" t="s">
        <v>249</v>
      </c>
      <c r="I17" s="31" t="s">
        <v>79</v>
      </c>
      <c r="J17" s="101" t="s">
        <v>213</v>
      </c>
      <c r="K17" s="31" t="s">
        <v>214</v>
      </c>
      <c r="L17" s="31" t="s">
        <v>177</v>
      </c>
      <c r="M17" s="31" t="s">
        <v>178</v>
      </c>
      <c r="N17" s="31" t="s">
        <v>178</v>
      </c>
      <c r="O17" s="31">
        <v>16</v>
      </c>
      <c r="P17" s="31" t="s">
        <v>178</v>
      </c>
      <c r="Q17" s="31" t="s">
        <v>178</v>
      </c>
      <c r="R17" s="31" t="s">
        <v>178</v>
      </c>
      <c r="S17" s="31" t="s">
        <v>178</v>
      </c>
      <c r="T17" s="31" t="s">
        <v>236</v>
      </c>
      <c r="U17" s="31" t="s">
        <v>250</v>
      </c>
      <c r="V17" s="31">
        <v>54</v>
      </c>
      <c r="W17" s="31">
        <v>59</v>
      </c>
      <c r="X17" s="92">
        <f t="shared" si="0"/>
        <v>0.7142857142857143</v>
      </c>
      <c r="Y17" s="91">
        <v>1.9</v>
      </c>
      <c r="Z17" s="88"/>
      <c r="AA17" s="31" t="s">
        <v>251</v>
      </c>
      <c r="AC17" s="31">
        <v>6</v>
      </c>
      <c r="AD17" s="31" t="s">
        <v>208</v>
      </c>
      <c r="AE17" s="31" t="s">
        <v>252</v>
      </c>
      <c r="AF17" s="85">
        <v>0.71399999999999997</v>
      </c>
      <c r="AG17" s="85"/>
      <c r="AH17" s="85"/>
      <c r="AI17" s="85"/>
      <c r="AJ17" s="31" t="s">
        <v>187</v>
      </c>
      <c r="AK17" s="31" t="s">
        <v>178</v>
      </c>
    </row>
    <row r="18" spans="4:37" s="31" customFormat="1" ht="15" customHeight="1">
      <c r="D18" s="91"/>
      <c r="E18" s="31" t="s">
        <v>253</v>
      </c>
      <c r="F18" s="31" t="s">
        <v>172</v>
      </c>
      <c r="G18" s="31" t="s">
        <v>254</v>
      </c>
      <c r="H18" s="87" t="s">
        <v>255</v>
      </c>
      <c r="I18" s="31" t="s">
        <v>79</v>
      </c>
      <c r="J18" s="101" t="s">
        <v>213</v>
      </c>
      <c r="K18" s="31" t="s">
        <v>214</v>
      </c>
      <c r="L18" s="31" t="s">
        <v>177</v>
      </c>
      <c r="M18" s="31" t="s">
        <v>178</v>
      </c>
      <c r="N18" s="31" t="s">
        <v>178</v>
      </c>
      <c r="O18" s="31">
        <v>16</v>
      </c>
      <c r="P18" s="31" t="s">
        <v>178</v>
      </c>
      <c r="Q18" s="31" t="s">
        <v>178</v>
      </c>
      <c r="R18" s="31" t="s">
        <v>178</v>
      </c>
      <c r="S18" s="31" t="s">
        <v>178</v>
      </c>
      <c r="T18" s="31" t="s">
        <v>256</v>
      </c>
      <c r="U18" s="31" t="s">
        <v>257</v>
      </c>
      <c r="V18" s="31">
        <v>59</v>
      </c>
      <c r="W18" s="31">
        <v>65</v>
      </c>
      <c r="X18" s="92">
        <f t="shared" si="0"/>
        <v>0.8571428571428571</v>
      </c>
      <c r="Y18" s="91">
        <v>2</v>
      </c>
      <c r="Z18" s="88"/>
      <c r="AA18" s="31" t="s">
        <v>258</v>
      </c>
      <c r="AB18" s="31" t="s">
        <v>259</v>
      </c>
      <c r="AC18" s="31">
        <v>6</v>
      </c>
      <c r="AD18" s="31" t="s">
        <v>208</v>
      </c>
      <c r="AE18" s="31" t="s">
        <v>260</v>
      </c>
      <c r="AF18" s="85">
        <v>0.71399999999999997</v>
      </c>
      <c r="AG18" s="85"/>
      <c r="AH18" s="85"/>
      <c r="AI18" s="85"/>
      <c r="AJ18" s="31" t="s">
        <v>187</v>
      </c>
      <c r="AK18" s="31" t="s">
        <v>178</v>
      </c>
    </row>
    <row r="19" spans="4:37" s="31" customFormat="1" ht="15" customHeight="1">
      <c r="G19" s="87"/>
      <c r="Z19" s="88"/>
      <c r="AF19" s="85"/>
      <c r="AG19" s="85"/>
      <c r="AH19" s="85"/>
      <c r="AI19" s="85"/>
    </row>
    <row r="20" spans="4:37" s="31" customFormat="1" ht="15" customHeight="1">
      <c r="G20" s="87"/>
      <c r="Z20" s="88"/>
      <c r="AF20" s="85"/>
      <c r="AG20" s="85"/>
      <c r="AH20" s="85"/>
      <c r="AI20" s="85"/>
    </row>
    <row r="21" spans="4:37" s="31" customFormat="1" ht="15" customHeight="1">
      <c r="E21" s="31" t="s">
        <v>261</v>
      </c>
      <c r="F21" s="31" t="s">
        <v>172</v>
      </c>
      <c r="G21" s="31" t="s">
        <v>255</v>
      </c>
      <c r="H21" s="31" t="s">
        <v>262</v>
      </c>
      <c r="I21" s="31" t="s">
        <v>79</v>
      </c>
      <c r="J21" s="101" t="s">
        <v>263</v>
      </c>
      <c r="K21" s="31" t="s">
        <v>264</v>
      </c>
      <c r="L21" s="31" t="s">
        <v>177</v>
      </c>
      <c r="M21" s="31" t="s">
        <v>178</v>
      </c>
      <c r="N21" s="31" t="s">
        <v>178</v>
      </c>
      <c r="O21" s="31">
        <v>16</v>
      </c>
      <c r="P21" s="31" t="s">
        <v>178</v>
      </c>
      <c r="Q21" s="31" t="s">
        <v>178</v>
      </c>
      <c r="R21" s="31" t="s">
        <v>178</v>
      </c>
      <c r="S21" s="31" t="s">
        <v>178</v>
      </c>
      <c r="T21" s="31" t="s">
        <v>265</v>
      </c>
      <c r="U21" s="31" t="s">
        <v>266</v>
      </c>
      <c r="V21" s="31">
        <v>65</v>
      </c>
      <c r="W21" s="31">
        <v>72</v>
      </c>
      <c r="X21" s="92">
        <v>0.873</v>
      </c>
      <c r="Y21" s="92">
        <f>+(2.2*7)/(W21-V21)</f>
        <v>2.2000000000000002</v>
      </c>
      <c r="Z21" s="88"/>
      <c r="AA21" s="31" t="s">
        <v>267</v>
      </c>
      <c r="AB21" s="31" t="s">
        <v>259</v>
      </c>
      <c r="AC21" s="31">
        <v>6</v>
      </c>
      <c r="AD21" s="31" t="s">
        <v>208</v>
      </c>
      <c r="AE21" s="31" t="s">
        <v>268</v>
      </c>
      <c r="AF21" s="92">
        <v>0.83099999999999996</v>
      </c>
      <c r="AG21" s="92"/>
      <c r="AH21" s="31" t="s">
        <v>269</v>
      </c>
      <c r="AI21" s="31" t="s">
        <v>270</v>
      </c>
      <c r="AJ21" s="31" t="s">
        <v>187</v>
      </c>
      <c r="AK21" s="31" t="s">
        <v>178</v>
      </c>
    </row>
    <row r="22" spans="4:37" s="31" customFormat="1" ht="15" customHeight="1">
      <c r="E22" s="31" t="s">
        <v>271</v>
      </c>
      <c r="F22" s="31" t="s">
        <v>172</v>
      </c>
      <c r="G22" s="31" t="s">
        <v>262</v>
      </c>
      <c r="H22" s="31" t="s">
        <v>272</v>
      </c>
      <c r="I22" s="31" t="s">
        <v>79</v>
      </c>
      <c r="J22" s="101" t="s">
        <v>263</v>
      </c>
      <c r="K22" s="31" t="s">
        <v>264</v>
      </c>
      <c r="L22" s="31" t="s">
        <v>177</v>
      </c>
      <c r="M22" s="31" t="s">
        <v>178</v>
      </c>
      <c r="N22" s="31" t="s">
        <v>178</v>
      </c>
      <c r="O22" s="31">
        <v>16</v>
      </c>
      <c r="P22" s="31" t="s">
        <v>178</v>
      </c>
      <c r="Q22" s="31" t="s">
        <v>178</v>
      </c>
      <c r="R22" s="31" t="s">
        <v>178</v>
      </c>
      <c r="S22" s="31" t="s">
        <v>178</v>
      </c>
      <c r="T22" s="31" t="s">
        <v>265</v>
      </c>
      <c r="U22" s="31" t="s">
        <v>273</v>
      </c>
      <c r="V22" s="31">
        <v>72</v>
      </c>
      <c r="W22" s="31">
        <v>78</v>
      </c>
      <c r="X22" s="92">
        <v>0.873</v>
      </c>
      <c r="Y22" s="92">
        <f>+(2.3*7)/(W22-V22)</f>
        <v>2.6833333333333331</v>
      </c>
      <c r="Z22" s="88"/>
      <c r="AA22" s="31" t="s">
        <v>274</v>
      </c>
      <c r="AC22" s="31">
        <v>6</v>
      </c>
      <c r="AD22" s="31" t="s">
        <v>208</v>
      </c>
      <c r="AE22" s="31" t="s">
        <v>275</v>
      </c>
      <c r="AF22" s="92">
        <v>0.83099999999999996</v>
      </c>
      <c r="AG22" s="92"/>
      <c r="AH22" s="31" t="s">
        <v>269</v>
      </c>
      <c r="AI22" s="31" t="s">
        <v>270</v>
      </c>
      <c r="AJ22" s="31" t="s">
        <v>187</v>
      </c>
      <c r="AK22" s="31" t="s">
        <v>178</v>
      </c>
    </row>
    <row r="23" spans="4:37" s="31" customFormat="1" ht="15" customHeight="1">
      <c r="E23" s="31" t="s">
        <v>276</v>
      </c>
      <c r="F23" s="31" t="s">
        <v>172</v>
      </c>
      <c r="G23" s="31" t="s">
        <v>272</v>
      </c>
      <c r="H23" s="31" t="s">
        <v>277</v>
      </c>
      <c r="I23" s="31" t="s">
        <v>79</v>
      </c>
      <c r="J23" s="101" t="s">
        <v>263</v>
      </c>
      <c r="K23" s="31" t="s">
        <v>264</v>
      </c>
      <c r="L23" s="31" t="s">
        <v>177</v>
      </c>
      <c r="M23" s="31" t="s">
        <v>178</v>
      </c>
      <c r="N23" s="31" t="s">
        <v>178</v>
      </c>
      <c r="O23" s="31">
        <v>16</v>
      </c>
      <c r="P23" s="31" t="s">
        <v>178</v>
      </c>
      <c r="Q23" s="31" t="s">
        <v>178</v>
      </c>
      <c r="R23" s="31" t="s">
        <v>178</v>
      </c>
      <c r="S23" s="31" t="s">
        <v>178</v>
      </c>
      <c r="T23" s="31" t="s">
        <v>265</v>
      </c>
      <c r="U23" s="31" t="s">
        <v>278</v>
      </c>
      <c r="V23" s="31">
        <v>78</v>
      </c>
      <c r="W23" s="31">
        <v>84</v>
      </c>
      <c r="X23" s="92">
        <v>0.873</v>
      </c>
      <c r="Y23" s="92">
        <f>+(2.4*7)/(W23-V23)</f>
        <v>2.8000000000000003</v>
      </c>
      <c r="Z23" s="88"/>
      <c r="AA23" s="31" t="s">
        <v>279</v>
      </c>
      <c r="AC23" s="31">
        <v>6</v>
      </c>
      <c r="AD23" s="31" t="s">
        <v>208</v>
      </c>
      <c r="AE23" s="31" t="s">
        <v>280</v>
      </c>
      <c r="AF23" s="92">
        <v>0.83099999999999996</v>
      </c>
      <c r="AG23" s="92"/>
      <c r="AH23" s="31" t="s">
        <v>269</v>
      </c>
      <c r="AI23" s="31" t="s">
        <v>270</v>
      </c>
      <c r="AJ23" s="31" t="s">
        <v>187</v>
      </c>
      <c r="AK23" s="31" t="s">
        <v>178</v>
      </c>
    </row>
    <row r="24" spans="4:37" s="31" customFormat="1" ht="15" customHeight="1">
      <c r="E24" s="31" t="s">
        <v>281</v>
      </c>
      <c r="F24" s="31" t="s">
        <v>172</v>
      </c>
      <c r="G24" s="31" t="s">
        <v>277</v>
      </c>
      <c r="H24" s="31" t="s">
        <v>282</v>
      </c>
      <c r="I24" s="31" t="s">
        <v>79</v>
      </c>
      <c r="J24" s="101" t="s">
        <v>263</v>
      </c>
      <c r="K24" s="31" t="s">
        <v>264</v>
      </c>
      <c r="L24" s="31" t="s">
        <v>177</v>
      </c>
      <c r="M24" s="31" t="s">
        <v>178</v>
      </c>
      <c r="N24" s="31" t="s">
        <v>178</v>
      </c>
      <c r="O24" s="31">
        <v>16</v>
      </c>
      <c r="P24" s="31" t="s">
        <v>178</v>
      </c>
      <c r="Q24" s="31" t="s">
        <v>178</v>
      </c>
      <c r="R24" s="31" t="s">
        <v>178</v>
      </c>
      <c r="S24" s="31" t="s">
        <v>178</v>
      </c>
      <c r="T24" s="31" t="s">
        <v>283</v>
      </c>
      <c r="U24" s="31" t="s">
        <v>284</v>
      </c>
      <c r="V24" s="31">
        <v>84</v>
      </c>
      <c r="W24" s="31">
        <v>90</v>
      </c>
      <c r="X24" s="92">
        <v>0.873</v>
      </c>
      <c r="Y24" s="92">
        <f>+(2.5*7)/(W24-V24)</f>
        <v>2.9166666666666665</v>
      </c>
      <c r="Z24" s="88"/>
      <c r="AA24" s="31" t="s">
        <v>285</v>
      </c>
      <c r="AC24" s="31">
        <v>6</v>
      </c>
      <c r="AD24" s="31" t="s">
        <v>208</v>
      </c>
      <c r="AE24" s="31" t="s">
        <v>286</v>
      </c>
      <c r="AF24" s="92">
        <v>0.83099999999999996</v>
      </c>
      <c r="AG24" s="92"/>
      <c r="AH24" s="31" t="s">
        <v>269</v>
      </c>
      <c r="AI24" s="31" t="s">
        <v>270</v>
      </c>
      <c r="AJ24" s="31" t="s">
        <v>187</v>
      </c>
      <c r="AK24" s="31" t="s">
        <v>178</v>
      </c>
    </row>
    <row r="25" spans="4:37" s="31" customFormat="1" ht="15" customHeight="1">
      <c r="E25" s="31" t="s">
        <v>287</v>
      </c>
      <c r="F25" s="31" t="s">
        <v>172</v>
      </c>
      <c r="G25" s="31" t="s">
        <v>282</v>
      </c>
      <c r="H25" s="31" t="s">
        <v>288</v>
      </c>
      <c r="I25" s="31" t="s">
        <v>79</v>
      </c>
      <c r="J25" s="101" t="s">
        <v>263</v>
      </c>
      <c r="K25" s="31" t="s">
        <v>264</v>
      </c>
      <c r="L25" s="31" t="s">
        <v>177</v>
      </c>
      <c r="M25" s="31" t="s">
        <v>178</v>
      </c>
      <c r="N25" s="31" t="s">
        <v>178</v>
      </c>
      <c r="O25" s="31">
        <v>16</v>
      </c>
      <c r="P25" s="31" t="s">
        <v>178</v>
      </c>
      <c r="Q25" s="31" t="s">
        <v>178</v>
      </c>
      <c r="R25" s="31" t="s">
        <v>178</v>
      </c>
      <c r="S25" s="31" t="s">
        <v>178</v>
      </c>
      <c r="T25" s="31" t="s">
        <v>289</v>
      </c>
      <c r="U25" s="31" t="s">
        <v>290</v>
      </c>
      <c r="V25" s="31">
        <v>90</v>
      </c>
      <c r="W25" s="31">
        <v>96</v>
      </c>
      <c r="X25" s="92">
        <v>0.873</v>
      </c>
      <c r="Y25" s="92">
        <f>+(2.6*7)/(W25-V25)</f>
        <v>3.0333333333333332</v>
      </c>
      <c r="Z25" s="88"/>
      <c r="AA25" s="31" t="s">
        <v>291</v>
      </c>
      <c r="AC25" s="31">
        <v>6</v>
      </c>
      <c r="AD25" s="31" t="s">
        <v>208</v>
      </c>
      <c r="AE25" s="31" t="s">
        <v>292</v>
      </c>
      <c r="AF25" s="92">
        <v>0.83099999999999996</v>
      </c>
      <c r="AG25" s="92"/>
      <c r="AH25" s="31" t="s">
        <v>269</v>
      </c>
      <c r="AI25" s="31" t="s">
        <v>270</v>
      </c>
      <c r="AJ25" s="31" t="s">
        <v>187</v>
      </c>
      <c r="AK25" s="31" t="s">
        <v>178</v>
      </c>
    </row>
    <row r="26" spans="4:37" s="31" customFormat="1" ht="15" customHeight="1">
      <c r="E26" s="31" t="s">
        <v>293</v>
      </c>
      <c r="F26" s="31" t="s">
        <v>172</v>
      </c>
      <c r="G26" s="31" t="s">
        <v>288</v>
      </c>
      <c r="H26" s="31" t="s">
        <v>294</v>
      </c>
      <c r="I26" s="31" t="s">
        <v>79</v>
      </c>
      <c r="J26" s="101" t="s">
        <v>263</v>
      </c>
      <c r="K26" s="31" t="s">
        <v>264</v>
      </c>
      <c r="L26" s="31" t="s">
        <v>177</v>
      </c>
      <c r="M26" s="31" t="s">
        <v>178</v>
      </c>
      <c r="N26" s="31" t="s">
        <v>178</v>
      </c>
      <c r="O26" s="31">
        <v>16</v>
      </c>
      <c r="P26" s="31" t="s">
        <v>178</v>
      </c>
      <c r="Q26" s="31" t="s">
        <v>178</v>
      </c>
      <c r="R26" s="31" t="s">
        <v>178</v>
      </c>
      <c r="S26" s="31" t="s">
        <v>178</v>
      </c>
      <c r="T26" s="31" t="s">
        <v>289</v>
      </c>
      <c r="U26" s="31" t="s">
        <v>295</v>
      </c>
      <c r="V26" s="31">
        <v>96</v>
      </c>
      <c r="W26" s="31">
        <v>102</v>
      </c>
      <c r="X26" s="92">
        <v>0.873</v>
      </c>
      <c r="Y26" s="92">
        <f>+(2.7*7)/(W26-V26)</f>
        <v>3.1500000000000004</v>
      </c>
      <c r="Z26" s="88"/>
      <c r="AA26" s="31" t="s">
        <v>296</v>
      </c>
      <c r="AC26" s="31">
        <v>6</v>
      </c>
      <c r="AD26" s="31" t="s">
        <v>208</v>
      </c>
      <c r="AE26" s="31" t="s">
        <v>297</v>
      </c>
      <c r="AF26" s="92">
        <v>0.83099999999999996</v>
      </c>
      <c r="AG26" s="92"/>
      <c r="AH26" s="31" t="s">
        <v>269</v>
      </c>
      <c r="AI26" s="31" t="s">
        <v>270</v>
      </c>
      <c r="AJ26" s="31" t="s">
        <v>187</v>
      </c>
      <c r="AK26" s="31" t="s">
        <v>178</v>
      </c>
    </row>
    <row r="27" spans="4:37" s="31" customFormat="1" ht="15" customHeight="1">
      <c r="E27" s="31" t="s">
        <v>298</v>
      </c>
      <c r="F27" s="31" t="s">
        <v>172</v>
      </c>
      <c r="G27" s="31" t="s">
        <v>294</v>
      </c>
      <c r="H27" s="31" t="s">
        <v>299</v>
      </c>
      <c r="I27" s="31" t="s">
        <v>79</v>
      </c>
      <c r="J27" s="101" t="s">
        <v>263</v>
      </c>
      <c r="K27" s="31" t="s">
        <v>264</v>
      </c>
      <c r="L27" s="31" t="s">
        <v>177</v>
      </c>
      <c r="M27" s="31" t="s">
        <v>178</v>
      </c>
      <c r="N27" s="31" t="s">
        <v>178</v>
      </c>
      <c r="O27" s="31">
        <v>16</v>
      </c>
      <c r="P27" s="31" t="s">
        <v>178</v>
      </c>
      <c r="Q27" s="31" t="s">
        <v>178</v>
      </c>
      <c r="R27" s="31" t="s">
        <v>178</v>
      </c>
      <c r="S27" s="31" t="s">
        <v>178</v>
      </c>
      <c r="T27" s="31" t="s">
        <v>300</v>
      </c>
      <c r="U27" s="31" t="s">
        <v>301</v>
      </c>
      <c r="V27" s="31">
        <v>102</v>
      </c>
      <c r="W27" s="31">
        <v>108</v>
      </c>
      <c r="X27" s="92">
        <v>0.873</v>
      </c>
      <c r="Y27" s="92">
        <f>+(2.8*7)/(W27-V27)</f>
        <v>3.2666666666666662</v>
      </c>
      <c r="Z27" s="88"/>
      <c r="AA27" s="31" t="s">
        <v>302</v>
      </c>
      <c r="AC27" s="31">
        <v>6</v>
      </c>
      <c r="AD27" s="31" t="s">
        <v>208</v>
      </c>
      <c r="AE27" s="31" t="s">
        <v>303</v>
      </c>
      <c r="AF27" s="92">
        <v>0.83099999999999996</v>
      </c>
      <c r="AG27" s="92"/>
      <c r="AH27" s="31" t="s">
        <v>269</v>
      </c>
      <c r="AI27" s="31" t="s">
        <v>270</v>
      </c>
      <c r="AJ27" s="31" t="s">
        <v>187</v>
      </c>
      <c r="AK27" s="31" t="s">
        <v>178</v>
      </c>
    </row>
    <row r="28" spans="4:37" s="31" customFormat="1" ht="15" customHeight="1">
      <c r="E28" s="31" t="s">
        <v>304</v>
      </c>
      <c r="F28" s="31" t="s">
        <v>172</v>
      </c>
      <c r="G28" s="31" t="s">
        <v>299</v>
      </c>
      <c r="H28" s="31" t="s">
        <v>305</v>
      </c>
      <c r="I28" s="31" t="s">
        <v>79</v>
      </c>
      <c r="J28" s="101" t="s">
        <v>263</v>
      </c>
      <c r="K28" s="31" t="s">
        <v>264</v>
      </c>
      <c r="L28" s="31" t="s">
        <v>177</v>
      </c>
      <c r="M28" s="31" t="s">
        <v>178</v>
      </c>
      <c r="N28" s="31" t="s">
        <v>178</v>
      </c>
      <c r="O28" s="31">
        <v>16</v>
      </c>
      <c r="P28" s="31" t="s">
        <v>178</v>
      </c>
      <c r="Q28" s="31" t="s">
        <v>178</v>
      </c>
      <c r="R28" s="31" t="s">
        <v>178</v>
      </c>
      <c r="S28" s="31" t="s">
        <v>178</v>
      </c>
      <c r="T28" s="31" t="s">
        <v>300</v>
      </c>
      <c r="U28" s="31" t="s">
        <v>306</v>
      </c>
      <c r="V28" s="31">
        <v>108</v>
      </c>
      <c r="W28" s="31">
        <v>114</v>
      </c>
      <c r="X28" s="92">
        <v>0.873</v>
      </c>
      <c r="Y28" s="92">
        <f>+(2.9*7)/(W28-V28)</f>
        <v>3.3833333333333333</v>
      </c>
      <c r="Z28" s="88"/>
      <c r="AA28" s="31" t="s">
        <v>307</v>
      </c>
      <c r="AB28" s="31" t="s">
        <v>308</v>
      </c>
      <c r="AC28" s="31">
        <v>6</v>
      </c>
      <c r="AD28" s="31" t="s">
        <v>208</v>
      </c>
      <c r="AE28" s="31" t="s">
        <v>309</v>
      </c>
      <c r="AF28" s="92">
        <v>0.83099999999999996</v>
      </c>
      <c r="AG28" s="92"/>
      <c r="AH28" s="31" t="s">
        <v>269</v>
      </c>
      <c r="AI28" s="31" t="s">
        <v>270</v>
      </c>
      <c r="AJ28" s="31" t="s">
        <v>187</v>
      </c>
      <c r="AK28" s="31" t="s">
        <v>178</v>
      </c>
    </row>
    <row r="29" spans="4:37" s="31" customFormat="1" ht="15" customHeight="1">
      <c r="E29" s="31" t="s">
        <v>310</v>
      </c>
      <c r="F29" s="31" t="s">
        <v>172</v>
      </c>
      <c r="G29" s="31" t="s">
        <v>311</v>
      </c>
      <c r="H29" s="31" t="s">
        <v>305</v>
      </c>
      <c r="I29" s="31" t="s">
        <v>79</v>
      </c>
      <c r="J29" s="101" t="s">
        <v>263</v>
      </c>
      <c r="K29" s="31" t="s">
        <v>264</v>
      </c>
      <c r="L29" s="31" t="s">
        <v>177</v>
      </c>
      <c r="M29" s="31" t="s">
        <v>178</v>
      </c>
      <c r="N29" s="31" t="s">
        <v>178</v>
      </c>
      <c r="O29" s="31">
        <v>16</v>
      </c>
      <c r="P29" s="31" t="s">
        <v>178</v>
      </c>
      <c r="Q29" s="31" t="s">
        <v>178</v>
      </c>
      <c r="R29" s="31" t="s">
        <v>178</v>
      </c>
      <c r="S29" s="31" t="s">
        <v>178</v>
      </c>
      <c r="T29" s="31" t="s">
        <v>300</v>
      </c>
      <c r="U29" s="31" t="s">
        <v>306</v>
      </c>
      <c r="V29" s="31">
        <v>114</v>
      </c>
      <c r="W29" s="31">
        <v>120</v>
      </c>
      <c r="X29" s="92">
        <v>0.873</v>
      </c>
      <c r="Y29" s="92">
        <f>+(2.9*7)/(W29-V29)</f>
        <v>3.3833333333333333</v>
      </c>
      <c r="Z29" s="88"/>
      <c r="AA29" s="31" t="s">
        <v>307</v>
      </c>
      <c r="AB29" s="31" t="s">
        <v>308</v>
      </c>
      <c r="AC29" s="31">
        <v>6</v>
      </c>
      <c r="AD29" s="31" t="s">
        <v>208</v>
      </c>
      <c r="AE29" s="31" t="s">
        <v>309</v>
      </c>
      <c r="AF29" s="92">
        <v>0.83099999999999996</v>
      </c>
      <c r="AG29" s="92"/>
      <c r="AH29" s="31" t="s">
        <v>269</v>
      </c>
      <c r="AI29" s="31" t="s">
        <v>270</v>
      </c>
      <c r="AJ29" s="31" t="s">
        <v>187</v>
      </c>
      <c r="AK29" s="31" t="s">
        <v>312</v>
      </c>
    </row>
    <row r="30" spans="4:37" s="31" customFormat="1" ht="15" customHeight="1">
      <c r="X30" s="92"/>
      <c r="Y30" s="92"/>
      <c r="Z30" s="88"/>
      <c r="AF30" s="92"/>
      <c r="AG30" s="92"/>
    </row>
    <row r="31" spans="4:37" s="31" customFormat="1" ht="15" customHeight="1">
      <c r="E31" s="31" t="s">
        <v>310</v>
      </c>
      <c r="F31" s="31" t="s">
        <v>172</v>
      </c>
      <c r="G31" s="31" t="s">
        <v>305</v>
      </c>
      <c r="H31" s="31" t="s">
        <v>305</v>
      </c>
      <c r="I31" s="31" t="s">
        <v>79</v>
      </c>
      <c r="J31" s="31" t="s">
        <v>313</v>
      </c>
      <c r="K31" s="31" t="s">
        <v>314</v>
      </c>
      <c r="L31" s="31" t="s">
        <v>177</v>
      </c>
      <c r="M31" s="31" t="s">
        <v>178</v>
      </c>
      <c r="N31" s="31" t="s">
        <v>178</v>
      </c>
      <c r="O31" s="31">
        <v>16</v>
      </c>
      <c r="P31" s="31" t="s">
        <v>178</v>
      </c>
      <c r="Q31" s="31" t="s">
        <v>178</v>
      </c>
      <c r="R31" s="31" t="s">
        <v>178</v>
      </c>
      <c r="S31" s="31" t="s">
        <v>178</v>
      </c>
      <c r="T31" s="31" t="s">
        <v>315</v>
      </c>
      <c r="U31" s="31" t="s">
        <v>316</v>
      </c>
      <c r="V31" s="31">
        <v>114</v>
      </c>
      <c r="W31" s="31">
        <v>120</v>
      </c>
      <c r="X31" s="92">
        <f t="shared" ref="X31" si="1">+(W31-V31)/7</f>
        <v>0.8571428571428571</v>
      </c>
      <c r="Y31" s="92">
        <f>+(2.9*7)/(W31-V31)</f>
        <v>3.3833333333333333</v>
      </c>
      <c r="Z31" s="88"/>
      <c r="AA31" s="31" t="s">
        <v>307</v>
      </c>
      <c r="AB31" s="31" t="s">
        <v>308</v>
      </c>
      <c r="AC31" s="31">
        <v>6</v>
      </c>
      <c r="AD31" s="31" t="s">
        <v>208</v>
      </c>
      <c r="AE31" s="31" t="s">
        <v>317</v>
      </c>
      <c r="AF31" s="92">
        <v>0.76200000000000001</v>
      </c>
      <c r="AG31" s="92"/>
      <c r="AH31" s="31" t="s">
        <v>269</v>
      </c>
      <c r="AI31" s="31" t="s">
        <v>270</v>
      </c>
      <c r="AJ31" s="31" t="s">
        <v>187</v>
      </c>
      <c r="AK31" s="31" t="s">
        <v>312</v>
      </c>
    </row>
    <row r="32" spans="4:37" s="31" customFormat="1" ht="15" customHeight="1">
      <c r="E32" s="31" t="s">
        <v>318</v>
      </c>
      <c r="F32" s="31" t="s">
        <v>172</v>
      </c>
      <c r="G32" s="31" t="s">
        <v>305</v>
      </c>
      <c r="H32" s="31" t="s">
        <v>319</v>
      </c>
      <c r="I32" s="31" t="s">
        <v>79</v>
      </c>
      <c r="J32" s="31" t="s">
        <v>313</v>
      </c>
      <c r="K32" s="31" t="s">
        <v>314</v>
      </c>
      <c r="L32" s="31" t="s">
        <v>177</v>
      </c>
      <c r="M32" s="31" t="s">
        <v>178</v>
      </c>
      <c r="N32" s="31" t="s">
        <v>178</v>
      </c>
      <c r="O32" s="31">
        <v>16</v>
      </c>
      <c r="P32" s="31" t="s">
        <v>178</v>
      </c>
      <c r="Q32" s="31" t="s">
        <v>178</v>
      </c>
      <c r="R32" s="31" t="s">
        <v>178</v>
      </c>
      <c r="S32" s="31" t="s">
        <v>178</v>
      </c>
      <c r="T32" s="31" t="s">
        <v>315</v>
      </c>
      <c r="U32" s="31" t="s">
        <v>316</v>
      </c>
      <c r="V32" s="31">
        <v>120</v>
      </c>
      <c r="W32" s="31">
        <v>126</v>
      </c>
      <c r="X32" s="92">
        <f>+(W32-V32)/7</f>
        <v>0.8571428571428571</v>
      </c>
      <c r="Y32" s="92">
        <f>+(3*7)/(W32-V32)</f>
        <v>3.5</v>
      </c>
      <c r="Z32" s="88"/>
      <c r="AA32" s="31" t="s">
        <v>320</v>
      </c>
      <c r="AC32" s="31">
        <v>6</v>
      </c>
      <c r="AD32" s="31" t="s">
        <v>208</v>
      </c>
      <c r="AE32" s="31" t="s">
        <v>317</v>
      </c>
      <c r="AF32" s="92">
        <v>0.76200000000000001</v>
      </c>
      <c r="AG32" s="85"/>
      <c r="AH32" s="31" t="s">
        <v>269</v>
      </c>
      <c r="AI32" s="31" t="s">
        <v>270</v>
      </c>
      <c r="AJ32" s="31" t="s">
        <v>187</v>
      </c>
      <c r="AK32" s="31" t="s">
        <v>178</v>
      </c>
    </row>
    <row r="33" spans="5:41" s="31" customFormat="1" ht="15" customHeight="1">
      <c r="E33" s="31" t="s">
        <v>321</v>
      </c>
      <c r="F33" s="31" t="s">
        <v>172</v>
      </c>
      <c r="G33" s="31" t="s">
        <v>319</v>
      </c>
      <c r="H33" s="31" t="s">
        <v>322</v>
      </c>
      <c r="I33" s="31" t="s">
        <v>79</v>
      </c>
      <c r="J33" s="31" t="s">
        <v>313</v>
      </c>
      <c r="K33" s="31" t="s">
        <v>314</v>
      </c>
      <c r="L33" s="31" t="s">
        <v>177</v>
      </c>
      <c r="M33" s="31" t="s">
        <v>178</v>
      </c>
      <c r="N33" s="31" t="s">
        <v>178</v>
      </c>
      <c r="O33" s="31">
        <v>16</v>
      </c>
      <c r="P33" s="31" t="s">
        <v>178</v>
      </c>
      <c r="Q33" s="31" t="s">
        <v>178</v>
      </c>
      <c r="R33" s="31" t="s">
        <v>178</v>
      </c>
      <c r="S33" s="31" t="s">
        <v>178</v>
      </c>
      <c r="T33" s="31" t="s">
        <v>315</v>
      </c>
      <c r="U33" s="31" t="s">
        <v>323</v>
      </c>
      <c r="V33" s="31">
        <v>126</v>
      </c>
      <c r="W33" s="31">
        <v>131</v>
      </c>
      <c r="X33" s="92">
        <f>+(W33-V33)/7</f>
        <v>0.7142857142857143</v>
      </c>
      <c r="Y33" s="92">
        <f>+(3.3*7)/(W33-V33)</f>
        <v>4.6199999999999992</v>
      </c>
      <c r="Z33" s="88"/>
      <c r="AA33" s="31" t="s">
        <v>324</v>
      </c>
      <c r="AC33" s="31">
        <v>6</v>
      </c>
      <c r="AD33" s="31" t="s">
        <v>208</v>
      </c>
      <c r="AE33" s="31" t="s">
        <v>317</v>
      </c>
      <c r="AF33" s="92">
        <v>0.76200000000000001</v>
      </c>
      <c r="AG33" s="85"/>
      <c r="AH33" s="31" t="s">
        <v>269</v>
      </c>
      <c r="AI33" s="31" t="s">
        <v>270</v>
      </c>
      <c r="AJ33" s="31" t="s">
        <v>187</v>
      </c>
      <c r="AK33" s="31" t="s">
        <v>178</v>
      </c>
    </row>
    <row r="34" spans="5:41" s="31" customFormat="1" ht="15" customHeight="1">
      <c r="E34" s="31" t="s">
        <v>325</v>
      </c>
      <c r="F34" s="31" t="s">
        <v>172</v>
      </c>
      <c r="G34" s="31" t="s">
        <v>322</v>
      </c>
      <c r="H34" s="31" t="s">
        <v>326</v>
      </c>
      <c r="I34" s="31" t="s">
        <v>79</v>
      </c>
      <c r="J34" s="31" t="s">
        <v>313</v>
      </c>
      <c r="K34" s="31" t="s">
        <v>314</v>
      </c>
      <c r="L34" s="31" t="s">
        <v>177</v>
      </c>
      <c r="M34" s="31" t="s">
        <v>178</v>
      </c>
      <c r="N34" s="31" t="s">
        <v>178</v>
      </c>
      <c r="O34" s="31">
        <v>16</v>
      </c>
      <c r="P34" s="31" t="s">
        <v>178</v>
      </c>
      <c r="Q34" s="31" t="s">
        <v>178</v>
      </c>
      <c r="R34" s="31" t="s">
        <v>178</v>
      </c>
      <c r="S34" s="31" t="s">
        <v>178</v>
      </c>
      <c r="T34" s="31" t="s">
        <v>315</v>
      </c>
      <c r="U34" s="31" t="s">
        <v>327</v>
      </c>
      <c r="V34" s="31">
        <v>131</v>
      </c>
      <c r="W34" s="31">
        <v>136</v>
      </c>
      <c r="X34" s="92">
        <f>+(W34-V34)/7</f>
        <v>0.7142857142857143</v>
      </c>
      <c r="Y34" s="92">
        <f>+(3.5*7)/(W34-V34)</f>
        <v>4.9000000000000004</v>
      </c>
      <c r="Z34" s="88"/>
      <c r="AA34" s="31" t="s">
        <v>328</v>
      </c>
      <c r="AB34" s="31" t="s">
        <v>329</v>
      </c>
      <c r="AC34" s="31">
        <v>6</v>
      </c>
      <c r="AD34" s="31" t="s">
        <v>208</v>
      </c>
      <c r="AE34" s="31" t="s">
        <v>317</v>
      </c>
      <c r="AF34" s="92">
        <v>0.76200000000000001</v>
      </c>
      <c r="AG34" s="85"/>
      <c r="AH34" s="31" t="s">
        <v>269</v>
      </c>
      <c r="AI34" s="31" t="s">
        <v>270</v>
      </c>
      <c r="AJ34" s="31" t="s">
        <v>187</v>
      </c>
      <c r="AK34" s="31" t="s">
        <v>330</v>
      </c>
    </row>
    <row r="35" spans="5:41" s="31" customFormat="1" ht="15" customHeight="1">
      <c r="Y35" s="86"/>
      <c r="Z35" s="88"/>
      <c r="AF35" s="85"/>
      <c r="AG35" s="85"/>
    </row>
    <row r="36" spans="5:41" s="31" customFormat="1" ht="15" customHeight="1">
      <c r="E36" s="31" t="s">
        <v>331</v>
      </c>
      <c r="F36" s="31" t="s">
        <v>172</v>
      </c>
      <c r="G36" s="31" t="s">
        <v>326</v>
      </c>
      <c r="H36" s="31" t="s">
        <v>332</v>
      </c>
      <c r="I36" s="31" t="s">
        <v>79</v>
      </c>
      <c r="J36" s="31" t="s">
        <v>333</v>
      </c>
      <c r="K36" s="31" t="s">
        <v>334</v>
      </c>
      <c r="L36" s="31" t="s">
        <v>335</v>
      </c>
      <c r="M36" s="31" t="s">
        <v>336</v>
      </c>
      <c r="N36" s="31" t="s">
        <v>178</v>
      </c>
      <c r="O36" s="31">
        <v>16</v>
      </c>
      <c r="P36" s="31" t="s">
        <v>178</v>
      </c>
      <c r="Q36" s="31" t="s">
        <v>178</v>
      </c>
      <c r="R36" s="31" t="s">
        <v>178</v>
      </c>
      <c r="S36" s="31" t="s">
        <v>178</v>
      </c>
      <c r="T36" s="31" t="s">
        <v>315</v>
      </c>
      <c r="U36" s="31" t="s">
        <v>284</v>
      </c>
      <c r="V36" s="31">
        <v>131</v>
      </c>
      <c r="W36" s="31">
        <v>136</v>
      </c>
      <c r="X36" s="92">
        <f t="shared" ref="X36:X42" si="2">+(W36-V36)/7</f>
        <v>0.7142857142857143</v>
      </c>
      <c r="Y36" s="92">
        <f t="shared" ref="Y36:Y42" si="3">+(2.5*7)/(W36-V36)</f>
        <v>3.5</v>
      </c>
      <c r="AA36" s="31" t="s">
        <v>337</v>
      </c>
      <c r="AB36" s="31" t="s">
        <v>338</v>
      </c>
      <c r="AC36" s="31">
        <v>6</v>
      </c>
      <c r="AD36" s="31" t="s">
        <v>339</v>
      </c>
      <c r="AJ36" s="31" t="s">
        <v>187</v>
      </c>
      <c r="AK36" s="31" t="s">
        <v>330</v>
      </c>
    </row>
    <row r="37" spans="5:41" s="31" customFormat="1" ht="15" customHeight="1">
      <c r="E37" s="31" t="s">
        <v>340</v>
      </c>
      <c r="F37" s="31" t="s">
        <v>172</v>
      </c>
      <c r="G37" s="31" t="s">
        <v>332</v>
      </c>
      <c r="H37" s="31" t="s">
        <v>341</v>
      </c>
      <c r="I37" s="31" t="s">
        <v>79</v>
      </c>
      <c r="J37" s="31" t="s">
        <v>333</v>
      </c>
      <c r="K37" s="31" t="s">
        <v>334</v>
      </c>
      <c r="L37" s="31" t="s">
        <v>335</v>
      </c>
      <c r="M37" s="31" t="s">
        <v>336</v>
      </c>
      <c r="N37" s="31" t="s">
        <v>178</v>
      </c>
      <c r="O37" s="31">
        <v>16</v>
      </c>
      <c r="P37" s="31" t="s">
        <v>178</v>
      </c>
      <c r="Q37" s="31" t="s">
        <v>178</v>
      </c>
      <c r="R37" s="31" t="s">
        <v>178</v>
      </c>
      <c r="S37" s="31" t="s">
        <v>178</v>
      </c>
      <c r="T37" s="31" t="s">
        <v>315</v>
      </c>
      <c r="U37" s="31" t="s">
        <v>284</v>
      </c>
      <c r="V37" s="31">
        <v>136</v>
      </c>
      <c r="W37" s="31">
        <v>141</v>
      </c>
      <c r="X37" s="92">
        <f t="shared" si="2"/>
        <v>0.7142857142857143</v>
      </c>
      <c r="Y37" s="92">
        <f t="shared" si="3"/>
        <v>3.5</v>
      </c>
      <c r="AA37" s="31" t="s">
        <v>337</v>
      </c>
      <c r="AB37" s="31" t="s">
        <v>338</v>
      </c>
      <c r="AC37" s="31">
        <v>6</v>
      </c>
      <c r="AD37" s="31" t="s">
        <v>339</v>
      </c>
      <c r="AJ37" s="31" t="s">
        <v>187</v>
      </c>
      <c r="AK37" s="31" t="s">
        <v>178</v>
      </c>
    </row>
    <row r="38" spans="5:41" s="31" customFormat="1" ht="15" customHeight="1">
      <c r="E38" s="31" t="s">
        <v>342</v>
      </c>
      <c r="F38" s="31" t="s">
        <v>172</v>
      </c>
      <c r="G38" s="31" t="s">
        <v>341</v>
      </c>
      <c r="H38" s="31" t="s">
        <v>343</v>
      </c>
      <c r="I38" s="31" t="s">
        <v>79</v>
      </c>
      <c r="J38" s="31" t="s">
        <v>333</v>
      </c>
      <c r="K38" s="31" t="s">
        <v>334</v>
      </c>
      <c r="L38" s="31" t="s">
        <v>335</v>
      </c>
      <c r="M38" s="31" t="s">
        <v>336</v>
      </c>
      <c r="N38" s="31" t="s">
        <v>178</v>
      </c>
      <c r="O38" s="31">
        <v>16</v>
      </c>
      <c r="P38" s="31" t="s">
        <v>178</v>
      </c>
      <c r="Q38" s="31" t="s">
        <v>178</v>
      </c>
      <c r="R38" s="31" t="s">
        <v>178</v>
      </c>
      <c r="S38" s="31" t="s">
        <v>178</v>
      </c>
      <c r="T38" s="31" t="s">
        <v>315</v>
      </c>
      <c r="U38" s="31" t="s">
        <v>284</v>
      </c>
      <c r="V38" s="31">
        <v>141</v>
      </c>
      <c r="W38" s="31">
        <v>146</v>
      </c>
      <c r="X38" s="92">
        <f t="shared" si="2"/>
        <v>0.7142857142857143</v>
      </c>
      <c r="Y38" s="92">
        <f t="shared" si="3"/>
        <v>3.5</v>
      </c>
      <c r="AA38" s="31" t="s">
        <v>337</v>
      </c>
      <c r="AB38" s="31" t="s">
        <v>338</v>
      </c>
      <c r="AC38" s="31">
        <v>6</v>
      </c>
      <c r="AD38" s="31" t="s">
        <v>339</v>
      </c>
      <c r="AJ38" s="31" t="s">
        <v>187</v>
      </c>
      <c r="AK38" s="31" t="s">
        <v>178</v>
      </c>
    </row>
    <row r="39" spans="5:41" s="31" customFormat="1" ht="15" customHeight="1">
      <c r="E39" s="31" t="s">
        <v>344</v>
      </c>
      <c r="F39" s="31" t="s">
        <v>172</v>
      </c>
      <c r="G39" s="31" t="s">
        <v>343</v>
      </c>
      <c r="H39" s="31" t="s">
        <v>345</v>
      </c>
      <c r="I39" s="31" t="s">
        <v>79</v>
      </c>
      <c r="J39" s="31" t="s">
        <v>333</v>
      </c>
      <c r="K39" s="31" t="s">
        <v>334</v>
      </c>
      <c r="L39" s="31" t="s">
        <v>335</v>
      </c>
      <c r="M39" s="31" t="s">
        <v>336</v>
      </c>
      <c r="N39" s="31" t="s">
        <v>178</v>
      </c>
      <c r="O39" s="31">
        <v>16</v>
      </c>
      <c r="P39" s="31" t="s">
        <v>178</v>
      </c>
      <c r="Q39" s="31" t="s">
        <v>178</v>
      </c>
      <c r="R39" s="31" t="s">
        <v>178</v>
      </c>
      <c r="S39" s="31" t="s">
        <v>178</v>
      </c>
      <c r="T39" s="31" t="s">
        <v>315</v>
      </c>
      <c r="U39" s="31" t="s">
        <v>284</v>
      </c>
      <c r="V39" s="31">
        <v>146</v>
      </c>
      <c r="W39" s="31">
        <v>150</v>
      </c>
      <c r="X39" s="92">
        <f t="shared" si="2"/>
        <v>0.5714285714285714</v>
      </c>
      <c r="Y39" s="92">
        <f t="shared" si="3"/>
        <v>4.375</v>
      </c>
      <c r="AA39" s="31" t="s">
        <v>337</v>
      </c>
      <c r="AB39" s="31" t="s">
        <v>338</v>
      </c>
      <c r="AC39" s="31">
        <v>6</v>
      </c>
      <c r="AD39" s="31" t="s">
        <v>339</v>
      </c>
      <c r="AJ39" s="31" t="s">
        <v>187</v>
      </c>
      <c r="AK39" s="31" t="s">
        <v>178</v>
      </c>
    </row>
    <row r="40" spans="5:41" s="31" customFormat="1" ht="15" customHeight="1">
      <c r="E40" s="31" t="s">
        <v>346</v>
      </c>
      <c r="F40" s="31" t="s">
        <v>172</v>
      </c>
      <c r="G40" s="31" t="s">
        <v>345</v>
      </c>
      <c r="H40" s="31" t="s">
        <v>347</v>
      </c>
      <c r="I40" s="31" t="s">
        <v>79</v>
      </c>
      <c r="J40" s="31" t="s">
        <v>333</v>
      </c>
      <c r="K40" s="31" t="s">
        <v>334</v>
      </c>
      <c r="L40" s="31" t="s">
        <v>335</v>
      </c>
      <c r="M40" s="31" t="s">
        <v>336</v>
      </c>
      <c r="N40" s="31" t="s">
        <v>178</v>
      </c>
      <c r="O40" s="31">
        <v>16</v>
      </c>
      <c r="P40" s="31" t="s">
        <v>178</v>
      </c>
      <c r="Q40" s="31" t="s">
        <v>178</v>
      </c>
      <c r="R40" s="31" t="s">
        <v>178</v>
      </c>
      <c r="S40" s="31" t="s">
        <v>178</v>
      </c>
      <c r="T40" s="31" t="s">
        <v>315</v>
      </c>
      <c r="U40" s="31" t="s">
        <v>284</v>
      </c>
      <c r="V40" s="31">
        <v>150</v>
      </c>
      <c r="W40" s="31">
        <v>155</v>
      </c>
      <c r="X40" s="92">
        <f t="shared" si="2"/>
        <v>0.7142857142857143</v>
      </c>
      <c r="Y40" s="92">
        <f t="shared" si="3"/>
        <v>3.5</v>
      </c>
      <c r="AA40" s="31" t="s">
        <v>337</v>
      </c>
      <c r="AB40" s="31" t="s">
        <v>338</v>
      </c>
      <c r="AC40" s="31">
        <v>6</v>
      </c>
      <c r="AD40" s="31" t="s">
        <v>339</v>
      </c>
      <c r="AJ40" s="31" t="s">
        <v>187</v>
      </c>
      <c r="AK40" s="31" t="s">
        <v>178</v>
      </c>
    </row>
    <row r="41" spans="5:41" s="31" customFormat="1" ht="15" customHeight="1">
      <c r="E41" s="31" t="s">
        <v>348</v>
      </c>
      <c r="F41" s="31" t="s">
        <v>172</v>
      </c>
      <c r="G41" s="31" t="s">
        <v>347</v>
      </c>
      <c r="H41" s="31" t="s">
        <v>349</v>
      </c>
      <c r="I41" s="31" t="s">
        <v>79</v>
      </c>
      <c r="J41" s="31" t="s">
        <v>333</v>
      </c>
      <c r="K41" s="31" t="s">
        <v>334</v>
      </c>
      <c r="L41" s="31" t="s">
        <v>335</v>
      </c>
      <c r="M41" s="31" t="s">
        <v>336</v>
      </c>
      <c r="N41" s="31" t="s">
        <v>178</v>
      </c>
      <c r="O41" s="31">
        <v>16</v>
      </c>
      <c r="P41" s="31" t="s">
        <v>178</v>
      </c>
      <c r="Q41" s="31" t="s">
        <v>178</v>
      </c>
      <c r="R41" s="31" t="s">
        <v>178</v>
      </c>
      <c r="S41" s="31" t="s">
        <v>178</v>
      </c>
      <c r="T41" s="31" t="s">
        <v>315</v>
      </c>
      <c r="U41" s="31" t="s">
        <v>284</v>
      </c>
      <c r="V41" s="31">
        <f t="shared" ref="V41" si="4">+V40+5</f>
        <v>155</v>
      </c>
      <c r="W41" s="31">
        <v>159</v>
      </c>
      <c r="X41" s="92">
        <f t="shared" si="2"/>
        <v>0.5714285714285714</v>
      </c>
      <c r="Y41" s="92">
        <f t="shared" si="3"/>
        <v>4.375</v>
      </c>
      <c r="AA41" s="31" t="s">
        <v>337</v>
      </c>
      <c r="AB41" s="31" t="s">
        <v>338</v>
      </c>
      <c r="AC41" s="31">
        <v>6</v>
      </c>
      <c r="AD41" s="31" t="s">
        <v>339</v>
      </c>
      <c r="AJ41" s="31" t="s">
        <v>187</v>
      </c>
      <c r="AK41" s="31" t="s">
        <v>178</v>
      </c>
    </row>
    <row r="42" spans="5:41" s="31" customFormat="1" ht="15" customHeight="1">
      <c r="E42" s="31" t="s">
        <v>350</v>
      </c>
      <c r="F42" s="31" t="s">
        <v>172</v>
      </c>
      <c r="G42" s="31" t="s">
        <v>349</v>
      </c>
      <c r="H42" s="31" t="s">
        <v>351</v>
      </c>
      <c r="I42" s="31" t="s">
        <v>79</v>
      </c>
      <c r="J42" s="31" t="s">
        <v>333</v>
      </c>
      <c r="K42" s="31" t="s">
        <v>334</v>
      </c>
      <c r="L42" s="31" t="s">
        <v>335</v>
      </c>
      <c r="M42" s="31" t="s">
        <v>336</v>
      </c>
      <c r="N42" s="31" t="s">
        <v>178</v>
      </c>
      <c r="O42" s="31">
        <v>16</v>
      </c>
      <c r="P42" s="31" t="s">
        <v>178</v>
      </c>
      <c r="Q42" s="31" t="s">
        <v>178</v>
      </c>
      <c r="R42" s="31" t="s">
        <v>178</v>
      </c>
      <c r="S42" s="31" t="s">
        <v>178</v>
      </c>
      <c r="T42" s="31" t="s">
        <v>315</v>
      </c>
      <c r="U42" s="31" t="s">
        <v>284</v>
      </c>
      <c r="V42" s="31">
        <v>159</v>
      </c>
      <c r="W42" s="31">
        <v>163</v>
      </c>
      <c r="X42" s="92">
        <f t="shared" si="2"/>
        <v>0.5714285714285714</v>
      </c>
      <c r="Y42" s="92">
        <f t="shared" si="3"/>
        <v>4.375</v>
      </c>
      <c r="AA42" s="31" t="s">
        <v>337</v>
      </c>
      <c r="AB42" s="31" t="s">
        <v>338</v>
      </c>
      <c r="AC42" s="31">
        <v>6</v>
      </c>
      <c r="AD42" s="31" t="s">
        <v>339</v>
      </c>
      <c r="AJ42" s="31" t="s">
        <v>187</v>
      </c>
      <c r="AK42" s="31" t="s">
        <v>178</v>
      </c>
    </row>
    <row r="43" spans="5:41" s="31" customFormat="1" ht="15" customHeight="1"/>
    <row r="44" spans="5:41" s="31" customFormat="1" ht="15" customHeight="1">
      <c r="E44" s="31" t="s">
        <v>352</v>
      </c>
      <c r="F44" s="31" t="s">
        <v>172</v>
      </c>
      <c r="G44" s="31" t="s">
        <v>341</v>
      </c>
      <c r="H44" s="31" t="s">
        <v>353</v>
      </c>
      <c r="I44" s="31" t="s">
        <v>79</v>
      </c>
      <c r="J44" s="31" t="s">
        <v>333</v>
      </c>
      <c r="K44" s="31" t="s">
        <v>334</v>
      </c>
      <c r="L44" s="31" t="s">
        <v>335</v>
      </c>
      <c r="M44" s="31" t="s">
        <v>336</v>
      </c>
      <c r="N44" s="31" t="s">
        <v>335</v>
      </c>
      <c r="O44" s="31">
        <v>16</v>
      </c>
      <c r="P44" s="31" t="s">
        <v>178</v>
      </c>
      <c r="Q44" s="31" t="s">
        <v>178</v>
      </c>
      <c r="R44" s="31" t="s">
        <v>178</v>
      </c>
      <c r="S44" s="31" t="s">
        <v>178</v>
      </c>
      <c r="T44" s="31" t="s">
        <v>354</v>
      </c>
      <c r="U44" s="31" t="s">
        <v>355</v>
      </c>
      <c r="V44" s="31" t="s">
        <v>356</v>
      </c>
      <c r="W44" s="31" t="s">
        <v>178</v>
      </c>
      <c r="X44" s="31">
        <v>0.89300000000000002</v>
      </c>
      <c r="Y44" s="31" t="s">
        <v>178</v>
      </c>
      <c r="Z44" s="31" t="s">
        <v>178</v>
      </c>
      <c r="AA44" s="31" t="s">
        <v>178</v>
      </c>
      <c r="AB44" s="31" t="s">
        <v>178</v>
      </c>
      <c r="AC44" s="31">
        <v>6</v>
      </c>
      <c r="AD44" s="31" t="s">
        <v>357</v>
      </c>
      <c r="AF44" s="31" t="s">
        <v>358</v>
      </c>
      <c r="AJ44" s="31" t="s">
        <v>187</v>
      </c>
      <c r="AK44" s="31" t="s">
        <v>178</v>
      </c>
      <c r="AL44" s="31" t="s">
        <v>178</v>
      </c>
      <c r="AM44" s="31" t="s">
        <v>178</v>
      </c>
      <c r="AO44" s="31" t="s">
        <v>178</v>
      </c>
    </row>
    <row r="45" spans="5:41" s="31" customFormat="1" ht="15" customHeight="1"/>
    <row r="46" spans="5:41" s="31" customFormat="1" ht="15" customHeight="1"/>
    <row r="47" spans="5:41" s="31" customFormat="1" ht="15" customHeight="1"/>
    <row r="48" spans="5:41" s="31" customFormat="1" ht="15" customHeight="1"/>
    <row r="49" s="31" customFormat="1" ht="15" customHeight="1"/>
    <row r="50" s="31" customFormat="1" ht="15" customHeight="1"/>
    <row r="70" spans="21:21" s="31" customFormat="1" ht="15" customHeight="1"/>
    <row r="71" spans="21:21" s="31" customFormat="1" ht="15" customHeight="1">
      <c r="U71" s="90"/>
    </row>
    <row r="72" spans="21:21" s="31" customFormat="1" ht="15" customHeight="1">
      <c r="U72" s="90"/>
    </row>
    <row r="73" spans="21:21" s="31" customFormat="1" ht="15" customHeight="1">
      <c r="U73" s="90"/>
    </row>
    <row r="74" spans="21:21" s="31" customFormat="1" ht="15" customHeight="1">
      <c r="U74" s="90"/>
    </row>
    <row r="75" spans="21:21" s="31" customFormat="1" ht="15" customHeight="1">
      <c r="U75" s="90"/>
    </row>
    <row r="76" spans="21:21" s="31" customFormat="1" ht="15" customHeight="1"/>
    <row r="77" spans="21:21" s="31" customFormat="1" ht="15" customHeight="1"/>
    <row r="78" spans="21:21" s="31" customFormat="1" ht="15" customHeight="1"/>
    <row r="79" spans="21:21" s="31" customFormat="1" ht="15" customHeight="1"/>
    <row r="80" spans="21:21" s="31" customFormat="1" ht="15" customHeight="1"/>
    <row r="81" s="31" customFormat="1" ht="15" customHeight="1"/>
    <row r="82" s="31" customFormat="1" ht="15" customHeight="1"/>
    <row r="83" s="31" customFormat="1" ht="15" customHeight="1"/>
    <row r="84" s="31" customFormat="1" ht="15" customHeight="1"/>
    <row r="85" s="31" customFormat="1" ht="15" customHeight="1"/>
    <row r="86" s="31" customFormat="1" ht="15" customHeight="1"/>
    <row r="87" s="31" customFormat="1" ht="15" customHeight="1"/>
    <row r="88" s="31" customFormat="1" ht="15" customHeight="1"/>
    <row r="89" s="31" customFormat="1" ht="15" customHeight="1"/>
    <row r="90" s="31" customFormat="1" ht="15" customHeight="1"/>
    <row r="91" s="31" customFormat="1" ht="15" customHeight="1"/>
    <row r="92" s="31" customFormat="1" ht="15" customHeight="1"/>
    <row r="93" s="31" customFormat="1" ht="15" customHeight="1"/>
    <row r="94" s="31" customFormat="1" ht="15" customHeight="1"/>
    <row r="95" s="31" customFormat="1" ht="15" customHeight="1"/>
    <row r="96" s="31" customFormat="1" ht="15" customHeight="1"/>
    <row r="97" s="31" customFormat="1" ht="15" customHeight="1"/>
    <row r="98" s="31" customFormat="1" ht="15" customHeight="1"/>
    <row r="99" s="31" customFormat="1" ht="15" customHeight="1"/>
    <row r="100" s="31" customFormat="1" ht="15" customHeight="1"/>
    <row r="101" s="31" customFormat="1" ht="15" customHeight="1"/>
    <row r="102" s="31" customFormat="1" ht="15" customHeight="1"/>
    <row r="103" s="31" customFormat="1" ht="15" customHeight="1"/>
    <row r="104" s="31" customFormat="1" ht="15" customHeight="1"/>
    <row r="105" s="31" customFormat="1" ht="15" customHeight="1"/>
    <row r="106" s="31" customFormat="1" ht="15" customHeight="1"/>
  </sheetData>
  <mergeCells count="1">
    <mergeCell ref="O1:S1"/>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58"/>
  <sheetViews>
    <sheetView topLeftCell="D1" zoomScale="80" zoomScaleNormal="80" workbookViewId="0">
      <pane xSplit="2" ySplit="4" topLeftCell="F5" activePane="bottomRight" state="frozen"/>
      <selection pane="bottomRight" activeCell="AO76" sqref="AO76"/>
      <selection pane="bottomLeft" activeCell="D5" sqref="D5"/>
      <selection pane="topRight" activeCell="F1" sqref="F1"/>
    </sheetView>
  </sheetViews>
  <sheetFormatPr defaultColWidth="48.140625" defaultRowHeight="15" customHeight="1"/>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6" width="18.140625" customWidth="1"/>
    <col min="17" max="17" width="71.140625" customWidth="1"/>
    <col min="18" max="18" width="75.85546875" customWidth="1"/>
    <col min="19" max="19" width="34.42578125" customWidth="1"/>
    <col min="20" max="20" width="28.28515625" customWidth="1"/>
    <col min="21" max="22" width="28.42578125" customWidth="1"/>
    <col min="23" max="23" width="34.140625" customWidth="1"/>
    <col min="24" max="24" width="47.5703125" customWidth="1"/>
    <col min="25" max="25" width="27.28515625" customWidth="1"/>
    <col min="26" max="32" width="33.5703125" customWidth="1"/>
    <col min="33" max="33" width="35.28515625" customWidth="1"/>
    <col min="34" max="34" width="28.140625" customWidth="1"/>
    <col min="35" max="35" width="48.42578125" customWidth="1"/>
    <col min="36" max="36" width="34.7109375" customWidth="1"/>
    <col min="37" max="37" width="33.42578125" customWidth="1"/>
    <col min="38" max="38" width="27.28515625" customWidth="1"/>
    <col min="39" max="39" width="49.28515625" customWidth="1"/>
    <col min="40" max="40" width="54" bestFit="1" customWidth="1"/>
    <col min="41" max="41" width="45.28515625" customWidth="1"/>
    <col min="42" max="42" width="31.85546875" customWidth="1"/>
    <col min="43" max="43" width="18.5703125" customWidth="1"/>
    <col min="44" max="44" width="51.7109375" customWidth="1"/>
    <col min="45" max="45" width="77.7109375" customWidth="1"/>
    <col min="46" max="46" width="28" customWidth="1"/>
    <col min="47" max="47" width="14.42578125" customWidth="1"/>
    <col min="48" max="48" width="11.140625" customWidth="1"/>
  </cols>
  <sheetData>
    <row r="1" spans="1:48"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13" t="s">
        <v>124</v>
      </c>
      <c r="P1" s="13" t="s">
        <v>359</v>
      </c>
      <c r="Q1" s="17" t="s">
        <v>99</v>
      </c>
      <c r="R1" s="13" t="s">
        <v>100</v>
      </c>
      <c r="S1" s="24" t="s">
        <v>101</v>
      </c>
      <c r="T1" s="13" t="s">
        <v>101</v>
      </c>
      <c r="U1" s="12" t="s">
        <v>102</v>
      </c>
      <c r="V1" s="12" t="s">
        <v>360</v>
      </c>
      <c r="W1" s="12" t="s">
        <v>361</v>
      </c>
      <c r="X1" s="13" t="s">
        <v>362</v>
      </c>
      <c r="Y1" s="12" t="s">
        <v>363</v>
      </c>
      <c r="Z1" s="17" t="s">
        <v>364</v>
      </c>
      <c r="AA1" s="17" t="s">
        <v>365</v>
      </c>
      <c r="AB1" s="17" t="s">
        <v>366</v>
      </c>
      <c r="AC1" s="17" t="s">
        <v>367</v>
      </c>
      <c r="AD1" s="17" t="s">
        <v>368</v>
      </c>
      <c r="AE1" s="17" t="s">
        <v>125</v>
      </c>
      <c r="AF1" s="17" t="s">
        <v>5</v>
      </c>
      <c r="AG1" s="13" t="s">
        <v>107</v>
      </c>
      <c r="AH1" s="24" t="s">
        <v>106</v>
      </c>
      <c r="AI1" s="24" t="s">
        <v>107</v>
      </c>
      <c r="AJ1" s="24" t="s">
        <v>369</v>
      </c>
      <c r="AK1" s="24" t="s">
        <v>106</v>
      </c>
      <c r="AL1" s="12" t="s">
        <v>104</v>
      </c>
      <c r="AM1" s="24" t="s">
        <v>107</v>
      </c>
      <c r="AN1" s="12" t="s">
        <v>110</v>
      </c>
      <c r="AO1" s="13" t="s">
        <v>111</v>
      </c>
      <c r="AP1" s="12" t="s">
        <v>112</v>
      </c>
      <c r="AQ1" s="27" t="s">
        <v>113</v>
      </c>
      <c r="AR1" s="12" t="s">
        <v>114</v>
      </c>
      <c r="AS1" s="13" t="s">
        <v>115</v>
      </c>
      <c r="AT1" s="12" t="s">
        <v>116</v>
      </c>
      <c r="AU1" s="13" t="s">
        <v>34</v>
      </c>
      <c r="AV1" s="18" t="s">
        <v>117</v>
      </c>
    </row>
    <row r="2" spans="1:48" ht="38.25" customHeight="1">
      <c r="A2" s="19" t="s">
        <v>35</v>
      </c>
      <c r="B2" s="1" t="s">
        <v>118</v>
      </c>
      <c r="C2" s="2" t="s">
        <v>119</v>
      </c>
      <c r="D2" s="2"/>
      <c r="E2" s="3" t="s">
        <v>120</v>
      </c>
      <c r="F2" s="4" t="s">
        <v>121</v>
      </c>
      <c r="G2" s="3" t="s">
        <v>122</v>
      </c>
      <c r="H2" s="4" t="s">
        <v>123</v>
      </c>
      <c r="I2" s="25"/>
      <c r="J2" s="25"/>
      <c r="K2" s="25"/>
      <c r="L2" s="25"/>
      <c r="M2" s="25"/>
      <c r="N2" s="25"/>
      <c r="O2" s="4" t="s">
        <v>370</v>
      </c>
      <c r="P2" s="4" t="s">
        <v>371</v>
      </c>
      <c r="Q2" s="2" t="s">
        <v>129</v>
      </c>
      <c r="R2" s="4" t="s">
        <v>130</v>
      </c>
      <c r="S2" s="25" t="s">
        <v>131</v>
      </c>
      <c r="T2" s="4" t="s">
        <v>132</v>
      </c>
      <c r="U2" s="3" t="s">
        <v>133</v>
      </c>
      <c r="V2" s="3"/>
      <c r="W2" s="3"/>
      <c r="X2" s="4" t="s">
        <v>134</v>
      </c>
      <c r="Y2" s="3"/>
      <c r="Z2" s="2"/>
      <c r="AA2" s="93"/>
      <c r="AB2" s="2"/>
      <c r="AC2" s="2"/>
      <c r="AD2" s="2"/>
      <c r="AE2" s="2"/>
      <c r="AF2" s="2"/>
      <c r="AG2" s="4" t="s">
        <v>138</v>
      </c>
      <c r="AH2" s="25" t="s">
        <v>137</v>
      </c>
      <c r="AI2" s="25" t="s">
        <v>138</v>
      </c>
      <c r="AJ2" s="25"/>
      <c r="AK2" s="25" t="s">
        <v>137</v>
      </c>
      <c r="AL2" s="3" t="s">
        <v>135</v>
      </c>
      <c r="AM2" s="25" t="s">
        <v>138</v>
      </c>
      <c r="AN2" s="3" t="s">
        <v>139</v>
      </c>
      <c r="AO2" s="4" t="s">
        <v>140</v>
      </c>
      <c r="AP2" s="3" t="s">
        <v>141</v>
      </c>
      <c r="AQ2" s="28" t="s">
        <v>142</v>
      </c>
      <c r="AR2" s="3" t="s">
        <v>143</v>
      </c>
      <c r="AS2" s="4" t="s">
        <v>144</v>
      </c>
      <c r="AT2" s="3" t="s">
        <v>145</v>
      </c>
      <c r="AU2" s="4"/>
      <c r="AV2" s="14"/>
    </row>
    <row r="3" spans="1:48" ht="39" customHeight="1">
      <c r="A3" s="19" t="s">
        <v>58</v>
      </c>
      <c r="B3" s="1" t="s">
        <v>146</v>
      </c>
      <c r="C3" s="2" t="s">
        <v>147</v>
      </c>
      <c r="D3" s="2"/>
      <c r="E3" s="3" t="s">
        <v>148</v>
      </c>
      <c r="F3" s="4" t="s">
        <v>149</v>
      </c>
      <c r="G3" s="3" t="s">
        <v>372</v>
      </c>
      <c r="H3" s="4" t="s">
        <v>373</v>
      </c>
      <c r="I3" s="25"/>
      <c r="J3" s="25"/>
      <c r="K3" s="25"/>
      <c r="L3" s="25"/>
      <c r="M3" s="25"/>
      <c r="N3" s="25"/>
      <c r="O3" s="4">
        <v>12</v>
      </c>
      <c r="P3" s="4" t="s">
        <v>374</v>
      </c>
      <c r="Q3" s="2" t="s">
        <v>151</v>
      </c>
      <c r="R3" s="4" t="s">
        <v>152</v>
      </c>
      <c r="S3" s="25">
        <v>7.5</v>
      </c>
      <c r="T3" s="4" t="s">
        <v>153</v>
      </c>
      <c r="U3" s="3" t="s">
        <v>154</v>
      </c>
      <c r="V3" s="3"/>
      <c r="W3" s="3"/>
      <c r="X3" s="4" t="s">
        <v>155</v>
      </c>
      <c r="Y3" s="3"/>
      <c r="Z3" s="2"/>
      <c r="AA3" s="2"/>
      <c r="AB3" s="2"/>
      <c r="AC3" s="2"/>
      <c r="AD3" s="2"/>
      <c r="AE3" s="2"/>
      <c r="AF3" s="2"/>
      <c r="AG3" s="4" t="s">
        <v>159</v>
      </c>
      <c r="AH3" s="25" t="s">
        <v>375</v>
      </c>
      <c r="AI3" s="25" t="s">
        <v>159</v>
      </c>
      <c r="AJ3" s="25"/>
      <c r="AK3" s="25" t="s">
        <v>158</v>
      </c>
      <c r="AL3" s="3" t="s">
        <v>156</v>
      </c>
      <c r="AM3" s="25" t="s">
        <v>159</v>
      </c>
      <c r="AN3" s="3" t="s">
        <v>163</v>
      </c>
      <c r="AO3" s="4" t="s">
        <v>164</v>
      </c>
      <c r="AP3" s="3" t="s">
        <v>165</v>
      </c>
      <c r="AQ3" s="28" t="s">
        <v>166</v>
      </c>
      <c r="AR3" s="3" t="s">
        <v>167</v>
      </c>
      <c r="AS3" s="4" t="s">
        <v>168</v>
      </c>
      <c r="AT3" s="3" t="s">
        <v>169</v>
      </c>
      <c r="AU3" s="4" t="b">
        <v>0</v>
      </c>
      <c r="AV3" s="14" t="s">
        <v>170</v>
      </c>
    </row>
    <row r="4" spans="1:48" ht="13.5" customHeight="1">
      <c r="A4" s="19" t="s">
        <v>72</v>
      </c>
      <c r="B4" s="5" t="s">
        <v>73</v>
      </c>
      <c r="C4" s="6" t="s">
        <v>73</v>
      </c>
      <c r="D4" s="6"/>
      <c r="E4" s="8" t="s">
        <v>73</v>
      </c>
      <c r="F4" s="9" t="s">
        <v>73</v>
      </c>
      <c r="G4" s="8" t="s">
        <v>73</v>
      </c>
      <c r="H4" s="9" t="s">
        <v>73</v>
      </c>
      <c r="I4" s="30"/>
      <c r="J4" s="30"/>
      <c r="K4" s="30"/>
      <c r="L4" s="30"/>
      <c r="M4" s="30"/>
      <c r="N4" s="30"/>
      <c r="O4" s="9" t="s">
        <v>73</v>
      </c>
      <c r="P4" s="9" t="s">
        <v>73</v>
      </c>
      <c r="Q4" s="7" t="s">
        <v>74</v>
      </c>
      <c r="R4" s="10" t="s">
        <v>74</v>
      </c>
      <c r="S4" s="26" t="s">
        <v>74</v>
      </c>
      <c r="T4" s="10" t="s">
        <v>74</v>
      </c>
      <c r="U4" s="11" t="s">
        <v>74</v>
      </c>
      <c r="V4" s="11"/>
      <c r="W4" s="11"/>
      <c r="X4" s="10" t="s">
        <v>74</v>
      </c>
      <c r="Y4" s="11"/>
      <c r="Z4" s="7"/>
      <c r="AA4" s="7"/>
      <c r="AB4" s="7"/>
      <c r="AC4" s="7"/>
      <c r="AD4" s="7"/>
      <c r="AE4" s="7"/>
      <c r="AF4" s="7"/>
      <c r="AG4" s="10" t="s">
        <v>74</v>
      </c>
      <c r="AH4" s="26" t="s">
        <v>75</v>
      </c>
      <c r="AI4" s="26" t="s">
        <v>74</v>
      </c>
      <c r="AJ4" s="26"/>
      <c r="AK4" s="26" t="s">
        <v>75</v>
      </c>
      <c r="AL4" s="11" t="s">
        <v>74</v>
      </c>
      <c r="AM4" s="26" t="s">
        <v>74</v>
      </c>
      <c r="AN4" s="11" t="s">
        <v>74</v>
      </c>
      <c r="AO4" s="10" t="s">
        <v>74</v>
      </c>
      <c r="AP4" s="11" t="s">
        <v>74</v>
      </c>
      <c r="AQ4" s="29" t="s">
        <v>74</v>
      </c>
      <c r="AR4" s="11" t="s">
        <v>74</v>
      </c>
      <c r="AS4" s="10" t="s">
        <v>74</v>
      </c>
      <c r="AT4" s="11" t="s">
        <v>74</v>
      </c>
      <c r="AU4" s="9" t="s">
        <v>73</v>
      </c>
      <c r="AV4" s="15" t="s">
        <v>73</v>
      </c>
    </row>
    <row r="5" spans="1:48" s="31" customFormat="1" ht="15" customHeight="1">
      <c r="E5" s="31" t="s">
        <v>376</v>
      </c>
      <c r="F5" s="31" t="s">
        <v>377</v>
      </c>
      <c r="G5" s="31" t="s">
        <v>378</v>
      </c>
      <c r="H5" s="31" t="s">
        <v>379</v>
      </c>
      <c r="I5" s="31" t="s">
        <v>79</v>
      </c>
      <c r="J5" s="31" t="s">
        <v>380</v>
      </c>
      <c r="K5" s="31" t="s">
        <v>381</v>
      </c>
      <c r="L5" s="31" t="s">
        <v>335</v>
      </c>
      <c r="M5" s="89" t="s">
        <v>382</v>
      </c>
      <c r="N5" s="89" t="s">
        <v>383</v>
      </c>
      <c r="O5" s="31">
        <v>16</v>
      </c>
      <c r="P5" s="31" t="s">
        <v>178</v>
      </c>
      <c r="Q5" s="31" t="s">
        <v>384</v>
      </c>
      <c r="R5" s="31" t="s">
        <v>385</v>
      </c>
      <c r="S5" s="31" t="s">
        <v>386</v>
      </c>
      <c r="T5" s="31" t="s">
        <v>387</v>
      </c>
      <c r="U5" s="31" t="s">
        <v>388</v>
      </c>
      <c r="V5" s="31" t="s">
        <v>389</v>
      </c>
      <c r="W5" s="31" t="s">
        <v>178</v>
      </c>
      <c r="X5" s="31" t="s">
        <v>178</v>
      </c>
      <c r="Y5" s="31" t="s">
        <v>178</v>
      </c>
      <c r="Z5" s="33">
        <v>0.9</v>
      </c>
      <c r="AA5" s="31" t="s">
        <v>178</v>
      </c>
      <c r="AB5" s="31" t="s">
        <v>178</v>
      </c>
      <c r="AC5" s="31" t="s">
        <v>178</v>
      </c>
      <c r="AD5" s="31" t="s">
        <v>178</v>
      </c>
      <c r="AE5" s="31" t="s">
        <v>178</v>
      </c>
      <c r="AF5" s="31" t="s">
        <v>178</v>
      </c>
      <c r="AH5" s="31" t="s">
        <v>390</v>
      </c>
      <c r="AI5" s="31" t="s">
        <v>391</v>
      </c>
      <c r="AJ5" s="31" t="s">
        <v>392</v>
      </c>
      <c r="AK5" s="31" t="s">
        <v>178</v>
      </c>
      <c r="AL5" s="31" t="s">
        <v>393</v>
      </c>
      <c r="AM5" s="31" t="s">
        <v>178</v>
      </c>
      <c r="AN5" s="31" t="s">
        <v>187</v>
      </c>
      <c r="AO5" s="31" t="s">
        <v>394</v>
      </c>
      <c r="AP5" s="31" t="s">
        <v>178</v>
      </c>
      <c r="AQ5" s="31" t="s">
        <v>178</v>
      </c>
      <c r="AR5" s="31" t="s">
        <v>178</v>
      </c>
    </row>
    <row r="6" spans="1:48" s="31" customFormat="1" ht="15" customHeight="1">
      <c r="E6" s="31" t="s">
        <v>376</v>
      </c>
      <c r="F6" s="31" t="s">
        <v>377</v>
      </c>
      <c r="G6" s="31" t="s">
        <v>378</v>
      </c>
      <c r="H6" s="31" t="s">
        <v>379</v>
      </c>
      <c r="I6" s="31" t="s">
        <v>79</v>
      </c>
      <c r="J6" s="31" t="s">
        <v>380</v>
      </c>
      <c r="K6" s="31" t="s">
        <v>395</v>
      </c>
      <c r="L6" s="31" t="s">
        <v>335</v>
      </c>
      <c r="M6" s="89" t="s">
        <v>382</v>
      </c>
      <c r="N6" s="89" t="s">
        <v>383</v>
      </c>
      <c r="O6" s="31">
        <v>16</v>
      </c>
      <c r="P6" s="31" t="s">
        <v>178</v>
      </c>
      <c r="Q6" s="31" t="s">
        <v>384</v>
      </c>
      <c r="R6" s="31" t="s">
        <v>385</v>
      </c>
      <c r="S6" s="31" t="s">
        <v>386</v>
      </c>
      <c r="T6" s="31" t="s">
        <v>387</v>
      </c>
      <c r="U6" s="31" t="s">
        <v>388</v>
      </c>
      <c r="V6" s="31" t="s">
        <v>389</v>
      </c>
      <c r="W6" s="31" t="s">
        <v>178</v>
      </c>
      <c r="X6" s="31" t="s">
        <v>178</v>
      </c>
      <c r="Y6" s="31" t="s">
        <v>178</v>
      </c>
      <c r="Z6" s="33">
        <v>0.9</v>
      </c>
      <c r="AA6" s="31" t="s">
        <v>178</v>
      </c>
      <c r="AB6" s="31" t="s">
        <v>178</v>
      </c>
      <c r="AC6" s="31" t="s">
        <v>178</v>
      </c>
      <c r="AD6" s="31" t="s">
        <v>178</v>
      </c>
      <c r="AE6" s="31" t="s">
        <v>178</v>
      </c>
      <c r="AF6" s="31" t="s">
        <v>178</v>
      </c>
      <c r="AH6" s="31" t="s">
        <v>390</v>
      </c>
      <c r="AI6" s="31" t="s">
        <v>391</v>
      </c>
      <c r="AJ6" s="31" t="s">
        <v>392</v>
      </c>
      <c r="AK6" s="31" t="s">
        <v>178</v>
      </c>
      <c r="AL6" s="31" t="s">
        <v>393</v>
      </c>
      <c r="AM6" s="31" t="s">
        <v>178</v>
      </c>
      <c r="AN6" s="31" t="s">
        <v>187</v>
      </c>
      <c r="AO6" s="31" t="s">
        <v>394</v>
      </c>
      <c r="AP6" s="31" t="s">
        <v>178</v>
      </c>
      <c r="AQ6" s="31" t="s">
        <v>178</v>
      </c>
      <c r="AR6" s="31" t="s">
        <v>178</v>
      </c>
    </row>
    <row r="7" spans="1:48" s="31" customFormat="1" ht="15" customHeight="1">
      <c r="E7" s="31" t="s">
        <v>376</v>
      </c>
      <c r="F7" s="31" t="s">
        <v>377</v>
      </c>
      <c r="G7" s="31" t="s">
        <v>378</v>
      </c>
      <c r="H7" s="31" t="s">
        <v>379</v>
      </c>
      <c r="I7" s="31" t="s">
        <v>79</v>
      </c>
      <c r="J7" s="31" t="s">
        <v>380</v>
      </c>
      <c r="K7" s="31" t="s">
        <v>396</v>
      </c>
      <c r="L7" s="31" t="s">
        <v>335</v>
      </c>
      <c r="M7" s="89" t="s">
        <v>382</v>
      </c>
      <c r="N7" s="89" t="s">
        <v>383</v>
      </c>
      <c r="O7" s="31">
        <v>16</v>
      </c>
      <c r="P7" s="31" t="s">
        <v>178</v>
      </c>
      <c r="Q7" s="31" t="s">
        <v>384</v>
      </c>
      <c r="R7" s="31" t="s">
        <v>385</v>
      </c>
      <c r="S7" s="31" t="s">
        <v>386</v>
      </c>
      <c r="T7" s="31" t="s">
        <v>387</v>
      </c>
      <c r="U7" s="31" t="s">
        <v>388</v>
      </c>
      <c r="V7" s="31" t="s">
        <v>389</v>
      </c>
      <c r="W7" s="31" t="s">
        <v>178</v>
      </c>
      <c r="X7" s="31" t="s">
        <v>178</v>
      </c>
      <c r="Y7" s="31" t="s">
        <v>178</v>
      </c>
      <c r="Z7" s="33">
        <v>0.9</v>
      </c>
      <c r="AA7" s="31" t="s">
        <v>178</v>
      </c>
      <c r="AB7" s="31" t="s">
        <v>178</v>
      </c>
      <c r="AC7" s="31" t="s">
        <v>178</v>
      </c>
      <c r="AD7" s="31" t="s">
        <v>178</v>
      </c>
      <c r="AE7" s="31" t="s">
        <v>178</v>
      </c>
      <c r="AF7" s="31" t="s">
        <v>178</v>
      </c>
      <c r="AH7" s="31" t="s">
        <v>390</v>
      </c>
      <c r="AI7" s="31" t="s">
        <v>391</v>
      </c>
      <c r="AJ7" s="31" t="s">
        <v>392</v>
      </c>
      <c r="AK7" s="31" t="s">
        <v>178</v>
      </c>
      <c r="AL7" s="31" t="s">
        <v>393</v>
      </c>
      <c r="AM7" s="31" t="s">
        <v>178</v>
      </c>
      <c r="AN7" s="31" t="s">
        <v>187</v>
      </c>
      <c r="AO7" s="31" t="s">
        <v>394</v>
      </c>
      <c r="AP7" s="31" t="s">
        <v>178</v>
      </c>
      <c r="AQ7" s="31" t="s">
        <v>178</v>
      </c>
      <c r="AR7" s="31" t="s">
        <v>178</v>
      </c>
    </row>
    <row r="8" spans="1:48" s="31" customFormat="1" ht="15" customHeight="1">
      <c r="E8" s="31" t="s">
        <v>376</v>
      </c>
      <c r="F8" s="31" t="s">
        <v>377</v>
      </c>
      <c r="G8" s="31" t="s">
        <v>378</v>
      </c>
      <c r="H8" s="31" t="s">
        <v>379</v>
      </c>
      <c r="I8" s="31" t="s">
        <v>79</v>
      </c>
      <c r="J8" s="31" t="s">
        <v>380</v>
      </c>
      <c r="K8" s="31" t="s">
        <v>397</v>
      </c>
      <c r="L8" s="31" t="s">
        <v>335</v>
      </c>
      <c r="M8" s="89" t="s">
        <v>382</v>
      </c>
      <c r="N8" s="89" t="s">
        <v>383</v>
      </c>
      <c r="O8" s="31">
        <v>16</v>
      </c>
      <c r="P8" s="31" t="s">
        <v>178</v>
      </c>
      <c r="Q8" s="31" t="s">
        <v>384</v>
      </c>
      <c r="R8" s="31" t="s">
        <v>385</v>
      </c>
      <c r="S8" s="31" t="s">
        <v>386</v>
      </c>
      <c r="T8" s="31" t="s">
        <v>387</v>
      </c>
      <c r="U8" s="31" t="s">
        <v>388</v>
      </c>
      <c r="V8" s="31" t="s">
        <v>389</v>
      </c>
      <c r="W8" s="31" t="s">
        <v>178</v>
      </c>
      <c r="X8" s="31" t="s">
        <v>178</v>
      </c>
      <c r="Y8" s="31" t="s">
        <v>178</v>
      </c>
      <c r="Z8" s="33">
        <v>0.9</v>
      </c>
      <c r="AA8" s="31" t="s">
        <v>178</v>
      </c>
      <c r="AB8" s="31" t="s">
        <v>178</v>
      </c>
      <c r="AC8" s="31" t="s">
        <v>178</v>
      </c>
      <c r="AD8" s="31" t="s">
        <v>178</v>
      </c>
      <c r="AE8" s="31" t="s">
        <v>178</v>
      </c>
      <c r="AF8" s="31" t="s">
        <v>178</v>
      </c>
      <c r="AH8" s="31" t="s">
        <v>390</v>
      </c>
      <c r="AI8" s="31" t="s">
        <v>391</v>
      </c>
      <c r="AJ8" s="31" t="s">
        <v>392</v>
      </c>
      <c r="AK8" s="31" t="s">
        <v>178</v>
      </c>
      <c r="AL8" s="31" t="s">
        <v>393</v>
      </c>
      <c r="AM8" s="31" t="s">
        <v>178</v>
      </c>
      <c r="AN8" s="31" t="s">
        <v>187</v>
      </c>
      <c r="AO8" s="31" t="s">
        <v>394</v>
      </c>
      <c r="AP8" s="31" t="s">
        <v>178</v>
      </c>
      <c r="AQ8" s="31" t="s">
        <v>178</v>
      </c>
      <c r="AR8" s="31" t="s">
        <v>178</v>
      </c>
    </row>
    <row r="9" spans="1:48" s="31" customFormat="1" ht="15" customHeight="1">
      <c r="E9" s="31" t="s">
        <v>376</v>
      </c>
      <c r="F9" s="31" t="s">
        <v>377</v>
      </c>
      <c r="G9" s="31" t="s">
        <v>378</v>
      </c>
      <c r="H9" s="31" t="s">
        <v>379</v>
      </c>
      <c r="I9" s="31" t="s">
        <v>79</v>
      </c>
      <c r="J9" s="31" t="s">
        <v>380</v>
      </c>
      <c r="K9" s="31" t="s">
        <v>398</v>
      </c>
      <c r="L9" s="31" t="s">
        <v>335</v>
      </c>
      <c r="M9" s="89" t="s">
        <v>382</v>
      </c>
      <c r="N9" s="89" t="s">
        <v>383</v>
      </c>
      <c r="O9" s="31">
        <v>16</v>
      </c>
      <c r="P9" s="31" t="s">
        <v>178</v>
      </c>
      <c r="Q9" s="31" t="s">
        <v>384</v>
      </c>
      <c r="R9" s="31" t="s">
        <v>385</v>
      </c>
      <c r="S9" s="31" t="s">
        <v>386</v>
      </c>
      <c r="T9" s="31" t="s">
        <v>387</v>
      </c>
      <c r="U9" s="31" t="s">
        <v>388</v>
      </c>
      <c r="V9" s="31" t="s">
        <v>389</v>
      </c>
      <c r="W9" s="31" t="s">
        <v>178</v>
      </c>
      <c r="X9" s="31" t="s">
        <v>178</v>
      </c>
      <c r="Y9" s="31" t="s">
        <v>178</v>
      </c>
      <c r="Z9" s="33">
        <v>0.9</v>
      </c>
      <c r="AA9" s="31" t="s">
        <v>178</v>
      </c>
      <c r="AB9" s="31" t="s">
        <v>178</v>
      </c>
      <c r="AC9" s="31" t="s">
        <v>178</v>
      </c>
      <c r="AD9" s="31" t="s">
        <v>178</v>
      </c>
      <c r="AE9" s="31" t="s">
        <v>178</v>
      </c>
      <c r="AF9" s="31" t="s">
        <v>178</v>
      </c>
      <c r="AH9" s="31" t="s">
        <v>390</v>
      </c>
      <c r="AI9" s="31" t="s">
        <v>391</v>
      </c>
      <c r="AJ9" s="31" t="s">
        <v>392</v>
      </c>
      <c r="AK9" s="31" t="s">
        <v>178</v>
      </c>
      <c r="AL9" s="31" t="s">
        <v>393</v>
      </c>
      <c r="AM9" s="31" t="s">
        <v>178</v>
      </c>
      <c r="AN9" s="31" t="s">
        <v>187</v>
      </c>
      <c r="AO9" s="31" t="s">
        <v>394</v>
      </c>
      <c r="AP9" s="31" t="s">
        <v>178</v>
      </c>
      <c r="AQ9" s="31" t="s">
        <v>178</v>
      </c>
      <c r="AR9" s="31" t="s">
        <v>178</v>
      </c>
    </row>
    <row r="10" spans="1:48" s="31" customFormat="1" ht="15" customHeight="1">
      <c r="E10" s="31" t="s">
        <v>376</v>
      </c>
      <c r="F10" s="31" t="s">
        <v>377</v>
      </c>
      <c r="G10" s="31" t="s">
        <v>378</v>
      </c>
      <c r="H10" s="31" t="s">
        <v>379</v>
      </c>
      <c r="I10" s="31" t="s">
        <v>79</v>
      </c>
      <c r="J10" s="31" t="s">
        <v>380</v>
      </c>
      <c r="K10" s="31" t="s">
        <v>399</v>
      </c>
      <c r="L10" s="31" t="s">
        <v>335</v>
      </c>
      <c r="M10" s="89" t="s">
        <v>382</v>
      </c>
      <c r="N10" s="89" t="s">
        <v>383</v>
      </c>
      <c r="O10" s="31">
        <v>16</v>
      </c>
      <c r="P10" s="31" t="s">
        <v>178</v>
      </c>
      <c r="Q10" s="31" t="s">
        <v>384</v>
      </c>
      <c r="R10" s="31" t="s">
        <v>385</v>
      </c>
      <c r="S10" s="31" t="s">
        <v>386</v>
      </c>
      <c r="T10" s="31" t="s">
        <v>387</v>
      </c>
      <c r="U10" s="31" t="s">
        <v>388</v>
      </c>
      <c r="V10" s="31" t="s">
        <v>389</v>
      </c>
      <c r="W10" s="31" t="s">
        <v>178</v>
      </c>
      <c r="X10" s="31" t="s">
        <v>178</v>
      </c>
      <c r="Y10" s="31" t="s">
        <v>178</v>
      </c>
      <c r="Z10" s="33">
        <v>0.9</v>
      </c>
      <c r="AA10" s="31" t="s">
        <v>178</v>
      </c>
      <c r="AB10" s="31" t="s">
        <v>178</v>
      </c>
      <c r="AC10" s="31" t="s">
        <v>178</v>
      </c>
      <c r="AD10" s="31" t="s">
        <v>178</v>
      </c>
      <c r="AE10" s="31" t="s">
        <v>178</v>
      </c>
      <c r="AF10" s="31" t="s">
        <v>178</v>
      </c>
      <c r="AH10" s="31" t="s">
        <v>390</v>
      </c>
      <c r="AI10" s="31" t="s">
        <v>391</v>
      </c>
      <c r="AJ10" s="31" t="s">
        <v>392</v>
      </c>
      <c r="AK10" s="31" t="s">
        <v>178</v>
      </c>
      <c r="AL10" s="31" t="s">
        <v>393</v>
      </c>
      <c r="AM10" s="31" t="s">
        <v>178</v>
      </c>
      <c r="AN10" s="31" t="s">
        <v>187</v>
      </c>
      <c r="AO10" s="31" t="s">
        <v>394</v>
      </c>
      <c r="AP10" s="31" t="s">
        <v>178</v>
      </c>
      <c r="AQ10" s="31" t="s">
        <v>178</v>
      </c>
      <c r="AR10" s="31" t="s">
        <v>178</v>
      </c>
    </row>
    <row r="11" spans="1:48" s="31" customFormat="1" ht="15" customHeight="1">
      <c r="E11" s="31" t="s">
        <v>376</v>
      </c>
      <c r="F11" s="31" t="s">
        <v>377</v>
      </c>
      <c r="G11" s="31" t="s">
        <v>378</v>
      </c>
      <c r="H11" s="31" t="s">
        <v>379</v>
      </c>
      <c r="I11" s="31" t="s">
        <v>79</v>
      </c>
      <c r="J11" s="31" t="s">
        <v>380</v>
      </c>
      <c r="K11" s="31" t="s">
        <v>400</v>
      </c>
      <c r="L11" s="31" t="s">
        <v>335</v>
      </c>
      <c r="M11" s="89" t="s">
        <v>382</v>
      </c>
      <c r="N11" s="89" t="s">
        <v>383</v>
      </c>
      <c r="O11" s="31">
        <v>16</v>
      </c>
      <c r="P11" s="31" t="s">
        <v>178</v>
      </c>
      <c r="Q11" s="31" t="s">
        <v>384</v>
      </c>
      <c r="R11" s="31" t="s">
        <v>385</v>
      </c>
      <c r="S11" s="31" t="s">
        <v>386</v>
      </c>
      <c r="T11" s="31" t="s">
        <v>387</v>
      </c>
      <c r="U11" s="31" t="s">
        <v>388</v>
      </c>
      <c r="V11" s="31" t="s">
        <v>389</v>
      </c>
      <c r="W11" s="31" t="s">
        <v>178</v>
      </c>
      <c r="X11" s="31" t="s">
        <v>178</v>
      </c>
      <c r="Y11" s="31" t="s">
        <v>178</v>
      </c>
      <c r="Z11" s="33">
        <v>0.9</v>
      </c>
      <c r="AA11" s="31" t="s">
        <v>178</v>
      </c>
      <c r="AB11" s="31" t="s">
        <v>178</v>
      </c>
      <c r="AC11" s="31" t="s">
        <v>178</v>
      </c>
      <c r="AD11" s="31" t="s">
        <v>178</v>
      </c>
      <c r="AE11" s="31" t="s">
        <v>178</v>
      </c>
      <c r="AF11" s="31" t="s">
        <v>178</v>
      </c>
      <c r="AH11" s="31" t="s">
        <v>390</v>
      </c>
      <c r="AI11" s="31" t="s">
        <v>391</v>
      </c>
      <c r="AJ11" s="31" t="s">
        <v>392</v>
      </c>
      <c r="AK11" s="31" t="s">
        <v>178</v>
      </c>
      <c r="AL11" s="31" t="s">
        <v>393</v>
      </c>
      <c r="AM11" s="31" t="s">
        <v>178</v>
      </c>
      <c r="AN11" s="31" t="s">
        <v>187</v>
      </c>
      <c r="AO11" s="31" t="s">
        <v>394</v>
      </c>
      <c r="AP11" s="31" t="s">
        <v>178</v>
      </c>
      <c r="AQ11" s="31" t="s">
        <v>178</v>
      </c>
      <c r="AR11" s="31" t="s">
        <v>178</v>
      </c>
    </row>
    <row r="12" spans="1:48" s="31" customFormat="1" ht="15" customHeight="1">
      <c r="E12" s="31" t="s">
        <v>376</v>
      </c>
      <c r="F12" s="31" t="s">
        <v>377</v>
      </c>
      <c r="G12" s="31" t="s">
        <v>378</v>
      </c>
      <c r="H12" s="31" t="s">
        <v>379</v>
      </c>
      <c r="I12" s="31" t="s">
        <v>79</v>
      </c>
      <c r="J12" s="31" t="s">
        <v>380</v>
      </c>
      <c r="K12" s="31" t="s">
        <v>401</v>
      </c>
      <c r="L12" s="31" t="s">
        <v>335</v>
      </c>
      <c r="M12" s="89" t="s">
        <v>382</v>
      </c>
      <c r="N12" s="89" t="s">
        <v>383</v>
      </c>
      <c r="O12" s="31">
        <v>16</v>
      </c>
      <c r="P12" s="31" t="s">
        <v>178</v>
      </c>
      <c r="Q12" s="31" t="s">
        <v>384</v>
      </c>
      <c r="R12" s="31" t="s">
        <v>385</v>
      </c>
      <c r="S12" s="31" t="s">
        <v>386</v>
      </c>
      <c r="T12" s="31" t="s">
        <v>387</v>
      </c>
      <c r="U12" s="31" t="s">
        <v>388</v>
      </c>
      <c r="V12" s="31" t="s">
        <v>389</v>
      </c>
      <c r="W12" s="31" t="s">
        <v>178</v>
      </c>
      <c r="X12" s="31" t="s">
        <v>178</v>
      </c>
      <c r="Y12" s="31" t="s">
        <v>178</v>
      </c>
      <c r="Z12" s="33">
        <v>0.9</v>
      </c>
      <c r="AA12" s="31" t="s">
        <v>178</v>
      </c>
      <c r="AB12" s="31" t="s">
        <v>178</v>
      </c>
      <c r="AC12" s="31" t="s">
        <v>178</v>
      </c>
      <c r="AD12" s="31" t="s">
        <v>178</v>
      </c>
      <c r="AE12" s="31" t="s">
        <v>178</v>
      </c>
      <c r="AF12" s="31" t="s">
        <v>178</v>
      </c>
      <c r="AH12" s="31" t="s">
        <v>390</v>
      </c>
      <c r="AI12" s="31" t="s">
        <v>391</v>
      </c>
      <c r="AJ12" s="31" t="s">
        <v>392</v>
      </c>
      <c r="AK12" s="31" t="s">
        <v>178</v>
      </c>
      <c r="AL12" s="31" t="s">
        <v>393</v>
      </c>
      <c r="AM12" s="31" t="s">
        <v>178</v>
      </c>
      <c r="AN12" s="31" t="s">
        <v>187</v>
      </c>
      <c r="AO12" s="31" t="s">
        <v>394</v>
      </c>
      <c r="AP12" s="31" t="s">
        <v>178</v>
      </c>
      <c r="AQ12" s="31" t="s">
        <v>178</v>
      </c>
      <c r="AR12" s="31" t="s">
        <v>178</v>
      </c>
    </row>
    <row r="13" spans="1:48" s="31" customFormat="1" ht="15" customHeight="1">
      <c r="E13" s="31" t="s">
        <v>376</v>
      </c>
      <c r="F13" s="31" t="s">
        <v>377</v>
      </c>
      <c r="G13" s="31" t="s">
        <v>378</v>
      </c>
      <c r="H13" s="31" t="s">
        <v>379</v>
      </c>
      <c r="I13" s="31" t="s">
        <v>79</v>
      </c>
      <c r="J13" s="31" t="s">
        <v>380</v>
      </c>
      <c r="K13" s="31" t="s">
        <v>402</v>
      </c>
      <c r="L13" s="31" t="s">
        <v>335</v>
      </c>
      <c r="M13" s="89" t="s">
        <v>403</v>
      </c>
      <c r="N13" s="89" t="s">
        <v>404</v>
      </c>
      <c r="O13" s="31">
        <v>16</v>
      </c>
      <c r="P13" s="31" t="s">
        <v>178</v>
      </c>
      <c r="Q13" s="31" t="s">
        <v>384</v>
      </c>
      <c r="R13" s="31" t="s">
        <v>385</v>
      </c>
      <c r="S13" s="31" t="s">
        <v>386</v>
      </c>
      <c r="T13" s="31" t="s">
        <v>387</v>
      </c>
      <c r="U13" s="31" t="s">
        <v>388</v>
      </c>
      <c r="V13" s="31" t="s">
        <v>389</v>
      </c>
      <c r="W13" s="31" t="s">
        <v>178</v>
      </c>
      <c r="X13" s="31" t="s">
        <v>178</v>
      </c>
      <c r="Y13" s="31" t="s">
        <v>178</v>
      </c>
      <c r="Z13" s="33">
        <v>0.9</v>
      </c>
      <c r="AA13" s="31" t="s">
        <v>178</v>
      </c>
      <c r="AB13" s="31" t="s">
        <v>178</v>
      </c>
      <c r="AC13" s="31" t="s">
        <v>178</v>
      </c>
      <c r="AD13" s="31" t="s">
        <v>178</v>
      </c>
      <c r="AE13" s="31" t="s">
        <v>178</v>
      </c>
      <c r="AF13" s="31" t="s">
        <v>178</v>
      </c>
      <c r="AH13" s="31" t="s">
        <v>390</v>
      </c>
      <c r="AI13" s="31" t="s">
        <v>391</v>
      </c>
      <c r="AJ13" s="31" t="s">
        <v>392</v>
      </c>
      <c r="AK13" s="31" t="s">
        <v>178</v>
      </c>
      <c r="AL13" s="31" t="s">
        <v>393</v>
      </c>
      <c r="AM13" s="31" t="s">
        <v>178</v>
      </c>
      <c r="AN13" s="31" t="s">
        <v>187</v>
      </c>
      <c r="AO13" s="31" t="s">
        <v>394</v>
      </c>
      <c r="AP13" s="31" t="s">
        <v>178</v>
      </c>
      <c r="AQ13" s="31" t="s">
        <v>178</v>
      </c>
      <c r="AR13" s="31" t="s">
        <v>178</v>
      </c>
    </row>
    <row r="14" spans="1:48" s="31" customFormat="1" ht="15" customHeight="1">
      <c r="E14" s="31" t="s">
        <v>376</v>
      </c>
      <c r="F14" s="31" t="s">
        <v>377</v>
      </c>
      <c r="G14" s="31" t="s">
        <v>378</v>
      </c>
      <c r="H14" s="31" t="s">
        <v>379</v>
      </c>
      <c r="I14" s="31" t="s">
        <v>79</v>
      </c>
      <c r="J14" s="31" t="s">
        <v>380</v>
      </c>
      <c r="K14" s="31" t="s">
        <v>405</v>
      </c>
      <c r="L14" s="31" t="s">
        <v>335</v>
      </c>
      <c r="M14" s="89" t="s">
        <v>403</v>
      </c>
      <c r="N14" s="89" t="s">
        <v>404</v>
      </c>
      <c r="O14" s="31">
        <v>16</v>
      </c>
      <c r="P14" s="31" t="s">
        <v>178</v>
      </c>
      <c r="Q14" s="31" t="s">
        <v>384</v>
      </c>
      <c r="R14" s="31" t="s">
        <v>385</v>
      </c>
      <c r="S14" s="31" t="s">
        <v>386</v>
      </c>
      <c r="T14" s="31" t="s">
        <v>387</v>
      </c>
      <c r="U14" s="31" t="s">
        <v>388</v>
      </c>
      <c r="V14" s="31" t="s">
        <v>389</v>
      </c>
      <c r="W14" s="31" t="s">
        <v>178</v>
      </c>
      <c r="X14" s="31" t="s">
        <v>178</v>
      </c>
      <c r="Y14" s="31" t="s">
        <v>178</v>
      </c>
      <c r="Z14" s="33">
        <v>0.9</v>
      </c>
      <c r="AA14" s="31" t="s">
        <v>178</v>
      </c>
      <c r="AB14" s="31" t="s">
        <v>178</v>
      </c>
      <c r="AC14" s="31" t="s">
        <v>178</v>
      </c>
      <c r="AD14" s="31" t="s">
        <v>178</v>
      </c>
      <c r="AE14" s="31" t="s">
        <v>178</v>
      </c>
      <c r="AF14" s="31" t="s">
        <v>178</v>
      </c>
      <c r="AH14" s="31" t="s">
        <v>390</v>
      </c>
      <c r="AI14" s="31" t="s">
        <v>391</v>
      </c>
      <c r="AJ14" s="31" t="s">
        <v>392</v>
      </c>
      <c r="AK14" s="31" t="s">
        <v>178</v>
      </c>
      <c r="AL14" s="31" t="s">
        <v>393</v>
      </c>
      <c r="AM14" s="31" t="s">
        <v>178</v>
      </c>
      <c r="AN14" s="31" t="s">
        <v>187</v>
      </c>
      <c r="AO14" s="31" t="s">
        <v>394</v>
      </c>
      <c r="AP14" s="31" t="s">
        <v>178</v>
      </c>
      <c r="AQ14" s="31" t="s">
        <v>178</v>
      </c>
      <c r="AR14" s="31" t="s">
        <v>178</v>
      </c>
    </row>
    <row r="15" spans="1:48" s="31" customFormat="1" ht="15" customHeight="1">
      <c r="E15" s="31" t="s">
        <v>376</v>
      </c>
      <c r="F15" s="31" t="s">
        <v>377</v>
      </c>
      <c r="G15" s="31" t="s">
        <v>378</v>
      </c>
      <c r="H15" s="31" t="s">
        <v>379</v>
      </c>
      <c r="I15" s="31" t="s">
        <v>79</v>
      </c>
      <c r="J15" s="31" t="s">
        <v>380</v>
      </c>
      <c r="K15" s="31" t="s">
        <v>406</v>
      </c>
      <c r="L15" s="31" t="s">
        <v>335</v>
      </c>
      <c r="M15" s="89" t="s">
        <v>403</v>
      </c>
      <c r="N15" s="89" t="s">
        <v>404</v>
      </c>
      <c r="O15" s="31">
        <v>16</v>
      </c>
      <c r="P15" s="31" t="s">
        <v>178</v>
      </c>
      <c r="Q15" s="31" t="s">
        <v>384</v>
      </c>
      <c r="R15" s="31" t="s">
        <v>385</v>
      </c>
      <c r="S15" s="31" t="s">
        <v>386</v>
      </c>
      <c r="T15" s="31" t="s">
        <v>387</v>
      </c>
      <c r="U15" s="31" t="s">
        <v>388</v>
      </c>
      <c r="V15" s="31" t="s">
        <v>389</v>
      </c>
      <c r="W15" s="31" t="s">
        <v>178</v>
      </c>
      <c r="X15" s="31" t="s">
        <v>178</v>
      </c>
      <c r="Y15" s="31" t="s">
        <v>178</v>
      </c>
      <c r="Z15" s="33">
        <v>0.9</v>
      </c>
      <c r="AA15" s="31" t="s">
        <v>178</v>
      </c>
      <c r="AB15" s="31" t="s">
        <v>178</v>
      </c>
      <c r="AC15" s="31" t="s">
        <v>178</v>
      </c>
      <c r="AD15" s="31" t="s">
        <v>178</v>
      </c>
      <c r="AE15" s="31" t="s">
        <v>178</v>
      </c>
      <c r="AF15" s="31" t="s">
        <v>178</v>
      </c>
      <c r="AH15" s="31" t="s">
        <v>390</v>
      </c>
      <c r="AI15" s="31" t="s">
        <v>391</v>
      </c>
      <c r="AJ15" s="31" t="s">
        <v>392</v>
      </c>
      <c r="AK15" s="31" t="s">
        <v>178</v>
      </c>
      <c r="AL15" s="31" t="s">
        <v>393</v>
      </c>
      <c r="AM15" s="31" t="s">
        <v>178</v>
      </c>
      <c r="AN15" s="31" t="s">
        <v>187</v>
      </c>
      <c r="AO15" s="31" t="s">
        <v>394</v>
      </c>
      <c r="AP15" s="31" t="s">
        <v>178</v>
      </c>
      <c r="AQ15" s="31" t="s">
        <v>178</v>
      </c>
      <c r="AR15" s="31" t="s">
        <v>178</v>
      </c>
    </row>
    <row r="16" spans="1:48" s="31" customFormat="1" ht="15" customHeight="1">
      <c r="E16" s="31" t="s">
        <v>376</v>
      </c>
      <c r="F16" s="31" t="s">
        <v>377</v>
      </c>
      <c r="G16" s="31" t="s">
        <v>378</v>
      </c>
      <c r="H16" s="31" t="s">
        <v>379</v>
      </c>
      <c r="I16" s="31" t="s">
        <v>79</v>
      </c>
      <c r="J16" s="31" t="s">
        <v>380</v>
      </c>
      <c r="K16" s="31" t="s">
        <v>407</v>
      </c>
      <c r="L16" s="31" t="s">
        <v>335</v>
      </c>
      <c r="M16" s="89" t="s">
        <v>403</v>
      </c>
      <c r="N16" s="89" t="s">
        <v>404</v>
      </c>
      <c r="O16" s="31">
        <v>16</v>
      </c>
      <c r="P16" s="31" t="s">
        <v>178</v>
      </c>
      <c r="Q16" s="31" t="s">
        <v>384</v>
      </c>
      <c r="R16" s="31" t="s">
        <v>385</v>
      </c>
      <c r="S16" s="31" t="s">
        <v>386</v>
      </c>
      <c r="T16" s="31" t="s">
        <v>387</v>
      </c>
      <c r="U16" s="31" t="s">
        <v>388</v>
      </c>
      <c r="V16" s="31" t="s">
        <v>389</v>
      </c>
      <c r="W16" s="31" t="s">
        <v>178</v>
      </c>
      <c r="X16" s="31" t="s">
        <v>178</v>
      </c>
      <c r="Y16" s="31" t="s">
        <v>178</v>
      </c>
      <c r="Z16" s="33">
        <v>0.9</v>
      </c>
      <c r="AA16" s="31" t="s">
        <v>178</v>
      </c>
      <c r="AB16" s="31" t="s">
        <v>178</v>
      </c>
      <c r="AC16" s="31" t="s">
        <v>178</v>
      </c>
      <c r="AD16" s="31" t="s">
        <v>178</v>
      </c>
      <c r="AE16" s="31" t="s">
        <v>178</v>
      </c>
      <c r="AF16" s="31" t="s">
        <v>178</v>
      </c>
      <c r="AH16" s="31" t="s">
        <v>390</v>
      </c>
      <c r="AI16" s="31" t="s">
        <v>391</v>
      </c>
      <c r="AJ16" s="31" t="s">
        <v>392</v>
      </c>
      <c r="AK16" s="31" t="s">
        <v>178</v>
      </c>
      <c r="AL16" s="31" t="s">
        <v>393</v>
      </c>
      <c r="AM16" s="31" t="s">
        <v>178</v>
      </c>
      <c r="AN16" s="31" t="s">
        <v>187</v>
      </c>
      <c r="AO16" s="31" t="s">
        <v>394</v>
      </c>
      <c r="AP16" s="31" t="s">
        <v>178</v>
      </c>
      <c r="AQ16" s="31" t="s">
        <v>178</v>
      </c>
      <c r="AR16" s="31" t="s">
        <v>178</v>
      </c>
    </row>
    <row r="17" spans="5:45" s="31" customFormat="1" ht="15" customHeight="1">
      <c r="E17" s="31" t="s">
        <v>376</v>
      </c>
      <c r="F17" s="31" t="s">
        <v>377</v>
      </c>
      <c r="G17" s="31" t="s">
        <v>378</v>
      </c>
      <c r="H17" s="31" t="s">
        <v>379</v>
      </c>
      <c r="I17" s="31" t="s">
        <v>79</v>
      </c>
      <c r="J17" s="31" t="s">
        <v>380</v>
      </c>
      <c r="K17" s="31" t="s">
        <v>408</v>
      </c>
      <c r="L17" s="31" t="s">
        <v>335</v>
      </c>
      <c r="M17" s="89" t="s">
        <v>403</v>
      </c>
      <c r="N17" s="89" t="s">
        <v>404</v>
      </c>
      <c r="O17" s="31">
        <v>16</v>
      </c>
      <c r="P17" s="31" t="s">
        <v>178</v>
      </c>
      <c r="Q17" s="31" t="s">
        <v>384</v>
      </c>
      <c r="R17" s="31" t="s">
        <v>385</v>
      </c>
      <c r="S17" s="31" t="s">
        <v>386</v>
      </c>
      <c r="T17" s="31" t="s">
        <v>387</v>
      </c>
      <c r="U17" s="31" t="s">
        <v>388</v>
      </c>
      <c r="V17" s="31" t="s">
        <v>389</v>
      </c>
      <c r="W17" s="31" t="s">
        <v>178</v>
      </c>
      <c r="X17" s="31" t="s">
        <v>178</v>
      </c>
      <c r="Y17" s="31" t="s">
        <v>178</v>
      </c>
      <c r="Z17" s="33">
        <v>0.9</v>
      </c>
      <c r="AA17" s="31" t="s">
        <v>178</v>
      </c>
      <c r="AB17" s="31" t="s">
        <v>178</v>
      </c>
      <c r="AC17" s="31" t="s">
        <v>178</v>
      </c>
      <c r="AD17" s="31" t="s">
        <v>178</v>
      </c>
      <c r="AE17" s="31" t="s">
        <v>178</v>
      </c>
      <c r="AF17" s="31" t="s">
        <v>178</v>
      </c>
      <c r="AH17" s="31" t="s">
        <v>390</v>
      </c>
      <c r="AI17" s="31" t="s">
        <v>391</v>
      </c>
      <c r="AJ17" s="31" t="s">
        <v>392</v>
      </c>
      <c r="AK17" s="31" t="s">
        <v>178</v>
      </c>
      <c r="AL17" s="31" t="s">
        <v>393</v>
      </c>
      <c r="AM17" s="31" t="s">
        <v>178</v>
      </c>
      <c r="AN17" s="31" t="s">
        <v>187</v>
      </c>
      <c r="AO17" s="31" t="s">
        <v>394</v>
      </c>
      <c r="AP17" s="31" t="s">
        <v>178</v>
      </c>
      <c r="AQ17" s="31" t="s">
        <v>178</v>
      </c>
      <c r="AR17" s="31" t="s">
        <v>178</v>
      </c>
    </row>
    <row r="18" spans="5:45" s="31" customFormat="1" ht="15" customHeight="1">
      <c r="E18" s="31" t="s">
        <v>376</v>
      </c>
      <c r="F18" s="31" t="s">
        <v>377</v>
      </c>
      <c r="G18" s="31" t="s">
        <v>378</v>
      </c>
      <c r="H18" s="31" t="s">
        <v>379</v>
      </c>
      <c r="I18" s="31" t="s">
        <v>79</v>
      </c>
      <c r="J18" s="31" t="s">
        <v>380</v>
      </c>
      <c r="K18" s="31" t="s">
        <v>409</v>
      </c>
      <c r="L18" s="31" t="s">
        <v>335</v>
      </c>
      <c r="M18" s="89" t="s">
        <v>403</v>
      </c>
      <c r="N18" s="89" t="s">
        <v>404</v>
      </c>
      <c r="O18" s="31">
        <v>16</v>
      </c>
      <c r="P18" s="31" t="s">
        <v>178</v>
      </c>
      <c r="Q18" s="31" t="s">
        <v>384</v>
      </c>
      <c r="R18" s="31" t="s">
        <v>385</v>
      </c>
      <c r="S18" s="31" t="s">
        <v>386</v>
      </c>
      <c r="T18" s="31" t="s">
        <v>387</v>
      </c>
      <c r="U18" s="31" t="s">
        <v>388</v>
      </c>
      <c r="V18" s="31" t="s">
        <v>389</v>
      </c>
      <c r="W18" s="31" t="s">
        <v>178</v>
      </c>
      <c r="X18" s="31" t="s">
        <v>178</v>
      </c>
      <c r="Y18" s="31" t="s">
        <v>178</v>
      </c>
      <c r="Z18" s="33">
        <v>0.9</v>
      </c>
      <c r="AA18" s="31" t="s">
        <v>178</v>
      </c>
      <c r="AB18" s="31" t="s">
        <v>178</v>
      </c>
      <c r="AC18" s="31" t="s">
        <v>178</v>
      </c>
      <c r="AD18" s="31" t="s">
        <v>178</v>
      </c>
      <c r="AE18" s="31" t="s">
        <v>178</v>
      </c>
      <c r="AF18" s="31" t="s">
        <v>178</v>
      </c>
      <c r="AH18" s="31" t="s">
        <v>390</v>
      </c>
      <c r="AI18" s="31" t="s">
        <v>391</v>
      </c>
      <c r="AJ18" s="31" t="s">
        <v>392</v>
      </c>
      <c r="AK18" s="31" t="s">
        <v>178</v>
      </c>
      <c r="AL18" s="31" t="s">
        <v>393</v>
      </c>
      <c r="AM18" s="31" t="s">
        <v>178</v>
      </c>
      <c r="AN18" s="31" t="s">
        <v>187</v>
      </c>
      <c r="AO18" s="31" t="s">
        <v>394</v>
      </c>
      <c r="AP18" s="31" t="s">
        <v>178</v>
      </c>
      <c r="AQ18" s="31" t="s">
        <v>178</v>
      </c>
      <c r="AR18" s="31" t="s">
        <v>178</v>
      </c>
    </row>
    <row r="19" spans="5:45" s="31" customFormat="1" ht="15" customHeight="1">
      <c r="E19" s="31" t="s">
        <v>376</v>
      </c>
      <c r="F19" s="31" t="s">
        <v>377</v>
      </c>
      <c r="G19" s="31" t="s">
        <v>378</v>
      </c>
      <c r="H19" s="31" t="s">
        <v>379</v>
      </c>
      <c r="I19" s="31" t="s">
        <v>79</v>
      </c>
      <c r="J19" s="31" t="s">
        <v>380</v>
      </c>
      <c r="K19" s="31" t="s">
        <v>410</v>
      </c>
      <c r="L19" s="31" t="s">
        <v>335</v>
      </c>
      <c r="M19" s="89" t="s">
        <v>403</v>
      </c>
      <c r="N19" s="89" t="s">
        <v>404</v>
      </c>
      <c r="O19" s="31">
        <v>16</v>
      </c>
      <c r="P19" s="31" t="s">
        <v>178</v>
      </c>
      <c r="Q19" s="31" t="s">
        <v>384</v>
      </c>
      <c r="R19" s="31" t="s">
        <v>385</v>
      </c>
      <c r="S19" s="31" t="s">
        <v>386</v>
      </c>
      <c r="T19" s="31" t="s">
        <v>387</v>
      </c>
      <c r="U19" s="31" t="s">
        <v>388</v>
      </c>
      <c r="V19" s="31" t="s">
        <v>389</v>
      </c>
      <c r="W19" s="31" t="s">
        <v>178</v>
      </c>
      <c r="X19" s="31" t="s">
        <v>178</v>
      </c>
      <c r="Y19" s="31" t="s">
        <v>178</v>
      </c>
      <c r="Z19" s="33">
        <v>0.9</v>
      </c>
      <c r="AA19" s="31" t="s">
        <v>178</v>
      </c>
      <c r="AB19" s="31" t="s">
        <v>178</v>
      </c>
      <c r="AC19" s="31" t="s">
        <v>178</v>
      </c>
      <c r="AD19" s="31" t="s">
        <v>178</v>
      </c>
      <c r="AE19" s="31" t="s">
        <v>178</v>
      </c>
      <c r="AF19" s="31" t="s">
        <v>178</v>
      </c>
      <c r="AH19" s="31" t="s">
        <v>390</v>
      </c>
      <c r="AI19" s="31" t="s">
        <v>391</v>
      </c>
      <c r="AJ19" s="31" t="s">
        <v>392</v>
      </c>
      <c r="AK19" s="31" t="s">
        <v>178</v>
      </c>
      <c r="AL19" s="31" t="s">
        <v>393</v>
      </c>
      <c r="AM19" s="31" t="s">
        <v>178</v>
      </c>
      <c r="AN19" s="31" t="s">
        <v>187</v>
      </c>
      <c r="AO19" s="31" t="s">
        <v>394</v>
      </c>
      <c r="AP19" s="31" t="s">
        <v>178</v>
      </c>
      <c r="AQ19" s="31" t="s">
        <v>178</v>
      </c>
      <c r="AR19" s="31" t="s">
        <v>178</v>
      </c>
    </row>
    <row r="20" spans="5:45" s="31" customFormat="1" ht="15" customHeight="1">
      <c r="E20" s="31" t="s">
        <v>376</v>
      </c>
      <c r="F20" s="31" t="s">
        <v>377</v>
      </c>
      <c r="G20" s="31" t="s">
        <v>378</v>
      </c>
      <c r="H20" s="31" t="s">
        <v>379</v>
      </c>
      <c r="I20" s="31" t="s">
        <v>79</v>
      </c>
      <c r="J20" s="31" t="s">
        <v>380</v>
      </c>
      <c r="K20" s="31" t="s">
        <v>411</v>
      </c>
      <c r="L20" s="31" t="s">
        <v>335</v>
      </c>
      <c r="M20" s="89" t="s">
        <v>403</v>
      </c>
      <c r="N20" s="89" t="s">
        <v>404</v>
      </c>
      <c r="O20" s="31">
        <v>16</v>
      </c>
      <c r="P20" s="31" t="s">
        <v>178</v>
      </c>
      <c r="Q20" s="31" t="s">
        <v>384</v>
      </c>
      <c r="R20" s="31" t="s">
        <v>385</v>
      </c>
      <c r="S20" s="31" t="s">
        <v>386</v>
      </c>
      <c r="T20" s="31" t="s">
        <v>387</v>
      </c>
      <c r="U20" s="31" t="s">
        <v>388</v>
      </c>
      <c r="V20" s="31" t="s">
        <v>389</v>
      </c>
      <c r="W20" s="31" t="s">
        <v>178</v>
      </c>
      <c r="X20" s="31" t="s">
        <v>178</v>
      </c>
      <c r="Y20" s="31" t="s">
        <v>178</v>
      </c>
      <c r="Z20" s="33">
        <v>0.9</v>
      </c>
      <c r="AA20" s="31" t="s">
        <v>178</v>
      </c>
      <c r="AB20" s="31" t="s">
        <v>178</v>
      </c>
      <c r="AC20" s="31" t="s">
        <v>178</v>
      </c>
      <c r="AD20" s="31" t="s">
        <v>178</v>
      </c>
      <c r="AE20" s="31" t="s">
        <v>178</v>
      </c>
      <c r="AF20" s="31" t="s">
        <v>178</v>
      </c>
      <c r="AH20" s="31" t="s">
        <v>390</v>
      </c>
      <c r="AI20" s="31" t="s">
        <v>391</v>
      </c>
      <c r="AJ20" s="31" t="s">
        <v>392</v>
      </c>
      <c r="AK20" s="31" t="s">
        <v>178</v>
      </c>
      <c r="AL20" s="31" t="s">
        <v>393</v>
      </c>
      <c r="AM20" s="31" t="s">
        <v>178</v>
      </c>
      <c r="AN20" s="31" t="s">
        <v>187</v>
      </c>
      <c r="AO20" s="31" t="s">
        <v>394</v>
      </c>
      <c r="AP20" s="31" t="s">
        <v>178</v>
      </c>
      <c r="AQ20" s="31" t="s">
        <v>178</v>
      </c>
      <c r="AR20" s="31" t="s">
        <v>178</v>
      </c>
    </row>
    <row r="21" spans="5:45" s="31" customFormat="1" ht="15" customHeight="1">
      <c r="M21" s="89"/>
      <c r="N21" s="89"/>
    </row>
    <row r="22" spans="5:45" s="31" customFormat="1" ht="15" customHeight="1">
      <c r="E22" s="31" t="s">
        <v>412</v>
      </c>
      <c r="F22" s="31" t="s">
        <v>172</v>
      </c>
      <c r="G22" s="31" t="s">
        <v>413</v>
      </c>
      <c r="H22" s="31" t="s">
        <v>414</v>
      </c>
      <c r="I22" s="31" t="s">
        <v>79</v>
      </c>
      <c r="J22" s="31" t="s">
        <v>175</v>
      </c>
      <c r="K22" s="31" t="s">
        <v>176</v>
      </c>
      <c r="L22" s="31" t="s">
        <v>335</v>
      </c>
      <c r="M22" s="89" t="s">
        <v>415</v>
      </c>
      <c r="N22" s="89" t="s">
        <v>416</v>
      </c>
      <c r="O22" s="31">
        <v>16</v>
      </c>
      <c r="P22" s="31" t="s">
        <v>178</v>
      </c>
      <c r="Q22" s="31" t="s">
        <v>417</v>
      </c>
      <c r="R22" s="31" t="s">
        <v>418</v>
      </c>
      <c r="S22" s="31" t="s">
        <v>419</v>
      </c>
      <c r="T22" s="31" t="s">
        <v>178</v>
      </c>
      <c r="U22" s="31" t="s">
        <v>178</v>
      </c>
      <c r="V22" s="31" t="s">
        <v>178</v>
      </c>
      <c r="W22" s="31" t="s">
        <v>178</v>
      </c>
      <c r="X22" s="31" t="s">
        <v>178</v>
      </c>
      <c r="Y22" s="31" t="s">
        <v>178</v>
      </c>
      <c r="Z22" s="31" t="s">
        <v>178</v>
      </c>
      <c r="AA22" s="95">
        <v>16</v>
      </c>
      <c r="AB22" s="95">
        <v>15</v>
      </c>
      <c r="AC22" s="95">
        <v>0.7</v>
      </c>
      <c r="AD22" s="95">
        <v>0.3</v>
      </c>
      <c r="AE22" s="31">
        <v>1.2</v>
      </c>
      <c r="AF22" s="31">
        <v>28</v>
      </c>
      <c r="AG22" s="31" t="s">
        <v>178</v>
      </c>
      <c r="AH22" s="31" t="s">
        <v>178</v>
      </c>
      <c r="AI22" s="31" t="s">
        <v>178</v>
      </c>
      <c r="AJ22" s="31" t="s">
        <v>178</v>
      </c>
      <c r="AK22" s="31" t="s">
        <v>178</v>
      </c>
      <c r="AL22" s="31" t="s">
        <v>420</v>
      </c>
      <c r="AM22" s="31" t="s">
        <v>178</v>
      </c>
      <c r="AN22" s="31" t="s">
        <v>187</v>
      </c>
      <c r="AO22" s="31" t="s">
        <v>178</v>
      </c>
      <c r="AP22" s="31" t="s">
        <v>178</v>
      </c>
      <c r="AQ22" s="31" t="s">
        <v>178</v>
      </c>
      <c r="AR22" s="31" t="s">
        <v>178</v>
      </c>
      <c r="AS22" s="31" t="s">
        <v>178</v>
      </c>
    </row>
    <row r="23" spans="5:45" s="31" customFormat="1" ht="15" customHeight="1">
      <c r="E23" s="31" t="s">
        <v>412</v>
      </c>
      <c r="F23" s="31" t="s">
        <v>172</v>
      </c>
      <c r="G23" s="31" t="s">
        <v>413</v>
      </c>
      <c r="H23" s="31" t="s">
        <v>414</v>
      </c>
      <c r="I23" s="31" t="s">
        <v>79</v>
      </c>
      <c r="J23" s="31" t="s">
        <v>175</v>
      </c>
      <c r="K23" s="31" t="s">
        <v>189</v>
      </c>
      <c r="L23" s="31" t="s">
        <v>335</v>
      </c>
      <c r="M23" s="89" t="s">
        <v>415</v>
      </c>
      <c r="N23" s="89" t="s">
        <v>416</v>
      </c>
      <c r="O23" s="31">
        <v>16</v>
      </c>
      <c r="P23" s="31" t="s">
        <v>178</v>
      </c>
      <c r="Q23" s="31" t="s">
        <v>417</v>
      </c>
      <c r="R23" s="31" t="s">
        <v>418</v>
      </c>
      <c r="S23" s="31" t="s">
        <v>419</v>
      </c>
      <c r="T23" s="31" t="s">
        <v>178</v>
      </c>
      <c r="U23" s="31" t="s">
        <v>178</v>
      </c>
      <c r="V23" s="31" t="s">
        <v>178</v>
      </c>
      <c r="W23" s="31" t="s">
        <v>178</v>
      </c>
      <c r="X23" s="31" t="s">
        <v>178</v>
      </c>
      <c r="Y23" s="31" t="s">
        <v>178</v>
      </c>
      <c r="Z23" s="31" t="s">
        <v>178</v>
      </c>
      <c r="AA23" s="95">
        <v>16</v>
      </c>
      <c r="AB23" s="95">
        <v>15</v>
      </c>
      <c r="AC23" s="95">
        <v>0.7</v>
      </c>
      <c r="AD23" s="95">
        <v>0.3</v>
      </c>
      <c r="AE23" s="31">
        <v>1.2</v>
      </c>
      <c r="AF23" s="31">
        <v>28</v>
      </c>
      <c r="AG23" s="31" t="s">
        <v>178</v>
      </c>
      <c r="AH23" s="31" t="s">
        <v>178</v>
      </c>
      <c r="AI23" s="31" t="s">
        <v>178</v>
      </c>
      <c r="AJ23" s="31" t="s">
        <v>178</v>
      </c>
      <c r="AK23" s="31" t="s">
        <v>178</v>
      </c>
      <c r="AL23" s="31" t="s">
        <v>420</v>
      </c>
      <c r="AM23" s="31" t="s">
        <v>178</v>
      </c>
      <c r="AN23" s="31" t="s">
        <v>187</v>
      </c>
      <c r="AO23" s="31" t="s">
        <v>178</v>
      </c>
      <c r="AP23" s="31" t="s">
        <v>178</v>
      </c>
      <c r="AQ23" s="31" t="s">
        <v>178</v>
      </c>
      <c r="AR23" s="31" t="s">
        <v>178</v>
      </c>
      <c r="AS23" s="31" t="s">
        <v>178</v>
      </c>
    </row>
    <row r="24" spans="5:45" s="31" customFormat="1" ht="15" customHeight="1">
      <c r="E24" s="31" t="s">
        <v>412</v>
      </c>
      <c r="F24" s="31" t="s">
        <v>172</v>
      </c>
      <c r="G24" s="31" t="s">
        <v>413</v>
      </c>
      <c r="H24" s="31" t="s">
        <v>414</v>
      </c>
      <c r="I24" s="31" t="s">
        <v>79</v>
      </c>
      <c r="J24" s="31" t="s">
        <v>175</v>
      </c>
      <c r="K24" s="31" t="s">
        <v>191</v>
      </c>
      <c r="L24" s="31" t="s">
        <v>335</v>
      </c>
      <c r="M24" s="89" t="s">
        <v>415</v>
      </c>
      <c r="N24" s="89" t="s">
        <v>416</v>
      </c>
      <c r="O24" s="31">
        <v>16</v>
      </c>
      <c r="P24" s="31" t="s">
        <v>178</v>
      </c>
      <c r="Q24" s="31" t="s">
        <v>417</v>
      </c>
      <c r="R24" s="31" t="s">
        <v>418</v>
      </c>
      <c r="S24" s="31" t="s">
        <v>419</v>
      </c>
      <c r="T24" s="31" t="s">
        <v>178</v>
      </c>
      <c r="U24" s="31" t="s">
        <v>178</v>
      </c>
      <c r="V24" s="31" t="s">
        <v>178</v>
      </c>
      <c r="W24" s="31" t="s">
        <v>178</v>
      </c>
      <c r="X24" s="31" t="s">
        <v>178</v>
      </c>
      <c r="Y24" s="31" t="s">
        <v>178</v>
      </c>
      <c r="Z24" s="31" t="s">
        <v>178</v>
      </c>
      <c r="AA24" s="95">
        <v>16</v>
      </c>
      <c r="AB24" s="95">
        <v>15</v>
      </c>
      <c r="AC24" s="95">
        <v>0.7</v>
      </c>
      <c r="AD24" s="95">
        <v>0.3</v>
      </c>
      <c r="AE24" s="31">
        <v>1.2</v>
      </c>
      <c r="AF24" s="31">
        <v>28</v>
      </c>
      <c r="AG24" s="31" t="s">
        <v>178</v>
      </c>
      <c r="AH24" s="31" t="s">
        <v>178</v>
      </c>
      <c r="AI24" s="31" t="s">
        <v>178</v>
      </c>
      <c r="AJ24" s="31" t="s">
        <v>178</v>
      </c>
      <c r="AK24" s="31" t="s">
        <v>178</v>
      </c>
      <c r="AL24" s="31" t="s">
        <v>420</v>
      </c>
      <c r="AM24" s="31" t="s">
        <v>178</v>
      </c>
      <c r="AN24" s="31" t="s">
        <v>187</v>
      </c>
      <c r="AO24" s="31" t="s">
        <v>178</v>
      </c>
      <c r="AP24" s="31" t="s">
        <v>178</v>
      </c>
      <c r="AQ24" s="31" t="s">
        <v>178</v>
      </c>
      <c r="AR24" s="31" t="s">
        <v>178</v>
      </c>
      <c r="AS24" s="31" t="s">
        <v>178</v>
      </c>
    </row>
    <row r="25" spans="5:45" s="31" customFormat="1" ht="15" customHeight="1">
      <c r="E25" s="31" t="s">
        <v>412</v>
      </c>
      <c r="F25" s="31" t="s">
        <v>172</v>
      </c>
      <c r="G25" s="31" t="s">
        <v>413</v>
      </c>
      <c r="H25" s="31" t="s">
        <v>414</v>
      </c>
      <c r="I25" s="31" t="s">
        <v>79</v>
      </c>
      <c r="J25" s="31" t="s">
        <v>175</v>
      </c>
      <c r="K25" s="31" t="s">
        <v>193</v>
      </c>
      <c r="L25" s="31" t="s">
        <v>335</v>
      </c>
      <c r="M25" s="89" t="s">
        <v>421</v>
      </c>
      <c r="N25" s="89" t="s">
        <v>422</v>
      </c>
      <c r="O25" s="31">
        <v>16</v>
      </c>
      <c r="P25" s="31" t="s">
        <v>178</v>
      </c>
      <c r="Q25" s="31" t="s">
        <v>417</v>
      </c>
      <c r="R25" s="31" t="s">
        <v>418</v>
      </c>
      <c r="S25" s="31" t="s">
        <v>419</v>
      </c>
      <c r="T25" s="31" t="s">
        <v>178</v>
      </c>
      <c r="U25" s="31" t="s">
        <v>178</v>
      </c>
      <c r="V25" s="31" t="s">
        <v>178</v>
      </c>
      <c r="W25" s="31" t="s">
        <v>178</v>
      </c>
      <c r="X25" s="31" t="s">
        <v>178</v>
      </c>
      <c r="Y25" s="31" t="s">
        <v>178</v>
      </c>
      <c r="Z25" s="31" t="s">
        <v>178</v>
      </c>
      <c r="AA25" s="95">
        <v>16</v>
      </c>
      <c r="AB25" s="95">
        <v>15</v>
      </c>
      <c r="AC25" s="95">
        <v>0.7</v>
      </c>
      <c r="AD25" s="95">
        <v>0.3</v>
      </c>
      <c r="AE25" s="31">
        <v>1.2</v>
      </c>
      <c r="AF25" s="31">
        <v>28</v>
      </c>
      <c r="AG25" s="31" t="s">
        <v>178</v>
      </c>
      <c r="AH25" s="31" t="s">
        <v>178</v>
      </c>
      <c r="AI25" s="31" t="s">
        <v>178</v>
      </c>
      <c r="AJ25" s="31" t="s">
        <v>178</v>
      </c>
      <c r="AK25" s="31" t="s">
        <v>178</v>
      </c>
      <c r="AL25" s="31" t="s">
        <v>420</v>
      </c>
      <c r="AM25" s="31" t="s">
        <v>178</v>
      </c>
      <c r="AN25" s="31" t="s">
        <v>187</v>
      </c>
      <c r="AO25" s="31" t="s">
        <v>178</v>
      </c>
      <c r="AP25" s="31" t="s">
        <v>178</v>
      </c>
      <c r="AQ25" s="31" t="s">
        <v>178</v>
      </c>
      <c r="AR25" s="31" t="s">
        <v>178</v>
      </c>
      <c r="AS25" s="31" t="s">
        <v>178</v>
      </c>
    </row>
    <row r="26" spans="5:45" s="31" customFormat="1" ht="15" customHeight="1">
      <c r="E26" s="31" t="s">
        <v>412</v>
      </c>
      <c r="F26" s="31" t="s">
        <v>172</v>
      </c>
      <c r="G26" s="31" t="s">
        <v>413</v>
      </c>
      <c r="H26" s="31" t="s">
        <v>414</v>
      </c>
      <c r="I26" s="31" t="s">
        <v>79</v>
      </c>
      <c r="J26" s="31" t="s">
        <v>175</v>
      </c>
      <c r="K26" s="31" t="s">
        <v>195</v>
      </c>
      <c r="L26" s="31" t="s">
        <v>335</v>
      </c>
      <c r="M26" s="89" t="s">
        <v>421</v>
      </c>
      <c r="N26" s="89" t="s">
        <v>422</v>
      </c>
      <c r="O26" s="31">
        <v>16</v>
      </c>
      <c r="P26" s="31" t="s">
        <v>178</v>
      </c>
      <c r="Q26" s="31" t="s">
        <v>417</v>
      </c>
      <c r="R26" s="31" t="s">
        <v>418</v>
      </c>
      <c r="S26" s="31" t="s">
        <v>419</v>
      </c>
      <c r="T26" s="31" t="s">
        <v>178</v>
      </c>
      <c r="U26" s="31" t="s">
        <v>178</v>
      </c>
      <c r="V26" s="31" t="s">
        <v>178</v>
      </c>
      <c r="W26" s="31" t="s">
        <v>178</v>
      </c>
      <c r="X26" s="31" t="s">
        <v>178</v>
      </c>
      <c r="Y26" s="31" t="s">
        <v>178</v>
      </c>
      <c r="Z26" s="31" t="s">
        <v>178</v>
      </c>
      <c r="AA26" s="95">
        <v>16</v>
      </c>
      <c r="AB26" s="95">
        <v>15</v>
      </c>
      <c r="AC26" s="95">
        <v>0.7</v>
      </c>
      <c r="AD26" s="95">
        <v>0.3</v>
      </c>
      <c r="AE26" s="31">
        <v>1.2</v>
      </c>
      <c r="AF26" s="31">
        <v>28</v>
      </c>
      <c r="AG26" s="31" t="s">
        <v>178</v>
      </c>
      <c r="AH26" s="31" t="s">
        <v>178</v>
      </c>
      <c r="AI26" s="31" t="s">
        <v>178</v>
      </c>
      <c r="AJ26" s="31" t="s">
        <v>178</v>
      </c>
      <c r="AK26" s="31" t="s">
        <v>178</v>
      </c>
      <c r="AL26" s="31" t="s">
        <v>420</v>
      </c>
      <c r="AM26" s="31" t="s">
        <v>178</v>
      </c>
      <c r="AN26" s="31" t="s">
        <v>187</v>
      </c>
      <c r="AO26" s="31" t="s">
        <v>178</v>
      </c>
      <c r="AP26" s="31" t="s">
        <v>178</v>
      </c>
      <c r="AQ26" s="31" t="s">
        <v>178</v>
      </c>
      <c r="AR26" s="31" t="s">
        <v>178</v>
      </c>
      <c r="AS26" s="31" t="s">
        <v>178</v>
      </c>
    </row>
    <row r="27" spans="5:45" s="31" customFormat="1" ht="15" customHeight="1">
      <c r="M27" s="89"/>
      <c r="N27" s="89"/>
    </row>
    <row r="28" spans="5:45" s="31" customFormat="1" ht="15" customHeight="1">
      <c r="E28" s="31" t="s">
        <v>423</v>
      </c>
      <c r="F28" s="31" t="s">
        <v>172</v>
      </c>
      <c r="G28" s="31" t="s">
        <v>424</v>
      </c>
      <c r="H28" s="31" t="s">
        <v>178</v>
      </c>
      <c r="I28" s="31" t="s">
        <v>79</v>
      </c>
      <c r="J28" s="31" t="s">
        <v>175</v>
      </c>
      <c r="K28" s="31" t="s">
        <v>176</v>
      </c>
      <c r="L28" s="31" t="s">
        <v>335</v>
      </c>
      <c r="M28" s="31" t="s">
        <v>425</v>
      </c>
      <c r="N28" s="89" t="s">
        <v>178</v>
      </c>
      <c r="O28" s="31">
        <v>16</v>
      </c>
      <c r="P28" s="31" t="s">
        <v>178</v>
      </c>
      <c r="Q28" s="31" t="s">
        <v>426</v>
      </c>
      <c r="R28" s="31" t="s">
        <v>427</v>
      </c>
      <c r="S28" s="31" t="s">
        <v>428</v>
      </c>
      <c r="T28" s="31" t="s">
        <v>178</v>
      </c>
      <c r="U28" s="31" t="s">
        <v>178</v>
      </c>
      <c r="V28" s="31" t="s">
        <v>178</v>
      </c>
      <c r="W28" s="31" t="s">
        <v>429</v>
      </c>
      <c r="X28" s="31" t="s">
        <v>362</v>
      </c>
      <c r="Y28" s="31" t="s">
        <v>430</v>
      </c>
      <c r="Z28" s="31" t="s">
        <v>178</v>
      </c>
      <c r="AA28" s="31" t="s">
        <v>178</v>
      </c>
      <c r="AB28" s="31" t="s">
        <v>178</v>
      </c>
      <c r="AC28" s="31" t="s">
        <v>178</v>
      </c>
      <c r="AD28" s="31" t="s">
        <v>178</v>
      </c>
      <c r="AE28" s="31" t="s">
        <v>178</v>
      </c>
      <c r="AF28" s="31">
        <v>28</v>
      </c>
      <c r="AG28" s="31" t="s">
        <v>178</v>
      </c>
      <c r="AH28" s="31" t="s">
        <v>431</v>
      </c>
      <c r="AI28" s="31" t="s">
        <v>432</v>
      </c>
      <c r="AJ28" s="31" t="s">
        <v>178</v>
      </c>
      <c r="AK28" s="31" t="s">
        <v>178</v>
      </c>
      <c r="AL28" s="31" t="s">
        <v>420</v>
      </c>
      <c r="AM28" s="31" t="s">
        <v>178</v>
      </c>
      <c r="AN28" s="31" t="s">
        <v>187</v>
      </c>
      <c r="AO28" s="31" t="s">
        <v>178</v>
      </c>
      <c r="AP28" s="31" t="s">
        <v>178</v>
      </c>
      <c r="AQ28" s="31" t="s">
        <v>178</v>
      </c>
      <c r="AR28" s="31" t="s">
        <v>178</v>
      </c>
      <c r="AS28" s="31" t="s">
        <v>178</v>
      </c>
    </row>
    <row r="29" spans="5:45" s="31" customFormat="1" ht="15" customHeight="1">
      <c r="E29" s="31" t="s">
        <v>423</v>
      </c>
      <c r="F29" s="31" t="s">
        <v>172</v>
      </c>
      <c r="G29" s="31" t="s">
        <v>424</v>
      </c>
      <c r="H29" s="31" t="s">
        <v>178</v>
      </c>
      <c r="I29" s="31" t="s">
        <v>79</v>
      </c>
      <c r="J29" s="31" t="s">
        <v>175</v>
      </c>
      <c r="K29" s="31" t="s">
        <v>189</v>
      </c>
      <c r="L29" s="31" t="s">
        <v>335</v>
      </c>
      <c r="M29" s="31" t="s">
        <v>425</v>
      </c>
      <c r="N29" s="89" t="s">
        <v>178</v>
      </c>
      <c r="O29" s="31">
        <v>16</v>
      </c>
      <c r="P29" s="31" t="s">
        <v>178</v>
      </c>
      <c r="Q29" s="31" t="s">
        <v>426</v>
      </c>
      <c r="R29" s="31" t="s">
        <v>427</v>
      </c>
      <c r="S29" s="31" t="s">
        <v>428</v>
      </c>
      <c r="T29" s="31" t="s">
        <v>178</v>
      </c>
      <c r="U29" s="31" t="s">
        <v>178</v>
      </c>
      <c r="V29" s="31" t="s">
        <v>178</v>
      </c>
      <c r="W29" s="31" t="s">
        <v>429</v>
      </c>
      <c r="X29" s="31" t="s">
        <v>362</v>
      </c>
      <c r="Y29" s="31" t="s">
        <v>430</v>
      </c>
      <c r="Z29" s="31" t="s">
        <v>178</v>
      </c>
      <c r="AA29" s="31" t="s">
        <v>178</v>
      </c>
      <c r="AB29" s="31" t="s">
        <v>178</v>
      </c>
      <c r="AC29" s="31" t="s">
        <v>178</v>
      </c>
      <c r="AD29" s="31" t="s">
        <v>178</v>
      </c>
      <c r="AE29" s="31" t="s">
        <v>178</v>
      </c>
      <c r="AF29" s="31">
        <v>28</v>
      </c>
      <c r="AG29" s="31" t="s">
        <v>178</v>
      </c>
      <c r="AH29" s="31" t="s">
        <v>431</v>
      </c>
      <c r="AI29" s="31" t="s">
        <v>432</v>
      </c>
      <c r="AJ29" s="31" t="s">
        <v>178</v>
      </c>
      <c r="AK29" s="31" t="s">
        <v>178</v>
      </c>
      <c r="AL29" s="31" t="s">
        <v>420</v>
      </c>
      <c r="AM29" s="31" t="s">
        <v>178</v>
      </c>
      <c r="AN29" s="31" t="s">
        <v>187</v>
      </c>
      <c r="AO29" s="31" t="s">
        <v>178</v>
      </c>
      <c r="AP29" s="31" t="s">
        <v>178</v>
      </c>
      <c r="AQ29" s="31" t="s">
        <v>178</v>
      </c>
      <c r="AR29" s="31" t="s">
        <v>178</v>
      </c>
      <c r="AS29" s="31" t="s">
        <v>178</v>
      </c>
    </row>
    <row r="30" spans="5:45" s="31" customFormat="1" ht="15" customHeight="1">
      <c r="E30" s="31" t="s">
        <v>423</v>
      </c>
      <c r="F30" s="31" t="s">
        <v>172</v>
      </c>
      <c r="G30" s="31" t="s">
        <v>424</v>
      </c>
      <c r="H30" s="31" t="s">
        <v>178</v>
      </c>
      <c r="I30" s="31" t="s">
        <v>79</v>
      </c>
      <c r="J30" s="31" t="s">
        <v>175</v>
      </c>
      <c r="K30" s="31" t="s">
        <v>191</v>
      </c>
      <c r="L30" s="31" t="s">
        <v>335</v>
      </c>
      <c r="M30" s="31" t="s">
        <v>425</v>
      </c>
      <c r="N30" s="89" t="s">
        <v>178</v>
      </c>
      <c r="O30" s="31">
        <v>16</v>
      </c>
      <c r="P30" s="31" t="s">
        <v>178</v>
      </c>
      <c r="Q30" s="31" t="s">
        <v>426</v>
      </c>
      <c r="R30" s="31" t="s">
        <v>427</v>
      </c>
      <c r="S30" s="31" t="s">
        <v>428</v>
      </c>
      <c r="T30" s="31" t="s">
        <v>178</v>
      </c>
      <c r="U30" s="31" t="s">
        <v>178</v>
      </c>
      <c r="V30" s="31" t="s">
        <v>178</v>
      </c>
      <c r="W30" s="31" t="s">
        <v>429</v>
      </c>
      <c r="X30" s="31" t="s">
        <v>362</v>
      </c>
      <c r="Y30" s="31" t="s">
        <v>430</v>
      </c>
      <c r="Z30" s="31" t="s">
        <v>178</v>
      </c>
      <c r="AA30" s="31" t="s">
        <v>178</v>
      </c>
      <c r="AB30" s="31" t="s">
        <v>178</v>
      </c>
      <c r="AC30" s="31" t="s">
        <v>178</v>
      </c>
      <c r="AD30" s="31" t="s">
        <v>178</v>
      </c>
      <c r="AE30" s="31" t="s">
        <v>178</v>
      </c>
      <c r="AF30" s="31">
        <v>28</v>
      </c>
      <c r="AG30" s="31" t="s">
        <v>178</v>
      </c>
      <c r="AH30" s="31" t="s">
        <v>431</v>
      </c>
      <c r="AI30" s="31" t="s">
        <v>432</v>
      </c>
      <c r="AJ30" s="31" t="s">
        <v>178</v>
      </c>
      <c r="AK30" s="31" t="s">
        <v>178</v>
      </c>
      <c r="AL30" s="31" t="s">
        <v>420</v>
      </c>
      <c r="AM30" s="31" t="s">
        <v>178</v>
      </c>
      <c r="AN30" s="31" t="s">
        <v>187</v>
      </c>
      <c r="AO30" s="31" t="s">
        <v>178</v>
      </c>
      <c r="AP30" s="31" t="s">
        <v>178</v>
      </c>
      <c r="AQ30" s="31" t="s">
        <v>178</v>
      </c>
      <c r="AR30" s="31" t="s">
        <v>178</v>
      </c>
      <c r="AS30" s="31" t="s">
        <v>178</v>
      </c>
    </row>
    <row r="31" spans="5:45" s="31" customFormat="1" ht="15" customHeight="1">
      <c r="E31" s="31" t="s">
        <v>423</v>
      </c>
      <c r="F31" s="31" t="s">
        <v>172</v>
      </c>
      <c r="G31" s="31" t="s">
        <v>424</v>
      </c>
      <c r="H31" s="31" t="s">
        <v>178</v>
      </c>
      <c r="I31" s="31" t="s">
        <v>79</v>
      </c>
      <c r="J31" s="31" t="s">
        <v>175</v>
      </c>
      <c r="K31" s="31" t="s">
        <v>193</v>
      </c>
      <c r="L31" s="31" t="s">
        <v>335</v>
      </c>
      <c r="M31" s="31" t="s">
        <v>425</v>
      </c>
      <c r="N31" s="89" t="s">
        <v>178</v>
      </c>
      <c r="O31" s="31">
        <v>16</v>
      </c>
      <c r="P31" s="31" t="s">
        <v>178</v>
      </c>
      <c r="Q31" s="31" t="s">
        <v>426</v>
      </c>
      <c r="R31" s="31" t="s">
        <v>427</v>
      </c>
      <c r="S31" s="31" t="s">
        <v>428</v>
      </c>
      <c r="T31" s="31" t="s">
        <v>178</v>
      </c>
      <c r="U31" s="31" t="s">
        <v>178</v>
      </c>
      <c r="V31" s="31" t="s">
        <v>178</v>
      </c>
      <c r="W31" s="31" t="s">
        <v>429</v>
      </c>
      <c r="X31" s="31" t="s">
        <v>362</v>
      </c>
      <c r="Y31" s="31" t="s">
        <v>430</v>
      </c>
      <c r="Z31" s="31" t="s">
        <v>178</v>
      </c>
      <c r="AA31" s="31" t="s">
        <v>178</v>
      </c>
      <c r="AB31" s="31" t="s">
        <v>178</v>
      </c>
      <c r="AC31" s="31" t="s">
        <v>178</v>
      </c>
      <c r="AD31" s="31" t="s">
        <v>178</v>
      </c>
      <c r="AE31" s="31" t="s">
        <v>178</v>
      </c>
      <c r="AF31" s="31">
        <v>28</v>
      </c>
      <c r="AG31" s="31" t="s">
        <v>178</v>
      </c>
      <c r="AH31" s="31" t="s">
        <v>431</v>
      </c>
      <c r="AI31" s="31" t="s">
        <v>432</v>
      </c>
      <c r="AJ31" s="31" t="s">
        <v>178</v>
      </c>
      <c r="AK31" s="31" t="s">
        <v>178</v>
      </c>
      <c r="AL31" s="31" t="s">
        <v>420</v>
      </c>
      <c r="AM31" s="31" t="s">
        <v>178</v>
      </c>
      <c r="AN31" s="31" t="s">
        <v>187</v>
      </c>
      <c r="AO31" s="31" t="s">
        <v>178</v>
      </c>
      <c r="AP31" s="31" t="s">
        <v>178</v>
      </c>
      <c r="AQ31" s="31" t="s">
        <v>178</v>
      </c>
      <c r="AR31" s="31" t="s">
        <v>178</v>
      </c>
      <c r="AS31" s="31" t="s">
        <v>178</v>
      </c>
    </row>
    <row r="32" spans="5:45" s="31" customFormat="1" ht="15" customHeight="1">
      <c r="E32" s="31" t="s">
        <v>423</v>
      </c>
      <c r="F32" s="31" t="s">
        <v>172</v>
      </c>
      <c r="G32" s="31" t="s">
        <v>424</v>
      </c>
      <c r="H32" s="31" t="s">
        <v>178</v>
      </c>
      <c r="I32" s="31" t="s">
        <v>79</v>
      </c>
      <c r="J32" s="31" t="s">
        <v>175</v>
      </c>
      <c r="K32" s="31" t="s">
        <v>195</v>
      </c>
      <c r="L32" s="31" t="s">
        <v>335</v>
      </c>
      <c r="M32" s="31" t="s">
        <v>425</v>
      </c>
      <c r="N32" s="89" t="s">
        <v>178</v>
      </c>
      <c r="O32" s="31">
        <v>16</v>
      </c>
      <c r="P32" s="31" t="s">
        <v>178</v>
      </c>
      <c r="Q32" s="31" t="s">
        <v>426</v>
      </c>
      <c r="R32" s="31" t="s">
        <v>427</v>
      </c>
      <c r="S32" s="31" t="s">
        <v>428</v>
      </c>
      <c r="T32" s="31" t="s">
        <v>178</v>
      </c>
      <c r="U32" s="31" t="s">
        <v>178</v>
      </c>
      <c r="V32" s="31" t="s">
        <v>178</v>
      </c>
      <c r="W32" s="31" t="s">
        <v>429</v>
      </c>
      <c r="X32" s="31" t="s">
        <v>362</v>
      </c>
      <c r="Y32" s="31" t="s">
        <v>430</v>
      </c>
      <c r="Z32" s="31" t="s">
        <v>178</v>
      </c>
      <c r="AA32" s="31" t="s">
        <v>178</v>
      </c>
      <c r="AB32" s="31" t="s">
        <v>178</v>
      </c>
      <c r="AC32" s="31" t="s">
        <v>178</v>
      </c>
      <c r="AD32" s="31" t="s">
        <v>178</v>
      </c>
      <c r="AE32" s="31" t="s">
        <v>178</v>
      </c>
      <c r="AF32" s="31">
        <v>28</v>
      </c>
      <c r="AG32" s="31" t="s">
        <v>178</v>
      </c>
      <c r="AH32" s="31" t="s">
        <v>431</v>
      </c>
      <c r="AI32" s="31" t="s">
        <v>432</v>
      </c>
      <c r="AJ32" s="31" t="s">
        <v>178</v>
      </c>
      <c r="AK32" s="31" t="s">
        <v>178</v>
      </c>
      <c r="AL32" s="31" t="s">
        <v>420</v>
      </c>
      <c r="AM32" s="31" t="s">
        <v>178</v>
      </c>
      <c r="AN32" s="31" t="s">
        <v>187</v>
      </c>
      <c r="AO32" s="31" t="s">
        <v>178</v>
      </c>
      <c r="AP32" s="31" t="s">
        <v>178</v>
      </c>
      <c r="AQ32" s="31" t="s">
        <v>178</v>
      </c>
      <c r="AR32" s="31" t="s">
        <v>178</v>
      </c>
      <c r="AS32" s="31" t="s">
        <v>178</v>
      </c>
    </row>
    <row r="33" spans="5:45" s="31" customFormat="1" ht="15" customHeight="1">
      <c r="M33" s="89"/>
      <c r="N33" s="89"/>
    </row>
    <row r="34" spans="5:45" s="31" customFormat="1" ht="15" customHeight="1">
      <c r="E34" s="31" t="s">
        <v>433</v>
      </c>
      <c r="F34" s="31" t="s">
        <v>172</v>
      </c>
      <c r="G34" s="31" t="s">
        <v>424</v>
      </c>
      <c r="H34" s="31" t="s">
        <v>434</v>
      </c>
      <c r="I34" s="31" t="s">
        <v>79</v>
      </c>
      <c r="J34" s="31" t="s">
        <v>333</v>
      </c>
      <c r="K34" s="31" t="s">
        <v>435</v>
      </c>
      <c r="L34" s="31" t="s">
        <v>335</v>
      </c>
      <c r="M34" s="31" t="s">
        <v>425</v>
      </c>
      <c r="N34" s="31" t="s">
        <v>178</v>
      </c>
      <c r="O34" s="31">
        <v>16</v>
      </c>
      <c r="P34" s="31" t="s">
        <v>178</v>
      </c>
      <c r="Q34" s="31" t="s">
        <v>426</v>
      </c>
      <c r="R34" s="31" t="s">
        <v>436</v>
      </c>
      <c r="S34" s="31" t="s">
        <v>428</v>
      </c>
      <c r="T34" s="31" t="s">
        <v>178</v>
      </c>
      <c r="U34" s="31" t="s">
        <v>178</v>
      </c>
      <c r="V34" s="31" t="s">
        <v>178</v>
      </c>
      <c r="W34" s="31" t="s">
        <v>178</v>
      </c>
      <c r="X34" s="31" t="s">
        <v>178</v>
      </c>
      <c r="Z34" s="31" t="s">
        <v>178</v>
      </c>
      <c r="AA34" s="31" t="s">
        <v>178</v>
      </c>
      <c r="AB34" s="31" t="s">
        <v>178</v>
      </c>
      <c r="AC34" s="31" t="s">
        <v>178</v>
      </c>
      <c r="AD34" s="31" t="s">
        <v>178</v>
      </c>
      <c r="AE34" s="31" t="s">
        <v>178</v>
      </c>
      <c r="AF34" s="31" t="s">
        <v>178</v>
      </c>
      <c r="AG34" s="31" t="s">
        <v>437</v>
      </c>
      <c r="AH34" s="31" t="s">
        <v>438</v>
      </c>
      <c r="AI34" s="31" t="s">
        <v>178</v>
      </c>
      <c r="AJ34" s="31" t="s">
        <v>178</v>
      </c>
      <c r="AK34" s="31" t="s">
        <v>178</v>
      </c>
      <c r="AL34" s="31" t="s">
        <v>178</v>
      </c>
      <c r="AM34" s="31" t="s">
        <v>178</v>
      </c>
      <c r="AN34" s="31" t="s">
        <v>187</v>
      </c>
      <c r="AO34" s="31" t="s">
        <v>178</v>
      </c>
      <c r="AP34" s="31" t="s">
        <v>178</v>
      </c>
      <c r="AQ34" s="31" t="s">
        <v>178</v>
      </c>
      <c r="AR34" s="31" t="s">
        <v>178</v>
      </c>
      <c r="AS34" s="31" t="s">
        <v>178</v>
      </c>
    </row>
    <row r="35" spans="5:45" s="31" customFormat="1" ht="15" customHeight="1"/>
    <row r="36" spans="5:45" s="31" customFormat="1" ht="15" customHeight="1">
      <c r="E36" s="31" t="s">
        <v>439</v>
      </c>
      <c r="F36" s="31" t="s">
        <v>377</v>
      </c>
      <c r="G36" s="31" t="s">
        <v>440</v>
      </c>
      <c r="H36" s="31" t="s">
        <v>379</v>
      </c>
      <c r="I36" s="31" t="s">
        <v>79</v>
      </c>
      <c r="J36" s="31" t="s">
        <v>380</v>
      </c>
      <c r="K36" s="31" t="s">
        <v>381</v>
      </c>
      <c r="L36" s="31" t="s">
        <v>335</v>
      </c>
      <c r="M36" s="89" t="s">
        <v>382</v>
      </c>
      <c r="N36" s="89" t="s">
        <v>383</v>
      </c>
      <c r="O36" s="31">
        <v>16</v>
      </c>
      <c r="P36" s="31" t="s">
        <v>178</v>
      </c>
      <c r="Q36" s="31" t="s">
        <v>441</v>
      </c>
      <c r="R36" s="86" t="s">
        <v>385</v>
      </c>
      <c r="S36" s="31" t="s">
        <v>428</v>
      </c>
      <c r="T36" s="31" t="s">
        <v>442</v>
      </c>
      <c r="U36" s="31">
        <v>65</v>
      </c>
      <c r="V36" s="31" t="s">
        <v>178</v>
      </c>
      <c r="W36" s="31" t="s">
        <v>178</v>
      </c>
      <c r="X36" s="31" t="s">
        <v>178</v>
      </c>
      <c r="Z36" s="33">
        <v>0.9</v>
      </c>
      <c r="AA36" s="31" t="s">
        <v>178</v>
      </c>
      <c r="AB36" s="31" t="s">
        <v>178</v>
      </c>
      <c r="AC36" s="31" t="s">
        <v>178</v>
      </c>
      <c r="AD36" s="31" t="s">
        <v>178</v>
      </c>
      <c r="AE36" s="31" t="s">
        <v>178</v>
      </c>
      <c r="AF36" s="31" t="s">
        <v>178</v>
      </c>
      <c r="AH36" s="31" t="s">
        <v>390</v>
      </c>
      <c r="AI36" s="31" t="s">
        <v>443</v>
      </c>
      <c r="AJ36" s="31" t="s">
        <v>444</v>
      </c>
      <c r="AK36" s="31" t="s">
        <v>178</v>
      </c>
      <c r="AL36" s="31" t="s">
        <v>393</v>
      </c>
      <c r="AM36" s="31" t="s">
        <v>178</v>
      </c>
      <c r="AN36" s="31" t="s">
        <v>187</v>
      </c>
      <c r="AO36" s="31" t="s">
        <v>394</v>
      </c>
      <c r="AP36" s="31" t="s">
        <v>178</v>
      </c>
      <c r="AQ36" s="31" t="s">
        <v>178</v>
      </c>
      <c r="AR36" s="31" t="s">
        <v>178</v>
      </c>
    </row>
    <row r="37" spans="5:45" s="31" customFormat="1" ht="15" customHeight="1">
      <c r="E37" s="31" t="s">
        <v>439</v>
      </c>
      <c r="F37" s="31" t="s">
        <v>377</v>
      </c>
      <c r="G37" s="31" t="s">
        <v>440</v>
      </c>
      <c r="H37" s="31" t="s">
        <v>379</v>
      </c>
      <c r="I37" s="31" t="s">
        <v>79</v>
      </c>
      <c r="J37" s="31" t="s">
        <v>380</v>
      </c>
      <c r="K37" s="31" t="s">
        <v>395</v>
      </c>
      <c r="L37" s="31" t="s">
        <v>335</v>
      </c>
      <c r="M37" s="89" t="s">
        <v>382</v>
      </c>
      <c r="N37" s="89" t="s">
        <v>383</v>
      </c>
      <c r="O37" s="31">
        <v>16</v>
      </c>
      <c r="P37" s="31" t="s">
        <v>178</v>
      </c>
      <c r="Q37" s="31" t="s">
        <v>441</v>
      </c>
      <c r="R37" s="86" t="s">
        <v>385</v>
      </c>
      <c r="S37" s="31" t="s">
        <v>428</v>
      </c>
      <c r="T37" s="31" t="s">
        <v>442</v>
      </c>
      <c r="U37" s="31">
        <v>65</v>
      </c>
      <c r="V37" s="31" t="s">
        <v>178</v>
      </c>
      <c r="W37" s="31" t="s">
        <v>178</v>
      </c>
      <c r="X37" s="31" t="s">
        <v>178</v>
      </c>
      <c r="Z37" s="33">
        <v>0.9</v>
      </c>
      <c r="AA37" s="31" t="s">
        <v>178</v>
      </c>
      <c r="AB37" s="31" t="s">
        <v>178</v>
      </c>
      <c r="AC37" s="31" t="s">
        <v>178</v>
      </c>
      <c r="AD37" s="31" t="s">
        <v>178</v>
      </c>
      <c r="AE37" s="31" t="s">
        <v>178</v>
      </c>
      <c r="AF37" s="31" t="s">
        <v>178</v>
      </c>
      <c r="AH37" s="31" t="s">
        <v>390</v>
      </c>
      <c r="AI37" s="31" t="s">
        <v>443</v>
      </c>
      <c r="AJ37" s="31" t="s">
        <v>444</v>
      </c>
      <c r="AK37" s="31" t="s">
        <v>178</v>
      </c>
      <c r="AL37" s="31" t="s">
        <v>393</v>
      </c>
      <c r="AM37" s="31" t="s">
        <v>178</v>
      </c>
      <c r="AN37" s="31" t="s">
        <v>187</v>
      </c>
      <c r="AO37" s="31" t="s">
        <v>394</v>
      </c>
      <c r="AP37" s="31" t="s">
        <v>178</v>
      </c>
      <c r="AQ37" s="31" t="s">
        <v>178</v>
      </c>
      <c r="AR37" s="31" t="s">
        <v>178</v>
      </c>
    </row>
    <row r="38" spans="5:45" s="31" customFormat="1" ht="15" customHeight="1">
      <c r="E38" s="31" t="s">
        <v>439</v>
      </c>
      <c r="F38" s="31" t="s">
        <v>377</v>
      </c>
      <c r="G38" s="31" t="s">
        <v>440</v>
      </c>
      <c r="H38" s="31" t="s">
        <v>379</v>
      </c>
      <c r="I38" s="31" t="s">
        <v>79</v>
      </c>
      <c r="J38" s="31" t="s">
        <v>380</v>
      </c>
      <c r="K38" s="31" t="s">
        <v>396</v>
      </c>
      <c r="L38" s="31" t="s">
        <v>335</v>
      </c>
      <c r="M38" s="89" t="s">
        <v>382</v>
      </c>
      <c r="N38" s="89" t="s">
        <v>383</v>
      </c>
      <c r="O38" s="31">
        <v>16</v>
      </c>
      <c r="P38" s="31" t="s">
        <v>178</v>
      </c>
      <c r="Q38" s="31" t="s">
        <v>441</v>
      </c>
      <c r="R38" s="86" t="s">
        <v>385</v>
      </c>
      <c r="S38" s="31" t="s">
        <v>428</v>
      </c>
      <c r="T38" s="31" t="s">
        <v>442</v>
      </c>
      <c r="U38" s="31">
        <v>65</v>
      </c>
      <c r="V38" s="31" t="s">
        <v>178</v>
      </c>
      <c r="W38" s="31" t="s">
        <v>178</v>
      </c>
      <c r="X38" s="31" t="s">
        <v>178</v>
      </c>
      <c r="Z38" s="33">
        <v>0.9</v>
      </c>
      <c r="AA38" s="31" t="s">
        <v>178</v>
      </c>
      <c r="AB38" s="31" t="s">
        <v>178</v>
      </c>
      <c r="AC38" s="31" t="s">
        <v>178</v>
      </c>
      <c r="AD38" s="31" t="s">
        <v>178</v>
      </c>
      <c r="AE38" s="31" t="s">
        <v>178</v>
      </c>
      <c r="AF38" s="31" t="s">
        <v>178</v>
      </c>
      <c r="AH38" s="31" t="s">
        <v>390</v>
      </c>
      <c r="AI38" s="31" t="s">
        <v>443</v>
      </c>
      <c r="AJ38" s="31" t="s">
        <v>444</v>
      </c>
      <c r="AK38" s="31" t="s">
        <v>178</v>
      </c>
      <c r="AL38" s="31" t="s">
        <v>393</v>
      </c>
      <c r="AM38" s="31" t="s">
        <v>178</v>
      </c>
      <c r="AN38" s="31" t="s">
        <v>187</v>
      </c>
      <c r="AO38" s="31" t="s">
        <v>394</v>
      </c>
      <c r="AP38" s="31" t="s">
        <v>178</v>
      </c>
      <c r="AQ38" s="31" t="s">
        <v>178</v>
      </c>
      <c r="AR38" s="31" t="s">
        <v>178</v>
      </c>
    </row>
    <row r="39" spans="5:45" s="31" customFormat="1" ht="15" customHeight="1">
      <c r="E39" s="31" t="s">
        <v>439</v>
      </c>
      <c r="F39" s="31" t="s">
        <v>377</v>
      </c>
      <c r="G39" s="31" t="s">
        <v>440</v>
      </c>
      <c r="H39" s="31" t="s">
        <v>379</v>
      </c>
      <c r="I39" s="31" t="s">
        <v>79</v>
      </c>
      <c r="J39" s="31" t="s">
        <v>380</v>
      </c>
      <c r="K39" s="31" t="s">
        <v>397</v>
      </c>
      <c r="L39" s="31" t="s">
        <v>335</v>
      </c>
      <c r="M39" s="89" t="s">
        <v>382</v>
      </c>
      <c r="N39" s="89" t="s">
        <v>383</v>
      </c>
      <c r="O39" s="31">
        <v>16</v>
      </c>
      <c r="P39" s="31" t="s">
        <v>178</v>
      </c>
      <c r="Q39" s="31" t="s">
        <v>441</v>
      </c>
      <c r="R39" s="86" t="s">
        <v>385</v>
      </c>
      <c r="S39" s="31" t="s">
        <v>428</v>
      </c>
      <c r="T39" s="31" t="s">
        <v>442</v>
      </c>
      <c r="U39" s="31">
        <v>65</v>
      </c>
      <c r="V39" s="31" t="s">
        <v>178</v>
      </c>
      <c r="W39" s="31" t="s">
        <v>178</v>
      </c>
      <c r="X39" s="31" t="s">
        <v>178</v>
      </c>
      <c r="Z39" s="33">
        <v>0.9</v>
      </c>
      <c r="AA39" s="31" t="s">
        <v>178</v>
      </c>
      <c r="AB39" s="31" t="s">
        <v>178</v>
      </c>
      <c r="AC39" s="31" t="s">
        <v>178</v>
      </c>
      <c r="AD39" s="31" t="s">
        <v>178</v>
      </c>
      <c r="AE39" s="31" t="s">
        <v>178</v>
      </c>
      <c r="AF39" s="31" t="s">
        <v>178</v>
      </c>
      <c r="AH39" s="31" t="s">
        <v>390</v>
      </c>
      <c r="AI39" s="31" t="s">
        <v>443</v>
      </c>
      <c r="AJ39" s="31" t="s">
        <v>444</v>
      </c>
      <c r="AK39" s="31" t="s">
        <v>178</v>
      </c>
      <c r="AL39" s="31" t="s">
        <v>393</v>
      </c>
      <c r="AM39" s="31" t="s">
        <v>178</v>
      </c>
      <c r="AN39" s="31" t="s">
        <v>187</v>
      </c>
      <c r="AO39" s="31" t="s">
        <v>394</v>
      </c>
      <c r="AP39" s="31" t="s">
        <v>178</v>
      </c>
      <c r="AQ39" s="31" t="s">
        <v>178</v>
      </c>
      <c r="AR39" s="31" t="s">
        <v>178</v>
      </c>
    </row>
    <row r="40" spans="5:45" s="31" customFormat="1" ht="15" customHeight="1">
      <c r="E40" s="31" t="s">
        <v>439</v>
      </c>
      <c r="F40" s="31" t="s">
        <v>377</v>
      </c>
      <c r="G40" s="31" t="s">
        <v>440</v>
      </c>
      <c r="H40" s="31" t="s">
        <v>379</v>
      </c>
      <c r="I40" s="31" t="s">
        <v>79</v>
      </c>
      <c r="J40" s="31" t="s">
        <v>380</v>
      </c>
      <c r="K40" s="31" t="s">
        <v>398</v>
      </c>
      <c r="L40" s="31" t="s">
        <v>335</v>
      </c>
      <c r="M40" s="89" t="s">
        <v>382</v>
      </c>
      <c r="N40" s="89" t="s">
        <v>383</v>
      </c>
      <c r="O40" s="31">
        <v>16</v>
      </c>
      <c r="P40" s="31" t="s">
        <v>178</v>
      </c>
      <c r="Q40" s="31" t="s">
        <v>441</v>
      </c>
      <c r="R40" s="86" t="s">
        <v>385</v>
      </c>
      <c r="S40" s="31" t="s">
        <v>428</v>
      </c>
      <c r="T40" s="31" t="s">
        <v>442</v>
      </c>
      <c r="U40" s="31">
        <v>65</v>
      </c>
      <c r="V40" s="31" t="s">
        <v>178</v>
      </c>
      <c r="W40" s="31" t="s">
        <v>178</v>
      </c>
      <c r="X40" s="31" t="s">
        <v>178</v>
      </c>
      <c r="Z40" s="33">
        <v>0.9</v>
      </c>
      <c r="AA40" s="31" t="s">
        <v>178</v>
      </c>
      <c r="AB40" s="31" t="s">
        <v>178</v>
      </c>
      <c r="AC40" s="31" t="s">
        <v>178</v>
      </c>
      <c r="AD40" s="31" t="s">
        <v>178</v>
      </c>
      <c r="AE40" s="31" t="s">
        <v>178</v>
      </c>
      <c r="AF40" s="31" t="s">
        <v>178</v>
      </c>
      <c r="AH40" s="31" t="s">
        <v>390</v>
      </c>
      <c r="AI40" s="31" t="s">
        <v>443</v>
      </c>
      <c r="AJ40" s="31" t="s">
        <v>444</v>
      </c>
      <c r="AK40" s="31" t="s">
        <v>178</v>
      </c>
      <c r="AL40" s="31" t="s">
        <v>393</v>
      </c>
      <c r="AM40" s="31" t="s">
        <v>178</v>
      </c>
      <c r="AN40" s="31" t="s">
        <v>187</v>
      </c>
      <c r="AO40" s="31" t="s">
        <v>394</v>
      </c>
      <c r="AP40" s="31" t="s">
        <v>178</v>
      </c>
      <c r="AQ40" s="31" t="s">
        <v>178</v>
      </c>
      <c r="AR40" s="31" t="s">
        <v>178</v>
      </c>
    </row>
    <row r="41" spans="5:45" s="31" customFormat="1" ht="15" customHeight="1">
      <c r="E41" s="31" t="s">
        <v>439</v>
      </c>
      <c r="F41" s="31" t="s">
        <v>377</v>
      </c>
      <c r="G41" s="31" t="s">
        <v>440</v>
      </c>
      <c r="H41" s="31" t="s">
        <v>379</v>
      </c>
      <c r="I41" s="31" t="s">
        <v>79</v>
      </c>
      <c r="J41" s="31" t="s">
        <v>380</v>
      </c>
      <c r="K41" s="31" t="s">
        <v>399</v>
      </c>
      <c r="L41" s="31" t="s">
        <v>335</v>
      </c>
      <c r="M41" s="89" t="s">
        <v>382</v>
      </c>
      <c r="N41" s="89" t="s">
        <v>383</v>
      </c>
      <c r="O41" s="31">
        <v>16</v>
      </c>
      <c r="P41" s="31" t="s">
        <v>178</v>
      </c>
      <c r="Q41" s="31" t="s">
        <v>441</v>
      </c>
      <c r="R41" s="86" t="s">
        <v>385</v>
      </c>
      <c r="S41" s="31" t="s">
        <v>428</v>
      </c>
      <c r="T41" s="31" t="s">
        <v>442</v>
      </c>
      <c r="U41" s="31">
        <v>65</v>
      </c>
      <c r="V41" s="31" t="s">
        <v>178</v>
      </c>
      <c r="W41" s="31" t="s">
        <v>178</v>
      </c>
      <c r="X41" s="31" t="s">
        <v>178</v>
      </c>
      <c r="Z41" s="33">
        <v>0.9</v>
      </c>
      <c r="AA41" s="31" t="s">
        <v>178</v>
      </c>
      <c r="AB41" s="31" t="s">
        <v>178</v>
      </c>
      <c r="AC41" s="31" t="s">
        <v>178</v>
      </c>
      <c r="AD41" s="31" t="s">
        <v>178</v>
      </c>
      <c r="AE41" s="31" t="s">
        <v>178</v>
      </c>
      <c r="AF41" s="31" t="s">
        <v>178</v>
      </c>
      <c r="AH41" s="31" t="s">
        <v>390</v>
      </c>
      <c r="AI41" s="31" t="s">
        <v>443</v>
      </c>
      <c r="AJ41" s="31" t="s">
        <v>444</v>
      </c>
      <c r="AK41" s="31" t="s">
        <v>178</v>
      </c>
      <c r="AL41" s="31" t="s">
        <v>393</v>
      </c>
      <c r="AM41" s="31" t="s">
        <v>178</v>
      </c>
      <c r="AN41" s="31" t="s">
        <v>187</v>
      </c>
      <c r="AO41" s="31" t="s">
        <v>394</v>
      </c>
      <c r="AP41" s="31" t="s">
        <v>178</v>
      </c>
      <c r="AQ41" s="31" t="s">
        <v>178</v>
      </c>
      <c r="AR41" s="31" t="s">
        <v>178</v>
      </c>
    </row>
    <row r="42" spans="5:45" s="31" customFormat="1" ht="15" customHeight="1">
      <c r="E42" s="31" t="s">
        <v>439</v>
      </c>
      <c r="F42" s="31" t="s">
        <v>377</v>
      </c>
      <c r="G42" s="31" t="s">
        <v>440</v>
      </c>
      <c r="H42" s="31" t="s">
        <v>379</v>
      </c>
      <c r="I42" s="31" t="s">
        <v>79</v>
      </c>
      <c r="J42" s="31" t="s">
        <v>380</v>
      </c>
      <c r="K42" s="31" t="s">
        <v>400</v>
      </c>
      <c r="L42" s="31" t="s">
        <v>335</v>
      </c>
      <c r="M42" s="89" t="s">
        <v>382</v>
      </c>
      <c r="N42" s="89" t="s">
        <v>383</v>
      </c>
      <c r="O42" s="31">
        <v>16</v>
      </c>
      <c r="P42" s="31" t="s">
        <v>178</v>
      </c>
      <c r="Q42" s="31" t="s">
        <v>441</v>
      </c>
      <c r="R42" s="86" t="s">
        <v>385</v>
      </c>
      <c r="S42" s="31" t="s">
        <v>428</v>
      </c>
      <c r="T42" s="31" t="s">
        <v>442</v>
      </c>
      <c r="U42" s="31">
        <v>65</v>
      </c>
      <c r="V42" s="31" t="s">
        <v>178</v>
      </c>
      <c r="W42" s="31" t="s">
        <v>178</v>
      </c>
      <c r="X42" s="31" t="s">
        <v>178</v>
      </c>
      <c r="Z42" s="33">
        <v>0.9</v>
      </c>
      <c r="AA42" s="31" t="s">
        <v>178</v>
      </c>
      <c r="AB42" s="31" t="s">
        <v>178</v>
      </c>
      <c r="AC42" s="31" t="s">
        <v>178</v>
      </c>
      <c r="AD42" s="31" t="s">
        <v>178</v>
      </c>
      <c r="AE42" s="31" t="s">
        <v>178</v>
      </c>
      <c r="AF42" s="31" t="s">
        <v>178</v>
      </c>
      <c r="AH42" s="31" t="s">
        <v>390</v>
      </c>
      <c r="AI42" s="31" t="s">
        <v>443</v>
      </c>
      <c r="AJ42" s="31" t="s">
        <v>444</v>
      </c>
      <c r="AK42" s="31" t="s">
        <v>178</v>
      </c>
      <c r="AL42" s="31" t="s">
        <v>393</v>
      </c>
      <c r="AM42" s="31" t="s">
        <v>178</v>
      </c>
      <c r="AN42" s="31" t="s">
        <v>187</v>
      </c>
      <c r="AO42" s="31" t="s">
        <v>394</v>
      </c>
      <c r="AP42" s="31" t="s">
        <v>178</v>
      </c>
      <c r="AQ42" s="31" t="s">
        <v>178</v>
      </c>
      <c r="AR42" s="31" t="s">
        <v>178</v>
      </c>
    </row>
    <row r="43" spans="5:45" s="31" customFormat="1" ht="15" customHeight="1">
      <c r="E43" s="31" t="s">
        <v>439</v>
      </c>
      <c r="F43" s="31" t="s">
        <v>377</v>
      </c>
      <c r="G43" s="31" t="s">
        <v>440</v>
      </c>
      <c r="H43" s="31" t="s">
        <v>379</v>
      </c>
      <c r="I43" s="31" t="s">
        <v>79</v>
      </c>
      <c r="J43" s="31" t="s">
        <v>380</v>
      </c>
      <c r="K43" s="31" t="s">
        <v>401</v>
      </c>
      <c r="L43" s="31" t="s">
        <v>335</v>
      </c>
      <c r="M43" s="89" t="s">
        <v>382</v>
      </c>
      <c r="N43" s="89" t="s">
        <v>383</v>
      </c>
      <c r="O43" s="31">
        <v>16</v>
      </c>
      <c r="P43" s="31" t="s">
        <v>178</v>
      </c>
      <c r="Q43" s="31" t="s">
        <v>441</v>
      </c>
      <c r="R43" s="86" t="s">
        <v>385</v>
      </c>
      <c r="S43" s="31" t="s">
        <v>428</v>
      </c>
      <c r="T43" s="31" t="s">
        <v>442</v>
      </c>
      <c r="U43" s="31">
        <v>65</v>
      </c>
      <c r="V43" s="31" t="s">
        <v>178</v>
      </c>
      <c r="W43" s="31" t="s">
        <v>178</v>
      </c>
      <c r="X43" s="31" t="s">
        <v>178</v>
      </c>
      <c r="Z43" s="33">
        <v>0.9</v>
      </c>
      <c r="AA43" s="31" t="s">
        <v>178</v>
      </c>
      <c r="AB43" s="31" t="s">
        <v>178</v>
      </c>
      <c r="AC43" s="31" t="s">
        <v>178</v>
      </c>
      <c r="AD43" s="31" t="s">
        <v>178</v>
      </c>
      <c r="AE43" s="31" t="s">
        <v>178</v>
      </c>
      <c r="AF43" s="31" t="s">
        <v>178</v>
      </c>
      <c r="AH43" s="31" t="s">
        <v>390</v>
      </c>
      <c r="AI43" s="31" t="s">
        <v>443</v>
      </c>
      <c r="AJ43" s="31" t="s">
        <v>444</v>
      </c>
      <c r="AK43" s="31" t="s">
        <v>178</v>
      </c>
      <c r="AL43" s="31" t="s">
        <v>393</v>
      </c>
      <c r="AM43" s="31" t="s">
        <v>178</v>
      </c>
      <c r="AN43" s="31" t="s">
        <v>187</v>
      </c>
      <c r="AO43" s="31" t="s">
        <v>394</v>
      </c>
      <c r="AP43" s="31" t="s">
        <v>178</v>
      </c>
      <c r="AQ43" s="31" t="s">
        <v>178</v>
      </c>
      <c r="AR43" s="31" t="s">
        <v>178</v>
      </c>
    </row>
    <row r="44" spans="5:45" s="31" customFormat="1" ht="15" customHeight="1">
      <c r="E44" s="31" t="s">
        <v>439</v>
      </c>
      <c r="F44" s="31" t="s">
        <v>377</v>
      </c>
      <c r="G44" s="31" t="s">
        <v>440</v>
      </c>
      <c r="H44" s="31" t="s">
        <v>379</v>
      </c>
      <c r="I44" s="31" t="s">
        <v>79</v>
      </c>
      <c r="J44" s="31" t="s">
        <v>380</v>
      </c>
      <c r="K44" s="31" t="s">
        <v>402</v>
      </c>
      <c r="L44" s="31" t="s">
        <v>335</v>
      </c>
      <c r="M44" s="89" t="s">
        <v>403</v>
      </c>
      <c r="N44" s="89" t="s">
        <v>404</v>
      </c>
      <c r="O44" s="31">
        <v>16</v>
      </c>
      <c r="P44" s="31" t="s">
        <v>178</v>
      </c>
      <c r="Q44" s="31" t="s">
        <v>441</v>
      </c>
      <c r="R44" s="86" t="s">
        <v>385</v>
      </c>
      <c r="S44" s="31" t="s">
        <v>428</v>
      </c>
      <c r="T44" s="31" t="s">
        <v>442</v>
      </c>
      <c r="U44" s="31">
        <v>65</v>
      </c>
      <c r="V44" s="31" t="s">
        <v>178</v>
      </c>
      <c r="W44" s="31" t="s">
        <v>178</v>
      </c>
      <c r="X44" s="31" t="s">
        <v>178</v>
      </c>
      <c r="Z44" s="33">
        <v>0.9</v>
      </c>
      <c r="AA44" s="31" t="s">
        <v>178</v>
      </c>
      <c r="AB44" s="31" t="s">
        <v>178</v>
      </c>
      <c r="AC44" s="31" t="s">
        <v>178</v>
      </c>
      <c r="AD44" s="31" t="s">
        <v>178</v>
      </c>
      <c r="AE44" s="31" t="s">
        <v>178</v>
      </c>
      <c r="AF44" s="31" t="s">
        <v>178</v>
      </c>
      <c r="AH44" s="31" t="s">
        <v>390</v>
      </c>
      <c r="AI44" s="31" t="s">
        <v>443</v>
      </c>
      <c r="AJ44" s="31" t="s">
        <v>444</v>
      </c>
      <c r="AK44" s="31" t="s">
        <v>178</v>
      </c>
      <c r="AL44" s="31" t="s">
        <v>393</v>
      </c>
      <c r="AM44" s="31" t="s">
        <v>178</v>
      </c>
      <c r="AN44" s="31" t="s">
        <v>187</v>
      </c>
      <c r="AO44" s="31" t="s">
        <v>394</v>
      </c>
      <c r="AP44" s="31" t="s">
        <v>178</v>
      </c>
      <c r="AQ44" s="31" t="s">
        <v>178</v>
      </c>
      <c r="AR44" s="31" t="s">
        <v>178</v>
      </c>
    </row>
    <row r="45" spans="5:45" s="31" customFormat="1" ht="15" customHeight="1">
      <c r="E45" s="31" t="s">
        <v>439</v>
      </c>
      <c r="F45" s="31" t="s">
        <v>377</v>
      </c>
      <c r="G45" s="31" t="s">
        <v>440</v>
      </c>
      <c r="H45" s="31" t="s">
        <v>379</v>
      </c>
      <c r="I45" s="31" t="s">
        <v>79</v>
      </c>
      <c r="J45" s="31" t="s">
        <v>380</v>
      </c>
      <c r="K45" s="31" t="s">
        <v>405</v>
      </c>
      <c r="L45" s="31" t="s">
        <v>335</v>
      </c>
      <c r="M45" s="89" t="s">
        <v>403</v>
      </c>
      <c r="N45" s="89" t="s">
        <v>404</v>
      </c>
      <c r="O45" s="31">
        <v>16</v>
      </c>
      <c r="P45" s="31" t="s">
        <v>178</v>
      </c>
      <c r="Q45" s="31" t="s">
        <v>441</v>
      </c>
      <c r="R45" s="86" t="s">
        <v>385</v>
      </c>
      <c r="S45" s="31" t="s">
        <v>428</v>
      </c>
      <c r="T45" s="31" t="s">
        <v>442</v>
      </c>
      <c r="U45" s="31">
        <v>65</v>
      </c>
      <c r="V45" s="31" t="s">
        <v>178</v>
      </c>
      <c r="W45" s="31" t="s">
        <v>178</v>
      </c>
      <c r="X45" s="31" t="s">
        <v>178</v>
      </c>
      <c r="Z45" s="33">
        <v>0.9</v>
      </c>
      <c r="AA45" s="31" t="s">
        <v>178</v>
      </c>
      <c r="AB45" s="31" t="s">
        <v>178</v>
      </c>
      <c r="AC45" s="31" t="s">
        <v>178</v>
      </c>
      <c r="AD45" s="31" t="s">
        <v>178</v>
      </c>
      <c r="AE45" s="31" t="s">
        <v>178</v>
      </c>
      <c r="AF45" s="31" t="s">
        <v>178</v>
      </c>
      <c r="AH45" s="31" t="s">
        <v>390</v>
      </c>
      <c r="AI45" s="31" t="s">
        <v>443</v>
      </c>
      <c r="AJ45" s="31" t="s">
        <v>444</v>
      </c>
      <c r="AK45" s="31" t="s">
        <v>178</v>
      </c>
      <c r="AL45" s="31" t="s">
        <v>393</v>
      </c>
      <c r="AM45" s="31" t="s">
        <v>178</v>
      </c>
      <c r="AN45" s="31" t="s">
        <v>187</v>
      </c>
      <c r="AO45" s="31" t="s">
        <v>394</v>
      </c>
      <c r="AP45" s="31" t="s">
        <v>178</v>
      </c>
      <c r="AQ45" s="31" t="s">
        <v>178</v>
      </c>
      <c r="AR45" s="31" t="s">
        <v>178</v>
      </c>
    </row>
    <row r="46" spans="5:45" s="31" customFormat="1" ht="15" customHeight="1">
      <c r="E46" s="31" t="s">
        <v>439</v>
      </c>
      <c r="F46" s="31" t="s">
        <v>377</v>
      </c>
      <c r="G46" s="31" t="s">
        <v>440</v>
      </c>
      <c r="H46" s="31" t="s">
        <v>379</v>
      </c>
      <c r="I46" s="31" t="s">
        <v>79</v>
      </c>
      <c r="J46" s="31" t="s">
        <v>380</v>
      </c>
      <c r="K46" s="31" t="s">
        <v>406</v>
      </c>
      <c r="L46" s="31" t="s">
        <v>335</v>
      </c>
      <c r="M46" s="89" t="s">
        <v>403</v>
      </c>
      <c r="N46" s="89" t="s">
        <v>404</v>
      </c>
      <c r="O46" s="31">
        <v>16</v>
      </c>
      <c r="P46" s="31" t="s">
        <v>178</v>
      </c>
      <c r="Q46" s="31" t="s">
        <v>441</v>
      </c>
      <c r="R46" s="86" t="s">
        <v>385</v>
      </c>
      <c r="S46" s="31" t="s">
        <v>428</v>
      </c>
      <c r="T46" s="31" t="s">
        <v>442</v>
      </c>
      <c r="U46" s="31">
        <v>65</v>
      </c>
      <c r="V46" s="31" t="s">
        <v>178</v>
      </c>
      <c r="W46" s="31" t="s">
        <v>178</v>
      </c>
      <c r="X46" s="31" t="s">
        <v>178</v>
      </c>
      <c r="Z46" s="33">
        <v>0.9</v>
      </c>
      <c r="AA46" s="31" t="s">
        <v>178</v>
      </c>
      <c r="AB46" s="31" t="s">
        <v>178</v>
      </c>
      <c r="AC46" s="31" t="s">
        <v>178</v>
      </c>
      <c r="AD46" s="31" t="s">
        <v>178</v>
      </c>
      <c r="AE46" s="31" t="s">
        <v>178</v>
      </c>
      <c r="AF46" s="31" t="s">
        <v>178</v>
      </c>
      <c r="AH46" s="31" t="s">
        <v>390</v>
      </c>
      <c r="AI46" s="31" t="s">
        <v>443</v>
      </c>
      <c r="AJ46" s="31" t="s">
        <v>444</v>
      </c>
      <c r="AK46" s="31" t="s">
        <v>178</v>
      </c>
      <c r="AL46" s="31" t="s">
        <v>393</v>
      </c>
      <c r="AM46" s="31" t="s">
        <v>178</v>
      </c>
      <c r="AN46" s="31" t="s">
        <v>187</v>
      </c>
      <c r="AO46" s="31" t="s">
        <v>394</v>
      </c>
      <c r="AP46" s="31" t="s">
        <v>178</v>
      </c>
      <c r="AQ46" s="31" t="s">
        <v>178</v>
      </c>
      <c r="AR46" s="31" t="s">
        <v>178</v>
      </c>
    </row>
    <row r="47" spans="5:45" s="31" customFormat="1" ht="15" customHeight="1">
      <c r="E47" s="31" t="s">
        <v>439</v>
      </c>
      <c r="F47" s="31" t="s">
        <v>377</v>
      </c>
      <c r="G47" s="31" t="s">
        <v>440</v>
      </c>
      <c r="H47" s="31" t="s">
        <v>379</v>
      </c>
      <c r="I47" s="31" t="s">
        <v>79</v>
      </c>
      <c r="J47" s="31" t="s">
        <v>380</v>
      </c>
      <c r="K47" s="31" t="s">
        <v>407</v>
      </c>
      <c r="L47" s="31" t="s">
        <v>335</v>
      </c>
      <c r="M47" s="89" t="s">
        <v>403</v>
      </c>
      <c r="N47" s="89" t="s">
        <v>404</v>
      </c>
      <c r="O47" s="31">
        <v>16</v>
      </c>
      <c r="P47" s="31" t="s">
        <v>178</v>
      </c>
      <c r="Q47" s="31" t="s">
        <v>441</v>
      </c>
      <c r="R47" s="86" t="s">
        <v>385</v>
      </c>
      <c r="S47" s="31" t="s">
        <v>428</v>
      </c>
      <c r="T47" s="31" t="s">
        <v>442</v>
      </c>
      <c r="U47" s="31">
        <v>65</v>
      </c>
      <c r="V47" s="31" t="s">
        <v>178</v>
      </c>
      <c r="W47" s="31" t="s">
        <v>178</v>
      </c>
      <c r="X47" s="31" t="s">
        <v>178</v>
      </c>
      <c r="Z47" s="33">
        <v>0.9</v>
      </c>
      <c r="AA47" s="31" t="s">
        <v>178</v>
      </c>
      <c r="AB47" s="31" t="s">
        <v>178</v>
      </c>
      <c r="AC47" s="31" t="s">
        <v>178</v>
      </c>
      <c r="AD47" s="31" t="s">
        <v>178</v>
      </c>
      <c r="AE47" s="31" t="s">
        <v>178</v>
      </c>
      <c r="AF47" s="31" t="s">
        <v>178</v>
      </c>
      <c r="AH47" s="31" t="s">
        <v>390</v>
      </c>
      <c r="AI47" s="31" t="s">
        <v>443</v>
      </c>
      <c r="AJ47" s="31" t="s">
        <v>444</v>
      </c>
      <c r="AK47" s="31" t="s">
        <v>178</v>
      </c>
      <c r="AL47" s="31" t="s">
        <v>393</v>
      </c>
      <c r="AM47" s="31" t="s">
        <v>178</v>
      </c>
      <c r="AN47" s="31" t="s">
        <v>187</v>
      </c>
      <c r="AO47" s="31" t="s">
        <v>394</v>
      </c>
      <c r="AP47" s="31" t="s">
        <v>178</v>
      </c>
      <c r="AQ47" s="31" t="s">
        <v>178</v>
      </c>
      <c r="AR47" s="31" t="s">
        <v>178</v>
      </c>
    </row>
    <row r="48" spans="5:45" s="31" customFormat="1" ht="15" customHeight="1">
      <c r="E48" s="31" t="s">
        <v>439</v>
      </c>
      <c r="F48" s="31" t="s">
        <v>377</v>
      </c>
      <c r="G48" s="31" t="s">
        <v>440</v>
      </c>
      <c r="H48" s="31" t="s">
        <v>379</v>
      </c>
      <c r="I48" s="31" t="s">
        <v>79</v>
      </c>
      <c r="J48" s="31" t="s">
        <v>380</v>
      </c>
      <c r="K48" s="31" t="s">
        <v>408</v>
      </c>
      <c r="L48" s="31" t="s">
        <v>335</v>
      </c>
      <c r="M48" s="89" t="s">
        <v>403</v>
      </c>
      <c r="N48" s="89" t="s">
        <v>404</v>
      </c>
      <c r="O48" s="31">
        <v>16</v>
      </c>
      <c r="P48" s="31" t="s">
        <v>178</v>
      </c>
      <c r="Q48" s="31" t="s">
        <v>441</v>
      </c>
      <c r="R48" s="86" t="s">
        <v>385</v>
      </c>
      <c r="S48" s="31" t="s">
        <v>428</v>
      </c>
      <c r="T48" s="31" t="s">
        <v>442</v>
      </c>
      <c r="U48" s="31">
        <v>65</v>
      </c>
      <c r="V48" s="31" t="s">
        <v>178</v>
      </c>
      <c r="W48" s="31" t="s">
        <v>178</v>
      </c>
      <c r="X48" s="31" t="s">
        <v>178</v>
      </c>
      <c r="Z48" s="33">
        <v>0.9</v>
      </c>
      <c r="AA48" s="31" t="s">
        <v>178</v>
      </c>
      <c r="AB48" s="31" t="s">
        <v>178</v>
      </c>
      <c r="AC48" s="31" t="s">
        <v>178</v>
      </c>
      <c r="AD48" s="31" t="s">
        <v>178</v>
      </c>
      <c r="AE48" s="31" t="s">
        <v>178</v>
      </c>
      <c r="AF48" s="31" t="s">
        <v>178</v>
      </c>
      <c r="AH48" s="31" t="s">
        <v>390</v>
      </c>
      <c r="AI48" s="31" t="s">
        <v>443</v>
      </c>
      <c r="AJ48" s="31" t="s">
        <v>444</v>
      </c>
      <c r="AK48" s="31" t="s">
        <v>178</v>
      </c>
      <c r="AL48" s="31" t="s">
        <v>393</v>
      </c>
      <c r="AM48" s="31" t="s">
        <v>178</v>
      </c>
      <c r="AN48" s="31" t="s">
        <v>187</v>
      </c>
      <c r="AO48" s="31" t="s">
        <v>394</v>
      </c>
      <c r="AP48" s="31" t="s">
        <v>178</v>
      </c>
      <c r="AQ48" s="31" t="s">
        <v>178</v>
      </c>
      <c r="AR48" s="31" t="s">
        <v>178</v>
      </c>
    </row>
    <row r="49" spans="5:45" s="31" customFormat="1" ht="15" customHeight="1">
      <c r="E49" s="31" t="s">
        <v>439</v>
      </c>
      <c r="F49" s="31" t="s">
        <v>377</v>
      </c>
      <c r="G49" s="31" t="s">
        <v>440</v>
      </c>
      <c r="H49" s="31" t="s">
        <v>379</v>
      </c>
      <c r="I49" s="31" t="s">
        <v>79</v>
      </c>
      <c r="J49" s="31" t="s">
        <v>380</v>
      </c>
      <c r="K49" s="31" t="s">
        <v>409</v>
      </c>
      <c r="L49" s="31" t="s">
        <v>335</v>
      </c>
      <c r="M49" s="89" t="s">
        <v>403</v>
      </c>
      <c r="N49" s="89" t="s">
        <v>404</v>
      </c>
      <c r="O49" s="31">
        <v>16</v>
      </c>
      <c r="P49" s="31" t="s">
        <v>178</v>
      </c>
      <c r="Q49" s="31" t="s">
        <v>441</v>
      </c>
      <c r="R49" s="86" t="s">
        <v>385</v>
      </c>
      <c r="S49" s="31" t="s">
        <v>428</v>
      </c>
      <c r="T49" s="31" t="s">
        <v>442</v>
      </c>
      <c r="U49" s="31">
        <v>65</v>
      </c>
      <c r="V49" s="31" t="s">
        <v>178</v>
      </c>
      <c r="W49" s="31" t="s">
        <v>178</v>
      </c>
      <c r="X49" s="31" t="s">
        <v>178</v>
      </c>
      <c r="Z49" s="33">
        <v>0.9</v>
      </c>
      <c r="AA49" s="31" t="s">
        <v>178</v>
      </c>
      <c r="AB49" s="31" t="s">
        <v>178</v>
      </c>
      <c r="AC49" s="31" t="s">
        <v>178</v>
      </c>
      <c r="AD49" s="31" t="s">
        <v>178</v>
      </c>
      <c r="AE49" s="31" t="s">
        <v>178</v>
      </c>
      <c r="AF49" s="31" t="s">
        <v>178</v>
      </c>
      <c r="AH49" s="31" t="s">
        <v>390</v>
      </c>
      <c r="AI49" s="31" t="s">
        <v>443</v>
      </c>
      <c r="AJ49" s="31" t="s">
        <v>444</v>
      </c>
      <c r="AK49" s="31" t="s">
        <v>178</v>
      </c>
      <c r="AL49" s="31" t="s">
        <v>393</v>
      </c>
      <c r="AM49" s="31" t="s">
        <v>178</v>
      </c>
      <c r="AN49" s="31" t="s">
        <v>187</v>
      </c>
      <c r="AO49" s="31" t="s">
        <v>394</v>
      </c>
      <c r="AP49" s="31" t="s">
        <v>178</v>
      </c>
      <c r="AQ49" s="31" t="s">
        <v>178</v>
      </c>
      <c r="AR49" s="31" t="s">
        <v>178</v>
      </c>
    </row>
    <row r="50" spans="5:45" s="31" customFormat="1" ht="15" customHeight="1">
      <c r="E50" s="31" t="s">
        <v>439</v>
      </c>
      <c r="F50" s="31" t="s">
        <v>377</v>
      </c>
      <c r="G50" s="31" t="s">
        <v>440</v>
      </c>
      <c r="H50" s="31" t="s">
        <v>379</v>
      </c>
      <c r="I50" s="31" t="s">
        <v>79</v>
      </c>
      <c r="J50" s="31" t="s">
        <v>380</v>
      </c>
      <c r="K50" s="31" t="s">
        <v>410</v>
      </c>
      <c r="L50" s="31" t="s">
        <v>335</v>
      </c>
      <c r="M50" s="89" t="s">
        <v>403</v>
      </c>
      <c r="N50" s="89" t="s">
        <v>404</v>
      </c>
      <c r="O50" s="31">
        <v>16</v>
      </c>
      <c r="P50" s="31" t="s">
        <v>178</v>
      </c>
      <c r="Q50" s="31" t="s">
        <v>441</v>
      </c>
      <c r="R50" s="86" t="s">
        <v>385</v>
      </c>
      <c r="S50" s="31" t="s">
        <v>428</v>
      </c>
      <c r="T50" s="31" t="s">
        <v>442</v>
      </c>
      <c r="U50" s="31">
        <v>65</v>
      </c>
      <c r="V50" s="31" t="s">
        <v>178</v>
      </c>
      <c r="W50" s="31" t="s">
        <v>178</v>
      </c>
      <c r="X50" s="31" t="s">
        <v>178</v>
      </c>
      <c r="Z50" s="33">
        <v>0.9</v>
      </c>
      <c r="AA50" s="31" t="s">
        <v>178</v>
      </c>
      <c r="AB50" s="31" t="s">
        <v>178</v>
      </c>
      <c r="AC50" s="31" t="s">
        <v>178</v>
      </c>
      <c r="AD50" s="31" t="s">
        <v>178</v>
      </c>
      <c r="AE50" s="31" t="s">
        <v>178</v>
      </c>
      <c r="AF50" s="31" t="s">
        <v>178</v>
      </c>
      <c r="AH50" s="31" t="s">
        <v>390</v>
      </c>
      <c r="AI50" s="31" t="s">
        <v>443</v>
      </c>
      <c r="AJ50" s="31" t="s">
        <v>444</v>
      </c>
      <c r="AK50" s="31" t="s">
        <v>178</v>
      </c>
      <c r="AL50" s="31" t="s">
        <v>393</v>
      </c>
      <c r="AM50" s="31" t="s">
        <v>178</v>
      </c>
      <c r="AN50" s="31" t="s">
        <v>187</v>
      </c>
      <c r="AO50" s="31" t="s">
        <v>394</v>
      </c>
      <c r="AP50" s="31" t="s">
        <v>178</v>
      </c>
      <c r="AQ50" s="31" t="s">
        <v>178</v>
      </c>
      <c r="AR50" s="31" t="s">
        <v>178</v>
      </c>
    </row>
    <row r="51" spans="5:45" s="31" customFormat="1" ht="15" customHeight="1">
      <c r="E51" s="31" t="s">
        <v>439</v>
      </c>
      <c r="F51" s="31" t="s">
        <v>377</v>
      </c>
      <c r="G51" s="31" t="s">
        <v>440</v>
      </c>
      <c r="H51" s="31" t="s">
        <v>379</v>
      </c>
      <c r="I51" s="31" t="s">
        <v>79</v>
      </c>
      <c r="J51" s="31" t="s">
        <v>380</v>
      </c>
      <c r="K51" s="31" t="s">
        <v>411</v>
      </c>
      <c r="L51" s="31" t="s">
        <v>335</v>
      </c>
      <c r="M51" s="89" t="s">
        <v>403</v>
      </c>
      <c r="N51" s="89" t="s">
        <v>404</v>
      </c>
      <c r="O51" s="31">
        <v>16</v>
      </c>
      <c r="P51" s="31" t="s">
        <v>178</v>
      </c>
      <c r="Q51" s="31" t="s">
        <v>441</v>
      </c>
      <c r="R51" s="86" t="s">
        <v>385</v>
      </c>
      <c r="S51" s="31" t="s">
        <v>428</v>
      </c>
      <c r="T51" s="31" t="s">
        <v>442</v>
      </c>
      <c r="U51" s="31">
        <v>65</v>
      </c>
      <c r="V51" s="31" t="s">
        <v>178</v>
      </c>
      <c r="W51" s="31" t="s">
        <v>178</v>
      </c>
      <c r="X51" s="31" t="s">
        <v>178</v>
      </c>
      <c r="Z51" s="33">
        <v>0.9</v>
      </c>
      <c r="AA51" s="31" t="s">
        <v>178</v>
      </c>
      <c r="AB51" s="31" t="s">
        <v>178</v>
      </c>
      <c r="AC51" s="31" t="s">
        <v>178</v>
      </c>
      <c r="AD51" s="31" t="s">
        <v>178</v>
      </c>
      <c r="AE51" s="31" t="s">
        <v>178</v>
      </c>
      <c r="AF51" s="31" t="s">
        <v>178</v>
      </c>
      <c r="AH51" s="31" t="s">
        <v>390</v>
      </c>
      <c r="AI51" s="31" t="s">
        <v>443</v>
      </c>
      <c r="AJ51" s="31" t="s">
        <v>444</v>
      </c>
      <c r="AK51" s="31" t="s">
        <v>178</v>
      </c>
      <c r="AL51" s="31" t="s">
        <v>393</v>
      </c>
      <c r="AM51" s="31" t="s">
        <v>178</v>
      </c>
      <c r="AN51" s="31" t="s">
        <v>187</v>
      </c>
      <c r="AO51" s="31" t="s">
        <v>394</v>
      </c>
      <c r="AP51" s="31">
        <v>3</v>
      </c>
      <c r="AQ51" s="31" t="s">
        <v>178</v>
      </c>
      <c r="AR51" s="31" t="s">
        <v>178</v>
      </c>
    </row>
    <row r="52" spans="5:45" s="31" customFormat="1" ht="15" customHeight="1">
      <c r="M52" s="89"/>
      <c r="N52" s="89"/>
      <c r="R52" s="86"/>
      <c r="AG52" s="33"/>
    </row>
    <row r="53" spans="5:45" s="31" customFormat="1" ht="15" customHeight="1">
      <c r="E53" s="31" t="s">
        <v>445</v>
      </c>
      <c r="F53" s="31" t="s">
        <v>172</v>
      </c>
      <c r="G53" s="31" t="s">
        <v>446</v>
      </c>
      <c r="H53" s="31" t="s">
        <v>414</v>
      </c>
      <c r="I53" s="31" t="s">
        <v>79</v>
      </c>
      <c r="J53" s="31" t="s">
        <v>175</v>
      </c>
      <c r="K53" s="31" t="s">
        <v>176</v>
      </c>
      <c r="L53" s="31" t="s">
        <v>335</v>
      </c>
      <c r="M53" s="89" t="s">
        <v>415</v>
      </c>
      <c r="N53" s="89" t="s">
        <v>416</v>
      </c>
      <c r="O53" s="31">
        <v>16</v>
      </c>
      <c r="P53" s="31" t="s">
        <v>178</v>
      </c>
      <c r="Q53" s="31" t="s">
        <v>417</v>
      </c>
      <c r="R53" s="31" t="s">
        <v>447</v>
      </c>
      <c r="S53" s="31" t="s">
        <v>442</v>
      </c>
      <c r="T53" s="31" t="s">
        <v>448</v>
      </c>
      <c r="U53" s="31" t="s">
        <v>178</v>
      </c>
      <c r="V53" s="31" t="s">
        <v>178</v>
      </c>
      <c r="W53" s="31" t="s">
        <v>178</v>
      </c>
      <c r="X53" s="31" t="s">
        <v>178</v>
      </c>
      <c r="Z53" s="31" t="s">
        <v>178</v>
      </c>
      <c r="AA53" s="95">
        <v>16.2</v>
      </c>
      <c r="AB53" s="95">
        <v>15.2</v>
      </c>
      <c r="AC53" s="95">
        <v>0.7</v>
      </c>
      <c r="AD53" s="95">
        <v>0.3</v>
      </c>
      <c r="AE53" s="31">
        <v>1.2</v>
      </c>
      <c r="AF53" s="31">
        <v>28</v>
      </c>
      <c r="AG53" s="31" t="s">
        <v>449</v>
      </c>
      <c r="AH53" s="31" t="s">
        <v>178</v>
      </c>
      <c r="AI53" s="31" t="s">
        <v>178</v>
      </c>
      <c r="AJ53" s="31" t="s">
        <v>178</v>
      </c>
      <c r="AK53" s="31" t="s">
        <v>178</v>
      </c>
      <c r="AL53" s="31" t="s">
        <v>420</v>
      </c>
      <c r="AM53" s="31" t="s">
        <v>178</v>
      </c>
      <c r="AN53" s="31" t="s">
        <v>450</v>
      </c>
      <c r="AO53" s="31" t="s">
        <v>451</v>
      </c>
      <c r="AP53" s="31" t="s">
        <v>178</v>
      </c>
      <c r="AQ53" s="31" t="s">
        <v>178</v>
      </c>
      <c r="AR53" s="31" t="s">
        <v>178</v>
      </c>
      <c r="AS53" s="31" t="s">
        <v>178</v>
      </c>
    </row>
    <row r="54" spans="5:45" s="31" customFormat="1" ht="15" customHeight="1">
      <c r="E54" s="31" t="s">
        <v>445</v>
      </c>
      <c r="F54" s="31" t="s">
        <v>172</v>
      </c>
      <c r="G54" s="31" t="s">
        <v>446</v>
      </c>
      <c r="H54" s="31" t="s">
        <v>414</v>
      </c>
      <c r="I54" s="31" t="s">
        <v>79</v>
      </c>
      <c r="J54" s="31" t="s">
        <v>175</v>
      </c>
      <c r="K54" s="31" t="s">
        <v>189</v>
      </c>
      <c r="L54" s="31" t="s">
        <v>335</v>
      </c>
      <c r="M54" s="89" t="s">
        <v>415</v>
      </c>
      <c r="N54" s="89" t="s">
        <v>416</v>
      </c>
      <c r="O54" s="31">
        <v>16</v>
      </c>
      <c r="P54" s="31" t="s">
        <v>178</v>
      </c>
      <c r="Q54" s="31" t="s">
        <v>417</v>
      </c>
      <c r="R54" s="31" t="s">
        <v>447</v>
      </c>
      <c r="S54" s="31" t="s">
        <v>442</v>
      </c>
      <c r="T54" s="31" t="s">
        <v>448</v>
      </c>
      <c r="U54" s="31" t="s">
        <v>178</v>
      </c>
      <c r="V54" s="31" t="s">
        <v>178</v>
      </c>
      <c r="W54" s="31" t="s">
        <v>178</v>
      </c>
      <c r="X54" s="31" t="s">
        <v>178</v>
      </c>
      <c r="Z54" s="31" t="s">
        <v>178</v>
      </c>
      <c r="AA54" s="95">
        <v>16.2</v>
      </c>
      <c r="AB54" s="95">
        <v>15.2</v>
      </c>
      <c r="AC54" s="95">
        <v>0.7</v>
      </c>
      <c r="AD54" s="95">
        <v>0.3</v>
      </c>
      <c r="AE54" s="31">
        <v>1.2</v>
      </c>
      <c r="AF54" s="31">
        <v>28</v>
      </c>
      <c r="AG54" s="31" t="s">
        <v>449</v>
      </c>
      <c r="AH54" s="31" t="s">
        <v>178</v>
      </c>
      <c r="AI54" s="31" t="s">
        <v>178</v>
      </c>
      <c r="AJ54" s="31" t="s">
        <v>178</v>
      </c>
      <c r="AK54" s="31" t="s">
        <v>178</v>
      </c>
      <c r="AL54" s="31" t="s">
        <v>420</v>
      </c>
      <c r="AM54" s="31" t="s">
        <v>178</v>
      </c>
      <c r="AN54" s="31" t="s">
        <v>450</v>
      </c>
      <c r="AO54" s="31" t="s">
        <v>451</v>
      </c>
      <c r="AP54" s="31" t="s">
        <v>178</v>
      </c>
      <c r="AQ54" s="31" t="s">
        <v>178</v>
      </c>
      <c r="AR54" s="31" t="s">
        <v>178</v>
      </c>
      <c r="AS54" s="31" t="s">
        <v>178</v>
      </c>
    </row>
    <row r="55" spans="5:45" s="31" customFormat="1" ht="15" customHeight="1">
      <c r="E55" s="31" t="s">
        <v>445</v>
      </c>
      <c r="F55" s="31" t="s">
        <v>172</v>
      </c>
      <c r="G55" s="31" t="s">
        <v>446</v>
      </c>
      <c r="H55" s="31" t="s">
        <v>414</v>
      </c>
      <c r="I55" s="31" t="s">
        <v>79</v>
      </c>
      <c r="J55" s="31" t="s">
        <v>175</v>
      </c>
      <c r="K55" s="31" t="s">
        <v>191</v>
      </c>
      <c r="L55" s="31" t="s">
        <v>335</v>
      </c>
      <c r="M55" s="89" t="s">
        <v>415</v>
      </c>
      <c r="N55" s="89" t="s">
        <v>416</v>
      </c>
      <c r="O55" s="31">
        <v>16</v>
      </c>
      <c r="P55" s="31" t="s">
        <v>178</v>
      </c>
      <c r="Q55" s="31" t="s">
        <v>417</v>
      </c>
      <c r="R55" s="31" t="s">
        <v>447</v>
      </c>
      <c r="S55" s="31" t="s">
        <v>442</v>
      </c>
      <c r="T55" s="31" t="s">
        <v>448</v>
      </c>
      <c r="U55" s="31" t="s">
        <v>178</v>
      </c>
      <c r="V55" s="31" t="s">
        <v>178</v>
      </c>
      <c r="W55" s="31" t="s">
        <v>178</v>
      </c>
      <c r="X55" s="31" t="s">
        <v>178</v>
      </c>
      <c r="Z55" s="31" t="s">
        <v>178</v>
      </c>
      <c r="AA55" s="95">
        <v>16.2</v>
      </c>
      <c r="AB55" s="95">
        <v>15.2</v>
      </c>
      <c r="AC55" s="95">
        <v>0.7</v>
      </c>
      <c r="AD55" s="95">
        <v>0.3</v>
      </c>
      <c r="AE55" s="31">
        <v>1.2</v>
      </c>
      <c r="AF55" s="31">
        <v>28</v>
      </c>
      <c r="AG55" s="31" t="s">
        <v>449</v>
      </c>
      <c r="AH55" s="31" t="s">
        <v>178</v>
      </c>
      <c r="AI55" s="31" t="s">
        <v>178</v>
      </c>
      <c r="AJ55" s="31" t="s">
        <v>178</v>
      </c>
      <c r="AK55" s="31" t="s">
        <v>178</v>
      </c>
      <c r="AL55" s="31" t="s">
        <v>420</v>
      </c>
      <c r="AM55" s="31" t="s">
        <v>178</v>
      </c>
      <c r="AN55" s="31" t="s">
        <v>450</v>
      </c>
      <c r="AO55" s="31" t="s">
        <v>451</v>
      </c>
      <c r="AP55" s="31" t="s">
        <v>178</v>
      </c>
      <c r="AQ55" s="31" t="s">
        <v>178</v>
      </c>
      <c r="AR55" s="31" t="s">
        <v>178</v>
      </c>
      <c r="AS55" s="31" t="s">
        <v>178</v>
      </c>
    </row>
    <row r="56" spans="5:45" s="31" customFormat="1" ht="15" customHeight="1">
      <c r="E56" s="31" t="s">
        <v>445</v>
      </c>
      <c r="F56" s="31" t="s">
        <v>172</v>
      </c>
      <c r="G56" s="31" t="s">
        <v>446</v>
      </c>
      <c r="H56" s="31" t="s">
        <v>414</v>
      </c>
      <c r="I56" s="31" t="s">
        <v>79</v>
      </c>
      <c r="J56" s="31" t="s">
        <v>175</v>
      </c>
      <c r="K56" s="31" t="s">
        <v>193</v>
      </c>
      <c r="L56" s="31" t="s">
        <v>335</v>
      </c>
      <c r="M56" s="89" t="s">
        <v>421</v>
      </c>
      <c r="N56" s="89" t="s">
        <v>422</v>
      </c>
      <c r="O56" s="31">
        <v>16</v>
      </c>
      <c r="P56" s="31" t="s">
        <v>178</v>
      </c>
      <c r="Q56" s="31" t="s">
        <v>417</v>
      </c>
      <c r="R56" s="31" t="s">
        <v>447</v>
      </c>
      <c r="S56" s="31" t="s">
        <v>442</v>
      </c>
      <c r="T56" s="31" t="s">
        <v>448</v>
      </c>
      <c r="U56" s="31" t="s">
        <v>178</v>
      </c>
      <c r="V56" s="31" t="s">
        <v>178</v>
      </c>
      <c r="W56" s="31" t="s">
        <v>178</v>
      </c>
      <c r="X56" s="31" t="s">
        <v>178</v>
      </c>
      <c r="Z56" s="31" t="s">
        <v>178</v>
      </c>
      <c r="AA56" s="95">
        <v>16.2</v>
      </c>
      <c r="AB56" s="95">
        <v>15.2</v>
      </c>
      <c r="AC56" s="95">
        <v>0.7</v>
      </c>
      <c r="AD56" s="95">
        <v>0.3</v>
      </c>
      <c r="AE56" s="31">
        <v>1.2</v>
      </c>
      <c r="AF56" s="31">
        <v>28</v>
      </c>
      <c r="AG56" s="31" t="s">
        <v>449</v>
      </c>
      <c r="AH56" s="31" t="s">
        <v>178</v>
      </c>
      <c r="AI56" s="31" t="s">
        <v>178</v>
      </c>
      <c r="AJ56" s="31" t="s">
        <v>178</v>
      </c>
      <c r="AK56" s="31" t="s">
        <v>178</v>
      </c>
      <c r="AL56" s="31" t="s">
        <v>420</v>
      </c>
      <c r="AM56" s="31" t="s">
        <v>178</v>
      </c>
      <c r="AN56" s="31" t="s">
        <v>450</v>
      </c>
      <c r="AO56" s="31" t="s">
        <v>451</v>
      </c>
      <c r="AP56" s="31" t="s">
        <v>178</v>
      </c>
      <c r="AQ56" s="31" t="s">
        <v>178</v>
      </c>
      <c r="AR56" s="31" t="s">
        <v>178</v>
      </c>
      <c r="AS56" s="31" t="s">
        <v>178</v>
      </c>
    </row>
    <row r="57" spans="5:45" s="31" customFormat="1" ht="15" customHeight="1">
      <c r="E57" s="31" t="s">
        <v>445</v>
      </c>
      <c r="F57" s="31" t="s">
        <v>172</v>
      </c>
      <c r="G57" s="31" t="s">
        <v>446</v>
      </c>
      <c r="H57" s="31" t="s">
        <v>414</v>
      </c>
      <c r="I57" s="31" t="s">
        <v>79</v>
      </c>
      <c r="J57" s="31" t="s">
        <v>175</v>
      </c>
      <c r="K57" s="31" t="s">
        <v>195</v>
      </c>
      <c r="L57" s="31" t="s">
        <v>335</v>
      </c>
      <c r="M57" s="89" t="s">
        <v>421</v>
      </c>
      <c r="N57" s="89" t="s">
        <v>422</v>
      </c>
      <c r="O57" s="31">
        <v>16</v>
      </c>
      <c r="P57" s="31" t="s">
        <v>178</v>
      </c>
      <c r="Q57" s="31" t="s">
        <v>417</v>
      </c>
      <c r="R57" s="31" t="s">
        <v>447</v>
      </c>
      <c r="S57" s="31" t="s">
        <v>442</v>
      </c>
      <c r="T57" s="31" t="s">
        <v>448</v>
      </c>
      <c r="U57" s="31" t="s">
        <v>178</v>
      </c>
      <c r="V57" s="31" t="s">
        <v>178</v>
      </c>
      <c r="W57" s="31" t="s">
        <v>178</v>
      </c>
      <c r="X57" s="31" t="s">
        <v>178</v>
      </c>
      <c r="Z57" s="31" t="s">
        <v>178</v>
      </c>
      <c r="AA57" s="95">
        <v>16.2</v>
      </c>
      <c r="AB57" s="95">
        <v>15.2</v>
      </c>
      <c r="AC57" s="95">
        <v>0.7</v>
      </c>
      <c r="AD57" s="95">
        <v>0.3</v>
      </c>
      <c r="AE57" s="31">
        <v>1.2</v>
      </c>
      <c r="AF57" s="31">
        <v>28</v>
      </c>
      <c r="AG57" s="31" t="s">
        <v>449</v>
      </c>
      <c r="AH57" s="31" t="s">
        <v>178</v>
      </c>
      <c r="AI57" s="31" t="s">
        <v>178</v>
      </c>
      <c r="AJ57" s="31" t="s">
        <v>178</v>
      </c>
      <c r="AK57" s="31" t="s">
        <v>178</v>
      </c>
      <c r="AL57" s="31" t="s">
        <v>420</v>
      </c>
      <c r="AM57" s="31" t="s">
        <v>178</v>
      </c>
      <c r="AN57" s="31" t="s">
        <v>450</v>
      </c>
      <c r="AO57" s="31" t="s">
        <v>451</v>
      </c>
      <c r="AP57" s="31" t="s">
        <v>178</v>
      </c>
      <c r="AQ57" s="31" t="s">
        <v>178</v>
      </c>
      <c r="AR57" s="31" t="s">
        <v>178</v>
      </c>
      <c r="AS57" s="31" t="s">
        <v>178</v>
      </c>
    </row>
    <row r="58" spans="5:45" s="31" customFormat="1" ht="15" customHeight="1">
      <c r="M58" s="89"/>
      <c r="N58" s="89"/>
    </row>
    <row r="59" spans="5:45" s="31" customFormat="1" ht="15" customHeight="1">
      <c r="E59" s="31" t="s">
        <v>452</v>
      </c>
      <c r="F59" s="31" t="s">
        <v>172</v>
      </c>
      <c r="G59" s="31" t="s">
        <v>424</v>
      </c>
      <c r="H59" s="31" t="s">
        <v>178</v>
      </c>
      <c r="I59" s="31" t="s">
        <v>79</v>
      </c>
      <c r="J59" s="31" t="s">
        <v>175</v>
      </c>
      <c r="K59" s="31" t="s">
        <v>176</v>
      </c>
      <c r="L59" s="31" t="s">
        <v>335</v>
      </c>
      <c r="M59" s="31" t="s">
        <v>425</v>
      </c>
      <c r="N59" s="89" t="s">
        <v>178</v>
      </c>
      <c r="O59" s="31">
        <v>16</v>
      </c>
      <c r="P59" s="31" t="s">
        <v>178</v>
      </c>
      <c r="Q59" s="31" t="s">
        <v>354</v>
      </c>
      <c r="R59" s="31" t="s">
        <v>447</v>
      </c>
      <c r="S59" s="31" t="s">
        <v>448</v>
      </c>
      <c r="T59" s="31" t="s">
        <v>178</v>
      </c>
      <c r="U59" s="31" t="s">
        <v>178</v>
      </c>
      <c r="V59" s="31" t="s">
        <v>178</v>
      </c>
      <c r="W59" s="31" t="s">
        <v>429</v>
      </c>
      <c r="X59" s="31" t="s">
        <v>362</v>
      </c>
      <c r="Y59" s="31" t="s">
        <v>430</v>
      </c>
      <c r="Z59" s="31" t="s">
        <v>178</v>
      </c>
      <c r="AA59" s="31" t="s">
        <v>178</v>
      </c>
      <c r="AB59" s="31" t="s">
        <v>178</v>
      </c>
      <c r="AC59" s="31" t="s">
        <v>178</v>
      </c>
      <c r="AD59" s="31" t="s">
        <v>178</v>
      </c>
      <c r="AE59" s="31" t="s">
        <v>178</v>
      </c>
      <c r="AF59" s="31">
        <v>28</v>
      </c>
      <c r="AH59" s="31" t="s">
        <v>431</v>
      </c>
      <c r="AI59" s="31" t="s">
        <v>453</v>
      </c>
      <c r="AJ59" s="31" t="s">
        <v>178</v>
      </c>
      <c r="AK59" s="31" t="s">
        <v>454</v>
      </c>
      <c r="AL59" s="31" t="s">
        <v>430</v>
      </c>
      <c r="AM59" s="31" t="s">
        <v>178</v>
      </c>
      <c r="AN59" s="31" t="s">
        <v>187</v>
      </c>
      <c r="AO59" s="31" t="s">
        <v>178</v>
      </c>
      <c r="AP59" s="31" t="s">
        <v>178</v>
      </c>
      <c r="AQ59" s="31" t="s">
        <v>178</v>
      </c>
      <c r="AR59" s="31" t="s">
        <v>178</v>
      </c>
      <c r="AS59" s="31" t="s">
        <v>178</v>
      </c>
    </row>
    <row r="60" spans="5:45" s="31" customFormat="1" ht="15" customHeight="1">
      <c r="E60" s="31" t="s">
        <v>452</v>
      </c>
      <c r="F60" s="31" t="s">
        <v>172</v>
      </c>
      <c r="G60" s="31" t="s">
        <v>424</v>
      </c>
      <c r="H60" s="31" t="s">
        <v>178</v>
      </c>
      <c r="I60" s="31" t="s">
        <v>79</v>
      </c>
      <c r="J60" s="31" t="s">
        <v>175</v>
      </c>
      <c r="K60" s="31" t="s">
        <v>189</v>
      </c>
      <c r="L60" s="31" t="s">
        <v>335</v>
      </c>
      <c r="M60" s="31" t="s">
        <v>425</v>
      </c>
      <c r="N60" s="89" t="s">
        <v>178</v>
      </c>
      <c r="O60" s="31">
        <v>16</v>
      </c>
      <c r="P60" s="31" t="s">
        <v>178</v>
      </c>
      <c r="Q60" s="31" t="s">
        <v>354</v>
      </c>
      <c r="R60" s="31" t="s">
        <v>447</v>
      </c>
      <c r="S60" s="31" t="s">
        <v>448</v>
      </c>
      <c r="T60" s="31" t="s">
        <v>178</v>
      </c>
      <c r="U60" s="31" t="s">
        <v>178</v>
      </c>
      <c r="V60" s="31" t="s">
        <v>178</v>
      </c>
      <c r="W60" s="31" t="s">
        <v>429</v>
      </c>
      <c r="X60" s="31" t="s">
        <v>362</v>
      </c>
      <c r="Y60" s="31" t="s">
        <v>430</v>
      </c>
      <c r="Z60" s="31" t="s">
        <v>178</v>
      </c>
      <c r="AA60" s="31" t="s">
        <v>178</v>
      </c>
      <c r="AB60" s="31" t="s">
        <v>178</v>
      </c>
      <c r="AC60" s="31" t="s">
        <v>178</v>
      </c>
      <c r="AD60" s="31" t="s">
        <v>178</v>
      </c>
      <c r="AE60" s="31" t="s">
        <v>178</v>
      </c>
      <c r="AF60" s="31">
        <v>28</v>
      </c>
      <c r="AH60" s="31" t="s">
        <v>431</v>
      </c>
      <c r="AI60" s="31" t="s">
        <v>453</v>
      </c>
      <c r="AJ60" s="31" t="s">
        <v>178</v>
      </c>
      <c r="AK60" s="31" t="s">
        <v>454</v>
      </c>
      <c r="AL60" s="31" t="s">
        <v>430</v>
      </c>
      <c r="AM60" s="31" t="s">
        <v>178</v>
      </c>
      <c r="AN60" s="31" t="s">
        <v>187</v>
      </c>
      <c r="AO60" s="31" t="s">
        <v>178</v>
      </c>
      <c r="AP60" s="31" t="s">
        <v>178</v>
      </c>
      <c r="AQ60" s="31" t="s">
        <v>178</v>
      </c>
      <c r="AR60" s="31" t="s">
        <v>178</v>
      </c>
      <c r="AS60" s="31" t="s">
        <v>178</v>
      </c>
    </row>
    <row r="61" spans="5:45" s="31" customFormat="1" ht="15" customHeight="1">
      <c r="E61" s="31" t="s">
        <v>452</v>
      </c>
      <c r="F61" s="31" t="s">
        <v>172</v>
      </c>
      <c r="G61" s="31" t="s">
        <v>424</v>
      </c>
      <c r="H61" s="31" t="s">
        <v>178</v>
      </c>
      <c r="I61" s="31" t="s">
        <v>79</v>
      </c>
      <c r="J61" s="31" t="s">
        <v>175</v>
      </c>
      <c r="K61" s="31" t="s">
        <v>191</v>
      </c>
      <c r="L61" s="31" t="s">
        <v>335</v>
      </c>
      <c r="M61" s="31" t="s">
        <v>425</v>
      </c>
      <c r="N61" s="89" t="s">
        <v>178</v>
      </c>
      <c r="O61" s="31">
        <v>16</v>
      </c>
      <c r="P61" s="31" t="s">
        <v>178</v>
      </c>
      <c r="Q61" s="31" t="s">
        <v>354</v>
      </c>
      <c r="R61" s="31" t="s">
        <v>447</v>
      </c>
      <c r="S61" s="31" t="s">
        <v>448</v>
      </c>
      <c r="T61" s="31" t="s">
        <v>178</v>
      </c>
      <c r="U61" s="31" t="s">
        <v>178</v>
      </c>
      <c r="V61" s="31" t="s">
        <v>178</v>
      </c>
      <c r="W61" s="31" t="s">
        <v>429</v>
      </c>
      <c r="X61" s="31" t="s">
        <v>362</v>
      </c>
      <c r="Y61" s="31" t="s">
        <v>430</v>
      </c>
      <c r="Z61" s="31" t="s">
        <v>178</v>
      </c>
      <c r="AA61" s="31" t="s">
        <v>178</v>
      </c>
      <c r="AB61" s="31" t="s">
        <v>178</v>
      </c>
      <c r="AC61" s="31" t="s">
        <v>178</v>
      </c>
      <c r="AD61" s="31" t="s">
        <v>178</v>
      </c>
      <c r="AE61" s="31" t="s">
        <v>178</v>
      </c>
      <c r="AF61" s="31">
        <v>28</v>
      </c>
      <c r="AH61" s="31" t="s">
        <v>431</v>
      </c>
      <c r="AI61" s="31" t="s">
        <v>453</v>
      </c>
      <c r="AJ61" s="31" t="s">
        <v>178</v>
      </c>
      <c r="AK61" s="31" t="s">
        <v>454</v>
      </c>
      <c r="AL61" s="31" t="s">
        <v>430</v>
      </c>
      <c r="AM61" s="31" t="s">
        <v>178</v>
      </c>
      <c r="AN61" s="31" t="s">
        <v>187</v>
      </c>
      <c r="AO61" s="31" t="s">
        <v>178</v>
      </c>
      <c r="AP61" s="31" t="s">
        <v>178</v>
      </c>
      <c r="AQ61" s="31" t="s">
        <v>178</v>
      </c>
      <c r="AR61" s="31" t="s">
        <v>178</v>
      </c>
      <c r="AS61" s="31" t="s">
        <v>178</v>
      </c>
    </row>
    <row r="62" spans="5:45" s="31" customFormat="1" ht="15" customHeight="1">
      <c r="E62" s="31" t="s">
        <v>452</v>
      </c>
      <c r="F62" s="31" t="s">
        <v>172</v>
      </c>
      <c r="G62" s="31" t="s">
        <v>424</v>
      </c>
      <c r="H62" s="31" t="s">
        <v>178</v>
      </c>
      <c r="I62" s="31" t="s">
        <v>79</v>
      </c>
      <c r="J62" s="31" t="s">
        <v>175</v>
      </c>
      <c r="K62" s="31" t="s">
        <v>193</v>
      </c>
      <c r="L62" s="31" t="s">
        <v>335</v>
      </c>
      <c r="M62" s="31" t="s">
        <v>425</v>
      </c>
      <c r="N62" s="89" t="s">
        <v>178</v>
      </c>
      <c r="O62" s="31">
        <v>16</v>
      </c>
      <c r="P62" s="31" t="s">
        <v>178</v>
      </c>
      <c r="Q62" s="31" t="s">
        <v>354</v>
      </c>
      <c r="R62" s="31" t="s">
        <v>447</v>
      </c>
      <c r="S62" s="31" t="s">
        <v>448</v>
      </c>
      <c r="T62" s="31" t="s">
        <v>178</v>
      </c>
      <c r="U62" s="31" t="s">
        <v>178</v>
      </c>
      <c r="V62" s="31" t="s">
        <v>178</v>
      </c>
      <c r="W62" s="31" t="s">
        <v>429</v>
      </c>
      <c r="X62" s="31" t="s">
        <v>362</v>
      </c>
      <c r="Y62" s="31" t="s">
        <v>430</v>
      </c>
      <c r="Z62" s="31" t="s">
        <v>178</v>
      </c>
      <c r="AA62" s="31" t="s">
        <v>178</v>
      </c>
      <c r="AB62" s="31" t="s">
        <v>178</v>
      </c>
      <c r="AC62" s="31" t="s">
        <v>178</v>
      </c>
      <c r="AD62" s="31" t="s">
        <v>178</v>
      </c>
      <c r="AE62" s="31" t="s">
        <v>178</v>
      </c>
      <c r="AF62" s="31">
        <v>28</v>
      </c>
      <c r="AH62" s="31" t="s">
        <v>431</v>
      </c>
      <c r="AI62" s="31" t="s">
        <v>453</v>
      </c>
      <c r="AJ62" s="31" t="s">
        <v>178</v>
      </c>
      <c r="AK62" s="31" t="s">
        <v>454</v>
      </c>
      <c r="AL62" s="31" t="s">
        <v>430</v>
      </c>
      <c r="AM62" s="31" t="s">
        <v>178</v>
      </c>
      <c r="AN62" s="31" t="s">
        <v>187</v>
      </c>
      <c r="AO62" s="31" t="s">
        <v>178</v>
      </c>
      <c r="AP62" s="31" t="s">
        <v>178</v>
      </c>
      <c r="AQ62" s="31" t="s">
        <v>178</v>
      </c>
      <c r="AR62" s="31" t="s">
        <v>178</v>
      </c>
      <c r="AS62" s="31" t="s">
        <v>178</v>
      </c>
    </row>
    <row r="63" spans="5:45" s="31" customFormat="1" ht="15" customHeight="1">
      <c r="E63" s="31" t="s">
        <v>452</v>
      </c>
      <c r="F63" s="31" t="s">
        <v>172</v>
      </c>
      <c r="G63" s="31" t="s">
        <v>424</v>
      </c>
      <c r="H63" s="31" t="s">
        <v>178</v>
      </c>
      <c r="I63" s="31" t="s">
        <v>79</v>
      </c>
      <c r="J63" s="31" t="s">
        <v>175</v>
      </c>
      <c r="K63" s="31" t="s">
        <v>195</v>
      </c>
      <c r="L63" s="31" t="s">
        <v>335</v>
      </c>
      <c r="M63" s="31" t="s">
        <v>425</v>
      </c>
      <c r="N63" s="89" t="s">
        <v>178</v>
      </c>
      <c r="O63" s="31">
        <v>16</v>
      </c>
      <c r="P63" s="31" t="s">
        <v>178</v>
      </c>
      <c r="Q63" s="31" t="s">
        <v>354</v>
      </c>
      <c r="R63" s="31" t="s">
        <v>447</v>
      </c>
      <c r="S63" s="31" t="s">
        <v>448</v>
      </c>
      <c r="T63" s="31" t="s">
        <v>178</v>
      </c>
      <c r="U63" s="31" t="s">
        <v>178</v>
      </c>
      <c r="V63" s="31" t="s">
        <v>178</v>
      </c>
      <c r="W63" s="31" t="s">
        <v>429</v>
      </c>
      <c r="X63" s="31" t="s">
        <v>362</v>
      </c>
      <c r="Y63" s="31" t="s">
        <v>430</v>
      </c>
      <c r="Z63" s="31" t="s">
        <v>178</v>
      </c>
      <c r="AA63" s="31" t="s">
        <v>178</v>
      </c>
      <c r="AB63" s="31" t="s">
        <v>178</v>
      </c>
      <c r="AC63" s="31" t="s">
        <v>178</v>
      </c>
      <c r="AD63" s="31" t="s">
        <v>178</v>
      </c>
      <c r="AE63" s="31" t="s">
        <v>178</v>
      </c>
      <c r="AF63" s="31">
        <v>28</v>
      </c>
      <c r="AH63" s="31" t="s">
        <v>431</v>
      </c>
      <c r="AI63" s="31" t="s">
        <v>453</v>
      </c>
      <c r="AJ63" s="31" t="s">
        <v>178</v>
      </c>
      <c r="AK63" s="31" t="s">
        <v>454</v>
      </c>
      <c r="AL63" s="31" t="s">
        <v>430</v>
      </c>
      <c r="AM63" s="31" t="s">
        <v>178</v>
      </c>
      <c r="AN63" s="31" t="s">
        <v>187</v>
      </c>
      <c r="AO63" s="31" t="s">
        <v>178</v>
      </c>
      <c r="AP63" s="31" t="s">
        <v>178</v>
      </c>
      <c r="AQ63" s="31" t="s">
        <v>178</v>
      </c>
      <c r="AR63" s="31" t="s">
        <v>178</v>
      </c>
      <c r="AS63" s="31" t="s">
        <v>178</v>
      </c>
    </row>
    <row r="64" spans="5:45" s="31" customFormat="1" ht="15" customHeight="1">
      <c r="M64" s="89"/>
      <c r="N64" s="89"/>
    </row>
    <row r="65" spans="5:45" s="31" customFormat="1" ht="15" customHeight="1">
      <c r="E65" s="31" t="s">
        <v>455</v>
      </c>
      <c r="F65" s="31" t="s">
        <v>172</v>
      </c>
      <c r="G65" s="31" t="s">
        <v>424</v>
      </c>
      <c r="H65" s="31" t="s">
        <v>434</v>
      </c>
      <c r="I65" s="31" t="s">
        <v>79</v>
      </c>
      <c r="J65" s="31" t="s">
        <v>333</v>
      </c>
      <c r="K65" s="31" t="s">
        <v>435</v>
      </c>
      <c r="L65" s="31" t="s">
        <v>335</v>
      </c>
      <c r="M65" s="31" t="s">
        <v>425</v>
      </c>
      <c r="N65" s="31" t="s">
        <v>178</v>
      </c>
      <c r="O65" s="31">
        <v>16</v>
      </c>
      <c r="P65" s="31" t="s">
        <v>178</v>
      </c>
      <c r="Q65" s="31" t="s">
        <v>354</v>
      </c>
      <c r="R65" s="31" t="s">
        <v>436</v>
      </c>
      <c r="S65" s="31" t="s">
        <v>448</v>
      </c>
      <c r="T65" s="31" t="s">
        <v>178</v>
      </c>
      <c r="U65" s="31" t="s">
        <v>178</v>
      </c>
      <c r="V65" s="31" t="s">
        <v>178</v>
      </c>
      <c r="W65" s="31" t="s">
        <v>178</v>
      </c>
      <c r="X65" s="31" t="s">
        <v>178</v>
      </c>
      <c r="AG65" s="31" t="s">
        <v>456</v>
      </c>
      <c r="AH65" s="31" t="s">
        <v>457</v>
      </c>
      <c r="AI65" s="31" t="s">
        <v>458</v>
      </c>
      <c r="AJ65" s="31" t="s">
        <v>459</v>
      </c>
      <c r="AK65" s="31" t="s">
        <v>178</v>
      </c>
      <c r="AL65" s="31" t="s">
        <v>178</v>
      </c>
      <c r="AM65" s="31" t="s">
        <v>178</v>
      </c>
      <c r="AN65" s="31" t="s">
        <v>178</v>
      </c>
      <c r="AO65" s="31" t="s">
        <v>178</v>
      </c>
      <c r="AP65" s="31" t="s">
        <v>178</v>
      </c>
      <c r="AQ65" s="31" t="s">
        <v>178</v>
      </c>
      <c r="AR65" s="31" t="s">
        <v>178</v>
      </c>
      <c r="AS65" s="31" t="s">
        <v>178</v>
      </c>
    </row>
    <row r="66" spans="5:45" s="31" customFormat="1" ht="15" customHeight="1"/>
    <row r="67" spans="5:45" s="31" customFormat="1" ht="15" customHeight="1">
      <c r="E67" s="31" t="s">
        <v>460</v>
      </c>
      <c r="F67" s="31" t="s">
        <v>377</v>
      </c>
      <c r="G67" s="31" t="s">
        <v>440</v>
      </c>
      <c r="H67" s="31" t="s">
        <v>379</v>
      </c>
      <c r="I67" s="31" t="s">
        <v>79</v>
      </c>
      <c r="J67" s="31" t="s">
        <v>380</v>
      </c>
      <c r="K67" s="31" t="s">
        <v>381</v>
      </c>
      <c r="L67" s="31" t="s">
        <v>335</v>
      </c>
      <c r="M67" s="89" t="s">
        <v>382</v>
      </c>
      <c r="N67" s="89" t="s">
        <v>383</v>
      </c>
      <c r="O67" s="31">
        <v>16</v>
      </c>
      <c r="P67" s="31" t="s">
        <v>178</v>
      </c>
      <c r="Q67" s="31" t="s">
        <v>461</v>
      </c>
      <c r="R67" s="31" t="s">
        <v>385</v>
      </c>
      <c r="S67" s="31" t="s">
        <v>178</v>
      </c>
      <c r="T67" s="31" t="s">
        <v>178</v>
      </c>
      <c r="U67" s="31" t="s">
        <v>178</v>
      </c>
      <c r="V67" s="31" t="s">
        <v>178</v>
      </c>
      <c r="W67" s="31" t="s">
        <v>178</v>
      </c>
      <c r="X67" s="31" t="s">
        <v>178</v>
      </c>
      <c r="Z67" s="33">
        <v>0.9</v>
      </c>
      <c r="AA67" s="31" t="s">
        <v>178</v>
      </c>
      <c r="AB67" s="31" t="s">
        <v>178</v>
      </c>
      <c r="AC67" s="31" t="s">
        <v>178</v>
      </c>
      <c r="AD67" s="31" t="s">
        <v>178</v>
      </c>
      <c r="AE67" s="31" t="s">
        <v>178</v>
      </c>
      <c r="AF67" s="31" t="s">
        <v>178</v>
      </c>
      <c r="AG67" s="31" t="s">
        <v>178</v>
      </c>
      <c r="AH67" s="31" t="s">
        <v>390</v>
      </c>
      <c r="AI67" s="31" t="s">
        <v>178</v>
      </c>
      <c r="AJ67" s="31" t="s">
        <v>178</v>
      </c>
      <c r="AK67" s="31" t="s">
        <v>178</v>
      </c>
      <c r="AL67" s="31" t="s">
        <v>393</v>
      </c>
      <c r="AM67" s="31" t="s">
        <v>178</v>
      </c>
      <c r="AN67" s="31" t="s">
        <v>187</v>
      </c>
      <c r="AO67" s="31" t="s">
        <v>394</v>
      </c>
      <c r="AP67" s="31" t="s">
        <v>178</v>
      </c>
      <c r="AQ67" s="31" t="s">
        <v>178</v>
      </c>
      <c r="AR67" s="31" t="s">
        <v>178</v>
      </c>
    </row>
    <row r="68" spans="5:45" s="31" customFormat="1" ht="15" customHeight="1">
      <c r="E68" s="31" t="s">
        <v>460</v>
      </c>
      <c r="F68" s="31" t="s">
        <v>377</v>
      </c>
      <c r="G68" s="31" t="s">
        <v>440</v>
      </c>
      <c r="H68" s="31" t="s">
        <v>379</v>
      </c>
      <c r="I68" s="31" t="s">
        <v>79</v>
      </c>
      <c r="J68" s="31" t="s">
        <v>380</v>
      </c>
      <c r="K68" s="31" t="s">
        <v>395</v>
      </c>
      <c r="L68" s="31" t="s">
        <v>335</v>
      </c>
      <c r="M68" s="89" t="s">
        <v>382</v>
      </c>
      <c r="N68" s="89" t="s">
        <v>383</v>
      </c>
      <c r="O68" s="31">
        <v>16</v>
      </c>
      <c r="P68" s="31" t="s">
        <v>178</v>
      </c>
      <c r="Q68" s="31" t="s">
        <v>461</v>
      </c>
      <c r="R68" s="31" t="s">
        <v>385</v>
      </c>
      <c r="S68" s="31" t="s">
        <v>178</v>
      </c>
      <c r="T68" s="31" t="s">
        <v>178</v>
      </c>
      <c r="U68" s="31" t="s">
        <v>178</v>
      </c>
      <c r="V68" s="31" t="s">
        <v>178</v>
      </c>
      <c r="W68" s="31" t="s">
        <v>178</v>
      </c>
      <c r="X68" s="31" t="s">
        <v>178</v>
      </c>
      <c r="Z68" s="33">
        <v>0.9</v>
      </c>
      <c r="AA68" s="31" t="s">
        <v>178</v>
      </c>
      <c r="AB68" s="31" t="s">
        <v>178</v>
      </c>
      <c r="AC68" s="31" t="s">
        <v>178</v>
      </c>
      <c r="AD68" s="31" t="s">
        <v>178</v>
      </c>
      <c r="AE68" s="31" t="s">
        <v>178</v>
      </c>
      <c r="AF68" s="31" t="s">
        <v>178</v>
      </c>
      <c r="AG68" s="31" t="s">
        <v>178</v>
      </c>
      <c r="AH68" s="31" t="s">
        <v>390</v>
      </c>
      <c r="AI68" s="31" t="s">
        <v>178</v>
      </c>
      <c r="AJ68" s="31" t="s">
        <v>178</v>
      </c>
      <c r="AK68" s="31" t="s">
        <v>178</v>
      </c>
      <c r="AL68" s="31" t="s">
        <v>393</v>
      </c>
      <c r="AM68" s="31" t="s">
        <v>178</v>
      </c>
      <c r="AN68" s="31" t="s">
        <v>187</v>
      </c>
      <c r="AO68" s="31" t="s">
        <v>394</v>
      </c>
      <c r="AP68" s="31" t="s">
        <v>178</v>
      </c>
      <c r="AQ68" s="31" t="s">
        <v>178</v>
      </c>
      <c r="AR68" s="31" t="s">
        <v>178</v>
      </c>
    </row>
    <row r="69" spans="5:45" s="31" customFormat="1" ht="15" customHeight="1">
      <c r="E69" s="31" t="s">
        <v>460</v>
      </c>
      <c r="F69" s="31" t="s">
        <v>377</v>
      </c>
      <c r="G69" s="31" t="s">
        <v>440</v>
      </c>
      <c r="H69" s="31" t="s">
        <v>379</v>
      </c>
      <c r="I69" s="31" t="s">
        <v>79</v>
      </c>
      <c r="J69" s="31" t="s">
        <v>380</v>
      </c>
      <c r="K69" s="31" t="s">
        <v>396</v>
      </c>
      <c r="L69" s="31" t="s">
        <v>335</v>
      </c>
      <c r="M69" s="89" t="s">
        <v>382</v>
      </c>
      <c r="N69" s="89" t="s">
        <v>383</v>
      </c>
      <c r="O69" s="31">
        <v>16</v>
      </c>
      <c r="P69" s="31" t="s">
        <v>178</v>
      </c>
      <c r="Q69" s="31" t="s">
        <v>461</v>
      </c>
      <c r="R69" s="31" t="s">
        <v>385</v>
      </c>
      <c r="S69" s="31" t="s">
        <v>178</v>
      </c>
      <c r="T69" s="31" t="s">
        <v>178</v>
      </c>
      <c r="U69" s="31" t="s">
        <v>178</v>
      </c>
      <c r="V69" s="31" t="s">
        <v>178</v>
      </c>
      <c r="W69" s="31" t="s">
        <v>178</v>
      </c>
      <c r="X69" s="31" t="s">
        <v>178</v>
      </c>
      <c r="Z69" s="33">
        <v>0.9</v>
      </c>
      <c r="AA69" s="31" t="s">
        <v>178</v>
      </c>
      <c r="AB69" s="31" t="s">
        <v>178</v>
      </c>
      <c r="AC69" s="31" t="s">
        <v>178</v>
      </c>
      <c r="AD69" s="31" t="s">
        <v>178</v>
      </c>
      <c r="AE69" s="31" t="s">
        <v>178</v>
      </c>
      <c r="AF69" s="31" t="s">
        <v>178</v>
      </c>
      <c r="AG69" s="31" t="s">
        <v>178</v>
      </c>
      <c r="AH69" s="31" t="s">
        <v>390</v>
      </c>
      <c r="AI69" s="31" t="s">
        <v>178</v>
      </c>
      <c r="AJ69" s="31" t="s">
        <v>178</v>
      </c>
      <c r="AK69" s="31" t="s">
        <v>178</v>
      </c>
      <c r="AL69" s="31" t="s">
        <v>393</v>
      </c>
      <c r="AM69" s="31" t="s">
        <v>178</v>
      </c>
      <c r="AN69" s="31" t="s">
        <v>187</v>
      </c>
      <c r="AO69" s="31" t="s">
        <v>394</v>
      </c>
      <c r="AP69" s="31" t="s">
        <v>178</v>
      </c>
      <c r="AQ69" s="31" t="s">
        <v>178</v>
      </c>
      <c r="AR69" s="31" t="s">
        <v>178</v>
      </c>
    </row>
    <row r="70" spans="5:45" s="31" customFormat="1" ht="15" customHeight="1">
      <c r="E70" s="31" t="s">
        <v>460</v>
      </c>
      <c r="F70" s="31" t="s">
        <v>377</v>
      </c>
      <c r="G70" s="31" t="s">
        <v>440</v>
      </c>
      <c r="H70" s="31" t="s">
        <v>379</v>
      </c>
      <c r="I70" s="31" t="s">
        <v>79</v>
      </c>
      <c r="J70" s="31" t="s">
        <v>380</v>
      </c>
      <c r="K70" s="31" t="s">
        <v>397</v>
      </c>
      <c r="L70" s="31" t="s">
        <v>335</v>
      </c>
      <c r="M70" s="89" t="s">
        <v>382</v>
      </c>
      <c r="N70" s="89" t="s">
        <v>383</v>
      </c>
      <c r="O70" s="31">
        <v>16</v>
      </c>
      <c r="P70" s="31" t="s">
        <v>178</v>
      </c>
      <c r="Q70" s="31" t="s">
        <v>461</v>
      </c>
      <c r="R70" s="31" t="s">
        <v>385</v>
      </c>
      <c r="S70" s="31" t="s">
        <v>178</v>
      </c>
      <c r="T70" s="31" t="s">
        <v>178</v>
      </c>
      <c r="U70" s="31" t="s">
        <v>178</v>
      </c>
      <c r="V70" s="31" t="s">
        <v>178</v>
      </c>
      <c r="W70" s="31" t="s">
        <v>178</v>
      </c>
      <c r="X70" s="31" t="s">
        <v>178</v>
      </c>
      <c r="Z70" s="33">
        <v>0.9</v>
      </c>
      <c r="AA70" s="31" t="s">
        <v>178</v>
      </c>
      <c r="AB70" s="31" t="s">
        <v>178</v>
      </c>
      <c r="AC70" s="31" t="s">
        <v>178</v>
      </c>
      <c r="AD70" s="31" t="s">
        <v>178</v>
      </c>
      <c r="AE70" s="31" t="s">
        <v>178</v>
      </c>
      <c r="AF70" s="31" t="s">
        <v>178</v>
      </c>
      <c r="AG70" s="31" t="s">
        <v>178</v>
      </c>
      <c r="AH70" s="31" t="s">
        <v>390</v>
      </c>
      <c r="AI70" s="31" t="s">
        <v>178</v>
      </c>
      <c r="AJ70" s="31" t="s">
        <v>178</v>
      </c>
      <c r="AK70" s="31" t="s">
        <v>178</v>
      </c>
      <c r="AL70" s="31" t="s">
        <v>393</v>
      </c>
      <c r="AM70" s="31" t="s">
        <v>178</v>
      </c>
      <c r="AN70" s="31" t="s">
        <v>187</v>
      </c>
      <c r="AO70" s="31" t="s">
        <v>394</v>
      </c>
      <c r="AP70" s="31" t="s">
        <v>178</v>
      </c>
      <c r="AQ70" s="31" t="s">
        <v>178</v>
      </c>
      <c r="AR70" s="31" t="s">
        <v>178</v>
      </c>
    </row>
    <row r="71" spans="5:45" s="31" customFormat="1" ht="15" customHeight="1">
      <c r="E71" s="31" t="s">
        <v>460</v>
      </c>
      <c r="F71" s="31" t="s">
        <v>377</v>
      </c>
      <c r="G71" s="31" t="s">
        <v>440</v>
      </c>
      <c r="H71" s="31" t="s">
        <v>379</v>
      </c>
      <c r="I71" s="31" t="s">
        <v>79</v>
      </c>
      <c r="J71" s="31" t="s">
        <v>380</v>
      </c>
      <c r="K71" s="31" t="s">
        <v>398</v>
      </c>
      <c r="L71" s="31" t="s">
        <v>335</v>
      </c>
      <c r="M71" s="89" t="s">
        <v>382</v>
      </c>
      <c r="N71" s="89" t="s">
        <v>383</v>
      </c>
      <c r="O71" s="31">
        <v>16</v>
      </c>
      <c r="P71" s="31" t="s">
        <v>178</v>
      </c>
      <c r="Q71" s="31" t="s">
        <v>461</v>
      </c>
      <c r="R71" s="31" t="s">
        <v>385</v>
      </c>
      <c r="S71" s="31" t="s">
        <v>178</v>
      </c>
      <c r="T71" s="31" t="s">
        <v>178</v>
      </c>
      <c r="U71" s="31" t="s">
        <v>178</v>
      </c>
      <c r="V71" s="31" t="s">
        <v>178</v>
      </c>
      <c r="W71" s="31" t="s">
        <v>178</v>
      </c>
      <c r="X71" s="31" t="s">
        <v>178</v>
      </c>
      <c r="Z71" s="33">
        <v>0.9</v>
      </c>
      <c r="AA71" s="31" t="s">
        <v>178</v>
      </c>
      <c r="AB71" s="31" t="s">
        <v>178</v>
      </c>
      <c r="AC71" s="31" t="s">
        <v>178</v>
      </c>
      <c r="AD71" s="31" t="s">
        <v>178</v>
      </c>
      <c r="AE71" s="31" t="s">
        <v>178</v>
      </c>
      <c r="AF71" s="31" t="s">
        <v>178</v>
      </c>
      <c r="AG71" s="31" t="s">
        <v>178</v>
      </c>
      <c r="AH71" s="31" t="s">
        <v>390</v>
      </c>
      <c r="AI71" s="31" t="s">
        <v>178</v>
      </c>
      <c r="AJ71" s="31" t="s">
        <v>178</v>
      </c>
      <c r="AK71" s="31" t="s">
        <v>178</v>
      </c>
      <c r="AL71" s="31" t="s">
        <v>393</v>
      </c>
      <c r="AM71" s="31" t="s">
        <v>178</v>
      </c>
      <c r="AN71" s="31" t="s">
        <v>187</v>
      </c>
      <c r="AO71" s="31" t="s">
        <v>394</v>
      </c>
      <c r="AP71" s="31" t="s">
        <v>178</v>
      </c>
      <c r="AQ71" s="31" t="s">
        <v>178</v>
      </c>
      <c r="AR71" s="31" t="s">
        <v>178</v>
      </c>
    </row>
    <row r="72" spans="5:45" s="31" customFormat="1" ht="15" customHeight="1">
      <c r="E72" s="31" t="s">
        <v>460</v>
      </c>
      <c r="F72" s="31" t="s">
        <v>377</v>
      </c>
      <c r="G72" s="31" t="s">
        <v>440</v>
      </c>
      <c r="H72" s="31" t="s">
        <v>379</v>
      </c>
      <c r="I72" s="31" t="s">
        <v>79</v>
      </c>
      <c r="J72" s="31" t="s">
        <v>380</v>
      </c>
      <c r="K72" s="31" t="s">
        <v>399</v>
      </c>
      <c r="L72" s="31" t="s">
        <v>335</v>
      </c>
      <c r="M72" s="89" t="s">
        <v>382</v>
      </c>
      <c r="N72" s="89" t="s">
        <v>383</v>
      </c>
      <c r="O72" s="31">
        <v>16</v>
      </c>
      <c r="P72" s="31" t="s">
        <v>178</v>
      </c>
      <c r="Q72" s="31" t="s">
        <v>461</v>
      </c>
      <c r="R72" s="31" t="s">
        <v>385</v>
      </c>
      <c r="S72" s="31" t="s">
        <v>178</v>
      </c>
      <c r="T72" s="31" t="s">
        <v>178</v>
      </c>
      <c r="U72" s="31" t="s">
        <v>178</v>
      </c>
      <c r="V72" s="31" t="s">
        <v>178</v>
      </c>
      <c r="W72" s="31" t="s">
        <v>178</v>
      </c>
      <c r="X72" s="31" t="s">
        <v>178</v>
      </c>
      <c r="Z72" s="33">
        <v>0.9</v>
      </c>
      <c r="AA72" s="31" t="s">
        <v>178</v>
      </c>
      <c r="AB72" s="31" t="s">
        <v>178</v>
      </c>
      <c r="AC72" s="31" t="s">
        <v>178</v>
      </c>
      <c r="AD72" s="31" t="s">
        <v>178</v>
      </c>
      <c r="AE72" s="31" t="s">
        <v>178</v>
      </c>
      <c r="AF72" s="31" t="s">
        <v>178</v>
      </c>
      <c r="AG72" s="31" t="s">
        <v>178</v>
      </c>
      <c r="AH72" s="31" t="s">
        <v>390</v>
      </c>
      <c r="AI72" s="31" t="s">
        <v>178</v>
      </c>
      <c r="AJ72" s="31" t="s">
        <v>178</v>
      </c>
      <c r="AK72" s="31" t="s">
        <v>178</v>
      </c>
      <c r="AL72" s="31" t="s">
        <v>393</v>
      </c>
      <c r="AM72" s="31" t="s">
        <v>178</v>
      </c>
      <c r="AN72" s="31" t="s">
        <v>187</v>
      </c>
      <c r="AO72" s="31" t="s">
        <v>394</v>
      </c>
      <c r="AP72" s="31" t="s">
        <v>178</v>
      </c>
      <c r="AQ72" s="31" t="s">
        <v>178</v>
      </c>
      <c r="AR72" s="31" t="s">
        <v>178</v>
      </c>
    </row>
    <row r="73" spans="5:45" s="31" customFormat="1" ht="15" customHeight="1">
      <c r="E73" s="31" t="s">
        <v>460</v>
      </c>
      <c r="F73" s="31" t="s">
        <v>377</v>
      </c>
      <c r="G73" s="31" t="s">
        <v>440</v>
      </c>
      <c r="H73" s="31" t="s">
        <v>379</v>
      </c>
      <c r="I73" s="31" t="s">
        <v>79</v>
      </c>
      <c r="J73" s="31" t="s">
        <v>380</v>
      </c>
      <c r="K73" s="31" t="s">
        <v>400</v>
      </c>
      <c r="L73" s="31" t="s">
        <v>335</v>
      </c>
      <c r="M73" s="89" t="s">
        <v>382</v>
      </c>
      <c r="N73" s="89" t="s">
        <v>383</v>
      </c>
      <c r="O73" s="31">
        <v>16</v>
      </c>
      <c r="P73" s="31" t="s">
        <v>178</v>
      </c>
      <c r="Q73" s="31" t="s">
        <v>461</v>
      </c>
      <c r="R73" s="31" t="s">
        <v>385</v>
      </c>
      <c r="S73" s="31" t="s">
        <v>178</v>
      </c>
      <c r="T73" s="31" t="s">
        <v>178</v>
      </c>
      <c r="U73" s="31" t="s">
        <v>178</v>
      </c>
      <c r="V73" s="31" t="s">
        <v>178</v>
      </c>
      <c r="W73" s="31" t="s">
        <v>178</v>
      </c>
      <c r="X73" s="31" t="s">
        <v>178</v>
      </c>
      <c r="Z73" s="33">
        <v>0.9</v>
      </c>
      <c r="AA73" s="31" t="s">
        <v>178</v>
      </c>
      <c r="AB73" s="31" t="s">
        <v>178</v>
      </c>
      <c r="AC73" s="31" t="s">
        <v>178</v>
      </c>
      <c r="AD73" s="31" t="s">
        <v>178</v>
      </c>
      <c r="AE73" s="31" t="s">
        <v>178</v>
      </c>
      <c r="AF73" s="31" t="s">
        <v>178</v>
      </c>
      <c r="AG73" s="31" t="s">
        <v>178</v>
      </c>
      <c r="AH73" s="31" t="s">
        <v>390</v>
      </c>
      <c r="AI73" s="31" t="s">
        <v>178</v>
      </c>
      <c r="AJ73" s="31" t="s">
        <v>178</v>
      </c>
      <c r="AK73" s="31" t="s">
        <v>178</v>
      </c>
      <c r="AL73" s="31" t="s">
        <v>393</v>
      </c>
      <c r="AM73" s="31" t="s">
        <v>178</v>
      </c>
      <c r="AN73" s="31" t="s">
        <v>187</v>
      </c>
      <c r="AO73" s="31" t="s">
        <v>394</v>
      </c>
      <c r="AP73" s="31" t="s">
        <v>178</v>
      </c>
      <c r="AQ73" s="31" t="s">
        <v>178</v>
      </c>
      <c r="AR73" s="31" t="s">
        <v>178</v>
      </c>
    </row>
    <row r="74" spans="5:45" s="31" customFormat="1" ht="15" customHeight="1">
      <c r="E74" s="31" t="s">
        <v>460</v>
      </c>
      <c r="F74" s="31" t="s">
        <v>377</v>
      </c>
      <c r="G74" s="31" t="s">
        <v>440</v>
      </c>
      <c r="H74" s="31" t="s">
        <v>379</v>
      </c>
      <c r="I74" s="31" t="s">
        <v>79</v>
      </c>
      <c r="J74" s="31" t="s">
        <v>380</v>
      </c>
      <c r="K74" s="31" t="s">
        <v>401</v>
      </c>
      <c r="L74" s="31" t="s">
        <v>335</v>
      </c>
      <c r="M74" s="89" t="s">
        <v>382</v>
      </c>
      <c r="N74" s="89" t="s">
        <v>383</v>
      </c>
      <c r="O74" s="31">
        <v>16</v>
      </c>
      <c r="P74" s="31" t="s">
        <v>178</v>
      </c>
      <c r="Q74" s="31" t="s">
        <v>461</v>
      </c>
      <c r="R74" s="31" t="s">
        <v>385</v>
      </c>
      <c r="S74" s="31" t="s">
        <v>178</v>
      </c>
      <c r="T74" s="31" t="s">
        <v>178</v>
      </c>
      <c r="U74" s="31" t="s">
        <v>178</v>
      </c>
      <c r="V74" s="31" t="s">
        <v>178</v>
      </c>
      <c r="W74" s="31" t="s">
        <v>178</v>
      </c>
      <c r="X74" s="31" t="s">
        <v>178</v>
      </c>
      <c r="Z74" s="33">
        <v>0.9</v>
      </c>
      <c r="AA74" s="31" t="s">
        <v>178</v>
      </c>
      <c r="AB74" s="31" t="s">
        <v>178</v>
      </c>
      <c r="AC74" s="31" t="s">
        <v>178</v>
      </c>
      <c r="AD74" s="31" t="s">
        <v>178</v>
      </c>
      <c r="AE74" s="31" t="s">
        <v>178</v>
      </c>
      <c r="AF74" s="31" t="s">
        <v>178</v>
      </c>
      <c r="AG74" s="31" t="s">
        <v>178</v>
      </c>
      <c r="AH74" s="31" t="s">
        <v>390</v>
      </c>
      <c r="AI74" s="31" t="s">
        <v>178</v>
      </c>
      <c r="AJ74" s="31" t="s">
        <v>178</v>
      </c>
      <c r="AK74" s="31" t="s">
        <v>178</v>
      </c>
      <c r="AL74" s="31" t="s">
        <v>393</v>
      </c>
      <c r="AM74" s="31" t="s">
        <v>178</v>
      </c>
      <c r="AN74" s="31" t="s">
        <v>187</v>
      </c>
      <c r="AO74" s="31" t="s">
        <v>394</v>
      </c>
      <c r="AP74" s="31" t="s">
        <v>178</v>
      </c>
      <c r="AQ74" s="31" t="s">
        <v>178</v>
      </c>
      <c r="AR74" s="31" t="s">
        <v>178</v>
      </c>
    </row>
    <row r="75" spans="5:45" s="31" customFormat="1" ht="15" customHeight="1">
      <c r="E75" s="31" t="s">
        <v>460</v>
      </c>
      <c r="F75" s="31" t="s">
        <v>377</v>
      </c>
      <c r="G75" s="31" t="s">
        <v>440</v>
      </c>
      <c r="H75" s="31" t="s">
        <v>379</v>
      </c>
      <c r="I75" s="31" t="s">
        <v>79</v>
      </c>
      <c r="J75" s="31" t="s">
        <v>380</v>
      </c>
      <c r="K75" s="31" t="s">
        <v>402</v>
      </c>
      <c r="L75" s="31" t="s">
        <v>335</v>
      </c>
      <c r="M75" s="89" t="s">
        <v>403</v>
      </c>
      <c r="N75" s="89" t="s">
        <v>404</v>
      </c>
      <c r="O75" s="31">
        <v>16</v>
      </c>
      <c r="P75" s="31" t="s">
        <v>178</v>
      </c>
      <c r="Q75" s="31" t="s">
        <v>461</v>
      </c>
      <c r="R75" s="31" t="s">
        <v>385</v>
      </c>
      <c r="S75" s="31" t="s">
        <v>178</v>
      </c>
      <c r="T75" s="31" t="s">
        <v>178</v>
      </c>
      <c r="U75" s="31" t="s">
        <v>178</v>
      </c>
      <c r="V75" s="31" t="s">
        <v>178</v>
      </c>
      <c r="W75" s="31" t="s">
        <v>178</v>
      </c>
      <c r="X75" s="31" t="s">
        <v>178</v>
      </c>
      <c r="Z75" s="33">
        <v>0.9</v>
      </c>
      <c r="AA75" s="31" t="s">
        <v>178</v>
      </c>
      <c r="AB75" s="31" t="s">
        <v>178</v>
      </c>
      <c r="AC75" s="31" t="s">
        <v>178</v>
      </c>
      <c r="AD75" s="31" t="s">
        <v>178</v>
      </c>
      <c r="AE75" s="31" t="s">
        <v>178</v>
      </c>
      <c r="AF75" s="31" t="s">
        <v>178</v>
      </c>
      <c r="AG75" s="31" t="s">
        <v>178</v>
      </c>
      <c r="AH75" s="31" t="s">
        <v>390</v>
      </c>
      <c r="AI75" s="31" t="s">
        <v>178</v>
      </c>
      <c r="AJ75" s="31" t="s">
        <v>178</v>
      </c>
      <c r="AK75" s="31" t="s">
        <v>178</v>
      </c>
      <c r="AL75" s="31" t="s">
        <v>393</v>
      </c>
      <c r="AM75" s="31" t="s">
        <v>178</v>
      </c>
      <c r="AN75" s="31" t="s">
        <v>187</v>
      </c>
      <c r="AO75" s="31" t="s">
        <v>394</v>
      </c>
      <c r="AP75" s="31" t="s">
        <v>178</v>
      </c>
      <c r="AQ75" s="31" t="s">
        <v>178</v>
      </c>
      <c r="AR75" s="31" t="s">
        <v>178</v>
      </c>
    </row>
    <row r="76" spans="5:45" s="31" customFormat="1" ht="15" customHeight="1">
      <c r="E76" s="31" t="s">
        <v>460</v>
      </c>
      <c r="F76" s="31" t="s">
        <v>377</v>
      </c>
      <c r="G76" s="31" t="s">
        <v>440</v>
      </c>
      <c r="H76" s="31" t="s">
        <v>379</v>
      </c>
      <c r="I76" s="31" t="s">
        <v>79</v>
      </c>
      <c r="J76" s="31" t="s">
        <v>380</v>
      </c>
      <c r="K76" s="31" t="s">
        <v>405</v>
      </c>
      <c r="L76" s="31" t="s">
        <v>335</v>
      </c>
      <c r="M76" s="89" t="s">
        <v>403</v>
      </c>
      <c r="N76" s="89" t="s">
        <v>404</v>
      </c>
      <c r="O76" s="31">
        <v>16</v>
      </c>
      <c r="P76" s="31" t="s">
        <v>178</v>
      </c>
      <c r="Q76" s="31" t="s">
        <v>461</v>
      </c>
      <c r="R76" s="31" t="s">
        <v>385</v>
      </c>
      <c r="S76" s="31" t="s">
        <v>178</v>
      </c>
      <c r="T76" s="31" t="s">
        <v>178</v>
      </c>
      <c r="U76" s="31" t="s">
        <v>178</v>
      </c>
      <c r="V76" s="31" t="s">
        <v>178</v>
      </c>
      <c r="W76" s="31" t="s">
        <v>178</v>
      </c>
      <c r="X76" s="31" t="s">
        <v>178</v>
      </c>
      <c r="Z76" s="33">
        <v>0.9</v>
      </c>
      <c r="AA76" s="31" t="s">
        <v>178</v>
      </c>
      <c r="AB76" s="31" t="s">
        <v>178</v>
      </c>
      <c r="AC76" s="31" t="s">
        <v>178</v>
      </c>
      <c r="AD76" s="31" t="s">
        <v>178</v>
      </c>
      <c r="AE76" s="31" t="s">
        <v>178</v>
      </c>
      <c r="AF76" s="31" t="s">
        <v>178</v>
      </c>
      <c r="AG76" s="31" t="s">
        <v>178</v>
      </c>
      <c r="AH76" s="31" t="s">
        <v>390</v>
      </c>
      <c r="AI76" s="31" t="s">
        <v>178</v>
      </c>
      <c r="AJ76" s="31" t="s">
        <v>178</v>
      </c>
      <c r="AK76" s="31" t="s">
        <v>178</v>
      </c>
      <c r="AL76" s="31" t="s">
        <v>393</v>
      </c>
      <c r="AM76" s="31" t="s">
        <v>178</v>
      </c>
      <c r="AN76" s="31" t="s">
        <v>187</v>
      </c>
      <c r="AO76" s="31" t="s">
        <v>394</v>
      </c>
      <c r="AP76" s="31" t="s">
        <v>178</v>
      </c>
      <c r="AQ76" s="31" t="s">
        <v>178</v>
      </c>
      <c r="AR76" s="31" t="s">
        <v>178</v>
      </c>
    </row>
    <row r="77" spans="5:45" s="31" customFormat="1" ht="15" customHeight="1">
      <c r="E77" s="31" t="s">
        <v>460</v>
      </c>
      <c r="F77" s="31" t="s">
        <v>377</v>
      </c>
      <c r="G77" s="31" t="s">
        <v>440</v>
      </c>
      <c r="H77" s="31" t="s">
        <v>379</v>
      </c>
      <c r="I77" s="31" t="s">
        <v>79</v>
      </c>
      <c r="J77" s="31" t="s">
        <v>380</v>
      </c>
      <c r="K77" s="31" t="s">
        <v>406</v>
      </c>
      <c r="L77" s="31" t="s">
        <v>335</v>
      </c>
      <c r="M77" s="89" t="s">
        <v>403</v>
      </c>
      <c r="N77" s="89" t="s">
        <v>404</v>
      </c>
      <c r="O77" s="31">
        <v>16</v>
      </c>
      <c r="P77" s="31" t="s">
        <v>178</v>
      </c>
      <c r="Q77" s="31" t="s">
        <v>461</v>
      </c>
      <c r="R77" s="31" t="s">
        <v>385</v>
      </c>
      <c r="S77" s="31" t="s">
        <v>178</v>
      </c>
      <c r="T77" s="31" t="s">
        <v>178</v>
      </c>
      <c r="U77" s="31" t="s">
        <v>178</v>
      </c>
      <c r="V77" s="31" t="s">
        <v>178</v>
      </c>
      <c r="W77" s="31" t="s">
        <v>178</v>
      </c>
      <c r="X77" s="31" t="s">
        <v>178</v>
      </c>
      <c r="Z77" s="33">
        <v>0.9</v>
      </c>
      <c r="AA77" s="31" t="s">
        <v>178</v>
      </c>
      <c r="AB77" s="31" t="s">
        <v>178</v>
      </c>
      <c r="AC77" s="31" t="s">
        <v>178</v>
      </c>
      <c r="AD77" s="31" t="s">
        <v>178</v>
      </c>
      <c r="AE77" s="31" t="s">
        <v>178</v>
      </c>
      <c r="AF77" s="31" t="s">
        <v>178</v>
      </c>
      <c r="AG77" s="31" t="s">
        <v>178</v>
      </c>
      <c r="AH77" s="31" t="s">
        <v>390</v>
      </c>
      <c r="AI77" s="31" t="s">
        <v>178</v>
      </c>
      <c r="AJ77" s="31" t="s">
        <v>178</v>
      </c>
      <c r="AK77" s="31" t="s">
        <v>178</v>
      </c>
      <c r="AL77" s="31" t="s">
        <v>393</v>
      </c>
      <c r="AM77" s="31" t="s">
        <v>178</v>
      </c>
      <c r="AN77" s="31" t="s">
        <v>187</v>
      </c>
      <c r="AO77" s="31" t="s">
        <v>394</v>
      </c>
      <c r="AP77" s="31" t="s">
        <v>178</v>
      </c>
      <c r="AQ77" s="31" t="s">
        <v>178</v>
      </c>
      <c r="AR77" s="31" t="s">
        <v>178</v>
      </c>
    </row>
    <row r="78" spans="5:45" s="31" customFormat="1" ht="15" customHeight="1">
      <c r="E78" s="31" t="s">
        <v>460</v>
      </c>
      <c r="F78" s="31" t="s">
        <v>377</v>
      </c>
      <c r="G78" s="31" t="s">
        <v>440</v>
      </c>
      <c r="H78" s="31" t="s">
        <v>379</v>
      </c>
      <c r="I78" s="31" t="s">
        <v>79</v>
      </c>
      <c r="J78" s="31" t="s">
        <v>380</v>
      </c>
      <c r="K78" s="31" t="s">
        <v>407</v>
      </c>
      <c r="L78" s="31" t="s">
        <v>335</v>
      </c>
      <c r="M78" s="89" t="s">
        <v>403</v>
      </c>
      <c r="N78" s="89" t="s">
        <v>404</v>
      </c>
      <c r="O78" s="31">
        <v>16</v>
      </c>
      <c r="P78" s="31" t="s">
        <v>178</v>
      </c>
      <c r="Q78" s="31" t="s">
        <v>461</v>
      </c>
      <c r="R78" s="31" t="s">
        <v>385</v>
      </c>
      <c r="S78" s="31" t="s">
        <v>178</v>
      </c>
      <c r="T78" s="31" t="s">
        <v>178</v>
      </c>
      <c r="U78" s="31" t="s">
        <v>178</v>
      </c>
      <c r="V78" s="31" t="s">
        <v>178</v>
      </c>
      <c r="W78" s="31" t="s">
        <v>178</v>
      </c>
      <c r="X78" s="31" t="s">
        <v>178</v>
      </c>
      <c r="Z78" s="33">
        <v>0.9</v>
      </c>
      <c r="AA78" s="31" t="s">
        <v>178</v>
      </c>
      <c r="AB78" s="31" t="s">
        <v>178</v>
      </c>
      <c r="AC78" s="31" t="s">
        <v>178</v>
      </c>
      <c r="AD78" s="31" t="s">
        <v>178</v>
      </c>
      <c r="AE78" s="31" t="s">
        <v>178</v>
      </c>
      <c r="AF78" s="31" t="s">
        <v>178</v>
      </c>
      <c r="AG78" s="31" t="s">
        <v>178</v>
      </c>
      <c r="AH78" s="31" t="s">
        <v>390</v>
      </c>
      <c r="AI78" s="31" t="s">
        <v>178</v>
      </c>
      <c r="AJ78" s="31" t="s">
        <v>178</v>
      </c>
      <c r="AK78" s="31" t="s">
        <v>178</v>
      </c>
      <c r="AL78" s="31" t="s">
        <v>393</v>
      </c>
      <c r="AM78" s="31" t="s">
        <v>178</v>
      </c>
      <c r="AN78" s="31" t="s">
        <v>187</v>
      </c>
      <c r="AO78" s="31" t="s">
        <v>394</v>
      </c>
      <c r="AP78" s="31" t="s">
        <v>178</v>
      </c>
      <c r="AQ78" s="31" t="s">
        <v>178</v>
      </c>
      <c r="AR78" s="31" t="s">
        <v>178</v>
      </c>
    </row>
    <row r="79" spans="5:45" s="31" customFormat="1" ht="15" customHeight="1">
      <c r="E79" s="31" t="s">
        <v>460</v>
      </c>
      <c r="F79" s="31" t="s">
        <v>377</v>
      </c>
      <c r="G79" s="31" t="s">
        <v>440</v>
      </c>
      <c r="H79" s="31" t="s">
        <v>379</v>
      </c>
      <c r="I79" s="31" t="s">
        <v>79</v>
      </c>
      <c r="J79" s="31" t="s">
        <v>380</v>
      </c>
      <c r="K79" s="31" t="s">
        <v>408</v>
      </c>
      <c r="L79" s="31" t="s">
        <v>335</v>
      </c>
      <c r="M79" s="89" t="s">
        <v>403</v>
      </c>
      <c r="N79" s="89" t="s">
        <v>404</v>
      </c>
      <c r="O79" s="31">
        <v>16</v>
      </c>
      <c r="P79" s="31" t="s">
        <v>178</v>
      </c>
      <c r="Q79" s="31" t="s">
        <v>461</v>
      </c>
      <c r="R79" s="31" t="s">
        <v>385</v>
      </c>
      <c r="S79" s="31" t="s">
        <v>178</v>
      </c>
      <c r="T79" s="31" t="s">
        <v>178</v>
      </c>
      <c r="U79" s="31" t="s">
        <v>178</v>
      </c>
      <c r="V79" s="31" t="s">
        <v>178</v>
      </c>
      <c r="W79" s="31" t="s">
        <v>178</v>
      </c>
      <c r="X79" s="31" t="s">
        <v>178</v>
      </c>
      <c r="Z79" s="33">
        <v>0.9</v>
      </c>
      <c r="AA79" s="31" t="s">
        <v>178</v>
      </c>
      <c r="AB79" s="31" t="s">
        <v>178</v>
      </c>
      <c r="AC79" s="31" t="s">
        <v>178</v>
      </c>
      <c r="AD79" s="31" t="s">
        <v>178</v>
      </c>
      <c r="AE79" s="31" t="s">
        <v>178</v>
      </c>
      <c r="AF79" s="31" t="s">
        <v>178</v>
      </c>
      <c r="AG79" s="31" t="s">
        <v>178</v>
      </c>
      <c r="AH79" s="31" t="s">
        <v>390</v>
      </c>
      <c r="AI79" s="31" t="s">
        <v>178</v>
      </c>
      <c r="AJ79" s="31" t="s">
        <v>178</v>
      </c>
      <c r="AK79" s="31" t="s">
        <v>178</v>
      </c>
      <c r="AL79" s="31" t="s">
        <v>393</v>
      </c>
      <c r="AM79" s="31" t="s">
        <v>178</v>
      </c>
      <c r="AN79" s="31" t="s">
        <v>187</v>
      </c>
      <c r="AO79" s="31" t="s">
        <v>394</v>
      </c>
      <c r="AP79" s="31" t="s">
        <v>178</v>
      </c>
      <c r="AQ79" s="31" t="s">
        <v>178</v>
      </c>
      <c r="AR79" s="31" t="s">
        <v>178</v>
      </c>
    </row>
    <row r="80" spans="5:45" s="31" customFormat="1" ht="15" customHeight="1">
      <c r="E80" s="31" t="s">
        <v>460</v>
      </c>
      <c r="F80" s="31" t="s">
        <v>377</v>
      </c>
      <c r="G80" s="31" t="s">
        <v>440</v>
      </c>
      <c r="H80" s="31" t="s">
        <v>379</v>
      </c>
      <c r="I80" s="31" t="s">
        <v>79</v>
      </c>
      <c r="J80" s="31" t="s">
        <v>380</v>
      </c>
      <c r="K80" s="31" t="s">
        <v>409</v>
      </c>
      <c r="L80" s="31" t="s">
        <v>335</v>
      </c>
      <c r="M80" s="89" t="s">
        <v>403</v>
      </c>
      <c r="N80" s="89" t="s">
        <v>404</v>
      </c>
      <c r="O80" s="31">
        <v>16</v>
      </c>
      <c r="P80" s="31" t="s">
        <v>178</v>
      </c>
      <c r="Q80" s="31" t="s">
        <v>461</v>
      </c>
      <c r="R80" s="31" t="s">
        <v>385</v>
      </c>
      <c r="S80" s="31" t="s">
        <v>178</v>
      </c>
      <c r="T80" s="31" t="s">
        <v>178</v>
      </c>
      <c r="U80" s="31" t="s">
        <v>178</v>
      </c>
      <c r="V80" s="31" t="s">
        <v>178</v>
      </c>
      <c r="W80" s="31" t="s">
        <v>178</v>
      </c>
      <c r="X80" s="31" t="s">
        <v>178</v>
      </c>
      <c r="Z80" s="33">
        <v>0.9</v>
      </c>
      <c r="AA80" s="31" t="s">
        <v>178</v>
      </c>
      <c r="AB80" s="31" t="s">
        <v>178</v>
      </c>
      <c r="AC80" s="31" t="s">
        <v>178</v>
      </c>
      <c r="AD80" s="31" t="s">
        <v>178</v>
      </c>
      <c r="AE80" s="31" t="s">
        <v>178</v>
      </c>
      <c r="AF80" s="31" t="s">
        <v>178</v>
      </c>
      <c r="AG80" s="31" t="s">
        <v>178</v>
      </c>
      <c r="AH80" s="31" t="s">
        <v>390</v>
      </c>
      <c r="AI80" s="31" t="s">
        <v>178</v>
      </c>
      <c r="AJ80" s="31" t="s">
        <v>178</v>
      </c>
      <c r="AK80" s="31" t="s">
        <v>178</v>
      </c>
      <c r="AL80" s="31" t="s">
        <v>393</v>
      </c>
      <c r="AM80" s="31" t="s">
        <v>178</v>
      </c>
      <c r="AN80" s="31" t="s">
        <v>187</v>
      </c>
      <c r="AO80" s="31" t="s">
        <v>394</v>
      </c>
      <c r="AP80" s="31" t="s">
        <v>178</v>
      </c>
      <c r="AQ80" s="31" t="s">
        <v>178</v>
      </c>
      <c r="AR80" s="31" t="s">
        <v>178</v>
      </c>
    </row>
    <row r="81" spans="5:45" s="31" customFormat="1" ht="15" customHeight="1">
      <c r="E81" s="31" t="s">
        <v>460</v>
      </c>
      <c r="F81" s="31" t="s">
        <v>377</v>
      </c>
      <c r="G81" s="31" t="s">
        <v>440</v>
      </c>
      <c r="H81" s="31" t="s">
        <v>379</v>
      </c>
      <c r="I81" s="31" t="s">
        <v>79</v>
      </c>
      <c r="J81" s="31" t="s">
        <v>380</v>
      </c>
      <c r="K81" s="31" t="s">
        <v>410</v>
      </c>
      <c r="L81" s="31" t="s">
        <v>335</v>
      </c>
      <c r="M81" s="89" t="s">
        <v>403</v>
      </c>
      <c r="N81" s="89" t="s">
        <v>404</v>
      </c>
      <c r="O81" s="31">
        <v>16</v>
      </c>
      <c r="P81" s="31" t="s">
        <v>178</v>
      </c>
      <c r="Q81" s="31" t="s">
        <v>461</v>
      </c>
      <c r="R81" s="31" t="s">
        <v>385</v>
      </c>
      <c r="S81" s="31" t="s">
        <v>178</v>
      </c>
      <c r="T81" s="31" t="s">
        <v>178</v>
      </c>
      <c r="U81" s="31" t="s">
        <v>178</v>
      </c>
      <c r="V81" s="31" t="s">
        <v>178</v>
      </c>
      <c r="W81" s="31" t="s">
        <v>178</v>
      </c>
      <c r="X81" s="31" t="s">
        <v>178</v>
      </c>
      <c r="Z81" s="33">
        <v>0.9</v>
      </c>
      <c r="AA81" s="31" t="s">
        <v>178</v>
      </c>
      <c r="AB81" s="31" t="s">
        <v>178</v>
      </c>
      <c r="AC81" s="31" t="s">
        <v>178</v>
      </c>
      <c r="AD81" s="31" t="s">
        <v>178</v>
      </c>
      <c r="AE81" s="31" t="s">
        <v>178</v>
      </c>
      <c r="AF81" s="31" t="s">
        <v>178</v>
      </c>
      <c r="AG81" s="31" t="s">
        <v>178</v>
      </c>
      <c r="AH81" s="31" t="s">
        <v>390</v>
      </c>
      <c r="AI81" s="31" t="s">
        <v>178</v>
      </c>
      <c r="AJ81" s="31" t="s">
        <v>178</v>
      </c>
      <c r="AK81" s="31" t="s">
        <v>178</v>
      </c>
      <c r="AL81" s="31" t="s">
        <v>393</v>
      </c>
      <c r="AM81" s="31" t="s">
        <v>178</v>
      </c>
      <c r="AN81" s="31" t="s">
        <v>187</v>
      </c>
      <c r="AO81" s="31" t="s">
        <v>394</v>
      </c>
      <c r="AP81" s="31" t="s">
        <v>178</v>
      </c>
      <c r="AQ81" s="31" t="s">
        <v>178</v>
      </c>
      <c r="AR81" s="31" t="s">
        <v>178</v>
      </c>
    </row>
    <row r="82" spans="5:45" s="31" customFormat="1" ht="15" customHeight="1">
      <c r="E82" s="31" t="s">
        <v>460</v>
      </c>
      <c r="F82" s="31" t="s">
        <v>377</v>
      </c>
      <c r="G82" s="31" t="s">
        <v>440</v>
      </c>
      <c r="H82" s="31" t="s">
        <v>379</v>
      </c>
      <c r="I82" s="31" t="s">
        <v>79</v>
      </c>
      <c r="J82" s="31" t="s">
        <v>380</v>
      </c>
      <c r="K82" s="31" t="s">
        <v>411</v>
      </c>
      <c r="L82" s="31" t="s">
        <v>335</v>
      </c>
      <c r="M82" s="89" t="s">
        <v>403</v>
      </c>
      <c r="N82" s="89" t="s">
        <v>404</v>
      </c>
      <c r="O82" s="31">
        <v>16</v>
      </c>
      <c r="P82" s="31" t="s">
        <v>178</v>
      </c>
      <c r="Q82" s="31" t="s">
        <v>461</v>
      </c>
      <c r="R82" s="31" t="s">
        <v>385</v>
      </c>
      <c r="S82" s="31" t="s">
        <v>178</v>
      </c>
      <c r="T82" s="31" t="s">
        <v>178</v>
      </c>
      <c r="U82" s="31" t="s">
        <v>178</v>
      </c>
      <c r="V82" s="31" t="s">
        <v>178</v>
      </c>
      <c r="W82" s="31" t="s">
        <v>178</v>
      </c>
      <c r="X82" s="31" t="s">
        <v>178</v>
      </c>
      <c r="Z82" s="33">
        <v>0.9</v>
      </c>
      <c r="AA82" s="31" t="s">
        <v>178</v>
      </c>
      <c r="AB82" s="31" t="s">
        <v>178</v>
      </c>
      <c r="AC82" s="31" t="s">
        <v>178</v>
      </c>
      <c r="AD82" s="31" t="s">
        <v>178</v>
      </c>
      <c r="AE82" s="31" t="s">
        <v>178</v>
      </c>
      <c r="AF82" s="31" t="s">
        <v>178</v>
      </c>
      <c r="AG82" s="31" t="s">
        <v>178</v>
      </c>
      <c r="AH82" s="31" t="s">
        <v>390</v>
      </c>
      <c r="AI82" s="31" t="s">
        <v>178</v>
      </c>
      <c r="AJ82" s="31" t="s">
        <v>178</v>
      </c>
      <c r="AK82" s="31" t="s">
        <v>178</v>
      </c>
      <c r="AL82" s="31" t="s">
        <v>393</v>
      </c>
      <c r="AM82" s="31" t="s">
        <v>178</v>
      </c>
      <c r="AN82" s="31" t="s">
        <v>187</v>
      </c>
      <c r="AO82" s="31" t="s">
        <v>394</v>
      </c>
      <c r="AP82" s="31" t="s">
        <v>178</v>
      </c>
      <c r="AQ82" s="31" t="s">
        <v>178</v>
      </c>
      <c r="AR82" s="31" t="s">
        <v>178</v>
      </c>
    </row>
    <row r="83" spans="5:45" s="31" customFormat="1" ht="15" customHeight="1">
      <c r="M83" s="89"/>
      <c r="N83" s="89"/>
    </row>
    <row r="84" spans="5:45" s="31" customFormat="1" ht="15" customHeight="1">
      <c r="E84" s="31" t="s">
        <v>462</v>
      </c>
      <c r="F84" s="31" t="s">
        <v>172</v>
      </c>
      <c r="G84" s="31" t="s">
        <v>463</v>
      </c>
      <c r="H84" s="31" t="s">
        <v>464</v>
      </c>
      <c r="I84" s="31" t="s">
        <v>79</v>
      </c>
      <c r="J84" s="31" t="s">
        <v>175</v>
      </c>
      <c r="K84" s="31" t="s">
        <v>176</v>
      </c>
      <c r="L84" s="31" t="s">
        <v>335</v>
      </c>
      <c r="M84" s="89" t="s">
        <v>415</v>
      </c>
      <c r="N84" s="89" t="s">
        <v>416</v>
      </c>
      <c r="O84" s="31">
        <v>16</v>
      </c>
      <c r="P84" s="31" t="s">
        <v>178</v>
      </c>
      <c r="Q84" s="31" t="s">
        <v>465</v>
      </c>
      <c r="R84" s="31" t="s">
        <v>447</v>
      </c>
      <c r="S84" s="31" t="s">
        <v>178</v>
      </c>
      <c r="T84" s="31" t="s">
        <v>178</v>
      </c>
      <c r="U84" s="31" t="s">
        <v>178</v>
      </c>
      <c r="V84" s="31" t="s">
        <v>178</v>
      </c>
      <c r="W84" s="31" t="s">
        <v>178</v>
      </c>
      <c r="X84" s="31" t="s">
        <v>178</v>
      </c>
      <c r="Z84" s="33">
        <v>0.9</v>
      </c>
      <c r="AA84" s="31">
        <v>17</v>
      </c>
      <c r="AB84" s="94">
        <v>16</v>
      </c>
      <c r="AC84" s="94">
        <v>0.7</v>
      </c>
      <c r="AD84" s="94">
        <v>0.3</v>
      </c>
      <c r="AE84" s="31">
        <v>1.2</v>
      </c>
      <c r="AF84" s="31">
        <v>28</v>
      </c>
      <c r="AG84" s="31" t="s">
        <v>178</v>
      </c>
      <c r="AH84" s="31" t="s">
        <v>178</v>
      </c>
      <c r="AI84" s="31" t="s">
        <v>178</v>
      </c>
      <c r="AJ84" s="31" t="s">
        <v>178</v>
      </c>
      <c r="AK84" s="31" t="s">
        <v>178</v>
      </c>
      <c r="AL84" s="31" t="s">
        <v>420</v>
      </c>
      <c r="AM84" s="31" t="s">
        <v>178</v>
      </c>
      <c r="AN84" s="31" t="s">
        <v>450</v>
      </c>
      <c r="AO84" s="31" t="s">
        <v>451</v>
      </c>
      <c r="AP84" s="31" t="s">
        <v>178</v>
      </c>
      <c r="AQ84" s="31" t="s">
        <v>178</v>
      </c>
      <c r="AR84" s="31" t="s">
        <v>178</v>
      </c>
      <c r="AS84" s="31" t="s">
        <v>178</v>
      </c>
    </row>
    <row r="85" spans="5:45" s="31" customFormat="1" ht="15" customHeight="1">
      <c r="E85" s="31" t="s">
        <v>462</v>
      </c>
      <c r="F85" s="31" t="s">
        <v>172</v>
      </c>
      <c r="G85" s="31" t="s">
        <v>463</v>
      </c>
      <c r="H85" s="31" t="s">
        <v>464</v>
      </c>
      <c r="I85" s="31" t="s">
        <v>79</v>
      </c>
      <c r="J85" s="31" t="s">
        <v>175</v>
      </c>
      <c r="K85" s="31" t="s">
        <v>189</v>
      </c>
      <c r="L85" s="31" t="s">
        <v>335</v>
      </c>
      <c r="M85" s="89" t="s">
        <v>415</v>
      </c>
      <c r="N85" s="89" t="s">
        <v>416</v>
      </c>
      <c r="O85" s="31">
        <v>16</v>
      </c>
      <c r="P85" s="31" t="s">
        <v>178</v>
      </c>
      <c r="Q85" s="31" t="s">
        <v>465</v>
      </c>
      <c r="R85" s="31" t="s">
        <v>447</v>
      </c>
      <c r="S85" s="31" t="s">
        <v>178</v>
      </c>
      <c r="T85" s="31" t="s">
        <v>178</v>
      </c>
      <c r="U85" s="31" t="s">
        <v>178</v>
      </c>
      <c r="V85" s="31" t="s">
        <v>178</v>
      </c>
      <c r="W85" s="31" t="s">
        <v>178</v>
      </c>
      <c r="X85" s="31" t="s">
        <v>178</v>
      </c>
      <c r="Z85" s="33">
        <v>0.9</v>
      </c>
      <c r="AA85" s="31">
        <v>17</v>
      </c>
      <c r="AB85" s="94">
        <v>16</v>
      </c>
      <c r="AC85" s="94">
        <v>0.7</v>
      </c>
      <c r="AD85" s="94">
        <v>0.3</v>
      </c>
      <c r="AE85" s="31">
        <v>1.2</v>
      </c>
      <c r="AF85" s="31">
        <v>28</v>
      </c>
      <c r="AG85" s="31" t="s">
        <v>178</v>
      </c>
      <c r="AH85" s="31" t="s">
        <v>178</v>
      </c>
      <c r="AI85" s="31" t="s">
        <v>178</v>
      </c>
      <c r="AJ85" s="31" t="s">
        <v>178</v>
      </c>
      <c r="AK85" s="31" t="s">
        <v>178</v>
      </c>
      <c r="AL85" s="31" t="s">
        <v>420</v>
      </c>
      <c r="AM85" s="31" t="s">
        <v>178</v>
      </c>
      <c r="AN85" s="31" t="s">
        <v>450</v>
      </c>
      <c r="AO85" s="31" t="s">
        <v>451</v>
      </c>
      <c r="AP85" s="31" t="s">
        <v>178</v>
      </c>
      <c r="AQ85" s="31" t="s">
        <v>178</v>
      </c>
      <c r="AR85" s="31" t="s">
        <v>178</v>
      </c>
      <c r="AS85" s="31" t="s">
        <v>178</v>
      </c>
    </row>
    <row r="86" spans="5:45" s="31" customFormat="1" ht="15" customHeight="1">
      <c r="E86" s="31" t="s">
        <v>462</v>
      </c>
      <c r="F86" s="31" t="s">
        <v>172</v>
      </c>
      <c r="G86" s="31" t="s">
        <v>463</v>
      </c>
      <c r="H86" s="31" t="s">
        <v>464</v>
      </c>
      <c r="I86" s="31" t="s">
        <v>79</v>
      </c>
      <c r="J86" s="31" t="s">
        <v>175</v>
      </c>
      <c r="K86" s="31" t="s">
        <v>191</v>
      </c>
      <c r="L86" s="31" t="s">
        <v>335</v>
      </c>
      <c r="M86" s="89" t="s">
        <v>415</v>
      </c>
      <c r="N86" s="89" t="s">
        <v>416</v>
      </c>
      <c r="O86" s="31">
        <v>16</v>
      </c>
      <c r="P86" s="31" t="s">
        <v>178</v>
      </c>
      <c r="Q86" s="31" t="s">
        <v>465</v>
      </c>
      <c r="R86" s="31" t="s">
        <v>447</v>
      </c>
      <c r="S86" s="31" t="s">
        <v>178</v>
      </c>
      <c r="T86" s="31" t="s">
        <v>178</v>
      </c>
      <c r="U86" s="31" t="s">
        <v>178</v>
      </c>
      <c r="V86" s="31" t="s">
        <v>178</v>
      </c>
      <c r="W86" s="31" t="s">
        <v>178</v>
      </c>
      <c r="X86" s="31" t="s">
        <v>178</v>
      </c>
      <c r="Z86" s="33">
        <v>0.9</v>
      </c>
      <c r="AA86" s="31">
        <v>17</v>
      </c>
      <c r="AB86" s="94">
        <v>16</v>
      </c>
      <c r="AC86" s="94">
        <v>0.7</v>
      </c>
      <c r="AD86" s="94">
        <v>0.3</v>
      </c>
      <c r="AE86" s="31">
        <v>1.2</v>
      </c>
      <c r="AF86" s="31">
        <v>28</v>
      </c>
      <c r="AG86" s="31" t="s">
        <v>178</v>
      </c>
      <c r="AH86" s="31" t="s">
        <v>178</v>
      </c>
      <c r="AI86" s="31" t="s">
        <v>178</v>
      </c>
      <c r="AJ86" s="31" t="s">
        <v>178</v>
      </c>
      <c r="AK86" s="31" t="s">
        <v>178</v>
      </c>
      <c r="AL86" s="31" t="s">
        <v>420</v>
      </c>
      <c r="AM86" s="31" t="s">
        <v>178</v>
      </c>
      <c r="AN86" s="31" t="s">
        <v>450</v>
      </c>
      <c r="AO86" s="31" t="s">
        <v>451</v>
      </c>
      <c r="AP86" s="31" t="s">
        <v>178</v>
      </c>
      <c r="AQ86" s="31" t="s">
        <v>178</v>
      </c>
      <c r="AR86" s="31" t="s">
        <v>178</v>
      </c>
      <c r="AS86" s="31" t="s">
        <v>178</v>
      </c>
    </row>
    <row r="87" spans="5:45" s="31" customFormat="1" ht="15" customHeight="1">
      <c r="E87" s="31" t="s">
        <v>462</v>
      </c>
      <c r="F87" s="31" t="s">
        <v>172</v>
      </c>
      <c r="G87" s="31" t="s">
        <v>463</v>
      </c>
      <c r="H87" s="31" t="s">
        <v>464</v>
      </c>
      <c r="I87" s="31" t="s">
        <v>79</v>
      </c>
      <c r="J87" s="31" t="s">
        <v>175</v>
      </c>
      <c r="K87" s="31" t="s">
        <v>193</v>
      </c>
      <c r="L87" s="31" t="s">
        <v>335</v>
      </c>
      <c r="M87" s="89" t="s">
        <v>421</v>
      </c>
      <c r="N87" s="89" t="s">
        <v>422</v>
      </c>
      <c r="O87" s="31">
        <v>16</v>
      </c>
      <c r="P87" s="31" t="s">
        <v>178</v>
      </c>
      <c r="Q87" s="31" t="s">
        <v>465</v>
      </c>
      <c r="R87" s="31" t="s">
        <v>447</v>
      </c>
      <c r="S87" s="31" t="s">
        <v>178</v>
      </c>
      <c r="T87" s="31" t="s">
        <v>178</v>
      </c>
      <c r="U87" s="31" t="s">
        <v>178</v>
      </c>
      <c r="V87" s="31" t="s">
        <v>178</v>
      </c>
      <c r="W87" s="31" t="s">
        <v>178</v>
      </c>
      <c r="X87" s="31" t="s">
        <v>178</v>
      </c>
      <c r="Z87" s="33">
        <v>0.9</v>
      </c>
      <c r="AA87" s="31">
        <v>17</v>
      </c>
      <c r="AB87" s="94">
        <v>16</v>
      </c>
      <c r="AC87" s="94">
        <v>0.7</v>
      </c>
      <c r="AD87" s="94">
        <v>0.3</v>
      </c>
      <c r="AE87" s="31">
        <v>1.2</v>
      </c>
      <c r="AF87" s="31">
        <v>28</v>
      </c>
      <c r="AG87" s="31" t="s">
        <v>178</v>
      </c>
      <c r="AH87" s="31" t="s">
        <v>178</v>
      </c>
      <c r="AI87" s="31" t="s">
        <v>178</v>
      </c>
      <c r="AJ87" s="31" t="s">
        <v>178</v>
      </c>
      <c r="AK87" s="31" t="s">
        <v>178</v>
      </c>
      <c r="AL87" s="31" t="s">
        <v>420</v>
      </c>
      <c r="AM87" s="31" t="s">
        <v>178</v>
      </c>
      <c r="AN87" s="31" t="s">
        <v>450</v>
      </c>
      <c r="AO87" s="31" t="s">
        <v>451</v>
      </c>
      <c r="AP87" s="31" t="s">
        <v>178</v>
      </c>
      <c r="AQ87" s="31" t="s">
        <v>178</v>
      </c>
      <c r="AR87" s="31" t="s">
        <v>178</v>
      </c>
      <c r="AS87" s="31" t="s">
        <v>178</v>
      </c>
    </row>
    <row r="88" spans="5:45" s="31" customFormat="1" ht="15" customHeight="1">
      <c r="E88" s="31" t="s">
        <v>462</v>
      </c>
      <c r="F88" s="31" t="s">
        <v>172</v>
      </c>
      <c r="G88" s="31" t="s">
        <v>463</v>
      </c>
      <c r="H88" s="31" t="s">
        <v>464</v>
      </c>
      <c r="I88" s="31" t="s">
        <v>79</v>
      </c>
      <c r="J88" s="31" t="s">
        <v>175</v>
      </c>
      <c r="K88" s="31" t="s">
        <v>195</v>
      </c>
      <c r="L88" s="31" t="s">
        <v>335</v>
      </c>
      <c r="M88" s="89" t="s">
        <v>421</v>
      </c>
      <c r="N88" s="89" t="s">
        <v>422</v>
      </c>
      <c r="O88" s="31">
        <v>16</v>
      </c>
      <c r="P88" s="31" t="s">
        <v>178</v>
      </c>
      <c r="Q88" s="31" t="s">
        <v>465</v>
      </c>
      <c r="R88" s="31" t="s">
        <v>447</v>
      </c>
      <c r="S88" s="31" t="s">
        <v>178</v>
      </c>
      <c r="T88" s="31" t="s">
        <v>178</v>
      </c>
      <c r="U88" s="31" t="s">
        <v>178</v>
      </c>
      <c r="V88" s="31" t="s">
        <v>178</v>
      </c>
      <c r="W88" s="31" t="s">
        <v>178</v>
      </c>
      <c r="X88" s="31" t="s">
        <v>178</v>
      </c>
      <c r="Z88" s="33">
        <v>0.9</v>
      </c>
      <c r="AA88" s="31">
        <v>17</v>
      </c>
      <c r="AB88" s="94">
        <v>16</v>
      </c>
      <c r="AC88" s="94">
        <v>0.7</v>
      </c>
      <c r="AD88" s="94">
        <v>0.3</v>
      </c>
      <c r="AE88" s="31">
        <v>1.2</v>
      </c>
      <c r="AF88" s="31">
        <v>28</v>
      </c>
      <c r="AG88" s="31" t="s">
        <v>178</v>
      </c>
      <c r="AH88" s="31" t="s">
        <v>178</v>
      </c>
      <c r="AI88" s="31" t="s">
        <v>178</v>
      </c>
      <c r="AJ88" s="31" t="s">
        <v>178</v>
      </c>
      <c r="AK88" s="31" t="s">
        <v>178</v>
      </c>
      <c r="AL88" s="31" t="s">
        <v>420</v>
      </c>
      <c r="AM88" s="31" t="s">
        <v>178</v>
      </c>
      <c r="AN88" s="31" t="s">
        <v>450</v>
      </c>
      <c r="AO88" s="31" t="s">
        <v>451</v>
      </c>
      <c r="AP88" s="31" t="s">
        <v>178</v>
      </c>
      <c r="AQ88" s="31" t="s">
        <v>178</v>
      </c>
      <c r="AR88" s="31" t="s">
        <v>178</v>
      </c>
      <c r="AS88" s="31" t="s">
        <v>178</v>
      </c>
    </row>
    <row r="89" spans="5:45" s="31" customFormat="1" ht="15" customHeight="1">
      <c r="M89" s="89"/>
      <c r="N89" s="89"/>
    </row>
    <row r="90" spans="5:45" s="31" customFormat="1" ht="15" customHeight="1">
      <c r="E90" s="31" t="s">
        <v>466</v>
      </c>
      <c r="F90" s="31" t="s">
        <v>172</v>
      </c>
      <c r="G90" s="31" t="s">
        <v>467</v>
      </c>
      <c r="H90" s="31" t="s">
        <v>468</v>
      </c>
      <c r="I90" s="31" t="s">
        <v>79</v>
      </c>
      <c r="J90" s="31" t="s">
        <v>175</v>
      </c>
      <c r="K90" s="31" t="s">
        <v>176</v>
      </c>
      <c r="L90" s="31" t="s">
        <v>335</v>
      </c>
      <c r="M90" s="31" t="s">
        <v>425</v>
      </c>
      <c r="N90" s="31" t="s">
        <v>178</v>
      </c>
      <c r="O90" s="31">
        <v>16</v>
      </c>
      <c r="P90" s="31" t="s">
        <v>178</v>
      </c>
      <c r="Q90" s="31" t="s">
        <v>354</v>
      </c>
      <c r="R90" s="31" t="s">
        <v>469</v>
      </c>
      <c r="S90" s="31" t="s">
        <v>178</v>
      </c>
      <c r="T90" s="31" t="s">
        <v>178</v>
      </c>
      <c r="U90" s="31" t="s">
        <v>178</v>
      </c>
      <c r="V90" s="31" t="s">
        <v>178</v>
      </c>
      <c r="W90" s="31" t="s">
        <v>178</v>
      </c>
      <c r="X90" s="31" t="s">
        <v>178</v>
      </c>
      <c r="Y90" s="31" t="s">
        <v>178</v>
      </c>
      <c r="Z90" s="31" t="s">
        <v>178</v>
      </c>
      <c r="AA90" s="31" t="s">
        <v>178</v>
      </c>
      <c r="AB90" s="31" t="s">
        <v>178</v>
      </c>
      <c r="AC90" s="31" t="s">
        <v>178</v>
      </c>
      <c r="AD90" s="31" t="s">
        <v>178</v>
      </c>
      <c r="AE90" s="31" t="s">
        <v>178</v>
      </c>
      <c r="AF90" s="31" t="s">
        <v>178</v>
      </c>
      <c r="AG90" s="31" t="s">
        <v>178</v>
      </c>
      <c r="AH90" s="31" t="s">
        <v>470</v>
      </c>
      <c r="AI90" s="31" t="s">
        <v>453</v>
      </c>
      <c r="AJ90" s="31" t="s">
        <v>178</v>
      </c>
      <c r="AK90" s="31" t="s">
        <v>178</v>
      </c>
      <c r="AL90" s="31" t="s">
        <v>430</v>
      </c>
      <c r="AM90" s="31" t="s">
        <v>178</v>
      </c>
      <c r="AN90" s="31" t="s">
        <v>187</v>
      </c>
      <c r="AO90" s="31" t="s">
        <v>178</v>
      </c>
    </row>
    <row r="91" spans="5:45" s="31" customFormat="1" ht="15" customHeight="1">
      <c r="E91" s="31" t="s">
        <v>466</v>
      </c>
      <c r="F91" s="31" t="s">
        <v>172</v>
      </c>
      <c r="G91" s="31" t="s">
        <v>467</v>
      </c>
      <c r="H91" s="31" t="s">
        <v>468</v>
      </c>
      <c r="I91" s="31" t="s">
        <v>79</v>
      </c>
      <c r="J91" s="31" t="s">
        <v>175</v>
      </c>
      <c r="K91" s="31" t="s">
        <v>189</v>
      </c>
      <c r="L91" s="31" t="s">
        <v>335</v>
      </c>
      <c r="M91" s="31" t="s">
        <v>425</v>
      </c>
      <c r="N91" s="31" t="s">
        <v>178</v>
      </c>
      <c r="O91" s="31">
        <v>16</v>
      </c>
      <c r="P91" s="31" t="s">
        <v>178</v>
      </c>
      <c r="Q91" s="31" t="s">
        <v>354</v>
      </c>
      <c r="R91" s="31" t="s">
        <v>469</v>
      </c>
      <c r="S91" s="31" t="s">
        <v>178</v>
      </c>
      <c r="T91" s="31" t="s">
        <v>178</v>
      </c>
      <c r="U91" s="31" t="s">
        <v>178</v>
      </c>
      <c r="V91" s="31" t="s">
        <v>178</v>
      </c>
      <c r="W91" s="31" t="s">
        <v>178</v>
      </c>
      <c r="X91" s="31" t="s">
        <v>178</v>
      </c>
      <c r="Y91" s="31" t="s">
        <v>178</v>
      </c>
      <c r="Z91" s="31" t="s">
        <v>178</v>
      </c>
      <c r="AA91" s="31" t="s">
        <v>178</v>
      </c>
      <c r="AB91" s="31" t="s">
        <v>178</v>
      </c>
      <c r="AC91" s="31" t="s">
        <v>178</v>
      </c>
      <c r="AD91" s="31" t="s">
        <v>178</v>
      </c>
      <c r="AE91" s="31" t="s">
        <v>178</v>
      </c>
      <c r="AF91" s="31" t="s">
        <v>178</v>
      </c>
      <c r="AG91" s="31" t="s">
        <v>178</v>
      </c>
      <c r="AH91" s="31" t="s">
        <v>470</v>
      </c>
      <c r="AI91" s="31" t="s">
        <v>453</v>
      </c>
      <c r="AJ91" s="31" t="s">
        <v>178</v>
      </c>
      <c r="AK91" s="31" t="s">
        <v>178</v>
      </c>
      <c r="AL91" s="31" t="s">
        <v>430</v>
      </c>
      <c r="AM91" s="31" t="s">
        <v>178</v>
      </c>
      <c r="AN91" s="31" t="s">
        <v>187</v>
      </c>
      <c r="AO91" s="31" t="s">
        <v>178</v>
      </c>
    </row>
    <row r="92" spans="5:45" s="31" customFormat="1" ht="15" customHeight="1">
      <c r="E92" s="31" t="s">
        <v>466</v>
      </c>
      <c r="F92" s="31" t="s">
        <v>172</v>
      </c>
      <c r="G92" s="31" t="s">
        <v>467</v>
      </c>
      <c r="H92" s="31" t="s">
        <v>468</v>
      </c>
      <c r="I92" s="31" t="s">
        <v>79</v>
      </c>
      <c r="J92" s="31" t="s">
        <v>175</v>
      </c>
      <c r="K92" s="31" t="s">
        <v>191</v>
      </c>
      <c r="L92" s="31" t="s">
        <v>335</v>
      </c>
      <c r="M92" s="31" t="s">
        <v>425</v>
      </c>
      <c r="N92" s="31" t="s">
        <v>178</v>
      </c>
      <c r="O92" s="31">
        <v>16</v>
      </c>
      <c r="P92" s="31" t="s">
        <v>178</v>
      </c>
      <c r="Q92" s="31" t="s">
        <v>354</v>
      </c>
      <c r="R92" s="31" t="s">
        <v>469</v>
      </c>
      <c r="S92" s="31" t="s">
        <v>178</v>
      </c>
      <c r="T92" s="31" t="s">
        <v>178</v>
      </c>
      <c r="U92" s="31" t="s">
        <v>178</v>
      </c>
      <c r="V92" s="31" t="s">
        <v>178</v>
      </c>
      <c r="W92" s="31" t="s">
        <v>178</v>
      </c>
      <c r="X92" s="31" t="s">
        <v>178</v>
      </c>
      <c r="Y92" s="31" t="s">
        <v>178</v>
      </c>
      <c r="Z92" s="31" t="s">
        <v>178</v>
      </c>
      <c r="AA92" s="31" t="s">
        <v>178</v>
      </c>
      <c r="AB92" s="31" t="s">
        <v>178</v>
      </c>
      <c r="AC92" s="31" t="s">
        <v>178</v>
      </c>
      <c r="AD92" s="31" t="s">
        <v>178</v>
      </c>
      <c r="AE92" s="31" t="s">
        <v>178</v>
      </c>
      <c r="AF92" s="31" t="s">
        <v>178</v>
      </c>
      <c r="AG92" s="31" t="s">
        <v>178</v>
      </c>
      <c r="AH92" s="31" t="s">
        <v>470</v>
      </c>
      <c r="AI92" s="31" t="s">
        <v>453</v>
      </c>
      <c r="AJ92" s="31" t="s">
        <v>178</v>
      </c>
      <c r="AK92" s="31" t="s">
        <v>178</v>
      </c>
      <c r="AL92" s="31" t="s">
        <v>430</v>
      </c>
      <c r="AM92" s="31" t="s">
        <v>178</v>
      </c>
      <c r="AN92" s="31" t="s">
        <v>187</v>
      </c>
      <c r="AO92" s="31" t="s">
        <v>178</v>
      </c>
    </row>
    <row r="93" spans="5:45" s="31" customFormat="1" ht="15" customHeight="1">
      <c r="E93" s="31" t="s">
        <v>466</v>
      </c>
      <c r="F93" s="31" t="s">
        <v>172</v>
      </c>
      <c r="G93" s="31" t="s">
        <v>467</v>
      </c>
      <c r="H93" s="31" t="s">
        <v>468</v>
      </c>
      <c r="I93" s="31" t="s">
        <v>79</v>
      </c>
      <c r="J93" s="31" t="s">
        <v>175</v>
      </c>
      <c r="K93" s="31" t="s">
        <v>193</v>
      </c>
      <c r="L93" s="31" t="s">
        <v>335</v>
      </c>
      <c r="M93" s="31" t="s">
        <v>425</v>
      </c>
      <c r="N93" s="31" t="s">
        <v>178</v>
      </c>
      <c r="O93" s="31">
        <v>16</v>
      </c>
      <c r="P93" s="31" t="s">
        <v>178</v>
      </c>
      <c r="Q93" s="31" t="s">
        <v>354</v>
      </c>
      <c r="R93" s="31" t="s">
        <v>469</v>
      </c>
      <c r="S93" s="31" t="s">
        <v>178</v>
      </c>
      <c r="T93" s="31" t="s">
        <v>178</v>
      </c>
      <c r="U93" s="31" t="s">
        <v>178</v>
      </c>
      <c r="V93" s="31" t="s">
        <v>178</v>
      </c>
      <c r="W93" s="31" t="s">
        <v>178</v>
      </c>
      <c r="X93" s="31" t="s">
        <v>178</v>
      </c>
      <c r="Y93" s="31" t="s">
        <v>178</v>
      </c>
      <c r="Z93" s="31" t="s">
        <v>178</v>
      </c>
      <c r="AA93" s="31" t="s">
        <v>178</v>
      </c>
      <c r="AB93" s="31" t="s">
        <v>178</v>
      </c>
      <c r="AC93" s="31" t="s">
        <v>178</v>
      </c>
      <c r="AD93" s="31" t="s">
        <v>178</v>
      </c>
      <c r="AE93" s="31" t="s">
        <v>178</v>
      </c>
      <c r="AF93" s="31" t="s">
        <v>178</v>
      </c>
      <c r="AG93" s="31" t="s">
        <v>178</v>
      </c>
      <c r="AH93" s="31" t="s">
        <v>470</v>
      </c>
      <c r="AI93" s="31" t="s">
        <v>453</v>
      </c>
      <c r="AJ93" s="31" t="s">
        <v>178</v>
      </c>
      <c r="AK93" s="31" t="s">
        <v>178</v>
      </c>
      <c r="AL93" s="31" t="s">
        <v>430</v>
      </c>
      <c r="AM93" s="31" t="s">
        <v>178</v>
      </c>
      <c r="AN93" s="31" t="s">
        <v>187</v>
      </c>
      <c r="AO93" s="31" t="s">
        <v>178</v>
      </c>
    </row>
    <row r="94" spans="5:45" s="31" customFormat="1" ht="15" customHeight="1">
      <c r="E94" s="31" t="s">
        <v>466</v>
      </c>
      <c r="F94" s="31" t="s">
        <v>172</v>
      </c>
      <c r="G94" s="31" t="s">
        <v>467</v>
      </c>
      <c r="H94" s="31" t="s">
        <v>468</v>
      </c>
      <c r="I94" s="31" t="s">
        <v>79</v>
      </c>
      <c r="J94" s="31" t="s">
        <v>175</v>
      </c>
      <c r="K94" s="31" t="s">
        <v>195</v>
      </c>
      <c r="L94" s="31" t="s">
        <v>335</v>
      </c>
      <c r="M94" s="31" t="s">
        <v>425</v>
      </c>
      <c r="N94" s="31" t="s">
        <v>178</v>
      </c>
      <c r="O94" s="31">
        <v>16</v>
      </c>
      <c r="P94" s="31" t="s">
        <v>178</v>
      </c>
      <c r="Q94" s="31" t="s">
        <v>354</v>
      </c>
      <c r="R94" s="31" t="s">
        <v>469</v>
      </c>
      <c r="S94" s="31" t="s">
        <v>178</v>
      </c>
      <c r="T94" s="31" t="s">
        <v>178</v>
      </c>
      <c r="U94" s="31" t="s">
        <v>178</v>
      </c>
      <c r="V94" s="31" t="s">
        <v>178</v>
      </c>
      <c r="W94" s="31" t="s">
        <v>178</v>
      </c>
      <c r="X94" s="31" t="s">
        <v>178</v>
      </c>
      <c r="Y94" s="31" t="s">
        <v>178</v>
      </c>
      <c r="Z94" s="31" t="s">
        <v>178</v>
      </c>
      <c r="AA94" s="31" t="s">
        <v>178</v>
      </c>
      <c r="AB94" s="31" t="s">
        <v>178</v>
      </c>
      <c r="AC94" s="31" t="s">
        <v>178</v>
      </c>
      <c r="AD94" s="31" t="s">
        <v>178</v>
      </c>
      <c r="AE94" s="31" t="s">
        <v>178</v>
      </c>
      <c r="AF94" s="31" t="s">
        <v>178</v>
      </c>
      <c r="AG94" s="31" t="s">
        <v>178</v>
      </c>
      <c r="AH94" s="31" t="s">
        <v>470</v>
      </c>
      <c r="AI94" s="31" t="s">
        <v>453</v>
      </c>
      <c r="AJ94" s="31" t="s">
        <v>178</v>
      </c>
      <c r="AK94" s="31" t="s">
        <v>178</v>
      </c>
      <c r="AL94" s="31" t="s">
        <v>430</v>
      </c>
      <c r="AM94" s="31" t="s">
        <v>178</v>
      </c>
      <c r="AN94" s="31" t="s">
        <v>187</v>
      </c>
      <c r="AO94" s="31" t="s">
        <v>178</v>
      </c>
    </row>
    <row r="95" spans="5:45" s="31" customFormat="1" ht="15" customHeight="1">
      <c r="M95" s="89"/>
    </row>
    <row r="122" spans="18:18" s="31" customFormat="1" ht="15" customHeight="1"/>
    <row r="123" spans="18:18" s="31" customFormat="1" ht="15" customHeight="1">
      <c r="R123" s="90"/>
    </row>
    <row r="124" spans="18:18" s="31" customFormat="1" ht="15" customHeight="1">
      <c r="R124" s="90"/>
    </row>
    <row r="125" spans="18:18" s="31" customFormat="1" ht="15" customHeight="1">
      <c r="R125" s="90"/>
    </row>
    <row r="126" spans="18:18" s="31" customFormat="1" ht="15" customHeight="1">
      <c r="R126" s="90"/>
    </row>
    <row r="127" spans="18:18" s="31" customFormat="1" ht="15" customHeight="1">
      <c r="R127" s="90"/>
    </row>
    <row r="128" spans="18:18" s="31" customFormat="1" ht="15" customHeight="1"/>
    <row r="129" s="31" customFormat="1" ht="15" customHeight="1"/>
    <row r="130" s="31" customFormat="1" ht="15" customHeight="1"/>
    <row r="131" s="31" customFormat="1" ht="15" customHeight="1"/>
    <row r="132" s="31" customFormat="1" ht="15" customHeight="1"/>
    <row r="133" s="31" customFormat="1" ht="15" customHeight="1"/>
    <row r="134" s="31" customFormat="1" ht="15" customHeight="1"/>
    <row r="135" s="31" customFormat="1" ht="15" customHeight="1"/>
    <row r="136" s="31" customFormat="1" ht="15" customHeight="1"/>
    <row r="137" s="31" customFormat="1" ht="15" customHeight="1"/>
    <row r="138" s="31" customFormat="1" ht="15" customHeight="1"/>
    <row r="139" s="31" customFormat="1" ht="15" customHeight="1"/>
    <row r="140" s="31" customFormat="1" ht="15" customHeight="1"/>
    <row r="141" s="31" customFormat="1" ht="15" customHeight="1"/>
    <row r="142" s="31" customFormat="1" ht="15" customHeight="1"/>
    <row r="143" s="31" customFormat="1" ht="15" customHeight="1"/>
    <row r="144" s="31" customFormat="1" ht="15" customHeight="1"/>
    <row r="145" s="31" customFormat="1" ht="15" customHeight="1"/>
    <row r="146" s="31" customFormat="1" ht="15" customHeight="1"/>
    <row r="147" s="31" customFormat="1" ht="15" customHeight="1"/>
    <row r="148" s="31" customFormat="1" ht="15" customHeight="1"/>
    <row r="149" s="31" customFormat="1" ht="15" customHeight="1"/>
    <row r="150" s="31" customFormat="1" ht="15" customHeight="1"/>
    <row r="151" s="31" customFormat="1" ht="15" customHeight="1"/>
    <row r="152" s="31" customFormat="1" ht="15" customHeight="1"/>
    <row r="153" s="31" customFormat="1" ht="15" customHeight="1"/>
    <row r="154" s="31" customFormat="1" ht="15" customHeight="1"/>
    <row r="155" s="31" customFormat="1" ht="15" customHeight="1"/>
    <row r="156" s="31" customFormat="1" ht="15" customHeight="1"/>
    <row r="157" s="31" customFormat="1" ht="15" customHeight="1"/>
    <row r="158" s="31" customFormat="1" ht="15" customHeight="1"/>
  </sheetData>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FAA-410A-41C6-AACD-A3C0E1178919}">
  <dimension ref="A1:AA30"/>
  <sheetViews>
    <sheetView topLeftCell="D1" zoomScale="80" zoomScaleNormal="80" workbookViewId="0">
      <pane xSplit="2" ySplit="4" topLeftCell="F17" activePane="bottomRight" state="frozen"/>
      <selection pane="bottomRight" activeCell="M32" sqref="M32"/>
      <selection pane="bottomLeft" activeCell="D5" sqref="D5"/>
      <selection pane="topRight" activeCell="F1" sqref="F1"/>
    </sheetView>
  </sheetViews>
  <sheetFormatPr defaultRowHeight="15"/>
  <cols>
    <col min="5" max="5" width="35.7109375" bestFit="1" customWidth="1"/>
    <col min="6" max="6" width="23.5703125" bestFit="1" customWidth="1"/>
    <col min="7" max="7" width="15.7109375" bestFit="1" customWidth="1"/>
    <col min="8" max="8" width="14.7109375" bestFit="1" customWidth="1"/>
    <col min="9" max="9" width="10.5703125" customWidth="1"/>
    <col min="10" max="10" width="11.28515625" customWidth="1"/>
    <col min="11" max="11" width="11.42578125" customWidth="1"/>
    <col min="12" max="12" width="18.140625" customWidth="1"/>
    <col min="13" max="13" width="20.5703125" customWidth="1"/>
    <col min="14" max="14" width="16.85546875" customWidth="1"/>
    <col min="15" max="15" width="136.85546875" bestFit="1" customWidth="1"/>
    <col min="16" max="16" width="158.5703125" customWidth="1"/>
    <col min="17" max="17" width="23" customWidth="1"/>
    <col min="18" max="18" width="24.28515625" customWidth="1"/>
    <col min="19" max="19" width="24.28515625" bestFit="1" customWidth="1"/>
    <col min="20" max="20" width="22" bestFit="1" customWidth="1"/>
    <col min="21" max="21" width="18.140625" bestFit="1" customWidth="1"/>
    <col min="22" max="22" width="31.5703125" bestFit="1" customWidth="1"/>
    <col min="23" max="23" width="31.5703125" customWidth="1"/>
    <col min="24" max="24" width="29.42578125" bestFit="1" customWidth="1"/>
    <col min="25" max="25" width="17.7109375" bestFit="1" customWidth="1"/>
    <col min="26" max="26" width="34.28515625" bestFit="1" customWidth="1"/>
    <col min="27" max="27" width="22.140625" customWidth="1"/>
  </cols>
  <sheetData>
    <row r="1" spans="1:27"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17" t="s">
        <v>99</v>
      </c>
      <c r="P1" s="13" t="s">
        <v>100</v>
      </c>
      <c r="Q1" s="24" t="s">
        <v>101</v>
      </c>
      <c r="R1" s="13" t="s">
        <v>101</v>
      </c>
      <c r="S1" s="12" t="s">
        <v>102</v>
      </c>
      <c r="T1" s="13" t="s">
        <v>103</v>
      </c>
      <c r="U1" s="12" t="s">
        <v>104</v>
      </c>
      <c r="V1" s="17" t="s">
        <v>105</v>
      </c>
      <c r="W1" s="97" t="s">
        <v>471</v>
      </c>
      <c r="X1" s="13" t="s">
        <v>107</v>
      </c>
      <c r="Y1" s="24" t="s">
        <v>107</v>
      </c>
      <c r="Z1" s="12" t="s">
        <v>110</v>
      </c>
      <c r="AA1" s="12" t="s">
        <v>472</v>
      </c>
    </row>
    <row r="2" spans="1:27" ht="38.25" customHeight="1">
      <c r="A2" s="19" t="s">
        <v>35</v>
      </c>
      <c r="B2" s="1" t="s">
        <v>118</v>
      </c>
      <c r="C2" s="2" t="s">
        <v>119</v>
      </c>
      <c r="D2" s="2"/>
      <c r="E2" s="3" t="s">
        <v>120</v>
      </c>
      <c r="F2" s="4" t="s">
        <v>121</v>
      </c>
      <c r="G2" s="3" t="s">
        <v>122</v>
      </c>
      <c r="H2" s="4" t="s">
        <v>123</v>
      </c>
      <c r="I2" s="25"/>
      <c r="J2" s="25"/>
      <c r="K2" s="25"/>
      <c r="L2" s="25"/>
      <c r="M2" s="25"/>
      <c r="N2" s="25"/>
      <c r="O2" s="2" t="s">
        <v>129</v>
      </c>
      <c r="P2" s="4" t="s">
        <v>130</v>
      </c>
      <c r="Q2" s="25" t="s">
        <v>131</v>
      </c>
      <c r="R2" s="4" t="s">
        <v>132</v>
      </c>
      <c r="S2" s="3" t="s">
        <v>133</v>
      </c>
      <c r="T2" s="4" t="s">
        <v>134</v>
      </c>
      <c r="U2" s="3" t="s">
        <v>135</v>
      </c>
      <c r="V2" s="2" t="s">
        <v>136</v>
      </c>
      <c r="W2" s="2"/>
      <c r="X2" s="4" t="s">
        <v>138</v>
      </c>
      <c r="Y2" s="25" t="s">
        <v>138</v>
      </c>
      <c r="Z2" s="3" t="s">
        <v>139</v>
      </c>
      <c r="AA2" s="3"/>
    </row>
    <row r="3" spans="1:27" ht="39" customHeight="1">
      <c r="A3" s="19" t="s">
        <v>58</v>
      </c>
      <c r="B3" s="1" t="s">
        <v>146</v>
      </c>
      <c r="C3" s="2" t="s">
        <v>147</v>
      </c>
      <c r="D3" s="2"/>
      <c r="E3" s="3" t="s">
        <v>148</v>
      </c>
      <c r="F3" s="4" t="s">
        <v>149</v>
      </c>
      <c r="G3" s="3" t="s">
        <v>372</v>
      </c>
      <c r="H3" s="4" t="s">
        <v>373</v>
      </c>
      <c r="I3" s="25"/>
      <c r="J3" s="25"/>
      <c r="K3" s="25"/>
      <c r="L3" s="25"/>
      <c r="M3" s="25"/>
      <c r="N3" s="25"/>
      <c r="O3" s="2" t="s">
        <v>151</v>
      </c>
      <c r="P3" s="4" t="s">
        <v>152</v>
      </c>
      <c r="Q3" s="25">
        <v>7.5</v>
      </c>
      <c r="R3" s="4" t="s">
        <v>153</v>
      </c>
      <c r="S3" s="3" t="s">
        <v>154</v>
      </c>
      <c r="T3" s="4" t="s">
        <v>155</v>
      </c>
      <c r="U3" s="3" t="s">
        <v>156</v>
      </c>
      <c r="V3" s="2" t="s">
        <v>157</v>
      </c>
      <c r="W3" s="2"/>
      <c r="X3" s="4" t="s">
        <v>473</v>
      </c>
      <c r="Y3" s="25" t="s">
        <v>474</v>
      </c>
      <c r="Z3" s="3" t="s">
        <v>163</v>
      </c>
      <c r="AA3" s="3"/>
    </row>
    <row r="4" spans="1:27" ht="13.5" customHeight="1">
      <c r="A4" s="19" t="s">
        <v>72</v>
      </c>
      <c r="B4" s="5" t="s">
        <v>73</v>
      </c>
      <c r="C4" s="6" t="s">
        <v>73</v>
      </c>
      <c r="D4" s="6"/>
      <c r="E4" s="8" t="s">
        <v>73</v>
      </c>
      <c r="F4" s="9" t="s">
        <v>73</v>
      </c>
      <c r="G4" s="8" t="s">
        <v>73</v>
      </c>
      <c r="H4" s="9" t="s">
        <v>73</v>
      </c>
      <c r="I4" s="30"/>
      <c r="J4" s="30"/>
      <c r="K4" s="30"/>
      <c r="L4" s="30"/>
      <c r="M4" s="30"/>
      <c r="N4" s="30"/>
      <c r="O4" s="7" t="s">
        <v>74</v>
      </c>
      <c r="P4" s="10" t="s">
        <v>74</v>
      </c>
      <c r="Q4" s="26" t="s">
        <v>74</v>
      </c>
      <c r="R4" s="10" t="s">
        <v>74</v>
      </c>
      <c r="S4" s="11" t="s">
        <v>74</v>
      </c>
      <c r="T4" s="10" t="s">
        <v>74</v>
      </c>
      <c r="U4" s="11" t="s">
        <v>74</v>
      </c>
      <c r="V4" s="7" t="s">
        <v>74</v>
      </c>
      <c r="W4" s="7"/>
      <c r="X4" s="10" t="s">
        <v>74</v>
      </c>
      <c r="Y4" s="26" t="s">
        <v>74</v>
      </c>
      <c r="Z4" s="11" t="s">
        <v>74</v>
      </c>
      <c r="AA4" s="11"/>
    </row>
    <row r="5" spans="1:27" s="31" customFormat="1" ht="15" customHeight="1">
      <c r="E5" s="31" t="s">
        <v>475</v>
      </c>
      <c r="F5" s="31" t="s">
        <v>172</v>
      </c>
      <c r="G5" s="31" t="s">
        <v>476</v>
      </c>
      <c r="H5" s="31" t="s">
        <v>477</v>
      </c>
      <c r="I5" s="31" t="s">
        <v>79</v>
      </c>
      <c r="J5" s="31" t="s">
        <v>478</v>
      </c>
      <c r="K5" s="31" t="s">
        <v>178</v>
      </c>
      <c r="L5" s="31" t="s">
        <v>479</v>
      </c>
      <c r="M5" s="31" t="s">
        <v>480</v>
      </c>
      <c r="N5" s="31" t="s">
        <v>178</v>
      </c>
      <c r="O5" s="31" t="s">
        <v>481</v>
      </c>
      <c r="P5" s="31" t="s">
        <v>482</v>
      </c>
      <c r="Q5" s="31" t="s">
        <v>483</v>
      </c>
      <c r="R5" s="86" t="s">
        <v>484</v>
      </c>
      <c r="S5" s="86" t="s">
        <v>485</v>
      </c>
      <c r="T5" s="31" t="s">
        <v>486</v>
      </c>
      <c r="U5" s="88">
        <v>1.2E-2</v>
      </c>
      <c r="V5" s="31" t="s">
        <v>487</v>
      </c>
      <c r="W5" s="31" t="s">
        <v>178</v>
      </c>
      <c r="X5" s="31">
        <v>20.5</v>
      </c>
      <c r="Y5" s="31" t="s">
        <v>488</v>
      </c>
      <c r="Z5" s="31" t="s">
        <v>489</v>
      </c>
      <c r="AA5" s="31" t="s">
        <v>178</v>
      </c>
    </row>
    <row r="6" spans="1:27" s="31" customFormat="1" ht="15" customHeight="1">
      <c r="E6" s="31" t="s">
        <v>475</v>
      </c>
      <c r="F6" s="31" t="s">
        <v>172</v>
      </c>
      <c r="G6" s="31" t="s">
        <v>476</v>
      </c>
      <c r="H6" s="31" t="s">
        <v>477</v>
      </c>
      <c r="I6" s="31" t="s">
        <v>79</v>
      </c>
      <c r="J6" s="31" t="s">
        <v>490</v>
      </c>
      <c r="K6" s="31" t="s">
        <v>178</v>
      </c>
      <c r="L6" s="31" t="s">
        <v>479</v>
      </c>
      <c r="M6" s="31" t="s">
        <v>491</v>
      </c>
      <c r="N6" s="31" t="s">
        <v>178</v>
      </c>
      <c r="O6" s="31" t="s">
        <v>481</v>
      </c>
      <c r="P6" s="31" t="s">
        <v>482</v>
      </c>
      <c r="Q6" s="31" t="s">
        <v>483</v>
      </c>
      <c r="R6" s="86" t="s">
        <v>484</v>
      </c>
      <c r="S6" s="86" t="s">
        <v>485</v>
      </c>
      <c r="T6" s="31" t="s">
        <v>486</v>
      </c>
      <c r="U6" s="88">
        <v>1.2E-2</v>
      </c>
      <c r="V6" s="31" t="s">
        <v>487</v>
      </c>
      <c r="W6" s="31" t="s">
        <v>178</v>
      </c>
      <c r="X6" s="31">
        <v>20.5</v>
      </c>
      <c r="Y6" s="31" t="s">
        <v>488</v>
      </c>
      <c r="Z6" s="31" t="s">
        <v>489</v>
      </c>
      <c r="AA6" s="31" t="s">
        <v>178</v>
      </c>
    </row>
    <row r="7" spans="1:27" s="31" customFormat="1" ht="15" customHeight="1">
      <c r="E7" s="31" t="s">
        <v>475</v>
      </c>
      <c r="F7" s="31" t="s">
        <v>172</v>
      </c>
      <c r="G7" s="31" t="s">
        <v>476</v>
      </c>
      <c r="H7" s="31" t="s">
        <v>477</v>
      </c>
      <c r="I7" s="31" t="s">
        <v>79</v>
      </c>
      <c r="J7" s="31" t="s">
        <v>492</v>
      </c>
      <c r="K7" s="31" t="s">
        <v>178</v>
      </c>
      <c r="L7" s="31" t="s">
        <v>479</v>
      </c>
      <c r="M7" s="31" t="s">
        <v>493</v>
      </c>
      <c r="N7" s="31" t="s">
        <v>178</v>
      </c>
      <c r="O7" s="31" t="s">
        <v>481</v>
      </c>
      <c r="P7" s="31" t="s">
        <v>482</v>
      </c>
      <c r="Q7" s="31" t="s">
        <v>483</v>
      </c>
      <c r="R7" s="86" t="s">
        <v>484</v>
      </c>
      <c r="S7" s="86" t="s">
        <v>485</v>
      </c>
      <c r="T7" s="31" t="s">
        <v>486</v>
      </c>
      <c r="U7" s="88">
        <v>1.2E-2</v>
      </c>
      <c r="V7" s="31" t="s">
        <v>487</v>
      </c>
      <c r="W7" s="31" t="s">
        <v>178</v>
      </c>
      <c r="X7" s="31">
        <v>20.5</v>
      </c>
      <c r="Y7" s="31" t="s">
        <v>488</v>
      </c>
      <c r="Z7" s="31" t="s">
        <v>489</v>
      </c>
      <c r="AA7" s="31" t="s">
        <v>178</v>
      </c>
    </row>
    <row r="8" spans="1:27" s="31" customFormat="1" ht="15" customHeight="1">
      <c r="E8" s="31" t="s">
        <v>475</v>
      </c>
      <c r="F8" s="31" t="s">
        <v>172</v>
      </c>
      <c r="G8" s="31" t="s">
        <v>476</v>
      </c>
      <c r="H8" s="31" t="s">
        <v>477</v>
      </c>
      <c r="I8" s="31" t="s">
        <v>79</v>
      </c>
      <c r="J8" s="31" t="s">
        <v>494</v>
      </c>
      <c r="K8" s="31" t="s">
        <v>178</v>
      </c>
      <c r="L8" s="31" t="s">
        <v>479</v>
      </c>
      <c r="M8" s="31" t="s">
        <v>495</v>
      </c>
      <c r="N8" s="31" t="s">
        <v>178</v>
      </c>
      <c r="O8" s="31" t="s">
        <v>481</v>
      </c>
      <c r="P8" s="31" t="s">
        <v>482</v>
      </c>
      <c r="Q8" s="31" t="s">
        <v>483</v>
      </c>
      <c r="R8" s="86" t="s">
        <v>484</v>
      </c>
      <c r="S8" s="86" t="s">
        <v>485</v>
      </c>
      <c r="T8" s="31" t="s">
        <v>486</v>
      </c>
      <c r="U8" s="88">
        <v>1.2E-2</v>
      </c>
      <c r="V8" s="31" t="s">
        <v>487</v>
      </c>
      <c r="W8" s="31" t="s">
        <v>178</v>
      </c>
      <c r="X8" s="31">
        <v>20.5</v>
      </c>
      <c r="Y8" s="31" t="s">
        <v>488</v>
      </c>
      <c r="Z8" s="31" t="s">
        <v>489</v>
      </c>
      <c r="AA8" s="31" t="s">
        <v>178</v>
      </c>
    </row>
    <row r="9" spans="1:27" s="31" customFormat="1" ht="15" customHeight="1">
      <c r="E9" s="31" t="s">
        <v>475</v>
      </c>
      <c r="F9" s="31" t="s">
        <v>172</v>
      </c>
      <c r="G9" s="31" t="s">
        <v>476</v>
      </c>
      <c r="H9" s="31" t="s">
        <v>477</v>
      </c>
      <c r="I9" s="31" t="s">
        <v>79</v>
      </c>
      <c r="J9" s="31" t="s">
        <v>496</v>
      </c>
      <c r="K9" s="31" t="s">
        <v>178</v>
      </c>
      <c r="L9" s="31" t="s">
        <v>479</v>
      </c>
      <c r="M9" s="31" t="s">
        <v>497</v>
      </c>
      <c r="N9" s="31" t="s">
        <v>178</v>
      </c>
      <c r="O9" s="31" t="s">
        <v>481</v>
      </c>
      <c r="P9" s="31" t="s">
        <v>482</v>
      </c>
      <c r="Q9" s="31" t="s">
        <v>483</v>
      </c>
      <c r="R9" s="86" t="s">
        <v>484</v>
      </c>
      <c r="S9" s="86" t="s">
        <v>485</v>
      </c>
      <c r="T9" s="31" t="s">
        <v>486</v>
      </c>
      <c r="U9" s="88">
        <v>1.2E-2</v>
      </c>
      <c r="V9" s="31" t="s">
        <v>487</v>
      </c>
      <c r="W9" s="31" t="s">
        <v>178</v>
      </c>
      <c r="X9" s="31">
        <v>20.5</v>
      </c>
      <c r="Y9" s="31" t="s">
        <v>488</v>
      </c>
      <c r="Z9" s="31" t="s">
        <v>489</v>
      </c>
      <c r="AA9" s="31" t="s">
        <v>178</v>
      </c>
    </row>
    <row r="10" spans="1:27" s="31" customFormat="1" ht="15" customHeight="1">
      <c r="E10" s="31" t="s">
        <v>475</v>
      </c>
      <c r="F10" s="31" t="s">
        <v>172</v>
      </c>
      <c r="G10" s="31" t="s">
        <v>476</v>
      </c>
      <c r="H10" s="31" t="s">
        <v>477</v>
      </c>
      <c r="I10" s="31" t="s">
        <v>79</v>
      </c>
      <c r="J10" s="31" t="s">
        <v>498</v>
      </c>
      <c r="K10" s="31" t="s">
        <v>178</v>
      </c>
      <c r="L10" s="31" t="s">
        <v>479</v>
      </c>
      <c r="M10" s="31" t="s">
        <v>499</v>
      </c>
      <c r="N10" s="31" t="s">
        <v>178</v>
      </c>
      <c r="O10" s="31" t="s">
        <v>481</v>
      </c>
      <c r="P10" s="31" t="s">
        <v>482</v>
      </c>
      <c r="Q10" s="31" t="s">
        <v>483</v>
      </c>
      <c r="R10" s="86" t="s">
        <v>484</v>
      </c>
      <c r="S10" s="86" t="s">
        <v>485</v>
      </c>
      <c r="T10" s="31" t="s">
        <v>486</v>
      </c>
      <c r="U10" s="88">
        <v>1.2E-2</v>
      </c>
      <c r="V10" s="31" t="s">
        <v>487</v>
      </c>
      <c r="W10" s="31" t="s">
        <v>178</v>
      </c>
      <c r="X10" s="31">
        <v>20.5</v>
      </c>
      <c r="Y10" s="31" t="s">
        <v>488</v>
      </c>
      <c r="Z10" s="31" t="s">
        <v>489</v>
      </c>
      <c r="AA10" s="31" t="s">
        <v>178</v>
      </c>
    </row>
    <row r="11" spans="1:27" s="31" customFormat="1" ht="15" customHeight="1">
      <c r="R11" s="86"/>
      <c r="S11" s="86"/>
      <c r="T11" s="86"/>
      <c r="U11" s="88"/>
    </row>
    <row r="12" spans="1:27" s="31" customFormat="1" ht="15" customHeight="1">
      <c r="R12" s="86"/>
      <c r="S12" s="86"/>
      <c r="T12" s="86"/>
      <c r="U12" s="88"/>
    </row>
    <row r="13" spans="1:27" s="31" customFormat="1" ht="15" customHeight="1">
      <c r="E13" s="31" t="s">
        <v>500</v>
      </c>
      <c r="F13" s="31" t="s">
        <v>172</v>
      </c>
      <c r="G13" s="31" t="s">
        <v>198</v>
      </c>
      <c r="H13" s="31" t="s">
        <v>235</v>
      </c>
      <c r="I13" s="31" t="s">
        <v>79</v>
      </c>
      <c r="J13" s="31" t="s">
        <v>501</v>
      </c>
      <c r="K13" s="31" t="s">
        <v>178</v>
      </c>
      <c r="L13" s="31" t="s">
        <v>335</v>
      </c>
      <c r="M13" s="31" t="s">
        <v>502</v>
      </c>
      <c r="N13" s="31" t="s">
        <v>178</v>
      </c>
      <c r="O13" s="31" t="s">
        <v>503</v>
      </c>
      <c r="P13" s="31" t="s">
        <v>504</v>
      </c>
      <c r="Q13" s="86" t="s">
        <v>484</v>
      </c>
      <c r="R13" s="86" t="s">
        <v>505</v>
      </c>
      <c r="S13" s="86" t="s">
        <v>506</v>
      </c>
      <c r="T13" s="86" t="s">
        <v>507</v>
      </c>
      <c r="U13" s="88">
        <v>1.5384615384615385E-3</v>
      </c>
      <c r="V13" s="31" t="s">
        <v>508</v>
      </c>
      <c r="W13" s="31" t="s">
        <v>178</v>
      </c>
      <c r="X13" s="31" t="s">
        <v>509</v>
      </c>
      <c r="Y13" s="31" t="s">
        <v>510</v>
      </c>
      <c r="Z13" s="31" t="s">
        <v>511</v>
      </c>
      <c r="AA13" s="31" t="s">
        <v>178</v>
      </c>
    </row>
    <row r="14" spans="1:27" s="31" customFormat="1" ht="15" customHeight="1">
      <c r="E14" s="31" t="s">
        <v>500</v>
      </c>
      <c r="F14" s="31" t="s">
        <v>172</v>
      </c>
      <c r="G14" s="31" t="s">
        <v>198</v>
      </c>
      <c r="H14" s="31" t="s">
        <v>235</v>
      </c>
      <c r="I14" s="31" t="s">
        <v>79</v>
      </c>
      <c r="J14" s="31" t="s">
        <v>512</v>
      </c>
      <c r="K14" s="31" t="s">
        <v>178</v>
      </c>
      <c r="L14" s="31" t="s">
        <v>335</v>
      </c>
      <c r="M14" s="31" t="s">
        <v>513</v>
      </c>
      <c r="N14" s="31" t="s">
        <v>178</v>
      </c>
      <c r="O14" s="31" t="s">
        <v>503</v>
      </c>
      <c r="P14" s="31" t="s">
        <v>504</v>
      </c>
      <c r="Q14" s="86" t="s">
        <v>484</v>
      </c>
      <c r="R14" s="86" t="s">
        <v>505</v>
      </c>
      <c r="S14" s="86" t="s">
        <v>506</v>
      </c>
      <c r="T14" s="86" t="s">
        <v>507</v>
      </c>
      <c r="U14" s="88">
        <v>1.5384615384615385E-3</v>
      </c>
      <c r="V14" s="31" t="s">
        <v>508</v>
      </c>
      <c r="W14" s="31" t="s">
        <v>178</v>
      </c>
      <c r="X14" s="31" t="s">
        <v>509</v>
      </c>
      <c r="Y14" s="31" t="s">
        <v>510</v>
      </c>
      <c r="Z14" s="31" t="s">
        <v>511</v>
      </c>
      <c r="AA14" s="31" t="s">
        <v>178</v>
      </c>
    </row>
    <row r="15" spans="1:27" s="31" customFormat="1" ht="15" customHeight="1">
      <c r="E15" s="31" t="s">
        <v>500</v>
      </c>
      <c r="F15" s="31" t="s">
        <v>172</v>
      </c>
      <c r="G15" s="31" t="s">
        <v>198</v>
      </c>
      <c r="H15" s="31" t="s">
        <v>235</v>
      </c>
      <c r="I15" s="31" t="s">
        <v>79</v>
      </c>
      <c r="J15" s="31" t="s">
        <v>514</v>
      </c>
      <c r="K15" s="31" t="s">
        <v>178</v>
      </c>
      <c r="L15" s="31" t="s">
        <v>335</v>
      </c>
      <c r="M15" s="31" t="s">
        <v>515</v>
      </c>
      <c r="N15" s="31" t="s">
        <v>178</v>
      </c>
      <c r="O15" s="31" t="s">
        <v>503</v>
      </c>
      <c r="P15" s="31" t="s">
        <v>504</v>
      </c>
      <c r="Q15" s="86" t="s">
        <v>484</v>
      </c>
      <c r="R15" s="86" t="s">
        <v>505</v>
      </c>
      <c r="S15" s="86" t="s">
        <v>506</v>
      </c>
      <c r="T15" s="86" t="s">
        <v>507</v>
      </c>
      <c r="U15" s="88">
        <v>1.5384615384615385E-3</v>
      </c>
      <c r="V15" s="31" t="s">
        <v>508</v>
      </c>
      <c r="W15" s="31" t="s">
        <v>178</v>
      </c>
      <c r="X15" s="31" t="s">
        <v>509</v>
      </c>
      <c r="Y15" s="31" t="s">
        <v>510</v>
      </c>
      <c r="Z15" s="31" t="s">
        <v>511</v>
      </c>
      <c r="AA15" s="31" t="s">
        <v>178</v>
      </c>
    </row>
    <row r="16" spans="1:27" s="31" customFormat="1" ht="15" customHeight="1">
      <c r="E16" s="31" t="s">
        <v>500</v>
      </c>
      <c r="F16" s="31" t="s">
        <v>172</v>
      </c>
      <c r="G16" s="31" t="s">
        <v>198</v>
      </c>
      <c r="H16" s="31" t="s">
        <v>235</v>
      </c>
      <c r="I16" s="31" t="s">
        <v>79</v>
      </c>
      <c r="J16" s="31" t="s">
        <v>516</v>
      </c>
      <c r="K16" s="31" t="s">
        <v>178</v>
      </c>
      <c r="L16" s="31" t="s">
        <v>335</v>
      </c>
      <c r="M16" s="31" t="s">
        <v>517</v>
      </c>
      <c r="N16" s="31" t="s">
        <v>178</v>
      </c>
      <c r="O16" s="31" t="s">
        <v>503</v>
      </c>
      <c r="P16" s="31" t="s">
        <v>504</v>
      </c>
      <c r="Q16" s="86" t="s">
        <v>484</v>
      </c>
      <c r="R16" s="86" t="s">
        <v>505</v>
      </c>
      <c r="S16" s="86" t="s">
        <v>506</v>
      </c>
      <c r="T16" s="86" t="s">
        <v>507</v>
      </c>
      <c r="U16" s="88">
        <v>1.5384615384615385E-3</v>
      </c>
      <c r="V16" s="31" t="s">
        <v>508</v>
      </c>
      <c r="W16" s="31" t="s">
        <v>178</v>
      </c>
      <c r="X16" s="31" t="s">
        <v>509</v>
      </c>
      <c r="Y16" s="31" t="s">
        <v>510</v>
      </c>
      <c r="Z16" s="31" t="s">
        <v>511</v>
      </c>
      <c r="AA16" s="31" t="s">
        <v>178</v>
      </c>
    </row>
    <row r="17" spans="5:27" s="31" customFormat="1" ht="15" customHeight="1">
      <c r="Q17" s="86"/>
      <c r="R17" s="86"/>
      <c r="S17" s="86"/>
      <c r="T17" s="86"/>
      <c r="U17" s="88"/>
    </row>
    <row r="18" spans="5:27" s="31" customFormat="1" ht="15" customHeight="1">
      <c r="R18" s="86"/>
      <c r="S18" s="86"/>
      <c r="T18" s="86"/>
      <c r="U18" s="88"/>
    </row>
    <row r="19" spans="5:27" s="31" customFormat="1" ht="15" customHeight="1">
      <c r="E19" s="31" t="s">
        <v>518</v>
      </c>
      <c r="F19" s="31" t="s">
        <v>172</v>
      </c>
      <c r="G19" s="31" t="s">
        <v>519</v>
      </c>
      <c r="H19" s="31" t="s">
        <v>288</v>
      </c>
      <c r="I19" s="31" t="s">
        <v>79</v>
      </c>
      <c r="J19" s="31" t="s">
        <v>520</v>
      </c>
      <c r="K19" s="31" t="s">
        <v>178</v>
      </c>
      <c r="L19" s="31" t="s">
        <v>479</v>
      </c>
      <c r="M19" s="31" t="s">
        <v>521</v>
      </c>
      <c r="N19" s="31" t="s">
        <v>178</v>
      </c>
      <c r="O19" s="31" t="s">
        <v>522</v>
      </c>
      <c r="P19" s="31" t="s">
        <v>523</v>
      </c>
      <c r="Q19" s="86">
        <v>48</v>
      </c>
      <c r="R19" s="86" t="s">
        <v>524</v>
      </c>
      <c r="S19" s="86" t="s">
        <v>525</v>
      </c>
      <c r="T19" s="31" t="s">
        <v>526</v>
      </c>
      <c r="U19" s="88">
        <v>0.02</v>
      </c>
      <c r="V19" s="31" t="s">
        <v>527</v>
      </c>
      <c r="W19" s="31">
        <v>89</v>
      </c>
      <c r="X19" s="31" t="s">
        <v>178</v>
      </c>
      <c r="Y19" s="31" t="s">
        <v>528</v>
      </c>
      <c r="Z19" s="31" t="s">
        <v>511</v>
      </c>
      <c r="AA19" s="89">
        <v>2878</v>
      </c>
    </row>
    <row r="20" spans="5:27" s="31" customFormat="1" ht="15" customHeight="1">
      <c r="E20" s="31" t="s">
        <v>518</v>
      </c>
      <c r="F20" s="31" t="s">
        <v>172</v>
      </c>
      <c r="G20" s="31" t="s">
        <v>519</v>
      </c>
      <c r="H20" s="31" t="s">
        <v>288</v>
      </c>
      <c r="I20" s="31" t="s">
        <v>79</v>
      </c>
      <c r="J20" s="31" t="s">
        <v>529</v>
      </c>
      <c r="K20" s="31" t="s">
        <v>178</v>
      </c>
      <c r="L20" s="31" t="s">
        <v>479</v>
      </c>
      <c r="M20" s="31" t="s">
        <v>530</v>
      </c>
      <c r="N20" s="31" t="s">
        <v>178</v>
      </c>
      <c r="O20" s="31" t="s">
        <v>522</v>
      </c>
      <c r="P20" s="31" t="s">
        <v>523</v>
      </c>
      <c r="Q20" s="86">
        <v>48</v>
      </c>
      <c r="R20" s="86" t="s">
        <v>524</v>
      </c>
      <c r="S20" s="31" t="s">
        <v>525</v>
      </c>
      <c r="T20" s="31" t="s">
        <v>526</v>
      </c>
      <c r="U20" s="88">
        <v>0.02</v>
      </c>
      <c r="V20" s="31" t="s">
        <v>527</v>
      </c>
      <c r="W20" s="31">
        <v>89</v>
      </c>
      <c r="X20" s="31" t="s">
        <v>178</v>
      </c>
      <c r="Y20" s="31" t="s">
        <v>528</v>
      </c>
      <c r="Z20" s="31" t="s">
        <v>511</v>
      </c>
      <c r="AA20" s="89">
        <v>2878</v>
      </c>
    </row>
    <row r="21" spans="5:27" s="31" customFormat="1">
      <c r="E21" s="31" t="s">
        <v>518</v>
      </c>
      <c r="F21" s="31" t="s">
        <v>172</v>
      </c>
      <c r="G21" s="31" t="s">
        <v>519</v>
      </c>
      <c r="H21" s="31" t="s">
        <v>288</v>
      </c>
      <c r="I21" s="31" t="s">
        <v>79</v>
      </c>
      <c r="J21" s="31" t="s">
        <v>531</v>
      </c>
      <c r="K21" s="31" t="s">
        <v>178</v>
      </c>
      <c r="L21" s="31" t="s">
        <v>479</v>
      </c>
      <c r="M21" s="31" t="s">
        <v>532</v>
      </c>
      <c r="N21" s="31" t="s">
        <v>178</v>
      </c>
      <c r="O21" s="31" t="s">
        <v>522</v>
      </c>
      <c r="P21" s="31" t="s">
        <v>533</v>
      </c>
      <c r="Q21" s="86">
        <v>48</v>
      </c>
      <c r="R21" s="86" t="s">
        <v>524</v>
      </c>
      <c r="S21" s="31" t="s">
        <v>525</v>
      </c>
      <c r="T21" s="31" t="s">
        <v>526</v>
      </c>
      <c r="U21" s="88">
        <v>0.02</v>
      </c>
      <c r="V21" s="31" t="s">
        <v>527</v>
      </c>
      <c r="W21" s="31">
        <v>89</v>
      </c>
      <c r="X21" s="31" t="s">
        <v>178</v>
      </c>
      <c r="Y21" s="31" t="s">
        <v>528</v>
      </c>
      <c r="Z21" s="31" t="s">
        <v>511</v>
      </c>
      <c r="AA21" s="89">
        <v>2878</v>
      </c>
    </row>
    <row r="22" spans="5:27" s="31" customFormat="1" ht="15" customHeight="1">
      <c r="E22" s="31" t="s">
        <v>518</v>
      </c>
      <c r="F22" s="31" t="s">
        <v>172</v>
      </c>
      <c r="G22" s="31" t="s">
        <v>519</v>
      </c>
      <c r="H22" s="31" t="s">
        <v>288</v>
      </c>
      <c r="I22" s="31" t="s">
        <v>79</v>
      </c>
      <c r="J22" s="31" t="s">
        <v>534</v>
      </c>
      <c r="K22" s="31" t="s">
        <v>178</v>
      </c>
      <c r="L22" s="31" t="s">
        <v>479</v>
      </c>
      <c r="M22" s="31" t="s">
        <v>535</v>
      </c>
      <c r="N22" s="31" t="s">
        <v>178</v>
      </c>
      <c r="O22" s="31" t="s">
        <v>522</v>
      </c>
      <c r="P22" s="31" t="s">
        <v>536</v>
      </c>
      <c r="Q22" s="86">
        <v>48</v>
      </c>
      <c r="R22" s="86" t="s">
        <v>524</v>
      </c>
      <c r="S22" s="31" t="s">
        <v>525</v>
      </c>
      <c r="T22" s="31" t="s">
        <v>526</v>
      </c>
      <c r="U22" s="88">
        <v>0.02</v>
      </c>
      <c r="V22" s="31" t="s">
        <v>527</v>
      </c>
      <c r="W22" s="31">
        <v>89</v>
      </c>
      <c r="X22" s="31" t="s">
        <v>178</v>
      </c>
      <c r="Y22" s="31" t="s">
        <v>528</v>
      </c>
      <c r="Z22" s="31" t="s">
        <v>511</v>
      </c>
      <c r="AA22" s="89">
        <v>2878</v>
      </c>
    </row>
    <row r="23" spans="5:27" s="31" customFormat="1" ht="15" customHeight="1">
      <c r="E23" s="31" t="s">
        <v>518</v>
      </c>
      <c r="F23" s="31" t="s">
        <v>172</v>
      </c>
      <c r="G23" s="31" t="s">
        <v>519</v>
      </c>
      <c r="H23" s="31" t="s">
        <v>288</v>
      </c>
      <c r="I23" s="31" t="s">
        <v>79</v>
      </c>
      <c r="J23" s="31" t="s">
        <v>537</v>
      </c>
      <c r="K23" s="31" t="s">
        <v>178</v>
      </c>
      <c r="L23" s="31" t="s">
        <v>479</v>
      </c>
      <c r="M23" s="31" t="s">
        <v>538</v>
      </c>
      <c r="N23" s="31" t="s">
        <v>178</v>
      </c>
      <c r="O23" s="31" t="s">
        <v>522</v>
      </c>
      <c r="P23" s="31" t="s">
        <v>539</v>
      </c>
      <c r="Q23" s="86">
        <v>48</v>
      </c>
      <c r="R23" s="86" t="s">
        <v>524</v>
      </c>
      <c r="S23" s="31" t="s">
        <v>525</v>
      </c>
      <c r="T23" s="31" t="s">
        <v>526</v>
      </c>
      <c r="U23" s="88">
        <v>0.02</v>
      </c>
      <c r="V23" s="31" t="s">
        <v>527</v>
      </c>
      <c r="W23" s="31">
        <v>89</v>
      </c>
      <c r="X23" s="31" t="s">
        <v>178</v>
      </c>
      <c r="Y23" s="31" t="s">
        <v>528</v>
      </c>
      <c r="Z23" s="31" t="s">
        <v>511</v>
      </c>
      <c r="AA23" s="89">
        <v>2878</v>
      </c>
    </row>
    <row r="24" spans="5:27" s="31" customFormat="1" ht="15" customHeight="1">
      <c r="E24" s="31" t="s">
        <v>518</v>
      </c>
      <c r="F24" s="31" t="s">
        <v>172</v>
      </c>
      <c r="G24" s="31" t="s">
        <v>519</v>
      </c>
      <c r="H24" s="31" t="s">
        <v>288</v>
      </c>
      <c r="I24" s="31" t="s">
        <v>79</v>
      </c>
      <c r="J24" s="31" t="s">
        <v>540</v>
      </c>
      <c r="K24" s="31" t="s">
        <v>178</v>
      </c>
      <c r="L24" s="31" t="s">
        <v>479</v>
      </c>
      <c r="M24" s="31" t="s">
        <v>541</v>
      </c>
      <c r="N24" s="31" t="s">
        <v>178</v>
      </c>
      <c r="O24" s="31" t="s">
        <v>522</v>
      </c>
      <c r="P24" s="31" t="s">
        <v>542</v>
      </c>
      <c r="Q24" s="86">
        <v>48</v>
      </c>
      <c r="R24" s="86" t="s">
        <v>524</v>
      </c>
      <c r="S24" s="31" t="s">
        <v>525</v>
      </c>
      <c r="T24" s="31" t="s">
        <v>526</v>
      </c>
      <c r="U24" s="88">
        <v>0.02</v>
      </c>
      <c r="V24" s="31" t="s">
        <v>527</v>
      </c>
      <c r="W24" s="31">
        <v>89</v>
      </c>
      <c r="X24" s="31" t="s">
        <v>178</v>
      </c>
      <c r="Y24" s="31" t="s">
        <v>528</v>
      </c>
      <c r="Z24" s="31" t="s">
        <v>511</v>
      </c>
      <c r="AA24" s="89">
        <v>2878</v>
      </c>
    </row>
    <row r="25" spans="5:27" s="31" customFormat="1" ht="15" customHeight="1">
      <c r="E25" s="31" t="s">
        <v>518</v>
      </c>
      <c r="F25" s="31" t="s">
        <v>172</v>
      </c>
      <c r="G25" s="31" t="s">
        <v>519</v>
      </c>
      <c r="H25" s="31" t="s">
        <v>288</v>
      </c>
      <c r="I25" s="31" t="s">
        <v>79</v>
      </c>
      <c r="J25" s="31" t="s">
        <v>543</v>
      </c>
      <c r="K25" s="31" t="s">
        <v>178</v>
      </c>
      <c r="L25" s="31" t="s">
        <v>479</v>
      </c>
      <c r="M25" s="31" t="s">
        <v>544</v>
      </c>
      <c r="N25" s="31" t="s">
        <v>178</v>
      </c>
      <c r="O25" s="31" t="s">
        <v>522</v>
      </c>
      <c r="P25" s="31" t="s">
        <v>545</v>
      </c>
      <c r="Q25" s="86">
        <v>48</v>
      </c>
      <c r="R25" s="86" t="s">
        <v>524</v>
      </c>
      <c r="S25" s="31" t="s">
        <v>525</v>
      </c>
      <c r="T25" s="31" t="s">
        <v>526</v>
      </c>
      <c r="U25" s="88">
        <v>0.02</v>
      </c>
      <c r="V25" s="31" t="s">
        <v>527</v>
      </c>
      <c r="W25" s="31">
        <v>89</v>
      </c>
      <c r="X25" s="31" t="s">
        <v>178</v>
      </c>
      <c r="Y25" s="31" t="s">
        <v>528</v>
      </c>
      <c r="Z25" s="31" t="s">
        <v>511</v>
      </c>
      <c r="AA25" s="89">
        <v>2878</v>
      </c>
    </row>
    <row r="26" spans="5:27" s="31" customFormat="1" ht="15" customHeight="1">
      <c r="E26" s="31" t="s">
        <v>518</v>
      </c>
      <c r="F26" s="31" t="s">
        <v>172</v>
      </c>
      <c r="G26" s="31" t="s">
        <v>519</v>
      </c>
      <c r="H26" s="31" t="s">
        <v>288</v>
      </c>
      <c r="I26" s="31" t="s">
        <v>79</v>
      </c>
      <c r="J26" s="31" t="s">
        <v>546</v>
      </c>
      <c r="K26" s="31" t="s">
        <v>178</v>
      </c>
      <c r="L26" s="31" t="s">
        <v>479</v>
      </c>
      <c r="M26" s="31" t="s">
        <v>547</v>
      </c>
      <c r="N26" s="31" t="s">
        <v>178</v>
      </c>
      <c r="O26" s="31" t="s">
        <v>522</v>
      </c>
      <c r="P26" s="31" t="s">
        <v>548</v>
      </c>
      <c r="Q26" s="86">
        <v>48</v>
      </c>
      <c r="R26" s="86" t="s">
        <v>524</v>
      </c>
      <c r="S26" s="31" t="s">
        <v>525</v>
      </c>
      <c r="T26" s="31" t="s">
        <v>526</v>
      </c>
      <c r="U26" s="88">
        <v>0.02</v>
      </c>
      <c r="V26" s="31" t="s">
        <v>527</v>
      </c>
      <c r="W26" s="31">
        <v>89</v>
      </c>
      <c r="X26" s="31" t="s">
        <v>178</v>
      </c>
      <c r="Y26" s="31" t="s">
        <v>528</v>
      </c>
      <c r="Z26" s="31" t="s">
        <v>511</v>
      </c>
      <c r="AA26" s="89">
        <v>2878</v>
      </c>
    </row>
    <row r="27" spans="5:27" s="31" customFormat="1" ht="15" customHeight="1">
      <c r="E27" s="31" t="s">
        <v>518</v>
      </c>
      <c r="F27" s="31" t="s">
        <v>172</v>
      </c>
      <c r="G27" s="31" t="s">
        <v>519</v>
      </c>
      <c r="H27" s="31" t="s">
        <v>288</v>
      </c>
      <c r="I27" s="31" t="s">
        <v>79</v>
      </c>
      <c r="J27" s="31" t="s">
        <v>549</v>
      </c>
      <c r="K27" s="31" t="s">
        <v>178</v>
      </c>
      <c r="L27" s="31" t="s">
        <v>479</v>
      </c>
      <c r="M27" s="31" t="s">
        <v>550</v>
      </c>
      <c r="N27" s="31" t="s">
        <v>178</v>
      </c>
      <c r="O27" s="31" t="s">
        <v>522</v>
      </c>
      <c r="P27" s="31" t="s">
        <v>551</v>
      </c>
      <c r="Q27" s="86">
        <v>48</v>
      </c>
      <c r="R27" s="86" t="s">
        <v>524</v>
      </c>
      <c r="S27" s="31" t="s">
        <v>525</v>
      </c>
      <c r="T27" s="31" t="s">
        <v>526</v>
      </c>
      <c r="U27" s="88">
        <v>0.02</v>
      </c>
      <c r="V27" s="31" t="s">
        <v>527</v>
      </c>
      <c r="W27" s="31">
        <v>89</v>
      </c>
      <c r="X27" s="31" t="s">
        <v>178</v>
      </c>
      <c r="Y27" s="31" t="s">
        <v>528</v>
      </c>
      <c r="Z27" s="31" t="s">
        <v>511</v>
      </c>
      <c r="AA27" s="89">
        <v>2878</v>
      </c>
    </row>
    <row r="28" spans="5:27" s="31" customFormat="1" ht="15" customHeight="1">
      <c r="E28" s="31" t="s">
        <v>518</v>
      </c>
      <c r="F28" s="31" t="s">
        <v>172</v>
      </c>
      <c r="G28" s="31" t="s">
        <v>519</v>
      </c>
      <c r="H28" s="31" t="s">
        <v>288</v>
      </c>
      <c r="I28" s="31" t="s">
        <v>79</v>
      </c>
      <c r="J28" s="31" t="s">
        <v>552</v>
      </c>
      <c r="K28" s="31" t="s">
        <v>178</v>
      </c>
      <c r="L28" s="31" t="s">
        <v>479</v>
      </c>
      <c r="M28" s="31" t="s">
        <v>553</v>
      </c>
      <c r="N28" s="31" t="s">
        <v>178</v>
      </c>
      <c r="O28" s="31" t="s">
        <v>522</v>
      </c>
      <c r="P28" s="31" t="s">
        <v>554</v>
      </c>
      <c r="Q28" s="86">
        <v>48</v>
      </c>
      <c r="R28" s="86" t="s">
        <v>524</v>
      </c>
      <c r="S28" s="31" t="s">
        <v>525</v>
      </c>
      <c r="T28" s="31" t="s">
        <v>526</v>
      </c>
      <c r="U28" s="88">
        <v>0.02</v>
      </c>
      <c r="V28" s="31" t="s">
        <v>527</v>
      </c>
      <c r="W28" s="31">
        <v>89</v>
      </c>
      <c r="X28" s="31" t="s">
        <v>178</v>
      </c>
      <c r="Y28" s="31" t="s">
        <v>528</v>
      </c>
      <c r="Z28" s="31" t="s">
        <v>511</v>
      </c>
      <c r="AA28" s="89">
        <v>2878</v>
      </c>
    </row>
    <row r="29" spans="5:27" s="31" customFormat="1" ht="15" customHeight="1">
      <c r="Q29" s="86"/>
      <c r="R29" s="86"/>
      <c r="S29" s="86"/>
      <c r="T29" s="86"/>
      <c r="U29" s="88"/>
    </row>
    <row r="30" spans="5:27" s="31" customFormat="1" ht="15" customHeight="1">
      <c r="Q30" s="86"/>
      <c r="R30" s="86"/>
      <c r="S30" s="86"/>
      <c r="T30" s="86"/>
      <c r="U30" s="88"/>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4CD9-38B3-4BF4-8030-3DA03655342D}">
  <dimension ref="A1"/>
  <sheetViews>
    <sheetView topLeftCell="A16" workbookViewId="0">
      <selection activeCell="M30" sqref="M30"/>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CC39-5250-4D25-AD1F-C513EF818794}">
  <dimension ref="C50:G96"/>
  <sheetViews>
    <sheetView topLeftCell="A72" workbookViewId="0">
      <selection activeCell="C50" sqref="C50:G61"/>
    </sheetView>
  </sheetViews>
  <sheetFormatPr defaultRowHeight="15"/>
  <cols>
    <col min="1" max="1" width="5" customWidth="1"/>
    <col min="3" max="3" width="22.85546875" customWidth="1"/>
    <col min="4" max="4" width="27.7109375" customWidth="1"/>
    <col min="5" max="5" width="29.7109375" customWidth="1"/>
    <col min="6" max="6" width="25" customWidth="1"/>
    <col min="7" max="7" width="22" customWidth="1"/>
  </cols>
  <sheetData>
    <row r="50" spans="3:7" ht="15.75" thickBot="1">
      <c r="C50" s="53" t="s">
        <v>555</v>
      </c>
    </row>
    <row r="51" spans="3:7">
      <c r="C51" s="62" t="s">
        <v>556</v>
      </c>
      <c r="D51" s="63" t="s">
        <v>557</v>
      </c>
      <c r="E51" s="63" t="s">
        <v>558</v>
      </c>
      <c r="F51" s="63" t="s">
        <v>559</v>
      </c>
      <c r="G51" s="64" t="s">
        <v>560</v>
      </c>
    </row>
    <row r="52" spans="3:7">
      <c r="C52" s="319" t="s">
        <v>561</v>
      </c>
      <c r="D52" s="320" t="s">
        <v>562</v>
      </c>
      <c r="E52" s="259" t="s">
        <v>563</v>
      </c>
      <c r="F52" s="65" t="s">
        <v>564</v>
      </c>
      <c r="G52" s="66" t="s">
        <v>565</v>
      </c>
    </row>
    <row r="53" spans="3:7">
      <c r="C53" s="67"/>
      <c r="D53" s="65" t="s">
        <v>566</v>
      </c>
      <c r="E53" s="65" t="s">
        <v>567</v>
      </c>
      <c r="F53" s="65" t="s">
        <v>568</v>
      </c>
      <c r="G53" s="66" t="s">
        <v>565</v>
      </c>
    </row>
    <row r="54" spans="3:7">
      <c r="C54" s="260" t="s">
        <v>569</v>
      </c>
      <c r="D54" s="155" t="s">
        <v>570</v>
      </c>
      <c r="E54" s="155" t="s">
        <v>571</v>
      </c>
      <c r="F54" s="155" t="s">
        <v>564</v>
      </c>
      <c r="G54" s="291" t="s">
        <v>565</v>
      </c>
    </row>
    <row r="55" spans="3:7">
      <c r="C55" s="35"/>
      <c r="D55" s="36" t="s">
        <v>572</v>
      </c>
      <c r="E55" s="36" t="s">
        <v>573</v>
      </c>
      <c r="F55" s="36" t="s">
        <v>564</v>
      </c>
      <c r="G55" s="58" t="s">
        <v>574</v>
      </c>
    </row>
    <row r="56" spans="3:7">
      <c r="C56" s="68"/>
      <c r="D56" s="82" t="s">
        <v>575</v>
      </c>
      <c r="E56" s="82" t="s">
        <v>576</v>
      </c>
      <c r="F56" s="82" t="s">
        <v>577</v>
      </c>
      <c r="G56" s="83" t="s">
        <v>578</v>
      </c>
    </row>
    <row r="57" spans="3:7">
      <c r="C57" s="261" t="s">
        <v>579</v>
      </c>
      <c r="D57" s="262"/>
      <c r="E57" s="262" t="s">
        <v>580</v>
      </c>
      <c r="F57" s="262" t="s">
        <v>564</v>
      </c>
      <c r="G57" s="292" t="s">
        <v>581</v>
      </c>
    </row>
    <row r="58" spans="3:7">
      <c r="C58" s="69" t="s">
        <v>582</v>
      </c>
      <c r="D58" s="81" t="s">
        <v>575</v>
      </c>
      <c r="E58" s="263" t="s">
        <v>576</v>
      </c>
      <c r="F58" s="263" t="s">
        <v>577</v>
      </c>
      <c r="G58" s="264" t="s">
        <v>578</v>
      </c>
    </row>
    <row r="59" spans="3:7">
      <c r="C59" s="35" t="s">
        <v>583</v>
      </c>
      <c r="D59" s="36" t="s">
        <v>584</v>
      </c>
      <c r="E59" s="36" t="s">
        <v>580</v>
      </c>
      <c r="F59" s="36" t="s">
        <v>564</v>
      </c>
      <c r="G59" s="58" t="s">
        <v>581</v>
      </c>
    </row>
    <row r="60" spans="3:7">
      <c r="C60" s="319" t="s">
        <v>585</v>
      </c>
      <c r="D60" s="320" t="s">
        <v>586</v>
      </c>
      <c r="E60" s="320" t="s">
        <v>580</v>
      </c>
      <c r="F60" s="320" t="s">
        <v>564</v>
      </c>
      <c r="G60" s="293" t="s">
        <v>581</v>
      </c>
    </row>
    <row r="61" spans="3:7" ht="15.75" thickBot="1">
      <c r="C61" s="70"/>
      <c r="D61" s="71"/>
      <c r="E61" s="71" t="s">
        <v>576</v>
      </c>
      <c r="F61" s="71" t="s">
        <v>577</v>
      </c>
      <c r="G61" s="72" t="s">
        <v>578</v>
      </c>
    </row>
    <row r="64" spans="3:7" ht="15.75" thickBot="1">
      <c r="C64" s="53" t="s">
        <v>587</v>
      </c>
    </row>
    <row r="65" spans="3:7">
      <c r="C65" s="73" t="s">
        <v>556</v>
      </c>
      <c r="D65" s="74" t="s">
        <v>557</v>
      </c>
      <c r="E65" s="74" t="s">
        <v>558</v>
      </c>
      <c r="F65" s="74" t="s">
        <v>559</v>
      </c>
      <c r="G65" s="56" t="s">
        <v>560</v>
      </c>
    </row>
    <row r="66" spans="3:7">
      <c r="C66" s="294" t="s">
        <v>588</v>
      </c>
      <c r="D66" s="295" t="s">
        <v>589</v>
      </c>
      <c r="E66" s="295" t="s">
        <v>590</v>
      </c>
      <c r="F66" s="295" t="s">
        <v>591</v>
      </c>
      <c r="G66" s="296" t="s">
        <v>574</v>
      </c>
    </row>
    <row r="67" spans="3:7">
      <c r="C67" s="75"/>
      <c r="D67" s="76"/>
      <c r="E67" s="76" t="s">
        <v>576</v>
      </c>
      <c r="F67" s="76" t="s">
        <v>592</v>
      </c>
      <c r="G67" s="265" t="s">
        <v>593</v>
      </c>
    </row>
    <row r="68" spans="3:7">
      <c r="C68" s="297" t="s">
        <v>594</v>
      </c>
      <c r="D68" s="298" t="s">
        <v>595</v>
      </c>
      <c r="E68" s="298" t="s">
        <v>596</v>
      </c>
      <c r="F68" s="298" t="s">
        <v>591</v>
      </c>
      <c r="G68" s="291" t="s">
        <v>597</v>
      </c>
    </row>
    <row r="69" spans="3:7">
      <c r="C69" s="77"/>
      <c r="E69" t="s">
        <v>576</v>
      </c>
      <c r="F69" t="s">
        <v>592</v>
      </c>
      <c r="G69" s="58" t="s">
        <v>597</v>
      </c>
    </row>
    <row r="70" spans="3:7">
      <c r="C70" s="78"/>
      <c r="D70" s="79"/>
      <c r="E70" s="79" t="s">
        <v>598</v>
      </c>
      <c r="F70" s="79" t="s">
        <v>599</v>
      </c>
      <c r="G70" s="83" t="s">
        <v>597</v>
      </c>
    </row>
    <row r="71" spans="3:7">
      <c r="C71" s="266" t="s">
        <v>600</v>
      </c>
      <c r="D71" s="321" t="s">
        <v>601</v>
      </c>
      <c r="E71" s="322" t="s">
        <v>590</v>
      </c>
      <c r="F71" s="321" t="s">
        <v>591</v>
      </c>
      <c r="G71" s="299" t="s">
        <v>574</v>
      </c>
    </row>
    <row r="72" spans="3:7">
      <c r="C72" s="297" t="s">
        <v>602</v>
      </c>
      <c r="D72" s="298" t="s">
        <v>603</v>
      </c>
      <c r="E72" s="298" t="s">
        <v>580</v>
      </c>
      <c r="F72" s="298" t="s">
        <v>591</v>
      </c>
      <c r="G72" s="291" t="s">
        <v>581</v>
      </c>
    </row>
    <row r="73" spans="3:7">
      <c r="C73" s="77"/>
      <c r="D73" t="s">
        <v>604</v>
      </c>
      <c r="E73" t="s">
        <v>576</v>
      </c>
      <c r="F73" t="s">
        <v>592</v>
      </c>
      <c r="G73" s="58" t="s">
        <v>593</v>
      </c>
    </row>
    <row r="74" spans="3:7">
      <c r="C74" s="267" t="s">
        <v>605</v>
      </c>
      <c r="D74" s="300" t="s">
        <v>606</v>
      </c>
      <c r="E74" s="301" t="s">
        <v>607</v>
      </c>
      <c r="F74" s="300" t="s">
        <v>591</v>
      </c>
      <c r="G74" s="302" t="s">
        <v>574</v>
      </c>
    </row>
    <row r="75" spans="3:7">
      <c r="C75" s="77" t="s">
        <v>569</v>
      </c>
      <c r="D75" t="s">
        <v>608</v>
      </c>
      <c r="E75" t="s">
        <v>571</v>
      </c>
      <c r="F75" t="s">
        <v>591</v>
      </c>
      <c r="G75" s="58" t="s">
        <v>609</v>
      </c>
    </row>
    <row r="76" spans="3:7" ht="15.75" thickBot="1">
      <c r="C76" s="268"/>
      <c r="D76" s="269" t="s">
        <v>604</v>
      </c>
      <c r="E76" s="269" t="s">
        <v>576</v>
      </c>
      <c r="F76" s="269" t="s">
        <v>592</v>
      </c>
      <c r="G76" s="84" t="s">
        <v>593</v>
      </c>
    </row>
    <row r="80" spans="3:7">
      <c r="C80" s="53" t="s">
        <v>610</v>
      </c>
    </row>
    <row r="81" spans="3:7" ht="15.75" thickBot="1">
      <c r="C81" s="53"/>
    </row>
    <row r="82" spans="3:7">
      <c r="C82" s="54" t="s">
        <v>556</v>
      </c>
      <c r="D82" s="55" t="s">
        <v>557</v>
      </c>
      <c r="E82" s="55" t="s">
        <v>558</v>
      </c>
      <c r="F82" s="55" t="s">
        <v>559</v>
      </c>
      <c r="G82" s="56" t="s">
        <v>560</v>
      </c>
    </row>
    <row r="83" spans="3:7">
      <c r="C83" s="270" t="s">
        <v>588</v>
      </c>
      <c r="D83" s="271" t="s">
        <v>589</v>
      </c>
      <c r="E83" s="271" t="s">
        <v>590</v>
      </c>
      <c r="F83" s="271" t="s">
        <v>591</v>
      </c>
      <c r="G83" s="303" t="s">
        <v>574</v>
      </c>
    </row>
    <row r="84" spans="3:7">
      <c r="C84" s="57"/>
      <c r="D84" s="272"/>
      <c r="E84" s="272" t="s">
        <v>576</v>
      </c>
      <c r="F84" s="272" t="s">
        <v>592</v>
      </c>
      <c r="G84" s="273" t="s">
        <v>611</v>
      </c>
    </row>
    <row r="85" spans="3:7">
      <c r="C85" s="35" t="s">
        <v>612</v>
      </c>
      <c r="D85" s="36" t="s">
        <v>613</v>
      </c>
      <c r="E85" s="36" t="s">
        <v>580</v>
      </c>
      <c r="F85" s="36" t="s">
        <v>591</v>
      </c>
      <c r="G85" s="58" t="s">
        <v>581</v>
      </c>
    </row>
    <row r="86" spans="3:7">
      <c r="C86" s="35"/>
      <c r="D86" s="36" t="s">
        <v>604</v>
      </c>
      <c r="E86" s="36" t="s">
        <v>576</v>
      </c>
      <c r="F86" s="36" t="s">
        <v>592</v>
      </c>
      <c r="G86" s="58" t="s">
        <v>611</v>
      </c>
    </row>
    <row r="87" spans="3:7">
      <c r="C87" s="274" t="s">
        <v>600</v>
      </c>
      <c r="D87" s="275" t="s">
        <v>601</v>
      </c>
      <c r="E87" s="276" t="s">
        <v>590</v>
      </c>
      <c r="F87" s="275" t="s">
        <v>591</v>
      </c>
      <c r="G87" s="304" t="s">
        <v>574</v>
      </c>
    </row>
    <row r="88" spans="3:7">
      <c r="C88" s="260" t="s">
        <v>569</v>
      </c>
      <c r="D88" s="155" t="s">
        <v>608</v>
      </c>
      <c r="E88" s="155" t="s">
        <v>571</v>
      </c>
      <c r="F88" s="155" t="s">
        <v>591</v>
      </c>
      <c r="G88" s="291" t="s">
        <v>609</v>
      </c>
    </row>
    <row r="89" spans="3:7">
      <c r="C89" s="35"/>
      <c r="D89" s="36" t="s">
        <v>604</v>
      </c>
      <c r="E89" s="36" t="s">
        <v>576</v>
      </c>
      <c r="F89" s="36" t="s">
        <v>592</v>
      </c>
      <c r="G89" s="58" t="s">
        <v>611</v>
      </c>
    </row>
    <row r="90" spans="3:7">
      <c r="C90" s="270" t="s">
        <v>614</v>
      </c>
      <c r="D90" s="271" t="s">
        <v>615</v>
      </c>
      <c r="E90" s="277" t="s">
        <v>596</v>
      </c>
      <c r="F90" s="277" t="s">
        <v>591</v>
      </c>
      <c r="G90" s="305" t="s">
        <v>574</v>
      </c>
    </row>
    <row r="91" spans="3:7">
      <c r="C91" s="59"/>
      <c r="D91" s="60" t="s">
        <v>604</v>
      </c>
      <c r="E91" s="60" t="s">
        <v>576</v>
      </c>
      <c r="F91" s="60" t="s">
        <v>592</v>
      </c>
      <c r="G91" s="61" t="s">
        <v>611</v>
      </c>
    </row>
    <row r="92" spans="3:7" ht="15.75" thickBot="1">
      <c r="C92" s="278" t="s">
        <v>605</v>
      </c>
      <c r="D92" s="279" t="s">
        <v>606</v>
      </c>
      <c r="E92" s="280" t="s">
        <v>590</v>
      </c>
      <c r="F92" s="279" t="s">
        <v>591</v>
      </c>
      <c r="G92" s="281" t="s">
        <v>574</v>
      </c>
    </row>
    <row r="93" spans="3:7">
      <c r="C93" s="282" t="s">
        <v>616</v>
      </c>
      <c r="D93" s="283"/>
      <c r="E93" s="283" t="s">
        <v>617</v>
      </c>
      <c r="F93" s="283" t="s">
        <v>618</v>
      </c>
      <c r="G93" s="283" t="s">
        <v>619</v>
      </c>
    </row>
    <row r="94" spans="3:7">
      <c r="C94" s="283"/>
      <c r="D94" s="283"/>
      <c r="E94" s="283" t="s">
        <v>620</v>
      </c>
      <c r="F94" s="283"/>
      <c r="G94" s="283"/>
    </row>
    <row r="95" spans="3:7">
      <c r="C95" s="284" t="s">
        <v>621</v>
      </c>
      <c r="D95" s="284"/>
      <c r="E95" s="284" t="s">
        <v>620</v>
      </c>
      <c r="F95" s="284"/>
      <c r="G95" s="284"/>
    </row>
    <row r="96" spans="3:7">
      <c r="C96" s="284"/>
      <c r="D96" s="284" t="s">
        <v>622</v>
      </c>
      <c r="E96" s="284" t="s">
        <v>623</v>
      </c>
      <c r="F96" s="284"/>
      <c r="G96" s="284"/>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C5C0-2B42-4B9C-A266-5C3A75F62B11}">
  <dimension ref="A1:R92"/>
  <sheetViews>
    <sheetView topLeftCell="A43" workbookViewId="0">
      <selection activeCell="I33" sqref="I33"/>
    </sheetView>
  </sheetViews>
  <sheetFormatPr defaultRowHeight="15"/>
  <sheetData>
    <row r="1" spans="1:18">
      <c r="A1" t="s">
        <v>624</v>
      </c>
    </row>
    <row r="3" spans="1:18" ht="19.5" thickBot="1">
      <c r="F3" s="38"/>
      <c r="G3" s="38" t="s">
        <v>625</v>
      </c>
      <c r="H3" s="38"/>
      <c r="I3" s="38"/>
      <c r="J3" s="38"/>
      <c r="K3" s="38"/>
      <c r="L3" s="38"/>
      <c r="M3" s="38"/>
      <c r="N3" s="38"/>
    </row>
    <row r="4" spans="1:18" ht="19.5" thickBot="1">
      <c r="A4" s="102" t="s">
        <v>626</v>
      </c>
      <c r="B4" s="103">
        <v>1</v>
      </c>
      <c r="C4" s="104">
        <v>2</v>
      </c>
      <c r="D4" s="105">
        <v>3</v>
      </c>
      <c r="E4" s="306">
        <v>4</v>
      </c>
      <c r="F4" s="106"/>
      <c r="G4" s="103">
        <v>4</v>
      </c>
      <c r="H4" s="103">
        <v>5</v>
      </c>
      <c r="I4" s="103">
        <v>6</v>
      </c>
      <c r="J4" s="103">
        <v>7</v>
      </c>
      <c r="K4" s="107">
        <v>8</v>
      </c>
      <c r="L4" s="103">
        <v>9</v>
      </c>
      <c r="M4" s="107">
        <v>10</v>
      </c>
      <c r="N4" s="103">
        <v>11</v>
      </c>
      <c r="O4" s="107">
        <v>12</v>
      </c>
      <c r="P4" s="107">
        <v>13</v>
      </c>
      <c r="Q4" s="107">
        <v>14</v>
      </c>
      <c r="R4" s="107">
        <v>15</v>
      </c>
    </row>
    <row r="5" spans="1:18" ht="19.5" thickBot="1">
      <c r="A5" s="108" t="s">
        <v>627</v>
      </c>
      <c r="B5" s="109"/>
      <c r="C5" s="110"/>
      <c r="D5" s="111"/>
      <c r="E5" s="307"/>
      <c r="F5" s="112"/>
      <c r="G5" s="113"/>
      <c r="H5" s="113"/>
      <c r="I5" s="113"/>
      <c r="J5" s="113"/>
      <c r="K5" s="113"/>
      <c r="L5" s="113"/>
      <c r="M5" s="113"/>
      <c r="N5" s="113"/>
      <c r="O5" s="113"/>
      <c r="P5" s="114"/>
      <c r="Q5" s="114"/>
      <c r="R5" s="114"/>
    </row>
    <row r="6" spans="1:18" ht="19.5" thickBot="1">
      <c r="A6" s="115"/>
      <c r="B6" s="116" t="s">
        <v>628</v>
      </c>
      <c r="C6" s="116"/>
      <c r="D6" s="111"/>
      <c r="E6" s="307"/>
      <c r="F6" s="37"/>
      <c r="G6" s="37"/>
      <c r="H6" s="37"/>
      <c r="I6" s="37"/>
      <c r="J6" s="37"/>
      <c r="K6" s="37"/>
      <c r="L6" s="38"/>
      <c r="M6" s="38"/>
      <c r="N6" s="38"/>
    </row>
    <row r="7" spans="1:18" ht="19.5" thickBot="1">
      <c r="A7" s="115" t="s">
        <v>629</v>
      </c>
      <c r="B7" s="117">
        <v>17</v>
      </c>
      <c r="C7" s="118">
        <v>20</v>
      </c>
      <c r="D7" s="119">
        <v>24</v>
      </c>
      <c r="E7" s="308">
        <v>25</v>
      </c>
      <c r="F7" s="37"/>
      <c r="G7" s="120">
        <v>8</v>
      </c>
      <c r="H7" s="121">
        <v>10</v>
      </c>
      <c r="I7" s="121">
        <v>11</v>
      </c>
      <c r="J7" s="121">
        <v>12</v>
      </c>
      <c r="K7" s="121">
        <v>14</v>
      </c>
      <c r="L7" s="122">
        <v>16</v>
      </c>
      <c r="M7" s="122">
        <v>17</v>
      </c>
      <c r="N7" s="122">
        <v>18</v>
      </c>
      <c r="O7" s="122">
        <v>20</v>
      </c>
      <c r="P7" s="122">
        <v>22</v>
      </c>
      <c r="Q7" s="122">
        <v>24</v>
      </c>
      <c r="R7" s="123">
        <v>25</v>
      </c>
    </row>
    <row r="8" spans="1:18" ht="19.5" thickBot="1">
      <c r="A8" s="124" t="s">
        <v>630</v>
      </c>
      <c r="B8" s="125">
        <v>2.2999999999999998</v>
      </c>
      <c r="C8" s="126">
        <v>3</v>
      </c>
      <c r="D8" s="127">
        <v>3.5</v>
      </c>
      <c r="E8" s="309">
        <v>4</v>
      </c>
      <c r="F8" s="128" t="s">
        <v>630</v>
      </c>
      <c r="G8" s="129">
        <v>0.96</v>
      </c>
      <c r="H8" s="130">
        <v>1.23</v>
      </c>
      <c r="I8" s="130">
        <v>1.4</v>
      </c>
      <c r="J8" s="130">
        <v>1.56</v>
      </c>
      <c r="K8" s="130">
        <v>1.86</v>
      </c>
      <c r="L8" s="113">
        <v>2.02</v>
      </c>
      <c r="M8" s="113">
        <v>2.4</v>
      </c>
      <c r="N8" s="113">
        <v>2.73</v>
      </c>
      <c r="O8" s="113">
        <v>2.86</v>
      </c>
      <c r="P8" s="113">
        <v>3.16</v>
      </c>
      <c r="Q8" s="113">
        <v>3.5</v>
      </c>
      <c r="R8" s="131">
        <v>3.6</v>
      </c>
    </row>
    <row r="9" spans="1:18" ht="19.5" thickBot="1">
      <c r="A9" s="38"/>
      <c r="B9" s="132">
        <v>2</v>
      </c>
      <c r="C9" s="133">
        <v>2.5</v>
      </c>
      <c r="D9" s="134">
        <v>3</v>
      </c>
      <c r="E9" s="310">
        <v>3.5</v>
      </c>
      <c r="F9" s="135" t="s">
        <v>631</v>
      </c>
      <c r="G9" s="136">
        <v>0.96</v>
      </c>
      <c r="H9" s="137">
        <v>1.23</v>
      </c>
      <c r="I9" s="137">
        <v>1.4</v>
      </c>
      <c r="J9" s="137">
        <v>1.56</v>
      </c>
      <c r="K9" s="137">
        <v>1.86</v>
      </c>
      <c r="L9" s="138">
        <v>2.02</v>
      </c>
      <c r="M9" s="138">
        <v>2.4</v>
      </c>
      <c r="N9" s="138">
        <v>2.73</v>
      </c>
      <c r="O9" s="138">
        <v>2.86</v>
      </c>
      <c r="P9" s="138">
        <v>3.16</v>
      </c>
      <c r="Q9" s="138">
        <v>3.5</v>
      </c>
      <c r="R9" s="139">
        <v>3.6</v>
      </c>
    </row>
    <row r="10" spans="1:18" ht="18.75">
      <c r="A10" s="38"/>
      <c r="B10" s="140">
        <v>1.5</v>
      </c>
      <c r="C10" s="311">
        <v>2</v>
      </c>
      <c r="D10" s="134">
        <v>2.5</v>
      </c>
      <c r="E10" s="310">
        <v>3</v>
      </c>
      <c r="F10" s="141"/>
      <c r="G10" s="142">
        <v>0.5</v>
      </c>
      <c r="H10" s="143">
        <v>1</v>
      </c>
      <c r="I10" s="143">
        <v>1</v>
      </c>
      <c r="J10" s="143">
        <v>1</v>
      </c>
      <c r="K10" s="143">
        <v>1.5</v>
      </c>
      <c r="L10" s="143">
        <v>2</v>
      </c>
      <c r="M10" s="143">
        <v>2</v>
      </c>
      <c r="N10" s="144">
        <v>2.5</v>
      </c>
      <c r="O10" s="144">
        <v>2.5</v>
      </c>
      <c r="P10" s="144">
        <v>3</v>
      </c>
      <c r="Q10" s="144">
        <v>3</v>
      </c>
      <c r="R10" s="145">
        <v>3.5</v>
      </c>
    </row>
    <row r="11" spans="1:18" ht="18.75">
      <c r="A11" s="38"/>
      <c r="B11" s="140">
        <v>1</v>
      </c>
      <c r="C11" s="311">
        <v>1.5</v>
      </c>
      <c r="D11" s="134">
        <v>2</v>
      </c>
      <c r="E11" s="310">
        <v>2.5</v>
      </c>
      <c r="F11" s="146"/>
      <c r="G11" s="312"/>
      <c r="H11" s="147">
        <v>0.5</v>
      </c>
      <c r="I11" s="147">
        <v>0.5</v>
      </c>
      <c r="J11" s="147">
        <v>0.5</v>
      </c>
      <c r="K11" s="147">
        <v>1</v>
      </c>
      <c r="L11" s="147">
        <v>1.5</v>
      </c>
      <c r="M11" s="147">
        <v>1.5</v>
      </c>
      <c r="N11" s="147">
        <v>2</v>
      </c>
      <c r="O11" s="147">
        <v>2</v>
      </c>
      <c r="P11" s="148">
        <v>2.5</v>
      </c>
      <c r="Q11" s="148">
        <v>2.5</v>
      </c>
      <c r="R11" s="149">
        <v>3</v>
      </c>
    </row>
    <row r="12" spans="1:18" ht="18.75">
      <c r="A12" s="38"/>
      <c r="B12" s="140">
        <v>0.5</v>
      </c>
      <c r="C12" s="311">
        <v>1</v>
      </c>
      <c r="D12" s="134">
        <v>1.5</v>
      </c>
      <c r="E12" s="310">
        <v>2</v>
      </c>
      <c r="F12" s="146"/>
      <c r="G12" s="312"/>
      <c r="H12" s="147"/>
      <c r="I12" s="147"/>
      <c r="J12" s="147"/>
      <c r="K12" s="147">
        <v>0.5</v>
      </c>
      <c r="L12" s="147">
        <v>1</v>
      </c>
      <c r="M12" s="147">
        <v>1</v>
      </c>
      <c r="N12" s="147">
        <v>1.5</v>
      </c>
      <c r="O12" s="147">
        <v>1.5</v>
      </c>
      <c r="P12" s="147">
        <v>2</v>
      </c>
      <c r="Q12" s="147">
        <v>2</v>
      </c>
      <c r="R12" s="149">
        <v>2.5</v>
      </c>
    </row>
    <row r="13" spans="1:18" ht="18.75">
      <c r="A13" s="38"/>
      <c r="B13" s="140"/>
      <c r="C13" s="311">
        <v>0.5</v>
      </c>
      <c r="D13" s="134">
        <v>1</v>
      </c>
      <c r="E13" s="310">
        <v>1.5</v>
      </c>
      <c r="F13" s="146"/>
      <c r="G13" s="312"/>
      <c r="H13" s="147"/>
      <c r="I13" s="150"/>
      <c r="J13" s="147"/>
      <c r="K13" s="147"/>
      <c r="L13" s="147">
        <v>0.5</v>
      </c>
      <c r="M13" s="147">
        <v>0.5</v>
      </c>
      <c r="N13" s="147">
        <v>1</v>
      </c>
      <c r="O13" s="147">
        <v>1</v>
      </c>
      <c r="P13" s="147">
        <v>1.5</v>
      </c>
      <c r="Q13" s="147">
        <v>1.5</v>
      </c>
      <c r="R13" s="151">
        <v>2</v>
      </c>
    </row>
    <row r="14" spans="1:18" ht="18.75">
      <c r="A14" s="38"/>
      <c r="B14" s="140"/>
      <c r="C14" s="311"/>
      <c r="D14" s="134">
        <v>0.5</v>
      </c>
      <c r="E14" s="310">
        <v>1</v>
      </c>
      <c r="F14" s="146"/>
      <c r="G14" s="312"/>
      <c r="H14" s="147"/>
      <c r="I14" s="150"/>
      <c r="J14" s="147"/>
      <c r="K14" s="147"/>
      <c r="L14" s="147"/>
      <c r="M14" s="147"/>
      <c r="N14" s="147">
        <v>0.5</v>
      </c>
      <c r="O14" s="147">
        <v>0.5</v>
      </c>
      <c r="P14" s="147">
        <v>1</v>
      </c>
      <c r="Q14" s="147">
        <v>1</v>
      </c>
      <c r="R14" s="151">
        <v>1.5</v>
      </c>
    </row>
    <row r="15" spans="1:18" ht="18.75">
      <c r="A15" s="38"/>
      <c r="B15" s="140"/>
      <c r="C15" s="311"/>
      <c r="D15" s="134"/>
      <c r="E15" s="310"/>
      <c r="F15" s="146"/>
      <c r="G15" s="312"/>
      <c r="H15" s="147"/>
      <c r="I15" s="150"/>
      <c r="J15" s="147"/>
      <c r="K15" s="147"/>
      <c r="L15" s="147"/>
      <c r="M15" s="147"/>
      <c r="N15" s="147"/>
      <c r="O15" s="147"/>
      <c r="P15" s="147">
        <v>0.5</v>
      </c>
      <c r="Q15" s="147">
        <v>0.5</v>
      </c>
      <c r="R15" s="151">
        <v>1</v>
      </c>
    </row>
    <row r="16" spans="1:18" ht="19.5" thickBot="1">
      <c r="A16" s="38"/>
      <c r="B16" s="140"/>
      <c r="C16" s="311"/>
      <c r="D16" s="134"/>
      <c r="E16" s="310"/>
      <c r="F16" s="84"/>
      <c r="G16" s="152"/>
      <c r="H16" s="153"/>
      <c r="I16" s="153"/>
      <c r="J16" s="153"/>
      <c r="K16" s="153"/>
      <c r="L16" s="154"/>
      <c r="M16" s="153"/>
      <c r="N16" s="153"/>
      <c r="O16" s="153"/>
      <c r="P16" s="155"/>
      <c r="Q16" s="155"/>
      <c r="R16" s="156">
        <v>0.5</v>
      </c>
    </row>
    <row r="17" spans="1:18" ht="19.5" thickBot="1">
      <c r="A17" s="38"/>
      <c r="B17" s="140"/>
      <c r="C17" s="311"/>
      <c r="D17" s="134"/>
      <c r="E17" s="310"/>
      <c r="F17" s="157" t="s">
        <v>632</v>
      </c>
      <c r="G17" s="129">
        <v>0.96</v>
      </c>
      <c r="H17" s="130">
        <v>1.23</v>
      </c>
      <c r="I17" s="130">
        <v>1.4</v>
      </c>
      <c r="J17" s="130">
        <v>1.56</v>
      </c>
      <c r="K17" s="130">
        <v>1.86</v>
      </c>
      <c r="L17" s="113">
        <v>2.02</v>
      </c>
      <c r="M17" s="113">
        <v>2.4</v>
      </c>
      <c r="N17" s="113">
        <v>2.73</v>
      </c>
      <c r="O17" s="113">
        <v>2.86</v>
      </c>
      <c r="P17" s="113">
        <v>3.16</v>
      </c>
      <c r="Q17" s="113">
        <v>3.5</v>
      </c>
      <c r="R17" s="131">
        <v>3.6</v>
      </c>
    </row>
    <row r="18" spans="1:18" ht="18.75">
      <c r="A18" s="38"/>
      <c r="B18" s="140"/>
      <c r="C18" s="311"/>
      <c r="D18" s="134"/>
      <c r="E18" s="310"/>
      <c r="F18" s="158"/>
      <c r="G18" s="159">
        <v>0.5</v>
      </c>
      <c r="H18" s="160">
        <v>1</v>
      </c>
      <c r="I18" s="160">
        <v>1</v>
      </c>
      <c r="J18" s="160">
        <v>1</v>
      </c>
      <c r="K18" s="160">
        <v>1.5</v>
      </c>
      <c r="L18" s="160">
        <v>2</v>
      </c>
      <c r="M18" s="160">
        <v>2</v>
      </c>
      <c r="N18" s="161">
        <v>2.5</v>
      </c>
      <c r="O18" s="161">
        <v>2.5</v>
      </c>
      <c r="P18" s="161">
        <v>3</v>
      </c>
      <c r="Q18" s="161">
        <v>3</v>
      </c>
      <c r="R18" s="162">
        <v>3.5</v>
      </c>
    </row>
    <row r="19" spans="1:18" ht="18.75">
      <c r="A19" s="38"/>
      <c r="B19" s="140"/>
      <c r="C19" s="311"/>
      <c r="D19" s="134"/>
      <c r="E19" s="310"/>
      <c r="F19" s="158"/>
      <c r="G19" s="163"/>
      <c r="H19" s="147">
        <v>0.5</v>
      </c>
      <c r="I19" s="147">
        <v>0.5</v>
      </c>
      <c r="J19" s="147">
        <v>0.5</v>
      </c>
      <c r="K19" s="147">
        <v>1</v>
      </c>
      <c r="L19" s="147">
        <v>1.5</v>
      </c>
      <c r="M19" s="147">
        <v>1.5</v>
      </c>
      <c r="N19" s="147">
        <v>2</v>
      </c>
      <c r="O19" s="147">
        <v>2</v>
      </c>
      <c r="P19" s="148">
        <v>2.5</v>
      </c>
      <c r="Q19" s="148">
        <v>2.5</v>
      </c>
      <c r="R19" s="149">
        <v>3</v>
      </c>
    </row>
    <row r="20" spans="1:18" ht="18.75">
      <c r="A20" s="38"/>
      <c r="B20" s="140"/>
      <c r="C20" s="311"/>
      <c r="D20" s="134"/>
      <c r="E20" s="310"/>
      <c r="F20" s="158"/>
      <c r="G20" s="163"/>
      <c r="H20" s="147"/>
      <c r="I20" s="147"/>
      <c r="J20" s="147"/>
      <c r="K20" s="147">
        <v>0.5</v>
      </c>
      <c r="L20" s="147">
        <v>1</v>
      </c>
      <c r="M20" s="147">
        <v>1</v>
      </c>
      <c r="N20" s="147">
        <v>1.5</v>
      </c>
      <c r="O20" s="147">
        <v>1.5</v>
      </c>
      <c r="P20" s="147">
        <v>2</v>
      </c>
      <c r="Q20" s="147">
        <v>2</v>
      </c>
      <c r="R20" s="149">
        <v>2.5</v>
      </c>
    </row>
    <row r="21" spans="1:18" ht="18.75">
      <c r="A21" s="38"/>
      <c r="B21" s="164"/>
      <c r="C21" s="165"/>
      <c r="D21" s="134"/>
      <c r="E21" s="310"/>
      <c r="F21" s="158"/>
      <c r="G21" s="163"/>
      <c r="H21" s="147"/>
      <c r="I21" s="150"/>
      <c r="J21" s="147"/>
      <c r="K21" s="147"/>
      <c r="L21" s="147">
        <v>0.5</v>
      </c>
      <c r="M21" s="147">
        <v>0.5</v>
      </c>
      <c r="N21" s="147">
        <v>1</v>
      </c>
      <c r="O21" s="147">
        <v>1</v>
      </c>
      <c r="P21" s="147">
        <v>1.5</v>
      </c>
      <c r="Q21" s="147">
        <v>1.5</v>
      </c>
      <c r="R21" s="151">
        <v>2</v>
      </c>
    </row>
    <row r="22" spans="1:18" ht="19.5" thickBot="1">
      <c r="A22" s="38"/>
      <c r="B22" s="166"/>
      <c r="C22" s="167"/>
      <c r="D22" s="168"/>
      <c r="E22" s="313"/>
      <c r="F22" s="158"/>
      <c r="G22" s="163"/>
      <c r="H22" s="147"/>
      <c r="I22" s="150"/>
      <c r="J22" s="147"/>
      <c r="K22" s="147"/>
      <c r="L22" s="147"/>
      <c r="M22" s="147"/>
      <c r="N22" s="147">
        <v>0.5</v>
      </c>
      <c r="O22" s="147">
        <v>0.5</v>
      </c>
      <c r="P22" s="147">
        <v>1</v>
      </c>
      <c r="Q22" s="147">
        <v>1</v>
      </c>
      <c r="R22" s="151">
        <v>1.5</v>
      </c>
    </row>
    <row r="23" spans="1:18" ht="18.75">
      <c r="A23" s="38"/>
      <c r="B23" s="169"/>
      <c r="C23" s="170"/>
      <c r="D23" s="168"/>
      <c r="E23" s="313"/>
      <c r="F23" s="158"/>
      <c r="G23" s="163"/>
      <c r="H23" s="147"/>
      <c r="I23" s="150"/>
      <c r="J23" s="147"/>
      <c r="K23" s="147"/>
      <c r="L23" s="147"/>
      <c r="M23" s="147"/>
      <c r="N23" s="147"/>
      <c r="O23" s="147"/>
      <c r="P23" s="147">
        <v>0.5</v>
      </c>
      <c r="Q23" s="147">
        <v>0.5</v>
      </c>
      <c r="R23" s="151">
        <v>1</v>
      </c>
    </row>
    <row r="24" spans="1:18" ht="19.5" thickBot="1">
      <c r="A24" s="38"/>
      <c r="B24" s="171"/>
      <c r="C24" s="172"/>
      <c r="D24" s="168"/>
      <c r="E24" s="313"/>
      <c r="F24" s="158"/>
      <c r="G24" s="173"/>
      <c r="H24" s="153"/>
      <c r="I24" s="153"/>
      <c r="J24" s="153"/>
      <c r="K24" s="153"/>
      <c r="L24" s="154"/>
      <c r="M24" s="153"/>
      <c r="N24" s="153"/>
      <c r="O24" s="153"/>
      <c r="P24" s="155"/>
      <c r="Q24" s="155"/>
      <c r="R24" s="156">
        <v>0.5</v>
      </c>
    </row>
    <row r="25" spans="1:18" ht="19.5" thickBot="1">
      <c r="A25" s="108" t="s">
        <v>633</v>
      </c>
      <c r="B25" s="174">
        <v>2.2999999999999998</v>
      </c>
      <c r="C25" s="175">
        <v>3</v>
      </c>
      <c r="D25" s="127">
        <v>3.5</v>
      </c>
      <c r="E25" s="309">
        <v>4</v>
      </c>
      <c r="F25" s="176"/>
      <c r="G25" s="129">
        <v>2.9</v>
      </c>
      <c r="H25" s="130">
        <v>3.7</v>
      </c>
      <c r="I25" s="130">
        <v>4.2</v>
      </c>
      <c r="J25" s="130">
        <v>4.7</v>
      </c>
      <c r="K25" s="130">
        <v>5.6</v>
      </c>
      <c r="L25" s="113">
        <v>6.1</v>
      </c>
      <c r="M25" s="113">
        <v>7.2</v>
      </c>
      <c r="N25" s="113">
        <v>8.1999999999999993</v>
      </c>
      <c r="O25" s="113">
        <v>8.6</v>
      </c>
      <c r="P25" s="113">
        <v>9.5</v>
      </c>
      <c r="Q25" s="113">
        <v>10.5</v>
      </c>
      <c r="R25" s="131">
        <v>10.8</v>
      </c>
    </row>
    <row r="27" spans="1:18" ht="19.5" thickBot="1">
      <c r="F27" s="38"/>
      <c r="G27" s="38" t="s">
        <v>625</v>
      </c>
      <c r="H27" s="38"/>
      <c r="I27" s="38"/>
      <c r="J27" s="38"/>
      <c r="K27" s="38"/>
      <c r="L27" s="38"/>
      <c r="M27" s="38"/>
      <c r="N27" s="38"/>
    </row>
    <row r="28" spans="1:18" ht="19.5" thickBot="1">
      <c r="A28" s="102" t="s">
        <v>626</v>
      </c>
      <c r="B28" s="103">
        <v>1</v>
      </c>
      <c r="C28" s="104">
        <v>2</v>
      </c>
      <c r="D28" s="105">
        <v>3</v>
      </c>
      <c r="E28" s="306">
        <v>4</v>
      </c>
      <c r="F28" s="106"/>
      <c r="G28" s="103">
        <v>4</v>
      </c>
      <c r="H28" s="103">
        <v>5</v>
      </c>
      <c r="I28" s="103">
        <v>6</v>
      </c>
      <c r="J28" s="103">
        <v>7</v>
      </c>
      <c r="K28" s="107">
        <v>8</v>
      </c>
      <c r="L28" s="103">
        <v>9</v>
      </c>
      <c r="M28" s="107">
        <v>10</v>
      </c>
      <c r="N28" s="103">
        <v>11</v>
      </c>
      <c r="O28" s="107">
        <v>12</v>
      </c>
      <c r="P28" s="107">
        <v>13</v>
      </c>
      <c r="Q28" s="107">
        <v>14</v>
      </c>
      <c r="R28" s="107">
        <v>15</v>
      </c>
    </row>
    <row r="29" spans="1:18" ht="19.5" thickBot="1">
      <c r="A29" s="108" t="s">
        <v>627</v>
      </c>
      <c r="B29" s="109"/>
      <c r="C29" s="110"/>
      <c r="D29" s="111"/>
      <c r="E29" s="307"/>
      <c r="F29" s="112"/>
      <c r="G29" s="113"/>
      <c r="H29" s="113"/>
      <c r="I29" s="113"/>
      <c r="J29" s="113"/>
      <c r="K29" s="113"/>
      <c r="L29" s="113"/>
      <c r="M29" s="113"/>
      <c r="N29" s="113"/>
      <c r="O29" s="113"/>
      <c r="P29" s="114"/>
      <c r="Q29" s="114"/>
      <c r="R29" s="114"/>
    </row>
    <row r="30" spans="1:18" ht="19.5" thickBot="1">
      <c r="A30" s="115"/>
      <c r="B30" s="116" t="s">
        <v>628</v>
      </c>
      <c r="C30" s="116"/>
      <c r="D30" s="111"/>
      <c r="E30" s="307"/>
      <c r="F30" s="37"/>
      <c r="G30" s="37"/>
      <c r="H30" s="37"/>
      <c r="I30" s="37"/>
      <c r="J30" s="37"/>
      <c r="K30" s="37"/>
      <c r="L30" s="38"/>
      <c r="M30" s="38"/>
      <c r="N30" s="38"/>
    </row>
    <row r="31" spans="1:18" ht="19.5" thickBot="1">
      <c r="A31" s="115" t="s">
        <v>629</v>
      </c>
      <c r="B31" s="117">
        <v>18</v>
      </c>
      <c r="C31" s="118">
        <v>20</v>
      </c>
      <c r="D31" s="119">
        <v>24</v>
      </c>
      <c r="E31" s="308">
        <v>25</v>
      </c>
      <c r="F31" s="37"/>
      <c r="G31" s="120">
        <v>8</v>
      </c>
      <c r="H31" s="121">
        <v>10</v>
      </c>
      <c r="I31" s="121">
        <v>11</v>
      </c>
      <c r="J31" s="121">
        <v>12</v>
      </c>
      <c r="K31" s="121">
        <v>14</v>
      </c>
      <c r="L31" s="122">
        <v>16</v>
      </c>
      <c r="M31" s="122">
        <v>17</v>
      </c>
      <c r="N31" s="122">
        <v>18</v>
      </c>
      <c r="O31" s="122">
        <v>20</v>
      </c>
      <c r="P31" s="122">
        <v>22</v>
      </c>
      <c r="Q31" s="122">
        <v>24</v>
      </c>
      <c r="R31" s="123">
        <v>25</v>
      </c>
    </row>
    <row r="32" spans="1:18" ht="19.5" thickBot="1">
      <c r="A32" s="124" t="s">
        <v>630</v>
      </c>
      <c r="B32" s="125">
        <v>2.2999999999999998</v>
      </c>
      <c r="C32" s="126">
        <v>3</v>
      </c>
      <c r="D32" s="127">
        <v>3.5</v>
      </c>
      <c r="E32" s="309">
        <v>4</v>
      </c>
      <c r="F32" s="128" t="s">
        <v>630</v>
      </c>
      <c r="G32" s="129">
        <v>0.96</v>
      </c>
      <c r="H32" s="130">
        <v>1.23</v>
      </c>
      <c r="I32" s="130">
        <v>1.4</v>
      </c>
      <c r="J32" s="130">
        <v>1.56</v>
      </c>
      <c r="K32" s="130">
        <v>1.86</v>
      </c>
      <c r="L32" s="113">
        <v>2.02</v>
      </c>
      <c r="M32" s="113">
        <v>2.4</v>
      </c>
      <c r="N32" s="113">
        <v>2.73</v>
      </c>
      <c r="O32" s="113">
        <v>2.86</v>
      </c>
      <c r="P32" s="113">
        <v>3.16</v>
      </c>
      <c r="Q32" s="113">
        <v>3.5</v>
      </c>
      <c r="R32" s="131">
        <v>3.6</v>
      </c>
    </row>
    <row r="33" spans="1:18" ht="19.5" thickBot="1">
      <c r="A33" s="38"/>
      <c r="B33" s="132">
        <v>2</v>
      </c>
      <c r="C33" s="133">
        <v>2.5</v>
      </c>
      <c r="D33" s="134">
        <v>3</v>
      </c>
      <c r="E33" s="310">
        <v>3.5</v>
      </c>
      <c r="F33" s="135" t="s">
        <v>631</v>
      </c>
      <c r="G33" s="136">
        <v>0.96</v>
      </c>
      <c r="H33" s="137">
        <v>1.23</v>
      </c>
      <c r="I33" s="137">
        <v>1.4</v>
      </c>
      <c r="J33" s="137">
        <v>1.56</v>
      </c>
      <c r="K33" s="137">
        <v>1.86</v>
      </c>
      <c r="L33" s="138">
        <v>2.02</v>
      </c>
      <c r="M33" s="138">
        <v>2.4</v>
      </c>
      <c r="N33" s="138">
        <v>2.73</v>
      </c>
      <c r="O33" s="138">
        <v>2.86</v>
      </c>
      <c r="P33" s="138">
        <v>3.16</v>
      </c>
      <c r="Q33" s="138">
        <v>3.5</v>
      </c>
      <c r="R33" s="139">
        <v>3.6</v>
      </c>
    </row>
    <row r="34" spans="1:18" ht="18.75">
      <c r="A34" s="38"/>
      <c r="B34" s="140">
        <v>1.5</v>
      </c>
      <c r="C34" s="311">
        <v>2</v>
      </c>
      <c r="D34" s="134">
        <v>2.5</v>
      </c>
      <c r="E34" s="310">
        <v>3</v>
      </c>
      <c r="F34" s="141"/>
      <c r="G34" s="142">
        <v>0.5</v>
      </c>
      <c r="H34" s="143">
        <v>1</v>
      </c>
      <c r="I34" s="143">
        <v>1</v>
      </c>
      <c r="J34" s="143">
        <v>1</v>
      </c>
      <c r="K34" s="143">
        <v>1.5</v>
      </c>
      <c r="L34" s="143">
        <v>2</v>
      </c>
      <c r="M34" s="143">
        <v>2</v>
      </c>
      <c r="N34" s="144">
        <v>2.5</v>
      </c>
      <c r="O34" s="144">
        <v>2.5</v>
      </c>
      <c r="P34" s="144">
        <v>3</v>
      </c>
      <c r="Q34" s="144">
        <v>3</v>
      </c>
      <c r="R34" s="145">
        <v>3.5</v>
      </c>
    </row>
    <row r="35" spans="1:18" ht="18.75">
      <c r="A35" s="38"/>
      <c r="B35" s="140">
        <v>1</v>
      </c>
      <c r="C35" s="311">
        <v>1.5</v>
      </c>
      <c r="D35" s="134">
        <v>2</v>
      </c>
      <c r="E35" s="310">
        <v>2.5</v>
      </c>
      <c r="F35" s="146"/>
      <c r="G35" s="312"/>
      <c r="H35" s="147">
        <v>0.5</v>
      </c>
      <c r="I35" s="147">
        <v>0.5</v>
      </c>
      <c r="J35" s="147">
        <v>0.5</v>
      </c>
      <c r="K35" s="147">
        <v>1</v>
      </c>
      <c r="L35" s="147">
        <v>1.5</v>
      </c>
      <c r="M35" s="147">
        <v>1.5</v>
      </c>
      <c r="N35" s="147">
        <v>2</v>
      </c>
      <c r="O35" s="147">
        <v>2</v>
      </c>
      <c r="P35" s="148">
        <v>2.5</v>
      </c>
      <c r="Q35" s="148">
        <v>2.5</v>
      </c>
      <c r="R35" s="149">
        <v>3</v>
      </c>
    </row>
    <row r="36" spans="1:18" ht="18.75">
      <c r="A36" s="38"/>
      <c r="B36" s="140">
        <v>0.5</v>
      </c>
      <c r="C36" s="311">
        <v>1</v>
      </c>
      <c r="D36" s="134">
        <v>1.5</v>
      </c>
      <c r="E36" s="310">
        <v>2</v>
      </c>
      <c r="F36" s="146"/>
      <c r="G36" s="312"/>
      <c r="H36" s="147"/>
      <c r="I36" s="147"/>
      <c r="J36" s="147"/>
      <c r="K36" s="147">
        <v>0.5</v>
      </c>
      <c r="L36" s="147">
        <v>1</v>
      </c>
      <c r="M36" s="147">
        <v>1</v>
      </c>
      <c r="N36" s="147">
        <v>1.5</v>
      </c>
      <c r="O36" s="147">
        <v>1.5</v>
      </c>
      <c r="P36" s="147">
        <v>2</v>
      </c>
      <c r="Q36" s="147">
        <v>2</v>
      </c>
      <c r="R36" s="149">
        <v>2.5</v>
      </c>
    </row>
    <row r="37" spans="1:18" ht="18.75">
      <c r="A37" s="38"/>
      <c r="B37" s="140"/>
      <c r="C37" s="311">
        <v>0.5</v>
      </c>
      <c r="D37" s="134">
        <v>1</v>
      </c>
      <c r="E37" s="310">
        <v>1.5</v>
      </c>
      <c r="F37" s="146"/>
      <c r="G37" s="312"/>
      <c r="H37" s="147"/>
      <c r="I37" s="150"/>
      <c r="J37" s="147"/>
      <c r="K37" s="147"/>
      <c r="L37" s="147">
        <v>0.5</v>
      </c>
      <c r="M37" s="147">
        <v>0.5</v>
      </c>
      <c r="N37" s="147">
        <v>1</v>
      </c>
      <c r="O37" s="147">
        <v>1</v>
      </c>
      <c r="P37" s="147">
        <v>1.5</v>
      </c>
      <c r="Q37" s="147">
        <v>1.5</v>
      </c>
      <c r="R37" s="151">
        <v>2</v>
      </c>
    </row>
    <row r="38" spans="1:18" ht="18.75">
      <c r="A38" s="38"/>
      <c r="B38" s="140"/>
      <c r="C38" s="311"/>
      <c r="D38" s="134">
        <v>0.5</v>
      </c>
      <c r="E38" s="310">
        <v>1</v>
      </c>
      <c r="F38" s="146"/>
      <c r="G38" s="312"/>
      <c r="H38" s="147"/>
      <c r="I38" s="150"/>
      <c r="J38" s="147"/>
      <c r="K38" s="147"/>
      <c r="L38" s="147"/>
      <c r="M38" s="147"/>
      <c r="N38" s="147">
        <v>0.5</v>
      </c>
      <c r="O38" s="147">
        <v>0.5</v>
      </c>
      <c r="P38" s="147">
        <v>1</v>
      </c>
      <c r="Q38" s="147">
        <v>1</v>
      </c>
      <c r="R38" s="151">
        <v>1.5</v>
      </c>
    </row>
    <row r="39" spans="1:18" ht="18.75">
      <c r="A39" s="38"/>
      <c r="B39" s="140"/>
      <c r="C39" s="311"/>
      <c r="D39" s="134"/>
      <c r="E39" s="310"/>
      <c r="F39" s="146"/>
      <c r="G39" s="312"/>
      <c r="H39" s="147"/>
      <c r="I39" s="150"/>
      <c r="J39" s="147"/>
      <c r="K39" s="147"/>
      <c r="L39" s="147"/>
      <c r="M39" s="147"/>
      <c r="N39" s="147"/>
      <c r="O39" s="147"/>
      <c r="P39" s="147">
        <v>0.5</v>
      </c>
      <c r="Q39" s="147">
        <v>0.5</v>
      </c>
      <c r="R39" s="151">
        <v>1</v>
      </c>
    </row>
    <row r="40" spans="1:18" ht="19.5" thickBot="1">
      <c r="A40" s="38"/>
      <c r="B40" s="140"/>
      <c r="C40" s="311"/>
      <c r="D40" s="134"/>
      <c r="E40" s="310"/>
      <c r="F40" s="84"/>
      <c r="G40" s="152"/>
      <c r="H40" s="153"/>
      <c r="I40" s="153"/>
      <c r="J40" s="153"/>
      <c r="K40" s="153"/>
      <c r="L40" s="154"/>
      <c r="M40" s="153"/>
      <c r="N40" s="153"/>
      <c r="O40" s="153"/>
      <c r="P40" s="155"/>
      <c r="Q40" s="155"/>
      <c r="R40" s="156">
        <v>0.5</v>
      </c>
    </row>
    <row r="41" spans="1:18" ht="19.5" thickBot="1">
      <c r="A41" s="38"/>
      <c r="B41" s="140"/>
      <c r="C41" s="311"/>
      <c r="D41" s="134"/>
      <c r="E41" s="310"/>
      <c r="F41" s="157" t="s">
        <v>632</v>
      </c>
      <c r="G41" s="129">
        <v>0.96</v>
      </c>
      <c r="H41" s="130">
        <v>1.23</v>
      </c>
      <c r="I41" s="130">
        <v>1.4</v>
      </c>
      <c r="J41" s="130">
        <v>1.56</v>
      </c>
      <c r="K41" s="130">
        <v>1.86</v>
      </c>
      <c r="L41" s="113">
        <v>2.02</v>
      </c>
      <c r="M41" s="113">
        <v>2.4</v>
      </c>
      <c r="N41" s="113">
        <v>2.73</v>
      </c>
      <c r="O41" s="113">
        <v>2.86</v>
      </c>
      <c r="P41" s="113">
        <v>3.16</v>
      </c>
      <c r="Q41" s="113">
        <v>3.5</v>
      </c>
      <c r="R41" s="131">
        <v>3.6</v>
      </c>
    </row>
    <row r="42" spans="1:18" ht="18.75">
      <c r="A42" s="38"/>
      <c r="B42" s="140"/>
      <c r="C42" s="311"/>
      <c r="D42" s="134"/>
      <c r="E42" s="310"/>
      <c r="F42" s="158"/>
      <c r="G42" s="159">
        <v>0.5</v>
      </c>
      <c r="H42" s="160">
        <v>1</v>
      </c>
      <c r="I42" s="160">
        <v>1</v>
      </c>
      <c r="J42" s="160">
        <v>1</v>
      </c>
      <c r="K42" s="160">
        <v>1.5</v>
      </c>
      <c r="L42" s="160">
        <v>2</v>
      </c>
      <c r="M42" s="160">
        <v>2</v>
      </c>
      <c r="N42" s="161">
        <v>2.5</v>
      </c>
      <c r="O42" s="161">
        <v>2.5</v>
      </c>
      <c r="P42" s="161">
        <v>3</v>
      </c>
      <c r="Q42" s="161">
        <v>3</v>
      </c>
      <c r="R42" s="162">
        <v>3.5</v>
      </c>
    </row>
    <row r="43" spans="1:18" ht="18.75">
      <c r="A43" s="38"/>
      <c r="B43" s="140"/>
      <c r="C43" s="311"/>
      <c r="D43" s="134"/>
      <c r="E43" s="310"/>
      <c r="F43" s="158"/>
      <c r="G43" s="163"/>
      <c r="H43" s="147">
        <v>0.5</v>
      </c>
      <c r="I43" s="147">
        <v>0.5</v>
      </c>
      <c r="J43" s="147">
        <v>0.5</v>
      </c>
      <c r="K43" s="147">
        <v>1</v>
      </c>
      <c r="L43" s="147">
        <v>1.5</v>
      </c>
      <c r="M43" s="147">
        <v>1.5</v>
      </c>
      <c r="N43" s="147">
        <v>2</v>
      </c>
      <c r="O43" s="147">
        <v>2</v>
      </c>
      <c r="P43" s="148">
        <v>2.5</v>
      </c>
      <c r="Q43" s="148">
        <v>2.5</v>
      </c>
      <c r="R43" s="149">
        <v>3</v>
      </c>
    </row>
    <row r="44" spans="1:18" ht="18.75">
      <c r="A44" s="38"/>
      <c r="B44" s="140"/>
      <c r="C44" s="311"/>
      <c r="D44" s="134"/>
      <c r="E44" s="310"/>
      <c r="F44" s="158"/>
      <c r="G44" s="163"/>
      <c r="H44" s="147"/>
      <c r="I44" s="147"/>
      <c r="J44" s="147"/>
      <c r="K44" s="147">
        <v>0.5</v>
      </c>
      <c r="L44" s="147">
        <v>1</v>
      </c>
      <c r="M44" s="147">
        <v>1</v>
      </c>
      <c r="N44" s="147">
        <v>1.5</v>
      </c>
      <c r="O44" s="147">
        <v>1.5</v>
      </c>
      <c r="P44" s="147">
        <v>2</v>
      </c>
      <c r="Q44" s="147">
        <v>2</v>
      </c>
      <c r="R44" s="149">
        <v>2.5</v>
      </c>
    </row>
    <row r="45" spans="1:18" ht="18.75">
      <c r="A45" s="38"/>
      <c r="B45" s="164"/>
      <c r="C45" s="165"/>
      <c r="D45" s="134"/>
      <c r="E45" s="310"/>
      <c r="F45" s="158"/>
      <c r="G45" s="163"/>
      <c r="H45" s="147"/>
      <c r="I45" s="150"/>
      <c r="J45" s="147"/>
      <c r="K45" s="147"/>
      <c r="L45" s="147">
        <v>0.5</v>
      </c>
      <c r="M45" s="147">
        <v>0.5</v>
      </c>
      <c r="N45" s="147">
        <v>1</v>
      </c>
      <c r="O45" s="147">
        <v>1</v>
      </c>
      <c r="P45" s="147">
        <v>1.5</v>
      </c>
      <c r="Q45" s="147">
        <v>1.5</v>
      </c>
      <c r="R45" s="151">
        <v>2</v>
      </c>
    </row>
    <row r="46" spans="1:18" ht="19.5" thickBot="1">
      <c r="A46" s="38"/>
      <c r="B46" s="166"/>
      <c r="C46" s="167"/>
      <c r="D46" s="168"/>
      <c r="E46" s="313"/>
      <c r="F46" s="158"/>
      <c r="G46" s="163"/>
      <c r="H46" s="147"/>
      <c r="I46" s="150"/>
      <c r="J46" s="147"/>
      <c r="K46" s="147"/>
      <c r="L46" s="147"/>
      <c r="M46" s="147"/>
      <c r="N46" s="147">
        <v>0.5</v>
      </c>
      <c r="O46" s="147">
        <v>0.5</v>
      </c>
      <c r="P46" s="147">
        <v>1</v>
      </c>
      <c r="Q46" s="147">
        <v>1</v>
      </c>
      <c r="R46" s="151">
        <v>1.5</v>
      </c>
    </row>
    <row r="47" spans="1:18" ht="18.75">
      <c r="A47" s="38"/>
      <c r="B47" s="169"/>
      <c r="C47" s="170"/>
      <c r="D47" s="168"/>
      <c r="E47" s="313"/>
      <c r="F47" s="158"/>
      <c r="G47" s="163"/>
      <c r="H47" s="147"/>
      <c r="I47" s="150"/>
      <c r="J47" s="147"/>
      <c r="K47" s="147"/>
      <c r="L47" s="147"/>
      <c r="M47" s="147"/>
      <c r="N47" s="147"/>
      <c r="O47" s="147"/>
      <c r="P47" s="147">
        <v>0.5</v>
      </c>
      <c r="Q47" s="147">
        <v>0.5</v>
      </c>
      <c r="R47" s="151">
        <v>1</v>
      </c>
    </row>
    <row r="48" spans="1:18" ht="19.5" thickBot="1">
      <c r="A48" s="38"/>
      <c r="B48" s="171"/>
      <c r="C48" s="172"/>
      <c r="D48" s="168"/>
      <c r="E48" s="313"/>
      <c r="F48" s="158"/>
      <c r="G48" s="173"/>
      <c r="H48" s="153"/>
      <c r="I48" s="153"/>
      <c r="J48" s="153"/>
      <c r="K48" s="153"/>
      <c r="L48" s="154"/>
      <c r="M48" s="153"/>
      <c r="N48" s="153"/>
      <c r="O48" s="153"/>
      <c r="P48" s="155"/>
      <c r="Q48" s="155"/>
      <c r="R48" s="156">
        <v>0.5</v>
      </c>
    </row>
    <row r="49" spans="1:18" ht="19.5" thickBot="1">
      <c r="A49" s="108" t="s">
        <v>633</v>
      </c>
      <c r="B49" s="174">
        <v>2.2999999999999998</v>
      </c>
      <c r="C49" s="175">
        <v>3</v>
      </c>
      <c r="D49" s="127">
        <v>3.5</v>
      </c>
      <c r="E49" s="309">
        <v>4</v>
      </c>
      <c r="F49" s="176"/>
      <c r="G49" s="129">
        <v>2.9</v>
      </c>
      <c r="H49" s="130">
        <v>3.7</v>
      </c>
      <c r="I49" s="130">
        <v>4.2</v>
      </c>
      <c r="J49" s="130">
        <v>4.7</v>
      </c>
      <c r="K49" s="130">
        <v>5.6</v>
      </c>
      <c r="L49" s="113">
        <v>6.1</v>
      </c>
      <c r="M49" s="113">
        <v>7.2</v>
      </c>
      <c r="N49" s="113">
        <v>8.1999999999999993</v>
      </c>
      <c r="O49" s="113">
        <v>8.6</v>
      </c>
      <c r="P49" s="113">
        <v>9.5</v>
      </c>
      <c r="Q49" s="113">
        <v>10.5</v>
      </c>
      <c r="R49" s="131">
        <v>10.8</v>
      </c>
    </row>
    <row r="52" spans="1:18" ht="19.5" thickBot="1">
      <c r="F52" s="38"/>
      <c r="G52" s="38" t="s">
        <v>634</v>
      </c>
      <c r="H52" s="38"/>
      <c r="I52" s="38"/>
      <c r="J52" s="38"/>
      <c r="K52" s="38"/>
      <c r="L52" s="38"/>
      <c r="M52" s="38"/>
      <c r="N52" s="38"/>
    </row>
    <row r="53" spans="1:18" ht="19.5" thickBot="1">
      <c r="A53" s="102" t="s">
        <v>626</v>
      </c>
      <c r="B53" s="177">
        <v>1</v>
      </c>
      <c r="C53" s="177">
        <v>2</v>
      </c>
      <c r="D53" s="178">
        <v>3</v>
      </c>
      <c r="E53" s="111">
        <v>4</v>
      </c>
      <c r="F53" s="122"/>
      <c r="G53" s="177">
        <v>4</v>
      </c>
      <c r="H53" s="177">
        <v>5</v>
      </c>
      <c r="I53" s="177">
        <v>6</v>
      </c>
      <c r="J53" s="177">
        <v>7</v>
      </c>
      <c r="K53" s="179">
        <v>8</v>
      </c>
      <c r="L53" s="177">
        <v>9</v>
      </c>
      <c r="M53" s="179">
        <v>10</v>
      </c>
      <c r="N53" s="177">
        <v>11</v>
      </c>
      <c r="O53" s="179">
        <v>12</v>
      </c>
    </row>
    <row r="54" spans="1:18" ht="19.5" thickBot="1">
      <c r="A54" s="180" t="s">
        <v>627</v>
      </c>
      <c r="B54" s="113"/>
      <c r="C54" s="113"/>
      <c r="D54" s="110"/>
      <c r="E54" s="111"/>
      <c r="F54" s="112"/>
      <c r="G54" s="113"/>
      <c r="H54" s="113"/>
      <c r="I54" s="113"/>
      <c r="J54" s="113"/>
      <c r="K54" s="113"/>
      <c r="L54" s="113"/>
      <c r="M54" s="113"/>
      <c r="N54" s="113"/>
      <c r="O54" s="113"/>
    </row>
    <row r="55" spans="1:18" ht="19.5" thickBot="1">
      <c r="A55" s="115"/>
      <c r="B55" s="116" t="s">
        <v>628</v>
      </c>
      <c r="C55" s="116"/>
      <c r="D55" s="116"/>
      <c r="E55" s="111"/>
      <c r="F55" s="37"/>
      <c r="G55" s="37"/>
      <c r="H55" s="37"/>
      <c r="I55" s="37"/>
      <c r="J55" s="37"/>
      <c r="K55" s="37"/>
      <c r="L55" s="38"/>
      <c r="M55" s="38"/>
      <c r="N55" s="38"/>
    </row>
    <row r="56" spans="1:18" ht="19.5" thickBot="1">
      <c r="A56" s="115"/>
      <c r="B56" s="117">
        <v>18</v>
      </c>
      <c r="C56" s="118">
        <v>20</v>
      </c>
      <c r="D56" s="118">
        <v>24</v>
      </c>
      <c r="E56" s="119">
        <v>25</v>
      </c>
      <c r="F56" s="37"/>
      <c r="G56" s="181">
        <v>12</v>
      </c>
      <c r="H56" s="182">
        <v>14</v>
      </c>
      <c r="I56" s="182">
        <v>16</v>
      </c>
      <c r="J56" s="182">
        <v>17</v>
      </c>
      <c r="K56" s="182">
        <v>18</v>
      </c>
      <c r="L56" s="183">
        <v>20</v>
      </c>
      <c r="M56" s="183">
        <v>22</v>
      </c>
      <c r="N56" s="183">
        <v>24</v>
      </c>
      <c r="O56" s="184">
        <v>25</v>
      </c>
    </row>
    <row r="57" spans="1:18" ht="19.5" thickBot="1">
      <c r="A57" s="124" t="s">
        <v>630</v>
      </c>
      <c r="B57" s="125">
        <v>2.5</v>
      </c>
      <c r="C57" s="125">
        <v>3</v>
      </c>
      <c r="D57" s="126">
        <v>3.5</v>
      </c>
      <c r="E57" s="127">
        <v>4</v>
      </c>
      <c r="F57" s="128" t="s">
        <v>630</v>
      </c>
      <c r="G57" s="129">
        <v>1.5</v>
      </c>
      <c r="H57" s="130">
        <v>1.85</v>
      </c>
      <c r="I57" s="130">
        <v>2</v>
      </c>
      <c r="J57" s="130">
        <v>2.4</v>
      </c>
      <c r="K57" s="130">
        <v>2.75</v>
      </c>
      <c r="L57" s="113">
        <v>2.85</v>
      </c>
      <c r="M57" s="113">
        <v>3.15</v>
      </c>
      <c r="N57" s="113">
        <v>3.5</v>
      </c>
      <c r="O57" s="131">
        <v>3.65</v>
      </c>
    </row>
    <row r="58" spans="1:18" ht="18.75">
      <c r="A58" s="38"/>
      <c r="B58" s="132">
        <v>2</v>
      </c>
      <c r="C58" s="185">
        <v>2.5</v>
      </c>
      <c r="D58" s="133">
        <v>3</v>
      </c>
      <c r="E58" s="134">
        <v>3.5</v>
      </c>
      <c r="F58" s="186"/>
      <c r="G58" s="187">
        <v>1</v>
      </c>
      <c r="H58" s="143">
        <v>1.5</v>
      </c>
      <c r="I58" s="143">
        <v>1.5</v>
      </c>
      <c r="J58" s="143">
        <v>2</v>
      </c>
      <c r="K58" s="143">
        <v>2.5</v>
      </c>
      <c r="L58" s="143">
        <v>2.5</v>
      </c>
      <c r="M58" s="144">
        <v>3</v>
      </c>
      <c r="N58" s="144">
        <v>3</v>
      </c>
      <c r="O58" s="145">
        <v>3</v>
      </c>
    </row>
    <row r="59" spans="1:18" ht="18.75">
      <c r="A59" s="38"/>
      <c r="B59" s="140">
        <v>1.5</v>
      </c>
      <c r="C59" s="134">
        <v>2</v>
      </c>
      <c r="D59" s="311">
        <v>2.5</v>
      </c>
      <c r="E59" s="134">
        <v>3</v>
      </c>
      <c r="F59" s="158"/>
      <c r="G59" s="163">
        <v>0.5</v>
      </c>
      <c r="H59" s="147">
        <v>1</v>
      </c>
      <c r="I59" s="147">
        <v>1</v>
      </c>
      <c r="J59" s="147">
        <v>1.5</v>
      </c>
      <c r="K59" s="147">
        <v>2</v>
      </c>
      <c r="L59" s="147">
        <v>2</v>
      </c>
      <c r="M59" s="147">
        <v>2.5</v>
      </c>
      <c r="N59" s="147">
        <v>2.5</v>
      </c>
      <c r="O59" s="151">
        <v>2.5</v>
      </c>
    </row>
    <row r="60" spans="1:18" ht="18.75">
      <c r="A60" s="38"/>
      <c r="B60" s="140">
        <v>1</v>
      </c>
      <c r="C60" s="134">
        <v>1.5</v>
      </c>
      <c r="D60" s="311">
        <v>2</v>
      </c>
      <c r="E60" s="134">
        <v>2.5</v>
      </c>
      <c r="F60" s="158"/>
      <c r="G60" s="163"/>
      <c r="H60" s="147">
        <v>0.5</v>
      </c>
      <c r="I60" s="147">
        <v>0.5</v>
      </c>
      <c r="J60" s="147">
        <v>1</v>
      </c>
      <c r="K60" s="147">
        <v>1.5</v>
      </c>
      <c r="L60" s="147">
        <v>1.5</v>
      </c>
      <c r="M60" s="147">
        <v>2</v>
      </c>
      <c r="N60" s="147">
        <v>2</v>
      </c>
      <c r="O60" s="151">
        <v>2</v>
      </c>
    </row>
    <row r="61" spans="1:18" ht="18.75">
      <c r="A61" s="38"/>
      <c r="B61" s="140">
        <v>0.5</v>
      </c>
      <c r="C61" s="134">
        <v>1</v>
      </c>
      <c r="D61" s="311">
        <v>1.5</v>
      </c>
      <c r="E61" s="134">
        <v>2</v>
      </c>
      <c r="F61" s="158"/>
      <c r="G61" s="163"/>
      <c r="H61" s="147"/>
      <c r="I61" s="150"/>
      <c r="J61" s="147">
        <v>0.5</v>
      </c>
      <c r="K61" s="147">
        <v>1</v>
      </c>
      <c r="L61" s="147">
        <v>1</v>
      </c>
      <c r="M61" s="147">
        <v>1.5</v>
      </c>
      <c r="N61" s="147">
        <v>1.5</v>
      </c>
      <c r="O61" s="151">
        <v>1.5</v>
      </c>
    </row>
    <row r="62" spans="1:18" ht="18.75">
      <c r="A62" s="38"/>
      <c r="B62" s="140"/>
      <c r="C62" s="134">
        <v>0.5</v>
      </c>
      <c r="D62" s="311">
        <v>1</v>
      </c>
      <c r="E62" s="134">
        <v>1.5</v>
      </c>
      <c r="F62" s="158"/>
      <c r="G62" s="163"/>
      <c r="H62" s="147"/>
      <c r="I62" s="150"/>
      <c r="J62" s="147"/>
      <c r="K62" s="147">
        <v>0.5</v>
      </c>
      <c r="L62" s="147">
        <v>0.5</v>
      </c>
      <c r="M62" s="147">
        <v>1</v>
      </c>
      <c r="N62" s="147">
        <v>1</v>
      </c>
      <c r="O62" s="151">
        <v>1</v>
      </c>
    </row>
    <row r="63" spans="1:18" ht="19.5" thickBot="1">
      <c r="A63" s="38"/>
      <c r="B63" s="140"/>
      <c r="C63" s="134"/>
      <c r="D63" s="311">
        <v>0.5</v>
      </c>
      <c r="E63" s="134">
        <v>1</v>
      </c>
      <c r="F63" s="176"/>
      <c r="G63" s="188"/>
      <c r="H63" s="189"/>
      <c r="I63" s="189"/>
      <c r="J63" s="189"/>
      <c r="K63" s="189"/>
      <c r="L63" s="190"/>
      <c r="M63" s="189">
        <v>0.5</v>
      </c>
      <c r="N63" s="189">
        <v>0.5</v>
      </c>
      <c r="O63" s="191">
        <v>0.5</v>
      </c>
    </row>
    <row r="64" spans="1:18" ht="19.5" thickBot="1">
      <c r="A64" s="38"/>
      <c r="B64" s="140"/>
      <c r="C64" s="134"/>
      <c r="D64" s="311"/>
      <c r="E64" s="134"/>
      <c r="F64" s="128" t="s">
        <v>632</v>
      </c>
      <c r="G64" s="129">
        <v>1.5</v>
      </c>
      <c r="H64" s="130">
        <v>1.85</v>
      </c>
      <c r="I64" s="130">
        <v>2</v>
      </c>
      <c r="J64" s="130">
        <v>2.4</v>
      </c>
      <c r="K64" s="130">
        <v>2.75</v>
      </c>
      <c r="L64" s="113">
        <v>2.85</v>
      </c>
      <c r="M64" s="113">
        <v>3.15</v>
      </c>
      <c r="N64" s="113">
        <v>3.5</v>
      </c>
      <c r="O64" s="131">
        <v>3.65</v>
      </c>
    </row>
    <row r="65" spans="1:15" ht="18.75">
      <c r="A65" s="38"/>
      <c r="B65" s="140"/>
      <c r="C65" s="134"/>
      <c r="D65" s="311"/>
      <c r="E65" s="134"/>
      <c r="F65" s="192"/>
      <c r="G65" s="187">
        <v>1</v>
      </c>
      <c r="H65" s="143">
        <v>1.5</v>
      </c>
      <c r="I65" s="143">
        <v>1.5</v>
      </c>
      <c r="J65" s="143">
        <v>2</v>
      </c>
      <c r="K65" s="143">
        <v>2.5</v>
      </c>
      <c r="L65" s="143">
        <v>2.5</v>
      </c>
      <c r="M65" s="144">
        <v>3</v>
      </c>
      <c r="N65" s="144">
        <v>3</v>
      </c>
      <c r="O65" s="145">
        <v>3</v>
      </c>
    </row>
    <row r="66" spans="1:15" ht="18.75">
      <c r="A66" s="38"/>
      <c r="B66" s="140"/>
      <c r="C66" s="134"/>
      <c r="D66" s="311"/>
      <c r="E66" s="134"/>
      <c r="F66" s="158"/>
      <c r="G66" s="163">
        <v>0.5</v>
      </c>
      <c r="H66" s="147">
        <v>1</v>
      </c>
      <c r="I66" s="147">
        <v>1</v>
      </c>
      <c r="J66" s="147">
        <v>1.5</v>
      </c>
      <c r="K66" s="147">
        <v>2</v>
      </c>
      <c r="L66" s="147">
        <v>2</v>
      </c>
      <c r="M66" s="147">
        <v>2.5</v>
      </c>
      <c r="N66" s="147">
        <v>2.5</v>
      </c>
      <c r="O66" s="151">
        <v>2.5</v>
      </c>
    </row>
    <row r="67" spans="1:15" ht="18.75">
      <c r="A67" s="38"/>
      <c r="B67" s="140"/>
      <c r="C67" s="134"/>
      <c r="D67" s="311"/>
      <c r="E67" s="134"/>
      <c r="F67" s="158"/>
      <c r="G67" s="163"/>
      <c r="H67" s="147">
        <v>0.5</v>
      </c>
      <c r="I67" s="147">
        <v>0.5</v>
      </c>
      <c r="J67" s="147">
        <v>1</v>
      </c>
      <c r="K67" s="147">
        <v>1.5</v>
      </c>
      <c r="L67" s="147">
        <v>1.5</v>
      </c>
      <c r="M67" s="147">
        <v>2</v>
      </c>
      <c r="N67" s="147">
        <v>2</v>
      </c>
      <c r="O67" s="151">
        <v>2</v>
      </c>
    </row>
    <row r="68" spans="1:15" ht="18.75">
      <c r="A68" s="38"/>
      <c r="B68" s="140"/>
      <c r="C68" s="134"/>
      <c r="D68" s="311"/>
      <c r="E68" s="134"/>
      <c r="F68" s="158"/>
      <c r="G68" s="163"/>
      <c r="H68" s="147"/>
      <c r="I68" s="147"/>
      <c r="J68" s="147">
        <v>0.5</v>
      </c>
      <c r="K68" s="147">
        <v>1</v>
      </c>
      <c r="L68" s="147">
        <v>1</v>
      </c>
      <c r="M68" s="147">
        <v>1.5</v>
      </c>
      <c r="N68" s="147">
        <v>1.5</v>
      </c>
      <c r="O68" s="151">
        <v>1.5</v>
      </c>
    </row>
    <row r="69" spans="1:15" ht="19.5" thickBot="1">
      <c r="A69" s="38"/>
      <c r="B69" s="166"/>
      <c r="C69" s="193"/>
      <c r="D69" s="194"/>
      <c r="E69" s="168"/>
      <c r="F69" s="158"/>
      <c r="G69" s="195"/>
      <c r="H69" s="147"/>
      <c r="I69" s="147"/>
      <c r="J69" s="147"/>
      <c r="K69" s="147">
        <v>0.5</v>
      </c>
      <c r="L69" s="147">
        <v>0.5</v>
      </c>
      <c r="M69" s="147">
        <v>1</v>
      </c>
      <c r="N69" s="147">
        <v>1</v>
      </c>
      <c r="O69" s="151">
        <v>1</v>
      </c>
    </row>
    <row r="70" spans="1:15" ht="19.5" thickBot="1">
      <c r="A70" s="38"/>
      <c r="B70" s="196"/>
      <c r="C70" s="197"/>
      <c r="D70" s="198"/>
      <c r="E70" s="168"/>
      <c r="F70" s="158"/>
      <c r="G70" s="188"/>
      <c r="H70" s="189"/>
      <c r="I70" s="189"/>
      <c r="J70" s="189"/>
      <c r="K70" s="189"/>
      <c r="L70" s="189"/>
      <c r="M70" s="189">
        <v>0.5</v>
      </c>
      <c r="N70" s="189">
        <v>0.5</v>
      </c>
      <c r="O70" s="191">
        <v>0.5</v>
      </c>
    </row>
    <row r="71" spans="1:15" ht="19.5" thickBot="1">
      <c r="A71" s="108" t="s">
        <v>633</v>
      </c>
      <c r="B71" s="174">
        <v>2.5</v>
      </c>
      <c r="C71" s="199">
        <v>3</v>
      </c>
      <c r="D71" s="175">
        <v>3.5</v>
      </c>
      <c r="E71" s="127">
        <v>4</v>
      </c>
      <c r="F71" s="176"/>
      <c r="G71" s="129">
        <v>3</v>
      </c>
      <c r="H71" s="130">
        <v>3.7</v>
      </c>
      <c r="I71" s="130">
        <v>4</v>
      </c>
      <c r="J71" s="130">
        <v>4.8</v>
      </c>
      <c r="K71" s="130">
        <v>5.5</v>
      </c>
      <c r="L71" s="113">
        <v>5.7</v>
      </c>
      <c r="M71" s="113">
        <v>6.3</v>
      </c>
      <c r="N71" s="113">
        <v>7</v>
      </c>
      <c r="O71" s="131">
        <v>7.3</v>
      </c>
    </row>
    <row r="73" spans="1:15" ht="19.5" thickBot="1">
      <c r="F73" s="38"/>
      <c r="G73" s="38" t="s">
        <v>634</v>
      </c>
      <c r="H73" s="38"/>
      <c r="I73" s="38"/>
      <c r="J73" s="38"/>
      <c r="K73" s="38"/>
      <c r="L73" s="38"/>
      <c r="M73" s="38"/>
      <c r="N73" s="38"/>
    </row>
    <row r="74" spans="1:15" ht="19.5" thickBot="1">
      <c r="A74" s="102" t="s">
        <v>626</v>
      </c>
      <c r="B74" s="177">
        <v>1</v>
      </c>
      <c r="C74" s="177">
        <v>2</v>
      </c>
      <c r="D74" s="178">
        <v>3</v>
      </c>
      <c r="E74" s="111">
        <v>4</v>
      </c>
      <c r="F74" s="122"/>
      <c r="G74" s="177">
        <v>4</v>
      </c>
      <c r="H74" s="177">
        <v>5</v>
      </c>
      <c r="I74" s="177">
        <v>6</v>
      </c>
      <c r="J74" s="177">
        <v>7</v>
      </c>
      <c r="K74" s="179">
        <v>8</v>
      </c>
      <c r="L74" s="177">
        <v>9</v>
      </c>
      <c r="M74" s="179">
        <v>10</v>
      </c>
      <c r="N74" s="177">
        <v>11</v>
      </c>
      <c r="O74" s="179">
        <v>12</v>
      </c>
    </row>
    <row r="75" spans="1:15" ht="19.5" thickBot="1">
      <c r="A75" s="180" t="s">
        <v>627</v>
      </c>
      <c r="B75" s="113"/>
      <c r="C75" s="113"/>
      <c r="D75" s="110"/>
      <c r="E75" s="111"/>
      <c r="F75" s="112"/>
      <c r="G75" s="113"/>
      <c r="H75" s="113"/>
      <c r="I75" s="113"/>
      <c r="J75" s="113"/>
      <c r="K75" s="113"/>
      <c r="L75" s="113"/>
      <c r="M75" s="113"/>
      <c r="N75" s="113"/>
      <c r="O75" s="113"/>
    </row>
    <row r="76" spans="1:15" ht="19.5" thickBot="1">
      <c r="A76" s="115"/>
      <c r="B76" s="116" t="s">
        <v>628</v>
      </c>
      <c r="C76" s="116"/>
      <c r="D76" s="116"/>
      <c r="E76" s="111"/>
      <c r="F76" s="37"/>
      <c r="G76" s="37"/>
      <c r="H76" s="37"/>
      <c r="I76" s="37"/>
      <c r="J76" s="37"/>
      <c r="K76" s="37"/>
      <c r="L76" s="38"/>
      <c r="M76" s="38"/>
      <c r="N76" s="38"/>
    </row>
    <row r="77" spans="1:15" ht="19.5" thickBot="1">
      <c r="A77" s="115"/>
      <c r="B77" s="117">
        <v>18</v>
      </c>
      <c r="C77" s="118">
        <v>20</v>
      </c>
      <c r="D77" s="118">
        <v>24</v>
      </c>
      <c r="E77" s="119">
        <v>25</v>
      </c>
      <c r="F77" s="37"/>
      <c r="G77" s="181">
        <v>12</v>
      </c>
      <c r="H77" s="182">
        <v>14</v>
      </c>
      <c r="I77" s="182">
        <v>16</v>
      </c>
      <c r="J77" s="182">
        <v>17</v>
      </c>
      <c r="K77" s="182">
        <v>18</v>
      </c>
      <c r="L77" s="183">
        <v>20</v>
      </c>
      <c r="M77" s="183">
        <v>22</v>
      </c>
      <c r="N77" s="183">
        <v>24</v>
      </c>
      <c r="O77" s="184">
        <v>25</v>
      </c>
    </row>
    <row r="78" spans="1:15" ht="19.5" thickBot="1">
      <c r="A78" s="124" t="s">
        <v>630</v>
      </c>
      <c r="B78" s="125">
        <v>2.5</v>
      </c>
      <c r="C78" s="125">
        <v>3</v>
      </c>
      <c r="D78" s="126">
        <v>3.5</v>
      </c>
      <c r="E78" s="127">
        <v>4</v>
      </c>
      <c r="F78" s="128" t="s">
        <v>630</v>
      </c>
      <c r="G78" s="129">
        <v>1.5</v>
      </c>
      <c r="H78" s="130">
        <v>1.85</v>
      </c>
      <c r="I78" s="130">
        <v>2</v>
      </c>
      <c r="J78" s="130">
        <v>2.4</v>
      </c>
      <c r="K78" s="130">
        <v>2.75</v>
      </c>
      <c r="L78" s="113">
        <v>2.85</v>
      </c>
      <c r="M78" s="113">
        <v>3.15</v>
      </c>
      <c r="N78" s="113">
        <v>3.5</v>
      </c>
      <c r="O78" s="131">
        <v>3.65</v>
      </c>
    </row>
    <row r="79" spans="1:15" ht="18.75">
      <c r="A79" s="38"/>
      <c r="B79" s="132">
        <v>2</v>
      </c>
      <c r="C79" s="185">
        <v>2.5</v>
      </c>
      <c r="D79" s="133">
        <v>3</v>
      </c>
      <c r="E79" s="134">
        <v>3.5</v>
      </c>
      <c r="F79" s="186"/>
      <c r="G79" s="187">
        <v>1</v>
      </c>
      <c r="H79" s="143">
        <v>1.5</v>
      </c>
      <c r="I79" s="143">
        <v>1.5</v>
      </c>
      <c r="J79" s="143">
        <v>2</v>
      </c>
      <c r="K79" s="143">
        <v>2.5</v>
      </c>
      <c r="L79" s="143">
        <v>2.5</v>
      </c>
      <c r="M79" s="144">
        <v>3</v>
      </c>
      <c r="N79" s="144">
        <v>3</v>
      </c>
      <c r="O79" s="145">
        <v>3</v>
      </c>
    </row>
    <row r="80" spans="1:15" ht="18.75">
      <c r="A80" s="38"/>
      <c r="B80" s="140">
        <v>1.5</v>
      </c>
      <c r="C80" s="134">
        <v>2</v>
      </c>
      <c r="D80" s="311">
        <v>2.5</v>
      </c>
      <c r="E80" s="134">
        <v>3</v>
      </c>
      <c r="F80" s="158"/>
      <c r="G80" s="163">
        <v>0.5</v>
      </c>
      <c r="H80" s="147">
        <v>1</v>
      </c>
      <c r="I80" s="147">
        <v>1</v>
      </c>
      <c r="J80" s="147">
        <v>1.5</v>
      </c>
      <c r="K80" s="147">
        <v>2</v>
      </c>
      <c r="L80" s="147">
        <v>2</v>
      </c>
      <c r="M80" s="147">
        <v>2.5</v>
      </c>
      <c r="N80" s="147">
        <v>2.5</v>
      </c>
      <c r="O80" s="151">
        <v>2.5</v>
      </c>
    </row>
    <row r="81" spans="1:15" ht="18.75">
      <c r="A81" s="38"/>
      <c r="B81" s="140">
        <v>1</v>
      </c>
      <c r="C81" s="134">
        <v>1.5</v>
      </c>
      <c r="D81" s="311">
        <v>2</v>
      </c>
      <c r="E81" s="134">
        <v>2.5</v>
      </c>
      <c r="F81" s="158"/>
      <c r="G81" s="163"/>
      <c r="H81" s="147">
        <v>0.5</v>
      </c>
      <c r="I81" s="147">
        <v>0.5</v>
      </c>
      <c r="J81" s="147">
        <v>1</v>
      </c>
      <c r="K81" s="147">
        <v>1.5</v>
      </c>
      <c r="L81" s="147">
        <v>1.5</v>
      </c>
      <c r="M81" s="147">
        <v>2</v>
      </c>
      <c r="N81" s="147">
        <v>2</v>
      </c>
      <c r="O81" s="151">
        <v>2</v>
      </c>
    </row>
    <row r="82" spans="1:15" ht="18.75">
      <c r="A82" s="38"/>
      <c r="B82" s="140">
        <v>0.5</v>
      </c>
      <c r="C82" s="134">
        <v>1</v>
      </c>
      <c r="D82" s="311">
        <v>1.5</v>
      </c>
      <c r="E82" s="134">
        <v>2</v>
      </c>
      <c r="F82" s="158"/>
      <c r="G82" s="163"/>
      <c r="H82" s="147"/>
      <c r="I82" s="150"/>
      <c r="J82" s="147">
        <v>0.5</v>
      </c>
      <c r="K82" s="147">
        <v>1</v>
      </c>
      <c r="L82" s="147">
        <v>1</v>
      </c>
      <c r="M82" s="147">
        <v>1.5</v>
      </c>
      <c r="N82" s="147">
        <v>1.5</v>
      </c>
      <c r="O82" s="151">
        <v>1.5</v>
      </c>
    </row>
    <row r="83" spans="1:15" ht="18.75">
      <c r="A83" s="38"/>
      <c r="B83" s="140"/>
      <c r="C83" s="134">
        <v>0.5</v>
      </c>
      <c r="D83" s="311">
        <v>1</v>
      </c>
      <c r="E83" s="134">
        <v>1.5</v>
      </c>
      <c r="F83" s="158"/>
      <c r="G83" s="163"/>
      <c r="H83" s="147"/>
      <c r="I83" s="150"/>
      <c r="J83" s="147"/>
      <c r="K83" s="147">
        <v>0.5</v>
      </c>
      <c r="L83" s="147">
        <v>0.5</v>
      </c>
      <c r="M83" s="147">
        <v>1</v>
      </c>
      <c r="N83" s="147">
        <v>1</v>
      </c>
      <c r="O83" s="151">
        <v>1</v>
      </c>
    </row>
    <row r="84" spans="1:15" ht="19.5" thickBot="1">
      <c r="A84" s="38"/>
      <c r="B84" s="140"/>
      <c r="C84" s="134"/>
      <c r="D84" s="311">
        <v>0.5</v>
      </c>
      <c r="E84" s="134">
        <v>1</v>
      </c>
      <c r="F84" s="176"/>
      <c r="G84" s="188"/>
      <c r="H84" s="189"/>
      <c r="I84" s="189"/>
      <c r="J84" s="189"/>
      <c r="K84" s="189"/>
      <c r="L84" s="190"/>
      <c r="M84" s="189">
        <v>0.5</v>
      </c>
      <c r="N84" s="189">
        <v>0.5</v>
      </c>
      <c r="O84" s="191">
        <v>0.5</v>
      </c>
    </row>
    <row r="85" spans="1:15" ht="19.5" thickBot="1">
      <c r="A85" s="38"/>
      <c r="B85" s="140"/>
      <c r="C85" s="134"/>
      <c r="D85" s="311"/>
      <c r="E85" s="134"/>
      <c r="F85" s="128" t="s">
        <v>632</v>
      </c>
      <c r="G85" s="129">
        <v>1.5</v>
      </c>
      <c r="H85" s="130">
        <v>1.85</v>
      </c>
      <c r="I85" s="130">
        <v>2</v>
      </c>
      <c r="J85" s="130">
        <v>2.4</v>
      </c>
      <c r="K85" s="130">
        <v>2.75</v>
      </c>
      <c r="L85" s="113">
        <v>2.85</v>
      </c>
      <c r="M85" s="113">
        <v>3.15</v>
      </c>
      <c r="N85" s="113">
        <v>3.5</v>
      </c>
      <c r="O85" s="131">
        <v>3.65</v>
      </c>
    </row>
    <row r="86" spans="1:15" ht="18.75">
      <c r="A86" s="38"/>
      <c r="B86" s="140"/>
      <c r="C86" s="134"/>
      <c r="D86" s="311"/>
      <c r="E86" s="134"/>
      <c r="F86" s="192"/>
      <c r="G86" s="187">
        <v>1</v>
      </c>
      <c r="H86" s="143">
        <v>1.5</v>
      </c>
      <c r="I86" s="143">
        <v>1.5</v>
      </c>
      <c r="J86" s="143">
        <v>2</v>
      </c>
      <c r="K86" s="143">
        <v>2.5</v>
      </c>
      <c r="L86" s="143">
        <v>2.5</v>
      </c>
      <c r="M86" s="144">
        <v>3</v>
      </c>
      <c r="N86" s="144">
        <v>3</v>
      </c>
      <c r="O86" s="145">
        <v>3</v>
      </c>
    </row>
    <row r="87" spans="1:15" ht="18.75">
      <c r="A87" s="38"/>
      <c r="B87" s="140"/>
      <c r="C87" s="134"/>
      <c r="D87" s="311"/>
      <c r="E87" s="134"/>
      <c r="F87" s="158"/>
      <c r="G87" s="163">
        <v>0.5</v>
      </c>
      <c r="H87" s="147">
        <v>1</v>
      </c>
      <c r="I87" s="147">
        <v>1</v>
      </c>
      <c r="J87" s="147">
        <v>1.5</v>
      </c>
      <c r="K87" s="147">
        <v>2</v>
      </c>
      <c r="L87" s="147">
        <v>2</v>
      </c>
      <c r="M87" s="147">
        <v>2.5</v>
      </c>
      <c r="N87" s="147">
        <v>2.5</v>
      </c>
      <c r="O87" s="151">
        <v>2.5</v>
      </c>
    </row>
    <row r="88" spans="1:15" ht="18.75">
      <c r="A88" s="38"/>
      <c r="B88" s="140"/>
      <c r="C88" s="134"/>
      <c r="D88" s="311"/>
      <c r="E88" s="134"/>
      <c r="F88" s="158"/>
      <c r="G88" s="163"/>
      <c r="H88" s="147">
        <v>0.5</v>
      </c>
      <c r="I88" s="147">
        <v>0.5</v>
      </c>
      <c r="J88" s="147">
        <v>1</v>
      </c>
      <c r="K88" s="147">
        <v>1.5</v>
      </c>
      <c r="L88" s="147">
        <v>1.5</v>
      </c>
      <c r="M88" s="147">
        <v>2</v>
      </c>
      <c r="N88" s="147">
        <v>2</v>
      </c>
      <c r="O88" s="151">
        <v>2</v>
      </c>
    </row>
    <row r="89" spans="1:15" ht="18.75">
      <c r="A89" s="38"/>
      <c r="B89" s="140"/>
      <c r="C89" s="134"/>
      <c r="D89" s="311"/>
      <c r="E89" s="134"/>
      <c r="F89" s="158"/>
      <c r="G89" s="163"/>
      <c r="H89" s="147"/>
      <c r="I89" s="147"/>
      <c r="J89" s="147">
        <v>0.5</v>
      </c>
      <c r="K89" s="147">
        <v>1</v>
      </c>
      <c r="L89" s="147">
        <v>1</v>
      </c>
      <c r="M89" s="147">
        <v>1.5</v>
      </c>
      <c r="N89" s="147">
        <v>1.5</v>
      </c>
      <c r="O89" s="151">
        <v>1.5</v>
      </c>
    </row>
    <row r="90" spans="1:15" ht="19.5" thickBot="1">
      <c r="A90" s="38"/>
      <c r="B90" s="166"/>
      <c r="C90" s="193"/>
      <c r="D90" s="194"/>
      <c r="E90" s="168"/>
      <c r="F90" s="158"/>
      <c r="G90" s="195"/>
      <c r="H90" s="147"/>
      <c r="I90" s="147"/>
      <c r="J90" s="147"/>
      <c r="K90" s="147">
        <v>0.5</v>
      </c>
      <c r="L90" s="147">
        <v>0.5</v>
      </c>
      <c r="M90" s="147">
        <v>1</v>
      </c>
      <c r="N90" s="147">
        <v>1</v>
      </c>
      <c r="O90" s="151">
        <v>1</v>
      </c>
    </row>
    <row r="91" spans="1:15" ht="19.5" thickBot="1">
      <c r="A91" s="38"/>
      <c r="B91" s="196"/>
      <c r="C91" s="197"/>
      <c r="D91" s="198"/>
      <c r="E91" s="168"/>
      <c r="F91" s="158"/>
      <c r="G91" s="188"/>
      <c r="H91" s="189"/>
      <c r="I91" s="189"/>
      <c r="J91" s="189"/>
      <c r="K91" s="189"/>
      <c r="L91" s="189"/>
      <c r="M91" s="189">
        <v>0.5</v>
      </c>
      <c r="N91" s="189">
        <v>0.5</v>
      </c>
      <c r="O91" s="191">
        <v>0.5</v>
      </c>
    </row>
    <row r="92" spans="1:15" ht="19.5" thickBot="1">
      <c r="A92" s="108" t="s">
        <v>633</v>
      </c>
      <c r="B92" s="174">
        <v>2.5</v>
      </c>
      <c r="C92" s="199">
        <v>3</v>
      </c>
      <c r="D92" s="175">
        <v>3.5</v>
      </c>
      <c r="E92" s="127">
        <v>4</v>
      </c>
      <c r="F92" s="176"/>
      <c r="G92" s="129">
        <v>3</v>
      </c>
      <c r="H92" s="130">
        <v>3.7</v>
      </c>
      <c r="I92" s="130">
        <v>4</v>
      </c>
      <c r="J92" s="130">
        <v>4.8</v>
      </c>
      <c r="K92" s="130">
        <v>5.5</v>
      </c>
      <c r="L92" s="113">
        <v>5.7</v>
      </c>
      <c r="M92" s="113">
        <v>6.3</v>
      </c>
      <c r="N92" s="113">
        <v>7</v>
      </c>
      <c r="O92" s="131">
        <v>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38B8-DBA9-471B-BB2B-65D8917C69E8}">
  <dimension ref="A2:Q148"/>
  <sheetViews>
    <sheetView workbookViewId="0">
      <selection activeCell="K11" sqref="K11"/>
    </sheetView>
  </sheetViews>
  <sheetFormatPr defaultRowHeight="15"/>
  <cols>
    <col min="1" max="1" width="26.42578125" customWidth="1"/>
  </cols>
  <sheetData>
    <row r="2" spans="1:14">
      <c r="A2" t="s">
        <v>635</v>
      </c>
    </row>
    <row r="4" spans="1:14" ht="19.5" thickBot="1">
      <c r="E4" s="38"/>
      <c r="F4" s="38" t="s">
        <v>634</v>
      </c>
      <c r="G4" s="38"/>
      <c r="H4" s="38"/>
      <c r="I4" s="38"/>
      <c r="J4" s="38"/>
      <c r="K4" s="38"/>
      <c r="L4" s="38"/>
      <c r="M4" s="38"/>
    </row>
    <row r="5" spans="1:14" ht="19.5" thickBot="1">
      <c r="A5" s="102" t="s">
        <v>626</v>
      </c>
      <c r="B5" s="103">
        <v>1</v>
      </c>
      <c r="C5" s="103">
        <v>2</v>
      </c>
      <c r="D5" s="107">
        <v>3</v>
      </c>
      <c r="E5" s="106"/>
      <c r="F5" s="103">
        <v>4</v>
      </c>
      <c r="G5" s="103">
        <v>5</v>
      </c>
      <c r="H5" s="103">
        <v>6</v>
      </c>
      <c r="I5" s="103">
        <v>7</v>
      </c>
      <c r="J5" s="107">
        <v>8</v>
      </c>
      <c r="K5" s="103">
        <v>9</v>
      </c>
      <c r="L5" s="107">
        <v>10</v>
      </c>
      <c r="M5" s="103">
        <v>11</v>
      </c>
      <c r="N5" s="107">
        <v>12</v>
      </c>
    </row>
    <row r="6" spans="1:14" ht="19.5" thickBot="1">
      <c r="A6" s="180" t="s">
        <v>627</v>
      </c>
      <c r="B6" s="113"/>
      <c r="C6" s="113"/>
      <c r="D6" s="113"/>
      <c r="E6" s="113"/>
      <c r="F6" s="113"/>
      <c r="G6" s="113"/>
      <c r="H6" s="113"/>
      <c r="I6" s="113"/>
      <c r="J6" s="113"/>
      <c r="K6" s="113"/>
      <c r="L6" s="113"/>
      <c r="M6" s="113"/>
      <c r="N6" s="113"/>
    </row>
    <row r="7" spans="1:14" ht="19.5" thickBot="1">
      <c r="A7" s="115"/>
      <c r="B7" s="116" t="s">
        <v>628</v>
      </c>
      <c r="C7" s="116"/>
      <c r="D7" s="200"/>
      <c r="E7" s="37"/>
      <c r="F7" s="37"/>
      <c r="G7" s="37"/>
      <c r="H7" s="37"/>
      <c r="I7" s="37"/>
      <c r="J7" s="37"/>
      <c r="K7" s="38"/>
      <c r="L7" s="38"/>
      <c r="M7" s="38"/>
    </row>
    <row r="8" spans="1:14" ht="19.5" thickBot="1">
      <c r="A8" s="115" t="s">
        <v>629</v>
      </c>
      <c r="B8" s="117">
        <v>18</v>
      </c>
      <c r="C8" s="118">
        <v>20</v>
      </c>
      <c r="D8" s="201">
        <v>24</v>
      </c>
      <c r="E8" s="37"/>
      <c r="F8" s="181">
        <v>12</v>
      </c>
      <c r="G8" s="182">
        <v>14</v>
      </c>
      <c r="H8" s="182">
        <v>16</v>
      </c>
      <c r="I8" s="182">
        <v>17</v>
      </c>
      <c r="J8" s="182">
        <v>18</v>
      </c>
      <c r="K8" s="183">
        <v>20</v>
      </c>
      <c r="L8" s="183">
        <v>22</v>
      </c>
      <c r="M8" s="183">
        <v>24</v>
      </c>
      <c r="N8" s="184">
        <v>25</v>
      </c>
    </row>
    <row r="9" spans="1:14" ht="19.5" thickBot="1">
      <c r="A9" s="124" t="s">
        <v>630</v>
      </c>
      <c r="B9" s="125">
        <v>2.5</v>
      </c>
      <c r="C9" s="125">
        <v>3</v>
      </c>
      <c r="D9" s="126">
        <v>3.5</v>
      </c>
      <c r="E9" s="108" t="s">
        <v>630</v>
      </c>
      <c r="F9" s="129">
        <v>1.5</v>
      </c>
      <c r="G9" s="130">
        <v>1.85</v>
      </c>
      <c r="H9" s="130">
        <v>2</v>
      </c>
      <c r="I9" s="130">
        <v>2.4</v>
      </c>
      <c r="J9" s="130">
        <v>2.75</v>
      </c>
      <c r="K9" s="113">
        <v>2.85</v>
      </c>
      <c r="L9" s="113">
        <v>3.15</v>
      </c>
      <c r="M9" s="113">
        <v>3.5</v>
      </c>
      <c r="N9" s="131">
        <v>3.65</v>
      </c>
    </row>
    <row r="10" spans="1:14" ht="18.75">
      <c r="A10" s="38"/>
      <c r="B10" s="132">
        <v>2</v>
      </c>
      <c r="C10" s="185">
        <v>2.5</v>
      </c>
      <c r="D10" s="202">
        <v>3</v>
      </c>
      <c r="E10" s="203"/>
      <c r="F10" s="187">
        <v>1</v>
      </c>
      <c r="G10" s="143">
        <v>1.5</v>
      </c>
      <c r="H10" s="143">
        <v>1.5</v>
      </c>
      <c r="I10" s="143">
        <v>2</v>
      </c>
      <c r="J10" s="143">
        <v>2.5</v>
      </c>
      <c r="K10" s="143">
        <v>2.5</v>
      </c>
      <c r="L10" s="144">
        <v>3</v>
      </c>
      <c r="M10" s="144">
        <v>3</v>
      </c>
      <c r="N10" s="145">
        <v>3</v>
      </c>
    </row>
    <row r="11" spans="1:14" ht="18.75">
      <c r="A11" s="38"/>
      <c r="B11" s="140">
        <v>1.5</v>
      </c>
      <c r="C11" s="134">
        <v>2</v>
      </c>
      <c r="D11" s="204">
        <v>2.5</v>
      </c>
      <c r="E11" s="205"/>
      <c r="F11" s="163">
        <v>0.5</v>
      </c>
      <c r="G11" s="147">
        <v>1</v>
      </c>
      <c r="H11" s="147">
        <v>1</v>
      </c>
      <c r="I11" s="147">
        <v>1.5</v>
      </c>
      <c r="J11" s="147">
        <v>2</v>
      </c>
      <c r="K11" s="147">
        <v>2</v>
      </c>
      <c r="L11" s="147">
        <v>2.5</v>
      </c>
      <c r="M11" s="147">
        <v>2.5</v>
      </c>
      <c r="N11" s="151">
        <v>2.5</v>
      </c>
    </row>
    <row r="12" spans="1:14" ht="18.75">
      <c r="A12" s="38"/>
      <c r="B12" s="140">
        <v>1</v>
      </c>
      <c r="C12" s="134">
        <v>1.5</v>
      </c>
      <c r="D12" s="204">
        <v>2</v>
      </c>
      <c r="E12" s="205"/>
      <c r="F12" s="163"/>
      <c r="G12" s="147">
        <v>0.5</v>
      </c>
      <c r="H12" s="147">
        <v>0.5</v>
      </c>
      <c r="I12" s="147">
        <v>1</v>
      </c>
      <c r="J12" s="147">
        <v>1.5</v>
      </c>
      <c r="K12" s="147">
        <v>1.5</v>
      </c>
      <c r="L12" s="147">
        <v>2</v>
      </c>
      <c r="M12" s="147">
        <v>2</v>
      </c>
      <c r="N12" s="151">
        <v>2</v>
      </c>
    </row>
    <row r="13" spans="1:14" ht="18.75">
      <c r="A13" s="38"/>
      <c r="B13" s="140">
        <v>0.5</v>
      </c>
      <c r="C13" s="134">
        <v>1</v>
      </c>
      <c r="D13" s="204">
        <v>1.5</v>
      </c>
      <c r="E13" s="205"/>
      <c r="F13" s="163"/>
      <c r="G13" s="147"/>
      <c r="H13" s="150"/>
      <c r="I13" s="147">
        <v>0.5</v>
      </c>
      <c r="J13" s="147">
        <v>1</v>
      </c>
      <c r="K13" s="147">
        <v>1</v>
      </c>
      <c r="L13" s="147">
        <v>1.5</v>
      </c>
      <c r="M13" s="147">
        <v>1.5</v>
      </c>
      <c r="N13" s="151">
        <v>1.5</v>
      </c>
    </row>
    <row r="14" spans="1:14" ht="18.75">
      <c r="A14" s="38"/>
      <c r="B14" s="140"/>
      <c r="C14" s="134">
        <v>0.5</v>
      </c>
      <c r="D14" s="204">
        <v>1</v>
      </c>
      <c r="E14" s="205"/>
      <c r="F14" s="163"/>
      <c r="G14" s="147"/>
      <c r="H14" s="150"/>
      <c r="I14" s="147"/>
      <c r="J14" s="147">
        <v>0.5</v>
      </c>
      <c r="K14" s="147">
        <v>0.5</v>
      </c>
      <c r="L14" s="147">
        <v>1</v>
      </c>
      <c r="M14" s="147">
        <v>1</v>
      </c>
      <c r="N14" s="151">
        <v>1</v>
      </c>
    </row>
    <row r="15" spans="1:14" ht="19.5" thickBot="1">
      <c r="A15" s="38"/>
      <c r="B15" s="140"/>
      <c r="C15" s="134"/>
      <c r="D15" s="204">
        <v>0.5</v>
      </c>
      <c r="E15" s="206"/>
      <c r="F15" s="188"/>
      <c r="G15" s="189"/>
      <c r="H15" s="189"/>
      <c r="I15" s="189"/>
      <c r="J15" s="189"/>
      <c r="K15" s="190"/>
      <c r="L15" s="189">
        <v>0.5</v>
      </c>
      <c r="M15" s="189">
        <v>0.5</v>
      </c>
      <c r="N15" s="191">
        <v>0.5</v>
      </c>
    </row>
    <row r="16" spans="1:14" ht="19.5" thickBot="1">
      <c r="A16" s="38"/>
      <c r="B16" s="140"/>
      <c r="C16" s="134"/>
      <c r="D16" s="204"/>
      <c r="E16" s="108" t="s">
        <v>632</v>
      </c>
      <c r="F16" s="129">
        <v>1.5</v>
      </c>
      <c r="G16" s="130">
        <v>1.85</v>
      </c>
      <c r="H16" s="130">
        <v>2</v>
      </c>
      <c r="I16" s="130">
        <v>2.4</v>
      </c>
      <c r="J16" s="130">
        <v>2.75</v>
      </c>
      <c r="K16" s="113">
        <v>2.85</v>
      </c>
      <c r="L16" s="113">
        <v>3.15</v>
      </c>
      <c r="M16" s="113">
        <v>3.5</v>
      </c>
      <c r="N16" s="131">
        <v>3.65</v>
      </c>
    </row>
    <row r="17" spans="1:14" ht="18.75">
      <c r="A17" s="38"/>
      <c r="B17" s="140"/>
      <c r="C17" s="134"/>
      <c r="D17" s="311"/>
      <c r="E17" s="207"/>
      <c r="F17" s="187">
        <v>1</v>
      </c>
      <c r="G17" s="143">
        <v>1.5</v>
      </c>
      <c r="H17" s="143">
        <v>1.5</v>
      </c>
      <c r="I17" s="143">
        <v>2</v>
      </c>
      <c r="J17" s="143">
        <v>2.5</v>
      </c>
      <c r="K17" s="143">
        <v>2.5</v>
      </c>
      <c r="L17" s="144">
        <v>3</v>
      </c>
      <c r="M17" s="144">
        <v>3</v>
      </c>
      <c r="N17" s="145">
        <v>3</v>
      </c>
    </row>
    <row r="18" spans="1:14" ht="18.75">
      <c r="A18" s="38"/>
      <c r="B18" s="140"/>
      <c r="C18" s="134"/>
      <c r="D18" s="311"/>
      <c r="E18" s="205"/>
      <c r="F18" s="163">
        <v>0.5</v>
      </c>
      <c r="G18" s="147">
        <v>1</v>
      </c>
      <c r="H18" s="147">
        <v>1</v>
      </c>
      <c r="I18" s="147">
        <v>1.5</v>
      </c>
      <c r="J18" s="147">
        <v>2</v>
      </c>
      <c r="K18" s="147">
        <v>2</v>
      </c>
      <c r="L18" s="147">
        <v>2.5</v>
      </c>
      <c r="M18" s="147">
        <v>2.5</v>
      </c>
      <c r="N18" s="151">
        <v>2.5</v>
      </c>
    </row>
    <row r="19" spans="1:14" ht="18.75">
      <c r="A19" s="38"/>
      <c r="B19" s="140"/>
      <c r="C19" s="134"/>
      <c r="D19" s="311"/>
      <c r="E19" s="205"/>
      <c r="F19" s="163"/>
      <c r="G19" s="147">
        <v>0.5</v>
      </c>
      <c r="H19" s="147">
        <v>0.5</v>
      </c>
      <c r="I19" s="147">
        <v>1</v>
      </c>
      <c r="J19" s="147">
        <v>1.5</v>
      </c>
      <c r="K19" s="147">
        <v>1.5</v>
      </c>
      <c r="L19" s="147">
        <v>2</v>
      </c>
      <c r="M19" s="147">
        <v>2</v>
      </c>
      <c r="N19" s="151">
        <v>2</v>
      </c>
    </row>
    <row r="20" spans="1:14" ht="18.75">
      <c r="A20" s="38"/>
      <c r="B20" s="140"/>
      <c r="C20" s="134"/>
      <c r="D20" s="311"/>
      <c r="E20" s="205"/>
      <c r="F20" s="163"/>
      <c r="G20" s="147"/>
      <c r="H20" s="147"/>
      <c r="I20" s="147">
        <v>0.5</v>
      </c>
      <c r="J20" s="147">
        <v>1</v>
      </c>
      <c r="K20" s="147">
        <v>1</v>
      </c>
      <c r="L20" s="147">
        <v>1.5</v>
      </c>
      <c r="M20" s="147">
        <v>1.5</v>
      </c>
      <c r="N20" s="151">
        <v>1.5</v>
      </c>
    </row>
    <row r="21" spans="1:14" ht="19.5" thickBot="1">
      <c r="A21" s="38"/>
      <c r="B21" s="166"/>
      <c r="C21" s="193"/>
      <c r="D21" s="194"/>
      <c r="E21" s="205"/>
      <c r="F21" s="195"/>
      <c r="G21" s="147"/>
      <c r="H21" s="147"/>
      <c r="I21" s="147"/>
      <c r="J21" s="147">
        <v>0.5</v>
      </c>
      <c r="K21" s="147">
        <v>0.5</v>
      </c>
      <c r="L21" s="147">
        <v>1</v>
      </c>
      <c r="M21" s="147">
        <v>1</v>
      </c>
      <c r="N21" s="151">
        <v>1</v>
      </c>
    </row>
    <row r="22" spans="1:14" ht="19.5" thickBot="1">
      <c r="A22" s="38"/>
      <c r="B22" s="196"/>
      <c r="C22" s="197"/>
      <c r="D22" s="198"/>
      <c r="E22" s="205"/>
      <c r="F22" s="188"/>
      <c r="G22" s="189"/>
      <c r="H22" s="189"/>
      <c r="I22" s="189"/>
      <c r="J22" s="189"/>
      <c r="K22" s="189"/>
      <c r="L22" s="189">
        <v>0.5</v>
      </c>
      <c r="M22" s="189">
        <v>0.5</v>
      </c>
      <c r="N22" s="191">
        <v>0.5</v>
      </c>
    </row>
    <row r="23" spans="1:14" ht="19.5" thickBot="1">
      <c r="A23" s="108" t="s">
        <v>633</v>
      </c>
      <c r="B23" s="174">
        <v>2.5</v>
      </c>
      <c r="C23" s="199">
        <v>3</v>
      </c>
      <c r="D23" s="208">
        <v>3.5</v>
      </c>
      <c r="E23" s="176"/>
      <c r="F23" s="129">
        <v>3</v>
      </c>
      <c r="G23" s="130">
        <v>3.7</v>
      </c>
      <c r="H23" s="130">
        <v>4</v>
      </c>
      <c r="I23" s="130">
        <v>4.8</v>
      </c>
      <c r="J23" s="130">
        <v>5.5</v>
      </c>
      <c r="K23" s="113">
        <v>5.7</v>
      </c>
      <c r="L23" s="113">
        <v>6.3</v>
      </c>
      <c r="M23" s="113">
        <v>7</v>
      </c>
      <c r="N23" s="131">
        <v>7.3</v>
      </c>
    </row>
    <row r="24" spans="1:14" ht="18.75">
      <c r="A24" s="38"/>
      <c r="B24" s="38"/>
      <c r="C24" s="38"/>
      <c r="D24" s="38"/>
      <c r="E24" s="38"/>
      <c r="F24" s="38"/>
      <c r="G24" s="38"/>
      <c r="H24" s="38"/>
      <c r="I24" s="38"/>
      <c r="J24" s="38"/>
      <c r="K24" s="38"/>
      <c r="L24" s="38"/>
      <c r="M24" s="38"/>
    </row>
    <row r="25" spans="1:14" ht="18.75">
      <c r="K25" s="38"/>
      <c r="L25" s="38"/>
      <c r="M25" s="38"/>
    </row>
    <row r="26" spans="1:14" ht="19.5" thickBot="1">
      <c r="E26" s="38"/>
      <c r="F26" s="38" t="s">
        <v>634</v>
      </c>
      <c r="G26" s="38"/>
      <c r="H26" s="38"/>
      <c r="I26" s="38"/>
      <c r="J26" s="38"/>
      <c r="K26" s="38"/>
      <c r="L26" s="38"/>
      <c r="M26" s="38"/>
    </row>
    <row r="27" spans="1:14" ht="19.5" thickBot="1">
      <c r="A27" s="102" t="s">
        <v>626</v>
      </c>
      <c r="B27" s="177">
        <v>1</v>
      </c>
      <c r="C27" s="177">
        <v>2</v>
      </c>
      <c r="D27" s="179">
        <v>3</v>
      </c>
      <c r="E27" s="122"/>
      <c r="F27" s="177">
        <v>4</v>
      </c>
      <c r="G27" s="177">
        <v>5</v>
      </c>
      <c r="H27" s="177">
        <v>6</v>
      </c>
      <c r="I27" s="177">
        <v>7</v>
      </c>
      <c r="J27" s="179">
        <v>8</v>
      </c>
      <c r="K27" s="177">
        <v>9</v>
      </c>
      <c r="L27" s="179">
        <v>10</v>
      </c>
      <c r="M27" s="177">
        <v>11</v>
      </c>
      <c r="N27" s="179">
        <v>12</v>
      </c>
    </row>
    <row r="28" spans="1:14" ht="19.5" thickBot="1">
      <c r="A28" s="180" t="s">
        <v>627</v>
      </c>
      <c r="B28" s="113"/>
      <c r="C28" s="113"/>
      <c r="D28" s="113"/>
      <c r="E28" s="113"/>
      <c r="F28" s="113"/>
      <c r="G28" s="113"/>
      <c r="H28" s="113"/>
      <c r="I28" s="113"/>
      <c r="J28" s="113"/>
      <c r="K28" s="113"/>
      <c r="L28" s="113"/>
      <c r="M28" s="113"/>
      <c r="N28" s="113"/>
    </row>
    <row r="29" spans="1:14" ht="19.5" thickBot="1">
      <c r="A29" s="115"/>
      <c r="B29" s="116" t="s">
        <v>628</v>
      </c>
      <c r="C29" s="116"/>
      <c r="D29" s="200"/>
      <c r="E29" s="37"/>
      <c r="F29" s="37"/>
      <c r="G29" s="37"/>
      <c r="H29" s="37"/>
      <c r="I29" s="37"/>
      <c r="J29" s="37"/>
      <c r="K29" s="38"/>
      <c r="L29" s="38"/>
      <c r="M29" s="38"/>
    </row>
    <row r="30" spans="1:14" ht="19.5" thickBot="1">
      <c r="A30" s="115"/>
      <c r="B30" s="117">
        <v>18</v>
      </c>
      <c r="C30" s="118">
        <v>20</v>
      </c>
      <c r="D30" s="201">
        <v>24</v>
      </c>
      <c r="E30" s="37"/>
      <c r="F30" s="181">
        <v>12</v>
      </c>
      <c r="G30" s="182">
        <v>14</v>
      </c>
      <c r="H30" s="182">
        <v>16</v>
      </c>
      <c r="I30" s="182">
        <v>17</v>
      </c>
      <c r="J30" s="182">
        <v>18</v>
      </c>
      <c r="K30" s="183">
        <v>20</v>
      </c>
      <c r="L30" s="183">
        <v>22</v>
      </c>
      <c r="M30" s="183">
        <v>24</v>
      </c>
      <c r="N30" s="184">
        <v>25</v>
      </c>
    </row>
    <row r="31" spans="1:14" ht="19.5" thickBot="1">
      <c r="A31" s="124" t="s">
        <v>630</v>
      </c>
      <c r="B31" s="125">
        <v>2.5</v>
      </c>
      <c r="C31" s="125">
        <v>3</v>
      </c>
      <c r="D31" s="126">
        <v>3.5</v>
      </c>
      <c r="E31" s="108" t="s">
        <v>630</v>
      </c>
      <c r="F31" s="129">
        <v>1.5</v>
      </c>
      <c r="G31" s="130">
        <v>1.85</v>
      </c>
      <c r="H31" s="130">
        <v>2</v>
      </c>
      <c r="I31" s="130">
        <v>2.4</v>
      </c>
      <c r="J31" s="130">
        <v>2.75</v>
      </c>
      <c r="K31" s="113">
        <v>2.85</v>
      </c>
      <c r="L31" s="113">
        <v>3.15</v>
      </c>
      <c r="M31" s="113">
        <v>3.5</v>
      </c>
      <c r="N31" s="131">
        <v>3.65</v>
      </c>
    </row>
    <row r="32" spans="1:14" ht="18.75">
      <c r="A32" s="38"/>
      <c r="B32" s="132">
        <v>2</v>
      </c>
      <c r="C32" s="185">
        <v>2.5</v>
      </c>
      <c r="D32" s="202">
        <v>3</v>
      </c>
      <c r="E32" s="203"/>
      <c r="F32" s="187">
        <v>1</v>
      </c>
      <c r="G32" s="143">
        <v>1.5</v>
      </c>
      <c r="H32" s="143">
        <v>1.5</v>
      </c>
      <c r="I32" s="143">
        <v>2</v>
      </c>
      <c r="J32" s="143">
        <v>2.5</v>
      </c>
      <c r="K32" s="143">
        <v>2.5</v>
      </c>
      <c r="L32" s="144">
        <v>3</v>
      </c>
      <c r="M32" s="144">
        <v>3</v>
      </c>
      <c r="N32" s="145">
        <v>3</v>
      </c>
    </row>
    <row r="33" spans="1:14" ht="18.75">
      <c r="A33" s="38"/>
      <c r="B33" s="140">
        <v>1.5</v>
      </c>
      <c r="C33" s="134">
        <v>2</v>
      </c>
      <c r="D33" s="204">
        <v>2.5</v>
      </c>
      <c r="E33" s="205"/>
      <c r="F33" s="163">
        <v>0.5</v>
      </c>
      <c r="G33" s="147">
        <v>1</v>
      </c>
      <c r="H33" s="147">
        <v>1</v>
      </c>
      <c r="I33" s="147">
        <v>1.5</v>
      </c>
      <c r="J33" s="147">
        <v>2</v>
      </c>
      <c r="K33" s="147">
        <v>2</v>
      </c>
      <c r="L33" s="147">
        <v>2.5</v>
      </c>
      <c r="M33" s="147">
        <v>2.5</v>
      </c>
      <c r="N33" s="151">
        <v>2.5</v>
      </c>
    </row>
    <row r="34" spans="1:14" ht="18.75">
      <c r="A34" s="38"/>
      <c r="B34" s="140">
        <v>1</v>
      </c>
      <c r="C34" s="134">
        <v>1.5</v>
      </c>
      <c r="D34" s="204">
        <v>2</v>
      </c>
      <c r="E34" s="205"/>
      <c r="F34" s="163"/>
      <c r="G34" s="147">
        <v>0.5</v>
      </c>
      <c r="H34" s="147">
        <v>0.5</v>
      </c>
      <c r="I34" s="147">
        <v>1</v>
      </c>
      <c r="J34" s="147">
        <v>1.5</v>
      </c>
      <c r="K34" s="147">
        <v>1.5</v>
      </c>
      <c r="L34" s="147">
        <v>2</v>
      </c>
      <c r="M34" s="147">
        <v>2</v>
      </c>
      <c r="N34" s="151">
        <v>2</v>
      </c>
    </row>
    <row r="35" spans="1:14" ht="18.75">
      <c r="A35" s="38"/>
      <c r="B35" s="140">
        <v>0.5</v>
      </c>
      <c r="C35" s="134">
        <v>1</v>
      </c>
      <c r="D35" s="204">
        <v>1.5</v>
      </c>
      <c r="E35" s="205"/>
      <c r="F35" s="163"/>
      <c r="G35" s="147"/>
      <c r="H35" s="150"/>
      <c r="I35" s="147">
        <v>0.5</v>
      </c>
      <c r="J35" s="147">
        <v>1</v>
      </c>
      <c r="K35" s="147">
        <v>1</v>
      </c>
      <c r="L35" s="147">
        <v>1.5</v>
      </c>
      <c r="M35" s="147">
        <v>1.5</v>
      </c>
      <c r="N35" s="151">
        <v>1.5</v>
      </c>
    </row>
    <row r="36" spans="1:14" ht="18.75">
      <c r="A36" s="38"/>
      <c r="B36" s="140"/>
      <c r="C36" s="134">
        <v>0.5</v>
      </c>
      <c r="D36" s="204">
        <v>1</v>
      </c>
      <c r="E36" s="205"/>
      <c r="F36" s="163"/>
      <c r="G36" s="147"/>
      <c r="H36" s="150"/>
      <c r="I36" s="147"/>
      <c r="J36" s="147">
        <v>0.5</v>
      </c>
      <c r="K36" s="147">
        <v>0.5</v>
      </c>
      <c r="L36" s="147">
        <v>1</v>
      </c>
      <c r="M36" s="147">
        <v>1</v>
      </c>
      <c r="N36" s="151">
        <v>1</v>
      </c>
    </row>
    <row r="37" spans="1:14" ht="19.5" thickBot="1">
      <c r="A37" s="38"/>
      <c r="B37" s="140"/>
      <c r="C37" s="134"/>
      <c r="D37" s="204">
        <v>0.5</v>
      </c>
      <c r="E37" s="206"/>
      <c r="F37" s="188"/>
      <c r="G37" s="189"/>
      <c r="H37" s="189"/>
      <c r="I37" s="189"/>
      <c r="J37" s="189"/>
      <c r="K37" s="190"/>
      <c r="L37" s="189">
        <v>0.5</v>
      </c>
      <c r="M37" s="189">
        <v>0.5</v>
      </c>
      <c r="N37" s="191">
        <v>0.5</v>
      </c>
    </row>
    <row r="38" spans="1:14" ht="19.5" thickBot="1">
      <c r="A38" s="38"/>
      <c r="B38" s="140"/>
      <c r="C38" s="134"/>
      <c r="D38" s="204"/>
      <c r="E38" s="108" t="s">
        <v>632</v>
      </c>
      <c r="F38" s="129">
        <v>1.5</v>
      </c>
      <c r="G38" s="130">
        <v>1.85</v>
      </c>
      <c r="H38" s="130">
        <v>2</v>
      </c>
      <c r="I38" s="130">
        <v>2.4</v>
      </c>
      <c r="J38" s="130">
        <v>2.75</v>
      </c>
      <c r="K38" s="113">
        <v>2.85</v>
      </c>
      <c r="L38" s="113">
        <v>3.15</v>
      </c>
      <c r="M38" s="113">
        <v>3.5</v>
      </c>
      <c r="N38" s="131">
        <v>3.65</v>
      </c>
    </row>
    <row r="39" spans="1:14" ht="18.75">
      <c r="A39" s="38"/>
      <c r="B39" s="140"/>
      <c r="C39" s="134"/>
      <c r="D39" s="311"/>
      <c r="E39" s="207"/>
      <c r="F39" s="187">
        <v>1</v>
      </c>
      <c r="G39" s="143">
        <v>1.5</v>
      </c>
      <c r="H39" s="143">
        <v>1.5</v>
      </c>
      <c r="I39" s="143">
        <v>2</v>
      </c>
      <c r="J39" s="143">
        <v>2.5</v>
      </c>
      <c r="K39" s="143">
        <v>2.5</v>
      </c>
      <c r="L39" s="144">
        <v>3</v>
      </c>
      <c r="M39" s="144">
        <v>3</v>
      </c>
      <c r="N39" s="145">
        <v>3</v>
      </c>
    </row>
    <row r="40" spans="1:14" ht="18.75">
      <c r="A40" s="38"/>
      <c r="B40" s="140"/>
      <c r="C40" s="134"/>
      <c r="D40" s="311"/>
      <c r="E40" s="205"/>
      <c r="F40" s="163">
        <v>0.5</v>
      </c>
      <c r="G40" s="147">
        <v>1</v>
      </c>
      <c r="H40" s="147">
        <v>1</v>
      </c>
      <c r="I40" s="147">
        <v>1.5</v>
      </c>
      <c r="J40" s="147">
        <v>2</v>
      </c>
      <c r="K40" s="147">
        <v>2</v>
      </c>
      <c r="L40" s="147">
        <v>2.5</v>
      </c>
      <c r="M40" s="147">
        <v>2.5</v>
      </c>
      <c r="N40" s="151">
        <v>2.5</v>
      </c>
    </row>
    <row r="41" spans="1:14" ht="18.75">
      <c r="A41" s="38"/>
      <c r="B41" s="140"/>
      <c r="C41" s="134"/>
      <c r="D41" s="311"/>
      <c r="E41" s="205"/>
      <c r="F41" s="163"/>
      <c r="G41" s="147">
        <v>0.5</v>
      </c>
      <c r="H41" s="147">
        <v>0.5</v>
      </c>
      <c r="I41" s="147">
        <v>1</v>
      </c>
      <c r="J41" s="147">
        <v>1.5</v>
      </c>
      <c r="K41" s="147">
        <v>1.5</v>
      </c>
      <c r="L41" s="147">
        <v>2</v>
      </c>
      <c r="M41" s="147">
        <v>2</v>
      </c>
      <c r="N41" s="151">
        <v>2</v>
      </c>
    </row>
    <row r="42" spans="1:14" ht="18.75">
      <c r="A42" s="38"/>
      <c r="B42" s="140"/>
      <c r="C42" s="134"/>
      <c r="D42" s="311"/>
      <c r="E42" s="205"/>
      <c r="F42" s="163"/>
      <c r="G42" s="147"/>
      <c r="H42" s="147"/>
      <c r="I42" s="147">
        <v>0.5</v>
      </c>
      <c r="J42" s="147">
        <v>1</v>
      </c>
      <c r="K42" s="147">
        <v>1</v>
      </c>
      <c r="L42" s="147">
        <v>1.5</v>
      </c>
      <c r="M42" s="147">
        <v>1.5</v>
      </c>
      <c r="N42" s="151">
        <v>1.5</v>
      </c>
    </row>
    <row r="43" spans="1:14" ht="19.5" thickBot="1">
      <c r="A43" s="38"/>
      <c r="B43" s="166"/>
      <c r="C43" s="193"/>
      <c r="D43" s="194"/>
      <c r="E43" s="205"/>
      <c r="F43" s="195"/>
      <c r="G43" s="147"/>
      <c r="H43" s="147"/>
      <c r="I43" s="147"/>
      <c r="J43" s="147">
        <v>0.5</v>
      </c>
      <c r="K43" s="147">
        <v>0.5</v>
      </c>
      <c r="L43" s="147">
        <v>1</v>
      </c>
      <c r="M43" s="147">
        <v>1</v>
      </c>
      <c r="N43" s="151">
        <v>1</v>
      </c>
    </row>
    <row r="44" spans="1:14" ht="19.5" thickBot="1">
      <c r="A44" s="38"/>
      <c r="B44" s="196"/>
      <c r="C44" s="197"/>
      <c r="D44" s="198"/>
      <c r="E44" s="205"/>
      <c r="F44" s="188"/>
      <c r="G44" s="189"/>
      <c r="H44" s="189"/>
      <c r="I44" s="189"/>
      <c r="J44" s="189"/>
      <c r="K44" s="189"/>
      <c r="L44" s="189">
        <v>0.5</v>
      </c>
      <c r="M44" s="189">
        <v>0.5</v>
      </c>
      <c r="N44" s="191">
        <v>0.5</v>
      </c>
    </row>
    <row r="45" spans="1:14" ht="19.5" thickBot="1">
      <c r="A45" s="108" t="s">
        <v>633</v>
      </c>
      <c r="B45" s="174">
        <v>2.5</v>
      </c>
      <c r="C45" s="199">
        <v>3</v>
      </c>
      <c r="D45" s="208">
        <v>3.5</v>
      </c>
      <c r="E45" s="176"/>
      <c r="F45" s="129">
        <v>3</v>
      </c>
      <c r="G45" s="130">
        <v>3.7</v>
      </c>
      <c r="H45" s="130">
        <v>4</v>
      </c>
      <c r="I45" s="130">
        <v>4.8</v>
      </c>
      <c r="J45" s="130">
        <v>5.5</v>
      </c>
      <c r="K45" s="113">
        <v>5.7</v>
      </c>
      <c r="L45" s="113">
        <v>6.3</v>
      </c>
      <c r="M45" s="113">
        <v>7</v>
      </c>
      <c r="N45" s="131">
        <v>7.3</v>
      </c>
    </row>
    <row r="52" spans="1:17" ht="19.5" thickBot="1">
      <c r="E52" s="38"/>
      <c r="F52" s="38" t="s">
        <v>625</v>
      </c>
      <c r="G52" s="38"/>
      <c r="H52" s="38"/>
      <c r="I52" s="38"/>
      <c r="J52" s="38"/>
      <c r="K52" s="38"/>
      <c r="L52" s="38"/>
      <c r="M52" s="38"/>
    </row>
    <row r="53" spans="1:17" ht="19.5" thickBot="1">
      <c r="A53" s="102" t="s">
        <v>626</v>
      </c>
      <c r="B53" s="103">
        <v>1</v>
      </c>
      <c r="C53" s="103">
        <v>2</v>
      </c>
      <c r="D53" s="107">
        <v>3</v>
      </c>
      <c r="E53" s="106"/>
      <c r="F53" s="103">
        <v>4</v>
      </c>
      <c r="G53" s="103">
        <v>5</v>
      </c>
      <c r="H53" s="103">
        <v>6</v>
      </c>
      <c r="I53" s="103">
        <v>7</v>
      </c>
      <c r="J53" s="107">
        <v>8</v>
      </c>
      <c r="K53" s="103">
        <v>9</v>
      </c>
      <c r="L53" s="107">
        <v>10</v>
      </c>
      <c r="M53" s="103">
        <v>11</v>
      </c>
      <c r="N53" s="107">
        <v>12</v>
      </c>
      <c r="O53" s="107">
        <v>13</v>
      </c>
      <c r="P53" s="107">
        <v>14</v>
      </c>
      <c r="Q53" s="107">
        <v>15</v>
      </c>
    </row>
    <row r="54" spans="1:17" ht="19.5" thickBot="1">
      <c r="A54" s="108" t="s">
        <v>627</v>
      </c>
      <c r="B54" s="109"/>
      <c r="C54" s="113"/>
      <c r="D54" s="113"/>
      <c r="E54" s="113"/>
      <c r="F54" s="113"/>
      <c r="G54" s="113"/>
      <c r="H54" s="113"/>
      <c r="I54" s="113"/>
      <c r="J54" s="113"/>
      <c r="K54" s="113"/>
      <c r="L54" s="113"/>
      <c r="M54" s="113"/>
      <c r="N54" s="113"/>
      <c r="O54" s="114"/>
      <c r="P54" s="114"/>
      <c r="Q54" s="114"/>
    </row>
    <row r="55" spans="1:17" ht="19.5" thickBot="1">
      <c r="A55" s="115"/>
      <c r="B55" s="116" t="s">
        <v>628</v>
      </c>
      <c r="C55" s="116"/>
      <c r="D55" s="200"/>
      <c r="E55" s="37"/>
      <c r="F55" s="37"/>
      <c r="G55" s="37"/>
      <c r="H55" s="37"/>
      <c r="I55" s="37"/>
      <c r="J55" s="37"/>
      <c r="K55" s="38"/>
      <c r="L55" s="38"/>
      <c r="M55" s="38"/>
    </row>
    <row r="56" spans="1:17" ht="19.5" thickBot="1">
      <c r="A56" s="115" t="s">
        <v>629</v>
      </c>
      <c r="B56" s="117">
        <v>18</v>
      </c>
      <c r="C56" s="118">
        <v>20</v>
      </c>
      <c r="D56" s="201">
        <v>24</v>
      </c>
      <c r="E56" s="37"/>
      <c r="F56" s="120">
        <v>8</v>
      </c>
      <c r="G56" s="121">
        <v>10</v>
      </c>
      <c r="H56" s="121">
        <v>11</v>
      </c>
      <c r="I56" s="121">
        <v>12</v>
      </c>
      <c r="J56" s="121">
        <v>14</v>
      </c>
      <c r="K56" s="122">
        <v>16</v>
      </c>
      <c r="L56" s="122">
        <v>17</v>
      </c>
      <c r="M56" s="122">
        <v>18</v>
      </c>
      <c r="N56" s="122">
        <v>20</v>
      </c>
      <c r="O56" s="122">
        <v>22</v>
      </c>
      <c r="P56" s="122">
        <v>24</v>
      </c>
      <c r="Q56" s="123">
        <v>25</v>
      </c>
    </row>
    <row r="57" spans="1:17" ht="19.5" thickBot="1">
      <c r="A57" s="124" t="s">
        <v>630</v>
      </c>
      <c r="B57" s="125">
        <v>2.5</v>
      </c>
      <c r="C57" s="125">
        <v>3</v>
      </c>
      <c r="D57" s="126">
        <v>3.5</v>
      </c>
      <c r="E57" s="108" t="s">
        <v>630</v>
      </c>
      <c r="F57" s="129">
        <v>0.96</v>
      </c>
      <c r="G57" s="130">
        <v>1.23</v>
      </c>
      <c r="H57" s="130">
        <v>1.4</v>
      </c>
      <c r="I57" s="130">
        <v>1.56</v>
      </c>
      <c r="J57" s="130">
        <v>1.86</v>
      </c>
      <c r="K57" s="113">
        <v>2.02</v>
      </c>
      <c r="L57" s="113">
        <v>2.4</v>
      </c>
      <c r="M57" s="113">
        <v>2.73</v>
      </c>
      <c r="N57" s="113">
        <v>2.86</v>
      </c>
      <c r="O57" s="113">
        <v>3.16</v>
      </c>
      <c r="P57" s="113">
        <v>3.5</v>
      </c>
      <c r="Q57" s="131">
        <v>3.6</v>
      </c>
    </row>
    <row r="58" spans="1:17" ht="19.5" thickBot="1">
      <c r="A58" s="38"/>
      <c r="B58" s="132">
        <v>2</v>
      </c>
      <c r="C58" s="185">
        <v>2.5</v>
      </c>
      <c r="D58" s="202">
        <v>3</v>
      </c>
      <c r="E58" s="209" t="s">
        <v>631</v>
      </c>
      <c r="F58" s="136">
        <v>0.96</v>
      </c>
      <c r="G58" s="137">
        <v>1.23</v>
      </c>
      <c r="H58" s="137">
        <v>1.4</v>
      </c>
      <c r="I58" s="137">
        <v>1.56</v>
      </c>
      <c r="J58" s="137">
        <v>1.86</v>
      </c>
      <c r="K58" s="138">
        <v>2.02</v>
      </c>
      <c r="L58" s="138">
        <v>2.4</v>
      </c>
      <c r="M58" s="138">
        <v>2.73</v>
      </c>
      <c r="N58" s="138">
        <v>2.86</v>
      </c>
      <c r="O58" s="138">
        <v>3.16</v>
      </c>
      <c r="P58" s="138">
        <v>3.5</v>
      </c>
      <c r="Q58" s="139">
        <v>3.6</v>
      </c>
    </row>
    <row r="59" spans="1:17" ht="18.75">
      <c r="A59" s="38"/>
      <c r="B59" s="140">
        <v>1.5</v>
      </c>
      <c r="C59" s="134">
        <v>2</v>
      </c>
      <c r="D59" s="311">
        <v>2.5</v>
      </c>
      <c r="E59" s="210"/>
      <c r="F59" s="142">
        <v>0.5</v>
      </c>
      <c r="G59" s="143">
        <v>1</v>
      </c>
      <c r="H59" s="143">
        <v>1</v>
      </c>
      <c r="I59" s="143">
        <v>1</v>
      </c>
      <c r="J59" s="143">
        <v>1.5</v>
      </c>
      <c r="K59" s="143">
        <v>2</v>
      </c>
      <c r="L59" s="143">
        <v>2</v>
      </c>
      <c r="M59" s="144">
        <v>2.5</v>
      </c>
      <c r="N59" s="144">
        <v>2.5</v>
      </c>
      <c r="O59" s="144">
        <v>3</v>
      </c>
      <c r="P59" s="144">
        <v>3</v>
      </c>
      <c r="Q59" s="145">
        <v>3.5</v>
      </c>
    </row>
    <row r="60" spans="1:17" ht="18.75">
      <c r="A60" s="38"/>
      <c r="B60" s="140">
        <v>1</v>
      </c>
      <c r="C60" s="134">
        <v>1.5</v>
      </c>
      <c r="D60" s="311">
        <v>2</v>
      </c>
      <c r="E60" s="211"/>
      <c r="F60" s="312"/>
      <c r="G60" s="147">
        <v>0.5</v>
      </c>
      <c r="H60" s="147">
        <v>0.5</v>
      </c>
      <c r="I60" s="147">
        <v>0.5</v>
      </c>
      <c r="J60" s="147">
        <v>1</v>
      </c>
      <c r="K60" s="147">
        <v>1.5</v>
      </c>
      <c r="L60" s="147">
        <v>1.5</v>
      </c>
      <c r="M60" s="147">
        <v>2</v>
      </c>
      <c r="N60" s="147">
        <v>2</v>
      </c>
      <c r="O60" s="148">
        <v>2.5</v>
      </c>
      <c r="P60" s="148">
        <v>2.5</v>
      </c>
      <c r="Q60" s="149">
        <v>3</v>
      </c>
    </row>
    <row r="61" spans="1:17" ht="18.75">
      <c r="A61" s="38"/>
      <c r="B61" s="140">
        <v>0.5</v>
      </c>
      <c r="C61" s="134">
        <v>1</v>
      </c>
      <c r="D61" s="311">
        <v>1.5</v>
      </c>
      <c r="E61" s="211"/>
      <c r="F61" s="312"/>
      <c r="G61" s="147"/>
      <c r="H61" s="147"/>
      <c r="I61" s="147"/>
      <c r="J61" s="147">
        <v>0.5</v>
      </c>
      <c r="K61" s="147">
        <v>1</v>
      </c>
      <c r="L61" s="147">
        <v>1</v>
      </c>
      <c r="M61" s="147">
        <v>1.5</v>
      </c>
      <c r="N61" s="147">
        <v>1.5</v>
      </c>
      <c r="O61" s="147">
        <v>2</v>
      </c>
      <c r="P61" s="147">
        <v>2</v>
      </c>
      <c r="Q61" s="149">
        <v>2.5</v>
      </c>
    </row>
    <row r="62" spans="1:17" ht="18.75">
      <c r="A62" s="38"/>
      <c r="B62" s="140"/>
      <c r="C62" s="134">
        <v>0.5</v>
      </c>
      <c r="D62" s="311">
        <v>1</v>
      </c>
      <c r="E62" s="211"/>
      <c r="F62" s="312"/>
      <c r="G62" s="147"/>
      <c r="H62" s="150"/>
      <c r="I62" s="147"/>
      <c r="J62" s="147"/>
      <c r="K62" s="147">
        <v>0.5</v>
      </c>
      <c r="L62" s="147">
        <v>0.5</v>
      </c>
      <c r="M62" s="147">
        <v>1</v>
      </c>
      <c r="N62" s="147">
        <v>1</v>
      </c>
      <c r="O62" s="147">
        <v>1.5</v>
      </c>
      <c r="P62" s="147">
        <v>1.5</v>
      </c>
      <c r="Q62" s="151">
        <v>2</v>
      </c>
    </row>
    <row r="63" spans="1:17" ht="18.75">
      <c r="A63" s="38"/>
      <c r="B63" s="140"/>
      <c r="C63" s="134"/>
      <c r="D63" s="311">
        <v>0.5</v>
      </c>
      <c r="E63" s="211"/>
      <c r="F63" s="312"/>
      <c r="G63" s="147"/>
      <c r="H63" s="150"/>
      <c r="I63" s="147"/>
      <c r="J63" s="147"/>
      <c r="K63" s="147"/>
      <c r="L63" s="147"/>
      <c r="M63" s="147">
        <v>0.5</v>
      </c>
      <c r="N63" s="147">
        <v>0.5</v>
      </c>
      <c r="O63" s="147">
        <v>1</v>
      </c>
      <c r="P63" s="147">
        <v>1</v>
      </c>
      <c r="Q63" s="151">
        <v>1.5</v>
      </c>
    </row>
    <row r="64" spans="1:17" ht="18.75">
      <c r="A64" s="38"/>
      <c r="B64" s="140"/>
      <c r="C64" s="134"/>
      <c r="D64" s="311"/>
      <c r="E64" s="211"/>
      <c r="F64" s="312"/>
      <c r="G64" s="147"/>
      <c r="H64" s="150"/>
      <c r="I64" s="147"/>
      <c r="J64" s="147"/>
      <c r="K64" s="147"/>
      <c r="L64" s="147"/>
      <c r="M64" s="147"/>
      <c r="N64" s="147"/>
      <c r="O64" s="147">
        <v>0.5</v>
      </c>
      <c r="P64" s="147">
        <v>0.5</v>
      </c>
      <c r="Q64" s="151">
        <v>1</v>
      </c>
    </row>
    <row r="65" spans="1:17" ht="19.5" thickBot="1">
      <c r="A65" s="38"/>
      <c r="B65" s="140"/>
      <c r="C65" s="134"/>
      <c r="D65" s="311"/>
      <c r="E65" s="212"/>
      <c r="F65" s="152"/>
      <c r="G65" s="153"/>
      <c r="H65" s="153"/>
      <c r="I65" s="153"/>
      <c r="J65" s="153"/>
      <c r="K65" s="154"/>
      <c r="L65" s="153"/>
      <c r="M65" s="153"/>
      <c r="N65" s="153"/>
      <c r="O65" s="155"/>
      <c r="P65" s="155"/>
      <c r="Q65" s="156">
        <v>0.5</v>
      </c>
    </row>
    <row r="66" spans="1:17" ht="19.5" thickBot="1">
      <c r="A66" s="38"/>
      <c r="B66" s="140"/>
      <c r="C66" s="134"/>
      <c r="D66" s="311"/>
      <c r="E66" s="213" t="s">
        <v>632</v>
      </c>
      <c r="F66" s="129">
        <v>0.96</v>
      </c>
      <c r="G66" s="130">
        <v>1.23</v>
      </c>
      <c r="H66" s="130">
        <v>1.4</v>
      </c>
      <c r="I66" s="130">
        <v>1.56</v>
      </c>
      <c r="J66" s="130">
        <v>1.86</v>
      </c>
      <c r="K66" s="113">
        <v>2.02</v>
      </c>
      <c r="L66" s="113">
        <v>2.4</v>
      </c>
      <c r="M66" s="113">
        <v>2.73</v>
      </c>
      <c r="N66" s="113">
        <v>2.86</v>
      </c>
      <c r="O66" s="113">
        <v>3.16</v>
      </c>
      <c r="P66" s="113">
        <v>3.5</v>
      </c>
      <c r="Q66" s="131">
        <v>3.6</v>
      </c>
    </row>
    <row r="67" spans="1:17" ht="18.75">
      <c r="A67" s="38"/>
      <c r="B67" s="140"/>
      <c r="C67" s="134"/>
      <c r="D67" s="311"/>
      <c r="E67" s="205"/>
      <c r="F67" s="159">
        <v>0.5</v>
      </c>
      <c r="G67" s="160">
        <v>1</v>
      </c>
      <c r="H67" s="160">
        <v>1</v>
      </c>
      <c r="I67" s="160">
        <v>1</v>
      </c>
      <c r="J67" s="160">
        <v>1.5</v>
      </c>
      <c r="K67" s="160">
        <v>2</v>
      </c>
      <c r="L67" s="160">
        <v>2</v>
      </c>
      <c r="M67" s="161">
        <v>2.5</v>
      </c>
      <c r="N67" s="161">
        <v>2.5</v>
      </c>
      <c r="O67" s="161">
        <v>3</v>
      </c>
      <c r="P67" s="161">
        <v>3</v>
      </c>
      <c r="Q67" s="162">
        <v>3.5</v>
      </c>
    </row>
    <row r="68" spans="1:17" ht="18.75">
      <c r="A68" s="38"/>
      <c r="B68" s="140"/>
      <c r="C68" s="134"/>
      <c r="D68" s="311"/>
      <c r="E68" s="205"/>
      <c r="F68" s="163"/>
      <c r="G68" s="147">
        <v>0.5</v>
      </c>
      <c r="H68" s="147">
        <v>0.5</v>
      </c>
      <c r="I68" s="147">
        <v>0.5</v>
      </c>
      <c r="J68" s="147">
        <v>1</v>
      </c>
      <c r="K68" s="147">
        <v>1.5</v>
      </c>
      <c r="L68" s="147">
        <v>1.5</v>
      </c>
      <c r="M68" s="147">
        <v>2</v>
      </c>
      <c r="N68" s="147">
        <v>2</v>
      </c>
      <c r="O68" s="148">
        <v>2.5</v>
      </c>
      <c r="P68" s="148">
        <v>2.5</v>
      </c>
      <c r="Q68" s="149">
        <v>3</v>
      </c>
    </row>
    <row r="69" spans="1:17" ht="18.75">
      <c r="A69" s="38"/>
      <c r="B69" s="140"/>
      <c r="C69" s="134"/>
      <c r="D69" s="311"/>
      <c r="E69" s="205"/>
      <c r="F69" s="163"/>
      <c r="G69" s="147"/>
      <c r="H69" s="147"/>
      <c r="I69" s="147"/>
      <c r="J69" s="147">
        <v>0.5</v>
      </c>
      <c r="K69" s="147">
        <v>1</v>
      </c>
      <c r="L69" s="147">
        <v>1</v>
      </c>
      <c r="M69" s="147">
        <v>1.5</v>
      </c>
      <c r="N69" s="147">
        <v>1.5</v>
      </c>
      <c r="O69" s="147">
        <v>2</v>
      </c>
      <c r="P69" s="147">
        <v>2</v>
      </c>
      <c r="Q69" s="149">
        <v>2.5</v>
      </c>
    </row>
    <row r="70" spans="1:17" ht="18.75">
      <c r="A70" s="38"/>
      <c r="B70" s="164"/>
      <c r="C70" s="214"/>
      <c r="D70" s="165"/>
      <c r="E70" s="205"/>
      <c r="F70" s="163"/>
      <c r="G70" s="147"/>
      <c r="H70" s="150"/>
      <c r="I70" s="147"/>
      <c r="J70" s="147"/>
      <c r="K70" s="147">
        <v>0.5</v>
      </c>
      <c r="L70" s="147">
        <v>0.5</v>
      </c>
      <c r="M70" s="147">
        <v>1</v>
      </c>
      <c r="N70" s="147">
        <v>1</v>
      </c>
      <c r="O70" s="147">
        <v>1.5</v>
      </c>
      <c r="P70" s="147">
        <v>1.5</v>
      </c>
      <c r="Q70" s="151">
        <v>2</v>
      </c>
    </row>
    <row r="71" spans="1:17" ht="19.5" thickBot="1">
      <c r="A71" s="38"/>
      <c r="B71" s="166"/>
      <c r="C71" s="193"/>
      <c r="D71" s="194"/>
      <c r="E71" s="205"/>
      <c r="F71" s="163"/>
      <c r="G71" s="147"/>
      <c r="H71" s="150"/>
      <c r="I71" s="147"/>
      <c r="J71" s="147"/>
      <c r="K71" s="147"/>
      <c r="L71" s="147"/>
      <c r="M71" s="147">
        <v>0.5</v>
      </c>
      <c r="N71" s="147">
        <v>0.5</v>
      </c>
      <c r="O71" s="147">
        <v>1</v>
      </c>
      <c r="P71" s="147">
        <v>1</v>
      </c>
      <c r="Q71" s="151">
        <v>1.5</v>
      </c>
    </row>
    <row r="72" spans="1:17" ht="18.75">
      <c r="A72" s="38"/>
      <c r="B72" s="169"/>
      <c r="C72" s="170"/>
      <c r="D72" s="215"/>
      <c r="E72" s="158"/>
      <c r="F72" s="163"/>
      <c r="G72" s="147"/>
      <c r="H72" s="150"/>
      <c r="I72" s="147"/>
      <c r="J72" s="147"/>
      <c r="K72" s="147"/>
      <c r="L72" s="147"/>
      <c r="M72" s="147"/>
      <c r="N72" s="147"/>
      <c r="O72" s="147">
        <v>0.5</v>
      </c>
      <c r="P72" s="147">
        <v>0.5</v>
      </c>
      <c r="Q72" s="151">
        <v>1</v>
      </c>
    </row>
    <row r="73" spans="1:17" ht="19.5" thickBot="1">
      <c r="A73" s="38"/>
      <c r="B73" s="171"/>
      <c r="C73" s="172"/>
      <c r="D73" s="216"/>
      <c r="E73" s="158"/>
      <c r="F73" s="173"/>
      <c r="G73" s="153"/>
      <c r="H73" s="153"/>
      <c r="I73" s="153"/>
      <c r="J73" s="153"/>
      <c r="K73" s="154"/>
      <c r="L73" s="153"/>
      <c r="M73" s="153"/>
      <c r="N73" s="153"/>
      <c r="O73" s="155"/>
      <c r="P73" s="155"/>
      <c r="Q73" s="156">
        <v>0.5</v>
      </c>
    </row>
    <row r="74" spans="1:17" ht="19.5" thickBot="1">
      <c r="A74" s="108" t="s">
        <v>633</v>
      </c>
      <c r="B74" s="174">
        <v>2.5</v>
      </c>
      <c r="C74" s="199">
        <v>3</v>
      </c>
      <c r="D74" s="208">
        <v>3.5</v>
      </c>
      <c r="E74" s="176"/>
      <c r="F74" s="129">
        <v>2.9</v>
      </c>
      <c r="G74" s="130">
        <v>3.7</v>
      </c>
      <c r="H74" s="130">
        <v>4.2</v>
      </c>
      <c r="I74" s="130">
        <v>4.7</v>
      </c>
      <c r="J74" s="130">
        <v>5.6</v>
      </c>
      <c r="K74" s="113">
        <v>6.1</v>
      </c>
      <c r="L74" s="113">
        <v>7.2</v>
      </c>
      <c r="M74" s="113">
        <v>8.1999999999999993</v>
      </c>
      <c r="N74" s="113">
        <v>8.6</v>
      </c>
      <c r="O74" s="113">
        <v>9.5</v>
      </c>
      <c r="P74" s="113">
        <v>10.5</v>
      </c>
      <c r="Q74" s="131">
        <v>10.8</v>
      </c>
    </row>
    <row r="75" spans="1:17" ht="18.75">
      <c r="A75" s="38"/>
      <c r="B75" s="38"/>
      <c r="C75" s="38"/>
      <c r="D75" s="38"/>
      <c r="E75" s="38"/>
      <c r="F75" s="38"/>
      <c r="G75" s="38"/>
      <c r="H75" s="38"/>
      <c r="I75" s="38"/>
      <c r="J75" s="38"/>
      <c r="K75" s="38"/>
      <c r="L75" s="38"/>
      <c r="M75" s="38"/>
    </row>
    <row r="76" spans="1:17" ht="19.5" thickBot="1">
      <c r="E76" s="38"/>
      <c r="F76" s="38" t="s">
        <v>625</v>
      </c>
      <c r="G76" s="38"/>
      <c r="H76" s="38"/>
      <c r="I76" s="38"/>
      <c r="J76" s="38"/>
      <c r="K76" s="38"/>
      <c r="L76" s="38"/>
      <c r="M76" s="38"/>
    </row>
    <row r="77" spans="1:17" ht="19.5" thickBot="1">
      <c r="A77" s="102" t="s">
        <v>626</v>
      </c>
      <c r="B77" s="103">
        <v>1</v>
      </c>
      <c r="C77" s="103">
        <v>2</v>
      </c>
      <c r="D77" s="107">
        <v>3</v>
      </c>
      <c r="E77" s="106"/>
      <c r="F77" s="103">
        <v>4</v>
      </c>
      <c r="G77" s="103">
        <v>5</v>
      </c>
      <c r="H77" s="103">
        <v>6</v>
      </c>
      <c r="I77" s="103">
        <v>7</v>
      </c>
      <c r="J77" s="107">
        <v>8</v>
      </c>
      <c r="K77" s="103">
        <v>9</v>
      </c>
      <c r="L77" s="107">
        <v>10</v>
      </c>
      <c r="M77" s="103">
        <v>11</v>
      </c>
      <c r="N77" s="107">
        <v>12</v>
      </c>
      <c r="O77" s="107">
        <v>13</v>
      </c>
      <c r="P77" s="107">
        <v>14</v>
      </c>
      <c r="Q77" s="107">
        <v>15</v>
      </c>
    </row>
    <row r="78" spans="1:17" ht="19.5" thickBot="1">
      <c r="A78" s="108" t="s">
        <v>627</v>
      </c>
      <c r="B78" s="109"/>
      <c r="C78" s="113"/>
      <c r="D78" s="113"/>
      <c r="E78" s="113"/>
      <c r="F78" s="113"/>
      <c r="G78" s="113"/>
      <c r="H78" s="113"/>
      <c r="I78" s="113"/>
      <c r="J78" s="113"/>
      <c r="K78" s="113"/>
      <c r="L78" s="113"/>
      <c r="M78" s="113"/>
      <c r="N78" s="113"/>
      <c r="O78" s="114"/>
      <c r="P78" s="114"/>
      <c r="Q78" s="114"/>
    </row>
    <row r="79" spans="1:17" ht="19.5" thickBot="1">
      <c r="A79" s="115"/>
      <c r="B79" s="116" t="s">
        <v>628</v>
      </c>
      <c r="C79" s="116"/>
      <c r="D79" s="200"/>
      <c r="E79" s="37"/>
      <c r="F79" s="37"/>
      <c r="G79" s="37"/>
      <c r="H79" s="37"/>
      <c r="I79" s="37"/>
      <c r="J79" s="37"/>
      <c r="K79" s="38"/>
      <c r="L79" s="38"/>
      <c r="M79" s="38"/>
    </row>
    <row r="80" spans="1:17" ht="19.5" thickBot="1">
      <c r="A80" s="115" t="s">
        <v>629</v>
      </c>
      <c r="B80" s="117">
        <v>18</v>
      </c>
      <c r="C80" s="118">
        <v>20</v>
      </c>
      <c r="D80" s="201">
        <v>24</v>
      </c>
      <c r="E80" s="37"/>
      <c r="F80" s="120">
        <v>8</v>
      </c>
      <c r="G80" s="121">
        <v>10</v>
      </c>
      <c r="H80" s="121">
        <v>11</v>
      </c>
      <c r="I80" s="121">
        <v>12</v>
      </c>
      <c r="J80" s="121">
        <v>14</v>
      </c>
      <c r="K80" s="122">
        <v>16</v>
      </c>
      <c r="L80" s="122">
        <v>17</v>
      </c>
      <c r="M80" s="122">
        <v>18</v>
      </c>
      <c r="N80" s="122">
        <v>20</v>
      </c>
      <c r="O80" s="122">
        <v>22</v>
      </c>
      <c r="P80" s="122">
        <v>24</v>
      </c>
      <c r="Q80" s="123">
        <v>25</v>
      </c>
    </row>
    <row r="81" spans="1:17" ht="19.5" thickBot="1">
      <c r="A81" s="124" t="s">
        <v>630</v>
      </c>
      <c r="B81" s="125">
        <v>2.5</v>
      </c>
      <c r="C81" s="125">
        <v>3</v>
      </c>
      <c r="D81" s="126">
        <v>3.5</v>
      </c>
      <c r="E81" s="108" t="s">
        <v>630</v>
      </c>
      <c r="F81" s="129">
        <v>0.96</v>
      </c>
      <c r="G81" s="130">
        <v>1.23</v>
      </c>
      <c r="H81" s="130">
        <v>1.4</v>
      </c>
      <c r="I81" s="130">
        <v>1.56</v>
      </c>
      <c r="J81" s="130">
        <v>1.86</v>
      </c>
      <c r="K81" s="113">
        <v>2.02</v>
      </c>
      <c r="L81" s="113">
        <v>2.4</v>
      </c>
      <c r="M81" s="113">
        <v>2.73</v>
      </c>
      <c r="N81" s="113">
        <v>2.86</v>
      </c>
      <c r="O81" s="113">
        <v>3.16</v>
      </c>
      <c r="P81" s="113">
        <v>3.5</v>
      </c>
      <c r="Q81" s="131">
        <v>3.6</v>
      </c>
    </row>
    <row r="82" spans="1:17" ht="19.5" thickBot="1">
      <c r="A82" s="38"/>
      <c r="B82" s="132">
        <v>2</v>
      </c>
      <c r="C82" s="185">
        <v>2.5</v>
      </c>
      <c r="D82" s="202">
        <v>3</v>
      </c>
      <c r="E82" s="209" t="s">
        <v>631</v>
      </c>
      <c r="F82" s="136">
        <v>0.96</v>
      </c>
      <c r="G82" s="137">
        <v>1.23</v>
      </c>
      <c r="H82" s="137">
        <v>1.4</v>
      </c>
      <c r="I82" s="137">
        <v>1.56</v>
      </c>
      <c r="J82" s="137">
        <v>1.86</v>
      </c>
      <c r="K82" s="138">
        <v>2.02</v>
      </c>
      <c r="L82" s="138">
        <v>2.4</v>
      </c>
      <c r="M82" s="138">
        <v>2.73</v>
      </c>
      <c r="N82" s="138">
        <v>2.86</v>
      </c>
      <c r="O82" s="138">
        <v>3.16</v>
      </c>
      <c r="P82" s="138">
        <v>3.5</v>
      </c>
      <c r="Q82" s="139">
        <v>3.6</v>
      </c>
    </row>
    <row r="83" spans="1:17" ht="18.75">
      <c r="A83" s="38"/>
      <c r="B83" s="140">
        <v>1.5</v>
      </c>
      <c r="C83" s="134">
        <v>2</v>
      </c>
      <c r="D83" s="311">
        <v>2.5</v>
      </c>
      <c r="E83" s="210"/>
      <c r="F83" s="142">
        <v>0.5</v>
      </c>
      <c r="G83" s="143">
        <v>1</v>
      </c>
      <c r="H83" s="143">
        <v>1</v>
      </c>
      <c r="I83" s="143">
        <v>1</v>
      </c>
      <c r="J83" s="143">
        <v>1.5</v>
      </c>
      <c r="K83" s="143">
        <v>2</v>
      </c>
      <c r="L83" s="143">
        <v>2</v>
      </c>
      <c r="M83" s="144">
        <v>2.5</v>
      </c>
      <c r="N83" s="144">
        <v>2.5</v>
      </c>
      <c r="O83" s="144">
        <v>3</v>
      </c>
      <c r="P83" s="144">
        <v>3</v>
      </c>
      <c r="Q83" s="145">
        <v>3.5</v>
      </c>
    </row>
    <row r="84" spans="1:17" ht="18.75">
      <c r="A84" s="38"/>
      <c r="B84" s="140">
        <v>1</v>
      </c>
      <c r="C84" s="134">
        <v>1.5</v>
      </c>
      <c r="D84" s="311">
        <v>2</v>
      </c>
      <c r="E84" s="211"/>
      <c r="F84" s="312"/>
      <c r="G84" s="147">
        <v>0.5</v>
      </c>
      <c r="H84" s="147">
        <v>0.5</v>
      </c>
      <c r="I84" s="147">
        <v>0.5</v>
      </c>
      <c r="J84" s="147">
        <v>1</v>
      </c>
      <c r="K84" s="147">
        <v>1.5</v>
      </c>
      <c r="L84" s="147">
        <v>1.5</v>
      </c>
      <c r="M84" s="147">
        <v>2</v>
      </c>
      <c r="N84" s="147">
        <v>2</v>
      </c>
      <c r="O84" s="148">
        <v>2.5</v>
      </c>
      <c r="P84" s="148">
        <v>2.5</v>
      </c>
      <c r="Q84" s="149">
        <v>3</v>
      </c>
    </row>
    <row r="85" spans="1:17" ht="18.75">
      <c r="A85" s="38"/>
      <c r="B85" s="140">
        <v>0.5</v>
      </c>
      <c r="C85" s="134">
        <v>1</v>
      </c>
      <c r="D85" s="311">
        <v>1.5</v>
      </c>
      <c r="E85" s="211"/>
      <c r="F85" s="312"/>
      <c r="G85" s="147"/>
      <c r="H85" s="147"/>
      <c r="I85" s="147"/>
      <c r="J85" s="147">
        <v>0.5</v>
      </c>
      <c r="K85" s="147">
        <v>1</v>
      </c>
      <c r="L85" s="147">
        <v>1</v>
      </c>
      <c r="M85" s="147">
        <v>1.5</v>
      </c>
      <c r="N85" s="147">
        <v>1.5</v>
      </c>
      <c r="O85" s="147">
        <v>2</v>
      </c>
      <c r="P85" s="147">
        <v>2</v>
      </c>
      <c r="Q85" s="149">
        <v>2.5</v>
      </c>
    </row>
    <row r="86" spans="1:17" ht="18.75">
      <c r="A86" s="38"/>
      <c r="B86" s="140"/>
      <c r="C86" s="134">
        <v>0.5</v>
      </c>
      <c r="D86" s="311">
        <v>1</v>
      </c>
      <c r="E86" s="211"/>
      <c r="F86" s="312"/>
      <c r="G86" s="147"/>
      <c r="H86" s="150"/>
      <c r="I86" s="147"/>
      <c r="J86" s="147"/>
      <c r="K86" s="147">
        <v>0.5</v>
      </c>
      <c r="L86" s="147">
        <v>0.5</v>
      </c>
      <c r="M86" s="147">
        <v>1</v>
      </c>
      <c r="N86" s="147">
        <v>1</v>
      </c>
      <c r="O86" s="147">
        <v>1.5</v>
      </c>
      <c r="P86" s="147">
        <v>1.5</v>
      </c>
      <c r="Q86" s="151">
        <v>2</v>
      </c>
    </row>
    <row r="87" spans="1:17" ht="18.75">
      <c r="A87" s="38"/>
      <c r="B87" s="140"/>
      <c r="C87" s="134"/>
      <c r="D87" s="311">
        <v>0.5</v>
      </c>
      <c r="E87" s="211"/>
      <c r="F87" s="312"/>
      <c r="G87" s="147"/>
      <c r="H87" s="150"/>
      <c r="I87" s="147"/>
      <c r="J87" s="147"/>
      <c r="K87" s="147"/>
      <c r="L87" s="147"/>
      <c r="M87" s="147">
        <v>0.5</v>
      </c>
      <c r="N87" s="147">
        <v>0.5</v>
      </c>
      <c r="O87" s="147">
        <v>1</v>
      </c>
      <c r="P87" s="147">
        <v>1</v>
      </c>
      <c r="Q87" s="151">
        <v>1.5</v>
      </c>
    </row>
    <row r="88" spans="1:17" ht="18.75">
      <c r="A88" s="38"/>
      <c r="B88" s="140"/>
      <c r="C88" s="134"/>
      <c r="D88" s="311"/>
      <c r="E88" s="211"/>
      <c r="F88" s="312"/>
      <c r="G88" s="147"/>
      <c r="H88" s="150"/>
      <c r="I88" s="147"/>
      <c r="J88" s="147"/>
      <c r="K88" s="147"/>
      <c r="L88" s="147"/>
      <c r="M88" s="147"/>
      <c r="N88" s="147"/>
      <c r="O88" s="147">
        <v>0.5</v>
      </c>
      <c r="P88" s="147">
        <v>0.5</v>
      </c>
      <c r="Q88" s="151">
        <v>1</v>
      </c>
    </row>
    <row r="89" spans="1:17" ht="19.5" thickBot="1">
      <c r="A89" s="38"/>
      <c r="B89" s="140"/>
      <c r="C89" s="134"/>
      <c r="D89" s="311"/>
      <c r="E89" s="212"/>
      <c r="F89" s="152"/>
      <c r="G89" s="153"/>
      <c r="H89" s="153"/>
      <c r="I89" s="153"/>
      <c r="J89" s="153"/>
      <c r="K89" s="154"/>
      <c r="L89" s="153"/>
      <c r="M89" s="153"/>
      <c r="N89" s="153"/>
      <c r="O89" s="155"/>
      <c r="P89" s="155"/>
      <c r="Q89" s="156">
        <v>0.5</v>
      </c>
    </row>
    <row r="90" spans="1:17" ht="19.5" thickBot="1">
      <c r="A90" s="38"/>
      <c r="B90" s="140"/>
      <c r="C90" s="134"/>
      <c r="D90" s="311"/>
      <c r="E90" s="213" t="s">
        <v>632</v>
      </c>
      <c r="F90" s="129">
        <v>0.96</v>
      </c>
      <c r="G90" s="130">
        <v>1.23</v>
      </c>
      <c r="H90" s="130">
        <v>1.4</v>
      </c>
      <c r="I90" s="130">
        <v>1.56</v>
      </c>
      <c r="J90" s="130">
        <v>1.86</v>
      </c>
      <c r="K90" s="113">
        <v>2.02</v>
      </c>
      <c r="L90" s="113">
        <v>2.4</v>
      </c>
      <c r="M90" s="113">
        <v>2.73</v>
      </c>
      <c r="N90" s="113">
        <v>2.86</v>
      </c>
      <c r="O90" s="113">
        <v>3.16</v>
      </c>
      <c r="P90" s="113">
        <v>3.5</v>
      </c>
      <c r="Q90" s="131">
        <v>3.6</v>
      </c>
    </row>
    <row r="91" spans="1:17" ht="18.75">
      <c r="A91" s="38"/>
      <c r="B91" s="140"/>
      <c r="C91" s="134"/>
      <c r="D91" s="311"/>
      <c r="E91" s="205"/>
      <c r="F91" s="159">
        <v>0.5</v>
      </c>
      <c r="G91" s="160">
        <v>1</v>
      </c>
      <c r="H91" s="160">
        <v>1</v>
      </c>
      <c r="I91" s="160">
        <v>1</v>
      </c>
      <c r="J91" s="160">
        <v>1.5</v>
      </c>
      <c r="K91" s="160">
        <v>2</v>
      </c>
      <c r="L91" s="160">
        <v>2</v>
      </c>
      <c r="M91" s="161">
        <v>2.5</v>
      </c>
      <c r="N91" s="161">
        <v>2.5</v>
      </c>
      <c r="O91" s="161">
        <v>3</v>
      </c>
      <c r="P91" s="161">
        <v>3</v>
      </c>
      <c r="Q91" s="162">
        <v>3.5</v>
      </c>
    </row>
    <row r="92" spans="1:17" ht="18.75">
      <c r="A92" s="38"/>
      <c r="B92" s="140"/>
      <c r="C92" s="134"/>
      <c r="D92" s="311"/>
      <c r="E92" s="205"/>
      <c r="F92" s="163"/>
      <c r="G92" s="147">
        <v>0.5</v>
      </c>
      <c r="H92" s="147">
        <v>0.5</v>
      </c>
      <c r="I92" s="147">
        <v>0.5</v>
      </c>
      <c r="J92" s="147">
        <v>1</v>
      </c>
      <c r="K92" s="147">
        <v>1.5</v>
      </c>
      <c r="L92" s="147">
        <v>1.5</v>
      </c>
      <c r="M92" s="147">
        <v>2</v>
      </c>
      <c r="N92" s="147">
        <v>2</v>
      </c>
      <c r="O92" s="148">
        <v>2.5</v>
      </c>
      <c r="P92" s="148">
        <v>2.5</v>
      </c>
      <c r="Q92" s="149">
        <v>3</v>
      </c>
    </row>
    <row r="93" spans="1:17" ht="18.75">
      <c r="A93" s="38"/>
      <c r="B93" s="140"/>
      <c r="C93" s="134"/>
      <c r="D93" s="311"/>
      <c r="E93" s="205"/>
      <c r="F93" s="163"/>
      <c r="G93" s="147"/>
      <c r="H93" s="147"/>
      <c r="I93" s="147"/>
      <c r="J93" s="147">
        <v>0.5</v>
      </c>
      <c r="K93" s="147">
        <v>1</v>
      </c>
      <c r="L93" s="147">
        <v>1</v>
      </c>
      <c r="M93" s="147">
        <v>1.5</v>
      </c>
      <c r="N93" s="147">
        <v>1.5</v>
      </c>
      <c r="O93" s="147">
        <v>2</v>
      </c>
      <c r="P93" s="147">
        <v>2</v>
      </c>
      <c r="Q93" s="149">
        <v>2.5</v>
      </c>
    </row>
    <row r="94" spans="1:17" ht="18.75">
      <c r="A94" s="38"/>
      <c r="B94" s="164"/>
      <c r="C94" s="214"/>
      <c r="D94" s="165"/>
      <c r="E94" s="205"/>
      <c r="F94" s="163"/>
      <c r="G94" s="147"/>
      <c r="H94" s="150"/>
      <c r="I94" s="147"/>
      <c r="J94" s="147"/>
      <c r="K94" s="147">
        <v>0.5</v>
      </c>
      <c r="L94" s="147">
        <v>0.5</v>
      </c>
      <c r="M94" s="147">
        <v>1</v>
      </c>
      <c r="N94" s="147">
        <v>1</v>
      </c>
      <c r="O94" s="147">
        <v>1.5</v>
      </c>
      <c r="P94" s="147">
        <v>1.5</v>
      </c>
      <c r="Q94" s="151">
        <v>2</v>
      </c>
    </row>
    <row r="95" spans="1:17" ht="19.5" thickBot="1">
      <c r="A95" s="38"/>
      <c r="B95" s="166"/>
      <c r="C95" s="193"/>
      <c r="D95" s="194"/>
      <c r="E95" s="205"/>
      <c r="F95" s="163"/>
      <c r="G95" s="147"/>
      <c r="H95" s="150"/>
      <c r="I95" s="147"/>
      <c r="J95" s="147"/>
      <c r="K95" s="147"/>
      <c r="L95" s="147"/>
      <c r="M95" s="147">
        <v>0.5</v>
      </c>
      <c r="N95" s="147">
        <v>0.5</v>
      </c>
      <c r="O95" s="147">
        <v>1</v>
      </c>
      <c r="P95" s="147">
        <v>1</v>
      </c>
      <c r="Q95" s="151">
        <v>1.5</v>
      </c>
    </row>
    <row r="96" spans="1:17" ht="18.75">
      <c r="A96" s="38"/>
      <c r="B96" s="169"/>
      <c r="C96" s="170"/>
      <c r="D96" s="215"/>
      <c r="E96" s="158"/>
      <c r="F96" s="163"/>
      <c r="G96" s="147"/>
      <c r="H96" s="150"/>
      <c r="I96" s="147"/>
      <c r="J96" s="147"/>
      <c r="K96" s="147"/>
      <c r="L96" s="147"/>
      <c r="M96" s="147"/>
      <c r="N96" s="147"/>
      <c r="O96" s="147">
        <v>0.5</v>
      </c>
      <c r="P96" s="147">
        <v>0.5</v>
      </c>
      <c r="Q96" s="151">
        <v>1</v>
      </c>
    </row>
    <row r="97" spans="1:17" ht="19.5" thickBot="1">
      <c r="A97" s="38"/>
      <c r="B97" s="171"/>
      <c r="C97" s="172"/>
      <c r="D97" s="216"/>
      <c r="E97" s="158"/>
      <c r="F97" s="173"/>
      <c r="G97" s="153"/>
      <c r="H97" s="153"/>
      <c r="I97" s="153"/>
      <c r="J97" s="153"/>
      <c r="K97" s="154"/>
      <c r="L97" s="153"/>
      <c r="M97" s="153"/>
      <c r="N97" s="153"/>
      <c r="O97" s="155"/>
      <c r="P97" s="155"/>
      <c r="Q97" s="156">
        <v>0.5</v>
      </c>
    </row>
    <row r="98" spans="1:17" ht="19.5" thickBot="1">
      <c r="A98" s="108" t="s">
        <v>633</v>
      </c>
      <c r="B98" s="174">
        <v>2.5</v>
      </c>
      <c r="C98" s="199">
        <v>3</v>
      </c>
      <c r="D98" s="208">
        <v>3.5</v>
      </c>
      <c r="E98" s="176"/>
      <c r="F98" s="129">
        <v>2.9</v>
      </c>
      <c r="G98" s="130">
        <v>3.7</v>
      </c>
      <c r="H98" s="130">
        <v>4.2</v>
      </c>
      <c r="I98" s="130">
        <v>4.7</v>
      </c>
      <c r="J98" s="130">
        <v>5.6</v>
      </c>
      <c r="K98" s="113">
        <v>6.1</v>
      </c>
      <c r="L98" s="113">
        <v>7.2</v>
      </c>
      <c r="M98" s="113">
        <v>8.1999999999999993</v>
      </c>
      <c r="N98" s="113">
        <v>8.6</v>
      </c>
      <c r="O98" s="113">
        <v>9.5</v>
      </c>
      <c r="P98" s="113">
        <v>10.5</v>
      </c>
      <c r="Q98" s="131">
        <v>10.8</v>
      </c>
    </row>
    <row r="100" spans="1:17" ht="15.75" thickBot="1"/>
    <row r="101" spans="1:17" ht="15.75" thickBot="1">
      <c r="A101" s="80" t="s">
        <v>636</v>
      </c>
      <c r="B101" s="217">
        <v>8</v>
      </c>
      <c r="C101" s="217">
        <v>9</v>
      </c>
      <c r="D101" s="217">
        <v>10</v>
      </c>
      <c r="E101" s="217">
        <v>11</v>
      </c>
      <c r="F101" s="217">
        <v>12</v>
      </c>
      <c r="G101" s="217">
        <v>13</v>
      </c>
      <c r="H101" s="217">
        <v>14</v>
      </c>
      <c r="I101" s="217">
        <v>15</v>
      </c>
      <c r="J101" s="217">
        <v>15</v>
      </c>
      <c r="K101" s="218">
        <v>17</v>
      </c>
    </row>
    <row r="102" spans="1:17" ht="15.75" thickBot="1">
      <c r="A102" s="219" t="s">
        <v>627</v>
      </c>
      <c r="B102" s="220"/>
      <c r="C102" s="220"/>
      <c r="D102" s="220"/>
      <c r="E102" s="220"/>
      <c r="F102" s="220"/>
      <c r="G102" s="220"/>
      <c r="H102" s="220"/>
      <c r="I102" s="220"/>
      <c r="J102" s="220"/>
      <c r="K102" s="221"/>
    </row>
    <row r="103" spans="1:17" ht="15.75" thickBot="1">
      <c r="A103" s="40"/>
      <c r="B103" s="222"/>
      <c r="C103" s="222"/>
      <c r="D103" s="222"/>
      <c r="E103" s="222"/>
      <c r="F103" s="222"/>
      <c r="G103" s="222"/>
      <c r="H103" s="222"/>
      <c r="I103" s="222"/>
      <c r="J103" s="222"/>
      <c r="K103" s="222"/>
    </row>
    <row r="104" spans="1:17" ht="19.5" thickBot="1">
      <c r="A104" s="37" t="s">
        <v>629</v>
      </c>
      <c r="B104" s="223">
        <v>11</v>
      </c>
      <c r="C104" s="183">
        <v>13</v>
      </c>
      <c r="D104" s="183">
        <v>14</v>
      </c>
      <c r="E104" s="183">
        <v>16</v>
      </c>
      <c r="F104" s="183">
        <v>17</v>
      </c>
      <c r="G104" s="183">
        <v>18</v>
      </c>
      <c r="H104" s="183">
        <v>20</v>
      </c>
      <c r="I104" s="183">
        <v>22</v>
      </c>
      <c r="J104" s="183">
        <v>24</v>
      </c>
      <c r="K104" s="184">
        <v>25</v>
      </c>
    </row>
    <row r="105" spans="1:17" ht="19.5" thickBot="1">
      <c r="A105" s="223" t="s">
        <v>637</v>
      </c>
      <c r="B105" s="109">
        <v>1.4</v>
      </c>
      <c r="C105" s="113">
        <v>1.7</v>
      </c>
      <c r="D105" s="224">
        <v>1.85</v>
      </c>
      <c r="E105" s="224">
        <v>2.0499999999999998</v>
      </c>
      <c r="F105" s="224">
        <v>2.4</v>
      </c>
      <c r="G105" s="224">
        <v>2.75</v>
      </c>
      <c r="H105" s="224">
        <v>2.85</v>
      </c>
      <c r="I105" s="224">
        <v>3.15</v>
      </c>
      <c r="J105" s="224">
        <v>3.5</v>
      </c>
      <c r="K105" s="225">
        <v>3.65</v>
      </c>
    </row>
    <row r="106" spans="1:17" ht="19.5" thickBot="1">
      <c r="A106" s="223" t="s">
        <v>638</v>
      </c>
      <c r="B106" s="226">
        <v>1.4</v>
      </c>
      <c r="C106" s="138">
        <v>1.7</v>
      </c>
      <c r="D106" s="227">
        <v>1.85</v>
      </c>
      <c r="E106" s="227">
        <v>2.0499999999999998</v>
      </c>
      <c r="F106" s="227">
        <v>2.4</v>
      </c>
      <c r="G106" s="227">
        <v>2.75</v>
      </c>
      <c r="H106" s="227">
        <v>2.85</v>
      </c>
      <c r="I106" s="227">
        <v>3.15</v>
      </c>
      <c r="J106" s="227">
        <v>3.5</v>
      </c>
      <c r="K106" s="228">
        <v>3.65</v>
      </c>
    </row>
    <row r="107" spans="1:17" ht="18.75">
      <c r="A107" s="37"/>
      <c r="B107" s="229">
        <v>1</v>
      </c>
      <c r="C107" s="144">
        <v>1.5</v>
      </c>
      <c r="D107" s="144">
        <v>1.5</v>
      </c>
      <c r="E107" s="230">
        <v>2</v>
      </c>
      <c r="F107" s="230">
        <v>2</v>
      </c>
      <c r="G107" s="230">
        <v>2.5</v>
      </c>
      <c r="H107" s="230">
        <v>2.5</v>
      </c>
      <c r="I107" s="230">
        <v>3</v>
      </c>
      <c r="J107" s="230">
        <v>3</v>
      </c>
      <c r="K107" s="231">
        <v>3.5</v>
      </c>
    </row>
    <row r="108" spans="1:17" ht="18.75">
      <c r="A108" s="37"/>
      <c r="B108" s="232">
        <v>0.5</v>
      </c>
      <c r="C108" s="148">
        <v>1</v>
      </c>
      <c r="D108" s="148">
        <v>1</v>
      </c>
      <c r="E108" s="148">
        <v>1.5</v>
      </c>
      <c r="F108" s="148">
        <v>1.5</v>
      </c>
      <c r="G108" s="233">
        <v>2</v>
      </c>
      <c r="H108" s="233">
        <v>2</v>
      </c>
      <c r="I108" s="233">
        <v>2.5</v>
      </c>
      <c r="J108" s="233">
        <v>2.5</v>
      </c>
      <c r="K108" s="234">
        <v>3</v>
      </c>
    </row>
    <row r="109" spans="1:17" ht="18.75">
      <c r="A109" s="37"/>
      <c r="B109" s="232"/>
      <c r="C109" s="148">
        <v>0.5</v>
      </c>
      <c r="D109" s="148">
        <v>0.5</v>
      </c>
      <c r="E109" s="148">
        <v>1</v>
      </c>
      <c r="F109" s="148">
        <v>1</v>
      </c>
      <c r="G109" s="148">
        <v>1.5</v>
      </c>
      <c r="H109" s="148">
        <v>1.5</v>
      </c>
      <c r="I109" s="233">
        <v>2</v>
      </c>
      <c r="J109" s="233">
        <v>2</v>
      </c>
      <c r="K109" s="234">
        <v>2.5</v>
      </c>
    </row>
    <row r="110" spans="1:17" ht="18.75">
      <c r="A110" s="37"/>
      <c r="B110" s="232"/>
      <c r="C110" s="148"/>
      <c r="D110" s="233"/>
      <c r="E110" s="148">
        <v>0.5</v>
      </c>
      <c r="F110" s="148">
        <v>0.5</v>
      </c>
      <c r="G110" s="148">
        <v>1</v>
      </c>
      <c r="H110" s="148">
        <v>1</v>
      </c>
      <c r="I110" s="148">
        <v>1.5</v>
      </c>
      <c r="J110" s="148">
        <v>1.5</v>
      </c>
      <c r="K110" s="234">
        <v>2</v>
      </c>
    </row>
    <row r="111" spans="1:17" ht="18.75">
      <c r="A111" s="37"/>
      <c r="B111" s="232"/>
      <c r="C111" s="148"/>
      <c r="D111" s="233"/>
      <c r="E111" s="233"/>
      <c r="F111" s="148"/>
      <c r="G111" s="148">
        <v>0.5</v>
      </c>
      <c r="H111" s="148">
        <v>0.5</v>
      </c>
      <c r="I111" s="148">
        <v>1</v>
      </c>
      <c r="J111" s="148">
        <v>1</v>
      </c>
      <c r="K111" s="149">
        <v>1.5</v>
      </c>
    </row>
    <row r="112" spans="1:17" ht="18.75">
      <c r="A112" s="37"/>
      <c r="B112" s="232"/>
      <c r="C112" s="148"/>
      <c r="D112" s="233"/>
      <c r="E112" s="233"/>
      <c r="F112" s="148"/>
      <c r="G112" s="148"/>
      <c r="H112" s="148"/>
      <c r="I112" s="148">
        <v>0.5</v>
      </c>
      <c r="J112" s="148">
        <v>0.5</v>
      </c>
      <c r="K112" s="149">
        <v>1</v>
      </c>
    </row>
    <row r="113" spans="1:11" ht="19.5" thickBot="1">
      <c r="A113" s="37"/>
      <c r="B113" s="235"/>
      <c r="C113" s="236"/>
      <c r="D113" s="237"/>
      <c r="E113" s="237"/>
      <c r="F113" s="236"/>
      <c r="G113" s="236"/>
      <c r="H113" s="236"/>
      <c r="I113" s="236"/>
      <c r="J113" s="236"/>
      <c r="K113" s="238">
        <v>0.5</v>
      </c>
    </row>
    <row r="114" spans="1:11" ht="19.5" thickBot="1">
      <c r="A114" s="223" t="s">
        <v>639</v>
      </c>
      <c r="B114" s="223">
        <v>1.4</v>
      </c>
      <c r="C114" s="183">
        <v>1.7</v>
      </c>
      <c r="D114" s="224">
        <v>1.85</v>
      </c>
      <c r="E114" s="239">
        <v>2.0499999999999998</v>
      </c>
      <c r="F114" s="224">
        <v>2.4</v>
      </c>
      <c r="G114" s="224">
        <v>2.75</v>
      </c>
      <c r="H114" s="224">
        <v>2.85</v>
      </c>
      <c r="I114" s="224">
        <v>3.15</v>
      </c>
      <c r="J114" s="224">
        <v>3.5</v>
      </c>
      <c r="K114" s="225">
        <v>3.65</v>
      </c>
    </row>
    <row r="115" spans="1:11" ht="19.5" thickBot="1">
      <c r="A115" s="223" t="s">
        <v>631</v>
      </c>
      <c r="B115" s="240">
        <v>1.4</v>
      </c>
      <c r="C115" s="116">
        <v>1.7</v>
      </c>
      <c r="D115" s="241">
        <v>1.85</v>
      </c>
      <c r="E115" s="242">
        <v>2.0499999999999998</v>
      </c>
      <c r="F115" s="241">
        <v>2.4</v>
      </c>
      <c r="G115" s="241">
        <v>2.75</v>
      </c>
      <c r="H115" s="241">
        <v>2.85</v>
      </c>
      <c r="I115" s="241">
        <v>3.15</v>
      </c>
      <c r="J115" s="241">
        <v>3.5</v>
      </c>
      <c r="K115" s="243">
        <v>3.65</v>
      </c>
    </row>
    <row r="116" spans="1:11" ht="18.75">
      <c r="A116" s="37"/>
      <c r="B116" s="229">
        <v>1</v>
      </c>
      <c r="C116" s="144">
        <v>1.5</v>
      </c>
      <c r="D116" s="144">
        <v>1.5</v>
      </c>
      <c r="E116" s="230">
        <v>2</v>
      </c>
      <c r="F116" s="230">
        <v>2</v>
      </c>
      <c r="G116" s="230">
        <v>2.5</v>
      </c>
      <c r="H116" s="230">
        <v>2.5</v>
      </c>
      <c r="I116" s="230">
        <v>3</v>
      </c>
      <c r="J116" s="230">
        <v>3</v>
      </c>
      <c r="K116" s="231">
        <v>3.5</v>
      </c>
    </row>
    <row r="117" spans="1:11" ht="18.75">
      <c r="A117" s="37"/>
      <c r="B117" s="232">
        <v>0.5</v>
      </c>
      <c r="C117" s="148">
        <v>1</v>
      </c>
      <c r="D117" s="148">
        <v>1</v>
      </c>
      <c r="E117" s="148">
        <v>1.5</v>
      </c>
      <c r="F117" s="148">
        <v>1.5</v>
      </c>
      <c r="G117" s="233">
        <v>2</v>
      </c>
      <c r="H117" s="233">
        <v>2</v>
      </c>
      <c r="I117" s="233">
        <v>2.5</v>
      </c>
      <c r="J117" s="233">
        <v>2.5</v>
      </c>
      <c r="K117" s="234">
        <v>3</v>
      </c>
    </row>
    <row r="118" spans="1:11" ht="18.75">
      <c r="A118" s="37"/>
      <c r="B118" s="232"/>
      <c r="C118" s="148">
        <v>0.5</v>
      </c>
      <c r="D118" s="148">
        <v>0.5</v>
      </c>
      <c r="E118" s="148">
        <v>1</v>
      </c>
      <c r="F118" s="148">
        <v>1</v>
      </c>
      <c r="G118" s="148">
        <v>1.5</v>
      </c>
      <c r="H118" s="148">
        <v>1.5</v>
      </c>
      <c r="I118" s="233">
        <v>2</v>
      </c>
      <c r="J118" s="233">
        <v>2</v>
      </c>
      <c r="K118" s="234">
        <v>2.5</v>
      </c>
    </row>
    <row r="119" spans="1:11" ht="18.75">
      <c r="A119" s="37"/>
      <c r="B119" s="232"/>
      <c r="C119" s="148"/>
      <c r="D119" s="233"/>
      <c r="E119" s="148">
        <v>0.5</v>
      </c>
      <c r="F119" s="148">
        <v>0.5</v>
      </c>
      <c r="G119" s="148">
        <v>1</v>
      </c>
      <c r="H119" s="148">
        <v>1</v>
      </c>
      <c r="I119" s="148">
        <v>1.5</v>
      </c>
      <c r="J119" s="148">
        <v>1.5</v>
      </c>
      <c r="K119" s="234">
        <v>2</v>
      </c>
    </row>
    <row r="120" spans="1:11" ht="18.75">
      <c r="A120" s="37"/>
      <c r="B120" s="232"/>
      <c r="C120" s="148"/>
      <c r="D120" s="233"/>
      <c r="E120" s="233"/>
      <c r="F120" s="148"/>
      <c r="G120" s="148">
        <v>0.5</v>
      </c>
      <c r="H120" s="148">
        <v>0.5</v>
      </c>
      <c r="I120" s="148">
        <v>1</v>
      </c>
      <c r="J120" s="148">
        <v>1</v>
      </c>
      <c r="K120" s="149">
        <v>1.5</v>
      </c>
    </row>
    <row r="121" spans="1:11" ht="18.75">
      <c r="A121" s="37"/>
      <c r="B121" s="232"/>
      <c r="C121" s="148"/>
      <c r="D121" s="233"/>
      <c r="E121" s="233"/>
      <c r="F121" s="148"/>
      <c r="G121" s="148"/>
      <c r="H121" s="148"/>
      <c r="I121" s="148">
        <v>0.5</v>
      </c>
      <c r="J121" s="148">
        <v>0.5</v>
      </c>
      <c r="K121" s="149">
        <v>1</v>
      </c>
    </row>
    <row r="122" spans="1:11" ht="19.5" thickBot="1">
      <c r="A122" s="37"/>
      <c r="B122" s="235"/>
      <c r="C122" s="236"/>
      <c r="D122" s="237"/>
      <c r="E122" s="237"/>
      <c r="F122" s="236"/>
      <c r="G122" s="236"/>
      <c r="H122" s="236"/>
      <c r="I122" s="236"/>
      <c r="J122" s="236"/>
      <c r="K122" s="238">
        <v>0.5</v>
      </c>
    </row>
    <row r="123" spans="1:11" ht="19.5" thickBot="1">
      <c r="A123" s="37" t="s">
        <v>640</v>
      </c>
      <c r="B123" s="223">
        <v>5.6</v>
      </c>
      <c r="C123" s="183">
        <v>6.8</v>
      </c>
      <c r="D123" s="239">
        <v>7.4</v>
      </c>
      <c r="E123" s="239">
        <v>8.1999999999999993</v>
      </c>
      <c r="F123" s="224">
        <v>9.6</v>
      </c>
      <c r="G123" s="224">
        <v>11</v>
      </c>
      <c r="H123" s="224">
        <v>11.4</v>
      </c>
      <c r="I123" s="224">
        <v>12.6</v>
      </c>
      <c r="J123" s="224">
        <v>14</v>
      </c>
      <c r="K123" s="225">
        <v>14.6</v>
      </c>
    </row>
    <row r="125" spans="1:11" ht="15.75" thickBot="1"/>
    <row r="126" spans="1:11" ht="15.75" thickBot="1">
      <c r="A126" s="80" t="s">
        <v>636</v>
      </c>
      <c r="B126" s="217">
        <v>8</v>
      </c>
      <c r="C126" s="217">
        <v>9</v>
      </c>
      <c r="D126" s="217">
        <v>10</v>
      </c>
      <c r="E126" s="217">
        <v>11</v>
      </c>
      <c r="F126" s="217">
        <v>12</v>
      </c>
      <c r="G126" s="217">
        <v>13</v>
      </c>
      <c r="H126" s="217">
        <v>14</v>
      </c>
      <c r="I126" s="217">
        <v>15</v>
      </c>
      <c r="J126" s="217">
        <v>15</v>
      </c>
      <c r="K126" s="218">
        <v>17</v>
      </c>
    </row>
    <row r="127" spans="1:11" ht="15.75" thickBot="1">
      <c r="A127" s="219" t="s">
        <v>627</v>
      </c>
      <c r="B127" s="220"/>
      <c r="C127" s="220"/>
      <c r="D127" s="220"/>
      <c r="E127" s="220"/>
      <c r="F127" s="220"/>
      <c r="G127" s="220"/>
      <c r="H127" s="220"/>
      <c r="I127" s="220"/>
      <c r="J127" s="220"/>
      <c r="K127" s="221"/>
    </row>
    <row r="128" spans="1:11" ht="15.75" thickBot="1">
      <c r="A128" s="40"/>
      <c r="B128" s="222"/>
      <c r="C128" s="222"/>
      <c r="D128" s="222"/>
      <c r="E128" s="222"/>
      <c r="F128" s="222"/>
      <c r="G128" s="222"/>
      <c r="H128" s="222"/>
      <c r="I128" s="222"/>
      <c r="J128" s="222"/>
      <c r="K128" s="222"/>
    </row>
    <row r="129" spans="1:11" ht="19.5" thickBot="1">
      <c r="A129" s="37" t="s">
        <v>629</v>
      </c>
      <c r="B129" s="223">
        <v>11</v>
      </c>
      <c r="C129" s="183">
        <v>13</v>
      </c>
      <c r="D129" s="183">
        <v>14</v>
      </c>
      <c r="E129" s="183">
        <v>16</v>
      </c>
      <c r="F129" s="183">
        <v>17</v>
      </c>
      <c r="G129" s="183">
        <v>18</v>
      </c>
      <c r="H129" s="183">
        <v>20</v>
      </c>
      <c r="I129" s="183">
        <v>22</v>
      </c>
      <c r="J129" s="183">
        <v>24</v>
      </c>
      <c r="K129" s="184">
        <v>25</v>
      </c>
    </row>
    <row r="130" spans="1:11" ht="19.5" thickBot="1">
      <c r="A130" s="223" t="s">
        <v>637</v>
      </c>
      <c r="B130" s="109">
        <v>1.4</v>
      </c>
      <c r="C130" s="113">
        <v>1.7</v>
      </c>
      <c r="D130" s="224">
        <v>1.85</v>
      </c>
      <c r="E130" s="224">
        <v>2.0499999999999998</v>
      </c>
      <c r="F130" s="224">
        <v>2.4</v>
      </c>
      <c r="G130" s="224">
        <v>2.75</v>
      </c>
      <c r="H130" s="224">
        <v>2.85</v>
      </c>
      <c r="I130" s="224">
        <v>3.15</v>
      </c>
      <c r="J130" s="224">
        <v>3.5</v>
      </c>
      <c r="K130" s="225">
        <v>3.65</v>
      </c>
    </row>
    <row r="131" spans="1:11" ht="19.5" thickBot="1">
      <c r="A131" s="223" t="s">
        <v>638</v>
      </c>
      <c r="B131" s="226">
        <v>1.4</v>
      </c>
      <c r="C131" s="138">
        <v>1.7</v>
      </c>
      <c r="D131" s="227">
        <v>1.85</v>
      </c>
      <c r="E131" s="227">
        <v>2.0499999999999998</v>
      </c>
      <c r="F131" s="227">
        <v>2.4</v>
      </c>
      <c r="G131" s="227">
        <v>2.75</v>
      </c>
      <c r="H131" s="227">
        <v>2.85</v>
      </c>
      <c r="I131" s="227">
        <v>3.15</v>
      </c>
      <c r="J131" s="227">
        <v>3.5</v>
      </c>
      <c r="K131" s="228">
        <v>3.65</v>
      </c>
    </row>
    <row r="132" spans="1:11" ht="18.75">
      <c r="A132" s="37"/>
      <c r="B132" s="229">
        <v>1</v>
      </c>
      <c r="C132" s="144">
        <v>1.5</v>
      </c>
      <c r="D132" s="144">
        <v>1.5</v>
      </c>
      <c r="E132" s="230">
        <v>2</v>
      </c>
      <c r="F132" s="230">
        <v>2</v>
      </c>
      <c r="G132" s="230">
        <v>2.5</v>
      </c>
      <c r="H132" s="230">
        <v>2.5</v>
      </c>
      <c r="I132" s="230">
        <v>3</v>
      </c>
      <c r="J132" s="230">
        <v>3</v>
      </c>
      <c r="K132" s="231">
        <v>3.5</v>
      </c>
    </row>
    <row r="133" spans="1:11" ht="18.75">
      <c r="A133" s="37"/>
      <c r="B133" s="232">
        <v>0.5</v>
      </c>
      <c r="C133" s="148">
        <v>1</v>
      </c>
      <c r="D133" s="148">
        <v>1</v>
      </c>
      <c r="E133" s="148">
        <v>1.5</v>
      </c>
      <c r="F133" s="148">
        <v>1.5</v>
      </c>
      <c r="G133" s="233">
        <v>2</v>
      </c>
      <c r="H133" s="233">
        <v>2</v>
      </c>
      <c r="I133" s="233">
        <v>2.5</v>
      </c>
      <c r="J133" s="233">
        <v>2.5</v>
      </c>
      <c r="K133" s="234">
        <v>3</v>
      </c>
    </row>
    <row r="134" spans="1:11" ht="18.75">
      <c r="A134" s="37"/>
      <c r="B134" s="232"/>
      <c r="C134" s="148">
        <v>0.5</v>
      </c>
      <c r="D134" s="148">
        <v>0.5</v>
      </c>
      <c r="E134" s="148">
        <v>1</v>
      </c>
      <c r="F134" s="148">
        <v>1</v>
      </c>
      <c r="G134" s="148">
        <v>1.5</v>
      </c>
      <c r="H134" s="148">
        <v>1.5</v>
      </c>
      <c r="I134" s="233">
        <v>2</v>
      </c>
      <c r="J134" s="233">
        <v>2</v>
      </c>
      <c r="K134" s="234">
        <v>2.5</v>
      </c>
    </row>
    <row r="135" spans="1:11" ht="18.75">
      <c r="A135" s="37"/>
      <c r="B135" s="232"/>
      <c r="C135" s="148"/>
      <c r="D135" s="233"/>
      <c r="E135" s="148">
        <v>0.5</v>
      </c>
      <c r="F135" s="148">
        <v>0.5</v>
      </c>
      <c r="G135" s="148">
        <v>1</v>
      </c>
      <c r="H135" s="148">
        <v>1</v>
      </c>
      <c r="I135" s="148">
        <v>1.5</v>
      </c>
      <c r="J135" s="148">
        <v>1.5</v>
      </c>
      <c r="K135" s="234">
        <v>2</v>
      </c>
    </row>
    <row r="136" spans="1:11" ht="18.75">
      <c r="A136" s="37"/>
      <c r="B136" s="232"/>
      <c r="C136" s="148"/>
      <c r="D136" s="233"/>
      <c r="E136" s="233"/>
      <c r="F136" s="148"/>
      <c r="G136" s="148">
        <v>0.5</v>
      </c>
      <c r="H136" s="148">
        <v>0.5</v>
      </c>
      <c r="I136" s="148">
        <v>1</v>
      </c>
      <c r="J136" s="148">
        <v>1</v>
      </c>
      <c r="K136" s="149">
        <v>1.5</v>
      </c>
    </row>
    <row r="137" spans="1:11" ht="18.75">
      <c r="A137" s="37"/>
      <c r="B137" s="232"/>
      <c r="C137" s="148"/>
      <c r="D137" s="233"/>
      <c r="E137" s="233"/>
      <c r="F137" s="148"/>
      <c r="G137" s="148"/>
      <c r="H137" s="148"/>
      <c r="I137" s="148">
        <v>0.5</v>
      </c>
      <c r="J137" s="148">
        <v>0.5</v>
      </c>
      <c r="K137" s="149">
        <v>1</v>
      </c>
    </row>
    <row r="138" spans="1:11" ht="19.5" thickBot="1">
      <c r="A138" s="37"/>
      <c r="B138" s="235"/>
      <c r="C138" s="236"/>
      <c r="D138" s="237"/>
      <c r="E138" s="237"/>
      <c r="F138" s="236"/>
      <c r="G138" s="236"/>
      <c r="H138" s="236"/>
      <c r="I138" s="236"/>
      <c r="J138" s="236"/>
      <c r="K138" s="238">
        <v>0.5</v>
      </c>
    </row>
    <row r="139" spans="1:11" ht="19.5" thickBot="1">
      <c r="A139" s="223" t="s">
        <v>639</v>
      </c>
      <c r="B139" s="223">
        <v>1.4</v>
      </c>
      <c r="C139" s="183">
        <v>1.7</v>
      </c>
      <c r="D139" s="224">
        <v>1.85</v>
      </c>
      <c r="E139" s="239">
        <v>2.0499999999999998</v>
      </c>
      <c r="F139" s="224">
        <v>2.4</v>
      </c>
      <c r="G139" s="224">
        <v>2.75</v>
      </c>
      <c r="H139" s="224">
        <v>2.85</v>
      </c>
      <c r="I139" s="224">
        <v>3.15</v>
      </c>
      <c r="J139" s="224">
        <v>3.5</v>
      </c>
      <c r="K139" s="225">
        <v>3.65</v>
      </c>
    </row>
    <row r="140" spans="1:11" ht="19.5" thickBot="1">
      <c r="A140" s="223" t="s">
        <v>631</v>
      </c>
      <c r="B140" s="240">
        <v>1.4</v>
      </c>
      <c r="C140" s="116">
        <v>1.7</v>
      </c>
      <c r="D140" s="241">
        <v>1.85</v>
      </c>
      <c r="E140" s="242">
        <v>2.0499999999999998</v>
      </c>
      <c r="F140" s="241">
        <v>2.4</v>
      </c>
      <c r="G140" s="241">
        <v>2.75</v>
      </c>
      <c r="H140" s="241">
        <v>2.85</v>
      </c>
      <c r="I140" s="241">
        <v>3.15</v>
      </c>
      <c r="J140" s="241">
        <v>3.5</v>
      </c>
      <c r="K140" s="243">
        <v>3.65</v>
      </c>
    </row>
    <row r="141" spans="1:11" ht="18.75">
      <c r="A141" s="37"/>
      <c r="B141" s="229">
        <v>1</v>
      </c>
      <c r="C141" s="144">
        <v>1.5</v>
      </c>
      <c r="D141" s="144">
        <v>1.5</v>
      </c>
      <c r="E141" s="230">
        <v>2</v>
      </c>
      <c r="F141" s="230">
        <v>2</v>
      </c>
      <c r="G141" s="230">
        <v>2.5</v>
      </c>
      <c r="H141" s="230">
        <v>2.5</v>
      </c>
      <c r="I141" s="230">
        <v>3</v>
      </c>
      <c r="J141" s="230">
        <v>3</v>
      </c>
      <c r="K141" s="231">
        <v>3.5</v>
      </c>
    </row>
    <row r="142" spans="1:11" ht="18.75">
      <c r="A142" s="37"/>
      <c r="B142" s="232">
        <v>0.5</v>
      </c>
      <c r="C142" s="148">
        <v>1</v>
      </c>
      <c r="D142" s="148">
        <v>1</v>
      </c>
      <c r="E142" s="148">
        <v>1.5</v>
      </c>
      <c r="F142" s="148">
        <v>1.5</v>
      </c>
      <c r="G142" s="233">
        <v>2</v>
      </c>
      <c r="H142" s="233">
        <v>2</v>
      </c>
      <c r="I142" s="233">
        <v>2.5</v>
      </c>
      <c r="J142" s="233">
        <v>2.5</v>
      </c>
      <c r="K142" s="234">
        <v>3</v>
      </c>
    </row>
    <row r="143" spans="1:11" ht="18.75">
      <c r="A143" s="37"/>
      <c r="B143" s="232"/>
      <c r="C143" s="148">
        <v>0.5</v>
      </c>
      <c r="D143" s="148">
        <v>0.5</v>
      </c>
      <c r="E143" s="148">
        <v>1</v>
      </c>
      <c r="F143" s="148">
        <v>1</v>
      </c>
      <c r="G143" s="148">
        <v>1.5</v>
      </c>
      <c r="H143" s="148">
        <v>1.5</v>
      </c>
      <c r="I143" s="233">
        <v>2</v>
      </c>
      <c r="J143" s="233">
        <v>2</v>
      </c>
      <c r="K143" s="234">
        <v>2.5</v>
      </c>
    </row>
    <row r="144" spans="1:11" ht="18.75">
      <c r="A144" s="37"/>
      <c r="B144" s="232"/>
      <c r="C144" s="148"/>
      <c r="D144" s="233"/>
      <c r="E144" s="148">
        <v>0.5</v>
      </c>
      <c r="F144" s="148">
        <v>0.5</v>
      </c>
      <c r="G144" s="148">
        <v>1</v>
      </c>
      <c r="H144" s="148">
        <v>1</v>
      </c>
      <c r="I144" s="148">
        <v>1.5</v>
      </c>
      <c r="J144" s="148">
        <v>1.5</v>
      </c>
      <c r="K144" s="234">
        <v>2</v>
      </c>
    </row>
    <row r="145" spans="1:11" ht="18.75">
      <c r="A145" s="37"/>
      <c r="B145" s="232"/>
      <c r="C145" s="148"/>
      <c r="D145" s="233"/>
      <c r="E145" s="233"/>
      <c r="F145" s="148"/>
      <c r="G145" s="148">
        <v>0.5</v>
      </c>
      <c r="H145" s="148">
        <v>0.5</v>
      </c>
      <c r="I145" s="148">
        <v>1</v>
      </c>
      <c r="J145" s="148">
        <v>1</v>
      </c>
      <c r="K145" s="149">
        <v>1.5</v>
      </c>
    </row>
    <row r="146" spans="1:11" ht="18.75">
      <c r="A146" s="37"/>
      <c r="B146" s="232"/>
      <c r="C146" s="148"/>
      <c r="D146" s="233"/>
      <c r="E146" s="233"/>
      <c r="F146" s="148"/>
      <c r="G146" s="148"/>
      <c r="H146" s="148"/>
      <c r="I146" s="148">
        <v>0.5</v>
      </c>
      <c r="J146" s="148">
        <v>0.5</v>
      </c>
      <c r="K146" s="149">
        <v>1</v>
      </c>
    </row>
    <row r="147" spans="1:11" ht="19.5" thickBot="1">
      <c r="A147" s="37"/>
      <c r="B147" s="235"/>
      <c r="C147" s="236"/>
      <c r="D147" s="237"/>
      <c r="E147" s="237"/>
      <c r="F147" s="236"/>
      <c r="G147" s="236"/>
      <c r="H147" s="236"/>
      <c r="I147" s="236"/>
      <c r="J147" s="236"/>
      <c r="K147" s="238">
        <v>0.5</v>
      </c>
    </row>
    <row r="148" spans="1:11" ht="19.5" thickBot="1">
      <c r="A148" s="37" t="s">
        <v>640</v>
      </c>
      <c r="B148" s="223">
        <v>5.6</v>
      </c>
      <c r="C148" s="183">
        <v>6.8</v>
      </c>
      <c r="D148" s="239">
        <v>7.4</v>
      </c>
      <c r="E148" s="239">
        <v>8.1999999999999993</v>
      </c>
      <c r="F148" s="224">
        <v>9.6</v>
      </c>
      <c r="G148" s="224">
        <v>11</v>
      </c>
      <c r="H148" s="224">
        <v>11.4</v>
      </c>
      <c r="I148" s="224">
        <v>12.6</v>
      </c>
      <c r="J148" s="224">
        <v>14</v>
      </c>
      <c r="K148" s="225">
        <v>14.6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2B95-5D71-4E15-B973-6D3D6485F60C}">
  <dimension ref="A1:B20"/>
  <sheetViews>
    <sheetView workbookViewId="0">
      <selection activeCell="G8" sqref="G8"/>
    </sheetView>
  </sheetViews>
  <sheetFormatPr defaultRowHeight="15"/>
  <cols>
    <col min="1" max="1" width="46.140625" customWidth="1"/>
    <col min="2" max="2" width="38.28515625" customWidth="1"/>
  </cols>
  <sheetData>
    <row r="1" spans="1:2" ht="15.75" thickBot="1"/>
    <row r="2" spans="1:2" ht="27" customHeight="1" thickBot="1">
      <c r="A2" s="244" t="s">
        <v>641</v>
      </c>
      <c r="B2" s="245" t="s">
        <v>624</v>
      </c>
    </row>
    <row r="3" spans="1:2" ht="21" customHeight="1" thickBot="1">
      <c r="A3" s="246" t="s">
        <v>642</v>
      </c>
      <c r="B3" s="247" t="s">
        <v>643</v>
      </c>
    </row>
    <row r="4" spans="1:2" ht="27" customHeight="1" thickBot="1">
      <c r="A4" s="246" t="s">
        <v>644</v>
      </c>
      <c r="B4" s="247" t="s">
        <v>645</v>
      </c>
    </row>
    <row r="5" spans="1:2" ht="24.75" customHeight="1" thickBot="1">
      <c r="A5" s="246" t="s">
        <v>646</v>
      </c>
      <c r="B5" s="247"/>
    </row>
    <row r="6" spans="1:2" ht="23.25" thickBot="1">
      <c r="A6" s="246"/>
      <c r="B6" s="248"/>
    </row>
    <row r="7" spans="1:2" ht="24.75" customHeight="1">
      <c r="A7" s="249" t="s">
        <v>647</v>
      </c>
      <c r="B7" s="317"/>
    </row>
    <row r="8" spans="1:2" ht="18.75" customHeight="1" thickBot="1">
      <c r="A8" s="250" t="s">
        <v>648</v>
      </c>
      <c r="B8" s="318"/>
    </row>
    <row r="9" spans="1:2" ht="33" customHeight="1" thickBot="1">
      <c r="A9" s="246" t="s">
        <v>649</v>
      </c>
      <c r="B9" s="251"/>
    </row>
    <row r="10" spans="1:2" ht="35.25" customHeight="1" thickBot="1">
      <c r="A10" s="246" t="s">
        <v>650</v>
      </c>
      <c r="B10" s="251"/>
    </row>
    <row r="11" spans="1:2" ht="33" customHeight="1" thickBot="1">
      <c r="A11" s="246" t="s">
        <v>651</v>
      </c>
      <c r="B11" s="248"/>
    </row>
    <row r="12" spans="1:2" ht="21.75" customHeight="1" thickBot="1">
      <c r="A12" s="246"/>
      <c r="B12" s="251" t="s">
        <v>652</v>
      </c>
    </row>
    <row r="13" spans="1:2" ht="27" customHeight="1">
      <c r="A13" s="252" t="s">
        <v>653</v>
      </c>
      <c r="B13" s="252" t="s">
        <v>653</v>
      </c>
    </row>
    <row r="14" spans="1:2" ht="39" customHeight="1" thickBot="1">
      <c r="A14" s="246" t="s">
        <v>654</v>
      </c>
      <c r="B14" s="253" t="s">
        <v>655</v>
      </c>
    </row>
    <row r="15" spans="1:2" ht="33.75" customHeight="1" thickBot="1">
      <c r="A15" s="246" t="s">
        <v>656</v>
      </c>
      <c r="B15" s="253"/>
    </row>
    <row r="16" spans="1:2" ht="21.75" thickBot="1">
      <c r="A16" s="246"/>
      <c r="B16" s="247"/>
    </row>
    <row r="17" spans="1:2" ht="43.5" customHeight="1" thickBot="1">
      <c r="A17" s="250" t="s">
        <v>657</v>
      </c>
      <c r="B17" s="254" t="s">
        <v>657</v>
      </c>
    </row>
    <row r="18" spans="1:2" ht="35.25" customHeight="1" thickBot="1">
      <c r="A18" s="255" t="s">
        <v>658</v>
      </c>
      <c r="B18" s="251" t="s">
        <v>658</v>
      </c>
    </row>
    <row r="19" spans="1:2" ht="27.75" customHeight="1" thickBot="1">
      <c r="A19" s="250" t="s">
        <v>659</v>
      </c>
      <c r="B19" s="254" t="s">
        <v>660</v>
      </c>
    </row>
    <row r="20" spans="1:2" ht="21.75" thickBot="1">
      <c r="A20" s="246" t="s">
        <v>661</v>
      </c>
      <c r="B20" s="247" t="s">
        <v>662</v>
      </c>
    </row>
  </sheetData>
  <mergeCells count="1">
    <mergeCell ref="B7:B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F91A-0507-4CE5-BE05-7CCFAFAE3D02}">
  <sheetPr>
    <pageSetUpPr fitToPage="1"/>
  </sheetPr>
  <dimension ref="B2:G16"/>
  <sheetViews>
    <sheetView zoomScaleNormal="100" workbookViewId="0">
      <selection activeCell="K15" sqref="K15"/>
    </sheetView>
  </sheetViews>
  <sheetFormatPr defaultRowHeight="15"/>
  <cols>
    <col min="2" max="2" width="28.28515625" customWidth="1"/>
  </cols>
  <sheetData>
    <row r="2" spans="2:7">
      <c r="B2" s="256" t="s">
        <v>663</v>
      </c>
      <c r="C2" s="256"/>
    </row>
    <row r="3" spans="2:7">
      <c r="B3" s="257"/>
      <c r="C3" s="257" t="s">
        <v>664</v>
      </c>
      <c r="D3" s="257" t="s">
        <v>665</v>
      </c>
      <c r="E3" s="257" t="s">
        <v>666</v>
      </c>
      <c r="F3" s="257" t="s">
        <v>665</v>
      </c>
      <c r="G3" s="257"/>
    </row>
    <row r="4" spans="2:7">
      <c r="B4" s="258" t="s">
        <v>667</v>
      </c>
      <c r="C4" s="258"/>
      <c r="D4" s="258" t="s">
        <v>668</v>
      </c>
      <c r="E4" s="258" t="s">
        <v>669</v>
      </c>
      <c r="F4" s="258" t="s">
        <v>670</v>
      </c>
      <c r="G4" s="258" t="s">
        <v>640</v>
      </c>
    </row>
    <row r="5" spans="2:7">
      <c r="B5" s="257" t="s">
        <v>671</v>
      </c>
      <c r="C5" s="257">
        <v>2.5</v>
      </c>
      <c r="D5" s="257">
        <v>2.2000000000000002</v>
      </c>
      <c r="E5" s="257">
        <v>2.2000000000000002</v>
      </c>
      <c r="F5" s="257">
        <v>2.2000000000000002</v>
      </c>
      <c r="G5" s="257">
        <f>SUM(C5:F5)</f>
        <v>9.1000000000000014</v>
      </c>
    </row>
    <row r="6" spans="2:7">
      <c r="B6" s="257" t="s">
        <v>672</v>
      </c>
      <c r="C6" s="257"/>
      <c r="D6" s="257">
        <v>2.2000000000000002</v>
      </c>
      <c r="E6" s="257">
        <v>2.2000000000000002</v>
      </c>
      <c r="F6" s="257">
        <v>2.2000000000000002</v>
      </c>
      <c r="G6" s="257">
        <f t="shared" ref="G6:G16" si="0">SUM(C6:F6)</f>
        <v>6.6000000000000005</v>
      </c>
    </row>
    <row r="7" spans="2:7">
      <c r="B7" s="257" t="s">
        <v>673</v>
      </c>
      <c r="C7" s="257"/>
      <c r="D7" s="257">
        <v>2.2000000000000002</v>
      </c>
      <c r="E7" s="257">
        <v>2.2000000000000002</v>
      </c>
      <c r="F7" s="257">
        <v>2.2000000000000002</v>
      </c>
      <c r="G7" s="257">
        <f t="shared" si="0"/>
        <v>6.6000000000000005</v>
      </c>
    </row>
    <row r="8" spans="2:7">
      <c r="B8" s="257" t="s">
        <v>674</v>
      </c>
      <c r="C8" s="257"/>
      <c r="D8" s="257">
        <v>2</v>
      </c>
      <c r="E8" s="257">
        <v>2</v>
      </c>
      <c r="F8" s="257">
        <v>2</v>
      </c>
      <c r="G8" s="257">
        <f t="shared" si="0"/>
        <v>6</v>
      </c>
    </row>
    <row r="9" spans="2:7">
      <c r="B9" s="257" t="s">
        <v>675</v>
      </c>
      <c r="C9" s="257"/>
      <c r="D9" s="257">
        <v>1.8</v>
      </c>
      <c r="E9" s="257">
        <v>1.8</v>
      </c>
      <c r="F9" s="257">
        <v>1.8</v>
      </c>
      <c r="G9" s="257">
        <f t="shared" si="0"/>
        <v>5.4</v>
      </c>
    </row>
    <row r="10" spans="2:7">
      <c r="B10" s="257" t="s">
        <v>676</v>
      </c>
      <c r="C10" s="257"/>
      <c r="D10" s="257">
        <v>1.6</v>
      </c>
      <c r="E10" s="257">
        <v>1.6</v>
      </c>
      <c r="F10" s="257">
        <v>1.6</v>
      </c>
      <c r="G10" s="257">
        <f t="shared" si="0"/>
        <v>4.8000000000000007</v>
      </c>
    </row>
    <row r="11" spans="2:7">
      <c r="B11" s="257" t="s">
        <v>677</v>
      </c>
      <c r="C11" s="257"/>
      <c r="D11" s="257">
        <v>1.3</v>
      </c>
      <c r="E11" s="257">
        <v>1.3</v>
      </c>
      <c r="F11" s="257">
        <v>1.3</v>
      </c>
      <c r="G11" s="257">
        <f t="shared" si="0"/>
        <v>3.9000000000000004</v>
      </c>
    </row>
    <row r="12" spans="2:7">
      <c r="B12" s="257"/>
      <c r="C12" s="257"/>
      <c r="D12" s="257"/>
      <c r="E12" s="257"/>
      <c r="F12" s="257"/>
      <c r="G12" s="257"/>
    </row>
    <row r="13" spans="2:7">
      <c r="B13" s="257"/>
      <c r="C13" s="257"/>
      <c r="D13" s="257"/>
      <c r="E13" s="257"/>
      <c r="F13" s="257"/>
      <c r="G13" s="257"/>
    </row>
    <row r="14" spans="2:7">
      <c r="B14" s="258" t="s">
        <v>624</v>
      </c>
      <c r="C14" s="257"/>
      <c r="D14" s="257">
        <v>1.6</v>
      </c>
      <c r="E14" s="257">
        <v>1.6</v>
      </c>
      <c r="F14" s="257">
        <v>1.6</v>
      </c>
      <c r="G14" s="257">
        <f t="shared" si="0"/>
        <v>4.8000000000000007</v>
      </c>
    </row>
    <row r="15" spans="2:7">
      <c r="B15" s="257"/>
      <c r="C15" s="257"/>
      <c r="D15" s="257"/>
      <c r="E15" s="257"/>
      <c r="F15" s="257"/>
      <c r="G15" s="257"/>
    </row>
    <row r="16" spans="2:7">
      <c r="B16" s="258" t="s">
        <v>678</v>
      </c>
      <c r="C16" s="257"/>
      <c r="D16" s="257">
        <v>1.3</v>
      </c>
      <c r="E16" s="257">
        <v>1.3</v>
      </c>
      <c r="F16" s="257">
        <v>1.3</v>
      </c>
      <c r="G16" s="257">
        <f t="shared" si="0"/>
        <v>3.9000000000000004</v>
      </c>
    </row>
  </sheetData>
  <phoneticPr fontId="5"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40E6-3B24-4B6B-BD5E-757F83CCCF0F}">
  <sheetPr>
    <pageSetUpPr fitToPage="1"/>
  </sheetPr>
  <dimension ref="B1:L48"/>
  <sheetViews>
    <sheetView topLeftCell="A41" workbookViewId="0">
      <selection activeCell="L39" sqref="L39"/>
    </sheetView>
  </sheetViews>
  <sheetFormatPr defaultColWidth="9.140625" defaultRowHeight="15"/>
  <cols>
    <col min="1" max="1" width="3.28515625" style="41" customWidth="1"/>
    <col min="2" max="2" width="10.7109375" style="41" customWidth="1"/>
    <col min="3" max="3" width="14.140625" style="41" customWidth="1"/>
    <col min="4" max="4" width="28.5703125" style="41" customWidth="1"/>
    <col min="5" max="5" width="21" style="41" customWidth="1"/>
    <col min="6" max="6" width="29.140625" style="41" customWidth="1"/>
    <col min="7" max="7" width="4.85546875" style="41" hidden="1" customWidth="1"/>
    <col min="8" max="8" width="10.7109375" style="41" customWidth="1"/>
    <col min="9" max="9" width="11.85546875" style="41" customWidth="1"/>
    <col min="10" max="10" width="11.85546875" style="41" bestFit="1" customWidth="1"/>
    <col min="11" max="11" width="4.5703125" style="41" bestFit="1" customWidth="1"/>
    <col min="12" max="12" width="16" style="41" bestFit="1" customWidth="1"/>
    <col min="13" max="13" width="10" style="41" customWidth="1"/>
    <col min="14" max="16384" width="9.140625" style="41"/>
  </cols>
  <sheetData>
    <row r="1" spans="2:12" ht="15.75">
      <c r="B1" s="39" t="s">
        <v>679</v>
      </c>
      <c r="C1" s="39"/>
      <c r="D1" s="39"/>
      <c r="E1" s="39"/>
      <c r="F1" s="39"/>
      <c r="G1" s="39"/>
      <c r="H1" s="39"/>
      <c r="I1" s="39"/>
      <c r="J1" s="39"/>
      <c r="K1" s="39"/>
      <c r="L1" s="39"/>
    </row>
    <row r="2" spans="2:12" ht="15.75" thickBot="1"/>
    <row r="3" spans="2:12" s="42" customFormat="1" ht="15.75" thickBot="1">
      <c r="B3" s="44" t="s">
        <v>680</v>
      </c>
      <c r="C3" s="99" t="s">
        <v>681</v>
      </c>
      <c r="D3" s="99"/>
      <c r="E3" s="99"/>
      <c r="F3" s="99"/>
      <c r="H3" s="44" t="s">
        <v>680</v>
      </c>
      <c r="I3" s="99" t="s">
        <v>682</v>
      </c>
      <c r="J3" s="99"/>
      <c r="K3" s="99"/>
      <c r="L3" s="99"/>
    </row>
    <row r="4" spans="2:12" ht="17.25" customHeight="1" thickBot="1">
      <c r="B4" s="45"/>
      <c r="C4" s="98"/>
      <c r="D4" s="98"/>
      <c r="E4" s="98"/>
      <c r="F4" s="98"/>
      <c r="H4" s="45"/>
      <c r="I4" s="98"/>
      <c r="J4" s="98"/>
      <c r="K4" s="98"/>
      <c r="L4" s="98"/>
    </row>
    <row r="5" spans="2:12" ht="17.25" customHeight="1" thickBot="1">
      <c r="B5" s="45"/>
      <c r="C5" s="98"/>
      <c r="D5" s="98"/>
      <c r="E5" s="98"/>
      <c r="F5" s="98"/>
      <c r="H5" s="45"/>
      <c r="I5" s="98"/>
      <c r="J5" s="98"/>
      <c r="K5" s="98"/>
      <c r="L5" s="98"/>
    </row>
    <row r="6" spans="2:12" ht="17.25" customHeight="1" thickBot="1">
      <c r="B6" s="45"/>
      <c r="C6" s="98"/>
      <c r="D6" s="98"/>
      <c r="E6" s="98"/>
      <c r="F6" s="98"/>
      <c r="H6" s="45"/>
      <c r="I6" s="98"/>
      <c r="J6" s="98"/>
      <c r="K6" s="98"/>
      <c r="L6" s="98"/>
    </row>
    <row r="7" spans="2:12" ht="17.25" customHeight="1" thickBot="1">
      <c r="B7" s="45"/>
      <c r="C7" s="98"/>
      <c r="D7" s="98"/>
      <c r="E7" s="98"/>
      <c r="F7" s="98"/>
      <c r="H7" s="45"/>
      <c r="I7" s="98"/>
      <c r="J7" s="98"/>
      <c r="K7" s="98"/>
      <c r="L7" s="98"/>
    </row>
    <row r="8" spans="2:12" ht="17.25" customHeight="1" thickBot="1">
      <c r="B8" s="45"/>
      <c r="C8" s="98"/>
      <c r="D8" s="98"/>
      <c r="E8" s="98"/>
      <c r="F8" s="98"/>
      <c r="H8" s="45"/>
      <c r="I8" s="98"/>
      <c r="J8" s="98"/>
      <c r="K8" s="98"/>
      <c r="L8" s="98"/>
    </row>
    <row r="9" spans="2:12" ht="17.25" customHeight="1" thickBot="1">
      <c r="B9" s="45"/>
      <c r="C9" s="98"/>
      <c r="D9" s="98"/>
      <c r="E9" s="98"/>
      <c r="F9" s="98"/>
      <c r="H9" s="45"/>
      <c r="I9" s="98"/>
      <c r="J9" s="98"/>
      <c r="K9" s="98"/>
      <c r="L9" s="98"/>
    </row>
    <row r="10" spans="2:12" ht="17.25" customHeight="1" thickBot="1">
      <c r="B10" s="45"/>
      <c r="C10" s="98"/>
      <c r="D10" s="98"/>
      <c r="E10" s="98"/>
      <c r="F10" s="98"/>
      <c r="H10" s="45"/>
      <c r="I10" s="98"/>
      <c r="J10" s="98"/>
      <c r="K10" s="98"/>
      <c r="L10" s="98"/>
    </row>
    <row r="11" spans="2:12" ht="17.25" customHeight="1" thickBot="1">
      <c r="B11" s="45"/>
      <c r="C11" s="98"/>
      <c r="D11" s="98"/>
      <c r="E11" s="98"/>
      <c r="F11" s="98"/>
      <c r="H11" s="45"/>
      <c r="I11" s="98"/>
      <c r="J11" s="98"/>
      <c r="K11" s="98"/>
      <c r="L11" s="98"/>
    </row>
    <row r="12" spans="2:12" ht="17.25" customHeight="1" thickBot="1">
      <c r="B12" s="45"/>
      <c r="C12" s="98"/>
      <c r="D12" s="98"/>
      <c r="E12" s="98"/>
      <c r="F12" s="98"/>
      <c r="H12" s="45"/>
      <c r="I12" s="98"/>
      <c r="J12" s="98"/>
      <c r="K12" s="98"/>
      <c r="L12" s="98"/>
    </row>
    <row r="13" spans="2:12" ht="17.25" customHeight="1" thickBot="1">
      <c r="B13" s="45"/>
      <c r="C13" s="98"/>
      <c r="D13" s="98"/>
      <c r="E13" s="98"/>
      <c r="F13" s="98"/>
      <c r="H13" s="45"/>
      <c r="I13" s="98"/>
      <c r="J13" s="98"/>
      <c r="K13" s="98"/>
      <c r="L13" s="98"/>
    </row>
    <row r="14" spans="2:12" ht="17.25" customHeight="1" thickBot="1">
      <c r="B14" s="45"/>
      <c r="C14" s="98"/>
      <c r="D14" s="98"/>
      <c r="E14" s="98"/>
      <c r="F14" s="98"/>
      <c r="H14" s="45"/>
      <c r="I14" s="98"/>
      <c r="J14" s="98"/>
      <c r="K14" s="98"/>
      <c r="L14" s="98"/>
    </row>
    <row r="15" spans="2:12" ht="17.25" customHeight="1" thickBot="1">
      <c r="B15" s="45"/>
      <c r="C15" s="98"/>
      <c r="D15" s="98"/>
      <c r="E15" s="98"/>
      <c r="F15" s="98"/>
      <c r="H15" s="45"/>
      <c r="I15" s="98"/>
      <c r="J15" s="98"/>
      <c r="K15" s="98"/>
      <c r="L15" s="98"/>
    </row>
    <row r="16" spans="2:12" ht="17.25" customHeight="1" thickBot="1">
      <c r="B16" s="45"/>
      <c r="C16" s="98"/>
      <c r="D16" s="98"/>
      <c r="E16" s="98"/>
      <c r="F16" s="98"/>
      <c r="H16" s="45"/>
      <c r="I16" s="98"/>
      <c r="J16" s="98"/>
      <c r="K16" s="98"/>
      <c r="L16" s="98"/>
    </row>
    <row r="17" spans="2:12" ht="17.25" customHeight="1" thickBot="1">
      <c r="B17" s="45"/>
      <c r="C17" s="98"/>
      <c r="D17" s="98"/>
      <c r="E17" s="98"/>
      <c r="F17" s="98"/>
      <c r="H17" s="45"/>
      <c r="I17" s="98"/>
      <c r="J17" s="98"/>
      <c r="K17" s="98"/>
      <c r="L17" s="98"/>
    </row>
    <row r="18" spans="2:12" ht="17.25" customHeight="1" thickBot="1">
      <c r="B18" s="45"/>
      <c r="C18" s="98"/>
      <c r="D18" s="98"/>
      <c r="E18" s="98"/>
      <c r="F18" s="98"/>
      <c r="H18" s="45"/>
      <c r="I18" s="98"/>
      <c r="J18" s="98"/>
      <c r="K18" s="98"/>
      <c r="L18" s="98"/>
    </row>
    <row r="19" spans="2:12" ht="17.25" customHeight="1" thickBot="1">
      <c r="B19" s="45"/>
      <c r="C19" s="98"/>
      <c r="D19" s="98"/>
      <c r="E19" s="98"/>
      <c r="F19" s="98"/>
      <c r="H19" s="45"/>
      <c r="I19" s="98"/>
      <c r="J19" s="98"/>
      <c r="K19" s="98"/>
      <c r="L19" s="98"/>
    </row>
    <row r="20" spans="2:12" ht="17.25" customHeight="1" thickBot="1">
      <c r="B20" s="45"/>
      <c r="C20" s="98"/>
      <c r="D20" s="98"/>
      <c r="E20" s="98"/>
      <c r="F20" s="98"/>
      <c r="H20" s="45"/>
      <c r="I20" s="98"/>
      <c r="J20" s="98"/>
      <c r="K20" s="98"/>
      <c r="L20" s="98"/>
    </row>
    <row r="21" spans="2:12" ht="17.25" customHeight="1" thickBot="1">
      <c r="B21" s="45"/>
      <c r="C21" s="98"/>
      <c r="D21" s="98"/>
      <c r="E21" s="98"/>
      <c r="F21" s="98"/>
      <c r="H21" s="45"/>
      <c r="I21" s="98"/>
      <c r="J21" s="98"/>
      <c r="K21" s="98"/>
      <c r="L21" s="98"/>
    </row>
    <row r="22" spans="2:12" ht="17.25" customHeight="1" thickBot="1">
      <c r="B22" s="45"/>
      <c r="C22" s="98"/>
      <c r="D22" s="98"/>
      <c r="E22" s="98"/>
      <c r="F22" s="98"/>
      <c r="H22" s="45"/>
      <c r="I22" s="98"/>
      <c r="J22" s="98"/>
      <c r="K22" s="98"/>
      <c r="L22" s="98"/>
    </row>
    <row r="23" spans="2:12" ht="17.25" customHeight="1" thickBot="1">
      <c r="B23" s="45"/>
      <c r="C23" s="98"/>
      <c r="D23" s="98"/>
      <c r="E23" s="98"/>
      <c r="F23" s="98"/>
      <c r="H23" s="45"/>
      <c r="I23" s="98"/>
      <c r="J23" s="98"/>
      <c r="K23" s="98"/>
      <c r="L23" s="98"/>
    </row>
    <row r="24" spans="2:12" ht="17.25" customHeight="1" thickBot="1">
      <c r="B24" s="45"/>
      <c r="C24" s="98"/>
      <c r="D24" s="98"/>
      <c r="E24" s="98"/>
      <c r="F24" s="98"/>
      <c r="H24" s="45"/>
      <c r="I24" s="98"/>
      <c r="J24" s="98"/>
      <c r="K24" s="98"/>
      <c r="L24" s="98"/>
    </row>
    <row r="25" spans="2:12" ht="17.25" customHeight="1" thickBot="1">
      <c r="B25" s="45"/>
      <c r="C25" s="98"/>
      <c r="D25" s="98"/>
      <c r="E25" s="98"/>
      <c r="F25" s="98"/>
      <c r="H25" s="45"/>
      <c r="I25" s="98"/>
      <c r="J25" s="98"/>
      <c r="K25" s="98"/>
      <c r="L25" s="98"/>
    </row>
    <row r="26" spans="2:12" ht="17.25" customHeight="1" thickBot="1">
      <c r="B26" s="45"/>
      <c r="C26" s="98"/>
      <c r="D26" s="98"/>
      <c r="E26" s="98"/>
      <c r="F26" s="98"/>
      <c r="H26" s="45"/>
      <c r="I26" s="98"/>
      <c r="J26" s="98"/>
      <c r="K26" s="98"/>
      <c r="L26" s="98"/>
    </row>
    <row r="27" spans="2:12" ht="17.25" customHeight="1" thickBot="1">
      <c r="B27" s="45"/>
      <c r="C27" s="98"/>
      <c r="D27" s="98"/>
      <c r="E27" s="98"/>
      <c r="F27" s="98"/>
      <c r="H27" s="45"/>
      <c r="I27" s="98"/>
      <c r="J27" s="98"/>
      <c r="K27" s="98"/>
      <c r="L27" s="98"/>
    </row>
    <row r="28" spans="2:12" ht="17.25" customHeight="1" thickBot="1">
      <c r="B28" s="45"/>
      <c r="C28" s="98"/>
      <c r="D28" s="98"/>
      <c r="E28" s="98"/>
      <c r="F28" s="98"/>
      <c r="H28" s="45"/>
      <c r="I28" s="98"/>
      <c r="J28" s="98"/>
      <c r="K28" s="98"/>
      <c r="L28" s="98"/>
    </row>
    <row r="29" spans="2:12" ht="17.25" customHeight="1" thickBot="1">
      <c r="B29" s="45"/>
      <c r="C29" s="98"/>
      <c r="D29" s="98"/>
      <c r="E29" s="98"/>
      <c r="F29" s="98"/>
      <c r="H29" s="45"/>
      <c r="I29" s="98"/>
      <c r="J29" s="98"/>
      <c r="K29" s="98"/>
      <c r="L29" s="98"/>
    </row>
    <row r="30" spans="2:12" ht="17.25" customHeight="1" thickBot="1">
      <c r="B30" s="45"/>
      <c r="C30" s="98"/>
      <c r="D30" s="98"/>
      <c r="E30" s="98"/>
      <c r="F30" s="98"/>
      <c r="H30" s="45"/>
      <c r="I30" s="98"/>
      <c r="J30" s="98"/>
      <c r="K30" s="98"/>
      <c r="L30" s="98"/>
    </row>
    <row r="31" spans="2:12" ht="17.25" customHeight="1" thickBot="1">
      <c r="B31" s="45"/>
      <c r="C31" s="98"/>
      <c r="D31" s="98"/>
      <c r="E31" s="98"/>
      <c r="F31" s="98"/>
      <c r="H31" s="45"/>
      <c r="I31" s="98"/>
      <c r="J31" s="98"/>
      <c r="K31" s="98"/>
      <c r="L31" s="98"/>
    </row>
    <row r="32" spans="2:12" ht="17.25" customHeight="1" thickBot="1">
      <c r="B32" s="45"/>
      <c r="C32" s="98"/>
      <c r="D32" s="98"/>
      <c r="E32" s="98"/>
      <c r="F32" s="98"/>
      <c r="H32" s="45"/>
      <c r="I32" s="98"/>
      <c r="J32" s="98"/>
      <c r="K32" s="98"/>
      <c r="L32" s="98"/>
    </row>
    <row r="33" spans="2:12" ht="17.25" customHeight="1" thickBot="1">
      <c r="B33" s="45"/>
      <c r="C33" s="98"/>
      <c r="D33" s="98"/>
      <c r="E33" s="98"/>
      <c r="F33" s="98"/>
      <c r="H33" s="45"/>
      <c r="I33" s="98"/>
      <c r="J33" s="98"/>
      <c r="K33" s="98"/>
      <c r="L33" s="98"/>
    </row>
    <row r="34" spans="2:12" ht="17.25" customHeight="1" thickBot="1">
      <c r="B34" s="45"/>
      <c r="C34" s="98"/>
      <c r="D34" s="98"/>
      <c r="E34" s="98"/>
      <c r="F34" s="98"/>
      <c r="H34" s="45"/>
      <c r="I34" s="98"/>
      <c r="J34" s="98"/>
      <c r="K34" s="98"/>
      <c r="L34" s="98"/>
    </row>
    <row r="35" spans="2:12">
      <c r="B35" s="46"/>
      <c r="C35" s="47"/>
      <c r="D35" s="47"/>
      <c r="E35" s="47"/>
      <c r="F35" s="47"/>
      <c r="H35" s="48"/>
      <c r="I35" s="49"/>
      <c r="J35" s="49"/>
      <c r="K35" s="49"/>
      <c r="L35" s="49"/>
    </row>
    <row r="36" spans="2:12" ht="15.75" thickBot="1">
      <c r="B36" s="53" t="s">
        <v>555</v>
      </c>
      <c r="C36"/>
      <c r="D36"/>
      <c r="E36"/>
      <c r="F36"/>
      <c r="H36" s="48"/>
      <c r="I36" s="48"/>
      <c r="J36" s="48"/>
      <c r="K36" s="48"/>
      <c r="L36" s="48"/>
    </row>
    <row r="37" spans="2:12">
      <c r="B37" s="62" t="s">
        <v>556</v>
      </c>
      <c r="C37" s="63" t="s">
        <v>557</v>
      </c>
      <c r="D37" s="63" t="s">
        <v>558</v>
      </c>
      <c r="E37" s="63" t="s">
        <v>559</v>
      </c>
      <c r="F37" s="64" t="s">
        <v>560</v>
      </c>
      <c r="H37" s="49"/>
      <c r="I37" s="49"/>
      <c r="J37" s="49"/>
      <c r="K37" s="49"/>
      <c r="L37" s="49"/>
    </row>
    <row r="38" spans="2:12">
      <c r="B38" s="289" t="s">
        <v>561</v>
      </c>
      <c r="C38" s="290" t="s">
        <v>562</v>
      </c>
      <c r="D38" s="259" t="s">
        <v>563</v>
      </c>
      <c r="E38" s="65" t="s">
        <v>564</v>
      </c>
      <c r="F38" s="66" t="s">
        <v>565</v>
      </c>
      <c r="H38" s="49"/>
      <c r="I38" s="49"/>
      <c r="J38" s="49"/>
      <c r="K38" s="49"/>
      <c r="L38" s="49"/>
    </row>
    <row r="39" spans="2:12" ht="15" customHeight="1">
      <c r="B39" s="67"/>
      <c r="C39" s="65" t="s">
        <v>566</v>
      </c>
      <c r="D39" s="65" t="s">
        <v>567</v>
      </c>
      <c r="E39" s="65" t="s">
        <v>568</v>
      </c>
      <c r="F39" s="66" t="s">
        <v>565</v>
      </c>
      <c r="H39" s="285"/>
      <c r="I39" s="49"/>
      <c r="J39" s="49"/>
      <c r="K39" s="49"/>
      <c r="L39" s="49"/>
    </row>
    <row r="40" spans="2:12">
      <c r="B40" s="260" t="s">
        <v>569</v>
      </c>
      <c r="C40" s="155" t="s">
        <v>570</v>
      </c>
      <c r="D40" s="155" t="s">
        <v>571</v>
      </c>
      <c r="E40" s="155" t="s">
        <v>564</v>
      </c>
      <c r="F40" s="291" t="s">
        <v>565</v>
      </c>
      <c r="H40" s="285"/>
      <c r="I40" s="49"/>
      <c r="J40" s="49"/>
      <c r="K40" s="49"/>
      <c r="L40" s="49"/>
    </row>
    <row r="41" spans="2:12">
      <c r="B41" s="35"/>
      <c r="C41" s="36" t="s">
        <v>572</v>
      </c>
      <c r="D41" s="36" t="s">
        <v>573</v>
      </c>
      <c r="E41" s="36" t="s">
        <v>564</v>
      </c>
      <c r="F41" s="58" t="s">
        <v>574</v>
      </c>
      <c r="H41" s="285"/>
      <c r="I41" s="49"/>
      <c r="J41" s="49"/>
      <c r="K41" s="49"/>
      <c r="L41" s="49"/>
    </row>
    <row r="42" spans="2:12" ht="24.75" customHeight="1">
      <c r="B42" s="68"/>
      <c r="C42" s="82" t="s">
        <v>575</v>
      </c>
      <c r="D42" s="82" t="s">
        <v>576</v>
      </c>
      <c r="E42" s="82" t="s">
        <v>577</v>
      </c>
      <c r="F42" s="83" t="s">
        <v>578</v>
      </c>
      <c r="H42" s="47"/>
      <c r="I42" s="286"/>
      <c r="J42" s="49"/>
      <c r="K42" s="49"/>
      <c r="L42" s="49"/>
    </row>
    <row r="43" spans="2:12">
      <c r="B43" s="261" t="s">
        <v>579</v>
      </c>
      <c r="C43" s="262"/>
      <c r="D43" s="262" t="s">
        <v>580</v>
      </c>
      <c r="E43" s="262" t="s">
        <v>564</v>
      </c>
      <c r="F43" s="292" t="s">
        <v>581</v>
      </c>
      <c r="H43" s="285"/>
      <c r="I43" s="286"/>
      <c r="J43" s="49"/>
      <c r="K43" s="49"/>
      <c r="L43" s="49"/>
    </row>
    <row r="44" spans="2:12">
      <c r="B44" s="69" t="s">
        <v>582</v>
      </c>
      <c r="C44" s="81" t="s">
        <v>575</v>
      </c>
      <c r="D44" s="263" t="s">
        <v>576</v>
      </c>
      <c r="E44" s="263" t="s">
        <v>577</v>
      </c>
      <c r="F44" s="264" t="s">
        <v>578</v>
      </c>
      <c r="H44" s="285"/>
      <c r="I44" s="49"/>
      <c r="J44" s="49"/>
      <c r="K44" s="49"/>
      <c r="L44" s="49"/>
    </row>
    <row r="45" spans="2:12">
      <c r="B45" s="35" t="s">
        <v>583</v>
      </c>
      <c r="C45" s="36" t="s">
        <v>584</v>
      </c>
      <c r="D45" s="36" t="s">
        <v>580</v>
      </c>
      <c r="E45" s="36" t="s">
        <v>564</v>
      </c>
      <c r="F45" s="58" t="s">
        <v>581</v>
      </c>
      <c r="H45" s="49"/>
      <c r="I45" s="49"/>
      <c r="J45" s="49"/>
      <c r="K45" s="49"/>
      <c r="L45" s="49"/>
    </row>
    <row r="46" spans="2:12">
      <c r="B46" s="289" t="s">
        <v>585</v>
      </c>
      <c r="C46" s="290" t="s">
        <v>586</v>
      </c>
      <c r="D46" s="290" t="s">
        <v>580</v>
      </c>
      <c r="E46" s="290" t="s">
        <v>564</v>
      </c>
      <c r="F46" s="293" t="s">
        <v>581</v>
      </c>
      <c r="H46" s="287"/>
      <c r="I46" s="286"/>
      <c r="J46" s="49"/>
      <c r="K46" s="49"/>
      <c r="L46" s="49"/>
    </row>
    <row r="47" spans="2:12" ht="15.75" thickBot="1">
      <c r="B47" s="70"/>
      <c r="C47" s="71"/>
      <c r="D47" s="71" t="s">
        <v>576</v>
      </c>
      <c r="E47" s="71" t="s">
        <v>577</v>
      </c>
      <c r="F47" s="72" t="s">
        <v>578</v>
      </c>
      <c r="H47" s="49"/>
      <c r="I47" s="49"/>
      <c r="J47" s="49"/>
      <c r="K47" s="49"/>
      <c r="L47" s="49"/>
    </row>
    <row r="48" spans="2:12" ht="15.75" thickBot="1">
      <c r="B48" s="50"/>
      <c r="C48" s="100"/>
      <c r="D48" s="51"/>
      <c r="E48" s="51"/>
      <c r="F48" s="52"/>
      <c r="H48" s="49"/>
      <c r="I48" s="49"/>
      <c r="J48" s="49"/>
      <c r="K48" s="49"/>
      <c r="L48" s="49"/>
    </row>
  </sheetData>
  <pageMargins left="0.2" right="0.2" top="0.5" bottom="0.5" header="0.3" footer="0.3"/>
  <pageSetup scale="85"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4C8B081E-63C5-4E01-9C98-12F7A8FE789C}"/>
</file>

<file path=customXml/itemProps2.xml><?xml version="1.0" encoding="utf-8"?>
<ds:datastoreItem xmlns:ds="http://schemas.openxmlformats.org/officeDocument/2006/customXml" ds:itemID="{5B5DB8ED-E21D-4A84-A4DE-7C187CF8FAA6}"/>
</file>

<file path=customXml/itemProps3.xml><?xml version="1.0" encoding="utf-8"?>
<ds:datastoreItem xmlns:ds="http://schemas.openxmlformats.org/officeDocument/2006/customXml" ds:itemID="{44D60459-FEA9-4CDE-917D-6FC30ACB62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Paul Young</cp:lastModifiedBy>
  <cp:revision/>
  <dcterms:created xsi:type="dcterms:W3CDTF">2026-08-17T17:45:23Z</dcterms:created>
  <dcterms:modified xsi:type="dcterms:W3CDTF">2026-09-12T13:54:43Z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