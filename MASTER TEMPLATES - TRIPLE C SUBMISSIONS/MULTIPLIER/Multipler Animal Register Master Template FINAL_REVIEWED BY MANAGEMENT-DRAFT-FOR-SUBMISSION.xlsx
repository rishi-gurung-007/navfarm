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onamombe\AppData\Local\Temp\3cb9c754-b971-470e-8806-d3ea608f2354_Animal Register Templates.zip.354\Animal Register Templates\"/>
    </mc:Choice>
  </mc:AlternateContent>
  <xr:revisionPtr revIDLastSave="0" documentId="8_{EBBE6F9C-F337-402E-AB57-00F3E0CDAED6}" xr6:coauthVersionLast="47" xr6:coauthVersionMax="47" xr10:uidLastSave="{00000000-0000-0000-0000-000000000000}"/>
  <bookViews>
    <workbookView xWindow="-108" yWindow="-108" windowWidth="23256" windowHeight="13896" xr2:uid="{81873A3B-85A7-4A1B-B700-8442B273DBD0}"/>
  </bookViews>
  <sheets>
    <sheet name="Animal Register" sheetId="2" r:id="rId1"/>
    <sheet name=" Breeding Record" sheetId="1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8" i="2" l="1"/>
  <c r="AN8" i="2" s="1"/>
  <c r="AN6" i="2"/>
  <c r="AN7" i="2"/>
  <c r="AN9" i="2"/>
  <c r="AN5" i="2"/>
  <c r="AE6" i="2"/>
  <c r="AE7" i="2"/>
  <c r="AE8" i="2"/>
  <c r="AE9" i="2"/>
  <c r="AE5" i="2"/>
  <c r="AD6" i="2"/>
  <c r="AD7" i="2"/>
  <c r="AD8" i="2"/>
  <c r="AD9" i="2"/>
  <c r="AD5" i="2"/>
  <c r="AC6" i="2"/>
  <c r="AC7" i="2"/>
  <c r="AC8" i="2"/>
  <c r="AC9" i="2"/>
  <c r="AC5" i="2"/>
  <c r="AA6" i="2"/>
  <c r="AA7" i="2"/>
  <c r="AA9" i="2"/>
  <c r="AB6" i="2"/>
  <c r="AB7" i="2"/>
  <c r="AB8" i="2"/>
  <c r="AB9" i="2"/>
  <c r="AB5" i="2"/>
  <c r="AA5" i="2"/>
  <c r="R6" i="2"/>
  <c r="T6" i="2"/>
  <c r="R7" i="2"/>
  <c r="T7" i="2"/>
  <c r="R8" i="2"/>
  <c r="T8" i="2"/>
  <c r="R9" i="2"/>
  <c r="T9" i="2"/>
  <c r="T5" i="2"/>
  <c r="R5" i="2"/>
  <c r="AQ9" i="2"/>
  <c r="AR9" i="2"/>
  <c r="AS9" i="2"/>
  <c r="AP9" i="2"/>
  <c r="AO9" i="2"/>
  <c r="AO5" i="2"/>
  <c r="AQ5" i="2"/>
  <c r="AR5" i="2"/>
  <c r="AS5" i="2"/>
  <c r="AP5" i="2"/>
  <c r="AP7" i="2"/>
  <c r="AQ7" i="2"/>
  <c r="AR7" i="2"/>
  <c r="AS7" i="2"/>
  <c r="AO7" i="2"/>
  <c r="AQ6" i="2"/>
  <c r="AR6" i="2"/>
  <c r="AS6" i="2"/>
  <c r="AP6" i="2"/>
  <c r="AO6" i="2"/>
  <c r="AS2" i="2"/>
  <c r="AQ2" i="2"/>
  <c r="AR2" i="2"/>
  <c r="AP2" i="2"/>
  <c r="AO2" i="2"/>
  <c r="L9" i="1"/>
  <c r="L7" i="1"/>
  <c r="K7" i="1"/>
  <c r="J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tc={3015E124-0AEC-4DDD-9CE0-5804872A38EC}</author>
  </authors>
  <commentList>
    <comment ref="AA8" authorId="0" shapeId="0" xr:uid="{3015E124-0AEC-4DDD-9CE0-5804872A38EC}">
      <text>
        <t>[Threaded comment]
Your version of Excel allows you to read this threaded comment; however, any edits to it will get removed if the file is opened in a newer version of Excel. Learn more: https://go.microsoft.com/fwlink/?linkid=870924
Comment:
    Fair value ($2.05x150kgs)</t>
      </text>
    </comment>
  </commentList>
</comments>
</file>

<file path=xl/sharedStrings.xml><?xml version="1.0" encoding="utf-8"?>
<sst xmlns="http://schemas.openxmlformats.org/spreadsheetml/2006/main" count="327" uniqueCount="203">
  <si>
    <t>Field Name</t>
  </si>
  <si>
    <t>Animal Code</t>
  </si>
  <si>
    <t>Animal Type</t>
  </si>
  <si>
    <t>Breed</t>
  </si>
  <si>
    <t>Gender</t>
  </si>
  <si>
    <t>Date of Birth</t>
  </si>
  <si>
    <t>Age at Entry Weeks</t>
  </si>
  <si>
    <t>Entry Type</t>
  </si>
  <si>
    <t>Entry Date</t>
  </si>
  <si>
    <t>Source GRN</t>
  </si>
  <si>
    <t>Source Batch Born From</t>
  </si>
  <si>
    <t>Animal Item</t>
  </si>
  <si>
    <t>Serial Number</t>
  </si>
  <si>
    <t>RFID Tag</t>
  </si>
  <si>
    <t>Ear Tag Visual</t>
  </si>
  <si>
    <t>Sire Father</t>
  </si>
  <si>
    <t>Dam Mother</t>
  </si>
  <si>
    <t>Acquisition Cost</t>
  </si>
  <si>
    <t>Landing Cost</t>
  </si>
  <si>
    <t>Total Opening Asset Value</t>
  </si>
  <si>
    <t>Current Stage</t>
  </si>
  <si>
    <t>Current Active Batch</t>
  </si>
  <si>
    <t>Current Location</t>
  </si>
  <si>
    <t>Parity Count</t>
  </si>
  <si>
    <t>Total Piglets Born Live</t>
  </si>
  <si>
    <t>Total Piglets Weaned</t>
  </si>
  <si>
    <t>Current Bio Asset Value</t>
  </si>
  <si>
    <t>Total Amortised</t>
  </si>
  <si>
    <t>Book Value NBV</t>
  </si>
  <si>
    <t>Residual Value</t>
  </si>
  <si>
    <t>Monthly Amortisation</t>
  </si>
  <si>
    <t>Productive Life Start Date</t>
  </si>
  <si>
    <t>Expected Cull Date</t>
  </si>
  <si>
    <t>Status</t>
  </si>
  <si>
    <t>Disposal Date</t>
  </si>
  <si>
    <t>Disposal Type</t>
  </si>
  <si>
    <t>Nos. of Teats</t>
  </si>
  <si>
    <t>TSI</t>
  </si>
  <si>
    <t xml:space="preserve">Grading </t>
  </si>
  <si>
    <t xml:space="preserve">Bio Asset Value </t>
  </si>
  <si>
    <t>Description</t>
  </si>
  <si>
    <t>Auto-generated from No. Series ANIMAL_PIGGERY. Format: PIG-YYYY-SEQ.</t>
  </si>
  <si>
    <t>SOW / BOAR / GILT / PIGLET / COMMERCIAL_PIG</t>
  </si>
  <si>
    <t>Animal breed. Lookup from breed_master filtered by NOB and LOB.</t>
  </si>
  <si>
    <t>F = Female Sow or Gilt. M = Male Boar.</t>
  </si>
  <si>
    <t>Date of birth if born on this farm. NULL if imported and DOB unknown.</t>
  </si>
  <si>
    <t>Computed from dob and entry_date. Manual entry if imported and DOB unknown.</t>
  </si>
  <si>
    <t>PURCHASED_IMPORTED / PURCHASED_LOCAL / BORN_ON_FARM / TRANSFERRED_IN</t>
  </si>
  <si>
    <t>Date animal arrived or was born on this farm.</t>
  </si>
  <si>
    <t>GRN on which this animal arrived. Required if entry_type = PURCHASED.</t>
  </si>
  <si>
    <t>Farrowing batch that produced this animal. Required if entry_type = BORN_ON_FARM.</t>
  </si>
  <si>
    <t>Lookup to item_master for this animal type LIVING_ASSET. Links inventory and costing.</t>
  </si>
  <si>
    <t>Individual serial number from item_lot_serials. Created on GRN POST.</t>
  </si>
  <si>
    <t>RFID ear tag number for scanning. UNIQUE if set.</t>
  </si>
  <si>
    <t>Visual ear tag number.</t>
  </si>
  <si>
    <t>Father boar. Self-referential FK. Links to boar record.</t>
  </si>
  <si>
    <t>Mother sow. Self-referential FK.</t>
  </si>
  <si>
    <t>Purchase price per animal. From PO line or manual entry on GRN.</t>
  </si>
  <si>
    <t>Transport import duty quarantine charges per head for imported animals.</t>
  </si>
  <si>
    <t>Total bio-asset value at entry. Auto-computed.</t>
  </si>
  <si>
    <t>QUARANTINE / GILT_GROWER / FLUSH / DRY_SOW / GESTATION / FARROWING / WEANING / PRODUCTIVE_SOW / BOAR_AI / CULLED / DEAD / SOLD / SLAUGHTERED</t>
  </si>
  <si>
    <t>FK to the batch this animal is currently in.</t>
  </si>
  <si>
    <t>FK to current shed or pen.</t>
  </si>
  <si>
    <t>Completed pregnancies. Incremented plus 1 on each weaning batch close.</t>
  </si>
  <si>
    <t>Cumulative live births over lifetime.</t>
  </si>
  <si>
    <t>Cumulative piglets weaned over lifetime.</t>
  </si>
  <si>
    <t>Live biological asset value. Auto-updated from bio_asset_ledger.</t>
  </si>
  <si>
    <t>Cumulative amortisation posted to date.</t>
  </si>
  <si>
    <t>Net Book Value = Current Bio Asset Value minus Total Amortised.</t>
  </si>
  <si>
    <t>Estimated salvage value at end of productive life.</t>
  </si>
  <si>
    <t>Monthly amortisation charge. Auto-calculated.</t>
  </si>
  <si>
    <t>Date animal entered productive stage first farrowing or PRODUCTIVE_SOW status.</t>
  </si>
  <si>
    <t>Expected disposal date based on productive life.</t>
  </si>
  <si>
    <t>ACTIVE / QUARANTINE / SICK / PREGNANT / LACTATING / DRY / CULLED / DEAD / SOLD / SLAUGHTERED</t>
  </si>
  <si>
    <t>Date of sale slaughter or death.</t>
  </si>
  <si>
    <t>SOLD / SLAUGHTERED / DIED / TRANSFERRED</t>
  </si>
  <si>
    <t>Non Current Asset/Flow from from BC</t>
  </si>
  <si>
    <t>Example Value</t>
  </si>
  <si>
    <t>PIG-2025-0001</t>
  </si>
  <si>
    <t>SOW</t>
  </si>
  <si>
    <t>uuid-breed-01</t>
  </si>
  <si>
    <t>F</t>
  </si>
  <si>
    <t>2024-10-01</t>
  </si>
  <si>
    <t>3</t>
  </si>
  <si>
    <t>PURCHASED_IMPORTED</t>
  </si>
  <si>
    <t>2025-01-15</t>
  </si>
  <si>
    <t>uuid-grn-001</t>
  </si>
  <si>
    <t>uuid-batch-farr-001</t>
  </si>
  <si>
    <t>uuid-item-gilt</t>
  </si>
  <si>
    <t>uuid-ls-001</t>
  </si>
  <si>
    <t>RFID-PIG-001234</t>
  </si>
  <si>
    <t>ET-2025-001</t>
  </si>
  <si>
    <t>uuid-ani-boar-001</t>
  </si>
  <si>
    <t>uuid-ani-sow-001</t>
  </si>
  <si>
    <t>2857.5700</t>
  </si>
  <si>
    <t>200.0000</t>
  </si>
  <si>
    <t>3057.5700</t>
  </si>
  <si>
    <t>QUARANTINE</t>
  </si>
  <si>
    <t>uuid-batch-gest-001</t>
  </si>
  <si>
    <t>uuid-loc-pen-01a</t>
  </si>
  <si>
    <t>2</t>
  </si>
  <si>
    <t>23</t>
  </si>
  <si>
    <t>21</t>
  </si>
  <si>
    <t>3843.5700</t>
  </si>
  <si>
    <t>3643.5700</t>
  </si>
  <si>
    <t>305.7600</t>
  </si>
  <si>
    <t>84.9400</t>
  </si>
  <si>
    <t>2025-08-01</t>
  </si>
  <si>
    <t>2028-08-01</t>
  </si>
  <si>
    <t>ACTIVE</t>
  </si>
  <si>
    <t>2028-09-01</t>
  </si>
  <si>
    <t>SOLD</t>
  </si>
  <si>
    <t>Mandatory</t>
  </si>
  <si>
    <t>YES</t>
  </si>
  <si>
    <t>NO</t>
  </si>
  <si>
    <t>COND</t>
  </si>
  <si>
    <t xml:space="preserve">Yes </t>
  </si>
  <si>
    <t>Yes</t>
  </si>
  <si>
    <t>Breeding Record - AI or mating event per sow with semen lot pregnancy check and expected farrowing date, Just req data for the understanding, later stage.</t>
  </si>
  <si>
    <t>Sow</t>
  </si>
  <si>
    <t>Batch</t>
  </si>
  <si>
    <t>Mating Type</t>
  </si>
  <si>
    <t>Boar</t>
  </si>
  <si>
    <t>Semen Lot</t>
  </si>
  <si>
    <t>Semen Dose Qty</t>
  </si>
  <si>
    <t>Mating Date</t>
  </si>
  <si>
    <t>Second Mating Date</t>
  </si>
  <si>
    <t>Expected Farrowing Date</t>
  </si>
  <si>
    <t>Pregnancy Check Date</t>
  </si>
  <si>
    <t>Pregnancy Check Method</t>
  </si>
  <si>
    <t>Pregnancy Confirmed</t>
  </si>
  <si>
    <t>Conception Result</t>
  </si>
  <si>
    <t>Parity Number</t>
  </si>
  <si>
    <t>The sow being mated. Lookup from animal_register where animal_type = SOW or GILT.</t>
  </si>
  <si>
    <t>The Flush or AI batch containing this event.</t>
  </si>
  <si>
    <t>AI = Artificial Insemination. NATURAL_MATING = with boar.</t>
  </si>
  <si>
    <t>The boar for NATURAL_MATING. Required if mating_type = NATURAL_MATING.</t>
  </si>
  <si>
    <t>Semen lot consumed for AI. Required if mating_type = AI. FIFO consumption of semen inventory.</t>
  </si>
  <si>
    <t>Doses used for this insemination. Posted as CONSUMPTION to inventory_ledger.</t>
  </si>
  <si>
    <t>Date of insemination or natural mating.</t>
  </si>
  <si>
    <t>Follow-up insemination 48hr repeat for AI.</t>
  </si>
  <si>
    <t>Expected farrowing date. Auto-calculated.</t>
  </si>
  <si>
    <t>Date of pregnancy confirmation check. Typically 28 days post mating.</t>
  </si>
  <si>
    <t>ULTRASOUND / RECTAL / VISUAL / NOT_CHECKED</t>
  </si>
  <si>
    <t>NULL = pending. TRUE = confirmed. FALSE = failed.</t>
  </si>
  <si>
    <t>CONFIRMED / REPEAT / FAILED / PENDING. If FAILED sow returns to Flush.</t>
  </si>
  <si>
    <t>Which parity this is for this sow.</t>
  </si>
  <si>
    <t>uuid-ani-sow</t>
  </si>
  <si>
    <t>uuid-batch-flush</t>
  </si>
  <si>
    <t>AI</t>
  </si>
  <si>
    <t>uuid-ani-boar</t>
  </si>
  <si>
    <t>uuid-ls-semen</t>
  </si>
  <si>
    <t>1.00</t>
  </si>
  <si>
    <t>2025-03-01</t>
  </si>
  <si>
    <t>2025-03-03</t>
  </si>
  <si>
    <t>2025-06-23</t>
  </si>
  <si>
    <t>2025-03-29</t>
  </si>
  <si>
    <t>ULTRASOUND</t>
  </si>
  <si>
    <t>TRUE</t>
  </si>
  <si>
    <t>CONFIRMED</t>
  </si>
  <si>
    <t>Tag Number</t>
  </si>
  <si>
    <t>n/a</t>
  </si>
  <si>
    <t>Imported</t>
  </si>
  <si>
    <t>Flow from Navfarm Input  (Back Fat - P2 measurement)</t>
  </si>
  <si>
    <t>Ultrasound</t>
  </si>
  <si>
    <t>Confirmed</t>
  </si>
  <si>
    <t>Gilt</t>
  </si>
  <si>
    <t>Living Asset</t>
  </si>
  <si>
    <t>PZ8196</t>
  </si>
  <si>
    <t>POOLL</t>
  </si>
  <si>
    <t>CY0820</t>
  </si>
  <si>
    <t>BLXA9988</t>
  </si>
  <si>
    <t>CV9944</t>
  </si>
  <si>
    <t>M25183</t>
  </si>
  <si>
    <t>GILT</t>
  </si>
  <si>
    <t>TZZZZ</t>
  </si>
  <si>
    <t>0945MP</t>
  </si>
  <si>
    <t>NB0456</t>
  </si>
  <si>
    <t>CU4778</t>
  </si>
  <si>
    <t>PZ6451</t>
  </si>
  <si>
    <t>CV1964</t>
  </si>
  <si>
    <t>PY6982</t>
  </si>
  <si>
    <t>sow</t>
  </si>
  <si>
    <t>N/A</t>
  </si>
  <si>
    <t>PY0009</t>
  </si>
  <si>
    <t>SDPY0974</t>
  </si>
  <si>
    <t>TNCL9653</t>
  </si>
  <si>
    <t>TNCM6386</t>
  </si>
  <si>
    <t>BLXA2389</t>
  </si>
  <si>
    <t>TNCF9107</t>
  </si>
  <si>
    <t>TNCJ3567</t>
  </si>
  <si>
    <t>BLXA3034</t>
  </si>
  <si>
    <t>Lactating</t>
  </si>
  <si>
    <t>TN70</t>
  </si>
  <si>
    <t>PURCHASED</t>
  </si>
  <si>
    <t>BORN AT GRASMERE</t>
  </si>
  <si>
    <t>0975MP</t>
  </si>
  <si>
    <t>PZ65451</t>
  </si>
  <si>
    <t>SPDX5036</t>
  </si>
  <si>
    <t>FARROWING</t>
  </si>
  <si>
    <t>Fetched from Topigs</t>
  </si>
  <si>
    <t>Count of Teats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</si>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</sst>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"/>
  </numFmts>
  <fonts count="16" x14ac:knownFonts="1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11"/>
      <color rgb="FF242424"/>
      <name val="Aptos Narrow"/>
      <family val="2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rgb="FF2C3E50"/>
      <name val="Aptos Narrow"/>
      <family val="2"/>
      <scheme val="minor"/>
    </font>
    <font>
      <sz val="12"/>
      <color rgb="FF2C3E50"/>
      <name val="Aptos Narrow"/>
      <family val="2"/>
      <scheme val="minor"/>
    </font>
    <font>
      <sz val="12"/>
      <color rgb="FFC0392B"/>
      <name val="Aptos Narrow"/>
      <family val="2"/>
      <scheme val="minor"/>
    </font>
    <font>
      <sz val="9"/>
      <color indexed="8"/>
      <name val="Arial"/>
      <family val="2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2E86C1"/>
      </patternFill>
    </fill>
    <fill>
      <patternFill patternType="solid">
        <fgColor theme="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8" borderId="0" xfId="0" applyFill="1"/>
    <xf numFmtId="0" fontId="5" fillId="8" borderId="0" xfId="0" applyFont="1" applyFill="1"/>
    <xf numFmtId="0" fontId="0" fillId="0" borderId="2" xfId="0" applyBorder="1" applyAlignment="1">
      <alignment horizontal="center"/>
    </xf>
    <xf numFmtId="0" fontId="0" fillId="0" borderId="2" xfId="0" applyBorder="1"/>
    <xf numFmtId="0" fontId="2" fillId="5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8" fillId="0" borderId="0" xfId="0" applyFont="1"/>
    <xf numFmtId="0" fontId="9" fillId="7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5" fontId="8" fillId="0" borderId="0" xfId="0" applyNumberFormat="1" applyFont="1"/>
    <xf numFmtId="15" fontId="11" fillId="5" borderId="0" xfId="0" applyNumberFormat="1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14" fontId="8" fillId="0" borderId="0" xfId="0" applyNumberFormat="1" applyFont="1"/>
    <xf numFmtId="0" fontId="13" fillId="9" borderId="5" xfId="0" applyFont="1" applyFill="1" applyBorder="1" applyAlignment="1">
      <alignment horizontal="left" vertical="top" wrapText="1"/>
    </xf>
    <xf numFmtId="164" fontId="13" fillId="9" borderId="5" xfId="0" applyNumberFormat="1" applyFont="1" applyFill="1" applyBorder="1" applyAlignment="1">
      <alignment horizontal="left" vertical="top"/>
    </xf>
    <xf numFmtId="0" fontId="13" fillId="9" borderId="5" xfId="0" applyFont="1" applyFill="1" applyBorder="1" applyAlignment="1">
      <alignment horizontal="right" vertical="top"/>
    </xf>
    <xf numFmtId="0" fontId="13" fillId="9" borderId="5" xfId="0" applyFont="1" applyFill="1" applyBorder="1" applyAlignment="1">
      <alignment horizontal="center" vertical="top"/>
    </xf>
    <xf numFmtId="0" fontId="13" fillId="9" borderId="5" xfId="0" applyFont="1" applyFill="1" applyBorder="1" applyAlignment="1">
      <alignment horizontal="left" vertical="top"/>
    </xf>
    <xf numFmtId="0" fontId="13" fillId="10" borderId="5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/>
    </xf>
    <xf numFmtId="0" fontId="7" fillId="6" borderId="0" xfId="0" applyFont="1" applyFill="1" applyAlignment="1">
      <alignment horizontal="left"/>
    </xf>
    <xf numFmtId="17" fontId="0" fillId="0" borderId="0" xfId="0" applyNumberFormat="1"/>
    <xf numFmtId="43" fontId="0" fillId="0" borderId="0" xfId="0" applyNumberFormat="1"/>
    <xf numFmtId="43" fontId="0" fillId="0" borderId="0" xfId="1" applyFont="1"/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iplecpigs.sharepoint.com/sites/TripleCPigsFinance/Shared%20Documents/Management%20Accounting%20Section/Livestock%20Reports/FY2027/August%202026/Fair%20Value%20%20Cost%20Calculation%200826.xlsx" TargetMode="External"/><Relationship Id="rId1" Type="http://schemas.openxmlformats.org/officeDocument/2006/relationships/externalLinkPath" Target="https://triplecpigs.sharepoint.com/sites/TripleCPigsFinance/Shared%20Documents/Management%20Accounting%20Section/Livestock%20Reports/FY2027/August%202026/Fair%20Value%20%20Cost%20Calculation%2008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iplecpigs.sharepoint.com/sites/TripleCPigsFinance/Shared%20Documents/Management%20Accounting%20Section/Livestock%20Reports/FY2027/August%202026/August%202026%20LIVESTOCK%20ANALYSIS.xlsx" TargetMode="External"/><Relationship Id="rId1" Type="http://schemas.openxmlformats.org/officeDocument/2006/relationships/externalLinkPath" Target="https://triplecpigs.sharepoint.com/sites/TripleCPigsFinance/Shared%20Documents/Management%20Accounting%20Section/Livestock%20Reports/FY2027/August%202026/August%202026%20LIVESTOCK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IS 2021"/>
      <sheetName val="Grasmere"/>
      <sheetName val="Learig"/>
      <sheetName val="Lionhead"/>
      <sheetName val="Lionhead Ext."/>
      <sheetName val="Villa"/>
      <sheetName val="Richlands"/>
      <sheetName val="Assumption"/>
      <sheetName val="Feed Cost &amp; Allocation"/>
      <sheetName val="FCA RDATA"/>
      <sheetName val="FV Analysis"/>
      <sheetName val="FV Analysis Prior Mnth"/>
      <sheetName val="Fair Value Analysis Summary Spl"/>
      <sheetName val="Fair Value Analysis Summary"/>
      <sheetName val="Prior Mnth Summary"/>
      <sheetName val="Month NSP"/>
      <sheetName val="September 2022"/>
      <sheetName val="Prior Month"/>
      <sheetName val="Pig Costing June 2022"/>
      <sheetName val="Imported Pigs Costing 0622"/>
      <sheetName val="June 2022 USD"/>
      <sheetName val="Pig Costing July 2022"/>
      <sheetName val="Imported Pigs Costing 0722"/>
      <sheetName val="July 2022 USD"/>
      <sheetName val="Pig Costing Aug 2022"/>
      <sheetName val="Imported Pigs Costing 0822"/>
      <sheetName val="August 2022 USD"/>
      <sheetName val="Pig Costing Sept 2022"/>
      <sheetName val="Imported Pigs Costing 0922"/>
      <sheetName val="September 2022 USD"/>
      <sheetName val="Pig Costing Oct 2022"/>
      <sheetName val="Imported Pigs Costing 1022"/>
      <sheetName val="October 2022 USD"/>
      <sheetName val="Pig Costing Nov 2022"/>
      <sheetName val="Imported Pigs Costing 1122"/>
      <sheetName val="November 2022 USD"/>
      <sheetName val="Pig Costing Dec 2022"/>
      <sheetName val="Imported Pigs Costing 1222"/>
      <sheetName val="December 2022 USD"/>
      <sheetName val="Pig Costing Jan 2023"/>
      <sheetName val="Imported Pigs Costing 0123"/>
      <sheetName val="January 2023 USD"/>
      <sheetName val="Pig Costing Feb 2023"/>
      <sheetName val="Imported Pigs Costing 0223"/>
      <sheetName val="February 2023 USD"/>
      <sheetName val="Pig Costing March 2023"/>
      <sheetName val="Imported Pigs Costing 0323"/>
      <sheetName val="March 2023 USD"/>
      <sheetName val="Pig Costing April 2023"/>
      <sheetName val="Imported Pigs Costing 0423"/>
      <sheetName val="April 2023 USD"/>
      <sheetName val="April 23 Purchases"/>
      <sheetName val="Pig Costing June 2023"/>
      <sheetName val="Pig Costing July 2023"/>
      <sheetName val="Pig Costing May 2023"/>
      <sheetName val="Imported Pigs Costing 0623 "/>
      <sheetName val="Imported Pigs Costing 0723"/>
      <sheetName val="July 2023 USD"/>
      <sheetName val="Pig Costing August 2023"/>
      <sheetName val="Imported Pigs Costing 0523"/>
      <sheetName val="June 2023 USD"/>
      <sheetName val="May 2023 USD "/>
      <sheetName val="Imported Pigs Costing 0823"/>
      <sheetName val="August 2023 USD "/>
      <sheetName val="Pig Costing September 2023 "/>
      <sheetName val="Imported Pigs Costing 0923"/>
      <sheetName val="September 2023 USD  "/>
      <sheetName val="September 23 Costing"/>
      <sheetName val="Pig Costing October 2023"/>
      <sheetName val="Imported Pigs Costing 1023"/>
      <sheetName val="October 2023 USD"/>
      <sheetName val="Pig Costing November 2023"/>
      <sheetName val="Imported Pigs Costing 1123"/>
      <sheetName val="November 2023 USD"/>
      <sheetName val="Pig Costing December 2023"/>
      <sheetName val="Imported Pigs Costing 1223"/>
      <sheetName val="December 2023 USD "/>
      <sheetName val="Pig Costing January 2024"/>
      <sheetName val="Imported Pigs Costing 0124"/>
      <sheetName val="January 2024 USD"/>
      <sheetName val="Pig Costing February 2024"/>
      <sheetName val="Imported Pigs Costing 0224"/>
      <sheetName val="February 2024 USD"/>
      <sheetName val="Pig Costing March 2024"/>
      <sheetName val="Imported Pigs Costing 0324 "/>
      <sheetName val="March 2024 USD "/>
      <sheetName val="Pig Costing April 2024 "/>
      <sheetName val="Imported Pigs Costing 0424"/>
      <sheetName val="April 2024 USD "/>
      <sheetName val="Pig Costing May 2024"/>
      <sheetName val="Imported Pigs Costing 0524"/>
      <sheetName val="May 2024 USD  "/>
      <sheetName val="Pig Costing June 2024"/>
      <sheetName val="Imported Pigs Costing 0624"/>
      <sheetName val="June 2024 USD"/>
      <sheetName val="Pig Costing July 2024"/>
      <sheetName val="Imported Pigs Costing 0724"/>
      <sheetName val="July 2024 USD"/>
      <sheetName val="Pig Costing August 2024 "/>
      <sheetName val="Imported Pigs Costing 0824"/>
      <sheetName val="August 2024 USD"/>
      <sheetName val="Pig Costing September 2024 "/>
      <sheetName val="Imported Pigs Costing 0924"/>
      <sheetName val="September 2024 USD"/>
      <sheetName val="Pig Costing October 2024"/>
      <sheetName val="Imported Pigs Costing 1024"/>
      <sheetName val="October 2024 USD"/>
      <sheetName val="Pig Costing November 2024"/>
      <sheetName val="Imported Pigs Costing 1124"/>
      <sheetName val="November 2024 USD"/>
      <sheetName val="Pig Costing December 2024"/>
      <sheetName val="Imported Pigs Costing 1224"/>
      <sheetName val="December 2024 USD "/>
      <sheetName val="Pig Costing January 2025"/>
      <sheetName val="Imported Pigs Costing 0125"/>
      <sheetName val="January 2025 USD  "/>
      <sheetName val="Pig Costing February 2025"/>
      <sheetName val="Imported Pigs Costing 0225"/>
      <sheetName val="February 2025 USD"/>
      <sheetName val="Pig Costing March 2025"/>
      <sheetName val="Imported Pigs Costing 0325"/>
      <sheetName val="March 2025 USD"/>
      <sheetName val="Pig Costing April 2025"/>
      <sheetName val="Imported Pigs Costing 0425 "/>
      <sheetName val="April 2025 USD"/>
      <sheetName val="Pig Costing May 2025"/>
      <sheetName val="Imported Pigs Costing 0525"/>
      <sheetName val="May 2025 USD"/>
      <sheetName val="Pig Costing June 2025"/>
      <sheetName val="Imported Pigs Costing 0625"/>
      <sheetName val="June 2025 USD"/>
      <sheetName val="Imported Pigs Costing 0625 (2)"/>
      <sheetName val="Pig Costing July 2025"/>
      <sheetName val="Imported Pigs Costing 0725"/>
      <sheetName val="July 2025 USD"/>
      <sheetName val="Pig Costing August 2025"/>
      <sheetName val="Imported Pigs Costing 0825"/>
      <sheetName val="August 2025 USD"/>
      <sheetName val="Pig Costing September 2025"/>
      <sheetName val="Imported Pigs Costing 0925"/>
      <sheetName val="September 2025 USD "/>
      <sheetName val="Pig Costing October 2025"/>
      <sheetName val="Imported Pigs Costing 1025"/>
      <sheetName val="October 2025 USD "/>
      <sheetName val="Pig Costing November 2025"/>
      <sheetName val="Imported Pigs Costing 1125"/>
      <sheetName val="November 2025 USD"/>
      <sheetName val="Pig Costing December 2025"/>
      <sheetName val="Imported Pigs Costing 1225"/>
      <sheetName val="December 2025 USD "/>
      <sheetName val="Pig Costing January 2026"/>
      <sheetName val="Imported Pigs Costing 0126"/>
      <sheetName val="January 2026 USD"/>
      <sheetName val="Pig Costing February 2026"/>
      <sheetName val="Imported Pigs Costing 0226"/>
      <sheetName val="February 2026 USD"/>
      <sheetName val="Pig Costing March 2026"/>
      <sheetName val="Imported Pigs Costing 0326"/>
      <sheetName val="March 2026 USD"/>
      <sheetName val="Pig Costing April 2026"/>
      <sheetName val="Imported Pigs Costing 0426"/>
      <sheetName val="April 2026 USD"/>
      <sheetName val="Pig Costing May 2026"/>
      <sheetName val="Imported Pigs Costing 0526"/>
      <sheetName val="Imported Pigs Costing 0626"/>
      <sheetName val="Pig Costing June 2.026"/>
      <sheetName val="Pig Costing June 2026"/>
      <sheetName val="June 2026 USD"/>
      <sheetName val="Imported Pigs Costing 0726"/>
      <sheetName val="July 2026 USD"/>
      <sheetName val="Pig Costing July 2026"/>
      <sheetName val="Vertical Pig Costin Aug 2026"/>
      <sheetName val="Imported Pigs Costing 0826"/>
      <sheetName val="Pig Costing August 2026"/>
      <sheetName val="August 2026 USD"/>
      <sheetName val="Fair Value"/>
      <sheetName val="Bio Assets USD New"/>
      <sheetName val="Bio Assets USD"/>
      <sheetName val="FV Split Analysis YTD"/>
      <sheetName val="FV Split Analysis Mth"/>
      <sheetName val="FV Analysis Sumary YTD"/>
      <sheetName val="FV Analysis Sumary Mth"/>
      <sheetName val="FV analysis Summary Prior"/>
      <sheetName val="Sheet1"/>
      <sheetName val="CDM Calculations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6">
          <cell r="BI6" t="str">
            <v>Total Cost-All Farms</v>
          </cell>
          <cell r="BP6" t="str">
            <v>Current month Amortisation</v>
          </cell>
          <cell r="BQ6" t="str">
            <v>Residual Value</v>
          </cell>
          <cell r="BR6" t="str">
            <v xml:space="preserve">Acc Amortisation </v>
          </cell>
          <cell r="BS6" t="str">
            <v>NBV</v>
          </cell>
        </row>
        <row r="57">
          <cell r="T57">
            <v>3</v>
          </cell>
          <cell r="BI57">
            <v>11556.058428822109</v>
          </cell>
          <cell r="BP57">
            <v>272.19380586723355</v>
          </cell>
          <cell r="BQ57">
            <v>940.5</v>
          </cell>
          <cell r="BR57">
            <v>1497.0659322697845</v>
          </cell>
          <cell r="BS57">
            <v>10058.992496552324</v>
          </cell>
        </row>
        <row r="58">
          <cell r="T58">
            <v>4</v>
          </cell>
          <cell r="BI58">
            <v>11756.444913763245</v>
          </cell>
          <cell r="BP58">
            <v>269.29345932726272</v>
          </cell>
          <cell r="BQ58">
            <v>1254</v>
          </cell>
          <cell r="BR58">
            <v>1548.4373911317607</v>
          </cell>
          <cell r="BS58">
            <v>10208.007522631484</v>
          </cell>
        </row>
        <row r="59">
          <cell r="T59">
            <v>4</v>
          </cell>
          <cell r="BI59">
            <v>11825.11450852704</v>
          </cell>
          <cell r="BP59">
            <v>271.05421816735998</v>
          </cell>
          <cell r="BQ59">
            <v>1254</v>
          </cell>
          <cell r="BR59">
            <v>1626.3253090041599</v>
          </cell>
          <cell r="BS59">
            <v>10198.78919952288</v>
          </cell>
        </row>
        <row r="60">
          <cell r="T60">
            <v>4</v>
          </cell>
          <cell r="BI60">
            <v>11927.711622493773</v>
          </cell>
          <cell r="BP60">
            <v>273.6849133972762</v>
          </cell>
          <cell r="BQ60">
            <v>1254</v>
          </cell>
          <cell r="BR60">
            <v>1710.5307087329763</v>
          </cell>
          <cell r="BS60">
            <v>10217.180913760796</v>
          </cell>
        </row>
        <row r="61">
          <cell r="T61">
            <v>4</v>
          </cell>
          <cell r="BI61">
            <v>11969.423257447215</v>
          </cell>
          <cell r="BP61">
            <v>274.75444249864654</v>
          </cell>
          <cell r="BQ61">
            <v>1254</v>
          </cell>
          <cell r="BR61">
            <v>1785.9038762412024</v>
          </cell>
          <cell r="BS61">
            <v>10183.519381206013</v>
          </cell>
        </row>
        <row r="62">
          <cell r="T62">
            <v>4</v>
          </cell>
          <cell r="BI62">
            <v>12029.638656346606</v>
          </cell>
          <cell r="BP62">
            <v>276.29842708581043</v>
          </cell>
          <cell r="BQ62">
            <v>1254</v>
          </cell>
          <cell r="BR62">
            <v>1865.0143828292205</v>
          </cell>
          <cell r="BS62">
            <v>10164.624273517386</v>
          </cell>
        </row>
        <row r="63">
          <cell r="T63">
            <v>3</v>
          </cell>
          <cell r="BI63">
            <v>9023.3065631508653</v>
          </cell>
          <cell r="BP63">
            <v>207.25145033720167</v>
          </cell>
          <cell r="BQ63">
            <v>940.5</v>
          </cell>
          <cell r="BR63">
            <v>1450.7601523604117</v>
          </cell>
          <cell r="BS63">
            <v>7572.5464107904536</v>
          </cell>
        </row>
        <row r="64">
          <cell r="T64">
            <v>3</v>
          </cell>
          <cell r="BI64">
            <v>9050.102148691336</v>
          </cell>
          <cell r="BP64">
            <v>207.93851663311119</v>
          </cell>
          <cell r="BQ64">
            <v>940.5</v>
          </cell>
          <cell r="BR64">
            <v>1507.5542455900561</v>
          </cell>
          <cell r="BS64">
            <v>7542.5479031012801</v>
          </cell>
        </row>
        <row r="65">
          <cell r="T65">
            <v>4</v>
          </cell>
          <cell r="BI65">
            <v>12102.374706325387</v>
          </cell>
          <cell r="BP65">
            <v>278.16345400834325</v>
          </cell>
          <cell r="BQ65">
            <v>1254</v>
          </cell>
          <cell r="BR65">
            <v>2086.2259050625744</v>
          </cell>
          <cell r="BS65">
            <v>10016.148801262812</v>
          </cell>
        </row>
        <row r="66">
          <cell r="T66">
            <v>4</v>
          </cell>
          <cell r="BI66">
            <v>12134.876273742166</v>
          </cell>
          <cell r="BP66">
            <v>278.99682753185039</v>
          </cell>
          <cell r="BQ66">
            <v>1254</v>
          </cell>
          <cell r="BR66">
            <v>2162.2254133718407</v>
          </cell>
          <cell r="BS66">
            <v>9972.650860370326</v>
          </cell>
        </row>
        <row r="67">
          <cell r="T67">
            <v>3</v>
          </cell>
          <cell r="BI67">
            <v>9132.1350740769176</v>
          </cell>
          <cell r="BP67">
            <v>210.04192497633122</v>
          </cell>
          <cell r="BQ67">
            <v>940.5</v>
          </cell>
          <cell r="BR67">
            <v>1680.3353998106497</v>
          </cell>
          <cell r="BS67">
            <v>7451.7996742662681</v>
          </cell>
        </row>
        <row r="68">
          <cell r="T68">
            <v>3</v>
          </cell>
          <cell r="BI68">
            <v>9169.2930175631518</v>
          </cell>
          <cell r="BP68">
            <v>210.99469275802954</v>
          </cell>
          <cell r="BQ68">
            <v>940.5</v>
          </cell>
          <cell r="BR68">
            <v>1740.7062152537437</v>
          </cell>
          <cell r="BS68">
            <v>7428.5868023094081</v>
          </cell>
        </row>
        <row r="69">
          <cell r="T69">
            <v>3</v>
          </cell>
          <cell r="BI69">
            <v>9208.4149552638592</v>
          </cell>
          <cell r="BP69">
            <v>211.99781936573999</v>
          </cell>
          <cell r="BQ69">
            <v>940.5</v>
          </cell>
          <cell r="BR69">
            <v>1801.9814646087898</v>
          </cell>
          <cell r="BS69">
            <v>7406.4334906550694</v>
          </cell>
        </row>
        <row r="70">
          <cell r="T70">
            <v>4</v>
          </cell>
          <cell r="BI70">
            <v>12354.369842525683</v>
          </cell>
          <cell r="BP70">
            <v>284.62486775706878</v>
          </cell>
          <cell r="BQ70">
            <v>1254</v>
          </cell>
          <cell r="BR70">
            <v>2490.4675928743518</v>
          </cell>
          <cell r="BS70">
            <v>9863.9022496513317</v>
          </cell>
        </row>
        <row r="71">
          <cell r="T71">
            <v>4</v>
          </cell>
          <cell r="BI71">
            <v>12420.823495481149</v>
          </cell>
          <cell r="BP71">
            <v>286.32880757643971</v>
          </cell>
          <cell r="BQ71">
            <v>1254</v>
          </cell>
          <cell r="BR71">
            <v>2576.9592681879576</v>
          </cell>
          <cell r="BS71">
            <v>9843.8642272931902</v>
          </cell>
        </row>
        <row r="72">
          <cell r="T72">
            <v>3</v>
          </cell>
          <cell r="BI72">
            <v>9369.322601787133</v>
          </cell>
          <cell r="BP72">
            <v>216.12365645608034</v>
          </cell>
          <cell r="BQ72">
            <v>940.5</v>
          </cell>
          <cell r="BR72">
            <v>1999.1438222187433</v>
          </cell>
          <cell r="BS72">
            <v>7370.1787795683895</v>
          </cell>
        </row>
        <row r="73">
          <cell r="T73">
            <v>3</v>
          </cell>
          <cell r="BI73">
            <v>9421.1268357182089</v>
          </cell>
          <cell r="BP73">
            <v>217.45197014662074</v>
          </cell>
          <cell r="BQ73">
            <v>940.5</v>
          </cell>
          <cell r="BR73">
            <v>2065.7937163928968</v>
          </cell>
          <cell r="BS73">
            <v>7355.3331193253125</v>
          </cell>
        </row>
        <row r="74">
          <cell r="T74">
            <v>3</v>
          </cell>
          <cell r="BI74">
            <v>9486.4576612581295</v>
          </cell>
          <cell r="BP74">
            <v>219.12711951943922</v>
          </cell>
          <cell r="BQ74">
            <v>940.5</v>
          </cell>
          <cell r="BR74">
            <v>2136.4894153145324</v>
          </cell>
          <cell r="BS74">
            <v>7349.9682459435971</v>
          </cell>
        </row>
        <row r="75">
          <cell r="T75">
            <v>3</v>
          </cell>
          <cell r="BI75">
            <v>9579.5512226513638</v>
          </cell>
          <cell r="BP75">
            <v>221.51413391413755</v>
          </cell>
          <cell r="BQ75">
            <v>940.5</v>
          </cell>
          <cell r="BR75">
            <v>2215.1413391413753</v>
          </cell>
          <cell r="BS75">
            <v>7364.4098835099885</v>
          </cell>
        </row>
        <row r="76">
          <cell r="T76">
            <v>3</v>
          </cell>
          <cell r="BI76">
            <v>9673.633313433309</v>
          </cell>
          <cell r="BP76">
            <v>223.92649521623869</v>
          </cell>
          <cell r="BQ76">
            <v>940.5</v>
          </cell>
          <cell r="BR76">
            <v>2295.2465759664465</v>
          </cell>
          <cell r="BS76">
            <v>7378.3867374668625</v>
          </cell>
        </row>
        <row r="77">
          <cell r="T77">
            <v>2</v>
          </cell>
          <cell r="BI77">
            <v>6512.2095718192531</v>
          </cell>
          <cell r="BP77">
            <v>150.902809533827</v>
          </cell>
          <cell r="BQ77">
            <v>627</v>
          </cell>
          <cell r="BR77">
            <v>1584.4795001051834</v>
          </cell>
          <cell r="BS77">
            <v>4927.7300717140697</v>
          </cell>
        </row>
        <row r="100">
          <cell r="T100">
            <v>2</v>
          </cell>
          <cell r="BH100">
            <v>5501.1585918529036</v>
          </cell>
          <cell r="BP100">
            <v>124.97842543212573</v>
          </cell>
          <cell r="BQ100">
            <v>627</v>
          </cell>
          <cell r="BR100">
            <v>2030.8994132720431</v>
          </cell>
          <cell r="BS100">
            <v>3470.2591785808604</v>
          </cell>
        </row>
        <row r="101">
          <cell r="T101">
            <v>2</v>
          </cell>
          <cell r="BH101">
            <v>5519.0925921632688</v>
          </cell>
          <cell r="BP101">
            <v>125.43827159392997</v>
          </cell>
          <cell r="BQ101">
            <v>627</v>
          </cell>
          <cell r="BR101">
            <v>2069.7314812998443</v>
          </cell>
          <cell r="BS101">
            <v>3449.3611108634245</v>
          </cell>
        </row>
        <row r="102">
          <cell r="T102">
            <v>2</v>
          </cell>
          <cell r="BH102">
            <v>5534.9449481507036</v>
          </cell>
          <cell r="BP102">
            <v>125.84474226027444</v>
          </cell>
          <cell r="BQ102">
            <v>627</v>
          </cell>
          <cell r="BR102">
            <v>2107.8994328595968</v>
          </cell>
          <cell r="BS102">
            <v>3427.0455152911068</v>
          </cell>
        </row>
        <row r="103">
          <cell r="T103">
            <v>2</v>
          </cell>
          <cell r="BH103">
            <v>5553.6679410097795</v>
          </cell>
          <cell r="BP103">
            <v>126.32481900025076</v>
          </cell>
          <cell r="BQ103">
            <v>627</v>
          </cell>
          <cell r="BR103">
            <v>2147.521923004263</v>
          </cell>
          <cell r="BS103">
            <v>3406.1460180055165</v>
          </cell>
        </row>
        <row r="104">
          <cell r="T104">
            <v>2</v>
          </cell>
          <cell r="BH104">
            <v>5571.1565443643285</v>
          </cell>
          <cell r="BP104">
            <v>126.77324472729047</v>
          </cell>
          <cell r="BQ104">
            <v>627</v>
          </cell>
          <cell r="BR104">
            <v>2186.8384715457605</v>
          </cell>
          <cell r="BS104">
            <v>3384.318072818568</v>
          </cell>
        </row>
        <row r="105">
          <cell r="T105">
            <v>2</v>
          </cell>
          <cell r="BH105">
            <v>5584.6192072072809</v>
          </cell>
          <cell r="BP105">
            <v>127.11844121044309</v>
          </cell>
          <cell r="BQ105">
            <v>627</v>
          </cell>
          <cell r="BR105">
            <v>2224.5727211827543</v>
          </cell>
          <cell r="BS105">
            <v>3360.0464860245265</v>
          </cell>
        </row>
        <row r="106">
          <cell r="T106">
            <v>2</v>
          </cell>
          <cell r="BH106">
            <v>3320.9447558319544</v>
          </cell>
          <cell r="BP106">
            <v>69.075506559793695</v>
          </cell>
          <cell r="BQ106">
            <v>627</v>
          </cell>
          <cell r="BR106">
            <v>1226.0902414363381</v>
          </cell>
          <cell r="BS106">
            <v>2094.8545143956162</v>
          </cell>
        </row>
        <row r="107">
          <cell r="T107">
            <v>2</v>
          </cell>
          <cell r="BH107">
            <v>3336.2254960021237</v>
          </cell>
          <cell r="BP107">
            <v>69.467320410310862</v>
          </cell>
          <cell r="BQ107">
            <v>627</v>
          </cell>
          <cell r="BR107">
            <v>1250.4117673855956</v>
          </cell>
          <cell r="BS107">
            <v>2085.8137286165284</v>
          </cell>
        </row>
        <row r="108">
          <cell r="T108">
            <v>2</v>
          </cell>
          <cell r="BH108">
            <v>3351.2138654445644</v>
          </cell>
          <cell r="BP108">
            <v>69.851637575501655</v>
          </cell>
          <cell r="BQ108">
            <v>627</v>
          </cell>
          <cell r="BR108">
            <v>1274.7923857529051</v>
          </cell>
          <cell r="BS108">
            <v>2076.4214796916594</v>
          </cell>
        </row>
        <row r="109">
          <cell r="T109">
            <v>2</v>
          </cell>
          <cell r="BH109">
            <v>8756.1423757920584</v>
          </cell>
          <cell r="BP109">
            <v>208.43954809723226</v>
          </cell>
          <cell r="BQ109">
            <v>627</v>
          </cell>
          <cell r="BR109">
            <v>3856.1316397987966</v>
          </cell>
          <cell r="BS109">
            <v>4900.0107359932617</v>
          </cell>
        </row>
        <row r="110">
          <cell r="T110">
            <v>3</v>
          </cell>
          <cell r="BH110">
            <v>8491.0114848712965</v>
          </cell>
          <cell r="BP110">
            <v>193.60285858644349</v>
          </cell>
          <cell r="BQ110">
            <v>940.5</v>
          </cell>
          <cell r="BR110">
            <v>3630.0535984958155</v>
          </cell>
          <cell r="BS110">
            <v>4860.9578863754814</v>
          </cell>
        </row>
        <row r="111">
          <cell r="T111">
            <v>2</v>
          </cell>
          <cell r="BH111">
            <v>5683.3178603600973</v>
          </cell>
          <cell r="BP111">
            <v>129.64917590666917</v>
          </cell>
          <cell r="BQ111">
            <v>627</v>
          </cell>
          <cell r="BR111">
            <v>2463.3343422267144</v>
          </cell>
          <cell r="BS111">
            <v>3219.9835181333829</v>
          </cell>
        </row>
        <row r="112">
          <cell r="T112">
            <v>2</v>
          </cell>
          <cell r="BH112">
            <v>5707.0212840012273</v>
          </cell>
          <cell r="BP112">
            <v>130.25695600003147</v>
          </cell>
          <cell r="BQ112">
            <v>627</v>
          </cell>
          <cell r="BR112">
            <v>2507.4464030006056</v>
          </cell>
          <cell r="BS112">
            <v>3199.5748810006216</v>
          </cell>
        </row>
        <row r="113">
          <cell r="T113">
            <v>2</v>
          </cell>
          <cell r="BH113">
            <v>5741.2836219033334</v>
          </cell>
          <cell r="BP113">
            <v>131.13547748470086</v>
          </cell>
          <cell r="BQ113">
            <v>627</v>
          </cell>
          <cell r="BR113">
            <v>2557.1418109516667</v>
          </cell>
          <cell r="BS113">
            <v>3184.1418109516667</v>
          </cell>
        </row>
        <row r="114">
          <cell r="T114">
            <v>2</v>
          </cell>
          <cell r="BH114">
            <v>5770.7513435274986</v>
          </cell>
          <cell r="BP114">
            <v>131.89106009044869</v>
          </cell>
          <cell r="BQ114">
            <v>627</v>
          </cell>
          <cell r="BR114">
            <v>2604.8484367863616</v>
          </cell>
          <cell r="BS114">
            <v>3165.902906741137</v>
          </cell>
        </row>
        <row r="115">
          <cell r="T115">
            <v>2</v>
          </cell>
          <cell r="BH115">
            <v>5802.6229007410902</v>
          </cell>
          <cell r="BP115">
            <v>132.70827950618181</v>
          </cell>
          <cell r="BQ115">
            <v>627</v>
          </cell>
          <cell r="BR115">
            <v>2654.1655901236363</v>
          </cell>
          <cell r="BS115">
            <v>3148.4573106174539</v>
          </cell>
        </row>
        <row r="116">
          <cell r="T116">
            <v>2</v>
          </cell>
          <cell r="BH116">
            <v>2233.266823519114</v>
          </cell>
          <cell r="BP116">
            <v>41.186328808182409</v>
          </cell>
          <cell r="BQ116">
            <v>627</v>
          </cell>
          <cell r="BR116">
            <v>834.0231583656938</v>
          </cell>
          <cell r="BS116">
            <v>1399.2436651534204</v>
          </cell>
        </row>
        <row r="117">
          <cell r="T117">
            <v>2</v>
          </cell>
          <cell r="BH117">
            <v>5872.0915416095404</v>
          </cell>
          <cell r="BP117">
            <v>134.48952670793693</v>
          </cell>
          <cell r="BQ117">
            <v>627</v>
          </cell>
          <cell r="BR117">
            <v>2757.0352975127071</v>
          </cell>
          <cell r="BS117">
            <v>3115.0562440968333</v>
          </cell>
        </row>
        <row r="118">
          <cell r="T118">
            <v>2</v>
          </cell>
          <cell r="BH118">
            <v>5926.5896207302339</v>
          </cell>
          <cell r="BP118">
            <v>135.88691335205729</v>
          </cell>
          <cell r="BQ118">
            <v>627</v>
          </cell>
          <cell r="BR118">
            <v>2819.6534520551886</v>
          </cell>
          <cell r="BS118">
            <v>3106.9361686750453</v>
          </cell>
        </row>
        <row r="119">
          <cell r="T119">
            <v>2</v>
          </cell>
          <cell r="BH119">
            <v>5981.5150780303729</v>
          </cell>
          <cell r="BP119">
            <v>137.29525841103521</v>
          </cell>
          <cell r="BQ119">
            <v>627</v>
          </cell>
          <cell r="BR119">
            <v>2883.2004266317394</v>
          </cell>
          <cell r="BS119">
            <v>3098.3146513986335</v>
          </cell>
        </row>
        <row r="120">
          <cell r="T120">
            <v>3</v>
          </cell>
          <cell r="BH120">
            <v>9053.5558140554658</v>
          </cell>
          <cell r="BP120">
            <v>208.02707215526834</v>
          </cell>
          <cell r="BQ120">
            <v>940.5</v>
          </cell>
          <cell r="BR120">
            <v>4420.5752832994522</v>
          </cell>
          <cell r="BS120">
            <v>4632.9805307560136</v>
          </cell>
        </row>
        <row r="142">
          <cell r="T142">
            <v>2</v>
          </cell>
          <cell r="BI142">
            <v>5214.5505881407043</v>
          </cell>
          <cell r="BP142">
            <v>117.62950226001806</v>
          </cell>
          <cell r="BQ142">
            <v>627</v>
          </cell>
          <cell r="BR142">
            <v>3146.5891854554829</v>
          </cell>
          <cell r="BS142">
            <v>2067.9614026852214</v>
          </cell>
        </row>
        <row r="143">
          <cell r="T143">
            <v>2</v>
          </cell>
          <cell r="BI143">
            <v>5243.1866517175631</v>
          </cell>
          <cell r="BP143">
            <v>118.36376030045034</v>
          </cell>
          <cell r="BQ143">
            <v>627</v>
          </cell>
          <cell r="BR143">
            <v>3195.8215281121593</v>
          </cell>
          <cell r="BS143">
            <v>2047.3651236054038</v>
          </cell>
        </row>
        <row r="144">
          <cell r="T144">
            <v>2</v>
          </cell>
          <cell r="BI144">
            <v>5274.3146832791854</v>
          </cell>
          <cell r="BP144">
            <v>119.16191495587655</v>
          </cell>
          <cell r="BQ144">
            <v>627</v>
          </cell>
          <cell r="BR144">
            <v>3247.1621825476359</v>
          </cell>
          <cell r="BS144">
            <v>2027.1525007315495</v>
          </cell>
        </row>
        <row r="145">
          <cell r="T145">
            <v>2</v>
          </cell>
          <cell r="BI145">
            <v>5288.8957570804669</v>
          </cell>
          <cell r="BP145">
            <v>119.53578864308889</v>
          </cell>
          <cell r="BQ145">
            <v>627</v>
          </cell>
          <cell r="BR145">
            <v>3287.2341876849446</v>
          </cell>
          <cell r="BS145">
            <v>2001.6615693955223</v>
          </cell>
        </row>
        <row r="146">
          <cell r="T146">
            <v>2</v>
          </cell>
          <cell r="BI146">
            <v>5301.2807863524886</v>
          </cell>
          <cell r="BP146">
            <v>119.85335349621765</v>
          </cell>
          <cell r="BQ146">
            <v>627</v>
          </cell>
          <cell r="BR146">
            <v>3325.9305595200399</v>
          </cell>
          <cell r="BS146">
            <v>1975.3502268324487</v>
          </cell>
        </row>
        <row r="147">
          <cell r="T147">
            <v>2</v>
          </cell>
          <cell r="BI147">
            <v>5310.256749076043</v>
          </cell>
          <cell r="BP147">
            <v>120.0835063865652</v>
          </cell>
          <cell r="BQ147">
            <v>627</v>
          </cell>
          <cell r="BR147">
            <v>3362.3381788238257</v>
          </cell>
          <cell r="BS147">
            <v>1947.9185702522173</v>
          </cell>
        </row>
        <row r="148">
          <cell r="T148">
            <v>2</v>
          </cell>
          <cell r="BI148">
            <v>4955.8075133809398</v>
          </cell>
          <cell r="BP148">
            <v>110.99506444566512</v>
          </cell>
          <cell r="BQ148">
            <v>627</v>
          </cell>
          <cell r="BR148">
            <v>3135.6105705900395</v>
          </cell>
          <cell r="BS148">
            <v>1820.1969427909003</v>
          </cell>
        </row>
        <row r="149">
          <cell r="T149">
            <v>2</v>
          </cell>
          <cell r="BI149">
            <v>5290.3032967831377</v>
          </cell>
          <cell r="BP149">
            <v>119.57187940469584</v>
          </cell>
          <cell r="BQ149">
            <v>627</v>
          </cell>
          <cell r="BR149">
            <v>3407.7985630338312</v>
          </cell>
          <cell r="BS149">
            <v>1882.5047337493065</v>
          </cell>
        </row>
        <row r="150">
          <cell r="T150">
            <v>1</v>
          </cell>
          <cell r="BI150">
            <v>1806.5090634931403</v>
          </cell>
          <cell r="BP150">
            <v>38.282283679311291</v>
          </cell>
          <cell r="BQ150">
            <v>313.5</v>
          </cell>
          <cell r="BR150">
            <v>1100.6156557801996</v>
          </cell>
          <cell r="BS150">
            <v>705.89340771294064</v>
          </cell>
        </row>
        <row r="151">
          <cell r="T151">
            <v>1</v>
          </cell>
          <cell r="BI151">
            <v>4191.4931873855385</v>
          </cell>
          <cell r="BP151">
            <v>99.435722753475346</v>
          </cell>
          <cell r="BQ151">
            <v>313.5</v>
          </cell>
          <cell r="BR151">
            <v>2883.6359598507852</v>
          </cell>
          <cell r="BS151">
            <v>1307.8572275347533</v>
          </cell>
        </row>
        <row r="152">
          <cell r="T152">
            <v>2</v>
          </cell>
          <cell r="BI152">
            <v>4521.8850502208315</v>
          </cell>
          <cell r="BP152">
            <v>99.86884744155978</v>
          </cell>
          <cell r="BQ152">
            <v>627</v>
          </cell>
          <cell r="BR152">
            <v>2921.1637876656237</v>
          </cell>
          <cell r="BS152">
            <v>1600.7212625552079</v>
          </cell>
        </row>
        <row r="153">
          <cell r="T153">
            <v>2</v>
          </cell>
          <cell r="BI153">
            <v>3406.3013792844276</v>
          </cell>
          <cell r="BP153">
            <v>71.264137930369941</v>
          </cell>
          <cell r="BQ153">
            <v>627</v>
          </cell>
          <cell r="BR153">
            <v>2102.2920689459133</v>
          </cell>
          <cell r="BS153">
            <v>1304.0093103385143</v>
          </cell>
        </row>
        <row r="154">
          <cell r="T154">
            <v>2</v>
          </cell>
          <cell r="BI154">
            <v>5394.8225648146308</v>
          </cell>
          <cell r="BP154">
            <v>122.25186063627258</v>
          </cell>
          <cell r="BQ154">
            <v>627</v>
          </cell>
          <cell r="BR154">
            <v>3636.9928539291095</v>
          </cell>
          <cell r="BS154">
            <v>1757.8297108855213</v>
          </cell>
        </row>
        <row r="155">
          <cell r="T155">
            <v>2</v>
          </cell>
          <cell r="BI155">
            <v>5439.1305700530247</v>
          </cell>
          <cell r="BP155">
            <v>123.38796333469294</v>
          </cell>
          <cell r="BQ155">
            <v>627</v>
          </cell>
          <cell r="BR155">
            <v>3701.638900040788</v>
          </cell>
          <cell r="BS155">
            <v>1737.4916700122367</v>
          </cell>
        </row>
        <row r="156">
          <cell r="T156">
            <v>2</v>
          </cell>
          <cell r="BI156">
            <v>5479.5424450967112</v>
          </cell>
          <cell r="BP156">
            <v>124.42416525889003</v>
          </cell>
          <cell r="BQ156">
            <v>627</v>
          </cell>
          <cell r="BR156">
            <v>3763.8309990814232</v>
          </cell>
          <cell r="BS156">
            <v>1715.7114460152879</v>
          </cell>
        </row>
        <row r="157">
          <cell r="T157">
            <v>2</v>
          </cell>
          <cell r="BI157">
            <v>3524.8461399867392</v>
          </cell>
          <cell r="BP157">
            <v>74.303747179147166</v>
          </cell>
          <cell r="BQ157">
            <v>627</v>
          </cell>
          <cell r="BR157">
            <v>2266.2642889639887</v>
          </cell>
          <cell r="BS157">
            <v>1258.5818510227505</v>
          </cell>
        </row>
        <row r="158">
          <cell r="T158">
            <v>2</v>
          </cell>
          <cell r="BI158">
            <v>7043.1582422410038</v>
          </cell>
          <cell r="BP158">
            <v>164.51687800617958</v>
          </cell>
          <cell r="BQ158">
            <v>627</v>
          </cell>
          <cell r="BR158">
            <v>5058.8939986900223</v>
          </cell>
          <cell r="BS158">
            <v>1984.2642435509815</v>
          </cell>
        </row>
        <row r="159">
          <cell r="T159">
            <v>1</v>
          </cell>
          <cell r="BI159">
            <v>2785.7694410284489</v>
          </cell>
          <cell r="BP159">
            <v>63.391524128934584</v>
          </cell>
          <cell r="BQ159">
            <v>313.5</v>
          </cell>
          <cell r="BR159">
            <v>1965.1372479969721</v>
          </cell>
          <cell r="BS159">
            <v>820.63219303147685</v>
          </cell>
        </row>
        <row r="160">
          <cell r="T160">
            <v>2</v>
          </cell>
          <cell r="BI160">
            <v>5639.1695023867014</v>
          </cell>
          <cell r="BP160">
            <v>128.51716672786415</v>
          </cell>
          <cell r="BQ160">
            <v>627</v>
          </cell>
          <cell r="BR160">
            <v>4016.1614602457548</v>
          </cell>
          <cell r="BS160">
            <v>1623.0080421409466</v>
          </cell>
        </row>
        <row r="161">
          <cell r="T161">
            <v>1</v>
          </cell>
          <cell r="BI161">
            <v>2853.6480608956435</v>
          </cell>
          <cell r="BP161">
            <v>65.132001561426762</v>
          </cell>
          <cell r="BQ161">
            <v>313.5</v>
          </cell>
          <cell r="BR161">
            <v>2051.6580491849431</v>
          </cell>
          <cell r="BS161">
            <v>801.9900117107004</v>
          </cell>
        </row>
        <row r="162">
          <cell r="T162">
            <v>2</v>
          </cell>
          <cell r="BI162">
            <v>5760.701987860115</v>
          </cell>
          <cell r="BP162">
            <v>131.6333843041055</v>
          </cell>
          <cell r="BQ162">
            <v>627</v>
          </cell>
          <cell r="BR162">
            <v>4179.3599516553495</v>
          </cell>
          <cell r="BS162">
            <v>1581.3420362047655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heet31"/>
      <sheetName val="Mvnmt Recon"/>
      <sheetName val="Summary Total Pigs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Porta Batch Mvnt"/>
      <sheetName val="Multiplier Batch Mvnt Split"/>
      <sheetName val="Multiplier Batch Mvnt"/>
      <sheetName val="Cattle Mvnt"/>
      <sheetName val="Grasmere Imported Sows"/>
      <sheetName val="Grasmere Imported Boars"/>
      <sheetName val="Lionhead TN 60"/>
      <sheetName val="Lionhead Imported Boars"/>
      <sheetName val="Lionshead TN 70"/>
      <sheetName val="Villa Imported Boars"/>
      <sheetName val="Richlands Imported Boars"/>
      <sheetName val="Richlands A LINE"/>
      <sheetName val="Richlands TN60"/>
      <sheetName val="Summary Imported Valuation"/>
      <sheetName val="Porta TN70"/>
      <sheetName val="Porta Imported Boars"/>
      <sheetName val="Quarantine Sows"/>
      <sheetName val="Quarantine Boars"/>
      <sheetName val="Multiplier Imported Sows"/>
      <sheetName val="Multiplier Imported Boars "/>
      <sheetName val="Grasmere Imported Valuation"/>
      <sheetName val="Richlands Imported Valuation"/>
      <sheetName val="Summary Splits"/>
      <sheetName val="Lionhead Imported Valuation"/>
      <sheetName val="Porta Imported Valuation"/>
      <sheetName val="Multiplier Imported Valuation"/>
      <sheetName val="Mult Imported Valuation Summary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Porta Valuation"/>
      <sheetName val="Multiplier Valuation"/>
      <sheetName val="Grasmere Valuation  (2)"/>
      <sheetName val="Cattle Valuation"/>
      <sheetName val="Grasmere Pig Cost"/>
      <sheetName val="Grasmere Pig Cost (2)"/>
      <sheetName val="Learig Pig Cost"/>
      <sheetName val="Learig Pig Cost (2)"/>
      <sheetName val="Lionhead Pig Cost"/>
      <sheetName val="Lionhead Pig Cost (2)"/>
      <sheetName val="Lionhead Ext. Pig Cost"/>
      <sheetName val="Lionhead Ext. Pig Cost (2)"/>
      <sheetName val="Villa Pig Cost"/>
      <sheetName val="Villa Pig Cost (2)"/>
      <sheetName val="Richlands Pig Cost"/>
      <sheetName val="Sheet30"/>
      <sheetName val="Richlands Pig Cost (2)"/>
      <sheetName val="Porta Pig Cost"/>
      <sheetName val="Multiplier Pig Cost "/>
      <sheetName val="CCC (2)"/>
      <sheetName val="Triple C Pigs"/>
      <sheetName val="Total Pigs"/>
      <sheetName val="Sheet28"/>
      <sheetName val="Non Current"/>
      <sheetName val="Feed Cost &amp; Allocation"/>
      <sheetName val="FCA RData"/>
      <sheetName val="Feed Consumed"/>
      <sheetName val="Sheet27"/>
      <sheetName val="Micro Packs Undercharge"/>
      <sheetName val="Sheet29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4">
          <cell r="B44">
            <v>200</v>
          </cell>
          <cell r="E44">
            <v>61499.999999999993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onderai Gonamombe" id="{B9929E99-0E9A-47A8-9327-DBCF8AA1A06A}" userId="S::tgonamombe@grasmere.co.zw::16100c9d-53d1-4484-b6e6-5c148e51a46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8" dT="2026-09-04T12:48:55.41" personId="{B9929E99-0E9A-47A8-9327-DBCF8AA1A06A}" id="{3015E124-0AEC-4DDD-9CE0-5804872A38EC}">
    <text>Fair value ($2.05x150kgs)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B56A-874B-4F90-A2FA-816C0F50091A}">
  <dimension ref="A1:AT42"/>
  <sheetViews>
    <sheetView tabSelected="1" topLeftCell="AH1" zoomScale="120" zoomScaleNormal="120" workbookViewId="0">
      <pane ySplit="4" topLeftCell="A5" activePane="bottomLeft" state="frozen"/>
      <selection pane="bottomLeft" activeCell="AT9" sqref="AT9"/>
    </sheetView>
  </sheetViews>
  <sheetFormatPr defaultColWidth="26.5546875" defaultRowHeight="14.4" x14ac:dyDescent="0.3"/>
  <cols>
    <col min="1" max="1" width="10.88671875" bestFit="1" customWidth="1"/>
    <col min="2" max="2" width="25.88671875" bestFit="1" customWidth="1"/>
    <col min="3" max="3" width="19.6640625" bestFit="1" customWidth="1"/>
    <col min="4" max="4" width="26.44140625" bestFit="1" customWidth="1"/>
    <col min="5" max="5" width="25.6640625" bestFit="1" customWidth="1"/>
    <col min="6" max="6" width="25.5546875" bestFit="1" customWidth="1"/>
    <col min="7" max="7" width="24.21875" bestFit="1" customWidth="1"/>
    <col min="8" max="8" width="25.44140625" bestFit="1" customWidth="1"/>
    <col min="9" max="9" width="26.109375" bestFit="1" customWidth="1"/>
    <col min="10" max="10" width="25.44140625" bestFit="1" customWidth="1"/>
    <col min="11" max="11" width="23.5546875" bestFit="1" customWidth="1"/>
    <col min="12" max="12" width="25.21875" bestFit="1" customWidth="1"/>
    <col min="13" max="13" width="22.5546875" bestFit="1" customWidth="1"/>
    <col min="14" max="14" width="23" bestFit="1" customWidth="1"/>
    <col min="15" max="15" width="15.44140625" bestFit="1" customWidth="1"/>
    <col min="16" max="16" width="25.21875" bestFit="1" customWidth="1"/>
    <col min="17" max="17" width="21.5546875" bestFit="1" customWidth="1"/>
    <col min="18" max="18" width="24.5546875" customWidth="1"/>
    <col min="19" max="19" width="26.5546875" customWidth="1"/>
    <col min="20" max="20" width="23.6640625" customWidth="1"/>
    <col min="21" max="21" width="26.44140625" customWidth="1"/>
    <col min="22" max="22" width="25.5546875" customWidth="1"/>
    <col min="23" max="23" width="17.5546875" customWidth="1"/>
    <col min="24" max="24" width="25.88671875" customWidth="1"/>
    <col min="25" max="25" width="23.5546875" customWidth="1"/>
    <col min="26" max="26" width="21.5546875" customWidth="1"/>
    <col min="27" max="27" width="22" customWidth="1"/>
    <col min="28" max="28" width="23.21875" customWidth="1"/>
    <col min="29" max="29" width="23.5546875" customWidth="1"/>
    <col min="30" max="30" width="22.44140625" customWidth="1"/>
    <col min="31" max="31" width="23.88671875" customWidth="1"/>
    <col min="32" max="32" width="25.44140625" customWidth="1"/>
    <col min="33" max="33" width="22.109375" customWidth="1"/>
    <col min="34" max="34" width="21.88671875" customWidth="1"/>
    <col min="35" max="35" width="21.109375" customWidth="1"/>
    <col min="36" max="36" width="20.6640625" customWidth="1"/>
    <col min="37" max="40" width="26.5546875" customWidth="1"/>
  </cols>
  <sheetData>
    <row r="1" spans="1:46" x14ac:dyDescent="0.3">
      <c r="A1" s="21" t="s">
        <v>0</v>
      </c>
      <c r="B1" s="13" t="s">
        <v>1</v>
      </c>
      <c r="C1" s="14" t="s">
        <v>2</v>
      </c>
      <c r="D1" s="15" t="s">
        <v>3</v>
      </c>
      <c r="E1" s="14" t="s">
        <v>4</v>
      </c>
      <c r="F1" s="16" t="s">
        <v>5</v>
      </c>
      <c r="G1" s="13" t="s">
        <v>6</v>
      </c>
      <c r="H1" s="16" t="s">
        <v>7</v>
      </c>
      <c r="I1" s="14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6" t="s">
        <v>13</v>
      </c>
      <c r="O1" s="14" t="s">
        <v>14</v>
      </c>
      <c r="P1" s="15" t="s">
        <v>15</v>
      </c>
      <c r="Q1" s="15" t="s">
        <v>16</v>
      </c>
      <c r="R1" s="16" t="s">
        <v>17</v>
      </c>
      <c r="S1" s="14" t="s">
        <v>18</v>
      </c>
      <c r="T1" s="17" t="s">
        <v>19</v>
      </c>
      <c r="U1" s="14" t="s">
        <v>20</v>
      </c>
      <c r="V1" s="15" t="s">
        <v>21</v>
      </c>
      <c r="W1" s="15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7" t="s">
        <v>29</v>
      </c>
      <c r="AE1" s="13" t="s">
        <v>30</v>
      </c>
      <c r="AF1" s="16" t="s">
        <v>31</v>
      </c>
      <c r="AG1" s="13" t="s">
        <v>32</v>
      </c>
      <c r="AH1" s="16" t="s">
        <v>33</v>
      </c>
      <c r="AI1" s="14" t="s">
        <v>34</v>
      </c>
      <c r="AJ1" s="16" t="s">
        <v>35</v>
      </c>
      <c r="AK1" s="23" t="s">
        <v>36</v>
      </c>
      <c r="AL1" s="23" t="s">
        <v>37</v>
      </c>
      <c r="AM1" s="22" t="s">
        <v>38</v>
      </c>
      <c r="AN1" s="22" t="s">
        <v>39</v>
      </c>
    </row>
    <row r="2" spans="1:46" ht="72" x14ac:dyDescent="0.3">
      <c r="A2" s="21" t="s">
        <v>40</v>
      </c>
      <c r="B2" s="2" t="s">
        <v>41</v>
      </c>
      <c r="C2" s="3" t="s">
        <v>42</v>
      </c>
      <c r="D2" s="1" t="s">
        <v>43</v>
      </c>
      <c r="E2" s="3" t="s">
        <v>44</v>
      </c>
      <c r="F2" s="4" t="s">
        <v>45</v>
      </c>
      <c r="G2" s="2" t="s">
        <v>46</v>
      </c>
      <c r="H2" s="4" t="s">
        <v>47</v>
      </c>
      <c r="I2" s="3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4" t="s">
        <v>53</v>
      </c>
      <c r="O2" s="3" t="s">
        <v>54</v>
      </c>
      <c r="P2" s="1" t="s">
        <v>55</v>
      </c>
      <c r="Q2" s="1" t="s">
        <v>56</v>
      </c>
      <c r="R2" s="4" t="s">
        <v>57</v>
      </c>
      <c r="S2" s="3" t="s">
        <v>58</v>
      </c>
      <c r="T2" s="18" t="s">
        <v>59</v>
      </c>
      <c r="U2" s="3" t="s">
        <v>60</v>
      </c>
      <c r="V2" s="1" t="s">
        <v>61</v>
      </c>
      <c r="W2" s="1" t="s">
        <v>62</v>
      </c>
      <c r="X2" s="2" t="s">
        <v>63</v>
      </c>
      <c r="Y2" s="2" t="s">
        <v>64</v>
      </c>
      <c r="Z2" s="2" t="s">
        <v>65</v>
      </c>
      <c r="AA2" s="2" t="s">
        <v>66</v>
      </c>
      <c r="AB2" s="2" t="s">
        <v>67</v>
      </c>
      <c r="AC2" s="2" t="s">
        <v>68</v>
      </c>
      <c r="AD2" s="18" t="s">
        <v>69</v>
      </c>
      <c r="AE2" s="2" t="s">
        <v>70</v>
      </c>
      <c r="AF2" s="4" t="s">
        <v>71</v>
      </c>
      <c r="AG2" s="2" t="s">
        <v>72</v>
      </c>
      <c r="AH2" s="4" t="s">
        <v>73</v>
      </c>
      <c r="AI2" s="3" t="s">
        <v>74</v>
      </c>
      <c r="AJ2" s="4" t="s">
        <v>75</v>
      </c>
      <c r="AK2" s="28" t="s">
        <v>201</v>
      </c>
      <c r="AL2" s="28" t="s">
        <v>200</v>
      </c>
      <c r="AM2" s="28" t="s">
        <v>163</v>
      </c>
      <c r="AN2" s="28" t="s">
        <v>76</v>
      </c>
      <c r="AO2" t="str">
        <f>+'[1]Imported Pigs Costing 0826'!$BI$6</f>
        <v>Total Cost-All Farms</v>
      </c>
      <c r="AP2" t="str">
        <f>+'[1]Imported Pigs Costing 0826'!BP$6</f>
        <v>Current month Amortisation</v>
      </c>
      <c r="AQ2" t="str">
        <f>+'[1]Imported Pigs Costing 0826'!BQ$6</f>
        <v>Residual Value</v>
      </c>
      <c r="AR2" t="str">
        <f>+'[1]Imported Pigs Costing 0826'!BR$6</f>
        <v xml:space="preserve">Acc Amortisation </v>
      </c>
      <c r="AS2" t="str">
        <f>+'[1]Imported Pigs Costing 0826'!BS$6</f>
        <v>NBV</v>
      </c>
    </row>
    <row r="3" spans="1:46" ht="24" x14ac:dyDescent="0.3">
      <c r="A3" s="21" t="s">
        <v>77</v>
      </c>
      <c r="B3" s="2" t="s">
        <v>78</v>
      </c>
      <c r="C3" s="3" t="s">
        <v>79</v>
      </c>
      <c r="D3" s="1" t="s">
        <v>80</v>
      </c>
      <c r="E3" s="3" t="s">
        <v>81</v>
      </c>
      <c r="F3" s="4" t="s">
        <v>82</v>
      </c>
      <c r="G3" s="2" t="s">
        <v>83</v>
      </c>
      <c r="H3" s="4" t="s">
        <v>84</v>
      </c>
      <c r="I3" s="3" t="s">
        <v>85</v>
      </c>
      <c r="J3" s="1" t="s">
        <v>86</v>
      </c>
      <c r="K3" s="1" t="s">
        <v>87</v>
      </c>
      <c r="L3" s="1" t="s">
        <v>88</v>
      </c>
      <c r="M3" s="1" t="s">
        <v>89</v>
      </c>
      <c r="N3" s="4" t="s">
        <v>90</v>
      </c>
      <c r="O3" s="3" t="s">
        <v>91</v>
      </c>
      <c r="P3" s="1" t="s">
        <v>92</v>
      </c>
      <c r="Q3" s="1" t="s">
        <v>93</v>
      </c>
      <c r="R3" s="4" t="s">
        <v>94</v>
      </c>
      <c r="S3" s="3" t="s">
        <v>95</v>
      </c>
      <c r="T3" s="18" t="s">
        <v>96</v>
      </c>
      <c r="U3" s="3" t="s">
        <v>97</v>
      </c>
      <c r="V3" s="1" t="s">
        <v>98</v>
      </c>
      <c r="W3" s="1" t="s">
        <v>99</v>
      </c>
      <c r="X3" s="2" t="s">
        <v>100</v>
      </c>
      <c r="Y3" s="2" t="s">
        <v>101</v>
      </c>
      <c r="Z3" s="2" t="s">
        <v>102</v>
      </c>
      <c r="AA3" s="2" t="s">
        <v>103</v>
      </c>
      <c r="AB3" s="2" t="s">
        <v>95</v>
      </c>
      <c r="AC3" s="2" t="s">
        <v>104</v>
      </c>
      <c r="AD3" s="18" t="s">
        <v>105</v>
      </c>
      <c r="AE3" s="2" t="s">
        <v>106</v>
      </c>
      <c r="AF3" s="4" t="s">
        <v>107</v>
      </c>
      <c r="AG3" s="2" t="s">
        <v>108</v>
      </c>
      <c r="AH3" s="4" t="s">
        <v>109</v>
      </c>
      <c r="AI3" s="3" t="s">
        <v>110</v>
      </c>
      <c r="AJ3" s="26" t="s">
        <v>111</v>
      </c>
      <c r="AK3" s="24">
        <v>16</v>
      </c>
      <c r="AL3" s="24">
        <v>112</v>
      </c>
      <c r="AM3" s="25"/>
      <c r="AN3" s="25">
        <v>2223</v>
      </c>
      <c r="AO3" s="56"/>
      <c r="AP3" s="56"/>
      <c r="AQ3" s="56"/>
      <c r="AR3" s="56"/>
      <c r="AS3" s="56"/>
    </row>
    <row r="4" spans="1:46" x14ac:dyDescent="0.3">
      <c r="A4" s="21" t="s">
        <v>112</v>
      </c>
      <c r="B4" s="6" t="s">
        <v>113</v>
      </c>
      <c r="C4" s="7" t="s">
        <v>113</v>
      </c>
      <c r="D4" s="5" t="s">
        <v>113</v>
      </c>
      <c r="E4" s="7" t="s">
        <v>113</v>
      </c>
      <c r="F4" s="8" t="s">
        <v>114</v>
      </c>
      <c r="G4" s="9" t="s">
        <v>114</v>
      </c>
      <c r="H4" s="10" t="s">
        <v>113</v>
      </c>
      <c r="I4" s="7" t="s">
        <v>113</v>
      </c>
      <c r="J4" s="11" t="s">
        <v>115</v>
      </c>
      <c r="K4" s="11" t="s">
        <v>115</v>
      </c>
      <c r="L4" s="5" t="s">
        <v>113</v>
      </c>
      <c r="M4" s="5" t="s">
        <v>113</v>
      </c>
      <c r="N4" s="8" t="s">
        <v>114</v>
      </c>
      <c r="O4" s="12" t="s">
        <v>114</v>
      </c>
      <c r="P4" s="11" t="s">
        <v>114</v>
      </c>
      <c r="Q4" s="11" t="s">
        <v>114</v>
      </c>
      <c r="R4" s="10" t="s">
        <v>113</v>
      </c>
      <c r="S4" s="12" t="s">
        <v>114</v>
      </c>
      <c r="T4" s="19" t="s">
        <v>113</v>
      </c>
      <c r="U4" s="7" t="s">
        <v>113</v>
      </c>
      <c r="V4" s="11" t="s">
        <v>114</v>
      </c>
      <c r="W4" s="11" t="s">
        <v>114</v>
      </c>
      <c r="X4" s="6" t="s">
        <v>113</v>
      </c>
      <c r="Y4" s="6" t="s">
        <v>113</v>
      </c>
      <c r="Z4" s="6" t="s">
        <v>113</v>
      </c>
      <c r="AA4" s="6" t="s">
        <v>113</v>
      </c>
      <c r="AB4" s="6" t="s">
        <v>113</v>
      </c>
      <c r="AC4" s="6" t="s">
        <v>113</v>
      </c>
      <c r="AD4" s="20" t="s">
        <v>114</v>
      </c>
      <c r="AE4" s="9" t="s">
        <v>114</v>
      </c>
      <c r="AF4" s="8" t="s">
        <v>114</v>
      </c>
      <c r="AG4" s="9" t="s">
        <v>114</v>
      </c>
      <c r="AH4" s="10" t="s">
        <v>113</v>
      </c>
      <c r="AI4" s="12" t="s">
        <v>115</v>
      </c>
      <c r="AJ4" s="27" t="s">
        <v>115</v>
      </c>
      <c r="AK4" s="24" t="s">
        <v>116</v>
      </c>
      <c r="AL4" s="24"/>
      <c r="AM4" s="24" t="s">
        <v>117</v>
      </c>
      <c r="AN4" s="24" t="s">
        <v>117</v>
      </c>
    </row>
    <row r="5" spans="1:46" x14ac:dyDescent="0.3">
      <c r="B5" s="51" t="s">
        <v>177</v>
      </c>
      <c r="C5" t="s">
        <v>182</v>
      </c>
      <c r="D5" s="46" t="s">
        <v>175</v>
      </c>
      <c r="E5" t="s">
        <v>81</v>
      </c>
      <c r="F5" s="47">
        <v>45442</v>
      </c>
      <c r="G5" s="47"/>
      <c r="H5" t="s">
        <v>162</v>
      </c>
      <c r="I5" s="47">
        <v>45820</v>
      </c>
      <c r="J5" t="s">
        <v>183</v>
      </c>
      <c r="K5" t="s">
        <v>162</v>
      </c>
      <c r="L5" t="s">
        <v>167</v>
      </c>
      <c r="M5" s="46" t="s">
        <v>177</v>
      </c>
      <c r="N5" t="s">
        <v>161</v>
      </c>
      <c r="O5" s="46" t="s">
        <v>177</v>
      </c>
      <c r="P5" s="46" t="s">
        <v>190</v>
      </c>
      <c r="Q5" s="46" t="s">
        <v>185</v>
      </c>
      <c r="R5" s="56">
        <f>+AO5</f>
        <v>2688.4589475265502</v>
      </c>
      <c r="T5" s="56">
        <f>+S5+R5</f>
        <v>2688.4589475265502</v>
      </c>
      <c r="U5" s="50" t="s">
        <v>199</v>
      </c>
      <c r="W5" s="50"/>
      <c r="X5">
        <v>5</v>
      </c>
      <c r="Y5" s="49">
        <v>57</v>
      </c>
      <c r="Z5">
        <v>43</v>
      </c>
      <c r="AA5">
        <f>+AC5</f>
        <v>1540.5869639586529</v>
      </c>
      <c r="AB5" s="56">
        <f>+AR5</f>
        <v>1147.8719835678974</v>
      </c>
      <c r="AC5" s="56">
        <f>+T5-AB5</f>
        <v>1540.5869639586529</v>
      </c>
      <c r="AD5" s="56">
        <f>+AQ5</f>
        <v>313.5</v>
      </c>
      <c r="AE5" s="56">
        <f>+AP5</f>
        <v>60.89638326991156</v>
      </c>
      <c r="AH5" s="50" t="s">
        <v>192</v>
      </c>
      <c r="AK5">
        <v>16</v>
      </c>
      <c r="AL5" s="24">
        <v>86</v>
      </c>
      <c r="AM5">
        <v>12</v>
      </c>
      <c r="AN5">
        <f>+AA5</f>
        <v>1540.5869639586529</v>
      </c>
      <c r="AO5" s="56">
        <f>SUM('[1]Imported Pigs Costing 0826'!$BH$100:$BH$120)/SUM('[1]Imported Pigs Costing 0826'!$T$100:$T$120)</f>
        <v>2688.4589475265502</v>
      </c>
      <c r="AP5" s="56">
        <f>SUM('[1]Imported Pigs Costing 0826'!BP$100:BP$120)/SUM('[1]Imported Pigs Costing 0826'!$T$100:$T$120)</f>
        <v>60.89638326991156</v>
      </c>
      <c r="AQ5" s="56">
        <f>SUM('[1]Imported Pigs Costing 0826'!BQ$100:BQ$120)/SUM('[1]Imported Pigs Costing 0826'!$T$100:$T$120)</f>
        <v>313.5</v>
      </c>
      <c r="AR5" s="56">
        <f>SUM('[1]Imported Pigs Costing 0826'!BR$100:BR$120)/SUM('[1]Imported Pigs Costing 0826'!$T$100:$T$120)</f>
        <v>1147.8719835678974</v>
      </c>
      <c r="AS5" s="56">
        <f>SUM('[1]Imported Pigs Costing 0826'!BS$100:BS$120)/SUM('[1]Imported Pigs Costing 0826'!$T$100:$T$120)</f>
        <v>1540.5869639586535</v>
      </c>
      <c r="AT5" s="55">
        <v>45627</v>
      </c>
    </row>
    <row r="6" spans="1:46" x14ac:dyDescent="0.3">
      <c r="B6" s="51" t="s">
        <v>178</v>
      </c>
      <c r="C6" t="s">
        <v>182</v>
      </c>
      <c r="D6" s="46" t="s">
        <v>175</v>
      </c>
      <c r="E6" t="s">
        <v>81</v>
      </c>
      <c r="F6" s="47">
        <v>45755</v>
      </c>
      <c r="G6" s="47"/>
      <c r="H6" t="s">
        <v>162</v>
      </c>
      <c r="I6" s="47">
        <v>45915</v>
      </c>
      <c r="J6" t="s">
        <v>183</v>
      </c>
      <c r="K6" t="s">
        <v>162</v>
      </c>
      <c r="L6" t="s">
        <v>167</v>
      </c>
      <c r="M6" s="46" t="s">
        <v>178</v>
      </c>
      <c r="N6" t="s">
        <v>161</v>
      </c>
      <c r="O6" s="46" t="s">
        <v>178</v>
      </c>
      <c r="P6" s="46" t="s">
        <v>188</v>
      </c>
      <c r="Q6" s="46" t="s">
        <v>186</v>
      </c>
      <c r="R6" s="56">
        <f t="shared" ref="R6:R9" si="0">+AO6</f>
        <v>3094.3998404350405</v>
      </c>
      <c r="T6" s="56">
        <f t="shared" ref="T6:T9" si="1">+S6+R6</f>
        <v>3094.3998404350405</v>
      </c>
      <c r="U6" s="50" t="s">
        <v>199</v>
      </c>
      <c r="W6" s="50"/>
      <c r="X6">
        <v>2</v>
      </c>
      <c r="Y6" s="49">
        <v>15</v>
      </c>
      <c r="Z6">
        <v>14</v>
      </c>
      <c r="AA6">
        <f t="shared" ref="AA6:AA9" si="2">+AC6</f>
        <v>2533.4591696397074</v>
      </c>
      <c r="AB6" s="56">
        <f t="shared" ref="AB6:AB9" si="3">+AR6</f>
        <v>560.94067079533318</v>
      </c>
      <c r="AC6" s="56">
        <f t="shared" ref="AC6:AC9" si="4">+T6-AB6</f>
        <v>2533.4591696397074</v>
      </c>
      <c r="AD6" s="56">
        <f t="shared" ref="AD6:AD9" si="5">+AQ6</f>
        <v>313.5</v>
      </c>
      <c r="AE6" s="56">
        <f t="shared" ref="AE6:AE9" si="6">+AP6</f>
        <v>71.305124113719003</v>
      </c>
      <c r="AH6" s="50" t="s">
        <v>192</v>
      </c>
      <c r="AK6">
        <v>16</v>
      </c>
      <c r="AL6" s="24">
        <v>111</v>
      </c>
      <c r="AM6">
        <v>14</v>
      </c>
      <c r="AN6">
        <f t="shared" ref="AN6:AN9" si="7">+AA6</f>
        <v>2533.4591696397074</v>
      </c>
      <c r="AO6">
        <f>SUM('[1]Imported Pigs Costing 0826'!$BI$57:$BI$77)/SUM('[1]Imported Pigs Costing 0826'!$T$57:$T$77)</f>
        <v>3094.3998404350405</v>
      </c>
      <c r="AP6" s="57">
        <f>SUM('[1]Imported Pigs Costing 0826'!BP$57:BP$77)/SUM('[1]Imported Pigs Costing 0826'!$T$57:$T$77)</f>
        <v>71.305124113719003</v>
      </c>
      <c r="AQ6" s="57">
        <f>SUM('[1]Imported Pigs Costing 0826'!BQ$57:BQ$77)/SUM('[1]Imported Pigs Costing 0826'!$T$57:$T$77)</f>
        <v>313.5</v>
      </c>
      <c r="AR6" s="57">
        <f>SUM('[1]Imported Pigs Costing 0826'!BR$57:BR$77)/SUM('[1]Imported Pigs Costing 0826'!$T$57:$T$77)</f>
        <v>560.94067079533318</v>
      </c>
      <c r="AS6" s="57">
        <f>SUM('[1]Imported Pigs Costing 0826'!BS$57:BS$77)/SUM('[1]Imported Pigs Costing 0826'!$T$57:$T$77)</f>
        <v>2533.4591696397079</v>
      </c>
      <c r="AT6" s="55">
        <v>45901</v>
      </c>
    </row>
    <row r="7" spans="1:46" x14ac:dyDescent="0.3">
      <c r="B7" s="51" t="s">
        <v>180</v>
      </c>
      <c r="C7" t="s">
        <v>182</v>
      </c>
      <c r="D7" s="46" t="s">
        <v>175</v>
      </c>
      <c r="E7" t="s">
        <v>81</v>
      </c>
      <c r="F7" s="47">
        <v>45808</v>
      </c>
      <c r="G7" s="47"/>
      <c r="H7" t="s">
        <v>162</v>
      </c>
      <c r="I7" s="47">
        <v>45915</v>
      </c>
      <c r="J7" t="s">
        <v>183</v>
      </c>
      <c r="K7" t="s">
        <v>162</v>
      </c>
      <c r="L7" t="s">
        <v>167</v>
      </c>
      <c r="M7" s="46" t="s">
        <v>180</v>
      </c>
      <c r="N7" t="s">
        <v>161</v>
      </c>
      <c r="O7" s="46" t="s">
        <v>180</v>
      </c>
      <c r="P7" s="46" t="s">
        <v>191</v>
      </c>
      <c r="Q7" s="46" t="s">
        <v>187</v>
      </c>
      <c r="R7" s="56">
        <f t="shared" si="0"/>
        <v>3094.3998404350405</v>
      </c>
      <c r="T7" s="56">
        <f t="shared" si="1"/>
        <v>3094.3998404350405</v>
      </c>
      <c r="U7" s="50" t="s">
        <v>199</v>
      </c>
      <c r="W7" s="50"/>
      <c r="X7">
        <v>2</v>
      </c>
      <c r="Y7" s="49">
        <v>18</v>
      </c>
      <c r="Z7">
        <v>15</v>
      </c>
      <c r="AA7">
        <f t="shared" si="2"/>
        <v>2533.4591696397074</v>
      </c>
      <c r="AB7" s="56">
        <f t="shared" si="3"/>
        <v>560.94067079533318</v>
      </c>
      <c r="AC7" s="56">
        <f t="shared" si="4"/>
        <v>2533.4591696397074</v>
      </c>
      <c r="AD7" s="56">
        <f t="shared" si="5"/>
        <v>313.5</v>
      </c>
      <c r="AE7" s="56">
        <f t="shared" si="6"/>
        <v>71.305124113719003</v>
      </c>
      <c r="AH7" s="50" t="s">
        <v>192</v>
      </c>
      <c r="AK7">
        <v>16</v>
      </c>
      <c r="AL7" s="24">
        <v>113</v>
      </c>
      <c r="AM7">
        <v>12</v>
      </c>
      <c r="AN7">
        <f t="shared" si="7"/>
        <v>2533.4591696397074</v>
      </c>
      <c r="AO7">
        <f>+AO6</f>
        <v>3094.3998404350405</v>
      </c>
      <c r="AP7">
        <f t="shared" ref="AP7:AS7" si="8">+AP6</f>
        <v>71.305124113719003</v>
      </c>
      <c r="AQ7">
        <f t="shared" si="8"/>
        <v>313.5</v>
      </c>
      <c r="AR7">
        <f t="shared" si="8"/>
        <v>560.94067079533318</v>
      </c>
      <c r="AS7">
        <f t="shared" si="8"/>
        <v>2533.4591696397079</v>
      </c>
      <c r="AT7" s="55">
        <v>45901</v>
      </c>
    </row>
    <row r="8" spans="1:46" x14ac:dyDescent="0.3">
      <c r="B8" s="51" t="s">
        <v>176</v>
      </c>
      <c r="C8" t="s">
        <v>182</v>
      </c>
      <c r="D8" s="46" t="s">
        <v>193</v>
      </c>
      <c r="E8" t="s">
        <v>81</v>
      </c>
      <c r="F8" s="47">
        <v>45596</v>
      </c>
      <c r="G8" s="47">
        <v>45596</v>
      </c>
      <c r="H8" t="s">
        <v>194</v>
      </c>
      <c r="I8" s="47">
        <v>45596</v>
      </c>
      <c r="J8" t="s">
        <v>183</v>
      </c>
      <c r="K8" t="s">
        <v>195</v>
      </c>
      <c r="L8" t="s">
        <v>167</v>
      </c>
      <c r="M8" s="46" t="s">
        <v>176</v>
      </c>
      <c r="N8" t="s">
        <v>161</v>
      </c>
      <c r="O8" s="46" t="s">
        <v>196</v>
      </c>
      <c r="P8" s="46" t="s">
        <v>183</v>
      </c>
      <c r="Q8" s="46" t="s">
        <v>184</v>
      </c>
      <c r="R8" s="56">
        <f t="shared" si="0"/>
        <v>0</v>
      </c>
      <c r="T8" s="56">
        <f t="shared" si="1"/>
        <v>0</v>
      </c>
      <c r="U8" s="50" t="s">
        <v>199</v>
      </c>
      <c r="W8" s="50"/>
      <c r="X8">
        <v>3</v>
      </c>
      <c r="Y8" s="49">
        <v>32</v>
      </c>
      <c r="Z8">
        <v>26</v>
      </c>
      <c r="AA8">
        <f>+'[2]SUMMARY '!$E$44/'[2]SUMMARY '!$B$44</f>
        <v>307.49999999999994</v>
      </c>
      <c r="AB8" s="56">
        <f t="shared" si="3"/>
        <v>0</v>
      </c>
      <c r="AC8" s="56">
        <f t="shared" si="4"/>
        <v>0</v>
      </c>
      <c r="AD8" s="56">
        <f t="shared" si="5"/>
        <v>0</v>
      </c>
      <c r="AE8" s="56">
        <f t="shared" si="6"/>
        <v>0</v>
      </c>
      <c r="AH8" s="50" t="s">
        <v>192</v>
      </c>
      <c r="AK8">
        <v>16</v>
      </c>
      <c r="AL8" s="24" t="s">
        <v>183</v>
      </c>
      <c r="AM8">
        <v>13</v>
      </c>
      <c r="AN8">
        <f t="shared" si="7"/>
        <v>307.49999999999994</v>
      </c>
      <c r="AT8" s="58" t="s">
        <v>202</v>
      </c>
    </row>
    <row r="9" spans="1:46" x14ac:dyDescent="0.3">
      <c r="B9" s="51" t="s">
        <v>197</v>
      </c>
      <c r="C9" t="s">
        <v>182</v>
      </c>
      <c r="D9" s="46" t="s">
        <v>175</v>
      </c>
      <c r="E9" t="s">
        <v>81</v>
      </c>
      <c r="F9" s="47">
        <v>45148</v>
      </c>
      <c r="G9" s="47"/>
      <c r="H9" t="s">
        <v>162</v>
      </c>
      <c r="I9" s="47">
        <v>45915</v>
      </c>
      <c r="J9" t="s">
        <v>183</v>
      </c>
      <c r="K9" t="s">
        <v>162</v>
      </c>
      <c r="L9" t="s">
        <v>167</v>
      </c>
      <c r="M9" s="46" t="s">
        <v>179</v>
      </c>
      <c r="N9" t="s">
        <v>161</v>
      </c>
      <c r="O9" s="46" t="s">
        <v>179</v>
      </c>
      <c r="P9" s="46" t="s">
        <v>189</v>
      </c>
      <c r="Q9" s="46" t="s">
        <v>198</v>
      </c>
      <c r="R9" s="56">
        <f t="shared" si="0"/>
        <v>2624.3572015936179</v>
      </c>
      <c r="T9" s="56">
        <f t="shared" si="1"/>
        <v>2624.3572015936179</v>
      </c>
      <c r="U9" s="50" t="s">
        <v>199</v>
      </c>
      <c r="W9" s="50"/>
      <c r="X9">
        <v>6</v>
      </c>
      <c r="Y9" s="49">
        <v>91</v>
      </c>
      <c r="Z9">
        <v>69</v>
      </c>
      <c r="AA9">
        <f t="shared" si="2"/>
        <v>893.93272323049086</v>
      </c>
      <c r="AB9" s="56">
        <f t="shared" si="3"/>
        <v>1730.424478363127</v>
      </c>
      <c r="AC9" s="56">
        <f t="shared" si="4"/>
        <v>893.93272323049086</v>
      </c>
      <c r="AD9" s="56">
        <f t="shared" si="5"/>
        <v>313.5</v>
      </c>
      <c r="AE9" s="56">
        <f t="shared" si="6"/>
        <v>59.252748758810732</v>
      </c>
      <c r="AH9" s="50" t="s">
        <v>192</v>
      </c>
      <c r="AK9">
        <v>16</v>
      </c>
      <c r="AL9" s="24">
        <v>103</v>
      </c>
      <c r="AM9">
        <v>11</v>
      </c>
      <c r="AN9">
        <f t="shared" si="7"/>
        <v>893.93272323049086</v>
      </c>
      <c r="AO9" s="56">
        <f>SUM('[1]Imported Pigs Costing 0826'!$BI$142:$BI$162)/SUM('[1]Imported Pigs Costing 0826'!$T$142:$T$162)</f>
        <v>2624.3572015936179</v>
      </c>
      <c r="AP9" s="56">
        <f>SUM('[1]Imported Pigs Costing 0826'!BP$142:BP$162)/SUM('[1]Imported Pigs Costing 0826'!$T$142:$T$162)</f>
        <v>59.252748758810732</v>
      </c>
      <c r="AQ9" s="56">
        <f>SUM('[1]Imported Pigs Costing 0826'!BQ$142:BQ$162)/SUM('[1]Imported Pigs Costing 0826'!$T$142:$T$162)</f>
        <v>313.5</v>
      </c>
      <c r="AR9" s="56">
        <f>SUM('[1]Imported Pigs Costing 0826'!BR$142:BR$162)/SUM('[1]Imported Pigs Costing 0826'!$T$142:$T$162)</f>
        <v>1730.424478363127</v>
      </c>
      <c r="AS9" s="56">
        <f>SUM('[1]Imported Pigs Costing 0826'!BS$142:BS$162)/SUM('[1]Imported Pigs Costing 0826'!$T$142:$T$162)</f>
        <v>893.93272323049098</v>
      </c>
      <c r="AT9" s="55">
        <v>45323</v>
      </c>
    </row>
    <row r="10" spans="1:46" x14ac:dyDescent="0.3">
      <c r="Y10" s="48"/>
    </row>
    <row r="11" spans="1:46" x14ac:dyDescent="0.3">
      <c r="Y11" s="48"/>
    </row>
    <row r="12" spans="1:46" x14ac:dyDescent="0.3">
      <c r="Y12" s="48"/>
    </row>
    <row r="13" spans="1:46" x14ac:dyDescent="0.3">
      <c r="Y13" s="48"/>
    </row>
    <row r="14" spans="1:46" x14ac:dyDescent="0.3">
      <c r="Y14" s="48"/>
    </row>
    <row r="15" spans="1:46" x14ac:dyDescent="0.3">
      <c r="Y15" s="48"/>
    </row>
    <row r="16" spans="1:46" x14ac:dyDescent="0.3">
      <c r="Y16" s="48"/>
    </row>
    <row r="17" spans="25:25" x14ac:dyDescent="0.3">
      <c r="Y17" s="48"/>
    </row>
    <row r="18" spans="25:25" x14ac:dyDescent="0.3">
      <c r="Y18" s="48"/>
    </row>
    <row r="19" spans="25:25" x14ac:dyDescent="0.3">
      <c r="Y19" s="48"/>
    </row>
    <row r="20" spans="25:25" x14ac:dyDescent="0.3">
      <c r="Y20" s="48"/>
    </row>
    <row r="21" spans="25:25" x14ac:dyDescent="0.3">
      <c r="Y21" s="48"/>
    </row>
    <row r="22" spans="25:25" x14ac:dyDescent="0.3">
      <c r="Y22" s="48"/>
    </row>
    <row r="23" spans="25:25" x14ac:dyDescent="0.3">
      <c r="Y23" s="48"/>
    </row>
    <row r="24" spans="25:25" x14ac:dyDescent="0.3">
      <c r="Y24" s="48"/>
    </row>
    <row r="25" spans="25:25" x14ac:dyDescent="0.3">
      <c r="Y25" s="48"/>
    </row>
    <row r="26" spans="25:25" x14ac:dyDescent="0.3">
      <c r="Y26" s="48"/>
    </row>
    <row r="27" spans="25:25" x14ac:dyDescent="0.3">
      <c r="Y27" s="48"/>
    </row>
    <row r="28" spans="25:25" x14ac:dyDescent="0.3">
      <c r="Y28" s="48"/>
    </row>
    <row r="29" spans="25:25" x14ac:dyDescent="0.3">
      <c r="Y29" s="48"/>
    </row>
    <row r="30" spans="25:25" x14ac:dyDescent="0.3">
      <c r="Y30" s="48"/>
    </row>
    <row r="31" spans="25:25" x14ac:dyDescent="0.3">
      <c r="Y31" s="48"/>
    </row>
    <row r="32" spans="25:25" x14ac:dyDescent="0.3">
      <c r="Y32" s="48"/>
    </row>
    <row r="33" spans="25:25" x14ac:dyDescent="0.3">
      <c r="Y33" s="48"/>
    </row>
    <row r="34" spans="25:25" x14ac:dyDescent="0.3">
      <c r="Y34" s="48"/>
    </row>
    <row r="35" spans="25:25" x14ac:dyDescent="0.3">
      <c r="Y35" s="48"/>
    </row>
    <row r="36" spans="25:25" x14ac:dyDescent="0.3">
      <c r="Y36" s="48"/>
    </row>
    <row r="37" spans="25:25" x14ac:dyDescent="0.3">
      <c r="Y37" s="48"/>
    </row>
    <row r="38" spans="25:25" x14ac:dyDescent="0.3">
      <c r="Y38" s="48"/>
    </row>
    <row r="39" spans="25:25" x14ac:dyDescent="0.3">
      <c r="Y39" s="48"/>
    </row>
    <row r="40" spans="25:25" x14ac:dyDescent="0.3">
      <c r="Y40" s="48"/>
    </row>
    <row r="41" spans="25:25" x14ac:dyDescent="0.3">
      <c r="Y41" s="48"/>
    </row>
    <row r="42" spans="25:25" x14ac:dyDescent="0.3">
      <c r="Y42" s="48"/>
    </row>
  </sheetData>
  <phoneticPr fontId="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4334-DDBC-4757-B076-3BE8B36A894A}">
  <dimension ref="A1:Q15"/>
  <sheetViews>
    <sheetView zoomScale="78" workbookViewId="0">
      <selection activeCell="O7" sqref="O7"/>
    </sheetView>
  </sheetViews>
  <sheetFormatPr defaultColWidth="28.6640625" defaultRowHeight="15.6" x14ac:dyDescent="0.3"/>
  <cols>
    <col min="1" max="2" width="13" style="29" customWidth="1"/>
    <col min="3" max="3" width="28.44140625" style="29" bestFit="1" customWidth="1"/>
    <col min="4" max="4" width="28.5546875" style="29" bestFit="1" customWidth="1"/>
    <col min="5" max="5" width="21.109375" style="29" bestFit="1" customWidth="1"/>
    <col min="6" max="6" width="28.109375" style="29" bestFit="1" customWidth="1"/>
    <col min="7" max="7" width="26.109375" style="29" bestFit="1" customWidth="1"/>
    <col min="8" max="8" width="27.44140625" style="29" bestFit="1" customWidth="1"/>
    <col min="9" max="9" width="26.21875" style="29" bestFit="1" customWidth="1"/>
    <col min="10" max="10" width="28.21875" style="29" bestFit="1" customWidth="1"/>
    <col min="11" max="11" width="28.44140625" style="29" bestFit="1" customWidth="1"/>
    <col min="12" max="12" width="26.21875" style="29" bestFit="1" customWidth="1"/>
    <col min="13" max="13" width="23.109375" style="29" bestFit="1" customWidth="1"/>
    <col min="14" max="14" width="28.44140625" style="29" bestFit="1" customWidth="1"/>
    <col min="15" max="15" width="27.6640625" style="29" bestFit="1" customWidth="1"/>
    <col min="16" max="16" width="21.21875" style="29" bestFit="1" customWidth="1"/>
    <col min="17" max="16384" width="28.6640625" style="29"/>
  </cols>
  <sheetData>
    <row r="1" spans="1:17" x14ac:dyDescent="0.3">
      <c r="A1" s="54" t="s">
        <v>118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</row>
    <row r="2" spans="1:17" ht="31.2" x14ac:dyDescent="0.3">
      <c r="A2" s="30" t="s">
        <v>0</v>
      </c>
      <c r="B2" s="30" t="s">
        <v>160</v>
      </c>
      <c r="C2" s="31" t="s">
        <v>119</v>
      </c>
      <c r="D2" s="31" t="s">
        <v>120</v>
      </c>
      <c r="E2" s="32" t="s">
        <v>121</v>
      </c>
      <c r="F2" s="31" t="s">
        <v>122</v>
      </c>
      <c r="G2" s="31" t="s">
        <v>123</v>
      </c>
      <c r="H2" s="33" t="s">
        <v>124</v>
      </c>
      <c r="I2" s="32" t="s">
        <v>125</v>
      </c>
      <c r="J2" s="33" t="s">
        <v>126</v>
      </c>
      <c r="K2" s="34" t="s">
        <v>127</v>
      </c>
      <c r="L2" s="33" t="s">
        <v>128</v>
      </c>
      <c r="M2" s="32" t="s">
        <v>129</v>
      </c>
      <c r="N2" s="33" t="s">
        <v>130</v>
      </c>
      <c r="O2" s="32" t="s">
        <v>131</v>
      </c>
      <c r="P2" s="34" t="s">
        <v>132</v>
      </c>
    </row>
    <row r="3" spans="1:17" ht="51.75" customHeight="1" x14ac:dyDescent="0.3">
      <c r="A3" s="30" t="s">
        <v>40</v>
      </c>
      <c r="B3" s="30" t="s">
        <v>160</v>
      </c>
      <c r="C3" s="35" t="s">
        <v>133</v>
      </c>
      <c r="D3" s="35" t="s">
        <v>134</v>
      </c>
      <c r="E3" s="36" t="s">
        <v>135</v>
      </c>
      <c r="F3" s="35" t="s">
        <v>136</v>
      </c>
      <c r="G3" s="35" t="s">
        <v>137</v>
      </c>
      <c r="H3" s="37" t="s">
        <v>138</v>
      </c>
      <c r="I3" s="36" t="s">
        <v>139</v>
      </c>
      <c r="J3" s="37" t="s">
        <v>140</v>
      </c>
      <c r="K3" s="38" t="s">
        <v>141</v>
      </c>
      <c r="L3" s="37" t="s">
        <v>142</v>
      </c>
      <c r="M3" s="36" t="s">
        <v>143</v>
      </c>
      <c r="N3" s="37" t="s">
        <v>144</v>
      </c>
      <c r="O3" s="36" t="s">
        <v>145</v>
      </c>
      <c r="P3" s="38" t="s">
        <v>146</v>
      </c>
    </row>
    <row r="4" spans="1:17" ht="31.2" x14ac:dyDescent="0.3">
      <c r="A4" s="30" t="s">
        <v>77</v>
      </c>
      <c r="B4" s="30"/>
      <c r="C4" s="35" t="s">
        <v>147</v>
      </c>
      <c r="D4" s="35" t="s">
        <v>148</v>
      </c>
      <c r="E4" s="36" t="s">
        <v>149</v>
      </c>
      <c r="F4" s="35" t="s">
        <v>150</v>
      </c>
      <c r="G4" s="35" t="s">
        <v>151</v>
      </c>
      <c r="H4" s="37" t="s">
        <v>152</v>
      </c>
      <c r="I4" s="36" t="s">
        <v>153</v>
      </c>
      <c r="J4" s="37" t="s">
        <v>154</v>
      </c>
      <c r="K4" s="38" t="s">
        <v>155</v>
      </c>
      <c r="L4" s="37" t="s">
        <v>156</v>
      </c>
      <c r="M4" s="36" t="s">
        <v>157</v>
      </c>
      <c r="N4" s="37" t="s">
        <v>158</v>
      </c>
      <c r="O4" s="36" t="s">
        <v>159</v>
      </c>
      <c r="P4" s="38" t="s">
        <v>83</v>
      </c>
    </row>
    <row r="5" spans="1:17" x14ac:dyDescent="0.3">
      <c r="A5" s="30" t="s">
        <v>112</v>
      </c>
      <c r="B5" s="30" t="s">
        <v>113</v>
      </c>
      <c r="C5" s="39" t="s">
        <v>113</v>
      </c>
      <c r="D5" s="39" t="s">
        <v>113</v>
      </c>
      <c r="E5" s="40" t="s">
        <v>113</v>
      </c>
      <c r="F5" s="35" t="s">
        <v>115</v>
      </c>
      <c r="G5" s="35" t="s">
        <v>115</v>
      </c>
      <c r="H5" s="37" t="s">
        <v>115</v>
      </c>
      <c r="I5" s="40" t="s">
        <v>113</v>
      </c>
      <c r="J5" s="37" t="s">
        <v>114</v>
      </c>
      <c r="K5" s="41" t="s">
        <v>113</v>
      </c>
      <c r="L5" s="37" t="s">
        <v>113</v>
      </c>
      <c r="M5" s="36" t="s">
        <v>113</v>
      </c>
      <c r="N5" s="37" t="s">
        <v>114</v>
      </c>
      <c r="O5" s="36" t="s">
        <v>114</v>
      </c>
      <c r="P5" s="41" t="s">
        <v>113</v>
      </c>
    </row>
    <row r="7" spans="1:17" x14ac:dyDescent="0.3">
      <c r="B7" s="29" t="s">
        <v>168</v>
      </c>
      <c r="C7" s="29" t="s">
        <v>119</v>
      </c>
      <c r="E7" s="29" t="s">
        <v>149</v>
      </c>
      <c r="G7" s="52" t="s">
        <v>169</v>
      </c>
      <c r="H7" s="29">
        <v>2</v>
      </c>
      <c r="I7" s="42">
        <v>46241</v>
      </c>
      <c r="J7" s="43">
        <f>+I7+1</f>
        <v>46242</v>
      </c>
      <c r="K7" s="42">
        <f>+I7+116</f>
        <v>46357</v>
      </c>
      <c r="L7" s="42">
        <f>+I7+28</f>
        <v>46269</v>
      </c>
      <c r="M7" s="44" t="s">
        <v>164</v>
      </c>
      <c r="N7" s="29" t="b">
        <v>1</v>
      </c>
      <c r="O7" s="44" t="s">
        <v>165</v>
      </c>
      <c r="P7" s="29">
        <v>6</v>
      </c>
    </row>
    <row r="8" spans="1:17" x14ac:dyDescent="0.3">
      <c r="G8" s="53"/>
      <c r="K8" s="42"/>
    </row>
    <row r="9" spans="1:17" x14ac:dyDescent="0.3">
      <c r="B9" s="29" t="s">
        <v>170</v>
      </c>
      <c r="C9" s="29" t="s">
        <v>166</v>
      </c>
      <c r="E9" s="29" t="s">
        <v>149</v>
      </c>
      <c r="G9" s="52" t="s">
        <v>171</v>
      </c>
      <c r="H9" s="29">
        <v>1</v>
      </c>
      <c r="I9" s="42">
        <v>46235</v>
      </c>
      <c r="J9" s="29" t="s">
        <v>161</v>
      </c>
      <c r="K9" s="42">
        <v>46351</v>
      </c>
      <c r="L9" s="42">
        <f>+I9+28</f>
        <v>46263</v>
      </c>
      <c r="M9" s="44" t="s">
        <v>164</v>
      </c>
      <c r="N9" s="29" t="b">
        <v>1</v>
      </c>
      <c r="O9" s="44" t="s">
        <v>165</v>
      </c>
      <c r="P9" s="29">
        <v>1</v>
      </c>
    </row>
    <row r="10" spans="1:17" x14ac:dyDescent="0.3">
      <c r="G10" s="53"/>
    </row>
    <row r="11" spans="1:17" x14ac:dyDescent="0.3">
      <c r="B11" s="29" t="s">
        <v>172</v>
      </c>
      <c r="C11" s="29" t="s">
        <v>79</v>
      </c>
      <c r="E11" s="29" t="s">
        <v>149</v>
      </c>
      <c r="G11" s="53" t="s">
        <v>171</v>
      </c>
      <c r="H11" s="29">
        <v>2</v>
      </c>
      <c r="I11" s="45">
        <v>46244</v>
      </c>
      <c r="J11" s="45">
        <v>46245</v>
      </c>
      <c r="K11" s="45">
        <v>46360</v>
      </c>
      <c r="L11" s="45">
        <v>46272</v>
      </c>
      <c r="M11" s="44" t="s">
        <v>164</v>
      </c>
      <c r="N11" s="29" t="b">
        <v>1</v>
      </c>
      <c r="O11" s="44" t="s">
        <v>165</v>
      </c>
      <c r="P11" s="29">
        <v>2</v>
      </c>
    </row>
    <row r="12" spans="1:17" x14ac:dyDescent="0.3">
      <c r="G12" s="53"/>
    </row>
    <row r="13" spans="1:17" x14ac:dyDescent="0.3">
      <c r="B13" s="29" t="s">
        <v>181</v>
      </c>
      <c r="C13" s="29" t="s">
        <v>79</v>
      </c>
      <c r="E13" s="29" t="s">
        <v>149</v>
      </c>
      <c r="G13" s="53" t="s">
        <v>169</v>
      </c>
      <c r="H13" s="29">
        <v>2</v>
      </c>
      <c r="I13" s="45">
        <v>46237</v>
      </c>
      <c r="J13" s="45">
        <v>46238</v>
      </c>
      <c r="K13" s="45">
        <v>46353</v>
      </c>
      <c r="L13" s="45">
        <v>46264</v>
      </c>
      <c r="M13" s="44" t="s">
        <v>164</v>
      </c>
      <c r="N13" s="29" t="b">
        <v>1</v>
      </c>
      <c r="O13" s="44" t="s">
        <v>165</v>
      </c>
      <c r="P13" s="29">
        <v>8</v>
      </c>
    </row>
    <row r="14" spans="1:17" x14ac:dyDescent="0.3">
      <c r="G14" s="53"/>
    </row>
    <row r="15" spans="1:17" x14ac:dyDescent="0.3">
      <c r="B15" s="29" t="s">
        <v>173</v>
      </c>
      <c r="C15" s="29" t="s">
        <v>174</v>
      </c>
      <c r="E15" s="29" t="s">
        <v>149</v>
      </c>
      <c r="G15" s="53" t="s">
        <v>169</v>
      </c>
      <c r="H15" s="29">
        <v>2</v>
      </c>
      <c r="I15" s="45">
        <v>46234</v>
      </c>
      <c r="J15" s="45">
        <v>46235</v>
      </c>
      <c r="K15" s="45">
        <v>46350</v>
      </c>
      <c r="L15" s="45">
        <v>46263</v>
      </c>
      <c r="M15" s="44" t="s">
        <v>164</v>
      </c>
      <c r="N15" s="29" t="b">
        <v>1</v>
      </c>
      <c r="O15" s="44" t="s">
        <v>165</v>
      </c>
      <c r="P15" s="29">
        <v>1</v>
      </c>
    </row>
  </sheetData>
  <mergeCells count="1">
    <mergeCell ref="A1:Q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2D1635-5729-4393-A801-C1E15CF6DA4C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7146d502-05f5-4fb7-b414-24f33b760985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D28C192-8F9F-4BF7-8576-6FC152F505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6d502-05f5-4fb7-b414-24f33b760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1CE624-0CAE-44FF-97AE-0BE2296CAA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Animal Register</vt:lpstr>
      <vt:lpstr> Breeding Record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Tonderai Gonamombe</cp:lastModifiedBy>
  <cp:revision/>
  <dcterms:created xsi:type="dcterms:W3CDTF">2026-08-17T18:24:52Z</dcterms:created>
  <dcterms:modified xsi:type="dcterms:W3CDTF">2026-09-04T12:49:14Z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