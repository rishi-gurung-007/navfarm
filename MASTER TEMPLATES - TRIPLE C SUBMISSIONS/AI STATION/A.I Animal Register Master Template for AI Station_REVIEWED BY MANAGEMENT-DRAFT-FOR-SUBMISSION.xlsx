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02"/>
  <workbookPr/>
  <mc:AlternateContent xmlns:mc="http://schemas.openxmlformats.org/markup-compatibility/2006">
    <mc:Choice Requires="x15">
      <x15ac:absPath xmlns:x15ac="http://schemas.microsoft.com/office/spreadsheetml/2010/11/ac" url="https://triplecpigs-my.sharepoint.com/personal/runyararo_grasmere_co_zw/Documents/Desktop/NAVFARM/Templates 07092026/Animal Register/"/>
    </mc:Choice>
  </mc:AlternateContent>
  <xr:revisionPtr revIDLastSave="2" documentId="8_{8D5643F1-8AAE-45B8-86BE-795ADC8CB780}" xr6:coauthVersionLast="47" xr6:coauthVersionMax="47" xr10:uidLastSave="{335E9345-29D2-430C-AA53-E46C3978ACA8}"/>
  <bookViews>
    <workbookView xWindow="-108" yWindow="-108" windowWidth="23256" windowHeight="13896" xr2:uid="{81873A3B-85A7-4A1B-B700-8442B273DBD0}"/>
  </bookViews>
  <sheets>
    <sheet name="Animal Register (2)" sheetId="3" r:id="rId1"/>
    <sheet name="Animal Register" sheetId="2" r:id="rId2"/>
    <sheet name=" Breeding Record" sheetId="1" r:id="rId3"/>
  </sheets>
  <externalReferences>
    <externalReference r:id="rId4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E14" i="3" l="1"/>
  <c r="AE15" i="3"/>
  <c r="AE17" i="3"/>
  <c r="AE18" i="3"/>
  <c r="AE19" i="3"/>
  <c r="R13" i="3"/>
  <c r="T13" i="3"/>
  <c r="R15" i="3"/>
  <c r="T15" i="3"/>
  <c r="R28" i="3"/>
  <c r="T28" i="3"/>
  <c r="R29" i="3"/>
  <c r="T29" i="3"/>
  <c r="R30" i="3"/>
  <c r="T30" i="3"/>
  <c r="R31" i="3"/>
  <c r="T31" i="3"/>
  <c r="R32" i="3"/>
  <c r="T32" i="3"/>
  <c r="R33" i="3"/>
  <c r="T33" i="3"/>
  <c r="R34" i="3"/>
  <c r="T34" i="3"/>
  <c r="R35" i="3"/>
  <c r="T35" i="3"/>
  <c r="R36" i="3"/>
  <c r="T36" i="3"/>
  <c r="R37" i="3"/>
  <c r="T37" i="3"/>
  <c r="R38" i="3"/>
  <c r="T38" i="3"/>
  <c r="AB13" i="3"/>
  <c r="AC13" i="3"/>
  <c r="AA13" i="3" s="1"/>
  <c r="AB14" i="3"/>
  <c r="AB15" i="3"/>
  <c r="AB17" i="3"/>
  <c r="AR19" i="3"/>
  <c r="AS19" i="3"/>
  <c r="AB19" i="3" s="1"/>
  <c r="AT19" i="3"/>
  <c r="AQ19" i="3"/>
  <c r="R19" i="3" s="1"/>
  <c r="T19" i="3" s="1"/>
  <c r="AC19" i="3" s="1"/>
  <c r="AR18" i="3"/>
  <c r="AS18" i="3"/>
  <c r="AB18" i="3" s="1"/>
  <c r="AT18" i="3"/>
  <c r="AQ18" i="3"/>
  <c r="R18" i="3" s="1"/>
  <c r="T18" i="3" s="1"/>
  <c r="AC18" i="3" s="1"/>
  <c r="AR17" i="3"/>
  <c r="AS17" i="3"/>
  <c r="AT17" i="3"/>
  <c r="AQ17" i="3"/>
  <c r="R17" i="3" s="1"/>
  <c r="T17" i="3" s="1"/>
  <c r="AC17" i="3" s="1"/>
  <c r="AR16" i="3"/>
  <c r="AE16" i="3" s="1"/>
  <c r="AR15" i="3"/>
  <c r="AS15" i="3"/>
  <c r="AS16" i="3" s="1"/>
  <c r="AB16" i="3" s="1"/>
  <c r="AT15" i="3"/>
  <c r="AT16" i="3" s="1"/>
  <c r="AQ15" i="3"/>
  <c r="AQ16" i="3" s="1"/>
  <c r="R16" i="3" s="1"/>
  <c r="T16" i="3" s="1"/>
  <c r="AC16" i="3" s="1"/>
  <c r="AR14" i="3"/>
  <c r="AS14" i="3"/>
  <c r="AT14" i="3"/>
  <c r="AQ14" i="3"/>
  <c r="R14" i="3" s="1"/>
  <c r="T14" i="3" s="1"/>
  <c r="AC14" i="3" s="1"/>
  <c r="AQ12" i="3"/>
  <c r="R12" i="3" s="1"/>
  <c r="T12" i="3" s="1"/>
  <c r="AC12" i="3" s="1"/>
  <c r="AR12" i="3"/>
  <c r="AE12" i="3" s="1"/>
  <c r="AS12" i="3"/>
  <c r="AB12" i="3" s="1"/>
  <c r="AT12" i="3"/>
  <c r="AU12" i="3"/>
  <c r="AQ13" i="3"/>
  <c r="AR13" i="3"/>
  <c r="AE13" i="3" s="1"/>
  <c r="AS13" i="3"/>
  <c r="AT13" i="3"/>
  <c r="AU13" i="3"/>
  <c r="AR11" i="3"/>
  <c r="AE11" i="3" s="1"/>
  <c r="AS11" i="3"/>
  <c r="AB11" i="3" s="1"/>
  <c r="AT11" i="3"/>
  <c r="AU11" i="3"/>
  <c r="AQ11" i="3"/>
  <c r="R11" i="3" s="1"/>
  <c r="T11" i="3" s="1"/>
  <c r="AC11" i="3" s="1"/>
  <c r="AA12" i="3" l="1"/>
  <c r="AN12" i="3"/>
  <c r="AA17" i="3"/>
  <c r="AN17" i="3"/>
  <c r="AA11" i="3"/>
  <c r="AN11" i="3"/>
  <c r="AA18" i="3"/>
  <c r="AN18" i="3"/>
  <c r="AA14" i="3"/>
  <c r="AN14" i="3"/>
  <c r="AA19" i="3"/>
  <c r="AN19" i="3"/>
  <c r="AA16" i="3"/>
  <c r="AN16" i="3"/>
  <c r="AN13" i="3"/>
  <c r="AC15" i="3"/>
  <c r="AS10" i="3"/>
  <c r="AB10" i="3" s="1"/>
  <c r="AT10" i="3"/>
  <c r="AQ10" i="3"/>
  <c r="R10" i="3" s="1"/>
  <c r="T10" i="3" s="1"/>
  <c r="AC10" i="3" s="1"/>
  <c r="AR9" i="3"/>
  <c r="AE9" i="3" s="1"/>
  <c r="AS9" i="3"/>
  <c r="AB9" i="3" s="1"/>
  <c r="AT9" i="3"/>
  <c r="AQ9" i="3"/>
  <c r="R9" i="3" s="1"/>
  <c r="T9" i="3" s="1"/>
  <c r="AC9" i="3" s="1"/>
  <c r="AR8" i="3"/>
  <c r="AE8" i="3" s="1"/>
  <c r="AS8" i="3"/>
  <c r="AB8" i="3" s="1"/>
  <c r="AT8" i="3"/>
  <c r="AQ8" i="3"/>
  <c r="R8" i="3" s="1"/>
  <c r="T8" i="3" s="1"/>
  <c r="AR5" i="3"/>
  <c r="AE5" i="3" s="1"/>
  <c r="AS5" i="3"/>
  <c r="AB5" i="3" s="1"/>
  <c r="AT5" i="3"/>
  <c r="AR6" i="3"/>
  <c r="AE6" i="3" s="1"/>
  <c r="AS6" i="3"/>
  <c r="AB6" i="3" s="1"/>
  <c r="AT6" i="3"/>
  <c r="AT7" i="3" s="1"/>
  <c r="AR7" i="3"/>
  <c r="AE7" i="3" s="1"/>
  <c r="AQ5" i="3"/>
  <c r="R5" i="3" s="1"/>
  <c r="T5" i="3" s="1"/>
  <c r="AR24" i="3"/>
  <c r="AE24" i="3" s="1"/>
  <c r="AS24" i="3"/>
  <c r="AB24" i="3" s="1"/>
  <c r="AT24" i="3"/>
  <c r="AR25" i="3"/>
  <c r="AE25" i="3" s="1"/>
  <c r="AS25" i="3"/>
  <c r="AB25" i="3" s="1"/>
  <c r="AT25" i="3"/>
  <c r="AR26" i="3"/>
  <c r="AE26" i="3" s="1"/>
  <c r="AS26" i="3"/>
  <c r="AB26" i="3" s="1"/>
  <c r="AT26" i="3"/>
  <c r="AR27" i="3"/>
  <c r="AE27" i="3" s="1"/>
  <c r="AS27" i="3"/>
  <c r="AB27" i="3" s="1"/>
  <c r="AT27" i="3"/>
  <c r="AQ24" i="3"/>
  <c r="R24" i="3" s="1"/>
  <c r="T24" i="3" s="1"/>
  <c r="AC24" i="3" s="1"/>
  <c r="AQ25" i="3"/>
  <c r="R25" i="3" s="1"/>
  <c r="T25" i="3" s="1"/>
  <c r="AC25" i="3" s="1"/>
  <c r="AQ26" i="3"/>
  <c r="R26" i="3" s="1"/>
  <c r="T26" i="3" s="1"/>
  <c r="AQ27" i="3"/>
  <c r="R27" i="3" s="1"/>
  <c r="T27" i="3" s="1"/>
  <c r="AR2" i="3"/>
  <c r="AS2" i="3"/>
  <c r="AT2" i="3"/>
  <c r="AU2" i="3"/>
  <c r="AQ2" i="3"/>
  <c r="AT20" i="3"/>
  <c r="AT21" i="3"/>
  <c r="AT22" i="3"/>
  <c r="AT23" i="3"/>
  <c r="AR22" i="3"/>
  <c r="AE22" i="3" s="1"/>
  <c r="AS22" i="3"/>
  <c r="AB22" i="3" s="1"/>
  <c r="AQ22" i="3"/>
  <c r="AS23" i="3"/>
  <c r="AB23" i="3" s="1"/>
  <c r="AS20" i="3"/>
  <c r="AB20" i="3" s="1"/>
  <c r="AS21" i="3"/>
  <c r="AB21" i="3" s="1"/>
  <c r="AR20" i="3"/>
  <c r="AE20" i="3" s="1"/>
  <c r="AR21" i="3"/>
  <c r="AE21" i="3" s="1"/>
  <c r="AQ20" i="3"/>
  <c r="R20" i="3" s="1"/>
  <c r="T20" i="3" s="1"/>
  <c r="AC20" i="3" s="1"/>
  <c r="AQ21" i="3"/>
  <c r="R21" i="3" s="1"/>
  <c r="T21" i="3" s="1"/>
  <c r="AC21" i="3" s="1"/>
  <c r="AP80" i="3"/>
  <c r="AD80" i="3"/>
  <c r="AE80" i="3" s="1"/>
  <c r="AP79" i="3"/>
  <c r="AD79" i="3"/>
  <c r="AE79" i="3" s="1"/>
  <c r="AP78" i="3"/>
  <c r="AD78" i="3"/>
  <c r="AE78" i="3" s="1"/>
  <c r="AP77" i="3"/>
  <c r="AD77" i="3"/>
  <c r="AE77" i="3" s="1"/>
  <c r="AP76" i="3"/>
  <c r="AE76" i="3"/>
  <c r="AD76" i="3"/>
  <c r="AP75" i="3"/>
  <c r="AD75" i="3"/>
  <c r="AE75" i="3" s="1"/>
  <c r="AP74" i="3"/>
  <c r="AD74" i="3"/>
  <c r="AE74" i="3" s="1"/>
  <c r="AP73" i="3"/>
  <c r="AD73" i="3"/>
  <c r="AE73" i="3" s="1"/>
  <c r="AP72" i="3"/>
  <c r="AD72" i="3"/>
  <c r="AE72" i="3" s="1"/>
  <c r="AP71" i="3"/>
  <c r="AD71" i="3"/>
  <c r="AE71" i="3" s="1"/>
  <c r="AP70" i="3"/>
  <c r="AD70" i="3"/>
  <c r="AE70" i="3" s="1"/>
  <c r="AP69" i="3"/>
  <c r="AD69" i="3"/>
  <c r="AE69" i="3" s="1"/>
  <c r="AP68" i="3"/>
  <c r="AD68" i="3"/>
  <c r="AE68" i="3" s="1"/>
  <c r="AP67" i="3"/>
  <c r="AD67" i="3"/>
  <c r="AE67" i="3" s="1"/>
  <c r="AP66" i="3"/>
  <c r="AE66" i="3"/>
  <c r="AD66" i="3"/>
  <c r="AP65" i="3"/>
  <c r="AD65" i="3"/>
  <c r="AE65" i="3" s="1"/>
  <c r="AP64" i="3"/>
  <c r="AD64" i="3"/>
  <c r="AE64" i="3" s="1"/>
  <c r="AP63" i="3"/>
  <c r="AD63" i="3"/>
  <c r="AE63" i="3" s="1"/>
  <c r="AP62" i="3"/>
  <c r="AE62" i="3"/>
  <c r="AD62" i="3"/>
  <c r="AP61" i="3"/>
  <c r="AD61" i="3"/>
  <c r="AE61" i="3" s="1"/>
  <c r="AP60" i="3"/>
  <c r="AD60" i="3"/>
  <c r="AE60" i="3" s="1"/>
  <c r="AP59" i="3"/>
  <c r="AD59" i="3"/>
  <c r="AE59" i="3" s="1"/>
  <c r="AP58" i="3"/>
  <c r="AD58" i="3"/>
  <c r="AE58" i="3" s="1"/>
  <c r="AP57" i="3"/>
  <c r="AD57" i="3"/>
  <c r="AE57" i="3" s="1"/>
  <c r="AP56" i="3"/>
  <c r="AD56" i="3"/>
  <c r="AE56" i="3" s="1"/>
  <c r="AP55" i="3"/>
  <c r="AD55" i="3"/>
  <c r="AE55" i="3" s="1"/>
  <c r="AP54" i="3"/>
  <c r="AD54" i="3"/>
  <c r="AE54" i="3" s="1"/>
  <c r="AP53" i="3"/>
  <c r="AD53" i="3"/>
  <c r="AE53" i="3" s="1"/>
  <c r="AP52" i="3"/>
  <c r="AE52" i="3"/>
  <c r="AD52" i="3"/>
  <c r="AP51" i="3"/>
  <c r="AD51" i="3"/>
  <c r="AE51" i="3" s="1"/>
  <c r="AP50" i="3"/>
  <c r="AD50" i="3"/>
  <c r="AE50" i="3" s="1"/>
  <c r="AP49" i="3"/>
  <c r="AD49" i="3"/>
  <c r="AE49" i="3" s="1"/>
  <c r="AP48" i="3"/>
  <c r="AE48" i="3"/>
  <c r="AD48" i="3"/>
  <c r="AP47" i="3"/>
  <c r="AD47" i="3"/>
  <c r="AE47" i="3" s="1"/>
  <c r="AP46" i="3"/>
  <c r="AD46" i="3"/>
  <c r="AE46" i="3" s="1"/>
  <c r="AP45" i="3"/>
  <c r="AD45" i="3"/>
  <c r="AE45" i="3" s="1"/>
  <c r="AP44" i="3"/>
  <c r="AD44" i="3"/>
  <c r="AE44" i="3" s="1"/>
  <c r="AP43" i="3"/>
  <c r="AD43" i="3"/>
  <c r="AE43" i="3" s="1"/>
  <c r="AP42" i="3"/>
  <c r="AD42" i="3"/>
  <c r="AE42" i="3" s="1"/>
  <c r="AP41" i="3"/>
  <c r="AD41" i="3"/>
  <c r="AE41" i="3" s="1"/>
  <c r="AP40" i="3"/>
  <c r="AD40" i="3"/>
  <c r="AE40" i="3" s="1"/>
  <c r="AP39" i="3"/>
  <c r="AD39" i="3"/>
  <c r="AE39" i="3" s="1"/>
  <c r="AP38" i="3"/>
  <c r="AE38" i="3"/>
  <c r="AD38" i="3"/>
  <c r="AP37" i="3"/>
  <c r="AD37" i="3"/>
  <c r="AE37" i="3" s="1"/>
  <c r="AP36" i="3"/>
  <c r="AD36" i="3"/>
  <c r="AE36" i="3" s="1"/>
  <c r="AP35" i="3"/>
  <c r="AD35" i="3"/>
  <c r="AE35" i="3" s="1"/>
  <c r="AP34" i="3"/>
  <c r="AE34" i="3"/>
  <c r="AD34" i="3"/>
  <c r="AP33" i="3"/>
  <c r="AD33" i="3"/>
  <c r="AE33" i="3" s="1"/>
  <c r="AP32" i="3"/>
  <c r="AD32" i="3"/>
  <c r="AE32" i="3" s="1"/>
  <c r="AP31" i="3"/>
  <c r="AD31" i="3"/>
  <c r="AE31" i="3" s="1"/>
  <c r="AP30" i="3"/>
  <c r="AD30" i="3"/>
  <c r="AE30" i="3" s="1"/>
  <c r="AP29" i="3"/>
  <c r="AD29" i="3"/>
  <c r="AE29" i="3" s="1"/>
  <c r="AP28" i="3"/>
  <c r="AD28" i="3"/>
  <c r="AE28" i="3" s="1"/>
  <c r="AO20" i="3"/>
  <c r="AP20" i="3" s="1"/>
  <c r="AO21" i="3"/>
  <c r="AP21" i="3" s="1"/>
  <c r="AO22" i="3"/>
  <c r="AP22" i="3" s="1"/>
  <c r="AO23" i="3"/>
  <c r="AP23" i="3" s="1"/>
  <c r="AO27" i="3"/>
  <c r="AP27" i="3" s="1"/>
  <c r="AO12" i="3"/>
  <c r="AP12" i="3" s="1"/>
  <c r="AO13" i="3"/>
  <c r="AP13" i="3" s="1"/>
  <c r="AO16" i="3"/>
  <c r="AP16" i="3" s="1"/>
  <c r="AO8" i="3"/>
  <c r="AP8" i="3" s="1"/>
  <c r="AO18" i="3"/>
  <c r="AP18" i="3" s="1"/>
  <c r="AO19" i="3"/>
  <c r="AP19" i="3" s="1"/>
  <c r="AO17" i="3"/>
  <c r="AP17" i="3" s="1"/>
  <c r="AO11" i="3"/>
  <c r="AP11" i="3" s="1"/>
  <c r="AO14" i="3"/>
  <c r="AP14" i="3" s="1"/>
  <c r="AO15" i="3"/>
  <c r="AP15" i="3" s="1"/>
  <c r="AO10" i="3"/>
  <c r="AP10" i="3" s="1"/>
  <c r="AO6" i="3"/>
  <c r="AP6" i="3" s="1"/>
  <c r="AO5" i="3"/>
  <c r="AP5" i="3" s="1"/>
  <c r="AO9" i="3"/>
  <c r="AP9" i="3" s="1"/>
  <c r="AO7" i="3"/>
  <c r="AP7" i="3" s="1"/>
  <c r="AO25" i="3"/>
  <c r="AP25" i="3" s="1"/>
  <c r="AO26" i="3"/>
  <c r="AP26" i="3" s="1"/>
  <c r="AO24" i="3"/>
  <c r="AP24" i="3" s="1"/>
  <c r="AP28" i="2"/>
  <c r="AP29" i="2"/>
  <c r="AP30" i="2"/>
  <c r="AP31" i="2"/>
  <c r="AP32" i="2"/>
  <c r="AP33" i="2"/>
  <c r="AP34" i="2"/>
  <c r="AP35" i="2"/>
  <c r="AP36" i="2"/>
  <c r="AP37" i="2"/>
  <c r="AP38" i="2"/>
  <c r="AP39" i="2"/>
  <c r="AP40" i="2"/>
  <c r="AP41" i="2"/>
  <c r="AP42" i="2"/>
  <c r="AP43" i="2"/>
  <c r="AP44" i="2"/>
  <c r="AP45" i="2"/>
  <c r="AP46" i="2"/>
  <c r="AP47" i="2"/>
  <c r="AP48" i="2"/>
  <c r="AP49" i="2"/>
  <c r="AP50" i="2"/>
  <c r="AP51" i="2"/>
  <c r="AP52" i="2"/>
  <c r="AP53" i="2"/>
  <c r="AP54" i="2"/>
  <c r="AP55" i="2"/>
  <c r="AP56" i="2"/>
  <c r="AP57" i="2"/>
  <c r="AP58" i="2"/>
  <c r="AP59" i="2"/>
  <c r="AP60" i="2"/>
  <c r="AP61" i="2"/>
  <c r="AP62" i="2"/>
  <c r="AP63" i="2"/>
  <c r="AP64" i="2"/>
  <c r="AP65" i="2"/>
  <c r="AP66" i="2"/>
  <c r="AP67" i="2"/>
  <c r="AP68" i="2"/>
  <c r="AP69" i="2"/>
  <c r="AP70" i="2"/>
  <c r="AP71" i="2"/>
  <c r="AP72" i="2"/>
  <c r="AP73" i="2"/>
  <c r="AP74" i="2"/>
  <c r="AP75" i="2"/>
  <c r="AP76" i="2"/>
  <c r="AP77" i="2"/>
  <c r="AP78" i="2"/>
  <c r="AP79" i="2"/>
  <c r="AP80" i="2"/>
  <c r="AO6" i="2"/>
  <c r="AP6" i="2" s="1"/>
  <c r="AO7" i="2"/>
  <c r="AP7" i="2" s="1"/>
  <c r="AO8" i="2"/>
  <c r="AP8" i="2" s="1"/>
  <c r="AO9" i="2"/>
  <c r="AP9" i="2" s="1"/>
  <c r="AO10" i="2"/>
  <c r="AP10" i="2" s="1"/>
  <c r="AO11" i="2"/>
  <c r="AP11" i="2" s="1"/>
  <c r="AO12" i="2"/>
  <c r="AP12" i="2" s="1"/>
  <c r="AO13" i="2"/>
  <c r="AP13" i="2" s="1"/>
  <c r="AO14" i="2"/>
  <c r="AP14" i="2" s="1"/>
  <c r="AO15" i="2"/>
  <c r="AP15" i="2" s="1"/>
  <c r="AO16" i="2"/>
  <c r="AP16" i="2" s="1"/>
  <c r="AO17" i="2"/>
  <c r="AP17" i="2" s="1"/>
  <c r="AO18" i="2"/>
  <c r="AP18" i="2" s="1"/>
  <c r="AO19" i="2"/>
  <c r="AP19" i="2" s="1"/>
  <c r="AO20" i="2"/>
  <c r="AP20" i="2" s="1"/>
  <c r="AO21" i="2"/>
  <c r="AP21" i="2" s="1"/>
  <c r="AO22" i="2"/>
  <c r="AP22" i="2" s="1"/>
  <c r="AO23" i="2"/>
  <c r="AP23" i="2" s="1"/>
  <c r="AO24" i="2"/>
  <c r="AP24" i="2" s="1"/>
  <c r="AO25" i="2"/>
  <c r="AP25" i="2" s="1"/>
  <c r="AO26" i="2"/>
  <c r="AP26" i="2" s="1"/>
  <c r="AO27" i="2"/>
  <c r="AP27" i="2" s="1"/>
  <c r="AO5" i="2"/>
  <c r="AP5" i="2" s="1"/>
  <c r="AB6" i="2"/>
  <c r="AC6" i="2" s="1"/>
  <c r="AD6" i="2" s="1"/>
  <c r="AE6" i="2" s="1"/>
  <c r="AB7" i="2"/>
  <c r="AC7" i="2"/>
  <c r="AD7" i="2"/>
  <c r="AE7" i="2" s="1"/>
  <c r="AB8" i="2"/>
  <c r="AC8" i="2"/>
  <c r="AD8" i="2"/>
  <c r="AE8" i="2"/>
  <c r="AB9" i="2"/>
  <c r="AC9" i="2"/>
  <c r="AD9" i="2"/>
  <c r="AE9" i="2"/>
  <c r="AB10" i="2"/>
  <c r="AC10" i="2"/>
  <c r="AD10" i="2"/>
  <c r="AE10" i="2"/>
  <c r="AB11" i="2"/>
  <c r="AC11" i="2"/>
  <c r="AD11" i="2"/>
  <c r="AE11" i="2"/>
  <c r="AB12" i="2"/>
  <c r="AC12" i="2"/>
  <c r="AD12" i="2"/>
  <c r="AE12" i="2"/>
  <c r="AB13" i="2"/>
  <c r="AC13" i="2"/>
  <c r="AD13" i="2"/>
  <c r="AE13" i="2"/>
  <c r="AB14" i="2"/>
  <c r="AC14" i="2"/>
  <c r="AD14" i="2"/>
  <c r="AE14" i="2"/>
  <c r="AB15" i="2"/>
  <c r="AC15" i="2"/>
  <c r="AD15" i="2"/>
  <c r="AE15" i="2"/>
  <c r="AB16" i="2"/>
  <c r="AC16" i="2"/>
  <c r="AD16" i="2"/>
  <c r="AE16" i="2"/>
  <c r="AB17" i="2"/>
  <c r="AC17" i="2"/>
  <c r="AD17" i="2"/>
  <c r="AE17" i="2"/>
  <c r="AB18" i="2"/>
  <c r="AC18" i="2"/>
  <c r="AD18" i="2"/>
  <c r="AE18" i="2"/>
  <c r="AB19" i="2"/>
  <c r="AC19" i="2"/>
  <c r="AD19" i="2"/>
  <c r="AE19" i="2"/>
  <c r="AB20" i="2"/>
  <c r="AC20" i="2"/>
  <c r="AD20" i="2"/>
  <c r="AE20" i="2"/>
  <c r="AB21" i="2"/>
  <c r="AC21" i="2"/>
  <c r="AD21" i="2"/>
  <c r="AE21" i="2"/>
  <c r="AB22" i="2"/>
  <c r="AC22" i="2"/>
  <c r="AD22" i="2"/>
  <c r="AE22" i="2"/>
  <c r="AB23" i="2"/>
  <c r="AC23" i="2"/>
  <c r="AD23" i="2"/>
  <c r="AE23" i="2"/>
  <c r="AB24" i="2"/>
  <c r="AC24" i="2"/>
  <c r="AD24" i="2"/>
  <c r="AE24" i="2"/>
  <c r="AB25" i="2"/>
  <c r="AC25" i="2"/>
  <c r="AD25" i="2"/>
  <c r="AE25" i="2"/>
  <c r="AB26" i="2"/>
  <c r="AC26" i="2"/>
  <c r="AD26" i="2"/>
  <c r="AE26" i="2"/>
  <c r="AB27" i="2"/>
  <c r="AC27" i="2"/>
  <c r="AD27" i="2"/>
  <c r="AE27" i="2"/>
  <c r="AD28" i="2"/>
  <c r="AE28" i="2" s="1"/>
  <c r="AD29" i="2"/>
  <c r="AE29" i="2"/>
  <c r="AD30" i="2"/>
  <c r="AE30" i="2"/>
  <c r="AD31" i="2"/>
  <c r="AE31" i="2" s="1"/>
  <c r="AD32" i="2"/>
  <c r="AE32" i="2"/>
  <c r="AD33" i="2"/>
  <c r="AE33" i="2"/>
  <c r="AD34" i="2"/>
  <c r="AE34" i="2"/>
  <c r="AD35" i="2"/>
  <c r="AE35" i="2" s="1"/>
  <c r="AD36" i="2"/>
  <c r="AE36" i="2"/>
  <c r="AD37" i="2"/>
  <c r="AE37" i="2"/>
  <c r="AD38" i="2"/>
  <c r="AE38" i="2"/>
  <c r="AD39" i="2"/>
  <c r="AE39" i="2" s="1"/>
  <c r="AD40" i="2"/>
  <c r="AE40" i="2"/>
  <c r="AD41" i="2"/>
  <c r="AE41" i="2"/>
  <c r="AD42" i="2"/>
  <c r="AE42" i="2"/>
  <c r="AD43" i="2"/>
  <c r="AE43" i="2" s="1"/>
  <c r="AD44" i="2"/>
  <c r="AE44" i="2"/>
  <c r="AD45" i="2"/>
  <c r="AE45" i="2"/>
  <c r="AD46" i="2"/>
  <c r="AE46" i="2"/>
  <c r="AD47" i="2"/>
  <c r="AE47" i="2" s="1"/>
  <c r="AD48" i="2"/>
  <c r="AE48" i="2"/>
  <c r="AD49" i="2"/>
  <c r="AE49" i="2"/>
  <c r="AD50" i="2"/>
  <c r="AE50" i="2"/>
  <c r="AD51" i="2"/>
  <c r="AE51" i="2" s="1"/>
  <c r="AD52" i="2"/>
  <c r="AE52" i="2"/>
  <c r="AD53" i="2"/>
  <c r="AE53" i="2"/>
  <c r="AD54" i="2"/>
  <c r="AE54" i="2"/>
  <c r="AD55" i="2"/>
  <c r="AE55" i="2" s="1"/>
  <c r="AD56" i="2"/>
  <c r="AE56" i="2"/>
  <c r="AD57" i="2"/>
  <c r="AE57" i="2"/>
  <c r="AD58" i="2"/>
  <c r="AE58" i="2"/>
  <c r="AD59" i="2"/>
  <c r="AE59" i="2" s="1"/>
  <c r="AD60" i="2"/>
  <c r="AE60" i="2"/>
  <c r="AD61" i="2"/>
  <c r="AE61" i="2"/>
  <c r="AD62" i="2"/>
  <c r="AE62" i="2"/>
  <c r="AD63" i="2"/>
  <c r="AE63" i="2" s="1"/>
  <c r="AD64" i="2"/>
  <c r="AE64" i="2"/>
  <c r="AD65" i="2"/>
  <c r="AE65" i="2"/>
  <c r="AD66" i="2"/>
  <c r="AE66" i="2"/>
  <c r="AD67" i="2"/>
  <c r="AE67" i="2" s="1"/>
  <c r="AD68" i="2"/>
  <c r="AE68" i="2"/>
  <c r="AD69" i="2"/>
  <c r="AE69" i="2"/>
  <c r="AD70" i="2"/>
  <c r="AE70" i="2"/>
  <c r="AD71" i="2"/>
  <c r="AE71" i="2" s="1"/>
  <c r="AD72" i="2"/>
  <c r="AE72" i="2"/>
  <c r="AD73" i="2"/>
  <c r="AE73" i="2"/>
  <c r="AD74" i="2"/>
  <c r="AE74" i="2"/>
  <c r="AD75" i="2"/>
  <c r="AE75" i="2" s="1"/>
  <c r="AD76" i="2"/>
  <c r="AE76" i="2"/>
  <c r="AD77" i="2"/>
  <c r="AE77" i="2"/>
  <c r="AD78" i="2"/>
  <c r="AE78" i="2"/>
  <c r="AD79" i="2"/>
  <c r="AE79" i="2" s="1"/>
  <c r="AD80" i="2"/>
  <c r="AE80" i="2"/>
  <c r="AA10" i="3" l="1"/>
  <c r="AN10" i="3"/>
  <c r="AA20" i="3"/>
  <c r="AN20" i="3"/>
  <c r="AA15" i="3"/>
  <c r="AN15" i="3"/>
  <c r="AR23" i="3"/>
  <c r="AE23" i="3" s="1"/>
  <c r="AC27" i="3"/>
  <c r="AC8" i="3"/>
  <c r="AC26" i="3"/>
  <c r="AQ23" i="3"/>
  <c r="R23" i="3" s="1"/>
  <c r="T23" i="3" s="1"/>
  <c r="AC23" i="3" s="1"/>
  <c r="R22" i="3"/>
  <c r="T22" i="3" s="1"/>
  <c r="AC22" i="3" s="1"/>
  <c r="AA25" i="3"/>
  <c r="AN25" i="3"/>
  <c r="AA24" i="3"/>
  <c r="AN24" i="3"/>
  <c r="AQ6" i="3"/>
  <c r="AA9" i="3"/>
  <c r="AN9" i="3"/>
  <c r="AS7" i="3"/>
  <c r="AB7" i="3" s="1"/>
  <c r="AA21" i="3"/>
  <c r="AN21" i="3"/>
  <c r="AR10" i="3"/>
  <c r="AE10" i="3" s="1"/>
  <c r="I9" i="1"/>
  <c r="L9" i="1" s="1"/>
  <c r="B9" i="1"/>
  <c r="L7" i="1"/>
  <c r="K7" i="1"/>
  <c r="J7" i="1"/>
  <c r="AB5" i="2"/>
  <c r="AC5" i="2" s="1"/>
  <c r="AD5" i="2" s="1"/>
  <c r="AE5" i="2" s="1"/>
  <c r="AA22" i="3" l="1"/>
  <c r="AN22" i="3"/>
  <c r="AA23" i="3"/>
  <c r="AN23" i="3"/>
  <c r="AA26" i="3"/>
  <c r="AN26" i="3"/>
  <c r="AA8" i="3"/>
  <c r="AN8" i="3"/>
  <c r="AA27" i="3"/>
  <c r="AN27" i="3"/>
  <c r="R6" i="3"/>
  <c r="T6" i="3" s="1"/>
  <c r="AC6" i="3" s="1"/>
  <c r="AQ7" i="3"/>
  <c r="R7" i="3" s="1"/>
  <c r="T7" i="3" s="1"/>
  <c r="AC7" i="3" s="1"/>
  <c r="K9" i="1"/>
  <c r="AA6" i="3" l="1"/>
  <c r="AN6" i="3"/>
  <c r="AA7" i="3"/>
  <c r="AN7" i="3"/>
  <c r="AC5" i="3"/>
  <c r="AA5" i="3" l="1"/>
  <c r="AN5" i="3"/>
</calcChain>
</file>

<file path=xl/sharedStrings.xml><?xml version="1.0" encoding="utf-8"?>
<sst xmlns="http://schemas.openxmlformats.org/spreadsheetml/2006/main" count="860" uniqueCount="252">
  <si>
    <t>Field Name</t>
  </si>
  <si>
    <t>Animal Code</t>
  </si>
  <si>
    <t>Animal Type</t>
  </si>
  <si>
    <t>Breed</t>
  </si>
  <si>
    <t>Gender</t>
  </si>
  <si>
    <t>Date of Birth</t>
  </si>
  <si>
    <t>Age at Entry Weeks</t>
  </si>
  <si>
    <t>Entry Type</t>
  </si>
  <si>
    <t>Entry Date</t>
  </si>
  <si>
    <t>Source GRN</t>
  </si>
  <si>
    <t>Source Batch Born From</t>
  </si>
  <si>
    <t>Animal Item</t>
  </si>
  <si>
    <t>Serial Number</t>
  </si>
  <si>
    <t>RFID Tag</t>
  </si>
  <si>
    <t>Ear Tag Visual</t>
  </si>
  <si>
    <t>Sire Father</t>
  </si>
  <si>
    <t>Dam Mother</t>
  </si>
  <si>
    <t>Acquisition Cost</t>
  </si>
  <si>
    <t>Landing Cost</t>
  </si>
  <si>
    <t>Total Opening Asset Value</t>
  </si>
  <si>
    <t>Current Stage</t>
  </si>
  <si>
    <t>Current Active Batch</t>
  </si>
  <si>
    <t>Current Location</t>
  </si>
  <si>
    <t>Parity Count</t>
  </si>
  <si>
    <t>Total Piglets Born Live</t>
  </si>
  <si>
    <t>Total Piglets Weaned</t>
  </si>
  <si>
    <t>Current Bio Asset Value</t>
  </si>
  <si>
    <t>Total Amortised</t>
  </si>
  <si>
    <t>Book Value NBV</t>
  </si>
  <si>
    <t>Residual Value</t>
  </si>
  <si>
    <t>Monthly Amortisation</t>
  </si>
  <si>
    <t>Productive Life Start Date</t>
  </si>
  <si>
    <t>Expected Cull Date</t>
  </si>
  <si>
    <t>Status</t>
  </si>
  <si>
    <t>Disposal Date</t>
  </si>
  <si>
    <t>Disposal Type</t>
  </si>
  <si>
    <t>Nos. of Teats</t>
  </si>
  <si>
    <t>TSI</t>
  </si>
  <si>
    <t xml:space="preserve">Grading </t>
  </si>
  <si>
    <t xml:space="preserve">Bio Asset Value </t>
  </si>
  <si>
    <t>Description</t>
  </si>
  <si>
    <t>Auto-generated from No. Series ANIMAL_PIGGERY. Format: PIG-YYYY-SEQ.</t>
  </si>
  <si>
    <t>SOW / BOAR / GILT / PIGLET / COMMERCIAL_PIG</t>
  </si>
  <si>
    <t>Animal breed. Lookup from breed_master filtered by NOB and LOB.</t>
  </si>
  <si>
    <t>F = Female Sow or Gilt. M = Male Boar.</t>
  </si>
  <si>
    <t>Date of birth if born on this farm. NULL if imported and DOB unknown.</t>
  </si>
  <si>
    <t>Computed from dob and entry_date. Manual entry if imported and DOB unknown.</t>
  </si>
  <si>
    <t>PURCHASED_IMPORTED / PURCHASED_LOCAL / BORN_ON_FARM / TRANSFERRED_IN</t>
  </si>
  <si>
    <t>Date animal arrived or was born on this farm.</t>
  </si>
  <si>
    <t>GRN on which this animal arrived. Required if entry_type = PURCHASED.</t>
  </si>
  <si>
    <t>Farrowing batch that produced this animal. Required if entry_type = BORN_ON_FARM.</t>
  </si>
  <si>
    <t>Lookup to item_master for this animal type LIVING_ASSET. Links inventory and costing.</t>
  </si>
  <si>
    <t>Individual serial number from item_lot_serials. Created on GRN POST.</t>
  </si>
  <si>
    <t>RFID ear tag number for scanning. UNIQUE if set.</t>
  </si>
  <si>
    <t>Visual ear tag number.</t>
  </si>
  <si>
    <t>Father boar. Self-referential FK. Links to boar record.</t>
  </si>
  <si>
    <t>Mother sow. Self-referential FK.</t>
  </si>
  <si>
    <t>Purchase price per animal. From PO line or manual entry on GRN.</t>
  </si>
  <si>
    <t>Transport import duty quarantine charges per head for imported animals.</t>
  </si>
  <si>
    <t>Total bio-asset value at entry. Auto-computed.</t>
  </si>
  <si>
    <t>QUARANTINE / GILT_GROWER / FLUSH / DRY_SOW / GESTATION / FARROWING / WEANING / PRODUCTIVE_SOW / BOAR_AI / CULLED / DEAD / SOLD / SLAUGHTERED</t>
  </si>
  <si>
    <t>FK to the batch this animal is currently in.</t>
  </si>
  <si>
    <t>FK to current shed or pen.</t>
  </si>
  <si>
    <t>Completed pregnancies. Incremented plus 1 on each weaning batch close.</t>
  </si>
  <si>
    <t>Cumulative live births over lifetime.</t>
  </si>
  <si>
    <t>Cumulative piglets weaned over lifetime.</t>
  </si>
  <si>
    <t>Live biological asset value. Auto-updated from bio_asset_ledger.</t>
  </si>
  <si>
    <t>Cumulative amortisation posted to date.</t>
  </si>
  <si>
    <t>Net Book Value = Current Bio Asset Value minus Total Amortised.</t>
  </si>
  <si>
    <t>Estimated salvage value at end of productive life.</t>
  </si>
  <si>
    <t>Monthly amortisation charge. Auto-calculated.</t>
  </si>
  <si>
    <t>Date animal entered productive stage first farrowing or PRODUCTIVE_SOW status.</t>
  </si>
  <si>
    <t>Expected disposal date based on productive life.</t>
  </si>
  <si>
    <t>ACTIVE / QUARANTINE / SICK / PREGNANT / LACTATING / DRY / CULLED / DEAD / SOLD / SLAUGHTERED</t>
  </si>
  <si>
    <t>Date of sale slaughter or death.</t>
  </si>
  <si>
    <t>SOLD / SLAUGHTERED / DIED / TRANSFERRED</t>
  </si>
  <si>
    <t>Count of Teates</t>
  </si>
  <si>
    <t>Featched from Topigs</t>
  </si>
  <si>
    <t>Flow from Navfarm Input  (Back Fat - P2 measurement)</t>
  </si>
  <si>
    <t>Non Current Asset/Flow from from BC</t>
  </si>
  <si>
    <t>Example Value</t>
  </si>
  <si>
    <t>PIG-2025-0001</t>
  </si>
  <si>
    <t>SOW</t>
  </si>
  <si>
    <t>uuid-breed-01</t>
  </si>
  <si>
    <t>F</t>
  </si>
  <si>
    <t>2024-10-01</t>
  </si>
  <si>
    <t>3</t>
  </si>
  <si>
    <t>PURCHASED_IMPORTED</t>
  </si>
  <si>
    <t>2025-01-15</t>
  </si>
  <si>
    <t>uuid-grn-001</t>
  </si>
  <si>
    <t>uuid-batch-farr-001</t>
  </si>
  <si>
    <t>uuid-item-gilt</t>
  </si>
  <si>
    <t>uuid-ls-001</t>
  </si>
  <si>
    <t>RFID-PIG-001234</t>
  </si>
  <si>
    <t>ET-2025-001</t>
  </si>
  <si>
    <t>uuid-ani-boar-001</t>
  </si>
  <si>
    <t>uuid-ani-sow-001</t>
  </si>
  <si>
    <t>2857.5700</t>
  </si>
  <si>
    <t>200.0000</t>
  </si>
  <si>
    <t>3057.5700</t>
  </si>
  <si>
    <t>QUARANTINE</t>
  </si>
  <si>
    <t>uuid-batch-gest-001</t>
  </si>
  <si>
    <t>uuid-loc-pen-01a</t>
  </si>
  <si>
    <t>2</t>
  </si>
  <si>
    <t>23</t>
  </si>
  <si>
    <t>21</t>
  </si>
  <si>
    <t>3843.5700</t>
  </si>
  <si>
    <t>3643.5700</t>
  </si>
  <si>
    <t>305.7600</t>
  </si>
  <si>
    <t>84.9400</t>
  </si>
  <si>
    <t>2025-08-01</t>
  </si>
  <si>
    <t>2028-08-01</t>
  </si>
  <si>
    <t>ACTIVE</t>
  </si>
  <si>
    <t>2028-09-01</t>
  </si>
  <si>
    <t>SOLD</t>
  </si>
  <si>
    <t>Purple - July 2026</t>
  </si>
  <si>
    <t>Mandatory</t>
  </si>
  <si>
    <t>YES</t>
  </si>
  <si>
    <t>NO</t>
  </si>
  <si>
    <t>COND</t>
  </si>
  <si>
    <t xml:space="preserve">Yes </t>
  </si>
  <si>
    <t>Yes</t>
  </si>
  <si>
    <t>Green - Feb 2026</t>
  </si>
  <si>
    <t>PIG-2026-0006</t>
  </si>
  <si>
    <t>BOAR</t>
  </si>
  <si>
    <t>TEMPO</t>
  </si>
  <si>
    <t>M</t>
  </si>
  <si>
    <t>Imported</t>
  </si>
  <si>
    <t>Directly Imported for Farm</t>
  </si>
  <si>
    <t>Living asset</t>
  </si>
  <si>
    <t>n/a</t>
  </si>
  <si>
    <t>REDA4287</t>
  </si>
  <si>
    <t>REDA2041</t>
  </si>
  <si>
    <t>BLUE - SEPT 2025</t>
  </si>
  <si>
    <t>PIG-2026-0007</t>
  </si>
  <si>
    <t>REDA4288</t>
  </si>
  <si>
    <t>RED - APRIL 2025</t>
  </si>
  <si>
    <t>PIG-2026-0004</t>
  </si>
  <si>
    <t>REDA4244</t>
  </si>
  <si>
    <t>TJR4250</t>
  </si>
  <si>
    <t>GREY - DEC 2024</t>
  </si>
  <si>
    <t>PIG-2026-0015</t>
  </si>
  <si>
    <t>L-Line</t>
  </si>
  <si>
    <t>YELA1342</t>
  </si>
  <si>
    <t>YELA0628</t>
  </si>
  <si>
    <t>YELLOW - FEB 2024</t>
  </si>
  <si>
    <t>PIG-2026-0005</t>
  </si>
  <si>
    <t>REDA4146</t>
  </si>
  <si>
    <t>REDA2382</t>
  </si>
  <si>
    <t>No fill - sept 2023</t>
  </si>
  <si>
    <t>PIG-2026-0008</t>
  </si>
  <si>
    <t>REDA4147</t>
  </si>
  <si>
    <t>PIG-2026-0011</t>
  </si>
  <si>
    <t>REDA2568</t>
  </si>
  <si>
    <t>REDA0012</t>
  </si>
  <si>
    <t>PIG-2026-0018</t>
  </si>
  <si>
    <t>YELA0752</t>
  </si>
  <si>
    <t>TNCM6075</t>
  </si>
  <si>
    <t>PIG-2026-0017</t>
  </si>
  <si>
    <t>YELA0724</t>
  </si>
  <si>
    <t>YELA0011</t>
  </si>
  <si>
    <t>PIG-2026-0010</t>
  </si>
  <si>
    <t>REDA1721</t>
  </si>
  <si>
    <t>TNCL9674</t>
  </si>
  <si>
    <t>PIG-2026-0009</t>
  </si>
  <si>
    <t>REDA1669</t>
  </si>
  <si>
    <t>TNCK1440</t>
  </si>
  <si>
    <t>PIG-2026-0016</t>
  </si>
  <si>
    <t>YELA0499</t>
  </si>
  <si>
    <t>TNCI6522</t>
  </si>
  <si>
    <t>PIG-2026-0012</t>
  </si>
  <si>
    <t>REDA1130</t>
  </si>
  <si>
    <t>PIG-2026-0014</t>
  </si>
  <si>
    <t>TNCL3033</t>
  </si>
  <si>
    <t>TJM3246</t>
  </si>
  <si>
    <t>PIG-2026-0013</t>
  </si>
  <si>
    <t>TNCJ0211</t>
  </si>
  <si>
    <t>TNCB7995</t>
  </si>
  <si>
    <t>PIG-2026-0023</t>
  </si>
  <si>
    <t>Z-Line</t>
  </si>
  <si>
    <t>BLXA9988</t>
  </si>
  <si>
    <t>BLXA4727</t>
  </si>
  <si>
    <t>PIG-2026-0022</t>
  </si>
  <si>
    <t>BLXB0011</t>
  </si>
  <si>
    <t>BLXA4304</t>
  </si>
  <si>
    <t>PIG-2026-0021</t>
  </si>
  <si>
    <t>BLXB0349</t>
  </si>
  <si>
    <t>4172DM</t>
  </si>
  <si>
    <t>PIG-2026-0020</t>
  </si>
  <si>
    <t>BLXB0234</t>
  </si>
  <si>
    <t>BLXA5685</t>
  </si>
  <si>
    <t>PIG-2026-0001</t>
  </si>
  <si>
    <t>REDA3337</t>
  </si>
  <si>
    <t>REDA0859</t>
  </si>
  <si>
    <t>PIG-2026-0003</t>
  </si>
  <si>
    <t>REDA3300</t>
  </si>
  <si>
    <t>PIG-2026-0002</t>
  </si>
  <si>
    <t>REDA3132</t>
  </si>
  <si>
    <t>PIG-2026-0019</t>
  </si>
  <si>
    <t>YELA0946</t>
  </si>
  <si>
    <t>YELA0328</t>
  </si>
  <si>
    <t>From accounts</t>
  </si>
  <si>
    <t>From Accounts</t>
  </si>
  <si>
    <t>Breeding Record - AI or mating event per sow with semen lot pregnancy check and expected farrowing date, Just req data for the understanding, later stage.</t>
  </si>
  <si>
    <t>Tag Number</t>
  </si>
  <si>
    <t>Sow</t>
  </si>
  <si>
    <t>Batch</t>
  </si>
  <si>
    <t>Mating Type</t>
  </si>
  <si>
    <t>Boar</t>
  </si>
  <si>
    <t>Semen Lot</t>
  </si>
  <si>
    <t>Semen Dose Qty</t>
  </si>
  <si>
    <t>Mating Date</t>
  </si>
  <si>
    <t>Second Mating Date</t>
  </si>
  <si>
    <t>Expected Farrowing Date</t>
  </si>
  <si>
    <t>Pregnancy Check Date</t>
  </si>
  <si>
    <t>Pregnancy Check Method</t>
  </si>
  <si>
    <t>Pregnancy Confirmed</t>
  </si>
  <si>
    <t>Conception Result</t>
  </si>
  <si>
    <t>Parity Number</t>
  </si>
  <si>
    <t>The sow being mated. Lookup from animal_register where animal_type = SOW or GILT.</t>
  </si>
  <si>
    <t>The Flush or AI batch containing this event.</t>
  </si>
  <si>
    <t>AI = Artificial Insemination. NATURAL_MATING = with boar.</t>
  </si>
  <si>
    <t>The boar for NATURAL_MATING. Required if mating_type = NATURAL_MATING.</t>
  </si>
  <si>
    <t>Semen lot consumed for AI. Required if mating_type = AI. FIFO consumption of semen inventory.</t>
  </si>
  <si>
    <t>Doses used for this insemination. Posted as CONSUMPTION to inventory_ledger.</t>
  </si>
  <si>
    <t>Date of insemination or natural mating.</t>
  </si>
  <si>
    <t>Follow-up insemination 48hr repeat for AI.</t>
  </si>
  <si>
    <t>Expected farrowing date. Auto-calculated.</t>
  </si>
  <si>
    <t>Date of pregnancy confirmation check. Typically 28 days post mating.</t>
  </si>
  <si>
    <t>ULTRASOUND / RECTAL / VISUAL / NOT_CHECKED</t>
  </si>
  <si>
    <t>NULL = pending. TRUE = confirmed. FALSE = failed.</t>
  </si>
  <si>
    <t>CONFIRMED / REPEAT / FAILED / PENDING. If FAILED sow returns to Flush.</t>
  </si>
  <si>
    <t>Which parity this is for this sow.</t>
  </si>
  <si>
    <t>uuid-ani-sow</t>
  </si>
  <si>
    <t>uuid-batch-flush</t>
  </si>
  <si>
    <t>AI</t>
  </si>
  <si>
    <t>uuid-ani-boar</t>
  </si>
  <si>
    <t>uuid-ls-semen</t>
  </si>
  <si>
    <t>1.00</t>
  </si>
  <si>
    <t>2025-03-01</t>
  </si>
  <si>
    <t>2025-03-03</t>
  </si>
  <si>
    <t>2025-06-23</t>
  </si>
  <si>
    <t>2025-03-29</t>
  </si>
  <si>
    <t>ULTRASOUND</t>
  </si>
  <si>
    <t>TRUE</t>
  </si>
  <si>
    <t>CONFIRMED</t>
  </si>
  <si>
    <t>DLNA8228</t>
  </si>
  <si>
    <t>hhjb</t>
  </si>
  <si>
    <t>Ultrasound</t>
  </si>
  <si>
    <t>Confirmed</t>
  </si>
  <si>
    <t>Gilt</t>
  </si>
  <si>
    <t>ggt1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</si>
</sst>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-;\-* #,##0.00_-;_-* &quot;-&quot;??_-;_-@_-"/>
  </numFmts>
  <fonts count="1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9"/>
      <color rgb="FFFFFFFF"/>
      <name val="Aptos Narrow"/>
      <family val="2"/>
      <scheme val="minor"/>
    </font>
    <font>
      <sz val="9"/>
      <color rgb="FF2C3E50"/>
      <name val="Aptos Narrow"/>
      <family val="2"/>
      <scheme val="minor"/>
    </font>
    <font>
      <sz val="9"/>
      <color rgb="FFC0392B"/>
      <name val="Aptos Narrow"/>
      <family val="2"/>
      <scheme val="minor"/>
    </font>
    <font>
      <b/>
      <sz val="9"/>
      <color rgb="FF2C3E50"/>
      <name val="Aptos Narrow"/>
      <family val="2"/>
      <scheme val="minor"/>
    </font>
    <font>
      <sz val="11"/>
      <color rgb="FF242424"/>
      <name val="Aptos Narrow"/>
      <family val="2"/>
    </font>
    <font>
      <sz val="8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rgb="FF000000"/>
      <name val="Calibri"/>
      <family val="2"/>
    </font>
    <font>
      <sz val="11"/>
      <color theme="1"/>
      <name val="Aptos Narrow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D6EAF8"/>
      </patternFill>
    </fill>
    <fill>
      <patternFill patternType="solid">
        <fgColor rgb="FFFEF9E7"/>
      </patternFill>
    </fill>
    <fill>
      <patternFill patternType="solid">
        <fgColor rgb="FFF2F3F4"/>
      </patternFill>
    </fill>
    <fill>
      <patternFill patternType="solid">
        <fgColor rgb="FFFFFFFF"/>
      </patternFill>
    </fill>
    <fill>
      <patternFill patternType="solid">
        <fgColor rgb="FFC00000"/>
        <bgColor indexed="64"/>
      </patternFill>
    </fill>
    <fill>
      <patternFill patternType="solid">
        <fgColor rgb="FF2E86C1"/>
      </patternFill>
    </fill>
    <fill>
      <patternFill patternType="solid">
        <fgColor theme="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66"/>
        <bgColor indexed="64"/>
      </patternFill>
    </fill>
  </fills>
  <borders count="5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</borders>
  <cellStyleXfs count="5">
    <xf numFmtId="0" fontId="0" fillId="0" borderId="0"/>
    <xf numFmtId="0" fontId="8" fillId="0" borderId="0"/>
    <xf numFmtId="0" fontId="9" fillId="0" borderId="0"/>
    <xf numFmtId="0" fontId="9" fillId="0" borderId="0"/>
    <xf numFmtId="164" fontId="10" fillId="0" borderId="0" applyFont="0" applyFill="0" applyBorder="0" applyAlignment="0" applyProtection="0"/>
  </cellStyleXfs>
  <cellXfs count="47">
    <xf numFmtId="0" fontId="0" fillId="0" borderId="0" xfId="0"/>
    <xf numFmtId="0" fontId="3" fillId="2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left" vertical="center" wrapText="1"/>
    </xf>
    <xf numFmtId="0" fontId="3" fillId="6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0" fillId="8" borderId="0" xfId="0" applyFill="1"/>
    <xf numFmtId="0" fontId="6" fillId="8" borderId="0" xfId="0" applyFont="1" applyFill="1"/>
    <xf numFmtId="0" fontId="0" fillId="0" borderId="2" xfId="0" applyBorder="1" applyAlignment="1">
      <alignment horizontal="center"/>
    </xf>
    <xf numFmtId="0" fontId="0" fillId="0" borderId="2" xfId="0" applyBorder="1"/>
    <xf numFmtId="0" fontId="3" fillId="5" borderId="3" xfId="0" applyFont="1" applyFill="1" applyBorder="1" applyAlignment="1">
      <alignment horizontal="left" vertical="center" wrapText="1"/>
    </xf>
    <xf numFmtId="0" fontId="3" fillId="5" borderId="3" xfId="0" applyFont="1" applyFill="1" applyBorder="1" applyAlignment="1">
      <alignment horizontal="center" vertical="center" wrapText="1"/>
    </xf>
    <xf numFmtId="0" fontId="3" fillId="5" borderId="4" xfId="0" applyFont="1" applyFill="1" applyBorder="1" applyAlignment="1">
      <alignment horizontal="left" vertical="center" wrapText="1"/>
    </xf>
    <xf numFmtId="0" fontId="3" fillId="2" borderId="0" xfId="0" applyFont="1" applyFill="1" applyAlignment="1">
      <alignment horizontal="center" vertical="center" wrapText="1"/>
    </xf>
    <xf numFmtId="15" fontId="0" fillId="0" borderId="0" xfId="0" applyNumberFormat="1"/>
    <xf numFmtId="15" fontId="3" fillId="5" borderId="0" xfId="0" applyNumberFormat="1" applyFont="1" applyFill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14" fontId="0" fillId="0" borderId="0" xfId="0" applyNumberFormat="1"/>
    <xf numFmtId="164" fontId="0" fillId="0" borderId="0" xfId="4" applyFont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164" fontId="0" fillId="0" borderId="0" xfId="0" applyNumberFormat="1"/>
    <xf numFmtId="0" fontId="0" fillId="13" borderId="0" xfId="0" applyFill="1"/>
    <xf numFmtId="0" fontId="0" fillId="14" borderId="0" xfId="0" applyFill="1"/>
    <xf numFmtId="0" fontId="1" fillId="6" borderId="0" xfId="0" applyFont="1" applyFill="1" applyAlignment="1">
      <alignment horizontal="left"/>
    </xf>
  </cellXfs>
  <cellStyles count="5">
    <cellStyle name="Comma" xfId="4" builtinId="3"/>
    <cellStyle name="Normal" xfId="0" builtinId="0"/>
    <cellStyle name="Normal 2" xfId="3" xr:uid="{50BDDB2C-C356-4B18-8842-3EB69005578F}"/>
    <cellStyle name="Normal 3" xfId="1" xr:uid="{F2C892F3-1C63-4A59-9808-5CC3FE81EE88}"/>
    <cellStyle name="Normal 4" xfId="2" xr:uid="{F8EFC15D-D6F6-4C47-BADE-EE85CCAD5ADA}"/>
  </cellStyles>
  <dxfs count="1">
    <dxf>
      <fill>
        <patternFill patternType="none">
          <fgColor indexed="64"/>
          <bgColor indexed="65"/>
        </patternFill>
      </fill>
    </dxf>
  </dxfs>
  <tableStyles count="0" defaultTableStyle="TableStyleMedium2" defaultPivotStyle="PivotStyleLight16"/>
  <colors>
    <mruColors>
      <color rgb="FFFFFF66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triplecpigs.sharepoint.com/sites/TripleCPigsFinance/Shared%20Documents/Management%20Accounting%20Section/Livestock%20Reports/FY2027/August%202026/Fair%20Value%20%20Cost%20Calculation%200826.xlsx" TargetMode="External"/><Relationship Id="rId1" Type="http://schemas.openxmlformats.org/officeDocument/2006/relationships/externalLinkPath" Target="https://triplecpigs.sharepoint.com/sites/TripleCPigsFinance/Shared%20Documents/Management%20Accounting%20Section/Livestock%20Reports/FY2027/August%202026/Fair%20Value%20%20Cost%20Calculation%2008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ummary"/>
      <sheetName val="IS 2021"/>
      <sheetName val="Grasmere"/>
      <sheetName val="Learig"/>
      <sheetName val="Lionhead"/>
      <sheetName val="Lionhead Ext."/>
      <sheetName val="Villa"/>
      <sheetName val="Richlands"/>
      <sheetName val="Assumption"/>
      <sheetName val="Feed Cost &amp; Allocation"/>
      <sheetName val="FCA RDATA"/>
      <sheetName val="FV Analysis"/>
      <sheetName val="FV Analysis Prior Mnth"/>
      <sheetName val="Fair Value Analysis Summary Spl"/>
      <sheetName val="Fair Value Analysis Summary"/>
      <sheetName val="Prior Mnth Summary"/>
      <sheetName val="Month NSP"/>
      <sheetName val="September 2022"/>
      <sheetName val="Prior Month"/>
      <sheetName val="Pig Costing June 2022"/>
      <sheetName val="Imported Pigs Costing 0622"/>
      <sheetName val="June 2022 USD"/>
      <sheetName val="Pig Costing July 2022"/>
      <sheetName val="Imported Pigs Costing 0722"/>
      <sheetName val="July 2022 USD"/>
      <sheetName val="Pig Costing Aug 2022"/>
      <sheetName val="Imported Pigs Costing 0822"/>
      <sheetName val="August 2022 USD"/>
      <sheetName val="Pig Costing Sept 2022"/>
      <sheetName val="Imported Pigs Costing 0922"/>
      <sheetName val="September 2022 USD"/>
      <sheetName val="Pig Costing Oct 2022"/>
      <sheetName val="Imported Pigs Costing 1022"/>
      <sheetName val="October 2022 USD"/>
      <sheetName val="Pig Costing Nov 2022"/>
      <sheetName val="Imported Pigs Costing 1122"/>
      <sheetName val="November 2022 USD"/>
      <sheetName val="Pig Costing Dec 2022"/>
      <sheetName val="Imported Pigs Costing 1222"/>
      <sheetName val="December 2022 USD"/>
      <sheetName val="Pig Costing Jan 2023"/>
      <sheetName val="Imported Pigs Costing 0123"/>
      <sheetName val="January 2023 USD"/>
      <sheetName val="Pig Costing Feb 2023"/>
      <sheetName val="Imported Pigs Costing 0223"/>
      <sheetName val="February 2023 USD"/>
      <sheetName val="Pig Costing March 2023"/>
      <sheetName val="Imported Pigs Costing 0323"/>
      <sheetName val="March 2023 USD"/>
      <sheetName val="Pig Costing April 2023"/>
      <sheetName val="Imported Pigs Costing 0423"/>
      <sheetName val="April 2023 USD"/>
      <sheetName val="April 23 Purchases"/>
      <sheetName val="Pig Costing June 2023"/>
      <sheetName val="Pig Costing July 2023"/>
      <sheetName val="Pig Costing May 2023"/>
      <sheetName val="Imported Pigs Costing 0623 "/>
      <sheetName val="Imported Pigs Costing 0723"/>
      <sheetName val="July 2023 USD"/>
      <sheetName val="Pig Costing August 2023"/>
      <sheetName val="Imported Pigs Costing 0523"/>
      <sheetName val="June 2023 USD"/>
      <sheetName val="May 2023 USD "/>
      <sheetName val="Imported Pigs Costing 0823"/>
      <sheetName val="August 2023 USD "/>
      <sheetName val="Pig Costing September 2023 "/>
      <sheetName val="Imported Pigs Costing 0923"/>
      <sheetName val="September 2023 USD  "/>
      <sheetName val="September 23 Costing"/>
      <sheetName val="Pig Costing October 2023"/>
      <sheetName val="Imported Pigs Costing 1023"/>
      <sheetName val="October 2023 USD"/>
      <sheetName val="Pig Costing November 2023"/>
      <sheetName val="Imported Pigs Costing 1123"/>
      <sheetName val="November 2023 USD"/>
      <sheetName val="Pig Costing December 2023"/>
      <sheetName val="Imported Pigs Costing 1223"/>
      <sheetName val="December 2023 USD "/>
      <sheetName val="Pig Costing January 2024"/>
      <sheetName val="Imported Pigs Costing 0124"/>
      <sheetName val="January 2024 USD"/>
      <sheetName val="Pig Costing February 2024"/>
      <sheetName val="Imported Pigs Costing 0224"/>
      <sheetName val="February 2024 USD"/>
      <sheetName val="Pig Costing March 2024"/>
      <sheetName val="Imported Pigs Costing 0324 "/>
      <sheetName val="March 2024 USD "/>
      <sheetName val="Pig Costing April 2024 "/>
      <sheetName val="Imported Pigs Costing 0424"/>
      <sheetName val="April 2024 USD "/>
      <sheetName val="Pig Costing May 2024"/>
      <sheetName val="Imported Pigs Costing 0524"/>
      <sheetName val="May 2024 USD  "/>
      <sheetName val="Pig Costing June 2024"/>
      <sheetName val="Imported Pigs Costing 0624"/>
      <sheetName val="June 2024 USD"/>
      <sheetName val="Pig Costing July 2024"/>
      <sheetName val="Imported Pigs Costing 0724"/>
      <sheetName val="July 2024 USD"/>
      <sheetName val="Pig Costing August 2024 "/>
      <sheetName val="Imported Pigs Costing 0824"/>
      <sheetName val="August 2024 USD"/>
      <sheetName val="Pig Costing September 2024 "/>
      <sheetName val="Imported Pigs Costing 0924"/>
      <sheetName val="September 2024 USD"/>
      <sheetName val="Pig Costing October 2024"/>
      <sheetName val="Imported Pigs Costing 1024"/>
      <sheetName val="October 2024 USD"/>
      <sheetName val="Pig Costing November 2024"/>
      <sheetName val="Imported Pigs Costing 1124"/>
      <sheetName val="November 2024 USD"/>
      <sheetName val="Pig Costing December 2024"/>
      <sheetName val="Imported Pigs Costing 1224"/>
      <sheetName val="December 2024 USD "/>
      <sheetName val="Pig Costing January 2025"/>
      <sheetName val="Imported Pigs Costing 0125"/>
      <sheetName val="January 2025 USD  "/>
      <sheetName val="Pig Costing February 2025"/>
      <sheetName val="Imported Pigs Costing 0225"/>
      <sheetName val="February 2025 USD"/>
      <sheetName val="Pig Costing March 2025"/>
      <sheetName val="Imported Pigs Costing 0325"/>
      <sheetName val="March 2025 USD"/>
      <sheetName val="Pig Costing April 2025"/>
      <sheetName val="Imported Pigs Costing 0425 "/>
      <sheetName val="April 2025 USD"/>
      <sheetName val="Pig Costing May 2025"/>
      <sheetName val="Imported Pigs Costing 0525"/>
      <sheetName val="May 2025 USD"/>
      <sheetName val="Pig Costing June 2025"/>
      <sheetName val="Imported Pigs Costing 0625"/>
      <sheetName val="June 2025 USD"/>
      <sheetName val="Imported Pigs Costing 0625 (2)"/>
      <sheetName val="Pig Costing July 2025"/>
      <sheetName val="Imported Pigs Costing 0725"/>
      <sheetName val="July 2025 USD"/>
      <sheetName val="Pig Costing August 2025"/>
      <sheetName val="Imported Pigs Costing 0825"/>
      <sheetName val="August 2025 USD"/>
      <sheetName val="Pig Costing September 2025"/>
      <sheetName val="Imported Pigs Costing 0925"/>
      <sheetName val="September 2025 USD "/>
      <sheetName val="Pig Costing October 2025"/>
      <sheetName val="Imported Pigs Costing 1025"/>
      <sheetName val="October 2025 USD "/>
      <sheetName val="Pig Costing November 2025"/>
      <sheetName val="Imported Pigs Costing 1125"/>
      <sheetName val="November 2025 USD"/>
      <sheetName val="Pig Costing December 2025"/>
      <sheetName val="Imported Pigs Costing 1225"/>
      <sheetName val="December 2025 USD "/>
      <sheetName val="Pig Costing January 2026"/>
      <sheetName val="Imported Pigs Costing 0126"/>
      <sheetName val="January 2026 USD"/>
      <sheetName val="Pig Costing February 2026"/>
      <sheetName val="Imported Pigs Costing 0226"/>
      <sheetName val="February 2026 USD"/>
      <sheetName val="Pig Costing March 2026"/>
      <sheetName val="Imported Pigs Costing 0326"/>
      <sheetName val="March 2026 USD"/>
      <sheetName val="Pig Costing April 2026"/>
      <sheetName val="Imported Pigs Costing 0426"/>
      <sheetName val="April 2026 USD"/>
      <sheetName val="Pig Costing May 2026"/>
      <sheetName val="Imported Pigs Costing 0526"/>
      <sheetName val="Imported Pigs Costing 0626"/>
      <sheetName val="Pig Costing June 2.026"/>
      <sheetName val="Pig Costing June 2026"/>
      <sheetName val="June 2026 USD"/>
      <sheetName val="Imported Pigs Costing 0726"/>
      <sheetName val="July 2026 USD"/>
      <sheetName val="Pig Costing July 2026"/>
      <sheetName val="Vertical Pig Costin Aug 2026"/>
      <sheetName val="Imported Pigs Costing 0826"/>
      <sheetName val="Pig Costing August 2026"/>
      <sheetName val="August 2026 USD"/>
      <sheetName val="Fair Value"/>
      <sheetName val="Bio Assets USD New"/>
      <sheetName val="Bio Assets USD"/>
      <sheetName val="FV Split Analysis YTD"/>
      <sheetName val="FV Split Analysis Mth"/>
      <sheetName val="FV Analysis Sumary YTD"/>
      <sheetName val="FV Analysis Sumary Mth"/>
      <sheetName val="FV analysis Summary Prior"/>
      <sheetName val="Sheet1"/>
      <sheetName val="CDM Calculations"/>
      <sheetName val="SOWS WK1-WK16"/>
      <sheetName val="SOWS FARROW WK1-WK4"/>
      <sheetName val="GILTS WK1-WK16"/>
      <sheetName val="GILTS FARROW WK1-WK4"/>
      <sheetName val="REPLACEMENT GUILTS"/>
      <sheetName val="WEANER"/>
      <sheetName val="GROWE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>
        <row r="6">
          <cell r="CP6" t="str">
            <v>Total Cost-All Farms</v>
          </cell>
          <cell r="CQ6" t="str">
            <v>Current month Amortisation</v>
          </cell>
          <cell r="CR6" t="str">
            <v xml:space="preserve">Acc Amortisation </v>
          </cell>
          <cell r="CS6" t="str">
            <v>NBV</v>
          </cell>
        </row>
        <row r="35">
          <cell r="CP35">
            <v>10273.562971182459</v>
          </cell>
          <cell r="CQ35">
            <v>526.84938313756197</v>
          </cell>
          <cell r="CR35">
            <v>790.27407470634296</v>
          </cell>
          <cell r="CS35">
            <v>9483.288896476115</v>
          </cell>
        </row>
        <row r="36">
          <cell r="CP36">
            <v>3424.5209903941532</v>
          </cell>
          <cell r="CQ36">
            <v>175.61646104585401</v>
          </cell>
          <cell r="CR36">
            <v>307.3288068302445</v>
          </cell>
          <cell r="CS36">
            <v>3117.1921835639087</v>
          </cell>
        </row>
        <row r="38">
          <cell r="CP38">
            <v>4707.9928005479405</v>
          </cell>
          <cell r="CQ38">
            <v>241.43552823322773</v>
          </cell>
          <cell r="CR38">
            <v>543.22993852476236</v>
          </cell>
          <cell r="CS38">
            <v>4164.7628620231781</v>
          </cell>
        </row>
        <row r="44">
          <cell r="CP44">
            <v>340.27188284942008</v>
          </cell>
          <cell r="CQ44">
            <v>17.449840146124107</v>
          </cell>
          <cell r="CR44">
            <v>65.436900547965394</v>
          </cell>
          <cell r="CS44">
            <v>274.83498230145472</v>
          </cell>
        </row>
        <row r="45">
          <cell r="CP45">
            <v>337.79492505643327</v>
          </cell>
          <cell r="CQ45">
            <v>17.32281666956068</v>
          </cell>
          <cell r="CR45">
            <v>69.291266678242721</v>
          </cell>
          <cell r="CS45">
            <v>268.50365837819055</v>
          </cell>
        </row>
        <row r="48">
          <cell r="CP48">
            <v>58.184201107657557</v>
          </cell>
          <cell r="CQ48">
            <v>2.9838051850080798</v>
          </cell>
          <cell r="CR48">
            <v>14.173074628788379</v>
          </cell>
          <cell r="CS48">
            <v>44.01112647886918</v>
          </cell>
        </row>
        <row r="56">
          <cell r="CP56">
            <v>1</v>
          </cell>
          <cell r="CQ56">
            <v>5.128205128205128E-2</v>
          </cell>
          <cell r="CR56">
            <v>0.34615384615384615</v>
          </cell>
          <cell r="CS56">
            <v>0.65384615384615385</v>
          </cell>
        </row>
        <row r="58">
          <cell r="CP58">
            <v>1</v>
          </cell>
          <cell r="CQ58">
            <v>5.128205128205128E-2</v>
          </cell>
          <cell r="CR58">
            <v>0.37179487179487181</v>
          </cell>
          <cell r="CS58">
            <v>0.62820512820512819</v>
          </cell>
        </row>
        <row r="61">
          <cell r="CP61">
            <v>3305.2556056052058</v>
          </cell>
          <cell r="CQ61">
            <v>169.50028746693363</v>
          </cell>
          <cell r="CR61">
            <v>1356.002299735469</v>
          </cell>
          <cell r="CS61">
            <v>1949.2533058697368</v>
          </cell>
        </row>
        <row r="62">
          <cell r="CP62">
            <v>3305.2556056052058</v>
          </cell>
          <cell r="CQ62">
            <v>169.50028746693363</v>
          </cell>
          <cell r="CR62">
            <v>1398.3773716022024</v>
          </cell>
          <cell r="CS62">
            <v>1906.8782340030034</v>
          </cell>
        </row>
        <row r="80">
          <cell r="CP80">
            <v>8894.3488278887744</v>
          </cell>
          <cell r="CQ80">
            <v>456.12045271224486</v>
          </cell>
          <cell r="CR80">
            <v>5815.5357720811216</v>
          </cell>
          <cell r="CS80">
            <v>3078.8130558076527</v>
          </cell>
        </row>
        <row r="103">
          <cell r="CP103">
            <v>2811.229111313125</v>
          </cell>
          <cell r="CQ103">
            <v>144.16559545195514</v>
          </cell>
          <cell r="CR103">
            <v>2667.0635158611703</v>
          </cell>
          <cell r="CS103">
            <v>144.16559545195469</v>
          </cell>
        </row>
        <row r="104">
          <cell r="CP104">
            <v>5622.4582226262501</v>
          </cell>
          <cell r="CQ104">
            <v>288.33119090391028</v>
          </cell>
          <cell r="CR104">
            <v>5406.2098294483176</v>
          </cell>
          <cell r="CS104">
            <v>216.24839317793248</v>
          </cell>
        </row>
        <row r="142">
          <cell r="CP142">
            <v>6062.652008085407</v>
          </cell>
          <cell r="CQ142"/>
          <cell r="CR142">
            <v>6062.652008085407</v>
          </cell>
          <cell r="CS142">
            <v>0</v>
          </cell>
        </row>
        <row r="164">
          <cell r="CP164">
            <v>5335.8899136299124</v>
          </cell>
          <cell r="CQ164">
            <v>0</v>
          </cell>
          <cell r="CR164">
            <v>5335.8899136299124</v>
          </cell>
          <cell r="CS164">
            <v>0</v>
          </cell>
        </row>
        <row r="187">
          <cell r="CP187">
            <v>161.96522512068836</v>
          </cell>
          <cell r="CQ187"/>
          <cell r="CR187">
            <v>161.96522512068836</v>
          </cell>
          <cell r="CS187">
            <v>0</v>
          </cell>
        </row>
      </sheetData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32AE68-F7F3-40E1-9341-56486D66A84D}">
  <dimension ref="A1:AU80"/>
  <sheetViews>
    <sheetView tabSelected="1" topLeftCell="N1" zoomScale="120" zoomScaleNormal="120" workbookViewId="0">
      <selection activeCell="AD5" sqref="AD5:AD27"/>
    </sheetView>
  </sheetViews>
  <sheetFormatPr defaultColWidth="26.5703125" defaultRowHeight="14.45"/>
  <cols>
    <col min="1" max="1" width="10.85546875" bestFit="1" customWidth="1"/>
    <col min="2" max="2" width="25.85546875" bestFit="1" customWidth="1"/>
    <col min="3" max="3" width="19.7109375" bestFit="1" customWidth="1"/>
    <col min="4" max="4" width="26.42578125" bestFit="1" customWidth="1"/>
    <col min="5" max="5" width="25.7109375" bestFit="1" customWidth="1"/>
    <col min="6" max="6" width="25.5703125" bestFit="1" customWidth="1"/>
    <col min="7" max="7" width="24.28515625" bestFit="1" customWidth="1"/>
    <col min="8" max="8" width="25.42578125" bestFit="1" customWidth="1"/>
    <col min="9" max="9" width="26.140625" bestFit="1" customWidth="1"/>
    <col min="10" max="10" width="25.42578125" bestFit="1" customWidth="1"/>
    <col min="11" max="11" width="23.5703125" bestFit="1" customWidth="1"/>
    <col min="12" max="12" width="25.28515625" bestFit="1" customWidth="1"/>
    <col min="13" max="13" width="22.5703125" bestFit="1" customWidth="1"/>
    <col min="14" max="14" width="23" bestFit="1" customWidth="1"/>
    <col min="15" max="15" width="15.42578125" bestFit="1" customWidth="1"/>
    <col min="16" max="16" width="25.28515625" bestFit="1" customWidth="1"/>
    <col min="17" max="17" width="21.5703125" customWidth="1"/>
    <col min="18" max="18" width="24.5703125" customWidth="1"/>
    <col min="19" max="19" width="26.5703125" customWidth="1"/>
    <col min="20" max="20" width="23.7109375" customWidth="1"/>
    <col min="21" max="21" width="26.42578125" customWidth="1"/>
    <col min="22" max="22" width="25.5703125" customWidth="1"/>
    <col min="23" max="23" width="17.5703125" customWidth="1"/>
    <col min="24" max="24" width="25.85546875" customWidth="1"/>
    <col min="25" max="25" width="23.5703125" customWidth="1"/>
    <col min="26" max="26" width="21.5703125" customWidth="1"/>
    <col min="27" max="27" width="22" bestFit="1" customWidth="1"/>
    <col min="28" max="28" width="23.28515625" bestFit="1" customWidth="1"/>
    <col min="29" max="29" width="23.5703125" bestFit="1" customWidth="1"/>
    <col min="30" max="30" width="22.42578125" bestFit="1" customWidth="1"/>
    <col min="31" max="31" width="23.85546875" bestFit="1" customWidth="1"/>
    <col min="32" max="32" width="25.42578125" hidden="1" customWidth="1"/>
    <col min="33" max="33" width="22.140625" hidden="1" customWidth="1"/>
    <col min="34" max="34" width="21.85546875" hidden="1" customWidth="1"/>
    <col min="35" max="35" width="21.140625" hidden="1" customWidth="1"/>
    <col min="36" max="36" width="20.7109375" hidden="1" customWidth="1"/>
    <col min="37" max="39" width="0" hidden="1" customWidth="1"/>
  </cols>
  <sheetData>
    <row r="1" spans="1:47">
      <c r="A1" s="25" t="s">
        <v>0</v>
      </c>
      <c r="B1" s="13" t="s">
        <v>1</v>
      </c>
      <c r="C1" s="14" t="s">
        <v>2</v>
      </c>
      <c r="D1" s="15" t="s">
        <v>3</v>
      </c>
      <c r="E1" s="14" t="s">
        <v>4</v>
      </c>
      <c r="F1" s="16" t="s">
        <v>5</v>
      </c>
      <c r="G1" s="13" t="s">
        <v>6</v>
      </c>
      <c r="H1" s="16" t="s">
        <v>7</v>
      </c>
      <c r="I1" s="14" t="s">
        <v>8</v>
      </c>
      <c r="J1" s="15" t="s">
        <v>9</v>
      </c>
      <c r="K1" s="15" t="s">
        <v>10</v>
      </c>
      <c r="L1" s="15" t="s">
        <v>11</v>
      </c>
      <c r="M1" s="15" t="s">
        <v>12</v>
      </c>
      <c r="N1" s="16" t="s">
        <v>13</v>
      </c>
      <c r="O1" s="14" t="s">
        <v>14</v>
      </c>
      <c r="P1" s="15" t="s">
        <v>15</v>
      </c>
      <c r="Q1" s="15" t="s">
        <v>16</v>
      </c>
      <c r="R1" s="16" t="s">
        <v>17</v>
      </c>
      <c r="S1" s="14" t="s">
        <v>18</v>
      </c>
      <c r="T1" s="17" t="s">
        <v>19</v>
      </c>
      <c r="U1" s="14" t="s">
        <v>20</v>
      </c>
      <c r="V1" s="15" t="s">
        <v>21</v>
      </c>
      <c r="W1" s="15" t="s">
        <v>22</v>
      </c>
      <c r="X1" s="13" t="s">
        <v>23</v>
      </c>
      <c r="Y1" s="13" t="s">
        <v>24</v>
      </c>
      <c r="Z1" s="13" t="s">
        <v>25</v>
      </c>
      <c r="AA1" s="13" t="s">
        <v>26</v>
      </c>
      <c r="AB1" s="13" t="s">
        <v>27</v>
      </c>
      <c r="AC1" s="13" t="s">
        <v>28</v>
      </c>
      <c r="AD1" s="17" t="s">
        <v>29</v>
      </c>
      <c r="AE1" s="13" t="s">
        <v>30</v>
      </c>
      <c r="AF1" s="16" t="s">
        <v>31</v>
      </c>
      <c r="AG1" s="13" t="s">
        <v>32</v>
      </c>
      <c r="AH1" s="16" t="s">
        <v>33</v>
      </c>
      <c r="AI1" s="14" t="s">
        <v>34</v>
      </c>
      <c r="AJ1" s="16" t="s">
        <v>35</v>
      </c>
      <c r="AK1" s="27" t="s">
        <v>36</v>
      </c>
      <c r="AL1" s="27" t="s">
        <v>37</v>
      </c>
      <c r="AM1" s="26" t="s">
        <v>38</v>
      </c>
      <c r="AN1" s="26" t="s">
        <v>39</v>
      </c>
    </row>
    <row r="2" spans="1:47" ht="72">
      <c r="A2" s="25" t="s">
        <v>40</v>
      </c>
      <c r="B2" s="2" t="s">
        <v>41</v>
      </c>
      <c r="C2" s="3" t="s">
        <v>42</v>
      </c>
      <c r="D2" s="1" t="s">
        <v>43</v>
      </c>
      <c r="E2" s="3" t="s">
        <v>44</v>
      </c>
      <c r="F2" s="4" t="s">
        <v>45</v>
      </c>
      <c r="G2" s="2" t="s">
        <v>46</v>
      </c>
      <c r="H2" s="4" t="s">
        <v>47</v>
      </c>
      <c r="I2" s="3" t="s">
        <v>48</v>
      </c>
      <c r="J2" s="1" t="s">
        <v>49</v>
      </c>
      <c r="K2" s="1" t="s">
        <v>50</v>
      </c>
      <c r="L2" s="1" t="s">
        <v>51</v>
      </c>
      <c r="M2" s="1" t="s">
        <v>52</v>
      </c>
      <c r="N2" s="4" t="s">
        <v>53</v>
      </c>
      <c r="O2" s="3" t="s">
        <v>54</v>
      </c>
      <c r="P2" s="1" t="s">
        <v>55</v>
      </c>
      <c r="Q2" s="1" t="s">
        <v>56</v>
      </c>
      <c r="R2" s="4" t="s">
        <v>57</v>
      </c>
      <c r="S2" s="3" t="s">
        <v>58</v>
      </c>
      <c r="T2" s="18" t="s">
        <v>59</v>
      </c>
      <c r="U2" s="3" t="s">
        <v>60</v>
      </c>
      <c r="V2" s="1" t="s">
        <v>61</v>
      </c>
      <c r="W2" s="1" t="s">
        <v>62</v>
      </c>
      <c r="X2" s="2" t="s">
        <v>63</v>
      </c>
      <c r="Y2" s="2" t="s">
        <v>64</v>
      </c>
      <c r="Z2" s="2" t="s">
        <v>65</v>
      </c>
      <c r="AA2" s="2" t="s">
        <v>66</v>
      </c>
      <c r="AB2" s="2" t="s">
        <v>67</v>
      </c>
      <c r="AC2" s="2" t="s">
        <v>68</v>
      </c>
      <c r="AD2" s="18" t="s">
        <v>69</v>
      </c>
      <c r="AE2" s="2" t="s">
        <v>70</v>
      </c>
      <c r="AF2" s="4" t="s">
        <v>71</v>
      </c>
      <c r="AG2" s="2" t="s">
        <v>72</v>
      </c>
      <c r="AH2" s="4" t="s">
        <v>73</v>
      </c>
      <c r="AI2" s="3" t="s">
        <v>74</v>
      </c>
      <c r="AJ2" s="4" t="s">
        <v>75</v>
      </c>
      <c r="AK2" s="32" t="s">
        <v>76</v>
      </c>
      <c r="AL2" s="32" t="s">
        <v>77</v>
      </c>
      <c r="AM2" s="32" t="s">
        <v>78</v>
      </c>
      <c r="AN2" s="32" t="s">
        <v>79</v>
      </c>
      <c r="AQ2" t="str">
        <f>+'[1]Imported Pigs Costing 0826'!CP$6</f>
        <v>Total Cost-All Farms</v>
      </c>
      <c r="AR2" t="str">
        <f>+'[1]Imported Pigs Costing 0826'!CQ$6</f>
        <v>Current month Amortisation</v>
      </c>
      <c r="AS2" t="str">
        <f>+'[1]Imported Pigs Costing 0826'!CR$6</f>
        <v xml:space="preserve">Acc Amortisation </v>
      </c>
      <c r="AT2" t="str">
        <f>+'[1]Imported Pigs Costing 0826'!CS$6</f>
        <v>NBV</v>
      </c>
      <c r="AU2">
        <f>+'[1]Imported Pigs Costing 0826'!CT$6</f>
        <v>0</v>
      </c>
    </row>
    <row r="3" spans="1:47" ht="24">
      <c r="A3" s="25" t="s">
        <v>80</v>
      </c>
      <c r="B3" s="2" t="s">
        <v>81</v>
      </c>
      <c r="C3" s="3" t="s">
        <v>82</v>
      </c>
      <c r="D3" s="1" t="s">
        <v>83</v>
      </c>
      <c r="E3" s="3" t="s">
        <v>84</v>
      </c>
      <c r="F3" s="4" t="s">
        <v>85</v>
      </c>
      <c r="G3" s="2" t="s">
        <v>86</v>
      </c>
      <c r="H3" s="4" t="s">
        <v>87</v>
      </c>
      <c r="I3" s="3" t="s">
        <v>88</v>
      </c>
      <c r="J3" s="1" t="s">
        <v>89</v>
      </c>
      <c r="K3" s="1" t="s">
        <v>90</v>
      </c>
      <c r="L3" s="1" t="s">
        <v>91</v>
      </c>
      <c r="M3" s="1" t="s">
        <v>92</v>
      </c>
      <c r="N3" s="4" t="s">
        <v>93</v>
      </c>
      <c r="O3" s="3" t="s">
        <v>94</v>
      </c>
      <c r="P3" s="1" t="s">
        <v>95</v>
      </c>
      <c r="Q3" s="1" t="s">
        <v>96</v>
      </c>
      <c r="R3" s="4" t="s">
        <v>97</v>
      </c>
      <c r="S3" s="3" t="s">
        <v>98</v>
      </c>
      <c r="T3" s="18" t="s">
        <v>99</v>
      </c>
      <c r="U3" s="3" t="s">
        <v>100</v>
      </c>
      <c r="V3" s="1" t="s">
        <v>101</v>
      </c>
      <c r="W3" s="1" t="s">
        <v>102</v>
      </c>
      <c r="X3" s="2" t="s">
        <v>103</v>
      </c>
      <c r="Y3" s="2" t="s">
        <v>104</v>
      </c>
      <c r="Z3" s="2" t="s">
        <v>105</v>
      </c>
      <c r="AA3" s="2" t="s">
        <v>106</v>
      </c>
      <c r="AB3" s="2" t="s">
        <v>98</v>
      </c>
      <c r="AC3" s="2" t="s">
        <v>107</v>
      </c>
      <c r="AD3" s="18" t="s">
        <v>108</v>
      </c>
      <c r="AE3" s="2" t="s">
        <v>109</v>
      </c>
      <c r="AF3" s="4" t="s">
        <v>110</v>
      </c>
      <c r="AG3" s="2" t="s">
        <v>111</v>
      </c>
      <c r="AH3" s="4" t="s">
        <v>112</v>
      </c>
      <c r="AI3" s="3" t="s">
        <v>113</v>
      </c>
      <c r="AJ3" s="30" t="s">
        <v>114</v>
      </c>
      <c r="AK3" s="28">
        <v>16</v>
      </c>
      <c r="AL3" s="28">
        <v>112</v>
      </c>
      <c r="AM3" s="29"/>
      <c r="AN3" s="29">
        <v>2223</v>
      </c>
      <c r="AU3" t="s">
        <v>115</v>
      </c>
    </row>
    <row r="4" spans="1:47">
      <c r="A4" s="25" t="s">
        <v>116</v>
      </c>
      <c r="B4" s="6" t="s">
        <v>117</v>
      </c>
      <c r="C4" s="7" t="s">
        <v>117</v>
      </c>
      <c r="D4" s="5" t="s">
        <v>117</v>
      </c>
      <c r="E4" s="7" t="s">
        <v>117</v>
      </c>
      <c r="F4" s="8" t="s">
        <v>118</v>
      </c>
      <c r="G4" s="9" t="s">
        <v>118</v>
      </c>
      <c r="H4" s="10" t="s">
        <v>117</v>
      </c>
      <c r="I4" s="7" t="s">
        <v>117</v>
      </c>
      <c r="J4" s="11" t="s">
        <v>119</v>
      </c>
      <c r="K4" s="11" t="s">
        <v>119</v>
      </c>
      <c r="L4" s="5" t="s">
        <v>117</v>
      </c>
      <c r="M4" s="5" t="s">
        <v>117</v>
      </c>
      <c r="N4" s="8" t="s">
        <v>118</v>
      </c>
      <c r="O4" s="12" t="s">
        <v>118</v>
      </c>
      <c r="P4" s="11" t="s">
        <v>118</v>
      </c>
      <c r="Q4" s="11" t="s">
        <v>118</v>
      </c>
      <c r="R4" s="10" t="s">
        <v>117</v>
      </c>
      <c r="S4" s="12" t="s">
        <v>118</v>
      </c>
      <c r="T4" s="19" t="s">
        <v>117</v>
      </c>
      <c r="U4" s="7" t="s">
        <v>117</v>
      </c>
      <c r="V4" s="11" t="s">
        <v>118</v>
      </c>
      <c r="W4" s="11" t="s">
        <v>118</v>
      </c>
      <c r="X4" s="6" t="s">
        <v>117</v>
      </c>
      <c r="Y4" s="6" t="s">
        <v>117</v>
      </c>
      <c r="Z4" s="6" t="s">
        <v>117</v>
      </c>
      <c r="AA4" s="6" t="s">
        <v>117</v>
      </c>
      <c r="AB4" s="6" t="s">
        <v>117</v>
      </c>
      <c r="AC4" s="6" t="s">
        <v>117</v>
      </c>
      <c r="AD4" s="20" t="s">
        <v>118</v>
      </c>
      <c r="AE4" s="9" t="s">
        <v>118</v>
      </c>
      <c r="AF4" s="8" t="s">
        <v>118</v>
      </c>
      <c r="AG4" s="9" t="s">
        <v>118</v>
      </c>
      <c r="AH4" s="10" t="s">
        <v>117</v>
      </c>
      <c r="AI4" s="12" t="s">
        <v>119</v>
      </c>
      <c r="AJ4" s="31" t="s">
        <v>119</v>
      </c>
      <c r="AK4" s="28" t="s">
        <v>120</v>
      </c>
      <c r="AL4" s="28" t="s">
        <v>121</v>
      </c>
      <c r="AM4" s="28" t="s">
        <v>121</v>
      </c>
      <c r="AN4" s="28" t="s">
        <v>121</v>
      </c>
      <c r="AQ4" s="38"/>
      <c r="AR4" s="38"/>
      <c r="AS4" s="38"/>
      <c r="AT4" s="38"/>
      <c r="AU4" t="s">
        <v>122</v>
      </c>
    </row>
    <row r="5" spans="1:47">
      <c r="B5" t="s">
        <v>123</v>
      </c>
      <c r="C5" t="s">
        <v>124</v>
      </c>
      <c r="D5" t="s">
        <v>125</v>
      </c>
      <c r="E5" t="s">
        <v>126</v>
      </c>
      <c r="F5" s="37">
        <v>46033</v>
      </c>
      <c r="G5" s="34"/>
      <c r="H5" t="s">
        <v>127</v>
      </c>
      <c r="I5" s="34"/>
      <c r="K5" t="s">
        <v>128</v>
      </c>
      <c r="L5" t="s">
        <v>129</v>
      </c>
      <c r="N5" t="s">
        <v>130</v>
      </c>
      <c r="O5" s="40" t="s">
        <v>131</v>
      </c>
      <c r="P5" t="s">
        <v>132</v>
      </c>
      <c r="R5" s="38">
        <f>+AQ5</f>
        <v>3424.5209903941527</v>
      </c>
      <c r="S5" s="38"/>
      <c r="T5" s="38">
        <f>+S5+R5</f>
        <v>3424.5209903941527</v>
      </c>
      <c r="AA5">
        <f>+AC5</f>
        <v>3161.0962988253718</v>
      </c>
      <c r="AB5" s="43">
        <f>+AS5</f>
        <v>263.42469156878099</v>
      </c>
      <c r="AC5" s="43">
        <f>+T5-AB5</f>
        <v>3161.0962988253718</v>
      </c>
      <c r="AD5">
        <v>0</v>
      </c>
      <c r="AE5" s="43">
        <f>+AR5</f>
        <v>175.61646104585398</v>
      </c>
      <c r="AF5" s="34"/>
      <c r="AG5" s="34"/>
      <c r="AL5">
        <v>110</v>
      </c>
      <c r="AN5" s="38">
        <f>+AC5</f>
        <v>3161.0962988253718</v>
      </c>
      <c r="AO5" s="38">
        <f t="shared" ref="AO5:AO27" ca="1" si="0">TODAY()-F5</f>
        <v>244</v>
      </c>
      <c r="AP5" s="38">
        <f t="shared" ref="AP5:AP27" ca="1" si="1">+AO5/7</f>
        <v>34.857142857142854</v>
      </c>
      <c r="AQ5" s="38">
        <f>+'[1]Imported Pigs Costing 0826'!CP$35/3</f>
        <v>3424.5209903941527</v>
      </c>
      <c r="AR5" s="38">
        <f>+'[1]Imported Pigs Costing 0826'!CQ$35/3</f>
        <v>175.61646104585398</v>
      </c>
      <c r="AS5" s="38">
        <f>+'[1]Imported Pigs Costing 0826'!CR$35/3</f>
        <v>263.42469156878099</v>
      </c>
      <c r="AT5" s="38">
        <f>+'[1]Imported Pigs Costing 0826'!CS$35/3</f>
        <v>3161.0962988253718</v>
      </c>
      <c r="AU5" t="s">
        <v>133</v>
      </c>
    </row>
    <row r="6" spans="1:47">
      <c r="B6" t="s">
        <v>134</v>
      </c>
      <c r="C6" t="s">
        <v>124</v>
      </c>
      <c r="D6" t="s">
        <v>125</v>
      </c>
      <c r="E6" t="s">
        <v>126</v>
      </c>
      <c r="F6" s="37">
        <v>46033</v>
      </c>
      <c r="H6" t="s">
        <v>127</v>
      </c>
      <c r="K6" t="s">
        <v>128</v>
      </c>
      <c r="L6" t="s">
        <v>129</v>
      </c>
      <c r="O6" s="40" t="s">
        <v>135</v>
      </c>
      <c r="P6" t="s">
        <v>132</v>
      </c>
      <c r="R6" s="38">
        <f t="shared" ref="R6:R38" si="2">+AQ6</f>
        <v>3424.5209903941527</v>
      </c>
      <c r="S6" s="38"/>
      <c r="T6" s="38">
        <f t="shared" ref="T6:T38" si="3">+S6+R6</f>
        <v>3424.5209903941527</v>
      </c>
      <c r="AA6">
        <f t="shared" ref="AA6:AA27" si="4">+AC6</f>
        <v>3161.0962988253718</v>
      </c>
      <c r="AB6" s="43">
        <f t="shared" ref="AB6:AB27" si="5">+AS6</f>
        <v>263.42469156878099</v>
      </c>
      <c r="AC6" s="43">
        <f t="shared" ref="AC6:AC27" si="6">+T6-AB6</f>
        <v>3161.0962988253718</v>
      </c>
      <c r="AD6">
        <v>0</v>
      </c>
      <c r="AE6" s="43">
        <f t="shared" ref="AE6:AE27" si="7">+AR6</f>
        <v>175.61646104585398</v>
      </c>
      <c r="AL6">
        <v>110</v>
      </c>
      <c r="AN6" s="38">
        <f t="shared" ref="AN6:AN27" si="8">+AC6</f>
        <v>3161.0962988253718</v>
      </c>
      <c r="AO6" s="38">
        <f t="shared" ca="1" si="0"/>
        <v>244</v>
      </c>
      <c r="AP6" s="38">
        <f t="shared" ca="1" si="1"/>
        <v>34.857142857142854</v>
      </c>
      <c r="AQ6" s="38">
        <f>+AQ5</f>
        <v>3424.5209903941527</v>
      </c>
      <c r="AR6" s="38">
        <f t="shared" ref="AR6:AT7" si="9">+AR5</f>
        <v>175.61646104585398</v>
      </c>
      <c r="AS6" s="38">
        <f t="shared" si="9"/>
        <v>263.42469156878099</v>
      </c>
      <c r="AT6" s="38">
        <f t="shared" si="9"/>
        <v>3161.0962988253718</v>
      </c>
      <c r="AU6" t="s">
        <v>136</v>
      </c>
    </row>
    <row r="7" spans="1:47">
      <c r="B7" t="s">
        <v>137</v>
      </c>
      <c r="C7" t="s">
        <v>124</v>
      </c>
      <c r="D7" t="s">
        <v>125</v>
      </c>
      <c r="E7" t="s">
        <v>126</v>
      </c>
      <c r="F7" s="37">
        <v>46027</v>
      </c>
      <c r="G7" s="34"/>
      <c r="H7" t="s">
        <v>127</v>
      </c>
      <c r="I7" s="34"/>
      <c r="K7" t="s">
        <v>128</v>
      </c>
      <c r="L7" t="s">
        <v>129</v>
      </c>
      <c r="O7" s="40" t="s">
        <v>138</v>
      </c>
      <c r="P7" t="s">
        <v>139</v>
      </c>
      <c r="R7" s="38">
        <f t="shared" si="2"/>
        <v>3424.5209903941527</v>
      </c>
      <c r="S7" s="38"/>
      <c r="T7" s="38">
        <f t="shared" si="3"/>
        <v>3424.5209903941527</v>
      </c>
      <c r="AA7">
        <f t="shared" si="4"/>
        <v>3161.0962988253718</v>
      </c>
      <c r="AB7" s="43">
        <f t="shared" si="5"/>
        <v>263.42469156878099</v>
      </c>
      <c r="AC7" s="43">
        <f t="shared" si="6"/>
        <v>3161.0962988253718</v>
      </c>
      <c r="AD7">
        <v>0</v>
      </c>
      <c r="AE7" s="43">
        <f t="shared" si="7"/>
        <v>175.61646104585398</v>
      </c>
      <c r="AF7" s="34"/>
      <c r="AG7" s="34"/>
      <c r="AL7">
        <v>113</v>
      </c>
      <c r="AN7" s="38">
        <f t="shared" si="8"/>
        <v>3161.0962988253718</v>
      </c>
      <c r="AO7" s="38">
        <f t="shared" ca="1" si="0"/>
        <v>250</v>
      </c>
      <c r="AP7" s="38">
        <f t="shared" ca="1" si="1"/>
        <v>35.714285714285715</v>
      </c>
      <c r="AQ7" s="38">
        <f>+AQ6</f>
        <v>3424.5209903941527</v>
      </c>
      <c r="AR7" s="38">
        <f t="shared" si="9"/>
        <v>175.61646104585398</v>
      </c>
      <c r="AS7" s="38">
        <f t="shared" si="9"/>
        <v>263.42469156878099</v>
      </c>
      <c r="AT7" s="38">
        <f t="shared" si="9"/>
        <v>3161.0962988253718</v>
      </c>
      <c r="AU7" t="s">
        <v>140</v>
      </c>
    </row>
    <row r="8" spans="1:47">
      <c r="B8" t="s">
        <v>141</v>
      </c>
      <c r="C8" t="s">
        <v>124</v>
      </c>
      <c r="D8" t="s">
        <v>142</v>
      </c>
      <c r="E8" t="s">
        <v>126</v>
      </c>
      <c r="F8" s="37">
        <v>46027</v>
      </c>
      <c r="H8" t="s">
        <v>127</v>
      </c>
      <c r="K8" t="s">
        <v>128</v>
      </c>
      <c r="L8" t="s">
        <v>129</v>
      </c>
      <c r="O8" s="40" t="s">
        <v>143</v>
      </c>
      <c r="P8" t="s">
        <v>144</v>
      </c>
      <c r="R8" s="38">
        <f t="shared" si="2"/>
        <v>3424.5209903941532</v>
      </c>
      <c r="S8" s="38"/>
      <c r="T8" s="38">
        <f t="shared" si="3"/>
        <v>3424.5209903941532</v>
      </c>
      <c r="AA8">
        <f t="shared" si="4"/>
        <v>3117.1921835639087</v>
      </c>
      <c r="AB8" s="43">
        <f t="shared" si="5"/>
        <v>307.3288068302445</v>
      </c>
      <c r="AC8" s="43">
        <f t="shared" si="6"/>
        <v>3117.1921835639087</v>
      </c>
      <c r="AD8">
        <v>0</v>
      </c>
      <c r="AE8" s="43">
        <f t="shared" si="7"/>
        <v>175.61646104585401</v>
      </c>
      <c r="AL8">
        <v>103</v>
      </c>
      <c r="AN8" s="38">
        <f t="shared" si="8"/>
        <v>3117.1921835639087</v>
      </c>
      <c r="AO8" s="38">
        <f t="shared" ca="1" si="0"/>
        <v>250</v>
      </c>
      <c r="AP8" s="38">
        <f t="shared" ca="1" si="1"/>
        <v>35.714285714285715</v>
      </c>
      <c r="AQ8" s="38">
        <f>+'[1]Imported Pigs Costing 0826'!CP$36</f>
        <v>3424.5209903941532</v>
      </c>
      <c r="AR8" s="38">
        <f>+'[1]Imported Pigs Costing 0826'!CQ$36</f>
        <v>175.61646104585401</v>
      </c>
      <c r="AS8" s="38">
        <f>+'[1]Imported Pigs Costing 0826'!CR$36</f>
        <v>307.3288068302445</v>
      </c>
      <c r="AT8" s="38">
        <f>+'[1]Imported Pigs Costing 0826'!CS$36</f>
        <v>3117.1921835639087</v>
      </c>
      <c r="AU8" t="s">
        <v>145</v>
      </c>
    </row>
    <row r="9" spans="1:47">
      <c r="B9" t="s">
        <v>146</v>
      </c>
      <c r="C9" t="s">
        <v>124</v>
      </c>
      <c r="D9" t="s">
        <v>125</v>
      </c>
      <c r="E9" t="s">
        <v>126</v>
      </c>
      <c r="F9" s="37">
        <v>46011</v>
      </c>
      <c r="H9" t="s">
        <v>127</v>
      </c>
      <c r="K9" t="s">
        <v>128</v>
      </c>
      <c r="L9" t="s">
        <v>129</v>
      </c>
      <c r="O9" s="40" t="s">
        <v>147</v>
      </c>
      <c r="P9" t="s">
        <v>148</v>
      </c>
      <c r="R9" s="38">
        <f t="shared" si="2"/>
        <v>2353.9964002739703</v>
      </c>
      <c r="S9" s="38"/>
      <c r="T9" s="38">
        <f t="shared" si="3"/>
        <v>2353.9964002739703</v>
      </c>
      <c r="AA9">
        <f t="shared" si="4"/>
        <v>2082.381431011589</v>
      </c>
      <c r="AB9" s="43">
        <f t="shared" si="5"/>
        <v>271.61496926238118</v>
      </c>
      <c r="AC9" s="43">
        <f t="shared" si="6"/>
        <v>2082.381431011589</v>
      </c>
      <c r="AD9">
        <v>0</v>
      </c>
      <c r="AE9" s="43">
        <f t="shared" si="7"/>
        <v>120.71776411661386</v>
      </c>
      <c r="AL9">
        <v>110</v>
      </c>
      <c r="AN9" s="38">
        <f t="shared" si="8"/>
        <v>2082.381431011589</v>
      </c>
      <c r="AO9" s="38">
        <f t="shared" ca="1" si="0"/>
        <v>266</v>
      </c>
      <c r="AP9" s="38">
        <f t="shared" ca="1" si="1"/>
        <v>38</v>
      </c>
      <c r="AQ9" s="38">
        <f>+'[1]Imported Pigs Costing 0826'!CP$38/2</f>
        <v>2353.9964002739703</v>
      </c>
      <c r="AR9" s="38">
        <f>+'[1]Imported Pigs Costing 0826'!CQ$38/2</f>
        <v>120.71776411661386</v>
      </c>
      <c r="AS9" s="38">
        <f>+'[1]Imported Pigs Costing 0826'!CR$38/2</f>
        <v>271.61496926238118</v>
      </c>
      <c r="AT9" s="38">
        <f>+'[1]Imported Pigs Costing 0826'!CS$38/2</f>
        <v>2082.381431011589</v>
      </c>
      <c r="AU9" t="s">
        <v>149</v>
      </c>
    </row>
    <row r="10" spans="1:47">
      <c r="B10" t="s">
        <v>150</v>
      </c>
      <c r="C10" t="s">
        <v>124</v>
      </c>
      <c r="D10" t="s">
        <v>125</v>
      </c>
      <c r="E10" t="s">
        <v>126</v>
      </c>
      <c r="F10" s="37">
        <v>46011</v>
      </c>
      <c r="H10" t="s">
        <v>127</v>
      </c>
      <c r="K10" t="s">
        <v>128</v>
      </c>
      <c r="L10" t="s">
        <v>129</v>
      </c>
      <c r="O10" s="40" t="s">
        <v>151</v>
      </c>
      <c r="P10" t="s">
        <v>148</v>
      </c>
      <c r="R10" s="38">
        <f t="shared" si="2"/>
        <v>2353.9964002739703</v>
      </c>
      <c r="S10" s="38"/>
      <c r="T10" s="38">
        <f t="shared" si="3"/>
        <v>2353.9964002739703</v>
      </c>
      <c r="AA10">
        <f t="shared" si="4"/>
        <v>2082.381431011589</v>
      </c>
      <c r="AB10" s="43">
        <f t="shared" si="5"/>
        <v>271.61496926238118</v>
      </c>
      <c r="AC10" s="43">
        <f t="shared" si="6"/>
        <v>2082.381431011589</v>
      </c>
      <c r="AD10">
        <v>0</v>
      </c>
      <c r="AE10" s="43">
        <f t="shared" si="7"/>
        <v>120.71776411661386</v>
      </c>
      <c r="AL10">
        <v>109</v>
      </c>
      <c r="AN10" s="38">
        <f t="shared" si="8"/>
        <v>2082.381431011589</v>
      </c>
      <c r="AO10" s="38">
        <f t="shared" ca="1" si="0"/>
        <v>266</v>
      </c>
      <c r="AP10" s="38">
        <f t="shared" ca="1" si="1"/>
        <v>38</v>
      </c>
      <c r="AQ10" s="38">
        <f>+AQ9</f>
        <v>2353.9964002739703</v>
      </c>
      <c r="AR10" s="38">
        <f t="shared" ref="AR10:AT10" si="10">+AR9</f>
        <v>120.71776411661386</v>
      </c>
      <c r="AS10" s="38">
        <f t="shared" si="10"/>
        <v>271.61496926238118</v>
      </c>
      <c r="AT10" s="38">
        <f t="shared" si="10"/>
        <v>2082.381431011589</v>
      </c>
    </row>
    <row r="11" spans="1:47">
      <c r="B11" t="s">
        <v>152</v>
      </c>
      <c r="C11" t="s">
        <v>124</v>
      </c>
      <c r="D11" t="s">
        <v>125</v>
      </c>
      <c r="E11" t="s">
        <v>126</v>
      </c>
      <c r="F11" s="37">
        <v>45720</v>
      </c>
      <c r="H11" t="s">
        <v>127</v>
      </c>
      <c r="K11" t="s">
        <v>128</v>
      </c>
      <c r="L11" t="s">
        <v>129</v>
      </c>
      <c r="O11" s="41" t="s">
        <v>153</v>
      </c>
      <c r="P11" t="s">
        <v>154</v>
      </c>
      <c r="R11" s="38">
        <f t="shared" si="2"/>
        <v>2223.5872069721936</v>
      </c>
      <c r="S11" s="38"/>
      <c r="T11" s="38">
        <f t="shared" si="3"/>
        <v>2223.5872069721936</v>
      </c>
      <c r="AA11">
        <f t="shared" si="4"/>
        <v>769.70326395191319</v>
      </c>
      <c r="AB11" s="43">
        <f t="shared" si="5"/>
        <v>1453.8839430202804</v>
      </c>
      <c r="AC11" s="43">
        <f t="shared" si="6"/>
        <v>769.70326395191319</v>
      </c>
      <c r="AD11">
        <v>0</v>
      </c>
      <c r="AE11" s="43">
        <f t="shared" si="7"/>
        <v>114.03011317806121</v>
      </c>
      <c r="AL11">
        <v>98</v>
      </c>
      <c r="AN11" s="38">
        <f t="shared" si="8"/>
        <v>769.70326395191319</v>
      </c>
      <c r="AO11" s="38">
        <f t="shared" ca="1" si="0"/>
        <v>557</v>
      </c>
      <c r="AP11" s="38">
        <f t="shared" ca="1" si="1"/>
        <v>79.571428571428569</v>
      </c>
      <c r="AQ11" s="38">
        <f>+'[1]Imported Pigs Costing 0826'!CP$80/4</f>
        <v>2223.5872069721936</v>
      </c>
      <c r="AR11" s="38">
        <f>+'[1]Imported Pigs Costing 0826'!CQ$80/4</f>
        <v>114.03011317806121</v>
      </c>
      <c r="AS11" s="38">
        <f>+'[1]Imported Pigs Costing 0826'!CR$80/4</f>
        <v>1453.8839430202804</v>
      </c>
      <c r="AT11" s="38">
        <f>+'[1]Imported Pigs Costing 0826'!CS$80/4</f>
        <v>769.70326395191319</v>
      </c>
      <c r="AU11" s="38">
        <f>+'[1]Imported Pigs Costing 0826'!CT$80/4</f>
        <v>0</v>
      </c>
    </row>
    <row r="12" spans="1:47">
      <c r="B12" t="s">
        <v>155</v>
      </c>
      <c r="C12" t="s">
        <v>124</v>
      </c>
      <c r="D12" t="s">
        <v>142</v>
      </c>
      <c r="E12" t="s">
        <v>126</v>
      </c>
      <c r="F12" s="37">
        <v>45712</v>
      </c>
      <c r="H12" t="s">
        <v>127</v>
      </c>
      <c r="K12" t="s">
        <v>128</v>
      </c>
      <c r="L12" t="s">
        <v>129</v>
      </c>
      <c r="O12" s="41" t="s">
        <v>156</v>
      </c>
      <c r="P12" t="s">
        <v>157</v>
      </c>
      <c r="R12" s="38">
        <f t="shared" si="2"/>
        <v>2223.5872069721936</v>
      </c>
      <c r="S12" s="38"/>
      <c r="T12" s="38">
        <f t="shared" si="3"/>
        <v>2223.5872069721936</v>
      </c>
      <c r="AA12">
        <f t="shared" si="4"/>
        <v>769.70326395191319</v>
      </c>
      <c r="AB12" s="43">
        <f t="shared" si="5"/>
        <v>1453.8839430202804</v>
      </c>
      <c r="AC12" s="43">
        <f t="shared" si="6"/>
        <v>769.70326395191319</v>
      </c>
      <c r="AD12">
        <v>0</v>
      </c>
      <c r="AE12" s="43">
        <f t="shared" si="7"/>
        <v>114.03011317806121</v>
      </c>
      <c r="AL12">
        <v>97</v>
      </c>
      <c r="AN12" s="38">
        <f t="shared" si="8"/>
        <v>769.70326395191319</v>
      </c>
      <c r="AO12" s="38">
        <f t="shared" ca="1" si="0"/>
        <v>565</v>
      </c>
      <c r="AP12" s="38">
        <f t="shared" ca="1" si="1"/>
        <v>80.714285714285708</v>
      </c>
      <c r="AQ12" s="38">
        <f>+'[1]Imported Pigs Costing 0826'!CP$80/4</f>
        <v>2223.5872069721936</v>
      </c>
      <c r="AR12" s="38">
        <f>+'[1]Imported Pigs Costing 0826'!CQ$80/4</f>
        <v>114.03011317806121</v>
      </c>
      <c r="AS12" s="38">
        <f>+'[1]Imported Pigs Costing 0826'!CR$80/4</f>
        <v>1453.8839430202804</v>
      </c>
      <c r="AT12" s="38">
        <f>+'[1]Imported Pigs Costing 0826'!CS$80/4</f>
        <v>769.70326395191319</v>
      </c>
      <c r="AU12" s="38">
        <f>+'[1]Imported Pigs Costing 0826'!CT$80/4</f>
        <v>0</v>
      </c>
    </row>
    <row r="13" spans="1:47">
      <c r="B13" t="s">
        <v>158</v>
      </c>
      <c r="C13" t="s">
        <v>124</v>
      </c>
      <c r="D13" t="s">
        <v>142</v>
      </c>
      <c r="E13" t="s">
        <v>126</v>
      </c>
      <c r="F13" s="37">
        <v>45705</v>
      </c>
      <c r="H13" t="s">
        <v>127</v>
      </c>
      <c r="K13" t="s">
        <v>128</v>
      </c>
      <c r="L13" t="s">
        <v>129</v>
      </c>
      <c r="O13" s="41" t="s">
        <v>159</v>
      </c>
      <c r="P13" t="s">
        <v>160</v>
      </c>
      <c r="R13" s="38">
        <f t="shared" si="2"/>
        <v>2223.5872069721936</v>
      </c>
      <c r="S13" s="38"/>
      <c r="T13" s="38">
        <f t="shared" si="3"/>
        <v>2223.5872069721936</v>
      </c>
      <c r="AA13">
        <f t="shared" si="4"/>
        <v>769.70326395191319</v>
      </c>
      <c r="AB13" s="43">
        <f t="shared" si="5"/>
        <v>1453.8839430202804</v>
      </c>
      <c r="AC13" s="43">
        <f t="shared" si="6"/>
        <v>769.70326395191319</v>
      </c>
      <c r="AD13">
        <v>0</v>
      </c>
      <c r="AE13" s="43">
        <f t="shared" si="7"/>
        <v>114.03011317806121</v>
      </c>
      <c r="AL13">
        <v>97</v>
      </c>
      <c r="AN13" s="38">
        <f t="shared" si="8"/>
        <v>769.70326395191319</v>
      </c>
      <c r="AO13" s="38">
        <f t="shared" ca="1" si="0"/>
        <v>572</v>
      </c>
      <c r="AP13" s="38">
        <f t="shared" ca="1" si="1"/>
        <v>81.714285714285708</v>
      </c>
      <c r="AQ13" s="38">
        <f>+'[1]Imported Pigs Costing 0826'!CP$80/4</f>
        <v>2223.5872069721936</v>
      </c>
      <c r="AR13" s="38">
        <f>+'[1]Imported Pigs Costing 0826'!CQ$80/4</f>
        <v>114.03011317806121</v>
      </c>
      <c r="AS13" s="38">
        <f>+'[1]Imported Pigs Costing 0826'!CR$80/4</f>
        <v>1453.8839430202804</v>
      </c>
      <c r="AT13" s="38">
        <f>+'[1]Imported Pigs Costing 0826'!CS$80/4</f>
        <v>769.70326395191319</v>
      </c>
      <c r="AU13" s="38">
        <f>+'[1]Imported Pigs Costing 0826'!CT$80/4</f>
        <v>0</v>
      </c>
    </row>
    <row r="14" spans="1:47">
      <c r="B14" t="s">
        <v>161</v>
      </c>
      <c r="C14" t="s">
        <v>124</v>
      </c>
      <c r="D14" t="s">
        <v>125</v>
      </c>
      <c r="E14" t="s">
        <v>126</v>
      </c>
      <c r="F14" s="37">
        <v>45552</v>
      </c>
      <c r="H14" t="s">
        <v>127</v>
      </c>
      <c r="K14" t="s">
        <v>128</v>
      </c>
      <c r="L14" t="s">
        <v>129</v>
      </c>
      <c r="O14" s="42" t="s">
        <v>162</v>
      </c>
      <c r="P14" t="s">
        <v>163</v>
      </c>
      <c r="R14" s="38">
        <f t="shared" si="2"/>
        <v>2811.229111313125</v>
      </c>
      <c r="S14" s="38"/>
      <c r="T14" s="38">
        <f t="shared" si="3"/>
        <v>2811.229111313125</v>
      </c>
      <c r="AA14">
        <f t="shared" si="4"/>
        <v>144.16559545195469</v>
      </c>
      <c r="AB14" s="43">
        <f t="shared" si="5"/>
        <v>2667.0635158611703</v>
      </c>
      <c r="AC14" s="43">
        <f t="shared" si="6"/>
        <v>144.16559545195469</v>
      </c>
      <c r="AD14">
        <v>0</v>
      </c>
      <c r="AE14" s="43">
        <f t="shared" si="7"/>
        <v>144.16559545195514</v>
      </c>
      <c r="AL14">
        <v>102</v>
      </c>
      <c r="AN14" s="38">
        <f t="shared" si="8"/>
        <v>144.16559545195469</v>
      </c>
      <c r="AO14" s="38">
        <f t="shared" ca="1" si="0"/>
        <v>725</v>
      </c>
      <c r="AP14" s="38">
        <f t="shared" ca="1" si="1"/>
        <v>103.57142857142857</v>
      </c>
      <c r="AQ14" s="38">
        <f>+'[1]Imported Pigs Costing 0826'!CP$103</f>
        <v>2811.229111313125</v>
      </c>
      <c r="AR14" s="38">
        <f>+'[1]Imported Pigs Costing 0826'!CQ$103</f>
        <v>144.16559545195514</v>
      </c>
      <c r="AS14" s="38">
        <f>+'[1]Imported Pigs Costing 0826'!CR$103</f>
        <v>2667.0635158611703</v>
      </c>
      <c r="AT14" s="38">
        <f>+'[1]Imported Pigs Costing 0826'!CS$103</f>
        <v>144.16559545195469</v>
      </c>
      <c r="AU14" s="38"/>
    </row>
    <row r="15" spans="1:47">
      <c r="B15" t="s">
        <v>164</v>
      </c>
      <c r="C15" t="s">
        <v>124</v>
      </c>
      <c r="D15" t="s">
        <v>125</v>
      </c>
      <c r="E15" t="s">
        <v>126</v>
      </c>
      <c r="F15" s="37">
        <v>45544</v>
      </c>
      <c r="H15" t="s">
        <v>127</v>
      </c>
      <c r="K15" t="s">
        <v>128</v>
      </c>
      <c r="L15" t="s">
        <v>129</v>
      </c>
      <c r="O15" s="42" t="s">
        <v>165</v>
      </c>
      <c r="P15" t="s">
        <v>166</v>
      </c>
      <c r="R15" s="38">
        <f t="shared" si="2"/>
        <v>2811.229111313125</v>
      </c>
      <c r="S15" s="38"/>
      <c r="T15" s="38">
        <f t="shared" si="3"/>
        <v>2811.229111313125</v>
      </c>
      <c r="AA15">
        <f t="shared" si="4"/>
        <v>108.12419658896624</v>
      </c>
      <c r="AB15" s="43">
        <f t="shared" si="5"/>
        <v>2703.1049147241588</v>
      </c>
      <c r="AC15" s="43">
        <f t="shared" si="6"/>
        <v>108.12419658896624</v>
      </c>
      <c r="AD15">
        <v>0</v>
      </c>
      <c r="AE15" s="43">
        <f t="shared" si="7"/>
        <v>144.16559545195514</v>
      </c>
      <c r="AL15">
        <v>102</v>
      </c>
      <c r="AN15" s="38">
        <f t="shared" si="8"/>
        <v>108.12419658896624</v>
      </c>
      <c r="AO15" s="38">
        <f t="shared" ca="1" si="0"/>
        <v>733</v>
      </c>
      <c r="AP15" s="38">
        <f t="shared" ca="1" si="1"/>
        <v>104.71428571428571</v>
      </c>
      <c r="AQ15" s="38">
        <f>+'[1]Imported Pigs Costing 0826'!CP$104/2</f>
        <v>2811.229111313125</v>
      </c>
      <c r="AR15" s="38">
        <f>+'[1]Imported Pigs Costing 0826'!CQ$104/2</f>
        <v>144.16559545195514</v>
      </c>
      <c r="AS15" s="38">
        <f>+'[1]Imported Pigs Costing 0826'!CR$104/2</f>
        <v>2703.1049147241588</v>
      </c>
      <c r="AT15" s="38">
        <f>+'[1]Imported Pigs Costing 0826'!CS$104/2</f>
        <v>108.12419658896624</v>
      </c>
    </row>
    <row r="16" spans="1:47">
      <c r="B16" t="s">
        <v>167</v>
      </c>
      <c r="C16" t="s">
        <v>124</v>
      </c>
      <c r="D16" t="s">
        <v>142</v>
      </c>
      <c r="E16" t="s">
        <v>126</v>
      </c>
      <c r="F16" s="37">
        <v>45542</v>
      </c>
      <c r="H16" t="s">
        <v>127</v>
      </c>
      <c r="K16" t="s">
        <v>128</v>
      </c>
      <c r="L16" t="s">
        <v>129</v>
      </c>
      <c r="O16" s="42" t="s">
        <v>168</v>
      </c>
      <c r="P16" t="s">
        <v>169</v>
      </c>
      <c r="R16" s="38">
        <f t="shared" si="2"/>
        <v>2811.229111313125</v>
      </c>
      <c r="S16" s="38"/>
      <c r="T16" s="38">
        <f t="shared" si="3"/>
        <v>2811.229111313125</v>
      </c>
      <c r="AA16">
        <f t="shared" si="4"/>
        <v>108.12419658896624</v>
      </c>
      <c r="AB16" s="43">
        <f t="shared" si="5"/>
        <v>2703.1049147241588</v>
      </c>
      <c r="AC16" s="43">
        <f t="shared" si="6"/>
        <v>108.12419658896624</v>
      </c>
      <c r="AD16">
        <v>0</v>
      </c>
      <c r="AE16" s="43">
        <f t="shared" si="7"/>
        <v>144.16559545195514</v>
      </c>
      <c r="AL16">
        <v>100</v>
      </c>
      <c r="AN16" s="38">
        <f t="shared" si="8"/>
        <v>108.12419658896624</v>
      </c>
      <c r="AO16" s="38">
        <f t="shared" ca="1" si="0"/>
        <v>735</v>
      </c>
      <c r="AP16" s="38">
        <f t="shared" ca="1" si="1"/>
        <v>105</v>
      </c>
      <c r="AQ16" s="43">
        <f>+AQ15</f>
        <v>2811.229111313125</v>
      </c>
      <c r="AR16" s="43">
        <f t="shared" ref="AR16:AT16" si="11">+AR15</f>
        <v>144.16559545195514</v>
      </c>
      <c r="AS16" s="43">
        <f t="shared" si="11"/>
        <v>2703.1049147241588</v>
      </c>
      <c r="AT16" s="43">
        <f t="shared" si="11"/>
        <v>108.12419658896624</v>
      </c>
    </row>
    <row r="17" spans="2:46">
      <c r="B17" t="s">
        <v>170</v>
      </c>
      <c r="C17" t="s">
        <v>124</v>
      </c>
      <c r="D17" t="s">
        <v>125</v>
      </c>
      <c r="E17" t="s">
        <v>126</v>
      </c>
      <c r="F17" s="37">
        <v>45409</v>
      </c>
      <c r="H17" t="s">
        <v>127</v>
      </c>
      <c r="K17" t="s">
        <v>128</v>
      </c>
      <c r="L17" t="s">
        <v>129</v>
      </c>
      <c r="O17" s="44" t="s">
        <v>171</v>
      </c>
      <c r="P17" t="s">
        <v>166</v>
      </c>
      <c r="R17" s="38">
        <f t="shared" si="2"/>
        <v>3031.3260040427035</v>
      </c>
      <c r="S17" s="38"/>
      <c r="T17" s="38">
        <f t="shared" si="3"/>
        <v>3031.3260040427035</v>
      </c>
      <c r="AA17">
        <f t="shared" si="4"/>
        <v>0</v>
      </c>
      <c r="AB17" s="43">
        <f t="shared" si="5"/>
        <v>3031.3260040427035</v>
      </c>
      <c r="AC17" s="43">
        <f t="shared" si="6"/>
        <v>0</v>
      </c>
      <c r="AD17">
        <v>0</v>
      </c>
      <c r="AE17" s="43">
        <f t="shared" si="7"/>
        <v>0</v>
      </c>
      <c r="AL17">
        <v>97</v>
      </c>
      <c r="AN17" s="38">
        <f t="shared" si="8"/>
        <v>0</v>
      </c>
      <c r="AO17" s="38">
        <f t="shared" ca="1" si="0"/>
        <v>868</v>
      </c>
      <c r="AP17" s="38">
        <f t="shared" ca="1" si="1"/>
        <v>124</v>
      </c>
      <c r="AQ17" s="38">
        <f>+'[1]Imported Pigs Costing 0826'!CP$142/2</f>
        <v>3031.3260040427035</v>
      </c>
      <c r="AR17" s="38">
        <f>+'[1]Imported Pigs Costing 0826'!CQ$142/2</f>
        <v>0</v>
      </c>
      <c r="AS17" s="38">
        <f>+'[1]Imported Pigs Costing 0826'!CR$142/2</f>
        <v>3031.3260040427035</v>
      </c>
      <c r="AT17" s="38">
        <f>+'[1]Imported Pigs Costing 0826'!CS$142/2</f>
        <v>0</v>
      </c>
    </row>
    <row r="18" spans="2:46">
      <c r="B18" t="s">
        <v>172</v>
      </c>
      <c r="C18" t="s">
        <v>124</v>
      </c>
      <c r="D18" t="s">
        <v>125</v>
      </c>
      <c r="E18" t="s">
        <v>126</v>
      </c>
      <c r="F18" s="37">
        <v>45098</v>
      </c>
      <c r="H18" t="s">
        <v>127</v>
      </c>
      <c r="K18" t="s">
        <v>128</v>
      </c>
      <c r="L18" t="s">
        <v>129</v>
      </c>
      <c r="O18" s="45" t="s">
        <v>173</v>
      </c>
      <c r="P18" t="s">
        <v>174</v>
      </c>
      <c r="R18" s="38">
        <f t="shared" si="2"/>
        <v>2667.9449568149562</v>
      </c>
      <c r="S18" s="38"/>
      <c r="T18" s="38">
        <f t="shared" si="3"/>
        <v>2667.9449568149562</v>
      </c>
      <c r="AA18">
        <f t="shared" si="4"/>
        <v>0</v>
      </c>
      <c r="AB18" s="43">
        <f t="shared" si="5"/>
        <v>2667.9449568149562</v>
      </c>
      <c r="AC18" s="43">
        <f t="shared" si="6"/>
        <v>0</v>
      </c>
      <c r="AD18">
        <v>0</v>
      </c>
      <c r="AE18" s="43">
        <f t="shared" si="7"/>
        <v>0</v>
      </c>
      <c r="AL18">
        <v>93</v>
      </c>
      <c r="AN18" s="38">
        <f t="shared" si="8"/>
        <v>0</v>
      </c>
      <c r="AO18" s="38">
        <f t="shared" ca="1" si="0"/>
        <v>1179</v>
      </c>
      <c r="AP18" s="38">
        <f t="shared" ca="1" si="1"/>
        <v>168.42857142857142</v>
      </c>
      <c r="AQ18" s="38">
        <f>+'[1]Imported Pigs Costing 0826'!CP$164/2</f>
        <v>2667.9449568149562</v>
      </c>
      <c r="AR18" s="38">
        <f>+'[1]Imported Pigs Costing 0826'!CQ$164/2</f>
        <v>0</v>
      </c>
      <c r="AS18" s="38">
        <f>+'[1]Imported Pigs Costing 0826'!CR$164/2</f>
        <v>2667.9449568149562</v>
      </c>
      <c r="AT18" s="38">
        <f>+'[1]Imported Pigs Costing 0826'!CS$164/2</f>
        <v>0</v>
      </c>
    </row>
    <row r="19" spans="2:46">
      <c r="B19" t="s">
        <v>175</v>
      </c>
      <c r="C19" t="s">
        <v>124</v>
      </c>
      <c r="D19" t="s">
        <v>125</v>
      </c>
      <c r="E19" t="s">
        <v>126</v>
      </c>
      <c r="F19" s="37">
        <v>44946</v>
      </c>
      <c r="H19" t="s">
        <v>127</v>
      </c>
      <c r="K19" t="s">
        <v>128</v>
      </c>
      <c r="L19" t="s">
        <v>129</v>
      </c>
      <c r="O19" t="s">
        <v>176</v>
      </c>
      <c r="P19" t="s">
        <v>177</v>
      </c>
      <c r="R19" s="38">
        <f t="shared" si="2"/>
        <v>161.96522512068836</v>
      </c>
      <c r="S19" s="38"/>
      <c r="T19" s="38">
        <f t="shared" si="3"/>
        <v>161.96522512068836</v>
      </c>
      <c r="AA19">
        <f t="shared" si="4"/>
        <v>0</v>
      </c>
      <c r="AB19" s="43">
        <f t="shared" si="5"/>
        <v>161.96522512068836</v>
      </c>
      <c r="AC19" s="43">
        <f t="shared" si="6"/>
        <v>0</v>
      </c>
      <c r="AD19">
        <v>0</v>
      </c>
      <c r="AE19" s="43">
        <f t="shared" si="7"/>
        <v>0</v>
      </c>
      <c r="AL19">
        <v>95</v>
      </c>
      <c r="AN19" s="38">
        <f t="shared" si="8"/>
        <v>0</v>
      </c>
      <c r="AO19" s="38">
        <f t="shared" ca="1" si="0"/>
        <v>1331</v>
      </c>
      <c r="AP19" s="38">
        <f t="shared" ca="1" si="1"/>
        <v>190.14285714285714</v>
      </c>
      <c r="AQ19" s="38">
        <f>+'[1]Imported Pigs Costing 0826'!CP$187</f>
        <v>161.96522512068836</v>
      </c>
      <c r="AR19" s="38">
        <f>+'[1]Imported Pigs Costing 0826'!CQ$187</f>
        <v>0</v>
      </c>
      <c r="AS19" s="38">
        <f>+'[1]Imported Pigs Costing 0826'!CR$187</f>
        <v>161.96522512068836</v>
      </c>
      <c r="AT19" s="38">
        <f>+'[1]Imported Pigs Costing 0826'!CS$187</f>
        <v>0</v>
      </c>
    </row>
    <row r="20" spans="2:46">
      <c r="B20" t="s">
        <v>178</v>
      </c>
      <c r="C20" t="s">
        <v>124</v>
      </c>
      <c r="D20" t="s">
        <v>179</v>
      </c>
      <c r="E20" t="s">
        <v>126</v>
      </c>
      <c r="F20" s="37">
        <v>45966</v>
      </c>
      <c r="H20" t="s">
        <v>127</v>
      </c>
      <c r="K20" t="s">
        <v>128</v>
      </c>
      <c r="L20" t="s">
        <v>129</v>
      </c>
      <c r="O20" s="39" t="s">
        <v>180</v>
      </c>
      <c r="P20" t="s">
        <v>181</v>
      </c>
      <c r="R20" s="38">
        <f t="shared" si="2"/>
        <v>340.27188284942008</v>
      </c>
      <c r="S20" s="38"/>
      <c r="T20" s="38">
        <f t="shared" si="3"/>
        <v>340.27188284942008</v>
      </c>
      <c r="AA20">
        <f t="shared" si="4"/>
        <v>274.83498230145472</v>
      </c>
      <c r="AB20" s="43">
        <f t="shared" si="5"/>
        <v>65.436900547965394</v>
      </c>
      <c r="AC20" s="43">
        <f t="shared" si="6"/>
        <v>274.83498230145472</v>
      </c>
      <c r="AD20">
        <v>0</v>
      </c>
      <c r="AE20" s="43">
        <f t="shared" si="7"/>
        <v>17.449840146124107</v>
      </c>
      <c r="AL20">
        <v>118</v>
      </c>
      <c r="AN20" s="38">
        <f t="shared" si="8"/>
        <v>274.83498230145472</v>
      </c>
      <c r="AO20" s="38">
        <f t="shared" ca="1" si="0"/>
        <v>311</v>
      </c>
      <c r="AP20" s="38">
        <f t="shared" ca="1" si="1"/>
        <v>44.428571428571431</v>
      </c>
      <c r="AQ20" s="38">
        <f>+'[1]Imported Pigs Costing 0826'!CP$44</f>
        <v>340.27188284942008</v>
      </c>
      <c r="AR20" s="38">
        <f>+'[1]Imported Pigs Costing 0826'!CQ$44</f>
        <v>17.449840146124107</v>
      </c>
      <c r="AS20" s="38">
        <f>+'[1]Imported Pigs Costing 0826'!CR$44</f>
        <v>65.436900547965394</v>
      </c>
      <c r="AT20">
        <f>+'[1]Imported Pigs Costing 0826'!CS$44</f>
        <v>274.83498230145472</v>
      </c>
    </row>
    <row r="21" spans="2:46">
      <c r="B21" t="s">
        <v>182</v>
      </c>
      <c r="C21" t="s">
        <v>124</v>
      </c>
      <c r="D21" t="s">
        <v>179</v>
      </c>
      <c r="E21" t="s">
        <v>126</v>
      </c>
      <c r="F21" s="37">
        <v>45960</v>
      </c>
      <c r="H21" t="s">
        <v>127</v>
      </c>
      <c r="K21" t="s">
        <v>128</v>
      </c>
      <c r="L21" t="s">
        <v>129</v>
      </c>
      <c r="O21" s="39" t="s">
        <v>183</v>
      </c>
      <c r="P21" t="s">
        <v>184</v>
      </c>
      <c r="R21" s="38">
        <f t="shared" si="2"/>
        <v>337.79492505643327</v>
      </c>
      <c r="S21" s="38"/>
      <c r="T21" s="38">
        <f t="shared" si="3"/>
        <v>337.79492505643327</v>
      </c>
      <c r="AA21">
        <f t="shared" si="4"/>
        <v>268.50365837819055</v>
      </c>
      <c r="AB21" s="43">
        <f t="shared" si="5"/>
        <v>69.291266678242721</v>
      </c>
      <c r="AC21" s="43">
        <f t="shared" si="6"/>
        <v>268.50365837819055</v>
      </c>
      <c r="AD21">
        <v>0</v>
      </c>
      <c r="AE21" s="43">
        <f t="shared" si="7"/>
        <v>17.32281666956068</v>
      </c>
      <c r="AL21">
        <v>124</v>
      </c>
      <c r="AN21" s="38">
        <f t="shared" si="8"/>
        <v>268.50365837819055</v>
      </c>
      <c r="AO21" s="38">
        <f t="shared" ca="1" si="0"/>
        <v>317</v>
      </c>
      <c r="AP21" s="38">
        <f t="shared" ca="1" si="1"/>
        <v>45.285714285714285</v>
      </c>
      <c r="AQ21" s="38">
        <f>+'[1]Imported Pigs Costing 0826'!CP$45</f>
        <v>337.79492505643327</v>
      </c>
      <c r="AR21" s="38">
        <f>+'[1]Imported Pigs Costing 0826'!CQ$45</f>
        <v>17.32281666956068</v>
      </c>
      <c r="AS21" s="38">
        <f>+'[1]Imported Pigs Costing 0826'!CR$45</f>
        <v>69.291266678242721</v>
      </c>
      <c r="AT21">
        <f>+'[1]Imported Pigs Costing 0826'!CS$45</f>
        <v>268.50365837819055</v>
      </c>
    </row>
    <row r="22" spans="2:46">
      <c r="B22" t="s">
        <v>185</v>
      </c>
      <c r="C22" t="s">
        <v>124</v>
      </c>
      <c r="D22" t="s">
        <v>179</v>
      </c>
      <c r="E22" t="s">
        <v>126</v>
      </c>
      <c r="F22" s="37">
        <v>45938</v>
      </c>
      <c r="H22" t="s">
        <v>127</v>
      </c>
      <c r="K22" t="s">
        <v>128</v>
      </c>
      <c r="L22" t="s">
        <v>129</v>
      </c>
      <c r="O22" s="39" t="s">
        <v>186</v>
      </c>
      <c r="P22" t="s">
        <v>187</v>
      </c>
      <c r="R22" s="38">
        <f t="shared" si="2"/>
        <v>29.092100553828779</v>
      </c>
      <c r="S22" s="38"/>
      <c r="T22" s="38">
        <f t="shared" si="3"/>
        <v>29.092100553828779</v>
      </c>
      <c r="AA22">
        <f t="shared" si="4"/>
        <v>22.00556323943459</v>
      </c>
      <c r="AB22" s="43">
        <f t="shared" si="5"/>
        <v>7.0865373143941897</v>
      </c>
      <c r="AC22" s="43">
        <f t="shared" si="6"/>
        <v>22.00556323943459</v>
      </c>
      <c r="AD22">
        <v>0</v>
      </c>
      <c r="AE22" s="43">
        <f t="shared" si="7"/>
        <v>1.4919025925040399</v>
      </c>
      <c r="AL22">
        <v>129</v>
      </c>
      <c r="AN22" s="38">
        <f t="shared" si="8"/>
        <v>22.00556323943459</v>
      </c>
      <c r="AO22" s="38">
        <f t="shared" ca="1" si="0"/>
        <v>339</v>
      </c>
      <c r="AP22" s="38">
        <f t="shared" ca="1" si="1"/>
        <v>48.428571428571431</v>
      </c>
      <c r="AQ22" s="38">
        <f>+'[1]Imported Pigs Costing 0826'!CP$48/2</f>
        <v>29.092100553828779</v>
      </c>
      <c r="AR22" s="38">
        <f>+'[1]Imported Pigs Costing 0826'!CQ$48/2</f>
        <v>1.4919025925040399</v>
      </c>
      <c r="AS22" s="38">
        <f>+'[1]Imported Pigs Costing 0826'!CR$48/2</f>
        <v>7.0865373143941897</v>
      </c>
      <c r="AT22">
        <f>+'[1]Imported Pigs Costing 0826'!CS$48/2</f>
        <v>22.00556323943459</v>
      </c>
    </row>
    <row r="23" spans="2:46">
      <c r="B23" t="s">
        <v>188</v>
      </c>
      <c r="C23" t="s">
        <v>124</v>
      </c>
      <c r="D23" t="s">
        <v>179</v>
      </c>
      <c r="E23" t="s">
        <v>126</v>
      </c>
      <c r="F23" s="37">
        <v>45936</v>
      </c>
      <c r="H23" t="s">
        <v>127</v>
      </c>
      <c r="K23" t="s">
        <v>128</v>
      </c>
      <c r="L23" t="s">
        <v>129</v>
      </c>
      <c r="O23" s="39" t="s">
        <v>189</v>
      </c>
      <c r="P23" t="s">
        <v>190</v>
      </c>
      <c r="R23" s="38">
        <f t="shared" si="2"/>
        <v>29.092100553828779</v>
      </c>
      <c r="S23" s="38"/>
      <c r="T23" s="38">
        <f t="shared" si="3"/>
        <v>29.092100553828779</v>
      </c>
      <c r="AA23">
        <f t="shared" si="4"/>
        <v>22.00556323943459</v>
      </c>
      <c r="AB23" s="43">
        <f t="shared" si="5"/>
        <v>7.0865373143941897</v>
      </c>
      <c r="AC23" s="43">
        <f t="shared" si="6"/>
        <v>22.00556323943459</v>
      </c>
      <c r="AD23">
        <v>0</v>
      </c>
      <c r="AE23" s="43">
        <f t="shared" si="7"/>
        <v>1.4919025925040399</v>
      </c>
      <c r="AL23">
        <v>144</v>
      </c>
      <c r="AN23" s="38">
        <f t="shared" si="8"/>
        <v>22.00556323943459</v>
      </c>
      <c r="AO23" s="38">
        <f t="shared" ca="1" si="0"/>
        <v>341</v>
      </c>
      <c r="AP23" s="38">
        <f t="shared" ca="1" si="1"/>
        <v>48.714285714285715</v>
      </c>
      <c r="AQ23" s="38">
        <f>+AQ22</f>
        <v>29.092100553828779</v>
      </c>
      <c r="AR23" s="38">
        <f>+AR22</f>
        <v>1.4919025925040399</v>
      </c>
      <c r="AS23" s="38">
        <f>+AS22</f>
        <v>7.0865373143941897</v>
      </c>
      <c r="AT23">
        <f>+AT22</f>
        <v>22.00556323943459</v>
      </c>
    </row>
    <row r="24" spans="2:46">
      <c r="B24" t="s">
        <v>191</v>
      </c>
      <c r="C24" t="s">
        <v>124</v>
      </c>
      <c r="D24" t="s">
        <v>125</v>
      </c>
      <c r="E24" t="s">
        <v>126</v>
      </c>
      <c r="F24" s="37">
        <v>45874</v>
      </c>
      <c r="G24" s="34"/>
      <c r="H24" t="s">
        <v>127</v>
      </c>
      <c r="I24" s="34"/>
      <c r="K24" t="s">
        <v>128</v>
      </c>
      <c r="L24" t="s">
        <v>129</v>
      </c>
      <c r="N24" t="s">
        <v>130</v>
      </c>
      <c r="O24" s="39" t="s">
        <v>192</v>
      </c>
      <c r="P24" t="s">
        <v>193</v>
      </c>
      <c r="R24" s="38">
        <f t="shared" si="2"/>
        <v>1</v>
      </c>
      <c r="S24" s="38"/>
      <c r="T24" s="38">
        <f t="shared" si="3"/>
        <v>1</v>
      </c>
      <c r="AA24">
        <f t="shared" si="4"/>
        <v>0.65384615384615385</v>
      </c>
      <c r="AB24" s="43">
        <f t="shared" si="5"/>
        <v>0.34615384615384615</v>
      </c>
      <c r="AC24" s="43">
        <f t="shared" si="6"/>
        <v>0.65384615384615385</v>
      </c>
      <c r="AD24">
        <v>0</v>
      </c>
      <c r="AE24" s="43">
        <f t="shared" si="7"/>
        <v>5.128205128205128E-2</v>
      </c>
      <c r="AF24" s="34"/>
      <c r="AG24" s="34"/>
      <c r="AL24">
        <v>116</v>
      </c>
      <c r="AN24" s="38">
        <f t="shared" si="8"/>
        <v>0.65384615384615385</v>
      </c>
      <c r="AO24" s="38">
        <f t="shared" ca="1" si="0"/>
        <v>403</v>
      </c>
      <c r="AP24" s="38">
        <f t="shared" ca="1" si="1"/>
        <v>57.571428571428569</v>
      </c>
      <c r="AQ24" s="38">
        <f>+'[1]Imported Pigs Costing 0826'!CP$56</f>
        <v>1</v>
      </c>
      <c r="AR24" s="38">
        <f>+'[1]Imported Pigs Costing 0826'!CQ$56</f>
        <v>5.128205128205128E-2</v>
      </c>
      <c r="AS24" s="38">
        <f>+'[1]Imported Pigs Costing 0826'!CR$56</f>
        <v>0.34615384615384615</v>
      </c>
      <c r="AT24">
        <f>+'[1]Imported Pigs Costing 0826'!CS$56</f>
        <v>0.65384615384615385</v>
      </c>
    </row>
    <row r="25" spans="2:46">
      <c r="B25" t="s">
        <v>194</v>
      </c>
      <c r="C25" t="s">
        <v>124</v>
      </c>
      <c r="D25" t="s">
        <v>125</v>
      </c>
      <c r="E25" t="s">
        <v>126</v>
      </c>
      <c r="F25" s="37">
        <v>45864</v>
      </c>
      <c r="H25" t="s">
        <v>127</v>
      </c>
      <c r="K25" t="s">
        <v>128</v>
      </c>
      <c r="L25" t="s">
        <v>129</v>
      </c>
      <c r="O25" s="39" t="s">
        <v>195</v>
      </c>
      <c r="P25" t="s">
        <v>193</v>
      </c>
      <c r="R25" s="38">
        <f t="shared" si="2"/>
        <v>1</v>
      </c>
      <c r="S25" s="38"/>
      <c r="T25" s="38">
        <f t="shared" si="3"/>
        <v>1</v>
      </c>
      <c r="AA25">
        <f t="shared" si="4"/>
        <v>0.62820512820512819</v>
      </c>
      <c r="AB25" s="43">
        <f t="shared" si="5"/>
        <v>0.37179487179487181</v>
      </c>
      <c r="AC25" s="43">
        <f t="shared" si="6"/>
        <v>0.62820512820512819</v>
      </c>
      <c r="AD25">
        <v>0</v>
      </c>
      <c r="AE25" s="43">
        <f t="shared" si="7"/>
        <v>5.128205128205128E-2</v>
      </c>
      <c r="AL25">
        <v>113</v>
      </c>
      <c r="AN25" s="38">
        <f t="shared" si="8"/>
        <v>0.62820512820512819</v>
      </c>
      <c r="AO25" s="38">
        <f t="shared" ca="1" si="0"/>
        <v>413</v>
      </c>
      <c r="AP25" s="38">
        <f t="shared" ca="1" si="1"/>
        <v>59</v>
      </c>
      <c r="AQ25" s="38">
        <f>+'[1]Imported Pigs Costing 0826'!CP$58</f>
        <v>1</v>
      </c>
      <c r="AR25" s="38">
        <f>+'[1]Imported Pigs Costing 0826'!CQ$58</f>
        <v>5.128205128205128E-2</v>
      </c>
      <c r="AS25" s="38">
        <f>+'[1]Imported Pigs Costing 0826'!CR$58</f>
        <v>0.37179487179487181</v>
      </c>
      <c r="AT25">
        <f>+'[1]Imported Pigs Costing 0826'!CS$58</f>
        <v>0.62820512820512819</v>
      </c>
    </row>
    <row r="26" spans="2:46">
      <c r="B26" t="s">
        <v>196</v>
      </c>
      <c r="C26" t="s">
        <v>124</v>
      </c>
      <c r="D26" t="s">
        <v>125</v>
      </c>
      <c r="E26" t="s">
        <v>126</v>
      </c>
      <c r="F26" s="37">
        <v>45841</v>
      </c>
      <c r="H26" t="s">
        <v>127</v>
      </c>
      <c r="J26" t="s">
        <v>130</v>
      </c>
      <c r="K26" t="s">
        <v>128</v>
      </c>
      <c r="L26" t="s">
        <v>129</v>
      </c>
      <c r="O26" s="39" t="s">
        <v>197</v>
      </c>
      <c r="P26" t="s">
        <v>193</v>
      </c>
      <c r="R26" s="38">
        <f t="shared" si="2"/>
        <v>3305.2556056052058</v>
      </c>
      <c r="S26" s="38"/>
      <c r="T26" s="38">
        <f t="shared" si="3"/>
        <v>3305.2556056052058</v>
      </c>
      <c r="AA26">
        <f t="shared" si="4"/>
        <v>1949.2533058697368</v>
      </c>
      <c r="AB26" s="43">
        <f t="shared" si="5"/>
        <v>1356.002299735469</v>
      </c>
      <c r="AC26" s="43">
        <f t="shared" si="6"/>
        <v>1949.2533058697368</v>
      </c>
      <c r="AD26">
        <v>0</v>
      </c>
      <c r="AE26" s="43">
        <f t="shared" si="7"/>
        <v>169.50028746693363</v>
      </c>
      <c r="AL26">
        <v>113</v>
      </c>
      <c r="AN26" s="38">
        <f t="shared" si="8"/>
        <v>1949.2533058697368</v>
      </c>
      <c r="AO26" s="38">
        <f t="shared" ca="1" si="0"/>
        <v>436</v>
      </c>
      <c r="AP26" s="38">
        <f t="shared" ca="1" si="1"/>
        <v>62.285714285714285</v>
      </c>
      <c r="AQ26" s="38">
        <f>+'[1]Imported Pigs Costing 0826'!CP$61</f>
        <v>3305.2556056052058</v>
      </c>
      <c r="AR26" s="38">
        <f>+'[1]Imported Pigs Costing 0826'!CQ$61</f>
        <v>169.50028746693363</v>
      </c>
      <c r="AS26" s="38">
        <f>+'[1]Imported Pigs Costing 0826'!CR$61</f>
        <v>1356.002299735469</v>
      </c>
      <c r="AT26">
        <f>+'[1]Imported Pigs Costing 0826'!CS$61</f>
        <v>1949.2533058697368</v>
      </c>
    </row>
    <row r="27" spans="2:46">
      <c r="B27" t="s">
        <v>198</v>
      </c>
      <c r="C27" t="s">
        <v>124</v>
      </c>
      <c r="D27" t="s">
        <v>142</v>
      </c>
      <c r="E27" t="s">
        <v>126</v>
      </c>
      <c r="F27" s="37">
        <v>45838</v>
      </c>
      <c r="H27" t="s">
        <v>127</v>
      </c>
      <c r="K27" t="s">
        <v>128</v>
      </c>
      <c r="L27" t="s">
        <v>129</v>
      </c>
      <c r="O27" s="39" t="s">
        <v>199</v>
      </c>
      <c r="P27" t="s">
        <v>200</v>
      </c>
      <c r="R27" s="38">
        <f t="shared" si="2"/>
        <v>3305.2556056052058</v>
      </c>
      <c r="S27" s="38"/>
      <c r="T27" s="38">
        <f t="shared" si="3"/>
        <v>3305.2556056052058</v>
      </c>
      <c r="AA27">
        <f t="shared" si="4"/>
        <v>1906.8782340030034</v>
      </c>
      <c r="AB27" s="43">
        <f t="shared" si="5"/>
        <v>1398.3773716022024</v>
      </c>
      <c r="AC27" s="43">
        <f t="shared" si="6"/>
        <v>1906.8782340030034</v>
      </c>
      <c r="AD27">
        <v>0</v>
      </c>
      <c r="AE27" s="43">
        <f t="shared" si="7"/>
        <v>169.50028746693363</v>
      </c>
      <c r="AL27">
        <v>97</v>
      </c>
      <c r="AN27" s="38">
        <f t="shared" si="8"/>
        <v>1906.8782340030034</v>
      </c>
      <c r="AO27" s="38">
        <f t="shared" ca="1" si="0"/>
        <v>439</v>
      </c>
      <c r="AP27" s="38">
        <f t="shared" ca="1" si="1"/>
        <v>62.714285714285715</v>
      </c>
      <c r="AQ27" s="38">
        <f>+'[1]Imported Pigs Costing 0826'!CP$62</f>
        <v>3305.2556056052058</v>
      </c>
      <c r="AR27" s="38">
        <f>+'[1]Imported Pigs Costing 0826'!CQ$62</f>
        <v>169.50028746693363</v>
      </c>
      <c r="AS27" s="38">
        <f>+'[1]Imported Pigs Costing 0826'!CR$62</f>
        <v>1398.3773716022024</v>
      </c>
      <c r="AT27">
        <f>+'[1]Imported Pigs Costing 0826'!CS$62</f>
        <v>1906.8782340030034</v>
      </c>
    </row>
    <row r="28" spans="2:46">
      <c r="R28" s="38">
        <f t="shared" si="2"/>
        <v>0</v>
      </c>
      <c r="S28" s="38"/>
      <c r="T28" s="38">
        <f t="shared" si="3"/>
        <v>0</v>
      </c>
      <c r="AD28">
        <f t="shared" ref="AD28:AE37" si="12">+AC28</f>
        <v>0</v>
      </c>
      <c r="AE28">
        <f t="shared" si="12"/>
        <v>0</v>
      </c>
      <c r="AO28" s="38"/>
      <c r="AP28" s="38">
        <f t="shared" ref="AP28:AP69" si="13">+AO28/7</f>
        <v>0</v>
      </c>
      <c r="AQ28" s="38"/>
      <c r="AR28" s="38"/>
      <c r="AS28" s="38"/>
    </row>
    <row r="29" spans="2:46">
      <c r="R29" s="38">
        <f t="shared" si="2"/>
        <v>0</v>
      </c>
      <c r="S29" s="38"/>
      <c r="T29" s="38">
        <f t="shared" si="3"/>
        <v>0</v>
      </c>
      <c r="AD29">
        <f t="shared" si="12"/>
        <v>0</v>
      </c>
      <c r="AE29">
        <f t="shared" si="12"/>
        <v>0</v>
      </c>
      <c r="AO29" s="38"/>
      <c r="AP29" s="38">
        <f t="shared" si="13"/>
        <v>0</v>
      </c>
    </row>
    <row r="30" spans="2:46">
      <c r="R30" s="38">
        <f t="shared" si="2"/>
        <v>0</v>
      </c>
      <c r="S30" s="38"/>
      <c r="T30" s="38">
        <f t="shared" si="3"/>
        <v>0</v>
      </c>
      <c r="AD30">
        <f t="shared" si="12"/>
        <v>0</v>
      </c>
      <c r="AE30">
        <f t="shared" si="12"/>
        <v>0</v>
      </c>
      <c r="AO30" s="38"/>
      <c r="AP30" s="38">
        <f t="shared" si="13"/>
        <v>0</v>
      </c>
    </row>
    <row r="31" spans="2:46">
      <c r="R31" s="38">
        <f t="shared" si="2"/>
        <v>0</v>
      </c>
      <c r="S31" s="38"/>
      <c r="T31" s="38">
        <f t="shared" si="3"/>
        <v>0</v>
      </c>
      <c r="AD31">
        <f t="shared" si="12"/>
        <v>0</v>
      </c>
      <c r="AE31">
        <f t="shared" si="12"/>
        <v>0</v>
      </c>
      <c r="AO31" s="38"/>
      <c r="AP31" s="38">
        <f t="shared" si="13"/>
        <v>0</v>
      </c>
    </row>
    <row r="32" spans="2:46">
      <c r="R32" s="38">
        <f t="shared" si="2"/>
        <v>0</v>
      </c>
      <c r="S32" s="38"/>
      <c r="T32" s="38">
        <f t="shared" si="3"/>
        <v>0</v>
      </c>
      <c r="AD32">
        <f t="shared" si="12"/>
        <v>0</v>
      </c>
      <c r="AE32">
        <f t="shared" si="12"/>
        <v>0</v>
      </c>
      <c r="AO32" s="38"/>
      <c r="AP32" s="38">
        <f t="shared" si="13"/>
        <v>0</v>
      </c>
    </row>
    <row r="33" spans="18:42">
      <c r="R33" s="38">
        <f t="shared" si="2"/>
        <v>0</v>
      </c>
      <c r="S33" s="38"/>
      <c r="T33" s="38">
        <f t="shared" si="3"/>
        <v>0</v>
      </c>
      <c r="AD33">
        <f t="shared" si="12"/>
        <v>0</v>
      </c>
      <c r="AE33">
        <f t="shared" si="12"/>
        <v>0</v>
      </c>
      <c r="AO33" s="38"/>
      <c r="AP33" s="38">
        <f t="shared" si="13"/>
        <v>0</v>
      </c>
    </row>
    <row r="34" spans="18:42">
      <c r="R34" s="38">
        <f t="shared" si="2"/>
        <v>0</v>
      </c>
      <c r="S34" s="38"/>
      <c r="T34" s="38">
        <f t="shared" si="3"/>
        <v>0</v>
      </c>
      <c r="AD34">
        <f t="shared" si="12"/>
        <v>0</v>
      </c>
      <c r="AE34">
        <f t="shared" si="12"/>
        <v>0</v>
      </c>
      <c r="AO34" s="38"/>
      <c r="AP34" s="38">
        <f t="shared" si="13"/>
        <v>0</v>
      </c>
    </row>
    <row r="35" spans="18:42">
      <c r="R35" s="38">
        <f t="shared" si="2"/>
        <v>0</v>
      </c>
      <c r="S35" s="38"/>
      <c r="T35" s="38">
        <f t="shared" si="3"/>
        <v>0</v>
      </c>
      <c r="AD35">
        <f t="shared" si="12"/>
        <v>0</v>
      </c>
      <c r="AE35">
        <f t="shared" si="12"/>
        <v>0</v>
      </c>
      <c r="AO35" s="38"/>
      <c r="AP35" s="38">
        <f t="shared" si="13"/>
        <v>0</v>
      </c>
    </row>
    <row r="36" spans="18:42">
      <c r="R36" s="38">
        <f t="shared" si="2"/>
        <v>0</v>
      </c>
      <c r="S36" s="38"/>
      <c r="T36" s="38">
        <f t="shared" si="3"/>
        <v>0</v>
      </c>
      <c r="AD36">
        <f t="shared" si="12"/>
        <v>0</v>
      </c>
      <c r="AE36">
        <f t="shared" si="12"/>
        <v>0</v>
      </c>
      <c r="AO36" s="38"/>
      <c r="AP36" s="38">
        <f t="shared" si="13"/>
        <v>0</v>
      </c>
    </row>
    <row r="37" spans="18:42">
      <c r="R37" s="38">
        <f t="shared" si="2"/>
        <v>0</v>
      </c>
      <c r="S37" s="38"/>
      <c r="T37" s="38">
        <f t="shared" si="3"/>
        <v>0</v>
      </c>
      <c r="AD37">
        <f t="shared" si="12"/>
        <v>0</v>
      </c>
      <c r="AE37">
        <f t="shared" si="12"/>
        <v>0</v>
      </c>
      <c r="AO37" s="38"/>
      <c r="AP37" s="38">
        <f t="shared" si="13"/>
        <v>0</v>
      </c>
    </row>
    <row r="38" spans="18:42">
      <c r="R38" s="38">
        <f t="shared" si="2"/>
        <v>0</v>
      </c>
      <c r="S38" s="38"/>
      <c r="T38" s="38">
        <f t="shared" si="3"/>
        <v>0</v>
      </c>
      <c r="AD38">
        <f t="shared" ref="AD38:AE53" si="14">+AC38</f>
        <v>0</v>
      </c>
      <c r="AE38">
        <f t="shared" si="14"/>
        <v>0</v>
      </c>
      <c r="AO38" s="38"/>
      <c r="AP38" s="38">
        <f t="shared" si="13"/>
        <v>0</v>
      </c>
    </row>
    <row r="39" spans="18:42">
      <c r="AD39">
        <f t="shared" si="14"/>
        <v>0</v>
      </c>
      <c r="AE39">
        <f t="shared" si="14"/>
        <v>0</v>
      </c>
      <c r="AO39" s="38"/>
      <c r="AP39" s="38">
        <f t="shared" si="13"/>
        <v>0</v>
      </c>
    </row>
    <row r="40" spans="18:42">
      <c r="AD40">
        <f t="shared" si="14"/>
        <v>0</v>
      </c>
      <c r="AE40">
        <f t="shared" si="14"/>
        <v>0</v>
      </c>
      <c r="AO40" s="38"/>
      <c r="AP40" s="38">
        <f t="shared" si="13"/>
        <v>0</v>
      </c>
    </row>
    <row r="41" spans="18:42">
      <c r="AD41">
        <f t="shared" si="14"/>
        <v>0</v>
      </c>
      <c r="AE41">
        <f t="shared" si="14"/>
        <v>0</v>
      </c>
      <c r="AO41" s="38"/>
      <c r="AP41" s="38">
        <f t="shared" si="13"/>
        <v>0</v>
      </c>
    </row>
    <row r="42" spans="18:42">
      <c r="AD42">
        <f t="shared" si="14"/>
        <v>0</v>
      </c>
      <c r="AE42">
        <f t="shared" si="14"/>
        <v>0</v>
      </c>
      <c r="AO42" s="38"/>
      <c r="AP42" s="38">
        <f t="shared" si="13"/>
        <v>0</v>
      </c>
    </row>
    <row r="43" spans="18:42">
      <c r="AD43">
        <f t="shared" si="14"/>
        <v>0</v>
      </c>
      <c r="AE43">
        <f t="shared" si="14"/>
        <v>0</v>
      </c>
      <c r="AO43" s="38"/>
      <c r="AP43" s="38">
        <f t="shared" si="13"/>
        <v>0</v>
      </c>
    </row>
    <row r="44" spans="18:42">
      <c r="AD44">
        <f t="shared" si="14"/>
        <v>0</v>
      </c>
      <c r="AE44">
        <f t="shared" si="14"/>
        <v>0</v>
      </c>
      <c r="AO44" s="38"/>
      <c r="AP44" s="38">
        <f t="shared" si="13"/>
        <v>0</v>
      </c>
    </row>
    <row r="45" spans="18:42">
      <c r="AD45">
        <f t="shared" si="14"/>
        <v>0</v>
      </c>
      <c r="AE45">
        <f t="shared" si="14"/>
        <v>0</v>
      </c>
      <c r="AO45" s="38"/>
      <c r="AP45" s="38">
        <f t="shared" si="13"/>
        <v>0</v>
      </c>
    </row>
    <row r="46" spans="18:42">
      <c r="AD46">
        <f t="shared" si="14"/>
        <v>0</v>
      </c>
      <c r="AE46">
        <f t="shared" si="14"/>
        <v>0</v>
      </c>
      <c r="AO46" s="38"/>
      <c r="AP46" s="38">
        <f t="shared" si="13"/>
        <v>0</v>
      </c>
    </row>
    <row r="47" spans="18:42">
      <c r="AD47">
        <f t="shared" si="14"/>
        <v>0</v>
      </c>
      <c r="AE47">
        <f t="shared" si="14"/>
        <v>0</v>
      </c>
      <c r="AO47" s="38"/>
      <c r="AP47" s="38">
        <f t="shared" si="13"/>
        <v>0</v>
      </c>
    </row>
    <row r="48" spans="18:42">
      <c r="AD48">
        <f t="shared" si="14"/>
        <v>0</v>
      </c>
      <c r="AE48">
        <f t="shared" si="14"/>
        <v>0</v>
      </c>
      <c r="AO48" s="38"/>
      <c r="AP48" s="38">
        <f t="shared" si="13"/>
        <v>0</v>
      </c>
    </row>
    <row r="49" spans="30:42">
      <c r="AD49">
        <f t="shared" si="14"/>
        <v>0</v>
      </c>
      <c r="AE49">
        <f t="shared" si="14"/>
        <v>0</v>
      </c>
      <c r="AO49" s="38"/>
      <c r="AP49" s="38">
        <f t="shared" si="13"/>
        <v>0</v>
      </c>
    </row>
    <row r="50" spans="30:42">
      <c r="AD50">
        <f t="shared" si="14"/>
        <v>0</v>
      </c>
      <c r="AE50">
        <f t="shared" si="14"/>
        <v>0</v>
      </c>
      <c r="AO50" s="38"/>
      <c r="AP50" s="38">
        <f t="shared" si="13"/>
        <v>0</v>
      </c>
    </row>
    <row r="51" spans="30:42">
      <c r="AD51">
        <f t="shared" si="14"/>
        <v>0</v>
      </c>
      <c r="AE51">
        <f t="shared" si="14"/>
        <v>0</v>
      </c>
      <c r="AO51" s="38"/>
      <c r="AP51" s="38">
        <f t="shared" si="13"/>
        <v>0</v>
      </c>
    </row>
    <row r="52" spans="30:42">
      <c r="AD52">
        <f t="shared" si="14"/>
        <v>0</v>
      </c>
      <c r="AE52">
        <f t="shared" si="14"/>
        <v>0</v>
      </c>
      <c r="AO52" s="38"/>
      <c r="AP52" s="38">
        <f t="shared" si="13"/>
        <v>0</v>
      </c>
    </row>
    <row r="53" spans="30:42">
      <c r="AD53">
        <f t="shared" si="14"/>
        <v>0</v>
      </c>
      <c r="AE53">
        <f t="shared" si="14"/>
        <v>0</v>
      </c>
      <c r="AO53" s="38"/>
      <c r="AP53" s="38">
        <f t="shared" si="13"/>
        <v>0</v>
      </c>
    </row>
    <row r="54" spans="30:42">
      <c r="AD54">
        <f t="shared" ref="AD54:AE69" si="15">+AC54</f>
        <v>0</v>
      </c>
      <c r="AE54">
        <f t="shared" si="15"/>
        <v>0</v>
      </c>
      <c r="AO54" s="38"/>
      <c r="AP54" s="38">
        <f t="shared" si="13"/>
        <v>0</v>
      </c>
    </row>
    <row r="55" spans="30:42">
      <c r="AD55">
        <f t="shared" si="15"/>
        <v>0</v>
      </c>
      <c r="AE55">
        <f t="shared" si="15"/>
        <v>0</v>
      </c>
      <c r="AO55" s="38"/>
      <c r="AP55" s="38">
        <f t="shared" si="13"/>
        <v>0</v>
      </c>
    </row>
    <row r="56" spans="30:42">
      <c r="AD56">
        <f t="shared" si="15"/>
        <v>0</v>
      </c>
      <c r="AE56">
        <f t="shared" si="15"/>
        <v>0</v>
      </c>
      <c r="AO56" s="38"/>
      <c r="AP56" s="38">
        <f t="shared" si="13"/>
        <v>0</v>
      </c>
    </row>
    <row r="57" spans="30:42">
      <c r="AD57">
        <f t="shared" si="15"/>
        <v>0</v>
      </c>
      <c r="AE57">
        <f t="shared" si="15"/>
        <v>0</v>
      </c>
      <c r="AO57" s="38"/>
      <c r="AP57" s="38">
        <f t="shared" si="13"/>
        <v>0</v>
      </c>
    </row>
    <row r="58" spans="30:42">
      <c r="AD58">
        <f t="shared" si="15"/>
        <v>0</v>
      </c>
      <c r="AE58">
        <f t="shared" si="15"/>
        <v>0</v>
      </c>
      <c r="AO58" s="38"/>
      <c r="AP58" s="38">
        <f t="shared" si="13"/>
        <v>0</v>
      </c>
    </row>
    <row r="59" spans="30:42">
      <c r="AD59">
        <f t="shared" si="15"/>
        <v>0</v>
      </c>
      <c r="AE59">
        <f t="shared" si="15"/>
        <v>0</v>
      </c>
      <c r="AO59" s="38"/>
      <c r="AP59" s="38">
        <f t="shared" si="13"/>
        <v>0</v>
      </c>
    </row>
    <row r="60" spans="30:42">
      <c r="AD60">
        <f t="shared" si="15"/>
        <v>0</v>
      </c>
      <c r="AE60">
        <f t="shared" si="15"/>
        <v>0</v>
      </c>
      <c r="AO60" s="38"/>
      <c r="AP60" s="38">
        <f t="shared" si="13"/>
        <v>0</v>
      </c>
    </row>
    <row r="61" spans="30:42">
      <c r="AD61">
        <f t="shared" si="15"/>
        <v>0</v>
      </c>
      <c r="AE61">
        <f t="shared" si="15"/>
        <v>0</v>
      </c>
      <c r="AO61" s="38"/>
      <c r="AP61" s="38">
        <f t="shared" si="13"/>
        <v>0</v>
      </c>
    </row>
    <row r="62" spans="30:42">
      <c r="AD62">
        <f t="shared" si="15"/>
        <v>0</v>
      </c>
      <c r="AE62">
        <f t="shared" si="15"/>
        <v>0</v>
      </c>
      <c r="AO62" s="38"/>
      <c r="AP62" s="38">
        <f t="shared" si="13"/>
        <v>0</v>
      </c>
    </row>
    <row r="63" spans="30:42">
      <c r="AD63">
        <f t="shared" si="15"/>
        <v>0</v>
      </c>
      <c r="AE63">
        <f t="shared" si="15"/>
        <v>0</v>
      </c>
      <c r="AO63" s="38"/>
      <c r="AP63" s="38">
        <f t="shared" si="13"/>
        <v>0</v>
      </c>
    </row>
    <row r="64" spans="30:42">
      <c r="AD64">
        <f t="shared" si="15"/>
        <v>0</v>
      </c>
      <c r="AE64">
        <f t="shared" si="15"/>
        <v>0</v>
      </c>
      <c r="AO64" s="38"/>
      <c r="AP64" s="38">
        <f t="shared" si="13"/>
        <v>0</v>
      </c>
    </row>
    <row r="65" spans="30:42">
      <c r="AD65">
        <f t="shared" si="15"/>
        <v>0</v>
      </c>
      <c r="AE65">
        <f t="shared" si="15"/>
        <v>0</v>
      </c>
      <c r="AO65" s="38"/>
      <c r="AP65" s="38">
        <f t="shared" si="13"/>
        <v>0</v>
      </c>
    </row>
    <row r="66" spans="30:42">
      <c r="AD66">
        <f t="shared" si="15"/>
        <v>0</v>
      </c>
      <c r="AE66">
        <f t="shared" si="15"/>
        <v>0</v>
      </c>
      <c r="AO66" s="38"/>
      <c r="AP66" s="38">
        <f t="shared" si="13"/>
        <v>0</v>
      </c>
    </row>
    <row r="67" spans="30:42">
      <c r="AD67">
        <f t="shared" si="15"/>
        <v>0</v>
      </c>
      <c r="AE67">
        <f t="shared" si="15"/>
        <v>0</v>
      </c>
      <c r="AO67" s="38"/>
      <c r="AP67" s="38">
        <f t="shared" si="13"/>
        <v>0</v>
      </c>
    </row>
    <row r="68" spans="30:42">
      <c r="AD68">
        <f t="shared" si="15"/>
        <v>0</v>
      </c>
      <c r="AE68">
        <f t="shared" si="15"/>
        <v>0</v>
      </c>
      <c r="AO68" s="38"/>
      <c r="AP68" s="38">
        <f t="shared" si="13"/>
        <v>0</v>
      </c>
    </row>
    <row r="69" spans="30:42">
      <c r="AD69">
        <f t="shared" si="15"/>
        <v>0</v>
      </c>
      <c r="AE69">
        <f t="shared" si="15"/>
        <v>0</v>
      </c>
      <c r="AO69" s="38"/>
      <c r="AP69" s="38">
        <f t="shared" si="13"/>
        <v>0</v>
      </c>
    </row>
    <row r="70" spans="30:42">
      <c r="AD70">
        <f t="shared" ref="AD70:AE80" si="16">+AC70</f>
        <v>0</v>
      </c>
      <c r="AE70">
        <f t="shared" si="16"/>
        <v>0</v>
      </c>
      <c r="AO70" s="38"/>
      <c r="AP70" s="38">
        <f t="shared" ref="AP70:AP80" si="17">+AO70/7</f>
        <v>0</v>
      </c>
    </row>
    <row r="71" spans="30:42">
      <c r="AD71">
        <f t="shared" si="16"/>
        <v>0</v>
      </c>
      <c r="AE71">
        <f t="shared" si="16"/>
        <v>0</v>
      </c>
      <c r="AO71" s="38"/>
      <c r="AP71" s="38">
        <f t="shared" si="17"/>
        <v>0</v>
      </c>
    </row>
    <row r="72" spans="30:42">
      <c r="AD72">
        <f t="shared" si="16"/>
        <v>0</v>
      </c>
      <c r="AE72">
        <f t="shared" si="16"/>
        <v>0</v>
      </c>
      <c r="AO72" s="38"/>
      <c r="AP72" s="38">
        <f t="shared" si="17"/>
        <v>0</v>
      </c>
    </row>
    <row r="73" spans="30:42">
      <c r="AD73">
        <f t="shared" si="16"/>
        <v>0</v>
      </c>
      <c r="AE73">
        <f t="shared" si="16"/>
        <v>0</v>
      </c>
      <c r="AO73" s="38"/>
      <c r="AP73" s="38">
        <f t="shared" si="17"/>
        <v>0</v>
      </c>
    </row>
    <row r="74" spans="30:42">
      <c r="AD74">
        <f t="shared" si="16"/>
        <v>0</v>
      </c>
      <c r="AE74">
        <f t="shared" si="16"/>
        <v>0</v>
      </c>
      <c r="AO74" s="38"/>
      <c r="AP74" s="38">
        <f t="shared" si="17"/>
        <v>0</v>
      </c>
    </row>
    <row r="75" spans="30:42">
      <c r="AD75">
        <f t="shared" si="16"/>
        <v>0</v>
      </c>
      <c r="AE75">
        <f t="shared" si="16"/>
        <v>0</v>
      </c>
      <c r="AO75" s="38"/>
      <c r="AP75" s="38">
        <f t="shared" si="17"/>
        <v>0</v>
      </c>
    </row>
    <row r="76" spans="30:42">
      <c r="AD76">
        <f t="shared" si="16"/>
        <v>0</v>
      </c>
      <c r="AE76">
        <f t="shared" si="16"/>
        <v>0</v>
      </c>
      <c r="AO76" s="38"/>
      <c r="AP76" s="38">
        <f t="shared" si="17"/>
        <v>0</v>
      </c>
    </row>
    <row r="77" spans="30:42">
      <c r="AD77">
        <f t="shared" si="16"/>
        <v>0</v>
      </c>
      <c r="AE77">
        <f t="shared" si="16"/>
        <v>0</v>
      </c>
      <c r="AO77" s="38"/>
      <c r="AP77" s="38">
        <f t="shared" si="17"/>
        <v>0</v>
      </c>
    </row>
    <row r="78" spans="30:42">
      <c r="AD78">
        <f t="shared" si="16"/>
        <v>0</v>
      </c>
      <c r="AE78">
        <f t="shared" si="16"/>
        <v>0</v>
      </c>
      <c r="AO78" s="38"/>
      <c r="AP78" s="38">
        <f t="shared" si="17"/>
        <v>0</v>
      </c>
    </row>
    <row r="79" spans="30:42">
      <c r="AD79">
        <f t="shared" si="16"/>
        <v>0</v>
      </c>
      <c r="AE79">
        <f t="shared" si="16"/>
        <v>0</v>
      </c>
      <c r="AO79" s="38"/>
      <c r="AP79" s="38">
        <f t="shared" si="17"/>
        <v>0</v>
      </c>
    </row>
    <row r="80" spans="30:42">
      <c r="AD80">
        <f t="shared" si="16"/>
        <v>0</v>
      </c>
      <c r="AE80">
        <f t="shared" si="16"/>
        <v>0</v>
      </c>
      <c r="AO80" s="38"/>
      <c r="AP80" s="38">
        <f t="shared" si="17"/>
        <v>0</v>
      </c>
    </row>
  </sheetData>
  <sortState xmlns:xlrd2="http://schemas.microsoft.com/office/spreadsheetml/2017/richdata2" ref="A5:AP27">
    <sortCondition sortBy="cellColor" ref="O5:O27" dxfId="0"/>
    <sortCondition ref="AP5:AP27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FAB56A-874B-4F90-A2FA-816C0F50091A}">
  <dimension ref="A1:AP80"/>
  <sheetViews>
    <sheetView zoomScale="120" zoomScaleNormal="120" workbookViewId="0">
      <selection activeCell="AA14" sqref="AA14"/>
    </sheetView>
  </sheetViews>
  <sheetFormatPr defaultColWidth="26.5703125" defaultRowHeight="14.45"/>
  <cols>
    <col min="1" max="1" width="10.85546875" bestFit="1" customWidth="1"/>
    <col min="2" max="2" width="25.85546875" bestFit="1" customWidth="1"/>
    <col min="3" max="3" width="19.7109375" bestFit="1" customWidth="1"/>
    <col min="4" max="4" width="26.42578125" bestFit="1" customWidth="1"/>
    <col min="5" max="5" width="25.7109375" bestFit="1" customWidth="1"/>
    <col min="6" max="6" width="25.5703125" bestFit="1" customWidth="1"/>
    <col min="7" max="7" width="24.28515625" bestFit="1" customWidth="1"/>
    <col min="8" max="8" width="25.42578125" bestFit="1" customWidth="1"/>
    <col min="9" max="9" width="26.140625" bestFit="1" customWidth="1"/>
    <col min="10" max="10" width="25.42578125" bestFit="1" customWidth="1"/>
    <col min="11" max="11" width="23.5703125" bestFit="1" customWidth="1"/>
    <col min="12" max="12" width="25.28515625" bestFit="1" customWidth="1"/>
    <col min="13" max="13" width="22.5703125" bestFit="1" customWidth="1"/>
    <col min="14" max="14" width="23" bestFit="1" customWidth="1"/>
    <col min="15" max="15" width="15.42578125" bestFit="1" customWidth="1"/>
    <col min="16" max="16" width="25.28515625" bestFit="1" customWidth="1"/>
    <col min="17" max="17" width="21.5703125" hidden="1" customWidth="1"/>
    <col min="18" max="18" width="24.5703125" hidden="1" customWidth="1"/>
    <col min="19" max="19" width="0" hidden="1" customWidth="1"/>
    <col min="20" max="20" width="23.7109375" hidden="1" customWidth="1"/>
    <col min="21" max="21" width="26.42578125" hidden="1" customWidth="1"/>
    <col min="22" max="22" width="25.5703125" hidden="1" customWidth="1"/>
    <col min="23" max="23" width="17.5703125" hidden="1" customWidth="1"/>
    <col min="24" max="24" width="25.85546875" hidden="1" customWidth="1"/>
    <col min="25" max="25" width="23.5703125" hidden="1" customWidth="1"/>
    <col min="26" max="26" width="21.5703125" hidden="1" customWidth="1"/>
    <col min="27" max="27" width="22" bestFit="1" customWidth="1"/>
    <col min="28" max="28" width="23.28515625" bestFit="1" customWidth="1"/>
    <col min="29" max="29" width="23.5703125" bestFit="1" customWidth="1"/>
    <col min="30" max="30" width="22.42578125" bestFit="1" customWidth="1"/>
    <col min="31" max="31" width="23.85546875" bestFit="1" customWidth="1"/>
    <col min="32" max="32" width="25.42578125" hidden="1" customWidth="1"/>
    <col min="33" max="33" width="22.140625" hidden="1" customWidth="1"/>
    <col min="34" max="34" width="21.85546875" hidden="1" customWidth="1"/>
    <col min="35" max="35" width="21.140625" hidden="1" customWidth="1"/>
    <col min="36" max="36" width="20.7109375" hidden="1" customWidth="1"/>
    <col min="37" max="39" width="0" hidden="1" customWidth="1"/>
  </cols>
  <sheetData>
    <row r="1" spans="1:42">
      <c r="A1" s="25" t="s">
        <v>0</v>
      </c>
      <c r="B1" s="13" t="s">
        <v>1</v>
      </c>
      <c r="C1" s="14" t="s">
        <v>2</v>
      </c>
      <c r="D1" s="15" t="s">
        <v>3</v>
      </c>
      <c r="E1" s="14" t="s">
        <v>4</v>
      </c>
      <c r="F1" s="16" t="s">
        <v>5</v>
      </c>
      <c r="G1" s="13" t="s">
        <v>6</v>
      </c>
      <c r="H1" s="16" t="s">
        <v>7</v>
      </c>
      <c r="I1" s="14" t="s">
        <v>8</v>
      </c>
      <c r="J1" s="15" t="s">
        <v>9</v>
      </c>
      <c r="K1" s="15" t="s">
        <v>10</v>
      </c>
      <c r="L1" s="15" t="s">
        <v>11</v>
      </c>
      <c r="M1" s="15" t="s">
        <v>12</v>
      </c>
      <c r="N1" s="16" t="s">
        <v>13</v>
      </c>
      <c r="O1" s="14" t="s">
        <v>14</v>
      </c>
      <c r="P1" s="15" t="s">
        <v>15</v>
      </c>
      <c r="Q1" s="15" t="s">
        <v>16</v>
      </c>
      <c r="R1" s="16" t="s">
        <v>17</v>
      </c>
      <c r="S1" s="14" t="s">
        <v>18</v>
      </c>
      <c r="T1" s="17" t="s">
        <v>19</v>
      </c>
      <c r="U1" s="14" t="s">
        <v>20</v>
      </c>
      <c r="V1" s="15" t="s">
        <v>21</v>
      </c>
      <c r="W1" s="15" t="s">
        <v>22</v>
      </c>
      <c r="X1" s="13" t="s">
        <v>23</v>
      </c>
      <c r="Y1" s="13" t="s">
        <v>24</v>
      </c>
      <c r="Z1" s="13" t="s">
        <v>25</v>
      </c>
      <c r="AA1" s="13" t="s">
        <v>26</v>
      </c>
      <c r="AB1" s="13" t="s">
        <v>27</v>
      </c>
      <c r="AC1" s="13" t="s">
        <v>28</v>
      </c>
      <c r="AD1" s="17" t="s">
        <v>29</v>
      </c>
      <c r="AE1" s="13" t="s">
        <v>30</v>
      </c>
      <c r="AF1" s="16" t="s">
        <v>31</v>
      </c>
      <c r="AG1" s="13" t="s">
        <v>32</v>
      </c>
      <c r="AH1" s="16" t="s">
        <v>33</v>
      </c>
      <c r="AI1" s="14" t="s">
        <v>34</v>
      </c>
      <c r="AJ1" s="16" t="s">
        <v>35</v>
      </c>
      <c r="AK1" s="27" t="s">
        <v>36</v>
      </c>
      <c r="AL1" s="27" t="s">
        <v>37</v>
      </c>
      <c r="AM1" s="26" t="s">
        <v>38</v>
      </c>
      <c r="AN1" s="26" t="s">
        <v>39</v>
      </c>
    </row>
    <row r="2" spans="1:42" ht="72">
      <c r="A2" s="25" t="s">
        <v>40</v>
      </c>
      <c r="B2" s="2" t="s">
        <v>41</v>
      </c>
      <c r="C2" s="3" t="s">
        <v>42</v>
      </c>
      <c r="D2" s="1" t="s">
        <v>43</v>
      </c>
      <c r="E2" s="3" t="s">
        <v>44</v>
      </c>
      <c r="F2" s="4" t="s">
        <v>45</v>
      </c>
      <c r="G2" s="2" t="s">
        <v>46</v>
      </c>
      <c r="H2" s="4" t="s">
        <v>47</v>
      </c>
      <c r="I2" s="3" t="s">
        <v>48</v>
      </c>
      <c r="J2" s="1" t="s">
        <v>49</v>
      </c>
      <c r="K2" s="1" t="s">
        <v>50</v>
      </c>
      <c r="L2" s="1" t="s">
        <v>51</v>
      </c>
      <c r="M2" s="1" t="s">
        <v>52</v>
      </c>
      <c r="N2" s="4" t="s">
        <v>53</v>
      </c>
      <c r="O2" s="3" t="s">
        <v>54</v>
      </c>
      <c r="P2" s="1" t="s">
        <v>55</v>
      </c>
      <c r="Q2" s="1" t="s">
        <v>56</v>
      </c>
      <c r="R2" s="4" t="s">
        <v>57</v>
      </c>
      <c r="S2" s="3" t="s">
        <v>58</v>
      </c>
      <c r="T2" s="18" t="s">
        <v>59</v>
      </c>
      <c r="U2" s="3" t="s">
        <v>60</v>
      </c>
      <c r="V2" s="1" t="s">
        <v>61</v>
      </c>
      <c r="W2" s="1" t="s">
        <v>62</v>
      </c>
      <c r="X2" s="2" t="s">
        <v>63</v>
      </c>
      <c r="Y2" s="2" t="s">
        <v>64</v>
      </c>
      <c r="Z2" s="2" t="s">
        <v>65</v>
      </c>
      <c r="AA2" s="2" t="s">
        <v>66</v>
      </c>
      <c r="AB2" s="2" t="s">
        <v>67</v>
      </c>
      <c r="AC2" s="2" t="s">
        <v>68</v>
      </c>
      <c r="AD2" s="18" t="s">
        <v>69</v>
      </c>
      <c r="AE2" s="2" t="s">
        <v>70</v>
      </c>
      <c r="AF2" s="4" t="s">
        <v>71</v>
      </c>
      <c r="AG2" s="2" t="s">
        <v>72</v>
      </c>
      <c r="AH2" s="4" t="s">
        <v>73</v>
      </c>
      <c r="AI2" s="3" t="s">
        <v>74</v>
      </c>
      <c r="AJ2" s="4" t="s">
        <v>75</v>
      </c>
      <c r="AK2" s="32" t="s">
        <v>76</v>
      </c>
      <c r="AL2" s="32" t="s">
        <v>77</v>
      </c>
      <c r="AM2" s="32" t="s">
        <v>78</v>
      </c>
      <c r="AN2" s="32" t="s">
        <v>79</v>
      </c>
    </row>
    <row r="3" spans="1:42" ht="24">
      <c r="A3" s="25" t="s">
        <v>80</v>
      </c>
      <c r="B3" s="2" t="s">
        <v>81</v>
      </c>
      <c r="C3" s="3" t="s">
        <v>82</v>
      </c>
      <c r="D3" s="1" t="s">
        <v>83</v>
      </c>
      <c r="E3" s="3" t="s">
        <v>84</v>
      </c>
      <c r="F3" s="4" t="s">
        <v>85</v>
      </c>
      <c r="G3" s="2" t="s">
        <v>86</v>
      </c>
      <c r="H3" s="4" t="s">
        <v>87</v>
      </c>
      <c r="I3" s="3" t="s">
        <v>88</v>
      </c>
      <c r="J3" s="1" t="s">
        <v>89</v>
      </c>
      <c r="K3" s="1" t="s">
        <v>90</v>
      </c>
      <c r="L3" s="1" t="s">
        <v>91</v>
      </c>
      <c r="M3" s="1" t="s">
        <v>92</v>
      </c>
      <c r="N3" s="4" t="s">
        <v>93</v>
      </c>
      <c r="O3" s="3" t="s">
        <v>94</v>
      </c>
      <c r="P3" s="1" t="s">
        <v>95</v>
      </c>
      <c r="Q3" s="1" t="s">
        <v>96</v>
      </c>
      <c r="R3" s="4" t="s">
        <v>97</v>
      </c>
      <c r="S3" s="3" t="s">
        <v>98</v>
      </c>
      <c r="T3" s="18" t="s">
        <v>99</v>
      </c>
      <c r="U3" s="3" t="s">
        <v>100</v>
      </c>
      <c r="V3" s="1" t="s">
        <v>101</v>
      </c>
      <c r="W3" s="1" t="s">
        <v>102</v>
      </c>
      <c r="X3" s="2" t="s">
        <v>103</v>
      </c>
      <c r="Y3" s="2" t="s">
        <v>104</v>
      </c>
      <c r="Z3" s="2" t="s">
        <v>105</v>
      </c>
      <c r="AA3" s="2" t="s">
        <v>106</v>
      </c>
      <c r="AB3" s="2" t="s">
        <v>98</v>
      </c>
      <c r="AC3" s="2" t="s">
        <v>107</v>
      </c>
      <c r="AD3" s="18" t="s">
        <v>108</v>
      </c>
      <c r="AE3" s="2" t="s">
        <v>109</v>
      </c>
      <c r="AF3" s="4" t="s">
        <v>110</v>
      </c>
      <c r="AG3" s="2" t="s">
        <v>111</v>
      </c>
      <c r="AH3" s="4" t="s">
        <v>112</v>
      </c>
      <c r="AI3" s="3" t="s">
        <v>113</v>
      </c>
      <c r="AJ3" s="30" t="s">
        <v>114</v>
      </c>
      <c r="AK3" s="28">
        <v>16</v>
      </c>
      <c r="AL3" s="28">
        <v>112</v>
      </c>
      <c r="AM3" s="29"/>
      <c r="AN3" s="29">
        <v>2223</v>
      </c>
    </row>
    <row r="4" spans="1:42">
      <c r="A4" s="25" t="s">
        <v>116</v>
      </c>
      <c r="B4" s="6" t="s">
        <v>117</v>
      </c>
      <c r="C4" s="7" t="s">
        <v>117</v>
      </c>
      <c r="D4" s="5" t="s">
        <v>117</v>
      </c>
      <c r="E4" s="7" t="s">
        <v>117</v>
      </c>
      <c r="F4" s="8" t="s">
        <v>118</v>
      </c>
      <c r="G4" s="9" t="s">
        <v>118</v>
      </c>
      <c r="H4" s="10" t="s">
        <v>117</v>
      </c>
      <c r="I4" s="7" t="s">
        <v>117</v>
      </c>
      <c r="J4" s="11" t="s">
        <v>119</v>
      </c>
      <c r="K4" s="11" t="s">
        <v>119</v>
      </c>
      <c r="L4" s="5" t="s">
        <v>117</v>
      </c>
      <c r="M4" s="5" t="s">
        <v>117</v>
      </c>
      <c r="N4" s="8" t="s">
        <v>118</v>
      </c>
      <c r="O4" s="12" t="s">
        <v>118</v>
      </c>
      <c r="P4" s="11" t="s">
        <v>118</v>
      </c>
      <c r="Q4" s="11" t="s">
        <v>118</v>
      </c>
      <c r="R4" s="10" t="s">
        <v>117</v>
      </c>
      <c r="S4" s="12" t="s">
        <v>118</v>
      </c>
      <c r="T4" s="19" t="s">
        <v>117</v>
      </c>
      <c r="U4" s="7" t="s">
        <v>117</v>
      </c>
      <c r="V4" s="11" t="s">
        <v>118</v>
      </c>
      <c r="W4" s="11" t="s">
        <v>118</v>
      </c>
      <c r="X4" s="6" t="s">
        <v>117</v>
      </c>
      <c r="Y4" s="6" t="s">
        <v>117</v>
      </c>
      <c r="Z4" s="6" t="s">
        <v>117</v>
      </c>
      <c r="AA4" s="6" t="s">
        <v>117</v>
      </c>
      <c r="AB4" s="6" t="s">
        <v>117</v>
      </c>
      <c r="AC4" s="6" t="s">
        <v>117</v>
      </c>
      <c r="AD4" s="20" t="s">
        <v>118</v>
      </c>
      <c r="AE4" s="9" t="s">
        <v>118</v>
      </c>
      <c r="AF4" s="8" t="s">
        <v>118</v>
      </c>
      <c r="AG4" s="9" t="s">
        <v>118</v>
      </c>
      <c r="AH4" s="10" t="s">
        <v>117</v>
      </c>
      <c r="AI4" s="12" t="s">
        <v>119</v>
      </c>
      <c r="AJ4" s="31" t="s">
        <v>119</v>
      </c>
      <c r="AK4" s="28" t="s">
        <v>120</v>
      </c>
      <c r="AL4" s="28" t="s">
        <v>121</v>
      </c>
      <c r="AM4" s="28" t="s">
        <v>121</v>
      </c>
      <c r="AN4" s="28" t="s">
        <v>121</v>
      </c>
    </row>
    <row r="5" spans="1:42">
      <c r="B5" t="s">
        <v>191</v>
      </c>
      <c r="C5" t="s">
        <v>124</v>
      </c>
      <c r="D5" t="s">
        <v>125</v>
      </c>
      <c r="E5" t="s">
        <v>126</v>
      </c>
      <c r="F5" s="37">
        <v>45874</v>
      </c>
      <c r="G5" s="34"/>
      <c r="H5" t="s">
        <v>127</v>
      </c>
      <c r="I5" s="34"/>
      <c r="K5" t="s">
        <v>128</v>
      </c>
      <c r="L5" t="s">
        <v>129</v>
      </c>
      <c r="N5" t="s">
        <v>130</v>
      </c>
      <c r="O5" s="39" t="s">
        <v>192</v>
      </c>
      <c r="P5" t="s">
        <v>193</v>
      </c>
      <c r="AA5" t="s">
        <v>201</v>
      </c>
      <c r="AB5" t="str">
        <f>+AA5</f>
        <v>From accounts</v>
      </c>
      <c r="AC5" t="str">
        <f>+AB5</f>
        <v>From accounts</v>
      </c>
      <c r="AD5" t="str">
        <f>+AC5</f>
        <v>From accounts</v>
      </c>
      <c r="AE5" t="str">
        <f>+AD5</f>
        <v>From accounts</v>
      </c>
      <c r="AF5" s="34"/>
      <c r="AG5" s="34"/>
      <c r="AL5">
        <v>116</v>
      </c>
      <c r="AN5" t="s">
        <v>202</v>
      </c>
      <c r="AO5" s="38">
        <f ca="1">TODAY()-F5</f>
        <v>403</v>
      </c>
      <c r="AP5" s="38">
        <f ca="1">+AO5/7</f>
        <v>57.571428571428569</v>
      </c>
    </row>
    <row r="6" spans="1:42">
      <c r="B6" t="s">
        <v>196</v>
      </c>
      <c r="C6" t="s">
        <v>124</v>
      </c>
      <c r="D6" t="s">
        <v>125</v>
      </c>
      <c r="E6" t="s">
        <v>126</v>
      </c>
      <c r="F6" s="37">
        <v>45841</v>
      </c>
      <c r="H6" t="s">
        <v>127</v>
      </c>
      <c r="J6" t="s">
        <v>130</v>
      </c>
      <c r="K6" t="s">
        <v>128</v>
      </c>
      <c r="L6" t="s">
        <v>129</v>
      </c>
      <c r="O6" s="39" t="s">
        <v>197</v>
      </c>
      <c r="P6" t="s">
        <v>193</v>
      </c>
      <c r="AA6" t="s">
        <v>201</v>
      </c>
      <c r="AB6" t="str">
        <f t="shared" ref="AB6:AE6" si="0">+AA6</f>
        <v>From accounts</v>
      </c>
      <c r="AC6" t="str">
        <f t="shared" si="0"/>
        <v>From accounts</v>
      </c>
      <c r="AD6" t="str">
        <f t="shared" si="0"/>
        <v>From accounts</v>
      </c>
      <c r="AE6" t="str">
        <f t="shared" si="0"/>
        <v>From accounts</v>
      </c>
      <c r="AL6">
        <v>113</v>
      </c>
      <c r="AN6" t="s">
        <v>202</v>
      </c>
      <c r="AO6" s="38">
        <f t="shared" ref="AO6:AO27" ca="1" si="1">TODAY()-F6</f>
        <v>436</v>
      </c>
      <c r="AP6" s="38">
        <f t="shared" ref="AP6:AP69" ca="1" si="2">+AO6/7</f>
        <v>62.285714285714285</v>
      </c>
    </row>
    <row r="7" spans="1:42">
      <c r="B7" t="s">
        <v>194</v>
      </c>
      <c r="C7" t="s">
        <v>124</v>
      </c>
      <c r="D7" t="s">
        <v>125</v>
      </c>
      <c r="E7" t="s">
        <v>126</v>
      </c>
      <c r="F7" s="37">
        <v>45864</v>
      </c>
      <c r="H7" t="s">
        <v>127</v>
      </c>
      <c r="K7" t="s">
        <v>128</v>
      </c>
      <c r="L7" t="s">
        <v>129</v>
      </c>
      <c r="O7" s="39" t="s">
        <v>195</v>
      </c>
      <c r="P7" t="s">
        <v>193</v>
      </c>
      <c r="AA7" t="s">
        <v>201</v>
      </c>
      <c r="AB7" t="str">
        <f t="shared" ref="AB7:AE7" si="3">+AA7</f>
        <v>From accounts</v>
      </c>
      <c r="AC7" t="str">
        <f t="shared" si="3"/>
        <v>From accounts</v>
      </c>
      <c r="AD7" t="str">
        <f t="shared" si="3"/>
        <v>From accounts</v>
      </c>
      <c r="AE7" t="str">
        <f t="shared" si="3"/>
        <v>From accounts</v>
      </c>
      <c r="AL7">
        <v>113</v>
      </c>
      <c r="AN7" t="s">
        <v>202</v>
      </c>
      <c r="AO7" s="38">
        <f t="shared" ca="1" si="1"/>
        <v>413</v>
      </c>
      <c r="AP7" s="38">
        <f t="shared" ca="1" si="2"/>
        <v>59</v>
      </c>
    </row>
    <row r="8" spans="1:42">
      <c r="B8" t="s">
        <v>137</v>
      </c>
      <c r="C8" t="s">
        <v>124</v>
      </c>
      <c r="D8" t="s">
        <v>125</v>
      </c>
      <c r="E8" t="s">
        <v>126</v>
      </c>
      <c r="F8" s="37">
        <v>46027</v>
      </c>
      <c r="G8" s="34"/>
      <c r="H8" t="s">
        <v>127</v>
      </c>
      <c r="I8" s="34"/>
      <c r="K8" t="s">
        <v>128</v>
      </c>
      <c r="L8" t="s">
        <v>129</v>
      </c>
      <c r="O8" t="s">
        <v>138</v>
      </c>
      <c r="P8" t="s">
        <v>139</v>
      </c>
      <c r="AA8" t="s">
        <v>201</v>
      </c>
      <c r="AB8" t="str">
        <f t="shared" ref="AB8:AE8" si="4">+AA8</f>
        <v>From accounts</v>
      </c>
      <c r="AC8" t="str">
        <f t="shared" si="4"/>
        <v>From accounts</v>
      </c>
      <c r="AD8" t="str">
        <f t="shared" si="4"/>
        <v>From accounts</v>
      </c>
      <c r="AE8" t="str">
        <f t="shared" si="4"/>
        <v>From accounts</v>
      </c>
      <c r="AF8" s="34"/>
      <c r="AG8" s="34"/>
      <c r="AL8">
        <v>113</v>
      </c>
      <c r="AN8" t="s">
        <v>202</v>
      </c>
      <c r="AO8" s="38">
        <f t="shared" ca="1" si="1"/>
        <v>250</v>
      </c>
      <c r="AP8" s="38">
        <f t="shared" ca="1" si="2"/>
        <v>35.714285714285715</v>
      </c>
    </row>
    <row r="9" spans="1:42">
      <c r="B9" t="s">
        <v>146</v>
      </c>
      <c r="C9" t="s">
        <v>124</v>
      </c>
      <c r="D9" t="s">
        <v>125</v>
      </c>
      <c r="E9" t="s">
        <v>126</v>
      </c>
      <c r="F9" s="37">
        <v>46011</v>
      </c>
      <c r="H9" t="s">
        <v>127</v>
      </c>
      <c r="K9" t="s">
        <v>128</v>
      </c>
      <c r="L9" t="s">
        <v>129</v>
      </c>
      <c r="O9" t="s">
        <v>147</v>
      </c>
      <c r="P9" t="s">
        <v>148</v>
      </c>
      <c r="AA9" t="s">
        <v>201</v>
      </c>
      <c r="AB9" t="str">
        <f t="shared" ref="AB9:AE9" si="5">+AA9</f>
        <v>From accounts</v>
      </c>
      <c r="AC9" t="str">
        <f t="shared" si="5"/>
        <v>From accounts</v>
      </c>
      <c r="AD9" t="str">
        <f t="shared" si="5"/>
        <v>From accounts</v>
      </c>
      <c r="AE9" t="str">
        <f t="shared" si="5"/>
        <v>From accounts</v>
      </c>
      <c r="AL9">
        <v>110</v>
      </c>
      <c r="AN9" t="s">
        <v>202</v>
      </c>
      <c r="AO9" s="38">
        <f t="shared" ca="1" si="1"/>
        <v>266</v>
      </c>
      <c r="AP9" s="38">
        <f t="shared" ca="1" si="2"/>
        <v>38</v>
      </c>
    </row>
    <row r="10" spans="1:42">
      <c r="B10" t="s">
        <v>123</v>
      </c>
      <c r="C10" t="s">
        <v>124</v>
      </c>
      <c r="D10" t="s">
        <v>125</v>
      </c>
      <c r="E10" t="s">
        <v>126</v>
      </c>
      <c r="F10" s="37">
        <v>46033</v>
      </c>
      <c r="G10" s="34"/>
      <c r="H10" t="s">
        <v>127</v>
      </c>
      <c r="I10" s="34"/>
      <c r="K10" t="s">
        <v>128</v>
      </c>
      <c r="L10" t="s">
        <v>129</v>
      </c>
      <c r="N10" t="s">
        <v>130</v>
      </c>
      <c r="O10" t="s">
        <v>131</v>
      </c>
      <c r="P10" t="s">
        <v>132</v>
      </c>
      <c r="AA10" t="s">
        <v>201</v>
      </c>
      <c r="AB10" t="str">
        <f t="shared" ref="AB10:AE10" si="6">+AA10</f>
        <v>From accounts</v>
      </c>
      <c r="AC10" t="str">
        <f t="shared" si="6"/>
        <v>From accounts</v>
      </c>
      <c r="AD10" t="str">
        <f t="shared" si="6"/>
        <v>From accounts</v>
      </c>
      <c r="AE10" t="str">
        <f t="shared" si="6"/>
        <v>From accounts</v>
      </c>
      <c r="AF10" s="34"/>
      <c r="AG10" s="34"/>
      <c r="AL10">
        <v>110</v>
      </c>
      <c r="AN10" t="s">
        <v>202</v>
      </c>
      <c r="AO10" s="38">
        <f t="shared" ca="1" si="1"/>
        <v>244</v>
      </c>
      <c r="AP10" s="38">
        <f t="shared" ca="1" si="2"/>
        <v>34.857142857142854</v>
      </c>
    </row>
    <row r="11" spans="1:42">
      <c r="B11" t="s">
        <v>134</v>
      </c>
      <c r="C11" t="s">
        <v>124</v>
      </c>
      <c r="D11" t="s">
        <v>125</v>
      </c>
      <c r="E11" t="s">
        <v>126</v>
      </c>
      <c r="F11" s="37">
        <v>46033</v>
      </c>
      <c r="H11" t="s">
        <v>127</v>
      </c>
      <c r="K11" t="s">
        <v>128</v>
      </c>
      <c r="L11" t="s">
        <v>129</v>
      </c>
      <c r="O11" t="s">
        <v>135</v>
      </c>
      <c r="P11" t="s">
        <v>132</v>
      </c>
      <c r="AA11" t="s">
        <v>201</v>
      </c>
      <c r="AB11" t="str">
        <f t="shared" ref="AB11:AE11" si="7">+AA11</f>
        <v>From accounts</v>
      </c>
      <c r="AC11" t="str">
        <f t="shared" si="7"/>
        <v>From accounts</v>
      </c>
      <c r="AD11" t="str">
        <f t="shared" si="7"/>
        <v>From accounts</v>
      </c>
      <c r="AE11" t="str">
        <f t="shared" si="7"/>
        <v>From accounts</v>
      </c>
      <c r="AL11">
        <v>110</v>
      </c>
      <c r="AN11" t="s">
        <v>202</v>
      </c>
      <c r="AO11" s="38">
        <f t="shared" ca="1" si="1"/>
        <v>244</v>
      </c>
      <c r="AP11" s="38">
        <f t="shared" ca="1" si="2"/>
        <v>34.857142857142854</v>
      </c>
    </row>
    <row r="12" spans="1:42">
      <c r="B12" t="s">
        <v>150</v>
      </c>
      <c r="C12" t="s">
        <v>124</v>
      </c>
      <c r="D12" t="s">
        <v>125</v>
      </c>
      <c r="E12" t="s">
        <v>126</v>
      </c>
      <c r="F12" s="37">
        <v>46011</v>
      </c>
      <c r="H12" t="s">
        <v>127</v>
      </c>
      <c r="K12" t="s">
        <v>128</v>
      </c>
      <c r="L12" t="s">
        <v>129</v>
      </c>
      <c r="O12" t="s">
        <v>151</v>
      </c>
      <c r="P12" t="s">
        <v>148</v>
      </c>
      <c r="AA12" t="s">
        <v>201</v>
      </c>
      <c r="AB12" t="str">
        <f t="shared" ref="AB12:AE12" si="8">+AA12</f>
        <v>From accounts</v>
      </c>
      <c r="AC12" t="str">
        <f t="shared" si="8"/>
        <v>From accounts</v>
      </c>
      <c r="AD12" t="str">
        <f t="shared" si="8"/>
        <v>From accounts</v>
      </c>
      <c r="AE12" t="str">
        <f t="shared" si="8"/>
        <v>From accounts</v>
      </c>
      <c r="AL12">
        <v>109</v>
      </c>
      <c r="AN12" t="s">
        <v>202</v>
      </c>
      <c r="AO12" s="38">
        <f t="shared" ca="1" si="1"/>
        <v>266</v>
      </c>
      <c r="AP12" s="38">
        <f t="shared" ca="1" si="2"/>
        <v>38</v>
      </c>
    </row>
    <row r="13" spans="1:42">
      <c r="B13" t="s">
        <v>164</v>
      </c>
      <c r="C13" t="s">
        <v>124</v>
      </c>
      <c r="D13" t="s">
        <v>125</v>
      </c>
      <c r="E13" t="s">
        <v>126</v>
      </c>
      <c r="F13" s="37">
        <v>45544</v>
      </c>
      <c r="H13" t="s">
        <v>127</v>
      </c>
      <c r="K13" t="s">
        <v>128</v>
      </c>
      <c r="L13" t="s">
        <v>129</v>
      </c>
      <c r="O13" t="s">
        <v>165</v>
      </c>
      <c r="P13" t="s">
        <v>166</v>
      </c>
      <c r="AA13" t="s">
        <v>201</v>
      </c>
      <c r="AB13" t="str">
        <f t="shared" ref="AB13:AE13" si="9">+AA13</f>
        <v>From accounts</v>
      </c>
      <c r="AC13" t="str">
        <f t="shared" si="9"/>
        <v>From accounts</v>
      </c>
      <c r="AD13" t="str">
        <f t="shared" si="9"/>
        <v>From accounts</v>
      </c>
      <c r="AE13" t="str">
        <f t="shared" si="9"/>
        <v>From accounts</v>
      </c>
      <c r="AL13">
        <v>102</v>
      </c>
      <c r="AN13" t="s">
        <v>202</v>
      </c>
      <c r="AO13" s="38">
        <f t="shared" ca="1" si="1"/>
        <v>733</v>
      </c>
      <c r="AP13" s="38">
        <f t="shared" ca="1" si="2"/>
        <v>104.71428571428571</v>
      </c>
    </row>
    <row r="14" spans="1:42">
      <c r="B14" t="s">
        <v>161</v>
      </c>
      <c r="C14" t="s">
        <v>124</v>
      </c>
      <c r="D14" t="s">
        <v>125</v>
      </c>
      <c r="E14" t="s">
        <v>126</v>
      </c>
      <c r="F14" s="37">
        <v>45552</v>
      </c>
      <c r="H14" t="s">
        <v>127</v>
      </c>
      <c r="K14" t="s">
        <v>128</v>
      </c>
      <c r="L14" t="s">
        <v>129</v>
      </c>
      <c r="O14" t="s">
        <v>162</v>
      </c>
      <c r="P14" t="s">
        <v>163</v>
      </c>
      <c r="AA14" t="s">
        <v>201</v>
      </c>
      <c r="AB14" t="str">
        <f t="shared" ref="AB14:AE14" si="10">+AA14</f>
        <v>From accounts</v>
      </c>
      <c r="AC14" t="str">
        <f t="shared" si="10"/>
        <v>From accounts</v>
      </c>
      <c r="AD14" t="str">
        <f t="shared" si="10"/>
        <v>From accounts</v>
      </c>
      <c r="AE14" t="str">
        <f t="shared" si="10"/>
        <v>From accounts</v>
      </c>
      <c r="AL14">
        <v>102</v>
      </c>
      <c r="AN14" t="s">
        <v>202</v>
      </c>
      <c r="AO14" s="38">
        <f t="shared" ca="1" si="1"/>
        <v>725</v>
      </c>
      <c r="AP14" s="38">
        <f t="shared" ca="1" si="2"/>
        <v>103.57142857142857</v>
      </c>
    </row>
    <row r="15" spans="1:42">
      <c r="B15" t="s">
        <v>152</v>
      </c>
      <c r="C15" t="s">
        <v>124</v>
      </c>
      <c r="D15" t="s">
        <v>125</v>
      </c>
      <c r="E15" t="s">
        <v>126</v>
      </c>
      <c r="F15" s="37">
        <v>45720</v>
      </c>
      <c r="H15" t="s">
        <v>127</v>
      </c>
      <c r="K15" t="s">
        <v>128</v>
      </c>
      <c r="L15" t="s">
        <v>129</v>
      </c>
      <c r="O15" t="s">
        <v>153</v>
      </c>
      <c r="P15" t="s">
        <v>154</v>
      </c>
      <c r="AA15" t="s">
        <v>201</v>
      </c>
      <c r="AB15" t="str">
        <f t="shared" ref="AB15:AE15" si="11">+AA15</f>
        <v>From accounts</v>
      </c>
      <c r="AC15" t="str">
        <f t="shared" si="11"/>
        <v>From accounts</v>
      </c>
      <c r="AD15" t="str">
        <f t="shared" si="11"/>
        <v>From accounts</v>
      </c>
      <c r="AE15" t="str">
        <f t="shared" si="11"/>
        <v>From accounts</v>
      </c>
      <c r="AL15">
        <v>98</v>
      </c>
      <c r="AN15" t="s">
        <v>202</v>
      </c>
      <c r="AO15" s="38">
        <f t="shared" ca="1" si="1"/>
        <v>557</v>
      </c>
      <c r="AP15" s="38">
        <f t="shared" ca="1" si="2"/>
        <v>79.571428571428569</v>
      </c>
    </row>
    <row r="16" spans="1:42">
      <c r="B16" t="s">
        <v>170</v>
      </c>
      <c r="C16" t="s">
        <v>124</v>
      </c>
      <c r="D16" t="s">
        <v>125</v>
      </c>
      <c r="E16" t="s">
        <v>126</v>
      </c>
      <c r="F16" s="37">
        <v>45409</v>
      </c>
      <c r="H16" t="s">
        <v>127</v>
      </c>
      <c r="K16" t="s">
        <v>128</v>
      </c>
      <c r="L16" t="s">
        <v>129</v>
      </c>
      <c r="O16" t="s">
        <v>171</v>
      </c>
      <c r="P16" t="s">
        <v>166</v>
      </c>
      <c r="AA16" t="s">
        <v>201</v>
      </c>
      <c r="AB16" t="str">
        <f t="shared" ref="AB16:AE16" si="12">+AA16</f>
        <v>From accounts</v>
      </c>
      <c r="AC16" t="str">
        <f t="shared" si="12"/>
        <v>From accounts</v>
      </c>
      <c r="AD16" t="str">
        <f t="shared" si="12"/>
        <v>From accounts</v>
      </c>
      <c r="AE16" t="str">
        <f t="shared" si="12"/>
        <v>From accounts</v>
      </c>
      <c r="AL16">
        <v>97</v>
      </c>
      <c r="AN16" t="s">
        <v>202</v>
      </c>
      <c r="AO16" s="38">
        <f t="shared" ca="1" si="1"/>
        <v>868</v>
      </c>
      <c r="AP16" s="38">
        <f t="shared" ca="1" si="2"/>
        <v>124</v>
      </c>
    </row>
    <row r="17" spans="2:42">
      <c r="B17" t="s">
        <v>175</v>
      </c>
      <c r="C17" t="s">
        <v>124</v>
      </c>
      <c r="D17" t="s">
        <v>125</v>
      </c>
      <c r="E17" t="s">
        <v>126</v>
      </c>
      <c r="F17" s="37">
        <v>44946</v>
      </c>
      <c r="H17" t="s">
        <v>127</v>
      </c>
      <c r="K17" t="s">
        <v>128</v>
      </c>
      <c r="L17" t="s">
        <v>129</v>
      </c>
      <c r="O17" t="s">
        <v>176</v>
      </c>
      <c r="P17" t="s">
        <v>177</v>
      </c>
      <c r="AA17" t="s">
        <v>201</v>
      </c>
      <c r="AB17" t="str">
        <f t="shared" ref="AB17:AE17" si="13">+AA17</f>
        <v>From accounts</v>
      </c>
      <c r="AC17" t="str">
        <f t="shared" si="13"/>
        <v>From accounts</v>
      </c>
      <c r="AD17" t="str">
        <f t="shared" si="13"/>
        <v>From accounts</v>
      </c>
      <c r="AE17" t="str">
        <f t="shared" si="13"/>
        <v>From accounts</v>
      </c>
      <c r="AL17">
        <v>95</v>
      </c>
      <c r="AN17" t="s">
        <v>202</v>
      </c>
      <c r="AO17" s="38">
        <f t="shared" ca="1" si="1"/>
        <v>1331</v>
      </c>
      <c r="AP17" s="38">
        <f t="shared" ca="1" si="2"/>
        <v>190.14285714285714</v>
      </c>
    </row>
    <row r="18" spans="2:42">
      <c r="B18" t="s">
        <v>172</v>
      </c>
      <c r="C18" t="s">
        <v>124</v>
      </c>
      <c r="D18" t="s">
        <v>125</v>
      </c>
      <c r="E18" t="s">
        <v>126</v>
      </c>
      <c r="F18" s="37">
        <v>45098</v>
      </c>
      <c r="H18" t="s">
        <v>127</v>
      </c>
      <c r="K18" t="s">
        <v>128</v>
      </c>
      <c r="L18" t="s">
        <v>129</v>
      </c>
      <c r="O18" t="s">
        <v>173</v>
      </c>
      <c r="P18" t="s">
        <v>174</v>
      </c>
      <c r="AA18" t="s">
        <v>201</v>
      </c>
      <c r="AB18" t="str">
        <f t="shared" ref="AB18:AE18" si="14">+AA18</f>
        <v>From accounts</v>
      </c>
      <c r="AC18" t="str">
        <f t="shared" si="14"/>
        <v>From accounts</v>
      </c>
      <c r="AD18" t="str">
        <f t="shared" si="14"/>
        <v>From accounts</v>
      </c>
      <c r="AE18" t="str">
        <f t="shared" si="14"/>
        <v>From accounts</v>
      </c>
      <c r="AL18">
        <v>93</v>
      </c>
      <c r="AN18" t="s">
        <v>202</v>
      </c>
      <c r="AO18" s="38">
        <f t="shared" ca="1" si="1"/>
        <v>1179</v>
      </c>
      <c r="AP18" s="38">
        <f t="shared" ca="1" si="2"/>
        <v>168.42857142857142</v>
      </c>
    </row>
    <row r="19" spans="2:42">
      <c r="B19" t="s">
        <v>141</v>
      </c>
      <c r="C19" t="s">
        <v>124</v>
      </c>
      <c r="D19" t="s">
        <v>142</v>
      </c>
      <c r="E19" t="s">
        <v>126</v>
      </c>
      <c r="F19" s="37">
        <v>46027</v>
      </c>
      <c r="H19" t="s">
        <v>127</v>
      </c>
      <c r="K19" t="s">
        <v>128</v>
      </c>
      <c r="L19" t="s">
        <v>129</v>
      </c>
      <c r="O19" t="s">
        <v>143</v>
      </c>
      <c r="P19" t="s">
        <v>144</v>
      </c>
      <c r="AA19" t="s">
        <v>201</v>
      </c>
      <c r="AB19" t="str">
        <f t="shared" ref="AB19:AE19" si="15">+AA19</f>
        <v>From accounts</v>
      </c>
      <c r="AC19" t="str">
        <f t="shared" si="15"/>
        <v>From accounts</v>
      </c>
      <c r="AD19" t="str">
        <f t="shared" si="15"/>
        <v>From accounts</v>
      </c>
      <c r="AE19" t="str">
        <f t="shared" si="15"/>
        <v>From accounts</v>
      </c>
      <c r="AL19">
        <v>103</v>
      </c>
      <c r="AN19" t="s">
        <v>202</v>
      </c>
      <c r="AO19" s="38">
        <f t="shared" ca="1" si="1"/>
        <v>250</v>
      </c>
      <c r="AP19" s="38">
        <f t="shared" ca="1" si="2"/>
        <v>35.714285714285715</v>
      </c>
    </row>
    <row r="20" spans="2:42">
      <c r="B20" t="s">
        <v>167</v>
      </c>
      <c r="C20" t="s">
        <v>124</v>
      </c>
      <c r="D20" t="s">
        <v>142</v>
      </c>
      <c r="E20" t="s">
        <v>126</v>
      </c>
      <c r="F20" s="37">
        <v>45542</v>
      </c>
      <c r="H20" t="s">
        <v>127</v>
      </c>
      <c r="K20" t="s">
        <v>128</v>
      </c>
      <c r="L20" t="s">
        <v>129</v>
      </c>
      <c r="O20" t="s">
        <v>168</v>
      </c>
      <c r="P20" t="s">
        <v>169</v>
      </c>
      <c r="AA20" t="s">
        <v>201</v>
      </c>
      <c r="AB20" t="str">
        <f t="shared" ref="AB20:AE20" si="16">+AA20</f>
        <v>From accounts</v>
      </c>
      <c r="AC20" t="str">
        <f t="shared" si="16"/>
        <v>From accounts</v>
      </c>
      <c r="AD20" t="str">
        <f t="shared" si="16"/>
        <v>From accounts</v>
      </c>
      <c r="AE20" t="str">
        <f t="shared" si="16"/>
        <v>From accounts</v>
      </c>
      <c r="AL20">
        <v>100</v>
      </c>
      <c r="AN20" t="s">
        <v>202</v>
      </c>
      <c r="AO20" s="38">
        <f t="shared" ca="1" si="1"/>
        <v>735</v>
      </c>
      <c r="AP20" s="38">
        <f t="shared" ca="1" si="2"/>
        <v>105</v>
      </c>
    </row>
    <row r="21" spans="2:42">
      <c r="B21" t="s">
        <v>158</v>
      </c>
      <c r="C21" t="s">
        <v>124</v>
      </c>
      <c r="D21" t="s">
        <v>142</v>
      </c>
      <c r="E21" t="s">
        <v>126</v>
      </c>
      <c r="F21" s="37">
        <v>45705</v>
      </c>
      <c r="H21" t="s">
        <v>127</v>
      </c>
      <c r="K21" t="s">
        <v>128</v>
      </c>
      <c r="L21" t="s">
        <v>129</v>
      </c>
      <c r="O21" t="s">
        <v>159</v>
      </c>
      <c r="P21" t="s">
        <v>160</v>
      </c>
      <c r="AA21" t="s">
        <v>201</v>
      </c>
      <c r="AB21" t="str">
        <f t="shared" ref="AB21:AE21" si="17">+AA21</f>
        <v>From accounts</v>
      </c>
      <c r="AC21" t="str">
        <f t="shared" si="17"/>
        <v>From accounts</v>
      </c>
      <c r="AD21" t="str">
        <f t="shared" si="17"/>
        <v>From accounts</v>
      </c>
      <c r="AE21" t="str">
        <f t="shared" si="17"/>
        <v>From accounts</v>
      </c>
      <c r="AL21">
        <v>97</v>
      </c>
      <c r="AN21" t="s">
        <v>202</v>
      </c>
      <c r="AO21" s="38">
        <f t="shared" ca="1" si="1"/>
        <v>572</v>
      </c>
      <c r="AP21" s="38">
        <f t="shared" ca="1" si="2"/>
        <v>81.714285714285708</v>
      </c>
    </row>
    <row r="22" spans="2:42">
      <c r="B22" t="s">
        <v>155</v>
      </c>
      <c r="C22" t="s">
        <v>124</v>
      </c>
      <c r="D22" t="s">
        <v>142</v>
      </c>
      <c r="E22" t="s">
        <v>126</v>
      </c>
      <c r="F22" s="37">
        <v>45712</v>
      </c>
      <c r="H22" t="s">
        <v>127</v>
      </c>
      <c r="K22" t="s">
        <v>128</v>
      </c>
      <c r="L22" t="s">
        <v>129</v>
      </c>
      <c r="O22" t="s">
        <v>156</v>
      </c>
      <c r="P22" t="s">
        <v>157</v>
      </c>
      <c r="AA22" t="s">
        <v>201</v>
      </c>
      <c r="AB22" t="str">
        <f t="shared" ref="AB22:AE22" si="18">+AA22</f>
        <v>From accounts</v>
      </c>
      <c r="AC22" t="str">
        <f t="shared" si="18"/>
        <v>From accounts</v>
      </c>
      <c r="AD22" t="str">
        <f t="shared" si="18"/>
        <v>From accounts</v>
      </c>
      <c r="AE22" t="str">
        <f t="shared" si="18"/>
        <v>From accounts</v>
      </c>
      <c r="AL22">
        <v>97</v>
      </c>
      <c r="AN22" t="s">
        <v>202</v>
      </c>
      <c r="AO22" s="38">
        <f t="shared" ca="1" si="1"/>
        <v>565</v>
      </c>
      <c r="AP22" s="38">
        <f t="shared" ca="1" si="2"/>
        <v>80.714285714285708</v>
      </c>
    </row>
    <row r="23" spans="2:42">
      <c r="B23" t="s">
        <v>198</v>
      </c>
      <c r="C23" t="s">
        <v>124</v>
      </c>
      <c r="D23" t="s">
        <v>142</v>
      </c>
      <c r="E23" t="s">
        <v>126</v>
      </c>
      <c r="F23" s="37">
        <v>45838</v>
      </c>
      <c r="H23" t="s">
        <v>127</v>
      </c>
      <c r="K23" t="s">
        <v>128</v>
      </c>
      <c r="L23" t="s">
        <v>129</v>
      </c>
      <c r="O23" s="39" t="s">
        <v>199</v>
      </c>
      <c r="P23" t="s">
        <v>200</v>
      </c>
      <c r="AA23" t="s">
        <v>201</v>
      </c>
      <c r="AB23" t="str">
        <f t="shared" ref="AB23:AE23" si="19">+AA23</f>
        <v>From accounts</v>
      </c>
      <c r="AC23" t="str">
        <f t="shared" si="19"/>
        <v>From accounts</v>
      </c>
      <c r="AD23" t="str">
        <f t="shared" si="19"/>
        <v>From accounts</v>
      </c>
      <c r="AE23" t="str">
        <f t="shared" si="19"/>
        <v>From accounts</v>
      </c>
      <c r="AL23">
        <v>97</v>
      </c>
      <c r="AN23" t="s">
        <v>202</v>
      </c>
      <c r="AO23" s="38">
        <f t="shared" ca="1" si="1"/>
        <v>439</v>
      </c>
      <c r="AP23" s="38">
        <f t="shared" ca="1" si="2"/>
        <v>62.714285714285715</v>
      </c>
    </row>
    <row r="24" spans="2:42">
      <c r="B24" t="s">
        <v>188</v>
      </c>
      <c r="C24" t="s">
        <v>124</v>
      </c>
      <c r="D24" t="s">
        <v>179</v>
      </c>
      <c r="E24" t="s">
        <v>126</v>
      </c>
      <c r="F24" s="37">
        <v>45936</v>
      </c>
      <c r="H24" t="s">
        <v>127</v>
      </c>
      <c r="K24" t="s">
        <v>128</v>
      </c>
      <c r="L24" t="s">
        <v>129</v>
      </c>
      <c r="O24" s="39" t="s">
        <v>189</v>
      </c>
      <c r="P24" t="s">
        <v>190</v>
      </c>
      <c r="AA24" t="s">
        <v>201</v>
      </c>
      <c r="AB24" t="str">
        <f t="shared" ref="AB24:AE24" si="20">+AA24</f>
        <v>From accounts</v>
      </c>
      <c r="AC24" t="str">
        <f t="shared" si="20"/>
        <v>From accounts</v>
      </c>
      <c r="AD24" t="str">
        <f t="shared" si="20"/>
        <v>From accounts</v>
      </c>
      <c r="AE24" t="str">
        <f t="shared" si="20"/>
        <v>From accounts</v>
      </c>
      <c r="AL24">
        <v>144</v>
      </c>
      <c r="AN24" t="s">
        <v>202</v>
      </c>
      <c r="AO24" s="38">
        <f t="shared" ca="1" si="1"/>
        <v>341</v>
      </c>
      <c r="AP24" s="38">
        <f t="shared" ca="1" si="2"/>
        <v>48.714285714285715</v>
      </c>
    </row>
    <row r="25" spans="2:42">
      <c r="B25" t="s">
        <v>185</v>
      </c>
      <c r="C25" t="s">
        <v>124</v>
      </c>
      <c r="D25" t="s">
        <v>179</v>
      </c>
      <c r="E25" t="s">
        <v>126</v>
      </c>
      <c r="F25" s="37">
        <v>45938</v>
      </c>
      <c r="H25" t="s">
        <v>127</v>
      </c>
      <c r="K25" t="s">
        <v>128</v>
      </c>
      <c r="L25" t="s">
        <v>129</v>
      </c>
      <c r="O25" s="39" t="s">
        <v>186</v>
      </c>
      <c r="P25" t="s">
        <v>187</v>
      </c>
      <c r="AA25" t="s">
        <v>201</v>
      </c>
      <c r="AB25" t="str">
        <f t="shared" ref="AB25:AE25" si="21">+AA25</f>
        <v>From accounts</v>
      </c>
      <c r="AC25" t="str">
        <f t="shared" si="21"/>
        <v>From accounts</v>
      </c>
      <c r="AD25" t="str">
        <f t="shared" si="21"/>
        <v>From accounts</v>
      </c>
      <c r="AE25" t="str">
        <f t="shared" si="21"/>
        <v>From accounts</v>
      </c>
      <c r="AL25">
        <v>129</v>
      </c>
      <c r="AN25" t="s">
        <v>202</v>
      </c>
      <c r="AO25" s="38">
        <f t="shared" ca="1" si="1"/>
        <v>339</v>
      </c>
      <c r="AP25" s="38">
        <f t="shared" ca="1" si="2"/>
        <v>48.428571428571431</v>
      </c>
    </row>
    <row r="26" spans="2:42">
      <c r="B26" t="s">
        <v>182</v>
      </c>
      <c r="C26" t="s">
        <v>124</v>
      </c>
      <c r="D26" t="s">
        <v>179</v>
      </c>
      <c r="E26" t="s">
        <v>126</v>
      </c>
      <c r="F26" s="37">
        <v>45960</v>
      </c>
      <c r="H26" t="s">
        <v>127</v>
      </c>
      <c r="K26" t="s">
        <v>128</v>
      </c>
      <c r="L26" t="s">
        <v>129</v>
      </c>
      <c r="O26" s="39" t="s">
        <v>183</v>
      </c>
      <c r="P26" t="s">
        <v>184</v>
      </c>
      <c r="AA26" t="s">
        <v>201</v>
      </c>
      <c r="AB26" t="str">
        <f t="shared" ref="AB26:AE26" si="22">+AA26</f>
        <v>From accounts</v>
      </c>
      <c r="AC26" t="str">
        <f t="shared" si="22"/>
        <v>From accounts</v>
      </c>
      <c r="AD26" t="str">
        <f t="shared" si="22"/>
        <v>From accounts</v>
      </c>
      <c r="AE26" t="str">
        <f t="shared" si="22"/>
        <v>From accounts</v>
      </c>
      <c r="AL26">
        <v>124</v>
      </c>
      <c r="AN26" t="s">
        <v>202</v>
      </c>
      <c r="AO26" s="38">
        <f t="shared" ca="1" si="1"/>
        <v>317</v>
      </c>
      <c r="AP26" s="38">
        <f t="shared" ca="1" si="2"/>
        <v>45.285714285714285</v>
      </c>
    </row>
    <row r="27" spans="2:42">
      <c r="B27" t="s">
        <v>178</v>
      </c>
      <c r="C27" t="s">
        <v>124</v>
      </c>
      <c r="D27" t="s">
        <v>179</v>
      </c>
      <c r="E27" t="s">
        <v>126</v>
      </c>
      <c r="F27" s="37">
        <v>45966</v>
      </c>
      <c r="H27" t="s">
        <v>127</v>
      </c>
      <c r="K27" t="s">
        <v>128</v>
      </c>
      <c r="L27" t="s">
        <v>129</v>
      </c>
      <c r="O27" s="39" t="s">
        <v>180</v>
      </c>
      <c r="P27" t="s">
        <v>181</v>
      </c>
      <c r="AA27" t="s">
        <v>201</v>
      </c>
      <c r="AB27" t="str">
        <f t="shared" ref="AB27:AE27" si="23">+AA27</f>
        <v>From accounts</v>
      </c>
      <c r="AC27" t="str">
        <f t="shared" si="23"/>
        <v>From accounts</v>
      </c>
      <c r="AD27" t="str">
        <f t="shared" si="23"/>
        <v>From accounts</v>
      </c>
      <c r="AE27" t="str">
        <f t="shared" si="23"/>
        <v>From accounts</v>
      </c>
      <c r="AL27">
        <v>118</v>
      </c>
      <c r="AN27" t="s">
        <v>202</v>
      </c>
      <c r="AO27" s="38">
        <f t="shared" ca="1" si="1"/>
        <v>311</v>
      </c>
      <c r="AP27" s="38">
        <f t="shared" ca="1" si="2"/>
        <v>44.428571428571431</v>
      </c>
    </row>
    <row r="28" spans="2:42">
      <c r="AD28">
        <f t="shared" ref="AD28:AE28" si="24">+AC28</f>
        <v>0</v>
      </c>
      <c r="AE28">
        <f t="shared" si="24"/>
        <v>0</v>
      </c>
      <c r="AO28" s="38"/>
      <c r="AP28" s="38">
        <f t="shared" si="2"/>
        <v>0</v>
      </c>
    </row>
    <row r="29" spans="2:42">
      <c r="AD29">
        <f t="shared" ref="AD29:AE29" si="25">+AC29</f>
        <v>0</v>
      </c>
      <c r="AE29">
        <f t="shared" si="25"/>
        <v>0</v>
      </c>
      <c r="AO29" s="38"/>
      <c r="AP29" s="38">
        <f t="shared" si="2"/>
        <v>0</v>
      </c>
    </row>
    <row r="30" spans="2:42">
      <c r="AD30">
        <f t="shared" ref="AD30:AE30" si="26">+AC30</f>
        <v>0</v>
      </c>
      <c r="AE30">
        <f t="shared" si="26"/>
        <v>0</v>
      </c>
      <c r="AO30" s="38"/>
      <c r="AP30" s="38">
        <f t="shared" si="2"/>
        <v>0</v>
      </c>
    </row>
    <row r="31" spans="2:42">
      <c r="AD31">
        <f t="shared" ref="AD31:AE31" si="27">+AC31</f>
        <v>0</v>
      </c>
      <c r="AE31">
        <f t="shared" si="27"/>
        <v>0</v>
      </c>
      <c r="AO31" s="38"/>
      <c r="AP31" s="38">
        <f t="shared" si="2"/>
        <v>0</v>
      </c>
    </row>
    <row r="32" spans="2:42">
      <c r="AD32">
        <f t="shared" ref="AD32:AE32" si="28">+AC32</f>
        <v>0</v>
      </c>
      <c r="AE32">
        <f t="shared" si="28"/>
        <v>0</v>
      </c>
      <c r="AO32" s="38"/>
      <c r="AP32" s="38">
        <f t="shared" si="2"/>
        <v>0</v>
      </c>
    </row>
    <row r="33" spans="30:42">
      <c r="AD33">
        <f t="shared" ref="AD33:AE33" si="29">+AC33</f>
        <v>0</v>
      </c>
      <c r="AE33">
        <f t="shared" si="29"/>
        <v>0</v>
      </c>
      <c r="AO33" s="38"/>
      <c r="AP33" s="38">
        <f t="shared" si="2"/>
        <v>0</v>
      </c>
    </row>
    <row r="34" spans="30:42">
      <c r="AD34">
        <f t="shared" ref="AD34:AE34" si="30">+AC34</f>
        <v>0</v>
      </c>
      <c r="AE34">
        <f t="shared" si="30"/>
        <v>0</v>
      </c>
      <c r="AO34" s="38"/>
      <c r="AP34" s="38">
        <f t="shared" si="2"/>
        <v>0</v>
      </c>
    </row>
    <row r="35" spans="30:42">
      <c r="AD35">
        <f t="shared" ref="AD35:AE35" si="31">+AC35</f>
        <v>0</v>
      </c>
      <c r="AE35">
        <f t="shared" si="31"/>
        <v>0</v>
      </c>
      <c r="AO35" s="38"/>
      <c r="AP35" s="38">
        <f t="shared" si="2"/>
        <v>0</v>
      </c>
    </row>
    <row r="36" spans="30:42">
      <c r="AD36">
        <f t="shared" ref="AD36:AE36" si="32">+AC36</f>
        <v>0</v>
      </c>
      <c r="AE36">
        <f t="shared" si="32"/>
        <v>0</v>
      </c>
      <c r="AO36" s="38"/>
      <c r="AP36" s="38">
        <f t="shared" si="2"/>
        <v>0</v>
      </c>
    </row>
    <row r="37" spans="30:42">
      <c r="AD37">
        <f t="shared" ref="AD37:AE37" si="33">+AC37</f>
        <v>0</v>
      </c>
      <c r="AE37">
        <f t="shared" si="33"/>
        <v>0</v>
      </c>
      <c r="AO37" s="38"/>
      <c r="AP37" s="38">
        <f t="shared" si="2"/>
        <v>0</v>
      </c>
    </row>
    <row r="38" spans="30:42">
      <c r="AD38">
        <f t="shared" ref="AD38:AE38" si="34">+AC38</f>
        <v>0</v>
      </c>
      <c r="AE38">
        <f t="shared" si="34"/>
        <v>0</v>
      </c>
      <c r="AO38" s="38"/>
      <c r="AP38" s="38">
        <f t="shared" si="2"/>
        <v>0</v>
      </c>
    </row>
    <row r="39" spans="30:42">
      <c r="AD39">
        <f t="shared" ref="AD39:AE39" si="35">+AC39</f>
        <v>0</v>
      </c>
      <c r="AE39">
        <f t="shared" si="35"/>
        <v>0</v>
      </c>
      <c r="AO39" s="38"/>
      <c r="AP39" s="38">
        <f t="shared" si="2"/>
        <v>0</v>
      </c>
    </row>
    <row r="40" spans="30:42">
      <c r="AD40">
        <f t="shared" ref="AD40:AE40" si="36">+AC40</f>
        <v>0</v>
      </c>
      <c r="AE40">
        <f t="shared" si="36"/>
        <v>0</v>
      </c>
      <c r="AO40" s="38"/>
      <c r="AP40" s="38">
        <f t="shared" si="2"/>
        <v>0</v>
      </c>
    </row>
    <row r="41" spans="30:42">
      <c r="AD41">
        <f t="shared" ref="AD41:AE41" si="37">+AC41</f>
        <v>0</v>
      </c>
      <c r="AE41">
        <f t="shared" si="37"/>
        <v>0</v>
      </c>
      <c r="AO41" s="38"/>
      <c r="AP41" s="38">
        <f t="shared" si="2"/>
        <v>0</v>
      </c>
    </row>
    <row r="42" spans="30:42">
      <c r="AD42">
        <f t="shared" ref="AD42:AE42" si="38">+AC42</f>
        <v>0</v>
      </c>
      <c r="AE42">
        <f t="shared" si="38"/>
        <v>0</v>
      </c>
      <c r="AO42" s="38"/>
      <c r="AP42" s="38">
        <f t="shared" si="2"/>
        <v>0</v>
      </c>
    </row>
    <row r="43" spans="30:42">
      <c r="AD43">
        <f t="shared" ref="AD43:AE43" si="39">+AC43</f>
        <v>0</v>
      </c>
      <c r="AE43">
        <f t="shared" si="39"/>
        <v>0</v>
      </c>
      <c r="AO43" s="38"/>
      <c r="AP43" s="38">
        <f t="shared" si="2"/>
        <v>0</v>
      </c>
    </row>
    <row r="44" spans="30:42">
      <c r="AD44">
        <f t="shared" ref="AD44:AE44" si="40">+AC44</f>
        <v>0</v>
      </c>
      <c r="AE44">
        <f t="shared" si="40"/>
        <v>0</v>
      </c>
      <c r="AO44" s="38"/>
      <c r="AP44" s="38">
        <f t="shared" si="2"/>
        <v>0</v>
      </c>
    </row>
    <row r="45" spans="30:42">
      <c r="AD45">
        <f t="shared" ref="AD45:AE45" si="41">+AC45</f>
        <v>0</v>
      </c>
      <c r="AE45">
        <f t="shared" si="41"/>
        <v>0</v>
      </c>
      <c r="AO45" s="38"/>
      <c r="AP45" s="38">
        <f t="shared" si="2"/>
        <v>0</v>
      </c>
    </row>
    <row r="46" spans="30:42">
      <c r="AD46">
        <f t="shared" ref="AD46:AE46" si="42">+AC46</f>
        <v>0</v>
      </c>
      <c r="AE46">
        <f t="shared" si="42"/>
        <v>0</v>
      </c>
      <c r="AO46" s="38"/>
      <c r="AP46" s="38">
        <f t="shared" si="2"/>
        <v>0</v>
      </c>
    </row>
    <row r="47" spans="30:42">
      <c r="AD47">
        <f t="shared" ref="AD47:AE47" si="43">+AC47</f>
        <v>0</v>
      </c>
      <c r="AE47">
        <f t="shared" si="43"/>
        <v>0</v>
      </c>
      <c r="AO47" s="38"/>
      <c r="AP47" s="38">
        <f t="shared" si="2"/>
        <v>0</v>
      </c>
    </row>
    <row r="48" spans="30:42">
      <c r="AD48">
        <f t="shared" ref="AD48:AE48" si="44">+AC48</f>
        <v>0</v>
      </c>
      <c r="AE48">
        <f t="shared" si="44"/>
        <v>0</v>
      </c>
      <c r="AO48" s="38"/>
      <c r="AP48" s="38">
        <f t="shared" si="2"/>
        <v>0</v>
      </c>
    </row>
    <row r="49" spans="30:42">
      <c r="AD49">
        <f t="shared" ref="AD49:AE49" si="45">+AC49</f>
        <v>0</v>
      </c>
      <c r="AE49">
        <f t="shared" si="45"/>
        <v>0</v>
      </c>
      <c r="AO49" s="38"/>
      <c r="AP49" s="38">
        <f t="shared" si="2"/>
        <v>0</v>
      </c>
    </row>
    <row r="50" spans="30:42">
      <c r="AD50">
        <f t="shared" ref="AD50:AE50" si="46">+AC50</f>
        <v>0</v>
      </c>
      <c r="AE50">
        <f t="shared" si="46"/>
        <v>0</v>
      </c>
      <c r="AO50" s="38"/>
      <c r="AP50" s="38">
        <f t="shared" si="2"/>
        <v>0</v>
      </c>
    </row>
    <row r="51" spans="30:42">
      <c r="AD51">
        <f t="shared" ref="AD51:AE51" si="47">+AC51</f>
        <v>0</v>
      </c>
      <c r="AE51">
        <f t="shared" si="47"/>
        <v>0</v>
      </c>
      <c r="AO51" s="38"/>
      <c r="AP51" s="38">
        <f t="shared" si="2"/>
        <v>0</v>
      </c>
    </row>
    <row r="52" spans="30:42">
      <c r="AD52">
        <f t="shared" ref="AD52:AE52" si="48">+AC52</f>
        <v>0</v>
      </c>
      <c r="AE52">
        <f t="shared" si="48"/>
        <v>0</v>
      </c>
      <c r="AO52" s="38"/>
      <c r="AP52" s="38">
        <f t="shared" si="2"/>
        <v>0</v>
      </c>
    </row>
    <row r="53" spans="30:42">
      <c r="AD53">
        <f t="shared" ref="AD53:AE53" si="49">+AC53</f>
        <v>0</v>
      </c>
      <c r="AE53">
        <f t="shared" si="49"/>
        <v>0</v>
      </c>
      <c r="AO53" s="38"/>
      <c r="AP53" s="38">
        <f t="shared" si="2"/>
        <v>0</v>
      </c>
    </row>
    <row r="54" spans="30:42">
      <c r="AD54">
        <f t="shared" ref="AD54:AE54" si="50">+AC54</f>
        <v>0</v>
      </c>
      <c r="AE54">
        <f t="shared" si="50"/>
        <v>0</v>
      </c>
      <c r="AO54" s="38"/>
      <c r="AP54" s="38">
        <f t="shared" si="2"/>
        <v>0</v>
      </c>
    </row>
    <row r="55" spans="30:42">
      <c r="AD55">
        <f t="shared" ref="AD55:AE55" si="51">+AC55</f>
        <v>0</v>
      </c>
      <c r="AE55">
        <f t="shared" si="51"/>
        <v>0</v>
      </c>
      <c r="AO55" s="38"/>
      <c r="AP55" s="38">
        <f t="shared" si="2"/>
        <v>0</v>
      </c>
    </row>
    <row r="56" spans="30:42">
      <c r="AD56">
        <f t="shared" ref="AD56:AE56" si="52">+AC56</f>
        <v>0</v>
      </c>
      <c r="AE56">
        <f t="shared" si="52"/>
        <v>0</v>
      </c>
      <c r="AO56" s="38"/>
      <c r="AP56" s="38">
        <f t="shared" si="2"/>
        <v>0</v>
      </c>
    </row>
    <row r="57" spans="30:42">
      <c r="AD57">
        <f t="shared" ref="AD57:AE57" si="53">+AC57</f>
        <v>0</v>
      </c>
      <c r="AE57">
        <f t="shared" si="53"/>
        <v>0</v>
      </c>
      <c r="AO57" s="38"/>
      <c r="AP57" s="38">
        <f t="shared" si="2"/>
        <v>0</v>
      </c>
    </row>
    <row r="58" spans="30:42">
      <c r="AD58">
        <f t="shared" ref="AD58:AE58" si="54">+AC58</f>
        <v>0</v>
      </c>
      <c r="AE58">
        <f t="shared" si="54"/>
        <v>0</v>
      </c>
      <c r="AO58" s="38"/>
      <c r="AP58" s="38">
        <f t="shared" si="2"/>
        <v>0</v>
      </c>
    </row>
    <row r="59" spans="30:42">
      <c r="AD59">
        <f t="shared" ref="AD59:AE59" si="55">+AC59</f>
        <v>0</v>
      </c>
      <c r="AE59">
        <f t="shared" si="55"/>
        <v>0</v>
      </c>
      <c r="AO59" s="38"/>
      <c r="AP59" s="38">
        <f t="shared" si="2"/>
        <v>0</v>
      </c>
    </row>
    <row r="60" spans="30:42">
      <c r="AD60">
        <f t="shared" ref="AD60:AE60" si="56">+AC60</f>
        <v>0</v>
      </c>
      <c r="AE60">
        <f t="shared" si="56"/>
        <v>0</v>
      </c>
      <c r="AO60" s="38"/>
      <c r="AP60" s="38">
        <f t="shared" si="2"/>
        <v>0</v>
      </c>
    </row>
    <row r="61" spans="30:42">
      <c r="AD61">
        <f t="shared" ref="AD61:AE61" si="57">+AC61</f>
        <v>0</v>
      </c>
      <c r="AE61">
        <f t="shared" si="57"/>
        <v>0</v>
      </c>
      <c r="AO61" s="38"/>
      <c r="AP61" s="38">
        <f t="shared" si="2"/>
        <v>0</v>
      </c>
    </row>
    <row r="62" spans="30:42">
      <c r="AD62">
        <f t="shared" ref="AD62:AE62" si="58">+AC62</f>
        <v>0</v>
      </c>
      <c r="AE62">
        <f t="shared" si="58"/>
        <v>0</v>
      </c>
      <c r="AO62" s="38"/>
      <c r="AP62" s="38">
        <f t="shared" si="2"/>
        <v>0</v>
      </c>
    </row>
    <row r="63" spans="30:42">
      <c r="AD63">
        <f t="shared" ref="AD63:AE63" si="59">+AC63</f>
        <v>0</v>
      </c>
      <c r="AE63">
        <f t="shared" si="59"/>
        <v>0</v>
      </c>
      <c r="AO63" s="38"/>
      <c r="AP63" s="38">
        <f t="shared" si="2"/>
        <v>0</v>
      </c>
    </row>
    <row r="64" spans="30:42">
      <c r="AD64">
        <f t="shared" ref="AD64:AE64" si="60">+AC64</f>
        <v>0</v>
      </c>
      <c r="AE64">
        <f t="shared" si="60"/>
        <v>0</v>
      </c>
      <c r="AO64" s="38"/>
      <c r="AP64" s="38">
        <f t="shared" si="2"/>
        <v>0</v>
      </c>
    </row>
    <row r="65" spans="30:42">
      <c r="AD65">
        <f t="shared" ref="AD65:AE65" si="61">+AC65</f>
        <v>0</v>
      </c>
      <c r="AE65">
        <f t="shared" si="61"/>
        <v>0</v>
      </c>
      <c r="AO65" s="38"/>
      <c r="AP65" s="38">
        <f t="shared" si="2"/>
        <v>0</v>
      </c>
    </row>
    <row r="66" spans="30:42">
      <c r="AD66">
        <f t="shared" ref="AD66:AE66" si="62">+AC66</f>
        <v>0</v>
      </c>
      <c r="AE66">
        <f t="shared" si="62"/>
        <v>0</v>
      </c>
      <c r="AO66" s="38"/>
      <c r="AP66" s="38">
        <f t="shared" si="2"/>
        <v>0</v>
      </c>
    </row>
    <row r="67" spans="30:42">
      <c r="AD67">
        <f t="shared" ref="AD67:AE67" si="63">+AC67</f>
        <v>0</v>
      </c>
      <c r="AE67">
        <f t="shared" si="63"/>
        <v>0</v>
      </c>
      <c r="AO67" s="38"/>
      <c r="AP67" s="38">
        <f t="shared" si="2"/>
        <v>0</v>
      </c>
    </row>
    <row r="68" spans="30:42">
      <c r="AD68">
        <f t="shared" ref="AD68:AE68" si="64">+AC68</f>
        <v>0</v>
      </c>
      <c r="AE68">
        <f t="shared" si="64"/>
        <v>0</v>
      </c>
      <c r="AO68" s="38"/>
      <c r="AP68" s="38">
        <f t="shared" si="2"/>
        <v>0</v>
      </c>
    </row>
    <row r="69" spans="30:42">
      <c r="AD69">
        <f t="shared" ref="AD69:AE69" si="65">+AC69</f>
        <v>0</v>
      </c>
      <c r="AE69">
        <f t="shared" si="65"/>
        <v>0</v>
      </c>
      <c r="AO69" s="38"/>
      <c r="AP69" s="38">
        <f t="shared" si="2"/>
        <v>0</v>
      </c>
    </row>
    <row r="70" spans="30:42">
      <c r="AD70">
        <f t="shared" ref="AD70:AE70" si="66">+AC70</f>
        <v>0</v>
      </c>
      <c r="AE70">
        <f t="shared" si="66"/>
        <v>0</v>
      </c>
      <c r="AO70" s="38"/>
      <c r="AP70" s="38">
        <f t="shared" ref="AP70:AP80" si="67">+AO70/7</f>
        <v>0</v>
      </c>
    </row>
    <row r="71" spans="30:42">
      <c r="AD71">
        <f t="shared" ref="AD71:AE71" si="68">+AC71</f>
        <v>0</v>
      </c>
      <c r="AE71">
        <f t="shared" si="68"/>
        <v>0</v>
      </c>
      <c r="AO71" s="38"/>
      <c r="AP71" s="38">
        <f t="shared" si="67"/>
        <v>0</v>
      </c>
    </row>
    <row r="72" spans="30:42">
      <c r="AD72">
        <f t="shared" ref="AD72:AE72" si="69">+AC72</f>
        <v>0</v>
      </c>
      <c r="AE72">
        <f t="shared" si="69"/>
        <v>0</v>
      </c>
      <c r="AO72" s="38"/>
      <c r="AP72" s="38">
        <f t="shared" si="67"/>
        <v>0</v>
      </c>
    </row>
    <row r="73" spans="30:42">
      <c r="AD73">
        <f t="shared" ref="AD73:AE73" si="70">+AC73</f>
        <v>0</v>
      </c>
      <c r="AE73">
        <f t="shared" si="70"/>
        <v>0</v>
      </c>
      <c r="AO73" s="38"/>
      <c r="AP73" s="38">
        <f t="shared" si="67"/>
        <v>0</v>
      </c>
    </row>
    <row r="74" spans="30:42">
      <c r="AD74">
        <f t="shared" ref="AD74:AE74" si="71">+AC74</f>
        <v>0</v>
      </c>
      <c r="AE74">
        <f t="shared" si="71"/>
        <v>0</v>
      </c>
      <c r="AO74" s="38"/>
      <c r="AP74" s="38">
        <f t="shared" si="67"/>
        <v>0</v>
      </c>
    </row>
    <row r="75" spans="30:42">
      <c r="AD75">
        <f t="shared" ref="AD75:AE75" si="72">+AC75</f>
        <v>0</v>
      </c>
      <c r="AE75">
        <f t="shared" si="72"/>
        <v>0</v>
      </c>
      <c r="AO75" s="38"/>
      <c r="AP75" s="38">
        <f t="shared" si="67"/>
        <v>0</v>
      </c>
    </row>
    <row r="76" spans="30:42">
      <c r="AD76">
        <f t="shared" ref="AD76:AE76" si="73">+AC76</f>
        <v>0</v>
      </c>
      <c r="AE76">
        <f t="shared" si="73"/>
        <v>0</v>
      </c>
      <c r="AO76" s="38"/>
      <c r="AP76" s="38">
        <f t="shared" si="67"/>
        <v>0</v>
      </c>
    </row>
    <row r="77" spans="30:42">
      <c r="AD77">
        <f t="shared" ref="AD77:AE77" si="74">+AC77</f>
        <v>0</v>
      </c>
      <c r="AE77">
        <f t="shared" si="74"/>
        <v>0</v>
      </c>
      <c r="AO77" s="38"/>
      <c r="AP77" s="38">
        <f t="shared" si="67"/>
        <v>0</v>
      </c>
    </row>
    <row r="78" spans="30:42">
      <c r="AD78">
        <f t="shared" ref="AD78:AE78" si="75">+AC78</f>
        <v>0</v>
      </c>
      <c r="AE78">
        <f t="shared" si="75"/>
        <v>0</v>
      </c>
      <c r="AO78" s="38"/>
      <c r="AP78" s="38">
        <f t="shared" si="67"/>
        <v>0</v>
      </c>
    </row>
    <row r="79" spans="30:42">
      <c r="AD79">
        <f t="shared" ref="AD79:AE79" si="76">+AC79</f>
        <v>0</v>
      </c>
      <c r="AE79">
        <f t="shared" si="76"/>
        <v>0</v>
      </c>
      <c r="AO79" s="38"/>
      <c r="AP79" s="38">
        <f t="shared" si="67"/>
        <v>0</v>
      </c>
    </row>
    <row r="80" spans="30:42">
      <c r="AD80">
        <f t="shared" ref="AD80:AE80" si="77">+AC80</f>
        <v>0</v>
      </c>
      <c r="AE80">
        <f t="shared" si="77"/>
        <v>0</v>
      </c>
      <c r="AO80" s="38"/>
      <c r="AP80" s="38">
        <f t="shared" si="67"/>
        <v>0</v>
      </c>
    </row>
  </sheetData>
  <phoneticPr fontId="7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1F4334-DDBC-4757-B076-3BE8B36A894A}">
  <dimension ref="A1:Q9"/>
  <sheetViews>
    <sheetView zoomScale="78" workbookViewId="0">
      <selection activeCell="B7" sqref="B7:B20"/>
    </sheetView>
  </sheetViews>
  <sheetFormatPr defaultColWidth="28.7109375" defaultRowHeight="14.45"/>
  <cols>
    <col min="1" max="2" width="13" customWidth="1"/>
    <col min="3" max="3" width="28.42578125" bestFit="1" customWidth="1"/>
    <col min="4" max="4" width="28.5703125" bestFit="1" customWidth="1"/>
    <col min="5" max="5" width="21.140625" bestFit="1" customWidth="1"/>
    <col min="6" max="6" width="28.140625" bestFit="1" customWidth="1"/>
    <col min="7" max="7" width="26.140625" bestFit="1" customWidth="1"/>
    <col min="8" max="8" width="27.42578125" bestFit="1" customWidth="1"/>
    <col min="9" max="9" width="26.28515625" bestFit="1" customWidth="1"/>
    <col min="10" max="10" width="28.28515625" bestFit="1" customWidth="1"/>
    <col min="11" max="11" width="28.42578125" bestFit="1" customWidth="1"/>
    <col min="12" max="12" width="26.28515625" bestFit="1" customWidth="1"/>
    <col min="13" max="13" width="23.140625" bestFit="1" customWidth="1"/>
    <col min="14" max="14" width="28.42578125" bestFit="1" customWidth="1"/>
    <col min="15" max="15" width="27.7109375" bestFit="1" customWidth="1"/>
    <col min="16" max="16" width="21.28515625" bestFit="1" customWidth="1"/>
  </cols>
  <sheetData>
    <row r="1" spans="1:17">
      <c r="A1" s="46" t="s">
        <v>203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</row>
    <row r="2" spans="1:17">
      <c r="A2" s="25" t="s">
        <v>0</v>
      </c>
      <c r="B2" s="25" t="s">
        <v>204</v>
      </c>
      <c r="C2" s="21" t="s">
        <v>205</v>
      </c>
      <c r="D2" s="21" t="s">
        <v>206</v>
      </c>
      <c r="E2" s="22" t="s">
        <v>207</v>
      </c>
      <c r="F2" s="21" t="s">
        <v>208</v>
      </c>
      <c r="G2" s="21" t="s">
        <v>209</v>
      </c>
      <c r="H2" s="23" t="s">
        <v>210</v>
      </c>
      <c r="I2" s="22" t="s">
        <v>211</v>
      </c>
      <c r="J2" s="23" t="s">
        <v>212</v>
      </c>
      <c r="K2" s="24" t="s">
        <v>213</v>
      </c>
      <c r="L2" s="23" t="s">
        <v>214</v>
      </c>
      <c r="M2" s="22" t="s">
        <v>215</v>
      </c>
      <c r="N2" s="23" t="s">
        <v>216</v>
      </c>
      <c r="O2" s="22" t="s">
        <v>217</v>
      </c>
      <c r="P2" s="24" t="s">
        <v>218</v>
      </c>
    </row>
    <row r="3" spans="1:17" ht="51.75" customHeight="1">
      <c r="A3" s="25" t="s">
        <v>40</v>
      </c>
      <c r="B3" s="25" t="s">
        <v>204</v>
      </c>
      <c r="C3" s="11" t="s">
        <v>219</v>
      </c>
      <c r="D3" s="11" t="s">
        <v>220</v>
      </c>
      <c r="E3" s="12" t="s">
        <v>221</v>
      </c>
      <c r="F3" s="11" t="s">
        <v>222</v>
      </c>
      <c r="G3" s="11" t="s">
        <v>223</v>
      </c>
      <c r="H3" s="8" t="s">
        <v>224</v>
      </c>
      <c r="I3" s="12" t="s">
        <v>225</v>
      </c>
      <c r="J3" s="8" t="s">
        <v>226</v>
      </c>
      <c r="K3" s="9" t="s">
        <v>227</v>
      </c>
      <c r="L3" s="8" t="s">
        <v>228</v>
      </c>
      <c r="M3" s="12" t="s">
        <v>229</v>
      </c>
      <c r="N3" s="8" t="s">
        <v>230</v>
      </c>
      <c r="O3" s="12" t="s">
        <v>231</v>
      </c>
      <c r="P3" s="9" t="s">
        <v>232</v>
      </c>
    </row>
    <row r="4" spans="1:17">
      <c r="A4" s="25" t="s">
        <v>80</v>
      </c>
      <c r="B4" s="25"/>
      <c r="C4" s="11" t="s">
        <v>233</v>
      </c>
      <c r="D4" s="11" t="s">
        <v>234</v>
      </c>
      <c r="E4" s="12" t="s">
        <v>235</v>
      </c>
      <c r="F4" s="11" t="s">
        <v>236</v>
      </c>
      <c r="G4" s="11" t="s">
        <v>237</v>
      </c>
      <c r="H4" s="8" t="s">
        <v>238</v>
      </c>
      <c r="I4" s="12" t="s">
        <v>239</v>
      </c>
      <c r="J4" s="8" t="s">
        <v>240</v>
      </c>
      <c r="K4" s="9" t="s">
        <v>241</v>
      </c>
      <c r="L4" s="8" t="s">
        <v>242</v>
      </c>
      <c r="M4" s="12" t="s">
        <v>243</v>
      </c>
      <c r="N4" s="8" t="s">
        <v>244</v>
      </c>
      <c r="O4" s="12" t="s">
        <v>245</v>
      </c>
      <c r="P4" s="9" t="s">
        <v>86</v>
      </c>
    </row>
    <row r="5" spans="1:17">
      <c r="A5" s="25" t="s">
        <v>116</v>
      </c>
      <c r="B5" s="25" t="s">
        <v>117</v>
      </c>
      <c r="C5" s="5" t="s">
        <v>117</v>
      </c>
      <c r="D5" s="5" t="s">
        <v>117</v>
      </c>
      <c r="E5" s="7" t="s">
        <v>117</v>
      </c>
      <c r="F5" s="11" t="s">
        <v>119</v>
      </c>
      <c r="G5" s="11" t="s">
        <v>119</v>
      </c>
      <c r="H5" s="8" t="s">
        <v>119</v>
      </c>
      <c r="I5" s="7" t="s">
        <v>117</v>
      </c>
      <c r="J5" s="8" t="s">
        <v>118</v>
      </c>
      <c r="K5" s="6" t="s">
        <v>117</v>
      </c>
      <c r="L5" s="8" t="s">
        <v>117</v>
      </c>
      <c r="M5" s="12" t="s">
        <v>117</v>
      </c>
      <c r="N5" s="8" t="s">
        <v>118</v>
      </c>
      <c r="O5" s="12" t="s">
        <v>118</v>
      </c>
      <c r="P5" s="6" t="s">
        <v>117</v>
      </c>
    </row>
    <row r="7" spans="1:17">
      <c r="B7" t="s">
        <v>246</v>
      </c>
      <c r="C7" t="s">
        <v>205</v>
      </c>
      <c r="E7" t="s">
        <v>235</v>
      </c>
      <c r="G7" s="33" t="s">
        <v>247</v>
      </c>
      <c r="H7">
        <v>2</v>
      </c>
      <c r="I7" s="34">
        <v>46219</v>
      </c>
      <c r="J7" s="35">
        <f>+I7+1</f>
        <v>46220</v>
      </c>
      <c r="K7" s="34">
        <f>+I7+116</f>
        <v>46335</v>
      </c>
      <c r="L7" s="34">
        <f>+I7+28</f>
        <v>46247</v>
      </c>
      <c r="M7" s="36" t="s">
        <v>248</v>
      </c>
      <c r="N7" t="b">
        <v>1</v>
      </c>
      <c r="O7" s="36" t="s">
        <v>249</v>
      </c>
      <c r="P7">
        <v>4</v>
      </c>
    </row>
    <row r="9" spans="1:17">
      <c r="B9" t="str">
        <f>+'Animal Register'!B8</f>
        <v>PIG-2026-0004</v>
      </c>
      <c r="C9" t="s">
        <v>250</v>
      </c>
      <c r="E9" t="s">
        <v>235</v>
      </c>
      <c r="G9" s="33" t="s">
        <v>251</v>
      </c>
      <c r="H9">
        <v>1</v>
      </c>
      <c r="I9" s="34">
        <f>+'Animal Register'!F8+(31*7)</f>
        <v>46244</v>
      </c>
      <c r="J9" t="s">
        <v>130</v>
      </c>
      <c r="K9" s="34">
        <f>+I9+116</f>
        <v>46360</v>
      </c>
      <c r="L9" s="34">
        <f>+I9+28</f>
        <v>46272</v>
      </c>
      <c r="M9" s="36" t="s">
        <v>248</v>
      </c>
      <c r="P9">
        <v>0</v>
      </c>
    </row>
  </sheetData>
  <mergeCells count="1">
    <mergeCell ref="A1:Q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viewBy xmlns="7146d502-05f5-4fb7-b414-24f33b760985">
      <UserInfo>
        <DisplayName/>
        <AccountId xsi:nil="true"/>
        <AccountType/>
      </UserInfo>
    </ReviewBy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4556EAEE72D7747B3D0355DABB429F3" ma:contentTypeVersion="5" ma:contentTypeDescription="Create a new document." ma:contentTypeScope="" ma:versionID="510511ce609cd22d073012b858703f23">
  <xsd:schema xmlns:xsd="http://www.w3.org/2001/XMLSchema" xmlns:xs="http://www.w3.org/2001/XMLSchema" xmlns:p="http://schemas.microsoft.com/office/2006/metadata/properties" xmlns:ns2="7146d502-05f5-4fb7-b414-24f33b760985" targetNamespace="http://schemas.microsoft.com/office/2006/metadata/properties" ma:root="true" ma:fieldsID="dff61d6fb0c51ac950ba6c8675b4ac1a" ns2:_="">
    <xsd:import namespace="7146d502-05f5-4fb7-b414-24f33b76098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ReviewB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46d502-05f5-4fb7-b414-24f33b76098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ReviewBy" ma:index="11" nillable="true" ma:displayName="Review By" ma:format="Dropdown" ma:list="UserInfo" ma:SharePointGroup="0" ma:internalName="ReviewBy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92D1635-5729-4393-A801-C1E15CF6DA4C}"/>
</file>

<file path=customXml/itemProps2.xml><?xml version="1.0" encoding="utf-8"?>
<ds:datastoreItem xmlns:ds="http://schemas.openxmlformats.org/officeDocument/2006/customXml" ds:itemID="{D41CE624-0CAE-44FF-97AE-0BE2296CAA2F}"/>
</file>

<file path=customXml/itemProps3.xml><?xml version="1.0" encoding="utf-8"?>
<ds:datastoreItem xmlns:ds="http://schemas.openxmlformats.org/officeDocument/2006/customXml" ds:itemID="{4D28C192-8F9F-4BF7-8576-6FC152F505C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Abhinav Singh</dc:creator>
  <cp:keywords/>
  <dc:description/>
  <cp:lastModifiedBy>Paul Young</cp:lastModifiedBy>
  <cp:revision/>
  <dcterms:created xsi:type="dcterms:W3CDTF">2026-08-17T18:24:52Z</dcterms:created>
  <dcterms:modified xsi:type="dcterms:W3CDTF">2026-09-11T18:34:02Z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0x010100F4556EAEE72D7747B3D0355DABB429F3</vt:lpwstr>
  </property>
</Properties>
</file>