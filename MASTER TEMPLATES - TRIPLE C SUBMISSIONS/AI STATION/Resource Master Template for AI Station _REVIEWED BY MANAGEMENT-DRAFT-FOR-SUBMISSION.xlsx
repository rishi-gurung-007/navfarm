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zimbabwe-my.sharepoint.com/personal/mcharumbira_colcom_co_zw/Documents/Documents/NAVFARM TEMPLATES FOR APPROVALS/AI STATION/"/>
    </mc:Choice>
  </mc:AlternateContent>
  <xr:revisionPtr revIDLastSave="3" documentId="13_ncr:1_{B22CC90B-4313-456E-B63B-AF52B89D7936}" xr6:coauthVersionLast="47" xr6:coauthVersionMax="47" xr10:uidLastSave="{AEE11DB2-D23F-4D52-9F36-30DF5507CEC0}"/>
  <bookViews>
    <workbookView xWindow="-108" yWindow="-108" windowWidth="23256" windowHeight="13896" xr2:uid="{E062E5F6-88B1-42C3-81F4-BB4F61C462A5}"/>
  </bookViews>
  <sheets>
    <sheet name="Resource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3" l="1"/>
</calcChain>
</file>

<file path=xl/sharedStrings.xml><?xml version="1.0" encoding="utf-8"?>
<sst xmlns="http://schemas.openxmlformats.org/spreadsheetml/2006/main" count="158" uniqueCount="91">
  <si>
    <t>Field Name</t>
  </si>
  <si>
    <t>Resource Code</t>
  </si>
  <si>
    <t>Resource Name</t>
  </si>
  <si>
    <t>Resource Type</t>
  </si>
  <si>
    <t>Cost Per Unit</t>
  </si>
  <si>
    <t>Cost UOM</t>
  </si>
  <si>
    <t>Cost Element</t>
  </si>
  <si>
    <t>GL Cost Account</t>
  </si>
  <si>
    <t>Employee ID</t>
  </si>
  <si>
    <t>Department</t>
  </si>
  <si>
    <t>Designation</t>
  </si>
  <si>
    <t>Asset Code</t>
  </si>
  <si>
    <t>Equipment Capacity</t>
  </si>
  <si>
    <t>Capacity UOM</t>
  </si>
  <si>
    <t>Next Service Date</t>
  </si>
  <si>
    <t>License Expiry</t>
  </si>
  <si>
    <t>Description</t>
  </si>
  <si>
    <t>Short unique code per tenant.</t>
  </si>
  <si>
    <t>Full name of person or equipment.</t>
  </si>
  <si>
    <t>MANPOWER / EQUIPMENT / VEHICLE / UTILITY / OTHER.</t>
  </si>
  <si>
    <t>Cost per UOM in company base currency.</t>
  </si>
  <si>
    <t>Cost UOM. Lookup from uom_master.</t>
  </si>
  <si>
    <t>GL cost classification. DIRECT_LABOR / INDIRECT_LABOR / EQUIPMENT_HIRE / FUEL / MAINTENANCE.</t>
  </si>
  <si>
    <t>GL account for resource costs. Lookup from COA.</t>
  </si>
  <si>
    <t xml:space="preserve">HR employee or payroll ID for MANPOWER. </t>
  </si>
  <si>
    <t>Department or team.</t>
  </si>
  <si>
    <t>Job title for MANPOWER.</t>
  </si>
  <si>
    <t>Fixed asset code for EQUIPMENT.</t>
  </si>
  <si>
    <t>Equipment capacity.</t>
  </si>
  <si>
    <t>Capacity UOM. Lookup from uom_master.</t>
  </si>
  <si>
    <t>Next maintenance date.</t>
  </si>
  <si>
    <t>License expiry date. Alert 30 days before.</t>
  </si>
  <si>
    <t>Example Value</t>
  </si>
  <si>
    <t>FARM_WORKER_01</t>
  </si>
  <si>
    <t>Farm Worker / Dr Rajesh Vet</t>
  </si>
  <si>
    <t>MANPOWER</t>
  </si>
  <si>
    <t>150.0000</t>
  </si>
  <si>
    <t>HOUR / DAY / VISIT</t>
  </si>
  <si>
    <t>DIRECT_LABOR</t>
  </si>
  <si>
    <t>7200</t>
  </si>
  <si>
    <t>EMP-001</t>
  </si>
  <si>
    <t>Farm Operations</t>
  </si>
  <si>
    <t>Senior Farm Worker</t>
  </si>
  <si>
    <t>EQP-PELLETISER-01</t>
  </si>
  <si>
    <t>5000.0000</t>
  </si>
  <si>
    <t>KG_PER_HOUR</t>
  </si>
  <si>
    <t>2025-06-01</t>
  </si>
  <si>
    <t>2026-03-31</t>
  </si>
  <si>
    <t>Mandatory</t>
  </si>
  <si>
    <t>YES</t>
  </si>
  <si>
    <t>NO</t>
  </si>
  <si>
    <t>Equipment</t>
  </si>
  <si>
    <t>Electricity</t>
  </si>
  <si>
    <t xml:space="preserve">Number </t>
  </si>
  <si>
    <t>Number of equipment</t>
  </si>
  <si>
    <t>HP</t>
  </si>
  <si>
    <t xml:space="preserve">Generator </t>
  </si>
  <si>
    <t xml:space="preserve">Scales </t>
  </si>
  <si>
    <t xml:space="preserve">Cooling system </t>
  </si>
  <si>
    <t xml:space="preserve">Booster pump </t>
  </si>
  <si>
    <t>Incubator</t>
  </si>
  <si>
    <t>Water Bath</t>
  </si>
  <si>
    <t>Semen storage unit</t>
  </si>
  <si>
    <t>BTS fridge</t>
  </si>
  <si>
    <t>Air conditioner</t>
  </si>
  <si>
    <t>Microscope</t>
  </si>
  <si>
    <t>Semenmeter</t>
  </si>
  <si>
    <t>pH meter</t>
  </si>
  <si>
    <t>Conductivity meter</t>
  </si>
  <si>
    <t>power wash</t>
  </si>
  <si>
    <t>AE942364</t>
  </si>
  <si>
    <t>MS-01</t>
  </si>
  <si>
    <t>MEDCO-1</t>
  </si>
  <si>
    <t>TCL-1</t>
  </si>
  <si>
    <t>VEVOR-1</t>
  </si>
  <si>
    <t>MSEM-1</t>
  </si>
  <si>
    <t>PH-1</t>
  </si>
  <si>
    <t>COND-1</t>
  </si>
  <si>
    <t>PW-1</t>
  </si>
  <si>
    <t>WTB-1</t>
  </si>
  <si>
    <t>BIOBASE-1</t>
  </si>
  <si>
    <t>CLS-1</t>
  </si>
  <si>
    <t>DB-1</t>
  </si>
  <si>
    <t>GEN SET-1</t>
  </si>
  <si>
    <t>BP-1</t>
  </si>
  <si>
    <t>BP-2</t>
  </si>
  <si>
    <t>Geyser</t>
  </si>
  <si>
    <t>Gey-1</t>
  </si>
  <si>
    <t xml:space="preserve">Diesel burner </t>
  </si>
  <si>
    <t>kw</t>
  </si>
  <si>
    <t xml:space="preserve">ref to workshop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</si>
</sst>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2C3E50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11"/>
      <color rgb="FF2C3E5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5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11F2-AF37-47BD-A850-271B4B6637CB}">
  <dimension ref="A1:R2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6" sqref="F6:F23"/>
    </sheetView>
  </sheetViews>
  <sheetFormatPr defaultColWidth="21.109375" defaultRowHeight="14.4" x14ac:dyDescent="0.3"/>
  <cols>
    <col min="1" max="1" width="10.88671875" bestFit="1" customWidth="1"/>
    <col min="2" max="2" width="20.109375" bestFit="1" customWidth="1"/>
    <col min="3" max="3" width="16" customWidth="1"/>
    <col min="4" max="4" width="19.44140625" customWidth="1"/>
    <col min="5" max="5" width="19.109375" bestFit="1" customWidth="1"/>
    <col min="6" max="6" width="21.21875" customWidth="1"/>
    <col min="7" max="7" width="17.5546875" bestFit="1" customWidth="1"/>
    <col min="8" max="8" width="18.109375" bestFit="1" customWidth="1"/>
    <col min="10" max="10" width="19.5546875" bestFit="1" customWidth="1"/>
    <col min="11" max="11" width="20.88671875" bestFit="1" customWidth="1"/>
    <col min="12" max="12" width="20.6640625" bestFit="1" customWidth="1"/>
    <col min="13" max="13" width="17.44140625" bestFit="1" customWidth="1"/>
    <col min="14" max="14" width="20.5546875" bestFit="1" customWidth="1"/>
    <col min="15" max="15" width="19.109375" bestFit="1" customWidth="1"/>
    <col min="16" max="16" width="20.33203125" bestFit="1" customWidth="1"/>
    <col min="17" max="17" width="19.109375" bestFit="1" customWidth="1"/>
  </cols>
  <sheetData>
    <row r="1" spans="1:18" x14ac:dyDescent="0.3">
      <c r="A1" s="10" t="s">
        <v>0</v>
      </c>
      <c r="B1" s="8" t="s">
        <v>1</v>
      </c>
      <c r="C1" s="9" t="s">
        <v>2</v>
      </c>
      <c r="D1" s="9" t="s">
        <v>53</v>
      </c>
      <c r="E1" s="8" t="s">
        <v>3</v>
      </c>
      <c r="F1" s="9" t="s">
        <v>4</v>
      </c>
      <c r="G1" s="7" t="s">
        <v>5</v>
      </c>
      <c r="H1" s="9" t="s">
        <v>6</v>
      </c>
      <c r="I1" s="7" t="s">
        <v>7</v>
      </c>
      <c r="J1" s="9" t="s">
        <v>8</v>
      </c>
      <c r="K1" s="8" t="s">
        <v>9</v>
      </c>
      <c r="L1" s="9" t="s">
        <v>10</v>
      </c>
      <c r="M1" s="8" t="s">
        <v>11</v>
      </c>
      <c r="N1" s="9" t="s">
        <v>12</v>
      </c>
      <c r="O1" s="7" t="s">
        <v>13</v>
      </c>
      <c r="P1" s="9" t="s">
        <v>14</v>
      </c>
      <c r="Q1" s="8" t="s">
        <v>15</v>
      </c>
    </row>
    <row r="2" spans="1:18" ht="60" x14ac:dyDescent="0.3">
      <c r="A2" s="10" t="s">
        <v>16</v>
      </c>
      <c r="B2" s="6" t="s">
        <v>17</v>
      </c>
      <c r="C2" s="4" t="s">
        <v>18</v>
      </c>
      <c r="D2" s="4" t="s">
        <v>54</v>
      </c>
      <c r="E2" s="6" t="s">
        <v>19</v>
      </c>
      <c r="F2" s="4" t="s">
        <v>20</v>
      </c>
      <c r="G2" s="5" t="s">
        <v>21</v>
      </c>
      <c r="H2" s="4" t="s">
        <v>22</v>
      </c>
      <c r="I2" s="5" t="s">
        <v>23</v>
      </c>
      <c r="J2" s="4" t="s">
        <v>24</v>
      </c>
      <c r="K2" s="6" t="s">
        <v>25</v>
      </c>
      <c r="L2" s="4" t="s">
        <v>26</v>
      </c>
      <c r="M2" s="6" t="s">
        <v>27</v>
      </c>
      <c r="N2" s="4" t="s">
        <v>28</v>
      </c>
      <c r="O2" s="5" t="s">
        <v>29</v>
      </c>
      <c r="P2" s="4" t="s">
        <v>30</v>
      </c>
      <c r="Q2" s="6" t="s">
        <v>31</v>
      </c>
    </row>
    <row r="3" spans="1:18" ht="24" x14ac:dyDescent="0.3">
      <c r="A3" s="10" t="s">
        <v>32</v>
      </c>
      <c r="B3" s="6" t="s">
        <v>33</v>
      </c>
      <c r="C3" s="4" t="s">
        <v>34</v>
      </c>
      <c r="D3" s="4"/>
      <c r="E3" s="6" t="s">
        <v>35</v>
      </c>
      <c r="F3" s="4" t="s">
        <v>36</v>
      </c>
      <c r="G3" s="5" t="s">
        <v>37</v>
      </c>
      <c r="H3" s="4" t="s">
        <v>38</v>
      </c>
      <c r="I3" s="5" t="s">
        <v>39</v>
      </c>
      <c r="J3" s="4" t="s">
        <v>40</v>
      </c>
      <c r="K3" s="6" t="s">
        <v>41</v>
      </c>
      <c r="L3" s="4" t="s">
        <v>42</v>
      </c>
      <c r="M3" s="6" t="s">
        <v>43</v>
      </c>
      <c r="N3" s="4" t="s">
        <v>44</v>
      </c>
      <c r="O3" s="5" t="s">
        <v>45</v>
      </c>
      <c r="P3" s="4" t="s">
        <v>46</v>
      </c>
      <c r="Q3" s="6" t="s">
        <v>47</v>
      </c>
    </row>
    <row r="4" spans="1:18" x14ac:dyDescent="0.3">
      <c r="A4" s="10" t="s">
        <v>48</v>
      </c>
      <c r="B4" s="2" t="s">
        <v>49</v>
      </c>
      <c r="C4" s="3" t="s">
        <v>49</v>
      </c>
      <c r="D4" s="3"/>
      <c r="E4" s="2" t="s">
        <v>49</v>
      </c>
      <c r="F4" s="3" t="s">
        <v>49</v>
      </c>
      <c r="G4" s="1" t="s">
        <v>49</v>
      </c>
      <c r="H4" s="4" t="s">
        <v>50</v>
      </c>
      <c r="I4" s="5" t="s">
        <v>50</v>
      </c>
      <c r="J4" s="4" t="s">
        <v>50</v>
      </c>
      <c r="K4" s="6" t="s">
        <v>50</v>
      </c>
      <c r="L4" s="4" t="s">
        <v>50</v>
      </c>
      <c r="M4" s="6" t="s">
        <v>50</v>
      </c>
      <c r="N4" s="4" t="s">
        <v>50</v>
      </c>
      <c r="O4" s="5" t="s">
        <v>50</v>
      </c>
      <c r="P4" s="4" t="s">
        <v>50</v>
      </c>
      <c r="Q4" s="6" t="s">
        <v>50</v>
      </c>
    </row>
    <row r="5" spans="1:18" x14ac:dyDescent="0.3">
      <c r="H5" s="11"/>
    </row>
    <row r="6" spans="1:18" s="14" customFormat="1" x14ac:dyDescent="0.3">
      <c r="C6" s="16" t="s">
        <v>59</v>
      </c>
      <c r="D6" s="11">
        <v>1</v>
      </c>
      <c r="E6" s="11" t="s">
        <v>51</v>
      </c>
      <c r="H6" s="11" t="s">
        <v>52</v>
      </c>
      <c r="I6" s="12"/>
      <c r="J6" s="18" t="s">
        <v>84</v>
      </c>
      <c r="K6" s="11" t="s">
        <v>41</v>
      </c>
      <c r="N6" s="11">
        <v>0.75</v>
      </c>
      <c r="O6" s="12" t="s">
        <v>55</v>
      </c>
      <c r="P6" s="15"/>
      <c r="Q6" s="13"/>
    </row>
    <row r="7" spans="1:18" s="14" customFormat="1" x14ac:dyDescent="0.3">
      <c r="C7" s="16" t="s">
        <v>59</v>
      </c>
      <c r="D7" s="11">
        <v>2</v>
      </c>
      <c r="E7" s="11" t="s">
        <v>51</v>
      </c>
      <c r="H7" s="11" t="s">
        <v>52</v>
      </c>
      <c r="I7" s="12"/>
      <c r="J7" s="18" t="s">
        <v>85</v>
      </c>
      <c r="K7" s="11" t="s">
        <v>41</v>
      </c>
      <c r="N7" s="11">
        <v>0.75</v>
      </c>
      <c r="O7" s="12" t="s">
        <v>55</v>
      </c>
      <c r="P7" s="15"/>
      <c r="Q7" s="13"/>
    </row>
    <row r="8" spans="1:18" s="14" customFormat="1" x14ac:dyDescent="0.3">
      <c r="C8" s="16" t="s">
        <v>56</v>
      </c>
      <c r="D8" s="11">
        <v>1</v>
      </c>
      <c r="E8" s="11" t="s">
        <v>51</v>
      </c>
      <c r="H8" s="11" t="s">
        <v>52</v>
      </c>
      <c r="I8" s="12"/>
      <c r="J8" s="18" t="s">
        <v>83</v>
      </c>
      <c r="K8" s="11" t="s">
        <v>41</v>
      </c>
      <c r="N8" s="11" t="s">
        <v>90</v>
      </c>
      <c r="O8" s="12"/>
      <c r="P8" s="11"/>
      <c r="Q8" s="13"/>
    </row>
    <row r="9" spans="1:18" s="14" customFormat="1" x14ac:dyDescent="0.3">
      <c r="C9" s="16" t="s">
        <v>88</v>
      </c>
      <c r="D9" s="11">
        <v>1</v>
      </c>
      <c r="E9" s="11" t="s">
        <v>51</v>
      </c>
      <c r="H9" s="11" t="s">
        <v>52</v>
      </c>
      <c r="I9" s="12"/>
      <c r="J9" s="17" t="s">
        <v>82</v>
      </c>
      <c r="K9" s="11" t="s">
        <v>41</v>
      </c>
      <c r="L9" s="11"/>
      <c r="M9" s="11"/>
      <c r="N9" s="11" t="s">
        <v>90</v>
      </c>
      <c r="O9" s="11"/>
      <c r="P9" s="15"/>
      <c r="Q9" s="15"/>
      <c r="R9" s="11"/>
    </row>
    <row r="10" spans="1:18" s="14" customFormat="1" x14ac:dyDescent="0.3">
      <c r="C10" s="16" t="s">
        <v>58</v>
      </c>
      <c r="D10" s="11">
        <v>1</v>
      </c>
      <c r="E10" s="11" t="s">
        <v>51</v>
      </c>
      <c r="H10" s="11" t="s">
        <v>52</v>
      </c>
      <c r="I10" s="12"/>
      <c r="J10" s="17" t="s">
        <v>81</v>
      </c>
      <c r="K10" s="11" t="s">
        <v>41</v>
      </c>
      <c r="L10" s="11"/>
      <c r="M10" s="11"/>
      <c r="N10" s="11" t="s">
        <v>90</v>
      </c>
      <c r="O10" s="11"/>
      <c r="P10" s="15"/>
      <c r="Q10" s="15"/>
      <c r="R10" s="11"/>
    </row>
    <row r="11" spans="1:18" s="14" customFormat="1" x14ac:dyDescent="0.3">
      <c r="C11" s="16" t="s">
        <v>57</v>
      </c>
      <c r="D11" s="11">
        <v>1</v>
      </c>
      <c r="E11" s="11" t="s">
        <v>51</v>
      </c>
      <c r="H11" s="11" t="s">
        <v>52</v>
      </c>
      <c r="I11" s="12"/>
      <c r="J11" s="17" t="s">
        <v>70</v>
      </c>
      <c r="K11" s="11" t="s">
        <v>41</v>
      </c>
      <c r="L11" s="11"/>
      <c r="M11" s="11"/>
      <c r="N11" s="11"/>
      <c r="O11" s="11"/>
      <c r="P11" s="15">
        <v>46277</v>
      </c>
      <c r="Q11" s="15"/>
      <c r="R11" s="11"/>
    </row>
    <row r="12" spans="1:18" s="14" customFormat="1" x14ac:dyDescent="0.3">
      <c r="C12" s="16" t="s">
        <v>57</v>
      </c>
      <c r="D12" s="11">
        <v>1</v>
      </c>
      <c r="E12" s="11" t="s">
        <v>51</v>
      </c>
      <c r="H12" s="11" t="s">
        <v>52</v>
      </c>
      <c r="I12" s="12"/>
      <c r="J12" s="18">
        <v>18329246</v>
      </c>
      <c r="K12" s="11" t="s">
        <v>41</v>
      </c>
      <c r="L12" s="11"/>
      <c r="M12" s="11"/>
      <c r="N12" s="11"/>
      <c r="O12" s="11"/>
      <c r="P12" s="15">
        <v>46278</v>
      </c>
      <c r="Q12" s="15"/>
      <c r="R12" s="11"/>
    </row>
    <row r="13" spans="1:18" s="14" customFormat="1" ht="13.2" customHeight="1" x14ac:dyDescent="0.3">
      <c r="C13" s="16" t="s">
        <v>60</v>
      </c>
      <c r="D13" s="11">
        <v>1</v>
      </c>
      <c r="E13" s="11" t="s">
        <v>51</v>
      </c>
      <c r="H13" s="11" t="s">
        <v>52</v>
      </c>
      <c r="I13" s="12"/>
      <c r="J13" s="18" t="s">
        <v>80</v>
      </c>
      <c r="K13" s="11" t="s">
        <v>41</v>
      </c>
      <c r="N13" s="11"/>
      <c r="O13" s="11"/>
      <c r="P13" s="15">
        <v>46362</v>
      </c>
      <c r="Q13" s="15"/>
    </row>
    <row r="14" spans="1:18" s="14" customFormat="1" x14ac:dyDescent="0.3">
      <c r="C14" s="16" t="s">
        <v>61</v>
      </c>
      <c r="D14" s="11">
        <v>1</v>
      </c>
      <c r="E14" s="11" t="s">
        <v>51</v>
      </c>
      <c r="H14" s="11" t="s">
        <v>52</v>
      </c>
      <c r="I14" s="12"/>
      <c r="J14" s="18" t="s">
        <v>79</v>
      </c>
      <c r="K14" s="11" t="s">
        <v>41</v>
      </c>
      <c r="N14" s="11"/>
      <c r="O14" s="11"/>
      <c r="P14" s="15">
        <v>46362</v>
      </c>
    </row>
    <row r="15" spans="1:18" s="14" customFormat="1" x14ac:dyDescent="0.3">
      <c r="C15" s="16" t="s">
        <v>62</v>
      </c>
      <c r="D15" s="11">
        <v>1</v>
      </c>
      <c r="E15" s="11" t="s">
        <v>51</v>
      </c>
      <c r="H15" s="11" t="s">
        <v>52</v>
      </c>
      <c r="I15" s="12"/>
      <c r="J15" s="17" t="s">
        <v>71</v>
      </c>
      <c r="K15" s="11" t="s">
        <v>41</v>
      </c>
      <c r="L15" s="11"/>
      <c r="M15" s="11"/>
      <c r="N15" s="11"/>
      <c r="O15" s="11"/>
      <c r="P15" s="15">
        <v>46362</v>
      </c>
      <c r="Q15" s="11"/>
      <c r="R15" s="11"/>
    </row>
    <row r="16" spans="1:18" s="14" customFormat="1" x14ac:dyDescent="0.3">
      <c r="C16" s="16" t="s">
        <v>63</v>
      </c>
      <c r="D16" s="11">
        <v>1</v>
      </c>
      <c r="E16" s="11" t="s">
        <v>51</v>
      </c>
      <c r="H16" s="11" t="s">
        <v>52</v>
      </c>
      <c r="I16" s="12"/>
      <c r="J16" s="17" t="s">
        <v>72</v>
      </c>
      <c r="K16" s="11" t="s">
        <v>41</v>
      </c>
      <c r="L16" s="11"/>
      <c r="M16" s="11"/>
      <c r="N16" s="11"/>
      <c r="O16" s="11"/>
      <c r="P16" s="15">
        <v>46362</v>
      </c>
      <c r="Q16" s="11"/>
      <c r="R16" s="11"/>
    </row>
    <row r="17" spans="3:16" s="14" customFormat="1" x14ac:dyDescent="0.3">
      <c r="C17" s="16" t="s">
        <v>64</v>
      </c>
      <c r="D17" s="11">
        <v>1</v>
      </c>
      <c r="E17" s="11" t="s">
        <v>51</v>
      </c>
      <c r="H17" s="11" t="s">
        <v>52</v>
      </c>
      <c r="I17" s="12"/>
      <c r="J17" s="18" t="s">
        <v>73</v>
      </c>
      <c r="K17" s="11" t="s">
        <v>41</v>
      </c>
      <c r="P17" s="15">
        <v>46362</v>
      </c>
    </row>
    <row r="18" spans="3:16" s="14" customFormat="1" x14ac:dyDescent="0.3">
      <c r="C18" s="16" t="s">
        <v>65</v>
      </c>
      <c r="D18" s="11">
        <v>1</v>
      </c>
      <c r="E18" s="11" t="s">
        <v>51</v>
      </c>
      <c r="H18" s="11" t="s">
        <v>52</v>
      </c>
      <c r="I18" s="12"/>
      <c r="J18" s="18" t="s">
        <v>74</v>
      </c>
      <c r="K18" s="11" t="s">
        <v>41</v>
      </c>
      <c r="P18" s="15">
        <v>46284</v>
      </c>
    </row>
    <row r="19" spans="3:16" s="14" customFormat="1" x14ac:dyDescent="0.3">
      <c r="C19" s="16" t="s">
        <v>66</v>
      </c>
      <c r="D19" s="11">
        <v>1</v>
      </c>
      <c r="E19" s="11" t="s">
        <v>51</v>
      </c>
      <c r="H19" s="11"/>
      <c r="I19" s="12"/>
      <c r="J19" s="18" t="s">
        <v>75</v>
      </c>
      <c r="K19" s="11" t="s">
        <v>41</v>
      </c>
      <c r="P19" s="15">
        <v>46285</v>
      </c>
    </row>
    <row r="20" spans="3:16" s="14" customFormat="1" x14ac:dyDescent="0.3">
      <c r="C20" s="16" t="s">
        <v>67</v>
      </c>
      <c r="D20" s="11">
        <v>1</v>
      </c>
      <c r="E20" s="11" t="s">
        <v>51</v>
      </c>
      <c r="H20" s="11"/>
      <c r="I20" s="12"/>
      <c r="J20" s="18" t="s">
        <v>76</v>
      </c>
      <c r="K20" s="11" t="s">
        <v>41</v>
      </c>
      <c r="P20" s="15">
        <v>46264</v>
      </c>
    </row>
    <row r="21" spans="3:16" s="14" customFormat="1" x14ac:dyDescent="0.3">
      <c r="C21" s="16" t="s">
        <v>68</v>
      </c>
      <c r="D21" s="11">
        <v>1</v>
      </c>
      <c r="E21" s="11" t="s">
        <v>51</v>
      </c>
      <c r="H21" s="11"/>
      <c r="I21" s="12"/>
      <c r="J21" s="18" t="s">
        <v>77</v>
      </c>
      <c r="K21" s="11" t="s">
        <v>41</v>
      </c>
      <c r="P21" s="15">
        <v>46264</v>
      </c>
    </row>
    <row r="22" spans="3:16" s="14" customFormat="1" x14ac:dyDescent="0.3">
      <c r="C22" s="16" t="s">
        <v>69</v>
      </c>
      <c r="D22" s="11">
        <v>1</v>
      </c>
      <c r="E22" s="11" t="s">
        <v>51</v>
      </c>
      <c r="H22" s="11" t="s">
        <v>52</v>
      </c>
      <c r="I22" s="12"/>
      <c r="J22" s="18" t="s">
        <v>78</v>
      </c>
      <c r="K22" s="11" t="s">
        <v>41</v>
      </c>
      <c r="P22" s="15"/>
    </row>
    <row r="23" spans="3:16" x14ac:dyDescent="0.3">
      <c r="C23" s="16" t="s">
        <v>86</v>
      </c>
      <c r="D23" s="11">
        <v>1</v>
      </c>
      <c r="E23" s="11" t="s">
        <v>51</v>
      </c>
      <c r="F23" s="14"/>
      <c r="G23" s="14"/>
      <c r="H23" s="11" t="s">
        <v>52</v>
      </c>
      <c r="I23" s="12"/>
      <c r="J23" s="18" t="s">
        <v>87</v>
      </c>
      <c r="K23" s="11" t="s">
        <v>41</v>
      </c>
      <c r="N23">
        <v>1000</v>
      </c>
      <c r="O23" t="s">
        <v>89</v>
      </c>
      <c r="P23" s="1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274C-BFDF-4815-A571-EF514EA9BF6F}">
  <dimension ref="A1:D9"/>
  <sheetViews>
    <sheetView workbookViewId="0">
      <selection activeCell="D9" sqref="D9"/>
    </sheetView>
  </sheetViews>
  <sheetFormatPr defaultRowHeight="14.4" x14ac:dyDescent="0.3"/>
  <sheetData>
    <row r="1" spans="1:4" x14ac:dyDescent="0.3">
      <c r="A1" s="19"/>
    </row>
    <row r="9" spans="1:4" x14ac:dyDescent="0.3">
      <c r="D9" s="19">
        <f>1-7%</f>
        <v>0.92999999999999994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0E7806-C09B-447A-A0B8-18D44A630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6d502-05f5-4fb7-b414-24f33b760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E8D173-6E77-4648-A91F-9257278D1067}">
  <ds:schemaRefs>
    <ds:schemaRef ds:uri="http://schemas.microsoft.com/office/2006/metadata/properties"/>
    <ds:schemaRef ds:uri="http://purl.org/dc/elements/1.1/"/>
    <ds:schemaRef ds:uri="7146d502-05f5-4fb7-b414-24f33b760985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21FD7D-354E-43D8-9B76-CDF282F15B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Manlow Charumbira</cp:lastModifiedBy>
  <cp:revision/>
  <dcterms:created xsi:type="dcterms:W3CDTF">2026-08-17T18:17:12Z</dcterms:created>
  <dcterms:modified xsi:type="dcterms:W3CDTF">2026-09-11T11:17:13Z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