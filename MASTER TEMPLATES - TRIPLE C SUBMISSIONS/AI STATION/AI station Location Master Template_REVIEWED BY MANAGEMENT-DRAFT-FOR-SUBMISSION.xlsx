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tapiwanashe\Downloads\Location Master Templates\"/>
    </mc:Choice>
  </mc:AlternateContent>
  <xr:revisionPtr revIDLastSave="0" documentId="13_ncr:1_{1A86D12C-D0BC-4FC5-BB7E-7D9D3FDFC596}" xr6:coauthVersionLast="47" xr6:coauthVersionMax="47" xr10:uidLastSave="{00000000-0000-0000-0000-000000000000}"/>
  <bookViews>
    <workbookView xWindow="0" yWindow="660" windowWidth="23040" windowHeight="10380" xr2:uid="{DC7A9B36-E730-485D-92E0-8A03927FCC25}"/>
  </bookViews>
  <sheets>
    <sheet name="Location Master Templ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9" i="1" l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7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9" authorId="0" shapeId="0" xr:uid="{9E476E2E-C5A1-47A2-9E55-445881CA167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 SECTION TO CONFIRM TOTAL PHYSICAL AREA OF THE BOAR HOUSE.</t>
        </r>
      </text>
    </comment>
  </commentList>
</comments>
</file>

<file path=xl/sharedStrings.xml><?xml version="1.0" encoding="utf-8"?>
<sst xmlns="http://schemas.openxmlformats.org/spreadsheetml/2006/main" count="794" uniqueCount="110">
  <si>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</si>
  <si>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</si>
  <si>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</si>
  <si>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</si>
  <si>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</si>
  <si>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</si>
  <si>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</si>
  <si>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</si>
  <si>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</si>
  <si>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</si>
  <si>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</si>
  <si>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</si>
  <si>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</si>
  <si>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</si>
  <si>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</si>
  <si>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Feed in Bags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</si>
  <si>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</si>
  <si>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</si>
  <si>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</si>
  <si>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</si>
  <si>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</si>
  <si>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</si>
  <si>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</si>
  <si>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</si>
  <si>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</si>
  <si>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</si>
  <si>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</si>
  <si>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</si>
  <si>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SILO/STORE NAME NUMBER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</si>
  <si>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</si>
  <si>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</si>
  <si>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</si>
  <si>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Are bags being used at the farm for feeding</t>
  </si>
  <si>
    <t>Example Value</t>
  </si>
  <si>
    <t>SHED</t>
  </si>
  <si>
    <t>FARM-01 / SH-01 / PEN-01A / SLO-01A</t>
  </si>
  <si>
    <t>PORTA FARM</t>
  </si>
  <si>
    <t>PORTA FARM - ABC</t>
  </si>
  <si>
    <t>GROW-H1</t>
  </si>
  <si>
    <t>PEN-1</t>
  </si>
  <si>
    <t>M2</t>
  </si>
  <si>
    <t>NOS (Numbers)</t>
  </si>
  <si>
    <t>Mandatory</t>
  </si>
  <si>
    <t>YES</t>
  </si>
  <si>
    <t>NO</t>
  </si>
  <si>
    <t>MAIN FARM</t>
  </si>
  <si>
    <t xml:space="preserve">AI STATION </t>
  </si>
  <si>
    <t>GRASMERE FARM</t>
  </si>
  <si>
    <t>??</t>
  </si>
  <si>
    <t>M2-Square Meter</t>
  </si>
  <si>
    <t>SHED/HOUSE</t>
  </si>
  <si>
    <t>GRASMERE  FARM</t>
  </si>
  <si>
    <t>BOAR HOUSE</t>
  </si>
  <si>
    <t>PEN</t>
  </si>
  <si>
    <t>NUMBERS</t>
  </si>
  <si>
    <t>SILO</t>
  </si>
  <si>
    <t xml:space="preserve">SILO COVERS THE WHOLE HOUSE BECAUSE ITS JUST 1 HOUSE WITH 24 PENS </t>
  </si>
  <si>
    <t>PEN-2</t>
  </si>
  <si>
    <t>PEN-3</t>
  </si>
  <si>
    <t>PEN-4</t>
  </si>
  <si>
    <t>PEN-5</t>
  </si>
  <si>
    <t>PEN-6</t>
  </si>
  <si>
    <t>PEN-7</t>
  </si>
  <si>
    <t>PEN-8</t>
  </si>
  <si>
    <t>PEN-9</t>
  </si>
  <si>
    <t>PEN-10</t>
  </si>
  <si>
    <t>PEN-11</t>
  </si>
  <si>
    <t>PEN-12</t>
  </si>
  <si>
    <t>PEN-13</t>
  </si>
  <si>
    <t>PEN-14</t>
  </si>
  <si>
    <t>PEN-15</t>
  </si>
  <si>
    <t>PEN-16</t>
  </si>
  <si>
    <t>PEN-17</t>
  </si>
  <si>
    <t>PEN-18</t>
  </si>
  <si>
    <t>PEN-19</t>
  </si>
  <si>
    <t>PEN-20</t>
  </si>
  <si>
    <t>PEN-21</t>
  </si>
  <si>
    <t>PEN-22</t>
  </si>
  <si>
    <t>PEN-23</t>
  </si>
  <si>
    <t>PEN-24</t>
  </si>
  <si>
    <t xml:space="preserve">TAPPING PEN-1 </t>
  </si>
  <si>
    <t>TAPPING PEN-2</t>
  </si>
  <si>
    <t>LABORATORY</t>
  </si>
  <si>
    <t xml:space="preserve">PLOT NUMBER 7/8 </t>
  </si>
  <si>
    <t>GROWER - H1</t>
  </si>
  <si>
    <t>PEN - 1</t>
  </si>
  <si>
    <t>PEN - 2</t>
  </si>
  <si>
    <t>PEN - 3</t>
  </si>
  <si>
    <t>PEN - 4</t>
  </si>
  <si>
    <t>PEN - 5</t>
  </si>
  <si>
    <t>PEN - 6</t>
  </si>
  <si>
    <t>PEN - 7</t>
  </si>
  <si>
    <t>PEN - 8</t>
  </si>
  <si>
    <t>PEN - 9</t>
  </si>
  <si>
    <t>PEN - 10</t>
  </si>
  <si>
    <t>PEN - 11</t>
  </si>
  <si>
    <t>PEN - 12</t>
  </si>
  <si>
    <t>GROWER - H2</t>
  </si>
  <si>
    <t>GROWER - H3</t>
  </si>
  <si>
    <t>PEN - 13</t>
  </si>
  <si>
    <t>PEN - 14</t>
  </si>
  <si>
    <t>PEN - 15</t>
  </si>
  <si>
    <t>PEN - 16</t>
  </si>
  <si>
    <t>GROWER - H4</t>
  </si>
  <si>
    <t>GROWER - H5</t>
  </si>
  <si>
    <t>GROWER - H6</t>
  </si>
  <si>
    <t>GROWER - H7</t>
  </si>
  <si>
    <t>GROWER - H8</t>
  </si>
  <si>
    <t>GROWER - H9</t>
  </si>
  <si>
    <t>GROWER - 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</si>
</sst>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R332"/>
  <sheetViews>
    <sheetView tabSelected="1" workbookViewId="0">
      <pane xSplit="2" ySplit="4" topLeftCell="C23" activePane="bottomRight" state="frozen"/>
      <selection pane="bottomRight" activeCell="C9" sqref="C9"/>
      <selection pane="bottomLeft" activeCell="A5" sqref="A5"/>
      <selection pane="topRight" activeCell="C1" sqref="C1"/>
    </sheetView>
  </sheetViews>
  <sheetFormatPr defaultColWidth="46.5703125" defaultRowHeight="12"/>
  <cols>
    <col min="1" max="1" width="10.85546875" style="14" bestFit="1" customWidth="1"/>
    <col min="2" max="2" width="14.140625" style="14" bestFit="1" customWidth="1"/>
    <col min="3" max="3" width="26.140625" style="14" bestFit="1" customWidth="1"/>
    <col min="4" max="4" width="11.42578125" style="14" bestFit="1" customWidth="1"/>
    <col min="5" max="5" width="35" style="14" bestFit="1" customWidth="1"/>
    <col min="6" max="6" width="12" style="14" customWidth="1"/>
    <col min="7" max="7" width="13" style="14" customWidth="1"/>
    <col min="8" max="8" width="10" style="14" bestFit="1" customWidth="1"/>
    <col min="9" max="9" width="16" style="14" customWidth="1"/>
    <col min="10" max="10" width="15.5703125" style="14" customWidth="1"/>
    <col min="11" max="11" width="18.5703125" style="14" customWidth="1"/>
    <col min="12" max="12" width="12.140625" style="14" bestFit="1" customWidth="1"/>
    <col min="13" max="13" width="12.140625" style="14" customWidth="1"/>
    <col min="14" max="16" width="21.140625" style="14" customWidth="1"/>
    <col min="17" max="17" width="17.85546875" style="14" customWidth="1"/>
    <col min="18" max="18" width="58" style="14" customWidth="1"/>
    <col min="19" max="16384" width="46.5703125" style="14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3" t="s">
        <v>13</v>
      </c>
      <c r="P1" s="4" t="s">
        <v>14</v>
      </c>
      <c r="Q1" s="14" t="s">
        <v>15</v>
      </c>
    </row>
    <row r="2" spans="1:18" ht="36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8" t="s">
        <v>28</v>
      </c>
      <c r="N2" s="6" t="s">
        <v>29</v>
      </c>
      <c r="O2" s="5" t="s">
        <v>30</v>
      </c>
      <c r="P2" s="6" t="s">
        <v>31</v>
      </c>
      <c r="Q2" s="21" t="s">
        <v>32</v>
      </c>
    </row>
    <row r="3" spans="1:18">
      <c r="A3" s="1" t="s">
        <v>33</v>
      </c>
      <c r="B3" s="5" t="s">
        <v>34</v>
      </c>
      <c r="C3" s="6" t="s">
        <v>35</v>
      </c>
      <c r="D3" s="5" t="s">
        <v>36</v>
      </c>
      <c r="E3" s="5" t="s">
        <v>37</v>
      </c>
      <c r="F3" s="15" t="s">
        <v>38</v>
      </c>
      <c r="G3" s="15" t="s">
        <v>39</v>
      </c>
      <c r="H3" s="5">
        <v>0.5</v>
      </c>
      <c r="I3" s="7" t="s">
        <v>40</v>
      </c>
      <c r="J3" s="5">
        <v>10000</v>
      </c>
      <c r="K3" s="7" t="s">
        <v>41</v>
      </c>
      <c r="N3" s="13">
        <v>2000</v>
      </c>
      <c r="O3" s="11">
        <v>3</v>
      </c>
      <c r="P3" s="13">
        <v>14</v>
      </c>
    </row>
    <row r="4" spans="1:18">
      <c r="A4" s="1" t="s">
        <v>42</v>
      </c>
      <c r="B4" s="9" t="s">
        <v>43</v>
      </c>
      <c r="C4" s="10" t="s">
        <v>43</v>
      </c>
      <c r="D4" s="9"/>
      <c r="E4" s="9" t="s">
        <v>43</v>
      </c>
      <c r="F4" s="9"/>
      <c r="G4" s="9"/>
      <c r="H4" s="11" t="s">
        <v>44</v>
      </c>
      <c r="I4" s="12" t="s">
        <v>44</v>
      </c>
      <c r="J4" s="11" t="s">
        <v>43</v>
      </c>
      <c r="K4" s="12" t="s">
        <v>43</v>
      </c>
      <c r="N4" s="13" t="s">
        <v>43</v>
      </c>
      <c r="O4" s="11" t="s">
        <v>43</v>
      </c>
      <c r="P4" s="13" t="s">
        <v>44</v>
      </c>
      <c r="Q4" s="16" t="s">
        <v>43</v>
      </c>
    </row>
    <row r="5" spans="1:18">
      <c r="A5" s="15"/>
      <c r="B5" s="15"/>
      <c r="C5" s="15"/>
      <c r="D5" s="15"/>
      <c r="E5" s="15"/>
      <c r="F5" s="15"/>
      <c r="G5" s="15"/>
    </row>
    <row r="6" spans="1:18">
      <c r="A6" s="15"/>
      <c r="B6" s="15" t="s">
        <v>45</v>
      </c>
      <c r="C6" s="15" t="str">
        <f>IF(E6="","",_xlfn.TEXTJOIN("",TRUE,
"AI100",
IF(F6="","",
IF(F6="GILT HOUSE - A(16-24WKS)","GIHA1",
IF(F6="GILT HOUSE - B(10-15WKS)","GIHB1",
IF(F6="GILT HOUSE - B(BOAR EXPO)","GIHB2",
IF(F6="GILT HOUSE - B(WEANERS)","GIHB3",
IF(F6="SERVICE LINE","SL",
IF(F6="LABORATORY","L",
IF(F6="BOAR HOUSE","BH",
IF(LEFT(F6,4)="GROW","GR"&amp;IF(ISNUMBER(VALUE(RIGHT(F6,2))),RIGHT(F6,2),RIGHT(F6,1)),
IF(LEFT(F6,6)="WEANER","WN"&amp;IF(ISNUMBER(VALUE(RIGHT(F6,2))),RIGHT(F6,2),RIGHT(F6,1)),
IF(LEFT(F6,9)="MAIN SITE","MN"&amp;IF(ISNUMBER(VALUE(RIGHT(F6,2))),RIGHT(F6,2),RIGHT(F6,1)),
IF(LEFT(F6,12)="DOUBLE STOCK","DST"&amp;IF(ISNUMBER(VALUE(RIGHT(F6,2))),RIGHT(F6,2),RIGHT(F6,1)),
IF(LEFT(F6,7)="DRY SOW","DSW"&amp;IF(ISNUMBER(VALUE(RIGHT(F6,2))),RIGHT(F6,2),RIGHT(F6,1)),
IF(LEFT(F6,9)="FARROWING","FH"&amp;IF(ISNUMBER(VALUE(RIGHT(F6,2))),RIGHT(F6,2),RIGHT(F6,1)),
""
))))))))))))
)
),
IF(G6="","",
IF(LEFT(G6,11)="TAPPING PEN","TP"&amp;MID(G6,FIND("-",G6)+1,LEN(G6)),
IF(LEFT(G6,3)="Pen","P",IF(LEFT(G6,5)="Crate","CR",IF(LEFT(G6,4)="Cage","CG","")))&amp;IF(ISNUMBER(VALUE(RIGHT(G6,2))),ABS(TRIM(RIGHT(G6,2))),ABS(RIGHT(G6,1)))
)
)
))</f>
        <v>AI100</v>
      </c>
      <c r="D6" s="5" t="s">
        <v>46</v>
      </c>
      <c r="E6" s="15" t="s">
        <v>47</v>
      </c>
      <c r="F6" s="15"/>
      <c r="G6" s="15"/>
      <c r="H6" s="17" t="s">
        <v>48</v>
      </c>
      <c r="I6" s="14" t="s">
        <v>49</v>
      </c>
      <c r="J6" s="19"/>
      <c r="M6" s="20"/>
      <c r="N6" s="20"/>
      <c r="O6" s="20"/>
      <c r="P6" s="20"/>
    </row>
    <row r="7" spans="1:18">
      <c r="A7" s="15"/>
      <c r="B7" s="15"/>
      <c r="C7" s="15" t="str">
        <f t="shared" ref="C7" si="0">IF(E7="","",_xlfn.TEXTJOIN("",TRUE,
"AI100",
IF(F7="","",
IF(F7="GILT HOUSE - A(16-24WKS)","GIHA1",
IF(F7="GILT HOUSE - B(10-15WKS)","GIHB1",
IF(F7="GILT HOUSE - B(BOAR EXPO)","GIHB2",
IF(F7="GILT HOUSE - B(WEANERS)","GIHB3",
IF(F7="SERVICE LINE","SL",
IF(F7="LABORATORY","L",
IF(F7="BOAR HOUSE","BH",
IF(LEFT(F7,4)="GROW","GR"&amp;IF(ISNUMBER(VALUE(RIGHT(F7,2))),RIGHT(F7,2),RIGHT(F7,1)),
IF(LEFT(F7,6)="WEANER","WN"&amp;IF(ISNUMBER(VALUE(RIGHT(F7,2))),RIGHT(F7,2),RIGHT(F7,1)),
IF(LEFT(F7,9)="MAIN SITE","MN"&amp;IF(ISNUMBER(VALUE(RIGHT(F7,2))),RIGHT(F7,2),RIGHT(F7,1)),
IF(LEFT(F7,12)="DOUBLE STOCK","DST"&amp;IF(ISNUMBER(VALUE(RIGHT(F7,2))),RIGHT(F7,2),RIGHT(F7,1)),
IF(LEFT(F7,7)="DRY SOW","DSW"&amp;IF(ISNUMBER(VALUE(RIGHT(F7,2))),RIGHT(F7,2),RIGHT(F7,1)),
IF(LEFT(F7,9)="FARROWING","FH"&amp;IF(ISNUMBER(VALUE(RIGHT(F7,2))),RIGHT(F7,2),RIGHT(F7,1)),
""
))))))))))))
)
),
IF(G7="","",
IF(LEFT(G7,11)="TAPPING PEN","TP"&amp;MID(G7,FIND("-",G7)+1,LEN(G7)),
IF(LEFT(G7,3)="Pen","P",IF(LEFT(G7,5)="Crate","CR",IF(LEFT(G7,4)="Cage","CG","")))&amp;IF(ISNUMBER(VALUE(RIGHT(G7,2))),ABS(TRIM(RIGHT(G7,2))),ABS(RIGHT(G7,1)))
)
)
))</f>
        <v/>
      </c>
      <c r="D7" s="5"/>
      <c r="E7" s="15"/>
      <c r="F7" s="15"/>
      <c r="G7" s="15"/>
      <c r="H7" s="17"/>
      <c r="J7" s="19"/>
      <c r="M7" s="20"/>
      <c r="N7" s="20"/>
      <c r="O7" s="20"/>
      <c r="P7" s="20"/>
    </row>
    <row r="8" spans="1:18">
      <c r="C8" s="15"/>
    </row>
    <row r="9" spans="1:18">
      <c r="A9" s="15"/>
      <c r="B9" s="15" t="s">
        <v>50</v>
      </c>
      <c r="C9" s="15" t="str">
        <f t="shared" ref="C9:C37" si="1">IF(E9="","",_xlfn.TEXTJOIN("",TRUE,
"AI",
IF(F9="","",
IF(F9="GILT HOUSE - A(16-24WKS)","GIHA1",
IF(F9="GILT HOUSE - B(10-15WKS)","GIHB1",
IF(F9="GILT HOUSE - B(BOAR EXPO)","GIHB2",
IF(F9="GILT HOUSE - B(WEANERS)","GIHB3",
IF(F9="SERVICE LINE","SL",
IF(F9="LABORATORY","L",
IF(F9="BOAR HOUSE","BH",
IF(LEFT(F9,4)="GROW","GR"&amp;IF(ISNUMBER(VALUE(RIGHT(F9,2))),RIGHT(F9,2),RIGHT(F9,1)),
IF(LEFT(F9,6)="WEANER","WN"&amp;IF(ISNUMBER(VALUE(RIGHT(F9,2))),RIGHT(F9,2),RIGHT(F9,1)),
IF(LEFT(F9,9)="MAIN SITE","MN"&amp;IF(ISNUMBER(VALUE(RIGHT(F9,2))),RIGHT(F9,2),RIGHT(F9,1)),
IF(LEFT(F9,12)="DOUBLE STOCK","DST"&amp;IF(ISNUMBER(VALUE(RIGHT(F9,2))),RIGHT(F9,2),RIGHT(F9,1)),
IF(LEFT(F9,7)="DRY SOW","DSW"&amp;IF(ISNUMBER(VALUE(RIGHT(F9,2))),RIGHT(F9,2),RIGHT(F9,1)),
IF(LEFT(F9,9)="FARROWING","FH"&amp;IF(ISNUMBER(VALUE(RIGHT(F9,2))),RIGHT(F9,2),RIGHT(F9,1)),
""
))))))))))))
)
),
IF(G9="","",
IF(LEFT(G9,11)="TAPPING PEN","TP"&amp;MID(G9,FIND("-",G9)+1,LEN(G9)),
IF(LEFT(G9,3)="Pen","P",IF(LEFT(G9,5)="Crate","CR",IF(LEFT(G9,4)="Cage","CG","")))&amp;IF(ISNUMBER(VALUE(RIGHT(G9,2))),ABS(TRIM(RIGHT(G9,2))),ABS(RIGHT(G9,1)))
)
)
))</f>
        <v>AIBH</v>
      </c>
      <c r="D9" s="5" t="s">
        <v>46</v>
      </c>
      <c r="E9" s="15" t="s">
        <v>51</v>
      </c>
      <c r="F9" s="15" t="s">
        <v>52</v>
      </c>
      <c r="G9" s="15"/>
      <c r="H9" s="17" t="s">
        <v>48</v>
      </c>
      <c r="J9" s="19"/>
      <c r="M9" s="20"/>
      <c r="N9" s="20"/>
      <c r="O9" s="20"/>
      <c r="P9" s="20"/>
    </row>
    <row r="10" spans="1:18">
      <c r="B10" s="15" t="s">
        <v>53</v>
      </c>
      <c r="C10" s="15" t="str">
        <f t="shared" si="1"/>
        <v>AIBHP1</v>
      </c>
      <c r="D10" s="5" t="s">
        <v>46</v>
      </c>
      <c r="E10" s="14" t="s">
        <v>51</v>
      </c>
      <c r="F10" s="15" t="s">
        <v>52</v>
      </c>
      <c r="G10" s="15" t="s">
        <v>39</v>
      </c>
      <c r="H10" s="17">
        <v>6</v>
      </c>
      <c r="I10" s="14" t="s">
        <v>49</v>
      </c>
      <c r="J10" s="19">
        <v>1</v>
      </c>
      <c r="K10" s="16" t="s">
        <v>54</v>
      </c>
      <c r="L10" s="14" t="s">
        <v>55</v>
      </c>
      <c r="M10" s="22">
        <v>1</v>
      </c>
      <c r="N10" s="20">
        <v>2500</v>
      </c>
      <c r="O10" s="20">
        <v>2</v>
      </c>
      <c r="P10" s="20">
        <v>3</v>
      </c>
      <c r="Q10" s="16" t="s">
        <v>43</v>
      </c>
      <c r="R10" s="14" t="s">
        <v>56</v>
      </c>
    </row>
    <row r="11" spans="1:18">
      <c r="B11" s="15" t="s">
        <v>53</v>
      </c>
      <c r="C11" s="15" t="str">
        <f t="shared" si="1"/>
        <v>AIBHP2</v>
      </c>
      <c r="D11" s="5" t="s">
        <v>46</v>
      </c>
      <c r="E11" s="14" t="s">
        <v>51</v>
      </c>
      <c r="F11" s="15" t="s">
        <v>52</v>
      </c>
      <c r="G11" s="15" t="s">
        <v>57</v>
      </c>
      <c r="H11" s="17">
        <v>6</v>
      </c>
      <c r="I11" s="14" t="s">
        <v>49</v>
      </c>
      <c r="J11" s="19">
        <v>1</v>
      </c>
      <c r="K11" s="16" t="s">
        <v>54</v>
      </c>
      <c r="M11" s="22"/>
      <c r="N11" s="20"/>
      <c r="O11" s="20"/>
      <c r="P11" s="20"/>
      <c r="Q11" s="16"/>
    </row>
    <row r="12" spans="1:18">
      <c r="B12" s="15" t="s">
        <v>53</v>
      </c>
      <c r="C12" s="15" t="str">
        <f t="shared" si="1"/>
        <v>AIBHP3</v>
      </c>
      <c r="D12" s="5" t="s">
        <v>46</v>
      </c>
      <c r="E12" s="14" t="s">
        <v>51</v>
      </c>
      <c r="F12" s="15" t="s">
        <v>52</v>
      </c>
      <c r="G12" s="15" t="s">
        <v>58</v>
      </c>
      <c r="H12" s="17">
        <v>6</v>
      </c>
      <c r="I12" s="14" t="s">
        <v>49</v>
      </c>
      <c r="J12" s="19">
        <v>1</v>
      </c>
      <c r="K12" s="16" t="s">
        <v>54</v>
      </c>
      <c r="M12" s="22"/>
      <c r="N12" s="20"/>
      <c r="O12" s="20"/>
      <c r="P12" s="20"/>
      <c r="Q12" s="16"/>
    </row>
    <row r="13" spans="1:18" customFormat="1" ht="13.9">
      <c r="A13" s="14"/>
      <c r="B13" s="15" t="s">
        <v>53</v>
      </c>
      <c r="C13" s="15" t="str">
        <f t="shared" si="1"/>
        <v>AIBHP4</v>
      </c>
      <c r="D13" s="5" t="s">
        <v>46</v>
      </c>
      <c r="E13" s="14" t="s">
        <v>51</v>
      </c>
      <c r="F13" s="15" t="s">
        <v>52</v>
      </c>
      <c r="G13" s="15" t="s">
        <v>59</v>
      </c>
      <c r="H13" s="17">
        <v>6</v>
      </c>
      <c r="I13" s="14" t="s">
        <v>49</v>
      </c>
      <c r="J13" s="19">
        <v>1</v>
      </c>
      <c r="K13" s="16" t="s">
        <v>54</v>
      </c>
    </row>
    <row r="14" spans="1:18" customFormat="1" ht="13.9">
      <c r="A14" s="14"/>
      <c r="B14" s="15" t="s">
        <v>53</v>
      </c>
      <c r="C14" s="15" t="str">
        <f t="shared" si="1"/>
        <v>AIBHP5</v>
      </c>
      <c r="D14" s="5" t="s">
        <v>46</v>
      </c>
      <c r="E14" s="14" t="s">
        <v>51</v>
      </c>
      <c r="F14" s="15" t="s">
        <v>52</v>
      </c>
      <c r="G14" s="15" t="s">
        <v>60</v>
      </c>
      <c r="H14" s="17">
        <v>6</v>
      </c>
      <c r="I14" s="14" t="s">
        <v>49</v>
      </c>
      <c r="J14" s="19">
        <v>1</v>
      </c>
      <c r="K14" s="16" t="s">
        <v>54</v>
      </c>
    </row>
    <row r="15" spans="1:18" customFormat="1" ht="13.9">
      <c r="A15" s="14"/>
      <c r="B15" s="15" t="s">
        <v>53</v>
      </c>
      <c r="C15" s="15" t="str">
        <f t="shared" si="1"/>
        <v>AIBHP6</v>
      </c>
      <c r="D15" s="5" t="s">
        <v>46</v>
      </c>
      <c r="E15" s="14" t="s">
        <v>51</v>
      </c>
      <c r="F15" s="15" t="s">
        <v>52</v>
      </c>
      <c r="G15" s="15" t="s">
        <v>61</v>
      </c>
      <c r="H15" s="17">
        <v>6</v>
      </c>
      <c r="I15" s="14" t="s">
        <v>49</v>
      </c>
      <c r="J15" s="19">
        <v>1</v>
      </c>
      <c r="K15" s="16" t="s">
        <v>54</v>
      </c>
    </row>
    <row r="16" spans="1:18" customFormat="1" ht="13.9">
      <c r="A16" s="14"/>
      <c r="B16" s="15" t="s">
        <v>53</v>
      </c>
      <c r="C16" s="15" t="str">
        <f t="shared" si="1"/>
        <v>AIBHP7</v>
      </c>
      <c r="D16" s="5" t="s">
        <v>46</v>
      </c>
      <c r="E16" s="14" t="s">
        <v>51</v>
      </c>
      <c r="F16" s="15" t="s">
        <v>52</v>
      </c>
      <c r="G16" s="15" t="s">
        <v>62</v>
      </c>
      <c r="H16" s="17">
        <v>6</v>
      </c>
      <c r="I16" s="14" t="s">
        <v>49</v>
      </c>
      <c r="J16" s="19">
        <v>1</v>
      </c>
      <c r="K16" s="16" t="s">
        <v>54</v>
      </c>
    </row>
    <row r="17" spans="1:11" customFormat="1" ht="13.9">
      <c r="A17" s="14"/>
      <c r="B17" s="15" t="s">
        <v>53</v>
      </c>
      <c r="C17" s="15" t="str">
        <f t="shared" si="1"/>
        <v>AIBHP8</v>
      </c>
      <c r="D17" s="5" t="s">
        <v>46</v>
      </c>
      <c r="E17" s="14" t="s">
        <v>51</v>
      </c>
      <c r="F17" s="15" t="s">
        <v>52</v>
      </c>
      <c r="G17" s="15" t="s">
        <v>63</v>
      </c>
      <c r="H17" s="17">
        <v>6</v>
      </c>
      <c r="I17" s="14" t="s">
        <v>49</v>
      </c>
      <c r="J17" s="19">
        <v>1</v>
      </c>
      <c r="K17" s="16" t="s">
        <v>54</v>
      </c>
    </row>
    <row r="18" spans="1:11" customFormat="1" ht="13.9">
      <c r="A18" s="14"/>
      <c r="B18" s="15" t="s">
        <v>53</v>
      </c>
      <c r="C18" s="15" t="str">
        <f t="shared" si="1"/>
        <v>AIBHP9</v>
      </c>
      <c r="D18" s="5" t="s">
        <v>46</v>
      </c>
      <c r="E18" s="14" t="s">
        <v>51</v>
      </c>
      <c r="F18" s="15" t="s">
        <v>52</v>
      </c>
      <c r="G18" s="15" t="s">
        <v>64</v>
      </c>
      <c r="H18" s="17">
        <v>6</v>
      </c>
      <c r="I18" s="14" t="s">
        <v>49</v>
      </c>
      <c r="J18" s="19">
        <v>1</v>
      </c>
      <c r="K18" s="16" t="s">
        <v>54</v>
      </c>
    </row>
    <row r="19" spans="1:11" customFormat="1" ht="13.9">
      <c r="A19" s="14"/>
      <c r="B19" s="15" t="s">
        <v>53</v>
      </c>
      <c r="C19" s="15" t="str">
        <f t="shared" si="1"/>
        <v>AIBHP10</v>
      </c>
      <c r="D19" s="5" t="s">
        <v>46</v>
      </c>
      <c r="E19" s="14" t="s">
        <v>51</v>
      </c>
      <c r="F19" s="15" t="s">
        <v>52</v>
      </c>
      <c r="G19" s="15" t="s">
        <v>65</v>
      </c>
      <c r="H19" s="17">
        <v>6</v>
      </c>
      <c r="I19" s="14" t="s">
        <v>49</v>
      </c>
      <c r="J19" s="19">
        <v>1</v>
      </c>
      <c r="K19" s="16" t="s">
        <v>54</v>
      </c>
    </row>
    <row r="20" spans="1:11" customFormat="1" ht="13.9">
      <c r="A20" s="14"/>
      <c r="B20" s="15" t="s">
        <v>53</v>
      </c>
      <c r="C20" s="15" t="str">
        <f t="shared" si="1"/>
        <v>AIBHP11</v>
      </c>
      <c r="D20" s="5" t="s">
        <v>46</v>
      </c>
      <c r="E20" s="14" t="s">
        <v>51</v>
      </c>
      <c r="F20" s="15" t="s">
        <v>52</v>
      </c>
      <c r="G20" s="15" t="s">
        <v>66</v>
      </c>
      <c r="H20" s="17">
        <v>6</v>
      </c>
      <c r="I20" s="14" t="s">
        <v>49</v>
      </c>
      <c r="J20" s="19">
        <v>1</v>
      </c>
      <c r="K20" s="16" t="s">
        <v>54</v>
      </c>
    </row>
    <row r="21" spans="1:11" customFormat="1" ht="13.9">
      <c r="A21" s="14"/>
      <c r="B21" s="15" t="s">
        <v>53</v>
      </c>
      <c r="C21" s="15" t="str">
        <f t="shared" si="1"/>
        <v>AIBHP12</v>
      </c>
      <c r="D21" s="5" t="s">
        <v>46</v>
      </c>
      <c r="E21" s="14" t="s">
        <v>51</v>
      </c>
      <c r="F21" s="15" t="s">
        <v>52</v>
      </c>
      <c r="G21" s="15" t="s">
        <v>67</v>
      </c>
      <c r="H21" s="17">
        <v>6</v>
      </c>
      <c r="I21" s="14" t="s">
        <v>49</v>
      </c>
      <c r="J21" s="19">
        <v>1</v>
      </c>
      <c r="K21" s="16" t="s">
        <v>54</v>
      </c>
    </row>
    <row r="22" spans="1:11" customFormat="1" ht="13.9">
      <c r="A22" s="14"/>
      <c r="B22" s="15" t="s">
        <v>53</v>
      </c>
      <c r="C22" s="15" t="str">
        <f t="shared" si="1"/>
        <v>AIBHP13</v>
      </c>
      <c r="D22" s="5" t="s">
        <v>46</v>
      </c>
      <c r="E22" s="14" t="s">
        <v>51</v>
      </c>
      <c r="F22" s="15" t="s">
        <v>52</v>
      </c>
      <c r="G22" s="15" t="s">
        <v>68</v>
      </c>
      <c r="H22" s="17">
        <v>6</v>
      </c>
      <c r="I22" s="14" t="s">
        <v>49</v>
      </c>
      <c r="J22" s="19">
        <v>1</v>
      </c>
      <c r="K22" s="16" t="s">
        <v>54</v>
      </c>
    </row>
    <row r="23" spans="1:11" customFormat="1" ht="13.9">
      <c r="A23" s="14"/>
      <c r="B23" s="15" t="s">
        <v>53</v>
      </c>
      <c r="C23" s="15" t="str">
        <f t="shared" si="1"/>
        <v>AIBHP14</v>
      </c>
      <c r="D23" s="5" t="s">
        <v>46</v>
      </c>
      <c r="E23" s="14" t="s">
        <v>51</v>
      </c>
      <c r="F23" s="15" t="s">
        <v>52</v>
      </c>
      <c r="G23" s="15" t="s">
        <v>69</v>
      </c>
      <c r="H23" s="17">
        <v>6</v>
      </c>
      <c r="I23" s="14" t="s">
        <v>49</v>
      </c>
      <c r="J23" s="19">
        <v>1</v>
      </c>
      <c r="K23" s="16" t="s">
        <v>54</v>
      </c>
    </row>
    <row r="24" spans="1:11" customFormat="1" ht="13.9">
      <c r="A24" s="14"/>
      <c r="B24" s="15" t="s">
        <v>53</v>
      </c>
      <c r="C24" s="15" t="str">
        <f t="shared" si="1"/>
        <v>AIBHP15</v>
      </c>
      <c r="D24" s="5" t="s">
        <v>46</v>
      </c>
      <c r="E24" s="14" t="s">
        <v>51</v>
      </c>
      <c r="F24" s="15" t="s">
        <v>52</v>
      </c>
      <c r="G24" s="15" t="s">
        <v>70</v>
      </c>
      <c r="H24" s="17">
        <v>6</v>
      </c>
      <c r="I24" s="14" t="s">
        <v>49</v>
      </c>
      <c r="J24" s="19">
        <v>1</v>
      </c>
      <c r="K24" s="16" t="s">
        <v>54</v>
      </c>
    </row>
    <row r="25" spans="1:11" customFormat="1" ht="13.9">
      <c r="A25" s="14"/>
      <c r="B25" s="15" t="s">
        <v>53</v>
      </c>
      <c r="C25" s="15" t="str">
        <f t="shared" si="1"/>
        <v>AIBHP16</v>
      </c>
      <c r="D25" s="5" t="s">
        <v>46</v>
      </c>
      <c r="E25" s="14" t="s">
        <v>51</v>
      </c>
      <c r="F25" s="15" t="s">
        <v>52</v>
      </c>
      <c r="G25" s="15" t="s">
        <v>71</v>
      </c>
      <c r="H25" s="17">
        <v>6</v>
      </c>
      <c r="I25" s="14" t="s">
        <v>49</v>
      </c>
      <c r="J25" s="19">
        <v>1</v>
      </c>
      <c r="K25" s="16" t="s">
        <v>54</v>
      </c>
    </row>
    <row r="26" spans="1:11" customFormat="1" ht="13.9">
      <c r="A26" s="14"/>
      <c r="B26" s="15" t="s">
        <v>53</v>
      </c>
      <c r="C26" s="15" t="str">
        <f t="shared" si="1"/>
        <v>AIBHP17</v>
      </c>
      <c r="D26" s="5" t="s">
        <v>46</v>
      </c>
      <c r="E26" s="14" t="s">
        <v>51</v>
      </c>
      <c r="F26" s="15" t="s">
        <v>52</v>
      </c>
      <c r="G26" s="15" t="s">
        <v>72</v>
      </c>
      <c r="H26" s="17">
        <v>6</v>
      </c>
      <c r="I26" s="14" t="s">
        <v>49</v>
      </c>
      <c r="J26" s="19">
        <v>1</v>
      </c>
      <c r="K26" s="16" t="s">
        <v>54</v>
      </c>
    </row>
    <row r="27" spans="1:11" customFormat="1" ht="13.9">
      <c r="A27" s="14"/>
      <c r="B27" s="15" t="s">
        <v>53</v>
      </c>
      <c r="C27" s="15" t="str">
        <f t="shared" si="1"/>
        <v>AIBHP18</v>
      </c>
      <c r="D27" s="5" t="s">
        <v>46</v>
      </c>
      <c r="E27" s="14" t="s">
        <v>51</v>
      </c>
      <c r="F27" s="15" t="s">
        <v>52</v>
      </c>
      <c r="G27" s="15" t="s">
        <v>73</v>
      </c>
      <c r="H27" s="17">
        <v>6</v>
      </c>
      <c r="I27" s="14" t="s">
        <v>49</v>
      </c>
      <c r="J27" s="19">
        <v>1</v>
      </c>
      <c r="K27" s="16" t="s">
        <v>54</v>
      </c>
    </row>
    <row r="28" spans="1:11" customFormat="1" ht="13.9">
      <c r="A28" s="14"/>
      <c r="B28" s="15" t="s">
        <v>53</v>
      </c>
      <c r="C28" s="15" t="str">
        <f t="shared" si="1"/>
        <v>AIBHP19</v>
      </c>
      <c r="D28" s="5" t="s">
        <v>46</v>
      </c>
      <c r="E28" s="14" t="s">
        <v>51</v>
      </c>
      <c r="F28" s="15" t="s">
        <v>52</v>
      </c>
      <c r="G28" s="15" t="s">
        <v>74</v>
      </c>
      <c r="H28" s="17">
        <v>6</v>
      </c>
      <c r="I28" s="14" t="s">
        <v>49</v>
      </c>
      <c r="J28" s="19">
        <v>1</v>
      </c>
      <c r="K28" s="16" t="s">
        <v>54</v>
      </c>
    </row>
    <row r="29" spans="1:11" customFormat="1" ht="13.9">
      <c r="A29" s="14"/>
      <c r="B29" s="15" t="s">
        <v>53</v>
      </c>
      <c r="C29" s="15" t="str">
        <f t="shared" si="1"/>
        <v>AIBHP20</v>
      </c>
      <c r="D29" s="5" t="s">
        <v>46</v>
      </c>
      <c r="E29" s="14" t="s">
        <v>51</v>
      </c>
      <c r="F29" s="15" t="s">
        <v>52</v>
      </c>
      <c r="G29" s="15" t="s">
        <v>75</v>
      </c>
      <c r="H29" s="17">
        <v>6</v>
      </c>
      <c r="I29" s="14" t="s">
        <v>49</v>
      </c>
      <c r="J29" s="19">
        <v>1</v>
      </c>
      <c r="K29" s="16" t="s">
        <v>54</v>
      </c>
    </row>
    <row r="30" spans="1:11" customFormat="1" ht="13.9">
      <c r="A30" s="14"/>
      <c r="B30" s="15" t="s">
        <v>53</v>
      </c>
      <c r="C30" s="15" t="str">
        <f t="shared" si="1"/>
        <v>AIBHP21</v>
      </c>
      <c r="D30" s="5" t="s">
        <v>46</v>
      </c>
      <c r="E30" s="14" t="s">
        <v>51</v>
      </c>
      <c r="F30" s="15" t="s">
        <v>52</v>
      </c>
      <c r="G30" s="15" t="s">
        <v>76</v>
      </c>
      <c r="H30" s="17">
        <v>6</v>
      </c>
      <c r="I30" s="14" t="s">
        <v>49</v>
      </c>
      <c r="J30" s="19">
        <v>1</v>
      </c>
      <c r="K30" s="16" t="s">
        <v>54</v>
      </c>
    </row>
    <row r="31" spans="1:11" customFormat="1" ht="13.9">
      <c r="A31" s="14"/>
      <c r="B31" s="15" t="s">
        <v>53</v>
      </c>
      <c r="C31" s="15" t="str">
        <f t="shared" si="1"/>
        <v>AIBHP22</v>
      </c>
      <c r="D31" s="5" t="s">
        <v>46</v>
      </c>
      <c r="E31" s="14" t="s">
        <v>51</v>
      </c>
      <c r="F31" s="15" t="s">
        <v>52</v>
      </c>
      <c r="G31" s="15" t="s">
        <v>77</v>
      </c>
      <c r="H31" s="17">
        <v>6</v>
      </c>
      <c r="I31" s="14" t="s">
        <v>49</v>
      </c>
      <c r="J31" s="19">
        <v>1</v>
      </c>
      <c r="K31" s="16" t="s">
        <v>54</v>
      </c>
    </row>
    <row r="32" spans="1:11" customFormat="1" ht="13.9">
      <c r="A32" s="14"/>
      <c r="B32" s="15" t="s">
        <v>53</v>
      </c>
      <c r="C32" s="15" t="str">
        <f t="shared" si="1"/>
        <v>AIBHP23</v>
      </c>
      <c r="D32" s="5" t="s">
        <v>46</v>
      </c>
      <c r="E32" s="14" t="s">
        <v>51</v>
      </c>
      <c r="F32" s="15" t="s">
        <v>52</v>
      </c>
      <c r="G32" s="15" t="s">
        <v>78</v>
      </c>
      <c r="H32" s="17">
        <v>6</v>
      </c>
      <c r="I32" s="14" t="s">
        <v>49</v>
      </c>
      <c r="J32" s="19">
        <v>1</v>
      </c>
      <c r="K32" s="16" t="s">
        <v>54</v>
      </c>
    </row>
    <row r="33" spans="1:16" customFormat="1" ht="13.9">
      <c r="A33" s="14"/>
      <c r="B33" s="15" t="s">
        <v>53</v>
      </c>
      <c r="C33" s="15" t="str">
        <f t="shared" si="1"/>
        <v>AIBHP24</v>
      </c>
      <c r="D33" s="5" t="s">
        <v>46</v>
      </c>
      <c r="E33" s="14" t="s">
        <v>51</v>
      </c>
      <c r="F33" s="15" t="s">
        <v>52</v>
      </c>
      <c r="G33" s="15" t="s">
        <v>79</v>
      </c>
      <c r="H33" s="17">
        <v>6</v>
      </c>
      <c r="I33" s="14" t="s">
        <v>49</v>
      </c>
      <c r="J33" s="19">
        <v>1</v>
      </c>
      <c r="K33" s="16" t="s">
        <v>54</v>
      </c>
    </row>
    <row r="34" spans="1:16" customFormat="1" ht="13.9">
      <c r="A34" s="14"/>
      <c r="B34" s="15" t="s">
        <v>53</v>
      </c>
      <c r="C34" s="15" t="str">
        <f t="shared" si="1"/>
        <v xml:space="preserve">AIBHTP1 </v>
      </c>
      <c r="D34" s="5" t="s">
        <v>46</v>
      </c>
      <c r="E34" s="14" t="s">
        <v>51</v>
      </c>
      <c r="F34" s="15" t="s">
        <v>52</v>
      </c>
      <c r="G34" s="15" t="s">
        <v>80</v>
      </c>
      <c r="H34" s="17">
        <v>6</v>
      </c>
      <c r="I34" s="14" t="s">
        <v>49</v>
      </c>
      <c r="J34" s="19">
        <v>1</v>
      </c>
      <c r="K34" s="16" t="s">
        <v>54</v>
      </c>
    </row>
    <row r="35" spans="1:16" customFormat="1" ht="13.9">
      <c r="A35" s="14"/>
      <c r="B35" s="15" t="s">
        <v>53</v>
      </c>
      <c r="C35" s="15" t="str">
        <f t="shared" si="1"/>
        <v>AIBHTP2</v>
      </c>
      <c r="D35" s="5" t="s">
        <v>46</v>
      </c>
      <c r="E35" s="14" t="s">
        <v>51</v>
      </c>
      <c r="F35" s="15" t="s">
        <v>52</v>
      </c>
      <c r="G35" s="15" t="s">
        <v>81</v>
      </c>
      <c r="H35" s="17">
        <v>6</v>
      </c>
      <c r="I35" s="14" t="s">
        <v>49</v>
      </c>
      <c r="J35" s="19">
        <v>1</v>
      </c>
      <c r="K35" s="16" t="s">
        <v>54</v>
      </c>
    </row>
    <row r="36" spans="1:16" customFormat="1" ht="13.9">
      <c r="A36" s="14"/>
      <c r="B36" s="15"/>
      <c r="C36" s="15" t="str">
        <f t="shared" si="1"/>
        <v/>
      </c>
      <c r="D36" s="5"/>
      <c r="E36" s="14"/>
      <c r="F36" s="15"/>
      <c r="G36" s="15"/>
      <c r="H36" s="17"/>
      <c r="I36" s="14"/>
    </row>
    <row r="37" spans="1:16">
      <c r="A37" s="15"/>
      <c r="B37" s="15" t="s">
        <v>50</v>
      </c>
      <c r="C37" s="15" t="str">
        <f t="shared" si="1"/>
        <v>AIL</v>
      </c>
      <c r="D37" s="5" t="s">
        <v>46</v>
      </c>
      <c r="E37" s="15" t="s">
        <v>51</v>
      </c>
      <c r="F37" s="15" t="s">
        <v>82</v>
      </c>
      <c r="G37" s="15"/>
      <c r="H37" s="17">
        <v>56</v>
      </c>
      <c r="I37" s="14" t="s">
        <v>49</v>
      </c>
      <c r="J37" s="19">
        <v>0</v>
      </c>
      <c r="K37" s="14" t="s">
        <v>54</v>
      </c>
      <c r="M37" s="20"/>
      <c r="N37" s="20"/>
      <c r="O37" s="20"/>
      <c r="P37" s="20"/>
    </row>
    <row r="38" spans="1:16" customFormat="1" ht="13.9"/>
    <row r="39" spans="1:16" customFormat="1" ht="13.9"/>
    <row r="40" spans="1:16" customFormat="1" ht="13.9"/>
    <row r="41" spans="1:16" customFormat="1" ht="13.9"/>
    <row r="42" spans="1:16" customFormat="1" ht="13.9"/>
    <row r="43" spans="1:16" customFormat="1" ht="13.9"/>
    <row r="44" spans="1:16" customFormat="1" ht="13.9"/>
    <row r="45" spans="1:16" customFormat="1" ht="13.9"/>
    <row r="46" spans="1:16" customFormat="1" ht="13.9"/>
    <row r="47" spans="1:16" customFormat="1" ht="13.9"/>
    <row r="48" spans="1:16" customFormat="1" ht="13.9"/>
    <row r="49" customFormat="1" ht="13.9"/>
    <row r="50" customFormat="1" ht="13.9"/>
    <row r="51" customFormat="1" ht="13.9"/>
    <row r="52" customFormat="1" ht="13.9"/>
    <row r="53" customFormat="1" ht="13.9"/>
    <row r="54" customFormat="1" ht="13.9"/>
    <row r="55" customFormat="1" ht="13.9"/>
    <row r="56" customFormat="1" ht="13.9"/>
    <row r="57" customFormat="1" ht="13.9"/>
    <row r="58" customFormat="1" ht="13.9"/>
    <row r="59" customFormat="1" ht="13.9"/>
    <row r="60" customFormat="1" ht="13.9"/>
    <row r="61" customFormat="1" ht="13.9"/>
    <row r="62" customFormat="1" ht="13.9"/>
    <row r="63" customFormat="1" ht="13.9"/>
    <row r="64" customFormat="1" ht="13.9"/>
    <row r="65" customFormat="1" ht="13.9"/>
    <row r="66" customFormat="1" ht="13.9"/>
    <row r="67" customFormat="1" ht="13.9"/>
    <row r="68" customFormat="1" ht="13.9"/>
    <row r="69" customFormat="1" ht="13.9"/>
    <row r="70" customFormat="1" ht="13.9"/>
    <row r="71" customFormat="1" ht="13.9"/>
    <row r="72" customFormat="1" ht="14.25" customHeight="1"/>
    <row r="73" customFormat="1" ht="13.9"/>
    <row r="74" customFormat="1" ht="13.9"/>
    <row r="75" customFormat="1" ht="13.9"/>
    <row r="76" customFormat="1" ht="13.9"/>
    <row r="77" customFormat="1" ht="13.9"/>
    <row r="78" customFormat="1" ht="13.9"/>
    <row r="79" customFormat="1" ht="13.9"/>
    <row r="80" customFormat="1" ht="13.9"/>
    <row r="81" customFormat="1" ht="13.9"/>
    <row r="82" customFormat="1" ht="13.9"/>
    <row r="83" customFormat="1" ht="13.9"/>
    <row r="84" customFormat="1" ht="13.9"/>
    <row r="85" customFormat="1" ht="13.9"/>
    <row r="86" customFormat="1" ht="13.9"/>
    <row r="87" customFormat="1" ht="13.9"/>
    <row r="88" customFormat="1" ht="13.9"/>
    <row r="89" customFormat="1" ht="13.9"/>
    <row r="90" customFormat="1" ht="13.9"/>
    <row r="91" customFormat="1" ht="13.9"/>
    <row r="92" customFormat="1" ht="13.9"/>
    <row r="93" customFormat="1" ht="13.9"/>
    <row r="94" customFormat="1" ht="13.9"/>
    <row r="95" customFormat="1" ht="13.9"/>
    <row r="96" customFormat="1" ht="13.9"/>
    <row r="97" customFormat="1" ht="13.9"/>
    <row r="98" customFormat="1" ht="13.9"/>
    <row r="99" customFormat="1" ht="13.9"/>
    <row r="100" customFormat="1" ht="13.9"/>
    <row r="101" customFormat="1" ht="13.9"/>
    <row r="102" customFormat="1" ht="13.9"/>
    <row r="103" customFormat="1" ht="13.9"/>
    <row r="104" customFormat="1" ht="13.9"/>
    <row r="105" customFormat="1" ht="13.9"/>
    <row r="106" customFormat="1" ht="13.9"/>
    <row r="107" customFormat="1" ht="13.9"/>
    <row r="108" customFormat="1" ht="13.9"/>
    <row r="109" customFormat="1" ht="13.9"/>
    <row r="110" customFormat="1" ht="13.9"/>
    <row r="111" customFormat="1" ht="13.9"/>
    <row r="112" customFormat="1" ht="13.9"/>
    <row r="113" customFormat="1" ht="13.9"/>
    <row r="114" customFormat="1" ht="13.9"/>
    <row r="115" customFormat="1" ht="13.9"/>
    <row r="116" customFormat="1" ht="13.9"/>
    <row r="117" customFormat="1" ht="13.9"/>
    <row r="118" customFormat="1" ht="13.9"/>
    <row r="119" customFormat="1" ht="13.9"/>
    <row r="120" customFormat="1" ht="13.9"/>
    <row r="121" customFormat="1" ht="13.9"/>
    <row r="122" customFormat="1" ht="13.9"/>
    <row r="123" customFormat="1" ht="13.9"/>
    <row r="124" customFormat="1" ht="13.9"/>
    <row r="125" customFormat="1" ht="13.9"/>
    <row r="126" customFormat="1" ht="13.9"/>
    <row r="127" customFormat="1" ht="13.9"/>
    <row r="128" customFormat="1" ht="13.9"/>
    <row r="129" customFormat="1" ht="13.9"/>
    <row r="130" customFormat="1" ht="13.9"/>
    <row r="131" customFormat="1" ht="13.9"/>
    <row r="132" customFormat="1" ht="13.9"/>
    <row r="133" customFormat="1" ht="13.9"/>
    <row r="134" customFormat="1" ht="13.9"/>
    <row r="135" customFormat="1" ht="13.9"/>
    <row r="136" customFormat="1" ht="13.9"/>
    <row r="137" customFormat="1" ht="13.9"/>
    <row r="138" customFormat="1" ht="13.9"/>
    <row r="139" customFormat="1" ht="13.9"/>
    <row r="140" customFormat="1" ht="13.9"/>
    <row r="141" customFormat="1" ht="13.9"/>
    <row r="142" customFormat="1" ht="13.9"/>
    <row r="143" customFormat="1" ht="13.9"/>
    <row r="144" customFormat="1" ht="13.9"/>
    <row r="145" customFormat="1" ht="13.9"/>
    <row r="146" customFormat="1" ht="13.9"/>
    <row r="147" customFormat="1" ht="13.9"/>
    <row r="148" customFormat="1" ht="13.9"/>
    <row r="149" customFormat="1" ht="13.9"/>
    <row r="150" customFormat="1" ht="13.9"/>
    <row r="151" customFormat="1" ht="13.9"/>
    <row r="152" customFormat="1" ht="13.9"/>
    <row r="153" customFormat="1" ht="13.9"/>
    <row r="154" customFormat="1" ht="13.9"/>
    <row r="155" customFormat="1" ht="13.9"/>
    <row r="156" customFormat="1" ht="13.9"/>
    <row r="157" customFormat="1" ht="13.9"/>
    <row r="158" customFormat="1" ht="13.9"/>
    <row r="159" customFormat="1" ht="13.9"/>
    <row r="160" customFormat="1" ht="13.9"/>
    <row r="161" customFormat="1" ht="13.9"/>
    <row r="162" customFormat="1" ht="13.9"/>
    <row r="163" customFormat="1" ht="13.9"/>
    <row r="164" customFormat="1" ht="13.9"/>
    <row r="165" customFormat="1" ht="13.9"/>
    <row r="166" customFormat="1" ht="13.9"/>
    <row r="167" customFormat="1" ht="13.9"/>
    <row r="168" customFormat="1" ht="13.9"/>
    <row r="169" customFormat="1" ht="13.9"/>
    <row r="170" customFormat="1" ht="13.9"/>
    <row r="171" customFormat="1" ht="13.9"/>
    <row r="172" customFormat="1" ht="13.9"/>
    <row r="173" customFormat="1" ht="13.9"/>
    <row r="174" customFormat="1" ht="13.9"/>
    <row r="175" customFormat="1" ht="13.9"/>
    <row r="176" customFormat="1" ht="13.9"/>
    <row r="177" customFormat="1" ht="13.9"/>
    <row r="178" customFormat="1" ht="13.9"/>
    <row r="179" customFormat="1" ht="13.9"/>
    <row r="180" customFormat="1" ht="13.9"/>
    <row r="181" customFormat="1" ht="13.9"/>
    <row r="182" customFormat="1" ht="13.9"/>
    <row r="183" customFormat="1" ht="13.9"/>
    <row r="184" customFormat="1" ht="13.9"/>
    <row r="185" customFormat="1" ht="13.9"/>
    <row r="186" customFormat="1" ht="13.9"/>
    <row r="187" customFormat="1" ht="13.9"/>
    <row r="188" customFormat="1" ht="13.9"/>
    <row r="189" customFormat="1" ht="13.9"/>
    <row r="190" customFormat="1" ht="13.9"/>
    <row r="191" customFormat="1" ht="13.9"/>
    <row r="192" customFormat="1" ht="13.9"/>
    <row r="193" spans="2:8" customFormat="1" ht="13.9"/>
    <row r="194" spans="2:8" customFormat="1" ht="13.9"/>
    <row r="195" spans="2:8" customFormat="1" ht="13.9"/>
    <row r="196" spans="2:8" customFormat="1" ht="13.9"/>
    <row r="197" spans="2:8" customFormat="1" ht="13.9"/>
    <row r="198" spans="2:8" customFormat="1" ht="13.9"/>
    <row r="199" spans="2:8" customFormat="1" ht="13.9"/>
    <row r="200" spans="2:8" customFormat="1" ht="13.9"/>
    <row r="201" spans="2:8" customFormat="1" ht="13.9"/>
    <row r="202" spans="2:8" customFormat="1" ht="13.9"/>
    <row r="203" spans="2:8" customFormat="1" ht="13.9"/>
    <row r="204" spans="2:8" customFormat="1" ht="13.9"/>
    <row r="205" spans="2:8" customFormat="1" ht="13.9"/>
    <row r="206" spans="2:8">
      <c r="B206" s="15"/>
      <c r="H206" s="17"/>
    </row>
    <row r="207" spans="2:8">
      <c r="B207" s="15"/>
      <c r="H207" s="17"/>
    </row>
    <row r="208" spans="2:8">
      <c r="B208" s="15"/>
      <c r="H208" s="17"/>
    </row>
    <row r="209" spans="2:8">
      <c r="B209" s="15"/>
      <c r="H209" s="17"/>
    </row>
    <row r="210" spans="2:8">
      <c r="B210" s="15"/>
      <c r="H210" s="17"/>
    </row>
    <row r="211" spans="2:8">
      <c r="B211" s="15"/>
      <c r="H211" s="17"/>
    </row>
    <row r="212" spans="2:8">
      <c r="B212" s="15"/>
      <c r="H212" s="17"/>
    </row>
    <row r="213" spans="2:8">
      <c r="B213" s="15"/>
      <c r="H213" s="17"/>
    </row>
    <row r="214" spans="2:8">
      <c r="B214" s="15"/>
      <c r="H214" s="17"/>
    </row>
    <row r="215" spans="2:8">
      <c r="B215" s="15"/>
      <c r="H215" s="17"/>
    </row>
    <row r="216" spans="2:8">
      <c r="B216" s="15"/>
      <c r="H216" s="17"/>
    </row>
    <row r="217" spans="2:8">
      <c r="B217" s="15"/>
      <c r="H217" s="17"/>
    </row>
    <row r="218" spans="2:8">
      <c r="B218" s="15"/>
      <c r="H218" s="17"/>
    </row>
    <row r="219" spans="2:8">
      <c r="B219" s="15"/>
      <c r="H219" s="18"/>
    </row>
    <row r="220" spans="2:8">
      <c r="B220" s="15"/>
      <c r="H220" s="18"/>
    </row>
    <row r="221" spans="2:8">
      <c r="B221" s="15"/>
      <c r="H221" s="18"/>
    </row>
    <row r="222" spans="2:8">
      <c r="B222" s="15"/>
      <c r="H222" s="18"/>
    </row>
    <row r="223" spans="2:8">
      <c r="B223" s="15"/>
      <c r="H223" s="18"/>
    </row>
    <row r="224" spans="2:8">
      <c r="B224" s="15"/>
      <c r="H224" s="18"/>
    </row>
    <row r="225" spans="2:8">
      <c r="B225" s="15"/>
      <c r="H225" s="18"/>
    </row>
    <row r="226" spans="2:8">
      <c r="B226" s="15"/>
      <c r="H226" s="18"/>
    </row>
    <row r="227" spans="2:8">
      <c r="B227" s="15"/>
      <c r="H227" s="18"/>
    </row>
    <row r="228" spans="2:8">
      <c r="B228" s="15"/>
      <c r="H228" s="18"/>
    </row>
    <row r="229" spans="2:8">
      <c r="B229" s="15"/>
      <c r="H229" s="18"/>
    </row>
    <row r="230" spans="2:8">
      <c r="B230" s="15"/>
      <c r="H230" s="18"/>
    </row>
    <row r="231" spans="2:8">
      <c r="B231" s="15"/>
      <c r="H231" s="18"/>
    </row>
    <row r="232" spans="2:8">
      <c r="B232" s="15"/>
      <c r="H232" s="18"/>
    </row>
    <row r="233" spans="2:8">
      <c r="B233" s="15"/>
      <c r="H233" s="18"/>
    </row>
    <row r="234" spans="2:8">
      <c r="B234" s="15"/>
      <c r="H234" s="18"/>
    </row>
    <row r="235" spans="2:8">
      <c r="B235" s="15"/>
      <c r="H235" s="18"/>
    </row>
    <row r="236" spans="2:8">
      <c r="B236" s="15"/>
      <c r="H236" s="18"/>
    </row>
    <row r="237" spans="2:8">
      <c r="B237" s="15"/>
      <c r="H237" s="18"/>
    </row>
    <row r="238" spans="2:8">
      <c r="B238" s="15"/>
      <c r="H238" s="18"/>
    </row>
    <row r="239" spans="2:8">
      <c r="B239" s="15"/>
      <c r="H239" s="18"/>
    </row>
    <row r="240" spans="2:8">
      <c r="B240" s="15"/>
      <c r="H240" s="18"/>
    </row>
    <row r="241" spans="2:8">
      <c r="B241" s="15"/>
      <c r="H241" s="18"/>
    </row>
    <row r="242" spans="2:8">
      <c r="B242" s="15"/>
      <c r="H242" s="18"/>
    </row>
    <row r="243" spans="2:8">
      <c r="B243" s="15"/>
      <c r="H243" s="18"/>
    </row>
    <row r="244" spans="2:8">
      <c r="B244" s="15"/>
      <c r="H244" s="18"/>
    </row>
    <row r="245" spans="2:8">
      <c r="B245" s="15"/>
      <c r="H245" s="18"/>
    </row>
    <row r="246" spans="2:8">
      <c r="B246" s="15"/>
      <c r="H246" s="18"/>
    </row>
    <row r="247" spans="2:8">
      <c r="B247" s="15"/>
      <c r="H247" s="18"/>
    </row>
    <row r="248" spans="2:8">
      <c r="B248" s="15"/>
      <c r="H248" s="18"/>
    </row>
    <row r="249" spans="2:8">
      <c r="B249" s="15"/>
      <c r="H249" s="18"/>
    </row>
    <row r="250" spans="2:8">
      <c r="B250" s="15"/>
      <c r="H250" s="18"/>
    </row>
    <row r="251" spans="2:8">
      <c r="B251" s="15"/>
      <c r="H251" s="18"/>
    </row>
    <row r="252" spans="2:8">
      <c r="B252" s="15"/>
      <c r="H252" s="18"/>
    </row>
    <row r="253" spans="2:8">
      <c r="B253" s="15"/>
      <c r="H253" s="18"/>
    </row>
    <row r="254" spans="2:8">
      <c r="B254" s="15"/>
      <c r="H254" s="18"/>
    </row>
    <row r="255" spans="2:8">
      <c r="B255" s="15"/>
      <c r="H255" s="18"/>
    </row>
    <row r="256" spans="2:8">
      <c r="B256" s="15"/>
      <c r="H256" s="18"/>
    </row>
    <row r="257" spans="2:8">
      <c r="B257" s="15"/>
      <c r="H257" s="18"/>
    </row>
    <row r="258" spans="2:8">
      <c r="B258" s="15"/>
      <c r="H258" s="18"/>
    </row>
    <row r="259" spans="2:8">
      <c r="B259" s="15"/>
      <c r="H259" s="18"/>
    </row>
    <row r="260" spans="2:8">
      <c r="B260" s="15"/>
      <c r="H260" s="18"/>
    </row>
    <row r="261" spans="2:8">
      <c r="B261" s="15"/>
      <c r="H261" s="18"/>
    </row>
    <row r="262" spans="2:8">
      <c r="B262" s="15"/>
      <c r="H262" s="18"/>
    </row>
    <row r="263" spans="2:8">
      <c r="B263" s="15"/>
      <c r="H263" s="18"/>
    </row>
    <row r="264" spans="2:8">
      <c r="B264" s="15"/>
      <c r="H264" s="18"/>
    </row>
    <row r="265" spans="2:8">
      <c r="B265" s="15"/>
      <c r="H265" s="18"/>
    </row>
    <row r="266" spans="2:8">
      <c r="B266" s="15"/>
      <c r="H266" s="18"/>
    </row>
    <row r="267" spans="2:8">
      <c r="B267" s="15"/>
      <c r="H267" s="18"/>
    </row>
    <row r="268" spans="2:8">
      <c r="B268" s="15"/>
      <c r="H268" s="18"/>
    </row>
    <row r="269" spans="2:8">
      <c r="B269" s="15"/>
      <c r="H269" s="18"/>
    </row>
    <row r="270" spans="2:8">
      <c r="B270" s="15"/>
      <c r="H270" s="18"/>
    </row>
    <row r="271" spans="2:8">
      <c r="B271" s="15"/>
      <c r="H271" s="18"/>
    </row>
    <row r="272" spans="2:8">
      <c r="B272" s="15"/>
      <c r="H272" s="18"/>
    </row>
    <row r="273" spans="2:8">
      <c r="B273" s="15"/>
      <c r="H273" s="18"/>
    </row>
    <row r="274" spans="2:8">
      <c r="B274" s="15"/>
      <c r="H274" s="18"/>
    </row>
    <row r="275" spans="2:8">
      <c r="B275" s="15"/>
      <c r="H275" s="18"/>
    </row>
    <row r="276" spans="2:8">
      <c r="B276" s="15"/>
      <c r="H276" s="18"/>
    </row>
    <row r="277" spans="2:8">
      <c r="B277" s="15"/>
      <c r="H277" s="18"/>
    </row>
    <row r="278" spans="2:8">
      <c r="B278" s="15"/>
      <c r="H278" s="18"/>
    </row>
    <row r="279" spans="2:8">
      <c r="B279" s="15"/>
      <c r="H279" s="18"/>
    </row>
    <row r="280" spans="2:8">
      <c r="B280" s="15"/>
      <c r="H280" s="18"/>
    </row>
    <row r="281" spans="2:8">
      <c r="B281" s="15"/>
      <c r="H281" s="18"/>
    </row>
    <row r="282" spans="2:8">
      <c r="B282" s="15"/>
      <c r="H282" s="18"/>
    </row>
    <row r="283" spans="2:8">
      <c r="B283" s="15"/>
      <c r="H283" s="18"/>
    </row>
    <row r="284" spans="2:8">
      <c r="B284" s="15"/>
      <c r="H284" s="18"/>
    </row>
    <row r="285" spans="2:8">
      <c r="B285" s="15"/>
      <c r="H285" s="18"/>
    </row>
    <row r="286" spans="2:8">
      <c r="B286" s="15"/>
      <c r="H286" s="18"/>
    </row>
    <row r="287" spans="2:8">
      <c r="B287" s="15"/>
      <c r="H287" s="18"/>
    </row>
    <row r="288" spans="2:8">
      <c r="B288" s="15"/>
      <c r="H288" s="18"/>
    </row>
    <row r="289" spans="2:8">
      <c r="B289" s="15"/>
      <c r="H289" s="18"/>
    </row>
    <row r="290" spans="2:8">
      <c r="B290" s="15"/>
      <c r="H290" s="18"/>
    </row>
    <row r="291" spans="2:8">
      <c r="B291" s="15"/>
      <c r="H291" s="18"/>
    </row>
    <row r="292" spans="2:8">
      <c r="B292" s="15"/>
      <c r="H292" s="18"/>
    </row>
    <row r="293" spans="2:8">
      <c r="B293" s="15"/>
      <c r="H293" s="18"/>
    </row>
    <row r="294" spans="2:8">
      <c r="B294" s="15"/>
      <c r="H294" s="18"/>
    </row>
    <row r="295" spans="2:8">
      <c r="B295" s="15"/>
      <c r="H295" s="18"/>
    </row>
    <row r="296" spans="2:8">
      <c r="B296" s="15"/>
      <c r="H296" s="18"/>
    </row>
    <row r="297" spans="2:8">
      <c r="B297" s="15"/>
      <c r="H297" s="18"/>
    </row>
    <row r="298" spans="2:8">
      <c r="B298" s="15"/>
      <c r="H298" s="18"/>
    </row>
    <row r="299" spans="2:8">
      <c r="B299" s="15"/>
      <c r="H299" s="18"/>
    </row>
    <row r="300" spans="2:8">
      <c r="B300" s="15"/>
      <c r="H300" s="18"/>
    </row>
    <row r="301" spans="2:8">
      <c r="B301" s="15"/>
      <c r="H301" s="18"/>
    </row>
    <row r="302" spans="2:8">
      <c r="B302" s="15"/>
      <c r="H302" s="18"/>
    </row>
    <row r="303" spans="2:8">
      <c r="B303" s="15"/>
      <c r="H303" s="18"/>
    </row>
    <row r="304" spans="2:8">
      <c r="B304" s="15"/>
      <c r="H304" s="18"/>
    </row>
    <row r="305" spans="2:8">
      <c r="B305" s="15"/>
      <c r="H305" s="18"/>
    </row>
    <row r="306" spans="2:8">
      <c r="B306" s="15"/>
      <c r="H306" s="18"/>
    </row>
    <row r="307" spans="2:8">
      <c r="B307" s="15"/>
      <c r="H307" s="18"/>
    </row>
    <row r="308" spans="2:8">
      <c r="B308" s="15"/>
      <c r="H308" s="18"/>
    </row>
    <row r="309" spans="2:8">
      <c r="B309" s="15"/>
      <c r="H309" s="18"/>
    </row>
    <row r="310" spans="2:8">
      <c r="B310" s="15"/>
      <c r="H310" s="18"/>
    </row>
    <row r="311" spans="2:8">
      <c r="B311" s="15"/>
      <c r="H311" s="18"/>
    </row>
    <row r="312" spans="2:8">
      <c r="B312" s="15"/>
      <c r="H312" s="18"/>
    </row>
    <row r="313" spans="2:8">
      <c r="B313" s="15"/>
      <c r="H313" s="18"/>
    </row>
    <row r="314" spans="2:8">
      <c r="B314" s="15"/>
      <c r="H314" s="18"/>
    </row>
    <row r="315" spans="2:8">
      <c r="B315" s="15"/>
      <c r="H315" s="18"/>
    </row>
    <row r="316" spans="2:8">
      <c r="B316" s="15"/>
    </row>
    <row r="317" spans="2:8">
      <c r="B317" s="15"/>
    </row>
    <row r="318" spans="2:8">
      <c r="B318" s="15"/>
    </row>
    <row r="319" spans="2:8">
      <c r="B319" s="15"/>
    </row>
    <row r="320" spans="2:8">
      <c r="B320" s="15"/>
    </row>
    <row r="321" spans="2:2">
      <c r="B321" s="15"/>
    </row>
    <row r="322" spans="2:2">
      <c r="B322" s="15"/>
    </row>
    <row r="323" spans="2:2">
      <c r="B323" s="15"/>
    </row>
    <row r="324" spans="2:2">
      <c r="B324" s="15"/>
    </row>
    <row r="325" spans="2:2">
      <c r="B325" s="15"/>
    </row>
    <row r="326" spans="2:2">
      <c r="B326" s="15"/>
    </row>
    <row r="327" spans="2:2">
      <c r="B327" s="15"/>
    </row>
    <row r="328" spans="2:2">
      <c r="B328" s="15"/>
    </row>
    <row r="329" spans="2:2">
      <c r="B329" s="15"/>
    </row>
    <row r="330" spans="2:2">
      <c r="B330" s="15"/>
    </row>
    <row r="331" spans="2:2">
      <c r="B331" s="15"/>
    </row>
    <row r="332" spans="2:2">
      <c r="B332" s="15"/>
    </row>
  </sheetData>
  <phoneticPr fontId="7" type="noConversion"/>
  <dataValidations disablePrompts="1" count="4">
    <dataValidation type="list" allowBlank="1" showInputMessage="1" showErrorMessage="1" sqref="B206:B332" xr:uid="{0080155E-4AF7-40A5-9815-38F983C54A35}">
      <formula1>"MAIN FARM, SHED, PEN, CAGE, STORE, QUARANTINE, SILO"</formula1>
    </dataValidation>
    <dataValidation type="list" allowBlank="1" showInputMessage="1" showErrorMessage="1" sqref="I206:I326 I5:I7 I9:I37" xr:uid="{51328115-0052-4394-BD3F-F207C3F7DA46}">
      <formula1>"M2-Square Meter, FT2-Square Foot, YD2- Square Yard, ACRE, HECTARE"</formula1>
    </dataValidation>
    <dataValidation type="list" allowBlank="1" showInputMessage="1" showErrorMessage="1" sqref="M5 L206:M271 L37 L5:L7 L9:L12" xr:uid="{6946AF22-594A-4933-8AAA-E235BF5CCC87}">
      <formula1>"STORE, SILO"</formula1>
    </dataValidation>
    <dataValidation type="list" allowBlank="1" showInputMessage="1" showErrorMessage="1" sqref="B5:B7 B9:B37" xr:uid="{2FA17349-C223-4530-8144-09D621618380}">
      <formula1>"MAIN FARM, SHED/HOUSE, PEN, CAGE, STORE, QUARANTINE, SILO"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16E9-0136-401A-B9B8-1B2A5BEE5ED6}">
  <dimension ref="A1:O326"/>
  <sheetViews>
    <sheetView workbookViewId="0">
      <selection activeCell="B40" sqref="B40"/>
    </sheetView>
  </sheetViews>
  <sheetFormatPr defaultColWidth="46.5703125" defaultRowHeight="12"/>
  <cols>
    <col min="1" max="1" width="10.85546875" style="14" bestFit="1" customWidth="1"/>
    <col min="2" max="2" width="14.140625" style="14" bestFit="1" customWidth="1"/>
    <col min="3" max="3" width="26.140625" style="14" bestFit="1" customWidth="1"/>
    <col min="4" max="4" width="11.42578125" style="14" bestFit="1" customWidth="1"/>
    <col min="5" max="5" width="35" style="14" bestFit="1" customWidth="1"/>
    <col min="6" max="6" width="12" style="14" customWidth="1"/>
    <col min="7" max="7" width="10.42578125" style="14" bestFit="1" customWidth="1"/>
    <col min="8" max="8" width="10" style="14" bestFit="1" customWidth="1"/>
    <col min="9" max="9" width="16" style="14" customWidth="1"/>
    <col min="10" max="10" width="15.5703125" style="14" customWidth="1"/>
    <col min="11" max="11" width="18.5703125" style="14" customWidth="1"/>
    <col min="12" max="12" width="12.140625" style="14" bestFit="1" customWidth="1"/>
    <col min="13" max="15" width="21.140625" style="14" customWidth="1"/>
    <col min="16" max="16384" width="46.5703125" style="14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 spans="1:15" ht="48">
      <c r="A2" s="1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7" t="s">
        <v>24</v>
      </c>
      <c r="J2" s="5" t="s">
        <v>25</v>
      </c>
      <c r="K2" s="7" t="s">
        <v>26</v>
      </c>
      <c r="L2" s="8" t="s">
        <v>27</v>
      </c>
      <c r="M2" s="6" t="s">
        <v>29</v>
      </c>
      <c r="N2" s="5" t="s">
        <v>30</v>
      </c>
      <c r="O2" s="6" t="s">
        <v>31</v>
      </c>
    </row>
    <row r="3" spans="1:15">
      <c r="A3" s="1" t="s">
        <v>33</v>
      </c>
      <c r="B3" s="5" t="s">
        <v>34</v>
      </c>
      <c r="C3" s="6" t="s">
        <v>35</v>
      </c>
      <c r="D3" s="5" t="s">
        <v>36</v>
      </c>
      <c r="E3" s="5" t="s">
        <v>37</v>
      </c>
      <c r="F3" s="15" t="s">
        <v>38</v>
      </c>
      <c r="G3" s="15" t="s">
        <v>39</v>
      </c>
      <c r="H3" s="5">
        <v>0.5</v>
      </c>
      <c r="I3" s="7" t="s">
        <v>40</v>
      </c>
      <c r="J3" s="5">
        <v>10000</v>
      </c>
      <c r="K3" s="7" t="s">
        <v>41</v>
      </c>
      <c r="M3" s="13">
        <v>2000</v>
      </c>
      <c r="N3" s="11">
        <v>3</v>
      </c>
      <c r="O3" s="13">
        <v>14</v>
      </c>
    </row>
    <row r="4" spans="1:15">
      <c r="A4" s="1" t="s">
        <v>42</v>
      </c>
      <c r="B4" s="9" t="s">
        <v>43</v>
      </c>
      <c r="C4" s="10" t="s">
        <v>43</v>
      </c>
      <c r="D4" s="9"/>
      <c r="E4" s="9" t="s">
        <v>43</v>
      </c>
      <c r="F4" s="9"/>
      <c r="G4" s="9"/>
      <c r="H4" s="11" t="s">
        <v>44</v>
      </c>
      <c r="I4" s="12" t="s">
        <v>44</v>
      </c>
      <c r="J4" s="11" t="s">
        <v>43</v>
      </c>
      <c r="K4" s="12" t="s">
        <v>43</v>
      </c>
      <c r="M4" s="13" t="s">
        <v>43</v>
      </c>
      <c r="N4" s="11" t="s">
        <v>43</v>
      </c>
      <c r="O4" s="13" t="s">
        <v>44</v>
      </c>
    </row>
    <row r="5" spans="1:15">
      <c r="A5" s="15"/>
      <c r="B5" s="15"/>
      <c r="C5" s="15"/>
      <c r="D5" s="15"/>
      <c r="E5" s="15"/>
      <c r="F5" s="15"/>
      <c r="G5" s="15"/>
    </row>
    <row r="6" spans="1:15">
      <c r="A6" s="15"/>
      <c r="B6" s="15" t="s">
        <v>45</v>
      </c>
      <c r="C6" s="15"/>
      <c r="D6" s="5" t="s">
        <v>36</v>
      </c>
      <c r="E6" s="15" t="s">
        <v>83</v>
      </c>
      <c r="F6" s="15" t="s">
        <v>84</v>
      </c>
      <c r="G6" s="15" t="s">
        <v>85</v>
      </c>
      <c r="H6" s="17">
        <v>42.7</v>
      </c>
      <c r="I6" s="14" t="s">
        <v>49</v>
      </c>
      <c r="J6" s="19">
        <v>50.235294117647065</v>
      </c>
      <c r="M6" s="23">
        <v>5800</v>
      </c>
      <c r="N6" s="23">
        <v>2</v>
      </c>
      <c r="O6" s="23">
        <v>4</v>
      </c>
    </row>
    <row r="7" spans="1:15">
      <c r="B7" s="15"/>
      <c r="D7" s="5" t="s">
        <v>36</v>
      </c>
      <c r="F7" s="15" t="s">
        <v>84</v>
      </c>
      <c r="G7" s="15" t="s">
        <v>86</v>
      </c>
      <c r="H7" s="17">
        <v>42.7</v>
      </c>
      <c r="I7" s="14" t="s">
        <v>49</v>
      </c>
      <c r="J7" s="19">
        <v>50.235294117647065</v>
      </c>
      <c r="M7" s="23"/>
      <c r="N7" s="23"/>
      <c r="O7" s="23"/>
    </row>
    <row r="8" spans="1:15">
      <c r="B8" s="15"/>
      <c r="D8" s="5" t="s">
        <v>36</v>
      </c>
      <c r="F8" s="15" t="s">
        <v>84</v>
      </c>
      <c r="G8" s="15" t="s">
        <v>87</v>
      </c>
      <c r="H8" s="17">
        <v>42.7</v>
      </c>
      <c r="I8" s="14" t="s">
        <v>49</v>
      </c>
      <c r="J8" s="19">
        <v>50.235294117647065</v>
      </c>
      <c r="M8" s="23"/>
      <c r="N8" s="23"/>
      <c r="O8" s="23"/>
    </row>
    <row r="9" spans="1:15">
      <c r="B9" s="15"/>
      <c r="D9" s="5" t="s">
        <v>36</v>
      </c>
      <c r="F9" s="15" t="s">
        <v>84</v>
      </c>
      <c r="G9" s="15" t="s">
        <v>88</v>
      </c>
      <c r="H9" s="17">
        <v>42.7</v>
      </c>
      <c r="I9" s="14" t="s">
        <v>49</v>
      </c>
      <c r="J9" s="19">
        <v>50.235294117647065</v>
      </c>
      <c r="M9" s="23"/>
      <c r="N9" s="23"/>
      <c r="O9" s="23"/>
    </row>
    <row r="10" spans="1:15">
      <c r="B10" s="15"/>
      <c r="D10" s="5" t="s">
        <v>36</v>
      </c>
      <c r="F10" s="15" t="s">
        <v>84</v>
      </c>
      <c r="G10" s="15" t="s">
        <v>89</v>
      </c>
      <c r="H10" s="17">
        <v>42.7</v>
      </c>
      <c r="I10" s="14" t="s">
        <v>49</v>
      </c>
      <c r="J10" s="19">
        <v>50.235294117647065</v>
      </c>
      <c r="M10" s="23"/>
      <c r="N10" s="23"/>
      <c r="O10" s="23"/>
    </row>
    <row r="11" spans="1:15">
      <c r="B11" s="15"/>
      <c r="D11" s="5" t="s">
        <v>36</v>
      </c>
      <c r="F11" s="15" t="s">
        <v>84</v>
      </c>
      <c r="G11" s="15" t="s">
        <v>90</v>
      </c>
      <c r="H11" s="17">
        <v>42.7</v>
      </c>
      <c r="I11" s="14" t="s">
        <v>49</v>
      </c>
      <c r="J11" s="19">
        <v>50.235294117647065</v>
      </c>
      <c r="M11" s="23"/>
      <c r="N11" s="23"/>
      <c r="O11" s="23"/>
    </row>
    <row r="12" spans="1:15">
      <c r="B12" s="15"/>
      <c r="D12" s="5" t="s">
        <v>36</v>
      </c>
      <c r="F12" s="15" t="s">
        <v>84</v>
      </c>
      <c r="G12" s="15" t="s">
        <v>91</v>
      </c>
      <c r="H12" s="17">
        <v>42.7</v>
      </c>
      <c r="I12" s="14" t="s">
        <v>49</v>
      </c>
      <c r="J12" s="19">
        <v>50.235294117647065</v>
      </c>
      <c r="M12" s="23"/>
      <c r="N12" s="23"/>
      <c r="O12" s="23"/>
    </row>
    <row r="13" spans="1:15">
      <c r="B13" s="15"/>
      <c r="D13" s="5" t="s">
        <v>36</v>
      </c>
      <c r="F13" s="15" t="s">
        <v>84</v>
      </c>
      <c r="G13" s="15" t="s">
        <v>92</v>
      </c>
      <c r="H13" s="17">
        <v>42.7</v>
      </c>
      <c r="I13" s="14" t="s">
        <v>49</v>
      </c>
      <c r="J13" s="19">
        <v>50.235294117647065</v>
      </c>
      <c r="M13" s="23"/>
      <c r="N13" s="23"/>
      <c r="O13" s="23"/>
    </row>
    <row r="14" spans="1:15">
      <c r="B14" s="15"/>
      <c r="D14" s="5" t="s">
        <v>36</v>
      </c>
      <c r="F14" s="15" t="s">
        <v>84</v>
      </c>
      <c r="G14" s="15" t="s">
        <v>93</v>
      </c>
      <c r="H14" s="17">
        <v>42.7</v>
      </c>
      <c r="I14" s="14" t="s">
        <v>49</v>
      </c>
      <c r="J14" s="19">
        <v>50.235294117647065</v>
      </c>
      <c r="M14" s="23"/>
      <c r="N14" s="23"/>
      <c r="O14" s="23"/>
    </row>
    <row r="15" spans="1:15">
      <c r="B15" s="15"/>
      <c r="D15" s="5" t="s">
        <v>36</v>
      </c>
      <c r="F15" s="15" t="s">
        <v>84</v>
      </c>
      <c r="G15" s="15" t="s">
        <v>94</v>
      </c>
      <c r="H15" s="17">
        <v>42.7</v>
      </c>
      <c r="I15" s="14" t="s">
        <v>49</v>
      </c>
      <c r="J15" s="19">
        <v>50.235294117647065</v>
      </c>
      <c r="M15" s="23"/>
      <c r="N15" s="23"/>
      <c r="O15" s="23"/>
    </row>
    <row r="16" spans="1:15">
      <c r="B16" s="15"/>
      <c r="D16" s="5" t="s">
        <v>36</v>
      </c>
      <c r="F16" s="15" t="s">
        <v>84</v>
      </c>
      <c r="G16" s="15" t="s">
        <v>95</v>
      </c>
      <c r="H16" s="17">
        <v>42.7</v>
      </c>
      <c r="I16" s="14" t="s">
        <v>49</v>
      </c>
      <c r="J16" s="19">
        <v>50.235294117647065</v>
      </c>
      <c r="M16" s="23"/>
      <c r="N16" s="23"/>
      <c r="O16" s="23"/>
    </row>
    <row r="17" spans="2:15">
      <c r="B17" s="15"/>
      <c r="D17" s="5" t="s">
        <v>36</v>
      </c>
      <c r="F17" s="15" t="s">
        <v>84</v>
      </c>
      <c r="G17" s="15" t="s">
        <v>96</v>
      </c>
      <c r="H17" s="17">
        <v>42.7</v>
      </c>
      <c r="I17" s="14" t="s">
        <v>49</v>
      </c>
      <c r="J17" s="19">
        <v>50.235294117647065</v>
      </c>
      <c r="M17" s="23"/>
      <c r="N17" s="23"/>
      <c r="O17" s="23"/>
    </row>
    <row r="18" spans="2:15">
      <c r="B18" s="15"/>
      <c r="D18" s="5" t="s">
        <v>36</v>
      </c>
      <c r="H18" s="17"/>
    </row>
    <row r="19" spans="2:15">
      <c r="B19" s="15"/>
      <c r="D19" s="5" t="s">
        <v>36</v>
      </c>
      <c r="F19" s="14" t="s">
        <v>97</v>
      </c>
      <c r="G19" s="15" t="s">
        <v>85</v>
      </c>
      <c r="H19" s="17">
        <v>42.7</v>
      </c>
      <c r="I19" s="14" t="s">
        <v>49</v>
      </c>
      <c r="J19" s="19">
        <v>50.235294117647065</v>
      </c>
      <c r="M19" s="23">
        <v>5800</v>
      </c>
      <c r="N19" s="23">
        <v>2</v>
      </c>
      <c r="O19" s="23">
        <v>4</v>
      </c>
    </row>
    <row r="20" spans="2:15">
      <c r="B20" s="15"/>
      <c r="D20" s="5" t="s">
        <v>36</v>
      </c>
      <c r="G20" s="15" t="s">
        <v>86</v>
      </c>
      <c r="H20" s="17">
        <v>42.7</v>
      </c>
      <c r="I20" s="14" t="s">
        <v>49</v>
      </c>
      <c r="J20" s="19">
        <v>50.235294117647065</v>
      </c>
      <c r="M20" s="23"/>
      <c r="N20" s="23"/>
      <c r="O20" s="23"/>
    </row>
    <row r="21" spans="2:15">
      <c r="B21" s="15"/>
      <c r="D21" s="5" t="s">
        <v>36</v>
      </c>
      <c r="G21" s="15" t="s">
        <v>87</v>
      </c>
      <c r="H21" s="17">
        <v>42.7</v>
      </c>
      <c r="I21" s="14" t="s">
        <v>49</v>
      </c>
      <c r="J21" s="19">
        <v>50.235294117647065</v>
      </c>
      <c r="M21" s="23"/>
      <c r="N21" s="23"/>
      <c r="O21" s="23"/>
    </row>
    <row r="22" spans="2:15">
      <c r="B22" s="15"/>
      <c r="D22" s="5" t="s">
        <v>36</v>
      </c>
      <c r="G22" s="15" t="s">
        <v>88</v>
      </c>
      <c r="H22" s="17">
        <v>42.7</v>
      </c>
      <c r="I22" s="14" t="s">
        <v>49</v>
      </c>
      <c r="J22" s="19">
        <v>50.235294117647065</v>
      </c>
      <c r="M22" s="23"/>
      <c r="N22" s="23"/>
      <c r="O22" s="23"/>
    </row>
    <row r="23" spans="2:15">
      <c r="B23" s="15"/>
      <c r="D23" s="5" t="s">
        <v>36</v>
      </c>
      <c r="G23" s="15" t="s">
        <v>89</v>
      </c>
      <c r="H23" s="17">
        <v>42.7</v>
      </c>
      <c r="I23" s="14" t="s">
        <v>49</v>
      </c>
      <c r="J23" s="19">
        <v>50.235294117647065</v>
      </c>
      <c r="M23" s="23"/>
      <c r="N23" s="23"/>
      <c r="O23" s="23"/>
    </row>
    <row r="24" spans="2:15">
      <c r="B24" s="15"/>
      <c r="D24" s="5" t="s">
        <v>36</v>
      </c>
      <c r="G24" s="15" t="s">
        <v>90</v>
      </c>
      <c r="H24" s="17">
        <v>42.7</v>
      </c>
      <c r="I24" s="14" t="s">
        <v>49</v>
      </c>
      <c r="J24" s="19">
        <v>50.235294117647065</v>
      </c>
      <c r="M24" s="23"/>
      <c r="N24" s="23"/>
      <c r="O24" s="23"/>
    </row>
    <row r="25" spans="2:15">
      <c r="B25" s="15"/>
      <c r="D25" s="5" t="s">
        <v>36</v>
      </c>
      <c r="G25" s="15" t="s">
        <v>91</v>
      </c>
      <c r="H25" s="17">
        <v>42.7</v>
      </c>
      <c r="I25" s="14" t="s">
        <v>49</v>
      </c>
      <c r="J25" s="19">
        <v>50.235294117647065</v>
      </c>
      <c r="M25" s="23"/>
      <c r="N25" s="23"/>
      <c r="O25" s="23"/>
    </row>
    <row r="26" spans="2:15">
      <c r="B26" s="15"/>
      <c r="D26" s="5" t="s">
        <v>36</v>
      </c>
      <c r="G26" s="15" t="s">
        <v>92</v>
      </c>
      <c r="H26" s="17">
        <v>42.7</v>
      </c>
      <c r="I26" s="14" t="s">
        <v>49</v>
      </c>
      <c r="J26" s="19">
        <v>50.235294117647065</v>
      </c>
      <c r="M26" s="23"/>
      <c r="N26" s="23"/>
      <c r="O26" s="23"/>
    </row>
    <row r="27" spans="2:15">
      <c r="B27" s="15"/>
      <c r="D27" s="5" t="s">
        <v>36</v>
      </c>
      <c r="G27" s="15" t="s">
        <v>93</v>
      </c>
      <c r="H27" s="17">
        <v>42.7</v>
      </c>
      <c r="I27" s="14" t="s">
        <v>49</v>
      </c>
      <c r="J27" s="19">
        <v>50.235294117647065</v>
      </c>
      <c r="M27" s="23"/>
      <c r="N27" s="23"/>
      <c r="O27" s="23"/>
    </row>
    <row r="28" spans="2:15">
      <c r="B28" s="15"/>
      <c r="D28" s="5" t="s">
        <v>36</v>
      </c>
      <c r="G28" s="15" t="s">
        <v>94</v>
      </c>
      <c r="H28" s="17">
        <v>42.7</v>
      </c>
      <c r="I28" s="14" t="s">
        <v>49</v>
      </c>
      <c r="J28" s="19">
        <v>50.235294117647065</v>
      </c>
      <c r="M28" s="23"/>
      <c r="N28" s="23"/>
      <c r="O28" s="23"/>
    </row>
    <row r="29" spans="2:15">
      <c r="B29" s="15"/>
      <c r="D29" s="5" t="s">
        <v>36</v>
      </c>
      <c r="G29" s="15" t="s">
        <v>95</v>
      </c>
      <c r="H29" s="17">
        <v>42.7</v>
      </c>
      <c r="I29" s="14" t="s">
        <v>49</v>
      </c>
      <c r="J29" s="19">
        <v>50.235294117647065</v>
      </c>
      <c r="M29" s="23"/>
      <c r="N29" s="23"/>
      <c r="O29" s="23"/>
    </row>
    <row r="30" spans="2:15">
      <c r="B30" s="15"/>
      <c r="D30" s="5" t="s">
        <v>36</v>
      </c>
      <c r="G30" s="15" t="s">
        <v>96</v>
      </c>
      <c r="H30" s="17">
        <v>42.7</v>
      </c>
      <c r="I30" s="14" t="s">
        <v>49</v>
      </c>
      <c r="J30" s="19">
        <v>50.235294117647065</v>
      </c>
      <c r="M30" s="23"/>
      <c r="N30" s="23"/>
      <c r="O30" s="23"/>
    </row>
    <row r="31" spans="2:15">
      <c r="B31" s="15"/>
      <c r="D31" s="5" t="s">
        <v>36</v>
      </c>
      <c r="H31" s="17"/>
    </row>
    <row r="32" spans="2:15">
      <c r="B32" s="15"/>
      <c r="D32" s="5" t="s">
        <v>36</v>
      </c>
      <c r="F32" s="14" t="s">
        <v>98</v>
      </c>
      <c r="G32" s="15" t="s">
        <v>85</v>
      </c>
      <c r="H32" s="17">
        <v>21.398</v>
      </c>
      <c r="I32" s="14" t="s">
        <v>49</v>
      </c>
      <c r="J32" s="19">
        <v>21.398</v>
      </c>
      <c r="M32" s="23">
        <v>5800</v>
      </c>
      <c r="N32" s="23">
        <v>2</v>
      </c>
      <c r="O32" s="23">
        <v>4</v>
      </c>
    </row>
    <row r="33" spans="2:15">
      <c r="B33" s="15"/>
      <c r="D33" s="5" t="s">
        <v>36</v>
      </c>
      <c r="G33" s="15" t="s">
        <v>86</v>
      </c>
      <c r="H33" s="17">
        <v>38.111999999999995</v>
      </c>
      <c r="I33" s="14" t="s">
        <v>49</v>
      </c>
      <c r="J33" s="19">
        <v>38.111999999999995</v>
      </c>
      <c r="M33" s="23"/>
      <c r="N33" s="23"/>
      <c r="O33" s="23"/>
    </row>
    <row r="34" spans="2:15">
      <c r="B34" s="15"/>
      <c r="D34" s="5" t="s">
        <v>36</v>
      </c>
      <c r="G34" s="15" t="s">
        <v>87</v>
      </c>
      <c r="H34" s="17">
        <v>38.111999999999995</v>
      </c>
      <c r="I34" s="14" t="s">
        <v>49</v>
      </c>
      <c r="J34" s="19">
        <v>38.111999999999995</v>
      </c>
      <c r="M34" s="23"/>
      <c r="N34" s="23"/>
      <c r="O34" s="23"/>
    </row>
    <row r="35" spans="2:15">
      <c r="B35" s="15"/>
      <c r="D35" s="5" t="s">
        <v>36</v>
      </c>
      <c r="G35" s="15" t="s">
        <v>88</v>
      </c>
      <c r="H35" s="17">
        <v>38.111999999999995</v>
      </c>
      <c r="I35" s="14" t="s">
        <v>49</v>
      </c>
      <c r="J35" s="19">
        <v>38.111999999999995</v>
      </c>
      <c r="M35" s="23"/>
      <c r="N35" s="23"/>
      <c r="O35" s="23"/>
    </row>
    <row r="36" spans="2:15">
      <c r="B36" s="15"/>
      <c r="D36" s="5" t="s">
        <v>36</v>
      </c>
      <c r="G36" s="15" t="s">
        <v>89</v>
      </c>
      <c r="H36" s="17">
        <v>38.111999999999995</v>
      </c>
      <c r="I36" s="14" t="s">
        <v>49</v>
      </c>
      <c r="J36" s="19">
        <v>38.111999999999995</v>
      </c>
      <c r="M36" s="23"/>
      <c r="N36" s="23"/>
      <c r="O36" s="23"/>
    </row>
    <row r="37" spans="2:15">
      <c r="B37" s="15"/>
      <c r="D37" s="5" t="s">
        <v>36</v>
      </c>
      <c r="G37" s="15" t="s">
        <v>90</v>
      </c>
      <c r="H37" s="17">
        <v>38.111999999999995</v>
      </c>
      <c r="I37" s="14" t="s">
        <v>49</v>
      </c>
      <c r="J37" s="19">
        <v>38.111999999999995</v>
      </c>
      <c r="M37" s="23"/>
      <c r="N37" s="23"/>
      <c r="O37" s="23"/>
    </row>
    <row r="38" spans="2:15">
      <c r="B38" s="15"/>
      <c r="D38" s="5" t="s">
        <v>36</v>
      </c>
      <c r="G38" s="15" t="s">
        <v>91</v>
      </c>
      <c r="H38" s="17">
        <v>38.111999999999995</v>
      </c>
      <c r="I38" s="14" t="s">
        <v>49</v>
      </c>
      <c r="J38" s="19">
        <v>38.111999999999995</v>
      </c>
      <c r="M38" s="23"/>
      <c r="N38" s="23"/>
      <c r="O38" s="23"/>
    </row>
    <row r="39" spans="2:15">
      <c r="B39" s="15"/>
      <c r="D39" s="5" t="s">
        <v>36</v>
      </c>
      <c r="G39" s="15" t="s">
        <v>92</v>
      </c>
      <c r="H39" s="17">
        <v>38.111999999999995</v>
      </c>
      <c r="I39" s="14" t="s">
        <v>49</v>
      </c>
      <c r="J39" s="19">
        <v>38.111999999999995</v>
      </c>
      <c r="M39" s="23"/>
      <c r="N39" s="23"/>
      <c r="O39" s="23"/>
    </row>
    <row r="40" spans="2:15">
      <c r="B40" s="15"/>
      <c r="D40" s="5" t="s">
        <v>36</v>
      </c>
      <c r="G40" s="15" t="s">
        <v>93</v>
      </c>
      <c r="H40" s="17">
        <v>38.111999999999995</v>
      </c>
      <c r="I40" s="14" t="s">
        <v>49</v>
      </c>
      <c r="J40" s="19">
        <v>38.111999999999995</v>
      </c>
      <c r="M40" s="23"/>
      <c r="N40" s="23"/>
      <c r="O40" s="23"/>
    </row>
    <row r="41" spans="2:15">
      <c r="B41" s="15"/>
      <c r="D41" s="5" t="s">
        <v>36</v>
      </c>
      <c r="G41" s="15" t="s">
        <v>94</v>
      </c>
      <c r="H41" s="17">
        <v>38.111999999999995</v>
      </c>
      <c r="I41" s="14" t="s">
        <v>49</v>
      </c>
      <c r="J41" s="19">
        <v>38.111999999999995</v>
      </c>
      <c r="M41" s="23"/>
      <c r="N41" s="23"/>
      <c r="O41" s="23"/>
    </row>
    <row r="42" spans="2:15">
      <c r="B42" s="15"/>
      <c r="D42" s="5" t="s">
        <v>36</v>
      </c>
      <c r="G42" s="15" t="s">
        <v>95</v>
      </c>
      <c r="H42" s="17">
        <v>38.111999999999995</v>
      </c>
      <c r="I42" s="14" t="s">
        <v>49</v>
      </c>
      <c r="J42" s="19">
        <v>38.111999999999995</v>
      </c>
      <c r="M42" s="23"/>
      <c r="N42" s="23"/>
      <c r="O42" s="23"/>
    </row>
    <row r="43" spans="2:15">
      <c r="B43" s="15"/>
      <c r="D43" s="5" t="s">
        <v>36</v>
      </c>
      <c r="G43" s="15" t="s">
        <v>96</v>
      </c>
      <c r="H43" s="17">
        <v>38.111999999999995</v>
      </c>
      <c r="I43" s="14" t="s">
        <v>49</v>
      </c>
      <c r="J43" s="19">
        <v>38.111999999999995</v>
      </c>
      <c r="M43" s="23"/>
      <c r="N43" s="23"/>
      <c r="O43" s="23"/>
    </row>
    <row r="44" spans="2:15">
      <c r="B44" s="15"/>
      <c r="D44" s="5" t="s">
        <v>36</v>
      </c>
      <c r="G44" s="15" t="s">
        <v>99</v>
      </c>
      <c r="H44" s="17">
        <v>38.111999999999995</v>
      </c>
      <c r="I44" s="14" t="s">
        <v>49</v>
      </c>
      <c r="J44" s="19">
        <v>38.111999999999995</v>
      </c>
      <c r="M44" s="23"/>
      <c r="N44" s="23"/>
      <c r="O44" s="23"/>
    </row>
    <row r="45" spans="2:15">
      <c r="B45" s="15"/>
      <c r="D45" s="5" t="s">
        <v>36</v>
      </c>
      <c r="G45" s="15" t="s">
        <v>100</v>
      </c>
      <c r="H45" s="17">
        <v>38.111999999999995</v>
      </c>
      <c r="I45" s="14" t="s">
        <v>49</v>
      </c>
      <c r="J45" s="19">
        <v>38.111999999999995</v>
      </c>
      <c r="M45" s="23"/>
      <c r="N45" s="23"/>
      <c r="O45" s="23"/>
    </row>
    <row r="46" spans="2:15">
      <c r="B46" s="15"/>
      <c r="D46" s="5" t="s">
        <v>36</v>
      </c>
      <c r="G46" s="15" t="s">
        <v>101</v>
      </c>
      <c r="H46" s="17">
        <v>38.111999999999995</v>
      </c>
      <c r="I46" s="14" t="s">
        <v>49</v>
      </c>
      <c r="J46" s="19">
        <v>38.111999999999995</v>
      </c>
      <c r="M46" s="23"/>
      <c r="N46" s="23"/>
      <c r="O46" s="23"/>
    </row>
    <row r="47" spans="2:15">
      <c r="B47" s="15"/>
      <c r="D47" s="5" t="s">
        <v>36</v>
      </c>
      <c r="G47" s="15" t="s">
        <v>102</v>
      </c>
      <c r="H47" s="17">
        <v>20.942</v>
      </c>
      <c r="I47" s="14" t="s">
        <v>49</v>
      </c>
      <c r="J47" s="19">
        <v>20.942</v>
      </c>
      <c r="M47" s="23"/>
      <c r="N47" s="23"/>
      <c r="O47" s="23"/>
    </row>
    <row r="48" spans="2:15">
      <c r="B48" s="15"/>
      <c r="D48" s="5" t="s">
        <v>36</v>
      </c>
      <c r="H48" s="17"/>
    </row>
    <row r="49" spans="2:15">
      <c r="B49" s="15"/>
      <c r="D49" s="5" t="s">
        <v>36</v>
      </c>
      <c r="F49" s="14" t="s">
        <v>103</v>
      </c>
      <c r="G49" s="15" t="s">
        <v>85</v>
      </c>
      <c r="H49" s="17">
        <v>21.398</v>
      </c>
      <c r="I49" s="14" t="s">
        <v>49</v>
      </c>
      <c r="J49" s="19">
        <v>21.398</v>
      </c>
      <c r="M49" s="23">
        <v>5800</v>
      </c>
      <c r="N49" s="23">
        <v>2</v>
      </c>
      <c r="O49" s="23">
        <v>4</v>
      </c>
    </row>
    <row r="50" spans="2:15">
      <c r="B50" s="15"/>
      <c r="D50" s="5" t="s">
        <v>36</v>
      </c>
      <c r="G50" s="15" t="s">
        <v>86</v>
      </c>
      <c r="H50" s="17">
        <v>38.111999999999995</v>
      </c>
      <c r="I50" s="14" t="s">
        <v>49</v>
      </c>
      <c r="J50" s="19">
        <v>38.111999999999995</v>
      </c>
      <c r="M50" s="23"/>
      <c r="N50" s="23"/>
      <c r="O50" s="23"/>
    </row>
    <row r="51" spans="2:15">
      <c r="B51" s="15"/>
      <c r="D51" s="5" t="s">
        <v>36</v>
      </c>
      <c r="G51" s="15" t="s">
        <v>87</v>
      </c>
      <c r="H51" s="17">
        <v>38.111999999999995</v>
      </c>
      <c r="I51" s="14" t="s">
        <v>49</v>
      </c>
      <c r="J51" s="19">
        <v>38.111999999999995</v>
      </c>
      <c r="M51" s="23"/>
      <c r="N51" s="23"/>
      <c r="O51" s="23"/>
    </row>
    <row r="52" spans="2:15">
      <c r="B52" s="15"/>
      <c r="D52" s="5" t="s">
        <v>36</v>
      </c>
      <c r="G52" s="15" t="s">
        <v>88</v>
      </c>
      <c r="H52" s="17">
        <v>38.111999999999995</v>
      </c>
      <c r="I52" s="14" t="s">
        <v>49</v>
      </c>
      <c r="J52" s="19">
        <v>38.111999999999995</v>
      </c>
      <c r="M52" s="23"/>
      <c r="N52" s="23"/>
      <c r="O52" s="23"/>
    </row>
    <row r="53" spans="2:15">
      <c r="B53" s="15"/>
      <c r="D53" s="5" t="s">
        <v>36</v>
      </c>
      <c r="G53" s="15" t="s">
        <v>89</v>
      </c>
      <c r="H53" s="17">
        <v>38.111999999999995</v>
      </c>
      <c r="I53" s="14" t="s">
        <v>49</v>
      </c>
      <c r="J53" s="19">
        <v>38.111999999999995</v>
      </c>
      <c r="M53" s="23"/>
      <c r="N53" s="23"/>
      <c r="O53" s="23"/>
    </row>
    <row r="54" spans="2:15">
      <c r="B54" s="15"/>
      <c r="D54" s="5" t="s">
        <v>36</v>
      </c>
      <c r="G54" s="15" t="s">
        <v>90</v>
      </c>
      <c r="H54" s="17">
        <v>38.111999999999995</v>
      </c>
      <c r="I54" s="14" t="s">
        <v>49</v>
      </c>
      <c r="J54" s="19">
        <v>38.111999999999995</v>
      </c>
      <c r="M54" s="23"/>
      <c r="N54" s="23"/>
      <c r="O54" s="23"/>
    </row>
    <row r="55" spans="2:15">
      <c r="B55" s="15"/>
      <c r="D55" s="5" t="s">
        <v>36</v>
      </c>
      <c r="G55" s="15" t="s">
        <v>91</v>
      </c>
      <c r="H55" s="17">
        <v>38.111999999999995</v>
      </c>
      <c r="I55" s="14" t="s">
        <v>49</v>
      </c>
      <c r="J55" s="19">
        <v>38.111999999999995</v>
      </c>
      <c r="M55" s="23"/>
      <c r="N55" s="23"/>
      <c r="O55" s="23"/>
    </row>
    <row r="56" spans="2:15">
      <c r="B56" s="15"/>
      <c r="D56" s="5" t="s">
        <v>36</v>
      </c>
      <c r="G56" s="15" t="s">
        <v>92</v>
      </c>
      <c r="H56" s="17">
        <v>38.111999999999995</v>
      </c>
      <c r="I56" s="14" t="s">
        <v>49</v>
      </c>
      <c r="J56" s="19">
        <v>38.111999999999995</v>
      </c>
      <c r="M56" s="23"/>
      <c r="N56" s="23"/>
      <c r="O56" s="23"/>
    </row>
    <row r="57" spans="2:15">
      <c r="B57" s="15"/>
      <c r="D57" s="5" t="s">
        <v>36</v>
      </c>
      <c r="G57" s="15" t="s">
        <v>93</v>
      </c>
      <c r="H57" s="17">
        <v>38.111999999999995</v>
      </c>
      <c r="I57" s="14" t="s">
        <v>49</v>
      </c>
      <c r="J57" s="19">
        <v>38.111999999999995</v>
      </c>
      <c r="M57" s="23"/>
      <c r="N57" s="23"/>
      <c r="O57" s="23"/>
    </row>
    <row r="58" spans="2:15">
      <c r="B58" s="15"/>
      <c r="D58" s="5" t="s">
        <v>36</v>
      </c>
      <c r="G58" s="15" t="s">
        <v>94</v>
      </c>
      <c r="H58" s="17">
        <v>38.111999999999995</v>
      </c>
      <c r="I58" s="14" t="s">
        <v>49</v>
      </c>
      <c r="J58" s="19">
        <v>38.111999999999995</v>
      </c>
      <c r="M58" s="23"/>
      <c r="N58" s="23"/>
      <c r="O58" s="23"/>
    </row>
    <row r="59" spans="2:15">
      <c r="B59" s="15"/>
      <c r="D59" s="5" t="s">
        <v>36</v>
      </c>
      <c r="G59" s="15" t="s">
        <v>95</v>
      </c>
      <c r="H59" s="17">
        <v>38.111999999999995</v>
      </c>
      <c r="I59" s="14" t="s">
        <v>49</v>
      </c>
      <c r="J59" s="19">
        <v>38.111999999999995</v>
      </c>
      <c r="M59" s="23"/>
      <c r="N59" s="23"/>
      <c r="O59" s="23"/>
    </row>
    <row r="60" spans="2:15">
      <c r="B60" s="15"/>
      <c r="D60" s="5" t="s">
        <v>36</v>
      </c>
      <c r="G60" s="15" t="s">
        <v>96</v>
      </c>
      <c r="H60" s="17">
        <v>38.111999999999995</v>
      </c>
      <c r="I60" s="14" t="s">
        <v>49</v>
      </c>
      <c r="J60" s="19">
        <v>38.111999999999995</v>
      </c>
      <c r="M60" s="23"/>
      <c r="N60" s="23"/>
      <c r="O60" s="23"/>
    </row>
    <row r="61" spans="2:15">
      <c r="B61" s="15"/>
      <c r="D61" s="5" t="s">
        <v>36</v>
      </c>
      <c r="G61" s="15" t="s">
        <v>99</v>
      </c>
      <c r="H61" s="17">
        <v>38.111999999999995</v>
      </c>
      <c r="I61" s="14" t="s">
        <v>49</v>
      </c>
      <c r="J61" s="19">
        <v>38.111999999999995</v>
      </c>
      <c r="M61" s="23"/>
      <c r="N61" s="23"/>
      <c r="O61" s="23"/>
    </row>
    <row r="62" spans="2:15">
      <c r="B62" s="15"/>
      <c r="D62" s="5" t="s">
        <v>36</v>
      </c>
      <c r="G62" s="15" t="s">
        <v>100</v>
      </c>
      <c r="H62" s="17">
        <v>38.111999999999995</v>
      </c>
      <c r="I62" s="14" t="s">
        <v>49</v>
      </c>
      <c r="J62" s="19">
        <v>38.111999999999995</v>
      </c>
      <c r="M62" s="23"/>
      <c r="N62" s="23"/>
      <c r="O62" s="23"/>
    </row>
    <row r="63" spans="2:15">
      <c r="B63" s="15"/>
      <c r="D63" s="5" t="s">
        <v>36</v>
      </c>
      <c r="G63" s="15" t="s">
        <v>101</v>
      </c>
      <c r="H63" s="17">
        <v>38.111999999999995</v>
      </c>
      <c r="I63" s="14" t="s">
        <v>49</v>
      </c>
      <c r="J63" s="19">
        <v>38.111999999999995</v>
      </c>
      <c r="M63" s="23"/>
      <c r="N63" s="23"/>
      <c r="O63" s="23"/>
    </row>
    <row r="64" spans="2:15">
      <c r="B64" s="15"/>
      <c r="D64" s="5" t="s">
        <v>36</v>
      </c>
      <c r="G64" s="15" t="s">
        <v>102</v>
      </c>
      <c r="H64" s="17">
        <v>20.942</v>
      </c>
      <c r="I64" s="14" t="s">
        <v>49</v>
      </c>
      <c r="J64" s="19">
        <v>20.942</v>
      </c>
      <c r="M64" s="23"/>
      <c r="N64" s="23"/>
      <c r="O64" s="23"/>
    </row>
    <row r="65" spans="2:15">
      <c r="B65" s="15"/>
      <c r="D65" s="5" t="s">
        <v>36</v>
      </c>
      <c r="H65" s="17"/>
    </row>
    <row r="66" spans="2:15">
      <c r="B66" s="15"/>
      <c r="D66" s="5" t="s">
        <v>36</v>
      </c>
      <c r="F66" s="14" t="s">
        <v>104</v>
      </c>
      <c r="G66" s="15" t="s">
        <v>85</v>
      </c>
      <c r="H66" s="17">
        <v>21.398</v>
      </c>
      <c r="I66" s="14" t="s">
        <v>49</v>
      </c>
      <c r="J66" s="19">
        <v>21.398</v>
      </c>
      <c r="M66" s="23">
        <v>5800</v>
      </c>
      <c r="N66" s="23">
        <v>2</v>
      </c>
      <c r="O66" s="23">
        <v>4</v>
      </c>
    </row>
    <row r="67" spans="2:15">
      <c r="B67" s="15"/>
      <c r="D67" s="5" t="s">
        <v>36</v>
      </c>
      <c r="G67" s="15" t="s">
        <v>86</v>
      </c>
      <c r="H67" s="17">
        <v>38.111999999999995</v>
      </c>
      <c r="I67" s="14" t="s">
        <v>49</v>
      </c>
      <c r="J67" s="19">
        <v>38.111999999999995</v>
      </c>
      <c r="M67" s="23"/>
      <c r="N67" s="23"/>
      <c r="O67" s="23"/>
    </row>
    <row r="68" spans="2:15">
      <c r="B68" s="15"/>
      <c r="D68" s="5" t="s">
        <v>36</v>
      </c>
      <c r="G68" s="15" t="s">
        <v>87</v>
      </c>
      <c r="H68" s="17">
        <v>38.111999999999995</v>
      </c>
      <c r="I68" s="14" t="s">
        <v>49</v>
      </c>
      <c r="J68" s="19">
        <v>38.111999999999995</v>
      </c>
      <c r="M68" s="23"/>
      <c r="N68" s="23"/>
      <c r="O68" s="23"/>
    </row>
    <row r="69" spans="2:15">
      <c r="B69" s="15"/>
      <c r="D69" s="5" t="s">
        <v>36</v>
      </c>
      <c r="G69" s="15" t="s">
        <v>88</v>
      </c>
      <c r="H69" s="17">
        <v>38.111999999999995</v>
      </c>
      <c r="I69" s="14" t="s">
        <v>49</v>
      </c>
      <c r="J69" s="19">
        <v>38.111999999999995</v>
      </c>
      <c r="M69" s="23"/>
      <c r="N69" s="23"/>
      <c r="O69" s="23"/>
    </row>
    <row r="70" spans="2:15">
      <c r="B70" s="15"/>
      <c r="D70" s="5" t="s">
        <v>36</v>
      </c>
      <c r="G70" s="15" t="s">
        <v>89</v>
      </c>
      <c r="H70" s="17">
        <v>38.111999999999995</v>
      </c>
      <c r="I70" s="14" t="s">
        <v>49</v>
      </c>
      <c r="J70" s="19">
        <v>38.111999999999995</v>
      </c>
      <c r="M70" s="23"/>
      <c r="N70" s="23"/>
      <c r="O70" s="23"/>
    </row>
    <row r="71" spans="2:15">
      <c r="B71" s="15"/>
      <c r="D71" s="5" t="s">
        <v>36</v>
      </c>
      <c r="G71" s="15" t="s">
        <v>90</v>
      </c>
      <c r="H71" s="17">
        <v>38.111999999999995</v>
      </c>
      <c r="I71" s="14" t="s">
        <v>49</v>
      </c>
      <c r="J71" s="19">
        <v>38.111999999999995</v>
      </c>
      <c r="M71" s="23"/>
      <c r="N71" s="23"/>
      <c r="O71" s="23"/>
    </row>
    <row r="72" spans="2:15">
      <c r="B72" s="15"/>
      <c r="D72" s="5" t="s">
        <v>36</v>
      </c>
      <c r="G72" s="15" t="s">
        <v>91</v>
      </c>
      <c r="H72" s="17">
        <v>38.111999999999995</v>
      </c>
      <c r="I72" s="14" t="s">
        <v>49</v>
      </c>
      <c r="J72" s="19">
        <v>38.111999999999995</v>
      </c>
      <c r="M72" s="23"/>
      <c r="N72" s="23"/>
      <c r="O72" s="23"/>
    </row>
    <row r="73" spans="2:15">
      <c r="B73" s="15"/>
      <c r="D73" s="5" t="s">
        <v>36</v>
      </c>
      <c r="G73" s="15" t="s">
        <v>92</v>
      </c>
      <c r="H73" s="17">
        <v>38.111999999999995</v>
      </c>
      <c r="I73" s="14" t="s">
        <v>49</v>
      </c>
      <c r="J73" s="19">
        <v>38.111999999999995</v>
      </c>
      <c r="M73" s="23"/>
      <c r="N73" s="23"/>
      <c r="O73" s="23"/>
    </row>
    <row r="74" spans="2:15">
      <c r="B74" s="15"/>
      <c r="D74" s="5" t="s">
        <v>36</v>
      </c>
      <c r="G74" s="15" t="s">
        <v>93</v>
      </c>
      <c r="H74" s="17">
        <v>38.111999999999995</v>
      </c>
      <c r="I74" s="14" t="s">
        <v>49</v>
      </c>
      <c r="J74" s="19">
        <v>38.111999999999995</v>
      </c>
      <c r="M74" s="23"/>
      <c r="N74" s="23"/>
      <c r="O74" s="23"/>
    </row>
    <row r="75" spans="2:15">
      <c r="B75" s="15"/>
      <c r="D75" s="5" t="s">
        <v>36</v>
      </c>
      <c r="G75" s="15" t="s">
        <v>94</v>
      </c>
      <c r="H75" s="17">
        <v>38.111999999999995</v>
      </c>
      <c r="I75" s="14" t="s">
        <v>49</v>
      </c>
      <c r="J75" s="19">
        <v>38.111999999999995</v>
      </c>
      <c r="M75" s="23"/>
      <c r="N75" s="23"/>
      <c r="O75" s="23"/>
    </row>
    <row r="76" spans="2:15">
      <c r="B76" s="15"/>
      <c r="D76" s="5" t="s">
        <v>36</v>
      </c>
      <c r="G76" s="15" t="s">
        <v>95</v>
      </c>
      <c r="H76" s="17">
        <v>38.111999999999995</v>
      </c>
      <c r="I76" s="14" t="s">
        <v>49</v>
      </c>
      <c r="J76" s="19">
        <v>38.111999999999995</v>
      </c>
      <c r="M76" s="23"/>
      <c r="N76" s="23"/>
      <c r="O76" s="23"/>
    </row>
    <row r="77" spans="2:15">
      <c r="B77" s="15"/>
      <c r="D77" s="5" t="s">
        <v>36</v>
      </c>
      <c r="G77" s="15" t="s">
        <v>96</v>
      </c>
      <c r="H77" s="17">
        <v>38.111999999999995</v>
      </c>
      <c r="I77" s="14" t="s">
        <v>49</v>
      </c>
      <c r="J77" s="19">
        <v>38.111999999999995</v>
      </c>
      <c r="M77" s="23"/>
      <c r="N77" s="23"/>
      <c r="O77" s="23"/>
    </row>
    <row r="78" spans="2:15">
      <c r="B78" s="15"/>
      <c r="D78" s="5" t="s">
        <v>36</v>
      </c>
      <c r="G78" s="15" t="s">
        <v>99</v>
      </c>
      <c r="H78" s="17">
        <v>38.111999999999995</v>
      </c>
      <c r="I78" s="14" t="s">
        <v>49</v>
      </c>
      <c r="J78" s="19">
        <v>38.111999999999995</v>
      </c>
      <c r="M78" s="23"/>
      <c r="N78" s="23"/>
      <c r="O78" s="23"/>
    </row>
    <row r="79" spans="2:15">
      <c r="B79" s="15"/>
      <c r="D79" s="5" t="s">
        <v>36</v>
      </c>
      <c r="G79" s="15" t="s">
        <v>100</v>
      </c>
      <c r="H79" s="17">
        <v>38.111999999999995</v>
      </c>
      <c r="I79" s="14" t="s">
        <v>49</v>
      </c>
      <c r="J79" s="19">
        <v>38.111999999999995</v>
      </c>
      <c r="M79" s="23"/>
      <c r="N79" s="23"/>
      <c r="O79" s="23"/>
    </row>
    <row r="80" spans="2:15">
      <c r="B80" s="15"/>
      <c r="D80" s="5" t="s">
        <v>36</v>
      </c>
      <c r="G80" s="15" t="s">
        <v>101</v>
      </c>
      <c r="H80" s="17">
        <v>38.111999999999995</v>
      </c>
      <c r="I80" s="14" t="s">
        <v>49</v>
      </c>
      <c r="J80" s="19">
        <v>38.111999999999995</v>
      </c>
      <c r="M80" s="23"/>
      <c r="N80" s="23"/>
      <c r="O80" s="23"/>
    </row>
    <row r="81" spans="2:15">
      <c r="B81" s="15"/>
      <c r="D81" s="5" t="s">
        <v>36</v>
      </c>
      <c r="G81" s="15" t="s">
        <v>102</v>
      </c>
      <c r="H81" s="17">
        <v>20.942</v>
      </c>
      <c r="I81" s="14" t="s">
        <v>49</v>
      </c>
      <c r="J81" s="19">
        <v>20.942</v>
      </c>
      <c r="M81" s="23"/>
      <c r="N81" s="23"/>
      <c r="O81" s="23"/>
    </row>
    <row r="82" spans="2:15">
      <c r="B82" s="15"/>
      <c r="D82" s="5" t="s">
        <v>36</v>
      </c>
      <c r="H82" s="17"/>
    </row>
    <row r="83" spans="2:15">
      <c r="B83" s="15"/>
      <c r="D83" s="5" t="s">
        <v>36</v>
      </c>
      <c r="F83" s="14" t="s">
        <v>105</v>
      </c>
      <c r="G83" s="15" t="s">
        <v>85</v>
      </c>
      <c r="H83" s="17">
        <v>21.398</v>
      </c>
      <c r="I83" s="14" t="s">
        <v>49</v>
      </c>
      <c r="J83" s="19">
        <v>21.398</v>
      </c>
      <c r="M83" s="23">
        <v>5800</v>
      </c>
      <c r="N83" s="23">
        <v>2</v>
      </c>
      <c r="O83" s="23">
        <v>4</v>
      </c>
    </row>
    <row r="84" spans="2:15">
      <c r="B84" s="15"/>
      <c r="D84" s="5" t="s">
        <v>36</v>
      </c>
      <c r="G84" s="15" t="s">
        <v>86</v>
      </c>
      <c r="H84" s="17">
        <v>38.111999999999995</v>
      </c>
      <c r="I84" s="14" t="s">
        <v>49</v>
      </c>
      <c r="J84" s="19">
        <v>38.111999999999995</v>
      </c>
      <c r="M84" s="23"/>
      <c r="N84" s="23"/>
      <c r="O84" s="23"/>
    </row>
    <row r="85" spans="2:15">
      <c r="B85" s="15"/>
      <c r="D85" s="5" t="s">
        <v>36</v>
      </c>
      <c r="G85" s="15" t="s">
        <v>87</v>
      </c>
      <c r="H85" s="17">
        <v>38.111999999999995</v>
      </c>
      <c r="I85" s="14" t="s">
        <v>49</v>
      </c>
      <c r="J85" s="19">
        <v>38.111999999999995</v>
      </c>
      <c r="M85" s="23"/>
      <c r="N85" s="23"/>
      <c r="O85" s="23"/>
    </row>
    <row r="86" spans="2:15">
      <c r="B86" s="15"/>
      <c r="D86" s="5" t="s">
        <v>36</v>
      </c>
      <c r="G86" s="15" t="s">
        <v>88</v>
      </c>
      <c r="H86" s="17">
        <v>38.111999999999995</v>
      </c>
      <c r="I86" s="14" t="s">
        <v>49</v>
      </c>
      <c r="J86" s="19">
        <v>38.111999999999995</v>
      </c>
      <c r="M86" s="23"/>
      <c r="N86" s="23"/>
      <c r="O86" s="23"/>
    </row>
    <row r="87" spans="2:15">
      <c r="B87" s="15"/>
      <c r="D87" s="5" t="s">
        <v>36</v>
      </c>
      <c r="G87" s="15" t="s">
        <v>89</v>
      </c>
      <c r="H87" s="17">
        <v>38.111999999999995</v>
      </c>
      <c r="I87" s="14" t="s">
        <v>49</v>
      </c>
      <c r="J87" s="19">
        <v>38.111999999999995</v>
      </c>
      <c r="M87" s="23"/>
      <c r="N87" s="23"/>
      <c r="O87" s="23"/>
    </row>
    <row r="88" spans="2:15">
      <c r="B88" s="15"/>
      <c r="D88" s="5" t="s">
        <v>36</v>
      </c>
      <c r="G88" s="15" t="s">
        <v>90</v>
      </c>
      <c r="H88" s="17">
        <v>38.111999999999995</v>
      </c>
      <c r="I88" s="14" t="s">
        <v>49</v>
      </c>
      <c r="J88" s="19">
        <v>38.111999999999995</v>
      </c>
      <c r="M88" s="23"/>
      <c r="N88" s="23"/>
      <c r="O88" s="23"/>
    </row>
    <row r="89" spans="2:15">
      <c r="B89" s="15"/>
      <c r="D89" s="5" t="s">
        <v>36</v>
      </c>
      <c r="G89" s="15" t="s">
        <v>91</v>
      </c>
      <c r="H89" s="17">
        <v>38.111999999999995</v>
      </c>
      <c r="I89" s="14" t="s">
        <v>49</v>
      </c>
      <c r="J89" s="19">
        <v>38.111999999999995</v>
      </c>
      <c r="M89" s="23"/>
      <c r="N89" s="23"/>
      <c r="O89" s="23"/>
    </row>
    <row r="90" spans="2:15">
      <c r="B90" s="15"/>
      <c r="D90" s="5" t="s">
        <v>36</v>
      </c>
      <c r="G90" s="15" t="s">
        <v>92</v>
      </c>
      <c r="H90" s="17">
        <v>38.111999999999995</v>
      </c>
      <c r="I90" s="14" t="s">
        <v>49</v>
      </c>
      <c r="J90" s="19">
        <v>38.111999999999995</v>
      </c>
      <c r="M90" s="23"/>
      <c r="N90" s="23"/>
      <c r="O90" s="23"/>
    </row>
    <row r="91" spans="2:15">
      <c r="B91" s="15"/>
      <c r="D91" s="5" t="s">
        <v>36</v>
      </c>
      <c r="G91" s="15" t="s">
        <v>93</v>
      </c>
      <c r="H91" s="17">
        <v>38.111999999999995</v>
      </c>
      <c r="I91" s="14" t="s">
        <v>49</v>
      </c>
      <c r="J91" s="19">
        <v>38.111999999999995</v>
      </c>
      <c r="M91" s="23"/>
      <c r="N91" s="23"/>
      <c r="O91" s="23"/>
    </row>
    <row r="92" spans="2:15">
      <c r="B92" s="15"/>
      <c r="D92" s="5" t="s">
        <v>36</v>
      </c>
      <c r="G92" s="15" t="s">
        <v>94</v>
      </c>
      <c r="H92" s="17">
        <v>38.111999999999995</v>
      </c>
      <c r="I92" s="14" t="s">
        <v>49</v>
      </c>
      <c r="J92" s="19">
        <v>38.111999999999995</v>
      </c>
      <c r="M92" s="23"/>
      <c r="N92" s="23"/>
      <c r="O92" s="23"/>
    </row>
    <row r="93" spans="2:15">
      <c r="B93" s="15"/>
      <c r="D93" s="5" t="s">
        <v>36</v>
      </c>
      <c r="G93" s="15" t="s">
        <v>95</v>
      </c>
      <c r="H93" s="17">
        <v>38.111999999999995</v>
      </c>
      <c r="I93" s="14" t="s">
        <v>49</v>
      </c>
      <c r="J93" s="19">
        <v>38.111999999999995</v>
      </c>
      <c r="M93" s="23"/>
      <c r="N93" s="23"/>
      <c r="O93" s="23"/>
    </row>
    <row r="94" spans="2:15">
      <c r="B94" s="15"/>
      <c r="D94" s="5" t="s">
        <v>36</v>
      </c>
      <c r="G94" s="15" t="s">
        <v>96</v>
      </c>
      <c r="H94" s="17">
        <v>38.111999999999995</v>
      </c>
      <c r="I94" s="14" t="s">
        <v>49</v>
      </c>
      <c r="J94" s="19">
        <v>38.111999999999995</v>
      </c>
      <c r="M94" s="23"/>
      <c r="N94" s="23"/>
      <c r="O94" s="23"/>
    </row>
    <row r="95" spans="2:15">
      <c r="B95" s="15"/>
      <c r="D95" s="5" t="s">
        <v>36</v>
      </c>
      <c r="G95" s="15" t="s">
        <v>99</v>
      </c>
      <c r="H95" s="17">
        <v>38.111999999999995</v>
      </c>
      <c r="I95" s="14" t="s">
        <v>49</v>
      </c>
      <c r="J95" s="19">
        <v>38.111999999999995</v>
      </c>
      <c r="M95" s="23"/>
      <c r="N95" s="23"/>
      <c r="O95" s="23"/>
    </row>
    <row r="96" spans="2:15">
      <c r="B96" s="15"/>
      <c r="D96" s="5" t="s">
        <v>36</v>
      </c>
      <c r="G96" s="15" t="s">
        <v>100</v>
      </c>
      <c r="H96" s="17">
        <v>38.111999999999995</v>
      </c>
      <c r="I96" s="14" t="s">
        <v>49</v>
      </c>
      <c r="J96" s="19">
        <v>38.111999999999995</v>
      </c>
      <c r="M96" s="23"/>
      <c r="N96" s="23"/>
      <c r="O96" s="23"/>
    </row>
    <row r="97" spans="2:15">
      <c r="B97" s="15"/>
      <c r="D97" s="5" t="s">
        <v>36</v>
      </c>
      <c r="G97" s="15" t="s">
        <v>101</v>
      </c>
      <c r="H97" s="17">
        <v>38.111999999999995</v>
      </c>
      <c r="I97" s="14" t="s">
        <v>49</v>
      </c>
      <c r="J97" s="19">
        <v>38.111999999999995</v>
      </c>
      <c r="M97" s="23"/>
      <c r="N97" s="23"/>
      <c r="O97" s="23"/>
    </row>
    <row r="98" spans="2:15">
      <c r="B98" s="15"/>
      <c r="D98" s="5" t="s">
        <v>36</v>
      </c>
      <c r="G98" s="15" t="s">
        <v>102</v>
      </c>
      <c r="H98" s="17">
        <v>20.942</v>
      </c>
      <c r="I98" s="14" t="s">
        <v>49</v>
      </c>
      <c r="J98" s="19">
        <v>20.942</v>
      </c>
      <c r="M98" s="23"/>
      <c r="N98" s="23"/>
      <c r="O98" s="23"/>
    </row>
    <row r="99" spans="2:15">
      <c r="B99" s="15"/>
      <c r="D99" s="5" t="s">
        <v>36</v>
      </c>
      <c r="H99" s="17"/>
    </row>
    <row r="100" spans="2:15">
      <c r="B100" s="15"/>
      <c r="D100" s="5" t="s">
        <v>36</v>
      </c>
      <c r="F100" s="14" t="s">
        <v>106</v>
      </c>
      <c r="G100" s="15" t="s">
        <v>85</v>
      </c>
      <c r="H100" s="17">
        <v>21.398</v>
      </c>
      <c r="I100" s="14" t="s">
        <v>49</v>
      </c>
      <c r="J100" s="19">
        <v>21.398</v>
      </c>
      <c r="M100" s="23">
        <v>5800</v>
      </c>
      <c r="N100" s="23">
        <v>2</v>
      </c>
      <c r="O100" s="23">
        <v>4</v>
      </c>
    </row>
    <row r="101" spans="2:15">
      <c r="B101" s="15"/>
      <c r="D101" s="5" t="s">
        <v>36</v>
      </c>
      <c r="G101" s="15" t="s">
        <v>86</v>
      </c>
      <c r="H101" s="17">
        <v>38.111999999999995</v>
      </c>
      <c r="I101" s="14" t="s">
        <v>49</v>
      </c>
      <c r="J101" s="19">
        <v>38.111999999999995</v>
      </c>
      <c r="M101" s="23"/>
      <c r="N101" s="23"/>
      <c r="O101" s="23"/>
    </row>
    <row r="102" spans="2:15">
      <c r="B102" s="15"/>
      <c r="D102" s="5" t="s">
        <v>36</v>
      </c>
      <c r="G102" s="15" t="s">
        <v>87</v>
      </c>
      <c r="H102" s="17">
        <v>38.111999999999995</v>
      </c>
      <c r="I102" s="14" t="s">
        <v>49</v>
      </c>
      <c r="J102" s="19">
        <v>38.111999999999995</v>
      </c>
      <c r="M102" s="23"/>
      <c r="N102" s="23"/>
      <c r="O102" s="23"/>
    </row>
    <row r="103" spans="2:15">
      <c r="B103" s="15"/>
      <c r="D103" s="5" t="s">
        <v>36</v>
      </c>
      <c r="G103" s="15" t="s">
        <v>88</v>
      </c>
      <c r="H103" s="17">
        <v>38.111999999999995</v>
      </c>
      <c r="I103" s="14" t="s">
        <v>49</v>
      </c>
      <c r="J103" s="19">
        <v>38.111999999999995</v>
      </c>
      <c r="M103" s="23"/>
      <c r="N103" s="23"/>
      <c r="O103" s="23"/>
    </row>
    <row r="104" spans="2:15">
      <c r="B104" s="15"/>
      <c r="D104" s="5" t="s">
        <v>36</v>
      </c>
      <c r="G104" s="15" t="s">
        <v>89</v>
      </c>
      <c r="H104" s="17">
        <v>38.111999999999995</v>
      </c>
      <c r="I104" s="14" t="s">
        <v>49</v>
      </c>
      <c r="J104" s="19">
        <v>38.111999999999995</v>
      </c>
      <c r="M104" s="23"/>
      <c r="N104" s="23"/>
      <c r="O104" s="23"/>
    </row>
    <row r="105" spans="2:15">
      <c r="B105" s="15"/>
      <c r="D105" s="5" t="s">
        <v>36</v>
      </c>
      <c r="G105" s="15" t="s">
        <v>90</v>
      </c>
      <c r="H105" s="17">
        <v>38.111999999999995</v>
      </c>
      <c r="I105" s="14" t="s">
        <v>49</v>
      </c>
      <c r="J105" s="19">
        <v>38.111999999999995</v>
      </c>
      <c r="M105" s="23"/>
      <c r="N105" s="23"/>
      <c r="O105" s="23"/>
    </row>
    <row r="106" spans="2:15">
      <c r="B106" s="15"/>
      <c r="D106" s="5" t="s">
        <v>36</v>
      </c>
      <c r="G106" s="15" t="s">
        <v>91</v>
      </c>
      <c r="H106" s="17">
        <v>38.111999999999995</v>
      </c>
      <c r="I106" s="14" t="s">
        <v>49</v>
      </c>
      <c r="J106" s="19">
        <v>38.111999999999995</v>
      </c>
      <c r="M106" s="23"/>
      <c r="N106" s="23"/>
      <c r="O106" s="23"/>
    </row>
    <row r="107" spans="2:15">
      <c r="B107" s="15"/>
      <c r="D107" s="5" t="s">
        <v>36</v>
      </c>
      <c r="G107" s="15" t="s">
        <v>92</v>
      </c>
      <c r="H107" s="17">
        <v>38.111999999999995</v>
      </c>
      <c r="I107" s="14" t="s">
        <v>49</v>
      </c>
      <c r="J107" s="19">
        <v>38.111999999999995</v>
      </c>
      <c r="M107" s="23"/>
      <c r="N107" s="23"/>
      <c r="O107" s="23"/>
    </row>
    <row r="108" spans="2:15">
      <c r="B108" s="15"/>
      <c r="D108" s="5" t="s">
        <v>36</v>
      </c>
      <c r="G108" s="15" t="s">
        <v>93</v>
      </c>
      <c r="H108" s="17">
        <v>38.111999999999995</v>
      </c>
      <c r="I108" s="14" t="s">
        <v>49</v>
      </c>
      <c r="J108" s="19">
        <v>38.111999999999995</v>
      </c>
      <c r="M108" s="23"/>
      <c r="N108" s="23"/>
      <c r="O108" s="23"/>
    </row>
    <row r="109" spans="2:15">
      <c r="B109" s="15"/>
      <c r="D109" s="5" t="s">
        <v>36</v>
      </c>
      <c r="G109" s="15" t="s">
        <v>94</v>
      </c>
      <c r="H109" s="17">
        <v>38.111999999999995</v>
      </c>
      <c r="I109" s="14" t="s">
        <v>49</v>
      </c>
      <c r="J109" s="19">
        <v>38.111999999999995</v>
      </c>
      <c r="M109" s="23"/>
      <c r="N109" s="23"/>
      <c r="O109" s="23"/>
    </row>
    <row r="110" spans="2:15">
      <c r="B110" s="15"/>
      <c r="D110" s="5" t="s">
        <v>36</v>
      </c>
      <c r="G110" s="15" t="s">
        <v>95</v>
      </c>
      <c r="H110" s="17">
        <v>38.111999999999995</v>
      </c>
      <c r="I110" s="14" t="s">
        <v>49</v>
      </c>
      <c r="J110" s="19">
        <v>38.111999999999995</v>
      </c>
      <c r="M110" s="23"/>
      <c r="N110" s="23"/>
      <c r="O110" s="23"/>
    </row>
    <row r="111" spans="2:15">
      <c r="B111" s="15"/>
      <c r="D111" s="5" t="s">
        <v>36</v>
      </c>
      <c r="G111" s="15" t="s">
        <v>96</v>
      </c>
      <c r="H111" s="17">
        <v>38.111999999999995</v>
      </c>
      <c r="I111" s="14" t="s">
        <v>49</v>
      </c>
      <c r="J111" s="19">
        <v>38.111999999999995</v>
      </c>
      <c r="M111" s="23"/>
      <c r="N111" s="23"/>
      <c r="O111" s="23"/>
    </row>
    <row r="112" spans="2:15">
      <c r="B112" s="15"/>
      <c r="D112" s="5" t="s">
        <v>36</v>
      </c>
      <c r="G112" s="15" t="s">
        <v>99</v>
      </c>
      <c r="H112" s="17">
        <v>38.111999999999995</v>
      </c>
      <c r="I112" s="14" t="s">
        <v>49</v>
      </c>
      <c r="J112" s="19">
        <v>38.111999999999995</v>
      </c>
      <c r="M112" s="23"/>
      <c r="N112" s="23"/>
      <c r="O112" s="23"/>
    </row>
    <row r="113" spans="2:15">
      <c r="B113" s="15"/>
      <c r="D113" s="5" t="s">
        <v>36</v>
      </c>
      <c r="G113" s="15" t="s">
        <v>100</v>
      </c>
      <c r="H113" s="17">
        <v>38.111999999999995</v>
      </c>
      <c r="I113" s="14" t="s">
        <v>49</v>
      </c>
      <c r="J113" s="19">
        <v>38.111999999999995</v>
      </c>
      <c r="M113" s="23"/>
      <c r="N113" s="23"/>
      <c r="O113" s="23"/>
    </row>
    <row r="114" spans="2:15">
      <c r="B114" s="15"/>
      <c r="D114" s="5" t="s">
        <v>36</v>
      </c>
      <c r="G114" s="15" t="s">
        <v>101</v>
      </c>
      <c r="H114" s="17">
        <v>38.111999999999995</v>
      </c>
      <c r="I114" s="14" t="s">
        <v>49</v>
      </c>
      <c r="J114" s="19">
        <v>38.111999999999995</v>
      </c>
      <c r="M114" s="23"/>
      <c r="N114" s="23"/>
      <c r="O114" s="23"/>
    </row>
    <row r="115" spans="2:15">
      <c r="B115" s="15"/>
      <c r="D115" s="5" t="s">
        <v>36</v>
      </c>
      <c r="G115" s="15" t="s">
        <v>102</v>
      </c>
      <c r="H115" s="17">
        <v>20.942</v>
      </c>
      <c r="I115" s="14" t="s">
        <v>49</v>
      </c>
      <c r="J115" s="19">
        <v>20.942</v>
      </c>
      <c r="M115" s="23"/>
      <c r="N115" s="23"/>
      <c r="O115" s="23"/>
    </row>
    <row r="116" spans="2:15">
      <c r="B116" s="15"/>
      <c r="D116" s="5" t="s">
        <v>36</v>
      </c>
      <c r="H116" s="17"/>
    </row>
    <row r="117" spans="2:15">
      <c r="B117" s="15"/>
      <c r="D117" s="5" t="s">
        <v>36</v>
      </c>
      <c r="F117" s="14" t="s">
        <v>107</v>
      </c>
      <c r="G117" s="15" t="s">
        <v>85</v>
      </c>
      <c r="H117" s="17">
        <v>21.398</v>
      </c>
      <c r="I117" s="14" t="s">
        <v>49</v>
      </c>
      <c r="J117" s="19">
        <v>21.398</v>
      </c>
      <c r="M117" s="23">
        <v>5800</v>
      </c>
      <c r="N117" s="23">
        <v>2</v>
      </c>
      <c r="O117" s="23">
        <v>4</v>
      </c>
    </row>
    <row r="118" spans="2:15">
      <c r="B118" s="15"/>
      <c r="D118" s="5" t="s">
        <v>36</v>
      </c>
      <c r="G118" s="15" t="s">
        <v>86</v>
      </c>
      <c r="H118" s="17">
        <v>38.111999999999995</v>
      </c>
      <c r="I118" s="14" t="s">
        <v>49</v>
      </c>
      <c r="J118" s="19">
        <v>38.111999999999995</v>
      </c>
      <c r="M118" s="23"/>
      <c r="N118" s="23"/>
      <c r="O118" s="23"/>
    </row>
    <row r="119" spans="2:15">
      <c r="B119" s="15"/>
      <c r="D119" s="5" t="s">
        <v>36</v>
      </c>
      <c r="G119" s="15" t="s">
        <v>87</v>
      </c>
      <c r="H119" s="17">
        <v>38.111999999999995</v>
      </c>
      <c r="I119" s="14" t="s">
        <v>49</v>
      </c>
      <c r="J119" s="19">
        <v>38.111999999999995</v>
      </c>
      <c r="M119" s="23"/>
      <c r="N119" s="23"/>
      <c r="O119" s="23"/>
    </row>
    <row r="120" spans="2:15">
      <c r="B120" s="15"/>
      <c r="D120" s="5" t="s">
        <v>36</v>
      </c>
      <c r="G120" s="15" t="s">
        <v>88</v>
      </c>
      <c r="H120" s="17">
        <v>38.111999999999995</v>
      </c>
      <c r="I120" s="14" t="s">
        <v>49</v>
      </c>
      <c r="J120" s="19">
        <v>38.111999999999995</v>
      </c>
      <c r="M120" s="23"/>
      <c r="N120" s="23"/>
      <c r="O120" s="23"/>
    </row>
    <row r="121" spans="2:15">
      <c r="B121" s="15"/>
      <c r="D121" s="5" t="s">
        <v>36</v>
      </c>
      <c r="G121" s="15" t="s">
        <v>89</v>
      </c>
      <c r="H121" s="17">
        <v>38.111999999999995</v>
      </c>
      <c r="I121" s="14" t="s">
        <v>49</v>
      </c>
      <c r="J121" s="19">
        <v>38.111999999999995</v>
      </c>
      <c r="M121" s="23"/>
      <c r="N121" s="23"/>
      <c r="O121" s="23"/>
    </row>
    <row r="122" spans="2:15">
      <c r="B122" s="15"/>
      <c r="D122" s="5" t="s">
        <v>36</v>
      </c>
      <c r="G122" s="15" t="s">
        <v>90</v>
      </c>
      <c r="H122" s="17">
        <v>38.111999999999995</v>
      </c>
      <c r="I122" s="14" t="s">
        <v>49</v>
      </c>
      <c r="J122" s="19">
        <v>38.111999999999995</v>
      </c>
      <c r="M122" s="23"/>
      <c r="N122" s="23"/>
      <c r="O122" s="23"/>
    </row>
    <row r="123" spans="2:15">
      <c r="B123" s="15"/>
      <c r="D123" s="5" t="s">
        <v>36</v>
      </c>
      <c r="G123" s="15" t="s">
        <v>91</v>
      </c>
      <c r="H123" s="17">
        <v>38.111999999999995</v>
      </c>
      <c r="I123" s="14" t="s">
        <v>49</v>
      </c>
      <c r="J123" s="19">
        <v>38.111999999999995</v>
      </c>
      <c r="M123" s="23"/>
      <c r="N123" s="23"/>
      <c r="O123" s="23"/>
    </row>
    <row r="124" spans="2:15">
      <c r="B124" s="15"/>
      <c r="D124" s="5" t="s">
        <v>36</v>
      </c>
      <c r="G124" s="15" t="s">
        <v>92</v>
      </c>
      <c r="H124" s="17">
        <v>38.111999999999995</v>
      </c>
      <c r="I124" s="14" t="s">
        <v>49</v>
      </c>
      <c r="J124" s="19">
        <v>38.111999999999995</v>
      </c>
      <c r="M124" s="23"/>
      <c r="N124" s="23"/>
      <c r="O124" s="23"/>
    </row>
    <row r="125" spans="2:15">
      <c r="B125" s="15"/>
      <c r="D125" s="5" t="s">
        <v>36</v>
      </c>
      <c r="G125" s="15" t="s">
        <v>93</v>
      </c>
      <c r="H125" s="17">
        <v>38.111999999999995</v>
      </c>
      <c r="I125" s="14" t="s">
        <v>49</v>
      </c>
      <c r="J125" s="19">
        <v>38.111999999999995</v>
      </c>
      <c r="M125" s="23"/>
      <c r="N125" s="23"/>
      <c r="O125" s="23"/>
    </row>
    <row r="126" spans="2:15">
      <c r="B126" s="15"/>
      <c r="D126" s="5" t="s">
        <v>36</v>
      </c>
      <c r="G126" s="15" t="s">
        <v>94</v>
      </c>
      <c r="H126" s="17">
        <v>38.111999999999995</v>
      </c>
      <c r="I126" s="14" t="s">
        <v>49</v>
      </c>
      <c r="J126" s="19">
        <v>38.111999999999995</v>
      </c>
      <c r="M126" s="23"/>
      <c r="N126" s="23"/>
      <c r="O126" s="23"/>
    </row>
    <row r="127" spans="2:15">
      <c r="B127" s="15"/>
      <c r="D127" s="5" t="s">
        <v>36</v>
      </c>
      <c r="G127" s="15" t="s">
        <v>95</v>
      </c>
      <c r="H127" s="17">
        <v>38.111999999999995</v>
      </c>
      <c r="I127" s="14" t="s">
        <v>49</v>
      </c>
      <c r="J127" s="19">
        <v>38.111999999999995</v>
      </c>
      <c r="M127" s="23"/>
      <c r="N127" s="23"/>
      <c r="O127" s="23"/>
    </row>
    <row r="128" spans="2:15">
      <c r="B128" s="15"/>
      <c r="D128" s="5" t="s">
        <v>36</v>
      </c>
      <c r="G128" s="15" t="s">
        <v>96</v>
      </c>
      <c r="H128" s="17">
        <v>38.111999999999995</v>
      </c>
      <c r="I128" s="14" t="s">
        <v>49</v>
      </c>
      <c r="J128" s="19">
        <v>38.111999999999995</v>
      </c>
      <c r="M128" s="23"/>
      <c r="N128" s="23"/>
      <c r="O128" s="23"/>
    </row>
    <row r="129" spans="2:15">
      <c r="B129" s="15"/>
      <c r="D129" s="5" t="s">
        <v>36</v>
      </c>
      <c r="G129" s="15" t="s">
        <v>99</v>
      </c>
      <c r="H129" s="17">
        <v>38.111999999999995</v>
      </c>
      <c r="I129" s="14" t="s">
        <v>49</v>
      </c>
      <c r="J129" s="19">
        <v>38.111999999999995</v>
      </c>
      <c r="M129" s="23"/>
      <c r="N129" s="23"/>
      <c r="O129" s="23"/>
    </row>
    <row r="130" spans="2:15">
      <c r="B130" s="15"/>
      <c r="D130" s="5" t="s">
        <v>36</v>
      </c>
      <c r="G130" s="15" t="s">
        <v>100</v>
      </c>
      <c r="H130" s="17">
        <v>38.111999999999995</v>
      </c>
      <c r="I130" s="14" t="s">
        <v>49</v>
      </c>
      <c r="J130" s="19">
        <v>38.111999999999995</v>
      </c>
      <c r="M130" s="23"/>
      <c r="N130" s="23"/>
      <c r="O130" s="23"/>
    </row>
    <row r="131" spans="2:15">
      <c r="B131" s="15"/>
      <c r="D131" s="5" t="s">
        <v>36</v>
      </c>
      <c r="G131" s="15" t="s">
        <v>101</v>
      </c>
      <c r="H131" s="17">
        <v>38.111999999999995</v>
      </c>
      <c r="I131" s="14" t="s">
        <v>49</v>
      </c>
      <c r="J131" s="19">
        <v>38.111999999999995</v>
      </c>
      <c r="M131" s="23"/>
      <c r="N131" s="23"/>
      <c r="O131" s="23"/>
    </row>
    <row r="132" spans="2:15">
      <c r="B132" s="15"/>
      <c r="D132" s="5" t="s">
        <v>36</v>
      </c>
      <c r="G132" s="15" t="s">
        <v>102</v>
      </c>
      <c r="H132" s="17">
        <v>20.942</v>
      </c>
      <c r="I132" s="14" t="s">
        <v>49</v>
      </c>
      <c r="J132" s="19">
        <v>20.942</v>
      </c>
      <c r="M132" s="23"/>
      <c r="N132" s="23"/>
      <c r="O132" s="23"/>
    </row>
    <row r="133" spans="2:15">
      <c r="B133" s="15"/>
      <c r="D133" s="5" t="s">
        <v>36</v>
      </c>
      <c r="H133" s="17"/>
    </row>
    <row r="134" spans="2:15">
      <c r="B134" s="15"/>
      <c r="D134" s="5" t="s">
        <v>36</v>
      </c>
      <c r="F134" s="14" t="s">
        <v>108</v>
      </c>
      <c r="G134" s="15" t="s">
        <v>85</v>
      </c>
      <c r="H134" s="17">
        <v>21.398</v>
      </c>
      <c r="I134" s="14" t="s">
        <v>49</v>
      </c>
      <c r="J134" s="19">
        <v>21.398</v>
      </c>
      <c r="M134" s="23">
        <v>5800</v>
      </c>
      <c r="N134" s="23">
        <v>2</v>
      </c>
      <c r="O134" s="23">
        <v>4</v>
      </c>
    </row>
    <row r="135" spans="2:15">
      <c r="B135" s="15"/>
      <c r="D135" s="5" t="s">
        <v>36</v>
      </c>
      <c r="G135" s="15" t="s">
        <v>86</v>
      </c>
      <c r="H135" s="17">
        <v>38.111999999999995</v>
      </c>
      <c r="I135" s="14" t="s">
        <v>49</v>
      </c>
      <c r="J135" s="19">
        <v>38.111999999999995</v>
      </c>
      <c r="M135" s="23"/>
      <c r="N135" s="23"/>
      <c r="O135" s="23"/>
    </row>
    <row r="136" spans="2:15">
      <c r="B136" s="15"/>
      <c r="D136" s="5" t="s">
        <v>36</v>
      </c>
      <c r="G136" s="15" t="s">
        <v>87</v>
      </c>
      <c r="H136" s="17">
        <v>38.111999999999995</v>
      </c>
      <c r="I136" s="14" t="s">
        <v>49</v>
      </c>
      <c r="J136" s="19">
        <v>38.111999999999995</v>
      </c>
      <c r="M136" s="23"/>
      <c r="N136" s="23"/>
      <c r="O136" s="23"/>
    </row>
    <row r="137" spans="2:15">
      <c r="B137" s="15"/>
      <c r="D137" s="5" t="s">
        <v>36</v>
      </c>
      <c r="G137" s="15" t="s">
        <v>88</v>
      </c>
      <c r="H137" s="17">
        <v>38.111999999999995</v>
      </c>
      <c r="I137" s="14" t="s">
        <v>49</v>
      </c>
      <c r="J137" s="19">
        <v>38.111999999999995</v>
      </c>
      <c r="M137" s="23"/>
      <c r="N137" s="23"/>
      <c r="O137" s="23"/>
    </row>
    <row r="138" spans="2:15">
      <c r="B138" s="15"/>
      <c r="D138" s="5" t="s">
        <v>36</v>
      </c>
      <c r="G138" s="15" t="s">
        <v>89</v>
      </c>
      <c r="H138" s="17">
        <v>38.111999999999995</v>
      </c>
      <c r="I138" s="14" t="s">
        <v>49</v>
      </c>
      <c r="J138" s="19">
        <v>38.111999999999995</v>
      </c>
      <c r="M138" s="23"/>
      <c r="N138" s="23"/>
      <c r="O138" s="23"/>
    </row>
    <row r="139" spans="2:15">
      <c r="B139" s="15"/>
      <c r="D139" s="5" t="s">
        <v>36</v>
      </c>
      <c r="G139" s="15" t="s">
        <v>90</v>
      </c>
      <c r="H139" s="17">
        <v>38.111999999999995</v>
      </c>
      <c r="I139" s="14" t="s">
        <v>49</v>
      </c>
      <c r="J139" s="19">
        <v>38.111999999999995</v>
      </c>
      <c r="M139" s="23"/>
      <c r="N139" s="23"/>
      <c r="O139" s="23"/>
    </row>
    <row r="140" spans="2:15">
      <c r="B140" s="15"/>
      <c r="D140" s="5" t="s">
        <v>36</v>
      </c>
      <c r="G140" s="15" t="s">
        <v>91</v>
      </c>
      <c r="H140" s="17">
        <v>38.111999999999995</v>
      </c>
      <c r="I140" s="14" t="s">
        <v>49</v>
      </c>
      <c r="J140" s="19">
        <v>38.111999999999995</v>
      </c>
      <c r="M140" s="23"/>
      <c r="N140" s="23"/>
      <c r="O140" s="23"/>
    </row>
    <row r="141" spans="2:15">
      <c r="B141" s="15"/>
      <c r="D141" s="5" t="s">
        <v>36</v>
      </c>
      <c r="G141" s="15" t="s">
        <v>92</v>
      </c>
      <c r="H141" s="17">
        <v>38.111999999999995</v>
      </c>
      <c r="I141" s="14" t="s">
        <v>49</v>
      </c>
      <c r="J141" s="19">
        <v>38.111999999999995</v>
      </c>
      <c r="M141" s="23"/>
      <c r="N141" s="23"/>
      <c r="O141" s="23"/>
    </row>
    <row r="142" spans="2:15">
      <c r="B142" s="15"/>
      <c r="D142" s="5" t="s">
        <v>36</v>
      </c>
      <c r="G142" s="15" t="s">
        <v>93</v>
      </c>
      <c r="H142" s="17">
        <v>38.111999999999995</v>
      </c>
      <c r="I142" s="14" t="s">
        <v>49</v>
      </c>
      <c r="J142" s="19">
        <v>38.111999999999995</v>
      </c>
      <c r="M142" s="23"/>
      <c r="N142" s="23"/>
      <c r="O142" s="23"/>
    </row>
    <row r="143" spans="2:15">
      <c r="B143" s="15"/>
      <c r="D143" s="5" t="s">
        <v>36</v>
      </c>
      <c r="G143" s="15" t="s">
        <v>94</v>
      </c>
      <c r="H143" s="17">
        <v>38.111999999999995</v>
      </c>
      <c r="I143" s="14" t="s">
        <v>49</v>
      </c>
      <c r="J143" s="19">
        <v>38.111999999999995</v>
      </c>
      <c r="M143" s="23"/>
      <c r="N143" s="23"/>
      <c r="O143" s="23"/>
    </row>
    <row r="144" spans="2:15">
      <c r="B144" s="15"/>
      <c r="D144" s="5" t="s">
        <v>36</v>
      </c>
      <c r="G144" s="15" t="s">
        <v>95</v>
      </c>
      <c r="H144" s="17">
        <v>38.111999999999995</v>
      </c>
      <c r="I144" s="14" t="s">
        <v>49</v>
      </c>
      <c r="J144" s="19">
        <v>38.111999999999995</v>
      </c>
      <c r="M144" s="23"/>
      <c r="N144" s="23"/>
      <c r="O144" s="23"/>
    </row>
    <row r="145" spans="2:15">
      <c r="B145" s="15"/>
      <c r="D145" s="5" t="s">
        <v>36</v>
      </c>
      <c r="G145" s="15" t="s">
        <v>96</v>
      </c>
      <c r="H145" s="17">
        <v>38.111999999999995</v>
      </c>
      <c r="I145" s="14" t="s">
        <v>49</v>
      </c>
      <c r="J145" s="19">
        <v>38.111999999999995</v>
      </c>
      <c r="M145" s="23"/>
      <c r="N145" s="23"/>
      <c r="O145" s="23"/>
    </row>
    <row r="146" spans="2:15">
      <c r="B146" s="15"/>
      <c r="D146" s="5" t="s">
        <v>36</v>
      </c>
      <c r="G146" s="15" t="s">
        <v>99</v>
      </c>
      <c r="H146" s="17">
        <v>38.111999999999995</v>
      </c>
      <c r="I146" s="14" t="s">
        <v>49</v>
      </c>
      <c r="J146" s="19">
        <v>38.111999999999995</v>
      </c>
      <c r="M146" s="23"/>
      <c r="N146" s="23"/>
      <c r="O146" s="23"/>
    </row>
    <row r="147" spans="2:15">
      <c r="B147" s="15"/>
      <c r="D147" s="5" t="s">
        <v>36</v>
      </c>
      <c r="G147" s="15" t="s">
        <v>100</v>
      </c>
      <c r="H147" s="17">
        <v>38.111999999999995</v>
      </c>
      <c r="I147" s="14" t="s">
        <v>49</v>
      </c>
      <c r="J147" s="19">
        <v>38.111999999999995</v>
      </c>
      <c r="M147" s="23"/>
      <c r="N147" s="23"/>
      <c r="O147" s="23"/>
    </row>
    <row r="148" spans="2:15">
      <c r="B148" s="15"/>
      <c r="D148" s="5" t="s">
        <v>36</v>
      </c>
      <c r="G148" s="15" t="s">
        <v>101</v>
      </c>
      <c r="H148" s="17">
        <v>38.111999999999995</v>
      </c>
      <c r="I148" s="14" t="s">
        <v>49</v>
      </c>
      <c r="J148" s="19">
        <v>38.111999999999995</v>
      </c>
      <c r="M148" s="23"/>
      <c r="N148" s="23"/>
      <c r="O148" s="23"/>
    </row>
    <row r="149" spans="2:15">
      <c r="B149" s="15"/>
      <c r="D149" s="5" t="s">
        <v>36</v>
      </c>
      <c r="G149" s="15" t="s">
        <v>102</v>
      </c>
      <c r="H149" s="17">
        <v>20.942</v>
      </c>
      <c r="I149" s="14" t="s">
        <v>49</v>
      </c>
      <c r="J149" s="19">
        <v>20.942</v>
      </c>
      <c r="M149" s="23"/>
      <c r="N149" s="23"/>
      <c r="O149" s="23"/>
    </row>
    <row r="150" spans="2:15">
      <c r="B150" s="15"/>
      <c r="D150" s="5" t="s">
        <v>36</v>
      </c>
      <c r="H150" s="17"/>
    </row>
    <row r="151" spans="2:15">
      <c r="B151" s="15"/>
      <c r="D151" s="5" t="s">
        <v>36</v>
      </c>
      <c r="F151" s="14" t="s">
        <v>109</v>
      </c>
      <c r="G151" s="15" t="s">
        <v>85</v>
      </c>
      <c r="H151" s="17">
        <v>21.398</v>
      </c>
      <c r="I151" s="14" t="s">
        <v>49</v>
      </c>
      <c r="J151" s="19">
        <v>21.398</v>
      </c>
      <c r="M151" s="23">
        <v>5800</v>
      </c>
      <c r="N151" s="23">
        <v>2</v>
      </c>
      <c r="O151" s="23">
        <v>4</v>
      </c>
    </row>
    <row r="152" spans="2:15">
      <c r="B152" s="15"/>
      <c r="D152" s="5" t="s">
        <v>36</v>
      </c>
      <c r="G152" s="15" t="s">
        <v>86</v>
      </c>
      <c r="H152" s="17">
        <v>38.111999999999995</v>
      </c>
      <c r="I152" s="14" t="s">
        <v>49</v>
      </c>
      <c r="J152" s="19">
        <v>38.111999999999995</v>
      </c>
      <c r="M152" s="23"/>
      <c r="N152" s="23"/>
      <c r="O152" s="23"/>
    </row>
    <row r="153" spans="2:15">
      <c r="B153" s="15"/>
      <c r="D153" s="5" t="s">
        <v>36</v>
      </c>
      <c r="G153" s="15" t="s">
        <v>87</v>
      </c>
      <c r="H153" s="17">
        <v>38.111999999999995</v>
      </c>
      <c r="I153" s="14" t="s">
        <v>49</v>
      </c>
      <c r="J153" s="19">
        <v>38.111999999999995</v>
      </c>
      <c r="M153" s="23"/>
      <c r="N153" s="23"/>
      <c r="O153" s="23"/>
    </row>
    <row r="154" spans="2:15">
      <c r="B154" s="15"/>
      <c r="D154" s="5" t="s">
        <v>36</v>
      </c>
      <c r="G154" s="15" t="s">
        <v>88</v>
      </c>
      <c r="H154" s="17">
        <v>38.111999999999995</v>
      </c>
      <c r="I154" s="14" t="s">
        <v>49</v>
      </c>
      <c r="J154" s="19">
        <v>38.111999999999995</v>
      </c>
      <c r="M154" s="23"/>
      <c r="N154" s="23"/>
      <c r="O154" s="23"/>
    </row>
    <row r="155" spans="2:15">
      <c r="B155" s="15"/>
      <c r="D155" s="5" t="s">
        <v>36</v>
      </c>
      <c r="G155" s="15" t="s">
        <v>89</v>
      </c>
      <c r="H155" s="17">
        <v>38.111999999999995</v>
      </c>
      <c r="I155" s="14" t="s">
        <v>49</v>
      </c>
      <c r="J155" s="19">
        <v>38.111999999999995</v>
      </c>
      <c r="M155" s="23"/>
      <c r="N155" s="23"/>
      <c r="O155" s="23"/>
    </row>
    <row r="156" spans="2:15">
      <c r="B156" s="15"/>
      <c r="D156" s="5" t="s">
        <v>36</v>
      </c>
      <c r="G156" s="15" t="s">
        <v>90</v>
      </c>
      <c r="H156" s="17">
        <v>38.111999999999995</v>
      </c>
      <c r="I156" s="14" t="s">
        <v>49</v>
      </c>
      <c r="J156" s="19">
        <v>38.111999999999995</v>
      </c>
      <c r="M156" s="23"/>
      <c r="N156" s="23"/>
      <c r="O156" s="23"/>
    </row>
    <row r="157" spans="2:15">
      <c r="B157" s="15"/>
      <c r="D157" s="5" t="s">
        <v>36</v>
      </c>
      <c r="G157" s="15" t="s">
        <v>91</v>
      </c>
      <c r="H157" s="17">
        <v>38.111999999999995</v>
      </c>
      <c r="I157" s="14" t="s">
        <v>49</v>
      </c>
      <c r="J157" s="19">
        <v>38.111999999999995</v>
      </c>
      <c r="M157" s="23"/>
      <c r="N157" s="23"/>
      <c r="O157" s="23"/>
    </row>
    <row r="158" spans="2:15">
      <c r="B158" s="15"/>
      <c r="D158" s="5" t="s">
        <v>36</v>
      </c>
      <c r="G158" s="15" t="s">
        <v>92</v>
      </c>
      <c r="H158" s="17">
        <v>38.111999999999995</v>
      </c>
      <c r="I158" s="14" t="s">
        <v>49</v>
      </c>
      <c r="J158" s="19">
        <v>38.111999999999995</v>
      </c>
      <c r="M158" s="23"/>
      <c r="N158" s="23"/>
      <c r="O158" s="23"/>
    </row>
    <row r="159" spans="2:15">
      <c r="B159" s="15"/>
      <c r="D159" s="5" t="s">
        <v>36</v>
      </c>
      <c r="G159" s="15" t="s">
        <v>93</v>
      </c>
      <c r="H159" s="17">
        <v>38.111999999999995</v>
      </c>
      <c r="I159" s="14" t="s">
        <v>49</v>
      </c>
      <c r="J159" s="19">
        <v>38.111999999999995</v>
      </c>
      <c r="M159" s="23"/>
      <c r="N159" s="23"/>
      <c r="O159" s="23"/>
    </row>
    <row r="160" spans="2:15">
      <c r="B160" s="15"/>
      <c r="D160" s="5" t="s">
        <v>36</v>
      </c>
      <c r="G160" s="15" t="s">
        <v>94</v>
      </c>
      <c r="H160" s="17">
        <v>38.111999999999995</v>
      </c>
      <c r="I160" s="14" t="s">
        <v>49</v>
      </c>
      <c r="J160" s="19">
        <v>38.111999999999995</v>
      </c>
      <c r="M160" s="23"/>
      <c r="N160" s="23"/>
      <c r="O160" s="23"/>
    </row>
    <row r="161" spans="2:15">
      <c r="B161" s="15"/>
      <c r="D161" s="5" t="s">
        <v>36</v>
      </c>
      <c r="G161" s="15" t="s">
        <v>95</v>
      </c>
      <c r="H161" s="17">
        <v>38.111999999999995</v>
      </c>
      <c r="I161" s="14" t="s">
        <v>49</v>
      </c>
      <c r="J161" s="19">
        <v>38.111999999999995</v>
      </c>
      <c r="M161" s="23"/>
      <c r="N161" s="23"/>
      <c r="O161" s="23"/>
    </row>
    <row r="162" spans="2:15">
      <c r="B162" s="15"/>
      <c r="D162" s="5" t="s">
        <v>36</v>
      </c>
      <c r="G162" s="15" t="s">
        <v>96</v>
      </c>
      <c r="H162" s="17">
        <v>38.111999999999995</v>
      </c>
      <c r="I162" s="14" t="s">
        <v>49</v>
      </c>
      <c r="J162" s="19">
        <v>38.111999999999995</v>
      </c>
      <c r="M162" s="23"/>
      <c r="N162" s="23"/>
      <c r="O162" s="23"/>
    </row>
    <row r="163" spans="2:15">
      <c r="B163" s="15"/>
      <c r="D163" s="5" t="s">
        <v>36</v>
      </c>
      <c r="G163" s="15" t="s">
        <v>99</v>
      </c>
      <c r="H163" s="17">
        <v>38.111999999999995</v>
      </c>
      <c r="I163" s="14" t="s">
        <v>49</v>
      </c>
      <c r="J163" s="19">
        <v>38.111999999999995</v>
      </c>
      <c r="M163" s="23"/>
      <c r="N163" s="23"/>
      <c r="O163" s="23"/>
    </row>
    <row r="164" spans="2:15">
      <c r="B164" s="15"/>
      <c r="D164" s="5" t="s">
        <v>36</v>
      </c>
      <c r="G164" s="15" t="s">
        <v>100</v>
      </c>
      <c r="H164" s="17">
        <v>38.111999999999995</v>
      </c>
      <c r="I164" s="14" t="s">
        <v>49</v>
      </c>
      <c r="J164" s="19">
        <v>38.111999999999995</v>
      </c>
      <c r="M164" s="23"/>
      <c r="N164" s="23"/>
      <c r="O164" s="23"/>
    </row>
    <row r="165" spans="2:15">
      <c r="B165" s="15"/>
      <c r="D165" s="5" t="s">
        <v>36</v>
      </c>
      <c r="G165" s="15" t="s">
        <v>101</v>
      </c>
      <c r="H165" s="17">
        <v>38.111999999999995</v>
      </c>
      <c r="I165" s="14" t="s">
        <v>49</v>
      </c>
      <c r="J165" s="19">
        <v>38.111999999999995</v>
      </c>
      <c r="M165" s="23"/>
      <c r="N165" s="23"/>
      <c r="O165" s="23"/>
    </row>
    <row r="166" spans="2:15">
      <c r="B166" s="15"/>
      <c r="D166" s="5" t="s">
        <v>36</v>
      </c>
      <c r="G166" s="15" t="s">
        <v>102</v>
      </c>
      <c r="H166" s="17">
        <v>20.942</v>
      </c>
      <c r="I166" s="14" t="s">
        <v>49</v>
      </c>
      <c r="J166" s="19">
        <v>20.942</v>
      </c>
      <c r="M166" s="23"/>
      <c r="N166" s="23"/>
      <c r="O166" s="23"/>
    </row>
    <row r="167" spans="2:15">
      <c r="B167" s="15"/>
      <c r="D167" s="5" t="s">
        <v>36</v>
      </c>
      <c r="H167" s="17"/>
    </row>
    <row r="168" spans="2:15">
      <c r="B168" s="15"/>
      <c r="H168" s="17"/>
    </row>
    <row r="169" spans="2:15">
      <c r="B169" s="15"/>
      <c r="H169" s="17"/>
    </row>
    <row r="170" spans="2:15">
      <c r="B170" s="15"/>
      <c r="H170" s="17"/>
    </row>
    <row r="171" spans="2:15">
      <c r="B171" s="15"/>
      <c r="H171" s="17"/>
    </row>
    <row r="172" spans="2:15">
      <c r="B172" s="15"/>
      <c r="H172" s="17"/>
    </row>
    <row r="173" spans="2:15">
      <c r="B173" s="15"/>
      <c r="H173" s="17"/>
    </row>
    <row r="174" spans="2:15">
      <c r="B174" s="15"/>
      <c r="H174" s="17"/>
    </row>
    <row r="175" spans="2:15">
      <c r="B175" s="15"/>
      <c r="H175" s="17"/>
    </row>
    <row r="176" spans="2:15">
      <c r="B176" s="15"/>
      <c r="H176" s="17"/>
    </row>
    <row r="177" spans="2:8">
      <c r="B177" s="15"/>
      <c r="H177" s="17"/>
    </row>
    <row r="178" spans="2:8">
      <c r="B178" s="15"/>
      <c r="H178" s="17"/>
    </row>
    <row r="179" spans="2:8">
      <c r="B179" s="15"/>
      <c r="H179" s="17"/>
    </row>
    <row r="180" spans="2:8">
      <c r="B180" s="15"/>
      <c r="H180" s="17"/>
    </row>
    <row r="181" spans="2:8">
      <c r="B181" s="15"/>
      <c r="H181" s="17"/>
    </row>
    <row r="182" spans="2:8">
      <c r="B182" s="15"/>
      <c r="H182" s="17"/>
    </row>
    <row r="183" spans="2:8">
      <c r="B183" s="15"/>
      <c r="H183" s="17"/>
    </row>
    <row r="184" spans="2:8">
      <c r="B184" s="15"/>
      <c r="H184" s="17"/>
    </row>
    <row r="185" spans="2:8">
      <c r="B185" s="15"/>
      <c r="H185" s="17"/>
    </row>
    <row r="186" spans="2:8">
      <c r="B186" s="15"/>
      <c r="H186" s="17"/>
    </row>
    <row r="187" spans="2:8">
      <c r="B187" s="15"/>
      <c r="H187" s="17"/>
    </row>
    <row r="188" spans="2:8">
      <c r="B188" s="15"/>
      <c r="H188" s="17"/>
    </row>
    <row r="189" spans="2:8">
      <c r="B189" s="15"/>
      <c r="H189" s="17"/>
    </row>
    <row r="190" spans="2:8">
      <c r="B190" s="15"/>
      <c r="H190" s="17"/>
    </row>
    <row r="191" spans="2:8">
      <c r="B191" s="15"/>
      <c r="H191" s="17"/>
    </row>
    <row r="192" spans="2:8">
      <c r="B192" s="15"/>
      <c r="H192" s="17"/>
    </row>
    <row r="193" spans="2:8">
      <c r="B193" s="15"/>
      <c r="H193" s="17"/>
    </row>
    <row r="194" spans="2:8">
      <c r="B194" s="15"/>
      <c r="H194" s="17"/>
    </row>
    <row r="195" spans="2:8">
      <c r="B195" s="15"/>
      <c r="H195" s="17"/>
    </row>
    <row r="196" spans="2:8">
      <c r="B196" s="15"/>
      <c r="H196" s="17"/>
    </row>
    <row r="197" spans="2:8">
      <c r="B197" s="15"/>
      <c r="H197" s="17"/>
    </row>
    <row r="198" spans="2:8">
      <c r="B198" s="15"/>
      <c r="H198" s="17"/>
    </row>
    <row r="199" spans="2:8">
      <c r="B199" s="15"/>
      <c r="H199" s="17"/>
    </row>
    <row r="200" spans="2:8">
      <c r="B200" s="15"/>
      <c r="H200" s="17"/>
    </row>
    <row r="201" spans="2:8">
      <c r="B201" s="15"/>
      <c r="H201" s="17"/>
    </row>
    <row r="202" spans="2:8">
      <c r="B202" s="15"/>
      <c r="H202" s="17"/>
    </row>
    <row r="203" spans="2:8">
      <c r="B203" s="15"/>
      <c r="H203" s="17"/>
    </row>
    <row r="204" spans="2:8">
      <c r="B204" s="15"/>
      <c r="H204" s="17"/>
    </row>
    <row r="205" spans="2:8">
      <c r="B205" s="15"/>
      <c r="H205" s="17"/>
    </row>
    <row r="206" spans="2:8">
      <c r="B206" s="15"/>
      <c r="H206" s="17"/>
    </row>
    <row r="207" spans="2:8">
      <c r="B207" s="15"/>
      <c r="H207" s="17"/>
    </row>
    <row r="208" spans="2:8">
      <c r="B208" s="15"/>
      <c r="H208" s="17"/>
    </row>
    <row r="209" spans="2:8">
      <c r="B209" s="15"/>
      <c r="H209" s="17"/>
    </row>
    <row r="210" spans="2:8">
      <c r="B210" s="15"/>
      <c r="H210" s="17"/>
    </row>
    <row r="211" spans="2:8">
      <c r="B211" s="15"/>
      <c r="H211" s="17"/>
    </row>
    <row r="212" spans="2:8">
      <c r="B212" s="15"/>
      <c r="H212" s="17"/>
    </row>
    <row r="213" spans="2:8">
      <c r="B213" s="15"/>
      <c r="H213" s="18"/>
    </row>
    <row r="214" spans="2:8">
      <c r="B214" s="15"/>
      <c r="H214" s="18"/>
    </row>
    <row r="215" spans="2:8">
      <c r="B215" s="15"/>
      <c r="H215" s="18"/>
    </row>
    <row r="216" spans="2:8">
      <c r="B216" s="15"/>
      <c r="H216" s="18"/>
    </row>
    <row r="217" spans="2:8">
      <c r="B217" s="15"/>
      <c r="H217" s="18"/>
    </row>
    <row r="218" spans="2:8">
      <c r="B218" s="15"/>
      <c r="H218" s="18"/>
    </row>
    <row r="219" spans="2:8">
      <c r="B219" s="15"/>
      <c r="H219" s="18"/>
    </row>
    <row r="220" spans="2:8">
      <c r="B220" s="15"/>
      <c r="H220" s="18"/>
    </row>
    <row r="221" spans="2:8">
      <c r="B221" s="15"/>
      <c r="H221" s="18"/>
    </row>
    <row r="222" spans="2:8">
      <c r="B222" s="15"/>
      <c r="H222" s="18"/>
    </row>
    <row r="223" spans="2:8">
      <c r="B223" s="15"/>
      <c r="H223" s="18"/>
    </row>
    <row r="224" spans="2:8">
      <c r="B224" s="15"/>
      <c r="H224" s="18"/>
    </row>
    <row r="225" spans="2:8">
      <c r="B225" s="15"/>
      <c r="H225" s="18"/>
    </row>
    <row r="226" spans="2:8">
      <c r="B226" s="15"/>
      <c r="H226" s="18"/>
    </row>
    <row r="227" spans="2:8">
      <c r="B227" s="15"/>
      <c r="H227" s="18"/>
    </row>
    <row r="228" spans="2:8">
      <c r="B228" s="15"/>
      <c r="H228" s="18"/>
    </row>
    <row r="229" spans="2:8">
      <c r="B229" s="15"/>
      <c r="H229" s="18"/>
    </row>
    <row r="230" spans="2:8">
      <c r="B230" s="15"/>
      <c r="H230" s="18"/>
    </row>
    <row r="231" spans="2:8">
      <c r="B231" s="15"/>
      <c r="H231" s="18"/>
    </row>
    <row r="232" spans="2:8">
      <c r="B232" s="15"/>
      <c r="H232" s="18"/>
    </row>
    <row r="233" spans="2:8">
      <c r="B233" s="15"/>
      <c r="H233" s="18"/>
    </row>
    <row r="234" spans="2:8">
      <c r="B234" s="15"/>
      <c r="H234" s="18"/>
    </row>
    <row r="235" spans="2:8">
      <c r="B235" s="15"/>
      <c r="H235" s="18"/>
    </row>
    <row r="236" spans="2:8">
      <c r="B236" s="15"/>
      <c r="H236" s="18"/>
    </row>
    <row r="237" spans="2:8">
      <c r="B237" s="15"/>
      <c r="H237" s="18"/>
    </row>
    <row r="238" spans="2:8">
      <c r="B238" s="15"/>
      <c r="H238" s="18"/>
    </row>
    <row r="239" spans="2:8">
      <c r="B239" s="15"/>
      <c r="H239" s="18"/>
    </row>
    <row r="240" spans="2:8">
      <c r="B240" s="15"/>
      <c r="H240" s="18"/>
    </row>
    <row r="241" spans="2:8">
      <c r="B241" s="15"/>
      <c r="H241" s="18"/>
    </row>
    <row r="242" spans="2:8">
      <c r="B242" s="15"/>
      <c r="H242" s="18"/>
    </row>
    <row r="243" spans="2:8">
      <c r="B243" s="15"/>
      <c r="H243" s="18"/>
    </row>
    <row r="244" spans="2:8">
      <c r="B244" s="15"/>
      <c r="H244" s="18"/>
    </row>
    <row r="245" spans="2:8">
      <c r="B245" s="15"/>
      <c r="H245" s="18"/>
    </row>
    <row r="246" spans="2:8">
      <c r="B246" s="15"/>
      <c r="H246" s="18"/>
    </row>
    <row r="247" spans="2:8">
      <c r="B247" s="15"/>
      <c r="H247" s="18"/>
    </row>
    <row r="248" spans="2:8">
      <c r="B248" s="15"/>
      <c r="H248" s="18"/>
    </row>
    <row r="249" spans="2:8">
      <c r="B249" s="15"/>
      <c r="H249" s="18"/>
    </row>
    <row r="250" spans="2:8">
      <c r="B250" s="15"/>
      <c r="H250" s="18"/>
    </row>
    <row r="251" spans="2:8">
      <c r="B251" s="15"/>
      <c r="H251" s="18"/>
    </row>
    <row r="252" spans="2:8">
      <c r="B252" s="15"/>
      <c r="H252" s="18"/>
    </row>
    <row r="253" spans="2:8">
      <c r="B253" s="15"/>
      <c r="H253" s="18"/>
    </row>
    <row r="254" spans="2:8">
      <c r="B254" s="15"/>
      <c r="H254" s="18"/>
    </row>
    <row r="255" spans="2:8">
      <c r="B255" s="15"/>
      <c r="H255" s="18"/>
    </row>
    <row r="256" spans="2:8">
      <c r="B256" s="15"/>
      <c r="H256" s="18"/>
    </row>
    <row r="257" spans="2:8">
      <c r="B257" s="15"/>
      <c r="H257" s="18"/>
    </row>
    <row r="258" spans="2:8">
      <c r="B258" s="15"/>
      <c r="H258" s="18"/>
    </row>
    <row r="259" spans="2:8">
      <c r="B259" s="15"/>
      <c r="H259" s="18"/>
    </row>
    <row r="260" spans="2:8">
      <c r="B260" s="15"/>
      <c r="H260" s="18"/>
    </row>
    <row r="261" spans="2:8">
      <c r="B261" s="15"/>
      <c r="H261" s="18"/>
    </row>
    <row r="262" spans="2:8">
      <c r="B262" s="15"/>
      <c r="H262" s="18"/>
    </row>
    <row r="263" spans="2:8">
      <c r="B263" s="15"/>
      <c r="H263" s="18"/>
    </row>
    <row r="264" spans="2:8">
      <c r="B264" s="15"/>
      <c r="H264" s="18"/>
    </row>
    <row r="265" spans="2:8">
      <c r="B265" s="15"/>
      <c r="H265" s="18"/>
    </row>
    <row r="266" spans="2:8">
      <c r="B266" s="15"/>
      <c r="H266" s="18"/>
    </row>
    <row r="267" spans="2:8">
      <c r="B267" s="15"/>
      <c r="H267" s="18"/>
    </row>
    <row r="268" spans="2:8">
      <c r="B268" s="15"/>
      <c r="H268" s="18"/>
    </row>
    <row r="269" spans="2:8">
      <c r="B269" s="15"/>
      <c r="H269" s="18"/>
    </row>
    <row r="270" spans="2:8">
      <c r="B270" s="15"/>
      <c r="H270" s="18"/>
    </row>
    <row r="271" spans="2:8">
      <c r="B271" s="15"/>
      <c r="H271" s="18"/>
    </row>
    <row r="272" spans="2:8">
      <c r="B272" s="15"/>
      <c r="H272" s="18"/>
    </row>
    <row r="273" spans="2:8">
      <c r="B273" s="15"/>
      <c r="H273" s="18"/>
    </row>
    <row r="274" spans="2:8">
      <c r="B274" s="15"/>
      <c r="H274" s="18"/>
    </row>
    <row r="275" spans="2:8">
      <c r="B275" s="15"/>
      <c r="H275" s="18"/>
    </row>
    <row r="276" spans="2:8">
      <c r="B276" s="15"/>
      <c r="H276" s="18"/>
    </row>
    <row r="277" spans="2:8">
      <c r="B277" s="15"/>
      <c r="H277" s="18"/>
    </row>
    <row r="278" spans="2:8">
      <c r="B278" s="15"/>
      <c r="H278" s="18"/>
    </row>
    <row r="279" spans="2:8">
      <c r="B279" s="15"/>
      <c r="H279" s="18"/>
    </row>
    <row r="280" spans="2:8">
      <c r="B280" s="15"/>
      <c r="H280" s="18"/>
    </row>
    <row r="281" spans="2:8">
      <c r="B281" s="15"/>
      <c r="H281" s="18"/>
    </row>
    <row r="282" spans="2:8">
      <c r="B282" s="15"/>
      <c r="H282" s="18"/>
    </row>
    <row r="283" spans="2:8">
      <c r="B283" s="15"/>
      <c r="H283" s="18"/>
    </row>
    <row r="284" spans="2:8">
      <c r="B284" s="15"/>
      <c r="H284" s="18"/>
    </row>
    <row r="285" spans="2:8">
      <c r="B285" s="15"/>
      <c r="H285" s="18"/>
    </row>
    <row r="286" spans="2:8">
      <c r="B286" s="15"/>
      <c r="H286" s="18"/>
    </row>
    <row r="287" spans="2:8">
      <c r="B287" s="15"/>
      <c r="H287" s="18"/>
    </row>
    <row r="288" spans="2:8">
      <c r="B288" s="15"/>
      <c r="H288" s="18"/>
    </row>
    <row r="289" spans="2:8">
      <c r="B289" s="15"/>
      <c r="H289" s="18"/>
    </row>
    <row r="290" spans="2:8">
      <c r="B290" s="15"/>
      <c r="H290" s="18"/>
    </row>
    <row r="291" spans="2:8">
      <c r="B291" s="15"/>
      <c r="H291" s="18"/>
    </row>
    <row r="292" spans="2:8">
      <c r="B292" s="15"/>
      <c r="H292" s="18"/>
    </row>
    <row r="293" spans="2:8">
      <c r="B293" s="15"/>
      <c r="H293" s="18"/>
    </row>
    <row r="294" spans="2:8">
      <c r="B294" s="15"/>
      <c r="H294" s="18"/>
    </row>
    <row r="295" spans="2:8">
      <c r="B295" s="15"/>
      <c r="H295" s="18"/>
    </row>
    <row r="296" spans="2:8">
      <c r="B296" s="15"/>
      <c r="H296" s="18"/>
    </row>
    <row r="297" spans="2:8">
      <c r="B297" s="15"/>
      <c r="H297" s="18"/>
    </row>
    <row r="298" spans="2:8">
      <c r="B298" s="15"/>
      <c r="H298" s="18"/>
    </row>
    <row r="299" spans="2:8">
      <c r="B299" s="15"/>
      <c r="H299" s="18"/>
    </row>
    <row r="300" spans="2:8">
      <c r="B300" s="15"/>
      <c r="H300" s="18"/>
    </row>
    <row r="301" spans="2:8">
      <c r="B301" s="15"/>
      <c r="H301" s="18"/>
    </row>
    <row r="302" spans="2:8">
      <c r="B302" s="15"/>
      <c r="H302" s="18"/>
    </row>
    <row r="303" spans="2:8">
      <c r="B303" s="15"/>
      <c r="H303" s="18"/>
    </row>
    <row r="304" spans="2:8">
      <c r="B304" s="15"/>
      <c r="H304" s="18"/>
    </row>
    <row r="305" spans="2:8">
      <c r="B305" s="15"/>
      <c r="H305" s="18"/>
    </row>
    <row r="306" spans="2:8">
      <c r="B306" s="15"/>
      <c r="H306" s="18"/>
    </row>
    <row r="307" spans="2:8">
      <c r="B307" s="15"/>
      <c r="H307" s="18"/>
    </row>
    <row r="308" spans="2:8">
      <c r="B308" s="15"/>
      <c r="H308" s="18"/>
    </row>
    <row r="309" spans="2:8">
      <c r="B309" s="15"/>
      <c r="H309" s="18"/>
    </row>
    <row r="310" spans="2:8">
      <c r="B310" s="15"/>
    </row>
    <row r="311" spans="2:8">
      <c r="B311" s="15"/>
    </row>
    <row r="312" spans="2:8">
      <c r="B312" s="15"/>
    </row>
    <row r="313" spans="2:8">
      <c r="B313" s="15"/>
    </row>
    <row r="314" spans="2:8">
      <c r="B314" s="15"/>
    </row>
    <row r="315" spans="2:8">
      <c r="B315" s="15"/>
    </row>
    <row r="316" spans="2:8">
      <c r="B316" s="15"/>
    </row>
    <row r="317" spans="2:8">
      <c r="B317" s="15"/>
    </row>
    <row r="318" spans="2:8">
      <c r="B318" s="15"/>
    </row>
    <row r="319" spans="2:8">
      <c r="B319" s="15"/>
    </row>
    <row r="320" spans="2:8">
      <c r="B320" s="15"/>
    </row>
    <row r="321" spans="2:2">
      <c r="B321" s="15"/>
    </row>
    <row r="322" spans="2:2">
      <c r="B322" s="15"/>
    </row>
    <row r="323" spans="2:2">
      <c r="B323" s="15"/>
    </row>
    <row r="324" spans="2:2">
      <c r="B324" s="15"/>
    </row>
    <row r="325" spans="2:2">
      <c r="B325" s="15"/>
    </row>
    <row r="326" spans="2:2">
      <c r="B326" s="15"/>
    </row>
  </sheetData>
  <mergeCells count="30">
    <mergeCell ref="M6:M17"/>
    <mergeCell ref="N6:N17"/>
    <mergeCell ref="O6:O17"/>
    <mergeCell ref="M19:M30"/>
    <mergeCell ref="N19:N30"/>
    <mergeCell ref="O19:O30"/>
    <mergeCell ref="M32:M47"/>
    <mergeCell ref="N32:N47"/>
    <mergeCell ref="O32:O47"/>
    <mergeCell ref="M49:M64"/>
    <mergeCell ref="N49:N64"/>
    <mergeCell ref="O49:O64"/>
    <mergeCell ref="M66:M81"/>
    <mergeCell ref="N66:N81"/>
    <mergeCell ref="O66:O81"/>
    <mergeCell ref="M83:M98"/>
    <mergeCell ref="N83:N98"/>
    <mergeCell ref="O83:O98"/>
    <mergeCell ref="M100:M115"/>
    <mergeCell ref="N100:N115"/>
    <mergeCell ref="O100:O115"/>
    <mergeCell ref="M117:M132"/>
    <mergeCell ref="N117:N132"/>
    <mergeCell ref="O117:O132"/>
    <mergeCell ref="M134:M149"/>
    <mergeCell ref="N134:N149"/>
    <mergeCell ref="O134:O149"/>
    <mergeCell ref="M151:M166"/>
    <mergeCell ref="N151:N166"/>
    <mergeCell ref="O151:O166"/>
  </mergeCells>
  <dataValidations count="4">
    <dataValidation type="list" allowBlank="1" showInputMessage="1" showErrorMessage="1" sqref="B5:B108" xr:uid="{861A2E65-802D-475C-8B62-50EFEF3E6241}">
      <formula1>"MAIN FARM, SHED/HOUSE, PEN, CAGE, STORE, QUARANTINE, SILO"</formula1>
    </dataValidation>
    <dataValidation type="list" allowBlank="1" showInputMessage="1" showErrorMessage="1" sqref="L5:L265" xr:uid="{9A78FD17-F5B7-4FA6-8ADC-2001BF17835B}">
      <formula1>"STORE, SILO"</formula1>
    </dataValidation>
    <dataValidation type="list" allowBlank="1" showInputMessage="1" showErrorMessage="1" sqref="I5:I320" xr:uid="{F7D1EABE-2FC3-4885-8EDF-D9B8FC81905F}">
      <formula1>"M2-Square Meter, FT2-Square Foot, YD2- Square Yard, ACRE, HECTARE"</formula1>
    </dataValidation>
    <dataValidation type="list" allowBlank="1" showInputMessage="1" showErrorMessage="1" sqref="B109:B326" xr:uid="{AB901CF5-0941-4E34-830C-7CCA456A4EF5}">
      <formula1>"MAIN FARM, SHED, PEN, CAGE, STORE, QUARANTINE, SILO"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1E76B-C8F2-48A1-8450-8E98A485475D}"/>
</file>

<file path=customXml/itemProps2.xml><?xml version="1.0" encoding="utf-8"?>
<ds:datastoreItem xmlns:ds="http://schemas.openxmlformats.org/officeDocument/2006/customXml" ds:itemID="{39396477-28A1-4F38-800E-243741986010}"/>
</file>

<file path=customXml/itemProps3.xml><?xml version="1.0" encoding="utf-8"?>
<ds:datastoreItem xmlns:ds="http://schemas.openxmlformats.org/officeDocument/2006/customXml" ds:itemID="{759C754C-6682-4D3F-B795-CC161A1E2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Taps Brighton</cp:lastModifiedBy>
  <cp:revision/>
  <dcterms:created xsi:type="dcterms:W3CDTF">2026-08-18T06:51:01Z</dcterms:created>
  <dcterms:modified xsi:type="dcterms:W3CDTF">2026-09-03T14:44:09Z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