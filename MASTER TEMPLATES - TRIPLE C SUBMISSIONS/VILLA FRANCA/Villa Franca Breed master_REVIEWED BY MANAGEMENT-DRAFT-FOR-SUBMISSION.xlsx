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plecpigs-my.sharepoint.com/personal/johan_grasmere_co_zw/Documents/Desktop/Navfarm/Breedmaster/"/>
    </mc:Choice>
  </mc:AlternateContent>
  <xr:revisionPtr revIDLastSave="0" documentId="8_{ECEFFD4B-1839-4F82-ACE4-FC3DF5C3EB92}" xr6:coauthVersionLast="47" xr6:coauthVersionMax="47" xr10:uidLastSave="{00000000-0000-0000-0000-000000000000}"/>
  <bookViews>
    <workbookView xWindow="-120" yWindow="-120" windowWidth="20730" windowHeight="11040" tabRatio="760" activeTab="1" xr2:uid="{00000000-000D-0000-FFFF-FFFF00000000}"/>
  </bookViews>
  <sheets>
    <sheet name="Breed Master" sheetId="2" r:id="rId1"/>
    <sheet name="Breed L-cycle stages gilts" sheetId="14" r:id="rId2"/>
    <sheet name="Breed lifecycle stages - reprod" sheetId="3" r:id="rId3"/>
    <sheet name="Breeder L-cycle stages -WeanGro" sheetId="13" r:id="rId4"/>
    <sheet name="Sample 10, 16 &amp; 27 wk variation" sheetId="4" r:id="rId5"/>
    <sheet name="Medication Table" sheetId="5" r:id="rId6"/>
    <sheet name="Gilt Feed schedule - Farr" sheetId="8" r:id="rId7"/>
    <sheet name="Sow Feed Schedule - Farr" sheetId="9" r:id="rId8"/>
    <sheet name="Feed schedule - In Dry Sow" sheetId="10" r:id="rId9"/>
    <sheet name="Service Line Feed Schedule" sheetId="11" r:id="rId10"/>
    <sheet name="Treatment Card" sheetId="12" r:id="rId11"/>
  </sheets>
  <externalReferences>
    <externalReference r:id="rId12"/>
    <externalReference r:id="rId13"/>
    <externalReference r:id="rId14"/>
  </externalReferences>
  <definedNames>
    <definedName name="_xlnm.Print_Area" localSheetId="8">'Feed schedule - In Dry Sow'!$B$1:$H$15</definedName>
    <definedName name="_xlnm.Print_Area" localSheetId="9">'Service Line Feed Schedule'!$B$1:$F$26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50" i="14" l="1"/>
  <c r="V48" i="14"/>
  <c r="V46" i="14"/>
  <c r="AE7" i="2" l="1"/>
  <c r="G23" i="11" l="1"/>
  <c r="G7" i="11"/>
  <c r="G8" i="11"/>
  <c r="G9" i="11"/>
  <c r="G10" i="11"/>
  <c r="G11" i="11"/>
  <c r="G12" i="11"/>
  <c r="G6" i="11"/>
  <c r="F19" i="11"/>
  <c r="B7" i="11"/>
  <c r="B8" i="11" s="1"/>
  <c r="B9" i="11" s="1"/>
  <c r="B10" i="11" s="1"/>
  <c r="B11" i="11" s="1"/>
  <c r="B12" i="11" s="1"/>
  <c r="K34" i="9" l="1"/>
  <c r="K37" i="9" s="1"/>
  <c r="Z30" i="9"/>
  <c r="K30" i="9"/>
  <c r="K40" i="9" s="1"/>
  <c r="F30" i="9"/>
  <c r="D30" i="9"/>
  <c r="C30" i="9"/>
  <c r="I27" i="9"/>
  <c r="J27" i="9" s="1"/>
  <c r="K27" i="9" s="1"/>
  <c r="L27" i="9" s="1"/>
  <c r="M27" i="9" s="1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X27" i="9" s="1"/>
  <c r="Y27" i="9" s="1"/>
  <c r="Z27" i="9" s="1"/>
  <c r="F13" i="9"/>
  <c r="F16" i="9" s="1"/>
  <c r="D13" i="9"/>
  <c r="D16" i="9" s="1"/>
  <c r="C13" i="9"/>
  <c r="C16" i="9" s="1"/>
  <c r="K10" i="9"/>
  <c r="K13" i="9" s="1"/>
  <c r="K16" i="9" s="1"/>
  <c r="Z8" i="9"/>
  <c r="Z11" i="9" s="1"/>
  <c r="Z13" i="9" s="1"/>
  <c r="Z15" i="9" s="1"/>
  <c r="Y6" i="9"/>
  <c r="Y30" i="9" s="1"/>
  <c r="X6" i="9"/>
  <c r="X30" i="9" s="1"/>
  <c r="W6" i="9"/>
  <c r="W30" i="9" s="1"/>
  <c r="V6" i="9"/>
  <c r="V8" i="9" s="1"/>
  <c r="V11" i="9" s="1"/>
  <c r="V13" i="9" s="1"/>
  <c r="V15" i="9" s="1"/>
  <c r="U6" i="9"/>
  <c r="T6" i="9"/>
  <c r="T8" i="9" s="1"/>
  <c r="T11" i="9" s="1"/>
  <c r="T13" i="9" s="1"/>
  <c r="T15" i="9" s="1"/>
  <c r="S6" i="9"/>
  <c r="S30" i="9" s="1"/>
  <c r="S32" i="9" s="1"/>
  <c r="R6" i="9"/>
  <c r="R30" i="9" s="1"/>
  <c r="R32" i="9" s="1"/>
  <c r="Q6" i="9"/>
  <c r="Q30" i="9" s="1"/>
  <c r="Q32" i="9" s="1"/>
  <c r="P6" i="9"/>
  <c r="P30" i="9" s="1"/>
  <c r="P32" i="9" s="1"/>
  <c r="O6" i="9"/>
  <c r="O8" i="9" s="1"/>
  <c r="O11" i="9" s="1"/>
  <c r="O15" i="9" s="1"/>
  <c r="N6" i="9"/>
  <c r="N30" i="9" s="1"/>
  <c r="M6" i="9"/>
  <c r="M30" i="9" s="1"/>
  <c r="L6" i="9"/>
  <c r="L10" i="9" s="1"/>
  <c r="L13" i="9" s="1"/>
  <c r="J6" i="9"/>
  <c r="J30" i="9" s="1"/>
  <c r="I6" i="9"/>
  <c r="I10" i="9" s="1"/>
  <c r="I13" i="9" s="1"/>
  <c r="H6" i="9"/>
  <c r="G6" i="9"/>
  <c r="G30" i="9" s="1"/>
  <c r="G37" i="9" s="1"/>
  <c r="B6" i="9"/>
  <c r="B13" i="9" s="1"/>
  <c r="B16" i="9" s="1"/>
  <c r="I3" i="9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H40" i="8"/>
  <c r="H36" i="8"/>
  <c r="G36" i="8"/>
  <c r="G40" i="8" s="1"/>
  <c r="E36" i="8"/>
  <c r="E40" i="8" s="1"/>
  <c r="AC30" i="8"/>
  <c r="AB30" i="8"/>
  <c r="AB7" i="8" s="1"/>
  <c r="AB8" i="8" s="1"/>
  <c r="AB11" i="8" s="1"/>
  <c r="AB13" i="8" s="1"/>
  <c r="AB15" i="8" s="1"/>
  <c r="AA30" i="8"/>
  <c r="AA7" i="8" s="1"/>
  <c r="Z30" i="8"/>
  <c r="Z7" i="8" s="1"/>
  <c r="Y30" i="8"/>
  <c r="Y7" i="8" s="1"/>
  <c r="X30" i="8"/>
  <c r="W30" i="8"/>
  <c r="W7" i="8" s="1"/>
  <c r="V30" i="8"/>
  <c r="V7" i="8" s="1"/>
  <c r="U30" i="8"/>
  <c r="U33" i="8" s="1"/>
  <c r="U36" i="8" s="1"/>
  <c r="U38" i="8" s="1"/>
  <c r="T30" i="8"/>
  <c r="T7" i="8" s="1"/>
  <c r="S30" i="8"/>
  <c r="S7" i="8" s="1"/>
  <c r="R30" i="8"/>
  <c r="R7" i="8" s="1"/>
  <c r="Q30" i="8"/>
  <c r="P30" i="8"/>
  <c r="P7" i="8" s="1"/>
  <c r="P10" i="8" s="1"/>
  <c r="P13" i="8" s="1"/>
  <c r="P15" i="8" s="1"/>
  <c r="O30" i="8"/>
  <c r="O7" i="8" s="1"/>
  <c r="O10" i="8" s="1"/>
  <c r="O13" i="8" s="1"/>
  <c r="N30" i="8"/>
  <c r="N7" i="8" s="1"/>
  <c r="N10" i="8" s="1"/>
  <c r="N13" i="8" s="1"/>
  <c r="M30" i="8"/>
  <c r="M33" i="8" s="1"/>
  <c r="M36" i="8" s="1"/>
  <c r="L30" i="8"/>
  <c r="L33" i="8" s="1"/>
  <c r="L36" i="8" s="1"/>
  <c r="K30" i="8"/>
  <c r="K33" i="8" s="1"/>
  <c r="K36" i="8" s="1"/>
  <c r="J30" i="8"/>
  <c r="J33" i="8" s="1"/>
  <c r="J36" i="8" s="1"/>
  <c r="I30" i="8"/>
  <c r="I36" i="8" s="1"/>
  <c r="D30" i="8"/>
  <c r="C30" i="8"/>
  <c r="B30" i="8"/>
  <c r="B7" i="8" s="1"/>
  <c r="H27" i="8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D27" i="8"/>
  <c r="E27" i="8" s="1"/>
  <c r="C27" i="8"/>
  <c r="H7" i="8"/>
  <c r="H13" i="8" s="1"/>
  <c r="G7" i="8"/>
  <c r="G13" i="8" s="1"/>
  <c r="E7" i="8"/>
  <c r="H4" i="8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C4" i="8"/>
  <c r="D4" i="8" s="1"/>
  <c r="E4" i="8" s="1"/>
  <c r="J7" i="8" l="1"/>
  <c r="J10" i="8" s="1"/>
  <c r="J13" i="8" s="1"/>
  <c r="M7" i="8"/>
  <c r="M10" i="8" s="1"/>
  <c r="M13" i="8" s="1"/>
  <c r="R8" i="9"/>
  <c r="L7" i="8"/>
  <c r="L10" i="8" s="1"/>
  <c r="L13" i="8" s="1"/>
  <c r="G13" i="9"/>
  <c r="G16" i="9" s="1"/>
  <c r="I16" i="9"/>
  <c r="K7" i="8"/>
  <c r="K10" i="8" s="1"/>
  <c r="K13" i="8" s="1"/>
  <c r="I7" i="8"/>
  <c r="I13" i="8" s="1"/>
  <c r="W8" i="9"/>
  <c r="W11" i="9" s="1"/>
  <c r="W13" i="9" s="1"/>
  <c r="W15" i="9" s="1"/>
  <c r="W8" i="8"/>
  <c r="W11" i="8" s="1"/>
  <c r="W13" i="8" s="1"/>
  <c r="W15" i="8" s="1"/>
  <c r="P8" i="9"/>
  <c r="P11" i="9" s="1"/>
  <c r="P15" i="9" s="1"/>
  <c r="O30" i="9"/>
  <c r="O32" i="9" s="1"/>
  <c r="O35" i="9" s="1"/>
  <c r="O39" i="9" s="1"/>
  <c r="Z8" i="8"/>
  <c r="Z11" i="8" s="1"/>
  <c r="Z13" i="8" s="1"/>
  <c r="Z15" i="8" s="1"/>
  <c r="T16" i="9"/>
  <c r="X8" i="9"/>
  <c r="X11" i="9" s="1"/>
  <c r="X13" i="9" s="1"/>
  <c r="X15" i="9" s="1"/>
  <c r="N17" i="8"/>
  <c r="T30" i="9"/>
  <c r="T32" i="9" s="1"/>
  <c r="T35" i="9" s="1"/>
  <c r="T37" i="9" s="1"/>
  <c r="T39" i="9" s="1"/>
  <c r="B30" i="9"/>
  <c r="B37" i="9" s="1"/>
  <c r="B40" i="9" s="1"/>
  <c r="Y8" i="9"/>
  <c r="Y11" i="9" s="1"/>
  <c r="Y13" i="9" s="1"/>
  <c r="Y15" i="9" s="1"/>
  <c r="H13" i="9"/>
  <c r="H16" i="9" s="1"/>
  <c r="H30" i="9"/>
  <c r="V16" i="9"/>
  <c r="J34" i="9"/>
  <c r="J37" i="9" s="1"/>
  <c r="W32" i="9"/>
  <c r="W35" i="9" s="1"/>
  <c r="W37" i="9" s="1"/>
  <c r="W39" i="9" s="1"/>
  <c r="S35" i="9"/>
  <c r="S39" i="9" s="1"/>
  <c r="S40" i="9" s="1"/>
  <c r="U8" i="9"/>
  <c r="U11" i="9" s="1"/>
  <c r="U13" i="9" s="1"/>
  <c r="U15" i="9" s="1"/>
  <c r="U30" i="9"/>
  <c r="Q35" i="9"/>
  <c r="Q39" i="9" s="1"/>
  <c r="R35" i="9"/>
  <c r="R39" i="9" s="1"/>
  <c r="X32" i="9"/>
  <c r="X35" i="9" s="1"/>
  <c r="X37" i="9" s="1"/>
  <c r="X39" i="9" s="1"/>
  <c r="M34" i="9"/>
  <c r="M37" i="9" s="1"/>
  <c r="P35" i="9"/>
  <c r="P39" i="9" s="1"/>
  <c r="Y32" i="9"/>
  <c r="Y35" i="9" s="1"/>
  <c r="Y37" i="9" s="1"/>
  <c r="Y39" i="9" s="1"/>
  <c r="N34" i="9"/>
  <c r="N37" i="9" s="1"/>
  <c r="O16" i="9"/>
  <c r="J10" i="9"/>
  <c r="I30" i="9"/>
  <c r="Q8" i="9"/>
  <c r="Q11" i="9" s="1"/>
  <c r="Q15" i="9" s="1"/>
  <c r="V30" i="9"/>
  <c r="C37" i="9"/>
  <c r="C40" i="9" s="1"/>
  <c r="G40" i="9"/>
  <c r="D37" i="9"/>
  <c r="D40" i="9" s="1"/>
  <c r="S8" i="9"/>
  <c r="S11" i="9" s="1"/>
  <c r="S15" i="9" s="1"/>
  <c r="M10" i="9"/>
  <c r="M13" i="9" s="1"/>
  <c r="L30" i="9"/>
  <c r="F37" i="9"/>
  <c r="F40" i="9" s="1"/>
  <c r="L16" i="9"/>
  <c r="Z16" i="9"/>
  <c r="N10" i="9"/>
  <c r="N13" i="9" s="1"/>
  <c r="Z32" i="9"/>
  <c r="Z35" i="9" s="1"/>
  <c r="Z37" i="9" s="1"/>
  <c r="Z39" i="9" s="1"/>
  <c r="V8" i="8"/>
  <c r="V11" i="8" s="1"/>
  <c r="V13" i="8" s="1"/>
  <c r="V15" i="8" s="1"/>
  <c r="Y8" i="8"/>
  <c r="Y11" i="8" s="1"/>
  <c r="P17" i="8"/>
  <c r="B13" i="8"/>
  <c r="B17" i="8" s="1"/>
  <c r="R10" i="8"/>
  <c r="R13" i="8" s="1"/>
  <c r="R15" i="8" s="1"/>
  <c r="AA8" i="8"/>
  <c r="AA11" i="8" s="1"/>
  <c r="AA13" i="8" s="1"/>
  <c r="AB17" i="8"/>
  <c r="S10" i="8"/>
  <c r="S13" i="8" s="1"/>
  <c r="S15" i="8" s="1"/>
  <c r="S17" i="8"/>
  <c r="O17" i="8"/>
  <c r="T10" i="8"/>
  <c r="T13" i="8" s="1"/>
  <c r="T15" i="8" s="1"/>
  <c r="V31" i="8"/>
  <c r="V34" i="8" s="1"/>
  <c r="V36" i="8" s="1"/>
  <c r="V38" i="8" s="1"/>
  <c r="N33" i="8"/>
  <c r="N36" i="8" s="1"/>
  <c r="W31" i="8"/>
  <c r="W34" i="8" s="1"/>
  <c r="W36" i="8" s="1"/>
  <c r="W38" i="8" s="1"/>
  <c r="O33" i="8"/>
  <c r="O36" i="8" s="1"/>
  <c r="X31" i="8"/>
  <c r="X34" i="8" s="1"/>
  <c r="X36" i="8" s="1"/>
  <c r="X38" i="8" s="1"/>
  <c r="P33" i="8"/>
  <c r="P36" i="8" s="1"/>
  <c r="P38" i="8" s="1"/>
  <c r="Y31" i="8"/>
  <c r="Y34" i="8" s="1"/>
  <c r="Y36" i="8" s="1"/>
  <c r="Y38" i="8" s="1"/>
  <c r="Q33" i="8"/>
  <c r="Q36" i="8" s="1"/>
  <c r="Q38" i="8" s="1"/>
  <c r="I40" i="8"/>
  <c r="U40" i="8"/>
  <c r="Z31" i="8"/>
  <c r="Z34" i="8" s="1"/>
  <c r="Z36" i="8" s="1"/>
  <c r="Z38" i="8" s="1"/>
  <c r="R33" i="8"/>
  <c r="R36" i="8" s="1"/>
  <c r="R38" i="8" s="1"/>
  <c r="B36" i="8"/>
  <c r="B40" i="8" s="1"/>
  <c r="J40" i="8"/>
  <c r="X7" i="8"/>
  <c r="AA31" i="8"/>
  <c r="AA34" i="8" s="1"/>
  <c r="AA36" i="8" s="1"/>
  <c r="AA38" i="8" s="1"/>
  <c r="S33" i="8"/>
  <c r="S36" i="8" s="1"/>
  <c r="S38" i="8" s="1"/>
  <c r="C36" i="8"/>
  <c r="C40" i="8" s="1"/>
  <c r="K40" i="8"/>
  <c r="AB31" i="8"/>
  <c r="AB34" i="8" s="1"/>
  <c r="AB36" i="8" s="1"/>
  <c r="AB38" i="8" s="1"/>
  <c r="T33" i="8"/>
  <c r="T36" i="8" s="1"/>
  <c r="T38" i="8" s="1"/>
  <c r="D36" i="8"/>
  <c r="D40" i="8" s="1"/>
  <c r="L40" i="8"/>
  <c r="G17" i="8"/>
  <c r="H17" i="8"/>
  <c r="U7" i="8"/>
  <c r="AC31" i="8"/>
  <c r="AC34" i="8" s="1"/>
  <c r="AC36" i="8" s="1"/>
  <c r="AC38" i="8" s="1"/>
  <c r="M40" i="8"/>
  <c r="L17" i="8"/>
  <c r="E13" i="8"/>
  <c r="E17" i="8" s="1"/>
  <c r="M17" i="8"/>
  <c r="C7" i="8"/>
  <c r="D7" i="8"/>
  <c r="Q7" i="8"/>
  <c r="AC7" i="8"/>
  <c r="Y16" i="9" l="1"/>
  <c r="I17" i="8"/>
  <c r="R11" i="9"/>
  <c r="R15" i="9" s="1"/>
  <c r="R16" i="9"/>
  <c r="Y13" i="8"/>
  <c r="Y15" i="8" s="1"/>
  <c r="Y17" i="8"/>
  <c r="AA15" i="8"/>
  <c r="AA17" i="8" s="1"/>
  <c r="W16" i="9"/>
  <c r="P16" i="9"/>
  <c r="K17" i="8"/>
  <c r="R40" i="9"/>
  <c r="Z17" i="8"/>
  <c r="Q40" i="9"/>
  <c r="Y40" i="8"/>
  <c r="AB40" i="8"/>
  <c r="Z40" i="9"/>
  <c r="N40" i="8"/>
  <c r="S16" i="9"/>
  <c r="U16" i="9"/>
  <c r="Q16" i="9"/>
  <c r="T17" i="8"/>
  <c r="S40" i="8"/>
  <c r="V40" i="8"/>
  <c r="AC40" i="8"/>
  <c r="V17" i="8"/>
  <c r="N40" i="9"/>
  <c r="J40" i="9"/>
  <c r="T40" i="9"/>
  <c r="X16" i="9"/>
  <c r="Q40" i="8"/>
  <c r="P40" i="8"/>
  <c r="AA40" i="8"/>
  <c r="X40" i="8"/>
  <c r="R17" i="8"/>
  <c r="M16" i="9"/>
  <c r="P40" i="9"/>
  <c r="O40" i="9"/>
  <c r="W17" i="8"/>
  <c r="V32" i="9"/>
  <c r="V35" i="9" s="1"/>
  <c r="V37" i="9" s="1"/>
  <c r="V39" i="9" s="1"/>
  <c r="L34" i="9"/>
  <c r="L37" i="9" s="1"/>
  <c r="J13" i="9"/>
  <c r="J16" i="9" s="1"/>
  <c r="W40" i="9"/>
  <c r="N16" i="9"/>
  <c r="H37" i="9"/>
  <c r="H40" i="9" s="1"/>
  <c r="I34" i="9"/>
  <c r="I37" i="9" s="1"/>
  <c r="X40" i="9"/>
  <c r="Y40" i="9"/>
  <c r="U32" i="9"/>
  <c r="U35" i="9" s="1"/>
  <c r="U37" i="9" s="1"/>
  <c r="U39" i="9" s="1"/>
  <c r="M40" i="9"/>
  <c r="C13" i="8"/>
  <c r="C17" i="8" s="1"/>
  <c r="R40" i="8"/>
  <c r="Z40" i="8"/>
  <c r="AC8" i="8"/>
  <c r="AC11" i="8" s="1"/>
  <c r="AC13" i="8" s="1"/>
  <c r="AC15" i="8" s="1"/>
  <c r="T40" i="8"/>
  <c r="W40" i="8"/>
  <c r="J17" i="8"/>
  <c r="U10" i="8"/>
  <c r="U13" i="8" s="1"/>
  <c r="U15" i="8" s="1"/>
  <c r="X8" i="8"/>
  <c r="X11" i="8" s="1"/>
  <c r="X13" i="8" s="1"/>
  <c r="X15" i="8" s="1"/>
  <c r="O40" i="8"/>
  <c r="Q10" i="8"/>
  <c r="Q13" i="8" s="1"/>
  <c r="Q15" i="8" s="1"/>
  <c r="D13" i="8"/>
  <c r="D17" i="8" s="1"/>
  <c r="I40" i="9" l="1"/>
  <c r="U40" i="9"/>
  <c r="L40" i="9"/>
  <c r="V40" i="9"/>
  <c r="U17" i="8"/>
  <c r="AC17" i="8"/>
  <c r="Q17" i="8"/>
  <c r="X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520978D3-7AE6-4C5C-90FA-283421CCD7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Measurement field TBD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tc={FA84511C-FBBA-425D-B169-2B87D929A6BF}</author>
    <author>tc={3AE8BCF0-9549-4629-A25A-95A7DDBD9414}</author>
    <author>tc={6C919AC2-D6F6-42AA-AD32-86261C6C35A8}</author>
    <author>tc={D86A17BE-2566-41D5-B15A-355C894C0C27}</author>
    <author>tc={6F069DB3-9EDF-4058-BB1E-E67D87F8CBB8}</author>
    <author>tc={EF2929D6-A0D6-468E-831E-39FF571539D8}</author>
    <author>tc={9507AFAB-D7ED-46CB-AE5C-FAB3AFF8EAFA}</author>
    <author>tc={81115E5E-932E-4868-8558-60F5BDCD67A4}</author>
  </authors>
  <commentList>
    <comment ref="AB4" authorId="0" shapeId="0" xr:uid="{FA84511C-FBBA-425D-B169-2B87D929A6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sheet - Gilt variation charts as an example of how we capture variation as well as NOP in each </t>
      </text>
    </comment>
    <comment ref="AI24" authorId="1" shapeId="0" xr:uid="{3AE8BCF0-9549-4629-A25A-95A7DDBD9414}">
      <text>
        <t>[Threaded comment]
Your version of Excel allows you to read this threaded comment; however, any edits to it will get removed if the file is opened in a newer version of Excel. Learn more: https://go.microsoft.com/fwlink/?linkid=870924
Comment:
    We would like to start recording heats starting at 21 weeks of the gilts age so this needs to be a selection option available from time that the gilt is processed at 10 weeks</t>
      </text>
    </comment>
    <comment ref="AI35" authorId="2" shapeId="0" xr:uid="{6C919AC2-D6F6-42AA-AD32-86261C6C35A8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to know how many animals did not come on heat by 28 weeks</t>
      </text>
    </comment>
    <comment ref="AD45" authorId="3" shapeId="0" xr:uid="{D86A17BE-2566-41D5-B15A-355C894C0C2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the range</t>
      </text>
    </comment>
    <comment ref="H55" authorId="4" shapeId="0" xr:uid="{6F069DB3-9EDF-4058-BB1E-E67D87F8CBB8}">
      <text>
        <t>[Threaded comment]
Your version of Excel allows you to read this threaded comment; however, any edits to it will get removed if the file is opened in a newer version of Excel. Learn more: https://go.microsoft.com/fwlink/?linkid=870924
Comment:
    Alert to cull if gilt is 35 weeks or older still in service line or still in gilt rearing</t>
      </text>
    </comment>
    <comment ref="X88" authorId="5" shapeId="0" xr:uid="{EF2929D6-A0D6-468E-831E-39FF571539D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A88" authorId="6" shapeId="0" xr:uid="{9507AFAB-D7ED-46CB-AE5C-FAB3AFF8EA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need a field to measure current gilt farrow rates per batch and the reasons for any losses
</t>
      </text>
    </comment>
    <comment ref="AD88" authorId="7" shapeId="0" xr:uid="{81115E5E-932E-4868-8558-60F5BDCD67A4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to know the % of animals going into the farrowing house within these target ranges and what the variation of this looks like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tc={C4273B91-7895-4F44-B9D0-9B8895543184}</author>
    <author>tc={64F9C030-3969-4BC6-B9EC-0C0DF71CE148}</author>
    <author>tc={39FB1CF9-E1FC-4555-84DB-05BF5214E4A0}</author>
    <author>tc={06F76ED0-EEB6-4E8B-9F94-50013BF641A8}</author>
    <author>tc={E140E2B9-91BB-4DEF-A5DD-FF5BBCB4A55C}</author>
    <author>tc={5BEF8D7B-E643-4FE0-B6D8-F5F78791BDA8}</author>
    <author>tc={B86199BA-0528-4AFE-95F0-2F0FC1E29D3C}</author>
    <author>tc={C81A3BB2-2336-4611-83A6-87A6F5BFBCE5}</author>
    <author>tc={606A286D-A9E2-403A-95E7-293B86E28419}</author>
    <author>tc={3F059158-10F1-41AD-82AF-0698512E7A63}</author>
    <author>tc={923847B4-D5E2-4BFE-B720-9369FE2F1693}</author>
    <author>tc={EC604780-89AE-4D4F-8780-5EFC57C59D53}</author>
    <author>tc={79BB0177-2012-47AD-96AF-6D6CB94093B5}</author>
    <author>tc={B0CC2AF1-7815-439B-8315-35E63C165527}</author>
    <author>tc={BE145241-13D4-422B-9328-645C21A713CE}</author>
    <author>tc={5D17582C-8B6C-4EB9-8D24-D8CDDA512A93}</author>
    <author>tc={B67711A9-36C8-46A6-A58E-B9A64DA3063D}</author>
    <author>tc={005E2E9B-0D43-414C-8D2D-01D87B2AB155}</author>
    <author>tc={8F8E6FE4-2C2A-44FE-A5AD-03D3ACC6B5A7}</author>
    <author>tc={63C9090C-533C-415E-A278-F7B6EB60CD61}</author>
    <author>Tapiwa Mupambuzi</author>
    <author>tc={A53A854F-9F95-40D4-BCA0-C4D306A60BFC}</author>
    <author>tc={4FFBF33D-C276-4736-811A-107303E3417B}</author>
    <author>tc={1DFBA65A-43E8-477A-A1A8-96739C19572C}</author>
    <author>tc={12DFA771-046F-4EE2-AD05-AC5332A2952C}</author>
    <author>tc={A93D4963-0A48-4BB3-B33A-384B314BD3EC}</author>
    <author>tc={6EB69285-27B1-4B5C-AE8F-5E91AD47DCD1}</author>
    <author>tc={3FD77B1C-59F9-4349-BE3F-C74B84D4B39F}</author>
    <author>tc={A9A8D83D-4887-4DE6-ABE7-72B49FFDC04C}</author>
    <author>tc={5C5B2C61-C3C0-4C0D-9551-E804B1F0823F}</author>
    <author>tc={99F84665-992A-4747-85A7-CCEA795603E1}</author>
    <author>tc={2C918893-C9FE-425F-853D-233ABACD8BF2}</author>
    <author>tc={774260C4-5BA8-4F39-9398-092995B46110}</author>
    <author>tc={87362BF1-145A-4362-B6A5-0AF0F98559AB}</author>
    <author>tc={531A2190-48E7-4021-A15A-9F32EF057CD5}</author>
    <author>tc={FC8326DC-12BA-482B-B206-47A40A35ADF1}</author>
    <author>tc={0E19D2EB-0F5C-4CDB-A007-CEAEFEDE7802}</author>
    <author>tc={45BDA2F9-4E3E-4271-B4B0-D7196A82E142}</author>
    <author>tc={87102B14-507E-482B-8EB2-C945322AD96E}</author>
    <author>tc={6945E3CF-804E-4447-BFA9-F8D2EB4615B5}</author>
    <author>tc={A777C0CA-D511-4E85-9536-F612E1DAEB1A}</author>
    <author>tc={CCB4D7D7-2FEC-4315-ACC2-2335D068A79A}</author>
    <author>tc={8232B86D-2EC6-4C46-815B-D1E614F888D8}</author>
    <author>tc={ED8CA395-34EC-4D89-9FD9-C85E3995194C}</author>
    <author>tc={63542C5F-795F-410B-B35B-F53B5C605791}</author>
    <author>tc={1C3AAEF1-0ACB-41AB-B25D-EED7374E4388}</author>
    <author>tc={8F9938EA-4BFD-4805-8CC9-4C8EFB793BEB}</author>
    <author>tc={70B0CBD9-57ED-4AD4-B91C-514A845FC806}</author>
    <author>tc={67BD744C-4474-4606-862C-7A2C5E54E6A1}</author>
    <author>tc={535EADBF-2990-4B78-A3B8-1B4745881FC5}</author>
    <author>tc={CC6CF770-20DD-4DAB-BAC4-861BDE19A103}</author>
    <author>tc={AA94ECB7-9772-476D-94DE-207213F8E82C}</author>
    <author>tc={EF5C0544-A2A1-4CFE-BBE4-EBDC04C2CDD6}</author>
    <author>tc={6A8739CC-D1C1-48A0-952C-2D55AA9E4E37}</author>
    <author>tc={C09D9842-26F4-4765-8E24-F4272DA7106E}</author>
    <author>tc={079A852B-56A9-44A9-BA61-BA8DD9CD0904}</author>
    <author>tc={F0407784-4D39-45BD-8113-E296165AE1E0}</author>
    <author>tc={AB2C6854-6541-4F0E-B870-E1D59474AA71}</author>
    <author>tc={46637996-0F3F-45F0-B28F-503655A05E13}</author>
    <author>tc={38F998E0-7AEE-4666-BC73-32DC766390EE}</author>
    <author>tc={B58113EB-949D-4188-ABEE-0AD7740B1CDB}</author>
    <author>tc={09E35320-488C-44D2-966D-12E8B88436C1}</author>
    <author>tc={77FBF8E4-C5CF-4BFD-8F10-14A5BCC341B2}</author>
    <author>tc={87BF816E-B0C4-404C-A2A4-A0D71AB4847C}</author>
    <author>tc={62FF06D2-8E7F-46FF-A237-6915ECD16C52}</author>
    <author>tc={73A1123C-8B3A-48B9-9D86-6189C32EB2FF}</author>
    <author>tc={62F15D04-42CC-4C52-A88E-29900FE69DFB}</author>
    <author>tc={B8B435EB-AE3B-4053-A88D-368E4DE370F9}</author>
    <author>tc={8B4D456E-E0FA-440B-9DC8-69099621180E}</author>
    <author>tc={05D497BE-C872-480F-9093-1C5D5552B685}</author>
    <author>tc={CA230716-E095-4645-B151-33876B6499DC}</author>
    <author>tc={D207038B-F155-4C1A-95EF-D0F35CAD23D0}</author>
    <author>tc={191D42CC-38CF-4C89-9E86-5D334F4FCAC0}</author>
    <author>tc={5F759137-0D49-4204-B60B-4543D07344AA}</author>
    <author>tc={AA4EC1ED-7795-4BE3-8E3D-9B46842F2E96}</author>
    <author>tc={F9D44C27-262D-48F2-A2D7-AC8246BE7368}</author>
    <author>tc={1299FBFC-7233-4927-96A8-56E6F606D10A}</author>
    <author>tc={56CDEF85-4030-495D-B5E9-338DAD4A2E6B}</author>
    <author>tc={64E2373F-B821-4EFF-A225-0F849E0C0001}</author>
    <author>tc={9A4F05B8-F278-460A-A2D2-AB79B86E6A86}</author>
    <author>tc={2E06C320-3C85-4EA7-AE22-CE2531386CF3}</author>
    <author>tc={84A85994-CE31-488B-9E70-3E0B209520AA}</author>
    <author>tc={DD9B9F68-ACED-4183-A8A8-093AF988538E}</author>
    <author>tc={962503FB-30A9-4ECF-B101-1069D9DC33EB}</author>
    <author>tc={04B3E54B-B826-4852-8046-2F637596C666}</author>
    <author>tc={4516B01D-6FCE-42CE-A7A3-3255EBE0E388}</author>
    <author>tc={000B3385-CAE7-4E3D-9C2E-190E2ED49FC4}</author>
    <author>tc={15F6CBF8-7789-4DED-B24D-FB1F6C83D5C6}</author>
    <author>tc={6437A285-B79A-4736-B537-A4E9EB63960A}</author>
    <author>tc={1F85B367-3516-478E-94BA-FB8C75F830B7}</author>
    <author>tc={0566339D-FF89-40AA-8C03-68E6C1BD1493}</author>
    <author>tc={D564A9DE-141E-4511-890D-020CCA318D7F}</author>
    <author>tc={4D140906-C0D6-42D2-B51D-BE28D7CB6B71}</author>
    <author>tc={2C8F07FB-623A-4FBA-B379-36B396B60BB6}</author>
    <author>tc={F3C1FF38-2571-4849-951E-BF351AD73B90}</author>
    <author>tc={950B1A28-42A0-4244-9E27-AF5727380624}</author>
    <author>tc={03E2D9E6-D3FB-4E81-9EDB-6787EA549F7F}</author>
    <author>tc={8ABA7D99-55EF-4BD1-8E98-3C4A9A1D5CDC}</author>
    <author>tc={E390C43A-EB5C-4397-AFAE-210CCC9F6CC9}</author>
    <author>tc={CD86CC50-3ED2-47D2-A4E4-0269AF4A5CA6}</author>
    <author>tc={33A2D794-114F-4B79-AE1B-5ED15F1EE14C}</author>
    <author>tc={DA959FBF-8503-4614-ABF5-854BB8E34DB2}</author>
    <author>tc={363552A7-4512-4282-8E7A-B471E1D83CDC}</author>
    <author>tc={C1BE349C-254F-4C02-82AF-2BC97BF9FA73}</author>
    <author>tc={00DC258B-C407-4BF3-8705-62E6095A3F4D}</author>
    <author>tc={E85F861D-6C50-452A-8DFA-A03CBAB8724A}</author>
    <author>tc={5A278099-DFF9-41D8-B556-636AE9ED029D}</author>
    <author>tc={7AE4EE8D-8664-42D1-9F1B-5591204F09E6}</author>
    <author>tc={76B43373-816B-42DA-A4CD-E5F984E4C5AE}</author>
    <author>tc={A79FA24B-3217-4B26-8143-E12FF4D05FDC}</author>
    <author>tc={61D396FC-21F7-48F2-9771-A3FDF65A06C4}</author>
    <author>tc={9FE6E135-0983-44F1-8AE8-E6CD8DDBC1A1}</author>
    <author>tc={967D15E8-60ED-4764-87B0-65796DF09F72}</author>
    <author>tc={458F59FF-3DE8-4D26-B632-D8247979585C}</author>
    <author>tc={5880EC7E-5121-49A0-B353-731EB6565D95}</author>
    <author>tc={1BFB67AD-50A4-43BA-8C7D-9795FB4D0573}</author>
    <author>tc={61698AAC-0184-4930-9DB1-510D2999796D}</author>
    <author>tc={2208799F-EF51-4221-A254-DBC9804055A9}</author>
    <author>tc={8AD45539-112E-4494-ABCC-C69FC964486D}</author>
    <author>tc={293C3974-EFDC-4009-BBE8-A16DC366DB00}</author>
    <author>tc={111B891D-B9BB-42BE-A587-0AFE523B1F87}</author>
    <author>tc={638D27A7-AA4A-4A71-A2EE-2EAC7065598F}</author>
    <author>tc={85F6831C-07FC-4498-A133-7379A749CC53}</author>
    <author>tc={8ADE0829-20C6-40A4-B820-9E3D324177C2}</author>
    <author>tc={AA42AD68-0925-4169-8214-6BF109D6DDB3}</author>
    <author>tc={824DC408-AEBF-4D98-8DD2-FE9CD98BF751}</author>
    <author>tc={F9F3A24D-8308-405B-908E-0688949273E5}</author>
    <author>tc={A07412D8-D7B8-4B9C-888A-FA2CCC2A9C7E}</author>
    <author>tc={02749AF0-58F3-4B28-929E-BB8DD8CD4823}</author>
    <author>tc={4335BD19-2956-448B-B390-59B950B541B9}</author>
    <author>tc={ED1AD8FE-73F4-4A09-836D-F5A917B9E1EE}</author>
    <author>tc={7700BE71-4C44-4D92-8FC0-6235569EEE7B}</author>
    <author>tc={92F4188A-338D-40B1-9B35-6EDB73BBE58F}</author>
    <author>tc={B560B7D4-A642-4EBA-B6E8-B94E8DE2B886}</author>
    <author>tc={C7D51D5D-E2B2-47AC-9D27-C480F92DFC11}</author>
    <author>tc={6C996C70-A6AD-409A-B0AB-17D232E21FEE}</author>
    <author>tc={AD130D3F-D5A8-46D7-A688-6D8ABDB21C77}</author>
    <author>tc={4D864255-63E4-4748-9FA5-F70EBB355B50}</author>
    <author>tc={CDC740CE-D41E-4D82-809F-DE788458D43B}</author>
    <author>tc={67944415-5137-4C23-A104-06E23FD51102}</author>
    <author>tc={49B20512-16BC-42A4-95A4-3A7A373FC868}</author>
    <author>tc={CBA75084-B731-49DF-8DC1-64A1303B8098}</author>
  </authors>
  <commentList>
    <comment ref="V5" authorId="0" shapeId="0" xr:uid="{C4273B91-7895-4F44-B9D0-9B8895543184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to know the # of animals gaining the weight within this range and the variation of this - of those not gaining the specified range we need to now what this is whether higher or lower</t>
      </text>
    </comment>
    <comment ref="AA137" authorId="1" shapeId="0" xr:uid="{64F9C030-3969-4BC6-B9EC-0C0DF71CE148}">
      <text>
        <t>[Threaded comment]
Your version of Excel allows you to read this threaded comment; however, any edits to it will get removed if the file is opened in a newer version of Excel. Learn more: https://go.microsoft.com/fwlink/?linkid=870924
Comment:
    TB of the gilts that farrowed - to be analyzed independently of other sows that farrowed</t>
      </text>
    </comment>
    <comment ref="AB137" authorId="2" shapeId="0" xr:uid="{39FB1CF9-E1FC-4555-84DB-05BF5214E4A0}">
      <text>
        <t>[Threaded comment]
Your version of Excel allows you to read this threaded comment; however, any edits to it will get removed if the file is opened in a newer version of Excel. Learn more: https://go.microsoft.com/fwlink/?linkid=870924
Comment:
    BA of the gilts to be analysed indepentantly of the other sows - both TB and BA to have drop down so as to just choose the number of TB, BA. BD and mummy</t>
      </text>
    </comment>
    <comment ref="AC137" authorId="3" shapeId="0" xr:uid="{06F76ED0-EEB6-4E8B-9F94-50013BF641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measured as both a % of born dead as well as an avg # against all gilts that farrowed
Reply:
    BD to also be split into 2 separate fields - Born deads are identified as piglets that were alive when the sow started farrowing and died during the farrowing process. Mummies are piglets that died sometime during pregnancy. </t>
      </text>
    </comment>
    <comment ref="AE137" authorId="4" shapeId="0" xr:uid="{E140E2B9-91BB-4DEF-A5DD-FF5BBCB4A5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Avg birth weight of piglets born from gilts - will not always be measured but sometimes we require this so we need an option
Reply:
    Target birth weight is 1.3kgs </t>
      </text>
    </comment>
    <comment ref="AG137" authorId="5" shapeId="0" xr:uid="{5BEF8D7B-E643-4FE0-B6D8-F5F78791BD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weight of the gilt after she has farrowed. The formula is - weight into farrowing less Total Born x 1.3 - 8.9 - this maternal body weight is needed when we calculate her maternal body weight loss as a % when she weans</t>
      </text>
    </comment>
    <comment ref="AL137" authorId="6" shapeId="0" xr:uid="{B86199BA-0528-4AFE-95F0-2F0FC1E29D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to be confused with piglet mortality under the sow. This is the gilt mortality - if more than 2 gilt mortality's recorded in a batch there needs to be an alert. Mortality codes to link with pig expert, also drop down for reasons needed for independent analysis</t>
      </text>
    </comment>
    <comment ref="AN137" authorId="7" shapeId="0" xr:uid="{C81A3BB2-2336-4611-83A6-87A6F5BF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sheet farrowing treatment - include piglet treatments</t>
      </text>
    </comment>
    <comment ref="AA189" authorId="8" shapeId="0" xr:uid="{606A286D-A9E2-403A-95E7-293B86E2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TB of the gilts that farrowed - to be analyzed independently of other sows that farrowed</t>
      </text>
    </comment>
    <comment ref="AB189" authorId="9" shapeId="0" xr:uid="{3F059158-10F1-41AD-82AF-0698512E7A63}">
      <text>
        <t>[Threaded comment]
Your version of Excel allows you to read this threaded comment; however, any edits to it will get removed if the file is opened in a newer version of Excel. Learn more: https://go.microsoft.com/fwlink/?linkid=870924
Comment:
    BA of the gilts to be analysed indepentantly of the other sows - both TB and BA to have drop down so as to just choose the number of TB, BA. BD and mummy</t>
      </text>
    </comment>
    <comment ref="AC189" authorId="10" shapeId="0" xr:uid="{923847B4-D5E2-4BFE-B720-9369FE2F1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measured as both a % of born dead as well as an avg # against all gilts that farrowed
Reply:
    BD to also be split into 2 separate fields - Born deads are identified as piglets that were alive when the sow started farrowing and died during the farrowing process. Mummies are piglets that died sometime during pregnancy. </t>
      </text>
    </comment>
    <comment ref="AE189" authorId="11" shapeId="0" xr:uid="{EC604780-89AE-4D4F-8780-5EFC57C59D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Avg birth weight of piglets born from gilts - will not always be measured but sometimes we require this so we need an option
Reply:
    Target birth weight is 1.3kgs </t>
      </text>
    </comment>
    <comment ref="AG189" authorId="12" shapeId="0" xr:uid="{79BB0177-2012-47AD-96AF-6D6CB94093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weight of the gilt after she has farrowed. The formula is - weight into farrowing less Total Born x 1.3 - 8.9 - this maternal body weight is needed when we calculate her maternal body weight loss as a % when she weans</t>
      </text>
    </comment>
    <comment ref="AL189" authorId="13" shapeId="0" xr:uid="{B0CC2AF1-7815-439B-8315-35E63C1655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to be confused with piglet mortality under the sow. This is the gilt mortality - if more than 2 gilt mortality's recorded in a batch there needs to be an alert. Mortality codes to link with pig expert, also drop down for reasons needed for independent analysis</t>
      </text>
    </comment>
    <comment ref="AN189" authorId="14" shapeId="0" xr:uid="{BE145241-13D4-422B-9328-645C21A713CE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sheet farrowing treatment - include piglet treatments</t>
      </text>
    </comment>
    <comment ref="G241" authorId="15" shapeId="0" xr:uid="{5D17582C-8B6C-4EB9-8D24-D8CDDA512A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X241" authorId="16" shapeId="0" xr:uid="{B67711A9-36C8-46A6-A58E-B9A64DA306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need to see the individual animal weight loss variation </t>
      </text>
    </comment>
    <comment ref="AI241" authorId="17" shapeId="0" xr:uid="{005E2E9B-0D43-414C-8D2D-01D87B2AB1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Gilts should have piglets fostered on to always wean as many piglets as there are teats, even if the BA is lower than the teat #
</t>
      </text>
    </comment>
    <comment ref="H345" authorId="18" shapeId="0" xr:uid="{8F8E6FE4-2C2A-44FE-A5AD-03D3ACC6B5A7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the Wednesday an animal will now be considered a stand over</t>
      </text>
    </comment>
    <comment ref="S345" authorId="19" shapeId="0" xr:uid="{63C9090C-533C-415E-A278-F7B6EB60CD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wean weight from farrowing</t>
      </text>
    </comment>
    <comment ref="AH345" authorId="20" shapeId="0" xr:uid="{03BCE1A0-B9C7-4B03-9531-1AE29C46C08E}">
      <text>
        <r>
          <rPr>
            <b/>
            <sz val="9"/>
            <color indexed="81"/>
            <rFont val="Tahoma"/>
            <family val="2"/>
          </rPr>
          <t>Tapiwa Mupambuzi:</t>
        </r>
        <r>
          <rPr>
            <sz val="9"/>
            <color indexed="81"/>
            <rFont val="Tahoma"/>
            <family val="2"/>
          </rPr>
          <t xml:space="preserve">
alert when more than 1 so
</t>
        </r>
      </text>
    </comment>
    <comment ref="U357" authorId="21" shapeId="0" xr:uid="{A53A854F-9F95-40D4-BCA0-C4D306A60B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Gain for the phase more important than ADG </t>
      </text>
    </comment>
    <comment ref="Z357" authorId="20" shapeId="0" xr:uid="{80C20BC0-E36F-43BB-9978-7496107B2E86}">
      <text>
        <r>
          <rPr>
            <b/>
            <sz val="9"/>
            <color indexed="81"/>
            <rFont val="Tahoma"/>
            <family val="2"/>
          </rPr>
          <t>Tapiwa Mupambuzi:</t>
        </r>
        <r>
          <rPr>
            <sz val="9"/>
            <color indexed="81"/>
            <rFont val="Tahoma"/>
            <family val="2"/>
          </rPr>
          <t xml:space="preserve">
alert when FR drop below 75
%</t>
        </r>
      </text>
    </comment>
    <comment ref="AL357" authorId="22" shapeId="0" xr:uid="{4FFBF33D-C276-4736-811A-107303E3417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A373" authorId="23" shapeId="0" xr:uid="{1DFBA65A-43E8-477A-A1A8-96739C1957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Alert if less than 90%
</t>
      </text>
    </comment>
    <comment ref="AE433" authorId="24" shapeId="0" xr:uid="{12DFA771-046F-4EE2-AD05-AC5332A295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Avg birth weight of piglets born from gilts - will not always be measured but sometimes we require this so we need an option
Reply:
    Target birth weight is 1.3kgs </t>
      </text>
    </comment>
    <comment ref="AG433" authorId="25" shapeId="0" xr:uid="{A93D4963-0A48-4BB3-B33A-384B314BD3EC}">
      <text>
        <t>[Threaded comment]
Your version of Excel allows you to read this threaded comment; however, any edits to it will get removed if the file is opened in a newer version of Excel. Learn more: https://go.microsoft.com/fwlink/?linkid=870924
Comment:
    TB of the 2nds that farrowed - to be analyzed independently of other sows that farrowed</t>
      </text>
    </comment>
    <comment ref="AN433" authorId="26" shapeId="0" xr:uid="{6EB69285-27B1-4B5C-AE8F-5E91AD47DCD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avg wean weight of the piglets - this is not always captured per individual animal but it is always captured for the whole herd - however we need the option to capture it individually for us to be able to analyse when we choose</t>
      </text>
    </comment>
    <comment ref="AO433" authorId="27" shapeId="0" xr:uid="{3FD77B1C-59F9-4349-BE3F-C74B84D4B39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litter mass per gilt - weaned per sow x avg wean weight -we always capture this for the whole herd and not always as per individual animal however we need the option</t>
      </text>
    </comment>
    <comment ref="H537" authorId="28" shapeId="0" xr:uid="{A9A8D83D-4887-4DE6-ABE7-72B49FFDC04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the Wednesday an animal will now be considered a stand over
Reply:
    We need a cull indicator on 3rd parity plus</t>
      </text>
    </comment>
    <comment ref="AL537" authorId="29" shapeId="0" xr:uid="{5C5B2C61-C3C0-4C0D-9551-E804B1F0823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560" authorId="30" shapeId="0" xr:uid="{99F84665-992A-4747-85A7-CCEA795603E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566" authorId="31" shapeId="0" xr:uid="{2C918893-C9FE-425F-853D-233ABACD8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572" authorId="32" shapeId="0" xr:uid="{774260C4-5BA8-4F39-9398-092995B4611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578" authorId="33" shapeId="0" xr:uid="{87362BF1-145A-4362-B6A5-0AF0F98559A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597" authorId="34" shapeId="0" xr:uid="{531A2190-48E7-4021-A15A-9F32EF057CD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607" authorId="35" shapeId="0" xr:uid="{FC8326DC-12BA-482B-B206-47A40A35ADF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622" authorId="36" shapeId="0" xr:uid="{0E19D2EB-0F5C-4CDB-A007-CEAEFEDE7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630" authorId="37" shapeId="0" xr:uid="{45BDA2F9-4E3E-4271-B4B0-D7196A82E14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636" authorId="38" shapeId="0" xr:uid="{87102B14-507E-482B-8EB2-C945322AD96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AL688" authorId="39" shapeId="0" xr:uid="{6945E3CF-804E-4447-BFA9-F8D2EB4615B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Reply:
    NB: Codes need to be the same as the pig vision mortality codes</t>
      </text>
    </comment>
    <comment ref="G744" authorId="40" shapeId="0" xr:uid="{A777C0CA-D511-4E85-9536-F612E1DAEB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45" authorId="41" shapeId="0" xr:uid="{CCB4D7D7-2FEC-4315-ACC2-2335D068A7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46" authorId="42" shapeId="0" xr:uid="{8232B86D-2EC6-4C46-815B-D1E614F888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47" authorId="43" shapeId="0" xr:uid="{ED8CA395-34EC-4D89-9FD9-C85E399519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48" authorId="44" shapeId="0" xr:uid="{63542C5F-795F-410B-B35B-F53B5C6057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49" authorId="45" shapeId="0" xr:uid="{1C3AAEF1-0ACB-41AB-B25D-EED7374E43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0" authorId="46" shapeId="0" xr:uid="{8F9938EA-4BFD-4805-8CC9-4C8EFB793B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1" authorId="47" shapeId="0" xr:uid="{70B0CBD9-57ED-4AD4-B91C-514A845FC8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2" authorId="48" shapeId="0" xr:uid="{67BD744C-4474-4606-862C-7A2C5E54E6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3" authorId="49" shapeId="0" xr:uid="{535EADBF-2990-4B78-A3B8-1B4745881F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4" authorId="50" shapeId="0" xr:uid="{CC6CF770-20DD-4DAB-BAC4-861BDE19A1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5" authorId="51" shapeId="0" xr:uid="{AA94ECB7-9772-476D-94DE-207213F8E8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6" authorId="52" shapeId="0" xr:uid="{EF5C0544-A2A1-4CFE-BBE4-EBDC04C2CD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7" authorId="53" shapeId="0" xr:uid="{6A8739CC-D1C1-48A0-952C-2D55AA9E4E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8" authorId="54" shapeId="0" xr:uid="{C09D9842-26F4-4765-8E24-F4272DA710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59" authorId="55" shapeId="0" xr:uid="{079A852B-56A9-44A9-BA61-BA8DD9CD09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0" authorId="56" shapeId="0" xr:uid="{F0407784-4D39-45BD-8113-E296165AE1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1" authorId="57" shapeId="0" xr:uid="{AB2C6854-6541-4F0E-B870-E1D59474AA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2" authorId="58" shapeId="0" xr:uid="{46637996-0F3F-45F0-B28F-503655A05E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3" authorId="59" shapeId="0" xr:uid="{38F998E0-7AEE-4666-BC73-32DC766390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4" authorId="60" shapeId="0" xr:uid="{B58113EB-949D-4188-ABEE-0AD7740B1C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5" authorId="61" shapeId="0" xr:uid="{09E35320-488C-44D2-966D-12E8B88436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6" authorId="62" shapeId="0" xr:uid="{77FBF8E4-C5CF-4BFD-8F10-14A5BCC341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7" authorId="63" shapeId="0" xr:uid="{87BF816E-B0C4-404C-A2A4-A0D71AB484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8" authorId="64" shapeId="0" xr:uid="{62FF06D2-8E7F-46FF-A237-6915ECD16C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69" authorId="65" shapeId="0" xr:uid="{73A1123C-8B3A-48B9-9D86-6189C32EB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0" authorId="66" shapeId="0" xr:uid="{62F15D04-42CC-4C52-A88E-29900FE69D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1" authorId="67" shapeId="0" xr:uid="{B8B435EB-AE3B-4053-A88D-368E4DE37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2" authorId="68" shapeId="0" xr:uid="{8B4D456E-E0FA-440B-9DC8-6909962118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3" authorId="69" shapeId="0" xr:uid="{05D497BE-C872-480F-9093-1C5D5552B6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4" authorId="70" shapeId="0" xr:uid="{CA230716-E095-4645-B151-33876B6499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5" authorId="71" shapeId="0" xr:uid="{D207038B-F155-4C1A-95EF-D0F35CAD23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6" authorId="72" shapeId="0" xr:uid="{191D42CC-38CF-4C89-9E86-5D334F4FCA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7" authorId="73" shapeId="0" xr:uid="{5F759137-0D49-4204-B60B-4543D07344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8" authorId="74" shapeId="0" xr:uid="{AA4EC1ED-7795-4BE3-8E3D-9B46842F2E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79" authorId="75" shapeId="0" xr:uid="{F9D44C27-262D-48F2-A2D7-AC8246BE73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0" authorId="76" shapeId="0" xr:uid="{1299FBFC-7233-4927-96A8-56E6F606D1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1" authorId="77" shapeId="0" xr:uid="{56CDEF85-4030-495D-B5E9-338DAD4A2E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2" authorId="78" shapeId="0" xr:uid="{64E2373F-B821-4EFF-A225-0F849E0C00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3" authorId="79" shapeId="0" xr:uid="{9A4F05B8-F278-460A-A2D2-AB79B86E6A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4" authorId="80" shapeId="0" xr:uid="{2E06C320-3C85-4EA7-AE22-CE2531386C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5" authorId="81" shapeId="0" xr:uid="{84A85994-CE31-488B-9E70-3E0B20952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6" authorId="82" shapeId="0" xr:uid="{DD9B9F68-ACED-4183-A8A8-093AF98853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7" authorId="83" shapeId="0" xr:uid="{962503FB-30A9-4ECF-B101-1069D9DC3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8" authorId="84" shapeId="0" xr:uid="{04B3E54B-B826-4852-8046-2F637596C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89" authorId="85" shapeId="0" xr:uid="{4516B01D-6FCE-42CE-A7A3-3255EBE0E3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0" authorId="86" shapeId="0" xr:uid="{000B3385-CAE7-4E3D-9C2E-190E2ED49F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1" authorId="87" shapeId="0" xr:uid="{15F6CBF8-7789-4DED-B24D-FB1F6C83D5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2" authorId="88" shapeId="0" xr:uid="{6437A285-B79A-4736-B537-A4E9EB6396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3" authorId="89" shapeId="0" xr:uid="{1F85B367-3516-478E-94BA-FB8C75F830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6" authorId="90" shapeId="0" xr:uid="{0566339D-FF89-40AA-8C03-68E6C1BD14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7" authorId="91" shapeId="0" xr:uid="{D564A9DE-141E-4511-890D-020CCA318D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8" authorId="92" shapeId="0" xr:uid="{4D140906-C0D6-42D2-B51D-BE28D7CB6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799" authorId="93" shapeId="0" xr:uid="{2C8F07FB-623A-4FBA-B379-36B396B60B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0" authorId="94" shapeId="0" xr:uid="{F3C1FF38-2571-4849-951E-BF351AD73B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1" authorId="95" shapeId="0" xr:uid="{950B1A28-42A0-4244-9E27-AF57273806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2" authorId="96" shapeId="0" xr:uid="{03E2D9E6-D3FB-4E81-9EDB-6787EA549F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3" authorId="97" shapeId="0" xr:uid="{8ABA7D99-55EF-4BD1-8E98-3C4A9A1D5C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4" authorId="98" shapeId="0" xr:uid="{E390C43A-EB5C-4397-AFAE-210CCC9F6C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5" authorId="99" shapeId="0" xr:uid="{CD86CC50-3ED2-47D2-A4E4-0269AF4A5C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6" authorId="100" shapeId="0" xr:uid="{33A2D794-114F-4B79-AE1B-5ED15F1EE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7" authorId="101" shapeId="0" xr:uid="{DA959FBF-8503-4614-ABF5-854BB8E34D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8" authorId="102" shapeId="0" xr:uid="{363552A7-4512-4282-8E7A-B471E1D83C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09" authorId="103" shapeId="0" xr:uid="{C1BE349C-254F-4C02-82AF-2BC97BF9FA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0" authorId="104" shapeId="0" xr:uid="{00DC258B-C407-4BF3-8705-62E6095A3F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1" authorId="105" shapeId="0" xr:uid="{E85F861D-6C50-452A-8DFA-A03CBAB872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2" authorId="106" shapeId="0" xr:uid="{5A278099-DFF9-41D8-B556-636AE9ED02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3" authorId="107" shapeId="0" xr:uid="{7AE4EE8D-8664-42D1-9F1B-5591204F09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4" authorId="108" shapeId="0" xr:uid="{76B43373-816B-42DA-A4CD-E5F984E4C5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5" authorId="109" shapeId="0" xr:uid="{A79FA24B-3217-4B26-8143-E12FF4D05F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6" authorId="110" shapeId="0" xr:uid="{61D396FC-21F7-48F2-9771-A3FDF65A06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7" authorId="111" shapeId="0" xr:uid="{9FE6E135-0983-44F1-8AE8-E6CD8DDBC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8" authorId="112" shapeId="0" xr:uid="{967D15E8-60ED-4764-87B0-65796DF09F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19" authorId="113" shapeId="0" xr:uid="{458F59FF-3DE8-4D26-B632-D824797958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0" authorId="114" shapeId="0" xr:uid="{5880EC7E-5121-49A0-B353-731EB6565D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1" authorId="115" shapeId="0" xr:uid="{1BFB67AD-50A4-43BA-8C7D-9795FB4D05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2" authorId="116" shapeId="0" xr:uid="{61698AAC-0184-4930-9DB1-510D299979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3" authorId="117" shapeId="0" xr:uid="{2208799F-EF51-4221-A254-DBC9804055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4" authorId="118" shapeId="0" xr:uid="{8AD45539-112E-4494-ABCC-C69FC96448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5" authorId="119" shapeId="0" xr:uid="{293C3974-EFDC-4009-BBE8-A16DC366DB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6" authorId="120" shapeId="0" xr:uid="{111B891D-B9BB-42BE-A587-0AFE523B1F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7" authorId="121" shapeId="0" xr:uid="{638D27A7-AA4A-4A71-A2EE-2EAC706559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8" authorId="122" shapeId="0" xr:uid="{85F6831C-07FC-4498-A133-7379A749CC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29" authorId="123" shapeId="0" xr:uid="{8ADE0829-20C6-40A4-B820-9E3D324177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0" authorId="124" shapeId="0" xr:uid="{AA42AD68-0925-4169-8214-6BF109D6DD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1" authorId="125" shapeId="0" xr:uid="{824DC408-AEBF-4D98-8DD2-FE9CD98BF7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2" authorId="126" shapeId="0" xr:uid="{F9F3A24D-8308-405B-908E-0688949273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3" authorId="127" shapeId="0" xr:uid="{A07412D8-D7B8-4B9C-888A-FA2CCC2A9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4" authorId="128" shapeId="0" xr:uid="{02749AF0-58F3-4B28-929E-BB8DD8CD48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5" authorId="129" shapeId="0" xr:uid="{4335BD19-2956-448B-B390-59B950B541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6" authorId="130" shapeId="0" xr:uid="{ED1AD8FE-73F4-4A09-836D-F5A917B9E1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7" authorId="131" shapeId="0" xr:uid="{7700BE71-4C44-4D92-8FC0-6235569EEE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8" authorId="132" shapeId="0" xr:uid="{92F4188A-338D-40B1-9B35-6EDB73BBE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39" authorId="133" shapeId="0" xr:uid="{B560B7D4-A642-4EBA-B6E8-B94E8DE2B8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0" authorId="134" shapeId="0" xr:uid="{C7D51D5D-E2B2-47AC-9D27-C480F92DFC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1" authorId="135" shapeId="0" xr:uid="{6C996C70-A6AD-409A-B0AB-17D232E21F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2" authorId="136" shapeId="0" xr:uid="{AD130D3F-D5A8-46D7-A688-6D8ABDB21C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3" authorId="137" shapeId="0" xr:uid="{4D864255-63E4-4748-9FA5-F70EBB355B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4" authorId="138" shapeId="0" xr:uid="{CDC740CE-D41E-4D82-809F-DE788458D4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5" authorId="139" shapeId="0" xr:uid="{67944415-5137-4C23-A104-06E23FD511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6" authorId="140" shapeId="0" xr:uid="{49B20512-16BC-42A4-95A4-3A7A373FC8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  <comment ref="G847" authorId="141" shapeId="0" xr:uid="{CBA75084-B731-49DF-8DC1-64A1303B80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relevant for one day - the day of weaning </t>
      </text>
    </comment>
  </commentList>
</comments>
</file>

<file path=xl/sharedStrings.xml><?xml version="1.0" encoding="utf-8"?>
<sst xmlns="http://schemas.openxmlformats.org/spreadsheetml/2006/main" count="34068" uniqueCount="1332">
  <si>
    <t>Field Name</t>
  </si>
  <si>
    <t>Breed Code</t>
  </si>
  <si>
    <t>Breed Name</t>
  </si>
  <si>
    <t>STAGES</t>
  </si>
  <si>
    <t>Gestation Days</t>
  </si>
  <si>
    <t>Lactation Days</t>
  </si>
  <si>
    <t>Productive Life Months</t>
  </si>
  <si>
    <t>Residual Value Amount</t>
  </si>
  <si>
    <t>Productive Life Cycles</t>
  </si>
  <si>
    <t>Avg Litter Size Born</t>
  </si>
  <si>
    <t>Avg Litter Size Weaned</t>
  </si>
  <si>
    <t>Avg Weaning Weight KG</t>
  </si>
  <si>
    <t>Farrowing Rate %</t>
  </si>
  <si>
    <t>Boar Doses Per Week</t>
  </si>
  <si>
    <t>Boar Productive Life Months</t>
  </si>
  <si>
    <t>Vaccination Schedule</t>
  </si>
  <si>
    <t>Blocked</t>
  </si>
  <si>
    <t>Description</t>
  </si>
  <si>
    <t>Short unique code per tenant.</t>
  </si>
  <si>
    <t>Full breed name.</t>
  </si>
  <si>
    <t>NEW: Species within the LOB. SOW / BOAR / GILT / PIGLET / COMMERCIAL_PIG for piggery.</t>
  </si>
  <si>
    <t>Standard gestation period in days. 114 days for pigs = 3 months 3 weeks 3 days.</t>
  </si>
  <si>
    <t>Standard nursing or lactation duration in days.</t>
  </si>
  <si>
    <t>Productive life in months. Amortisation denominator.</t>
  </si>
  <si>
    <t>Salvage value as percent of total opening asset value.</t>
  </si>
  <si>
    <t>Expected number of parities in productive life.</t>
  </si>
  <si>
    <t>Average piglets born live per farrowing. KPI target.</t>
  </si>
  <si>
    <t>Average piglets weaned per litter. Used in output forecast.</t>
  </si>
  <si>
    <t>Standard piglet weight at weaning. KPI target.</t>
  </si>
  <si>
    <t>Percent of AI or matings resulting in successful farrowing.</t>
  </si>
  <si>
    <t>For BOAR species - expected semen doses collected per week. KPI target.</t>
  </si>
  <si>
    <t>Boar productive life in months for amortisation.</t>
  </si>
  <si>
    <t>Standard lifetime vaccination schedule. Auto-populates scheduler params on batch create.</t>
  </si>
  <si>
    <t>From File 2.</t>
  </si>
  <si>
    <t>Example Value</t>
  </si>
  <si>
    <t>LARGE_WHITE / LANDRACE / DUROC</t>
  </si>
  <si>
    <t>Large White</t>
  </si>
  <si>
    <t>SOW</t>
  </si>
  <si>
    <t>114</t>
  </si>
  <si>
    <t>28</t>
  </si>
  <si>
    <t>36</t>
  </si>
  <si>
    <t>10.00</t>
  </si>
  <si>
    <t>7</t>
  </si>
  <si>
    <t>11.50</t>
  </si>
  <si>
    <t>7.000</t>
  </si>
  <si>
    <t>85.00</t>
  </si>
  <si>
    <t>4.00</t>
  </si>
  <si>
    <t>[{"age_days":21,"vaccine_item_id":"...","dose_ml":2,"route":"IM"}]</t>
  </si>
  <si>
    <t>Mandatory</t>
  </si>
  <si>
    <t>YES</t>
  </si>
  <si>
    <t>NO</t>
  </si>
  <si>
    <t>COND</t>
  </si>
  <si>
    <t>Lifecycle ID</t>
  </si>
  <si>
    <t>Breed</t>
  </si>
  <si>
    <t>CATEGORY</t>
  </si>
  <si>
    <t>Stage Name</t>
  </si>
  <si>
    <t>Calculation Unit</t>
  </si>
  <si>
    <t>Period From</t>
  </si>
  <si>
    <t>Period To</t>
  </si>
  <si>
    <t>Teats</t>
  </si>
  <si>
    <t>Season Type</t>
  </si>
  <si>
    <t>Feed Item</t>
  </si>
  <si>
    <t>Feed Qty Per Head Per Day KG</t>
  </si>
  <si>
    <t>Std Body Weight KG</t>
  </si>
  <si>
    <t>Std ADG grams per day</t>
  </si>
  <si>
    <t>Std FCR</t>
  </si>
  <si>
    <t>Std Mortality Rate Pct</t>
  </si>
  <si>
    <t>Output Item</t>
  </si>
  <si>
    <t>Output UOM</t>
  </si>
  <si>
    <t>Std Output Qty</t>
  </si>
  <si>
    <t>Medication Protocol</t>
  </si>
  <si>
    <t>Vaccination Protocol</t>
  </si>
  <si>
    <t>Resource Requirements</t>
  </si>
  <si>
    <t>KPI Lower Limit</t>
  </si>
  <si>
    <t>KPI Upper Limit</t>
  </si>
  <si>
    <t>Alert Severity</t>
  </si>
  <si>
    <t>Stage Notes</t>
  </si>
  <si>
    <t>Created At</t>
  </si>
  <si>
    <t>Primary key.</t>
  </si>
  <si>
    <t>Which breed this standard is for.</t>
  </si>
  <si>
    <t>Which batch stage. Must match production_batches.stage values.</t>
  </si>
  <si>
    <t>Unit for from/to range. Determines how scheduler parameters are generated.</t>
  </si>
  <si>
    <t>Start of this standard range in calc_unit.</t>
  </si>
  <si>
    <t>End of this standard range.</t>
  </si>
  <si>
    <t>Std teats count</t>
  </si>
  <si>
    <t>Winter/ Summer</t>
  </si>
  <si>
    <t>Standard feed item for this stage and week range. Lookup from item_master category = FEED.</t>
  </si>
  <si>
    <t>Standard feed quantity per animal per day. Scheduler CONSUMPTION parameter standard_qty = this times batch.current_count.</t>
  </si>
  <si>
    <t>Expected average body weight at end of this week range. KPI target.</t>
  </si>
  <si>
    <t>Standard Average Daily Gain. Alert if actual ADG falls below this.</t>
  </si>
  <si>
    <t>Standard Feed Conversion Ratio. Alert if actual FCR exceeds this.</t>
  </si>
  <si>
    <t>Acceptable mortality percentage for this stage per week.</t>
  </si>
  <si>
    <t>Expected output item at this stage. Used in output forecast.</t>
  </si>
  <si>
    <t>UOM for output quantity.</t>
  </si>
  <si>
    <t>Expected output per animal or sow at end of stage.</t>
  </si>
  <si>
    <t>Standard medication schedule for this stage. Auto-populates CONSUMPTION params on batch create.</t>
  </si>
  <si>
    <t>Standard vaccination schedule for this stage.</t>
  </si>
  <si>
    <t>Labour standard for this stage. Used in resource planning.</t>
  </si>
  <si>
    <t>Alert if actual KPI falls below this.</t>
  </si>
  <si>
    <t>Alert if actual KPI exceeds this.</t>
  </si>
  <si>
    <t>INFO / WARNING / CRITICAL</t>
  </si>
  <si>
    <t>Instructions for farm staff. Shown as tooltip on data entry screen.</t>
  </si>
  <si>
    <t>uuid-lc-001</t>
  </si>
  <si>
    <t>uuid-breed-01</t>
  </si>
  <si>
    <t>QUARANTINE / GILT_GROWER / FLUSH / GESTATION / FARROWING / WEANING / BOAR_AI / CB_GROWER / SLAUGHTER</t>
  </si>
  <si>
    <t>DAY / WEEK / MONTH</t>
  </si>
  <si>
    <t>1</t>
  </si>
  <si>
    <t>11</t>
  </si>
  <si>
    <t>Winter</t>
  </si>
  <si>
    <t>uuid-item-gest-feed</t>
  </si>
  <si>
    <t>2.5000</t>
  </si>
  <si>
    <t>45.000</t>
  </si>
  <si>
    <t>800.00</t>
  </si>
  <si>
    <t>2.400</t>
  </si>
  <si>
    <t>0.500</t>
  </si>
  <si>
    <t>uuid-item-piglet / uuid-item-semen-dose</t>
  </si>
  <si>
    <t>HEAD / DOSE / KG</t>
  </si>
  <si>
    <t>11.500 piglets per litter / 4.000 doses per week</t>
  </si>
  <si>
    <t>[{"item_id":"...","dose_ml":5,"freq":"ONCE","age_day":7,"route":"IM"}]</t>
  </si>
  <si>
    <t>[{"item_id":"...","dose_ml":2,"freq":"ONCE","age_day":21,"route":"IM"}]</t>
  </si>
  <si>
    <t>[{"resource_type":"FARM_HAND","hrs_per_100_animals":8}]</t>
  </si>
  <si>
    <t>NULL</t>
  </si>
  <si>
    <t>2.800 for FCR</t>
  </si>
  <si>
    <t>CRITICAL</t>
  </si>
  <si>
    <t>Ensure BCS 3.0-3.5 throughout gestation.</t>
  </si>
  <si>
    <t>2025-01-15</t>
  </si>
  <si>
    <t>TN-70-Sow</t>
  </si>
  <si>
    <t>42 months</t>
  </si>
  <si>
    <t>Farm / location</t>
  </si>
  <si>
    <t>3rd vaccination (Every pregnancy cycle) 14 weeks preg farrowsure</t>
  </si>
  <si>
    <t>gilt rearing 4 - 10 weeks</t>
  </si>
  <si>
    <t>Gilt service line</t>
  </si>
  <si>
    <t>Gilt in gestation</t>
  </si>
  <si>
    <t>Gilts farrowing</t>
  </si>
  <si>
    <t>gilt weaning</t>
  </si>
  <si>
    <t>2nd parity service line</t>
  </si>
  <si>
    <t xml:space="preserve">2nd parity gestation </t>
  </si>
  <si>
    <t>2nd parity farrowing</t>
  </si>
  <si>
    <t>3rd parity plus service line</t>
  </si>
  <si>
    <t>3rd parity plus gestation</t>
  </si>
  <si>
    <t>weeks</t>
  </si>
  <si>
    <t>4 weeks</t>
  </si>
  <si>
    <t>10 weeks</t>
  </si>
  <si>
    <t>10 week old gilts</t>
  </si>
  <si>
    <t>N/A</t>
  </si>
  <si>
    <t>Expected average body weight at start of this week range. KPI target.</t>
  </si>
  <si>
    <t>4wks(8 days) - Creep2, 6wks (14 days) - creep 3, 8 to 10wks (17 days) - Wean 1</t>
  </si>
  <si>
    <t>28 (range 27 to 29)</t>
  </si>
  <si>
    <t>NOP within weight range @ 10 weeks</t>
  </si>
  <si>
    <t>16 weeks</t>
  </si>
  <si>
    <t>25 weeks</t>
  </si>
  <si>
    <t>28 weeks</t>
  </si>
  <si>
    <t>As above</t>
  </si>
  <si>
    <t>from service week</t>
  </si>
  <si>
    <t>15 weeks pregnant</t>
  </si>
  <si>
    <t>gain for period not daily - 74 to 81</t>
  </si>
  <si>
    <t>littergaurd 2 mls @ 11 weeks preg, littergaurd vaccine 2mls @13 weeks preg and farrowsure vaccine 2mls @ 14 weeks preg</t>
  </si>
  <si>
    <t>location</t>
  </si>
  <si>
    <t>sub sub location</t>
  </si>
  <si>
    <t>feed bulk /bagged</t>
  </si>
  <si>
    <t>feed silo to draw from</t>
  </si>
  <si>
    <t>Sub location</t>
  </si>
  <si>
    <t>bagged</t>
  </si>
  <si>
    <t>Drop down with available drugs and dosage against weight</t>
  </si>
  <si>
    <t>NOP below target weight</t>
  </si>
  <si>
    <t>ADG of pigs below target weight between 4 - 10 weeks</t>
  </si>
  <si>
    <t>ADG of slow growers</t>
  </si>
  <si>
    <t>ADG per day</t>
  </si>
  <si>
    <t>Avg litter total born</t>
  </si>
  <si>
    <t># Born dead</t>
  </si>
  <si>
    <t># mummified piglets</t>
  </si>
  <si>
    <t xml:space="preserve"># of piglets born dead </t>
  </si>
  <si>
    <t xml:space="preserve">total born is the figure that includes Born live, born dead and mummified </t>
  </si>
  <si>
    <t>mortaltiy %</t>
  </si>
  <si>
    <t>Mortaltiy % between date of farrow and weaning</t>
  </si>
  <si>
    <t>total litter mass of the piglets weaned per sow</t>
  </si>
  <si>
    <t>SO's for the week</t>
  </si>
  <si>
    <t>w/s/y</t>
  </si>
  <si>
    <t>taken from pig expert</t>
  </si>
  <si>
    <t>litter index</t>
  </si>
  <si>
    <t>empty days</t>
  </si>
  <si>
    <t>70 day weight</t>
  </si>
  <si>
    <t>70 day gain</t>
  </si>
  <si>
    <t>weaner FCE</t>
  </si>
  <si>
    <t>weaner mortaltiy</t>
  </si>
  <si>
    <t>Grower FCE</t>
  </si>
  <si>
    <t>Grower mortality</t>
  </si>
  <si>
    <t>AVG CDM to colcom</t>
  </si>
  <si>
    <t>Grower ADG</t>
  </si>
  <si>
    <t>move to service line instruction if correct age and weight based on previous cells</t>
  </si>
  <si>
    <t>alert for 4 week PD</t>
  </si>
  <si>
    <t>Total born</t>
  </si>
  <si>
    <t>% maternal weight loss</t>
  </si>
  <si>
    <t>Maternal weight loss variation</t>
  </si>
  <si>
    <t>% animals lost more than 12%</t>
  </si>
  <si>
    <t>service week</t>
  </si>
  <si>
    <t>Number of 2nds returned to farrowing house against target</t>
  </si>
  <si>
    <t>4 weeks of age</t>
  </si>
  <si>
    <t>10 weeks of age</t>
  </si>
  <si>
    <t>sows not come on heat by the following Thursday of what was weaned</t>
  </si>
  <si>
    <t>Weaner</t>
  </si>
  <si>
    <t>Grower</t>
  </si>
  <si>
    <t># of mummies</t>
  </si>
  <si>
    <t>Problem</t>
  </si>
  <si>
    <t>Drug</t>
  </si>
  <si>
    <t>Dose-small</t>
  </si>
  <si>
    <t>Dose-med</t>
  </si>
  <si>
    <t>Dose large</t>
  </si>
  <si>
    <t>Repeat</t>
  </si>
  <si>
    <t>Scour</t>
  </si>
  <si>
    <t>Advocin</t>
  </si>
  <si>
    <t>0.5ml</t>
  </si>
  <si>
    <t>0.75ml</t>
  </si>
  <si>
    <t>1ml</t>
  </si>
  <si>
    <t>every day for 3 days, if needed</t>
  </si>
  <si>
    <t>Swollen joint</t>
  </si>
  <si>
    <t>Lincomycin</t>
  </si>
  <si>
    <t>1.5ml</t>
  </si>
  <si>
    <t>2ml</t>
  </si>
  <si>
    <t xml:space="preserve">                   - alternative</t>
  </si>
  <si>
    <t>Penstrep</t>
  </si>
  <si>
    <t>after 3 days, if needed</t>
  </si>
  <si>
    <t>Ketoprofen</t>
  </si>
  <si>
    <t>0.2ml</t>
  </si>
  <si>
    <t>0.4ml</t>
  </si>
  <si>
    <t>after 24hrs, if needed</t>
  </si>
  <si>
    <t>Cough</t>
  </si>
  <si>
    <t>Amoxy</t>
  </si>
  <si>
    <t>after 2 days, if needed</t>
  </si>
  <si>
    <t>Injury/skin lesion</t>
  </si>
  <si>
    <t xml:space="preserve">                       -if bad</t>
  </si>
  <si>
    <t>Tail Bite</t>
  </si>
  <si>
    <t>Stokholm Tar</t>
  </si>
  <si>
    <t>Paint on to tail every day</t>
  </si>
  <si>
    <t>Meningitis</t>
  </si>
  <si>
    <t>16 week old gilts</t>
  </si>
  <si>
    <t>33 weeks</t>
  </si>
  <si>
    <t>22 weeks</t>
  </si>
  <si>
    <t xml:space="preserve">FARROWING HOUSE FEEDING SCHEDULE </t>
  </si>
  <si>
    <t>2 times per day feeding</t>
  </si>
  <si>
    <t>3 times per day feeding</t>
  </si>
  <si>
    <t>4 times per day feeding</t>
  </si>
  <si>
    <t>5 times per day feeding</t>
  </si>
  <si>
    <t>Days after</t>
  </si>
  <si>
    <t>Trans</t>
  </si>
  <si>
    <t>Lactate Gilt</t>
  </si>
  <si>
    <t>Setting</t>
  </si>
  <si>
    <t>AM</t>
  </si>
  <si>
    <t>tick actual</t>
  </si>
  <si>
    <t>PM</t>
  </si>
  <si>
    <t>Total</t>
  </si>
  <si>
    <t xml:space="preserve">1st 5 days stick to this schedule </t>
  </si>
  <si>
    <t>From day 6 can increase as much as 2kgs per day if she is willing to eat</t>
  </si>
  <si>
    <t>In the last week - sow with 12 or less piglets or fat - don’t increase in the last week</t>
  </si>
  <si>
    <t>If she has more than 12 piglets and medium or thin keep increasing to day of weaning</t>
  </si>
  <si>
    <t>If scours in piglets are noted keep her on the same feed level and if not moved to lactate yet, keep her on trans</t>
  </si>
  <si>
    <t>Super Flush</t>
  </si>
  <si>
    <t>4.5kgs of feed per day up to service</t>
  </si>
  <si>
    <t>2.5kgs of feed per day for the period (Ad lib)</t>
  </si>
  <si>
    <t>236 to 246kgs</t>
  </si>
  <si>
    <t>Lactate Sow</t>
  </si>
  <si>
    <t>Settings</t>
  </si>
  <si>
    <t xml:space="preserve">1st 3 days stick to this schedule </t>
  </si>
  <si>
    <t>From day 4 can increase as much as 2kgs per day if she is willing to eat</t>
  </si>
  <si>
    <t>If not finished, keep on the same level as previous day</t>
  </si>
  <si>
    <t>If she has more than 12 piglets and medium or thin keep pushing to day of weaning</t>
  </si>
  <si>
    <t>Gilts in Dry Feed Schedule</t>
  </si>
  <si>
    <t>2.6kgs</t>
  </si>
  <si>
    <t>2.3kgs</t>
  </si>
  <si>
    <t>2.8kgs</t>
  </si>
  <si>
    <t>Day #</t>
  </si>
  <si>
    <t>Day</t>
  </si>
  <si>
    <t>1000hrs</t>
  </si>
  <si>
    <t>1630hrs</t>
  </si>
  <si>
    <t>Feed drop Times &amp; Qty</t>
  </si>
  <si>
    <t>Thursday</t>
  </si>
  <si>
    <t>Friday</t>
  </si>
  <si>
    <t>Saturday</t>
  </si>
  <si>
    <t>Sunday</t>
  </si>
  <si>
    <t>Monday</t>
  </si>
  <si>
    <t>Tuesday</t>
  </si>
  <si>
    <t>Wednesday</t>
  </si>
  <si>
    <t>0530hrs</t>
  </si>
  <si>
    <t>Flush Feeding for Sow in the Service Line</t>
  </si>
  <si>
    <t>Gilts</t>
  </si>
  <si>
    <t>Crate Breaking</t>
  </si>
  <si>
    <t>1400hrs</t>
  </si>
  <si>
    <t>Totals</t>
  </si>
  <si>
    <t>From Day into SL to 14 days before service</t>
  </si>
  <si>
    <t>14 days before Service</t>
  </si>
  <si>
    <t>3.1kgs</t>
  </si>
  <si>
    <t>GILTS</t>
  </si>
  <si>
    <t>P2</t>
  </si>
  <si>
    <t>FEED</t>
  </si>
  <si>
    <t>SOWS</t>
  </si>
  <si>
    <t>5 WEEKS</t>
  </si>
  <si>
    <t>8 WEEKS</t>
  </si>
  <si>
    <t>12 WEEKS</t>
  </si>
  <si>
    <t>All gilts</t>
  </si>
  <si>
    <t>All sows</t>
  </si>
  <si>
    <t>15 WEEKS</t>
  </si>
  <si>
    <t>11 to 13</t>
  </si>
  <si>
    <t>14 to 15</t>
  </si>
  <si>
    <t>16 +</t>
  </si>
  <si>
    <t>2.1kgs</t>
  </si>
  <si>
    <t>Total Feed</t>
  </si>
  <si>
    <t>9 to 12</t>
  </si>
  <si>
    <t>13 to 14</t>
  </si>
  <si>
    <t>10 &amp; below</t>
  </si>
  <si>
    <t>11 to 12</t>
  </si>
  <si>
    <t>INTO DRY SOW          (0 to 5 Weeks)</t>
  </si>
  <si>
    <t>INTO DRY SOW         (0 to 5 Weeks)</t>
  </si>
  <si>
    <t>As per Feed schedule - In Dry Sow page</t>
  </si>
  <si>
    <t>As per Service Line Feed Schedule page</t>
  </si>
  <si>
    <t>accounts</t>
  </si>
  <si>
    <t>30 weeks</t>
  </si>
  <si>
    <t>SUPER FLUSH</t>
  </si>
  <si>
    <t>175 (range 157 to 187)</t>
  </si>
  <si>
    <t>157-187kg served gilts</t>
  </si>
  <si>
    <t>% animals served under this range</t>
  </si>
  <si>
    <t>Drop down with feed levels and P2 option</t>
  </si>
  <si>
    <t>236-246</t>
  </si>
  <si>
    <t>Mortaltiy reasons</t>
  </si>
  <si>
    <t>weekly farrow batch</t>
  </si>
  <si>
    <t>weekly weaned batch</t>
  </si>
  <si>
    <t>Mortality reasons</t>
  </si>
  <si>
    <t>SOW AND PIGLET TREATMENT CARD</t>
  </si>
  <si>
    <t>DATE</t>
  </si>
  <si>
    <t>PIGLET TREATMENT</t>
  </si>
  <si>
    <t>SOW TREATMENT</t>
  </si>
  <si>
    <t>Suckling Piglets</t>
  </si>
  <si>
    <t>Lactating Sows</t>
  </si>
  <si>
    <t>Symptom</t>
  </si>
  <si>
    <t>Dose</t>
  </si>
  <si>
    <t>E.coli</t>
  </si>
  <si>
    <t>Scour -1st Line</t>
  </si>
  <si>
    <t>Kyrotrim</t>
  </si>
  <si>
    <t>0.3ml</t>
  </si>
  <si>
    <t>every day for 3 days</t>
  </si>
  <si>
    <t>Fever</t>
  </si>
  <si>
    <t>Sow not eating</t>
  </si>
  <si>
    <t>Limoxin 200 LA</t>
  </si>
  <si>
    <t>24ml</t>
  </si>
  <si>
    <t xml:space="preserve">            - 2nd Line</t>
  </si>
  <si>
    <t>0.25ml</t>
  </si>
  <si>
    <t>5ml</t>
  </si>
  <si>
    <t>After 24 hrs, if needed</t>
  </si>
  <si>
    <t>Joint Ill</t>
  </si>
  <si>
    <t>Aided Farrowing</t>
  </si>
  <si>
    <t>Hand used</t>
  </si>
  <si>
    <t>No</t>
  </si>
  <si>
    <t xml:space="preserve">  - alternative</t>
  </si>
  <si>
    <t>Penstrep LA</t>
  </si>
  <si>
    <t xml:space="preserve">  -if severe add</t>
  </si>
  <si>
    <t>0.1ml</t>
  </si>
  <si>
    <t>Intertocin</t>
  </si>
  <si>
    <t>Injury (facial lesions)</t>
  </si>
  <si>
    <t>Intramox 150 LA</t>
  </si>
  <si>
    <t>Discharge</t>
  </si>
  <si>
    <t>Milky vaginal secretion</t>
  </si>
  <si>
    <t xml:space="preserve"> -if severe add</t>
  </si>
  <si>
    <t>Sore Foot/Injury</t>
  </si>
  <si>
    <t>Injury or open wound on foot</t>
  </si>
  <si>
    <t>Greasy Pig</t>
  </si>
  <si>
    <t xml:space="preserve">Typical skin lesions    </t>
  </si>
  <si>
    <t xml:space="preserve">         - if bad add</t>
  </si>
  <si>
    <t>Lawsonia</t>
  </si>
  <si>
    <t>Scours</t>
  </si>
  <si>
    <t>Alamycin LA</t>
  </si>
  <si>
    <t>Pig cant stand, tremors, paddling</t>
  </si>
  <si>
    <t>Pre-Farrowing Oedema</t>
  </si>
  <si>
    <t>Hard/Swollen udder</t>
  </si>
  <si>
    <t>Swollen Joint</t>
  </si>
  <si>
    <t>Daily for 3 days</t>
  </si>
  <si>
    <t>Thursday day of weaning</t>
  </si>
  <si>
    <t>16 - piglets weaned per gilt</t>
  </si>
  <si>
    <t>Wednesday the following week</t>
  </si>
  <si>
    <t>weekly farrowing batch</t>
  </si>
  <si>
    <t>4wks(8 days) - Creep2, 5 to 6wks (14 days) - creep 3, 7 to 10wks (17 days) - Wean 1</t>
  </si>
  <si>
    <t>SEE WEANER TREATMENT SHEET</t>
  </si>
  <si>
    <t>DRY SOWS</t>
  </si>
  <si>
    <t>Alamycin</t>
  </si>
  <si>
    <t>after 24 hrs, if needed</t>
  </si>
  <si>
    <t>Injury</t>
  </si>
  <si>
    <t>Cuts on skin</t>
  </si>
  <si>
    <t xml:space="preserve">            - if bad</t>
  </si>
  <si>
    <t>Sore Foot</t>
  </si>
  <si>
    <t>Painfull or swollen foot</t>
  </si>
  <si>
    <t>Abscess</t>
  </si>
  <si>
    <t>soft lump</t>
  </si>
  <si>
    <t>Farrowing House</t>
  </si>
  <si>
    <t>Intertrim LA</t>
  </si>
  <si>
    <t xml:space="preserve">                                    -if severe</t>
  </si>
  <si>
    <t xml:space="preserve">                                    - alternative</t>
  </si>
  <si>
    <t xml:space="preserve">                                    -if severe add</t>
  </si>
  <si>
    <t xml:space="preserve"> </t>
  </si>
  <si>
    <t>Weaners</t>
  </si>
  <si>
    <t>Growers</t>
  </si>
  <si>
    <t>Before 17 weeks</t>
  </si>
  <si>
    <t>Dose -small</t>
  </si>
  <si>
    <t>Dose - med</t>
  </si>
  <si>
    <t>Scour - Lawsonia</t>
  </si>
  <si>
    <t>3ml</t>
  </si>
  <si>
    <t>7ml</t>
  </si>
  <si>
    <t>if more then 2 in pen</t>
  </si>
  <si>
    <t>OTC in feed</t>
  </si>
  <si>
    <t>4g/pig/day</t>
  </si>
  <si>
    <t>minimum 3 days</t>
  </si>
  <si>
    <t xml:space="preserve">                      - alternative</t>
  </si>
  <si>
    <t>0.7ml</t>
  </si>
  <si>
    <t>1.3ml</t>
  </si>
  <si>
    <t>Injury/skin lesions</t>
  </si>
  <si>
    <t>Paint onto tail every day</t>
  </si>
  <si>
    <t>After 17 weeks</t>
  </si>
  <si>
    <t>Dose x large</t>
  </si>
  <si>
    <t>Withdrawal</t>
  </si>
  <si>
    <t>Option 1</t>
  </si>
  <si>
    <t>Depocillin</t>
  </si>
  <si>
    <t>4ml</t>
  </si>
  <si>
    <t>5 Days</t>
  </si>
  <si>
    <t>Option 2 (severe case)</t>
  </si>
  <si>
    <t>Cobactan</t>
  </si>
  <si>
    <t>10weeks (14days) - Wean 1 (OTC), 12weeks (14days) - Grower 1, 14weeks (14 days) - Grower 2, 16weeks (10days) - Grower 3, 17weeks (28days) - Finisher</t>
  </si>
  <si>
    <t>wean 1 otc (10weeks)-1.6, wean 1 otc(11weeks)-1.7, grower 1(12weeks)-2.2, grower 1(13weeks)-2.5, grower 2 (14weeks)-2.6, grower 2(15weeks)-2.7, grower 3(16weeks)-2.9, grower 3(17-18weeks)-3.1, finisher(19-22)-3.1</t>
  </si>
  <si>
    <t>SEE GROWER TREATMENT SHEET</t>
  </si>
  <si>
    <t>Gilt rear 1 - Gilt rear 2 - Gilt rear 3</t>
  </si>
  <si>
    <t>25 week old gilts</t>
  </si>
  <si>
    <t>gilt rearing gilt to Service line (28 weeks)</t>
  </si>
  <si>
    <t>gilt rearing gilt to Service line (29 weeks)</t>
  </si>
  <si>
    <t>gilt rearing gilt to Service line (30 weeks)</t>
  </si>
  <si>
    <t>gilt rearing gilt to Service line (31 weeks)</t>
  </si>
  <si>
    <t>gilt rearing gilt to Service line(32 weeks)</t>
  </si>
  <si>
    <t>gilt rearing gilt to Service line (33 weeks)</t>
  </si>
  <si>
    <t>gilt rearing gilt to Service line (34 weeks)</t>
  </si>
  <si>
    <t>29 weeks</t>
  </si>
  <si>
    <t>31 weeks</t>
  </si>
  <si>
    <t>32 weeks</t>
  </si>
  <si>
    <t>34 weeks</t>
  </si>
  <si>
    <t>35 weeks</t>
  </si>
  <si>
    <t>Teaser Boar</t>
  </si>
  <si>
    <t>Total weight gain for the period</t>
  </si>
  <si>
    <t>Expected Livestock Output</t>
  </si>
  <si>
    <t>Maternal weight loss between 8 - 12%</t>
  </si>
  <si>
    <t>As per Sow Feed schedule - Farr page</t>
  </si>
  <si>
    <t>Farrowing Rates</t>
  </si>
  <si>
    <t>Total Born</t>
  </si>
  <si>
    <t>Born Alive</t>
  </si>
  <si>
    <t>Birth Weight</t>
  </si>
  <si>
    <t>Gilt Gain in Gestation Variation</t>
  </si>
  <si>
    <t>% loss of animals that lost more than 12%</t>
  </si>
  <si>
    <t>PD Alert</t>
  </si>
  <si>
    <t>Gilts into Farrowing Variation</t>
  </si>
  <si>
    <t>Born Dead</t>
  </si>
  <si>
    <t>Mummies</t>
  </si>
  <si>
    <t>Animal served under age range</t>
  </si>
  <si>
    <t>ADG of pigs below target weight at service(0.786)</t>
  </si>
  <si>
    <t>GILTS SELECTION CRITERIA</t>
  </si>
  <si>
    <t>Wean weight</t>
  </si>
  <si>
    <t>DAM TSI</t>
  </si>
  <si>
    <t>Body Conformation</t>
  </si>
  <si>
    <t>1 = very poor, 5 = Excellent. Target is 5</t>
  </si>
  <si>
    <t>CDM</t>
  </si>
  <si>
    <t>Kgs Sold/Sow/Year</t>
  </si>
  <si>
    <t>recorded gilt heats</t>
  </si>
  <si>
    <t>recorded heats axtual dates</t>
  </si>
  <si>
    <t>NOP within weight range @ 16 weeks</t>
  </si>
  <si>
    <t>35weeks</t>
  </si>
  <si>
    <t>gilt rearing gilt to Service line (35weeks)</t>
  </si>
  <si>
    <t>( 30 - 35 weeks)target service age</t>
  </si>
  <si>
    <t>Farrowsure vaccine administerd @ 25weeks - 2mls</t>
  </si>
  <si>
    <t>36 weeks</t>
  </si>
  <si>
    <t>90DAY PLUS</t>
  </si>
  <si>
    <t>Bagged</t>
  </si>
  <si>
    <t>104kgs - total litter mass</t>
  </si>
  <si>
    <t>Trans feed and Lactate sow</t>
  </si>
  <si>
    <t>7.5kgs Avg wean weight</t>
  </si>
  <si>
    <t>7.5kgs -avg piglet weight</t>
  </si>
  <si>
    <t>As per Sow Feed schedule - Farr page, 2.5kgs of Super flush at weaning</t>
  </si>
  <si>
    <t>210 - 220</t>
  </si>
  <si>
    <t>189 - 198</t>
  </si>
  <si>
    <t>254-263</t>
  </si>
  <si>
    <t>Villa Franca</t>
  </si>
  <si>
    <t>VF Ban</t>
  </si>
  <si>
    <t>VF GB - P1</t>
  </si>
  <si>
    <t>creep 2 - 0.48, creep 3 - 0.94, Wean 1 - 1.1</t>
  </si>
  <si>
    <t>VF GB - P2</t>
  </si>
  <si>
    <t>VF GB - P3</t>
  </si>
  <si>
    <t>VF GB - P4</t>
  </si>
  <si>
    <t>VF GB - P5</t>
  </si>
  <si>
    <t>VF GB - P6</t>
  </si>
  <si>
    <t>VF GB - P7</t>
  </si>
  <si>
    <t>VF GB -  P8</t>
  </si>
  <si>
    <t>VF GB -  P9</t>
  </si>
  <si>
    <t>VF GB -  P10</t>
  </si>
  <si>
    <t>VF GB -  P11</t>
  </si>
  <si>
    <t>VF GB -  P12</t>
  </si>
  <si>
    <t>VF GB -  P13</t>
  </si>
  <si>
    <t>VF GB -  P14</t>
  </si>
  <si>
    <t>VF GB -  P15</t>
  </si>
  <si>
    <t>VF GB -  P16</t>
  </si>
  <si>
    <t>VF Gilt Block</t>
  </si>
  <si>
    <t>VF  Gilt Block -P1</t>
  </si>
  <si>
    <t>GILT rear 4-GILT rear 4.1</t>
  </si>
  <si>
    <t>VF  Gilt Block -P2</t>
  </si>
  <si>
    <t>VF  Gilt Block -P3</t>
  </si>
  <si>
    <t>VF  Gilt Block -P4</t>
  </si>
  <si>
    <t>VF  Gilt Block -P5</t>
  </si>
  <si>
    <t>VF  Gilt Block -P6</t>
  </si>
  <si>
    <t>VF  Gilt Block -P7</t>
  </si>
  <si>
    <t>VF  Gilt Block -P8</t>
  </si>
  <si>
    <t>VF  Gilt Block -P9</t>
  </si>
  <si>
    <t>VF Processing</t>
  </si>
  <si>
    <t>VF PR - P1</t>
  </si>
  <si>
    <t>GILT 5</t>
  </si>
  <si>
    <t>3.2kgs of feed per day for the period</t>
  </si>
  <si>
    <t>VF PR - P2</t>
  </si>
  <si>
    <t>VF PR - P3</t>
  </si>
  <si>
    <t>VF PR - P4</t>
  </si>
  <si>
    <t>VF PR - P5</t>
  </si>
  <si>
    <t>VF PR - P6</t>
  </si>
  <si>
    <t>VF PR - P7</t>
  </si>
  <si>
    <t>VF PR - P8</t>
  </si>
  <si>
    <t>VF Service line</t>
  </si>
  <si>
    <t>VF SL -CRATE 01</t>
  </si>
  <si>
    <t>VF SL -CRATE 02</t>
  </si>
  <si>
    <t>VF SL -CRATE 03</t>
  </si>
  <si>
    <t>VF SL -CRATE 04</t>
  </si>
  <si>
    <t>VF SL -CRATE 05</t>
  </si>
  <si>
    <t>VF SL -CRATE 06</t>
  </si>
  <si>
    <t>VF SL -CRATE 07</t>
  </si>
  <si>
    <t>VF SL -CRATE 08</t>
  </si>
  <si>
    <t>VF SL -CRATE 09</t>
  </si>
  <si>
    <t>VF SL -CRATE 10</t>
  </si>
  <si>
    <t>VF SL -CRATE 11</t>
  </si>
  <si>
    <t>VF SL -CRATE 12</t>
  </si>
  <si>
    <t>VF SL -CRATE 13</t>
  </si>
  <si>
    <t>VF SL -CRATE 14</t>
  </si>
  <si>
    <t>VF SL -CRATE 15</t>
  </si>
  <si>
    <t>VF SL -CRATE 16</t>
  </si>
  <si>
    <t>VF SL -CRATE 17</t>
  </si>
  <si>
    <t>VF SL -CRATE 18</t>
  </si>
  <si>
    <t>VF SL -CRATE 19</t>
  </si>
  <si>
    <t>VF SL -CRATE 20</t>
  </si>
  <si>
    <t>VF SL -CRATE 21</t>
  </si>
  <si>
    <t>VF SL -CRATE 22</t>
  </si>
  <si>
    <t>VF SL -CRATE 23</t>
  </si>
  <si>
    <t>VF SL -CRATE 24</t>
  </si>
  <si>
    <t>VF SL -CRATE 25</t>
  </si>
  <si>
    <t>VF SL -CRATE 26</t>
  </si>
  <si>
    <t>VF SL -CRATE 27</t>
  </si>
  <si>
    <t>VF SL -CRATE 28</t>
  </si>
  <si>
    <t>VF SL -CRATE 29</t>
  </si>
  <si>
    <t>VF SL -CRATE 30</t>
  </si>
  <si>
    <t>VF SL -CRATE 31</t>
  </si>
  <si>
    <t>VF SG  line</t>
  </si>
  <si>
    <t>VF SG -CRATE 01</t>
  </si>
  <si>
    <t>VF SG -CRATE 02</t>
  </si>
  <si>
    <t>VF SG -CRATE 03</t>
  </si>
  <si>
    <t>VF SG -CRATE 04</t>
  </si>
  <si>
    <t>VF SG -CRATE 05</t>
  </si>
  <si>
    <t>VF SG -CRATE 06</t>
  </si>
  <si>
    <t>VF SG -CRATE 07</t>
  </si>
  <si>
    <t>VF SG -CRATE 08</t>
  </si>
  <si>
    <t>VF SG -CRATE 09</t>
  </si>
  <si>
    <t>VF SG -CRATE 10</t>
  </si>
  <si>
    <t>VF SG -CRATE 11</t>
  </si>
  <si>
    <t>VF SG -CRATE 12</t>
  </si>
  <si>
    <t>VF SG -CRATE 13</t>
  </si>
  <si>
    <t>VF SG -CRATE 14</t>
  </si>
  <si>
    <t>VF SG -CRATE 15</t>
  </si>
  <si>
    <t>VF SG -CRATE 16</t>
  </si>
  <si>
    <t>VF SG -CRATE 17</t>
  </si>
  <si>
    <t>VF SG -CRATE 18</t>
  </si>
  <si>
    <t>VF SG -CRATE 19</t>
  </si>
  <si>
    <t>VF SG -CRATE 20</t>
  </si>
  <si>
    <t>VF SG -CRATE 21</t>
  </si>
  <si>
    <t>VF SG -CRATE 22</t>
  </si>
  <si>
    <t>VF SG -CRATE 23</t>
  </si>
  <si>
    <t>VF SG -CRATE 24</t>
  </si>
  <si>
    <t>VF SG -CRATE 25</t>
  </si>
  <si>
    <t>VF SG -CRATE 26</t>
  </si>
  <si>
    <t>VF SG -CRATE 27</t>
  </si>
  <si>
    <t>VF SG -CRATE 28</t>
  </si>
  <si>
    <t>VF SG -CRATE 29</t>
  </si>
  <si>
    <t>VF SG -CRATE 30</t>
  </si>
  <si>
    <t>VF SG -CRATE 31</t>
  </si>
  <si>
    <t>VF SG -CRATE 32</t>
  </si>
  <si>
    <t>VF SG -CRATE 33</t>
  </si>
  <si>
    <t>VF SG -CRATE 34</t>
  </si>
  <si>
    <t>VF SG -CRATE 35</t>
  </si>
  <si>
    <t>VF SG -CRATE 36</t>
  </si>
  <si>
    <t>VF SG -CRATE 37</t>
  </si>
  <si>
    <t>VF SG -CRATE 38</t>
  </si>
  <si>
    <t>VF SG -CRATE 39</t>
  </si>
  <si>
    <t>VF SG -CRATE 40</t>
  </si>
  <si>
    <t>VF SG -CRATE 41</t>
  </si>
  <si>
    <t>VF SG -CRATE 42</t>
  </si>
  <si>
    <t>VF SG -CRATE 43</t>
  </si>
  <si>
    <t>VF SG -CRATE 44</t>
  </si>
  <si>
    <t>VF SG -CRATE 45</t>
  </si>
  <si>
    <t>VF SG -CRATE 46</t>
  </si>
  <si>
    <t>VF SG -CRATE 47</t>
  </si>
  <si>
    <t>VF SG -CRATE 48</t>
  </si>
  <si>
    <t>VF SG -CRATE 49</t>
  </si>
  <si>
    <t>VF SG -CRATE 50</t>
  </si>
  <si>
    <t>VF SG -CRATE 51</t>
  </si>
  <si>
    <t>VF SG -CRATE 52</t>
  </si>
  <si>
    <t>VF SG -CRATE 53</t>
  </si>
  <si>
    <t>VF SG -CRATE 54</t>
  </si>
  <si>
    <t>VF SG -CRATE 55</t>
  </si>
  <si>
    <t>VF SG -CRATE 56</t>
  </si>
  <si>
    <t>VF SG -CRATE 57</t>
  </si>
  <si>
    <t>VF SG -CRATE 58</t>
  </si>
  <si>
    <t>VF SG -CRATE 59</t>
  </si>
  <si>
    <t>VF SG -CRATE 60</t>
  </si>
  <si>
    <t>VF SG -CRATE 61</t>
  </si>
  <si>
    <t>VF SG -CRATE 62</t>
  </si>
  <si>
    <t>VF SG -CRATE 63</t>
  </si>
  <si>
    <t>VF SG -CRATE 64</t>
  </si>
  <si>
    <t xml:space="preserve">N/A </t>
  </si>
  <si>
    <t>7(range 6.8 to 7.2)</t>
  </si>
  <si>
    <t>1.5 (alert - above 1.7)</t>
  </si>
  <si>
    <t>gilt rearing 10 - 16 weeks</t>
  </si>
  <si>
    <t>68 (range 61 to 71)</t>
  </si>
  <si>
    <t>1.9 (alert - above 2.1)</t>
  </si>
  <si>
    <t>ADG of pigs below target weight between 10-16 weeks</t>
  </si>
  <si>
    <t>gilt rearing 16 to 25 weeks</t>
  </si>
  <si>
    <t>130 (range 118 to 139)</t>
  </si>
  <si>
    <t>2.8 (alert above 3)</t>
  </si>
  <si>
    <t>NOP within weight range @ 25weeks</t>
  </si>
  <si>
    <t>ADG of pigs below target weight between 16-25weeks</t>
  </si>
  <si>
    <t>Heat cycle s recorded</t>
  </si>
  <si>
    <t>gilt rearing 25 to 28weeks</t>
  </si>
  <si>
    <t>28weeks</t>
  </si>
  <si>
    <t>3.4 (alert above 3.7)</t>
  </si>
  <si>
    <t>28week old gilts</t>
  </si>
  <si>
    <t>NOP within weight range @ 28weeks</t>
  </si>
  <si>
    <t>ADG of pigs below target weight between 25-28weeks</t>
  </si>
  <si>
    <t>NOP not on heat by 28 weeks</t>
  </si>
  <si>
    <t>35 weeks (alert to cull)</t>
  </si>
  <si>
    <r>
      <t xml:space="preserve">5 gilts served </t>
    </r>
    <r>
      <rPr>
        <b/>
        <sz val="11"/>
        <color theme="1"/>
        <rFont val="Aptos Narrow"/>
        <scheme val="minor"/>
      </rPr>
      <t>@ 31-33weeks</t>
    </r>
  </si>
  <si>
    <t>ADG of pigs below target weight at service</t>
  </si>
  <si>
    <t>1st vaccine - farrowsure (gilt) 25weeks</t>
  </si>
  <si>
    <t>2nd vaccine - Farrowsure (gilt) 28 weeks</t>
  </si>
  <si>
    <t>Vaccine porcilis 11 weeks pregnant every pregnancy cycle</t>
  </si>
  <si>
    <t>Vaccine porcilis 13 weeks pregnant every pregnancy cycle</t>
  </si>
  <si>
    <t>25 week</t>
  </si>
  <si>
    <t>VF FH 1</t>
  </si>
  <si>
    <t>VF FH1 P01</t>
  </si>
  <si>
    <t xml:space="preserve">transition and gilt lactate </t>
  </si>
  <si>
    <t>VF FH1 P02</t>
  </si>
  <si>
    <t>VF FH1 P03</t>
  </si>
  <si>
    <t>VF FH1 P04</t>
  </si>
  <si>
    <t>VF FH1 P05</t>
  </si>
  <si>
    <t>VF FH1 P06</t>
  </si>
  <si>
    <t>VF FH1 P07</t>
  </si>
  <si>
    <t>VF FH1 P08</t>
  </si>
  <si>
    <t>VF FH1 P09</t>
  </si>
  <si>
    <t>VF FH1 P10</t>
  </si>
  <si>
    <t>VF FH1 P11</t>
  </si>
  <si>
    <t>VF FH1 P12</t>
  </si>
  <si>
    <t>VF FH1 P13</t>
  </si>
  <si>
    <t>VF FH1 P14</t>
  </si>
  <si>
    <t>VF FH1 P15</t>
  </si>
  <si>
    <t>VF FH1 P16</t>
  </si>
  <si>
    <t>VF FH1 P17</t>
  </si>
  <si>
    <t>VF FH1 P18</t>
  </si>
  <si>
    <t>VF FH1 P19</t>
  </si>
  <si>
    <t>VF FH1 P20</t>
  </si>
  <si>
    <t>VF FH1 P21</t>
  </si>
  <si>
    <t>VF FH1 P22</t>
  </si>
  <si>
    <t>VF FH1 P23</t>
  </si>
  <si>
    <t>VF FH1 P24</t>
  </si>
  <si>
    <t>VF FH1 P25</t>
  </si>
  <si>
    <t>VF FH1 P26</t>
  </si>
  <si>
    <t>VF FH1 P27</t>
  </si>
  <si>
    <t>VF FH1 P28</t>
  </si>
  <si>
    <t>VF FH1 P29</t>
  </si>
  <si>
    <t>VF FH1 P30</t>
  </si>
  <si>
    <t>VF FH1 P31</t>
  </si>
  <si>
    <t>VF FH1 P32</t>
  </si>
  <si>
    <t>VF FH1 P33</t>
  </si>
  <si>
    <t>VF FH1 P34</t>
  </si>
  <si>
    <t>VF FH1 P35</t>
  </si>
  <si>
    <t>VF FH1 P36</t>
  </si>
  <si>
    <t>VF FH1 P37</t>
  </si>
  <si>
    <t>VF FH1 P38</t>
  </si>
  <si>
    <t>VF FH1 P39</t>
  </si>
  <si>
    <t>VF FH1 P40</t>
  </si>
  <si>
    <t>VF FH1 P41</t>
  </si>
  <si>
    <t>VF FH1 P42</t>
  </si>
  <si>
    <t>VF FH1 P43</t>
  </si>
  <si>
    <t>VF FH1 P44</t>
  </si>
  <si>
    <t>VF FH1 P45</t>
  </si>
  <si>
    <t>VF FH1 P46</t>
  </si>
  <si>
    <t>VF FH1 P47</t>
  </si>
  <si>
    <t>VF FH1 P48</t>
  </si>
  <si>
    <t>VF FH1 P49</t>
  </si>
  <si>
    <t>VF FH1 P50</t>
  </si>
  <si>
    <t>VF FH 2</t>
  </si>
  <si>
    <t>VF FH2 - P01</t>
  </si>
  <si>
    <t>VF FH2 - P02</t>
  </si>
  <si>
    <t>VF FH2 - P03</t>
  </si>
  <si>
    <t>VF FH2 - P04</t>
  </si>
  <si>
    <t>VF FH2 - P05</t>
  </si>
  <si>
    <t>VF FH2 - P06</t>
  </si>
  <si>
    <t>VF FH2 - P07</t>
  </si>
  <si>
    <t>VF FH2 - P08</t>
  </si>
  <si>
    <t>VF FH2 - P09</t>
  </si>
  <si>
    <t>VF FH2 - P10</t>
  </si>
  <si>
    <t>VF FH2 - P11</t>
  </si>
  <si>
    <t>VF FH2 - P12</t>
  </si>
  <si>
    <t>VF FH2 - P13</t>
  </si>
  <si>
    <t>VF FH2 - P14</t>
  </si>
  <si>
    <t>VF FH2 - P15</t>
  </si>
  <si>
    <t>VF FH2 - P16</t>
  </si>
  <si>
    <t>VF FH2 - P17</t>
  </si>
  <si>
    <t>VF FH2 - P18</t>
  </si>
  <si>
    <t>VF FH2 - P19</t>
  </si>
  <si>
    <t>VF FH2 - P20</t>
  </si>
  <si>
    <t>VF FH2 - P21</t>
  </si>
  <si>
    <t>VF FH2 - P22</t>
  </si>
  <si>
    <t>VF FH2 - P23</t>
  </si>
  <si>
    <t>VF FH2 - P24</t>
  </si>
  <si>
    <t>VF FH2 - P25</t>
  </si>
  <si>
    <t>VF FH2 - P26</t>
  </si>
  <si>
    <t>VF FH2 - P27</t>
  </si>
  <si>
    <t>VF FH2 - P28</t>
  </si>
  <si>
    <t>VF FH2 - P29</t>
  </si>
  <si>
    <t>VF FH2 - P30</t>
  </si>
  <si>
    <t>VF FH2 - P31</t>
  </si>
  <si>
    <t>VF FH2 - P32</t>
  </si>
  <si>
    <t>VF FH2 - P33</t>
  </si>
  <si>
    <t>VF FH2 - P34</t>
  </si>
  <si>
    <t>VF FH2 - P35</t>
  </si>
  <si>
    <t>VF FH2 - P36</t>
  </si>
  <si>
    <t>VF FH2 - P37</t>
  </si>
  <si>
    <t>VF FH2 - P38</t>
  </si>
  <si>
    <t>VF FH2 - P39</t>
  </si>
  <si>
    <t>VF FH2 - P40</t>
  </si>
  <si>
    <t>VF FH2 - P41</t>
  </si>
  <si>
    <t>VF FH2 - P42</t>
  </si>
  <si>
    <t>VF FH2 - P43</t>
  </si>
  <si>
    <t>VF FH2 - P44</t>
  </si>
  <si>
    <t>VF FH2 - P45</t>
  </si>
  <si>
    <t>VF FH2 - P46</t>
  </si>
  <si>
    <t>VF FH2 - P47</t>
  </si>
  <si>
    <t>VF FH2 - P48</t>
  </si>
  <si>
    <t>VF FH2 - P49</t>
  </si>
  <si>
    <t>VF FH2 - P50</t>
  </si>
  <si>
    <t>VF FH1 - P01</t>
  </si>
  <si>
    <t>VF FH1 - P02</t>
  </si>
  <si>
    <t>VF FH1 - P03</t>
  </si>
  <si>
    <t>VF FH1 - P04</t>
  </si>
  <si>
    <t>VF FH1 - P05</t>
  </si>
  <si>
    <t>VF FH1 - P06</t>
  </si>
  <si>
    <t>VF FH1 - P07</t>
  </si>
  <si>
    <t>VF FH1 - P08</t>
  </si>
  <si>
    <t>VF FH1 - P09</t>
  </si>
  <si>
    <t>VF FH1 - P10</t>
  </si>
  <si>
    <t>VF FH1 - P11</t>
  </si>
  <si>
    <t>VF FH1 - P12</t>
  </si>
  <si>
    <t>VF FH1 - P13</t>
  </si>
  <si>
    <t>VF FH1 - P14</t>
  </si>
  <si>
    <t>VF FH1 - P15</t>
  </si>
  <si>
    <t>VF FH1 - P16</t>
  </si>
  <si>
    <t>VF FH1 - P17</t>
  </si>
  <si>
    <t>VF FH1 - P18</t>
  </si>
  <si>
    <t>VF FH1 - P19</t>
  </si>
  <si>
    <t>VF FH1 - P20</t>
  </si>
  <si>
    <t>VF FH1 - P21</t>
  </si>
  <si>
    <t>VF FH1 - P22</t>
  </si>
  <si>
    <t>VF FH1 - P23</t>
  </si>
  <si>
    <t>VF FH1 - P24</t>
  </si>
  <si>
    <t>VF FH1 - P25</t>
  </si>
  <si>
    <t>VF FH1 - P26</t>
  </si>
  <si>
    <t>VF FH1 - P27</t>
  </si>
  <si>
    <t>VF FH1 - P28</t>
  </si>
  <si>
    <t>VF FH1 - P29</t>
  </si>
  <si>
    <t>VF FH1 - P30</t>
  </si>
  <si>
    <t>VF FH1 - P31</t>
  </si>
  <si>
    <t>VF FH1 - P32</t>
  </si>
  <si>
    <t>VF FH1 - P33</t>
  </si>
  <si>
    <t>VF FH1 - P34</t>
  </si>
  <si>
    <t>VF FH1 - P35</t>
  </si>
  <si>
    <t>VF FH1 - P36</t>
  </si>
  <si>
    <t>VF FH1 - P37</t>
  </si>
  <si>
    <t>VF FH1 - P38</t>
  </si>
  <si>
    <t>VF FH1 - P39</t>
  </si>
  <si>
    <t>VF FH1 - P40</t>
  </si>
  <si>
    <t>VF FH1 - P41</t>
  </si>
  <si>
    <t>VF FH1 - P42</t>
  </si>
  <si>
    <t>VF FH1 - P43</t>
  </si>
  <si>
    <t>VF FH1 - P44</t>
  </si>
  <si>
    <t>VF FH1 - P45</t>
  </si>
  <si>
    <t>VF FH1 - P46</t>
  </si>
  <si>
    <t>VF FH1 - P47</t>
  </si>
  <si>
    <t>VF FH1 - P48</t>
  </si>
  <si>
    <t>VF FH1 - P49</t>
  </si>
  <si>
    <t>VF FH1 - P50</t>
  </si>
  <si>
    <t>VF FH2 -  P01</t>
  </si>
  <si>
    <t>VF FH2 -  P02</t>
  </si>
  <si>
    <t>VF FH2 -  P03</t>
  </si>
  <si>
    <t>VF FH2 -  P04</t>
  </si>
  <si>
    <t>VF FH2 -  P05</t>
  </si>
  <si>
    <t>VF FH2 -  P06</t>
  </si>
  <si>
    <t>VF FH2 -  P07</t>
  </si>
  <si>
    <t>VF FH2 -  P08</t>
  </si>
  <si>
    <t>VF FH2 -  P09</t>
  </si>
  <si>
    <t>VF FH2 -  P10</t>
  </si>
  <si>
    <t>VF FH2 -  P11</t>
  </si>
  <si>
    <t>VF FH2 -  P12</t>
  </si>
  <si>
    <t>VF FH2 -  P13</t>
  </si>
  <si>
    <t>VF FH2 -  P14</t>
  </si>
  <si>
    <t>VF FH2 -  P15</t>
  </si>
  <si>
    <t>VF FH2 -  P16</t>
  </si>
  <si>
    <t>VF FH2 -  P17</t>
  </si>
  <si>
    <t>VF FH2 -  P18</t>
  </si>
  <si>
    <t>VF FH2 -  P19</t>
  </si>
  <si>
    <t>VF FH2 -  P20</t>
  </si>
  <si>
    <t>VF FH2 -  P21</t>
  </si>
  <si>
    <t>VF FH2 -  P22</t>
  </si>
  <si>
    <t>VF FH2 -  P23</t>
  </si>
  <si>
    <t>VF FH2 -  P24</t>
  </si>
  <si>
    <t>VF FH2 -  P25</t>
  </si>
  <si>
    <t>VF FH2 -  P26</t>
  </si>
  <si>
    <t>VF FH2 -  P27</t>
  </si>
  <si>
    <t>VF FH2 -  P28</t>
  </si>
  <si>
    <t>VF FH2 -  P29</t>
  </si>
  <si>
    <t>VF FH2 -  P30</t>
  </si>
  <si>
    <t>VF FH2 -  P31</t>
  </si>
  <si>
    <t>VF FH2 -  P32</t>
  </si>
  <si>
    <t>VF FH2 -  P33</t>
  </si>
  <si>
    <t>VF FH2 -  P34</t>
  </si>
  <si>
    <t>VF FH2 -  P35</t>
  </si>
  <si>
    <t>VF FH2 -  P36</t>
  </si>
  <si>
    <t>VF FH2 -  P37</t>
  </si>
  <si>
    <t>VF FH2 -  P38</t>
  </si>
  <si>
    <t>VF FH2 -  P39</t>
  </si>
  <si>
    <t>VF FH2 -  P40</t>
  </si>
  <si>
    <t>VF FH2 -  P41</t>
  </si>
  <si>
    <t>VF FH2 -  P42</t>
  </si>
  <si>
    <t>VF FH2 -  P43</t>
  </si>
  <si>
    <t>VF FH2 -  P44</t>
  </si>
  <si>
    <t>VF FH2 -  P45</t>
  </si>
  <si>
    <t>VF FH2 -  P46</t>
  </si>
  <si>
    <t>VF FH2 -  P47</t>
  </si>
  <si>
    <t>VF FH2 -  P48</t>
  </si>
  <si>
    <t>VF FH2 -  P49</t>
  </si>
  <si>
    <t>VF FH2 -  P50</t>
  </si>
  <si>
    <t>VF SL -CRATE 32</t>
  </si>
  <si>
    <t>VF SL -CRATE 33</t>
  </si>
  <si>
    <t>VF SL -CRATE 34</t>
  </si>
  <si>
    <t>VF SL -CRATE 35</t>
  </si>
  <si>
    <t>VF SL -CRATE 36</t>
  </si>
  <si>
    <t>VF SL -CRATE 37</t>
  </si>
  <si>
    <t>VF SL -CRATE 38</t>
  </si>
  <si>
    <t>VF SL -CRATE 39</t>
  </si>
  <si>
    <t>VF SL -CRATE 40</t>
  </si>
  <si>
    <t>VF SL -CRATE 41</t>
  </si>
  <si>
    <t xml:space="preserve">VF DS A </t>
  </si>
  <si>
    <t>VF DS A - P1</t>
  </si>
  <si>
    <t>dry sow and 90 plus</t>
  </si>
  <si>
    <t>4x 2nd parity retunr to farrow house</t>
  </si>
  <si>
    <t>VF DS A - P2</t>
  </si>
  <si>
    <t>VF DS A - P3</t>
  </si>
  <si>
    <t>VF DS A - P4</t>
  </si>
  <si>
    <t>VF DS B</t>
  </si>
  <si>
    <t>VF DS B - P1</t>
  </si>
  <si>
    <t>VF DS B - P2</t>
  </si>
  <si>
    <t>VF DS B - P3</t>
  </si>
  <si>
    <t>VF DS B - P4</t>
  </si>
  <si>
    <t>VF DS C</t>
  </si>
  <si>
    <t>VF DS C - P1</t>
  </si>
  <si>
    <t>VF DS C - P2</t>
  </si>
  <si>
    <t>VF DS C - P3</t>
  </si>
  <si>
    <t>VF DS C - P4</t>
  </si>
  <si>
    <t>VF DS D</t>
  </si>
  <si>
    <t>VF DS D - P1</t>
  </si>
  <si>
    <t>VF DS D - P2</t>
  </si>
  <si>
    <t>VF DS D - P3</t>
  </si>
  <si>
    <t>VF DS D - P4</t>
  </si>
  <si>
    <t>VF DS D - P5</t>
  </si>
  <si>
    <t>VF DS D - P6</t>
  </si>
  <si>
    <t>VF DS D - P7</t>
  </si>
  <si>
    <t xml:space="preserve">3rd parity gestation </t>
  </si>
  <si>
    <t>16 weeks pregnant</t>
  </si>
  <si>
    <t>VF DS D - P7B</t>
  </si>
  <si>
    <t xml:space="preserve">4th parity gestation </t>
  </si>
  <si>
    <t>17 weeks pregnant</t>
  </si>
  <si>
    <t>VF DS D - P8</t>
  </si>
  <si>
    <t xml:space="preserve">5th parity gestation </t>
  </si>
  <si>
    <t>18 weeks pregnant</t>
  </si>
  <si>
    <t>VF DS D - P8B</t>
  </si>
  <si>
    <t xml:space="preserve">6th parity gestation </t>
  </si>
  <si>
    <t>19 weeks pregnant</t>
  </si>
  <si>
    <t>VF DS D - P9</t>
  </si>
  <si>
    <t xml:space="preserve">7th parity gestation </t>
  </si>
  <si>
    <t>20 weeks pregnant</t>
  </si>
  <si>
    <t>VF DS D - P9B</t>
  </si>
  <si>
    <t xml:space="preserve">8th parity gestation </t>
  </si>
  <si>
    <t>21 weeks pregnant</t>
  </si>
  <si>
    <t>VF DS D - P10</t>
  </si>
  <si>
    <t xml:space="preserve">9th parity gestation </t>
  </si>
  <si>
    <t>22 weeks pregnant</t>
  </si>
  <si>
    <t>VF DS D - P10B</t>
  </si>
  <si>
    <t xml:space="preserve">10th parity gestation </t>
  </si>
  <si>
    <t>23 weeks pregnant</t>
  </si>
  <si>
    <t>VF DS D - P11</t>
  </si>
  <si>
    <t xml:space="preserve">11th parity gestation </t>
  </si>
  <si>
    <t>24 weeks pregnant</t>
  </si>
  <si>
    <t>VF DS D - P12</t>
  </si>
  <si>
    <t xml:space="preserve">12th parity gestation </t>
  </si>
  <si>
    <t>25 weeks pregnant</t>
  </si>
  <si>
    <t>VF DS D - P13</t>
  </si>
  <si>
    <t>VF DS F</t>
  </si>
  <si>
    <t>VF DS F - P1</t>
  </si>
  <si>
    <t>VF DS F - P1B</t>
  </si>
  <si>
    <t>VF DS F - P2</t>
  </si>
  <si>
    <t>VF DS F - P2B</t>
  </si>
  <si>
    <t>VF DS F - P3B</t>
  </si>
  <si>
    <t>VF DS F - P4</t>
  </si>
  <si>
    <t>VF DS F- P4B</t>
  </si>
  <si>
    <t>VF DS H</t>
  </si>
  <si>
    <t>VF DS H - P1</t>
  </si>
  <si>
    <t>VF DS H - P2</t>
  </si>
  <si>
    <t>VF DS H - P3</t>
  </si>
  <si>
    <t>VF DS H - P4</t>
  </si>
  <si>
    <t>VF DS H - P5</t>
  </si>
  <si>
    <t>VF DS H - P6</t>
  </si>
  <si>
    <t>VF DS H - P7</t>
  </si>
  <si>
    <t>VF DS H - P8</t>
  </si>
  <si>
    <t>VF DS H - P9</t>
  </si>
  <si>
    <t>VF DS H - P10</t>
  </si>
  <si>
    <t>VF DS H - P11</t>
  </si>
  <si>
    <t>VF DS H - P12</t>
  </si>
  <si>
    <t>VF DS H - P13</t>
  </si>
  <si>
    <t>VF SDS I</t>
  </si>
  <si>
    <t>VF DS I - P1</t>
  </si>
  <si>
    <t>VF DS I - P2</t>
  </si>
  <si>
    <t>VF DS I - P3</t>
  </si>
  <si>
    <t>VF DS I - P4</t>
  </si>
  <si>
    <t>VF DS I - P5</t>
  </si>
  <si>
    <t>VF DS I - P6</t>
  </si>
  <si>
    <t>VF DS J</t>
  </si>
  <si>
    <t>VF DS J - P1</t>
  </si>
  <si>
    <t>VF DS J - P2</t>
  </si>
  <si>
    <t>VF DS J - P3</t>
  </si>
  <si>
    <t>VF DS J - P4</t>
  </si>
  <si>
    <t>VF FH1-P01</t>
  </si>
  <si>
    <t>VF FH1-P02</t>
  </si>
  <si>
    <t>VF FH1-P03</t>
  </si>
  <si>
    <t>VF FH1-P04</t>
  </si>
  <si>
    <t>VF FH1-P05</t>
  </si>
  <si>
    <t>VF FH1-P06</t>
  </si>
  <si>
    <t>VF FH1-P07</t>
  </si>
  <si>
    <t>VF FH1-P08</t>
  </si>
  <si>
    <t>VF FH1-P09</t>
  </si>
  <si>
    <t>VF FH1-P10</t>
  </si>
  <si>
    <t>VF FH1-P11</t>
  </si>
  <si>
    <t>VF FH1-P12</t>
  </si>
  <si>
    <t>VF FH1-P13</t>
  </si>
  <si>
    <t>VF FH1-P14</t>
  </si>
  <si>
    <t>VF FH1-P15</t>
  </si>
  <si>
    <t>VF FH1-P16</t>
  </si>
  <si>
    <t>VF FH1-P17</t>
  </si>
  <si>
    <t>VF FH1-P18</t>
  </si>
  <si>
    <t>VF FH1-P19</t>
  </si>
  <si>
    <t>VF FH1-P20</t>
  </si>
  <si>
    <t>VF FH1-P21</t>
  </si>
  <si>
    <t>VF FH1-P22</t>
  </si>
  <si>
    <t>VF FH1-P23</t>
  </si>
  <si>
    <t>VF FH1-P24</t>
  </si>
  <si>
    <t>VF FH1-P25</t>
  </si>
  <si>
    <t>VF FH1-P26</t>
  </si>
  <si>
    <t>VF FH1-P27</t>
  </si>
  <si>
    <t>VF FH1-P28</t>
  </si>
  <si>
    <t>VF FH1-P29</t>
  </si>
  <si>
    <t>VF FH1-P30</t>
  </si>
  <si>
    <t>VF FH1-P31</t>
  </si>
  <si>
    <t>VF FH1-P32</t>
  </si>
  <si>
    <t>VF FH1-P33</t>
  </si>
  <si>
    <t>VF FH1-P34</t>
  </si>
  <si>
    <t>VF FH1-P35</t>
  </si>
  <si>
    <t>VF FH1-P36</t>
  </si>
  <si>
    <t>VF FH1-P37</t>
  </si>
  <si>
    <t>VF FH1-P38</t>
  </si>
  <si>
    <t>VF FH1-P39</t>
  </si>
  <si>
    <t>VF FH1-P40</t>
  </si>
  <si>
    <t>VF FH1-P41</t>
  </si>
  <si>
    <t>VF FH1-P42</t>
  </si>
  <si>
    <t>VF FH1-P43</t>
  </si>
  <si>
    <t>VF FH1-P44</t>
  </si>
  <si>
    <t>VF FH1-P45</t>
  </si>
  <si>
    <t>VF FH1-P46</t>
  </si>
  <si>
    <t>VF FH1-P47</t>
  </si>
  <si>
    <t>VF FH1-P48</t>
  </si>
  <si>
    <t>VF FH1-P49</t>
  </si>
  <si>
    <t>VF FH1-P50</t>
  </si>
  <si>
    <t>VF FH 2-P01</t>
  </si>
  <si>
    <t>VF FH 2-P02</t>
  </si>
  <si>
    <t>VF FH 2-P03</t>
  </si>
  <si>
    <t>VF FH 2-P04</t>
  </si>
  <si>
    <t>VF FH 2-P05</t>
  </si>
  <si>
    <t>VF FH 2-P06</t>
  </si>
  <si>
    <t>VF FH 2-P07</t>
  </si>
  <si>
    <t>VF FH 2-P08</t>
  </si>
  <si>
    <t>VF FH 2-P09</t>
  </si>
  <si>
    <t>VF FH 2-P10</t>
  </si>
  <si>
    <t>VF FH 2-P11</t>
  </si>
  <si>
    <t>VF FH 2-P12</t>
  </si>
  <si>
    <t>VF FH 2-P13</t>
  </si>
  <si>
    <t>VF FH 2-P14</t>
  </si>
  <si>
    <t>VF FH 2-P15</t>
  </si>
  <si>
    <t>VF FH 2-P16</t>
  </si>
  <si>
    <t>VF FH 2-P17</t>
  </si>
  <si>
    <t>VF FH 2-P18</t>
  </si>
  <si>
    <t>VF FH 2-P19</t>
  </si>
  <si>
    <t>VF FH 2-P20</t>
  </si>
  <si>
    <t>VF FH 2-P21</t>
  </si>
  <si>
    <t>VF FH 2-P22</t>
  </si>
  <si>
    <t>VF FH 2-P23</t>
  </si>
  <si>
    <t>VF FH 2-P24</t>
  </si>
  <si>
    <t>VF FH 2-P25</t>
  </si>
  <si>
    <t>VF FH 2-P26</t>
  </si>
  <si>
    <t>VF FH 2-P27</t>
  </si>
  <si>
    <t>VF FH 2-P28</t>
  </si>
  <si>
    <t>VF FH 2-P29</t>
  </si>
  <si>
    <t>VF FH 2-P30</t>
  </si>
  <si>
    <t>VF FH 2-P31</t>
  </si>
  <si>
    <t>VF FH 2-P32</t>
  </si>
  <si>
    <t>VF FH 2-P33</t>
  </si>
  <si>
    <t>VF FH 2-P34</t>
  </si>
  <si>
    <t>VF FH 2-P35</t>
  </si>
  <si>
    <t>VF FH 2-P36</t>
  </si>
  <si>
    <t>VF FH 2-P37</t>
  </si>
  <si>
    <t>VF FH 2-P38</t>
  </si>
  <si>
    <t>VF FH 2-P39</t>
  </si>
  <si>
    <t>VF FH 2-P40</t>
  </si>
  <si>
    <t>VF FH 2-P41</t>
  </si>
  <si>
    <t>VF FH 2-P42</t>
  </si>
  <si>
    <t>VF FH 2-P43</t>
  </si>
  <si>
    <t>VF FH 2-P44</t>
  </si>
  <si>
    <t>VF FH 2-P45</t>
  </si>
  <si>
    <t>VF FH 2-P46</t>
  </si>
  <si>
    <t>VF FH 2-P47</t>
  </si>
  <si>
    <t>VF FH 2-P48</t>
  </si>
  <si>
    <t>VF FH 2-P49</t>
  </si>
  <si>
    <t>VF FH 2-P50</t>
  </si>
  <si>
    <t>VF SL - CRATE 42</t>
  </si>
  <si>
    <t xml:space="preserve">Bagged </t>
  </si>
  <si>
    <t>VF SL - CRATE 43</t>
  </si>
  <si>
    <t>VF SL - CRATE 44</t>
  </si>
  <si>
    <t>VF SL - CRATE 45</t>
  </si>
  <si>
    <t>VF SL - CRATE 46</t>
  </si>
  <si>
    <t>VF SL - CRATE 47</t>
  </si>
  <si>
    <t>VF SL - CRATE 48</t>
  </si>
  <si>
    <t>VF SL - CRATE 49</t>
  </si>
  <si>
    <t>VF SL - CRATE 50</t>
  </si>
  <si>
    <t>VF SL - CRATE 51</t>
  </si>
  <si>
    <t>VF SL - CRATE 52</t>
  </si>
  <si>
    <t>VF SL - CRATE 53</t>
  </si>
  <si>
    <t>VF SL - CRATE 54</t>
  </si>
  <si>
    <t>VF SL - CRATE 55</t>
  </si>
  <si>
    <t>VF SL - CRATE 56</t>
  </si>
  <si>
    <t>VF SL - CRATE 57</t>
  </si>
  <si>
    <t>VF SL - CRATE 58</t>
  </si>
  <si>
    <t>VF SL - CRATE 59</t>
  </si>
  <si>
    <t>VF SL - CRATE 60</t>
  </si>
  <si>
    <t>VF SL - CRATE 61</t>
  </si>
  <si>
    <t>VF SL - CRATE 62</t>
  </si>
  <si>
    <t>Dry sow and 90 plus</t>
  </si>
  <si>
    <t>Teaser boars</t>
  </si>
  <si>
    <t>week</t>
  </si>
  <si>
    <t>155 weeks</t>
  </si>
  <si>
    <t>VF Boar house</t>
  </si>
  <si>
    <t>VF Boar - P1</t>
  </si>
  <si>
    <t>AI BOAR</t>
  </si>
  <si>
    <t xml:space="preserve">VF WN A </t>
  </si>
  <si>
    <t>VF WN A- P01</t>
  </si>
  <si>
    <t>VF WEANER A</t>
  </si>
  <si>
    <t>KG</t>
  </si>
  <si>
    <t>VF WN A- P02</t>
  </si>
  <si>
    <t>VF WN A- P03</t>
  </si>
  <si>
    <t>VF WN A- P04</t>
  </si>
  <si>
    <t>VF WN A- P05</t>
  </si>
  <si>
    <t>VF WN A- P06</t>
  </si>
  <si>
    <t>VF WN A- P07</t>
  </si>
  <si>
    <t>VF WN A- P08</t>
  </si>
  <si>
    <t>VF WN A- P09</t>
  </si>
  <si>
    <t>VF WN A- P10</t>
  </si>
  <si>
    <t>VF WN A- P11</t>
  </si>
  <si>
    <t>VF WN A- P12</t>
  </si>
  <si>
    <t>VF WN A- P13</t>
  </si>
  <si>
    <t>VF WN A- P14</t>
  </si>
  <si>
    <t>VF WN A- P15</t>
  </si>
  <si>
    <t>VF WN A- P16</t>
  </si>
  <si>
    <t>VF WN A- P17</t>
  </si>
  <si>
    <t>VF WN A- P18</t>
  </si>
  <si>
    <t>VF WN A- P19</t>
  </si>
  <si>
    <t>VF WN A- P20</t>
  </si>
  <si>
    <t>VF WN A- P21</t>
  </si>
  <si>
    <t>VF WN A- P22</t>
  </si>
  <si>
    <t>VF WN B</t>
  </si>
  <si>
    <t>VF WN B-P01</t>
  </si>
  <si>
    <t>VF WEANER  B</t>
  </si>
  <si>
    <t>VF WN B-P02</t>
  </si>
  <si>
    <t>VF WN B-P03</t>
  </si>
  <si>
    <t>VF WN B-P04</t>
  </si>
  <si>
    <t>VF WN B-P05</t>
  </si>
  <si>
    <t>VF WN B-P06</t>
  </si>
  <si>
    <t>VF WN B-P07</t>
  </si>
  <si>
    <t>VF WN B-P08</t>
  </si>
  <si>
    <t>VF WN B-P09</t>
  </si>
  <si>
    <t>VF WN B-P10</t>
  </si>
  <si>
    <t>VF WN B-P11</t>
  </si>
  <si>
    <t>VF WN B-P12</t>
  </si>
  <si>
    <t>VF WN C</t>
  </si>
  <si>
    <t>VF WN C-P01</t>
  </si>
  <si>
    <t>VF WEANER C</t>
  </si>
  <si>
    <t>VF WN C-P02</t>
  </si>
  <si>
    <t>VF WN C-P03</t>
  </si>
  <si>
    <t>VF WN C-P04</t>
  </si>
  <si>
    <t>VF WN C-P05</t>
  </si>
  <si>
    <t>VF WN C-P06</t>
  </si>
  <si>
    <t>VF WN C-P07</t>
  </si>
  <si>
    <t>VF WN C-P08</t>
  </si>
  <si>
    <t>VF WN C-P09</t>
  </si>
  <si>
    <t>VF WN C-P10</t>
  </si>
  <si>
    <t>VF WN C-P11</t>
  </si>
  <si>
    <t>VF WN C-P12</t>
  </si>
  <si>
    <t>VF WN C-P13</t>
  </si>
  <si>
    <t>VF WN C-P14</t>
  </si>
  <si>
    <t>VF WN D</t>
  </si>
  <si>
    <t>VF WN D-P01</t>
  </si>
  <si>
    <t>VF WN D-P02</t>
  </si>
  <si>
    <t>VF WN D-P03</t>
  </si>
  <si>
    <t>VF WN D-P04</t>
  </si>
  <si>
    <t>VF WN D-P05</t>
  </si>
  <si>
    <t>VF WN D-P06</t>
  </si>
  <si>
    <t>VF WN D-P07</t>
  </si>
  <si>
    <t>VF WN D-P08</t>
  </si>
  <si>
    <t>VF WN D-P09</t>
  </si>
  <si>
    <t>VF WN D-P10</t>
  </si>
  <si>
    <t>VF WN D-P11</t>
  </si>
  <si>
    <t>VF WN D-P12</t>
  </si>
  <si>
    <t>VF Weaner ban</t>
  </si>
  <si>
    <t>VF Ban - P01</t>
  </si>
  <si>
    <t>VF Ban - P02</t>
  </si>
  <si>
    <t>VF Ban - P03</t>
  </si>
  <si>
    <t>VF Ban - P04</t>
  </si>
  <si>
    <t>VF Ban - P05</t>
  </si>
  <si>
    <t>VF Ban - P06</t>
  </si>
  <si>
    <t>VF Ban - P07</t>
  </si>
  <si>
    <t>VF Ban - P08</t>
  </si>
  <si>
    <t>VF Ban - P09</t>
  </si>
  <si>
    <t>VF Ban - P10</t>
  </si>
  <si>
    <t>VF Ban - P11</t>
  </si>
  <si>
    <t>VF Ban - P12</t>
  </si>
  <si>
    <t>VF Ban - P13</t>
  </si>
  <si>
    <t>VF Ban - P14</t>
  </si>
  <si>
    <t>VF Ban - P15</t>
  </si>
  <si>
    <t>VF Ban - P16</t>
  </si>
  <si>
    <t>VF Ban - P17</t>
  </si>
  <si>
    <t>VF Ban - P18</t>
  </si>
  <si>
    <t xml:space="preserve">VF Shade </t>
  </si>
  <si>
    <t>VF shade P01</t>
  </si>
  <si>
    <t>VF SHADE</t>
  </si>
  <si>
    <t>125kg/pig</t>
  </si>
  <si>
    <t>1.100/day</t>
  </si>
  <si>
    <t>VF shade P02</t>
  </si>
  <si>
    <t>VF shade P03</t>
  </si>
  <si>
    <t>VF shade P04</t>
  </si>
  <si>
    <t>VF shade P05</t>
  </si>
  <si>
    <t>VF shade P06</t>
  </si>
  <si>
    <t>VF shade P07</t>
  </si>
  <si>
    <t>VF shade P08</t>
  </si>
  <si>
    <t>VF shade P09</t>
  </si>
  <si>
    <t>VF shade P10</t>
  </si>
  <si>
    <t>VF shade P11</t>
  </si>
  <si>
    <t>VF shade P12</t>
  </si>
  <si>
    <t>VF shade P13</t>
  </si>
  <si>
    <t>VF shade P14</t>
  </si>
  <si>
    <t>VF shade P15</t>
  </si>
  <si>
    <t>VF shade P16</t>
  </si>
  <si>
    <t>VF shade P17</t>
  </si>
  <si>
    <t>VF shade P18</t>
  </si>
  <si>
    <t>VF shade P19</t>
  </si>
  <si>
    <t>VF shade P20</t>
  </si>
  <si>
    <t>VF shade P21</t>
  </si>
  <si>
    <t>VF shade P22</t>
  </si>
  <si>
    <t>VF GR 1</t>
  </si>
  <si>
    <t>VF GR1 - P01</t>
  </si>
  <si>
    <t>VF GR1 - P02</t>
  </si>
  <si>
    <t>VF GR1 - P03</t>
  </si>
  <si>
    <t>VF GR1 - P04</t>
  </si>
  <si>
    <t>VF GR1 - P05</t>
  </si>
  <si>
    <t>VF GR1 - P06</t>
  </si>
  <si>
    <t>VF GR1 - P07</t>
  </si>
  <si>
    <t>VF GR1 - P08</t>
  </si>
  <si>
    <t>VF GR1 - P09</t>
  </si>
  <si>
    <t>VF GR1 - P10</t>
  </si>
  <si>
    <t>VF GR1 - P11</t>
  </si>
  <si>
    <t>VF GR1 - P12</t>
  </si>
  <si>
    <t>VF GR1 - P13</t>
  </si>
  <si>
    <t>VF GR1 - P14</t>
  </si>
  <si>
    <t>VF GR1 - P15</t>
  </si>
  <si>
    <t>VF GR1 - P16</t>
  </si>
  <si>
    <t>VF GR1 - P17</t>
  </si>
  <si>
    <t>VF GR1 - P18</t>
  </si>
  <si>
    <t>VF GR1 - P19</t>
  </si>
  <si>
    <t>VF GR1 - P20</t>
  </si>
  <si>
    <t>VF GR1 - P21</t>
  </si>
  <si>
    <t>VF GR1 - P22</t>
  </si>
  <si>
    <t>VF GR 2</t>
  </si>
  <si>
    <t>VF GR2 - P01</t>
  </si>
  <si>
    <t>VF GR2 - P02</t>
  </si>
  <si>
    <t>VF GR2 - P03</t>
  </si>
  <si>
    <t>VF GR2 - P04</t>
  </si>
  <si>
    <t>VF GR2 - P05</t>
  </si>
  <si>
    <t>VF GR2 - P06</t>
  </si>
  <si>
    <t>VF GR2 - P07</t>
  </si>
  <si>
    <t>VF GR2 - P08</t>
  </si>
  <si>
    <t>VF GR2 - P09</t>
  </si>
  <si>
    <t>VF GR2 - P10</t>
  </si>
  <si>
    <t>VF GR2 - P11</t>
  </si>
  <si>
    <t>VF GR2 - P12</t>
  </si>
  <si>
    <t>VF GR2 - P13</t>
  </si>
  <si>
    <t>VF GR2 - P14</t>
  </si>
  <si>
    <t>VF GR2 - P15</t>
  </si>
  <si>
    <t>VF GR2 - P16</t>
  </si>
  <si>
    <t>VF GR2 - P17</t>
  </si>
  <si>
    <t>VF GR2 - P18</t>
  </si>
  <si>
    <t>VF GR2 - P19</t>
  </si>
  <si>
    <t>VF GR2 - P20</t>
  </si>
  <si>
    <t>VF GR2 - P21</t>
  </si>
  <si>
    <t>VF GR2 - P22</t>
  </si>
  <si>
    <t>VF GR2 - P23</t>
  </si>
  <si>
    <t>VF GR2 - P24</t>
  </si>
  <si>
    <t>VF GR2 - P25</t>
  </si>
  <si>
    <t>VF GR2 - P26</t>
  </si>
  <si>
    <t>VF DURAWALL1</t>
  </si>
  <si>
    <t>VF DR - P01</t>
  </si>
  <si>
    <t>DURAWALL 1</t>
  </si>
  <si>
    <t>VF DR - P02</t>
  </si>
  <si>
    <t>VF DR - P03</t>
  </si>
  <si>
    <t>VF DR - P04</t>
  </si>
  <si>
    <t>VF DR - P05</t>
  </si>
  <si>
    <t>VF DR - P06</t>
  </si>
  <si>
    <t>VF DR - P07</t>
  </si>
  <si>
    <t>VF DR - P08</t>
  </si>
  <si>
    <t>VF DR - P09</t>
  </si>
  <si>
    <t>VF DR - P10</t>
  </si>
  <si>
    <t>VF DR - P11</t>
  </si>
  <si>
    <t>VF DR - P12</t>
  </si>
  <si>
    <t>VF DR - P13</t>
  </si>
  <si>
    <t>VF DR - P14</t>
  </si>
  <si>
    <t>VF DR - P15</t>
  </si>
  <si>
    <t>VF DR - P16</t>
  </si>
  <si>
    <t>VF DR - P17</t>
  </si>
  <si>
    <t>VF DR - P18</t>
  </si>
  <si>
    <t>VF DR - P19</t>
  </si>
  <si>
    <t>VF DR - P20</t>
  </si>
  <si>
    <t>VF DR - P21</t>
  </si>
  <si>
    <t>VF DR - P22</t>
  </si>
  <si>
    <t>VF DR - P23</t>
  </si>
  <si>
    <t>VF DR - P24</t>
  </si>
  <si>
    <t>VF DR - P25</t>
  </si>
  <si>
    <t>VF DR - P26</t>
  </si>
  <si>
    <t>VF DURAWALL 2</t>
  </si>
  <si>
    <t>VF BT 1</t>
  </si>
  <si>
    <t>VF BT1 - P1</t>
  </si>
  <si>
    <t>VF BT1</t>
  </si>
  <si>
    <t>VF BT1 - P2</t>
  </si>
  <si>
    <t>VF BT1 - P3</t>
  </si>
  <si>
    <t>VF BT1 - P4</t>
  </si>
  <si>
    <t>VF BT1 - P5</t>
  </si>
  <si>
    <t>VF BT1 - P6</t>
  </si>
  <si>
    <t>VF BT1 - P7</t>
  </si>
  <si>
    <t>VF BT1 - P8</t>
  </si>
  <si>
    <t>VF BT1 - P9</t>
  </si>
  <si>
    <t>VF BT1 - P10</t>
  </si>
  <si>
    <t>VF BT1 - P11</t>
  </si>
  <si>
    <t>VF BT1 - P12</t>
  </si>
  <si>
    <t>VF BT1 - P13</t>
  </si>
  <si>
    <t>VF BT1 - P14</t>
  </si>
  <si>
    <t>VF BT1 - P15</t>
  </si>
  <si>
    <t>VF BT1 - P16</t>
  </si>
  <si>
    <t>VF BT1 - P17</t>
  </si>
  <si>
    <t>VF BT1 - P18</t>
  </si>
  <si>
    <t>VF BT1 - P19</t>
  </si>
  <si>
    <t>VF BT1 - P20</t>
  </si>
  <si>
    <t>VF BT1 - P21</t>
  </si>
  <si>
    <t>VF BT 2</t>
  </si>
  <si>
    <t>VF BT1 - 01</t>
  </si>
  <si>
    <t>VF BT2</t>
  </si>
  <si>
    <t>VF BT1 - 02</t>
  </si>
  <si>
    <t>VF BT1 - 03</t>
  </si>
  <si>
    <t>VF BT1 - 04</t>
  </si>
  <si>
    <t>VF BT1 - 05</t>
  </si>
  <si>
    <t>VF BT1 - 06</t>
  </si>
  <si>
    <t>VF BT1 - 07</t>
  </si>
  <si>
    <t>VF BT1 - 08</t>
  </si>
  <si>
    <t>VF BT1 - 09</t>
  </si>
  <si>
    <t>VF BT1 - 10</t>
  </si>
  <si>
    <t>VF BT1 - 11</t>
  </si>
  <si>
    <t>VF BT1 - 12</t>
  </si>
  <si>
    <t>VF BT1 - 13</t>
  </si>
  <si>
    <t>VF BT1 - 14</t>
  </si>
  <si>
    <t>VF BT1 - 15</t>
  </si>
  <si>
    <t>VF BT1 - 16</t>
  </si>
  <si>
    <t>VF BT1 - 17</t>
  </si>
  <si>
    <t>VF BT1 - 18</t>
  </si>
  <si>
    <t>VF BT1 - 19</t>
  </si>
  <si>
    <t>VF BT1 - 20</t>
  </si>
  <si>
    <t>VF BT1 - 21</t>
  </si>
  <si>
    <t>1.9kgs of feed per day for the period /(Adlib)</t>
  </si>
  <si>
    <t>2.8kgs of feed per day for the period/(adlib)</t>
  </si>
  <si>
    <t>Farrowsure vaccine administerd @ 28weeks - 2mls</t>
  </si>
  <si>
    <t>Dry gilt</t>
  </si>
  <si>
    <t>n/a</t>
  </si>
  <si>
    <t>Pocilis 2 mls @ 11 weeks preg, pocilis vaccine 2mls @13 weeks preg and farrowsure vaccine 2mls @ 14 weeks preg</t>
  </si>
  <si>
    <t>110kgs - total litter mass</t>
  </si>
  <si>
    <t>1- Stand overs</t>
  </si>
  <si>
    <t>110kgs total litter mass</t>
  </si>
  <si>
    <t>Pocilis 2 mls @ 11 weeks preg, Pocilis vaccine 2mls @13 weeks preg and farrowsure vaccine 2mls @ 14 weeks preg</t>
  </si>
  <si>
    <t>farrowsure vaccine 2mls @ evry 6 months</t>
  </si>
  <si>
    <t>4-animals 2nd parity service target</t>
  </si>
  <si>
    <t>3rd parity plus Weaning</t>
  </si>
  <si>
    <t>156 months</t>
  </si>
  <si>
    <t>Farrowsure every 6 months</t>
  </si>
  <si>
    <t>170(range 157 to 187)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</si>
</sst>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%"/>
    <numFmt numFmtId="166" formatCode="#,##0.0"/>
    <numFmt numFmtId="167" formatCode="0.0"/>
    <numFmt numFmtId="168" formatCode="#,##0.000"/>
  </numFmts>
  <fonts count="32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9"/>
      <color indexed="8"/>
      <name val="Calibri"/>
      <family val="2"/>
    </font>
    <font>
      <sz val="9"/>
      <color theme="1"/>
      <name val="Aptos Narrow"/>
      <family val="2"/>
      <scheme val="minor"/>
    </font>
    <font>
      <b/>
      <sz val="18"/>
      <color indexed="8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2E86C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22"/>
      </patternFill>
    </fill>
    <fill>
      <patternFill patternType="solid">
        <fgColor rgb="FF92D050"/>
        <bgColor indexed="4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13"/>
      </patternFill>
    </fill>
    <fill>
      <patternFill patternType="solid">
        <fgColor theme="8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4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1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0" borderId="0" xfId="0" applyFont="1"/>
    <xf numFmtId="0" fontId="12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6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7" xfId="0" applyFill="1" applyBorder="1" applyAlignment="1">
      <alignment vertical="center"/>
    </xf>
    <xf numFmtId="0" fontId="12" fillId="8" borderId="18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14" fillId="8" borderId="19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23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4" fillId="8" borderId="0" xfId="0" applyFont="1" applyFill="1" applyAlignment="1">
      <alignment vertical="center"/>
    </xf>
    <xf numFmtId="0" fontId="12" fillId="12" borderId="15" xfId="0" applyFont="1" applyFill="1" applyBorder="1" applyAlignment="1">
      <alignment horizontal="center" vertical="center"/>
    </xf>
    <xf numFmtId="4" fontId="12" fillId="12" borderId="24" xfId="0" applyNumberFormat="1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/>
    </xf>
    <xf numFmtId="20" fontId="0" fillId="8" borderId="0" xfId="0" applyNumberFormat="1" applyFill="1" applyAlignment="1">
      <alignment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vertical="center"/>
    </xf>
    <xf numFmtId="0" fontId="0" fillId="8" borderId="2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2" fontId="12" fillId="12" borderId="24" xfId="0" applyNumberFormat="1" applyFont="1" applyFill="1" applyBorder="1" applyAlignment="1">
      <alignment horizontal="center" vertical="center"/>
    </xf>
    <xf numFmtId="0" fontId="12" fillId="12" borderId="24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0" fontId="16" fillId="8" borderId="36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9" borderId="15" xfId="0" applyFont="1" applyFill="1" applyBorder="1" applyAlignment="1">
      <alignment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0" fontId="16" fillId="8" borderId="0" xfId="0" applyFont="1" applyFill="1" applyAlignment="1">
      <alignment vertical="center"/>
    </xf>
    <xf numFmtId="43" fontId="13" fillId="8" borderId="0" xfId="2" applyFont="1" applyFill="1" applyAlignment="1">
      <alignment vertical="center"/>
    </xf>
    <xf numFmtId="166" fontId="12" fillId="12" borderId="15" xfId="0" applyNumberFormat="1" applyFont="1" applyFill="1" applyBorder="1" applyAlignment="1">
      <alignment horizontal="center" vertical="center"/>
    </xf>
    <xf numFmtId="4" fontId="12" fillId="12" borderId="12" xfId="0" applyNumberFormat="1" applyFont="1" applyFill="1" applyBorder="1" applyAlignment="1">
      <alignment horizontal="center" vertical="center"/>
    </xf>
    <xf numFmtId="4" fontId="12" fillId="12" borderId="15" xfId="0" applyNumberFormat="1" applyFont="1" applyFill="1" applyBorder="1" applyAlignment="1">
      <alignment horizontal="center" vertical="center"/>
    </xf>
    <xf numFmtId="4" fontId="12" fillId="12" borderId="13" xfId="0" applyNumberFormat="1" applyFont="1" applyFill="1" applyBorder="1" applyAlignment="1">
      <alignment horizontal="center" vertical="center"/>
    </xf>
    <xf numFmtId="0" fontId="17" fillId="0" borderId="0" xfId="0" applyFont="1"/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15" xfId="0" applyFont="1" applyBorder="1"/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9" xfId="0" applyFont="1" applyBorder="1"/>
    <xf numFmtId="0" fontId="18" fillId="0" borderId="18" xfId="0" applyFont="1" applyBorder="1" applyAlignment="1">
      <alignment horizontal="center" vertical="center"/>
    </xf>
    <xf numFmtId="0" fontId="19" fillId="0" borderId="39" xfId="0" applyFont="1" applyBorder="1"/>
    <xf numFmtId="0" fontId="19" fillId="0" borderId="12" xfId="0" quotePrefix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8" fillId="12" borderId="15" xfId="0" applyFont="1" applyFill="1" applyBorder="1" applyAlignment="1">
      <alignment horizontal="center"/>
    </xf>
    <xf numFmtId="4" fontId="18" fillId="12" borderId="15" xfId="0" applyNumberFormat="1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18" fillId="12" borderId="12" xfId="0" applyFont="1" applyFill="1" applyBorder="1" applyAlignment="1">
      <alignment horizontal="center" vertical="center"/>
    </xf>
    <xf numFmtId="4" fontId="18" fillId="12" borderId="14" xfId="0" applyNumberFormat="1" applyFont="1" applyFill="1" applyBorder="1" applyAlignment="1">
      <alignment horizontal="center" vertical="center"/>
    </xf>
    <xf numFmtId="4" fontId="18" fillId="12" borderId="13" xfId="0" applyNumberFormat="1" applyFont="1" applyFill="1" applyBorder="1" applyAlignment="1">
      <alignment horizontal="center" vertical="center"/>
    </xf>
    <xf numFmtId="20" fontId="18" fillId="0" borderId="0" xfId="0" applyNumberFormat="1" applyFont="1" applyAlignment="1">
      <alignment horizontal="center"/>
    </xf>
    <xf numFmtId="0" fontId="11" fillId="0" borderId="4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/>
    <xf numFmtId="0" fontId="11" fillId="0" borderId="3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8" fillId="12" borderId="14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8" fillId="12" borderId="23" xfId="0" applyFont="1" applyFill="1" applyBorder="1" applyAlignment="1">
      <alignment horizontal="center" vertical="center"/>
    </xf>
    <xf numFmtId="0" fontId="11" fillId="0" borderId="39" xfId="0" applyFont="1" applyBorder="1"/>
    <xf numFmtId="0" fontId="11" fillId="0" borderId="2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0" fontId="18" fillId="0" borderId="0" xfId="0" applyFont="1"/>
    <xf numFmtId="0" fontId="18" fillId="9" borderId="15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 vertical="center"/>
    </xf>
    <xf numFmtId="0" fontId="20" fillId="9" borderId="15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0" fillId="0" borderId="42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4" fontId="0" fillId="0" borderId="42" xfId="0" applyNumberFormat="1" applyBorder="1" applyAlignment="1">
      <alignment horizontal="center" vertical="center"/>
    </xf>
    <xf numFmtId="0" fontId="12" fillId="0" borderId="42" xfId="0" quotePrefix="1" applyFont="1" applyBorder="1" applyAlignment="1">
      <alignment horizontal="center" vertical="center"/>
    </xf>
    <xf numFmtId="4" fontId="0" fillId="0" borderId="42" xfId="0" applyNumberFormat="1" applyBorder="1"/>
    <xf numFmtId="16" fontId="0" fillId="0" borderId="0" xfId="0" applyNumberFormat="1" applyAlignment="1">
      <alignment vertical="center"/>
    </xf>
    <xf numFmtId="4" fontId="0" fillId="0" borderId="4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3" fontId="22" fillId="0" borderId="44" xfId="0" applyNumberFormat="1" applyFont="1" applyBorder="1" applyAlignment="1">
      <alignment horizontal="center" vertical="center" wrapText="1"/>
    </xf>
    <xf numFmtId="3" fontId="22" fillId="0" borderId="43" xfId="0" applyNumberFormat="1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3" fontId="25" fillId="0" borderId="23" xfId="0" applyNumberFormat="1" applyFont="1" applyBorder="1" applyAlignment="1">
      <alignment horizontal="center" vertical="center" wrapText="1"/>
    </xf>
    <xf numFmtId="3" fontId="22" fillId="0" borderId="32" xfId="0" applyNumberFormat="1" applyFont="1" applyBorder="1" applyAlignment="1">
      <alignment horizontal="center" vertical="center" wrapText="1"/>
    </xf>
    <xf numFmtId="3" fontId="22" fillId="0" borderId="41" xfId="0" applyNumberFormat="1" applyFont="1" applyBorder="1" applyAlignment="1">
      <alignment horizontal="center" vertical="center" wrapText="1"/>
    </xf>
    <xf numFmtId="3" fontId="25" fillId="0" borderId="37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12" fillId="0" borderId="45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0" fontId="26" fillId="0" borderId="46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6" fillId="0" borderId="48" xfId="0" applyFont="1" applyBorder="1" applyAlignment="1">
      <alignment vertical="center"/>
    </xf>
    <xf numFmtId="0" fontId="26" fillId="0" borderId="18" xfId="0" applyFont="1" applyBorder="1"/>
    <xf numFmtId="0" fontId="26" fillId="0" borderId="23" xfId="0" applyFont="1" applyBorder="1"/>
    <xf numFmtId="0" fontId="26" fillId="0" borderId="16" xfId="0" applyFont="1" applyBorder="1"/>
    <xf numFmtId="0" fontId="26" fillId="0" borderId="49" xfId="0" applyFont="1" applyBorder="1"/>
    <xf numFmtId="0" fontId="27" fillId="13" borderId="8" xfId="0" applyFont="1" applyFill="1" applyBorder="1" applyAlignment="1">
      <alignment vertical="center"/>
    </xf>
    <xf numFmtId="0" fontId="27" fillId="13" borderId="50" xfId="0" applyFont="1" applyFill="1" applyBorder="1" applyAlignment="1">
      <alignment vertical="center"/>
    </xf>
    <xf numFmtId="0" fontId="27" fillId="13" borderId="6" xfId="0" applyFont="1" applyFill="1" applyBorder="1" applyAlignment="1">
      <alignment vertical="center"/>
    </xf>
    <xf numFmtId="0" fontId="27" fillId="13" borderId="44" xfId="0" applyFont="1" applyFill="1" applyBorder="1" applyAlignment="1">
      <alignment vertical="center"/>
    </xf>
    <xf numFmtId="0" fontId="27" fillId="14" borderId="51" xfId="0" applyFont="1" applyFill="1" applyBorder="1"/>
    <xf numFmtId="0" fontId="27" fillId="14" borderId="39" xfId="0" applyFont="1" applyFill="1" applyBorder="1"/>
    <xf numFmtId="0" fontId="27" fillId="14" borderId="38" xfId="0" applyFont="1" applyFill="1" applyBorder="1"/>
    <xf numFmtId="0" fontId="27" fillId="14" borderId="52" xfId="0" applyFont="1" applyFill="1" applyBorder="1"/>
    <xf numFmtId="0" fontId="27" fillId="13" borderId="5" xfId="0" applyFont="1" applyFill="1" applyBorder="1" applyAlignment="1">
      <alignment vertical="center"/>
    </xf>
    <xf numFmtId="0" fontId="27" fillId="14" borderId="28" xfId="0" applyFont="1" applyFill="1" applyBorder="1"/>
    <xf numFmtId="0" fontId="27" fillId="14" borderId="29" xfId="0" applyFont="1" applyFill="1" applyBorder="1"/>
    <xf numFmtId="0" fontId="27" fillId="14" borderId="33" xfId="0" applyFont="1" applyFill="1" applyBorder="1"/>
    <xf numFmtId="0" fontId="27" fillId="14" borderId="53" xfId="0" applyFont="1" applyFill="1" applyBorder="1"/>
    <xf numFmtId="0" fontId="27" fillId="0" borderId="54" xfId="0" applyFont="1" applyBorder="1" applyAlignment="1">
      <alignment vertical="center"/>
    </xf>
    <xf numFmtId="0" fontId="27" fillId="0" borderId="55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39" xfId="0" applyFont="1" applyBorder="1"/>
    <xf numFmtId="0" fontId="27" fillId="0" borderId="38" xfId="0" applyFont="1" applyBorder="1"/>
    <xf numFmtId="0" fontId="27" fillId="0" borderId="52" xfId="0" applyFont="1" applyBorder="1"/>
    <xf numFmtId="0" fontId="27" fillId="0" borderId="5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27" fillId="0" borderId="44" xfId="0" applyFont="1" applyBorder="1" applyAlignment="1">
      <alignment vertical="center"/>
    </xf>
    <xf numFmtId="0" fontId="27" fillId="0" borderId="22" xfId="0" applyFont="1" applyBorder="1"/>
    <xf numFmtId="0" fontId="27" fillId="0" borderId="44" xfId="0" applyFont="1" applyBorder="1"/>
    <xf numFmtId="0" fontId="27" fillId="0" borderId="56" xfId="0" applyFont="1" applyBorder="1" applyAlignment="1">
      <alignment vertical="center"/>
    </xf>
    <xf numFmtId="0" fontId="27" fillId="0" borderId="57" xfId="0" applyFont="1" applyBorder="1" applyAlignment="1">
      <alignment vertical="center"/>
    </xf>
    <xf numFmtId="0" fontId="27" fillId="0" borderId="53" xfId="0" applyFont="1" applyBorder="1" applyAlignment="1">
      <alignment vertical="center"/>
    </xf>
    <xf numFmtId="0" fontId="27" fillId="0" borderId="29" xfId="0" applyFont="1" applyBorder="1"/>
    <xf numFmtId="0" fontId="27" fillId="0" borderId="33" xfId="0" applyFont="1" applyBorder="1"/>
    <xf numFmtId="0" fontId="27" fillId="0" borderId="53" xfId="0" applyFont="1" applyBorder="1"/>
    <xf numFmtId="0" fontId="27" fillId="13" borderId="55" xfId="0" applyFont="1" applyFill="1" applyBorder="1" applyAlignment="1">
      <alignment vertical="center"/>
    </xf>
    <xf numFmtId="0" fontId="27" fillId="13" borderId="52" xfId="0" applyFont="1" applyFill="1" applyBorder="1" applyAlignment="1">
      <alignment vertical="center"/>
    </xf>
    <xf numFmtId="0" fontId="27" fillId="14" borderId="58" xfId="0" applyFont="1" applyFill="1" applyBorder="1" applyAlignment="1">
      <alignment vertical="center"/>
    </xf>
    <xf numFmtId="0" fontId="27" fillId="14" borderId="59" xfId="0" applyFont="1" applyFill="1" applyBorder="1" applyAlignment="1">
      <alignment wrapText="1"/>
    </xf>
    <xf numFmtId="0" fontId="27" fillId="14" borderId="27" xfId="0" applyFont="1" applyFill="1" applyBorder="1"/>
    <xf numFmtId="0" fontId="27" fillId="14" borderId="59" xfId="0" applyFont="1" applyFill="1" applyBorder="1"/>
    <xf numFmtId="0" fontId="27" fillId="14" borderId="41" xfId="0" applyFont="1" applyFill="1" applyBorder="1"/>
    <xf numFmtId="0" fontId="27" fillId="15" borderId="57" xfId="0" applyFont="1" applyFill="1" applyBorder="1" applyAlignment="1">
      <alignment vertical="center"/>
    </xf>
    <xf numFmtId="0" fontId="27" fillId="13" borderId="57" xfId="0" applyFont="1" applyFill="1" applyBorder="1" applyAlignment="1">
      <alignment vertical="center"/>
    </xf>
    <xf numFmtId="0" fontId="27" fillId="13" borderId="53" xfId="0" applyFont="1" applyFill="1" applyBorder="1" applyAlignment="1">
      <alignment vertical="center"/>
    </xf>
    <xf numFmtId="0" fontId="27" fillId="0" borderId="39" xfId="0" applyFont="1" applyBorder="1" applyAlignment="1">
      <alignment wrapText="1"/>
    </xf>
    <xf numFmtId="0" fontId="27" fillId="16" borderId="58" xfId="0" applyFont="1" applyFill="1" applyBorder="1"/>
    <xf numFmtId="0" fontId="27" fillId="16" borderId="59" xfId="0" applyFont="1" applyFill="1" applyBorder="1"/>
    <xf numFmtId="0" fontId="27" fillId="16" borderId="27" xfId="0" applyFont="1" applyFill="1" applyBorder="1"/>
    <xf numFmtId="0" fontId="27" fillId="16" borderId="41" xfId="0" applyFont="1" applyFill="1" applyBorder="1"/>
    <xf numFmtId="0" fontId="27" fillId="13" borderId="64" xfId="0" applyFont="1" applyFill="1" applyBorder="1" applyAlignment="1">
      <alignment vertical="center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wrapText="1"/>
    </xf>
    <xf numFmtId="0" fontId="27" fillId="0" borderId="65" xfId="0" applyFont="1" applyBorder="1"/>
    <xf numFmtId="0" fontId="27" fillId="0" borderId="59" xfId="0" applyFont="1" applyBorder="1"/>
    <xf numFmtId="0" fontId="27" fillId="0" borderId="66" xfId="0" applyFont="1" applyBorder="1"/>
    <xf numFmtId="0" fontId="27" fillId="16" borderId="21" xfId="0" applyFont="1" applyFill="1" applyBorder="1"/>
    <xf numFmtId="0" fontId="27" fillId="16" borderId="22" xfId="0" applyFont="1" applyFill="1" applyBorder="1"/>
    <xf numFmtId="0" fontId="27" fillId="16" borderId="0" xfId="0" applyFont="1" applyFill="1"/>
    <xf numFmtId="0" fontId="27" fillId="16" borderId="44" xfId="0" applyFont="1" applyFill="1" applyBorder="1"/>
    <xf numFmtId="0" fontId="27" fillId="13" borderId="9" xfId="0" applyFont="1" applyFill="1" applyBorder="1" applyAlignment="1">
      <alignment vertical="center"/>
    </xf>
    <xf numFmtId="0" fontId="27" fillId="13" borderId="10" xfId="0" applyFont="1" applyFill="1" applyBorder="1" applyAlignment="1">
      <alignment vertical="center"/>
    </xf>
    <xf numFmtId="0" fontId="27" fillId="13" borderId="43" xfId="0" applyFont="1" applyFill="1" applyBorder="1" applyAlignment="1">
      <alignment vertical="center"/>
    </xf>
    <xf numFmtId="0" fontId="27" fillId="16" borderId="20" xfId="0" applyFont="1" applyFill="1" applyBorder="1"/>
    <xf numFmtId="0" fontId="27" fillId="16" borderId="24" xfId="0" applyFont="1" applyFill="1" applyBorder="1"/>
    <xf numFmtId="0" fontId="27" fillId="16" borderId="36" xfId="0" applyFont="1" applyFill="1" applyBorder="1"/>
    <xf numFmtId="0" fontId="27" fillId="16" borderId="43" xfId="0" applyFont="1" applyFill="1" applyBorder="1"/>
    <xf numFmtId="0" fontId="8" fillId="0" borderId="0" xfId="0" applyFont="1"/>
    <xf numFmtId="0" fontId="8" fillId="0" borderId="67" xfId="0" applyFont="1" applyBorder="1"/>
    <xf numFmtId="0" fontId="8" fillId="0" borderId="68" xfId="0" applyFont="1" applyBorder="1"/>
    <xf numFmtId="0" fontId="8" fillId="0" borderId="49" xfId="0" applyFont="1" applyBorder="1"/>
    <xf numFmtId="0" fontId="0" fillId="17" borderId="54" xfId="0" applyFill="1" applyBorder="1"/>
    <xf numFmtId="0" fontId="0" fillId="17" borderId="55" xfId="0" applyFill="1" applyBorder="1"/>
    <xf numFmtId="0" fontId="0" fillId="17" borderId="52" xfId="0" applyFill="1" applyBorder="1"/>
    <xf numFmtId="0" fontId="0" fillId="17" borderId="56" xfId="0" applyFill="1" applyBorder="1"/>
    <xf numFmtId="0" fontId="0" fillId="17" borderId="57" xfId="0" applyFill="1" applyBorder="1"/>
    <xf numFmtId="0" fontId="0" fillId="17" borderId="53" xfId="0" applyFill="1" applyBorder="1"/>
    <xf numFmtId="0" fontId="0" fillId="0" borderId="44" xfId="0" applyBorder="1"/>
    <xf numFmtId="0" fontId="0" fillId="17" borderId="69" xfId="0" applyFill="1" applyBorder="1"/>
    <xf numFmtId="0" fontId="0" fillId="17" borderId="70" xfId="0" applyFill="1" applyBorder="1"/>
    <xf numFmtId="0" fontId="0" fillId="17" borderId="66" xfId="0" applyFill="1" applyBorder="1"/>
    <xf numFmtId="0" fontId="0" fillId="0" borderId="54" xfId="0" applyBorder="1"/>
    <xf numFmtId="0" fontId="0" fillId="0" borderId="55" xfId="0" applyBorder="1"/>
    <xf numFmtId="0" fontId="0" fillId="0" borderId="52" xfId="0" applyBorder="1"/>
    <xf numFmtId="0" fontId="0" fillId="15" borderId="55" xfId="0" applyFill="1" applyBorder="1"/>
    <xf numFmtId="0" fontId="0" fillId="15" borderId="52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44" xfId="0" applyFill="1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28" fillId="0" borderId="0" xfId="0" applyFont="1"/>
    <xf numFmtId="0" fontId="8" fillId="0" borderId="46" xfId="0" applyFont="1" applyBorder="1"/>
    <xf numFmtId="0" fontId="8" fillId="0" borderId="47" xfId="0" applyFont="1" applyBorder="1"/>
    <xf numFmtId="0" fontId="8" fillId="0" borderId="48" xfId="0" applyFont="1" applyBorder="1"/>
    <xf numFmtId="0" fontId="0" fillId="13" borderId="75" xfId="0" applyFill="1" applyBorder="1"/>
    <xf numFmtId="0" fontId="0" fillId="13" borderId="76" xfId="0" applyFill="1" applyBorder="1"/>
    <xf numFmtId="0" fontId="0" fillId="13" borderId="6" xfId="0" applyFill="1" applyBorder="1"/>
    <xf numFmtId="0" fontId="0" fillId="13" borderId="44" xfId="0" applyFill="1" applyBorder="1"/>
    <xf numFmtId="0" fontId="0" fillId="13" borderId="5" xfId="0" applyFill="1" applyBorder="1"/>
    <xf numFmtId="0" fontId="0" fillId="15" borderId="57" xfId="0" applyFill="1" applyBorder="1"/>
    <xf numFmtId="0" fontId="0" fillId="0" borderId="56" xfId="0" applyBorder="1"/>
    <xf numFmtId="0" fontId="0" fillId="0" borderId="57" xfId="0" applyBorder="1"/>
    <xf numFmtId="0" fontId="0" fillId="0" borderId="53" xfId="0" applyBorder="1"/>
    <xf numFmtId="0" fontId="0" fillId="13" borderId="54" xfId="0" applyFill="1" applyBorder="1"/>
    <xf numFmtId="0" fontId="0" fillId="13" borderId="55" xfId="0" applyFill="1" applyBorder="1"/>
    <xf numFmtId="0" fontId="0" fillId="13" borderId="52" xfId="0" applyFill="1" applyBorder="1"/>
    <xf numFmtId="0" fontId="0" fillId="13" borderId="56" xfId="0" applyFill="1" applyBorder="1"/>
    <xf numFmtId="0" fontId="0" fillId="13" borderId="57" xfId="0" applyFill="1" applyBorder="1"/>
    <xf numFmtId="0" fontId="0" fillId="13" borderId="53" xfId="0" applyFill="1" applyBorder="1"/>
    <xf numFmtId="0" fontId="0" fillId="13" borderId="77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3" borderId="43" xfId="0" applyFill="1" applyBorder="1"/>
    <xf numFmtId="0" fontId="8" fillId="0" borderId="18" xfId="0" applyFont="1" applyBorder="1"/>
    <xf numFmtId="0" fontId="8" fillId="0" borderId="16" xfId="0" applyFont="1" applyBorder="1"/>
    <xf numFmtId="0" fontId="0" fillId="14" borderId="51" xfId="0" applyFill="1" applyBorder="1"/>
    <xf numFmtId="0" fontId="0" fillId="14" borderId="78" xfId="0" applyFill="1" applyBorder="1"/>
    <xf numFmtId="0" fontId="0" fillId="14" borderId="52" xfId="0" applyFill="1" applyBorder="1"/>
    <xf numFmtId="0" fontId="0" fillId="14" borderId="28" xfId="0" applyFill="1" applyBorder="1"/>
    <xf numFmtId="0" fontId="0" fillId="14" borderId="79" xfId="0" applyFill="1" applyBorder="1"/>
    <xf numFmtId="0" fontId="0" fillId="14" borderId="53" xfId="0" applyFill="1" applyBorder="1"/>
    <xf numFmtId="0" fontId="0" fillId="0" borderId="51" xfId="0" applyBorder="1"/>
    <xf numFmtId="0" fontId="0" fillId="0" borderId="78" xfId="0" applyBorder="1"/>
    <xf numFmtId="0" fontId="0" fillId="0" borderId="21" xfId="0" applyBorder="1"/>
    <xf numFmtId="0" fontId="0" fillId="0" borderId="28" xfId="0" applyBorder="1"/>
    <xf numFmtId="0" fontId="0" fillId="0" borderId="79" xfId="0" applyBorder="1"/>
    <xf numFmtId="0" fontId="0" fillId="14" borderId="58" xfId="0" applyFill="1" applyBorder="1"/>
    <xf numFmtId="0" fontId="0" fillId="14" borderId="65" xfId="0" applyFill="1" applyBorder="1"/>
    <xf numFmtId="0" fontId="0" fillId="14" borderId="66" xfId="0" applyFill="1" applyBorder="1"/>
    <xf numFmtId="0" fontId="0" fillId="16" borderId="80" xfId="0" applyFill="1" applyBorder="1"/>
    <xf numFmtId="0" fontId="0" fillId="16" borderId="73" xfId="0" applyFill="1" applyBorder="1"/>
    <xf numFmtId="0" fontId="0" fillId="16" borderId="74" xfId="0" applyFill="1" applyBorder="1"/>
    <xf numFmtId="0" fontId="0" fillId="0" borderId="75" xfId="0" applyBorder="1"/>
    <xf numFmtId="0" fontId="0" fillId="0" borderId="76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29" fillId="0" borderId="0" xfId="0" applyFont="1"/>
    <xf numFmtId="0" fontId="12" fillId="0" borderId="67" xfId="0" applyFont="1" applyBorder="1"/>
    <xf numFmtId="0" fontId="12" fillId="0" borderId="68" xfId="0" applyFont="1" applyBorder="1"/>
    <xf numFmtId="0" fontId="12" fillId="0" borderId="49" xfId="0" applyFont="1" applyBorder="1"/>
    <xf numFmtId="0" fontId="0" fillId="15" borderId="54" xfId="0" applyFill="1" applyBorder="1"/>
    <xf numFmtId="0" fontId="0" fillId="15" borderId="56" xfId="0" applyFill="1" applyBorder="1"/>
    <xf numFmtId="0" fontId="0" fillId="15" borderId="85" xfId="0" applyFill="1" applyBorder="1"/>
    <xf numFmtId="0" fontId="0" fillId="15" borderId="86" xfId="0" applyFill="1" applyBorder="1"/>
    <xf numFmtId="0" fontId="0" fillId="0" borderId="85" xfId="0" applyBorder="1"/>
    <xf numFmtId="0" fontId="0" fillId="0" borderId="86" xfId="0" applyBorder="1"/>
    <xf numFmtId="0" fontId="0" fillId="15" borderId="69" xfId="0" applyFill="1" applyBorder="1"/>
    <xf numFmtId="0" fontId="0" fillId="15" borderId="70" xfId="0" applyFill="1" applyBorder="1"/>
    <xf numFmtId="0" fontId="0" fillId="15" borderId="66" xfId="0" applyFill="1" applyBorder="1"/>
    <xf numFmtId="0" fontId="0" fillId="15" borderId="5" xfId="0" applyFill="1" applyBorder="1"/>
    <xf numFmtId="0" fontId="0" fillId="15" borderId="6" xfId="0" applyFill="1" applyBorder="1"/>
    <xf numFmtId="0" fontId="0" fillId="0" borderId="43" xfId="0" applyBorder="1"/>
    <xf numFmtId="0" fontId="12" fillId="0" borderId="18" xfId="0" applyFont="1" applyBorder="1"/>
    <xf numFmtId="0" fontId="12" fillId="0" borderId="16" xfId="0" applyFont="1" applyBorder="1"/>
    <xf numFmtId="0" fontId="0" fillId="18" borderId="58" xfId="0" applyFill="1" applyBorder="1"/>
    <xf numFmtId="0" fontId="0" fillId="18" borderId="65" xfId="0" applyFill="1" applyBorder="1"/>
    <xf numFmtId="0" fontId="0" fillId="18" borderId="66" xfId="0" applyFill="1" applyBorder="1"/>
    <xf numFmtId="0" fontId="0" fillId="15" borderId="80" xfId="0" applyFill="1" applyBorder="1"/>
    <xf numFmtId="0" fontId="0" fillId="15" borderId="73" xfId="0" applyFill="1" applyBorder="1"/>
    <xf numFmtId="0" fontId="0" fillId="15" borderId="74" xfId="0" applyFill="1" applyBorder="1"/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2" fillId="3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90" xfId="0" applyBorder="1"/>
    <xf numFmtId="0" fontId="0" fillId="0" borderId="90" xfId="0" applyBorder="1" applyAlignment="1">
      <alignment horizontal="center"/>
    </xf>
    <xf numFmtId="16" fontId="0" fillId="0" borderId="9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1" xfId="0" applyBorder="1" applyAlignment="1">
      <alignment horizontal="center"/>
    </xf>
    <xf numFmtId="10" fontId="0" fillId="8" borderId="90" xfId="0" applyNumberFormat="1" applyFill="1" applyBorder="1" applyAlignment="1">
      <alignment horizontal="center"/>
    </xf>
    <xf numFmtId="164" fontId="0" fillId="0" borderId="90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6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 applyAlignment="1">
      <alignment horizontal="center"/>
    </xf>
    <xf numFmtId="3" fontId="31" fillId="0" borderId="0" xfId="0" applyNumberFormat="1" applyFont="1" applyAlignment="1">
      <alignment horizontal="center" vertical="center"/>
    </xf>
    <xf numFmtId="0" fontId="0" fillId="0" borderId="0" xfId="0" applyAlignment="1">
      <alignment horizontal="right" indent="1"/>
    </xf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0" borderId="92" xfId="0" applyBorder="1" applyAlignment="1">
      <alignment horizontal="center"/>
    </xf>
    <xf numFmtId="0" fontId="0" fillId="0" borderId="93" xfId="0" applyBorder="1" applyAlignment="1">
      <alignment horizontal="center"/>
    </xf>
    <xf numFmtId="0" fontId="2" fillId="5" borderId="94" xfId="0" applyFont="1" applyFill="1" applyBorder="1" applyAlignment="1">
      <alignment horizontal="left" vertical="center" wrapText="1"/>
    </xf>
    <xf numFmtId="0" fontId="2" fillId="3" borderId="94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/>
    </xf>
    <xf numFmtId="0" fontId="0" fillId="8" borderId="95" xfId="0" applyFill="1" applyBorder="1" applyAlignment="1">
      <alignment horizontal="center"/>
    </xf>
    <xf numFmtId="2" fontId="0" fillId="0" borderId="0" xfId="0" applyNumberFormat="1"/>
    <xf numFmtId="2" fontId="0" fillId="8" borderId="95" xfId="0" applyNumberForma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  <xf numFmtId="0" fontId="4" fillId="5" borderId="87" xfId="0" applyFont="1" applyFill="1" applyBorder="1" applyAlignment="1">
      <alignment horizontal="center" vertical="center" wrapText="1"/>
    </xf>
    <xf numFmtId="0" fontId="4" fillId="5" borderId="88" xfId="0" applyFont="1" applyFill="1" applyBorder="1" applyAlignment="1">
      <alignment horizontal="center" vertical="center" wrapText="1"/>
    </xf>
    <xf numFmtId="0" fontId="4" fillId="5" borderId="8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3" fontId="22" fillId="0" borderId="23" xfId="0" applyNumberFormat="1" applyFont="1" applyBorder="1" applyAlignment="1">
      <alignment horizontal="center" vertical="center" wrapText="1"/>
    </xf>
    <xf numFmtId="3" fontId="22" fillId="0" borderId="24" xfId="0" applyNumberFormat="1" applyFont="1" applyBorder="1" applyAlignment="1">
      <alignment horizontal="center" vertical="center" wrapText="1"/>
    </xf>
    <xf numFmtId="3" fontId="25" fillId="0" borderId="23" xfId="0" applyNumberFormat="1" applyFont="1" applyBorder="1" applyAlignment="1">
      <alignment horizontal="center" vertical="center" wrapText="1"/>
    </xf>
    <xf numFmtId="3" fontId="25" fillId="0" borderId="24" xfId="0" applyNumberFormat="1" applyFont="1" applyBorder="1" applyAlignment="1">
      <alignment horizontal="center" vertical="center" wrapText="1"/>
    </xf>
    <xf numFmtId="3" fontId="24" fillId="0" borderId="23" xfId="0" applyNumberFormat="1" applyFont="1" applyBorder="1" applyAlignment="1">
      <alignment horizontal="center" vertical="center" wrapText="1"/>
    </xf>
    <xf numFmtId="3" fontId="24" fillId="0" borderId="24" xfId="0" applyNumberFormat="1" applyFont="1" applyBorder="1" applyAlignment="1">
      <alignment horizontal="center" vertical="center" wrapText="1"/>
    </xf>
    <xf numFmtId="3" fontId="22" fillId="0" borderId="22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left"/>
    </xf>
    <xf numFmtId="0" fontId="12" fillId="0" borderId="42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27" fillId="13" borderId="50" xfId="0" applyFont="1" applyFill="1" applyBorder="1" applyAlignment="1">
      <alignment horizontal="center" vertical="center" wrapText="1"/>
    </xf>
    <xf numFmtId="0" fontId="27" fillId="13" borderId="6" xfId="0" applyFont="1" applyFill="1" applyBorder="1" applyAlignment="1">
      <alignment horizontal="center" vertical="center" wrapText="1"/>
    </xf>
    <xf numFmtId="0" fontId="27" fillId="13" borderId="10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27" fillId="0" borderId="39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13" borderId="54" xfId="0" applyFont="1" applyFill="1" applyBorder="1" applyAlignment="1">
      <alignment horizontal="center" vertical="center" wrapText="1"/>
    </xf>
    <xf numFmtId="0" fontId="27" fillId="13" borderId="56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45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16 weeks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'[2]Weekly report'!$A$59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'[2]Weekly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'[2]Weekly report'!$Y$59:$BO$59</c:f>
              <c:numCache>
                <c:formatCode>General</c:formatCode>
                <c:ptCount val="43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13</c:v>
                </c:pt>
                <c:pt idx="8">
                  <c:v>8</c:v>
                </c:pt>
                <c:pt idx="9">
                  <c:v>11</c:v>
                </c:pt>
                <c:pt idx="10">
                  <c:v>2</c:v>
                </c:pt>
                <c:pt idx="11">
                  <c:v>2</c:v>
                </c:pt>
                <c:pt idx="12">
                  <c:v>9</c:v>
                </c:pt>
                <c:pt idx="13">
                  <c:v>9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5</c:v>
                </c:pt>
                <c:pt idx="20">
                  <c:v>8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9</c:v>
                </c:pt>
                <c:pt idx="30">
                  <c:v>6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7</c:v>
                </c:pt>
                <c:pt idx="3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8-4D74-B354-FB4146C30151}"/>
            </c:ext>
          </c:extLst>
        </c:ser>
        <c:ser>
          <c:idx val="1"/>
          <c:order val="1"/>
          <c:tx>
            <c:strRef>
              <c:f>'[2]Weekly report'!$A$61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'[2]Weekly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'[2]Weekly report'!$Y$61:$BO$61</c:f>
              <c:numCache>
                <c:formatCode>General</c:formatCode>
                <c:ptCount val="43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8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3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7</c:v>
                </c:pt>
                <c:pt idx="25">
                  <c:v>2</c:v>
                </c:pt>
                <c:pt idx="26">
                  <c:v>5</c:v>
                </c:pt>
                <c:pt idx="27">
                  <c:v>7</c:v>
                </c:pt>
                <c:pt idx="28">
                  <c:v>5</c:v>
                </c:pt>
                <c:pt idx="29">
                  <c:v>1</c:v>
                </c:pt>
                <c:pt idx="30">
                  <c:v>5</c:v>
                </c:pt>
                <c:pt idx="31">
                  <c:v>7</c:v>
                </c:pt>
                <c:pt idx="32">
                  <c:v>7</c:v>
                </c:pt>
                <c:pt idx="33">
                  <c:v>4</c:v>
                </c:pt>
                <c:pt idx="34">
                  <c:v>7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8-4D74-B354-FB4146C30151}"/>
            </c:ext>
          </c:extLst>
        </c:ser>
        <c:ser>
          <c:idx val="2"/>
          <c:order val="2"/>
          <c:tx>
            <c:strRef>
              <c:f>'[2]Weekly report'!$A$63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'[2]Weekly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'[2]Weekly report'!$Y$63:$BO$63</c:f>
              <c:numCache>
                <c:formatCode>General</c:formatCode>
                <c:ptCount val="43"/>
                <c:pt idx="0">
                  <c:v>6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8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2</c:v>
                </c:pt>
                <c:pt idx="24">
                  <c:v>5</c:v>
                </c:pt>
                <c:pt idx="25">
                  <c:v>8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30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8</c:v>
                </c:pt>
                <c:pt idx="3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8-4D74-B354-FB4146C3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27 week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'[2]Weekly report'!$A$99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'[2]Weekly report'!$Y$5:$BO$5</c:f>
              <c:numCache>
                <c:formatCode>General</c:formatCode>
                <c:ptCount val="43"/>
                <c:pt idx="0">
                  <c:v>2523</c:v>
                </c:pt>
                <c:pt idx="1">
                  <c:v>2524</c:v>
                </c:pt>
                <c:pt idx="2">
                  <c:v>2525</c:v>
                </c:pt>
                <c:pt idx="3">
                  <c:v>2526</c:v>
                </c:pt>
                <c:pt idx="4">
                  <c:v>2527</c:v>
                </c:pt>
                <c:pt idx="5">
                  <c:v>2528</c:v>
                </c:pt>
                <c:pt idx="6">
                  <c:v>2529</c:v>
                </c:pt>
                <c:pt idx="7">
                  <c:v>2530</c:v>
                </c:pt>
                <c:pt idx="8">
                  <c:v>2531</c:v>
                </c:pt>
                <c:pt idx="9">
                  <c:v>2532</c:v>
                </c:pt>
                <c:pt idx="10">
                  <c:v>2533</c:v>
                </c:pt>
                <c:pt idx="11">
                  <c:v>2534</c:v>
                </c:pt>
                <c:pt idx="12">
                  <c:v>2535</c:v>
                </c:pt>
                <c:pt idx="13">
                  <c:v>2536</c:v>
                </c:pt>
                <c:pt idx="14">
                  <c:v>2537</c:v>
                </c:pt>
                <c:pt idx="15">
                  <c:v>2538</c:v>
                </c:pt>
                <c:pt idx="16">
                  <c:v>2539</c:v>
                </c:pt>
                <c:pt idx="17">
                  <c:v>2540</c:v>
                </c:pt>
                <c:pt idx="18">
                  <c:v>2541</c:v>
                </c:pt>
                <c:pt idx="19">
                  <c:v>2542</c:v>
                </c:pt>
                <c:pt idx="20">
                  <c:v>2543</c:v>
                </c:pt>
                <c:pt idx="21">
                  <c:v>2544</c:v>
                </c:pt>
                <c:pt idx="22">
                  <c:v>2545</c:v>
                </c:pt>
                <c:pt idx="23">
                  <c:v>2546</c:v>
                </c:pt>
                <c:pt idx="24">
                  <c:v>2547</c:v>
                </c:pt>
                <c:pt idx="25">
                  <c:v>2548</c:v>
                </c:pt>
                <c:pt idx="26">
                  <c:v>2549</c:v>
                </c:pt>
                <c:pt idx="27">
                  <c:v>2550</c:v>
                </c:pt>
                <c:pt idx="28">
                  <c:v>2551</c:v>
                </c:pt>
                <c:pt idx="29">
                  <c:v>2552</c:v>
                </c:pt>
                <c:pt idx="30">
                  <c:v>2601</c:v>
                </c:pt>
                <c:pt idx="31">
                  <c:v>2602</c:v>
                </c:pt>
                <c:pt idx="32">
                  <c:v>2603</c:v>
                </c:pt>
                <c:pt idx="33">
                  <c:v>2604</c:v>
                </c:pt>
                <c:pt idx="34">
                  <c:v>2605</c:v>
                </c:pt>
                <c:pt idx="35">
                  <c:v>2606</c:v>
                </c:pt>
                <c:pt idx="36">
                  <c:v>2607</c:v>
                </c:pt>
                <c:pt idx="37">
                  <c:v>2608</c:v>
                </c:pt>
                <c:pt idx="38">
                  <c:v>2609</c:v>
                </c:pt>
                <c:pt idx="39">
                  <c:v>2610</c:v>
                </c:pt>
                <c:pt idx="40">
                  <c:v>2611</c:v>
                </c:pt>
                <c:pt idx="41">
                  <c:v>2612</c:v>
                </c:pt>
                <c:pt idx="42">
                  <c:v>2613</c:v>
                </c:pt>
              </c:numCache>
            </c:numRef>
          </c:cat>
          <c:val>
            <c:numRef>
              <c:f>'[2]Weekly report'!$Y$99:$BO$99</c:f>
              <c:numCache>
                <c:formatCode>General</c:formatCode>
                <c:ptCount val="43"/>
                <c:pt idx="0">
                  <c:v>3</c:v>
                </c:pt>
                <c:pt idx="1">
                  <c:v>3</c:v>
                </c:pt>
                <c:pt idx="8">
                  <c:v>4</c:v>
                </c:pt>
                <c:pt idx="12">
                  <c:v>2</c:v>
                </c:pt>
                <c:pt idx="15">
                  <c:v>1</c:v>
                </c:pt>
                <c:pt idx="18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4">
                  <c:v>3</c:v>
                </c:pt>
                <c:pt idx="25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3">
                  <c:v>1</c:v>
                </c:pt>
                <c:pt idx="35">
                  <c:v>2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B-423E-9855-9905B8224190}"/>
            </c:ext>
          </c:extLst>
        </c:ser>
        <c:ser>
          <c:idx val="1"/>
          <c:order val="1"/>
          <c:tx>
            <c:strRef>
              <c:f>'[2]Weekly report'!$A$101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'[2]Weekly report'!$Y$5:$BO$5</c:f>
              <c:numCache>
                <c:formatCode>General</c:formatCode>
                <c:ptCount val="43"/>
                <c:pt idx="0">
                  <c:v>2523</c:v>
                </c:pt>
                <c:pt idx="1">
                  <c:v>2524</c:v>
                </c:pt>
                <c:pt idx="2">
                  <c:v>2525</c:v>
                </c:pt>
                <c:pt idx="3">
                  <c:v>2526</c:v>
                </c:pt>
                <c:pt idx="4">
                  <c:v>2527</c:v>
                </c:pt>
                <c:pt idx="5">
                  <c:v>2528</c:v>
                </c:pt>
                <c:pt idx="6">
                  <c:v>2529</c:v>
                </c:pt>
                <c:pt idx="7">
                  <c:v>2530</c:v>
                </c:pt>
                <c:pt idx="8">
                  <c:v>2531</c:v>
                </c:pt>
                <c:pt idx="9">
                  <c:v>2532</c:v>
                </c:pt>
                <c:pt idx="10">
                  <c:v>2533</c:v>
                </c:pt>
                <c:pt idx="11">
                  <c:v>2534</c:v>
                </c:pt>
                <c:pt idx="12">
                  <c:v>2535</c:v>
                </c:pt>
                <c:pt idx="13">
                  <c:v>2536</c:v>
                </c:pt>
                <c:pt idx="14">
                  <c:v>2537</c:v>
                </c:pt>
                <c:pt idx="15">
                  <c:v>2538</c:v>
                </c:pt>
                <c:pt idx="16">
                  <c:v>2539</c:v>
                </c:pt>
                <c:pt idx="17">
                  <c:v>2540</c:v>
                </c:pt>
                <c:pt idx="18">
                  <c:v>2541</c:v>
                </c:pt>
                <c:pt idx="19">
                  <c:v>2542</c:v>
                </c:pt>
                <c:pt idx="20">
                  <c:v>2543</c:v>
                </c:pt>
                <c:pt idx="21">
                  <c:v>2544</c:v>
                </c:pt>
                <c:pt idx="22">
                  <c:v>2545</c:v>
                </c:pt>
                <c:pt idx="23">
                  <c:v>2546</c:v>
                </c:pt>
                <c:pt idx="24">
                  <c:v>2547</c:v>
                </c:pt>
                <c:pt idx="25">
                  <c:v>2548</c:v>
                </c:pt>
                <c:pt idx="26">
                  <c:v>2549</c:v>
                </c:pt>
                <c:pt idx="27">
                  <c:v>2550</c:v>
                </c:pt>
                <c:pt idx="28">
                  <c:v>2551</c:v>
                </c:pt>
                <c:pt idx="29">
                  <c:v>2552</c:v>
                </c:pt>
                <c:pt idx="30">
                  <c:v>2601</c:v>
                </c:pt>
                <c:pt idx="31">
                  <c:v>2602</c:v>
                </c:pt>
                <c:pt idx="32">
                  <c:v>2603</c:v>
                </c:pt>
                <c:pt idx="33">
                  <c:v>2604</c:v>
                </c:pt>
                <c:pt idx="34">
                  <c:v>2605</c:v>
                </c:pt>
                <c:pt idx="35">
                  <c:v>2606</c:v>
                </c:pt>
                <c:pt idx="36">
                  <c:v>2607</c:v>
                </c:pt>
                <c:pt idx="37">
                  <c:v>2608</c:v>
                </c:pt>
                <c:pt idx="38">
                  <c:v>2609</c:v>
                </c:pt>
                <c:pt idx="39">
                  <c:v>2610</c:v>
                </c:pt>
                <c:pt idx="40">
                  <c:v>2611</c:v>
                </c:pt>
                <c:pt idx="41">
                  <c:v>2612</c:v>
                </c:pt>
                <c:pt idx="42">
                  <c:v>2613</c:v>
                </c:pt>
              </c:numCache>
            </c:numRef>
          </c:cat>
          <c:val>
            <c:numRef>
              <c:f>'[2]Weekly report'!$Y$101:$BO$101</c:f>
              <c:numCache>
                <c:formatCode>General</c:formatCode>
                <c:ptCount val="43"/>
                <c:pt idx="0">
                  <c:v>2</c:v>
                </c:pt>
                <c:pt idx="1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9</c:v>
                </c:pt>
                <c:pt idx="13">
                  <c:v>1</c:v>
                </c:pt>
                <c:pt idx="14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5</c:v>
                </c:pt>
                <c:pt idx="27">
                  <c:v>11</c:v>
                </c:pt>
                <c:pt idx="28">
                  <c:v>10</c:v>
                </c:pt>
                <c:pt idx="29">
                  <c:v>9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11</c:v>
                </c:pt>
                <c:pt idx="34">
                  <c:v>12</c:v>
                </c:pt>
                <c:pt idx="35">
                  <c:v>9</c:v>
                </c:pt>
                <c:pt idx="36">
                  <c:v>7</c:v>
                </c:pt>
                <c:pt idx="3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B-423E-9855-9905B8224190}"/>
            </c:ext>
          </c:extLst>
        </c:ser>
        <c:ser>
          <c:idx val="2"/>
          <c:order val="2"/>
          <c:tx>
            <c:strRef>
              <c:f>'[2]Weekly report'!$A$103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'[2]Weekly report'!$Y$5:$BO$5</c:f>
              <c:numCache>
                <c:formatCode>General</c:formatCode>
                <c:ptCount val="43"/>
                <c:pt idx="0">
                  <c:v>2523</c:v>
                </c:pt>
                <c:pt idx="1">
                  <c:v>2524</c:v>
                </c:pt>
                <c:pt idx="2">
                  <c:v>2525</c:v>
                </c:pt>
                <c:pt idx="3">
                  <c:v>2526</c:v>
                </c:pt>
                <c:pt idx="4">
                  <c:v>2527</c:v>
                </c:pt>
                <c:pt idx="5">
                  <c:v>2528</c:v>
                </c:pt>
                <c:pt idx="6">
                  <c:v>2529</c:v>
                </c:pt>
                <c:pt idx="7">
                  <c:v>2530</c:v>
                </c:pt>
                <c:pt idx="8">
                  <c:v>2531</c:v>
                </c:pt>
                <c:pt idx="9">
                  <c:v>2532</c:v>
                </c:pt>
                <c:pt idx="10">
                  <c:v>2533</c:v>
                </c:pt>
                <c:pt idx="11">
                  <c:v>2534</c:v>
                </c:pt>
                <c:pt idx="12">
                  <c:v>2535</c:v>
                </c:pt>
                <c:pt idx="13">
                  <c:v>2536</c:v>
                </c:pt>
                <c:pt idx="14">
                  <c:v>2537</c:v>
                </c:pt>
                <c:pt idx="15">
                  <c:v>2538</c:v>
                </c:pt>
                <c:pt idx="16">
                  <c:v>2539</c:v>
                </c:pt>
                <c:pt idx="17">
                  <c:v>2540</c:v>
                </c:pt>
                <c:pt idx="18">
                  <c:v>2541</c:v>
                </c:pt>
                <c:pt idx="19">
                  <c:v>2542</c:v>
                </c:pt>
                <c:pt idx="20">
                  <c:v>2543</c:v>
                </c:pt>
                <c:pt idx="21">
                  <c:v>2544</c:v>
                </c:pt>
                <c:pt idx="22">
                  <c:v>2545</c:v>
                </c:pt>
                <c:pt idx="23">
                  <c:v>2546</c:v>
                </c:pt>
                <c:pt idx="24">
                  <c:v>2547</c:v>
                </c:pt>
                <c:pt idx="25">
                  <c:v>2548</c:v>
                </c:pt>
                <c:pt idx="26">
                  <c:v>2549</c:v>
                </c:pt>
                <c:pt idx="27">
                  <c:v>2550</c:v>
                </c:pt>
                <c:pt idx="28">
                  <c:v>2551</c:v>
                </c:pt>
                <c:pt idx="29">
                  <c:v>2552</c:v>
                </c:pt>
                <c:pt idx="30">
                  <c:v>2601</c:v>
                </c:pt>
                <c:pt idx="31">
                  <c:v>2602</c:v>
                </c:pt>
                <c:pt idx="32">
                  <c:v>2603</c:v>
                </c:pt>
                <c:pt idx="33">
                  <c:v>2604</c:v>
                </c:pt>
                <c:pt idx="34">
                  <c:v>2605</c:v>
                </c:pt>
                <c:pt idx="35">
                  <c:v>2606</c:v>
                </c:pt>
                <c:pt idx="36">
                  <c:v>2607</c:v>
                </c:pt>
                <c:pt idx="37">
                  <c:v>2608</c:v>
                </c:pt>
                <c:pt idx="38">
                  <c:v>2609</c:v>
                </c:pt>
                <c:pt idx="39">
                  <c:v>2610</c:v>
                </c:pt>
                <c:pt idx="40">
                  <c:v>2611</c:v>
                </c:pt>
                <c:pt idx="41">
                  <c:v>2612</c:v>
                </c:pt>
                <c:pt idx="42">
                  <c:v>2613</c:v>
                </c:pt>
              </c:numCache>
            </c:numRef>
          </c:cat>
          <c:val>
            <c:numRef>
              <c:f>'[2]Weekly report'!$Y$103:$BO$103</c:f>
              <c:numCache>
                <c:formatCode>General</c:formatCode>
                <c:ptCount val="43"/>
                <c:pt idx="0">
                  <c:v>2</c:v>
                </c:pt>
                <c:pt idx="1">
                  <c:v>4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11</c:v>
                </c:pt>
                <c:pt idx="7">
                  <c:v>8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2">
                  <c:v>11</c:v>
                </c:pt>
                <c:pt idx="13">
                  <c:v>9</c:v>
                </c:pt>
                <c:pt idx="14">
                  <c:v>4</c:v>
                </c:pt>
                <c:pt idx="15">
                  <c:v>11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8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5">
                  <c:v>1</c:v>
                </c:pt>
                <c:pt idx="3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1B-423E-9855-9905B8224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251831</xdr:colOff>
      <xdr:row>15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A78FB-AC04-4681-2606-D42B64E3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38230" cy="3047999"/>
        </a:xfrm>
        <a:prstGeom prst="rect">
          <a:avLst/>
        </a:prstGeom>
      </xdr:spPr>
    </xdr:pic>
    <xdr:clientData/>
  </xdr:twoCellAnchor>
  <xdr:twoCellAnchor>
    <xdr:from>
      <xdr:col>9</xdr:col>
      <xdr:colOff>504826</xdr:colOff>
      <xdr:row>0</xdr:row>
      <xdr:rowOff>0</xdr:rowOff>
    </xdr:from>
    <xdr:to>
      <xdr:col>19</xdr:col>
      <xdr:colOff>409576</xdr:colOff>
      <xdr:row>15</xdr:row>
      <xdr:rowOff>180975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B4AC189-9E86-4F6C-8B2D-056720D2F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17</xdr:row>
      <xdr:rowOff>1</xdr:rowOff>
    </xdr:from>
    <xdr:to>
      <xdr:col>9</xdr:col>
      <xdr:colOff>266701</xdr:colOff>
      <xdr:row>32</xdr:row>
      <xdr:rowOff>38101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96EDA44-816C-4080-BADB-A484F3D20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285750</xdr:colOff>
      <xdr:row>2</xdr:row>
      <xdr:rowOff>161925</xdr:rowOff>
    </xdr:from>
    <xdr:to>
      <xdr:col>33</xdr:col>
      <xdr:colOff>533860</xdr:colOff>
      <xdr:row>26</xdr:row>
      <xdr:rowOff>19668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89D74-14BE-AD2A-F927-04805C0B5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69100" y="542925"/>
          <a:ext cx="3296110" cy="44297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immyson_grasmere_co_zw/Documents/Documents/CCC/FY27/NAVFarm/Porta%20-%20KPI%20Triple%20C%20Pigs.xlsx" TargetMode="External"/><Relationship Id="rId2" Type="http://schemas.openxmlformats.org/officeDocument/2006/relationships/externalLinkPath" Target="https://triplecpigs-my.sharepoint.com/personal/jimmyson_grasmere_co_zw/Documents/Documents/CCC/FY27/NAVFarm/Porta%20-%20KPI%20Triple%20C%20Pigs.xlsx" TargetMode="External"/><Relationship Id="rId1" Type="http://schemas.openxmlformats.org/officeDocument/2006/relationships/externalLinkPath" Target="/personal/jimmyson_grasmere_co_zw/Documents/Documents/CCC/FY27/NAVFarm/Porta%20-%20KPI%20Triple%20C%20Pig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ropbox\Triple%20C%20Pigs%20Production%20Folder\1.%20Weekly%20Farm%20Report%20-%20good\Porta\Porta%20weekly%20farm%20report.xlsx" TargetMode="External"/><Relationship Id="rId1" Type="http://schemas.openxmlformats.org/officeDocument/2006/relationships/externalLinkPath" Target="file:///C:\Users\user\Dropbox\Triple%20C%20Pigs%20Production%20Folder\1.%20Weekly%20Farm%20Report%20-%20good\Porta\Porta%20weekly%20farm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%20-%20Triple%20C%20Pigs\Documents\CCC\FY27\Farrowing\Farrowing%20Feed%20Schedule%20-%2027072026.xlsx" TargetMode="External"/><Relationship Id="rId1" Type="http://schemas.openxmlformats.org/officeDocument/2006/relationships/externalLinkPath" Target="file:///C:\Users\user\OneDrive%20-%20Triple%20C%20Pigs\Documents\CCC\FY27\Farrowing\Farrowing%20Feed%20Schedule%20-%2027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92">
          <cell r="E92">
            <v>1.5</v>
          </cell>
        </row>
        <row r="95">
          <cell r="E95">
            <v>1.1000000000000001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Weekly report"/>
    </sheetNames>
    <sheetDataSet>
      <sheetData sheetId="0"/>
      <sheetData sheetId="1">
        <row r="3">
          <cell r="Y3">
            <v>2534</v>
          </cell>
          <cell r="Z3">
            <v>2535</v>
          </cell>
          <cell r="AA3">
            <v>2536</v>
          </cell>
          <cell r="AB3">
            <v>2537</v>
          </cell>
          <cell r="AC3">
            <v>2538</v>
          </cell>
          <cell r="AD3">
            <v>2539</v>
          </cell>
          <cell r="AE3">
            <v>2540</v>
          </cell>
          <cell r="AF3">
            <v>2541</v>
          </cell>
          <cell r="AG3">
            <v>2542</v>
          </cell>
          <cell r="AH3">
            <v>2543</v>
          </cell>
          <cell r="AI3">
            <v>2544</v>
          </cell>
          <cell r="AJ3">
            <v>2545</v>
          </cell>
          <cell r="AK3">
            <v>2546</v>
          </cell>
          <cell r="AL3">
            <v>2547</v>
          </cell>
          <cell r="AM3">
            <v>2548</v>
          </cell>
          <cell r="AN3">
            <v>2549</v>
          </cell>
          <cell r="AO3">
            <v>2550</v>
          </cell>
          <cell r="AP3">
            <v>2551</v>
          </cell>
          <cell r="AQ3">
            <v>2552</v>
          </cell>
          <cell r="AR3">
            <v>2601</v>
          </cell>
          <cell r="AS3">
            <v>2602</v>
          </cell>
          <cell r="AT3">
            <v>2603</v>
          </cell>
          <cell r="AU3">
            <v>2604</v>
          </cell>
          <cell r="AV3">
            <v>2605</v>
          </cell>
          <cell r="AW3">
            <v>2606</v>
          </cell>
          <cell r="AX3">
            <v>2607</v>
          </cell>
          <cell r="AY3">
            <v>2608</v>
          </cell>
          <cell r="AZ3">
            <v>2609</v>
          </cell>
          <cell r="BA3">
            <v>2610</v>
          </cell>
          <cell r="BB3">
            <v>2611</v>
          </cell>
          <cell r="BC3">
            <v>2612</v>
          </cell>
          <cell r="BD3">
            <v>2613</v>
          </cell>
          <cell r="BE3">
            <v>2614</v>
          </cell>
          <cell r="BF3">
            <v>2615</v>
          </cell>
          <cell r="BG3">
            <v>2616</v>
          </cell>
          <cell r="BH3">
            <v>2617</v>
          </cell>
          <cell r="BI3">
            <v>2618</v>
          </cell>
          <cell r="BJ3">
            <v>2619</v>
          </cell>
          <cell r="BK3">
            <v>2620</v>
          </cell>
          <cell r="BL3">
            <v>2621</v>
          </cell>
          <cell r="BM3">
            <v>2622</v>
          </cell>
          <cell r="BN3">
            <v>2623</v>
          </cell>
          <cell r="BO3">
            <v>2624</v>
          </cell>
        </row>
        <row r="5">
          <cell r="Y5">
            <v>2523</v>
          </cell>
          <cell r="Z5">
            <v>2524</v>
          </cell>
          <cell r="AA5">
            <v>2525</v>
          </cell>
          <cell r="AB5">
            <v>2526</v>
          </cell>
          <cell r="AC5">
            <v>2527</v>
          </cell>
          <cell r="AD5">
            <v>2528</v>
          </cell>
          <cell r="AE5">
            <v>2529</v>
          </cell>
          <cell r="AF5">
            <v>2530</v>
          </cell>
          <cell r="AG5">
            <v>2531</v>
          </cell>
          <cell r="AH5">
            <v>2532</v>
          </cell>
          <cell r="AI5">
            <v>2533</v>
          </cell>
          <cell r="AJ5">
            <v>2534</v>
          </cell>
          <cell r="AK5">
            <v>2535</v>
          </cell>
          <cell r="AL5">
            <v>2536</v>
          </cell>
          <cell r="AM5">
            <v>2537</v>
          </cell>
          <cell r="AN5">
            <v>2538</v>
          </cell>
          <cell r="AO5">
            <v>2539</v>
          </cell>
          <cell r="AP5">
            <v>2540</v>
          </cell>
          <cell r="AQ5">
            <v>2541</v>
          </cell>
          <cell r="AR5">
            <v>2542</v>
          </cell>
          <cell r="AS5">
            <v>2543</v>
          </cell>
          <cell r="AT5">
            <v>2544</v>
          </cell>
          <cell r="AU5">
            <v>2545</v>
          </cell>
          <cell r="AV5">
            <v>2546</v>
          </cell>
          <cell r="AW5">
            <v>2547</v>
          </cell>
          <cell r="AX5">
            <v>2548</v>
          </cell>
          <cell r="AY5">
            <v>2549</v>
          </cell>
          <cell r="AZ5">
            <v>2550</v>
          </cell>
          <cell r="BA5">
            <v>2551</v>
          </cell>
          <cell r="BB5">
            <v>2552</v>
          </cell>
          <cell r="BC5">
            <v>2601</v>
          </cell>
          <cell r="BD5">
            <v>2602</v>
          </cell>
          <cell r="BE5">
            <v>2603</v>
          </cell>
          <cell r="BF5">
            <v>2604</v>
          </cell>
          <cell r="BG5">
            <v>2605</v>
          </cell>
          <cell r="BH5">
            <v>2606</v>
          </cell>
          <cell r="BI5">
            <v>2607</v>
          </cell>
          <cell r="BJ5">
            <v>2608</v>
          </cell>
          <cell r="BK5">
            <v>2609</v>
          </cell>
          <cell r="BL5">
            <v>2610</v>
          </cell>
          <cell r="BM5">
            <v>2611</v>
          </cell>
          <cell r="BN5">
            <v>2612</v>
          </cell>
          <cell r="BO5">
            <v>2613</v>
          </cell>
        </row>
        <row r="59">
          <cell r="A59" t="str">
            <v># Of Animals Under</v>
          </cell>
          <cell r="Y59">
            <v>2</v>
          </cell>
          <cell r="Z59">
            <v>8</v>
          </cell>
          <cell r="AA59">
            <v>2</v>
          </cell>
          <cell r="AB59">
            <v>4</v>
          </cell>
          <cell r="AC59">
            <v>6</v>
          </cell>
          <cell r="AD59">
            <v>6</v>
          </cell>
          <cell r="AE59">
            <v>12</v>
          </cell>
          <cell r="AF59">
            <v>13</v>
          </cell>
          <cell r="AG59">
            <v>8</v>
          </cell>
          <cell r="AH59">
            <v>11</v>
          </cell>
          <cell r="AI59">
            <v>2</v>
          </cell>
          <cell r="AJ59">
            <v>2</v>
          </cell>
          <cell r="AK59">
            <v>9</v>
          </cell>
          <cell r="AL59">
            <v>9</v>
          </cell>
          <cell r="AM59">
            <v>5</v>
          </cell>
          <cell r="AN59">
            <v>1</v>
          </cell>
          <cell r="AO59">
            <v>2</v>
          </cell>
          <cell r="AP59">
            <v>3</v>
          </cell>
          <cell r="AQ59">
            <v>6</v>
          </cell>
          <cell r="AR59">
            <v>5</v>
          </cell>
          <cell r="AS59">
            <v>8</v>
          </cell>
          <cell r="AT59">
            <v>2</v>
          </cell>
          <cell r="AU59">
            <v>4</v>
          </cell>
          <cell r="AV59">
            <v>2</v>
          </cell>
          <cell r="AX59">
            <v>2</v>
          </cell>
          <cell r="AY59">
            <v>1</v>
          </cell>
          <cell r="AZ59">
            <v>2</v>
          </cell>
          <cell r="BA59">
            <v>4</v>
          </cell>
          <cell r="BB59">
            <v>9</v>
          </cell>
          <cell r="BC59">
            <v>6</v>
          </cell>
          <cell r="BD59">
            <v>3</v>
          </cell>
          <cell r="BE59">
            <v>2</v>
          </cell>
          <cell r="BF59">
            <v>2</v>
          </cell>
          <cell r="BG59">
            <v>7</v>
          </cell>
          <cell r="BJ59">
            <v>7</v>
          </cell>
        </row>
        <row r="61">
          <cell r="A61" t="str">
            <v># Of Animals In</v>
          </cell>
          <cell r="Y61">
            <v>2</v>
          </cell>
          <cell r="AA61">
            <v>1</v>
          </cell>
          <cell r="AB61">
            <v>1</v>
          </cell>
          <cell r="AC61">
            <v>4</v>
          </cell>
          <cell r="AD61">
            <v>4</v>
          </cell>
          <cell r="AG61">
            <v>2</v>
          </cell>
          <cell r="AI61">
            <v>3</v>
          </cell>
          <cell r="AJ61">
            <v>5</v>
          </cell>
          <cell r="AK61">
            <v>1</v>
          </cell>
          <cell r="AL61">
            <v>1</v>
          </cell>
          <cell r="AM61">
            <v>1</v>
          </cell>
          <cell r="AN61">
            <v>5</v>
          </cell>
          <cell r="AO61">
            <v>7</v>
          </cell>
          <cell r="AP61">
            <v>7</v>
          </cell>
          <cell r="AQ61">
            <v>6</v>
          </cell>
          <cell r="AR61">
            <v>6</v>
          </cell>
          <cell r="AS61">
            <v>3</v>
          </cell>
          <cell r="AT61">
            <v>7</v>
          </cell>
          <cell r="AU61">
            <v>8</v>
          </cell>
          <cell r="AV61">
            <v>8</v>
          </cell>
          <cell r="AW61">
            <v>7</v>
          </cell>
          <cell r="AX61">
            <v>2</v>
          </cell>
          <cell r="AY61">
            <v>5</v>
          </cell>
          <cell r="AZ61">
            <v>7</v>
          </cell>
          <cell r="BA61">
            <v>5</v>
          </cell>
          <cell r="BB61">
            <v>1</v>
          </cell>
          <cell r="BC61">
            <v>5</v>
          </cell>
          <cell r="BD61">
            <v>7</v>
          </cell>
          <cell r="BE61">
            <v>7</v>
          </cell>
          <cell r="BF61">
            <v>4</v>
          </cell>
          <cell r="BG61">
            <v>7</v>
          </cell>
          <cell r="BH61">
            <v>4</v>
          </cell>
          <cell r="BI61">
            <v>4</v>
          </cell>
          <cell r="BJ61">
            <v>5</v>
          </cell>
        </row>
        <row r="63">
          <cell r="A63" t="str">
            <v># Of Animals Over</v>
          </cell>
          <cell r="Y63">
            <v>6</v>
          </cell>
          <cell r="Z63">
            <v>4</v>
          </cell>
          <cell r="AA63">
            <v>9</v>
          </cell>
          <cell r="AB63">
            <v>7</v>
          </cell>
          <cell r="AG63">
            <v>1</v>
          </cell>
          <cell r="AI63">
            <v>5</v>
          </cell>
          <cell r="AJ63">
            <v>3</v>
          </cell>
          <cell r="AK63">
            <v>2</v>
          </cell>
          <cell r="AL63">
            <v>2</v>
          </cell>
          <cell r="AM63">
            <v>6</v>
          </cell>
          <cell r="AN63">
            <v>3</v>
          </cell>
          <cell r="AO63">
            <v>2</v>
          </cell>
          <cell r="AP63">
            <v>1</v>
          </cell>
          <cell r="AS63">
            <v>1</v>
          </cell>
          <cell r="AT63">
            <v>1</v>
          </cell>
          <cell r="AV63">
            <v>2</v>
          </cell>
          <cell r="AW63">
            <v>5</v>
          </cell>
          <cell r="AX63">
            <v>8</v>
          </cell>
          <cell r="AY63">
            <v>3</v>
          </cell>
          <cell r="AZ63">
            <v>2</v>
          </cell>
          <cell r="BA63">
            <v>1</v>
          </cell>
          <cell r="BC63">
            <v>1</v>
          </cell>
          <cell r="BE63">
            <v>1</v>
          </cell>
          <cell r="BF63">
            <v>2</v>
          </cell>
          <cell r="BG63">
            <v>1</v>
          </cell>
          <cell r="BH63">
            <v>8</v>
          </cell>
          <cell r="BI63">
            <v>6</v>
          </cell>
        </row>
        <row r="99">
          <cell r="A99" t="str">
            <v># Of Animals Under</v>
          </cell>
          <cell r="Y99">
            <v>3</v>
          </cell>
          <cell r="Z99">
            <v>3</v>
          </cell>
          <cell r="AG99">
            <v>4</v>
          </cell>
          <cell r="AK99">
            <v>2</v>
          </cell>
          <cell r="AN99">
            <v>1</v>
          </cell>
          <cell r="AQ99">
            <v>2</v>
          </cell>
          <cell r="AS99">
            <v>3</v>
          </cell>
          <cell r="AT99">
            <v>1</v>
          </cell>
          <cell r="AU99">
            <v>1</v>
          </cell>
          <cell r="AW99">
            <v>3</v>
          </cell>
          <cell r="AX99">
            <v>1</v>
          </cell>
          <cell r="BB99">
            <v>2</v>
          </cell>
          <cell r="BC99">
            <v>2</v>
          </cell>
          <cell r="BD99">
            <v>4</v>
          </cell>
          <cell r="BF99">
            <v>1</v>
          </cell>
          <cell r="BH99">
            <v>2</v>
          </cell>
          <cell r="BJ99">
            <v>1</v>
          </cell>
        </row>
        <row r="101">
          <cell r="A101" t="str">
            <v># Of Animals In</v>
          </cell>
          <cell r="Y101">
            <v>2</v>
          </cell>
          <cell r="Z101">
            <v>3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2</v>
          </cell>
          <cell r="AG101">
            <v>3</v>
          </cell>
          <cell r="AH101">
            <v>2</v>
          </cell>
          <cell r="AI101">
            <v>4</v>
          </cell>
          <cell r="AJ101">
            <v>9</v>
          </cell>
          <cell r="AL101">
            <v>1</v>
          </cell>
          <cell r="AM101">
            <v>7</v>
          </cell>
          <cell r="AO101">
            <v>1</v>
          </cell>
          <cell r="AP101">
            <v>3</v>
          </cell>
          <cell r="AQ101">
            <v>2</v>
          </cell>
          <cell r="AR101">
            <v>3</v>
          </cell>
          <cell r="AS101">
            <v>8</v>
          </cell>
          <cell r="AT101">
            <v>8</v>
          </cell>
          <cell r="AU101">
            <v>8</v>
          </cell>
          <cell r="AV101">
            <v>8</v>
          </cell>
          <cell r="AW101">
            <v>8</v>
          </cell>
          <cell r="AX101">
            <v>9</v>
          </cell>
          <cell r="AY101">
            <v>5</v>
          </cell>
          <cell r="AZ101">
            <v>11</v>
          </cell>
          <cell r="BA101">
            <v>10</v>
          </cell>
          <cell r="BB101">
            <v>9</v>
          </cell>
          <cell r="BC101">
            <v>6</v>
          </cell>
          <cell r="BD101">
            <v>7</v>
          </cell>
          <cell r="BE101">
            <v>8</v>
          </cell>
          <cell r="BF101">
            <v>11</v>
          </cell>
          <cell r="BG101">
            <v>12</v>
          </cell>
          <cell r="BH101">
            <v>9</v>
          </cell>
          <cell r="BI101">
            <v>7</v>
          </cell>
          <cell r="BJ101">
            <v>11</v>
          </cell>
        </row>
        <row r="103">
          <cell r="A103" t="str">
            <v># Of Animals Over</v>
          </cell>
          <cell r="Y103">
            <v>2</v>
          </cell>
          <cell r="Z103">
            <v>4</v>
          </cell>
          <cell r="AA103">
            <v>10</v>
          </cell>
          <cell r="AB103">
            <v>9</v>
          </cell>
          <cell r="AC103">
            <v>9</v>
          </cell>
          <cell r="AD103">
            <v>9</v>
          </cell>
          <cell r="AE103">
            <v>11</v>
          </cell>
          <cell r="AF103">
            <v>8</v>
          </cell>
          <cell r="AG103">
            <v>5</v>
          </cell>
          <cell r="AH103">
            <v>9</v>
          </cell>
          <cell r="AI103">
            <v>7</v>
          </cell>
          <cell r="AK103">
            <v>11</v>
          </cell>
          <cell r="AL103">
            <v>9</v>
          </cell>
          <cell r="AM103">
            <v>4</v>
          </cell>
          <cell r="AN103">
            <v>11</v>
          </cell>
          <cell r="AO103">
            <v>7</v>
          </cell>
          <cell r="AP103">
            <v>7</v>
          </cell>
          <cell r="AQ103">
            <v>8</v>
          </cell>
          <cell r="AR103">
            <v>8</v>
          </cell>
          <cell r="AT103">
            <v>1</v>
          </cell>
          <cell r="AV103">
            <v>1</v>
          </cell>
          <cell r="AW103">
            <v>1</v>
          </cell>
          <cell r="AX103">
            <v>2</v>
          </cell>
          <cell r="AY103">
            <v>4</v>
          </cell>
          <cell r="BA103">
            <v>1</v>
          </cell>
          <cell r="BC103">
            <v>2</v>
          </cell>
          <cell r="BD103">
            <v>1</v>
          </cell>
          <cell r="BE103">
            <v>2</v>
          </cell>
          <cell r="BH103">
            <v>1</v>
          </cell>
          <cell r="BI103">
            <v>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w July 2026"/>
      <sheetName val="Gilt July 2026"/>
      <sheetName val="Calibration"/>
      <sheetName val="Sheet1"/>
    </sheetNames>
    <sheetDataSet>
      <sheetData sheetId="0"/>
      <sheetData sheetId="1"/>
      <sheetData sheetId="2">
        <row r="7">
          <cell r="J7">
            <v>1.125</v>
          </cell>
        </row>
        <row r="8">
          <cell r="C8">
            <v>1.25</v>
          </cell>
          <cell r="J8">
            <v>1.25</v>
          </cell>
        </row>
        <row r="9">
          <cell r="C9">
            <v>1.35</v>
          </cell>
          <cell r="J9">
            <v>1.35</v>
          </cell>
        </row>
        <row r="10">
          <cell r="C10">
            <v>1.5</v>
          </cell>
          <cell r="J10">
            <v>1.6</v>
          </cell>
        </row>
        <row r="11">
          <cell r="C11">
            <v>1.7</v>
          </cell>
        </row>
        <row r="12">
          <cell r="C12">
            <v>1.9</v>
          </cell>
        </row>
        <row r="13">
          <cell r="C13">
            <v>2</v>
          </cell>
        </row>
        <row r="14">
          <cell r="C14">
            <v>2.2000000000000002</v>
          </cell>
        </row>
        <row r="15">
          <cell r="C15">
            <v>2.2999999999999998</v>
          </cell>
        </row>
        <row r="16">
          <cell r="C16">
            <v>2.5</v>
          </cell>
        </row>
        <row r="17">
          <cell r="C17">
            <v>2.7</v>
          </cell>
        </row>
        <row r="18">
          <cell r="C18">
            <v>2.9</v>
          </cell>
        </row>
        <row r="19">
          <cell r="C19">
            <v>3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 franca" id="{5C728A12-228C-45C5-866C-EBAE5CE1DCCB}" userId="0c3f32d1379e7544" providerId="Windows Live"/>
  <person displayName="Johan Odendaal" id="{96DB4F4D-DEE8-4A29-92F0-851276145DD3}" userId="S::johan@grasmere.co.zw::ac39a918-291c-46e8-a600-fc4196287077" providerId="AD"/>
  <person displayName="Jimmyson Kazangarare" id="{20878126-D6C6-47CF-89AD-B3A63D79E79F}" userId="S::Jimmyson@grasmere.co.zw::c5cb7563-8501-40f5-9ddf-79bf36741f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4" dT="2026-08-25T14:43:32.68" personId="{96DB4F4D-DEE8-4A29-92F0-851276145DD3}" id="{FA84511C-FBBA-425D-B169-2B87D929A6BF}">
    <text xml:space="preserve">See sheet - Gilt variation charts as an example of how we capture variation as well as NOP in each </text>
  </threadedComment>
  <threadedComment ref="AI24" dT="2026-09-04T06:53:36.48" personId="{96DB4F4D-DEE8-4A29-92F0-851276145DD3}" id="{3AE8BCF0-9549-4629-A25A-95A7DDBD9414}">
    <text>We would like to start recording heats starting at 21 weeks of the gilts age so this needs to be a selection option available from time that the gilt is processed at 10 weeks</text>
  </threadedComment>
  <threadedComment ref="AI35" dT="2026-09-03T13:53:24.96" personId="{96DB4F4D-DEE8-4A29-92F0-851276145DD3}" id="{6C919AC2-D6F6-42AA-AD32-86261C6C35A8}">
    <text>We need to know how many animals did not come on heat by 28 weeks</text>
  </threadedComment>
  <threadedComment ref="AD45" dT="2026-08-28T13:35:04.78" personId="{96DB4F4D-DEE8-4A29-92F0-851276145DD3}" id="{D86A17BE-2566-41D5-B15A-355C894C0C27}">
    <text>Add the range</text>
  </threadedComment>
  <threadedComment ref="H55" dT="2026-09-03T13:59:11.25" personId="{96DB4F4D-DEE8-4A29-92F0-851276145DD3}" id="{6F069DB3-9EDF-4058-BB1E-E67D87F8CBB8}">
    <text>Alert to cull if gilt is 35 weeks or older still in service line or still in gilt rearing</text>
  </threadedComment>
  <threadedComment ref="X88" dT="2026-09-03T14:28:28.15" personId="{96DB4F4D-DEE8-4A29-92F0-851276145DD3}" id="{EF2929D6-A0D6-468E-831E-39FF571539D8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X88" dT="2026-09-03T14:29:47.87" personId="{96DB4F4D-DEE8-4A29-92F0-851276145DD3}" id="{D13469B2-4EB1-4675-8015-10432D694D66}" parentId="{EF2929D6-A0D6-468E-831E-39FF571539D8}">
    <text>NB: Codes need to be the same as the pig vision mortality codes</text>
  </threadedComment>
  <threadedComment ref="AA88" dT="2026-09-03T14:31:07.64" personId="{96DB4F4D-DEE8-4A29-92F0-851276145DD3}" id="{9507AFAB-D7ED-46CB-AE5C-FAB3AFF8EAFA}">
    <text xml:space="preserve">We need a field to measure current gilt farrow rates per batch and the reasons for any losses
</text>
  </threadedComment>
  <threadedComment ref="AD88" dT="2026-09-03T14:33:37.56" personId="{96DB4F4D-DEE8-4A29-92F0-851276145DD3}" id="{81115E5E-932E-4868-8558-60F5BDCD67A4}">
    <text>We need to know the % of animals going into the farrowing house within these target ranges and what the variation of this looks like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5" dT="2026-09-03T14:35:35.51" personId="{96DB4F4D-DEE8-4A29-92F0-851276145DD3}" id="{C4273B91-7895-4F44-B9D0-9B8895543184}">
    <text>We need to know the # of animals gaining the weight within this range and the variation of this - of those not gaining the specified range we need to now what this is whether higher or lower</text>
  </threadedComment>
  <threadedComment ref="AA137" dT="2026-09-04T05:45:43.16" personId="{96DB4F4D-DEE8-4A29-92F0-851276145DD3}" id="{64F9C030-3969-4BC6-B9EC-0C0DF71CE148}">
    <text>TB of the gilts that farrowed - to be analyzed independently of other sows that farrowed</text>
  </threadedComment>
  <threadedComment ref="AB137" dT="2026-09-04T05:46:40.91" personId="{96DB4F4D-DEE8-4A29-92F0-851276145DD3}" id="{39FB1CF9-E1FC-4555-84DB-05BF5214E4A0}">
    <text>BA of the gilts to be analysed indepentantly of the other sows - both TB and BA to have drop down so as to just choose the number of TB, BA. BD and mummy</text>
  </threadedComment>
  <threadedComment ref="AC137" dT="2026-09-04T05:47:51.80" personId="{96DB4F4D-DEE8-4A29-92F0-851276145DD3}" id="{06F76ED0-EEB6-4E8B-9F94-50013BF641A8}">
    <text>To be measured as both a % of born dead as well as an avg # against all gilts that farrowed</text>
  </threadedComment>
  <threadedComment ref="AC137" dT="2026-09-04T05:49:09.26" personId="{96DB4F4D-DEE8-4A29-92F0-851276145DD3}" id="{16F34E2B-72B4-42AA-8641-0CC9DB935A08}" parentId="{06F76ED0-EEB6-4E8B-9F94-50013BF641A8}">
    <text xml:space="preserve">BD to also be split into 2 separate fields - Born deads are identified as piglets that were alive when the sow started farrowing and died during the farrowing process. Mummies are piglets that died sometime during pregnancy. </text>
  </threadedComment>
  <threadedComment ref="AE137" dT="2026-09-04T05:49:43.48" personId="{96DB4F4D-DEE8-4A29-92F0-851276145DD3}" id="{E140E2B9-91BB-4DEF-A5DD-FF5BBCB4A55C}">
    <text>Avg birth weight of piglets born from gilts - will not always be measured but sometimes we require this so we need an option</text>
  </threadedComment>
  <threadedComment ref="AE137" dT="2026-09-04T07:05:06.05" personId="{96DB4F4D-DEE8-4A29-92F0-851276145DD3}" id="{07601A96-CB97-4662-B054-22976BF05774}" parentId="{E140E2B9-91BB-4DEF-A5DD-FF5BBCB4A55C}">
    <text xml:space="preserve">Target birth weight is 1.3kgs </text>
  </threadedComment>
  <threadedComment ref="AG137" dT="2026-09-04T05:51:42.10" personId="{96DB4F4D-DEE8-4A29-92F0-851276145DD3}" id="{5BEF8D7B-E643-4FE0-B6D8-F5F78791BDA8}">
    <text>This is the weight of the gilt after she has farrowed. The formula is - weight into farrowing less Total Born x 1.3 - 8.9 - this maternal body weight is needed when we calculate her maternal body weight loss as a % when she weans</text>
  </threadedComment>
  <threadedComment ref="AL137" dT="2026-09-04T05:38:42.84" personId="{96DB4F4D-DEE8-4A29-92F0-851276145DD3}" id="{B86199BA-0528-4AFE-95F0-2F0FC1E29D3C}">
    <text>Not to be confused with piglet mortality under the sow. This is the gilt mortality - if more than 2 gilt mortality's recorded in a batch there needs to be an alert. Mortality codes to link with pig expert, also drop down for reasons needed for independent analysis</text>
  </threadedComment>
  <threadedComment ref="AN137" dT="2026-09-04T06:00:52.24" personId="{96DB4F4D-DEE8-4A29-92F0-851276145DD3}" id="{C81A3BB2-2336-4611-83A6-87A6F5BFBCE5}">
    <text>See sheet farrowing treatment - include piglet treatments</text>
  </threadedComment>
  <threadedComment ref="AA189" dT="2026-09-04T05:45:43.16" personId="{96DB4F4D-DEE8-4A29-92F0-851276145DD3}" id="{606A286D-A9E2-403A-95E7-293B86E28419}">
    <text>TB of the gilts that farrowed - to be analyzed independently of other sows that farrowed</text>
  </threadedComment>
  <threadedComment ref="AB189" dT="2026-09-04T05:46:40.91" personId="{96DB4F4D-DEE8-4A29-92F0-851276145DD3}" id="{3F059158-10F1-41AD-82AF-0698512E7A63}">
    <text>BA of the gilts to be analysed indepentantly of the other sows - both TB and BA to have drop down so as to just choose the number of TB, BA. BD and mummy</text>
  </threadedComment>
  <threadedComment ref="AC189" dT="2026-09-04T05:47:51.80" personId="{96DB4F4D-DEE8-4A29-92F0-851276145DD3}" id="{923847B4-D5E2-4BFE-B720-9369FE2F1693}">
    <text>To be measured as both a % of born dead as well as an avg # against all gilts that farrowed</text>
  </threadedComment>
  <threadedComment ref="AC189" dT="2026-09-04T05:49:09.26" personId="{96DB4F4D-DEE8-4A29-92F0-851276145DD3}" id="{D2B1F278-2AF9-4225-9CD3-94DA8E72DE63}" parentId="{923847B4-D5E2-4BFE-B720-9369FE2F1693}">
    <text xml:space="preserve">BD to also be split into 2 separate fields - Born deads are identified as piglets that were alive when the sow started farrowing and died during the farrowing process. Mummies are piglets that died sometime during pregnancy. </text>
  </threadedComment>
  <threadedComment ref="AE189" dT="2026-09-04T05:49:43.48" personId="{96DB4F4D-DEE8-4A29-92F0-851276145DD3}" id="{EC604780-89AE-4D4F-8780-5EFC57C59D53}">
    <text>Avg birth weight of piglets born from gilts - will not always be measured but sometimes we require this so we need an option</text>
  </threadedComment>
  <threadedComment ref="AE189" dT="2026-09-04T07:05:06.05" personId="{96DB4F4D-DEE8-4A29-92F0-851276145DD3}" id="{FC209D59-0155-4B8D-B84A-51D493CBDA69}" parentId="{EC604780-89AE-4D4F-8780-5EFC57C59D53}">
    <text xml:space="preserve">Target birth weight is 1.3kgs </text>
  </threadedComment>
  <threadedComment ref="AG189" dT="2026-09-04T05:51:42.10" personId="{96DB4F4D-DEE8-4A29-92F0-851276145DD3}" id="{79BB0177-2012-47AD-96AF-6D6CB94093B5}">
    <text>This is the weight of the gilt after she has farrowed. The formula is - weight into farrowing less Total Born x 1.3 - 8.9 - this maternal body weight is needed when we calculate her maternal body weight loss as a % when she weans</text>
  </threadedComment>
  <threadedComment ref="AL189" dT="2026-09-04T05:38:42.84" personId="{96DB4F4D-DEE8-4A29-92F0-851276145DD3}" id="{B0CC2AF1-7815-439B-8315-35E63C165527}">
    <text>Not to be confused with piglet mortality under the sow. This is the gilt mortality - if more than 2 gilt mortality's recorded in a batch there needs to be an alert. Mortality codes to link with pig expert, also drop down for reasons needed for independent analysis</text>
  </threadedComment>
  <threadedComment ref="AN189" dT="2026-09-04T06:00:52.24" personId="{96DB4F4D-DEE8-4A29-92F0-851276145DD3}" id="{BE145241-13D4-422B-9328-645C21A713CE}">
    <text>See sheet farrowing treatment - include piglet treatments</text>
  </threadedComment>
  <threadedComment ref="G241" dT="2026-09-04T12:07:34.22" personId="{96DB4F4D-DEE8-4A29-92F0-851276145DD3}" id="{5D17582C-8B6C-4EB9-8D24-D8CDDA512A93}">
    <text xml:space="preserve">Only relevant for one day - the day of weaning </text>
  </threadedComment>
  <threadedComment ref="X241" dT="2026-09-08T08:18:28.74" personId="{20878126-D6C6-47CF-89AD-B3A63D79E79F}" id="{B67711A9-36C8-46A6-A58E-B9A64DA3063D}">
    <text xml:space="preserve">We need to see the individual animal weight loss variation </text>
  </threadedComment>
  <threadedComment ref="AI241" dT="2026-09-04T12:00:14.04" personId="{96DB4F4D-DEE8-4A29-92F0-851276145DD3}" id="{005E2E9B-0D43-414C-8D2D-01D87B2AB155}">
    <text xml:space="preserve">Gilts should have piglets fostered on to always wean as many piglets as there are teats, even if the BA is lower than the teat #
</text>
  </threadedComment>
  <threadedComment ref="H345" dT="2026-09-04T06:25:15.74" personId="{96DB4F4D-DEE8-4A29-92F0-851276145DD3}" id="{8F8E6FE4-2C2A-44FE-A5AD-03D3ACC6B5A7}">
    <text>After the Wednesday an animal will now be considered a stand over</text>
  </threadedComment>
  <threadedComment ref="S345" dT="2026-09-04T12:14:21.19" personId="{96DB4F4D-DEE8-4A29-92F0-851276145DD3}" id="{63C9090C-533C-415E-A278-F7B6EB60CD61}">
    <text>This is the wean weight from farrowing</text>
  </threadedComment>
  <threadedComment ref="U357" dT="2026-09-04T12:37:15.35" personId="{96DB4F4D-DEE8-4A29-92F0-851276145DD3}" id="{A53A854F-9F95-40D4-BCA0-C4D306A60BFC}">
    <text xml:space="preserve">Gain for the phase more important than ADG </text>
  </threadedComment>
  <threadedComment ref="AL357" dT="2026-09-03T14:28:28.15" personId="{96DB4F4D-DEE8-4A29-92F0-851276145DD3}" id="{4FFBF33D-C276-4736-811A-107303E3417B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357" dT="2026-09-03T14:29:47.87" personId="{96DB4F4D-DEE8-4A29-92F0-851276145DD3}" id="{F3FE2A97-5DB1-413D-A7E5-1BE166FA31A0}" parentId="{4FFBF33D-C276-4736-811A-107303E3417B}">
    <text>NB: Codes need to be the same as the pig vision mortality codes</text>
  </threadedComment>
  <threadedComment ref="AA373" dT="2026-09-05T12:28:27.25" personId="{5C728A12-228C-45C5-866C-EBAE5CE1DCCB}" id="{1DFBA65A-43E8-477A-A1A8-96739C19572C}">
    <text xml:space="preserve">Alert if less than 90%
</text>
  </threadedComment>
  <threadedComment ref="AE433" dT="2026-09-04T05:49:43.48" personId="{96DB4F4D-DEE8-4A29-92F0-851276145DD3}" id="{12DFA771-046F-4EE2-AD05-AC5332A2952C}">
    <text>Avg birth weight of piglets born from gilts - will not always be measured but sometimes we require this so we need an option</text>
  </threadedComment>
  <threadedComment ref="AE433" dT="2026-09-04T07:05:06.05" personId="{96DB4F4D-DEE8-4A29-92F0-851276145DD3}" id="{C8972550-FA7C-4B03-BB89-BAB7FE73319D}" parentId="{12DFA771-046F-4EE2-AD05-AC5332A2952C}">
    <text xml:space="preserve">Target birth weight is 1.3kgs </text>
  </threadedComment>
  <threadedComment ref="AG433" dT="2026-09-04T05:45:43.16" personId="{96DB4F4D-DEE8-4A29-92F0-851276145DD3}" id="{A93D4963-0A48-4BB3-B33A-384B314BD3EC}">
    <text>TB of the 2nds that farrowed - to be analyzed independently of other sows that farrowed</text>
  </threadedComment>
  <threadedComment ref="AN433" dT="2026-09-04T05:53:47.88" personId="{96DB4F4D-DEE8-4A29-92F0-851276145DD3}" id="{6EB69285-27B1-4B5C-AE8F-5E91AD47DCD1}">
    <text>This is the avg wean weight of the piglets - this is not always captured per individual animal but it is always captured for the whole herd - however we need the option to capture it individually for us to be able to analyse when we choose</text>
  </threadedComment>
  <threadedComment ref="AO433" dT="2026-09-04T05:55:08.94" personId="{96DB4F4D-DEE8-4A29-92F0-851276145DD3}" id="{3FD77B1C-59F9-4349-BE3F-C74B84D4B39F}">
    <text>This is the total litter mass per gilt - weaned per sow x avg wean weight -we always capture this for the whole herd and not always as per individual animal however we need the option</text>
  </threadedComment>
  <threadedComment ref="H537" dT="2026-09-04T06:25:15.74" personId="{96DB4F4D-DEE8-4A29-92F0-851276145DD3}" id="{A9A8D83D-4887-4DE6-ABE7-72B49FFDC04C}">
    <text>After the Wednesday an animal will now be considered a stand over</text>
  </threadedComment>
  <threadedComment ref="H537" dT="2026-09-04T13:46:30.01" personId="{96DB4F4D-DEE8-4A29-92F0-851276145DD3}" id="{A6FCA114-B942-4097-902F-FFA20FC1460A}" parentId="{A9A8D83D-4887-4DE6-ABE7-72B49FFDC04C}">
    <text>We need a cull indicator on 3rd parity plus</text>
  </threadedComment>
  <threadedComment ref="AL537" dT="2026-09-03T14:28:28.15" personId="{96DB4F4D-DEE8-4A29-92F0-851276145DD3}" id="{5C5B2C61-C3C0-4C0D-9551-E804B1F0823F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537" dT="2026-09-03T14:29:47.87" personId="{96DB4F4D-DEE8-4A29-92F0-851276145DD3}" id="{BEA27A9F-0E9F-4ADE-A496-E0322F6C4022}" parentId="{5C5B2C61-C3C0-4C0D-9551-E804B1F0823F}">
    <text>NB: Codes need to be the same as the pig vision mortality codes</text>
  </threadedComment>
  <threadedComment ref="AL560" dT="2026-09-03T14:28:28.15" personId="{96DB4F4D-DEE8-4A29-92F0-851276145DD3}" id="{99F84665-992A-4747-85A7-CCEA795603E1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560" dT="2026-09-03T14:29:47.87" personId="{96DB4F4D-DEE8-4A29-92F0-851276145DD3}" id="{9D60FE87-659B-4372-9986-0D5C4620F40D}" parentId="{99F84665-992A-4747-85A7-CCEA795603E1}">
    <text>NB: Codes need to be the same as the pig vision mortality codes</text>
  </threadedComment>
  <threadedComment ref="AL566" dT="2026-09-03T14:28:28.15" personId="{96DB4F4D-DEE8-4A29-92F0-851276145DD3}" id="{2C918893-C9FE-425F-853D-233ABACD8BF2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566" dT="2026-09-03T14:29:47.87" personId="{96DB4F4D-DEE8-4A29-92F0-851276145DD3}" id="{437425DD-D6F7-47AB-B7EA-6DFA557E334A}" parentId="{2C918893-C9FE-425F-853D-233ABACD8BF2}">
    <text>NB: Codes need to be the same as the pig vision mortality codes</text>
  </threadedComment>
  <threadedComment ref="AL572" dT="2026-09-03T14:28:28.15" personId="{96DB4F4D-DEE8-4A29-92F0-851276145DD3}" id="{774260C4-5BA8-4F39-9398-092995B46110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572" dT="2026-09-03T14:29:47.87" personId="{96DB4F4D-DEE8-4A29-92F0-851276145DD3}" id="{AC4F5C1A-4E9A-44CA-83BE-6C44A30557BE}" parentId="{774260C4-5BA8-4F39-9398-092995B46110}">
    <text>NB: Codes need to be the same as the pig vision mortality codes</text>
  </threadedComment>
  <threadedComment ref="AL578" dT="2026-09-03T14:28:28.15" personId="{96DB4F4D-DEE8-4A29-92F0-851276145DD3}" id="{87362BF1-145A-4362-B6A5-0AF0F98559AB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578" dT="2026-09-03T14:29:47.87" personId="{96DB4F4D-DEE8-4A29-92F0-851276145DD3}" id="{E7A00BDD-1882-4125-9380-A3C3B3506419}" parentId="{87362BF1-145A-4362-B6A5-0AF0F98559AB}">
    <text>NB: Codes need to be the same as the pig vision mortality codes</text>
  </threadedComment>
  <threadedComment ref="AL597" dT="2026-09-03T14:28:28.15" personId="{96DB4F4D-DEE8-4A29-92F0-851276145DD3}" id="{531A2190-48E7-4021-A15A-9F32EF057CD5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597" dT="2026-09-03T14:29:47.87" personId="{96DB4F4D-DEE8-4A29-92F0-851276145DD3}" id="{A3F86EEF-DBB3-47CC-B4CE-8DCBFCAFFFE6}" parentId="{531A2190-48E7-4021-A15A-9F32EF057CD5}">
    <text>NB: Codes need to be the same as the pig vision mortality codes</text>
  </threadedComment>
  <threadedComment ref="AL607" dT="2026-09-03T14:28:28.15" personId="{96DB4F4D-DEE8-4A29-92F0-851276145DD3}" id="{FC8326DC-12BA-482B-B206-47A40A35ADF1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607" dT="2026-09-03T14:29:47.87" personId="{96DB4F4D-DEE8-4A29-92F0-851276145DD3}" id="{D77395BE-A30C-472F-9847-40744EE600EA}" parentId="{FC8326DC-12BA-482B-B206-47A40A35ADF1}">
    <text>NB: Codes need to be the same as the pig vision mortality codes</text>
  </threadedComment>
  <threadedComment ref="AL622" dT="2026-09-03T14:28:28.15" personId="{96DB4F4D-DEE8-4A29-92F0-851276145DD3}" id="{0E19D2EB-0F5C-4CDB-A007-CEAEFEDE7802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622" dT="2026-09-03T14:29:47.87" personId="{96DB4F4D-DEE8-4A29-92F0-851276145DD3}" id="{2F0EEF56-C8B6-4DA9-9B29-A129F39C7915}" parentId="{0E19D2EB-0F5C-4CDB-A007-CEAEFEDE7802}">
    <text>NB: Codes need to be the same as the pig vision mortality codes</text>
  </threadedComment>
  <threadedComment ref="AL630" dT="2026-09-03T14:28:28.15" personId="{96DB4F4D-DEE8-4A29-92F0-851276145DD3}" id="{45BDA2F9-4E3E-4271-B4B0-D7196A82E142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630" dT="2026-09-03T14:29:47.87" personId="{96DB4F4D-DEE8-4A29-92F0-851276145DD3}" id="{571822C4-D827-43E6-8796-6D0ADEF65515}" parentId="{45BDA2F9-4E3E-4271-B4B0-D7196A82E142}">
    <text>NB: Codes need to be the same as the pig vision mortality codes</text>
  </threadedComment>
  <threadedComment ref="AL636" dT="2026-09-03T14:28:28.15" personId="{96DB4F4D-DEE8-4A29-92F0-851276145DD3}" id="{87102B14-507E-482B-8EB2-C945322AD96E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636" dT="2026-09-03T14:29:47.87" personId="{96DB4F4D-DEE8-4A29-92F0-851276145DD3}" id="{7C645D02-DC6F-411E-AD63-5BADE4596E27}" parentId="{87102B14-507E-482B-8EB2-C945322AD96E}">
    <text>NB: Codes need to be the same as the pig vision mortality codes</text>
  </threadedComment>
  <threadedComment ref="AL688" dT="2026-09-03T14:28:28.15" personId="{96DB4F4D-DEE8-4A29-92F0-851276145DD3}" id="{6945E3CF-804E-4447-BFA9-F8D2EB4615B5}">
    <text xml:space="preserve">Need a drop down of reasons for mortality - not to be confused with farrow rates which will include loss from mortality as well as other reasons such as returns - but we need to be able to analyse mortality separately a- we also need an alert if we lose 5 or more pregnant gilts in a single week throughout all combined batches
</text>
  </threadedComment>
  <threadedComment ref="AL688" dT="2026-09-03T14:29:47.87" personId="{96DB4F4D-DEE8-4A29-92F0-851276145DD3}" id="{0DB5DB6B-83CD-4B32-93D8-EB21F40F3292}" parentId="{6945E3CF-804E-4447-BFA9-F8D2EB4615B5}">
    <text>NB: Codes need to be the same as the pig vision mortality codes</text>
  </threadedComment>
  <threadedComment ref="G744" dT="2026-09-04T12:07:34.22" personId="{96DB4F4D-DEE8-4A29-92F0-851276145DD3}" id="{A777C0CA-D511-4E85-9536-F612E1DAEB1A}">
    <text xml:space="preserve">Only relevant for one day - the day of weaning </text>
  </threadedComment>
  <threadedComment ref="G745" dT="2026-09-04T12:07:34.22" personId="{96DB4F4D-DEE8-4A29-92F0-851276145DD3}" id="{CCB4D7D7-2FEC-4315-ACC2-2335D068A79A}">
    <text xml:space="preserve">Only relevant for one day - the day of weaning </text>
  </threadedComment>
  <threadedComment ref="G746" dT="2026-09-04T12:07:34.22" personId="{96DB4F4D-DEE8-4A29-92F0-851276145DD3}" id="{8232B86D-2EC6-4C46-815B-D1E614F888D8}">
    <text xml:space="preserve">Only relevant for one day - the day of weaning </text>
  </threadedComment>
  <threadedComment ref="G747" dT="2026-09-04T12:07:34.22" personId="{96DB4F4D-DEE8-4A29-92F0-851276145DD3}" id="{ED8CA395-34EC-4D89-9FD9-C85E3995194C}">
    <text xml:space="preserve">Only relevant for one day - the day of weaning </text>
  </threadedComment>
  <threadedComment ref="G748" dT="2026-09-04T12:07:34.22" personId="{96DB4F4D-DEE8-4A29-92F0-851276145DD3}" id="{63542C5F-795F-410B-B35B-F53B5C605791}">
    <text xml:space="preserve">Only relevant for one day - the day of weaning </text>
  </threadedComment>
  <threadedComment ref="G749" dT="2026-09-04T12:07:34.22" personId="{96DB4F4D-DEE8-4A29-92F0-851276145DD3}" id="{1C3AAEF1-0ACB-41AB-B25D-EED7374E4388}">
    <text xml:space="preserve">Only relevant for one day - the day of weaning </text>
  </threadedComment>
  <threadedComment ref="G750" dT="2026-09-04T12:07:34.22" personId="{96DB4F4D-DEE8-4A29-92F0-851276145DD3}" id="{8F9938EA-4BFD-4805-8CC9-4C8EFB793BEB}">
    <text xml:space="preserve">Only relevant for one day - the day of weaning </text>
  </threadedComment>
  <threadedComment ref="G751" dT="2026-09-04T12:07:34.22" personId="{96DB4F4D-DEE8-4A29-92F0-851276145DD3}" id="{70B0CBD9-57ED-4AD4-B91C-514A845FC806}">
    <text xml:space="preserve">Only relevant for one day - the day of weaning </text>
  </threadedComment>
  <threadedComment ref="G752" dT="2026-09-04T12:07:34.22" personId="{96DB4F4D-DEE8-4A29-92F0-851276145DD3}" id="{67BD744C-4474-4606-862C-7A2C5E54E6A1}">
    <text xml:space="preserve">Only relevant for one day - the day of weaning </text>
  </threadedComment>
  <threadedComment ref="G753" dT="2026-09-04T12:07:34.22" personId="{96DB4F4D-DEE8-4A29-92F0-851276145DD3}" id="{535EADBF-2990-4B78-A3B8-1B4745881FC5}">
    <text xml:space="preserve">Only relevant for one day - the day of weaning </text>
  </threadedComment>
  <threadedComment ref="G754" dT="2026-09-04T12:07:34.22" personId="{96DB4F4D-DEE8-4A29-92F0-851276145DD3}" id="{CC6CF770-20DD-4DAB-BAC4-861BDE19A103}">
    <text xml:space="preserve">Only relevant for one day - the day of weaning </text>
  </threadedComment>
  <threadedComment ref="G755" dT="2026-09-04T12:07:34.22" personId="{96DB4F4D-DEE8-4A29-92F0-851276145DD3}" id="{AA94ECB7-9772-476D-94DE-207213F8E82C}">
    <text xml:space="preserve">Only relevant for one day - the day of weaning </text>
  </threadedComment>
  <threadedComment ref="G756" dT="2026-09-04T12:07:34.22" personId="{96DB4F4D-DEE8-4A29-92F0-851276145DD3}" id="{EF5C0544-A2A1-4CFE-BBE4-EBDC04C2CDD6}">
    <text xml:space="preserve">Only relevant for one day - the day of weaning </text>
  </threadedComment>
  <threadedComment ref="G757" dT="2026-09-04T12:07:34.22" personId="{96DB4F4D-DEE8-4A29-92F0-851276145DD3}" id="{6A8739CC-D1C1-48A0-952C-2D55AA9E4E37}">
    <text xml:space="preserve">Only relevant for one day - the day of weaning </text>
  </threadedComment>
  <threadedComment ref="G758" dT="2026-09-04T12:07:34.22" personId="{96DB4F4D-DEE8-4A29-92F0-851276145DD3}" id="{C09D9842-26F4-4765-8E24-F4272DA7106E}">
    <text xml:space="preserve">Only relevant for one day - the day of weaning </text>
  </threadedComment>
  <threadedComment ref="G759" dT="2026-09-04T12:07:34.22" personId="{96DB4F4D-DEE8-4A29-92F0-851276145DD3}" id="{079A852B-56A9-44A9-BA61-BA8DD9CD0904}">
    <text xml:space="preserve">Only relevant for one day - the day of weaning </text>
  </threadedComment>
  <threadedComment ref="G760" dT="2026-09-04T12:07:34.22" personId="{96DB4F4D-DEE8-4A29-92F0-851276145DD3}" id="{F0407784-4D39-45BD-8113-E296165AE1E0}">
    <text xml:space="preserve">Only relevant for one day - the day of weaning </text>
  </threadedComment>
  <threadedComment ref="G761" dT="2026-09-04T12:07:34.22" personId="{96DB4F4D-DEE8-4A29-92F0-851276145DD3}" id="{AB2C6854-6541-4F0E-B870-E1D59474AA71}">
    <text xml:space="preserve">Only relevant for one day - the day of weaning </text>
  </threadedComment>
  <threadedComment ref="G762" dT="2026-09-04T12:07:34.22" personId="{96DB4F4D-DEE8-4A29-92F0-851276145DD3}" id="{46637996-0F3F-45F0-B28F-503655A05E13}">
    <text xml:space="preserve">Only relevant for one day - the day of weaning </text>
  </threadedComment>
  <threadedComment ref="G763" dT="2026-09-04T12:07:34.22" personId="{96DB4F4D-DEE8-4A29-92F0-851276145DD3}" id="{38F998E0-7AEE-4666-BC73-32DC766390EE}">
    <text xml:space="preserve">Only relevant for one day - the day of weaning </text>
  </threadedComment>
  <threadedComment ref="G764" dT="2026-09-04T12:07:34.22" personId="{96DB4F4D-DEE8-4A29-92F0-851276145DD3}" id="{B58113EB-949D-4188-ABEE-0AD7740B1CDB}">
    <text xml:space="preserve">Only relevant for one day - the day of weaning </text>
  </threadedComment>
  <threadedComment ref="G765" dT="2026-09-04T12:07:34.22" personId="{96DB4F4D-DEE8-4A29-92F0-851276145DD3}" id="{09E35320-488C-44D2-966D-12E8B88436C1}">
    <text xml:space="preserve">Only relevant for one day - the day of weaning </text>
  </threadedComment>
  <threadedComment ref="G766" dT="2026-09-04T12:07:34.22" personId="{96DB4F4D-DEE8-4A29-92F0-851276145DD3}" id="{77FBF8E4-C5CF-4BFD-8F10-14A5BCC341B2}">
    <text xml:space="preserve">Only relevant for one day - the day of weaning </text>
  </threadedComment>
  <threadedComment ref="G767" dT="2026-09-04T12:07:34.22" personId="{96DB4F4D-DEE8-4A29-92F0-851276145DD3}" id="{87BF816E-B0C4-404C-A2A4-A0D71AB4847C}">
    <text xml:space="preserve">Only relevant for one day - the day of weaning </text>
  </threadedComment>
  <threadedComment ref="G768" dT="2026-09-04T12:07:34.22" personId="{96DB4F4D-DEE8-4A29-92F0-851276145DD3}" id="{62FF06D2-8E7F-46FF-A237-6915ECD16C52}">
    <text xml:space="preserve">Only relevant for one day - the day of weaning </text>
  </threadedComment>
  <threadedComment ref="G769" dT="2026-09-04T12:07:34.22" personId="{96DB4F4D-DEE8-4A29-92F0-851276145DD3}" id="{73A1123C-8B3A-48B9-9D86-6189C32EB2FF}">
    <text xml:space="preserve">Only relevant for one day - the day of weaning </text>
  </threadedComment>
  <threadedComment ref="G770" dT="2026-09-04T12:07:34.22" personId="{96DB4F4D-DEE8-4A29-92F0-851276145DD3}" id="{62F15D04-42CC-4C52-A88E-29900FE69DFB}">
    <text xml:space="preserve">Only relevant for one day - the day of weaning </text>
  </threadedComment>
  <threadedComment ref="G771" dT="2026-09-04T12:07:34.22" personId="{96DB4F4D-DEE8-4A29-92F0-851276145DD3}" id="{B8B435EB-AE3B-4053-A88D-368E4DE370F9}">
    <text xml:space="preserve">Only relevant for one day - the day of weaning </text>
  </threadedComment>
  <threadedComment ref="G772" dT="2026-09-04T12:07:34.22" personId="{96DB4F4D-DEE8-4A29-92F0-851276145DD3}" id="{8B4D456E-E0FA-440B-9DC8-69099621180E}">
    <text xml:space="preserve">Only relevant for one day - the day of weaning </text>
  </threadedComment>
  <threadedComment ref="G773" dT="2026-09-04T12:07:34.22" personId="{96DB4F4D-DEE8-4A29-92F0-851276145DD3}" id="{05D497BE-C872-480F-9093-1C5D5552B685}">
    <text xml:space="preserve">Only relevant for one day - the day of weaning </text>
  </threadedComment>
  <threadedComment ref="G774" dT="2026-09-04T12:07:34.22" personId="{96DB4F4D-DEE8-4A29-92F0-851276145DD3}" id="{CA230716-E095-4645-B151-33876B6499DC}">
    <text xml:space="preserve">Only relevant for one day - the day of weaning </text>
  </threadedComment>
  <threadedComment ref="G775" dT="2026-09-04T12:07:34.22" personId="{96DB4F4D-DEE8-4A29-92F0-851276145DD3}" id="{D207038B-F155-4C1A-95EF-D0F35CAD23D0}">
    <text xml:space="preserve">Only relevant for one day - the day of weaning </text>
  </threadedComment>
  <threadedComment ref="G776" dT="2026-09-04T12:07:34.22" personId="{96DB4F4D-DEE8-4A29-92F0-851276145DD3}" id="{191D42CC-38CF-4C89-9E86-5D334F4FCAC0}">
    <text xml:space="preserve">Only relevant for one day - the day of weaning </text>
  </threadedComment>
  <threadedComment ref="G777" dT="2026-09-04T12:07:34.22" personId="{96DB4F4D-DEE8-4A29-92F0-851276145DD3}" id="{5F759137-0D49-4204-B60B-4543D07344AA}">
    <text xml:space="preserve">Only relevant for one day - the day of weaning </text>
  </threadedComment>
  <threadedComment ref="G778" dT="2026-09-04T12:07:34.22" personId="{96DB4F4D-DEE8-4A29-92F0-851276145DD3}" id="{AA4EC1ED-7795-4BE3-8E3D-9B46842F2E96}">
    <text xml:space="preserve">Only relevant for one day - the day of weaning </text>
  </threadedComment>
  <threadedComment ref="G779" dT="2026-09-04T12:07:34.22" personId="{96DB4F4D-DEE8-4A29-92F0-851276145DD3}" id="{F9D44C27-262D-48F2-A2D7-AC8246BE7368}">
    <text xml:space="preserve">Only relevant for one day - the day of weaning </text>
  </threadedComment>
  <threadedComment ref="G780" dT="2026-09-04T12:07:34.22" personId="{96DB4F4D-DEE8-4A29-92F0-851276145DD3}" id="{1299FBFC-7233-4927-96A8-56E6F606D10A}">
    <text xml:space="preserve">Only relevant for one day - the day of weaning </text>
  </threadedComment>
  <threadedComment ref="G781" dT="2026-09-04T12:07:34.22" personId="{96DB4F4D-DEE8-4A29-92F0-851276145DD3}" id="{56CDEF85-4030-495D-B5E9-338DAD4A2E6B}">
    <text xml:space="preserve">Only relevant for one day - the day of weaning </text>
  </threadedComment>
  <threadedComment ref="G782" dT="2026-09-04T12:07:34.22" personId="{96DB4F4D-DEE8-4A29-92F0-851276145DD3}" id="{64E2373F-B821-4EFF-A225-0F849E0C0001}">
    <text xml:space="preserve">Only relevant for one day - the day of weaning </text>
  </threadedComment>
  <threadedComment ref="G783" dT="2026-09-04T12:07:34.22" personId="{96DB4F4D-DEE8-4A29-92F0-851276145DD3}" id="{9A4F05B8-F278-460A-A2D2-AB79B86E6A86}">
    <text xml:space="preserve">Only relevant for one day - the day of weaning </text>
  </threadedComment>
  <threadedComment ref="G784" dT="2026-09-04T12:07:34.22" personId="{96DB4F4D-DEE8-4A29-92F0-851276145DD3}" id="{2E06C320-3C85-4EA7-AE22-CE2531386CF3}">
    <text xml:space="preserve">Only relevant for one day - the day of weaning </text>
  </threadedComment>
  <threadedComment ref="G785" dT="2026-09-04T12:07:34.22" personId="{96DB4F4D-DEE8-4A29-92F0-851276145DD3}" id="{84A85994-CE31-488B-9E70-3E0B209520AA}">
    <text xml:space="preserve">Only relevant for one day - the day of weaning </text>
  </threadedComment>
  <threadedComment ref="G786" dT="2026-09-04T12:07:34.22" personId="{96DB4F4D-DEE8-4A29-92F0-851276145DD3}" id="{DD9B9F68-ACED-4183-A8A8-093AF988538E}">
    <text xml:space="preserve">Only relevant for one day - the day of weaning </text>
  </threadedComment>
  <threadedComment ref="G787" dT="2026-09-04T12:07:34.22" personId="{96DB4F4D-DEE8-4A29-92F0-851276145DD3}" id="{962503FB-30A9-4ECF-B101-1069D9DC33EB}">
    <text xml:space="preserve">Only relevant for one day - the day of weaning </text>
  </threadedComment>
  <threadedComment ref="G788" dT="2026-09-04T12:07:34.22" personId="{96DB4F4D-DEE8-4A29-92F0-851276145DD3}" id="{04B3E54B-B826-4852-8046-2F637596C666}">
    <text xml:space="preserve">Only relevant for one day - the day of weaning </text>
  </threadedComment>
  <threadedComment ref="G789" dT="2026-09-04T12:07:34.22" personId="{96DB4F4D-DEE8-4A29-92F0-851276145DD3}" id="{4516B01D-6FCE-42CE-A7A3-3255EBE0E388}">
    <text xml:space="preserve">Only relevant for one day - the day of weaning </text>
  </threadedComment>
  <threadedComment ref="G790" dT="2026-09-04T12:07:34.22" personId="{96DB4F4D-DEE8-4A29-92F0-851276145DD3}" id="{000B3385-CAE7-4E3D-9C2E-190E2ED49FC4}">
    <text xml:space="preserve">Only relevant for one day - the day of weaning </text>
  </threadedComment>
  <threadedComment ref="G791" dT="2026-09-04T12:07:34.22" personId="{96DB4F4D-DEE8-4A29-92F0-851276145DD3}" id="{15F6CBF8-7789-4DED-B24D-FB1F6C83D5C6}">
    <text xml:space="preserve">Only relevant for one day - the day of weaning </text>
  </threadedComment>
  <threadedComment ref="G792" dT="2026-09-04T12:07:34.22" personId="{96DB4F4D-DEE8-4A29-92F0-851276145DD3}" id="{6437A285-B79A-4736-B537-A4E9EB63960A}">
    <text xml:space="preserve">Only relevant for one day - the day of weaning </text>
  </threadedComment>
  <threadedComment ref="G793" dT="2026-09-04T12:07:34.22" personId="{96DB4F4D-DEE8-4A29-92F0-851276145DD3}" id="{1F85B367-3516-478E-94BA-FB8C75F830B7}">
    <text xml:space="preserve">Only relevant for one day - the day of weaning </text>
  </threadedComment>
  <threadedComment ref="G796" dT="2026-09-04T12:07:34.22" personId="{96DB4F4D-DEE8-4A29-92F0-851276145DD3}" id="{0566339D-FF89-40AA-8C03-68E6C1BD1493}">
    <text xml:space="preserve">Only relevant for one day - the day of weaning </text>
  </threadedComment>
  <threadedComment ref="G797" dT="2026-09-04T12:07:34.22" personId="{96DB4F4D-DEE8-4A29-92F0-851276145DD3}" id="{D564A9DE-141E-4511-890D-020CCA318D7F}">
    <text xml:space="preserve">Only relevant for one day - the day of weaning </text>
  </threadedComment>
  <threadedComment ref="G798" dT="2026-09-04T12:07:34.22" personId="{96DB4F4D-DEE8-4A29-92F0-851276145DD3}" id="{4D140906-C0D6-42D2-B51D-BE28D7CB6B71}">
    <text xml:space="preserve">Only relevant for one day - the day of weaning </text>
  </threadedComment>
  <threadedComment ref="G799" dT="2026-09-04T12:07:34.22" personId="{96DB4F4D-DEE8-4A29-92F0-851276145DD3}" id="{2C8F07FB-623A-4FBA-B379-36B396B60BB6}">
    <text xml:space="preserve">Only relevant for one day - the day of weaning </text>
  </threadedComment>
  <threadedComment ref="G800" dT="2026-09-04T12:07:34.22" personId="{96DB4F4D-DEE8-4A29-92F0-851276145DD3}" id="{F3C1FF38-2571-4849-951E-BF351AD73B90}">
    <text xml:space="preserve">Only relevant for one day - the day of weaning </text>
  </threadedComment>
  <threadedComment ref="G801" dT="2026-09-04T12:07:34.22" personId="{96DB4F4D-DEE8-4A29-92F0-851276145DD3}" id="{950B1A28-42A0-4244-9E27-AF5727380624}">
    <text xml:space="preserve">Only relevant for one day - the day of weaning </text>
  </threadedComment>
  <threadedComment ref="G802" dT="2026-09-04T12:07:34.22" personId="{96DB4F4D-DEE8-4A29-92F0-851276145DD3}" id="{03E2D9E6-D3FB-4E81-9EDB-6787EA549F7F}">
    <text xml:space="preserve">Only relevant for one day - the day of weaning </text>
  </threadedComment>
  <threadedComment ref="G803" dT="2026-09-04T12:07:34.22" personId="{96DB4F4D-DEE8-4A29-92F0-851276145DD3}" id="{8ABA7D99-55EF-4BD1-8E98-3C4A9A1D5CDC}">
    <text xml:space="preserve">Only relevant for one day - the day of weaning </text>
  </threadedComment>
  <threadedComment ref="G804" dT="2026-09-04T12:07:34.22" personId="{96DB4F4D-DEE8-4A29-92F0-851276145DD3}" id="{E390C43A-EB5C-4397-AFAE-210CCC9F6CC9}">
    <text xml:space="preserve">Only relevant for one day - the day of weaning </text>
  </threadedComment>
  <threadedComment ref="G805" dT="2026-09-04T12:07:34.22" personId="{96DB4F4D-DEE8-4A29-92F0-851276145DD3}" id="{CD86CC50-3ED2-47D2-A4E4-0269AF4A5CA6}">
    <text xml:space="preserve">Only relevant for one day - the day of weaning </text>
  </threadedComment>
  <threadedComment ref="G806" dT="2026-09-04T12:07:34.22" personId="{96DB4F4D-DEE8-4A29-92F0-851276145DD3}" id="{33A2D794-114F-4B79-AE1B-5ED15F1EE14C}">
    <text xml:space="preserve">Only relevant for one day - the day of weaning </text>
  </threadedComment>
  <threadedComment ref="G807" dT="2026-09-04T12:07:34.22" personId="{96DB4F4D-DEE8-4A29-92F0-851276145DD3}" id="{DA959FBF-8503-4614-ABF5-854BB8E34DB2}">
    <text xml:space="preserve">Only relevant for one day - the day of weaning </text>
  </threadedComment>
  <threadedComment ref="G808" dT="2026-09-04T12:07:34.22" personId="{96DB4F4D-DEE8-4A29-92F0-851276145DD3}" id="{363552A7-4512-4282-8E7A-B471E1D83CDC}">
    <text xml:space="preserve">Only relevant for one day - the day of weaning </text>
  </threadedComment>
  <threadedComment ref="G809" dT="2026-09-04T12:07:34.22" personId="{96DB4F4D-DEE8-4A29-92F0-851276145DD3}" id="{C1BE349C-254F-4C02-82AF-2BC97BF9FA73}">
    <text xml:space="preserve">Only relevant for one day - the day of weaning </text>
  </threadedComment>
  <threadedComment ref="G810" dT="2026-09-04T12:07:34.22" personId="{96DB4F4D-DEE8-4A29-92F0-851276145DD3}" id="{00DC258B-C407-4BF3-8705-62E6095A3F4D}">
    <text xml:space="preserve">Only relevant for one day - the day of weaning </text>
  </threadedComment>
  <threadedComment ref="G811" dT="2026-09-04T12:07:34.22" personId="{96DB4F4D-DEE8-4A29-92F0-851276145DD3}" id="{E85F861D-6C50-452A-8DFA-A03CBAB8724A}">
    <text xml:space="preserve">Only relevant for one day - the day of weaning </text>
  </threadedComment>
  <threadedComment ref="G812" dT="2026-09-04T12:07:34.22" personId="{96DB4F4D-DEE8-4A29-92F0-851276145DD3}" id="{5A278099-DFF9-41D8-B556-636AE9ED029D}">
    <text xml:space="preserve">Only relevant for one day - the day of weaning </text>
  </threadedComment>
  <threadedComment ref="G813" dT="2026-09-04T12:07:34.22" personId="{96DB4F4D-DEE8-4A29-92F0-851276145DD3}" id="{7AE4EE8D-8664-42D1-9F1B-5591204F09E6}">
    <text xml:space="preserve">Only relevant for one day - the day of weaning </text>
  </threadedComment>
  <threadedComment ref="G814" dT="2026-09-04T12:07:34.22" personId="{96DB4F4D-DEE8-4A29-92F0-851276145DD3}" id="{76B43373-816B-42DA-A4CD-E5F984E4C5AE}">
    <text xml:space="preserve">Only relevant for one day - the day of weaning </text>
  </threadedComment>
  <threadedComment ref="G815" dT="2026-09-04T12:07:34.22" personId="{96DB4F4D-DEE8-4A29-92F0-851276145DD3}" id="{A79FA24B-3217-4B26-8143-E12FF4D05FDC}">
    <text xml:space="preserve">Only relevant for one day - the day of weaning </text>
  </threadedComment>
  <threadedComment ref="G816" dT="2026-09-04T12:07:34.22" personId="{96DB4F4D-DEE8-4A29-92F0-851276145DD3}" id="{61D396FC-21F7-48F2-9771-A3FDF65A06C4}">
    <text xml:space="preserve">Only relevant for one day - the day of weaning </text>
  </threadedComment>
  <threadedComment ref="G817" dT="2026-09-04T12:07:34.22" personId="{96DB4F4D-DEE8-4A29-92F0-851276145DD3}" id="{9FE6E135-0983-44F1-8AE8-E6CD8DDBC1A1}">
    <text xml:space="preserve">Only relevant for one day - the day of weaning </text>
  </threadedComment>
  <threadedComment ref="G818" dT="2026-09-04T12:07:34.22" personId="{96DB4F4D-DEE8-4A29-92F0-851276145DD3}" id="{967D15E8-60ED-4764-87B0-65796DF09F72}">
    <text xml:space="preserve">Only relevant for one day - the day of weaning </text>
  </threadedComment>
  <threadedComment ref="G819" dT="2026-09-04T12:07:34.22" personId="{96DB4F4D-DEE8-4A29-92F0-851276145DD3}" id="{458F59FF-3DE8-4D26-B632-D8247979585C}">
    <text xml:space="preserve">Only relevant for one day - the day of weaning </text>
  </threadedComment>
  <threadedComment ref="G820" dT="2026-09-04T12:07:34.22" personId="{96DB4F4D-DEE8-4A29-92F0-851276145DD3}" id="{5880EC7E-5121-49A0-B353-731EB6565D95}">
    <text xml:space="preserve">Only relevant for one day - the day of weaning </text>
  </threadedComment>
  <threadedComment ref="G821" dT="2026-09-04T12:07:34.22" personId="{96DB4F4D-DEE8-4A29-92F0-851276145DD3}" id="{1BFB67AD-50A4-43BA-8C7D-9795FB4D0573}">
    <text xml:space="preserve">Only relevant for one day - the day of weaning </text>
  </threadedComment>
  <threadedComment ref="G822" dT="2026-09-04T12:07:34.22" personId="{96DB4F4D-DEE8-4A29-92F0-851276145DD3}" id="{61698AAC-0184-4930-9DB1-510D2999796D}">
    <text xml:space="preserve">Only relevant for one day - the day of weaning </text>
  </threadedComment>
  <threadedComment ref="G823" dT="2026-09-04T12:07:34.22" personId="{96DB4F4D-DEE8-4A29-92F0-851276145DD3}" id="{2208799F-EF51-4221-A254-DBC9804055A9}">
    <text xml:space="preserve">Only relevant for one day - the day of weaning </text>
  </threadedComment>
  <threadedComment ref="G824" dT="2026-09-04T12:07:34.22" personId="{96DB4F4D-DEE8-4A29-92F0-851276145DD3}" id="{8AD45539-112E-4494-ABCC-C69FC964486D}">
    <text xml:space="preserve">Only relevant for one day - the day of weaning </text>
  </threadedComment>
  <threadedComment ref="G825" dT="2026-09-04T12:07:34.22" personId="{96DB4F4D-DEE8-4A29-92F0-851276145DD3}" id="{293C3974-EFDC-4009-BBE8-A16DC366DB00}">
    <text xml:space="preserve">Only relevant for one day - the day of weaning </text>
  </threadedComment>
  <threadedComment ref="G826" dT="2026-09-04T12:07:34.22" personId="{96DB4F4D-DEE8-4A29-92F0-851276145DD3}" id="{111B891D-B9BB-42BE-A587-0AFE523B1F87}">
    <text xml:space="preserve">Only relevant for one day - the day of weaning </text>
  </threadedComment>
  <threadedComment ref="G827" dT="2026-09-04T12:07:34.22" personId="{96DB4F4D-DEE8-4A29-92F0-851276145DD3}" id="{638D27A7-AA4A-4A71-A2EE-2EAC7065598F}">
    <text xml:space="preserve">Only relevant for one day - the day of weaning </text>
  </threadedComment>
  <threadedComment ref="G828" dT="2026-09-04T12:07:34.22" personId="{96DB4F4D-DEE8-4A29-92F0-851276145DD3}" id="{85F6831C-07FC-4498-A133-7379A749CC53}">
    <text xml:space="preserve">Only relevant for one day - the day of weaning </text>
  </threadedComment>
  <threadedComment ref="G829" dT="2026-09-04T12:07:34.22" personId="{96DB4F4D-DEE8-4A29-92F0-851276145DD3}" id="{8ADE0829-20C6-40A4-B820-9E3D324177C2}">
    <text xml:space="preserve">Only relevant for one day - the day of weaning </text>
  </threadedComment>
  <threadedComment ref="G830" dT="2026-09-04T12:07:34.22" personId="{96DB4F4D-DEE8-4A29-92F0-851276145DD3}" id="{AA42AD68-0925-4169-8214-6BF109D6DDB3}">
    <text xml:space="preserve">Only relevant for one day - the day of weaning </text>
  </threadedComment>
  <threadedComment ref="G831" dT="2026-09-04T12:07:34.22" personId="{96DB4F4D-DEE8-4A29-92F0-851276145DD3}" id="{824DC408-AEBF-4D98-8DD2-FE9CD98BF751}">
    <text xml:space="preserve">Only relevant for one day - the day of weaning </text>
  </threadedComment>
  <threadedComment ref="G832" dT="2026-09-04T12:07:34.22" personId="{96DB4F4D-DEE8-4A29-92F0-851276145DD3}" id="{F9F3A24D-8308-405B-908E-0688949273E5}">
    <text xml:space="preserve">Only relevant for one day - the day of weaning </text>
  </threadedComment>
  <threadedComment ref="G833" dT="2026-09-04T12:07:34.22" personId="{96DB4F4D-DEE8-4A29-92F0-851276145DD3}" id="{A07412D8-D7B8-4B9C-888A-FA2CCC2A9C7E}">
    <text xml:space="preserve">Only relevant for one day - the day of weaning </text>
  </threadedComment>
  <threadedComment ref="G834" dT="2026-09-04T12:07:34.22" personId="{96DB4F4D-DEE8-4A29-92F0-851276145DD3}" id="{02749AF0-58F3-4B28-929E-BB8DD8CD4823}">
    <text xml:space="preserve">Only relevant for one day - the day of weaning </text>
  </threadedComment>
  <threadedComment ref="G835" dT="2026-09-04T12:07:34.22" personId="{96DB4F4D-DEE8-4A29-92F0-851276145DD3}" id="{4335BD19-2956-448B-B390-59B950B541B9}">
    <text xml:space="preserve">Only relevant for one day - the day of weaning </text>
  </threadedComment>
  <threadedComment ref="G836" dT="2026-09-04T12:07:34.22" personId="{96DB4F4D-DEE8-4A29-92F0-851276145DD3}" id="{ED1AD8FE-73F4-4A09-836D-F5A917B9E1EE}">
    <text xml:space="preserve">Only relevant for one day - the day of weaning </text>
  </threadedComment>
  <threadedComment ref="G837" dT="2026-09-04T12:07:34.22" personId="{96DB4F4D-DEE8-4A29-92F0-851276145DD3}" id="{7700BE71-4C44-4D92-8FC0-6235569EEE7B}">
    <text xml:space="preserve">Only relevant for one day - the day of weaning </text>
  </threadedComment>
  <threadedComment ref="G838" dT="2026-09-04T12:07:34.22" personId="{96DB4F4D-DEE8-4A29-92F0-851276145DD3}" id="{92F4188A-338D-40B1-9B35-6EDB73BBE58F}">
    <text xml:space="preserve">Only relevant for one day - the day of weaning </text>
  </threadedComment>
  <threadedComment ref="G839" dT="2026-09-04T12:07:34.22" personId="{96DB4F4D-DEE8-4A29-92F0-851276145DD3}" id="{B560B7D4-A642-4EBA-B6E8-B94E8DE2B886}">
    <text xml:space="preserve">Only relevant for one day - the day of weaning </text>
  </threadedComment>
  <threadedComment ref="G840" dT="2026-09-04T12:07:34.22" personId="{96DB4F4D-DEE8-4A29-92F0-851276145DD3}" id="{C7D51D5D-E2B2-47AC-9D27-C480F92DFC11}">
    <text xml:space="preserve">Only relevant for one day - the day of weaning </text>
  </threadedComment>
  <threadedComment ref="G841" dT="2026-09-04T12:07:34.22" personId="{96DB4F4D-DEE8-4A29-92F0-851276145DD3}" id="{6C996C70-A6AD-409A-B0AB-17D232E21FEE}">
    <text xml:space="preserve">Only relevant for one day - the day of weaning </text>
  </threadedComment>
  <threadedComment ref="G842" dT="2026-09-04T12:07:34.22" personId="{96DB4F4D-DEE8-4A29-92F0-851276145DD3}" id="{AD130D3F-D5A8-46D7-A688-6D8ABDB21C77}">
    <text xml:space="preserve">Only relevant for one day - the day of weaning </text>
  </threadedComment>
  <threadedComment ref="G843" dT="2026-09-04T12:07:34.22" personId="{96DB4F4D-DEE8-4A29-92F0-851276145DD3}" id="{4D864255-63E4-4748-9FA5-F70EBB355B50}">
    <text xml:space="preserve">Only relevant for one day - the day of weaning </text>
  </threadedComment>
  <threadedComment ref="G844" dT="2026-09-04T12:07:34.22" personId="{96DB4F4D-DEE8-4A29-92F0-851276145DD3}" id="{CDC740CE-D41E-4D82-809F-DE788458D43B}">
    <text xml:space="preserve">Only relevant for one day - the day of weaning </text>
  </threadedComment>
  <threadedComment ref="G845" dT="2026-09-04T12:07:34.22" personId="{96DB4F4D-DEE8-4A29-92F0-851276145DD3}" id="{67944415-5137-4C23-A104-06E23FD51102}">
    <text xml:space="preserve">Only relevant for one day - the day of weaning </text>
  </threadedComment>
  <threadedComment ref="G846" dT="2026-09-04T12:07:34.22" personId="{96DB4F4D-DEE8-4A29-92F0-851276145DD3}" id="{49B20512-16BC-42A4-95A4-3A7A373FC868}">
    <text xml:space="preserve">Only relevant for one day - the day of weaning </text>
  </threadedComment>
  <threadedComment ref="G847" dT="2026-09-04T12:07:34.22" personId="{96DB4F4D-DEE8-4A29-92F0-851276145DD3}" id="{CBA75084-B731-49DF-8DC1-64A1303B8098}">
    <text xml:space="preserve">Only relevant for one day - the day of weaning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topLeftCell="A2" zoomScaleNormal="100" workbookViewId="0">
      <pane xSplit="3" ySplit="4" topLeftCell="AI6" activePane="bottomRight" state="frozen"/>
      <selection activeCell="A2" sqref="A2"/>
      <selection pane="topRight" activeCell="D2" sqref="D2"/>
      <selection pane="bottomLeft" activeCell="A5" sqref="A5"/>
      <selection pane="bottomRight" activeCell="N7" sqref="N7"/>
    </sheetView>
  </sheetViews>
  <sheetFormatPr defaultColWidth="23.5703125" defaultRowHeight="15" customHeight="1" x14ac:dyDescent="0.25"/>
  <cols>
    <col min="1" max="1" width="10.85546875" bestFit="1" customWidth="1"/>
    <col min="2" max="2" width="17.140625" customWidth="1"/>
    <col min="3" max="3" width="13.7109375" customWidth="1"/>
    <col min="4" max="4" width="18.28515625" customWidth="1"/>
    <col min="5" max="5" width="19" customWidth="1"/>
    <col min="6" max="6" width="14.140625" customWidth="1"/>
    <col min="7" max="10" width="14.7109375" customWidth="1"/>
    <col min="11" max="11" width="19.140625" customWidth="1"/>
    <col min="12" max="12" width="13.42578125" customWidth="1"/>
    <col min="13" max="15" width="12.5703125" customWidth="1"/>
    <col min="16" max="16" width="16.85546875" customWidth="1"/>
    <col min="17" max="17" width="13.7109375" customWidth="1"/>
    <col min="18" max="18" width="20.85546875" customWidth="1"/>
    <col min="19" max="19" width="13.28515625" customWidth="1"/>
    <col min="20" max="20" width="17.140625" customWidth="1"/>
    <col min="21" max="21" width="15.85546875" customWidth="1"/>
    <col min="22" max="22" width="14.85546875" customWidth="1"/>
    <col min="23" max="32" width="22.42578125" customWidth="1"/>
    <col min="33" max="33" width="19.140625" bestFit="1" customWidth="1"/>
    <col min="34" max="34" width="35.28515625" customWidth="1"/>
    <col min="35" max="35" width="33.42578125" customWidth="1"/>
    <col min="36" max="36" width="38.28515625" customWidth="1"/>
    <col min="37" max="37" width="29.28515625" customWidth="1"/>
    <col min="38" max="38" width="39" customWidth="1"/>
    <col min="39" max="39" width="8.42578125" bestFit="1" customWidth="1"/>
  </cols>
  <sheetData>
    <row r="1" spans="1:39" ht="24" x14ac:dyDescent="0.25">
      <c r="A1" s="19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21" t="s">
        <v>7</v>
      </c>
      <c r="I1" s="13" t="s">
        <v>8</v>
      </c>
      <c r="J1" s="13" t="s">
        <v>128</v>
      </c>
      <c r="K1" s="24" t="s">
        <v>168</v>
      </c>
      <c r="L1" s="12" t="s">
        <v>9</v>
      </c>
      <c r="M1" s="24" t="s">
        <v>169</v>
      </c>
      <c r="N1" s="24" t="s">
        <v>170</v>
      </c>
      <c r="O1" s="24" t="s">
        <v>173</v>
      </c>
      <c r="P1" s="13" t="s">
        <v>10</v>
      </c>
      <c r="Q1" s="12" t="s">
        <v>11</v>
      </c>
      <c r="R1" s="24" t="s">
        <v>175</v>
      </c>
      <c r="S1" s="13" t="s">
        <v>12</v>
      </c>
      <c r="T1" s="12" t="s">
        <v>13</v>
      </c>
      <c r="U1" s="24" t="s">
        <v>176</v>
      </c>
      <c r="V1" s="24" t="s">
        <v>177</v>
      </c>
      <c r="W1" s="24" t="s">
        <v>179</v>
      </c>
      <c r="X1" s="24" t="s">
        <v>180</v>
      </c>
      <c r="Y1" s="24" t="s">
        <v>181</v>
      </c>
      <c r="Z1" s="24" t="s">
        <v>182</v>
      </c>
      <c r="AA1" s="24" t="s">
        <v>183</v>
      </c>
      <c r="AB1" s="24" t="s">
        <v>184</v>
      </c>
      <c r="AC1" s="24" t="s">
        <v>185</v>
      </c>
      <c r="AD1" s="24" t="s">
        <v>186</v>
      </c>
      <c r="AE1" s="24" t="s">
        <v>188</v>
      </c>
      <c r="AF1" s="24" t="s">
        <v>187</v>
      </c>
      <c r="AG1" s="13" t="s">
        <v>14</v>
      </c>
      <c r="AH1" s="12" t="s">
        <v>15</v>
      </c>
      <c r="AI1" s="24" t="s">
        <v>15</v>
      </c>
      <c r="AJ1" s="24" t="s">
        <v>15</v>
      </c>
      <c r="AK1" s="24" t="s">
        <v>15</v>
      </c>
      <c r="AL1" s="24" t="s">
        <v>15</v>
      </c>
      <c r="AM1" s="12" t="s">
        <v>16</v>
      </c>
    </row>
    <row r="2" spans="1:39" ht="24" x14ac:dyDescent="0.25">
      <c r="A2" s="19" t="s">
        <v>0</v>
      </c>
      <c r="B2" s="12" t="s">
        <v>1</v>
      </c>
      <c r="C2" s="13" t="s">
        <v>2</v>
      </c>
      <c r="D2" s="12" t="s">
        <v>3</v>
      </c>
      <c r="E2" s="13" t="s">
        <v>4</v>
      </c>
      <c r="F2" s="12" t="s">
        <v>5</v>
      </c>
      <c r="G2" s="13" t="s">
        <v>6</v>
      </c>
      <c r="H2" s="21" t="s">
        <v>7</v>
      </c>
      <c r="I2" s="13" t="s">
        <v>8</v>
      </c>
      <c r="J2" s="13" t="s">
        <v>128</v>
      </c>
      <c r="K2" s="24" t="s">
        <v>168</v>
      </c>
      <c r="L2" s="12" t="s">
        <v>9</v>
      </c>
      <c r="M2" s="24" t="s">
        <v>169</v>
      </c>
      <c r="N2" s="24" t="s">
        <v>170</v>
      </c>
      <c r="O2" s="24" t="s">
        <v>173</v>
      </c>
      <c r="P2" s="13" t="s">
        <v>10</v>
      </c>
      <c r="Q2" s="12" t="s">
        <v>11</v>
      </c>
      <c r="R2" s="24" t="s">
        <v>175</v>
      </c>
      <c r="S2" s="13" t="s">
        <v>12</v>
      </c>
      <c r="T2" s="12" t="s">
        <v>13</v>
      </c>
      <c r="U2" s="24" t="s">
        <v>176</v>
      </c>
      <c r="V2" s="24" t="s">
        <v>177</v>
      </c>
      <c r="W2" s="24" t="s">
        <v>179</v>
      </c>
      <c r="X2" s="24" t="s">
        <v>180</v>
      </c>
      <c r="Y2" s="24" t="s">
        <v>181</v>
      </c>
      <c r="Z2" s="24" t="s">
        <v>182</v>
      </c>
      <c r="AA2" s="24" t="s">
        <v>183</v>
      </c>
      <c r="AB2" s="24" t="s">
        <v>184</v>
      </c>
      <c r="AC2" s="24" t="s">
        <v>185</v>
      </c>
      <c r="AD2" s="24" t="s">
        <v>186</v>
      </c>
      <c r="AE2" s="24" t="s">
        <v>188</v>
      </c>
      <c r="AF2" s="24" t="s">
        <v>187</v>
      </c>
      <c r="AG2" s="13" t="s">
        <v>14</v>
      </c>
      <c r="AH2" s="12" t="s">
        <v>15</v>
      </c>
      <c r="AI2" s="24" t="s">
        <v>15</v>
      </c>
      <c r="AJ2" s="24" t="s">
        <v>15</v>
      </c>
      <c r="AK2" s="24" t="s">
        <v>15</v>
      </c>
      <c r="AL2" s="24" t="s">
        <v>15</v>
      </c>
      <c r="AM2" s="12" t="s">
        <v>16</v>
      </c>
    </row>
    <row r="3" spans="1:39" ht="60" x14ac:dyDescent="0.25">
      <c r="A3" s="19" t="s">
        <v>17</v>
      </c>
      <c r="B3" s="3" t="s">
        <v>18</v>
      </c>
      <c r="C3" s="4" t="s">
        <v>19</v>
      </c>
      <c r="D3" s="3" t="s">
        <v>20</v>
      </c>
      <c r="E3" s="4" t="s">
        <v>21</v>
      </c>
      <c r="F3" s="3" t="s">
        <v>22</v>
      </c>
      <c r="G3" s="4" t="s">
        <v>23</v>
      </c>
      <c r="H3" s="20" t="s">
        <v>24</v>
      </c>
      <c r="I3" s="4" t="s">
        <v>25</v>
      </c>
      <c r="J3" s="4"/>
      <c r="K3" s="25" t="s">
        <v>172</v>
      </c>
      <c r="L3" s="3" t="s">
        <v>26</v>
      </c>
      <c r="M3" s="25" t="s">
        <v>171</v>
      </c>
      <c r="N3" s="25" t="s">
        <v>202</v>
      </c>
      <c r="O3" s="25" t="s">
        <v>174</v>
      </c>
      <c r="P3" s="4" t="s">
        <v>27</v>
      </c>
      <c r="Q3" s="3" t="s">
        <v>28</v>
      </c>
      <c r="R3" s="25"/>
      <c r="S3" s="4" t="s">
        <v>29</v>
      </c>
      <c r="T3" s="3" t="s">
        <v>30</v>
      </c>
      <c r="U3" s="25" t="s">
        <v>199</v>
      </c>
      <c r="V3" s="25" t="s">
        <v>178</v>
      </c>
      <c r="W3" s="25" t="s">
        <v>178</v>
      </c>
      <c r="X3" s="25" t="s">
        <v>178</v>
      </c>
      <c r="Y3" s="25"/>
      <c r="Z3" s="25"/>
      <c r="AA3" s="25"/>
      <c r="AB3" s="25"/>
      <c r="AC3" s="25"/>
      <c r="AD3" s="25"/>
      <c r="AE3" s="25"/>
      <c r="AF3" s="25"/>
      <c r="AG3" s="4" t="s">
        <v>31</v>
      </c>
      <c r="AH3" s="3" t="s">
        <v>32</v>
      </c>
      <c r="AI3" s="25" t="s">
        <v>32</v>
      </c>
      <c r="AJ3" s="25" t="s">
        <v>32</v>
      </c>
      <c r="AK3" s="25" t="s">
        <v>32</v>
      </c>
      <c r="AL3" s="25" t="s">
        <v>32</v>
      </c>
      <c r="AM3" s="3" t="s">
        <v>33</v>
      </c>
    </row>
    <row r="4" spans="1:39" ht="24" x14ac:dyDescent="0.25">
      <c r="A4" s="19" t="s">
        <v>34</v>
      </c>
      <c r="B4" s="3" t="s">
        <v>35</v>
      </c>
      <c r="C4" s="4" t="s">
        <v>36</v>
      </c>
      <c r="D4" s="11" t="s">
        <v>37</v>
      </c>
      <c r="E4" s="10" t="s">
        <v>38</v>
      </c>
      <c r="F4" s="11" t="s">
        <v>39</v>
      </c>
      <c r="G4" s="10" t="s">
        <v>40</v>
      </c>
      <c r="H4" s="22" t="s">
        <v>41</v>
      </c>
      <c r="I4" s="4" t="s">
        <v>42</v>
      </c>
      <c r="J4" s="4"/>
      <c r="K4" s="25"/>
      <c r="L4" s="3" t="s">
        <v>43</v>
      </c>
      <c r="M4" s="25"/>
      <c r="N4" s="25"/>
      <c r="O4" s="25"/>
      <c r="P4" s="4" t="s">
        <v>41</v>
      </c>
      <c r="Q4" s="3" t="s">
        <v>44</v>
      </c>
      <c r="R4" s="25"/>
      <c r="S4" s="4" t="s">
        <v>45</v>
      </c>
      <c r="T4" s="3" t="s">
        <v>46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4">
        <v>18</v>
      </c>
      <c r="AH4" s="3" t="s">
        <v>47</v>
      </c>
      <c r="AI4" s="25" t="s">
        <v>47</v>
      </c>
      <c r="AJ4" s="25" t="s">
        <v>47</v>
      </c>
      <c r="AK4" s="25" t="s">
        <v>47</v>
      </c>
      <c r="AL4" s="25" t="s">
        <v>47</v>
      </c>
      <c r="AM4" s="3" t="b">
        <v>0</v>
      </c>
    </row>
    <row r="5" spans="1:39" x14ac:dyDescent="0.25">
      <c r="A5" s="19" t="s">
        <v>48</v>
      </c>
      <c r="B5" s="8" t="s">
        <v>49</v>
      </c>
      <c r="C5" s="9" t="s">
        <v>49</v>
      </c>
      <c r="D5" s="8" t="s">
        <v>49</v>
      </c>
      <c r="E5" s="10" t="s">
        <v>50</v>
      </c>
      <c r="F5" s="11" t="s">
        <v>50</v>
      </c>
      <c r="G5" s="10" t="s">
        <v>50</v>
      </c>
      <c r="H5" s="22" t="s">
        <v>50</v>
      </c>
      <c r="I5" s="10" t="s">
        <v>50</v>
      </c>
      <c r="J5" s="10"/>
      <c r="K5" s="26"/>
      <c r="L5" s="11" t="s">
        <v>50</v>
      </c>
      <c r="M5" s="26"/>
      <c r="N5" s="26"/>
      <c r="O5" s="26"/>
      <c r="P5" s="10" t="s">
        <v>50</v>
      </c>
      <c r="Q5" s="11" t="s">
        <v>50</v>
      </c>
      <c r="R5" s="26"/>
      <c r="S5" s="10" t="s">
        <v>50</v>
      </c>
      <c r="T5" s="11" t="s">
        <v>51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10" t="s">
        <v>51</v>
      </c>
      <c r="AH5" s="11" t="s">
        <v>50</v>
      </c>
      <c r="AI5" s="26" t="s">
        <v>50</v>
      </c>
      <c r="AJ5" s="26" t="s">
        <v>50</v>
      </c>
      <c r="AK5" s="26" t="s">
        <v>50</v>
      </c>
      <c r="AL5" s="26" t="s">
        <v>50</v>
      </c>
      <c r="AM5" s="8" t="s">
        <v>49</v>
      </c>
    </row>
    <row r="6" spans="1:39" ht="15" customHeight="1" x14ac:dyDescent="0.25">
      <c r="E6" s="31"/>
      <c r="F6" s="31"/>
      <c r="G6" s="31"/>
      <c r="H6" s="31"/>
      <c r="S6" s="23"/>
    </row>
    <row r="7" spans="1:39" ht="31.5" customHeight="1" x14ac:dyDescent="0.25">
      <c r="B7" t="s">
        <v>126</v>
      </c>
      <c r="C7" t="s">
        <v>126</v>
      </c>
      <c r="E7" s="31">
        <v>116</v>
      </c>
      <c r="F7" s="31">
        <v>28</v>
      </c>
      <c r="G7" s="31" t="s">
        <v>127</v>
      </c>
      <c r="H7" s="31" t="s">
        <v>314</v>
      </c>
      <c r="I7">
        <v>8</v>
      </c>
      <c r="J7" t="s">
        <v>481</v>
      </c>
      <c r="K7" s="197">
        <v>16</v>
      </c>
      <c r="L7" s="197">
        <v>15.5</v>
      </c>
      <c r="M7" s="197">
        <v>0.3</v>
      </c>
      <c r="N7" s="197">
        <v>0.2</v>
      </c>
      <c r="O7" s="32">
        <v>0.05</v>
      </c>
      <c r="P7" s="377">
        <v>14.7</v>
      </c>
      <c r="Q7" s="31">
        <v>7.5</v>
      </c>
      <c r="R7" s="378">
        <v>110</v>
      </c>
      <c r="S7" s="33">
        <v>0.95</v>
      </c>
      <c r="T7" s="31">
        <v>30</v>
      </c>
      <c r="U7" s="31">
        <v>1</v>
      </c>
      <c r="V7" s="378">
        <v>35.6</v>
      </c>
      <c r="W7">
        <v>2.42</v>
      </c>
      <c r="X7">
        <v>18</v>
      </c>
      <c r="Y7">
        <v>28.8</v>
      </c>
      <c r="Z7">
        <v>21.3</v>
      </c>
      <c r="AA7">
        <v>1.5</v>
      </c>
      <c r="AB7" s="23">
        <v>5.0000000000000001E-3</v>
      </c>
      <c r="AC7">
        <v>2.4300000000000002</v>
      </c>
      <c r="AD7" s="23">
        <v>1.6E-2</v>
      </c>
      <c r="AE7">
        <f>+[1]Sheet1!$E$95</f>
        <v>1.1000000000000001</v>
      </c>
      <c r="AF7">
        <v>97</v>
      </c>
      <c r="AG7">
        <v>29</v>
      </c>
      <c r="AH7" s="34" t="s">
        <v>642</v>
      </c>
      <c r="AI7" s="34" t="s">
        <v>643</v>
      </c>
      <c r="AJ7" s="34" t="s">
        <v>129</v>
      </c>
      <c r="AK7" s="34" t="s">
        <v>644</v>
      </c>
      <c r="AL7" s="34" t="s">
        <v>645</v>
      </c>
    </row>
    <row r="8" spans="1:39" ht="15" customHeight="1" x14ac:dyDescent="0.25">
      <c r="C8" t="s">
        <v>439</v>
      </c>
      <c r="G8" t="s">
        <v>1329</v>
      </c>
      <c r="H8" s="31" t="s">
        <v>144</v>
      </c>
      <c r="J8" t="s">
        <v>481</v>
      </c>
      <c r="K8" t="s">
        <v>144</v>
      </c>
      <c r="L8" t="s">
        <v>144</v>
      </c>
      <c r="M8" t="s">
        <v>144</v>
      </c>
      <c r="N8" t="s">
        <v>144</v>
      </c>
      <c r="O8" t="s">
        <v>144</v>
      </c>
      <c r="P8" t="s">
        <v>144</v>
      </c>
      <c r="Q8" t="s">
        <v>144</v>
      </c>
      <c r="R8" t="s">
        <v>144</v>
      </c>
      <c r="S8" t="s">
        <v>144</v>
      </c>
      <c r="T8" t="s">
        <v>144</v>
      </c>
      <c r="U8" t="s">
        <v>144</v>
      </c>
      <c r="V8" t="s">
        <v>144</v>
      </c>
      <c r="W8" t="s">
        <v>144</v>
      </c>
      <c r="X8" t="s">
        <v>144</v>
      </c>
      <c r="Y8" t="s">
        <v>144</v>
      </c>
      <c r="Z8" t="s">
        <v>144</v>
      </c>
      <c r="AA8" t="s">
        <v>144</v>
      </c>
      <c r="AB8" t="s">
        <v>144</v>
      </c>
      <c r="AC8" t="s">
        <v>144</v>
      </c>
      <c r="AD8" t="s">
        <v>144</v>
      </c>
      <c r="AE8" t="s">
        <v>144</v>
      </c>
      <c r="AF8" t="s">
        <v>144</v>
      </c>
      <c r="AG8" t="s">
        <v>144</v>
      </c>
      <c r="AH8" s="34" t="s">
        <v>1330</v>
      </c>
      <c r="AI8" t="s">
        <v>144</v>
      </c>
      <c r="AJ8" t="s">
        <v>144</v>
      </c>
      <c r="AK8" t="s">
        <v>144</v>
      </c>
      <c r="AL8" t="s">
        <v>144</v>
      </c>
    </row>
    <row r="9" spans="1:39" ht="15" customHeight="1" x14ac:dyDescent="0.25">
      <c r="S9" s="23"/>
      <c r="T9" s="31"/>
      <c r="AK9" s="34"/>
      <c r="AL9" s="34"/>
    </row>
    <row r="10" spans="1:39" ht="15" customHeight="1" x14ac:dyDescent="0.25">
      <c r="S10" s="23"/>
      <c r="T10" s="31"/>
      <c r="AK10" s="34"/>
      <c r="AL10" s="34"/>
    </row>
    <row r="11" spans="1:39" ht="15" customHeight="1" x14ac:dyDescent="0.25">
      <c r="S11" s="23"/>
      <c r="T11" s="31"/>
      <c r="AK11" s="34"/>
      <c r="AL11" s="34"/>
    </row>
    <row r="12" spans="1:39" ht="15" customHeight="1" x14ac:dyDescent="0.25">
      <c r="S12" s="23"/>
      <c r="T12" s="31"/>
      <c r="AK12" s="34"/>
      <c r="AL12" s="34"/>
    </row>
    <row r="13" spans="1:39" ht="15" customHeight="1" x14ac:dyDescent="0.25">
      <c r="S13" s="23"/>
      <c r="T13" s="31"/>
      <c r="AK13" s="34"/>
      <c r="AL13" s="34"/>
    </row>
    <row r="14" spans="1:39" ht="15" customHeight="1" x14ac:dyDescent="0.25">
      <c r="S14" s="23"/>
      <c r="T14" s="31"/>
      <c r="AK14" s="34"/>
      <c r="AL14" s="34"/>
    </row>
    <row r="15" spans="1:39" ht="15" customHeight="1" x14ac:dyDescent="0.25">
      <c r="S15" s="23"/>
      <c r="T15" s="31"/>
      <c r="AK15" s="34"/>
      <c r="AL15" s="34"/>
    </row>
    <row r="16" spans="1:39" ht="15" customHeight="1" x14ac:dyDescent="0.25">
      <c r="S16" s="23"/>
      <c r="T16" s="31"/>
      <c r="AK16" s="34"/>
      <c r="AL16" s="34"/>
    </row>
    <row r="17" spans="19:38" ht="15" customHeight="1" x14ac:dyDescent="0.25">
      <c r="S17" s="23"/>
      <c r="T17" s="31"/>
      <c r="AK17" s="34"/>
      <c r="AL17" s="34"/>
    </row>
    <row r="18" spans="19:38" ht="15" customHeight="1" x14ac:dyDescent="0.25">
      <c r="S18" s="23"/>
      <c r="T18" s="31"/>
      <c r="AK18" s="34"/>
      <c r="AL18" s="34"/>
    </row>
    <row r="19" spans="19:38" ht="15" customHeight="1" x14ac:dyDescent="0.25">
      <c r="S19" s="23"/>
      <c r="T19" s="31"/>
      <c r="AK19" s="34"/>
      <c r="AL19" s="34"/>
    </row>
    <row r="20" spans="19:38" ht="15" customHeight="1" x14ac:dyDescent="0.25">
      <c r="S20" s="23"/>
      <c r="T20" s="31"/>
      <c r="AK20" s="34"/>
      <c r="AL20" s="34"/>
    </row>
    <row r="21" spans="19:38" ht="15" customHeight="1" x14ac:dyDescent="0.25">
      <c r="S21" s="23"/>
      <c r="T21" s="31"/>
      <c r="AK21" s="34"/>
      <c r="AL21" s="34"/>
    </row>
    <row r="22" spans="19:38" ht="15" customHeight="1" x14ac:dyDescent="0.25">
      <c r="S22" s="23"/>
      <c r="T22" s="31"/>
      <c r="AK22" s="34"/>
      <c r="AL22" s="34"/>
    </row>
    <row r="23" spans="19:38" ht="15" customHeight="1" x14ac:dyDescent="0.25">
      <c r="S23" s="23"/>
      <c r="T23" s="31"/>
      <c r="AK23" s="34"/>
      <c r="AL23" s="34"/>
    </row>
    <row r="24" spans="19:38" ht="15" customHeight="1" x14ac:dyDescent="0.25">
      <c r="S24" s="23"/>
      <c r="T24" s="31"/>
      <c r="AK24" s="34"/>
      <c r="AL24" s="34"/>
    </row>
    <row r="25" spans="19:38" ht="15" customHeight="1" x14ac:dyDescent="0.25">
      <c r="S25" s="23"/>
      <c r="T25" s="31"/>
      <c r="AK25" s="34"/>
      <c r="AL25" s="34"/>
    </row>
    <row r="26" spans="19:38" ht="15" customHeight="1" x14ac:dyDescent="0.25">
      <c r="S26" s="23"/>
      <c r="T26" s="31"/>
      <c r="AK26" s="34"/>
      <c r="AL26" s="34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3F7D-EE85-4D48-8087-F1B9927E3C88}">
  <dimension ref="A1:AR255"/>
  <sheetViews>
    <sheetView tabSelected="1" topLeftCell="D1" zoomScale="80" zoomScaleNormal="80" workbookViewId="0">
      <pane xSplit="2" ySplit="3" topLeftCell="AA21" activePane="bottomRight" state="frozen"/>
      <selection activeCell="D1" sqref="D1"/>
      <selection pane="topRight" activeCell="F1" sqref="F1"/>
      <selection pane="bottomLeft" activeCell="D5" sqref="D5"/>
      <selection pane="bottomRight" activeCell="Z47" sqref="Z47"/>
    </sheetView>
  </sheetViews>
  <sheetFormatPr defaultColWidth="48.140625" defaultRowHeight="15" customHeight="1" x14ac:dyDescent="0.25"/>
  <cols>
    <col min="1" max="1" width="10.85546875" bestFit="1" customWidth="1"/>
    <col min="2" max="2" width="8.85546875" bestFit="1" customWidth="1"/>
    <col min="3" max="3" width="22" bestFit="1" customWidth="1"/>
    <col min="4" max="4" width="8.85546875" bestFit="1" customWidth="1"/>
    <col min="5" max="5" width="46.140625" bestFit="1" customWidth="1"/>
    <col min="6" max="6" width="40.42578125" customWidth="1"/>
    <col min="7" max="7" width="41.85546875" customWidth="1"/>
    <col min="8" max="8" width="31" customWidth="1"/>
    <col min="9" max="9" width="18.140625" customWidth="1"/>
    <col min="10" max="10" width="25.85546875" customWidth="1"/>
    <col min="11" max="11" width="21.28515625" customWidth="1"/>
    <col min="12" max="18" width="18.140625" customWidth="1"/>
    <col min="19" max="19" width="19.5703125" customWidth="1"/>
    <col min="20" max="20" width="71.140625" customWidth="1"/>
    <col min="21" max="21" width="75.85546875" customWidth="1"/>
    <col min="22" max="22" width="34.42578125" customWidth="1"/>
    <col min="23" max="23" width="28.28515625" customWidth="1"/>
    <col min="24" max="24" width="28.42578125" customWidth="1"/>
    <col min="25" max="25" width="47.5703125" customWidth="1"/>
    <col min="26" max="26" width="25.140625" customWidth="1"/>
    <col min="27" max="27" width="71.5703125" customWidth="1"/>
    <col min="28" max="28" width="33.5703125" bestFit="1" customWidth="1"/>
    <col min="29" max="29" width="29.7109375" customWidth="1"/>
    <col min="30" max="30" width="28.140625" customWidth="1"/>
    <col min="31" max="31" width="48.42578125" customWidth="1"/>
    <col min="32" max="32" width="26.28515625" customWidth="1"/>
    <col min="33" max="33" width="24.5703125" customWidth="1"/>
    <col min="34" max="34" width="33.42578125" customWidth="1"/>
    <col min="35" max="35" width="49.28515625" customWidth="1"/>
    <col min="36" max="36" width="54" bestFit="1" customWidth="1"/>
    <col min="37" max="37" width="45.28515625" customWidth="1"/>
    <col min="38" max="38" width="31.85546875" customWidth="1"/>
    <col min="39" max="39" width="18.5703125" customWidth="1"/>
    <col min="40" max="40" width="51.7109375" customWidth="1"/>
    <col min="41" max="41" width="61.42578125" customWidth="1"/>
    <col min="42" max="42" width="28" customWidth="1"/>
    <col min="43" max="43" width="14.42578125" customWidth="1"/>
    <col min="44" max="44" width="11.140625" customWidth="1"/>
  </cols>
  <sheetData>
    <row r="1" spans="1:44" ht="28.5" customHeight="1" x14ac:dyDescent="0.25">
      <c r="A1" s="19" t="s">
        <v>0</v>
      </c>
      <c r="B1" s="16" t="s">
        <v>52</v>
      </c>
      <c r="C1" s="17" t="s">
        <v>53</v>
      </c>
      <c r="D1" s="17" t="s">
        <v>54</v>
      </c>
      <c r="E1" s="12" t="s">
        <v>55</v>
      </c>
      <c r="F1" s="13" t="s">
        <v>56</v>
      </c>
      <c r="G1" s="12" t="s">
        <v>57</v>
      </c>
      <c r="H1" s="13" t="s">
        <v>58</v>
      </c>
      <c r="I1" s="24" t="s">
        <v>157</v>
      </c>
      <c r="J1" s="24" t="s">
        <v>161</v>
      </c>
      <c r="K1" s="24" t="s">
        <v>158</v>
      </c>
      <c r="L1" s="24" t="s">
        <v>159</v>
      </c>
      <c r="M1" s="24" t="s">
        <v>160</v>
      </c>
      <c r="N1" s="24" t="s">
        <v>160</v>
      </c>
      <c r="O1" s="408" t="s">
        <v>456</v>
      </c>
      <c r="P1" s="409"/>
      <c r="Q1" s="409"/>
      <c r="R1" s="409"/>
      <c r="S1" s="410"/>
      <c r="T1" s="17" t="s">
        <v>61</v>
      </c>
      <c r="U1" s="13" t="s">
        <v>62</v>
      </c>
      <c r="V1" s="24" t="s">
        <v>63</v>
      </c>
      <c r="W1" s="13" t="s">
        <v>63</v>
      </c>
      <c r="X1" s="12" t="s">
        <v>64</v>
      </c>
      <c r="Y1" s="13" t="s">
        <v>65</v>
      </c>
      <c r="Z1" s="12" t="s">
        <v>66</v>
      </c>
      <c r="AA1" s="17" t="s">
        <v>67</v>
      </c>
      <c r="AB1" s="17" t="s">
        <v>68</v>
      </c>
      <c r="AC1" s="13" t="s">
        <v>69</v>
      </c>
      <c r="AD1" s="24" t="s">
        <v>68</v>
      </c>
      <c r="AE1" s="24" t="s">
        <v>69</v>
      </c>
      <c r="AF1" s="24" t="s">
        <v>166</v>
      </c>
      <c r="AG1" s="24" t="s">
        <v>454</v>
      </c>
      <c r="AH1" s="24" t="s">
        <v>68</v>
      </c>
      <c r="AI1" s="24" t="s">
        <v>69</v>
      </c>
      <c r="AJ1" s="12" t="s">
        <v>70</v>
      </c>
      <c r="AK1" s="13" t="s">
        <v>71</v>
      </c>
      <c r="AL1" s="12" t="s">
        <v>72</v>
      </c>
      <c r="AM1" s="27" t="s">
        <v>73</v>
      </c>
      <c r="AN1" s="12" t="s">
        <v>74</v>
      </c>
      <c r="AO1" s="13" t="s">
        <v>75</v>
      </c>
      <c r="AP1" s="12" t="s">
        <v>76</v>
      </c>
      <c r="AQ1" s="13" t="s">
        <v>16</v>
      </c>
      <c r="AR1" s="18" t="s">
        <v>77</v>
      </c>
    </row>
    <row r="2" spans="1:44" ht="38.25" customHeight="1" x14ac:dyDescent="0.25">
      <c r="A2" s="19" t="s">
        <v>17</v>
      </c>
      <c r="B2" s="1" t="s">
        <v>78</v>
      </c>
      <c r="C2" s="2" t="s">
        <v>79</v>
      </c>
      <c r="D2" s="2"/>
      <c r="E2" s="3" t="s">
        <v>80</v>
      </c>
      <c r="F2" s="4" t="s">
        <v>81</v>
      </c>
      <c r="G2" s="3" t="s">
        <v>82</v>
      </c>
      <c r="H2" s="4" t="s">
        <v>83</v>
      </c>
      <c r="I2" s="25"/>
      <c r="J2" s="25"/>
      <c r="K2" s="25"/>
      <c r="L2" s="25"/>
      <c r="M2" s="25"/>
      <c r="N2" s="25"/>
      <c r="O2" s="13" t="s">
        <v>59</v>
      </c>
      <c r="P2" s="13" t="s">
        <v>447</v>
      </c>
      <c r="Q2" s="379" t="s">
        <v>457</v>
      </c>
      <c r="R2" s="379" t="s">
        <v>458</v>
      </c>
      <c r="S2" s="379" t="s">
        <v>459</v>
      </c>
      <c r="T2" s="2" t="s">
        <v>86</v>
      </c>
      <c r="U2" s="4" t="s">
        <v>87</v>
      </c>
      <c r="V2" s="25" t="s">
        <v>145</v>
      </c>
      <c r="W2" s="4" t="s">
        <v>88</v>
      </c>
      <c r="X2" s="3" t="s">
        <v>89</v>
      </c>
      <c r="Y2" s="4" t="s">
        <v>90</v>
      </c>
      <c r="Z2" s="3" t="s">
        <v>91</v>
      </c>
      <c r="AA2" s="2" t="s">
        <v>92</v>
      </c>
      <c r="AB2" s="2" t="s">
        <v>93</v>
      </c>
      <c r="AC2" s="4" t="s">
        <v>94</v>
      </c>
      <c r="AD2" s="25" t="s">
        <v>93</v>
      </c>
      <c r="AE2" s="25" t="s">
        <v>94</v>
      </c>
      <c r="AF2" s="25"/>
      <c r="AG2" s="25"/>
      <c r="AH2" s="25" t="s">
        <v>93</v>
      </c>
      <c r="AI2" s="25" t="s">
        <v>94</v>
      </c>
      <c r="AJ2" s="3" t="s">
        <v>95</v>
      </c>
      <c r="AK2" s="4" t="s">
        <v>96</v>
      </c>
      <c r="AL2" s="3" t="s">
        <v>97</v>
      </c>
      <c r="AM2" s="28" t="s">
        <v>98</v>
      </c>
      <c r="AN2" s="3" t="s">
        <v>99</v>
      </c>
      <c r="AO2" s="4" t="s">
        <v>100</v>
      </c>
      <c r="AP2" s="3" t="s">
        <v>101</v>
      </c>
      <c r="AQ2" s="4"/>
      <c r="AR2" s="14"/>
    </row>
    <row r="3" spans="1:44" ht="39" customHeight="1" x14ac:dyDescent="0.25">
      <c r="A3" s="19" t="s">
        <v>34</v>
      </c>
      <c r="B3" s="1" t="s">
        <v>102</v>
      </c>
      <c r="C3" s="2" t="s">
        <v>103</v>
      </c>
      <c r="D3" s="2"/>
      <c r="E3" s="3" t="s">
        <v>104</v>
      </c>
      <c r="F3" s="4" t="s">
        <v>105</v>
      </c>
      <c r="G3" s="3"/>
      <c r="H3" s="4"/>
      <c r="I3" s="25"/>
      <c r="J3" s="25"/>
      <c r="K3" s="25"/>
      <c r="L3" s="25"/>
      <c r="M3" s="25"/>
      <c r="N3" s="25"/>
      <c r="O3" s="4"/>
      <c r="P3" s="400"/>
      <c r="Q3" s="400"/>
      <c r="R3" s="400"/>
      <c r="S3" s="400" t="s">
        <v>460</v>
      </c>
      <c r="T3" s="401" t="s">
        <v>109</v>
      </c>
      <c r="U3" s="400" t="s">
        <v>110</v>
      </c>
      <c r="V3" s="25">
        <v>7.5</v>
      </c>
      <c r="W3" s="4" t="s">
        <v>111</v>
      </c>
      <c r="X3" s="3" t="s">
        <v>112</v>
      </c>
      <c r="Y3" s="4" t="s">
        <v>113</v>
      </c>
      <c r="Z3" s="3" t="s">
        <v>114</v>
      </c>
      <c r="AA3" s="2" t="s">
        <v>115</v>
      </c>
      <c r="AB3" s="2" t="s">
        <v>116</v>
      </c>
      <c r="AC3" s="4" t="s">
        <v>117</v>
      </c>
      <c r="AD3" s="25" t="s">
        <v>116</v>
      </c>
      <c r="AE3" s="25" t="s">
        <v>117</v>
      </c>
      <c r="AF3" s="25" t="s">
        <v>167</v>
      </c>
      <c r="AG3" s="25"/>
      <c r="AH3" s="25" t="s">
        <v>463</v>
      </c>
      <c r="AI3" s="25" t="s">
        <v>464</v>
      </c>
      <c r="AJ3" s="3" t="s">
        <v>118</v>
      </c>
      <c r="AK3" s="400" t="s">
        <v>119</v>
      </c>
      <c r="AL3" s="3" t="s">
        <v>120</v>
      </c>
      <c r="AM3" s="28" t="s">
        <v>121</v>
      </c>
      <c r="AN3" s="3" t="s">
        <v>122</v>
      </c>
      <c r="AO3" s="4" t="s">
        <v>123</v>
      </c>
      <c r="AP3" s="3" t="s">
        <v>124</v>
      </c>
      <c r="AQ3" s="4" t="b">
        <v>0</v>
      </c>
      <c r="AR3" s="14" t="s">
        <v>125</v>
      </c>
    </row>
    <row r="4" spans="1:44" s="381" customFormat="1" ht="15" customHeight="1" x14ac:dyDescent="0.25">
      <c r="E4" s="382" t="s">
        <v>130</v>
      </c>
      <c r="F4" s="382" t="s">
        <v>140</v>
      </c>
      <c r="G4" s="383" t="s">
        <v>141</v>
      </c>
      <c r="H4" s="384" t="s">
        <v>142</v>
      </c>
      <c r="I4" s="382" t="s">
        <v>481</v>
      </c>
      <c r="J4" s="382" t="s">
        <v>482</v>
      </c>
      <c r="K4" s="382" t="s">
        <v>483</v>
      </c>
      <c r="L4" s="382" t="s">
        <v>162</v>
      </c>
      <c r="M4" s="385" t="s">
        <v>144</v>
      </c>
      <c r="N4" s="382" t="s">
        <v>144</v>
      </c>
      <c r="O4" s="398">
        <v>16</v>
      </c>
      <c r="P4" s="31">
        <v>1.3</v>
      </c>
      <c r="Q4" s="31">
        <v>7.5</v>
      </c>
      <c r="R4" s="31" t="s">
        <v>144</v>
      </c>
      <c r="S4" s="31">
        <v>5</v>
      </c>
      <c r="T4" s="31" t="s">
        <v>146</v>
      </c>
      <c r="U4" s="399" t="s">
        <v>484</v>
      </c>
      <c r="V4" s="382" t="s">
        <v>620</v>
      </c>
      <c r="W4" s="382" t="s">
        <v>621</v>
      </c>
      <c r="X4" s="405">
        <v>0.5</v>
      </c>
      <c r="Y4" s="403">
        <v>1.5</v>
      </c>
      <c r="Z4" s="386" t="s">
        <v>144</v>
      </c>
      <c r="AA4" s="382" t="s">
        <v>143</v>
      </c>
      <c r="AB4" s="382" t="s">
        <v>148</v>
      </c>
      <c r="AC4" s="382">
        <v>5</v>
      </c>
      <c r="AD4" s="382" t="s">
        <v>164</v>
      </c>
      <c r="AE4" s="382" t="s">
        <v>165</v>
      </c>
      <c r="AF4" s="387">
        <v>0.48</v>
      </c>
      <c r="AG4" s="382" t="s">
        <v>144</v>
      </c>
      <c r="AH4" s="382" t="s">
        <v>144</v>
      </c>
      <c r="AI4" s="387" t="s">
        <v>144</v>
      </c>
      <c r="AJ4" s="31" t="s">
        <v>163</v>
      </c>
      <c r="AK4" s="31" t="s">
        <v>144</v>
      </c>
      <c r="AL4" s="399"/>
    </row>
    <row r="5" spans="1:44" ht="15" customHeight="1" x14ac:dyDescent="0.25">
      <c r="E5" s="31" t="s">
        <v>130</v>
      </c>
      <c r="F5" s="31" t="s">
        <v>140</v>
      </c>
      <c r="G5" s="373" t="s">
        <v>141</v>
      </c>
      <c r="H5" s="31" t="s">
        <v>142</v>
      </c>
      <c r="I5" s="31" t="s">
        <v>481</v>
      </c>
      <c r="J5" s="31" t="s">
        <v>482</v>
      </c>
      <c r="K5" s="31" t="s">
        <v>485</v>
      </c>
      <c r="L5" s="31" t="s">
        <v>162</v>
      </c>
      <c r="M5" s="31" t="s">
        <v>144</v>
      </c>
      <c r="N5" s="31" t="s">
        <v>144</v>
      </c>
      <c r="O5" s="31">
        <v>16</v>
      </c>
      <c r="P5" s="31">
        <v>1.3</v>
      </c>
      <c r="Q5" s="31">
        <v>7.5</v>
      </c>
      <c r="R5" s="31"/>
      <c r="S5" s="31">
        <v>5</v>
      </c>
      <c r="T5" s="31" t="s">
        <v>146</v>
      </c>
      <c r="U5" s="31" t="s">
        <v>484</v>
      </c>
      <c r="V5" s="31" t="s">
        <v>620</v>
      </c>
      <c r="W5" s="31" t="s">
        <v>621</v>
      </c>
      <c r="X5" s="406">
        <v>0.5</v>
      </c>
      <c r="Y5" s="396">
        <v>1.5</v>
      </c>
      <c r="Z5" s="388" t="s">
        <v>144</v>
      </c>
      <c r="AA5" s="31" t="s">
        <v>143</v>
      </c>
      <c r="AB5" s="31" t="s">
        <v>148</v>
      </c>
      <c r="AC5" s="31">
        <v>5</v>
      </c>
      <c r="AD5" s="31" t="s">
        <v>164</v>
      </c>
      <c r="AE5" s="31" t="s">
        <v>165</v>
      </c>
      <c r="AF5" s="371">
        <v>0.48</v>
      </c>
      <c r="AG5" s="31" t="s">
        <v>144</v>
      </c>
      <c r="AH5" s="31" t="s">
        <v>144</v>
      </c>
      <c r="AI5" s="371" t="s">
        <v>144</v>
      </c>
      <c r="AJ5" s="31" t="s">
        <v>163</v>
      </c>
      <c r="AK5" s="31" t="s">
        <v>144</v>
      </c>
      <c r="AL5" s="31"/>
    </row>
    <row r="6" spans="1:44" ht="15" customHeight="1" x14ac:dyDescent="0.25">
      <c r="E6" s="31" t="s">
        <v>130</v>
      </c>
      <c r="F6" s="31" t="s">
        <v>140</v>
      </c>
      <c r="G6" s="373" t="s">
        <v>141</v>
      </c>
      <c r="H6" s="31" t="s">
        <v>142</v>
      </c>
      <c r="I6" s="31" t="s">
        <v>481</v>
      </c>
      <c r="J6" s="31" t="s">
        <v>482</v>
      </c>
      <c r="K6" s="31" t="s">
        <v>486</v>
      </c>
      <c r="L6" s="31" t="s">
        <v>162</v>
      </c>
      <c r="M6" s="31" t="s">
        <v>144</v>
      </c>
      <c r="N6" s="31" t="s">
        <v>144</v>
      </c>
      <c r="O6" s="31">
        <v>16</v>
      </c>
      <c r="P6" s="31">
        <v>1.3</v>
      </c>
      <c r="Q6" s="31">
        <v>7.5</v>
      </c>
      <c r="R6" s="31"/>
      <c r="S6" s="31">
        <v>5</v>
      </c>
      <c r="T6" s="31" t="s">
        <v>146</v>
      </c>
      <c r="U6" s="31" t="s">
        <v>484</v>
      </c>
      <c r="V6" s="31" t="s">
        <v>620</v>
      </c>
      <c r="W6" s="31" t="s">
        <v>621</v>
      </c>
      <c r="X6" s="406">
        <v>0.5</v>
      </c>
      <c r="Y6" s="396">
        <v>1.5</v>
      </c>
      <c r="Z6" s="388" t="s">
        <v>144</v>
      </c>
      <c r="AA6" s="31" t="s">
        <v>143</v>
      </c>
      <c r="AB6" s="31" t="s">
        <v>148</v>
      </c>
      <c r="AC6" s="31">
        <v>5</v>
      </c>
      <c r="AD6" s="31" t="s">
        <v>164</v>
      </c>
      <c r="AE6" s="31" t="s">
        <v>165</v>
      </c>
      <c r="AF6" s="371">
        <v>0.48</v>
      </c>
      <c r="AG6" s="31" t="s">
        <v>144</v>
      </c>
      <c r="AH6" s="31" t="s">
        <v>144</v>
      </c>
      <c r="AI6" s="371" t="s">
        <v>144</v>
      </c>
      <c r="AJ6" s="31" t="s">
        <v>163</v>
      </c>
      <c r="AK6" s="31" t="s">
        <v>144</v>
      </c>
      <c r="AL6" s="31"/>
    </row>
    <row r="7" spans="1:44" ht="15" customHeight="1" x14ac:dyDescent="0.25">
      <c r="E7" s="31" t="s">
        <v>130</v>
      </c>
      <c r="F7" s="31" t="s">
        <v>140</v>
      </c>
      <c r="G7" s="373" t="s">
        <v>141</v>
      </c>
      <c r="H7" s="31" t="s">
        <v>142</v>
      </c>
      <c r="I7" s="31" t="s">
        <v>481</v>
      </c>
      <c r="J7" s="31" t="s">
        <v>482</v>
      </c>
      <c r="K7" s="31" t="s">
        <v>487</v>
      </c>
      <c r="L7" s="31" t="s">
        <v>162</v>
      </c>
      <c r="M7" s="31" t="s">
        <v>144</v>
      </c>
      <c r="N7" s="31" t="s">
        <v>144</v>
      </c>
      <c r="O7" s="31">
        <v>16</v>
      </c>
      <c r="P7" s="31">
        <v>1.3</v>
      </c>
      <c r="Q7" s="31">
        <v>7.5</v>
      </c>
      <c r="R7" s="31"/>
      <c r="S7" s="31">
        <v>5</v>
      </c>
      <c r="T7" s="31" t="s">
        <v>146</v>
      </c>
      <c r="U7" s="31" t="s">
        <v>484</v>
      </c>
      <c r="V7" s="31" t="s">
        <v>620</v>
      </c>
      <c r="W7" s="31" t="s">
        <v>621</v>
      </c>
      <c r="X7" s="406">
        <v>0.5</v>
      </c>
      <c r="Y7" s="396">
        <v>1.5</v>
      </c>
      <c r="Z7" s="388" t="s">
        <v>144</v>
      </c>
      <c r="AA7" s="31" t="s">
        <v>143</v>
      </c>
      <c r="AB7" s="31" t="s">
        <v>148</v>
      </c>
      <c r="AC7" s="31">
        <v>5</v>
      </c>
      <c r="AD7" s="31" t="s">
        <v>164</v>
      </c>
      <c r="AE7" s="31" t="s">
        <v>165</v>
      </c>
      <c r="AF7" s="371">
        <v>0.48</v>
      </c>
      <c r="AG7" s="31" t="s">
        <v>144</v>
      </c>
      <c r="AH7" s="31" t="s">
        <v>144</v>
      </c>
      <c r="AI7" s="371" t="s">
        <v>144</v>
      </c>
      <c r="AJ7" s="31" t="s">
        <v>163</v>
      </c>
      <c r="AK7" s="31" t="s">
        <v>144</v>
      </c>
      <c r="AL7" s="31"/>
    </row>
    <row r="8" spans="1:44" ht="15" customHeight="1" x14ac:dyDescent="0.25">
      <c r="E8" s="31" t="s">
        <v>130</v>
      </c>
      <c r="F8" s="31" t="s">
        <v>140</v>
      </c>
      <c r="G8" s="373" t="s">
        <v>141</v>
      </c>
      <c r="H8" s="31" t="s">
        <v>142</v>
      </c>
      <c r="I8" s="31" t="s">
        <v>481</v>
      </c>
      <c r="J8" s="31" t="s">
        <v>482</v>
      </c>
      <c r="K8" s="31" t="s">
        <v>488</v>
      </c>
      <c r="L8" s="31" t="s">
        <v>162</v>
      </c>
      <c r="M8" s="31" t="s">
        <v>144</v>
      </c>
      <c r="N8" s="31" t="s">
        <v>144</v>
      </c>
      <c r="O8" s="31">
        <v>16</v>
      </c>
      <c r="P8" s="31">
        <v>1.3</v>
      </c>
      <c r="Q8" s="31">
        <v>7.5</v>
      </c>
      <c r="R8" s="31"/>
      <c r="S8" s="31">
        <v>5</v>
      </c>
      <c r="T8" s="31" t="s">
        <v>146</v>
      </c>
      <c r="U8" s="31" t="s">
        <v>484</v>
      </c>
      <c r="V8" s="31" t="s">
        <v>620</v>
      </c>
      <c r="W8" s="31" t="s">
        <v>621</v>
      </c>
      <c r="X8" s="406">
        <v>0.5</v>
      </c>
      <c r="Y8" s="396">
        <v>1.5</v>
      </c>
      <c r="Z8" s="388" t="s">
        <v>144</v>
      </c>
      <c r="AA8" s="31" t="s">
        <v>143</v>
      </c>
      <c r="AB8" s="31" t="s">
        <v>148</v>
      </c>
      <c r="AC8" s="31">
        <v>5</v>
      </c>
      <c r="AD8" s="31" t="s">
        <v>164</v>
      </c>
      <c r="AE8" s="31" t="s">
        <v>165</v>
      </c>
      <c r="AF8" s="371">
        <v>0.48</v>
      </c>
      <c r="AG8" s="31" t="s">
        <v>144</v>
      </c>
      <c r="AH8" s="31" t="s">
        <v>144</v>
      </c>
      <c r="AI8" s="371" t="s">
        <v>144</v>
      </c>
      <c r="AJ8" s="31" t="s">
        <v>163</v>
      </c>
      <c r="AK8" s="31" t="s">
        <v>144</v>
      </c>
      <c r="AL8" s="31"/>
    </row>
    <row r="9" spans="1:44" ht="15" customHeight="1" x14ac:dyDescent="0.25">
      <c r="E9" s="31" t="s">
        <v>130</v>
      </c>
      <c r="F9" s="31" t="s">
        <v>140</v>
      </c>
      <c r="G9" s="373" t="s">
        <v>141</v>
      </c>
      <c r="H9" s="31" t="s">
        <v>142</v>
      </c>
      <c r="I9" s="31" t="s">
        <v>481</v>
      </c>
      <c r="J9" s="31" t="s">
        <v>482</v>
      </c>
      <c r="K9" s="31" t="s">
        <v>489</v>
      </c>
      <c r="L9" s="31" t="s">
        <v>162</v>
      </c>
      <c r="M9" s="31" t="s">
        <v>144</v>
      </c>
      <c r="N9" s="31" t="s">
        <v>144</v>
      </c>
      <c r="O9" s="31">
        <v>16</v>
      </c>
      <c r="P9" s="31">
        <v>1.3</v>
      </c>
      <c r="Q9" s="31">
        <v>7.5</v>
      </c>
      <c r="R9" s="31"/>
      <c r="S9" s="31">
        <v>5</v>
      </c>
      <c r="T9" s="31" t="s">
        <v>146</v>
      </c>
      <c r="U9" s="31" t="s">
        <v>484</v>
      </c>
      <c r="V9" s="31" t="s">
        <v>620</v>
      </c>
      <c r="W9" s="31" t="s">
        <v>621</v>
      </c>
      <c r="X9" s="406">
        <v>0.5</v>
      </c>
      <c r="Y9" s="396">
        <v>1.5</v>
      </c>
      <c r="Z9" s="388" t="s">
        <v>144</v>
      </c>
      <c r="AA9" s="31" t="s">
        <v>143</v>
      </c>
      <c r="AB9" s="31" t="s">
        <v>148</v>
      </c>
      <c r="AC9" s="31">
        <v>5</v>
      </c>
      <c r="AD9" s="31" t="s">
        <v>164</v>
      </c>
      <c r="AE9" s="31" t="s">
        <v>165</v>
      </c>
      <c r="AF9" s="371">
        <v>0.48</v>
      </c>
      <c r="AG9" s="31" t="s">
        <v>144</v>
      </c>
      <c r="AH9" s="31" t="s">
        <v>144</v>
      </c>
      <c r="AI9" s="371" t="s">
        <v>144</v>
      </c>
      <c r="AJ9" s="31" t="s">
        <v>163</v>
      </c>
      <c r="AK9" s="31" t="s">
        <v>144</v>
      </c>
      <c r="AL9" s="31"/>
    </row>
    <row r="10" spans="1:44" ht="15" customHeight="1" x14ac:dyDescent="0.25">
      <c r="E10" s="31" t="s">
        <v>130</v>
      </c>
      <c r="F10" s="31" t="s">
        <v>140</v>
      </c>
      <c r="G10" s="373" t="s">
        <v>141</v>
      </c>
      <c r="H10" s="31" t="s">
        <v>142</v>
      </c>
      <c r="I10" s="31" t="s">
        <v>481</v>
      </c>
      <c r="J10" s="31" t="s">
        <v>482</v>
      </c>
      <c r="K10" s="31" t="s">
        <v>490</v>
      </c>
      <c r="L10" s="31" t="s">
        <v>162</v>
      </c>
      <c r="M10" s="31" t="s">
        <v>144</v>
      </c>
      <c r="N10" s="31" t="s">
        <v>144</v>
      </c>
      <c r="O10" s="31">
        <v>16</v>
      </c>
      <c r="P10" s="31">
        <v>1.3</v>
      </c>
      <c r="Q10" s="31">
        <v>7.5</v>
      </c>
      <c r="R10" s="31"/>
      <c r="S10" s="31">
        <v>5</v>
      </c>
      <c r="T10" s="31" t="s">
        <v>146</v>
      </c>
      <c r="U10" s="31" t="s">
        <v>484</v>
      </c>
      <c r="V10" s="31" t="s">
        <v>620</v>
      </c>
      <c r="W10" s="31" t="s">
        <v>621</v>
      </c>
      <c r="X10" s="406">
        <v>0.5</v>
      </c>
      <c r="Y10" s="396">
        <v>1.5</v>
      </c>
      <c r="Z10" s="388" t="s">
        <v>144</v>
      </c>
      <c r="AA10" s="31" t="s">
        <v>143</v>
      </c>
      <c r="AB10" s="31" t="s">
        <v>148</v>
      </c>
      <c r="AC10" s="31">
        <v>5</v>
      </c>
      <c r="AD10" s="31" t="s">
        <v>164</v>
      </c>
      <c r="AE10" s="31" t="s">
        <v>165</v>
      </c>
      <c r="AF10" s="371">
        <v>0.48</v>
      </c>
      <c r="AG10" s="31" t="s">
        <v>144</v>
      </c>
      <c r="AH10" s="31" t="s">
        <v>144</v>
      </c>
      <c r="AI10" s="371" t="s">
        <v>144</v>
      </c>
      <c r="AJ10" s="31" t="s">
        <v>163</v>
      </c>
      <c r="AK10" s="31" t="s">
        <v>144</v>
      </c>
      <c r="AL10" s="31"/>
    </row>
    <row r="11" spans="1:44" ht="15" customHeight="1" x14ac:dyDescent="0.25">
      <c r="E11" s="31"/>
      <c r="F11" s="31"/>
      <c r="G11" s="373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88"/>
      <c r="Y11" s="388"/>
      <c r="Z11" s="388"/>
      <c r="AA11" s="31"/>
      <c r="AB11" s="31"/>
      <c r="AC11" s="31"/>
      <c r="AD11" s="31"/>
      <c r="AE11" s="31"/>
      <c r="AF11" s="371"/>
      <c r="AG11" s="31"/>
      <c r="AH11" s="31"/>
      <c r="AI11" s="371"/>
      <c r="AJ11" s="31"/>
      <c r="AK11" s="31"/>
      <c r="AL11" s="31"/>
    </row>
    <row r="12" spans="1:44" ht="15" customHeight="1" x14ac:dyDescent="0.25">
      <c r="G12" s="389"/>
      <c r="J12" s="31"/>
      <c r="K12" s="31"/>
      <c r="L12" s="31"/>
      <c r="Q12" s="31"/>
      <c r="T12" s="390"/>
      <c r="X12" s="391"/>
      <c r="Y12" s="391"/>
      <c r="Z12" s="391"/>
      <c r="AC12" s="390"/>
      <c r="AD12" s="390"/>
      <c r="AE12" s="390"/>
      <c r="AF12" s="371"/>
      <c r="AG12" s="390"/>
      <c r="AH12" s="390"/>
      <c r="AI12" s="371"/>
      <c r="AJ12" s="31"/>
      <c r="AK12" s="31"/>
    </row>
    <row r="13" spans="1:44" ht="15" customHeight="1" x14ac:dyDescent="0.25">
      <c r="E13" s="31" t="s">
        <v>622</v>
      </c>
      <c r="F13" s="31" t="s">
        <v>140</v>
      </c>
      <c r="G13" s="373" t="s">
        <v>142</v>
      </c>
      <c r="H13" s="31" t="s">
        <v>149</v>
      </c>
      <c r="I13" s="31" t="s">
        <v>481</v>
      </c>
      <c r="J13" s="31" t="s">
        <v>482</v>
      </c>
      <c r="K13" s="31" t="s">
        <v>491</v>
      </c>
      <c r="L13" s="31" t="s">
        <v>162</v>
      </c>
      <c r="M13" s="31" t="s">
        <v>144</v>
      </c>
      <c r="N13" s="31" t="s">
        <v>144</v>
      </c>
      <c r="O13" s="31">
        <v>16</v>
      </c>
      <c r="P13" s="31" t="s">
        <v>144</v>
      </c>
      <c r="Q13" s="31" t="s">
        <v>144</v>
      </c>
      <c r="R13" s="31" t="s">
        <v>144</v>
      </c>
      <c r="S13" s="31" t="s">
        <v>144</v>
      </c>
      <c r="T13" s="31" t="s">
        <v>425</v>
      </c>
      <c r="U13" s="31" t="s">
        <v>1316</v>
      </c>
      <c r="V13" s="31" t="s">
        <v>147</v>
      </c>
      <c r="W13" s="31" t="s">
        <v>624</v>
      </c>
      <c r="X13" s="375">
        <v>0.95199999999999996</v>
      </c>
      <c r="Y13" s="31">
        <v>1.75</v>
      </c>
      <c r="Z13" s="374" t="s">
        <v>144</v>
      </c>
      <c r="AA13" s="31" t="s">
        <v>235</v>
      </c>
      <c r="AB13" s="31" t="s">
        <v>465</v>
      </c>
      <c r="AC13" s="31">
        <v>5</v>
      </c>
      <c r="AD13" s="31" t="s">
        <v>164</v>
      </c>
      <c r="AE13" s="31" t="s">
        <v>625</v>
      </c>
      <c r="AF13" s="371">
        <v>0.81</v>
      </c>
      <c r="AG13" s="31" t="s">
        <v>144</v>
      </c>
      <c r="AH13" s="31" t="s">
        <v>144</v>
      </c>
      <c r="AI13" s="371" t="s">
        <v>144</v>
      </c>
      <c r="AJ13" s="31" t="s">
        <v>163</v>
      </c>
      <c r="AK13" s="31" t="s">
        <v>144</v>
      </c>
      <c r="AL13" s="31"/>
    </row>
    <row r="14" spans="1:44" ht="15" customHeight="1" x14ac:dyDescent="0.25">
      <c r="E14" s="31" t="s">
        <v>622</v>
      </c>
      <c r="F14" s="31" t="s">
        <v>140</v>
      </c>
      <c r="G14" s="373" t="s">
        <v>142</v>
      </c>
      <c r="H14" s="31" t="s">
        <v>149</v>
      </c>
      <c r="I14" s="31" t="s">
        <v>481</v>
      </c>
      <c r="J14" s="31" t="s">
        <v>482</v>
      </c>
      <c r="K14" s="31" t="s">
        <v>492</v>
      </c>
      <c r="L14" s="31" t="s">
        <v>162</v>
      </c>
      <c r="M14" s="31" t="s">
        <v>144</v>
      </c>
      <c r="N14" s="31" t="s">
        <v>144</v>
      </c>
      <c r="O14" s="31">
        <v>16</v>
      </c>
      <c r="P14" s="31" t="s">
        <v>144</v>
      </c>
      <c r="Q14" s="31" t="s">
        <v>144</v>
      </c>
      <c r="R14" s="31" t="s">
        <v>144</v>
      </c>
      <c r="S14" s="31" t="s">
        <v>144</v>
      </c>
      <c r="T14" s="31" t="s">
        <v>425</v>
      </c>
      <c r="U14" s="31" t="s">
        <v>1316</v>
      </c>
      <c r="V14" s="31" t="s">
        <v>147</v>
      </c>
      <c r="W14" s="31" t="s">
        <v>624</v>
      </c>
      <c r="X14" s="375">
        <v>0.95199999999999996</v>
      </c>
      <c r="Y14" s="31">
        <v>1.75</v>
      </c>
      <c r="Z14" s="374" t="s">
        <v>144</v>
      </c>
      <c r="AA14" s="31" t="s">
        <v>235</v>
      </c>
      <c r="AB14" s="31" t="s">
        <v>465</v>
      </c>
      <c r="AC14" s="31">
        <v>5</v>
      </c>
      <c r="AD14" s="31" t="s">
        <v>164</v>
      </c>
      <c r="AE14" s="31" t="s">
        <v>625</v>
      </c>
      <c r="AF14" s="371">
        <v>0.81</v>
      </c>
      <c r="AG14" s="31" t="s">
        <v>144</v>
      </c>
      <c r="AH14" s="31" t="s">
        <v>144</v>
      </c>
      <c r="AI14" s="371" t="s">
        <v>144</v>
      </c>
      <c r="AJ14" s="31" t="s">
        <v>163</v>
      </c>
      <c r="AK14" s="31" t="s">
        <v>144</v>
      </c>
      <c r="AL14" s="31"/>
    </row>
    <row r="15" spans="1:44" ht="15" customHeight="1" x14ac:dyDescent="0.25">
      <c r="E15" s="31" t="s">
        <v>622</v>
      </c>
      <c r="F15" s="31" t="s">
        <v>140</v>
      </c>
      <c r="G15" s="373" t="s">
        <v>142</v>
      </c>
      <c r="H15" s="31" t="s">
        <v>149</v>
      </c>
      <c r="I15" s="31" t="s">
        <v>481</v>
      </c>
      <c r="J15" s="31" t="s">
        <v>482</v>
      </c>
      <c r="K15" s="31" t="s">
        <v>493</v>
      </c>
      <c r="L15" s="31" t="s">
        <v>162</v>
      </c>
      <c r="M15" s="31" t="s">
        <v>144</v>
      </c>
      <c r="N15" s="31" t="s">
        <v>144</v>
      </c>
      <c r="O15" s="31">
        <v>16</v>
      </c>
      <c r="P15" s="31" t="s">
        <v>144</v>
      </c>
      <c r="Q15" s="31" t="s">
        <v>144</v>
      </c>
      <c r="R15" s="31" t="s">
        <v>144</v>
      </c>
      <c r="S15" s="31" t="s">
        <v>144</v>
      </c>
      <c r="T15" s="31" t="s">
        <v>425</v>
      </c>
      <c r="U15" s="31" t="s">
        <v>1316</v>
      </c>
      <c r="V15" s="31" t="s">
        <v>147</v>
      </c>
      <c r="W15" s="31" t="s">
        <v>624</v>
      </c>
      <c r="X15" s="375">
        <v>0.95199999999999996</v>
      </c>
      <c r="Y15" s="31">
        <v>1.75</v>
      </c>
      <c r="Z15" s="374" t="s">
        <v>144</v>
      </c>
      <c r="AA15" s="31" t="s">
        <v>235</v>
      </c>
      <c r="AB15" s="31" t="s">
        <v>465</v>
      </c>
      <c r="AC15" s="31">
        <v>5</v>
      </c>
      <c r="AD15" s="31" t="s">
        <v>164</v>
      </c>
      <c r="AE15" s="31" t="s">
        <v>625</v>
      </c>
      <c r="AF15" s="371">
        <v>0.81</v>
      </c>
      <c r="AG15" s="31" t="s">
        <v>144</v>
      </c>
      <c r="AH15" s="31" t="s">
        <v>144</v>
      </c>
      <c r="AI15" s="371" t="s">
        <v>144</v>
      </c>
      <c r="AJ15" s="31" t="s">
        <v>163</v>
      </c>
      <c r="AK15" s="31" t="s">
        <v>144</v>
      </c>
      <c r="AL15" s="31"/>
    </row>
    <row r="16" spans="1:44" ht="15" customHeight="1" x14ac:dyDescent="0.25">
      <c r="E16" s="31" t="s">
        <v>622</v>
      </c>
      <c r="F16" s="31" t="s">
        <v>140</v>
      </c>
      <c r="G16" s="373" t="s">
        <v>142</v>
      </c>
      <c r="H16" s="31" t="s">
        <v>149</v>
      </c>
      <c r="I16" s="31" t="s">
        <v>481</v>
      </c>
      <c r="J16" s="31" t="s">
        <v>482</v>
      </c>
      <c r="K16" s="31" t="s">
        <v>494</v>
      </c>
      <c r="L16" s="31" t="s">
        <v>162</v>
      </c>
      <c r="M16" s="31" t="s">
        <v>144</v>
      </c>
      <c r="N16" s="31" t="s">
        <v>144</v>
      </c>
      <c r="O16" s="31">
        <v>16</v>
      </c>
      <c r="P16" s="31" t="s">
        <v>144</v>
      </c>
      <c r="Q16" s="31" t="s">
        <v>144</v>
      </c>
      <c r="R16" s="31" t="s">
        <v>144</v>
      </c>
      <c r="S16" s="31" t="s">
        <v>144</v>
      </c>
      <c r="T16" s="31" t="s">
        <v>425</v>
      </c>
      <c r="U16" s="31" t="s">
        <v>1316</v>
      </c>
      <c r="V16" s="31" t="s">
        <v>147</v>
      </c>
      <c r="W16" s="31" t="s">
        <v>624</v>
      </c>
      <c r="X16" s="375">
        <v>0.95199999999999996</v>
      </c>
      <c r="Y16" s="31">
        <v>1.75</v>
      </c>
      <c r="Z16" s="374" t="s">
        <v>144</v>
      </c>
      <c r="AA16" s="31" t="s">
        <v>235</v>
      </c>
      <c r="AB16" s="31" t="s">
        <v>465</v>
      </c>
      <c r="AC16" s="31">
        <v>5</v>
      </c>
      <c r="AD16" s="31" t="s">
        <v>164</v>
      </c>
      <c r="AE16" s="31" t="s">
        <v>625</v>
      </c>
      <c r="AF16" s="371">
        <v>0.81</v>
      </c>
      <c r="AG16" s="31" t="s">
        <v>144</v>
      </c>
      <c r="AH16" s="31" t="s">
        <v>144</v>
      </c>
      <c r="AI16" s="371" t="s">
        <v>144</v>
      </c>
      <c r="AJ16" s="31" t="s">
        <v>163</v>
      </c>
      <c r="AK16" s="31" t="s">
        <v>144</v>
      </c>
      <c r="AL16" s="31"/>
    </row>
    <row r="17" spans="5:38" ht="15" customHeight="1" x14ac:dyDescent="0.25">
      <c r="E17" s="31" t="s">
        <v>622</v>
      </c>
      <c r="F17" s="31" t="s">
        <v>140</v>
      </c>
      <c r="G17" s="373" t="s">
        <v>142</v>
      </c>
      <c r="H17" s="31" t="s">
        <v>149</v>
      </c>
      <c r="I17" s="31" t="s">
        <v>481</v>
      </c>
      <c r="J17" s="31" t="s">
        <v>482</v>
      </c>
      <c r="K17" s="31" t="s">
        <v>495</v>
      </c>
      <c r="L17" s="31" t="s">
        <v>162</v>
      </c>
      <c r="M17" s="31" t="s">
        <v>144</v>
      </c>
      <c r="N17" s="31" t="s">
        <v>144</v>
      </c>
      <c r="O17" s="31">
        <v>16</v>
      </c>
      <c r="P17" s="31" t="s">
        <v>144</v>
      </c>
      <c r="Q17" s="31" t="s">
        <v>144</v>
      </c>
      <c r="R17" s="31" t="s">
        <v>144</v>
      </c>
      <c r="S17" s="31" t="s">
        <v>144</v>
      </c>
      <c r="T17" s="31" t="s">
        <v>425</v>
      </c>
      <c r="U17" s="31" t="s">
        <v>1316</v>
      </c>
      <c r="V17" s="31" t="s">
        <v>147</v>
      </c>
      <c r="W17" s="31" t="s">
        <v>624</v>
      </c>
      <c r="X17" s="375">
        <v>0.95199999999999996</v>
      </c>
      <c r="Y17" s="31">
        <v>1.75</v>
      </c>
      <c r="Z17" s="374" t="s">
        <v>144</v>
      </c>
      <c r="AA17" s="31" t="s">
        <v>235</v>
      </c>
      <c r="AB17" s="31" t="s">
        <v>465</v>
      </c>
      <c r="AC17" s="31">
        <v>5</v>
      </c>
      <c r="AD17" s="31" t="s">
        <v>164</v>
      </c>
      <c r="AE17" s="31" t="s">
        <v>625</v>
      </c>
      <c r="AF17" s="371">
        <v>0.81</v>
      </c>
      <c r="AG17" s="31" t="s">
        <v>144</v>
      </c>
      <c r="AH17" s="31" t="s">
        <v>144</v>
      </c>
      <c r="AI17" s="371" t="s">
        <v>144</v>
      </c>
      <c r="AJ17" s="31" t="s">
        <v>163</v>
      </c>
      <c r="AK17" s="31" t="s">
        <v>144</v>
      </c>
      <c r="AL17" s="31"/>
    </row>
    <row r="18" spans="5:38" ht="15" customHeight="1" x14ac:dyDescent="0.25">
      <c r="E18" s="31" t="s">
        <v>622</v>
      </c>
      <c r="F18" s="31" t="s">
        <v>140</v>
      </c>
      <c r="G18" s="373" t="s">
        <v>142</v>
      </c>
      <c r="H18" s="31" t="s">
        <v>149</v>
      </c>
      <c r="I18" s="31" t="s">
        <v>481</v>
      </c>
      <c r="J18" s="31" t="s">
        <v>482</v>
      </c>
      <c r="K18" s="31" t="s">
        <v>496</v>
      </c>
      <c r="L18" s="31" t="s">
        <v>162</v>
      </c>
      <c r="M18" s="31" t="s">
        <v>144</v>
      </c>
      <c r="N18" s="31" t="s">
        <v>144</v>
      </c>
      <c r="O18" s="31">
        <v>16</v>
      </c>
      <c r="P18" s="31" t="s">
        <v>144</v>
      </c>
      <c r="Q18" s="31" t="s">
        <v>144</v>
      </c>
      <c r="R18" s="31" t="s">
        <v>144</v>
      </c>
      <c r="S18" s="31" t="s">
        <v>144</v>
      </c>
      <c r="T18" s="31" t="s">
        <v>425</v>
      </c>
      <c r="U18" s="31" t="s">
        <v>1316</v>
      </c>
      <c r="V18" s="31" t="s">
        <v>147</v>
      </c>
      <c r="W18" s="31" t="s">
        <v>624</v>
      </c>
      <c r="X18" s="375">
        <v>0.95199999999999996</v>
      </c>
      <c r="Y18" s="31">
        <v>1.75</v>
      </c>
      <c r="Z18" s="374" t="s">
        <v>144</v>
      </c>
      <c r="AA18" s="31" t="s">
        <v>235</v>
      </c>
      <c r="AB18" s="31" t="s">
        <v>465</v>
      </c>
      <c r="AC18" s="31">
        <v>5</v>
      </c>
      <c r="AD18" s="31" t="s">
        <v>164</v>
      </c>
      <c r="AE18" s="31" t="s">
        <v>625</v>
      </c>
      <c r="AF18" s="371">
        <v>0.81</v>
      </c>
      <c r="AG18" s="31" t="s">
        <v>144</v>
      </c>
      <c r="AH18" s="31" t="s">
        <v>144</v>
      </c>
      <c r="AI18" s="371" t="s">
        <v>144</v>
      </c>
      <c r="AJ18" s="31" t="s">
        <v>163</v>
      </c>
      <c r="AK18" s="31" t="s">
        <v>144</v>
      </c>
      <c r="AL18" s="31"/>
    </row>
    <row r="19" spans="5:38" ht="15" customHeight="1" x14ac:dyDescent="0.25">
      <c r="E19" s="31" t="s">
        <v>622</v>
      </c>
      <c r="F19" s="31" t="s">
        <v>140</v>
      </c>
      <c r="G19" s="373" t="s">
        <v>142</v>
      </c>
      <c r="H19" s="31" t="s">
        <v>149</v>
      </c>
      <c r="I19" s="31" t="s">
        <v>481</v>
      </c>
      <c r="J19" s="31" t="s">
        <v>482</v>
      </c>
      <c r="K19" s="31" t="s">
        <v>497</v>
      </c>
      <c r="L19" s="31" t="s">
        <v>162</v>
      </c>
      <c r="M19" s="31" t="s">
        <v>144</v>
      </c>
      <c r="N19" s="31" t="s">
        <v>144</v>
      </c>
      <c r="O19" s="31">
        <v>16</v>
      </c>
      <c r="P19" s="31" t="s">
        <v>144</v>
      </c>
      <c r="Q19" s="31" t="s">
        <v>144</v>
      </c>
      <c r="R19" s="31" t="s">
        <v>144</v>
      </c>
      <c r="S19" s="31" t="s">
        <v>144</v>
      </c>
      <c r="T19" s="31" t="s">
        <v>425</v>
      </c>
      <c r="U19" s="31" t="s">
        <v>1316</v>
      </c>
      <c r="V19" s="31" t="s">
        <v>147</v>
      </c>
      <c r="W19" s="31" t="s">
        <v>624</v>
      </c>
      <c r="X19" s="375">
        <v>0.95199999999999996</v>
      </c>
      <c r="Y19" s="31">
        <v>1.75</v>
      </c>
      <c r="Z19" s="374" t="s">
        <v>144</v>
      </c>
      <c r="AA19" s="31" t="s">
        <v>235</v>
      </c>
      <c r="AB19" s="31" t="s">
        <v>465</v>
      </c>
      <c r="AC19" s="31">
        <v>5</v>
      </c>
      <c r="AD19" s="31" t="s">
        <v>164</v>
      </c>
      <c r="AE19" s="31" t="s">
        <v>625</v>
      </c>
      <c r="AF19" s="371">
        <v>0.81</v>
      </c>
      <c r="AG19" s="31" t="s">
        <v>144</v>
      </c>
      <c r="AH19" s="31" t="s">
        <v>144</v>
      </c>
      <c r="AI19" s="371" t="s">
        <v>144</v>
      </c>
      <c r="AJ19" s="31" t="s">
        <v>163</v>
      </c>
      <c r="AK19" s="31" t="s">
        <v>144</v>
      </c>
      <c r="AL19" s="31"/>
    </row>
    <row r="20" spans="5:38" ht="15" customHeight="1" x14ac:dyDescent="0.25">
      <c r="E20" s="31" t="s">
        <v>622</v>
      </c>
      <c r="F20" s="31" t="s">
        <v>140</v>
      </c>
      <c r="G20" s="373" t="s">
        <v>142</v>
      </c>
      <c r="H20" s="31" t="s">
        <v>149</v>
      </c>
      <c r="I20" s="31" t="s">
        <v>481</v>
      </c>
      <c r="J20" s="31" t="s">
        <v>482</v>
      </c>
      <c r="K20" s="31" t="s">
        <v>498</v>
      </c>
      <c r="L20" s="31" t="s">
        <v>162</v>
      </c>
      <c r="M20" s="31" t="s">
        <v>144</v>
      </c>
      <c r="N20" s="31" t="s">
        <v>144</v>
      </c>
      <c r="O20" s="31">
        <v>16</v>
      </c>
      <c r="P20" s="31" t="s">
        <v>144</v>
      </c>
      <c r="Q20" s="31" t="s">
        <v>144</v>
      </c>
      <c r="R20" s="31" t="s">
        <v>144</v>
      </c>
      <c r="S20" s="31" t="s">
        <v>144</v>
      </c>
      <c r="T20" s="31" t="s">
        <v>425</v>
      </c>
      <c r="U20" s="31" t="s">
        <v>1316</v>
      </c>
      <c r="V20" s="31" t="s">
        <v>147</v>
      </c>
      <c r="W20" s="31" t="s">
        <v>624</v>
      </c>
      <c r="X20" s="375">
        <v>0.95199999999999996</v>
      </c>
      <c r="Y20" s="31">
        <v>1.75</v>
      </c>
      <c r="Z20" s="374" t="s">
        <v>144</v>
      </c>
      <c r="AA20" s="31" t="s">
        <v>235</v>
      </c>
      <c r="AB20" s="31" t="s">
        <v>465</v>
      </c>
      <c r="AC20" s="31">
        <v>5</v>
      </c>
      <c r="AD20" s="31" t="s">
        <v>164</v>
      </c>
      <c r="AE20" s="31" t="s">
        <v>625</v>
      </c>
      <c r="AF20" s="371">
        <v>0.81</v>
      </c>
      <c r="AG20" s="31" t="s">
        <v>144</v>
      </c>
      <c r="AH20" s="31" t="s">
        <v>144</v>
      </c>
      <c r="AI20" s="371" t="s">
        <v>144</v>
      </c>
      <c r="AJ20" s="31" t="s">
        <v>163</v>
      </c>
      <c r="AK20" s="31" t="s">
        <v>144</v>
      </c>
      <c r="AL20" s="31"/>
    </row>
    <row r="21" spans="5:38" ht="15" customHeight="1" x14ac:dyDescent="0.25">
      <c r="E21" s="31" t="s">
        <v>622</v>
      </c>
      <c r="F21" s="31" t="s">
        <v>140</v>
      </c>
      <c r="G21" s="373" t="s">
        <v>142</v>
      </c>
      <c r="H21" s="31" t="s">
        <v>149</v>
      </c>
      <c r="I21" s="31" t="s">
        <v>481</v>
      </c>
      <c r="J21" s="31" t="s">
        <v>482</v>
      </c>
      <c r="K21" s="31" t="s">
        <v>499</v>
      </c>
      <c r="L21" s="31" t="s">
        <v>162</v>
      </c>
      <c r="M21" s="31" t="s">
        <v>144</v>
      </c>
      <c r="N21" s="31" t="s">
        <v>144</v>
      </c>
      <c r="O21" s="31">
        <v>16</v>
      </c>
      <c r="P21" s="31" t="s">
        <v>144</v>
      </c>
      <c r="Q21" s="31" t="s">
        <v>144</v>
      </c>
      <c r="R21" s="31" t="s">
        <v>144</v>
      </c>
      <c r="S21" s="31" t="s">
        <v>144</v>
      </c>
      <c r="T21" s="31" t="s">
        <v>425</v>
      </c>
      <c r="U21" s="31" t="s">
        <v>1316</v>
      </c>
      <c r="V21" s="31" t="s">
        <v>147</v>
      </c>
      <c r="W21" s="31" t="s">
        <v>624</v>
      </c>
      <c r="X21" s="375">
        <v>0.95199999999999996</v>
      </c>
      <c r="Y21" s="31">
        <v>1.75</v>
      </c>
      <c r="Z21" s="374" t="s">
        <v>144</v>
      </c>
      <c r="AA21" s="31" t="s">
        <v>235</v>
      </c>
      <c r="AB21" s="31" t="s">
        <v>465</v>
      </c>
      <c r="AC21" s="31">
        <v>5</v>
      </c>
      <c r="AD21" s="31" t="s">
        <v>164</v>
      </c>
      <c r="AE21" s="31" t="s">
        <v>625</v>
      </c>
      <c r="AF21" s="371">
        <v>0.81</v>
      </c>
      <c r="AG21" s="31" t="s">
        <v>144</v>
      </c>
      <c r="AH21" s="31" t="s">
        <v>144</v>
      </c>
      <c r="AI21" s="371" t="s">
        <v>144</v>
      </c>
      <c r="AJ21" s="31" t="s">
        <v>163</v>
      </c>
      <c r="AK21" s="31" t="s">
        <v>144</v>
      </c>
      <c r="AL21" s="31"/>
    </row>
    <row r="22" spans="5:38" ht="15" customHeight="1" x14ac:dyDescent="0.25">
      <c r="E22" s="31"/>
      <c r="F22" s="31"/>
      <c r="G22" s="373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75"/>
      <c r="Y22" s="31"/>
      <c r="Z22" s="374"/>
      <c r="AA22" s="31"/>
      <c r="AB22" s="31"/>
      <c r="AC22" s="31"/>
      <c r="AD22" s="31"/>
      <c r="AE22" s="31"/>
      <c r="AF22" s="371"/>
      <c r="AG22" s="31"/>
      <c r="AH22" s="31"/>
      <c r="AI22" s="371"/>
      <c r="AJ22" s="31"/>
      <c r="AK22" s="31"/>
      <c r="AL22" s="31"/>
    </row>
    <row r="23" spans="5:38" ht="15" customHeight="1" x14ac:dyDescent="0.25">
      <c r="E23" s="31"/>
      <c r="F23" s="31"/>
      <c r="G23" s="373"/>
      <c r="H23" s="31"/>
      <c r="I23" s="31"/>
      <c r="J23" s="31"/>
      <c r="K23" s="31"/>
      <c r="L23" s="31"/>
      <c r="M23" s="31"/>
      <c r="Q23" s="31"/>
      <c r="T23" s="390"/>
      <c r="X23" s="404"/>
      <c r="Z23" s="391"/>
      <c r="AC23" s="390"/>
      <c r="AD23" s="390"/>
      <c r="AE23" s="390"/>
      <c r="AF23" s="371"/>
      <c r="AG23" s="390"/>
      <c r="AH23" s="390"/>
      <c r="AI23" s="371"/>
      <c r="AJ23" s="31"/>
      <c r="AK23" s="31"/>
      <c r="AL23" s="390"/>
    </row>
    <row r="24" spans="5:38" ht="15" customHeight="1" x14ac:dyDescent="0.25">
      <c r="E24" s="31" t="s">
        <v>626</v>
      </c>
      <c r="F24" s="31" t="s">
        <v>140</v>
      </c>
      <c r="G24" s="31" t="s">
        <v>149</v>
      </c>
      <c r="H24" s="31" t="s">
        <v>150</v>
      </c>
      <c r="I24" s="31" t="s">
        <v>481</v>
      </c>
      <c r="J24" s="31" t="s">
        <v>500</v>
      </c>
      <c r="K24" s="31" t="s">
        <v>501</v>
      </c>
      <c r="L24" s="31" t="s">
        <v>162</v>
      </c>
      <c r="M24" s="31" t="s">
        <v>144</v>
      </c>
      <c r="N24" s="31" t="s">
        <v>144</v>
      </c>
      <c r="O24" s="31">
        <v>16</v>
      </c>
      <c r="P24" s="31" t="s">
        <v>144</v>
      </c>
      <c r="Q24" s="31" t="s">
        <v>144</v>
      </c>
      <c r="R24" s="31" t="s">
        <v>144</v>
      </c>
      <c r="S24" s="31" t="s">
        <v>619</v>
      </c>
      <c r="T24" s="31" t="s">
        <v>502</v>
      </c>
      <c r="U24" s="31" t="s">
        <v>1317</v>
      </c>
      <c r="V24" s="31" t="s">
        <v>623</v>
      </c>
      <c r="W24" s="31" t="s">
        <v>628</v>
      </c>
      <c r="X24" s="375">
        <v>0.98399999999999999</v>
      </c>
      <c r="Y24" s="31">
        <v>2.63</v>
      </c>
      <c r="Z24" s="374" t="s">
        <v>144</v>
      </c>
      <c r="AA24" s="31" t="s">
        <v>426</v>
      </c>
      <c r="AB24" t="s">
        <v>629</v>
      </c>
      <c r="AC24" s="31">
        <v>5</v>
      </c>
      <c r="AD24" s="31" t="s">
        <v>164</v>
      </c>
      <c r="AE24" s="31" t="s">
        <v>630</v>
      </c>
      <c r="AF24" s="31">
        <v>0.90500000000000003</v>
      </c>
      <c r="AG24" s="31" t="s">
        <v>144</v>
      </c>
      <c r="AH24" s="31" t="s">
        <v>144</v>
      </c>
      <c r="AI24" s="31" t="s">
        <v>631</v>
      </c>
      <c r="AJ24" s="31" t="s">
        <v>163</v>
      </c>
      <c r="AK24" s="31" t="s">
        <v>469</v>
      </c>
    </row>
    <row r="25" spans="5:38" ht="15" customHeight="1" x14ac:dyDescent="0.25">
      <c r="E25" s="31" t="s">
        <v>626</v>
      </c>
      <c r="F25" s="31" t="s">
        <v>140</v>
      </c>
      <c r="G25" s="31" t="s">
        <v>149</v>
      </c>
      <c r="H25" s="31" t="s">
        <v>150</v>
      </c>
      <c r="I25" s="31" t="s">
        <v>481</v>
      </c>
      <c r="J25" s="31" t="s">
        <v>500</v>
      </c>
      <c r="K25" s="31" t="s">
        <v>503</v>
      </c>
      <c r="L25" s="31" t="s">
        <v>162</v>
      </c>
      <c r="M25" s="31" t="s">
        <v>144</v>
      </c>
      <c r="N25" s="31" t="s">
        <v>144</v>
      </c>
      <c r="O25" s="31">
        <v>16</v>
      </c>
      <c r="P25" s="31" t="s">
        <v>144</v>
      </c>
      <c r="Q25" s="31" t="s">
        <v>144</v>
      </c>
      <c r="R25" s="31" t="s">
        <v>144</v>
      </c>
      <c r="S25" s="31" t="s">
        <v>619</v>
      </c>
      <c r="T25" s="31" t="s">
        <v>502</v>
      </c>
      <c r="U25" s="31" t="s">
        <v>1317</v>
      </c>
      <c r="V25" s="31" t="s">
        <v>623</v>
      </c>
      <c r="W25" s="31" t="s">
        <v>628</v>
      </c>
      <c r="X25" s="375">
        <v>0.98399999999999999</v>
      </c>
      <c r="Y25" s="31">
        <v>2.63</v>
      </c>
      <c r="Z25" s="374" t="s">
        <v>144</v>
      </c>
      <c r="AA25" s="31" t="s">
        <v>426</v>
      </c>
      <c r="AB25" t="s">
        <v>629</v>
      </c>
      <c r="AC25" s="31">
        <v>5</v>
      </c>
      <c r="AD25" s="31" t="s">
        <v>164</v>
      </c>
      <c r="AE25" s="31" t="s">
        <v>630</v>
      </c>
      <c r="AF25" s="31">
        <v>0.90500000000000003</v>
      </c>
      <c r="AG25" s="31" t="s">
        <v>144</v>
      </c>
      <c r="AH25" s="31" t="s">
        <v>144</v>
      </c>
      <c r="AI25" s="31" t="s">
        <v>631</v>
      </c>
      <c r="AJ25" s="31" t="s">
        <v>163</v>
      </c>
      <c r="AK25" s="31" t="s">
        <v>469</v>
      </c>
    </row>
    <row r="26" spans="5:38" ht="15" customHeight="1" x14ac:dyDescent="0.25">
      <c r="E26" s="31" t="s">
        <v>626</v>
      </c>
      <c r="F26" s="31" t="s">
        <v>140</v>
      </c>
      <c r="G26" s="31" t="s">
        <v>149</v>
      </c>
      <c r="H26" s="31" t="s">
        <v>150</v>
      </c>
      <c r="I26" s="31" t="s">
        <v>481</v>
      </c>
      <c r="J26" s="31" t="s">
        <v>500</v>
      </c>
      <c r="K26" s="31" t="s">
        <v>504</v>
      </c>
      <c r="L26" s="31" t="s">
        <v>162</v>
      </c>
      <c r="M26" s="31" t="s">
        <v>144</v>
      </c>
      <c r="N26" s="31" t="s">
        <v>144</v>
      </c>
      <c r="O26" s="31">
        <v>16</v>
      </c>
      <c r="P26" s="31" t="s">
        <v>144</v>
      </c>
      <c r="Q26" s="31" t="s">
        <v>144</v>
      </c>
      <c r="R26" s="31" t="s">
        <v>144</v>
      </c>
      <c r="S26" s="31" t="s">
        <v>619</v>
      </c>
      <c r="T26" s="31" t="s">
        <v>502</v>
      </c>
      <c r="U26" s="31" t="s">
        <v>1317</v>
      </c>
      <c r="V26" s="31" t="s">
        <v>623</v>
      </c>
      <c r="W26" s="31" t="s">
        <v>628</v>
      </c>
      <c r="X26" s="375">
        <v>0.98399999999999999</v>
      </c>
      <c r="Y26" s="31">
        <v>2.63</v>
      </c>
      <c r="Z26" s="374" t="s">
        <v>144</v>
      </c>
      <c r="AA26" s="31" t="s">
        <v>426</v>
      </c>
      <c r="AB26" t="s">
        <v>629</v>
      </c>
      <c r="AC26" s="31">
        <v>5</v>
      </c>
      <c r="AD26" s="31" t="s">
        <v>164</v>
      </c>
      <c r="AE26" s="31" t="s">
        <v>630</v>
      </c>
      <c r="AF26" s="31">
        <v>0.90500000000000003</v>
      </c>
      <c r="AG26" s="31" t="s">
        <v>144</v>
      </c>
      <c r="AH26" s="31" t="s">
        <v>144</v>
      </c>
      <c r="AI26" s="31" t="s">
        <v>631</v>
      </c>
      <c r="AJ26" s="31" t="s">
        <v>163</v>
      </c>
      <c r="AK26" s="31" t="s">
        <v>469</v>
      </c>
    </row>
    <row r="27" spans="5:38" ht="15" customHeight="1" x14ac:dyDescent="0.25">
      <c r="E27" s="31" t="s">
        <v>626</v>
      </c>
      <c r="F27" s="31" t="s">
        <v>140</v>
      </c>
      <c r="G27" s="31" t="s">
        <v>149</v>
      </c>
      <c r="H27" s="31" t="s">
        <v>150</v>
      </c>
      <c r="I27" s="31" t="s">
        <v>481</v>
      </c>
      <c r="J27" s="31" t="s">
        <v>500</v>
      </c>
      <c r="K27" s="31" t="s">
        <v>505</v>
      </c>
      <c r="L27" s="31" t="s">
        <v>162</v>
      </c>
      <c r="M27" s="31" t="s">
        <v>144</v>
      </c>
      <c r="N27" s="31" t="s">
        <v>144</v>
      </c>
      <c r="O27" s="31">
        <v>16</v>
      </c>
      <c r="P27" s="31" t="s">
        <v>144</v>
      </c>
      <c r="Q27" s="31" t="s">
        <v>144</v>
      </c>
      <c r="R27" s="31" t="s">
        <v>144</v>
      </c>
      <c r="S27" s="31" t="s">
        <v>619</v>
      </c>
      <c r="T27" s="31" t="s">
        <v>502</v>
      </c>
      <c r="U27" s="31" t="s">
        <v>1317</v>
      </c>
      <c r="V27" s="31" t="s">
        <v>623</v>
      </c>
      <c r="W27" s="31" t="s">
        <v>628</v>
      </c>
      <c r="X27" s="375">
        <v>0.98399999999999999</v>
      </c>
      <c r="Y27" s="31">
        <v>2.63</v>
      </c>
      <c r="Z27" s="374" t="s">
        <v>144</v>
      </c>
      <c r="AA27" s="31" t="s">
        <v>426</v>
      </c>
      <c r="AB27" t="s">
        <v>629</v>
      </c>
      <c r="AC27" s="31">
        <v>5</v>
      </c>
      <c r="AD27" s="31" t="s">
        <v>164</v>
      </c>
      <c r="AE27" s="31" t="s">
        <v>630</v>
      </c>
      <c r="AF27" s="31">
        <v>0.90500000000000003</v>
      </c>
      <c r="AG27" s="31" t="s">
        <v>144</v>
      </c>
      <c r="AH27" s="31" t="s">
        <v>144</v>
      </c>
      <c r="AI27" s="31" t="s">
        <v>631</v>
      </c>
      <c r="AJ27" s="31" t="s">
        <v>163</v>
      </c>
      <c r="AK27" s="31" t="s">
        <v>469</v>
      </c>
    </row>
    <row r="28" spans="5:38" ht="15" customHeight="1" x14ac:dyDescent="0.25">
      <c r="E28" s="31" t="s">
        <v>626</v>
      </c>
      <c r="F28" s="31" t="s">
        <v>140</v>
      </c>
      <c r="G28" s="31" t="s">
        <v>149</v>
      </c>
      <c r="H28" s="31" t="s">
        <v>150</v>
      </c>
      <c r="I28" s="31" t="s">
        <v>481</v>
      </c>
      <c r="J28" s="31" t="s">
        <v>500</v>
      </c>
      <c r="K28" s="31" t="s">
        <v>506</v>
      </c>
      <c r="L28" s="31" t="s">
        <v>162</v>
      </c>
      <c r="M28" s="31" t="s">
        <v>144</v>
      </c>
      <c r="N28" s="31" t="s">
        <v>144</v>
      </c>
      <c r="O28" s="31">
        <v>16</v>
      </c>
      <c r="P28" s="31" t="s">
        <v>144</v>
      </c>
      <c r="Q28" s="31" t="s">
        <v>144</v>
      </c>
      <c r="R28" s="31" t="s">
        <v>144</v>
      </c>
      <c r="S28" s="31" t="s">
        <v>619</v>
      </c>
      <c r="T28" s="31" t="s">
        <v>502</v>
      </c>
      <c r="U28" s="31" t="s">
        <v>1317</v>
      </c>
      <c r="V28" s="31" t="s">
        <v>623</v>
      </c>
      <c r="W28" s="31" t="s">
        <v>628</v>
      </c>
      <c r="X28" s="375">
        <v>0.98399999999999999</v>
      </c>
      <c r="Y28" s="31">
        <v>2.63</v>
      </c>
      <c r="Z28" s="374" t="s">
        <v>144</v>
      </c>
      <c r="AA28" s="31" t="s">
        <v>426</v>
      </c>
      <c r="AB28" t="s">
        <v>629</v>
      </c>
      <c r="AC28" s="31">
        <v>5</v>
      </c>
      <c r="AD28" s="31" t="s">
        <v>164</v>
      </c>
      <c r="AE28" s="31" t="s">
        <v>630</v>
      </c>
      <c r="AF28" s="31">
        <v>0.90500000000000003</v>
      </c>
      <c r="AG28" s="31" t="s">
        <v>144</v>
      </c>
      <c r="AH28" s="31" t="s">
        <v>144</v>
      </c>
      <c r="AI28" s="31" t="s">
        <v>631</v>
      </c>
      <c r="AJ28" s="31" t="s">
        <v>163</v>
      </c>
      <c r="AK28" s="31" t="s">
        <v>469</v>
      </c>
    </row>
    <row r="29" spans="5:38" ht="15" customHeight="1" x14ac:dyDescent="0.25">
      <c r="E29" s="31" t="s">
        <v>626</v>
      </c>
      <c r="F29" s="31" t="s">
        <v>140</v>
      </c>
      <c r="G29" s="31" t="s">
        <v>149</v>
      </c>
      <c r="H29" s="31" t="s">
        <v>150</v>
      </c>
      <c r="I29" s="31" t="s">
        <v>481</v>
      </c>
      <c r="J29" s="31" t="s">
        <v>500</v>
      </c>
      <c r="K29" s="31" t="s">
        <v>507</v>
      </c>
      <c r="L29" s="31" t="s">
        <v>162</v>
      </c>
      <c r="M29" s="31" t="s">
        <v>144</v>
      </c>
      <c r="N29" s="31" t="s">
        <v>144</v>
      </c>
      <c r="O29" s="31">
        <v>16</v>
      </c>
      <c r="P29" s="31" t="s">
        <v>144</v>
      </c>
      <c r="Q29" s="31" t="s">
        <v>144</v>
      </c>
      <c r="R29" s="31" t="s">
        <v>144</v>
      </c>
      <c r="S29" s="31" t="s">
        <v>619</v>
      </c>
      <c r="T29" s="31" t="s">
        <v>502</v>
      </c>
      <c r="U29" s="31" t="s">
        <v>1317</v>
      </c>
      <c r="V29" s="31" t="s">
        <v>623</v>
      </c>
      <c r="W29" s="31" t="s">
        <v>628</v>
      </c>
      <c r="X29" s="375">
        <v>0.98399999999999999</v>
      </c>
      <c r="Y29" s="31">
        <v>2.63</v>
      </c>
      <c r="Z29" s="374" t="s">
        <v>144</v>
      </c>
      <c r="AA29" s="31" t="s">
        <v>426</v>
      </c>
      <c r="AB29" t="s">
        <v>629</v>
      </c>
      <c r="AC29" s="31">
        <v>5</v>
      </c>
      <c r="AD29" s="31" t="s">
        <v>164</v>
      </c>
      <c r="AE29" s="31" t="s">
        <v>630</v>
      </c>
      <c r="AF29" s="31">
        <v>0.90500000000000003</v>
      </c>
      <c r="AG29" s="31" t="s">
        <v>144</v>
      </c>
      <c r="AH29" s="31" t="s">
        <v>144</v>
      </c>
      <c r="AI29" s="31" t="s">
        <v>631</v>
      </c>
      <c r="AJ29" s="31" t="s">
        <v>163</v>
      </c>
      <c r="AK29" s="31" t="s">
        <v>469</v>
      </c>
    </row>
    <row r="30" spans="5:38" ht="15" customHeight="1" x14ac:dyDescent="0.25">
      <c r="E30" s="31" t="s">
        <v>626</v>
      </c>
      <c r="F30" s="31" t="s">
        <v>140</v>
      </c>
      <c r="G30" s="31" t="s">
        <v>149</v>
      </c>
      <c r="H30" s="31" t="s">
        <v>150</v>
      </c>
      <c r="I30" s="31" t="s">
        <v>481</v>
      </c>
      <c r="J30" s="31" t="s">
        <v>500</v>
      </c>
      <c r="K30" s="31" t="s">
        <v>508</v>
      </c>
      <c r="L30" s="31" t="s">
        <v>162</v>
      </c>
      <c r="M30" s="31" t="s">
        <v>144</v>
      </c>
      <c r="N30" s="31" t="s">
        <v>144</v>
      </c>
      <c r="O30" s="31">
        <v>16</v>
      </c>
      <c r="P30" s="31" t="s">
        <v>144</v>
      </c>
      <c r="Q30" s="31" t="s">
        <v>144</v>
      </c>
      <c r="R30" s="31" t="s">
        <v>144</v>
      </c>
      <c r="S30" s="31" t="s">
        <v>619</v>
      </c>
      <c r="T30" s="31" t="s">
        <v>502</v>
      </c>
      <c r="U30" s="31" t="s">
        <v>1317</v>
      </c>
      <c r="V30" s="31" t="s">
        <v>623</v>
      </c>
      <c r="W30" s="31" t="s">
        <v>628</v>
      </c>
      <c r="X30" s="375">
        <v>0.98399999999999999</v>
      </c>
      <c r="Y30" s="31">
        <v>2.63</v>
      </c>
      <c r="Z30" s="374" t="s">
        <v>144</v>
      </c>
      <c r="AA30" s="31" t="s">
        <v>426</v>
      </c>
      <c r="AB30" t="s">
        <v>629</v>
      </c>
      <c r="AC30" s="31">
        <v>5</v>
      </c>
      <c r="AD30" s="31" t="s">
        <v>164</v>
      </c>
      <c r="AE30" s="31" t="s">
        <v>630</v>
      </c>
      <c r="AF30" s="31">
        <v>0.90500000000000003</v>
      </c>
      <c r="AG30" s="31" t="s">
        <v>144</v>
      </c>
      <c r="AH30" s="31" t="s">
        <v>144</v>
      </c>
      <c r="AI30" s="31" t="s">
        <v>631</v>
      </c>
      <c r="AJ30" s="31" t="s">
        <v>163</v>
      </c>
      <c r="AK30" s="31" t="s">
        <v>469</v>
      </c>
    </row>
    <row r="31" spans="5:38" ht="15" customHeight="1" x14ac:dyDescent="0.25">
      <c r="E31" s="31" t="s">
        <v>626</v>
      </c>
      <c r="F31" s="31" t="s">
        <v>140</v>
      </c>
      <c r="G31" s="31" t="s">
        <v>149</v>
      </c>
      <c r="H31" s="31" t="s">
        <v>150</v>
      </c>
      <c r="I31" s="31" t="s">
        <v>481</v>
      </c>
      <c r="J31" s="31" t="s">
        <v>500</v>
      </c>
      <c r="K31" s="31" t="s">
        <v>509</v>
      </c>
      <c r="L31" s="31" t="s">
        <v>162</v>
      </c>
      <c r="M31" s="31" t="s">
        <v>144</v>
      </c>
      <c r="N31" s="31" t="s">
        <v>144</v>
      </c>
      <c r="O31" s="31">
        <v>16</v>
      </c>
      <c r="P31" s="31" t="s">
        <v>144</v>
      </c>
      <c r="Q31" s="31" t="s">
        <v>144</v>
      </c>
      <c r="R31" s="31" t="s">
        <v>144</v>
      </c>
      <c r="S31" s="31" t="s">
        <v>619</v>
      </c>
      <c r="T31" s="31" t="s">
        <v>502</v>
      </c>
      <c r="U31" s="31" t="s">
        <v>1317</v>
      </c>
      <c r="V31" s="31" t="s">
        <v>623</v>
      </c>
      <c r="W31" s="31" t="s">
        <v>628</v>
      </c>
      <c r="X31" s="375">
        <v>0.98399999999999999</v>
      </c>
      <c r="Y31" s="31">
        <v>2.63</v>
      </c>
      <c r="Z31" s="374" t="s">
        <v>144</v>
      </c>
      <c r="AA31" s="31" t="s">
        <v>426</v>
      </c>
      <c r="AB31" t="s">
        <v>629</v>
      </c>
      <c r="AC31" s="31">
        <v>5</v>
      </c>
      <c r="AD31" s="31" t="s">
        <v>164</v>
      </c>
      <c r="AE31" s="31" t="s">
        <v>630</v>
      </c>
      <c r="AF31" s="31">
        <v>0.90500000000000003</v>
      </c>
      <c r="AG31" s="31" t="s">
        <v>144</v>
      </c>
      <c r="AH31" s="31" t="s">
        <v>144</v>
      </c>
      <c r="AI31" s="31" t="s">
        <v>631</v>
      </c>
      <c r="AJ31" s="31" t="s">
        <v>163</v>
      </c>
      <c r="AK31" s="31" t="s">
        <v>469</v>
      </c>
    </row>
    <row r="32" spans="5:38" ht="15" customHeight="1" x14ac:dyDescent="0.25">
      <c r="E32" s="31" t="s">
        <v>626</v>
      </c>
      <c r="F32" s="31" t="s">
        <v>140</v>
      </c>
      <c r="G32" s="31" t="s">
        <v>149</v>
      </c>
      <c r="H32" s="31" t="s">
        <v>150</v>
      </c>
      <c r="I32" s="31" t="s">
        <v>481</v>
      </c>
      <c r="J32" s="31" t="s">
        <v>500</v>
      </c>
      <c r="K32" s="31" t="s">
        <v>510</v>
      </c>
      <c r="L32" s="31" t="s">
        <v>162</v>
      </c>
      <c r="M32" s="31" t="s">
        <v>144</v>
      </c>
      <c r="N32" s="31" t="s">
        <v>144</v>
      </c>
      <c r="O32" s="31">
        <v>16</v>
      </c>
      <c r="P32" s="31" t="s">
        <v>144</v>
      </c>
      <c r="Q32" s="31" t="s">
        <v>144</v>
      </c>
      <c r="R32" s="31" t="s">
        <v>144</v>
      </c>
      <c r="S32" s="31" t="s">
        <v>619</v>
      </c>
      <c r="T32" s="31" t="s">
        <v>502</v>
      </c>
      <c r="U32" s="31" t="s">
        <v>1317</v>
      </c>
      <c r="V32" s="31" t="s">
        <v>623</v>
      </c>
      <c r="W32" s="31" t="s">
        <v>628</v>
      </c>
      <c r="X32" s="375">
        <v>0.98399999999999999</v>
      </c>
      <c r="Y32" s="31">
        <v>2.63</v>
      </c>
      <c r="Z32" s="374" t="s">
        <v>144</v>
      </c>
      <c r="AA32" s="31" t="s">
        <v>426</v>
      </c>
      <c r="AB32" t="s">
        <v>629</v>
      </c>
      <c r="AC32" s="31">
        <v>5</v>
      </c>
      <c r="AD32" s="31" t="s">
        <v>164</v>
      </c>
      <c r="AE32" s="31" t="s">
        <v>630</v>
      </c>
      <c r="AF32" s="31">
        <v>0.90500000000000003</v>
      </c>
      <c r="AG32" s="31" t="s">
        <v>144</v>
      </c>
      <c r="AH32" s="31" t="s">
        <v>144</v>
      </c>
      <c r="AI32" s="31" t="s">
        <v>631</v>
      </c>
      <c r="AJ32" s="31" t="s">
        <v>163</v>
      </c>
      <c r="AK32" s="31" t="s">
        <v>469</v>
      </c>
    </row>
    <row r="33" spans="5:38" ht="15" customHeight="1" x14ac:dyDescent="0.25">
      <c r="J33" s="31"/>
      <c r="K33" s="31"/>
      <c r="L33" s="31"/>
      <c r="Q33" s="31"/>
      <c r="X33" s="404"/>
      <c r="Z33" s="391"/>
      <c r="AC33" s="390"/>
      <c r="AD33" s="390"/>
      <c r="AE33" s="390"/>
      <c r="AF33" s="390"/>
      <c r="AG33" s="390"/>
      <c r="AH33" s="390"/>
      <c r="AI33" s="390"/>
      <c r="AJ33" s="31"/>
    </row>
    <row r="34" spans="5:38" ht="15" customHeight="1" x14ac:dyDescent="0.25">
      <c r="J34" s="31"/>
      <c r="K34" s="31"/>
      <c r="L34" s="31"/>
      <c r="Q34" s="31"/>
      <c r="X34" s="404"/>
      <c r="Z34" s="391"/>
      <c r="AC34" s="390"/>
      <c r="AD34" s="390"/>
      <c r="AE34" s="390"/>
      <c r="AF34" s="390"/>
      <c r="AG34" s="390"/>
      <c r="AH34" s="390"/>
      <c r="AI34" s="390"/>
      <c r="AJ34" s="31"/>
    </row>
    <row r="35" spans="5:38" ht="15" customHeight="1" x14ac:dyDescent="0.25">
      <c r="E35" s="31" t="s">
        <v>632</v>
      </c>
      <c r="F35" s="31" t="s">
        <v>140</v>
      </c>
      <c r="G35" s="31" t="s">
        <v>646</v>
      </c>
      <c r="H35" s="31" t="s">
        <v>633</v>
      </c>
      <c r="I35" s="31" t="s">
        <v>481</v>
      </c>
      <c r="J35" s="31" t="s">
        <v>511</v>
      </c>
      <c r="K35" s="31" t="s">
        <v>512</v>
      </c>
      <c r="L35" s="31" t="s">
        <v>162</v>
      </c>
      <c r="M35" s="31" t="s">
        <v>144</v>
      </c>
      <c r="N35" s="31" t="s">
        <v>144</v>
      </c>
      <c r="O35" s="31">
        <v>16</v>
      </c>
      <c r="P35" s="31" t="s">
        <v>144</v>
      </c>
      <c r="Q35" s="31" t="s">
        <v>144</v>
      </c>
      <c r="R35" s="31" t="s">
        <v>144</v>
      </c>
      <c r="S35" s="31" t="s">
        <v>619</v>
      </c>
      <c r="T35" s="31" t="s">
        <v>513</v>
      </c>
      <c r="U35" s="31" t="s">
        <v>514</v>
      </c>
      <c r="V35" s="31" t="s">
        <v>627</v>
      </c>
      <c r="W35" s="31" t="s">
        <v>634</v>
      </c>
      <c r="X35" s="375">
        <v>0.95199999999999996</v>
      </c>
      <c r="Y35" s="31">
        <v>3.6</v>
      </c>
      <c r="Z35" s="374" t="s">
        <v>144</v>
      </c>
      <c r="AA35" s="31" t="s">
        <v>635</v>
      </c>
      <c r="AB35" s="31" t="s">
        <v>636</v>
      </c>
      <c r="AC35" s="31">
        <v>5</v>
      </c>
      <c r="AD35" s="31" t="s">
        <v>164</v>
      </c>
      <c r="AE35" s="31" t="s">
        <v>637</v>
      </c>
      <c r="AF35" s="31">
        <v>0.81</v>
      </c>
      <c r="AG35" s="31" t="s">
        <v>144</v>
      </c>
      <c r="AH35" s="31" t="s">
        <v>144</v>
      </c>
      <c r="AI35" s="31" t="s">
        <v>638</v>
      </c>
      <c r="AJ35" s="31" t="s">
        <v>163</v>
      </c>
      <c r="AK35" s="31" t="s">
        <v>1318</v>
      </c>
      <c r="AL35" s="31"/>
    </row>
    <row r="36" spans="5:38" ht="15" customHeight="1" x14ac:dyDescent="0.25">
      <c r="E36" s="31" t="s">
        <v>632</v>
      </c>
      <c r="F36" s="31" t="s">
        <v>140</v>
      </c>
      <c r="G36" s="31" t="s">
        <v>646</v>
      </c>
      <c r="H36" s="31" t="s">
        <v>633</v>
      </c>
      <c r="I36" s="31" t="s">
        <v>481</v>
      </c>
      <c r="J36" s="31" t="s">
        <v>511</v>
      </c>
      <c r="K36" s="31" t="s">
        <v>515</v>
      </c>
      <c r="L36" s="31" t="s">
        <v>162</v>
      </c>
      <c r="M36" s="31" t="s">
        <v>144</v>
      </c>
      <c r="N36" s="31" t="s">
        <v>144</v>
      </c>
      <c r="O36" s="31">
        <v>16</v>
      </c>
      <c r="P36" s="31" t="s">
        <v>144</v>
      </c>
      <c r="Q36" s="31" t="s">
        <v>144</v>
      </c>
      <c r="R36" s="31" t="s">
        <v>144</v>
      </c>
      <c r="S36" s="31" t="s">
        <v>619</v>
      </c>
      <c r="T36" s="31" t="s">
        <v>513</v>
      </c>
      <c r="U36" s="31" t="s">
        <v>514</v>
      </c>
      <c r="V36" s="31" t="s">
        <v>627</v>
      </c>
      <c r="W36" s="31" t="s">
        <v>634</v>
      </c>
      <c r="X36" s="375">
        <v>0.95199999999999996</v>
      </c>
      <c r="Y36" s="31">
        <v>3.6</v>
      </c>
      <c r="Z36" s="374" t="s">
        <v>144</v>
      </c>
      <c r="AA36" s="31" t="s">
        <v>635</v>
      </c>
      <c r="AB36" s="31" t="s">
        <v>636</v>
      </c>
      <c r="AC36" s="31">
        <v>5</v>
      </c>
      <c r="AD36" s="31" t="s">
        <v>164</v>
      </c>
      <c r="AE36" s="31" t="s">
        <v>637</v>
      </c>
      <c r="AF36" s="31">
        <v>0.81</v>
      </c>
      <c r="AG36" s="31" t="s">
        <v>144</v>
      </c>
      <c r="AH36" s="31" t="s">
        <v>144</v>
      </c>
      <c r="AI36" s="31" t="s">
        <v>638</v>
      </c>
      <c r="AJ36" s="31" t="s">
        <v>163</v>
      </c>
      <c r="AK36" s="31" t="s">
        <v>1318</v>
      </c>
      <c r="AL36" s="31"/>
    </row>
    <row r="37" spans="5:38" ht="15" customHeight="1" x14ac:dyDescent="0.25">
      <c r="E37" s="31" t="s">
        <v>632</v>
      </c>
      <c r="F37" s="31" t="s">
        <v>140</v>
      </c>
      <c r="G37" s="31" t="s">
        <v>646</v>
      </c>
      <c r="H37" s="31" t="s">
        <v>633</v>
      </c>
      <c r="I37" s="31" t="s">
        <v>481</v>
      </c>
      <c r="J37" s="31" t="s">
        <v>511</v>
      </c>
      <c r="K37" s="31" t="s">
        <v>516</v>
      </c>
      <c r="L37" s="31" t="s">
        <v>162</v>
      </c>
      <c r="M37" s="31" t="s">
        <v>144</v>
      </c>
      <c r="N37" s="31" t="s">
        <v>144</v>
      </c>
      <c r="O37" s="31">
        <v>16</v>
      </c>
      <c r="P37" s="31" t="s">
        <v>144</v>
      </c>
      <c r="Q37" s="31" t="s">
        <v>144</v>
      </c>
      <c r="R37" s="31" t="s">
        <v>144</v>
      </c>
      <c r="S37" s="31" t="s">
        <v>619</v>
      </c>
      <c r="T37" s="31" t="s">
        <v>513</v>
      </c>
      <c r="U37" s="31" t="s">
        <v>514</v>
      </c>
      <c r="V37" s="31" t="s">
        <v>627</v>
      </c>
      <c r="W37" s="31" t="s">
        <v>634</v>
      </c>
      <c r="X37" s="375">
        <v>0.95199999999999996</v>
      </c>
      <c r="Y37" s="31">
        <v>3.6</v>
      </c>
      <c r="Z37" s="374" t="s">
        <v>144</v>
      </c>
      <c r="AA37" s="31" t="s">
        <v>635</v>
      </c>
      <c r="AB37" s="31" t="s">
        <v>636</v>
      </c>
      <c r="AC37" s="31">
        <v>5</v>
      </c>
      <c r="AD37" s="31" t="s">
        <v>164</v>
      </c>
      <c r="AE37" s="31" t="s">
        <v>637</v>
      </c>
      <c r="AF37" s="31">
        <v>0.81</v>
      </c>
      <c r="AG37" s="31" t="s">
        <v>144</v>
      </c>
      <c r="AH37" s="31" t="s">
        <v>144</v>
      </c>
      <c r="AI37" s="31" t="s">
        <v>638</v>
      </c>
      <c r="AJ37" s="31" t="s">
        <v>163</v>
      </c>
      <c r="AK37" s="31" t="s">
        <v>1318</v>
      </c>
      <c r="AL37" s="31"/>
    </row>
    <row r="38" spans="5:38" ht="15" customHeight="1" x14ac:dyDescent="0.25">
      <c r="E38" s="31" t="s">
        <v>632</v>
      </c>
      <c r="F38" s="31" t="s">
        <v>140</v>
      </c>
      <c r="G38" s="31" t="s">
        <v>646</v>
      </c>
      <c r="H38" s="31" t="s">
        <v>633</v>
      </c>
      <c r="I38" s="31" t="s">
        <v>481</v>
      </c>
      <c r="J38" s="31" t="s">
        <v>511</v>
      </c>
      <c r="K38" s="31" t="s">
        <v>517</v>
      </c>
      <c r="L38" s="31" t="s">
        <v>162</v>
      </c>
      <c r="M38" s="31" t="s">
        <v>144</v>
      </c>
      <c r="N38" s="31" t="s">
        <v>144</v>
      </c>
      <c r="O38" s="31">
        <v>16</v>
      </c>
      <c r="P38" s="31" t="s">
        <v>144</v>
      </c>
      <c r="Q38" s="31" t="s">
        <v>144</v>
      </c>
      <c r="R38" s="31" t="s">
        <v>144</v>
      </c>
      <c r="S38" s="31" t="s">
        <v>619</v>
      </c>
      <c r="T38" s="31" t="s">
        <v>513</v>
      </c>
      <c r="U38" s="31" t="s">
        <v>514</v>
      </c>
      <c r="V38" s="31" t="s">
        <v>627</v>
      </c>
      <c r="W38" s="31" t="s">
        <v>634</v>
      </c>
      <c r="X38" s="375">
        <v>0.95199999999999996</v>
      </c>
      <c r="Y38" s="31">
        <v>3.6</v>
      </c>
      <c r="Z38" s="374" t="s">
        <v>144</v>
      </c>
      <c r="AA38" s="31" t="s">
        <v>635</v>
      </c>
      <c r="AB38" s="31" t="s">
        <v>636</v>
      </c>
      <c r="AC38" s="31">
        <v>5</v>
      </c>
      <c r="AD38" s="31" t="s">
        <v>164</v>
      </c>
      <c r="AE38" s="31" t="s">
        <v>637</v>
      </c>
      <c r="AF38" s="31">
        <v>0.81</v>
      </c>
      <c r="AG38" s="31" t="s">
        <v>144</v>
      </c>
      <c r="AH38" s="31" t="s">
        <v>144</v>
      </c>
      <c r="AI38" s="31" t="s">
        <v>638</v>
      </c>
      <c r="AJ38" s="31" t="s">
        <v>163</v>
      </c>
      <c r="AK38" s="31" t="s">
        <v>1318</v>
      </c>
      <c r="AL38" s="31"/>
    </row>
    <row r="39" spans="5:38" ht="15" customHeight="1" x14ac:dyDescent="0.25">
      <c r="E39" s="31" t="s">
        <v>632</v>
      </c>
      <c r="F39" s="31" t="s">
        <v>140</v>
      </c>
      <c r="G39" s="31" t="s">
        <v>646</v>
      </c>
      <c r="H39" s="31" t="s">
        <v>633</v>
      </c>
      <c r="I39" s="31" t="s">
        <v>481</v>
      </c>
      <c r="J39" s="31" t="s">
        <v>511</v>
      </c>
      <c r="K39" s="31" t="s">
        <v>518</v>
      </c>
      <c r="L39" s="31" t="s">
        <v>162</v>
      </c>
      <c r="M39" s="31" t="s">
        <v>144</v>
      </c>
      <c r="N39" s="31" t="s">
        <v>144</v>
      </c>
      <c r="O39" s="31">
        <v>16</v>
      </c>
      <c r="P39" s="31" t="s">
        <v>144</v>
      </c>
      <c r="Q39" s="31" t="s">
        <v>144</v>
      </c>
      <c r="R39" s="31" t="s">
        <v>144</v>
      </c>
      <c r="S39" s="31" t="s">
        <v>619</v>
      </c>
      <c r="T39" s="31" t="s">
        <v>513</v>
      </c>
      <c r="U39" s="31" t="s">
        <v>514</v>
      </c>
      <c r="V39" s="31" t="s">
        <v>627</v>
      </c>
      <c r="W39" s="31" t="s">
        <v>634</v>
      </c>
      <c r="X39" s="375">
        <v>0.95199999999999996</v>
      </c>
      <c r="Y39" s="31">
        <v>3.6</v>
      </c>
      <c r="Z39" s="374" t="s">
        <v>144</v>
      </c>
      <c r="AA39" s="31" t="s">
        <v>635</v>
      </c>
      <c r="AB39" s="31" t="s">
        <v>636</v>
      </c>
      <c r="AC39" s="31">
        <v>5</v>
      </c>
      <c r="AD39" s="31" t="s">
        <v>164</v>
      </c>
      <c r="AE39" s="31" t="s">
        <v>637</v>
      </c>
      <c r="AF39" s="31">
        <v>0.81</v>
      </c>
      <c r="AG39" s="31" t="s">
        <v>144</v>
      </c>
      <c r="AH39" s="31" t="s">
        <v>144</v>
      </c>
      <c r="AI39" s="31" t="s">
        <v>638</v>
      </c>
      <c r="AJ39" s="31" t="s">
        <v>163</v>
      </c>
      <c r="AK39" s="31" t="s">
        <v>1318</v>
      </c>
      <c r="AL39" s="31"/>
    </row>
    <row r="40" spans="5:38" ht="15" customHeight="1" x14ac:dyDescent="0.25">
      <c r="E40" s="31" t="s">
        <v>632</v>
      </c>
      <c r="F40" s="31" t="s">
        <v>140</v>
      </c>
      <c r="G40" s="31" t="s">
        <v>646</v>
      </c>
      <c r="H40" s="31" t="s">
        <v>633</v>
      </c>
      <c r="I40" s="31" t="s">
        <v>481</v>
      </c>
      <c r="J40" s="31" t="s">
        <v>511</v>
      </c>
      <c r="K40" s="31" t="s">
        <v>519</v>
      </c>
      <c r="L40" s="31" t="s">
        <v>162</v>
      </c>
      <c r="M40" s="31" t="s">
        <v>144</v>
      </c>
      <c r="N40" s="31" t="s">
        <v>144</v>
      </c>
      <c r="O40" s="31">
        <v>16</v>
      </c>
      <c r="P40" s="31" t="s">
        <v>144</v>
      </c>
      <c r="Q40" s="31" t="s">
        <v>144</v>
      </c>
      <c r="R40" s="31" t="s">
        <v>144</v>
      </c>
      <c r="S40" s="31" t="s">
        <v>619</v>
      </c>
      <c r="T40" s="31" t="s">
        <v>513</v>
      </c>
      <c r="U40" s="31" t="s">
        <v>514</v>
      </c>
      <c r="V40" s="31" t="s">
        <v>627</v>
      </c>
      <c r="W40" s="31" t="s">
        <v>634</v>
      </c>
      <c r="X40" s="375">
        <v>0.95199999999999996</v>
      </c>
      <c r="Y40" s="31">
        <v>3.6</v>
      </c>
      <c r="Z40" s="374" t="s">
        <v>144</v>
      </c>
      <c r="AA40" s="31" t="s">
        <v>635</v>
      </c>
      <c r="AB40" s="31" t="s">
        <v>636</v>
      </c>
      <c r="AC40" s="31">
        <v>5</v>
      </c>
      <c r="AD40" s="31" t="s">
        <v>164</v>
      </c>
      <c r="AE40" s="31" t="s">
        <v>637</v>
      </c>
      <c r="AF40" s="31">
        <v>0.81</v>
      </c>
      <c r="AG40" s="31" t="s">
        <v>144</v>
      </c>
      <c r="AH40" s="31" t="s">
        <v>144</v>
      </c>
      <c r="AI40" s="31" t="s">
        <v>638</v>
      </c>
      <c r="AJ40" s="31" t="s">
        <v>163</v>
      </c>
      <c r="AK40" s="31" t="s">
        <v>1318</v>
      </c>
      <c r="AL40" s="31"/>
    </row>
    <row r="41" spans="5:38" ht="15" customHeight="1" x14ac:dyDescent="0.25">
      <c r="E41" s="31" t="s">
        <v>632</v>
      </c>
      <c r="F41" s="31" t="s">
        <v>140</v>
      </c>
      <c r="G41" s="31" t="s">
        <v>646</v>
      </c>
      <c r="H41" s="31" t="s">
        <v>633</v>
      </c>
      <c r="I41" s="31" t="s">
        <v>481</v>
      </c>
      <c r="J41" s="31" t="s">
        <v>511</v>
      </c>
      <c r="K41" s="31" t="s">
        <v>520</v>
      </c>
      <c r="L41" s="31" t="s">
        <v>162</v>
      </c>
      <c r="M41" s="31" t="s">
        <v>144</v>
      </c>
      <c r="N41" s="31" t="s">
        <v>144</v>
      </c>
      <c r="O41" s="31">
        <v>16</v>
      </c>
      <c r="P41" s="31" t="s">
        <v>144</v>
      </c>
      <c r="Q41" s="31" t="s">
        <v>144</v>
      </c>
      <c r="R41" s="31" t="s">
        <v>144</v>
      </c>
      <c r="S41" s="31" t="s">
        <v>619</v>
      </c>
      <c r="T41" s="31" t="s">
        <v>513</v>
      </c>
      <c r="U41" s="31" t="s">
        <v>514</v>
      </c>
      <c r="V41" s="31" t="s">
        <v>627</v>
      </c>
      <c r="W41" s="31" t="s">
        <v>634</v>
      </c>
      <c r="X41" s="375">
        <v>0.95199999999999996</v>
      </c>
      <c r="Y41" s="31">
        <v>3.6</v>
      </c>
      <c r="Z41" s="374" t="s">
        <v>144</v>
      </c>
      <c r="AA41" s="31" t="s">
        <v>635</v>
      </c>
      <c r="AB41" s="31" t="s">
        <v>636</v>
      </c>
      <c r="AC41" s="31">
        <v>5</v>
      </c>
      <c r="AD41" s="31" t="s">
        <v>164</v>
      </c>
      <c r="AE41" s="31" t="s">
        <v>637</v>
      </c>
      <c r="AF41" s="31">
        <v>0.81</v>
      </c>
      <c r="AG41" s="31" t="s">
        <v>144</v>
      </c>
      <c r="AH41" s="31" t="s">
        <v>144</v>
      </c>
      <c r="AI41" s="31" t="s">
        <v>638</v>
      </c>
      <c r="AJ41" s="31" t="s">
        <v>163</v>
      </c>
      <c r="AK41" s="31" t="s">
        <v>1318</v>
      </c>
      <c r="AL41" s="31"/>
    </row>
    <row r="42" spans="5:38" ht="15" customHeight="1" x14ac:dyDescent="0.25">
      <c r="E42" s="31" t="s">
        <v>632</v>
      </c>
      <c r="F42" s="31" t="s">
        <v>140</v>
      </c>
      <c r="G42" s="31" t="s">
        <v>646</v>
      </c>
      <c r="H42" s="31" t="s">
        <v>633</v>
      </c>
      <c r="I42" s="31" t="s">
        <v>481</v>
      </c>
      <c r="J42" s="31" t="s">
        <v>511</v>
      </c>
      <c r="K42" s="31" t="s">
        <v>521</v>
      </c>
      <c r="L42" s="31" t="s">
        <v>162</v>
      </c>
      <c r="M42" s="31" t="s">
        <v>144</v>
      </c>
      <c r="N42" s="31" t="s">
        <v>144</v>
      </c>
      <c r="O42" s="31">
        <v>16</v>
      </c>
      <c r="P42" s="31" t="s">
        <v>144</v>
      </c>
      <c r="Q42" s="31" t="s">
        <v>144</v>
      </c>
      <c r="R42" s="31" t="s">
        <v>144</v>
      </c>
      <c r="S42" s="31" t="s">
        <v>619</v>
      </c>
      <c r="T42" s="31" t="s">
        <v>513</v>
      </c>
      <c r="U42" s="31" t="s">
        <v>514</v>
      </c>
      <c r="V42" s="31" t="s">
        <v>627</v>
      </c>
      <c r="W42" s="31" t="s">
        <v>634</v>
      </c>
      <c r="X42" s="375">
        <v>0.95199999999999996</v>
      </c>
      <c r="Y42" s="31">
        <v>3.6</v>
      </c>
      <c r="Z42" s="374" t="s">
        <v>144</v>
      </c>
      <c r="AA42" s="31" t="s">
        <v>635</v>
      </c>
      <c r="AB42" s="31" t="s">
        <v>636</v>
      </c>
      <c r="AC42" s="31">
        <v>5</v>
      </c>
      <c r="AD42" s="31" t="s">
        <v>164</v>
      </c>
      <c r="AE42" s="31" t="s">
        <v>637</v>
      </c>
      <c r="AF42" s="31">
        <v>0.81</v>
      </c>
      <c r="AG42" s="31" t="s">
        <v>144</v>
      </c>
      <c r="AH42" s="31" t="s">
        <v>144</v>
      </c>
      <c r="AI42" s="31" t="s">
        <v>638</v>
      </c>
      <c r="AJ42" s="31" t="s">
        <v>163</v>
      </c>
      <c r="AK42" s="31" t="s">
        <v>1318</v>
      </c>
      <c r="AL42" s="31"/>
    </row>
    <row r="43" spans="5:38" ht="15" customHeight="1" x14ac:dyDescent="0.25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74"/>
      <c r="Y43" s="374"/>
      <c r="Z43" s="374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 spans="5:38" ht="15" customHeight="1" x14ac:dyDescent="0.25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74"/>
      <c r="Y44" s="374"/>
      <c r="Z44" s="374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 spans="5:38" s="31" customFormat="1" ht="15" customHeight="1" x14ac:dyDescent="0.25">
      <c r="E45" s="31" t="s">
        <v>427</v>
      </c>
      <c r="F45" s="31" t="s">
        <v>140</v>
      </c>
      <c r="G45" s="31" t="s">
        <v>151</v>
      </c>
      <c r="H45" s="31" t="s">
        <v>434</v>
      </c>
      <c r="I45" s="31" t="s">
        <v>481</v>
      </c>
      <c r="J45" s="31" t="s">
        <v>511</v>
      </c>
      <c r="K45" s="31" t="s">
        <v>520</v>
      </c>
      <c r="L45" s="31" t="s">
        <v>162</v>
      </c>
      <c r="M45" s="31" t="s">
        <v>144</v>
      </c>
      <c r="N45" s="31" t="s">
        <v>144</v>
      </c>
      <c r="O45" s="31">
        <v>16</v>
      </c>
      <c r="P45" s="31" t="s">
        <v>144</v>
      </c>
      <c r="Q45" s="31" t="s">
        <v>144</v>
      </c>
      <c r="R45" s="31" t="s">
        <v>144</v>
      </c>
      <c r="S45" s="31" t="s">
        <v>144</v>
      </c>
      <c r="T45" s="31" t="s">
        <v>513</v>
      </c>
      <c r="U45" s="31" t="s">
        <v>258</v>
      </c>
      <c r="V45" s="31">
        <v>135</v>
      </c>
      <c r="W45" s="31" t="s">
        <v>144</v>
      </c>
      <c r="X45" s="31">
        <v>0.89300000000000002</v>
      </c>
      <c r="Y45" s="407" t="s">
        <v>1320</v>
      </c>
      <c r="AA45" s="31" t="s">
        <v>189</v>
      </c>
      <c r="AB45" s="31" t="s">
        <v>318</v>
      </c>
      <c r="AC45" s="31">
        <v>5</v>
      </c>
      <c r="AD45" s="31" t="s">
        <v>468</v>
      </c>
      <c r="AJ45" s="31" t="s">
        <v>163</v>
      </c>
      <c r="AK45" s="31" t="s">
        <v>144</v>
      </c>
    </row>
    <row r="46" spans="5:38" s="31" customFormat="1" ht="15" customHeight="1" x14ac:dyDescent="0.25">
      <c r="E46" s="31" t="s">
        <v>428</v>
      </c>
      <c r="F46" s="31" t="s">
        <v>140</v>
      </c>
      <c r="G46" s="31" t="s">
        <v>434</v>
      </c>
      <c r="H46" s="31" t="s">
        <v>315</v>
      </c>
      <c r="I46" s="31" t="s">
        <v>481</v>
      </c>
      <c r="J46" s="31" t="s">
        <v>511</v>
      </c>
      <c r="K46" s="31" t="s">
        <v>521</v>
      </c>
      <c r="L46" s="31" t="s">
        <v>162</v>
      </c>
      <c r="M46" s="31" t="s">
        <v>144</v>
      </c>
      <c r="N46" s="31" t="s">
        <v>144</v>
      </c>
      <c r="O46" s="31">
        <v>16</v>
      </c>
      <c r="P46" s="31" t="s">
        <v>144</v>
      </c>
      <c r="Q46" s="31" t="s">
        <v>144</v>
      </c>
      <c r="R46" s="31" t="s">
        <v>144</v>
      </c>
      <c r="S46" s="31" t="s">
        <v>144</v>
      </c>
      <c r="T46" s="31" t="s">
        <v>513</v>
      </c>
      <c r="U46" s="31" t="s">
        <v>258</v>
      </c>
      <c r="V46" s="31">
        <f t="shared" ref="V46:V50" si="0">+V45+5</f>
        <v>140</v>
      </c>
      <c r="W46" s="31" t="s">
        <v>144</v>
      </c>
      <c r="X46" s="31">
        <v>0.89300000000000002</v>
      </c>
      <c r="Y46" s="407" t="s">
        <v>1320</v>
      </c>
      <c r="AA46" s="31" t="s">
        <v>189</v>
      </c>
      <c r="AB46" s="31" t="s">
        <v>318</v>
      </c>
      <c r="AC46" s="31">
        <v>5</v>
      </c>
      <c r="AD46" s="31" t="s">
        <v>468</v>
      </c>
      <c r="AJ46" s="31" t="s">
        <v>163</v>
      </c>
      <c r="AK46" s="31" t="s">
        <v>144</v>
      </c>
    </row>
    <row r="47" spans="5:38" s="31" customFormat="1" ht="15" customHeight="1" x14ac:dyDescent="0.25">
      <c r="E47" s="31" t="s">
        <v>429</v>
      </c>
      <c r="F47" s="31" t="s">
        <v>140</v>
      </c>
      <c r="G47" s="31" t="s">
        <v>315</v>
      </c>
      <c r="H47" s="31" t="s">
        <v>435</v>
      </c>
      <c r="I47" s="31" t="s">
        <v>481</v>
      </c>
      <c r="J47" s="31" t="s">
        <v>511</v>
      </c>
      <c r="K47" s="31" t="s">
        <v>520</v>
      </c>
      <c r="L47" s="31" t="s">
        <v>162</v>
      </c>
      <c r="M47" s="31" t="s">
        <v>144</v>
      </c>
      <c r="N47" s="31" t="s">
        <v>144</v>
      </c>
      <c r="O47" s="31">
        <v>16</v>
      </c>
      <c r="P47" s="31" t="s">
        <v>144</v>
      </c>
      <c r="Q47" s="31" t="s">
        <v>144</v>
      </c>
      <c r="R47" s="31" t="s">
        <v>144</v>
      </c>
      <c r="S47" s="31" t="s">
        <v>144</v>
      </c>
      <c r="T47" s="31" t="s">
        <v>513</v>
      </c>
      <c r="U47" s="31" t="s">
        <v>258</v>
      </c>
      <c r="V47" s="31">
        <v>146</v>
      </c>
      <c r="W47" s="31" t="s">
        <v>144</v>
      </c>
      <c r="X47" s="31">
        <v>0.89300000000000002</v>
      </c>
      <c r="Y47" s="407" t="s">
        <v>1320</v>
      </c>
      <c r="AA47" s="31" t="s">
        <v>189</v>
      </c>
      <c r="AB47" s="31" t="s">
        <v>318</v>
      </c>
      <c r="AC47" s="31">
        <v>5</v>
      </c>
      <c r="AD47" s="31" t="s">
        <v>468</v>
      </c>
      <c r="AJ47" s="31" t="s">
        <v>163</v>
      </c>
      <c r="AK47" s="31" t="s">
        <v>144</v>
      </c>
    </row>
    <row r="48" spans="5:38" s="31" customFormat="1" ht="15" customHeight="1" x14ac:dyDescent="0.25">
      <c r="E48" s="31" t="s">
        <v>430</v>
      </c>
      <c r="F48" s="31" t="s">
        <v>140</v>
      </c>
      <c r="G48" s="31" t="s">
        <v>435</v>
      </c>
      <c r="H48" s="31" t="s">
        <v>436</v>
      </c>
      <c r="I48" s="31" t="s">
        <v>481</v>
      </c>
      <c r="J48" s="31" t="s">
        <v>511</v>
      </c>
      <c r="K48" s="31" t="s">
        <v>521</v>
      </c>
      <c r="L48" s="31" t="s">
        <v>162</v>
      </c>
      <c r="M48" s="31" t="s">
        <v>144</v>
      </c>
      <c r="N48" s="31" t="s">
        <v>144</v>
      </c>
      <c r="O48" s="31">
        <v>16</v>
      </c>
      <c r="P48" s="31" t="s">
        <v>144</v>
      </c>
      <c r="Q48" s="31" t="s">
        <v>144</v>
      </c>
      <c r="R48" s="31" t="s">
        <v>144</v>
      </c>
      <c r="S48" s="31" t="s">
        <v>144</v>
      </c>
      <c r="T48" s="31" t="s">
        <v>513</v>
      </c>
      <c r="U48" s="31" t="s">
        <v>258</v>
      </c>
      <c r="V48" s="31">
        <f t="shared" si="0"/>
        <v>151</v>
      </c>
      <c r="W48" s="31" t="s">
        <v>144</v>
      </c>
      <c r="X48" s="31">
        <v>0.89300000000000002</v>
      </c>
      <c r="Y48" s="407" t="s">
        <v>1320</v>
      </c>
      <c r="AA48" s="31" t="s">
        <v>189</v>
      </c>
      <c r="AB48" s="31" t="s">
        <v>318</v>
      </c>
      <c r="AC48" s="31">
        <v>5</v>
      </c>
      <c r="AD48" s="31" t="s">
        <v>468</v>
      </c>
      <c r="AJ48" s="31" t="s">
        <v>163</v>
      </c>
      <c r="AK48" s="31" t="s">
        <v>144</v>
      </c>
    </row>
    <row r="49" spans="5:44" s="31" customFormat="1" ht="15" customHeight="1" x14ac:dyDescent="0.25">
      <c r="E49" s="31" t="s">
        <v>431</v>
      </c>
      <c r="F49" s="31" t="s">
        <v>140</v>
      </c>
      <c r="G49" s="31" t="s">
        <v>436</v>
      </c>
      <c r="H49" s="31" t="s">
        <v>236</v>
      </c>
      <c r="I49" s="31" t="s">
        <v>481</v>
      </c>
      <c r="J49" s="31" t="s">
        <v>511</v>
      </c>
      <c r="K49" s="31" t="s">
        <v>520</v>
      </c>
      <c r="L49" s="31" t="s">
        <v>162</v>
      </c>
      <c r="M49" s="31" t="s">
        <v>144</v>
      </c>
      <c r="N49" s="31" t="s">
        <v>144</v>
      </c>
      <c r="O49" s="31">
        <v>16</v>
      </c>
      <c r="P49" s="31" t="s">
        <v>144</v>
      </c>
      <c r="Q49" s="31" t="s">
        <v>144</v>
      </c>
      <c r="R49" s="31" t="s">
        <v>144</v>
      </c>
      <c r="S49" s="31" t="s">
        <v>144</v>
      </c>
      <c r="T49" s="31" t="s">
        <v>513</v>
      </c>
      <c r="U49" s="31" t="s">
        <v>258</v>
      </c>
      <c r="V49" s="31">
        <v>157</v>
      </c>
      <c r="W49" s="31" t="s">
        <v>144</v>
      </c>
      <c r="X49" s="31">
        <v>0.89300000000000002</v>
      </c>
      <c r="Y49" s="407" t="s">
        <v>1320</v>
      </c>
      <c r="AA49" s="31" t="s">
        <v>189</v>
      </c>
      <c r="AB49" s="31" t="s">
        <v>318</v>
      </c>
      <c r="AC49" s="31">
        <v>5</v>
      </c>
      <c r="AD49" s="31" t="s">
        <v>468</v>
      </c>
      <c r="AJ49" s="31" t="s">
        <v>163</v>
      </c>
      <c r="AK49" s="31" t="s">
        <v>144</v>
      </c>
    </row>
    <row r="50" spans="5:44" s="31" customFormat="1" ht="15" customHeight="1" x14ac:dyDescent="0.25">
      <c r="E50" s="31" t="s">
        <v>432</v>
      </c>
      <c r="F50" s="31" t="s">
        <v>140</v>
      </c>
      <c r="G50" s="31" t="s">
        <v>236</v>
      </c>
      <c r="H50" s="31" t="s">
        <v>437</v>
      </c>
      <c r="I50" s="31" t="s">
        <v>481</v>
      </c>
      <c r="J50" s="31" t="s">
        <v>511</v>
      </c>
      <c r="K50" s="31" t="s">
        <v>521</v>
      </c>
      <c r="L50" s="31" t="s">
        <v>162</v>
      </c>
      <c r="M50" s="31" t="s">
        <v>144</v>
      </c>
      <c r="N50" s="31" t="s">
        <v>144</v>
      </c>
      <c r="O50" s="31">
        <v>16</v>
      </c>
      <c r="P50" s="31" t="s">
        <v>144</v>
      </c>
      <c r="Q50" s="31" t="s">
        <v>144</v>
      </c>
      <c r="R50" s="31" t="s">
        <v>144</v>
      </c>
      <c r="S50" s="31" t="s">
        <v>144</v>
      </c>
      <c r="T50" s="31" t="s">
        <v>513</v>
      </c>
      <c r="U50" s="31" t="s">
        <v>258</v>
      </c>
      <c r="V50" s="31">
        <f t="shared" si="0"/>
        <v>162</v>
      </c>
      <c r="W50" s="31" t="s">
        <v>144</v>
      </c>
      <c r="X50" s="31">
        <v>0.89300000000000002</v>
      </c>
      <c r="Y50" s="407" t="s">
        <v>1320</v>
      </c>
      <c r="AA50" s="31" t="s">
        <v>189</v>
      </c>
      <c r="AB50" s="31" t="s">
        <v>318</v>
      </c>
      <c r="AC50" s="31">
        <v>5</v>
      </c>
      <c r="AD50" s="31" t="s">
        <v>468</v>
      </c>
      <c r="AJ50" s="31" t="s">
        <v>163</v>
      </c>
      <c r="AK50" s="31" t="s">
        <v>144</v>
      </c>
    </row>
    <row r="51" spans="5:44" s="31" customFormat="1" ht="15" customHeight="1" x14ac:dyDescent="0.25">
      <c r="E51" s="31" t="s">
        <v>433</v>
      </c>
      <c r="F51" s="31" t="s">
        <v>140</v>
      </c>
      <c r="G51" s="31" t="s">
        <v>437</v>
      </c>
      <c r="H51" s="31" t="s">
        <v>438</v>
      </c>
      <c r="I51" s="31" t="s">
        <v>481</v>
      </c>
      <c r="J51" s="31" t="s">
        <v>511</v>
      </c>
      <c r="K51" s="31" t="s">
        <v>520</v>
      </c>
      <c r="L51" s="31" t="s">
        <v>162</v>
      </c>
      <c r="M51" s="31" t="s">
        <v>144</v>
      </c>
      <c r="N51" s="31" t="s">
        <v>144</v>
      </c>
      <c r="O51" s="31">
        <v>16</v>
      </c>
      <c r="P51" s="31" t="s">
        <v>144</v>
      </c>
      <c r="Q51" s="31" t="s">
        <v>144</v>
      </c>
      <c r="R51" s="31" t="s">
        <v>144</v>
      </c>
      <c r="S51" s="31" t="s">
        <v>144</v>
      </c>
      <c r="T51" s="31" t="s">
        <v>513</v>
      </c>
      <c r="U51" s="31" t="s">
        <v>258</v>
      </c>
      <c r="V51" s="31">
        <v>167</v>
      </c>
      <c r="W51" s="31" t="s">
        <v>144</v>
      </c>
      <c r="X51" s="31">
        <v>0.89300000000000002</v>
      </c>
      <c r="Y51" s="407" t="s">
        <v>1320</v>
      </c>
      <c r="AA51" s="31" t="s">
        <v>189</v>
      </c>
      <c r="AB51" s="31" t="s">
        <v>318</v>
      </c>
      <c r="AC51" s="31">
        <v>5</v>
      </c>
      <c r="AD51" s="31" t="s">
        <v>468</v>
      </c>
      <c r="AJ51" s="31" t="s">
        <v>163</v>
      </c>
      <c r="AK51" s="31" t="s">
        <v>144</v>
      </c>
    </row>
    <row r="52" spans="5:44" s="31" customFormat="1" ht="15" customHeight="1" x14ac:dyDescent="0.25">
      <c r="E52" s="31" t="s">
        <v>467</v>
      </c>
      <c r="F52" s="31" t="s">
        <v>140</v>
      </c>
      <c r="G52" s="31" t="s">
        <v>466</v>
      </c>
      <c r="H52" s="31" t="s">
        <v>470</v>
      </c>
      <c r="I52" s="31" t="s">
        <v>481</v>
      </c>
      <c r="J52" s="31" t="s">
        <v>511</v>
      </c>
      <c r="K52" s="31" t="s">
        <v>521</v>
      </c>
      <c r="L52" s="31" t="s">
        <v>162</v>
      </c>
      <c r="M52" s="31" t="s">
        <v>144</v>
      </c>
      <c r="N52" s="31" t="s">
        <v>144</v>
      </c>
      <c r="O52" s="31">
        <v>16</v>
      </c>
      <c r="P52" s="31" t="s">
        <v>144</v>
      </c>
      <c r="Q52" s="31" t="s">
        <v>144</v>
      </c>
      <c r="R52" s="31" t="s">
        <v>144</v>
      </c>
      <c r="S52" s="31" t="s">
        <v>144</v>
      </c>
      <c r="T52" s="31" t="s">
        <v>513</v>
      </c>
      <c r="U52" s="31" t="s">
        <v>258</v>
      </c>
      <c r="V52" s="31">
        <v>167</v>
      </c>
      <c r="W52" s="31" t="s">
        <v>144</v>
      </c>
      <c r="X52" s="31">
        <v>0.89300000000000002</v>
      </c>
      <c r="Y52" s="407" t="s">
        <v>1320</v>
      </c>
      <c r="AA52" s="31" t="s">
        <v>189</v>
      </c>
      <c r="AB52" s="31" t="s">
        <v>318</v>
      </c>
      <c r="AC52" s="31">
        <v>5</v>
      </c>
      <c r="AD52" s="31" t="s">
        <v>468</v>
      </c>
      <c r="AJ52" s="31" t="s">
        <v>163</v>
      </c>
      <c r="AK52" s="31" t="s">
        <v>144</v>
      </c>
    </row>
    <row r="53" spans="5:44" ht="15" customHeight="1" x14ac:dyDescent="0.25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74"/>
      <c r="Y53" s="374"/>
      <c r="Z53" s="374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 spans="5:44" ht="15" customHeight="1" x14ac:dyDescent="0.25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74"/>
      <c r="Y54" s="374"/>
      <c r="Z54" s="374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 spans="5:44" ht="15" customHeight="1" x14ac:dyDescent="0.25">
      <c r="E55" s="31" t="s">
        <v>131</v>
      </c>
      <c r="F55" s="31" t="s">
        <v>140</v>
      </c>
      <c r="G55" s="31" t="s">
        <v>315</v>
      </c>
      <c r="H55" s="31" t="s">
        <v>639</v>
      </c>
      <c r="I55" s="31" t="s">
        <v>481</v>
      </c>
      <c r="J55" s="31" t="s">
        <v>522</v>
      </c>
      <c r="K55" s="393" t="s">
        <v>523</v>
      </c>
      <c r="L55" s="31" t="s">
        <v>162</v>
      </c>
      <c r="M55" s="31" t="s">
        <v>144</v>
      </c>
      <c r="N55" s="31" t="s">
        <v>144</v>
      </c>
      <c r="O55" s="31">
        <v>16</v>
      </c>
      <c r="P55" s="31" t="s">
        <v>144</v>
      </c>
      <c r="Q55" s="31" t="s">
        <v>144</v>
      </c>
      <c r="R55" s="31" t="s">
        <v>144</v>
      </c>
      <c r="S55" s="31" t="s">
        <v>619</v>
      </c>
      <c r="T55" s="31" t="s">
        <v>256</v>
      </c>
      <c r="U55" s="31" t="s">
        <v>257</v>
      </c>
      <c r="V55" s="31" t="s">
        <v>1331</v>
      </c>
      <c r="W55" s="31" t="s">
        <v>144</v>
      </c>
      <c r="X55" s="31">
        <v>0.89300000000000002</v>
      </c>
      <c r="Y55" s="31" t="s">
        <v>144</v>
      </c>
      <c r="Z55" s="31" t="s">
        <v>144</v>
      </c>
      <c r="AA55" s="31" t="s">
        <v>318</v>
      </c>
      <c r="AB55" s="31" t="s">
        <v>319</v>
      </c>
      <c r="AC55" s="390" t="s">
        <v>640</v>
      </c>
      <c r="AD55" s="31" t="s">
        <v>319</v>
      </c>
      <c r="AE55" s="31" t="s">
        <v>641</v>
      </c>
      <c r="AF55" s="31" t="s">
        <v>455</v>
      </c>
      <c r="AG55" s="31" t="s">
        <v>319</v>
      </c>
      <c r="AH55" s="31"/>
      <c r="AI55" s="31"/>
      <c r="AJ55" s="31" t="s">
        <v>163</v>
      </c>
      <c r="AK55" s="31" t="s">
        <v>144</v>
      </c>
      <c r="AL55" s="31"/>
      <c r="AM55" s="31"/>
      <c r="AN55" s="31"/>
      <c r="AO55" s="31" t="s">
        <v>144</v>
      </c>
      <c r="AP55" s="31"/>
      <c r="AQ55" s="31"/>
      <c r="AR55" s="31"/>
    </row>
    <row r="56" spans="5:44" ht="15" customHeight="1" x14ac:dyDescent="0.25">
      <c r="E56" s="31" t="s">
        <v>131</v>
      </c>
      <c r="F56" s="31" t="s">
        <v>140</v>
      </c>
      <c r="G56" s="31" t="s">
        <v>315</v>
      </c>
      <c r="H56" s="31" t="s">
        <v>639</v>
      </c>
      <c r="I56" s="31" t="s">
        <v>481</v>
      </c>
      <c r="J56" s="31" t="s">
        <v>522</v>
      </c>
      <c r="K56" s="393" t="s">
        <v>524</v>
      </c>
      <c r="L56" s="31" t="s">
        <v>162</v>
      </c>
      <c r="M56" s="31" t="s">
        <v>144</v>
      </c>
      <c r="N56" s="31" t="s">
        <v>144</v>
      </c>
      <c r="O56" s="31">
        <v>16</v>
      </c>
      <c r="P56" s="31" t="s">
        <v>144</v>
      </c>
      <c r="Q56" s="31" t="s">
        <v>144</v>
      </c>
      <c r="R56" s="31" t="s">
        <v>144</v>
      </c>
      <c r="S56" s="31" t="s">
        <v>619</v>
      </c>
      <c r="T56" s="31" t="s">
        <v>256</v>
      </c>
      <c r="U56" s="31" t="s">
        <v>257</v>
      </c>
      <c r="V56" s="31" t="s">
        <v>1331</v>
      </c>
      <c r="W56" s="31" t="s">
        <v>144</v>
      </c>
      <c r="X56" s="31">
        <v>0.89300000000000002</v>
      </c>
      <c r="Y56" s="31" t="s">
        <v>144</v>
      </c>
      <c r="Z56" s="31" t="s">
        <v>144</v>
      </c>
      <c r="AA56" s="31" t="s">
        <v>318</v>
      </c>
      <c r="AB56" s="31" t="s">
        <v>319</v>
      </c>
      <c r="AC56" s="390" t="s">
        <v>640</v>
      </c>
      <c r="AD56" s="31" t="s">
        <v>319</v>
      </c>
      <c r="AE56" s="31" t="s">
        <v>641</v>
      </c>
      <c r="AF56" s="31">
        <v>0.78600000000000003</v>
      </c>
      <c r="AG56" s="31" t="s">
        <v>144</v>
      </c>
      <c r="AH56" s="31" t="s">
        <v>144</v>
      </c>
      <c r="AI56" s="31" t="s">
        <v>144</v>
      </c>
      <c r="AJ56" s="31" t="s">
        <v>163</v>
      </c>
      <c r="AK56" s="31" t="s">
        <v>144</v>
      </c>
      <c r="AL56" s="31"/>
    </row>
    <row r="57" spans="5:44" ht="15" customHeight="1" x14ac:dyDescent="0.25">
      <c r="E57" s="31" t="s">
        <v>131</v>
      </c>
      <c r="F57" s="31" t="s">
        <v>140</v>
      </c>
      <c r="G57" s="31" t="s">
        <v>315</v>
      </c>
      <c r="H57" s="31" t="s">
        <v>639</v>
      </c>
      <c r="I57" s="31" t="s">
        <v>481</v>
      </c>
      <c r="J57" s="31" t="s">
        <v>522</v>
      </c>
      <c r="K57" s="393" t="s">
        <v>525</v>
      </c>
      <c r="L57" s="31" t="s">
        <v>162</v>
      </c>
      <c r="M57" s="31" t="s">
        <v>144</v>
      </c>
      <c r="N57" s="31" t="s">
        <v>144</v>
      </c>
      <c r="O57" s="31">
        <v>16</v>
      </c>
      <c r="P57" s="31" t="s">
        <v>144</v>
      </c>
      <c r="Q57" s="31" t="s">
        <v>144</v>
      </c>
      <c r="R57" s="31" t="s">
        <v>144</v>
      </c>
      <c r="S57" s="31" t="s">
        <v>619</v>
      </c>
      <c r="T57" s="31" t="s">
        <v>256</v>
      </c>
      <c r="U57" s="31" t="s">
        <v>257</v>
      </c>
      <c r="V57" s="31" t="s">
        <v>1331</v>
      </c>
      <c r="W57" s="31" t="s">
        <v>144</v>
      </c>
      <c r="X57" s="31">
        <v>0.89300000000000002</v>
      </c>
      <c r="Y57" s="31" t="s">
        <v>144</v>
      </c>
      <c r="Z57" s="31" t="s">
        <v>144</v>
      </c>
      <c r="AA57" s="31" t="s">
        <v>318</v>
      </c>
      <c r="AB57" s="31" t="s">
        <v>319</v>
      </c>
      <c r="AC57" s="390" t="s">
        <v>640</v>
      </c>
      <c r="AD57" s="31" t="s">
        <v>319</v>
      </c>
      <c r="AE57" s="31" t="s">
        <v>641</v>
      </c>
      <c r="AF57" s="31">
        <v>0.78600000000000003</v>
      </c>
      <c r="AG57" s="31" t="s">
        <v>144</v>
      </c>
      <c r="AH57" s="31" t="s">
        <v>144</v>
      </c>
      <c r="AI57" s="31" t="s">
        <v>144</v>
      </c>
      <c r="AJ57" s="31" t="s">
        <v>163</v>
      </c>
      <c r="AK57" s="31" t="s">
        <v>144</v>
      </c>
      <c r="AL57" s="31"/>
    </row>
    <row r="58" spans="5:44" ht="15" customHeight="1" x14ac:dyDescent="0.25">
      <c r="E58" s="31" t="s">
        <v>131</v>
      </c>
      <c r="F58" s="31" t="s">
        <v>140</v>
      </c>
      <c r="G58" s="31" t="s">
        <v>315</v>
      </c>
      <c r="H58" s="31" t="s">
        <v>639</v>
      </c>
      <c r="I58" s="31" t="s">
        <v>481</v>
      </c>
      <c r="J58" s="31" t="s">
        <v>522</v>
      </c>
      <c r="K58" s="393" t="s">
        <v>526</v>
      </c>
      <c r="L58" s="31" t="s">
        <v>162</v>
      </c>
      <c r="M58" s="31" t="s">
        <v>144</v>
      </c>
      <c r="N58" s="31" t="s">
        <v>144</v>
      </c>
      <c r="O58" s="31">
        <v>16</v>
      </c>
      <c r="P58" s="31" t="s">
        <v>144</v>
      </c>
      <c r="Q58" s="31" t="s">
        <v>144</v>
      </c>
      <c r="R58" s="31" t="s">
        <v>144</v>
      </c>
      <c r="S58" s="31" t="s">
        <v>619</v>
      </c>
      <c r="T58" s="31" t="s">
        <v>256</v>
      </c>
      <c r="U58" s="31" t="s">
        <v>257</v>
      </c>
      <c r="V58" s="31" t="s">
        <v>1331</v>
      </c>
      <c r="W58" s="31" t="s">
        <v>144</v>
      </c>
      <c r="X58" s="31">
        <v>0.89300000000000002</v>
      </c>
      <c r="Y58" s="31" t="s">
        <v>144</v>
      </c>
      <c r="Z58" s="31" t="s">
        <v>144</v>
      </c>
      <c r="AA58" s="31" t="s">
        <v>318</v>
      </c>
      <c r="AB58" s="31" t="s">
        <v>319</v>
      </c>
      <c r="AC58" s="390" t="s">
        <v>640</v>
      </c>
      <c r="AD58" s="31" t="s">
        <v>319</v>
      </c>
      <c r="AE58" s="31" t="s">
        <v>641</v>
      </c>
      <c r="AF58" s="31">
        <v>0.78600000000000003</v>
      </c>
      <c r="AG58" s="31" t="s">
        <v>144</v>
      </c>
      <c r="AH58" s="31" t="s">
        <v>144</v>
      </c>
      <c r="AI58" s="31" t="s">
        <v>144</v>
      </c>
      <c r="AJ58" s="31" t="s">
        <v>163</v>
      </c>
      <c r="AK58" s="31" t="s">
        <v>144</v>
      </c>
      <c r="AL58" s="31"/>
    </row>
    <row r="59" spans="5:44" ht="15" customHeight="1" x14ac:dyDescent="0.25">
      <c r="E59" s="31" t="s">
        <v>131</v>
      </c>
      <c r="F59" s="31" t="s">
        <v>140</v>
      </c>
      <c r="G59" s="31" t="s">
        <v>315</v>
      </c>
      <c r="H59" s="31" t="s">
        <v>639</v>
      </c>
      <c r="I59" s="31" t="s">
        <v>481</v>
      </c>
      <c r="J59" s="31" t="s">
        <v>522</v>
      </c>
      <c r="K59" s="393" t="s">
        <v>527</v>
      </c>
      <c r="L59" s="31" t="s">
        <v>162</v>
      </c>
      <c r="M59" s="31" t="s">
        <v>144</v>
      </c>
      <c r="N59" s="31" t="s">
        <v>144</v>
      </c>
      <c r="O59" s="31">
        <v>16</v>
      </c>
      <c r="P59" s="31" t="s">
        <v>144</v>
      </c>
      <c r="Q59" s="31" t="s">
        <v>144</v>
      </c>
      <c r="R59" s="31" t="s">
        <v>144</v>
      </c>
      <c r="S59" s="31" t="s">
        <v>619</v>
      </c>
      <c r="T59" s="31" t="s">
        <v>256</v>
      </c>
      <c r="U59" s="31" t="s">
        <v>257</v>
      </c>
      <c r="V59" s="31" t="s">
        <v>1331</v>
      </c>
      <c r="W59" s="31" t="s">
        <v>144</v>
      </c>
      <c r="X59" s="31">
        <v>0.89300000000000002</v>
      </c>
      <c r="Y59" s="31" t="s">
        <v>144</v>
      </c>
      <c r="Z59" s="31" t="s">
        <v>144</v>
      </c>
      <c r="AA59" s="31" t="s">
        <v>318</v>
      </c>
      <c r="AB59" s="31" t="s">
        <v>319</v>
      </c>
      <c r="AC59" s="390" t="s">
        <v>640</v>
      </c>
      <c r="AD59" s="31" t="s">
        <v>319</v>
      </c>
      <c r="AE59" s="31" t="s">
        <v>641</v>
      </c>
      <c r="AF59" s="31">
        <v>0.78600000000000003</v>
      </c>
      <c r="AG59" s="31" t="s">
        <v>144</v>
      </c>
      <c r="AH59" s="31" t="s">
        <v>144</v>
      </c>
      <c r="AI59" s="31" t="s">
        <v>144</v>
      </c>
      <c r="AJ59" s="31" t="s">
        <v>163</v>
      </c>
      <c r="AK59" s="31" t="s">
        <v>144</v>
      </c>
      <c r="AL59" s="31"/>
    </row>
    <row r="60" spans="5:44" ht="15" customHeight="1" x14ac:dyDescent="0.25">
      <c r="E60" s="31" t="s">
        <v>131</v>
      </c>
      <c r="F60" s="31" t="s">
        <v>140</v>
      </c>
      <c r="G60" s="31" t="s">
        <v>315</v>
      </c>
      <c r="H60" s="31" t="s">
        <v>639</v>
      </c>
      <c r="I60" s="31" t="s">
        <v>481</v>
      </c>
      <c r="J60" s="31" t="s">
        <v>522</v>
      </c>
      <c r="K60" s="393" t="s">
        <v>528</v>
      </c>
      <c r="L60" s="31" t="s">
        <v>162</v>
      </c>
      <c r="M60" s="31" t="s">
        <v>144</v>
      </c>
      <c r="N60" s="31" t="s">
        <v>144</v>
      </c>
      <c r="O60" s="31">
        <v>16</v>
      </c>
      <c r="P60" s="31" t="s">
        <v>144</v>
      </c>
      <c r="Q60" s="31" t="s">
        <v>144</v>
      </c>
      <c r="R60" s="31" t="s">
        <v>144</v>
      </c>
      <c r="S60" s="31" t="s">
        <v>619</v>
      </c>
      <c r="T60" s="31" t="s">
        <v>256</v>
      </c>
      <c r="U60" s="31" t="s">
        <v>257</v>
      </c>
      <c r="V60" s="31" t="s">
        <v>1331</v>
      </c>
      <c r="W60" s="31" t="s">
        <v>144</v>
      </c>
      <c r="X60" s="31">
        <v>0.89300000000000002</v>
      </c>
      <c r="Y60" s="31" t="s">
        <v>144</v>
      </c>
      <c r="Z60" s="31" t="s">
        <v>144</v>
      </c>
      <c r="AA60" s="31" t="s">
        <v>318</v>
      </c>
      <c r="AB60" s="31" t="s">
        <v>319</v>
      </c>
      <c r="AC60" s="390" t="s">
        <v>640</v>
      </c>
      <c r="AD60" s="31" t="s">
        <v>319</v>
      </c>
      <c r="AE60" s="31" t="s">
        <v>641</v>
      </c>
      <c r="AF60" s="31">
        <v>0.78600000000000003</v>
      </c>
      <c r="AG60" s="31" t="s">
        <v>144</v>
      </c>
      <c r="AH60" s="31" t="s">
        <v>144</v>
      </c>
      <c r="AI60" s="31" t="s">
        <v>144</v>
      </c>
      <c r="AJ60" s="31" t="s">
        <v>163</v>
      </c>
      <c r="AK60" s="31" t="s">
        <v>144</v>
      </c>
      <c r="AL60" s="31"/>
    </row>
    <row r="61" spans="5:44" ht="15" customHeight="1" x14ac:dyDescent="0.25">
      <c r="E61" s="31" t="s">
        <v>131</v>
      </c>
      <c r="F61" s="31" t="s">
        <v>140</v>
      </c>
      <c r="G61" s="31" t="s">
        <v>315</v>
      </c>
      <c r="H61" s="31" t="s">
        <v>639</v>
      </c>
      <c r="I61" s="31" t="s">
        <v>481</v>
      </c>
      <c r="J61" s="31" t="s">
        <v>522</v>
      </c>
      <c r="K61" s="393" t="s">
        <v>529</v>
      </c>
      <c r="L61" s="31" t="s">
        <v>162</v>
      </c>
      <c r="M61" s="31" t="s">
        <v>144</v>
      </c>
      <c r="N61" s="31" t="s">
        <v>144</v>
      </c>
      <c r="O61" s="31">
        <v>16</v>
      </c>
      <c r="P61" s="31" t="s">
        <v>144</v>
      </c>
      <c r="Q61" s="31" t="s">
        <v>144</v>
      </c>
      <c r="R61" s="31" t="s">
        <v>144</v>
      </c>
      <c r="S61" s="31" t="s">
        <v>619</v>
      </c>
      <c r="T61" s="31" t="s">
        <v>256</v>
      </c>
      <c r="U61" s="31" t="s">
        <v>257</v>
      </c>
      <c r="V61" s="31" t="s">
        <v>1331</v>
      </c>
      <c r="W61" s="31" t="s">
        <v>144</v>
      </c>
      <c r="X61" s="31">
        <v>0.89300000000000002</v>
      </c>
      <c r="Y61" s="31" t="s">
        <v>144</v>
      </c>
      <c r="Z61" s="31" t="s">
        <v>144</v>
      </c>
      <c r="AA61" s="31" t="s">
        <v>318</v>
      </c>
      <c r="AB61" s="31" t="s">
        <v>319</v>
      </c>
      <c r="AC61" s="390" t="s">
        <v>640</v>
      </c>
      <c r="AD61" s="31" t="s">
        <v>319</v>
      </c>
      <c r="AE61" s="31" t="s">
        <v>641</v>
      </c>
      <c r="AF61" s="31">
        <v>0.78600000000000003</v>
      </c>
      <c r="AG61" s="31" t="s">
        <v>144</v>
      </c>
      <c r="AH61" s="31" t="s">
        <v>144</v>
      </c>
      <c r="AI61" s="31" t="s">
        <v>144</v>
      </c>
      <c r="AJ61" s="31" t="s">
        <v>163</v>
      </c>
      <c r="AK61" s="31" t="s">
        <v>144</v>
      </c>
      <c r="AL61" s="31"/>
    </row>
    <row r="62" spans="5:44" ht="15" customHeight="1" x14ac:dyDescent="0.25">
      <c r="E62" s="31" t="s">
        <v>131</v>
      </c>
      <c r="F62" s="31" t="s">
        <v>140</v>
      </c>
      <c r="G62" s="31" t="s">
        <v>315</v>
      </c>
      <c r="H62" s="31" t="s">
        <v>639</v>
      </c>
      <c r="I62" s="31" t="s">
        <v>481</v>
      </c>
      <c r="J62" s="31" t="s">
        <v>522</v>
      </c>
      <c r="K62" s="393" t="s">
        <v>530</v>
      </c>
      <c r="L62" s="31" t="s">
        <v>162</v>
      </c>
      <c r="M62" s="31" t="s">
        <v>144</v>
      </c>
      <c r="N62" s="31" t="s">
        <v>144</v>
      </c>
      <c r="O62" s="31">
        <v>16</v>
      </c>
      <c r="P62" s="31" t="s">
        <v>144</v>
      </c>
      <c r="Q62" s="31" t="s">
        <v>144</v>
      </c>
      <c r="R62" s="31" t="s">
        <v>144</v>
      </c>
      <c r="S62" s="31" t="s">
        <v>619</v>
      </c>
      <c r="T62" s="31" t="s">
        <v>256</v>
      </c>
      <c r="U62" s="31" t="s">
        <v>257</v>
      </c>
      <c r="V62" s="31" t="s">
        <v>1331</v>
      </c>
      <c r="W62" s="31" t="s">
        <v>144</v>
      </c>
      <c r="X62" s="31">
        <v>0.89300000000000002</v>
      </c>
      <c r="Y62" s="31" t="s">
        <v>144</v>
      </c>
      <c r="Z62" s="31" t="s">
        <v>144</v>
      </c>
      <c r="AA62" s="31" t="s">
        <v>318</v>
      </c>
      <c r="AB62" s="31" t="s">
        <v>319</v>
      </c>
      <c r="AC62" s="390" t="s">
        <v>640</v>
      </c>
      <c r="AD62" s="31" t="s">
        <v>319</v>
      </c>
      <c r="AE62" s="31" t="s">
        <v>641</v>
      </c>
      <c r="AF62" s="31">
        <v>0.78600000000000003</v>
      </c>
      <c r="AG62" s="31" t="s">
        <v>144</v>
      </c>
      <c r="AH62" s="31" t="s">
        <v>144</v>
      </c>
      <c r="AI62" s="31" t="s">
        <v>144</v>
      </c>
      <c r="AJ62" s="31" t="s">
        <v>163</v>
      </c>
      <c r="AK62" s="31" t="s">
        <v>144</v>
      </c>
      <c r="AL62" s="31"/>
    </row>
    <row r="63" spans="5:44" ht="15" customHeight="1" x14ac:dyDescent="0.25">
      <c r="E63" s="31" t="s">
        <v>131</v>
      </c>
      <c r="F63" s="31" t="s">
        <v>140</v>
      </c>
      <c r="G63" s="31" t="s">
        <v>315</v>
      </c>
      <c r="H63" s="31" t="s">
        <v>639</v>
      </c>
      <c r="I63" s="31" t="s">
        <v>481</v>
      </c>
      <c r="J63" s="31" t="s">
        <v>522</v>
      </c>
      <c r="K63" s="393" t="s">
        <v>531</v>
      </c>
      <c r="L63" s="31" t="s">
        <v>162</v>
      </c>
      <c r="M63" s="31" t="s">
        <v>144</v>
      </c>
      <c r="N63" s="31" t="s">
        <v>144</v>
      </c>
      <c r="O63" s="31">
        <v>16</v>
      </c>
      <c r="P63" s="31" t="s">
        <v>144</v>
      </c>
      <c r="Q63" s="31" t="s">
        <v>144</v>
      </c>
      <c r="R63" s="31" t="s">
        <v>144</v>
      </c>
      <c r="S63" s="31" t="s">
        <v>619</v>
      </c>
      <c r="T63" s="31" t="s">
        <v>256</v>
      </c>
      <c r="U63" s="31" t="s">
        <v>257</v>
      </c>
      <c r="V63" s="31" t="s">
        <v>1331</v>
      </c>
      <c r="W63" s="31" t="s">
        <v>144</v>
      </c>
      <c r="X63" s="31">
        <v>0.89300000000000002</v>
      </c>
      <c r="Y63" s="31" t="s">
        <v>144</v>
      </c>
      <c r="Z63" s="31" t="s">
        <v>144</v>
      </c>
      <c r="AA63" s="31" t="s">
        <v>318</v>
      </c>
      <c r="AB63" s="31" t="s">
        <v>319</v>
      </c>
      <c r="AC63" s="390" t="s">
        <v>640</v>
      </c>
      <c r="AD63" s="31" t="s">
        <v>319</v>
      </c>
      <c r="AE63" s="31" t="s">
        <v>641</v>
      </c>
      <c r="AF63" s="31">
        <v>0.78600000000000003</v>
      </c>
      <c r="AG63" s="31" t="s">
        <v>144</v>
      </c>
      <c r="AH63" s="31" t="s">
        <v>144</v>
      </c>
      <c r="AI63" s="31" t="s">
        <v>144</v>
      </c>
      <c r="AJ63" s="31" t="s">
        <v>163</v>
      </c>
      <c r="AK63" s="31" t="s">
        <v>144</v>
      </c>
      <c r="AL63" s="31"/>
    </row>
    <row r="64" spans="5:44" ht="15" customHeight="1" x14ac:dyDescent="0.25">
      <c r="E64" s="31" t="s">
        <v>131</v>
      </c>
      <c r="F64" s="31" t="s">
        <v>140</v>
      </c>
      <c r="G64" s="31" t="s">
        <v>315</v>
      </c>
      <c r="H64" s="31" t="s">
        <v>639</v>
      </c>
      <c r="I64" s="31" t="s">
        <v>481</v>
      </c>
      <c r="J64" s="31" t="s">
        <v>522</v>
      </c>
      <c r="K64" s="393" t="s">
        <v>532</v>
      </c>
      <c r="L64" s="31" t="s">
        <v>162</v>
      </c>
      <c r="M64" s="31" t="s">
        <v>144</v>
      </c>
      <c r="N64" s="31" t="s">
        <v>144</v>
      </c>
      <c r="O64" s="31">
        <v>16</v>
      </c>
      <c r="P64" s="31" t="s">
        <v>144</v>
      </c>
      <c r="Q64" s="31" t="s">
        <v>144</v>
      </c>
      <c r="R64" s="31" t="s">
        <v>144</v>
      </c>
      <c r="S64" s="31" t="s">
        <v>619</v>
      </c>
      <c r="T64" s="31" t="s">
        <v>256</v>
      </c>
      <c r="U64" s="31" t="s">
        <v>257</v>
      </c>
      <c r="V64" s="31" t="s">
        <v>1331</v>
      </c>
      <c r="W64" s="31" t="s">
        <v>144</v>
      </c>
      <c r="X64" s="31">
        <v>0.89300000000000002</v>
      </c>
      <c r="Y64" s="31" t="s">
        <v>144</v>
      </c>
      <c r="Z64" s="31" t="s">
        <v>144</v>
      </c>
      <c r="AA64" s="31" t="s">
        <v>318</v>
      </c>
      <c r="AB64" s="31" t="s">
        <v>319</v>
      </c>
      <c r="AC64" s="390" t="s">
        <v>640</v>
      </c>
      <c r="AD64" s="31" t="s">
        <v>319</v>
      </c>
      <c r="AE64" s="31" t="s">
        <v>641</v>
      </c>
      <c r="AF64" s="31">
        <v>0.78600000000000003</v>
      </c>
      <c r="AG64" s="31" t="s">
        <v>144</v>
      </c>
      <c r="AH64" s="31" t="s">
        <v>144</v>
      </c>
      <c r="AI64" s="31" t="s">
        <v>144</v>
      </c>
      <c r="AJ64" s="31" t="s">
        <v>163</v>
      </c>
      <c r="AK64" s="31" t="s">
        <v>144</v>
      </c>
      <c r="AL64" s="31"/>
    </row>
    <row r="65" spans="5:38" ht="15" customHeight="1" x14ac:dyDescent="0.25">
      <c r="E65" s="31" t="s">
        <v>131</v>
      </c>
      <c r="F65" s="31" t="s">
        <v>140</v>
      </c>
      <c r="G65" s="31" t="s">
        <v>315</v>
      </c>
      <c r="H65" s="31" t="s">
        <v>639</v>
      </c>
      <c r="I65" s="31" t="s">
        <v>481</v>
      </c>
      <c r="J65" s="31" t="s">
        <v>522</v>
      </c>
      <c r="K65" s="393" t="s">
        <v>533</v>
      </c>
      <c r="L65" s="31" t="s">
        <v>162</v>
      </c>
      <c r="M65" s="31" t="s">
        <v>144</v>
      </c>
      <c r="N65" s="31" t="s">
        <v>144</v>
      </c>
      <c r="O65" s="31">
        <v>16</v>
      </c>
      <c r="P65" s="31" t="s">
        <v>144</v>
      </c>
      <c r="Q65" s="31" t="s">
        <v>144</v>
      </c>
      <c r="R65" s="31" t="s">
        <v>144</v>
      </c>
      <c r="S65" s="31" t="s">
        <v>619</v>
      </c>
      <c r="T65" s="31" t="s">
        <v>256</v>
      </c>
      <c r="U65" s="31" t="s">
        <v>257</v>
      </c>
      <c r="V65" s="31" t="s">
        <v>1331</v>
      </c>
      <c r="W65" s="31" t="s">
        <v>144</v>
      </c>
      <c r="X65" s="31">
        <v>0.89300000000000002</v>
      </c>
      <c r="Y65" s="31" t="s">
        <v>144</v>
      </c>
      <c r="Z65" s="31" t="s">
        <v>144</v>
      </c>
      <c r="AA65" s="31" t="s">
        <v>318</v>
      </c>
      <c r="AB65" s="31" t="s">
        <v>319</v>
      </c>
      <c r="AC65" s="390" t="s">
        <v>640</v>
      </c>
      <c r="AD65" s="31" t="s">
        <v>319</v>
      </c>
      <c r="AE65" s="31" t="s">
        <v>641</v>
      </c>
      <c r="AF65" s="31">
        <v>0.78600000000000003</v>
      </c>
      <c r="AG65" s="31" t="s">
        <v>144</v>
      </c>
      <c r="AH65" s="31" t="s">
        <v>144</v>
      </c>
      <c r="AI65" s="31" t="s">
        <v>144</v>
      </c>
      <c r="AJ65" s="31" t="s">
        <v>163</v>
      </c>
      <c r="AK65" s="31" t="s">
        <v>144</v>
      </c>
      <c r="AL65" s="31"/>
    </row>
    <row r="66" spans="5:38" ht="15" customHeight="1" x14ac:dyDescent="0.25">
      <c r="E66" s="31" t="s">
        <v>131</v>
      </c>
      <c r="F66" s="31" t="s">
        <v>140</v>
      </c>
      <c r="G66" s="31" t="s">
        <v>315</v>
      </c>
      <c r="H66" s="31" t="s">
        <v>639</v>
      </c>
      <c r="I66" s="31" t="s">
        <v>481</v>
      </c>
      <c r="J66" s="31" t="s">
        <v>522</v>
      </c>
      <c r="K66" s="393" t="s">
        <v>534</v>
      </c>
      <c r="L66" s="31" t="s">
        <v>162</v>
      </c>
      <c r="M66" s="31" t="s">
        <v>144</v>
      </c>
      <c r="N66" s="31" t="s">
        <v>144</v>
      </c>
      <c r="O66" s="31">
        <v>16</v>
      </c>
      <c r="P66" s="31" t="s">
        <v>144</v>
      </c>
      <c r="Q66" s="31" t="s">
        <v>144</v>
      </c>
      <c r="R66" s="31" t="s">
        <v>144</v>
      </c>
      <c r="S66" s="31" t="s">
        <v>619</v>
      </c>
      <c r="T66" s="31" t="s">
        <v>256</v>
      </c>
      <c r="U66" s="31" t="s">
        <v>257</v>
      </c>
      <c r="V66" s="31" t="s">
        <v>1331</v>
      </c>
      <c r="W66" s="31" t="s">
        <v>144</v>
      </c>
      <c r="X66" s="31">
        <v>0.89300000000000002</v>
      </c>
      <c r="Y66" s="31" t="s">
        <v>144</v>
      </c>
      <c r="Z66" s="31" t="s">
        <v>144</v>
      </c>
      <c r="AA66" s="31" t="s">
        <v>318</v>
      </c>
      <c r="AB66" s="31" t="s">
        <v>319</v>
      </c>
      <c r="AC66" s="390" t="s">
        <v>640</v>
      </c>
      <c r="AD66" s="31" t="s">
        <v>319</v>
      </c>
      <c r="AE66" s="31" t="s">
        <v>641</v>
      </c>
      <c r="AF66" s="31">
        <v>0.78600000000000003</v>
      </c>
      <c r="AG66" s="31" t="s">
        <v>144</v>
      </c>
      <c r="AH66" s="31" t="s">
        <v>144</v>
      </c>
      <c r="AI66" s="31" t="s">
        <v>144</v>
      </c>
      <c r="AJ66" s="31" t="s">
        <v>163</v>
      </c>
      <c r="AK66" s="31" t="s">
        <v>144</v>
      </c>
      <c r="AL66" s="31"/>
    </row>
    <row r="67" spans="5:38" ht="15" customHeight="1" x14ac:dyDescent="0.25">
      <c r="E67" s="31" t="s">
        <v>131</v>
      </c>
      <c r="F67" s="31" t="s">
        <v>140</v>
      </c>
      <c r="G67" s="31" t="s">
        <v>315</v>
      </c>
      <c r="H67" s="31" t="s">
        <v>639</v>
      </c>
      <c r="I67" s="31" t="s">
        <v>481</v>
      </c>
      <c r="J67" s="31" t="s">
        <v>522</v>
      </c>
      <c r="K67" s="393" t="s">
        <v>535</v>
      </c>
      <c r="L67" s="31" t="s">
        <v>162</v>
      </c>
      <c r="M67" s="31" t="s">
        <v>144</v>
      </c>
      <c r="N67" s="31" t="s">
        <v>144</v>
      </c>
      <c r="O67" s="31">
        <v>16</v>
      </c>
      <c r="P67" s="31" t="s">
        <v>144</v>
      </c>
      <c r="Q67" s="31" t="s">
        <v>144</v>
      </c>
      <c r="R67" s="31" t="s">
        <v>144</v>
      </c>
      <c r="S67" s="31" t="s">
        <v>619</v>
      </c>
      <c r="T67" s="31" t="s">
        <v>256</v>
      </c>
      <c r="U67" s="31" t="s">
        <v>257</v>
      </c>
      <c r="V67" s="31" t="s">
        <v>1331</v>
      </c>
      <c r="W67" s="31" t="s">
        <v>144</v>
      </c>
      <c r="X67" s="31">
        <v>0.89300000000000002</v>
      </c>
      <c r="Y67" s="31" t="s">
        <v>144</v>
      </c>
      <c r="Z67" s="31" t="s">
        <v>144</v>
      </c>
      <c r="AA67" s="31" t="s">
        <v>318</v>
      </c>
      <c r="AB67" s="31" t="s">
        <v>319</v>
      </c>
      <c r="AC67" s="390" t="s">
        <v>640</v>
      </c>
      <c r="AD67" s="31" t="s">
        <v>319</v>
      </c>
      <c r="AE67" s="31" t="s">
        <v>641</v>
      </c>
      <c r="AF67" s="31">
        <v>0.78600000000000003</v>
      </c>
      <c r="AG67" s="31" t="s">
        <v>144</v>
      </c>
      <c r="AH67" s="31" t="s">
        <v>144</v>
      </c>
      <c r="AI67" s="31" t="s">
        <v>144</v>
      </c>
      <c r="AJ67" s="31" t="s">
        <v>163</v>
      </c>
      <c r="AK67" s="31" t="s">
        <v>144</v>
      </c>
      <c r="AL67" s="31"/>
    </row>
    <row r="68" spans="5:38" ht="15" customHeight="1" x14ac:dyDescent="0.25">
      <c r="E68" s="31" t="s">
        <v>131</v>
      </c>
      <c r="F68" s="31" t="s">
        <v>140</v>
      </c>
      <c r="G68" s="31" t="s">
        <v>315</v>
      </c>
      <c r="H68" s="31" t="s">
        <v>639</v>
      </c>
      <c r="I68" s="31" t="s">
        <v>481</v>
      </c>
      <c r="J68" s="31" t="s">
        <v>522</v>
      </c>
      <c r="K68" s="393" t="s">
        <v>536</v>
      </c>
      <c r="L68" s="31" t="s">
        <v>162</v>
      </c>
      <c r="M68" s="31" t="s">
        <v>144</v>
      </c>
      <c r="N68" s="31" t="s">
        <v>144</v>
      </c>
      <c r="O68" s="31">
        <v>16</v>
      </c>
      <c r="P68" s="31" t="s">
        <v>144</v>
      </c>
      <c r="Q68" s="31" t="s">
        <v>144</v>
      </c>
      <c r="R68" s="31" t="s">
        <v>144</v>
      </c>
      <c r="S68" s="31" t="s">
        <v>619</v>
      </c>
      <c r="T68" s="31" t="s">
        <v>256</v>
      </c>
      <c r="U68" s="31" t="s">
        <v>257</v>
      </c>
      <c r="V68" s="31" t="s">
        <v>1331</v>
      </c>
      <c r="W68" s="31" t="s">
        <v>144</v>
      </c>
      <c r="X68" s="31">
        <v>0.89300000000000002</v>
      </c>
      <c r="Y68" s="31" t="s">
        <v>144</v>
      </c>
      <c r="Z68" s="31" t="s">
        <v>144</v>
      </c>
      <c r="AA68" s="31" t="s">
        <v>318</v>
      </c>
      <c r="AB68" s="31" t="s">
        <v>319</v>
      </c>
      <c r="AC68" s="390" t="s">
        <v>640</v>
      </c>
      <c r="AD68" s="31" t="s">
        <v>319</v>
      </c>
      <c r="AE68" s="31" t="s">
        <v>641</v>
      </c>
      <c r="AF68" s="31">
        <v>0.78600000000000003</v>
      </c>
      <c r="AG68" s="31" t="s">
        <v>144</v>
      </c>
      <c r="AH68" s="31" t="s">
        <v>144</v>
      </c>
      <c r="AI68" s="31" t="s">
        <v>144</v>
      </c>
      <c r="AJ68" s="31" t="s">
        <v>163</v>
      </c>
      <c r="AK68" s="31" t="s">
        <v>144</v>
      </c>
      <c r="AL68" s="31"/>
    </row>
    <row r="69" spans="5:38" ht="15" customHeight="1" x14ac:dyDescent="0.25">
      <c r="E69" s="31" t="s">
        <v>131</v>
      </c>
      <c r="F69" s="31" t="s">
        <v>140</v>
      </c>
      <c r="G69" s="31" t="s">
        <v>315</v>
      </c>
      <c r="H69" s="31" t="s">
        <v>639</v>
      </c>
      <c r="I69" s="31" t="s">
        <v>481</v>
      </c>
      <c r="J69" s="31" t="s">
        <v>522</v>
      </c>
      <c r="K69" s="393" t="s">
        <v>537</v>
      </c>
      <c r="L69" s="31" t="s">
        <v>162</v>
      </c>
      <c r="M69" s="31" t="s">
        <v>144</v>
      </c>
      <c r="N69" s="31" t="s">
        <v>144</v>
      </c>
      <c r="O69" s="31">
        <v>16</v>
      </c>
      <c r="P69" s="31" t="s">
        <v>144</v>
      </c>
      <c r="Q69" s="31" t="s">
        <v>144</v>
      </c>
      <c r="R69" s="31" t="s">
        <v>144</v>
      </c>
      <c r="S69" s="31" t="s">
        <v>619</v>
      </c>
      <c r="T69" s="31" t="s">
        <v>256</v>
      </c>
      <c r="U69" s="31" t="s">
        <v>257</v>
      </c>
      <c r="V69" s="31" t="s">
        <v>1331</v>
      </c>
      <c r="W69" s="31" t="s">
        <v>144</v>
      </c>
      <c r="X69" s="31">
        <v>0.89300000000000002</v>
      </c>
      <c r="Y69" s="31" t="s">
        <v>144</v>
      </c>
      <c r="Z69" s="31" t="s">
        <v>144</v>
      </c>
      <c r="AA69" s="31" t="s">
        <v>318</v>
      </c>
      <c r="AB69" s="31" t="s">
        <v>319</v>
      </c>
      <c r="AC69" s="390" t="s">
        <v>640</v>
      </c>
      <c r="AD69" s="31" t="s">
        <v>319</v>
      </c>
      <c r="AE69" s="31" t="s">
        <v>641</v>
      </c>
      <c r="AF69" s="31">
        <v>0.78600000000000003</v>
      </c>
      <c r="AG69" s="31" t="s">
        <v>144</v>
      </c>
      <c r="AH69" s="31" t="s">
        <v>144</v>
      </c>
      <c r="AI69" s="31" t="s">
        <v>144</v>
      </c>
      <c r="AJ69" s="31" t="s">
        <v>163</v>
      </c>
      <c r="AK69" s="31" t="s">
        <v>144</v>
      </c>
      <c r="AL69" s="31"/>
    </row>
    <row r="70" spans="5:38" ht="15" customHeight="1" x14ac:dyDescent="0.25">
      <c r="E70" s="31" t="s">
        <v>131</v>
      </c>
      <c r="F70" s="31" t="s">
        <v>140</v>
      </c>
      <c r="G70" s="31" t="s">
        <v>315</v>
      </c>
      <c r="H70" s="31" t="s">
        <v>639</v>
      </c>
      <c r="I70" s="31" t="s">
        <v>481</v>
      </c>
      <c r="J70" s="31" t="s">
        <v>522</v>
      </c>
      <c r="K70" s="393" t="s">
        <v>538</v>
      </c>
      <c r="L70" s="31" t="s">
        <v>162</v>
      </c>
      <c r="M70" s="31" t="s">
        <v>144</v>
      </c>
      <c r="N70" s="31" t="s">
        <v>144</v>
      </c>
      <c r="O70" s="31">
        <v>16</v>
      </c>
      <c r="P70" s="31" t="s">
        <v>144</v>
      </c>
      <c r="Q70" s="31" t="s">
        <v>144</v>
      </c>
      <c r="R70" s="31" t="s">
        <v>144</v>
      </c>
      <c r="S70" s="31" t="s">
        <v>619</v>
      </c>
      <c r="T70" s="31" t="s">
        <v>256</v>
      </c>
      <c r="U70" s="31" t="s">
        <v>257</v>
      </c>
      <c r="V70" s="31" t="s">
        <v>1331</v>
      </c>
      <c r="W70" s="31" t="s">
        <v>144</v>
      </c>
      <c r="X70" s="31">
        <v>0.89300000000000002</v>
      </c>
      <c r="Y70" s="31" t="s">
        <v>144</v>
      </c>
      <c r="Z70" s="31" t="s">
        <v>144</v>
      </c>
      <c r="AA70" s="31" t="s">
        <v>318</v>
      </c>
      <c r="AB70" s="31" t="s">
        <v>319</v>
      </c>
      <c r="AC70" s="390" t="s">
        <v>640</v>
      </c>
      <c r="AD70" s="31" t="s">
        <v>319</v>
      </c>
      <c r="AE70" s="31" t="s">
        <v>641</v>
      </c>
      <c r="AF70" s="31">
        <v>0.78600000000000003</v>
      </c>
      <c r="AG70" s="31" t="s">
        <v>144</v>
      </c>
      <c r="AH70" s="31" t="s">
        <v>144</v>
      </c>
      <c r="AI70" s="31" t="s">
        <v>144</v>
      </c>
      <c r="AJ70" s="31" t="s">
        <v>163</v>
      </c>
      <c r="AK70" s="31" t="s">
        <v>144</v>
      </c>
      <c r="AL70" s="31"/>
    </row>
    <row r="71" spans="5:38" ht="15" customHeight="1" x14ac:dyDescent="0.25">
      <c r="E71" s="31" t="s">
        <v>131</v>
      </c>
      <c r="F71" s="31" t="s">
        <v>140</v>
      </c>
      <c r="G71" s="31" t="s">
        <v>315</v>
      </c>
      <c r="H71" s="31" t="s">
        <v>639</v>
      </c>
      <c r="I71" s="31" t="s">
        <v>481</v>
      </c>
      <c r="J71" s="31" t="s">
        <v>522</v>
      </c>
      <c r="K71" s="393" t="s">
        <v>539</v>
      </c>
      <c r="L71" s="31" t="s">
        <v>162</v>
      </c>
      <c r="M71" s="31" t="s">
        <v>144</v>
      </c>
      <c r="N71" s="31" t="s">
        <v>144</v>
      </c>
      <c r="O71" s="31">
        <v>16</v>
      </c>
      <c r="P71" s="31" t="s">
        <v>144</v>
      </c>
      <c r="Q71" s="31" t="s">
        <v>144</v>
      </c>
      <c r="R71" s="31" t="s">
        <v>144</v>
      </c>
      <c r="S71" s="31" t="s">
        <v>619</v>
      </c>
      <c r="T71" s="31" t="s">
        <v>256</v>
      </c>
      <c r="U71" s="31" t="s">
        <v>257</v>
      </c>
      <c r="V71" s="31" t="s">
        <v>1331</v>
      </c>
      <c r="W71" s="31" t="s">
        <v>144</v>
      </c>
      <c r="X71" s="31">
        <v>0.89300000000000002</v>
      </c>
      <c r="Y71" s="31" t="s">
        <v>144</v>
      </c>
      <c r="Z71" s="31" t="s">
        <v>144</v>
      </c>
      <c r="AA71" s="31" t="s">
        <v>318</v>
      </c>
      <c r="AB71" s="31" t="s">
        <v>319</v>
      </c>
      <c r="AC71" s="390" t="s">
        <v>640</v>
      </c>
      <c r="AD71" s="31" t="s">
        <v>319</v>
      </c>
      <c r="AE71" s="31" t="s">
        <v>641</v>
      </c>
      <c r="AF71" s="31">
        <v>0.78600000000000003</v>
      </c>
      <c r="AG71" s="31" t="s">
        <v>144</v>
      </c>
      <c r="AH71" s="31" t="s">
        <v>144</v>
      </c>
      <c r="AI71" s="31" t="s">
        <v>144</v>
      </c>
      <c r="AJ71" s="31" t="s">
        <v>163</v>
      </c>
      <c r="AK71" s="31" t="s">
        <v>144</v>
      </c>
      <c r="AL71" s="31"/>
    </row>
    <row r="72" spans="5:38" ht="15" customHeight="1" x14ac:dyDescent="0.25">
      <c r="E72" s="31" t="s">
        <v>131</v>
      </c>
      <c r="F72" s="31" t="s">
        <v>140</v>
      </c>
      <c r="G72" s="31" t="s">
        <v>315</v>
      </c>
      <c r="H72" s="31" t="s">
        <v>639</v>
      </c>
      <c r="I72" s="31" t="s">
        <v>481</v>
      </c>
      <c r="J72" s="31" t="s">
        <v>522</v>
      </c>
      <c r="K72" s="393" t="s">
        <v>540</v>
      </c>
      <c r="L72" s="31" t="s">
        <v>162</v>
      </c>
      <c r="M72" s="31" t="s">
        <v>144</v>
      </c>
      <c r="N72" s="31" t="s">
        <v>144</v>
      </c>
      <c r="O72" s="31">
        <v>16</v>
      </c>
      <c r="P72" s="31" t="s">
        <v>144</v>
      </c>
      <c r="Q72" s="31" t="s">
        <v>144</v>
      </c>
      <c r="R72" s="31" t="s">
        <v>144</v>
      </c>
      <c r="S72" s="31" t="s">
        <v>619</v>
      </c>
      <c r="T72" s="31" t="s">
        <v>256</v>
      </c>
      <c r="U72" s="31" t="s">
        <v>257</v>
      </c>
      <c r="V72" s="31" t="s">
        <v>1331</v>
      </c>
      <c r="W72" s="31" t="s">
        <v>144</v>
      </c>
      <c r="X72" s="31">
        <v>0.89300000000000002</v>
      </c>
      <c r="Y72" s="31" t="s">
        <v>144</v>
      </c>
      <c r="Z72" s="31" t="s">
        <v>144</v>
      </c>
      <c r="AA72" s="31" t="s">
        <v>318</v>
      </c>
      <c r="AB72" s="31" t="s">
        <v>319</v>
      </c>
      <c r="AC72" s="390" t="s">
        <v>640</v>
      </c>
      <c r="AD72" s="31" t="s">
        <v>319</v>
      </c>
      <c r="AE72" s="31" t="s">
        <v>641</v>
      </c>
      <c r="AF72" s="31">
        <v>0.78600000000000003</v>
      </c>
      <c r="AG72" s="31" t="s">
        <v>144</v>
      </c>
      <c r="AH72" s="31" t="s">
        <v>144</v>
      </c>
      <c r="AI72" s="31" t="s">
        <v>144</v>
      </c>
      <c r="AJ72" s="31" t="s">
        <v>163</v>
      </c>
      <c r="AK72" s="31" t="s">
        <v>144</v>
      </c>
      <c r="AL72" s="31"/>
    </row>
    <row r="73" spans="5:38" ht="15" customHeight="1" x14ac:dyDescent="0.25">
      <c r="E73" s="31" t="s">
        <v>131</v>
      </c>
      <c r="F73" s="31" t="s">
        <v>140</v>
      </c>
      <c r="G73" s="31" t="s">
        <v>315</v>
      </c>
      <c r="H73" s="31" t="s">
        <v>639</v>
      </c>
      <c r="I73" s="31" t="s">
        <v>481</v>
      </c>
      <c r="J73" s="31" t="s">
        <v>522</v>
      </c>
      <c r="K73" s="393" t="s">
        <v>541</v>
      </c>
      <c r="L73" s="31" t="s">
        <v>162</v>
      </c>
      <c r="M73" s="31" t="s">
        <v>144</v>
      </c>
      <c r="N73" s="31" t="s">
        <v>144</v>
      </c>
      <c r="O73" s="31">
        <v>16</v>
      </c>
      <c r="P73" s="31" t="s">
        <v>144</v>
      </c>
      <c r="Q73" s="31" t="s">
        <v>144</v>
      </c>
      <c r="R73" s="31" t="s">
        <v>144</v>
      </c>
      <c r="S73" s="31" t="s">
        <v>619</v>
      </c>
      <c r="T73" s="31" t="s">
        <v>256</v>
      </c>
      <c r="U73" s="31" t="s">
        <v>257</v>
      </c>
      <c r="V73" s="31" t="s">
        <v>1331</v>
      </c>
      <c r="W73" s="31" t="s">
        <v>144</v>
      </c>
      <c r="X73" s="31">
        <v>0.89300000000000002</v>
      </c>
      <c r="Y73" s="31" t="s">
        <v>144</v>
      </c>
      <c r="Z73" s="31" t="s">
        <v>144</v>
      </c>
      <c r="AA73" s="31" t="s">
        <v>318</v>
      </c>
      <c r="AB73" s="31" t="s">
        <v>319</v>
      </c>
      <c r="AC73" s="390" t="s">
        <v>640</v>
      </c>
      <c r="AD73" s="31" t="s">
        <v>319</v>
      </c>
      <c r="AE73" s="31" t="s">
        <v>641</v>
      </c>
      <c r="AF73" s="31">
        <v>0.78600000000000003</v>
      </c>
      <c r="AG73" s="31" t="s">
        <v>144</v>
      </c>
      <c r="AH73" s="31" t="s">
        <v>144</v>
      </c>
      <c r="AI73" s="31" t="s">
        <v>144</v>
      </c>
      <c r="AJ73" s="31" t="s">
        <v>163</v>
      </c>
      <c r="AK73" s="31" t="s">
        <v>144</v>
      </c>
      <c r="AL73" s="31"/>
    </row>
    <row r="74" spans="5:38" ht="15" customHeight="1" x14ac:dyDescent="0.25">
      <c r="E74" s="31" t="s">
        <v>131</v>
      </c>
      <c r="F74" s="31" t="s">
        <v>140</v>
      </c>
      <c r="G74" s="31" t="s">
        <v>315</v>
      </c>
      <c r="H74" s="31" t="s">
        <v>639</v>
      </c>
      <c r="I74" s="31" t="s">
        <v>481</v>
      </c>
      <c r="J74" s="31" t="s">
        <v>522</v>
      </c>
      <c r="K74" s="393" t="s">
        <v>542</v>
      </c>
      <c r="L74" s="31" t="s">
        <v>162</v>
      </c>
      <c r="M74" s="31" t="s">
        <v>144</v>
      </c>
      <c r="N74" s="31" t="s">
        <v>144</v>
      </c>
      <c r="O74" s="31">
        <v>16</v>
      </c>
      <c r="P74" s="31" t="s">
        <v>144</v>
      </c>
      <c r="Q74" s="31" t="s">
        <v>144</v>
      </c>
      <c r="R74" s="31" t="s">
        <v>144</v>
      </c>
      <c r="S74" s="31" t="s">
        <v>619</v>
      </c>
      <c r="T74" s="31" t="s">
        <v>256</v>
      </c>
      <c r="U74" s="31" t="s">
        <v>257</v>
      </c>
      <c r="V74" s="31" t="s">
        <v>1331</v>
      </c>
      <c r="W74" s="31" t="s">
        <v>144</v>
      </c>
      <c r="X74" s="31">
        <v>0.89300000000000002</v>
      </c>
      <c r="Y74" s="31" t="s">
        <v>144</v>
      </c>
      <c r="Z74" s="31" t="s">
        <v>144</v>
      </c>
      <c r="AA74" s="31" t="s">
        <v>318</v>
      </c>
      <c r="AB74" s="31" t="s">
        <v>319</v>
      </c>
      <c r="AC74" s="390" t="s">
        <v>640</v>
      </c>
      <c r="AD74" s="31" t="s">
        <v>319</v>
      </c>
      <c r="AE74" s="31" t="s">
        <v>641</v>
      </c>
      <c r="AF74" s="31">
        <v>0.78600000000000003</v>
      </c>
      <c r="AG74" s="31" t="s">
        <v>144</v>
      </c>
      <c r="AH74" s="31" t="s">
        <v>144</v>
      </c>
      <c r="AI74" s="31" t="s">
        <v>144</v>
      </c>
      <c r="AJ74" s="31" t="s">
        <v>163</v>
      </c>
      <c r="AK74" s="31" t="s">
        <v>144</v>
      </c>
      <c r="AL74" s="31"/>
    </row>
    <row r="75" spans="5:38" ht="15" customHeight="1" x14ac:dyDescent="0.25">
      <c r="E75" s="31" t="s">
        <v>131</v>
      </c>
      <c r="F75" s="31" t="s">
        <v>140</v>
      </c>
      <c r="G75" s="31" t="s">
        <v>315</v>
      </c>
      <c r="H75" s="31" t="s">
        <v>639</v>
      </c>
      <c r="I75" s="31" t="s">
        <v>481</v>
      </c>
      <c r="J75" s="31" t="s">
        <v>522</v>
      </c>
      <c r="K75" s="393" t="s">
        <v>543</v>
      </c>
      <c r="L75" s="31" t="s">
        <v>162</v>
      </c>
      <c r="M75" s="31" t="s">
        <v>144</v>
      </c>
      <c r="N75" s="31" t="s">
        <v>144</v>
      </c>
      <c r="O75" s="31">
        <v>16</v>
      </c>
      <c r="P75" s="31" t="s">
        <v>144</v>
      </c>
      <c r="Q75" s="31" t="s">
        <v>144</v>
      </c>
      <c r="R75" s="31" t="s">
        <v>144</v>
      </c>
      <c r="S75" s="31" t="s">
        <v>619</v>
      </c>
      <c r="T75" s="31" t="s">
        <v>256</v>
      </c>
      <c r="U75" s="31" t="s">
        <v>257</v>
      </c>
      <c r="V75" s="31" t="s">
        <v>1331</v>
      </c>
      <c r="W75" s="31" t="s">
        <v>144</v>
      </c>
      <c r="X75" s="31">
        <v>0.89300000000000002</v>
      </c>
      <c r="Y75" s="31" t="s">
        <v>144</v>
      </c>
      <c r="Z75" s="31" t="s">
        <v>144</v>
      </c>
      <c r="AA75" s="31" t="s">
        <v>318</v>
      </c>
      <c r="AB75" s="31" t="s">
        <v>319</v>
      </c>
      <c r="AC75" s="390" t="s">
        <v>640</v>
      </c>
      <c r="AD75" s="31" t="s">
        <v>319</v>
      </c>
      <c r="AE75" s="31" t="s">
        <v>641</v>
      </c>
      <c r="AF75" s="31">
        <v>0.78600000000000003</v>
      </c>
      <c r="AG75" s="31" t="s">
        <v>144</v>
      </c>
      <c r="AH75" s="31" t="s">
        <v>144</v>
      </c>
      <c r="AI75" s="31" t="s">
        <v>144</v>
      </c>
      <c r="AJ75" s="31" t="s">
        <v>163</v>
      </c>
      <c r="AK75" s="31" t="s">
        <v>144</v>
      </c>
      <c r="AL75" s="31"/>
    </row>
    <row r="76" spans="5:38" ht="15" customHeight="1" x14ac:dyDescent="0.25">
      <c r="E76" s="31" t="s">
        <v>131</v>
      </c>
      <c r="F76" s="31" t="s">
        <v>140</v>
      </c>
      <c r="G76" s="31" t="s">
        <v>315</v>
      </c>
      <c r="H76" s="31" t="s">
        <v>639</v>
      </c>
      <c r="I76" s="31" t="s">
        <v>481</v>
      </c>
      <c r="J76" s="31" t="s">
        <v>522</v>
      </c>
      <c r="K76" s="393" t="s">
        <v>544</v>
      </c>
      <c r="L76" s="31" t="s">
        <v>162</v>
      </c>
      <c r="M76" s="31" t="s">
        <v>144</v>
      </c>
      <c r="N76" s="31" t="s">
        <v>144</v>
      </c>
      <c r="O76" s="31">
        <v>16</v>
      </c>
      <c r="P76" s="31" t="s">
        <v>144</v>
      </c>
      <c r="Q76" s="31" t="s">
        <v>144</v>
      </c>
      <c r="R76" s="31" t="s">
        <v>144</v>
      </c>
      <c r="S76" s="31" t="s">
        <v>619</v>
      </c>
      <c r="T76" s="31" t="s">
        <v>256</v>
      </c>
      <c r="U76" s="31" t="s">
        <v>257</v>
      </c>
      <c r="V76" s="31" t="s">
        <v>1331</v>
      </c>
      <c r="W76" s="31" t="s">
        <v>144</v>
      </c>
      <c r="X76" s="31">
        <v>0.89300000000000002</v>
      </c>
      <c r="Y76" s="31" t="s">
        <v>144</v>
      </c>
      <c r="Z76" s="31" t="s">
        <v>144</v>
      </c>
      <c r="AA76" s="31" t="s">
        <v>318</v>
      </c>
      <c r="AB76" s="31" t="s">
        <v>319</v>
      </c>
      <c r="AC76" s="390" t="s">
        <v>640</v>
      </c>
      <c r="AD76" s="31" t="s">
        <v>319</v>
      </c>
      <c r="AE76" s="31" t="s">
        <v>641</v>
      </c>
      <c r="AF76" s="31">
        <v>0.78600000000000003</v>
      </c>
      <c r="AG76" s="31" t="s">
        <v>144</v>
      </c>
      <c r="AH76" s="31" t="s">
        <v>144</v>
      </c>
      <c r="AI76" s="31" t="s">
        <v>144</v>
      </c>
      <c r="AJ76" s="31" t="s">
        <v>163</v>
      </c>
      <c r="AK76" s="31" t="s">
        <v>144</v>
      </c>
      <c r="AL76" s="31"/>
    </row>
    <row r="77" spans="5:38" ht="15" customHeight="1" x14ac:dyDescent="0.25">
      <c r="E77" s="31" t="s">
        <v>131</v>
      </c>
      <c r="F77" s="31" t="s">
        <v>140</v>
      </c>
      <c r="G77" s="31" t="s">
        <v>315</v>
      </c>
      <c r="H77" s="31" t="s">
        <v>639</v>
      </c>
      <c r="I77" s="31" t="s">
        <v>481</v>
      </c>
      <c r="J77" s="31" t="s">
        <v>522</v>
      </c>
      <c r="K77" s="393" t="s">
        <v>545</v>
      </c>
      <c r="L77" s="31" t="s">
        <v>162</v>
      </c>
      <c r="M77" s="31" t="s">
        <v>144</v>
      </c>
      <c r="N77" s="31" t="s">
        <v>144</v>
      </c>
      <c r="O77" s="31">
        <v>16</v>
      </c>
      <c r="P77" s="31" t="s">
        <v>144</v>
      </c>
      <c r="Q77" s="31" t="s">
        <v>144</v>
      </c>
      <c r="R77" s="31" t="s">
        <v>144</v>
      </c>
      <c r="S77" s="31" t="s">
        <v>619</v>
      </c>
      <c r="T77" s="31" t="s">
        <v>256</v>
      </c>
      <c r="U77" s="31" t="s">
        <v>257</v>
      </c>
      <c r="V77" s="31" t="s">
        <v>1331</v>
      </c>
      <c r="W77" s="31" t="s">
        <v>144</v>
      </c>
      <c r="X77" s="31">
        <v>0.89300000000000002</v>
      </c>
      <c r="Y77" s="31" t="s">
        <v>144</v>
      </c>
      <c r="Z77" s="31" t="s">
        <v>144</v>
      </c>
      <c r="AA77" s="31" t="s">
        <v>318</v>
      </c>
      <c r="AB77" s="31" t="s">
        <v>319</v>
      </c>
      <c r="AC77" s="390" t="s">
        <v>640</v>
      </c>
      <c r="AD77" s="31" t="s">
        <v>319</v>
      </c>
      <c r="AE77" s="31" t="s">
        <v>641</v>
      </c>
      <c r="AF77" s="31">
        <v>0.78600000000000003</v>
      </c>
      <c r="AG77" s="31" t="s">
        <v>144</v>
      </c>
      <c r="AH77" s="31" t="s">
        <v>144</v>
      </c>
      <c r="AI77" s="31" t="s">
        <v>144</v>
      </c>
      <c r="AJ77" s="31" t="s">
        <v>163</v>
      </c>
      <c r="AK77" s="31" t="s">
        <v>144</v>
      </c>
      <c r="AL77" s="31"/>
    </row>
    <row r="78" spans="5:38" ht="15" customHeight="1" x14ac:dyDescent="0.25">
      <c r="E78" s="31" t="s">
        <v>131</v>
      </c>
      <c r="F78" s="31" t="s">
        <v>140</v>
      </c>
      <c r="G78" s="31" t="s">
        <v>315</v>
      </c>
      <c r="H78" s="31" t="s">
        <v>639</v>
      </c>
      <c r="I78" s="31" t="s">
        <v>481</v>
      </c>
      <c r="J78" s="31" t="s">
        <v>522</v>
      </c>
      <c r="K78" s="393" t="s">
        <v>546</v>
      </c>
      <c r="L78" s="31" t="s">
        <v>162</v>
      </c>
      <c r="M78" s="31" t="s">
        <v>144</v>
      </c>
      <c r="N78" s="31" t="s">
        <v>144</v>
      </c>
      <c r="O78" s="31">
        <v>16</v>
      </c>
      <c r="P78" s="31" t="s">
        <v>144</v>
      </c>
      <c r="Q78" s="31" t="s">
        <v>144</v>
      </c>
      <c r="R78" s="31" t="s">
        <v>144</v>
      </c>
      <c r="S78" s="31" t="s">
        <v>619</v>
      </c>
      <c r="T78" s="31" t="s">
        <v>256</v>
      </c>
      <c r="U78" s="31" t="s">
        <v>257</v>
      </c>
      <c r="V78" s="31" t="s">
        <v>1331</v>
      </c>
      <c r="W78" s="31" t="s">
        <v>144</v>
      </c>
      <c r="X78" s="31">
        <v>0.89300000000000002</v>
      </c>
      <c r="Y78" s="31" t="s">
        <v>144</v>
      </c>
      <c r="Z78" s="31" t="s">
        <v>144</v>
      </c>
      <c r="AA78" s="31" t="s">
        <v>318</v>
      </c>
      <c r="AB78" s="31" t="s">
        <v>319</v>
      </c>
      <c r="AC78" s="390" t="s">
        <v>640</v>
      </c>
      <c r="AD78" s="31" t="s">
        <v>319</v>
      </c>
      <c r="AE78" s="31" t="s">
        <v>641</v>
      </c>
      <c r="AF78" s="31">
        <v>0.78600000000000003</v>
      </c>
      <c r="AG78" s="31" t="s">
        <v>144</v>
      </c>
      <c r="AH78" s="31" t="s">
        <v>144</v>
      </c>
      <c r="AI78" s="31" t="s">
        <v>144</v>
      </c>
      <c r="AJ78" s="31" t="s">
        <v>163</v>
      </c>
      <c r="AK78" s="31" t="s">
        <v>144</v>
      </c>
      <c r="AL78" s="31"/>
    </row>
    <row r="79" spans="5:38" ht="15" customHeight="1" x14ac:dyDescent="0.25">
      <c r="E79" s="31" t="s">
        <v>131</v>
      </c>
      <c r="F79" s="31" t="s">
        <v>140</v>
      </c>
      <c r="G79" s="31" t="s">
        <v>315</v>
      </c>
      <c r="H79" s="31" t="s">
        <v>639</v>
      </c>
      <c r="I79" s="31" t="s">
        <v>481</v>
      </c>
      <c r="J79" s="31" t="s">
        <v>522</v>
      </c>
      <c r="K79" s="393" t="s">
        <v>547</v>
      </c>
      <c r="L79" s="31" t="s">
        <v>162</v>
      </c>
      <c r="M79" s="31" t="s">
        <v>144</v>
      </c>
      <c r="N79" s="31" t="s">
        <v>144</v>
      </c>
      <c r="O79" s="31">
        <v>16</v>
      </c>
      <c r="P79" s="31" t="s">
        <v>144</v>
      </c>
      <c r="Q79" s="31" t="s">
        <v>144</v>
      </c>
      <c r="R79" s="31" t="s">
        <v>144</v>
      </c>
      <c r="S79" s="31" t="s">
        <v>619</v>
      </c>
      <c r="T79" s="31" t="s">
        <v>256</v>
      </c>
      <c r="U79" s="31" t="s">
        <v>257</v>
      </c>
      <c r="V79" s="31" t="s">
        <v>1331</v>
      </c>
      <c r="W79" s="31" t="s">
        <v>144</v>
      </c>
      <c r="X79" s="31">
        <v>0.89300000000000002</v>
      </c>
      <c r="Y79" s="31" t="s">
        <v>144</v>
      </c>
      <c r="Z79" s="31" t="s">
        <v>144</v>
      </c>
      <c r="AA79" s="31" t="s">
        <v>318</v>
      </c>
      <c r="AB79" s="31" t="s">
        <v>319</v>
      </c>
      <c r="AC79" s="390" t="s">
        <v>640</v>
      </c>
      <c r="AD79" s="31" t="s">
        <v>319</v>
      </c>
      <c r="AE79" s="31" t="s">
        <v>641</v>
      </c>
      <c r="AF79" s="31">
        <v>0.78600000000000003</v>
      </c>
      <c r="AG79" s="31" t="s">
        <v>144</v>
      </c>
      <c r="AH79" s="31" t="s">
        <v>144</v>
      </c>
      <c r="AI79" s="31" t="s">
        <v>144</v>
      </c>
      <c r="AJ79" s="31" t="s">
        <v>163</v>
      </c>
      <c r="AK79" s="31" t="s">
        <v>144</v>
      </c>
      <c r="AL79" s="31"/>
    </row>
    <row r="80" spans="5:38" ht="15" customHeight="1" x14ac:dyDescent="0.25">
      <c r="E80" s="31" t="s">
        <v>131</v>
      </c>
      <c r="F80" s="31" t="s">
        <v>140</v>
      </c>
      <c r="G80" s="31" t="s">
        <v>315</v>
      </c>
      <c r="H80" s="31" t="s">
        <v>639</v>
      </c>
      <c r="I80" s="31" t="s">
        <v>481</v>
      </c>
      <c r="J80" s="31" t="s">
        <v>522</v>
      </c>
      <c r="K80" s="393" t="s">
        <v>548</v>
      </c>
      <c r="L80" s="31" t="s">
        <v>162</v>
      </c>
      <c r="M80" s="31" t="s">
        <v>144</v>
      </c>
      <c r="N80" s="31" t="s">
        <v>144</v>
      </c>
      <c r="O80" s="31">
        <v>16</v>
      </c>
      <c r="P80" s="31" t="s">
        <v>144</v>
      </c>
      <c r="Q80" s="31" t="s">
        <v>144</v>
      </c>
      <c r="R80" s="31" t="s">
        <v>144</v>
      </c>
      <c r="S80" s="31" t="s">
        <v>619</v>
      </c>
      <c r="T80" s="31" t="s">
        <v>256</v>
      </c>
      <c r="U80" s="31" t="s">
        <v>257</v>
      </c>
      <c r="V80" s="31" t="s">
        <v>1331</v>
      </c>
      <c r="W80" s="31" t="s">
        <v>144</v>
      </c>
      <c r="X80" s="31">
        <v>0.89300000000000002</v>
      </c>
      <c r="Y80" s="31" t="s">
        <v>144</v>
      </c>
      <c r="Z80" s="31" t="s">
        <v>144</v>
      </c>
      <c r="AA80" s="31" t="s">
        <v>318</v>
      </c>
      <c r="AB80" s="31" t="s">
        <v>319</v>
      </c>
      <c r="AC80" s="390" t="s">
        <v>640</v>
      </c>
      <c r="AD80" s="31" t="s">
        <v>319</v>
      </c>
      <c r="AE80" s="31" t="s">
        <v>641</v>
      </c>
      <c r="AF80" s="31">
        <v>0.78600000000000003</v>
      </c>
      <c r="AG80" s="31" t="s">
        <v>144</v>
      </c>
      <c r="AH80" s="31" t="s">
        <v>144</v>
      </c>
      <c r="AI80" s="31" t="s">
        <v>144</v>
      </c>
      <c r="AJ80" s="31" t="s">
        <v>163</v>
      </c>
      <c r="AK80" s="31" t="s">
        <v>144</v>
      </c>
      <c r="AL80" s="31"/>
    </row>
    <row r="81" spans="5:38" ht="15" customHeight="1" x14ac:dyDescent="0.25">
      <c r="E81" s="31" t="s">
        <v>131</v>
      </c>
      <c r="F81" s="31" t="s">
        <v>140</v>
      </c>
      <c r="G81" s="31" t="s">
        <v>315</v>
      </c>
      <c r="H81" s="31" t="s">
        <v>639</v>
      </c>
      <c r="I81" s="31" t="s">
        <v>481</v>
      </c>
      <c r="J81" s="31" t="s">
        <v>522</v>
      </c>
      <c r="K81" s="393" t="s">
        <v>549</v>
      </c>
      <c r="L81" s="31" t="s">
        <v>162</v>
      </c>
      <c r="M81" s="31" t="s">
        <v>144</v>
      </c>
      <c r="N81" s="31" t="s">
        <v>144</v>
      </c>
      <c r="O81" s="31">
        <v>16</v>
      </c>
      <c r="P81" s="31" t="s">
        <v>144</v>
      </c>
      <c r="Q81" s="31" t="s">
        <v>144</v>
      </c>
      <c r="R81" s="31" t="s">
        <v>144</v>
      </c>
      <c r="S81" s="31" t="s">
        <v>619</v>
      </c>
      <c r="T81" s="31" t="s">
        <v>256</v>
      </c>
      <c r="U81" s="31" t="s">
        <v>257</v>
      </c>
      <c r="V81" s="31" t="s">
        <v>1331</v>
      </c>
      <c r="W81" s="31" t="s">
        <v>144</v>
      </c>
      <c r="X81" s="31">
        <v>0.89300000000000002</v>
      </c>
      <c r="Y81" s="31" t="s">
        <v>144</v>
      </c>
      <c r="Z81" s="31" t="s">
        <v>144</v>
      </c>
      <c r="AA81" s="31" t="s">
        <v>318</v>
      </c>
      <c r="AB81" s="31" t="s">
        <v>319</v>
      </c>
      <c r="AC81" s="390" t="s">
        <v>640</v>
      </c>
      <c r="AD81" s="31" t="s">
        <v>319</v>
      </c>
      <c r="AE81" s="31" t="s">
        <v>641</v>
      </c>
      <c r="AF81" s="31">
        <v>0.78600000000000003</v>
      </c>
      <c r="AG81" s="31" t="s">
        <v>144</v>
      </c>
      <c r="AH81" s="31" t="s">
        <v>144</v>
      </c>
      <c r="AI81" s="31" t="s">
        <v>144</v>
      </c>
      <c r="AJ81" s="31" t="s">
        <v>163</v>
      </c>
      <c r="AK81" s="31" t="s">
        <v>144</v>
      </c>
      <c r="AL81" s="31"/>
    </row>
    <row r="82" spans="5:38" ht="15" customHeight="1" x14ac:dyDescent="0.25">
      <c r="E82" s="31" t="s">
        <v>131</v>
      </c>
      <c r="F82" s="31" t="s">
        <v>140</v>
      </c>
      <c r="G82" s="31" t="s">
        <v>315</v>
      </c>
      <c r="H82" s="31" t="s">
        <v>639</v>
      </c>
      <c r="I82" s="31" t="s">
        <v>481</v>
      </c>
      <c r="J82" s="31" t="s">
        <v>522</v>
      </c>
      <c r="K82" s="393" t="s">
        <v>550</v>
      </c>
      <c r="L82" s="31" t="s">
        <v>162</v>
      </c>
      <c r="M82" s="31" t="s">
        <v>144</v>
      </c>
      <c r="N82" s="31" t="s">
        <v>144</v>
      </c>
      <c r="O82" s="31">
        <v>16</v>
      </c>
      <c r="P82" s="31" t="s">
        <v>144</v>
      </c>
      <c r="Q82" s="31" t="s">
        <v>144</v>
      </c>
      <c r="R82" s="31" t="s">
        <v>144</v>
      </c>
      <c r="S82" s="31" t="s">
        <v>619</v>
      </c>
      <c r="T82" s="31" t="s">
        <v>256</v>
      </c>
      <c r="U82" s="31" t="s">
        <v>257</v>
      </c>
      <c r="V82" s="31" t="s">
        <v>1331</v>
      </c>
      <c r="W82" s="31" t="s">
        <v>144</v>
      </c>
      <c r="X82" s="31">
        <v>0.89300000000000002</v>
      </c>
      <c r="Y82" s="31" t="s">
        <v>144</v>
      </c>
      <c r="Z82" s="31" t="s">
        <v>144</v>
      </c>
      <c r="AA82" s="31" t="s">
        <v>318</v>
      </c>
      <c r="AB82" s="31" t="s">
        <v>319</v>
      </c>
      <c r="AC82" s="390" t="s">
        <v>640</v>
      </c>
      <c r="AD82" s="31" t="s">
        <v>319</v>
      </c>
      <c r="AE82" s="31" t="s">
        <v>641</v>
      </c>
      <c r="AF82" s="31">
        <v>0.78600000000000003</v>
      </c>
      <c r="AG82" s="31" t="s">
        <v>144</v>
      </c>
      <c r="AH82" s="31" t="s">
        <v>144</v>
      </c>
      <c r="AI82" s="31" t="s">
        <v>144</v>
      </c>
      <c r="AJ82" s="31" t="s">
        <v>163</v>
      </c>
      <c r="AK82" s="31" t="s">
        <v>144</v>
      </c>
      <c r="AL82" s="31"/>
    </row>
    <row r="83" spans="5:38" ht="15" customHeight="1" x14ac:dyDescent="0.25">
      <c r="E83" s="31" t="s">
        <v>131</v>
      </c>
      <c r="F83" s="31" t="s">
        <v>140</v>
      </c>
      <c r="G83" s="31" t="s">
        <v>315</v>
      </c>
      <c r="H83" s="31" t="s">
        <v>639</v>
      </c>
      <c r="I83" s="31" t="s">
        <v>481</v>
      </c>
      <c r="J83" s="31" t="s">
        <v>522</v>
      </c>
      <c r="K83" s="393" t="s">
        <v>551</v>
      </c>
      <c r="L83" s="31" t="s">
        <v>162</v>
      </c>
      <c r="M83" s="31" t="s">
        <v>144</v>
      </c>
      <c r="N83" s="31" t="s">
        <v>144</v>
      </c>
      <c r="O83" s="31">
        <v>16</v>
      </c>
      <c r="P83" s="31" t="s">
        <v>144</v>
      </c>
      <c r="Q83" s="31" t="s">
        <v>144</v>
      </c>
      <c r="R83" s="31" t="s">
        <v>144</v>
      </c>
      <c r="S83" s="31" t="s">
        <v>619</v>
      </c>
      <c r="T83" s="31" t="s">
        <v>256</v>
      </c>
      <c r="U83" s="31" t="s">
        <v>257</v>
      </c>
      <c r="V83" s="31" t="s">
        <v>1331</v>
      </c>
      <c r="W83" s="31" t="s">
        <v>144</v>
      </c>
      <c r="X83" s="31">
        <v>0.89300000000000002</v>
      </c>
      <c r="Y83" s="31" t="s">
        <v>144</v>
      </c>
      <c r="Z83" s="31" t="s">
        <v>144</v>
      </c>
      <c r="AA83" s="31" t="s">
        <v>318</v>
      </c>
      <c r="AB83" s="31" t="s">
        <v>319</v>
      </c>
      <c r="AC83" s="390" t="s">
        <v>640</v>
      </c>
      <c r="AD83" s="31" t="s">
        <v>319</v>
      </c>
      <c r="AE83" s="31" t="s">
        <v>641</v>
      </c>
      <c r="AF83" s="31">
        <v>0.78600000000000003</v>
      </c>
      <c r="AG83" s="31" t="s">
        <v>144</v>
      </c>
      <c r="AH83" s="31" t="s">
        <v>144</v>
      </c>
      <c r="AI83" s="31" t="s">
        <v>144</v>
      </c>
      <c r="AJ83" s="31" t="s">
        <v>163</v>
      </c>
      <c r="AK83" s="31" t="s">
        <v>144</v>
      </c>
      <c r="AL83" s="31"/>
    </row>
    <row r="84" spans="5:38" ht="15" customHeight="1" x14ac:dyDescent="0.25">
      <c r="E84" s="31" t="s">
        <v>131</v>
      </c>
      <c r="F84" s="31" t="s">
        <v>140</v>
      </c>
      <c r="G84" s="31" t="s">
        <v>315</v>
      </c>
      <c r="H84" s="31" t="s">
        <v>639</v>
      </c>
      <c r="I84" s="31" t="s">
        <v>481</v>
      </c>
      <c r="J84" s="31" t="s">
        <v>522</v>
      </c>
      <c r="K84" s="393" t="s">
        <v>552</v>
      </c>
      <c r="L84" s="31" t="s">
        <v>162</v>
      </c>
      <c r="M84" s="31" t="s">
        <v>144</v>
      </c>
      <c r="N84" s="31" t="s">
        <v>144</v>
      </c>
      <c r="O84" s="31">
        <v>16</v>
      </c>
      <c r="P84" s="31" t="s">
        <v>144</v>
      </c>
      <c r="Q84" s="31" t="s">
        <v>144</v>
      </c>
      <c r="R84" s="31" t="s">
        <v>144</v>
      </c>
      <c r="S84" s="31" t="s">
        <v>619</v>
      </c>
      <c r="T84" s="31" t="s">
        <v>256</v>
      </c>
      <c r="U84" s="31" t="s">
        <v>257</v>
      </c>
      <c r="V84" s="31" t="s">
        <v>1331</v>
      </c>
      <c r="W84" s="31" t="s">
        <v>144</v>
      </c>
      <c r="X84" s="31">
        <v>0.89300000000000002</v>
      </c>
      <c r="Y84" s="31" t="s">
        <v>144</v>
      </c>
      <c r="Z84" s="31" t="s">
        <v>144</v>
      </c>
      <c r="AA84" s="31" t="s">
        <v>318</v>
      </c>
      <c r="AB84" s="31" t="s">
        <v>319</v>
      </c>
      <c r="AC84" s="390" t="s">
        <v>640</v>
      </c>
      <c r="AD84" s="31" t="s">
        <v>319</v>
      </c>
      <c r="AE84" s="31" t="s">
        <v>641</v>
      </c>
      <c r="AF84" s="31">
        <v>0.78600000000000003</v>
      </c>
      <c r="AG84" s="31" t="s">
        <v>144</v>
      </c>
      <c r="AH84" s="31" t="s">
        <v>144</v>
      </c>
      <c r="AI84" s="31" t="s">
        <v>144</v>
      </c>
      <c r="AJ84" s="31" t="s">
        <v>163</v>
      </c>
      <c r="AK84" s="31" t="s">
        <v>144</v>
      </c>
      <c r="AL84" s="31"/>
    </row>
    <row r="85" spans="5:38" ht="15" customHeight="1" x14ac:dyDescent="0.25">
      <c r="E85" s="31" t="s">
        <v>131</v>
      </c>
      <c r="F85" s="31" t="s">
        <v>140</v>
      </c>
      <c r="G85" s="31" t="s">
        <v>315</v>
      </c>
      <c r="H85" s="31" t="s">
        <v>639</v>
      </c>
      <c r="I85" s="31" t="s">
        <v>481</v>
      </c>
      <c r="J85" s="31" t="s">
        <v>522</v>
      </c>
      <c r="K85" s="393" t="s">
        <v>553</v>
      </c>
      <c r="L85" s="31" t="s">
        <v>162</v>
      </c>
      <c r="M85" s="31" t="s">
        <v>144</v>
      </c>
      <c r="N85" s="31" t="s">
        <v>144</v>
      </c>
      <c r="O85" s="31">
        <v>16</v>
      </c>
      <c r="P85" s="31" t="s">
        <v>144</v>
      </c>
      <c r="Q85" s="31" t="s">
        <v>144</v>
      </c>
      <c r="R85" s="31" t="s">
        <v>144</v>
      </c>
      <c r="S85" s="31" t="s">
        <v>619</v>
      </c>
      <c r="T85" s="31" t="s">
        <v>256</v>
      </c>
      <c r="U85" s="31" t="s">
        <v>257</v>
      </c>
      <c r="V85" s="31" t="s">
        <v>1331</v>
      </c>
      <c r="W85" s="31" t="s">
        <v>144</v>
      </c>
      <c r="X85" s="31">
        <v>0.89300000000000002</v>
      </c>
      <c r="Y85" s="31" t="s">
        <v>144</v>
      </c>
      <c r="Z85" s="31" t="s">
        <v>144</v>
      </c>
      <c r="AA85" s="31" t="s">
        <v>318</v>
      </c>
      <c r="AB85" s="31" t="s">
        <v>319</v>
      </c>
      <c r="AC85" s="390" t="s">
        <v>640</v>
      </c>
      <c r="AD85" s="31" t="s">
        <v>319</v>
      </c>
      <c r="AE85" s="31" t="s">
        <v>641</v>
      </c>
      <c r="AF85" s="31">
        <v>0.78600000000000003</v>
      </c>
      <c r="AG85" s="31" t="s">
        <v>144</v>
      </c>
      <c r="AH85" s="31" t="s">
        <v>144</v>
      </c>
      <c r="AI85" s="31" t="s">
        <v>144</v>
      </c>
      <c r="AJ85" s="31" t="s">
        <v>163</v>
      </c>
      <c r="AK85" s="31" t="s">
        <v>144</v>
      </c>
      <c r="AL85" s="31"/>
    </row>
    <row r="86" spans="5:38" ht="15" customHeight="1" x14ac:dyDescent="0.25"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90"/>
      <c r="Z86" s="390"/>
      <c r="AA86" s="31"/>
      <c r="AB86" s="31"/>
      <c r="AC86" s="390"/>
      <c r="AD86" s="31"/>
      <c r="AE86" s="31"/>
      <c r="AF86" s="31"/>
      <c r="AG86" s="31"/>
      <c r="AH86" s="31"/>
      <c r="AI86" s="31"/>
      <c r="AJ86" s="31"/>
      <c r="AK86" s="31"/>
      <c r="AL86" s="31"/>
    </row>
    <row r="87" spans="5:38" ht="15" customHeight="1" x14ac:dyDescent="0.25"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90"/>
      <c r="Z87" s="390"/>
      <c r="AA87" s="31"/>
      <c r="AB87" s="31"/>
      <c r="AC87" s="390"/>
      <c r="AD87" s="31"/>
      <c r="AE87" s="31"/>
      <c r="AF87" s="31"/>
      <c r="AG87" s="31"/>
      <c r="AH87" s="31"/>
      <c r="AI87" s="31"/>
      <c r="AJ87" s="31"/>
      <c r="AK87" s="31"/>
      <c r="AL87" s="31"/>
    </row>
    <row r="88" spans="5:38" ht="15" customHeight="1" x14ac:dyDescent="0.25">
      <c r="E88" s="31"/>
      <c r="F88" s="31"/>
      <c r="G88" s="31"/>
      <c r="H88" s="31"/>
      <c r="I88" s="31"/>
      <c r="J88" s="31"/>
      <c r="K88" s="393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3"/>
      <c r="AB88" s="31"/>
      <c r="AC88" s="390"/>
      <c r="AD88" s="31"/>
      <c r="AE88" s="31"/>
      <c r="AF88" s="31"/>
      <c r="AG88" s="31"/>
      <c r="AH88" s="31"/>
      <c r="AI88" s="31"/>
      <c r="AJ88" s="31"/>
      <c r="AK88" s="31"/>
      <c r="AL88" s="390"/>
    </row>
    <row r="89" spans="5:38" ht="15" customHeight="1" x14ac:dyDescent="0.25">
      <c r="E89" s="31"/>
      <c r="F89" s="31"/>
      <c r="G89" s="31"/>
      <c r="H89" s="31"/>
      <c r="I89" s="31"/>
      <c r="J89" s="31"/>
      <c r="K89" s="393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3"/>
      <c r="AB89" s="31"/>
      <c r="AC89" s="390"/>
      <c r="AD89" s="31"/>
      <c r="AE89" s="31"/>
      <c r="AF89" s="31"/>
      <c r="AG89" s="31"/>
      <c r="AH89" s="31"/>
      <c r="AI89" s="31"/>
      <c r="AJ89" s="31"/>
      <c r="AK89" s="31"/>
      <c r="AL89" s="390"/>
    </row>
    <row r="90" spans="5:38" ht="15" customHeight="1" x14ac:dyDescent="0.25">
      <c r="E90" s="31"/>
      <c r="F90" s="31"/>
      <c r="G90" s="31"/>
      <c r="H90" s="31"/>
      <c r="I90" s="31"/>
      <c r="J90" s="31"/>
      <c r="K90" s="393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3"/>
      <c r="AB90" s="31"/>
      <c r="AC90" s="390"/>
      <c r="AD90" s="31"/>
      <c r="AE90" s="31"/>
      <c r="AF90" s="31"/>
      <c r="AG90" s="31"/>
      <c r="AH90" s="31"/>
      <c r="AI90" s="31"/>
      <c r="AJ90" s="31"/>
      <c r="AK90" s="31"/>
      <c r="AL90" s="390"/>
    </row>
    <row r="91" spans="5:38" ht="15" customHeight="1" x14ac:dyDescent="0.25">
      <c r="E91" s="31"/>
      <c r="F91" s="31"/>
      <c r="G91" s="31"/>
      <c r="H91" s="31"/>
      <c r="I91" s="31"/>
      <c r="J91" s="31"/>
      <c r="K91" s="393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3"/>
      <c r="AB91" s="31"/>
      <c r="AC91" s="390"/>
      <c r="AD91" s="31"/>
      <c r="AE91" s="31"/>
      <c r="AF91" s="31"/>
      <c r="AG91" s="31"/>
      <c r="AH91" s="31"/>
      <c r="AI91" s="31"/>
      <c r="AJ91" s="31"/>
      <c r="AK91" s="31"/>
      <c r="AL91" s="390"/>
    </row>
    <row r="92" spans="5:38" ht="15" customHeight="1" x14ac:dyDescent="0.25">
      <c r="E92" s="31"/>
      <c r="F92" s="31"/>
      <c r="G92" s="31"/>
      <c r="H92" s="31"/>
      <c r="I92" s="31"/>
      <c r="J92" s="31"/>
      <c r="K92" s="393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3"/>
      <c r="AB92" s="31"/>
      <c r="AC92" s="390"/>
      <c r="AD92" s="31"/>
      <c r="AE92" s="31"/>
      <c r="AF92" s="31"/>
      <c r="AG92" s="31"/>
      <c r="AH92" s="31"/>
      <c r="AI92" s="31"/>
      <c r="AJ92" s="31"/>
      <c r="AK92" s="31"/>
      <c r="AL92" s="390"/>
    </row>
    <row r="93" spans="5:38" ht="15" customHeight="1" x14ac:dyDescent="0.25">
      <c r="E93" s="31"/>
      <c r="F93" s="31"/>
      <c r="G93" s="31"/>
      <c r="H93" s="31"/>
      <c r="I93" s="31"/>
      <c r="J93" s="31"/>
      <c r="K93" s="393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3"/>
      <c r="AB93" s="31"/>
      <c r="AC93" s="390"/>
      <c r="AD93" s="31"/>
      <c r="AE93" s="31"/>
      <c r="AF93" s="31"/>
      <c r="AG93" s="31"/>
      <c r="AH93" s="31"/>
      <c r="AI93" s="31"/>
      <c r="AJ93" s="31"/>
      <c r="AK93" s="31"/>
      <c r="AL93" s="390"/>
    </row>
    <row r="94" spans="5:38" ht="15" customHeight="1" x14ac:dyDescent="0.25">
      <c r="E94" s="31"/>
      <c r="F94" s="31"/>
      <c r="G94" s="31"/>
      <c r="H94" s="31"/>
      <c r="I94" s="31"/>
      <c r="J94" s="31"/>
      <c r="K94" s="393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3"/>
      <c r="AB94" s="31"/>
      <c r="AC94" s="390"/>
      <c r="AD94" s="31"/>
      <c r="AE94" s="31"/>
      <c r="AF94" s="31"/>
      <c r="AG94" s="31"/>
      <c r="AH94" s="31"/>
      <c r="AI94" s="31"/>
      <c r="AJ94" s="31"/>
      <c r="AK94" s="31"/>
      <c r="AL94" s="390"/>
    </row>
    <row r="95" spans="5:38" ht="15" customHeight="1" x14ac:dyDescent="0.25">
      <c r="E95" s="31"/>
      <c r="F95" s="31"/>
      <c r="G95" s="31"/>
      <c r="H95" s="31"/>
      <c r="I95" s="31"/>
      <c r="J95" s="31"/>
      <c r="K95" s="393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3"/>
      <c r="AB95" s="31"/>
      <c r="AC95" s="390"/>
      <c r="AD95" s="31"/>
      <c r="AE95" s="31"/>
      <c r="AF95" s="31"/>
      <c r="AG95" s="31"/>
      <c r="AH95" s="31"/>
      <c r="AI95" s="31"/>
      <c r="AJ95" s="31"/>
      <c r="AK95" s="31"/>
      <c r="AL95" s="390"/>
    </row>
    <row r="96" spans="5:38" ht="15" customHeight="1" x14ac:dyDescent="0.25">
      <c r="E96" s="31"/>
      <c r="F96" s="31"/>
      <c r="G96" s="31"/>
      <c r="H96" s="31"/>
      <c r="I96" s="31"/>
      <c r="J96" s="31"/>
      <c r="K96" s="393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3"/>
      <c r="AB96" s="31"/>
      <c r="AC96" s="390"/>
      <c r="AD96" s="31"/>
      <c r="AE96" s="31"/>
      <c r="AF96" s="31"/>
      <c r="AG96" s="31"/>
      <c r="AH96" s="31"/>
      <c r="AI96" s="31"/>
      <c r="AJ96" s="31"/>
      <c r="AK96" s="31"/>
      <c r="AL96" s="390"/>
    </row>
    <row r="97" spans="5:38" ht="15" customHeight="1" x14ac:dyDescent="0.25">
      <c r="E97" s="31"/>
      <c r="F97" s="31"/>
      <c r="G97" s="31"/>
      <c r="H97" s="31"/>
      <c r="I97" s="31"/>
      <c r="J97" s="31"/>
      <c r="K97" s="393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3"/>
      <c r="AB97" s="31"/>
      <c r="AC97" s="390"/>
      <c r="AD97" s="31"/>
      <c r="AE97" s="31"/>
      <c r="AF97" s="31"/>
      <c r="AG97" s="31"/>
      <c r="AH97" s="31"/>
      <c r="AI97" s="31"/>
      <c r="AJ97" s="31"/>
      <c r="AK97" s="31"/>
      <c r="AL97" s="390"/>
    </row>
    <row r="98" spans="5:38" ht="15" customHeight="1" x14ac:dyDescent="0.25">
      <c r="E98" s="31"/>
      <c r="F98" s="31"/>
      <c r="G98" s="31"/>
      <c r="H98" s="31"/>
      <c r="I98" s="31"/>
      <c r="J98" s="31"/>
      <c r="K98" s="393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3"/>
      <c r="AB98" s="31"/>
      <c r="AC98" s="390"/>
      <c r="AD98" s="31"/>
      <c r="AE98" s="31"/>
      <c r="AF98" s="31"/>
      <c r="AG98" s="31"/>
      <c r="AH98" s="31"/>
      <c r="AI98" s="31"/>
      <c r="AJ98" s="31"/>
      <c r="AK98" s="31"/>
      <c r="AL98" s="390"/>
    </row>
    <row r="99" spans="5:38" ht="15" customHeight="1" x14ac:dyDescent="0.25">
      <c r="E99" s="31"/>
      <c r="F99" s="31"/>
      <c r="G99" s="31"/>
      <c r="H99" s="31"/>
      <c r="I99" s="31"/>
      <c r="J99" s="31"/>
      <c r="K99" s="393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3"/>
      <c r="AB99" s="31"/>
      <c r="AC99" s="390"/>
      <c r="AD99" s="31"/>
      <c r="AE99" s="31"/>
      <c r="AF99" s="31"/>
      <c r="AG99" s="31"/>
      <c r="AH99" s="31"/>
      <c r="AI99" s="31"/>
      <c r="AJ99" s="31"/>
      <c r="AK99" s="31"/>
      <c r="AL99" s="390"/>
    </row>
    <row r="100" spans="5:38" ht="15" customHeight="1" x14ac:dyDescent="0.25">
      <c r="E100" s="31"/>
      <c r="F100" s="31"/>
      <c r="G100" s="31"/>
      <c r="H100" s="31"/>
      <c r="I100" s="31"/>
      <c r="J100" s="31"/>
      <c r="K100" s="393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3"/>
      <c r="AB100" s="31"/>
      <c r="AC100" s="390"/>
      <c r="AD100" s="31"/>
      <c r="AE100" s="31"/>
      <c r="AF100" s="31"/>
      <c r="AG100" s="31"/>
      <c r="AH100" s="31"/>
      <c r="AI100" s="31"/>
      <c r="AJ100" s="31"/>
      <c r="AK100" s="31"/>
      <c r="AL100" s="390"/>
    </row>
    <row r="101" spans="5:38" ht="15" customHeight="1" x14ac:dyDescent="0.25">
      <c r="E101" s="31"/>
      <c r="F101" s="31"/>
      <c r="G101" s="31"/>
      <c r="H101" s="31"/>
      <c r="I101" s="31"/>
      <c r="J101" s="31"/>
      <c r="K101" s="393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3"/>
      <c r="AB101" s="31"/>
      <c r="AC101" s="390"/>
      <c r="AD101" s="31"/>
      <c r="AE101" s="31"/>
      <c r="AF101" s="31"/>
      <c r="AG101" s="31"/>
      <c r="AH101" s="31"/>
      <c r="AI101" s="31"/>
      <c r="AJ101" s="31"/>
      <c r="AK101" s="31"/>
      <c r="AL101" s="390"/>
    </row>
    <row r="102" spans="5:38" ht="15" customHeight="1" x14ac:dyDescent="0.25">
      <c r="E102" s="31"/>
      <c r="F102" s="31"/>
      <c r="G102" s="31"/>
      <c r="H102" s="31"/>
      <c r="I102" s="31"/>
      <c r="J102" s="31"/>
      <c r="K102" s="393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3"/>
      <c r="AB102" s="31"/>
      <c r="AC102" s="390"/>
      <c r="AD102" s="31"/>
      <c r="AE102" s="31"/>
      <c r="AF102" s="31"/>
      <c r="AG102" s="31"/>
      <c r="AH102" s="31"/>
      <c r="AI102" s="31"/>
      <c r="AJ102" s="31"/>
      <c r="AK102" s="31"/>
      <c r="AL102" s="390"/>
    </row>
    <row r="103" spans="5:38" ht="15" customHeight="1" x14ac:dyDescent="0.25">
      <c r="E103" s="31"/>
      <c r="F103" s="31"/>
      <c r="G103" s="31"/>
      <c r="H103" s="31"/>
      <c r="I103" s="31"/>
      <c r="J103" s="31"/>
      <c r="K103" s="393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3"/>
      <c r="AB103" s="31"/>
      <c r="AC103" s="390"/>
      <c r="AD103" s="31"/>
      <c r="AE103" s="31"/>
      <c r="AF103" s="31"/>
      <c r="AG103" s="31"/>
      <c r="AH103" s="31"/>
      <c r="AI103" s="31"/>
      <c r="AJ103" s="31"/>
      <c r="AK103" s="31"/>
      <c r="AL103" s="390"/>
    </row>
    <row r="104" spans="5:38" ht="15" customHeight="1" x14ac:dyDescent="0.25">
      <c r="E104" s="31"/>
      <c r="F104" s="31"/>
      <c r="G104" s="31"/>
      <c r="H104" s="31"/>
      <c r="I104" s="31"/>
      <c r="J104" s="31"/>
      <c r="K104" s="393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3"/>
      <c r="AB104" s="31"/>
      <c r="AC104" s="390"/>
      <c r="AD104" s="31"/>
      <c r="AE104" s="31"/>
      <c r="AF104" s="31"/>
      <c r="AG104" s="31"/>
      <c r="AH104" s="31"/>
      <c r="AI104" s="31"/>
      <c r="AJ104" s="31"/>
      <c r="AK104" s="31"/>
      <c r="AL104" s="390"/>
    </row>
    <row r="105" spans="5:38" ht="15" customHeight="1" x14ac:dyDescent="0.25">
      <c r="E105" s="31"/>
      <c r="F105" s="31"/>
      <c r="G105" s="31"/>
      <c r="H105" s="31"/>
      <c r="I105" s="31"/>
      <c r="J105" s="31"/>
      <c r="K105" s="393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3"/>
      <c r="AB105" s="31"/>
      <c r="AC105" s="390"/>
      <c r="AD105" s="31"/>
      <c r="AE105" s="31"/>
      <c r="AF105" s="31"/>
      <c r="AG105" s="31"/>
      <c r="AH105" s="31"/>
      <c r="AI105" s="31"/>
      <c r="AJ105" s="31"/>
      <c r="AK105" s="31"/>
      <c r="AL105" s="390"/>
    </row>
    <row r="106" spans="5:38" ht="15" customHeight="1" x14ac:dyDescent="0.25">
      <c r="E106" s="31"/>
      <c r="F106" s="31"/>
      <c r="G106" s="31"/>
      <c r="H106" s="31"/>
      <c r="I106" s="31"/>
      <c r="J106" s="31"/>
      <c r="K106" s="393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3"/>
      <c r="AB106" s="31"/>
      <c r="AC106" s="390"/>
      <c r="AD106" s="31"/>
      <c r="AE106" s="31"/>
      <c r="AF106" s="31"/>
      <c r="AG106" s="31"/>
      <c r="AH106" s="31"/>
      <c r="AI106" s="31"/>
      <c r="AJ106" s="31"/>
      <c r="AK106" s="31"/>
      <c r="AL106" s="390"/>
    </row>
    <row r="107" spans="5:38" ht="15" customHeight="1" x14ac:dyDescent="0.25">
      <c r="E107" s="31"/>
      <c r="F107" s="31"/>
      <c r="G107" s="31"/>
      <c r="H107" s="31"/>
      <c r="I107" s="31"/>
      <c r="J107" s="31"/>
      <c r="K107" s="393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3"/>
      <c r="AB107" s="31"/>
      <c r="AC107" s="390"/>
      <c r="AD107" s="31"/>
      <c r="AE107" s="31"/>
      <c r="AF107" s="31"/>
      <c r="AG107" s="31"/>
      <c r="AH107" s="31"/>
      <c r="AI107" s="31"/>
      <c r="AJ107" s="31"/>
      <c r="AK107" s="31"/>
      <c r="AL107" s="390"/>
    </row>
    <row r="108" spans="5:38" ht="15" customHeight="1" x14ac:dyDescent="0.25">
      <c r="E108" s="31"/>
      <c r="F108" s="31"/>
      <c r="G108" s="31"/>
      <c r="H108" s="31"/>
      <c r="I108" s="31"/>
      <c r="J108" s="31"/>
      <c r="K108" s="393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3"/>
      <c r="AB108" s="31"/>
      <c r="AC108" s="390"/>
      <c r="AD108" s="31"/>
      <c r="AE108" s="31"/>
      <c r="AF108" s="31"/>
      <c r="AG108" s="31"/>
      <c r="AH108" s="31"/>
      <c r="AI108" s="31"/>
      <c r="AJ108" s="31"/>
      <c r="AK108" s="31"/>
      <c r="AL108" s="390"/>
    </row>
    <row r="109" spans="5:38" ht="15" customHeight="1" x14ac:dyDescent="0.25">
      <c r="E109" s="31"/>
      <c r="F109" s="31"/>
      <c r="G109" s="31"/>
      <c r="H109" s="31"/>
      <c r="I109" s="31"/>
      <c r="J109" s="31"/>
      <c r="K109" s="393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3"/>
      <c r="AB109" s="31"/>
      <c r="AC109" s="390"/>
      <c r="AD109" s="31"/>
      <c r="AE109" s="31"/>
      <c r="AF109" s="31"/>
      <c r="AG109" s="31"/>
      <c r="AH109" s="31"/>
      <c r="AI109" s="31"/>
      <c r="AJ109" s="31"/>
      <c r="AK109" s="31"/>
      <c r="AL109" s="390"/>
    </row>
    <row r="110" spans="5:38" ht="15" customHeight="1" x14ac:dyDescent="0.25">
      <c r="E110" s="31"/>
      <c r="F110" s="31"/>
      <c r="G110" s="31"/>
      <c r="H110" s="31"/>
      <c r="I110" s="31"/>
      <c r="J110" s="31"/>
      <c r="K110" s="393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3"/>
      <c r="AB110" s="31"/>
      <c r="AC110" s="390"/>
      <c r="AD110" s="31"/>
      <c r="AE110" s="31"/>
      <c r="AF110" s="31"/>
      <c r="AG110" s="31"/>
      <c r="AH110" s="31"/>
      <c r="AI110" s="31"/>
      <c r="AJ110" s="31"/>
      <c r="AK110" s="31"/>
      <c r="AL110" s="390"/>
    </row>
    <row r="111" spans="5:38" ht="15" customHeight="1" x14ac:dyDescent="0.25">
      <c r="E111" s="31"/>
      <c r="F111" s="31"/>
      <c r="G111" s="31"/>
      <c r="H111" s="31"/>
      <c r="I111" s="31"/>
      <c r="J111" s="31"/>
      <c r="K111" s="393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3"/>
      <c r="AB111" s="31"/>
      <c r="AC111" s="390"/>
      <c r="AD111" s="31"/>
      <c r="AE111" s="31"/>
      <c r="AF111" s="31"/>
      <c r="AG111" s="31"/>
      <c r="AH111" s="31"/>
      <c r="AI111" s="31"/>
      <c r="AJ111" s="31"/>
      <c r="AK111" s="31"/>
      <c r="AL111" s="390"/>
    </row>
    <row r="112" spans="5:38" ht="15" customHeight="1" x14ac:dyDescent="0.25">
      <c r="E112" s="31"/>
      <c r="F112" s="31"/>
      <c r="G112" s="31"/>
      <c r="H112" s="31"/>
      <c r="I112" s="31"/>
      <c r="J112" s="31"/>
      <c r="K112" s="393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3"/>
      <c r="AB112" s="31"/>
      <c r="AC112" s="390"/>
      <c r="AD112" s="31"/>
      <c r="AE112" s="31"/>
      <c r="AF112" s="31"/>
      <c r="AG112" s="31"/>
      <c r="AH112" s="31"/>
      <c r="AI112" s="31"/>
      <c r="AJ112" s="31"/>
      <c r="AK112" s="31"/>
      <c r="AL112" s="390"/>
    </row>
    <row r="113" spans="5:38" ht="15" customHeight="1" x14ac:dyDescent="0.25">
      <c r="E113" s="31"/>
      <c r="F113" s="31"/>
      <c r="G113" s="31"/>
      <c r="H113" s="31"/>
      <c r="I113" s="31"/>
      <c r="J113" s="31"/>
      <c r="K113" s="393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3"/>
      <c r="AB113" s="31"/>
      <c r="AC113" s="390"/>
      <c r="AD113" s="31"/>
      <c r="AE113" s="31"/>
      <c r="AF113" s="31"/>
      <c r="AG113" s="31"/>
      <c r="AH113" s="31"/>
      <c r="AI113" s="31"/>
      <c r="AJ113" s="31"/>
      <c r="AK113" s="31"/>
      <c r="AL113" s="390"/>
    </row>
    <row r="114" spans="5:38" ht="15" customHeight="1" x14ac:dyDescent="0.25">
      <c r="E114" s="31"/>
      <c r="F114" s="31"/>
      <c r="G114" s="31"/>
      <c r="H114" s="31"/>
      <c r="I114" s="31"/>
      <c r="J114" s="31"/>
      <c r="K114" s="393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3"/>
      <c r="AB114" s="31"/>
      <c r="AC114" s="390"/>
      <c r="AD114" s="31"/>
      <c r="AE114" s="31"/>
      <c r="AF114" s="31"/>
      <c r="AG114" s="31"/>
      <c r="AH114" s="31"/>
      <c r="AI114" s="31"/>
      <c r="AJ114" s="31"/>
      <c r="AK114" s="31"/>
      <c r="AL114" s="390"/>
    </row>
    <row r="115" spans="5:38" ht="15" customHeight="1" x14ac:dyDescent="0.25">
      <c r="E115" s="31"/>
      <c r="F115" s="31"/>
      <c r="G115" s="31"/>
      <c r="H115" s="31"/>
      <c r="I115" s="31"/>
      <c r="J115" s="31"/>
      <c r="K115" s="393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3"/>
      <c r="AB115" s="31"/>
      <c r="AC115" s="390"/>
      <c r="AD115" s="31"/>
      <c r="AE115" s="31"/>
      <c r="AF115" s="31"/>
      <c r="AG115" s="31"/>
      <c r="AH115" s="31"/>
      <c r="AI115" s="31"/>
      <c r="AJ115" s="31"/>
      <c r="AK115" s="31"/>
      <c r="AL115" s="390"/>
    </row>
    <row r="116" spans="5:38" ht="15" customHeight="1" x14ac:dyDescent="0.25">
      <c r="E116" s="31"/>
      <c r="F116" s="31"/>
      <c r="G116" s="31"/>
      <c r="H116" s="31"/>
      <c r="I116" s="31"/>
      <c r="J116" s="31"/>
      <c r="K116" s="393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3"/>
      <c r="AB116" s="31"/>
      <c r="AC116" s="390"/>
      <c r="AD116" s="31"/>
      <c r="AE116" s="31"/>
      <c r="AF116" s="31"/>
      <c r="AG116" s="31"/>
      <c r="AH116" s="31"/>
      <c r="AI116" s="31"/>
      <c r="AJ116" s="31"/>
      <c r="AK116" s="31"/>
      <c r="AL116" s="390"/>
    </row>
    <row r="117" spans="5:38" ht="15" customHeight="1" x14ac:dyDescent="0.25">
      <c r="E117" s="31"/>
      <c r="F117" s="31"/>
      <c r="G117" s="31"/>
      <c r="H117" s="31"/>
      <c r="I117" s="31"/>
      <c r="J117" s="31"/>
      <c r="K117" s="393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3"/>
      <c r="AB117" s="31"/>
      <c r="AC117" s="390"/>
      <c r="AD117" s="31"/>
      <c r="AE117" s="31"/>
      <c r="AF117" s="31"/>
      <c r="AG117" s="31"/>
      <c r="AH117" s="31"/>
      <c r="AI117" s="31"/>
      <c r="AJ117" s="31"/>
      <c r="AK117" s="31"/>
      <c r="AL117" s="390"/>
    </row>
    <row r="118" spans="5:38" ht="15" customHeight="1" x14ac:dyDescent="0.25">
      <c r="E118" s="31"/>
      <c r="F118" s="31"/>
      <c r="G118" s="31"/>
      <c r="H118" s="31"/>
      <c r="I118" s="31"/>
      <c r="J118" s="31"/>
      <c r="K118" s="393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3"/>
      <c r="AB118" s="31"/>
      <c r="AC118" s="390"/>
      <c r="AD118" s="31"/>
      <c r="AE118" s="31"/>
      <c r="AF118" s="31"/>
      <c r="AG118" s="31"/>
      <c r="AH118" s="31"/>
      <c r="AI118" s="31"/>
      <c r="AJ118" s="31"/>
      <c r="AK118" s="31"/>
      <c r="AL118" s="390"/>
    </row>
    <row r="119" spans="5:38" ht="15" customHeight="1" x14ac:dyDescent="0.25">
      <c r="E119" s="31"/>
      <c r="F119" s="31"/>
      <c r="G119" s="31"/>
      <c r="H119" s="31"/>
      <c r="I119" s="31"/>
      <c r="J119" s="31"/>
      <c r="K119" s="393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3"/>
      <c r="AB119" s="31"/>
      <c r="AC119" s="390"/>
      <c r="AD119" s="31"/>
      <c r="AE119" s="31"/>
      <c r="AF119" s="31"/>
      <c r="AG119" s="31"/>
      <c r="AH119" s="31"/>
      <c r="AI119" s="31"/>
      <c r="AJ119" s="31"/>
      <c r="AK119" s="31"/>
      <c r="AL119" s="390"/>
    </row>
    <row r="120" spans="5:38" ht="15" customHeight="1" x14ac:dyDescent="0.25">
      <c r="E120" s="31"/>
      <c r="F120" s="31"/>
      <c r="G120" s="31"/>
      <c r="H120" s="31"/>
      <c r="I120" s="31"/>
      <c r="J120" s="31"/>
      <c r="K120" s="393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3"/>
      <c r="AB120" s="31"/>
      <c r="AC120" s="390"/>
      <c r="AD120" s="31"/>
      <c r="AE120" s="31"/>
      <c r="AF120" s="31"/>
      <c r="AG120" s="31"/>
      <c r="AH120" s="31"/>
      <c r="AI120" s="31"/>
      <c r="AJ120" s="31"/>
      <c r="AK120" s="31"/>
      <c r="AL120" s="390"/>
    </row>
    <row r="121" spans="5:38" ht="15" customHeight="1" x14ac:dyDescent="0.25">
      <c r="E121" s="31"/>
      <c r="F121" s="31"/>
      <c r="G121" s="31"/>
      <c r="H121" s="31"/>
      <c r="I121" s="31"/>
      <c r="J121" s="31"/>
      <c r="K121" s="393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3"/>
      <c r="AB121" s="31"/>
      <c r="AC121" s="390"/>
      <c r="AD121" s="31"/>
      <c r="AE121" s="31"/>
      <c r="AF121" s="31"/>
      <c r="AG121" s="31"/>
      <c r="AH121" s="31"/>
      <c r="AI121" s="31"/>
      <c r="AJ121" s="31"/>
      <c r="AK121" s="31"/>
      <c r="AL121" s="390"/>
    </row>
    <row r="122" spans="5:38" ht="15" customHeight="1" x14ac:dyDescent="0.25">
      <c r="E122" s="31"/>
      <c r="F122" s="31"/>
      <c r="G122" s="31"/>
      <c r="H122" s="31"/>
      <c r="I122" s="31"/>
      <c r="J122" s="31"/>
      <c r="K122" s="393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3"/>
      <c r="AB122" s="31"/>
      <c r="AC122" s="390"/>
      <c r="AD122" s="31"/>
      <c r="AE122" s="31"/>
      <c r="AF122" s="31"/>
      <c r="AG122" s="31"/>
      <c r="AH122" s="31"/>
      <c r="AI122" s="31"/>
      <c r="AJ122" s="31"/>
      <c r="AK122" s="31"/>
      <c r="AL122" s="390"/>
    </row>
    <row r="123" spans="5:38" ht="15" customHeight="1" x14ac:dyDescent="0.25">
      <c r="E123" s="31"/>
      <c r="F123" s="31"/>
      <c r="G123" s="31"/>
      <c r="H123" s="31"/>
      <c r="I123" s="31"/>
      <c r="J123" s="31"/>
      <c r="K123" s="393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3"/>
      <c r="AB123" s="31"/>
      <c r="AC123" s="390"/>
      <c r="AD123" s="31"/>
      <c r="AE123" s="31"/>
      <c r="AF123" s="31"/>
      <c r="AG123" s="31"/>
      <c r="AH123" s="31"/>
      <c r="AI123" s="31"/>
      <c r="AJ123" s="31"/>
      <c r="AK123" s="31"/>
      <c r="AL123" s="390"/>
    </row>
    <row r="124" spans="5:38" ht="15" customHeight="1" x14ac:dyDescent="0.25">
      <c r="E124" s="31"/>
      <c r="F124" s="31"/>
      <c r="G124" s="31"/>
      <c r="H124" s="31"/>
      <c r="I124" s="31"/>
      <c r="J124" s="31"/>
      <c r="K124" s="393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3"/>
      <c r="AB124" s="31"/>
      <c r="AC124" s="390"/>
      <c r="AD124" s="31"/>
      <c r="AE124" s="31"/>
      <c r="AF124" s="31"/>
      <c r="AG124" s="31"/>
      <c r="AH124" s="31"/>
      <c r="AI124" s="31"/>
      <c r="AJ124" s="31"/>
      <c r="AK124" s="31"/>
      <c r="AL124" s="390"/>
    </row>
    <row r="125" spans="5:38" ht="15" customHeight="1" x14ac:dyDescent="0.25">
      <c r="E125" s="31"/>
      <c r="F125" s="31"/>
      <c r="G125" s="31"/>
      <c r="H125" s="31"/>
      <c r="I125" s="31"/>
      <c r="J125" s="31"/>
      <c r="K125" s="393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3"/>
      <c r="AB125" s="31"/>
      <c r="AC125" s="390"/>
      <c r="AD125" s="31"/>
      <c r="AE125" s="31"/>
      <c r="AF125" s="31"/>
      <c r="AG125" s="31"/>
      <c r="AH125" s="31"/>
      <c r="AI125" s="31"/>
      <c r="AJ125" s="31"/>
      <c r="AK125" s="31"/>
      <c r="AL125" s="390"/>
    </row>
    <row r="126" spans="5:38" ht="15" customHeight="1" x14ac:dyDescent="0.25">
      <c r="E126" s="31"/>
      <c r="F126" s="31"/>
      <c r="G126" s="31"/>
      <c r="H126" s="31"/>
      <c r="I126" s="31"/>
      <c r="J126" s="31"/>
      <c r="K126" s="393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3"/>
      <c r="AB126" s="31"/>
      <c r="AC126" s="390"/>
      <c r="AD126" s="31"/>
      <c r="AE126" s="31"/>
      <c r="AF126" s="31"/>
      <c r="AG126" s="31"/>
      <c r="AH126" s="31"/>
      <c r="AI126" s="31"/>
      <c r="AJ126" s="31"/>
      <c r="AK126" s="31"/>
      <c r="AL126" s="390"/>
    </row>
    <row r="127" spans="5:38" ht="15" customHeight="1" x14ac:dyDescent="0.25">
      <c r="E127" s="31"/>
      <c r="F127" s="31"/>
      <c r="G127" s="31"/>
      <c r="H127" s="31"/>
      <c r="I127" s="31"/>
      <c r="J127" s="31"/>
      <c r="K127" s="393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3"/>
      <c r="AB127" s="31"/>
      <c r="AC127" s="390"/>
      <c r="AD127" s="31"/>
      <c r="AE127" s="31"/>
      <c r="AF127" s="31"/>
      <c r="AG127" s="31"/>
      <c r="AH127" s="31"/>
      <c r="AI127" s="31"/>
      <c r="AJ127" s="31"/>
      <c r="AK127" s="31"/>
      <c r="AL127" s="390"/>
    </row>
    <row r="128" spans="5:38" ht="15" customHeight="1" x14ac:dyDescent="0.25">
      <c r="E128" s="31"/>
      <c r="F128" s="31"/>
      <c r="G128" s="31"/>
      <c r="H128" s="31"/>
      <c r="I128" s="31"/>
      <c r="J128" s="31"/>
      <c r="K128" s="393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3"/>
      <c r="AB128" s="31"/>
      <c r="AC128" s="390"/>
      <c r="AD128" s="31"/>
      <c r="AE128" s="31"/>
      <c r="AF128" s="31"/>
      <c r="AG128" s="31"/>
      <c r="AH128" s="31"/>
      <c r="AI128" s="31"/>
      <c r="AJ128" s="31"/>
      <c r="AK128" s="31"/>
      <c r="AL128" s="390"/>
    </row>
    <row r="129" spans="5:38" ht="15" customHeight="1" x14ac:dyDescent="0.25">
      <c r="E129" s="31"/>
      <c r="F129" s="31"/>
      <c r="G129" s="31"/>
      <c r="H129" s="31"/>
      <c r="I129" s="31"/>
      <c r="J129" s="31"/>
      <c r="K129" s="393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3"/>
      <c r="AB129" s="31"/>
      <c r="AC129" s="390"/>
      <c r="AD129" s="31"/>
      <c r="AE129" s="31"/>
      <c r="AF129" s="31"/>
      <c r="AG129" s="31"/>
      <c r="AH129" s="31"/>
      <c r="AI129" s="31"/>
      <c r="AJ129" s="31"/>
      <c r="AK129" s="31"/>
      <c r="AL129" s="390"/>
    </row>
    <row r="130" spans="5:38" ht="15" customHeight="1" x14ac:dyDescent="0.25">
      <c r="E130" s="31"/>
      <c r="F130" s="31"/>
      <c r="G130" s="31"/>
      <c r="H130" s="31"/>
      <c r="I130" s="31"/>
      <c r="J130" s="31"/>
      <c r="K130" s="393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3"/>
      <c r="AB130" s="31"/>
      <c r="AC130" s="390"/>
      <c r="AD130" s="31"/>
      <c r="AE130" s="31"/>
      <c r="AF130" s="31"/>
      <c r="AG130" s="31"/>
      <c r="AH130" s="31"/>
      <c r="AI130" s="31"/>
      <c r="AJ130" s="31"/>
      <c r="AK130" s="31"/>
      <c r="AL130" s="390"/>
    </row>
    <row r="131" spans="5:38" ht="15" customHeight="1" x14ac:dyDescent="0.25">
      <c r="E131" s="31"/>
      <c r="F131" s="31"/>
      <c r="G131" s="31"/>
      <c r="H131" s="31"/>
      <c r="I131" s="31"/>
      <c r="J131" s="31"/>
      <c r="K131" s="393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3"/>
      <c r="AB131" s="31"/>
      <c r="AC131" s="390"/>
      <c r="AD131" s="31"/>
      <c r="AE131" s="31"/>
      <c r="AF131" s="31"/>
      <c r="AG131" s="31"/>
      <c r="AH131" s="31"/>
      <c r="AI131" s="31"/>
      <c r="AJ131" s="31"/>
      <c r="AK131" s="31"/>
      <c r="AL131" s="390"/>
    </row>
    <row r="132" spans="5:38" ht="15" customHeight="1" x14ac:dyDescent="0.25">
      <c r="E132" s="31"/>
      <c r="F132" s="31"/>
      <c r="G132" s="31"/>
      <c r="H132" s="31"/>
      <c r="I132" s="31"/>
      <c r="J132" s="31"/>
      <c r="K132" s="393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3"/>
      <c r="AB132" s="31"/>
      <c r="AC132" s="390"/>
      <c r="AD132" s="31"/>
      <c r="AE132" s="31"/>
      <c r="AF132" s="31"/>
      <c r="AG132" s="31"/>
      <c r="AH132" s="31"/>
      <c r="AI132" s="31"/>
      <c r="AJ132" s="31"/>
      <c r="AK132" s="31"/>
      <c r="AL132" s="390"/>
    </row>
    <row r="133" spans="5:38" ht="15" customHeight="1" x14ac:dyDescent="0.25">
      <c r="E133" s="31"/>
      <c r="F133" s="31"/>
      <c r="G133" s="31"/>
      <c r="H133" s="31"/>
      <c r="I133" s="31"/>
      <c r="J133" s="31"/>
      <c r="K133" s="393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3"/>
      <c r="AB133" s="31"/>
      <c r="AC133" s="390"/>
      <c r="AD133" s="31"/>
      <c r="AE133" s="31"/>
      <c r="AF133" s="31"/>
      <c r="AG133" s="31"/>
      <c r="AH133" s="31"/>
      <c r="AI133" s="31"/>
      <c r="AJ133" s="31"/>
      <c r="AK133" s="31"/>
      <c r="AL133" s="390"/>
    </row>
    <row r="134" spans="5:38" ht="15" customHeight="1" x14ac:dyDescent="0.25">
      <c r="E134" s="31"/>
      <c r="F134" s="31"/>
      <c r="G134" s="31"/>
      <c r="H134" s="31"/>
      <c r="I134" s="31"/>
      <c r="J134" s="31"/>
      <c r="K134" s="393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3"/>
      <c r="AB134" s="31"/>
      <c r="AC134" s="390"/>
      <c r="AD134" s="31"/>
      <c r="AE134" s="31"/>
      <c r="AF134" s="31"/>
      <c r="AG134" s="31"/>
      <c r="AH134" s="31"/>
      <c r="AI134" s="31"/>
      <c r="AJ134" s="31"/>
      <c r="AK134" s="31"/>
      <c r="AL134" s="390"/>
    </row>
    <row r="135" spans="5:38" ht="15" customHeight="1" x14ac:dyDescent="0.25">
      <c r="E135" s="31"/>
      <c r="F135" s="31"/>
      <c r="G135" s="31"/>
      <c r="H135" s="31"/>
      <c r="I135" s="31"/>
      <c r="J135" s="31"/>
      <c r="K135" s="393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3"/>
      <c r="AB135" s="31"/>
      <c r="AC135" s="390"/>
      <c r="AD135" s="31"/>
      <c r="AE135" s="31"/>
      <c r="AF135" s="31"/>
      <c r="AG135" s="31"/>
      <c r="AH135" s="31"/>
      <c r="AI135" s="31"/>
      <c r="AJ135" s="31"/>
      <c r="AK135" s="31"/>
      <c r="AL135" s="390"/>
    </row>
    <row r="136" spans="5:38" ht="15" customHeight="1" x14ac:dyDescent="0.25">
      <c r="E136" s="31"/>
      <c r="F136" s="31"/>
      <c r="G136" s="31"/>
      <c r="H136" s="31"/>
      <c r="I136" s="31"/>
      <c r="J136" s="31"/>
      <c r="K136" s="393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3"/>
      <c r="AB136" s="31"/>
      <c r="AC136" s="390"/>
      <c r="AD136" s="31"/>
      <c r="AE136" s="31"/>
      <c r="AF136" s="31"/>
      <c r="AG136" s="31"/>
      <c r="AH136" s="31"/>
      <c r="AI136" s="31"/>
      <c r="AJ136" s="31"/>
      <c r="AK136" s="31"/>
      <c r="AL136" s="390"/>
    </row>
    <row r="137" spans="5:38" ht="15" customHeight="1" x14ac:dyDescent="0.25">
      <c r="E137" s="31"/>
      <c r="F137" s="31"/>
      <c r="G137" s="31"/>
      <c r="H137" s="31"/>
      <c r="I137" s="31"/>
      <c r="J137" s="31"/>
      <c r="K137" s="393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3"/>
      <c r="AB137" s="31"/>
      <c r="AC137" s="390"/>
      <c r="AD137" s="31"/>
      <c r="AE137" s="31"/>
      <c r="AF137" s="31"/>
      <c r="AG137" s="31"/>
      <c r="AH137" s="31"/>
      <c r="AI137" s="31"/>
      <c r="AJ137" s="31"/>
      <c r="AK137" s="31"/>
      <c r="AL137" s="390"/>
    </row>
    <row r="138" spans="5:38" ht="15" customHeight="1" x14ac:dyDescent="0.25">
      <c r="E138" s="31"/>
      <c r="F138" s="31"/>
      <c r="G138" s="31"/>
      <c r="H138" s="31"/>
      <c r="I138" s="31"/>
      <c r="J138" s="31"/>
      <c r="K138" s="393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3"/>
      <c r="AB138" s="31"/>
      <c r="AC138" s="390"/>
      <c r="AD138" s="31"/>
      <c r="AE138" s="31"/>
      <c r="AF138" s="31"/>
      <c r="AG138" s="31"/>
      <c r="AH138" s="31"/>
      <c r="AI138" s="31"/>
      <c r="AJ138" s="31"/>
      <c r="AK138" s="31"/>
      <c r="AL138" s="390"/>
    </row>
    <row r="139" spans="5:38" ht="15" customHeight="1" x14ac:dyDescent="0.25">
      <c r="E139" s="31"/>
      <c r="F139" s="31"/>
      <c r="G139" s="31"/>
      <c r="H139" s="31"/>
      <c r="I139" s="31"/>
      <c r="J139" s="31"/>
      <c r="K139" s="393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3"/>
      <c r="AB139" s="31"/>
      <c r="AC139" s="390"/>
      <c r="AD139" s="31"/>
      <c r="AE139" s="31"/>
      <c r="AF139" s="31"/>
      <c r="AG139" s="31"/>
      <c r="AH139" s="31"/>
      <c r="AI139" s="31"/>
      <c r="AJ139" s="31"/>
      <c r="AK139" s="31"/>
      <c r="AL139" s="390"/>
    </row>
    <row r="140" spans="5:38" ht="15" customHeight="1" x14ac:dyDescent="0.25">
      <c r="E140" s="31"/>
      <c r="F140" s="31"/>
      <c r="G140" s="31"/>
      <c r="H140" s="31"/>
      <c r="I140" s="31"/>
      <c r="J140" s="31"/>
      <c r="K140" s="393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3"/>
      <c r="AB140" s="31"/>
      <c r="AC140" s="390"/>
      <c r="AD140" s="31"/>
      <c r="AE140" s="31"/>
      <c r="AF140" s="31"/>
      <c r="AG140" s="31"/>
      <c r="AH140" s="31"/>
      <c r="AI140" s="31"/>
      <c r="AJ140" s="31"/>
      <c r="AK140" s="31"/>
      <c r="AL140" s="390"/>
    </row>
    <row r="141" spans="5:38" ht="15" customHeight="1" x14ac:dyDescent="0.25">
      <c r="E141" s="31"/>
      <c r="F141" s="31"/>
      <c r="G141" s="31"/>
      <c r="H141" s="31"/>
      <c r="I141" s="31"/>
      <c r="J141" s="31"/>
      <c r="K141" s="393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3"/>
      <c r="AB141" s="31"/>
      <c r="AC141" s="390"/>
      <c r="AD141" s="31"/>
      <c r="AE141" s="31"/>
      <c r="AF141" s="31"/>
      <c r="AG141" s="31"/>
      <c r="AH141" s="31"/>
      <c r="AI141" s="31"/>
      <c r="AJ141" s="31"/>
      <c r="AK141" s="31"/>
      <c r="AL141" s="390"/>
    </row>
    <row r="142" spans="5:38" ht="15" customHeight="1" x14ac:dyDescent="0.25">
      <c r="E142" s="31"/>
      <c r="F142" s="31"/>
      <c r="G142" s="31"/>
      <c r="H142" s="31"/>
      <c r="I142" s="31"/>
      <c r="J142" s="31"/>
      <c r="K142" s="393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3"/>
      <c r="AB142" s="31"/>
      <c r="AC142" s="390"/>
      <c r="AD142" s="31"/>
      <c r="AE142" s="31"/>
      <c r="AF142" s="31"/>
      <c r="AG142" s="31"/>
      <c r="AH142" s="31"/>
      <c r="AI142" s="31"/>
      <c r="AJ142" s="31"/>
      <c r="AK142" s="31"/>
      <c r="AL142" s="390"/>
    </row>
    <row r="143" spans="5:38" ht="15" customHeight="1" x14ac:dyDescent="0.25">
      <c r="E143" s="31"/>
      <c r="F143" s="31"/>
      <c r="G143" s="31"/>
      <c r="H143" s="31"/>
      <c r="I143" s="31"/>
      <c r="J143" s="31"/>
      <c r="K143" s="393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3"/>
      <c r="AB143" s="31"/>
      <c r="AC143" s="390"/>
      <c r="AD143" s="31"/>
      <c r="AE143" s="31"/>
      <c r="AF143" s="31"/>
      <c r="AG143" s="31"/>
      <c r="AH143" s="31"/>
      <c r="AI143" s="31"/>
      <c r="AJ143" s="31"/>
      <c r="AK143" s="31"/>
      <c r="AL143" s="390"/>
    </row>
    <row r="144" spans="5:38" ht="15" customHeight="1" x14ac:dyDescent="0.25">
      <c r="E144" s="31"/>
      <c r="F144" s="31"/>
      <c r="G144" s="31"/>
      <c r="H144" s="31"/>
      <c r="I144" s="31"/>
      <c r="J144" s="31"/>
      <c r="K144" s="393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3"/>
      <c r="AB144" s="31"/>
      <c r="AC144" s="390"/>
      <c r="AD144" s="31"/>
      <c r="AE144" s="31"/>
      <c r="AF144" s="31"/>
      <c r="AG144" s="31"/>
      <c r="AH144" s="31"/>
      <c r="AI144" s="31"/>
      <c r="AJ144" s="31"/>
      <c r="AK144" s="31"/>
      <c r="AL144" s="390"/>
    </row>
    <row r="145" spans="5:38" ht="15" customHeight="1" x14ac:dyDescent="0.25">
      <c r="E145" s="31"/>
      <c r="F145" s="31"/>
      <c r="G145" s="31"/>
      <c r="H145" s="31"/>
      <c r="I145" s="31"/>
      <c r="J145" s="31"/>
      <c r="K145" s="393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3"/>
      <c r="AB145" s="31"/>
      <c r="AC145" s="390"/>
      <c r="AD145" s="31"/>
      <c r="AE145" s="31"/>
      <c r="AF145" s="31"/>
      <c r="AG145" s="31"/>
      <c r="AH145" s="31"/>
      <c r="AI145" s="31"/>
      <c r="AJ145" s="31"/>
      <c r="AK145" s="31"/>
      <c r="AL145" s="390"/>
    </row>
    <row r="146" spans="5:38" ht="15" customHeight="1" x14ac:dyDescent="0.25">
      <c r="E146" s="31"/>
      <c r="F146" s="31"/>
      <c r="G146" s="31"/>
      <c r="H146" s="31"/>
      <c r="I146" s="31"/>
      <c r="J146" s="31"/>
      <c r="K146" s="393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3"/>
      <c r="AB146" s="31"/>
      <c r="AC146" s="390"/>
      <c r="AD146" s="31"/>
      <c r="AE146" s="31"/>
      <c r="AF146" s="31"/>
      <c r="AG146" s="31"/>
      <c r="AH146" s="31"/>
      <c r="AI146" s="31"/>
      <c r="AJ146" s="31"/>
      <c r="AK146" s="31"/>
      <c r="AL146" s="390"/>
    </row>
    <row r="147" spans="5:38" ht="15" customHeight="1" x14ac:dyDescent="0.25">
      <c r="E147" s="31"/>
      <c r="F147" s="31"/>
      <c r="G147" s="31"/>
      <c r="H147" s="31"/>
      <c r="I147" s="31"/>
      <c r="J147" s="31"/>
      <c r="K147" s="393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3"/>
      <c r="AB147" s="31"/>
      <c r="AC147" s="390"/>
      <c r="AD147" s="31"/>
      <c r="AE147" s="31"/>
      <c r="AF147" s="31"/>
      <c r="AG147" s="31"/>
      <c r="AH147" s="31"/>
      <c r="AI147" s="31"/>
      <c r="AJ147" s="31"/>
      <c r="AK147" s="31"/>
      <c r="AL147" s="390"/>
    </row>
    <row r="148" spans="5:38" ht="15" customHeight="1" x14ac:dyDescent="0.25">
      <c r="E148" s="31"/>
      <c r="F148" s="31"/>
      <c r="G148" s="31"/>
      <c r="H148" s="31"/>
      <c r="I148" s="31"/>
      <c r="J148" s="31"/>
      <c r="K148" s="393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3"/>
      <c r="AB148" s="31"/>
      <c r="AC148" s="390"/>
      <c r="AD148" s="31"/>
      <c r="AE148" s="31"/>
      <c r="AF148" s="31"/>
      <c r="AG148" s="31"/>
      <c r="AH148" s="31"/>
      <c r="AI148" s="31"/>
      <c r="AJ148" s="31"/>
      <c r="AK148" s="31"/>
      <c r="AL148" s="390"/>
    </row>
    <row r="149" spans="5:38" ht="15" customHeight="1" x14ac:dyDescent="0.25">
      <c r="E149" s="31"/>
      <c r="F149" s="31"/>
      <c r="G149" s="31"/>
      <c r="H149" s="31"/>
      <c r="I149" s="31"/>
      <c r="J149" s="31"/>
      <c r="K149" s="393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3"/>
      <c r="AB149" s="31"/>
      <c r="AC149" s="390"/>
      <c r="AD149" s="31"/>
      <c r="AE149" s="31"/>
      <c r="AF149" s="31"/>
      <c r="AG149" s="31"/>
      <c r="AH149" s="31"/>
      <c r="AI149" s="31"/>
      <c r="AJ149" s="31"/>
      <c r="AK149" s="31"/>
      <c r="AL149" s="390"/>
    </row>
    <row r="150" spans="5:38" ht="15" customHeight="1" x14ac:dyDescent="0.25">
      <c r="E150" s="31"/>
      <c r="F150" s="31"/>
      <c r="G150" s="31"/>
      <c r="H150" s="31"/>
      <c r="I150" s="31"/>
      <c r="J150" s="31"/>
      <c r="K150" s="393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3"/>
      <c r="AB150" s="31"/>
      <c r="AC150" s="390"/>
      <c r="AD150" s="31"/>
      <c r="AE150" s="31"/>
      <c r="AF150" s="31"/>
      <c r="AG150" s="31"/>
      <c r="AH150" s="31"/>
      <c r="AI150" s="31"/>
      <c r="AJ150" s="31"/>
      <c r="AK150" s="31"/>
      <c r="AL150" s="390"/>
    </row>
    <row r="151" spans="5:38" ht="15" customHeight="1" x14ac:dyDescent="0.25">
      <c r="E151" s="31"/>
      <c r="F151" s="31"/>
      <c r="G151" s="31"/>
      <c r="H151" s="31"/>
      <c r="I151" s="31"/>
      <c r="J151" s="31"/>
      <c r="K151" s="393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3"/>
      <c r="AB151" s="31"/>
      <c r="AC151" s="390"/>
      <c r="AD151" s="31"/>
      <c r="AE151" s="31"/>
      <c r="AF151" s="31"/>
      <c r="AG151" s="31"/>
      <c r="AH151" s="31"/>
      <c r="AI151" s="31"/>
      <c r="AJ151" s="31"/>
      <c r="AK151" s="31"/>
      <c r="AL151" s="390"/>
    </row>
    <row r="152" spans="5:38" ht="15" customHeight="1" x14ac:dyDescent="0.25">
      <c r="V152" s="31"/>
    </row>
    <row r="153" spans="5:38" ht="15" customHeight="1" x14ac:dyDescent="0.25">
      <c r="V153" s="31"/>
    </row>
    <row r="154" spans="5:38" ht="15" customHeight="1" x14ac:dyDescent="0.25">
      <c r="V154" s="31"/>
    </row>
    <row r="155" spans="5:38" ht="15" customHeight="1" x14ac:dyDescent="0.25">
      <c r="V155" s="31"/>
    </row>
    <row r="156" spans="5:38" ht="15" customHeight="1" x14ac:dyDescent="0.25">
      <c r="V156" s="31"/>
    </row>
    <row r="157" spans="5:38" ht="15" customHeight="1" x14ac:dyDescent="0.25">
      <c r="V157" s="31"/>
    </row>
    <row r="158" spans="5:38" ht="15" customHeight="1" x14ac:dyDescent="0.25">
      <c r="V158" s="31"/>
    </row>
    <row r="159" spans="5:38" ht="15" customHeight="1" x14ac:dyDescent="0.25">
      <c r="V159" s="31"/>
    </row>
    <row r="160" spans="5:38" ht="15" customHeight="1" x14ac:dyDescent="0.25">
      <c r="V160" s="31"/>
    </row>
    <row r="161" spans="22:22" ht="15" customHeight="1" x14ac:dyDescent="0.25">
      <c r="V161" s="31"/>
    </row>
    <row r="162" spans="22:22" ht="15" customHeight="1" x14ac:dyDescent="0.25">
      <c r="V162" s="31"/>
    </row>
    <row r="163" spans="22:22" ht="15" customHeight="1" x14ac:dyDescent="0.25">
      <c r="V163" s="31"/>
    </row>
    <row r="164" spans="22:22" ht="15" customHeight="1" x14ac:dyDescent="0.25">
      <c r="V164" s="31"/>
    </row>
    <row r="165" spans="22:22" ht="15" customHeight="1" x14ac:dyDescent="0.25">
      <c r="V165" s="31"/>
    </row>
    <row r="166" spans="22:22" ht="15" customHeight="1" x14ac:dyDescent="0.25">
      <c r="V166" s="31"/>
    </row>
    <row r="167" spans="22:22" ht="15" customHeight="1" x14ac:dyDescent="0.25">
      <c r="V167" s="31"/>
    </row>
    <row r="168" spans="22:22" ht="15" customHeight="1" x14ac:dyDescent="0.25">
      <c r="V168" s="31"/>
    </row>
    <row r="169" spans="22:22" ht="15" customHeight="1" x14ac:dyDescent="0.25">
      <c r="V169" s="31"/>
    </row>
    <row r="170" spans="22:22" ht="15" customHeight="1" x14ac:dyDescent="0.25">
      <c r="V170" s="31"/>
    </row>
    <row r="171" spans="22:22" ht="15" customHeight="1" x14ac:dyDescent="0.25">
      <c r="V171" s="31"/>
    </row>
    <row r="172" spans="22:22" ht="15" customHeight="1" x14ac:dyDescent="0.25">
      <c r="V172" s="31"/>
    </row>
    <row r="173" spans="22:22" ht="15" customHeight="1" x14ac:dyDescent="0.25">
      <c r="V173" s="31"/>
    </row>
    <row r="174" spans="22:22" ht="15" customHeight="1" x14ac:dyDescent="0.25">
      <c r="V174" s="31"/>
    </row>
    <row r="175" spans="22:22" ht="15" customHeight="1" x14ac:dyDescent="0.25">
      <c r="V175" s="31"/>
    </row>
    <row r="176" spans="22:22" ht="15" customHeight="1" x14ac:dyDescent="0.25">
      <c r="V176" s="31"/>
    </row>
    <row r="177" spans="22:22" ht="15" customHeight="1" x14ac:dyDescent="0.25">
      <c r="V177" s="31"/>
    </row>
    <row r="178" spans="22:22" ht="15" customHeight="1" x14ac:dyDescent="0.25">
      <c r="V178" s="31"/>
    </row>
    <row r="179" spans="22:22" ht="15" customHeight="1" x14ac:dyDescent="0.25">
      <c r="V179" s="31"/>
    </row>
    <row r="180" spans="22:22" ht="15" customHeight="1" x14ac:dyDescent="0.25">
      <c r="V180" s="31"/>
    </row>
    <row r="181" spans="22:22" ht="15" customHeight="1" x14ac:dyDescent="0.25">
      <c r="V181" s="31"/>
    </row>
    <row r="182" spans="22:22" ht="15" customHeight="1" x14ac:dyDescent="0.25">
      <c r="V182" s="31"/>
    </row>
    <row r="183" spans="22:22" ht="15" customHeight="1" x14ac:dyDescent="0.25">
      <c r="V183" s="31"/>
    </row>
    <row r="184" spans="22:22" ht="15" customHeight="1" x14ac:dyDescent="0.25">
      <c r="V184" s="31"/>
    </row>
    <row r="185" spans="22:22" ht="15" customHeight="1" x14ac:dyDescent="0.25">
      <c r="V185" s="31"/>
    </row>
    <row r="186" spans="22:22" ht="15" customHeight="1" x14ac:dyDescent="0.25">
      <c r="V186" s="31"/>
    </row>
    <row r="187" spans="22:22" ht="15" customHeight="1" x14ac:dyDescent="0.25">
      <c r="V187" s="31"/>
    </row>
    <row r="188" spans="22:22" ht="15" customHeight="1" x14ac:dyDescent="0.25">
      <c r="V188" s="31"/>
    </row>
    <row r="189" spans="22:22" ht="15" customHeight="1" x14ac:dyDescent="0.25">
      <c r="V189" s="31"/>
    </row>
    <row r="190" spans="22:22" ht="15" customHeight="1" x14ac:dyDescent="0.25">
      <c r="V190" s="31"/>
    </row>
    <row r="191" spans="22:22" ht="15" customHeight="1" x14ac:dyDescent="0.25">
      <c r="V191" s="31"/>
    </row>
    <row r="192" spans="22:22" ht="15" customHeight="1" x14ac:dyDescent="0.25">
      <c r="V192" s="31"/>
    </row>
    <row r="193" spans="22:22" ht="15" customHeight="1" x14ac:dyDescent="0.25">
      <c r="V193" s="31"/>
    </row>
    <row r="194" spans="22:22" ht="15" customHeight="1" x14ac:dyDescent="0.25">
      <c r="V194" s="31"/>
    </row>
    <row r="195" spans="22:22" ht="15" customHeight="1" x14ac:dyDescent="0.25">
      <c r="V195" s="31"/>
    </row>
    <row r="196" spans="22:22" ht="15" customHeight="1" x14ac:dyDescent="0.25">
      <c r="V196" s="31"/>
    </row>
    <row r="197" spans="22:22" ht="15" customHeight="1" x14ac:dyDescent="0.25">
      <c r="V197" s="31"/>
    </row>
    <row r="198" spans="22:22" ht="15" customHeight="1" x14ac:dyDescent="0.25">
      <c r="V198" s="31"/>
    </row>
    <row r="199" spans="22:22" ht="15" customHeight="1" x14ac:dyDescent="0.25">
      <c r="V199" s="31"/>
    </row>
    <row r="200" spans="22:22" ht="15" customHeight="1" x14ac:dyDescent="0.25">
      <c r="V200" s="31"/>
    </row>
    <row r="201" spans="22:22" ht="15" customHeight="1" x14ac:dyDescent="0.25">
      <c r="V201" s="31"/>
    </row>
    <row r="202" spans="22:22" ht="15" customHeight="1" x14ac:dyDescent="0.25">
      <c r="V202" s="31"/>
    </row>
    <row r="203" spans="22:22" ht="15" customHeight="1" x14ac:dyDescent="0.25">
      <c r="V203" s="31"/>
    </row>
    <row r="204" spans="22:22" ht="15" customHeight="1" x14ac:dyDescent="0.25">
      <c r="V204" s="31"/>
    </row>
    <row r="205" spans="22:22" ht="15" customHeight="1" x14ac:dyDescent="0.25">
      <c r="V205" s="31"/>
    </row>
    <row r="206" spans="22:22" ht="15" customHeight="1" x14ac:dyDescent="0.25">
      <c r="V206" s="31"/>
    </row>
    <row r="207" spans="22:22" ht="15" customHeight="1" x14ac:dyDescent="0.25">
      <c r="V207" s="31"/>
    </row>
    <row r="208" spans="22:22" ht="15" customHeight="1" x14ac:dyDescent="0.25">
      <c r="V208" s="31"/>
    </row>
    <row r="209" spans="22:22" ht="15" customHeight="1" x14ac:dyDescent="0.25">
      <c r="V209" s="31"/>
    </row>
    <row r="210" spans="22:22" ht="15" customHeight="1" x14ac:dyDescent="0.25">
      <c r="V210" s="31"/>
    </row>
    <row r="211" spans="22:22" ht="15" customHeight="1" x14ac:dyDescent="0.25">
      <c r="V211" s="31"/>
    </row>
    <row r="212" spans="22:22" ht="15" customHeight="1" x14ac:dyDescent="0.25">
      <c r="V212" s="31"/>
    </row>
    <row r="213" spans="22:22" ht="15" customHeight="1" x14ac:dyDescent="0.25">
      <c r="V213" s="31"/>
    </row>
    <row r="214" spans="22:22" ht="15" customHeight="1" x14ac:dyDescent="0.25">
      <c r="V214" s="31"/>
    </row>
    <row r="215" spans="22:22" ht="15" customHeight="1" x14ac:dyDescent="0.25">
      <c r="V215" s="31"/>
    </row>
    <row r="216" spans="22:22" ht="15" customHeight="1" x14ac:dyDescent="0.25">
      <c r="V216" s="31"/>
    </row>
    <row r="217" spans="22:22" ht="15" customHeight="1" x14ac:dyDescent="0.25">
      <c r="V217" s="31"/>
    </row>
    <row r="218" spans="22:22" ht="15" customHeight="1" x14ac:dyDescent="0.25">
      <c r="V218" s="31"/>
    </row>
    <row r="219" spans="22:22" ht="15" customHeight="1" x14ac:dyDescent="0.25">
      <c r="V219" s="31"/>
    </row>
    <row r="220" spans="22:22" ht="15" customHeight="1" x14ac:dyDescent="0.25">
      <c r="V220" s="31"/>
    </row>
    <row r="221" spans="22:22" ht="15" customHeight="1" x14ac:dyDescent="0.25">
      <c r="V221" s="31"/>
    </row>
    <row r="222" spans="22:22" ht="15" customHeight="1" x14ac:dyDescent="0.25">
      <c r="V222" s="31"/>
    </row>
    <row r="223" spans="22:22" ht="15" customHeight="1" x14ac:dyDescent="0.25">
      <c r="V223" s="31"/>
    </row>
    <row r="224" spans="22:22" ht="15" customHeight="1" x14ac:dyDescent="0.25">
      <c r="V224" s="31"/>
    </row>
    <row r="225" spans="22:22" ht="15" customHeight="1" x14ac:dyDescent="0.25">
      <c r="V225" s="31"/>
    </row>
    <row r="226" spans="22:22" ht="15" customHeight="1" x14ac:dyDescent="0.25">
      <c r="V226" s="31"/>
    </row>
    <row r="227" spans="22:22" ht="15" customHeight="1" x14ac:dyDescent="0.25">
      <c r="V227" s="31"/>
    </row>
    <row r="228" spans="22:22" ht="15" customHeight="1" x14ac:dyDescent="0.25">
      <c r="V228" s="31"/>
    </row>
    <row r="229" spans="22:22" ht="15" customHeight="1" x14ac:dyDescent="0.25">
      <c r="V229" s="31"/>
    </row>
    <row r="230" spans="22:22" ht="15" customHeight="1" x14ac:dyDescent="0.25">
      <c r="V230" s="31"/>
    </row>
    <row r="231" spans="22:22" ht="15" customHeight="1" x14ac:dyDescent="0.25">
      <c r="V231" s="31"/>
    </row>
    <row r="232" spans="22:22" ht="15" customHeight="1" x14ac:dyDescent="0.25">
      <c r="V232" s="31"/>
    </row>
    <row r="233" spans="22:22" ht="15" customHeight="1" x14ac:dyDescent="0.25">
      <c r="V233" s="31"/>
    </row>
    <row r="234" spans="22:22" ht="15" customHeight="1" x14ac:dyDescent="0.25">
      <c r="V234" s="31"/>
    </row>
    <row r="235" spans="22:22" ht="15" customHeight="1" x14ac:dyDescent="0.25">
      <c r="V235" s="31"/>
    </row>
    <row r="236" spans="22:22" ht="15" customHeight="1" x14ac:dyDescent="0.25">
      <c r="V236" s="31"/>
    </row>
    <row r="237" spans="22:22" ht="15" customHeight="1" x14ac:dyDescent="0.25">
      <c r="V237" s="31"/>
    </row>
    <row r="238" spans="22:22" ht="15" customHeight="1" x14ac:dyDescent="0.25">
      <c r="V238" s="31"/>
    </row>
    <row r="239" spans="22:22" ht="15" customHeight="1" x14ac:dyDescent="0.25">
      <c r="V239" s="31"/>
    </row>
    <row r="240" spans="22:22" ht="15" customHeight="1" x14ac:dyDescent="0.25">
      <c r="V240" s="31"/>
    </row>
    <row r="241" spans="22:22" ht="15" customHeight="1" x14ac:dyDescent="0.25">
      <c r="V241" s="31"/>
    </row>
    <row r="242" spans="22:22" ht="15" customHeight="1" x14ac:dyDescent="0.25">
      <c r="V242" s="31"/>
    </row>
    <row r="243" spans="22:22" ht="15" customHeight="1" x14ac:dyDescent="0.25">
      <c r="V243" s="31"/>
    </row>
    <row r="244" spans="22:22" ht="15" customHeight="1" x14ac:dyDescent="0.25">
      <c r="V244" s="31"/>
    </row>
    <row r="245" spans="22:22" ht="15" customHeight="1" x14ac:dyDescent="0.25">
      <c r="V245" s="31"/>
    </row>
    <row r="246" spans="22:22" ht="15" customHeight="1" x14ac:dyDescent="0.25">
      <c r="V246" s="31"/>
    </row>
    <row r="247" spans="22:22" ht="15" customHeight="1" x14ac:dyDescent="0.25">
      <c r="V247" s="31"/>
    </row>
    <row r="248" spans="22:22" ht="15" customHeight="1" x14ac:dyDescent="0.25">
      <c r="V248" s="31"/>
    </row>
    <row r="249" spans="22:22" ht="15" customHeight="1" x14ac:dyDescent="0.25">
      <c r="V249" s="31"/>
    </row>
    <row r="250" spans="22:22" ht="15" customHeight="1" x14ac:dyDescent="0.25">
      <c r="V250" s="31"/>
    </row>
    <row r="251" spans="22:22" ht="15" customHeight="1" x14ac:dyDescent="0.25">
      <c r="V251" s="31"/>
    </row>
    <row r="252" spans="22:22" ht="15" customHeight="1" x14ac:dyDescent="0.25">
      <c r="V252" s="31"/>
    </row>
    <row r="253" spans="22:22" ht="15" customHeight="1" x14ac:dyDescent="0.25">
      <c r="V253" s="31"/>
    </row>
    <row r="254" spans="22:22" ht="15" customHeight="1" x14ac:dyDescent="0.25">
      <c r="V254" s="31"/>
    </row>
    <row r="255" spans="22:22" ht="15" customHeight="1" x14ac:dyDescent="0.25">
      <c r="V255" s="31"/>
    </row>
  </sheetData>
  <mergeCells count="1">
    <mergeCell ref="O1:S1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847"/>
  <sheetViews>
    <sheetView topLeftCell="D1" zoomScale="84" zoomScaleNormal="84" workbookViewId="0">
      <pane xSplit="2" ySplit="4" topLeftCell="AH5" activePane="bottomRight" state="frozen"/>
      <selection activeCell="D1" sqref="D1"/>
      <selection pane="topRight" activeCell="F1" sqref="F1"/>
      <selection pane="bottomLeft" activeCell="D5" sqref="D5"/>
      <selection pane="bottomRight" activeCell="D846" sqref="A846:XFD847"/>
    </sheetView>
  </sheetViews>
  <sheetFormatPr defaultColWidth="48.140625" defaultRowHeight="15" customHeight="1" x14ac:dyDescent="0.25"/>
  <cols>
    <col min="1" max="1" width="10.85546875" bestFit="1" customWidth="1"/>
    <col min="2" max="2" width="8.85546875" bestFit="1" customWidth="1"/>
    <col min="3" max="3" width="22" bestFit="1" customWidth="1"/>
    <col min="4" max="4" width="8.85546875" bestFit="1" customWidth="1"/>
    <col min="5" max="5" width="46.140625" bestFit="1" customWidth="1"/>
    <col min="6" max="6" width="40.42578125" customWidth="1"/>
    <col min="7" max="7" width="41.85546875" customWidth="1"/>
    <col min="8" max="8" width="31" customWidth="1"/>
    <col min="9" max="9" width="18.140625" customWidth="1"/>
    <col min="10" max="10" width="25.85546875" customWidth="1"/>
    <col min="11" max="11" width="21.28515625" customWidth="1"/>
    <col min="12" max="16" width="18.140625" customWidth="1"/>
    <col min="17" max="17" width="71.140625" customWidth="1"/>
    <col min="18" max="18" width="75.85546875" customWidth="1"/>
    <col min="19" max="19" width="34.42578125" customWidth="1"/>
    <col min="20" max="20" width="28.28515625" customWidth="1"/>
    <col min="21" max="22" width="28.42578125" customWidth="1"/>
    <col min="23" max="23" width="34.140625" customWidth="1"/>
    <col min="24" max="24" width="47.5703125" customWidth="1"/>
    <col min="25" max="25" width="27.28515625" customWidth="1"/>
    <col min="26" max="32" width="33.5703125" customWidth="1"/>
    <col min="33" max="33" width="29.7109375" customWidth="1"/>
    <col min="34" max="34" width="28.140625" customWidth="1"/>
    <col min="35" max="35" width="48.42578125" customWidth="1"/>
    <col min="36" max="36" width="24" customWidth="1"/>
    <col min="37" max="37" width="33.42578125" customWidth="1"/>
    <col min="38" max="38" width="27.28515625" customWidth="1"/>
    <col min="39" max="39" width="49.28515625" customWidth="1"/>
    <col min="40" max="40" width="54" bestFit="1" customWidth="1"/>
    <col min="41" max="41" width="45.28515625" customWidth="1"/>
    <col min="42" max="42" width="31.85546875" customWidth="1"/>
    <col min="43" max="43" width="18.5703125" customWidth="1"/>
    <col min="44" max="44" width="51.7109375" customWidth="1"/>
    <col min="45" max="45" width="28" customWidth="1"/>
    <col min="46" max="46" width="14.42578125" customWidth="1"/>
    <col min="47" max="47" width="11.140625" customWidth="1"/>
  </cols>
  <sheetData>
    <row r="1" spans="1:47" ht="28.5" customHeight="1" x14ac:dyDescent="0.25">
      <c r="A1" s="19" t="s">
        <v>0</v>
      </c>
      <c r="B1" s="16" t="s">
        <v>52</v>
      </c>
      <c r="C1" s="17" t="s">
        <v>53</v>
      </c>
      <c r="D1" s="17" t="s">
        <v>54</v>
      </c>
      <c r="E1" s="12" t="s">
        <v>55</v>
      </c>
      <c r="F1" s="13" t="s">
        <v>56</v>
      </c>
      <c r="G1" s="12" t="s">
        <v>57</v>
      </c>
      <c r="H1" s="13" t="s">
        <v>58</v>
      </c>
      <c r="I1" s="24" t="s">
        <v>157</v>
      </c>
      <c r="J1" s="24" t="s">
        <v>161</v>
      </c>
      <c r="K1" s="24" t="s">
        <v>158</v>
      </c>
      <c r="L1" s="24" t="s">
        <v>159</v>
      </c>
      <c r="M1" s="24" t="s">
        <v>160</v>
      </c>
      <c r="N1" s="24" t="s">
        <v>160</v>
      </c>
      <c r="O1" s="13" t="s">
        <v>59</v>
      </c>
      <c r="P1" s="13" t="s">
        <v>60</v>
      </c>
      <c r="Q1" s="17" t="s">
        <v>61</v>
      </c>
      <c r="R1" s="13" t="s">
        <v>62</v>
      </c>
      <c r="S1" s="24" t="s">
        <v>63</v>
      </c>
      <c r="T1" s="13" t="s">
        <v>63</v>
      </c>
      <c r="U1" s="12" t="s">
        <v>64</v>
      </c>
      <c r="V1" s="12" t="s">
        <v>448</v>
      </c>
      <c r="W1" s="12" t="s">
        <v>192</v>
      </c>
      <c r="X1" s="13" t="s">
        <v>193</v>
      </c>
      <c r="Y1" s="12" t="s">
        <v>449</v>
      </c>
      <c r="Z1" s="17" t="s">
        <v>444</v>
      </c>
      <c r="AA1" s="17" t="s">
        <v>445</v>
      </c>
      <c r="AB1" s="17" t="s">
        <v>446</v>
      </c>
      <c r="AC1" s="17" t="s">
        <v>452</v>
      </c>
      <c r="AD1" s="17" t="s">
        <v>453</v>
      </c>
      <c r="AE1" s="17" t="s">
        <v>447</v>
      </c>
      <c r="AF1" s="17" t="s">
        <v>5</v>
      </c>
      <c r="AG1" s="13" t="s">
        <v>69</v>
      </c>
      <c r="AH1" s="24" t="s">
        <v>68</v>
      </c>
      <c r="AI1" s="24" t="s">
        <v>69</v>
      </c>
      <c r="AJ1" s="24" t="s">
        <v>451</v>
      </c>
      <c r="AK1" s="24" t="s">
        <v>68</v>
      </c>
      <c r="AL1" s="12" t="s">
        <v>66</v>
      </c>
      <c r="AM1" s="24" t="s">
        <v>69</v>
      </c>
      <c r="AN1" s="12" t="s">
        <v>70</v>
      </c>
      <c r="AO1" s="13" t="s">
        <v>71</v>
      </c>
      <c r="AP1" s="12" t="s">
        <v>72</v>
      </c>
      <c r="AQ1" s="27" t="s">
        <v>73</v>
      </c>
      <c r="AR1" s="12" t="s">
        <v>74</v>
      </c>
      <c r="AS1" s="12" t="s">
        <v>76</v>
      </c>
      <c r="AT1" s="13" t="s">
        <v>16</v>
      </c>
      <c r="AU1" s="18" t="s">
        <v>77</v>
      </c>
    </row>
    <row r="2" spans="1:47" ht="38.25" customHeight="1" x14ac:dyDescent="0.25">
      <c r="A2" s="19" t="s">
        <v>17</v>
      </c>
      <c r="B2" s="1" t="s">
        <v>78</v>
      </c>
      <c r="C2" s="2" t="s">
        <v>79</v>
      </c>
      <c r="D2" s="2"/>
      <c r="E2" s="3" t="s">
        <v>80</v>
      </c>
      <c r="F2" s="4" t="s">
        <v>81</v>
      </c>
      <c r="G2" s="3" t="s">
        <v>82</v>
      </c>
      <c r="H2" s="4" t="s">
        <v>83</v>
      </c>
      <c r="I2" s="25"/>
      <c r="J2" s="25"/>
      <c r="K2" s="25"/>
      <c r="L2" s="25"/>
      <c r="M2" s="25"/>
      <c r="N2" s="25"/>
      <c r="O2" s="4" t="s">
        <v>84</v>
      </c>
      <c r="P2" s="4" t="s">
        <v>85</v>
      </c>
      <c r="Q2" s="2" t="s">
        <v>86</v>
      </c>
      <c r="R2" s="4" t="s">
        <v>87</v>
      </c>
      <c r="S2" s="25" t="s">
        <v>145</v>
      </c>
      <c r="T2" s="4" t="s">
        <v>88</v>
      </c>
      <c r="U2" s="3" t="s">
        <v>89</v>
      </c>
      <c r="V2" s="3"/>
      <c r="W2" s="3"/>
      <c r="X2" s="4" t="s">
        <v>90</v>
      </c>
      <c r="Y2" s="3"/>
      <c r="Z2" s="2"/>
      <c r="AA2" s="376"/>
      <c r="AB2" s="2"/>
      <c r="AC2" s="2"/>
      <c r="AD2" s="2"/>
      <c r="AE2" s="2"/>
      <c r="AF2" s="2"/>
      <c r="AG2" s="4" t="s">
        <v>94</v>
      </c>
      <c r="AH2" s="25" t="s">
        <v>93</v>
      </c>
      <c r="AI2" s="25" t="s">
        <v>94</v>
      </c>
      <c r="AJ2" s="25"/>
      <c r="AK2" s="25" t="s">
        <v>93</v>
      </c>
      <c r="AL2" s="3" t="s">
        <v>91</v>
      </c>
      <c r="AM2" s="25" t="s">
        <v>94</v>
      </c>
      <c r="AN2" s="3" t="s">
        <v>95</v>
      </c>
      <c r="AO2" s="4" t="s">
        <v>96</v>
      </c>
      <c r="AP2" s="3" t="s">
        <v>97</v>
      </c>
      <c r="AQ2" s="28" t="s">
        <v>98</v>
      </c>
      <c r="AR2" s="3" t="s">
        <v>99</v>
      </c>
      <c r="AS2" s="3" t="s">
        <v>101</v>
      </c>
      <c r="AT2" s="4"/>
      <c r="AU2" s="14"/>
    </row>
    <row r="3" spans="1:47" ht="39" customHeight="1" x14ac:dyDescent="0.25">
      <c r="A3" s="19" t="s">
        <v>34</v>
      </c>
      <c r="B3" s="1" t="s">
        <v>102</v>
      </c>
      <c r="C3" s="2" t="s">
        <v>103</v>
      </c>
      <c r="D3" s="2"/>
      <c r="E3" s="3" t="s">
        <v>104</v>
      </c>
      <c r="F3" s="4" t="s">
        <v>105</v>
      </c>
      <c r="G3" s="3" t="s">
        <v>106</v>
      </c>
      <c r="H3" s="4" t="s">
        <v>107</v>
      </c>
      <c r="I3" s="25"/>
      <c r="J3" s="25"/>
      <c r="K3" s="25"/>
      <c r="L3" s="25"/>
      <c r="M3" s="25"/>
      <c r="N3" s="25"/>
      <c r="O3" s="4">
        <v>12</v>
      </c>
      <c r="P3" s="4" t="s">
        <v>108</v>
      </c>
      <c r="Q3" s="2" t="s">
        <v>109</v>
      </c>
      <c r="R3" s="4" t="s">
        <v>110</v>
      </c>
      <c r="S3" s="25">
        <v>7.5</v>
      </c>
      <c r="T3" s="4" t="s">
        <v>111</v>
      </c>
      <c r="U3" s="3" t="s">
        <v>112</v>
      </c>
      <c r="V3" s="3"/>
      <c r="W3" s="3"/>
      <c r="X3" s="4" t="s">
        <v>113</v>
      </c>
      <c r="Y3" s="3"/>
      <c r="Z3" s="2"/>
      <c r="AA3" s="2"/>
      <c r="AB3" s="2"/>
      <c r="AC3" s="2"/>
      <c r="AD3" s="2"/>
      <c r="AE3" s="2"/>
      <c r="AF3" s="2"/>
      <c r="AG3" s="4" t="s">
        <v>117</v>
      </c>
      <c r="AH3" s="25" t="s">
        <v>450</v>
      </c>
      <c r="AI3" s="25" t="s">
        <v>117</v>
      </c>
      <c r="AJ3" s="25"/>
      <c r="AK3" s="25" t="s">
        <v>116</v>
      </c>
      <c r="AL3" s="3" t="s">
        <v>114</v>
      </c>
      <c r="AM3" s="25" t="s">
        <v>117</v>
      </c>
      <c r="AN3" s="3" t="s">
        <v>118</v>
      </c>
      <c r="AO3" s="4" t="s">
        <v>119</v>
      </c>
      <c r="AP3" s="3" t="s">
        <v>120</v>
      </c>
      <c r="AQ3" s="28" t="s">
        <v>121</v>
      </c>
      <c r="AR3" s="3" t="s">
        <v>122</v>
      </c>
      <c r="AS3" s="3" t="s">
        <v>124</v>
      </c>
      <c r="AT3" s="4" t="b">
        <v>0</v>
      </c>
      <c r="AU3" s="14" t="s">
        <v>125</v>
      </c>
    </row>
    <row r="4" spans="1:47" ht="13.5" customHeight="1" x14ac:dyDescent="0.25">
      <c r="A4" s="19" t="s">
        <v>48</v>
      </c>
      <c r="B4" s="5" t="s">
        <v>49</v>
      </c>
      <c r="C4" s="6" t="s">
        <v>49</v>
      </c>
      <c r="D4" s="6"/>
      <c r="E4" s="8" t="s">
        <v>49</v>
      </c>
      <c r="F4" s="9" t="s">
        <v>49</v>
      </c>
      <c r="G4" s="8" t="s">
        <v>49</v>
      </c>
      <c r="H4" s="9" t="s">
        <v>49</v>
      </c>
      <c r="I4" s="30"/>
      <c r="J4" s="30"/>
      <c r="K4" s="30"/>
      <c r="L4" s="30"/>
      <c r="M4" s="30"/>
      <c r="N4" s="30"/>
      <c r="O4" s="9" t="s">
        <v>49</v>
      </c>
      <c r="P4" s="9" t="s">
        <v>49</v>
      </c>
      <c r="Q4" s="7" t="s">
        <v>50</v>
      </c>
      <c r="R4" s="10" t="s">
        <v>50</v>
      </c>
      <c r="S4" s="26" t="s">
        <v>50</v>
      </c>
      <c r="T4" s="10" t="s">
        <v>50</v>
      </c>
      <c r="U4" s="11" t="s">
        <v>50</v>
      </c>
      <c r="V4" s="11"/>
      <c r="W4" s="11"/>
      <c r="X4" s="10" t="s">
        <v>50</v>
      </c>
      <c r="Y4" s="11"/>
      <c r="Z4" s="7"/>
      <c r="AA4" s="7"/>
      <c r="AB4" s="7"/>
      <c r="AC4" s="7"/>
      <c r="AD4" s="7"/>
      <c r="AE4" s="7"/>
      <c r="AF4" s="7"/>
      <c r="AG4" s="10" t="s">
        <v>50</v>
      </c>
      <c r="AH4" s="26" t="s">
        <v>51</v>
      </c>
      <c r="AI4" s="26" t="s">
        <v>50</v>
      </c>
      <c r="AJ4" s="26"/>
      <c r="AK4" s="26" t="s">
        <v>51</v>
      </c>
      <c r="AL4" s="11" t="s">
        <v>50</v>
      </c>
      <c r="AM4" s="26" t="s">
        <v>50</v>
      </c>
      <c r="AN4" s="11" t="s">
        <v>50</v>
      </c>
      <c r="AO4" s="10" t="s">
        <v>50</v>
      </c>
      <c r="AP4" s="11" t="s">
        <v>50</v>
      </c>
      <c r="AQ4" s="29" t="s">
        <v>50</v>
      </c>
      <c r="AR4" s="11" t="s">
        <v>50</v>
      </c>
      <c r="AS4" s="11" t="s">
        <v>50</v>
      </c>
      <c r="AT4" s="9" t="s">
        <v>49</v>
      </c>
      <c r="AU4" s="15" t="s">
        <v>49</v>
      </c>
    </row>
    <row r="5" spans="1:47" ht="15" customHeight="1" x14ac:dyDescent="0.25">
      <c r="E5" s="31" t="s">
        <v>132</v>
      </c>
      <c r="F5" s="31" t="s">
        <v>140</v>
      </c>
      <c r="G5" s="31" t="s">
        <v>153</v>
      </c>
      <c r="H5" s="31" t="s">
        <v>154</v>
      </c>
      <c r="I5" s="31" t="s">
        <v>481</v>
      </c>
      <c r="J5" s="31" t="s">
        <v>554</v>
      </c>
      <c r="K5" s="393" t="s">
        <v>555</v>
      </c>
      <c r="L5" s="31" t="s">
        <v>162</v>
      </c>
      <c r="M5" s="31" t="s">
        <v>144</v>
      </c>
      <c r="N5" s="31" t="s">
        <v>144</v>
      </c>
      <c r="O5" s="31">
        <v>16</v>
      </c>
      <c r="P5" s="31" t="s">
        <v>144</v>
      </c>
      <c r="Q5" s="31" t="s">
        <v>1319</v>
      </c>
      <c r="R5" s="31" t="s">
        <v>312</v>
      </c>
      <c r="S5" s="31" t="s">
        <v>619</v>
      </c>
      <c r="T5" s="31" t="s">
        <v>317</v>
      </c>
      <c r="U5" s="31" t="s">
        <v>321</v>
      </c>
      <c r="V5" s="31" t="s">
        <v>155</v>
      </c>
      <c r="W5" s="31" t="s">
        <v>144</v>
      </c>
      <c r="X5" s="31" t="s">
        <v>144</v>
      </c>
      <c r="Y5" s="31" t="s">
        <v>144</v>
      </c>
      <c r="Z5" s="33">
        <v>1</v>
      </c>
      <c r="AA5" s="402">
        <v>16</v>
      </c>
      <c r="AB5" s="31">
        <v>15.5</v>
      </c>
      <c r="AC5" s="390">
        <v>0.3</v>
      </c>
      <c r="AD5" s="31">
        <v>0.2</v>
      </c>
      <c r="AE5" s="31">
        <v>1.3</v>
      </c>
      <c r="AF5" s="31">
        <v>28</v>
      </c>
      <c r="AG5" s="31" t="s">
        <v>144</v>
      </c>
      <c r="AH5" s="31" t="s">
        <v>144</v>
      </c>
      <c r="AI5" s="31" t="s">
        <v>144</v>
      </c>
      <c r="AJ5" s="31" t="s">
        <v>144</v>
      </c>
      <c r="AK5" s="31" t="s">
        <v>144</v>
      </c>
      <c r="AL5" s="31" t="s">
        <v>322</v>
      </c>
      <c r="AM5" s="31" t="s">
        <v>144</v>
      </c>
      <c r="AN5" s="31" t="s">
        <v>163</v>
      </c>
      <c r="AO5" s="31" t="s">
        <v>1321</v>
      </c>
    </row>
    <row r="6" spans="1:47" ht="15" customHeight="1" x14ac:dyDescent="0.25">
      <c r="E6" s="31" t="s">
        <v>132</v>
      </c>
      <c r="F6" s="31" t="s">
        <v>140</v>
      </c>
      <c r="G6" s="31" t="s">
        <v>153</v>
      </c>
      <c r="H6" s="31" t="s">
        <v>154</v>
      </c>
      <c r="I6" s="31" t="s">
        <v>481</v>
      </c>
      <c r="J6" s="31" t="s">
        <v>554</v>
      </c>
      <c r="K6" s="393" t="s">
        <v>556</v>
      </c>
      <c r="L6" s="31" t="s">
        <v>162</v>
      </c>
      <c r="M6" s="31" t="s">
        <v>144</v>
      </c>
      <c r="N6" s="31" t="s">
        <v>144</v>
      </c>
      <c r="O6" s="31">
        <v>16</v>
      </c>
      <c r="P6" s="31" t="s">
        <v>144</v>
      </c>
      <c r="Q6" s="31" t="s">
        <v>1319</v>
      </c>
      <c r="R6" s="31" t="s">
        <v>312</v>
      </c>
      <c r="S6" s="31" t="s">
        <v>619</v>
      </c>
      <c r="T6" s="31" t="s">
        <v>317</v>
      </c>
      <c r="U6" s="31" t="s">
        <v>321</v>
      </c>
      <c r="V6" s="31" t="s">
        <v>155</v>
      </c>
      <c r="W6" s="31" t="s">
        <v>144</v>
      </c>
      <c r="X6" s="31" t="s">
        <v>144</v>
      </c>
      <c r="Y6" s="31" t="s">
        <v>144</v>
      </c>
      <c r="Z6" s="33">
        <v>1</v>
      </c>
      <c r="AA6" s="402">
        <v>16</v>
      </c>
      <c r="AB6" s="31">
        <v>15.5</v>
      </c>
      <c r="AC6" s="390">
        <v>0.3</v>
      </c>
      <c r="AD6" s="31">
        <v>0.2</v>
      </c>
      <c r="AE6" s="31">
        <v>1.3</v>
      </c>
      <c r="AF6" s="31">
        <v>28</v>
      </c>
      <c r="AG6" s="31" t="s">
        <v>144</v>
      </c>
      <c r="AH6" s="31" t="s">
        <v>144</v>
      </c>
      <c r="AI6" s="31" t="s">
        <v>144</v>
      </c>
      <c r="AJ6" s="31" t="s">
        <v>144</v>
      </c>
      <c r="AK6" s="31" t="s">
        <v>144</v>
      </c>
      <c r="AL6" s="31" t="s">
        <v>322</v>
      </c>
      <c r="AM6" s="31" t="s">
        <v>144</v>
      </c>
      <c r="AN6" s="31" t="s">
        <v>163</v>
      </c>
      <c r="AO6" s="31" t="s">
        <v>1321</v>
      </c>
    </row>
    <row r="7" spans="1:47" ht="15" customHeight="1" x14ac:dyDescent="0.25">
      <c r="E7" s="31" t="s">
        <v>132</v>
      </c>
      <c r="F7" s="31" t="s">
        <v>140</v>
      </c>
      <c r="G7" s="31" t="s">
        <v>153</v>
      </c>
      <c r="H7" s="31" t="s">
        <v>154</v>
      </c>
      <c r="I7" s="31" t="s">
        <v>481</v>
      </c>
      <c r="J7" s="31" t="s">
        <v>554</v>
      </c>
      <c r="K7" s="393" t="s">
        <v>557</v>
      </c>
      <c r="L7" s="31" t="s">
        <v>162</v>
      </c>
      <c r="M7" s="31" t="s">
        <v>144</v>
      </c>
      <c r="N7" s="31" t="s">
        <v>144</v>
      </c>
      <c r="O7" s="31">
        <v>16</v>
      </c>
      <c r="P7" s="31" t="s">
        <v>144</v>
      </c>
      <c r="Q7" s="31" t="s">
        <v>1319</v>
      </c>
      <c r="R7" s="31" t="s">
        <v>312</v>
      </c>
      <c r="S7" s="31" t="s">
        <v>619</v>
      </c>
      <c r="T7" s="31" t="s">
        <v>317</v>
      </c>
      <c r="U7" s="31" t="s">
        <v>321</v>
      </c>
      <c r="V7" s="31" t="s">
        <v>155</v>
      </c>
      <c r="W7" s="31" t="s">
        <v>144</v>
      </c>
      <c r="X7" s="31" t="s">
        <v>144</v>
      </c>
      <c r="Y7" s="31" t="s">
        <v>144</v>
      </c>
      <c r="Z7" s="33">
        <v>1</v>
      </c>
      <c r="AA7" s="402">
        <v>16</v>
      </c>
      <c r="AB7" s="31">
        <v>15.5</v>
      </c>
      <c r="AC7" s="390">
        <v>0.3</v>
      </c>
      <c r="AD7" s="31">
        <v>0.2</v>
      </c>
      <c r="AE7" s="31">
        <v>1.3</v>
      </c>
      <c r="AF7" s="31">
        <v>28</v>
      </c>
      <c r="AG7" s="31" t="s">
        <v>144</v>
      </c>
      <c r="AH7" s="31" t="s">
        <v>144</v>
      </c>
      <c r="AI7" s="31" t="s">
        <v>144</v>
      </c>
      <c r="AJ7" s="31" t="s">
        <v>144</v>
      </c>
      <c r="AK7" s="31" t="s">
        <v>144</v>
      </c>
      <c r="AL7" s="31" t="s">
        <v>322</v>
      </c>
      <c r="AM7" s="31" t="s">
        <v>144</v>
      </c>
      <c r="AN7" s="31" t="s">
        <v>163</v>
      </c>
      <c r="AO7" s="31" t="s">
        <v>1321</v>
      </c>
    </row>
    <row r="8" spans="1:47" ht="15" customHeight="1" x14ac:dyDescent="0.25">
      <c r="E8" s="31" t="s">
        <v>132</v>
      </c>
      <c r="F8" s="31" t="s">
        <v>140</v>
      </c>
      <c r="G8" s="31" t="s">
        <v>153</v>
      </c>
      <c r="H8" s="31" t="s">
        <v>154</v>
      </c>
      <c r="I8" s="31" t="s">
        <v>481</v>
      </c>
      <c r="J8" s="31" t="s">
        <v>554</v>
      </c>
      <c r="K8" s="393" t="s">
        <v>558</v>
      </c>
      <c r="L8" s="31" t="s">
        <v>162</v>
      </c>
      <c r="M8" s="31" t="s">
        <v>144</v>
      </c>
      <c r="N8" s="31" t="s">
        <v>144</v>
      </c>
      <c r="O8" s="31">
        <v>16</v>
      </c>
      <c r="P8" s="31" t="s">
        <v>144</v>
      </c>
      <c r="Q8" s="31" t="s">
        <v>1319</v>
      </c>
      <c r="R8" s="31" t="s">
        <v>312</v>
      </c>
      <c r="S8" s="31" t="s">
        <v>619</v>
      </c>
      <c r="T8" s="31" t="s">
        <v>317</v>
      </c>
      <c r="U8" s="31" t="s">
        <v>321</v>
      </c>
      <c r="V8" s="31" t="s">
        <v>155</v>
      </c>
      <c r="W8" s="31" t="s">
        <v>144</v>
      </c>
      <c r="X8" s="31" t="s">
        <v>144</v>
      </c>
      <c r="Y8" s="31" t="s">
        <v>144</v>
      </c>
      <c r="Z8" s="33">
        <v>1</v>
      </c>
      <c r="AA8" s="402">
        <v>16</v>
      </c>
      <c r="AB8" s="31">
        <v>15.5</v>
      </c>
      <c r="AC8" s="390">
        <v>0.3</v>
      </c>
      <c r="AD8" s="31">
        <v>0.2</v>
      </c>
      <c r="AE8" s="31">
        <v>1.3</v>
      </c>
      <c r="AF8" s="31">
        <v>28</v>
      </c>
      <c r="AG8" s="31" t="s">
        <v>144</v>
      </c>
      <c r="AH8" s="31" t="s">
        <v>144</v>
      </c>
      <c r="AI8" s="31" t="s">
        <v>144</v>
      </c>
      <c r="AJ8" s="31" t="s">
        <v>144</v>
      </c>
      <c r="AK8" s="31" t="s">
        <v>144</v>
      </c>
      <c r="AL8" s="31" t="s">
        <v>322</v>
      </c>
      <c r="AM8" s="31" t="s">
        <v>144</v>
      </c>
      <c r="AN8" s="31" t="s">
        <v>163</v>
      </c>
      <c r="AO8" s="31" t="s">
        <v>1321</v>
      </c>
    </row>
    <row r="9" spans="1:47" ht="15" customHeight="1" x14ac:dyDescent="0.25">
      <c r="E9" s="31" t="s">
        <v>132</v>
      </c>
      <c r="F9" s="31" t="s">
        <v>140</v>
      </c>
      <c r="G9" s="31" t="s">
        <v>153</v>
      </c>
      <c r="H9" s="31" t="s">
        <v>154</v>
      </c>
      <c r="I9" s="31" t="s">
        <v>481</v>
      </c>
      <c r="J9" s="31" t="s">
        <v>554</v>
      </c>
      <c r="K9" s="393" t="s">
        <v>559</v>
      </c>
      <c r="L9" s="31" t="s">
        <v>162</v>
      </c>
      <c r="M9" s="31" t="s">
        <v>144</v>
      </c>
      <c r="N9" s="31" t="s">
        <v>144</v>
      </c>
      <c r="O9" s="31">
        <v>16</v>
      </c>
      <c r="P9" s="31" t="s">
        <v>144</v>
      </c>
      <c r="Q9" s="31" t="s">
        <v>1319</v>
      </c>
      <c r="R9" s="31" t="s">
        <v>312</v>
      </c>
      <c r="S9" s="31" t="s">
        <v>619</v>
      </c>
      <c r="T9" s="31" t="s">
        <v>317</v>
      </c>
      <c r="U9" s="31" t="s">
        <v>321</v>
      </c>
      <c r="V9" s="31" t="s">
        <v>155</v>
      </c>
      <c r="W9" s="31" t="s">
        <v>144</v>
      </c>
      <c r="X9" s="31" t="s">
        <v>144</v>
      </c>
      <c r="Y9" s="31" t="s">
        <v>144</v>
      </c>
      <c r="Z9" s="33">
        <v>1</v>
      </c>
      <c r="AA9" s="402">
        <v>16</v>
      </c>
      <c r="AB9" s="31">
        <v>15.5</v>
      </c>
      <c r="AC9" s="390">
        <v>0.3</v>
      </c>
      <c r="AD9" s="31">
        <v>0.2</v>
      </c>
      <c r="AE9" s="31">
        <v>1.3</v>
      </c>
      <c r="AF9" s="31">
        <v>28</v>
      </c>
      <c r="AG9" s="31" t="s">
        <v>144</v>
      </c>
      <c r="AH9" s="31" t="s">
        <v>144</v>
      </c>
      <c r="AI9" s="31" t="s">
        <v>144</v>
      </c>
      <c r="AJ9" s="31" t="s">
        <v>144</v>
      </c>
      <c r="AK9" s="31" t="s">
        <v>144</v>
      </c>
      <c r="AL9" s="31" t="s">
        <v>322</v>
      </c>
      <c r="AM9" s="31" t="s">
        <v>144</v>
      </c>
      <c r="AN9" s="31" t="s">
        <v>163</v>
      </c>
      <c r="AO9" s="31" t="s">
        <v>1321</v>
      </c>
    </row>
    <row r="10" spans="1:47" ht="15" customHeight="1" x14ac:dyDescent="0.25">
      <c r="E10" s="31" t="s">
        <v>132</v>
      </c>
      <c r="F10" s="31" t="s">
        <v>140</v>
      </c>
      <c r="G10" s="31" t="s">
        <v>153</v>
      </c>
      <c r="H10" s="31" t="s">
        <v>154</v>
      </c>
      <c r="I10" s="31" t="s">
        <v>481</v>
      </c>
      <c r="J10" s="31" t="s">
        <v>554</v>
      </c>
      <c r="K10" s="393" t="s">
        <v>560</v>
      </c>
      <c r="L10" s="31" t="s">
        <v>162</v>
      </c>
      <c r="M10" s="31" t="s">
        <v>144</v>
      </c>
      <c r="N10" s="31" t="s">
        <v>144</v>
      </c>
      <c r="O10" s="31">
        <v>16</v>
      </c>
      <c r="P10" s="31" t="s">
        <v>144</v>
      </c>
      <c r="Q10" s="31" t="s">
        <v>1319</v>
      </c>
      <c r="R10" s="31" t="s">
        <v>312</v>
      </c>
      <c r="S10" s="31" t="s">
        <v>619</v>
      </c>
      <c r="T10" s="31" t="s">
        <v>317</v>
      </c>
      <c r="U10" s="31" t="s">
        <v>321</v>
      </c>
      <c r="V10" s="31" t="s">
        <v>155</v>
      </c>
      <c r="W10" s="31" t="s">
        <v>144</v>
      </c>
      <c r="X10" s="31" t="s">
        <v>144</v>
      </c>
      <c r="Y10" s="31" t="s">
        <v>144</v>
      </c>
      <c r="Z10" s="33">
        <v>1</v>
      </c>
      <c r="AA10" s="402">
        <v>16</v>
      </c>
      <c r="AB10" s="31">
        <v>15.5</v>
      </c>
      <c r="AC10" s="390">
        <v>0.3</v>
      </c>
      <c r="AD10" s="31">
        <v>0.2</v>
      </c>
      <c r="AE10" s="31">
        <v>1.3</v>
      </c>
      <c r="AF10" s="31">
        <v>28</v>
      </c>
      <c r="AG10" s="31" t="s">
        <v>144</v>
      </c>
      <c r="AH10" s="31" t="s">
        <v>144</v>
      </c>
      <c r="AI10" s="31" t="s">
        <v>144</v>
      </c>
      <c r="AJ10" s="31" t="s">
        <v>144</v>
      </c>
      <c r="AK10" s="31" t="s">
        <v>144</v>
      </c>
      <c r="AL10" s="31" t="s">
        <v>322</v>
      </c>
      <c r="AM10" s="31" t="s">
        <v>144</v>
      </c>
      <c r="AN10" s="31" t="s">
        <v>163</v>
      </c>
      <c r="AO10" s="31" t="s">
        <v>1321</v>
      </c>
    </row>
    <row r="11" spans="1:47" ht="15" customHeight="1" x14ac:dyDescent="0.25">
      <c r="E11" s="31" t="s">
        <v>132</v>
      </c>
      <c r="F11" s="31" t="s">
        <v>140</v>
      </c>
      <c r="G11" s="31" t="s">
        <v>153</v>
      </c>
      <c r="H11" s="31" t="s">
        <v>154</v>
      </c>
      <c r="I11" s="31" t="s">
        <v>481</v>
      </c>
      <c r="J11" s="31" t="s">
        <v>554</v>
      </c>
      <c r="K11" s="393" t="s">
        <v>561</v>
      </c>
      <c r="L11" s="31" t="s">
        <v>162</v>
      </c>
      <c r="M11" s="31" t="s">
        <v>144</v>
      </c>
      <c r="N11" s="31" t="s">
        <v>144</v>
      </c>
      <c r="O11" s="31">
        <v>16</v>
      </c>
      <c r="P11" s="31" t="s">
        <v>144</v>
      </c>
      <c r="Q11" s="31" t="s">
        <v>1319</v>
      </c>
      <c r="R11" s="31" t="s">
        <v>312</v>
      </c>
      <c r="S11" s="31" t="s">
        <v>619</v>
      </c>
      <c r="T11" s="31" t="s">
        <v>317</v>
      </c>
      <c r="U11" s="31" t="s">
        <v>321</v>
      </c>
      <c r="V11" s="31" t="s">
        <v>155</v>
      </c>
      <c r="W11" s="31" t="s">
        <v>144</v>
      </c>
      <c r="X11" s="31" t="s">
        <v>144</v>
      </c>
      <c r="Y11" s="31" t="s">
        <v>144</v>
      </c>
      <c r="Z11" s="33">
        <v>1</v>
      </c>
      <c r="AA11" s="402">
        <v>16</v>
      </c>
      <c r="AB11" s="31">
        <v>15.5</v>
      </c>
      <c r="AC11" s="390">
        <v>0.3</v>
      </c>
      <c r="AD11" s="31">
        <v>0.2</v>
      </c>
      <c r="AE11" s="31">
        <v>1.3</v>
      </c>
      <c r="AF11" s="31">
        <v>28</v>
      </c>
      <c r="AG11" s="31" t="s">
        <v>144</v>
      </c>
      <c r="AH11" s="31" t="s">
        <v>144</v>
      </c>
      <c r="AI11" s="31" t="s">
        <v>144</v>
      </c>
      <c r="AJ11" s="31" t="s">
        <v>144</v>
      </c>
      <c r="AK11" s="31" t="s">
        <v>144</v>
      </c>
      <c r="AL11" s="31" t="s">
        <v>322</v>
      </c>
      <c r="AM11" s="31" t="s">
        <v>144</v>
      </c>
      <c r="AN11" s="31" t="s">
        <v>163</v>
      </c>
      <c r="AO11" s="31" t="s">
        <v>1321</v>
      </c>
    </row>
    <row r="12" spans="1:47" ht="15" customHeight="1" x14ac:dyDescent="0.25">
      <c r="E12" s="31" t="s">
        <v>132</v>
      </c>
      <c r="F12" s="31" t="s">
        <v>140</v>
      </c>
      <c r="G12" s="31" t="s">
        <v>153</v>
      </c>
      <c r="H12" s="31" t="s">
        <v>154</v>
      </c>
      <c r="I12" s="31" t="s">
        <v>481</v>
      </c>
      <c r="J12" s="31" t="s">
        <v>554</v>
      </c>
      <c r="K12" s="393" t="s">
        <v>562</v>
      </c>
      <c r="L12" s="31" t="s">
        <v>162</v>
      </c>
      <c r="M12" s="31" t="s">
        <v>144</v>
      </c>
      <c r="N12" s="31" t="s">
        <v>144</v>
      </c>
      <c r="O12" s="31">
        <v>16</v>
      </c>
      <c r="P12" s="31" t="s">
        <v>144</v>
      </c>
      <c r="Q12" s="31" t="s">
        <v>1319</v>
      </c>
      <c r="R12" s="31" t="s">
        <v>312</v>
      </c>
      <c r="S12" s="31" t="s">
        <v>619</v>
      </c>
      <c r="T12" s="31" t="s">
        <v>317</v>
      </c>
      <c r="U12" s="31" t="s">
        <v>321</v>
      </c>
      <c r="V12" s="31" t="s">
        <v>155</v>
      </c>
      <c r="W12" s="31" t="s">
        <v>144</v>
      </c>
      <c r="X12" s="31" t="s">
        <v>144</v>
      </c>
      <c r="Y12" s="31" t="s">
        <v>144</v>
      </c>
      <c r="Z12" s="33">
        <v>1</v>
      </c>
      <c r="AA12" s="402">
        <v>16</v>
      </c>
      <c r="AB12" s="31">
        <v>15.5</v>
      </c>
      <c r="AC12" s="390">
        <v>0.3</v>
      </c>
      <c r="AD12" s="31">
        <v>0.2</v>
      </c>
      <c r="AE12" s="31">
        <v>1.3</v>
      </c>
      <c r="AF12" s="31">
        <v>28</v>
      </c>
      <c r="AG12" s="31" t="s">
        <v>144</v>
      </c>
      <c r="AH12" s="31" t="s">
        <v>144</v>
      </c>
      <c r="AI12" s="31" t="s">
        <v>144</v>
      </c>
      <c r="AJ12" s="31" t="s">
        <v>144</v>
      </c>
      <c r="AK12" s="31" t="s">
        <v>144</v>
      </c>
      <c r="AL12" s="31" t="s">
        <v>322</v>
      </c>
      <c r="AM12" s="31" t="s">
        <v>144</v>
      </c>
      <c r="AN12" s="31" t="s">
        <v>163</v>
      </c>
      <c r="AO12" s="31" t="s">
        <v>1321</v>
      </c>
    </row>
    <row r="13" spans="1:47" ht="15" customHeight="1" x14ac:dyDescent="0.25">
      <c r="E13" s="31" t="s">
        <v>132</v>
      </c>
      <c r="F13" s="31" t="s">
        <v>140</v>
      </c>
      <c r="G13" s="31" t="s">
        <v>153</v>
      </c>
      <c r="H13" s="31" t="s">
        <v>154</v>
      </c>
      <c r="I13" s="31" t="s">
        <v>481</v>
      </c>
      <c r="J13" s="31" t="s">
        <v>554</v>
      </c>
      <c r="K13" s="393" t="s">
        <v>563</v>
      </c>
      <c r="L13" s="31" t="s">
        <v>162</v>
      </c>
      <c r="M13" s="31" t="s">
        <v>144</v>
      </c>
      <c r="N13" s="31" t="s">
        <v>144</v>
      </c>
      <c r="O13" s="31">
        <v>16</v>
      </c>
      <c r="P13" s="31" t="s">
        <v>144</v>
      </c>
      <c r="Q13" s="31" t="s">
        <v>1319</v>
      </c>
      <c r="R13" s="31" t="s">
        <v>312</v>
      </c>
      <c r="S13" s="31" t="s">
        <v>619</v>
      </c>
      <c r="T13" s="31" t="s">
        <v>317</v>
      </c>
      <c r="U13" s="31" t="s">
        <v>321</v>
      </c>
      <c r="V13" s="31" t="s">
        <v>155</v>
      </c>
      <c r="W13" s="31" t="s">
        <v>144</v>
      </c>
      <c r="X13" s="31" t="s">
        <v>144</v>
      </c>
      <c r="Y13" s="31" t="s">
        <v>144</v>
      </c>
      <c r="Z13" s="33">
        <v>1</v>
      </c>
      <c r="AA13" s="402">
        <v>16</v>
      </c>
      <c r="AB13" s="31">
        <v>15.5</v>
      </c>
      <c r="AC13" s="390">
        <v>0.3</v>
      </c>
      <c r="AD13" s="31">
        <v>0.2</v>
      </c>
      <c r="AE13" s="31">
        <v>1.3</v>
      </c>
      <c r="AF13" s="31">
        <v>28</v>
      </c>
      <c r="AG13" s="31" t="s">
        <v>144</v>
      </c>
      <c r="AH13" s="31" t="s">
        <v>144</v>
      </c>
      <c r="AI13" s="31" t="s">
        <v>144</v>
      </c>
      <c r="AJ13" s="31" t="s">
        <v>144</v>
      </c>
      <c r="AK13" s="31" t="s">
        <v>144</v>
      </c>
      <c r="AL13" s="31" t="s">
        <v>322</v>
      </c>
      <c r="AM13" s="31" t="s">
        <v>144</v>
      </c>
      <c r="AN13" s="31" t="s">
        <v>163</v>
      </c>
      <c r="AO13" s="31" t="s">
        <v>1321</v>
      </c>
    </row>
    <row r="14" spans="1:47" ht="15" customHeight="1" x14ac:dyDescent="0.25">
      <c r="E14" s="31" t="s">
        <v>132</v>
      </c>
      <c r="F14" s="31" t="s">
        <v>140</v>
      </c>
      <c r="G14" s="31" t="s">
        <v>153</v>
      </c>
      <c r="H14" s="31" t="s">
        <v>154</v>
      </c>
      <c r="I14" s="31" t="s">
        <v>481</v>
      </c>
      <c r="J14" s="31" t="s">
        <v>554</v>
      </c>
      <c r="K14" s="393" t="s">
        <v>564</v>
      </c>
      <c r="L14" s="31" t="s">
        <v>162</v>
      </c>
      <c r="M14" s="31" t="s">
        <v>144</v>
      </c>
      <c r="N14" s="31" t="s">
        <v>144</v>
      </c>
      <c r="O14" s="31">
        <v>16</v>
      </c>
      <c r="P14" s="31" t="s">
        <v>144</v>
      </c>
      <c r="Q14" s="31" t="s">
        <v>1319</v>
      </c>
      <c r="R14" s="31" t="s">
        <v>312</v>
      </c>
      <c r="S14" s="31" t="s">
        <v>619</v>
      </c>
      <c r="T14" s="31" t="s">
        <v>317</v>
      </c>
      <c r="U14" s="31" t="s">
        <v>321</v>
      </c>
      <c r="V14" s="31" t="s">
        <v>155</v>
      </c>
      <c r="W14" s="31" t="s">
        <v>144</v>
      </c>
      <c r="X14" s="31" t="s">
        <v>144</v>
      </c>
      <c r="Y14" s="31" t="s">
        <v>144</v>
      </c>
      <c r="Z14" s="33">
        <v>1</v>
      </c>
      <c r="AA14" s="402">
        <v>16</v>
      </c>
      <c r="AB14" s="31">
        <v>15.5</v>
      </c>
      <c r="AC14" s="390">
        <v>0.3</v>
      </c>
      <c r="AD14" s="31">
        <v>0.2</v>
      </c>
      <c r="AE14" s="31">
        <v>1.3</v>
      </c>
      <c r="AF14" s="31">
        <v>28</v>
      </c>
      <c r="AG14" s="31" t="s">
        <v>144</v>
      </c>
      <c r="AH14" s="31" t="s">
        <v>144</v>
      </c>
      <c r="AI14" s="31" t="s">
        <v>144</v>
      </c>
      <c r="AJ14" s="31" t="s">
        <v>144</v>
      </c>
      <c r="AK14" s="31" t="s">
        <v>144</v>
      </c>
      <c r="AL14" s="31" t="s">
        <v>322</v>
      </c>
      <c r="AM14" s="31" t="s">
        <v>144</v>
      </c>
      <c r="AN14" s="31" t="s">
        <v>163</v>
      </c>
      <c r="AO14" s="31" t="s">
        <v>1321</v>
      </c>
    </row>
    <row r="15" spans="1:47" ht="15" customHeight="1" x14ac:dyDescent="0.25">
      <c r="E15" s="31" t="s">
        <v>132</v>
      </c>
      <c r="F15" s="31" t="s">
        <v>140</v>
      </c>
      <c r="G15" s="31" t="s">
        <v>153</v>
      </c>
      <c r="H15" s="31" t="s">
        <v>154</v>
      </c>
      <c r="I15" s="31" t="s">
        <v>481</v>
      </c>
      <c r="J15" s="31" t="s">
        <v>554</v>
      </c>
      <c r="K15" s="393" t="s">
        <v>565</v>
      </c>
      <c r="L15" s="31" t="s">
        <v>162</v>
      </c>
      <c r="M15" s="31" t="s">
        <v>144</v>
      </c>
      <c r="N15" s="31" t="s">
        <v>144</v>
      </c>
      <c r="O15" s="31">
        <v>16</v>
      </c>
      <c r="P15" s="31" t="s">
        <v>144</v>
      </c>
      <c r="Q15" s="31" t="s">
        <v>1319</v>
      </c>
      <c r="R15" s="31" t="s">
        <v>312</v>
      </c>
      <c r="S15" s="31" t="s">
        <v>619</v>
      </c>
      <c r="T15" s="31" t="s">
        <v>317</v>
      </c>
      <c r="U15" s="31" t="s">
        <v>321</v>
      </c>
      <c r="V15" s="31" t="s">
        <v>155</v>
      </c>
      <c r="W15" s="31" t="s">
        <v>144</v>
      </c>
      <c r="X15" s="31" t="s">
        <v>144</v>
      </c>
      <c r="Y15" s="31" t="s">
        <v>144</v>
      </c>
      <c r="Z15" s="33">
        <v>1</v>
      </c>
      <c r="AA15" s="402">
        <v>16</v>
      </c>
      <c r="AB15" s="31">
        <v>15.5</v>
      </c>
      <c r="AC15" s="390">
        <v>0.3</v>
      </c>
      <c r="AD15" s="31">
        <v>0.2</v>
      </c>
      <c r="AE15" s="31">
        <v>1.3</v>
      </c>
      <c r="AF15" s="31">
        <v>28</v>
      </c>
      <c r="AG15" s="31" t="s">
        <v>144</v>
      </c>
      <c r="AH15" s="31" t="s">
        <v>144</v>
      </c>
      <c r="AI15" s="31" t="s">
        <v>144</v>
      </c>
      <c r="AJ15" s="31" t="s">
        <v>144</v>
      </c>
      <c r="AK15" s="31" t="s">
        <v>144</v>
      </c>
      <c r="AL15" s="31" t="s">
        <v>322</v>
      </c>
      <c r="AM15" s="31" t="s">
        <v>144</v>
      </c>
      <c r="AN15" s="31" t="s">
        <v>163</v>
      </c>
      <c r="AO15" s="31" t="s">
        <v>1321</v>
      </c>
    </row>
    <row r="16" spans="1:47" ht="15" customHeight="1" x14ac:dyDescent="0.25">
      <c r="E16" s="31" t="s">
        <v>132</v>
      </c>
      <c r="F16" s="31" t="s">
        <v>140</v>
      </c>
      <c r="G16" s="31" t="s">
        <v>153</v>
      </c>
      <c r="H16" s="31" t="s">
        <v>154</v>
      </c>
      <c r="I16" s="31" t="s">
        <v>481</v>
      </c>
      <c r="J16" s="31" t="s">
        <v>554</v>
      </c>
      <c r="K16" s="393" t="s">
        <v>566</v>
      </c>
      <c r="L16" s="31" t="s">
        <v>162</v>
      </c>
      <c r="M16" s="31" t="s">
        <v>144</v>
      </c>
      <c r="N16" s="31" t="s">
        <v>144</v>
      </c>
      <c r="O16" s="31">
        <v>16</v>
      </c>
      <c r="P16" s="31" t="s">
        <v>144</v>
      </c>
      <c r="Q16" s="31" t="s">
        <v>1319</v>
      </c>
      <c r="R16" s="31" t="s">
        <v>312</v>
      </c>
      <c r="S16" s="31" t="s">
        <v>619</v>
      </c>
      <c r="T16" s="31" t="s">
        <v>317</v>
      </c>
      <c r="U16" s="31" t="s">
        <v>321</v>
      </c>
      <c r="V16" s="31" t="s">
        <v>155</v>
      </c>
      <c r="W16" s="31" t="s">
        <v>144</v>
      </c>
      <c r="X16" s="31" t="s">
        <v>144</v>
      </c>
      <c r="Y16" s="31" t="s">
        <v>144</v>
      </c>
      <c r="Z16" s="33">
        <v>1</v>
      </c>
      <c r="AA16" s="402">
        <v>16</v>
      </c>
      <c r="AB16" s="31">
        <v>15.5</v>
      </c>
      <c r="AC16" s="390">
        <v>0.3</v>
      </c>
      <c r="AD16" s="31">
        <v>0.2</v>
      </c>
      <c r="AE16" s="31">
        <v>1.3</v>
      </c>
      <c r="AF16" s="31">
        <v>28</v>
      </c>
      <c r="AG16" s="31" t="s">
        <v>144</v>
      </c>
      <c r="AH16" s="31" t="s">
        <v>144</v>
      </c>
      <c r="AI16" s="31" t="s">
        <v>144</v>
      </c>
      <c r="AJ16" s="31" t="s">
        <v>144</v>
      </c>
      <c r="AK16" s="31" t="s">
        <v>144</v>
      </c>
      <c r="AL16" s="31" t="s">
        <v>322</v>
      </c>
      <c r="AM16" s="31" t="s">
        <v>144</v>
      </c>
      <c r="AN16" s="31" t="s">
        <v>163</v>
      </c>
      <c r="AO16" s="31" t="s">
        <v>1321</v>
      </c>
    </row>
    <row r="17" spans="5:41" ht="15" customHeight="1" x14ac:dyDescent="0.25">
      <c r="E17" s="31" t="s">
        <v>132</v>
      </c>
      <c r="F17" s="31" t="s">
        <v>140</v>
      </c>
      <c r="G17" s="31" t="s">
        <v>153</v>
      </c>
      <c r="H17" s="31" t="s">
        <v>154</v>
      </c>
      <c r="I17" s="31" t="s">
        <v>481</v>
      </c>
      <c r="J17" s="31" t="s">
        <v>554</v>
      </c>
      <c r="K17" s="393" t="s">
        <v>567</v>
      </c>
      <c r="L17" s="31" t="s">
        <v>162</v>
      </c>
      <c r="M17" s="31" t="s">
        <v>144</v>
      </c>
      <c r="N17" s="31" t="s">
        <v>144</v>
      </c>
      <c r="O17" s="31">
        <v>16</v>
      </c>
      <c r="P17" s="31" t="s">
        <v>144</v>
      </c>
      <c r="Q17" s="31" t="s">
        <v>1319</v>
      </c>
      <c r="R17" s="31" t="s">
        <v>312</v>
      </c>
      <c r="S17" s="31" t="s">
        <v>619</v>
      </c>
      <c r="T17" s="31" t="s">
        <v>317</v>
      </c>
      <c r="U17" s="31" t="s">
        <v>321</v>
      </c>
      <c r="V17" s="31" t="s">
        <v>155</v>
      </c>
      <c r="W17" s="31" t="s">
        <v>144</v>
      </c>
      <c r="X17" s="31" t="s">
        <v>144</v>
      </c>
      <c r="Y17" s="31" t="s">
        <v>144</v>
      </c>
      <c r="Z17" s="33">
        <v>1</v>
      </c>
      <c r="AA17" s="402">
        <v>16</v>
      </c>
      <c r="AB17" s="31">
        <v>15.5</v>
      </c>
      <c r="AC17" s="390">
        <v>0.3</v>
      </c>
      <c r="AD17" s="31">
        <v>0.2</v>
      </c>
      <c r="AE17" s="31">
        <v>1.3</v>
      </c>
      <c r="AF17" s="31">
        <v>28</v>
      </c>
      <c r="AG17" s="31" t="s">
        <v>144</v>
      </c>
      <c r="AH17" s="31" t="s">
        <v>144</v>
      </c>
      <c r="AI17" s="31" t="s">
        <v>144</v>
      </c>
      <c r="AJ17" s="31" t="s">
        <v>144</v>
      </c>
      <c r="AK17" s="31" t="s">
        <v>144</v>
      </c>
      <c r="AL17" s="31" t="s">
        <v>322</v>
      </c>
      <c r="AM17" s="31" t="s">
        <v>144</v>
      </c>
      <c r="AN17" s="31" t="s">
        <v>163</v>
      </c>
      <c r="AO17" s="31" t="s">
        <v>1321</v>
      </c>
    </row>
    <row r="18" spans="5:41" ht="15" customHeight="1" x14ac:dyDescent="0.25">
      <c r="E18" s="31" t="s">
        <v>132</v>
      </c>
      <c r="F18" s="31" t="s">
        <v>140</v>
      </c>
      <c r="G18" s="31" t="s">
        <v>153</v>
      </c>
      <c r="H18" s="31" t="s">
        <v>154</v>
      </c>
      <c r="I18" s="31" t="s">
        <v>481</v>
      </c>
      <c r="J18" s="31" t="s">
        <v>554</v>
      </c>
      <c r="K18" s="393" t="s">
        <v>568</v>
      </c>
      <c r="L18" s="31" t="s">
        <v>162</v>
      </c>
      <c r="M18" s="31" t="s">
        <v>144</v>
      </c>
      <c r="N18" s="31" t="s">
        <v>144</v>
      </c>
      <c r="O18" s="31">
        <v>16</v>
      </c>
      <c r="P18" s="31" t="s">
        <v>144</v>
      </c>
      <c r="Q18" s="31" t="s">
        <v>1319</v>
      </c>
      <c r="R18" s="31" t="s">
        <v>312</v>
      </c>
      <c r="S18" s="31" t="s">
        <v>619</v>
      </c>
      <c r="T18" s="31" t="s">
        <v>317</v>
      </c>
      <c r="U18" s="31" t="s">
        <v>321</v>
      </c>
      <c r="V18" s="31" t="s">
        <v>155</v>
      </c>
      <c r="W18" s="31" t="s">
        <v>144</v>
      </c>
      <c r="X18" s="31" t="s">
        <v>144</v>
      </c>
      <c r="Y18" s="31" t="s">
        <v>144</v>
      </c>
      <c r="Z18" s="33">
        <v>1</v>
      </c>
      <c r="AA18" s="402">
        <v>16</v>
      </c>
      <c r="AB18" s="31">
        <v>15.5</v>
      </c>
      <c r="AC18" s="390">
        <v>0.3</v>
      </c>
      <c r="AD18" s="31">
        <v>0.2</v>
      </c>
      <c r="AE18" s="31">
        <v>1.3</v>
      </c>
      <c r="AF18" s="31">
        <v>28</v>
      </c>
      <c r="AG18" s="31" t="s">
        <v>144</v>
      </c>
      <c r="AH18" s="31" t="s">
        <v>144</v>
      </c>
      <c r="AI18" s="31" t="s">
        <v>144</v>
      </c>
      <c r="AJ18" s="31" t="s">
        <v>144</v>
      </c>
      <c r="AK18" s="31" t="s">
        <v>144</v>
      </c>
      <c r="AL18" s="31" t="s">
        <v>322</v>
      </c>
      <c r="AM18" s="31" t="s">
        <v>144</v>
      </c>
      <c r="AN18" s="31" t="s">
        <v>163</v>
      </c>
      <c r="AO18" s="31" t="s">
        <v>1321</v>
      </c>
    </row>
    <row r="19" spans="5:41" ht="15" customHeight="1" x14ac:dyDescent="0.25">
      <c r="E19" s="31" t="s">
        <v>132</v>
      </c>
      <c r="F19" s="31" t="s">
        <v>140</v>
      </c>
      <c r="G19" s="31" t="s">
        <v>153</v>
      </c>
      <c r="H19" s="31" t="s">
        <v>154</v>
      </c>
      <c r="I19" s="31" t="s">
        <v>481</v>
      </c>
      <c r="J19" s="31" t="s">
        <v>554</v>
      </c>
      <c r="K19" s="393" t="s">
        <v>569</v>
      </c>
      <c r="L19" s="31" t="s">
        <v>162</v>
      </c>
      <c r="M19" s="31" t="s">
        <v>144</v>
      </c>
      <c r="N19" s="31" t="s">
        <v>144</v>
      </c>
      <c r="O19" s="31">
        <v>16</v>
      </c>
      <c r="P19" s="31" t="s">
        <v>144</v>
      </c>
      <c r="Q19" s="31" t="s">
        <v>1319</v>
      </c>
      <c r="R19" s="31" t="s">
        <v>312</v>
      </c>
      <c r="S19" s="31" t="s">
        <v>619</v>
      </c>
      <c r="T19" s="31" t="s">
        <v>317</v>
      </c>
      <c r="U19" s="31" t="s">
        <v>321</v>
      </c>
      <c r="V19" s="31" t="s">
        <v>155</v>
      </c>
      <c r="W19" s="31" t="s">
        <v>144</v>
      </c>
      <c r="X19" s="31" t="s">
        <v>144</v>
      </c>
      <c r="Y19" s="31" t="s">
        <v>144</v>
      </c>
      <c r="Z19" s="33">
        <v>1</v>
      </c>
      <c r="AA19" s="402">
        <v>16</v>
      </c>
      <c r="AB19" s="31">
        <v>15.5</v>
      </c>
      <c r="AC19" s="390">
        <v>0.3</v>
      </c>
      <c r="AD19" s="31">
        <v>0.2</v>
      </c>
      <c r="AE19" s="31">
        <v>1.3</v>
      </c>
      <c r="AF19" s="31">
        <v>28</v>
      </c>
      <c r="AG19" s="31" t="s">
        <v>144</v>
      </c>
      <c r="AH19" s="31" t="s">
        <v>144</v>
      </c>
      <c r="AI19" s="31" t="s">
        <v>144</v>
      </c>
      <c r="AJ19" s="31" t="s">
        <v>144</v>
      </c>
      <c r="AK19" s="31" t="s">
        <v>144</v>
      </c>
      <c r="AL19" s="31" t="s">
        <v>322</v>
      </c>
      <c r="AM19" s="31" t="s">
        <v>144</v>
      </c>
      <c r="AN19" s="31" t="s">
        <v>163</v>
      </c>
      <c r="AO19" s="31" t="s">
        <v>1321</v>
      </c>
    </row>
    <row r="20" spans="5:41" ht="15" customHeight="1" x14ac:dyDescent="0.25">
      <c r="E20" s="31" t="s">
        <v>132</v>
      </c>
      <c r="F20" s="31" t="s">
        <v>140</v>
      </c>
      <c r="G20" s="31" t="s">
        <v>153</v>
      </c>
      <c r="H20" s="31" t="s">
        <v>154</v>
      </c>
      <c r="I20" s="31" t="s">
        <v>481</v>
      </c>
      <c r="J20" s="31" t="s">
        <v>554</v>
      </c>
      <c r="K20" s="393" t="s">
        <v>570</v>
      </c>
      <c r="L20" s="31" t="s">
        <v>162</v>
      </c>
      <c r="M20" s="31" t="s">
        <v>144</v>
      </c>
      <c r="N20" s="31" t="s">
        <v>144</v>
      </c>
      <c r="O20" s="31">
        <v>16</v>
      </c>
      <c r="P20" s="31" t="s">
        <v>144</v>
      </c>
      <c r="Q20" s="31" t="s">
        <v>1319</v>
      </c>
      <c r="R20" s="31" t="s">
        <v>312</v>
      </c>
      <c r="S20" s="31" t="s">
        <v>619</v>
      </c>
      <c r="T20" s="31" t="s">
        <v>317</v>
      </c>
      <c r="U20" s="31" t="s">
        <v>321</v>
      </c>
      <c r="V20" s="31" t="s">
        <v>155</v>
      </c>
      <c r="W20" s="31" t="s">
        <v>144</v>
      </c>
      <c r="X20" s="31" t="s">
        <v>144</v>
      </c>
      <c r="Y20" s="31" t="s">
        <v>144</v>
      </c>
      <c r="Z20" s="33">
        <v>1</v>
      </c>
      <c r="AA20" s="402">
        <v>16</v>
      </c>
      <c r="AB20" s="31">
        <v>15.5</v>
      </c>
      <c r="AC20" s="390">
        <v>0.3</v>
      </c>
      <c r="AD20" s="31">
        <v>0.2</v>
      </c>
      <c r="AE20" s="31">
        <v>1.3</v>
      </c>
      <c r="AF20" s="31">
        <v>28</v>
      </c>
      <c r="AG20" s="31" t="s">
        <v>144</v>
      </c>
      <c r="AH20" s="31" t="s">
        <v>144</v>
      </c>
      <c r="AI20" s="31" t="s">
        <v>144</v>
      </c>
      <c r="AJ20" s="31" t="s">
        <v>144</v>
      </c>
      <c r="AK20" s="31" t="s">
        <v>144</v>
      </c>
      <c r="AL20" s="31" t="s">
        <v>322</v>
      </c>
      <c r="AM20" s="31" t="s">
        <v>144</v>
      </c>
      <c r="AN20" s="31" t="s">
        <v>163</v>
      </c>
      <c r="AO20" s="31" t="s">
        <v>1321</v>
      </c>
    </row>
    <row r="21" spans="5:41" ht="15" customHeight="1" x14ac:dyDescent="0.25">
      <c r="E21" s="31" t="s">
        <v>132</v>
      </c>
      <c r="F21" s="31" t="s">
        <v>140</v>
      </c>
      <c r="G21" s="31" t="s">
        <v>153</v>
      </c>
      <c r="H21" s="31" t="s">
        <v>154</v>
      </c>
      <c r="I21" s="31" t="s">
        <v>481</v>
      </c>
      <c r="J21" s="31" t="s">
        <v>554</v>
      </c>
      <c r="K21" s="393" t="s">
        <v>571</v>
      </c>
      <c r="L21" s="31" t="s">
        <v>162</v>
      </c>
      <c r="M21" s="31" t="s">
        <v>144</v>
      </c>
      <c r="N21" s="31" t="s">
        <v>144</v>
      </c>
      <c r="O21" s="31">
        <v>16</v>
      </c>
      <c r="P21" s="31" t="s">
        <v>144</v>
      </c>
      <c r="Q21" s="31" t="s">
        <v>1319</v>
      </c>
      <c r="R21" s="31" t="s">
        <v>312</v>
      </c>
      <c r="S21" s="31" t="s">
        <v>619</v>
      </c>
      <c r="T21" s="31" t="s">
        <v>317</v>
      </c>
      <c r="U21" s="31" t="s">
        <v>321</v>
      </c>
      <c r="V21" s="31" t="s">
        <v>155</v>
      </c>
      <c r="W21" s="31" t="s">
        <v>144</v>
      </c>
      <c r="X21" s="31" t="s">
        <v>144</v>
      </c>
      <c r="Y21" s="31" t="s">
        <v>144</v>
      </c>
      <c r="Z21" s="33">
        <v>1</v>
      </c>
      <c r="AA21" s="402">
        <v>16</v>
      </c>
      <c r="AB21" s="31">
        <v>15.5</v>
      </c>
      <c r="AC21" s="390">
        <v>0.3</v>
      </c>
      <c r="AD21" s="31">
        <v>0.2</v>
      </c>
      <c r="AE21" s="31">
        <v>1.3</v>
      </c>
      <c r="AF21" s="31">
        <v>28</v>
      </c>
      <c r="AG21" s="31" t="s">
        <v>144</v>
      </c>
      <c r="AH21" s="31" t="s">
        <v>144</v>
      </c>
      <c r="AI21" s="31" t="s">
        <v>144</v>
      </c>
      <c r="AJ21" s="31" t="s">
        <v>144</v>
      </c>
      <c r="AK21" s="31" t="s">
        <v>144</v>
      </c>
      <c r="AL21" s="31" t="s">
        <v>322</v>
      </c>
      <c r="AM21" s="31" t="s">
        <v>144</v>
      </c>
      <c r="AN21" s="31" t="s">
        <v>163</v>
      </c>
      <c r="AO21" s="31" t="s">
        <v>1321</v>
      </c>
    </row>
    <row r="22" spans="5:41" ht="15" customHeight="1" x14ac:dyDescent="0.25">
      <c r="E22" s="31" t="s">
        <v>132</v>
      </c>
      <c r="F22" s="31" t="s">
        <v>140</v>
      </c>
      <c r="G22" s="31" t="s">
        <v>153</v>
      </c>
      <c r="H22" s="31" t="s">
        <v>154</v>
      </c>
      <c r="I22" s="31" t="s">
        <v>481</v>
      </c>
      <c r="J22" s="31" t="s">
        <v>554</v>
      </c>
      <c r="K22" s="393" t="s">
        <v>572</v>
      </c>
      <c r="L22" s="31" t="s">
        <v>162</v>
      </c>
      <c r="M22" s="31" t="s">
        <v>144</v>
      </c>
      <c r="N22" s="31" t="s">
        <v>144</v>
      </c>
      <c r="O22" s="31">
        <v>16</v>
      </c>
      <c r="P22" s="31" t="s">
        <v>144</v>
      </c>
      <c r="Q22" s="31" t="s">
        <v>1319</v>
      </c>
      <c r="R22" s="31" t="s">
        <v>312</v>
      </c>
      <c r="S22" s="31" t="s">
        <v>619</v>
      </c>
      <c r="T22" s="31" t="s">
        <v>317</v>
      </c>
      <c r="U22" s="31" t="s">
        <v>321</v>
      </c>
      <c r="V22" s="31" t="s">
        <v>155</v>
      </c>
      <c r="W22" s="31" t="s">
        <v>144</v>
      </c>
      <c r="X22" s="31" t="s">
        <v>144</v>
      </c>
      <c r="Y22" s="31" t="s">
        <v>144</v>
      </c>
      <c r="Z22" s="33">
        <v>1</v>
      </c>
      <c r="AA22" s="402">
        <v>16</v>
      </c>
      <c r="AB22" s="31">
        <v>15.5</v>
      </c>
      <c r="AC22" s="390">
        <v>0.3</v>
      </c>
      <c r="AD22" s="31">
        <v>0.2</v>
      </c>
      <c r="AE22" s="31">
        <v>1.3</v>
      </c>
      <c r="AF22" s="31">
        <v>28</v>
      </c>
      <c r="AG22" s="31" t="s">
        <v>144</v>
      </c>
      <c r="AH22" s="31" t="s">
        <v>144</v>
      </c>
      <c r="AI22" s="31" t="s">
        <v>144</v>
      </c>
      <c r="AJ22" s="31" t="s">
        <v>144</v>
      </c>
      <c r="AK22" s="31" t="s">
        <v>144</v>
      </c>
      <c r="AL22" s="31" t="s">
        <v>322</v>
      </c>
      <c r="AM22" s="31" t="s">
        <v>144</v>
      </c>
      <c r="AN22" s="31" t="s">
        <v>163</v>
      </c>
      <c r="AO22" s="31" t="s">
        <v>1321</v>
      </c>
    </row>
    <row r="23" spans="5:41" ht="15" customHeight="1" x14ac:dyDescent="0.25">
      <c r="E23" s="31" t="s">
        <v>132</v>
      </c>
      <c r="F23" s="31" t="s">
        <v>140</v>
      </c>
      <c r="G23" s="31" t="s">
        <v>153</v>
      </c>
      <c r="H23" s="31" t="s">
        <v>154</v>
      </c>
      <c r="I23" s="31" t="s">
        <v>481</v>
      </c>
      <c r="J23" s="31" t="s">
        <v>554</v>
      </c>
      <c r="K23" s="393" t="s">
        <v>573</v>
      </c>
      <c r="L23" s="31" t="s">
        <v>162</v>
      </c>
      <c r="M23" s="31" t="s">
        <v>144</v>
      </c>
      <c r="N23" s="31" t="s">
        <v>144</v>
      </c>
      <c r="O23" s="31">
        <v>16</v>
      </c>
      <c r="P23" s="31" t="s">
        <v>144</v>
      </c>
      <c r="Q23" s="31" t="s">
        <v>1319</v>
      </c>
      <c r="R23" s="31" t="s">
        <v>312</v>
      </c>
      <c r="S23" s="31" t="s">
        <v>619</v>
      </c>
      <c r="T23" s="31" t="s">
        <v>317</v>
      </c>
      <c r="U23" s="31" t="s">
        <v>321</v>
      </c>
      <c r="V23" s="31" t="s">
        <v>155</v>
      </c>
      <c r="W23" s="31" t="s">
        <v>144</v>
      </c>
      <c r="X23" s="31" t="s">
        <v>144</v>
      </c>
      <c r="Y23" s="31" t="s">
        <v>144</v>
      </c>
      <c r="Z23" s="33">
        <v>1</v>
      </c>
      <c r="AA23" s="402">
        <v>16</v>
      </c>
      <c r="AB23" s="31">
        <v>15.5</v>
      </c>
      <c r="AC23" s="390">
        <v>0.3</v>
      </c>
      <c r="AD23" s="31">
        <v>0.2</v>
      </c>
      <c r="AE23" s="31">
        <v>1.3</v>
      </c>
      <c r="AF23" s="31">
        <v>28</v>
      </c>
      <c r="AG23" s="31" t="s">
        <v>144</v>
      </c>
      <c r="AH23" s="31" t="s">
        <v>144</v>
      </c>
      <c r="AI23" s="31" t="s">
        <v>144</v>
      </c>
      <c r="AJ23" s="31" t="s">
        <v>144</v>
      </c>
      <c r="AK23" s="31" t="s">
        <v>144</v>
      </c>
      <c r="AL23" s="31" t="s">
        <v>322</v>
      </c>
      <c r="AM23" s="31" t="s">
        <v>144</v>
      </c>
      <c r="AN23" s="31" t="s">
        <v>163</v>
      </c>
      <c r="AO23" s="31" t="s">
        <v>1321</v>
      </c>
    </row>
    <row r="24" spans="5:41" ht="15" customHeight="1" x14ac:dyDescent="0.25">
      <c r="E24" s="31" t="s">
        <v>132</v>
      </c>
      <c r="F24" s="31" t="s">
        <v>140</v>
      </c>
      <c r="G24" s="31" t="s">
        <v>153</v>
      </c>
      <c r="H24" s="31" t="s">
        <v>154</v>
      </c>
      <c r="I24" s="31" t="s">
        <v>481</v>
      </c>
      <c r="J24" s="31" t="s">
        <v>554</v>
      </c>
      <c r="K24" s="393" t="s">
        <v>574</v>
      </c>
      <c r="L24" s="31" t="s">
        <v>162</v>
      </c>
      <c r="M24" s="31" t="s">
        <v>144</v>
      </c>
      <c r="N24" s="31" t="s">
        <v>144</v>
      </c>
      <c r="O24" s="31">
        <v>16</v>
      </c>
      <c r="P24" s="31" t="s">
        <v>144</v>
      </c>
      <c r="Q24" s="31" t="s">
        <v>1319</v>
      </c>
      <c r="R24" s="31" t="s">
        <v>312</v>
      </c>
      <c r="S24" s="31" t="s">
        <v>619</v>
      </c>
      <c r="T24" s="31" t="s">
        <v>317</v>
      </c>
      <c r="U24" s="31" t="s">
        <v>321</v>
      </c>
      <c r="V24" s="31" t="s">
        <v>155</v>
      </c>
      <c r="W24" s="31" t="s">
        <v>144</v>
      </c>
      <c r="X24" s="31" t="s">
        <v>144</v>
      </c>
      <c r="Y24" s="31" t="s">
        <v>144</v>
      </c>
      <c r="Z24" s="33">
        <v>1</v>
      </c>
      <c r="AA24" s="402">
        <v>16</v>
      </c>
      <c r="AB24" s="31">
        <v>15.5</v>
      </c>
      <c r="AC24" s="390">
        <v>0.3</v>
      </c>
      <c r="AD24" s="31">
        <v>0.2</v>
      </c>
      <c r="AE24" s="31">
        <v>1.3</v>
      </c>
      <c r="AF24" s="31">
        <v>28</v>
      </c>
      <c r="AG24" s="31" t="s">
        <v>144</v>
      </c>
      <c r="AH24" s="31" t="s">
        <v>144</v>
      </c>
      <c r="AI24" s="31" t="s">
        <v>144</v>
      </c>
      <c r="AJ24" s="31" t="s">
        <v>144</v>
      </c>
      <c r="AK24" s="31" t="s">
        <v>144</v>
      </c>
      <c r="AL24" s="31" t="s">
        <v>322</v>
      </c>
      <c r="AM24" s="31" t="s">
        <v>144</v>
      </c>
      <c r="AN24" s="31" t="s">
        <v>163</v>
      </c>
      <c r="AO24" s="31" t="s">
        <v>1321</v>
      </c>
    </row>
    <row r="25" spans="5:41" ht="15" customHeight="1" x14ac:dyDescent="0.25">
      <c r="E25" s="31" t="s">
        <v>132</v>
      </c>
      <c r="F25" s="31" t="s">
        <v>140</v>
      </c>
      <c r="G25" s="31" t="s">
        <v>153</v>
      </c>
      <c r="H25" s="31" t="s">
        <v>154</v>
      </c>
      <c r="I25" s="31" t="s">
        <v>481</v>
      </c>
      <c r="J25" s="31" t="s">
        <v>554</v>
      </c>
      <c r="K25" s="393" t="s">
        <v>575</v>
      </c>
      <c r="L25" s="31" t="s">
        <v>162</v>
      </c>
      <c r="M25" s="31" t="s">
        <v>144</v>
      </c>
      <c r="N25" s="31" t="s">
        <v>144</v>
      </c>
      <c r="O25" s="31">
        <v>16</v>
      </c>
      <c r="P25" s="31" t="s">
        <v>144</v>
      </c>
      <c r="Q25" s="31" t="s">
        <v>1319</v>
      </c>
      <c r="R25" s="31" t="s">
        <v>312</v>
      </c>
      <c r="S25" s="31" t="s">
        <v>619</v>
      </c>
      <c r="T25" s="31" t="s">
        <v>317</v>
      </c>
      <c r="U25" s="31" t="s">
        <v>321</v>
      </c>
      <c r="V25" s="31" t="s">
        <v>155</v>
      </c>
      <c r="W25" s="31" t="s">
        <v>144</v>
      </c>
      <c r="X25" s="31" t="s">
        <v>144</v>
      </c>
      <c r="Y25" s="31" t="s">
        <v>144</v>
      </c>
      <c r="Z25" s="33">
        <v>1</v>
      </c>
      <c r="AA25" s="402">
        <v>16</v>
      </c>
      <c r="AB25" s="31">
        <v>15.5</v>
      </c>
      <c r="AC25" s="390">
        <v>0.3</v>
      </c>
      <c r="AD25" s="31">
        <v>0.2</v>
      </c>
      <c r="AE25" s="31">
        <v>1.3</v>
      </c>
      <c r="AF25" s="31">
        <v>28</v>
      </c>
      <c r="AG25" s="31" t="s">
        <v>144</v>
      </c>
      <c r="AH25" s="31" t="s">
        <v>144</v>
      </c>
      <c r="AI25" s="31" t="s">
        <v>144</v>
      </c>
      <c r="AJ25" s="31" t="s">
        <v>144</v>
      </c>
      <c r="AK25" s="31" t="s">
        <v>144</v>
      </c>
      <c r="AL25" s="31" t="s">
        <v>322</v>
      </c>
      <c r="AM25" s="31" t="s">
        <v>144</v>
      </c>
      <c r="AN25" s="31" t="s">
        <v>163</v>
      </c>
      <c r="AO25" s="31" t="s">
        <v>1321</v>
      </c>
    </row>
    <row r="26" spans="5:41" ht="15" customHeight="1" x14ac:dyDescent="0.25">
      <c r="E26" s="31" t="s">
        <v>132</v>
      </c>
      <c r="F26" s="31" t="s">
        <v>140</v>
      </c>
      <c r="G26" s="31" t="s">
        <v>153</v>
      </c>
      <c r="H26" s="31" t="s">
        <v>154</v>
      </c>
      <c r="I26" s="31" t="s">
        <v>481</v>
      </c>
      <c r="J26" s="31" t="s">
        <v>554</v>
      </c>
      <c r="K26" s="393" t="s">
        <v>576</v>
      </c>
      <c r="L26" s="31" t="s">
        <v>162</v>
      </c>
      <c r="M26" s="31" t="s">
        <v>144</v>
      </c>
      <c r="N26" s="31" t="s">
        <v>144</v>
      </c>
      <c r="O26" s="31">
        <v>16</v>
      </c>
      <c r="P26" s="31" t="s">
        <v>144</v>
      </c>
      <c r="Q26" s="31" t="s">
        <v>1319</v>
      </c>
      <c r="R26" s="31" t="s">
        <v>312</v>
      </c>
      <c r="S26" s="31" t="s">
        <v>619</v>
      </c>
      <c r="T26" s="31" t="s">
        <v>317</v>
      </c>
      <c r="U26" s="31" t="s">
        <v>321</v>
      </c>
      <c r="V26" s="31" t="s">
        <v>155</v>
      </c>
      <c r="W26" s="31" t="s">
        <v>144</v>
      </c>
      <c r="X26" s="31" t="s">
        <v>144</v>
      </c>
      <c r="Y26" s="31" t="s">
        <v>144</v>
      </c>
      <c r="Z26" s="33">
        <v>1</v>
      </c>
      <c r="AA26" s="402">
        <v>16</v>
      </c>
      <c r="AB26" s="31">
        <v>15.5</v>
      </c>
      <c r="AC26" s="390">
        <v>0.3</v>
      </c>
      <c r="AD26" s="31">
        <v>0.2</v>
      </c>
      <c r="AE26" s="31">
        <v>1.3</v>
      </c>
      <c r="AF26" s="31">
        <v>28</v>
      </c>
      <c r="AG26" s="31" t="s">
        <v>144</v>
      </c>
      <c r="AH26" s="31" t="s">
        <v>144</v>
      </c>
      <c r="AI26" s="31" t="s">
        <v>144</v>
      </c>
      <c r="AJ26" s="31" t="s">
        <v>144</v>
      </c>
      <c r="AK26" s="31" t="s">
        <v>144</v>
      </c>
      <c r="AL26" s="31" t="s">
        <v>322</v>
      </c>
      <c r="AM26" s="31" t="s">
        <v>144</v>
      </c>
      <c r="AN26" s="31" t="s">
        <v>163</v>
      </c>
      <c r="AO26" s="31" t="s">
        <v>1321</v>
      </c>
    </row>
    <row r="27" spans="5:41" ht="15" customHeight="1" x14ac:dyDescent="0.25">
      <c r="E27" s="31" t="s">
        <v>132</v>
      </c>
      <c r="F27" s="31" t="s">
        <v>140</v>
      </c>
      <c r="G27" s="31" t="s">
        <v>153</v>
      </c>
      <c r="H27" s="31" t="s">
        <v>154</v>
      </c>
      <c r="I27" s="31" t="s">
        <v>481</v>
      </c>
      <c r="J27" s="31" t="s">
        <v>554</v>
      </c>
      <c r="K27" s="393" t="s">
        <v>577</v>
      </c>
      <c r="L27" s="31" t="s">
        <v>162</v>
      </c>
      <c r="M27" s="31" t="s">
        <v>144</v>
      </c>
      <c r="N27" s="31" t="s">
        <v>144</v>
      </c>
      <c r="O27" s="31">
        <v>16</v>
      </c>
      <c r="P27" s="31" t="s">
        <v>144</v>
      </c>
      <c r="Q27" s="31" t="s">
        <v>1319</v>
      </c>
      <c r="R27" s="31" t="s">
        <v>312</v>
      </c>
      <c r="S27" s="31" t="s">
        <v>619</v>
      </c>
      <c r="T27" s="31" t="s">
        <v>317</v>
      </c>
      <c r="U27" s="31" t="s">
        <v>321</v>
      </c>
      <c r="V27" s="31" t="s">
        <v>155</v>
      </c>
      <c r="W27" s="31" t="s">
        <v>144</v>
      </c>
      <c r="X27" s="31" t="s">
        <v>144</v>
      </c>
      <c r="Y27" s="31" t="s">
        <v>144</v>
      </c>
      <c r="Z27" s="33">
        <v>1</v>
      </c>
      <c r="AA27" s="402">
        <v>16</v>
      </c>
      <c r="AB27" s="31">
        <v>15.5</v>
      </c>
      <c r="AC27" s="390">
        <v>0.3</v>
      </c>
      <c r="AD27" s="31">
        <v>0.2</v>
      </c>
      <c r="AE27" s="31">
        <v>1.3</v>
      </c>
      <c r="AF27" s="31">
        <v>28</v>
      </c>
      <c r="AG27" s="31" t="s">
        <v>144</v>
      </c>
      <c r="AH27" s="31" t="s">
        <v>144</v>
      </c>
      <c r="AI27" s="31" t="s">
        <v>144</v>
      </c>
      <c r="AJ27" s="31" t="s">
        <v>144</v>
      </c>
      <c r="AK27" s="31" t="s">
        <v>144</v>
      </c>
      <c r="AL27" s="31" t="s">
        <v>322</v>
      </c>
      <c r="AM27" s="31" t="s">
        <v>144</v>
      </c>
      <c r="AN27" s="31" t="s">
        <v>163</v>
      </c>
      <c r="AO27" s="31" t="s">
        <v>1321</v>
      </c>
    </row>
    <row r="28" spans="5:41" ht="15" customHeight="1" x14ac:dyDescent="0.25">
      <c r="E28" s="31" t="s">
        <v>132</v>
      </c>
      <c r="F28" s="31" t="s">
        <v>140</v>
      </c>
      <c r="G28" s="31" t="s">
        <v>153</v>
      </c>
      <c r="H28" s="31" t="s">
        <v>154</v>
      </c>
      <c r="I28" s="31" t="s">
        <v>481</v>
      </c>
      <c r="J28" s="31" t="s">
        <v>554</v>
      </c>
      <c r="K28" s="393" t="s">
        <v>578</v>
      </c>
      <c r="L28" s="31" t="s">
        <v>162</v>
      </c>
      <c r="M28" s="31" t="s">
        <v>144</v>
      </c>
      <c r="N28" s="31" t="s">
        <v>144</v>
      </c>
      <c r="O28" s="31">
        <v>16</v>
      </c>
      <c r="P28" s="31" t="s">
        <v>144</v>
      </c>
      <c r="Q28" s="31" t="s">
        <v>1319</v>
      </c>
      <c r="R28" s="31" t="s">
        <v>312</v>
      </c>
      <c r="S28" s="31" t="s">
        <v>619</v>
      </c>
      <c r="T28" s="31" t="s">
        <v>317</v>
      </c>
      <c r="U28" s="31" t="s">
        <v>321</v>
      </c>
      <c r="V28" s="31" t="s">
        <v>155</v>
      </c>
      <c r="W28" s="31" t="s">
        <v>144</v>
      </c>
      <c r="X28" s="31" t="s">
        <v>144</v>
      </c>
      <c r="Y28" s="31" t="s">
        <v>144</v>
      </c>
      <c r="Z28" s="33">
        <v>1</v>
      </c>
      <c r="AA28" s="402">
        <v>16</v>
      </c>
      <c r="AB28" s="31">
        <v>15.5</v>
      </c>
      <c r="AC28" s="390">
        <v>0.3</v>
      </c>
      <c r="AD28" s="31">
        <v>0.2</v>
      </c>
      <c r="AE28" s="31">
        <v>1.3</v>
      </c>
      <c r="AF28" s="31">
        <v>28</v>
      </c>
      <c r="AG28" s="31" t="s">
        <v>144</v>
      </c>
      <c r="AH28" s="31" t="s">
        <v>144</v>
      </c>
      <c r="AI28" s="31" t="s">
        <v>144</v>
      </c>
      <c r="AJ28" s="31" t="s">
        <v>144</v>
      </c>
      <c r="AK28" s="31" t="s">
        <v>144</v>
      </c>
      <c r="AL28" s="31" t="s">
        <v>322</v>
      </c>
      <c r="AM28" s="31" t="s">
        <v>144</v>
      </c>
      <c r="AN28" s="31" t="s">
        <v>163</v>
      </c>
      <c r="AO28" s="31" t="s">
        <v>1321</v>
      </c>
    </row>
    <row r="29" spans="5:41" ht="15" customHeight="1" x14ac:dyDescent="0.25">
      <c r="E29" s="31" t="s">
        <v>132</v>
      </c>
      <c r="F29" s="31" t="s">
        <v>140</v>
      </c>
      <c r="G29" s="31" t="s">
        <v>153</v>
      </c>
      <c r="H29" s="31" t="s">
        <v>154</v>
      </c>
      <c r="I29" s="31" t="s">
        <v>481</v>
      </c>
      <c r="J29" s="31" t="s">
        <v>554</v>
      </c>
      <c r="K29" s="393" t="s">
        <v>579</v>
      </c>
      <c r="L29" s="31" t="s">
        <v>162</v>
      </c>
      <c r="M29" s="31" t="s">
        <v>144</v>
      </c>
      <c r="N29" s="31" t="s">
        <v>144</v>
      </c>
      <c r="O29" s="31">
        <v>16</v>
      </c>
      <c r="P29" s="31" t="s">
        <v>144</v>
      </c>
      <c r="Q29" s="31" t="s">
        <v>1319</v>
      </c>
      <c r="R29" s="31" t="s">
        <v>312</v>
      </c>
      <c r="S29" s="31" t="s">
        <v>619</v>
      </c>
      <c r="T29" s="31" t="s">
        <v>317</v>
      </c>
      <c r="U29" s="31" t="s">
        <v>321</v>
      </c>
      <c r="V29" s="31" t="s">
        <v>155</v>
      </c>
      <c r="W29" s="31" t="s">
        <v>144</v>
      </c>
      <c r="X29" s="31" t="s">
        <v>144</v>
      </c>
      <c r="Y29" s="31" t="s">
        <v>144</v>
      </c>
      <c r="Z29" s="33">
        <v>1</v>
      </c>
      <c r="AA29" s="402">
        <v>16</v>
      </c>
      <c r="AB29" s="31">
        <v>15.5</v>
      </c>
      <c r="AC29" s="390">
        <v>0.3</v>
      </c>
      <c r="AD29" s="31">
        <v>0.2</v>
      </c>
      <c r="AE29" s="31">
        <v>1.3</v>
      </c>
      <c r="AF29" s="31">
        <v>28</v>
      </c>
      <c r="AG29" s="31" t="s">
        <v>144</v>
      </c>
      <c r="AH29" s="31" t="s">
        <v>144</v>
      </c>
      <c r="AI29" s="31" t="s">
        <v>144</v>
      </c>
      <c r="AJ29" s="31" t="s">
        <v>144</v>
      </c>
      <c r="AK29" s="31" t="s">
        <v>144</v>
      </c>
      <c r="AL29" s="31" t="s">
        <v>322</v>
      </c>
      <c r="AM29" s="31" t="s">
        <v>144</v>
      </c>
      <c r="AN29" s="31" t="s">
        <v>163</v>
      </c>
      <c r="AO29" s="31" t="s">
        <v>1321</v>
      </c>
    </row>
    <row r="30" spans="5:41" ht="15" customHeight="1" x14ac:dyDescent="0.25">
      <c r="E30" s="31" t="s">
        <v>132</v>
      </c>
      <c r="F30" s="31" t="s">
        <v>140</v>
      </c>
      <c r="G30" s="31" t="s">
        <v>153</v>
      </c>
      <c r="H30" s="31" t="s">
        <v>154</v>
      </c>
      <c r="I30" s="31" t="s">
        <v>481</v>
      </c>
      <c r="J30" s="31" t="s">
        <v>554</v>
      </c>
      <c r="K30" s="393" t="s">
        <v>580</v>
      </c>
      <c r="L30" s="31" t="s">
        <v>162</v>
      </c>
      <c r="M30" s="31" t="s">
        <v>144</v>
      </c>
      <c r="N30" s="31" t="s">
        <v>144</v>
      </c>
      <c r="O30" s="31">
        <v>16</v>
      </c>
      <c r="P30" s="31" t="s">
        <v>144</v>
      </c>
      <c r="Q30" s="31" t="s">
        <v>1319</v>
      </c>
      <c r="R30" s="31" t="s">
        <v>312</v>
      </c>
      <c r="S30" s="31" t="s">
        <v>619</v>
      </c>
      <c r="T30" s="31" t="s">
        <v>317</v>
      </c>
      <c r="U30" s="31" t="s">
        <v>321</v>
      </c>
      <c r="V30" s="31" t="s">
        <v>155</v>
      </c>
      <c r="W30" s="31" t="s">
        <v>144</v>
      </c>
      <c r="X30" s="31" t="s">
        <v>144</v>
      </c>
      <c r="Y30" s="31" t="s">
        <v>144</v>
      </c>
      <c r="Z30" s="33">
        <v>1</v>
      </c>
      <c r="AA30" s="402">
        <v>16</v>
      </c>
      <c r="AB30" s="31">
        <v>15.5</v>
      </c>
      <c r="AC30" s="390">
        <v>0.3</v>
      </c>
      <c r="AD30" s="31">
        <v>0.2</v>
      </c>
      <c r="AE30" s="31">
        <v>1.3</v>
      </c>
      <c r="AF30" s="31">
        <v>28</v>
      </c>
      <c r="AG30" s="31" t="s">
        <v>144</v>
      </c>
      <c r="AH30" s="31" t="s">
        <v>144</v>
      </c>
      <c r="AI30" s="31" t="s">
        <v>144</v>
      </c>
      <c r="AJ30" s="31" t="s">
        <v>144</v>
      </c>
      <c r="AK30" s="31" t="s">
        <v>144</v>
      </c>
      <c r="AL30" s="31" t="s">
        <v>322</v>
      </c>
      <c r="AM30" s="31" t="s">
        <v>144</v>
      </c>
      <c r="AN30" s="31" t="s">
        <v>163</v>
      </c>
      <c r="AO30" s="31" t="s">
        <v>1321</v>
      </c>
    </row>
    <row r="31" spans="5:41" ht="15" customHeight="1" x14ac:dyDescent="0.25">
      <c r="E31" s="31" t="s">
        <v>132</v>
      </c>
      <c r="F31" s="31" t="s">
        <v>140</v>
      </c>
      <c r="G31" s="31" t="s">
        <v>153</v>
      </c>
      <c r="H31" s="31" t="s">
        <v>154</v>
      </c>
      <c r="I31" s="31" t="s">
        <v>481</v>
      </c>
      <c r="J31" s="31" t="s">
        <v>554</v>
      </c>
      <c r="K31" s="393" t="s">
        <v>581</v>
      </c>
      <c r="L31" s="31" t="s">
        <v>162</v>
      </c>
      <c r="M31" s="31" t="s">
        <v>144</v>
      </c>
      <c r="N31" s="31" t="s">
        <v>144</v>
      </c>
      <c r="O31" s="31">
        <v>16</v>
      </c>
      <c r="P31" s="31" t="s">
        <v>144</v>
      </c>
      <c r="Q31" s="31" t="s">
        <v>1319</v>
      </c>
      <c r="R31" s="31" t="s">
        <v>312</v>
      </c>
      <c r="S31" s="31" t="s">
        <v>619</v>
      </c>
      <c r="T31" s="31" t="s">
        <v>317</v>
      </c>
      <c r="U31" s="31" t="s">
        <v>321</v>
      </c>
      <c r="V31" s="31" t="s">
        <v>155</v>
      </c>
      <c r="W31" s="31" t="s">
        <v>144</v>
      </c>
      <c r="X31" s="31" t="s">
        <v>144</v>
      </c>
      <c r="Y31" s="31" t="s">
        <v>144</v>
      </c>
      <c r="Z31" s="33">
        <v>1</v>
      </c>
      <c r="AA31" s="402">
        <v>16</v>
      </c>
      <c r="AB31" s="31">
        <v>15.5</v>
      </c>
      <c r="AC31" s="390">
        <v>0.3</v>
      </c>
      <c r="AD31" s="31">
        <v>0.2</v>
      </c>
      <c r="AE31" s="31">
        <v>1.3</v>
      </c>
      <c r="AF31" s="31">
        <v>28</v>
      </c>
      <c r="AG31" s="31" t="s">
        <v>144</v>
      </c>
      <c r="AH31" s="31" t="s">
        <v>144</v>
      </c>
      <c r="AI31" s="31" t="s">
        <v>144</v>
      </c>
      <c r="AJ31" s="31" t="s">
        <v>144</v>
      </c>
      <c r="AK31" s="31" t="s">
        <v>144</v>
      </c>
      <c r="AL31" s="31" t="s">
        <v>322</v>
      </c>
      <c r="AM31" s="31" t="s">
        <v>144</v>
      </c>
      <c r="AN31" s="31" t="s">
        <v>163</v>
      </c>
      <c r="AO31" s="31" t="s">
        <v>1321</v>
      </c>
    </row>
    <row r="32" spans="5:41" ht="15" customHeight="1" x14ac:dyDescent="0.25">
      <c r="E32" s="31" t="s">
        <v>132</v>
      </c>
      <c r="F32" s="31" t="s">
        <v>140</v>
      </c>
      <c r="G32" s="31" t="s">
        <v>153</v>
      </c>
      <c r="H32" s="31" t="s">
        <v>154</v>
      </c>
      <c r="I32" s="31" t="s">
        <v>481</v>
      </c>
      <c r="J32" s="31" t="s">
        <v>554</v>
      </c>
      <c r="K32" s="393" t="s">
        <v>582</v>
      </c>
      <c r="L32" s="31" t="s">
        <v>162</v>
      </c>
      <c r="M32" s="31" t="s">
        <v>144</v>
      </c>
      <c r="N32" s="31" t="s">
        <v>144</v>
      </c>
      <c r="O32" s="31">
        <v>16</v>
      </c>
      <c r="P32" s="31" t="s">
        <v>144</v>
      </c>
      <c r="Q32" s="31" t="s">
        <v>1319</v>
      </c>
      <c r="R32" s="31" t="s">
        <v>312</v>
      </c>
      <c r="S32" s="31" t="s">
        <v>619</v>
      </c>
      <c r="T32" s="31" t="s">
        <v>317</v>
      </c>
      <c r="U32" s="31" t="s">
        <v>321</v>
      </c>
      <c r="V32" s="31" t="s">
        <v>155</v>
      </c>
      <c r="W32" s="31" t="s">
        <v>144</v>
      </c>
      <c r="X32" s="31" t="s">
        <v>144</v>
      </c>
      <c r="Y32" s="31" t="s">
        <v>144</v>
      </c>
      <c r="Z32" s="33">
        <v>1</v>
      </c>
      <c r="AA32" s="402">
        <v>16</v>
      </c>
      <c r="AB32" s="31">
        <v>15.5</v>
      </c>
      <c r="AC32" s="390">
        <v>0.3</v>
      </c>
      <c r="AD32" s="31">
        <v>0.2</v>
      </c>
      <c r="AE32" s="31">
        <v>1.3</v>
      </c>
      <c r="AF32" s="31">
        <v>28</v>
      </c>
      <c r="AG32" s="31" t="s">
        <v>144</v>
      </c>
      <c r="AH32" s="31" t="s">
        <v>144</v>
      </c>
      <c r="AI32" s="31" t="s">
        <v>144</v>
      </c>
      <c r="AJ32" s="31" t="s">
        <v>144</v>
      </c>
      <c r="AK32" s="31" t="s">
        <v>144</v>
      </c>
      <c r="AL32" s="31" t="s">
        <v>322</v>
      </c>
      <c r="AM32" s="31" t="s">
        <v>144</v>
      </c>
      <c r="AN32" s="31" t="s">
        <v>163</v>
      </c>
      <c r="AO32" s="31" t="s">
        <v>1321</v>
      </c>
    </row>
    <row r="33" spans="5:41" ht="15" customHeight="1" x14ac:dyDescent="0.25">
      <c r="E33" s="31" t="s">
        <v>132</v>
      </c>
      <c r="F33" s="31" t="s">
        <v>140</v>
      </c>
      <c r="G33" s="31" t="s">
        <v>153</v>
      </c>
      <c r="H33" s="31" t="s">
        <v>154</v>
      </c>
      <c r="I33" s="31" t="s">
        <v>481</v>
      </c>
      <c r="J33" s="31" t="s">
        <v>554</v>
      </c>
      <c r="K33" s="393" t="s">
        <v>583</v>
      </c>
      <c r="L33" s="31" t="s">
        <v>162</v>
      </c>
      <c r="M33" s="31" t="s">
        <v>144</v>
      </c>
      <c r="N33" s="31" t="s">
        <v>144</v>
      </c>
      <c r="O33" s="31">
        <v>16</v>
      </c>
      <c r="P33" s="31" t="s">
        <v>144</v>
      </c>
      <c r="Q33" s="31" t="s">
        <v>1319</v>
      </c>
      <c r="R33" s="31" t="s">
        <v>312</v>
      </c>
      <c r="S33" s="31" t="s">
        <v>619</v>
      </c>
      <c r="T33" s="31" t="s">
        <v>317</v>
      </c>
      <c r="U33" s="31" t="s">
        <v>321</v>
      </c>
      <c r="V33" s="31" t="s">
        <v>155</v>
      </c>
      <c r="W33" s="31" t="s">
        <v>144</v>
      </c>
      <c r="X33" s="31" t="s">
        <v>144</v>
      </c>
      <c r="Y33" s="31" t="s">
        <v>144</v>
      </c>
      <c r="Z33" s="33">
        <v>1</v>
      </c>
      <c r="AA33" s="402">
        <v>16</v>
      </c>
      <c r="AB33" s="31">
        <v>15.5</v>
      </c>
      <c r="AC33" s="390">
        <v>0.3</v>
      </c>
      <c r="AD33" s="31">
        <v>0.2</v>
      </c>
      <c r="AE33" s="31">
        <v>1.3</v>
      </c>
      <c r="AF33" s="31">
        <v>28</v>
      </c>
      <c r="AG33" s="31" t="s">
        <v>144</v>
      </c>
      <c r="AH33" s="31" t="s">
        <v>144</v>
      </c>
      <c r="AI33" s="31" t="s">
        <v>144</v>
      </c>
      <c r="AJ33" s="31" t="s">
        <v>144</v>
      </c>
      <c r="AK33" s="31" t="s">
        <v>144</v>
      </c>
      <c r="AL33" s="31" t="s">
        <v>322</v>
      </c>
      <c r="AM33" s="31" t="s">
        <v>144</v>
      </c>
      <c r="AN33" s="31" t="s">
        <v>163</v>
      </c>
      <c r="AO33" s="31" t="s">
        <v>1321</v>
      </c>
    </row>
    <row r="34" spans="5:41" ht="15" customHeight="1" x14ac:dyDescent="0.25">
      <c r="E34" s="31" t="s">
        <v>132</v>
      </c>
      <c r="F34" s="31" t="s">
        <v>140</v>
      </c>
      <c r="G34" s="31" t="s">
        <v>153</v>
      </c>
      <c r="H34" s="31" t="s">
        <v>154</v>
      </c>
      <c r="I34" s="31" t="s">
        <v>481</v>
      </c>
      <c r="J34" s="31" t="s">
        <v>554</v>
      </c>
      <c r="K34" s="393" t="s">
        <v>584</v>
      </c>
      <c r="L34" s="31" t="s">
        <v>162</v>
      </c>
      <c r="M34" s="31" t="s">
        <v>144</v>
      </c>
      <c r="N34" s="31" t="s">
        <v>144</v>
      </c>
      <c r="O34" s="31">
        <v>16</v>
      </c>
      <c r="P34" s="31" t="s">
        <v>144</v>
      </c>
      <c r="Q34" s="31" t="s">
        <v>1319</v>
      </c>
      <c r="R34" s="31" t="s">
        <v>312</v>
      </c>
      <c r="S34" s="31" t="s">
        <v>619</v>
      </c>
      <c r="T34" s="31" t="s">
        <v>317</v>
      </c>
      <c r="U34" s="31" t="s">
        <v>321</v>
      </c>
      <c r="V34" s="31" t="s">
        <v>155</v>
      </c>
      <c r="W34" s="31" t="s">
        <v>144</v>
      </c>
      <c r="X34" s="31" t="s">
        <v>144</v>
      </c>
      <c r="Y34" s="31" t="s">
        <v>144</v>
      </c>
      <c r="Z34" s="33">
        <v>1</v>
      </c>
      <c r="AA34" s="402">
        <v>16</v>
      </c>
      <c r="AB34" s="31">
        <v>15.5</v>
      </c>
      <c r="AC34" s="390">
        <v>0.3</v>
      </c>
      <c r="AD34" s="31">
        <v>0.2</v>
      </c>
      <c r="AE34" s="31">
        <v>1.3</v>
      </c>
      <c r="AF34" s="31">
        <v>28</v>
      </c>
      <c r="AG34" s="31" t="s">
        <v>144</v>
      </c>
      <c r="AH34" s="31" t="s">
        <v>144</v>
      </c>
      <c r="AI34" s="31" t="s">
        <v>144</v>
      </c>
      <c r="AJ34" s="31" t="s">
        <v>144</v>
      </c>
      <c r="AK34" s="31" t="s">
        <v>144</v>
      </c>
      <c r="AL34" s="31" t="s">
        <v>322</v>
      </c>
      <c r="AM34" s="31" t="s">
        <v>144</v>
      </c>
      <c r="AN34" s="31" t="s">
        <v>163</v>
      </c>
      <c r="AO34" s="31" t="s">
        <v>1321</v>
      </c>
    </row>
    <row r="35" spans="5:41" ht="15" customHeight="1" x14ac:dyDescent="0.25">
      <c r="E35" s="31" t="s">
        <v>132</v>
      </c>
      <c r="F35" s="31" t="s">
        <v>140</v>
      </c>
      <c r="G35" s="31" t="s">
        <v>153</v>
      </c>
      <c r="H35" s="31" t="s">
        <v>154</v>
      </c>
      <c r="I35" s="31" t="s">
        <v>481</v>
      </c>
      <c r="J35" s="31" t="s">
        <v>554</v>
      </c>
      <c r="K35" s="393" t="s">
        <v>585</v>
      </c>
      <c r="L35" s="31" t="s">
        <v>162</v>
      </c>
      <c r="M35" s="31" t="s">
        <v>144</v>
      </c>
      <c r="N35" s="31" t="s">
        <v>144</v>
      </c>
      <c r="O35" s="31">
        <v>16</v>
      </c>
      <c r="P35" s="31" t="s">
        <v>144</v>
      </c>
      <c r="Q35" s="31" t="s">
        <v>1319</v>
      </c>
      <c r="R35" s="31" t="s">
        <v>312</v>
      </c>
      <c r="S35" s="31" t="s">
        <v>619</v>
      </c>
      <c r="T35" s="31" t="s">
        <v>317</v>
      </c>
      <c r="U35" s="31" t="s">
        <v>321</v>
      </c>
      <c r="V35" s="31" t="s">
        <v>155</v>
      </c>
      <c r="W35" s="31" t="s">
        <v>144</v>
      </c>
      <c r="X35" s="31" t="s">
        <v>144</v>
      </c>
      <c r="Y35" s="31" t="s">
        <v>144</v>
      </c>
      <c r="Z35" s="33">
        <v>1</v>
      </c>
      <c r="AA35" s="402">
        <v>16</v>
      </c>
      <c r="AB35" s="31">
        <v>15.5</v>
      </c>
      <c r="AC35" s="390">
        <v>0.3</v>
      </c>
      <c r="AD35" s="31">
        <v>0.2</v>
      </c>
      <c r="AE35" s="31">
        <v>1.3</v>
      </c>
      <c r="AF35" s="31">
        <v>28</v>
      </c>
      <c r="AG35" s="31" t="s">
        <v>144</v>
      </c>
      <c r="AH35" s="31" t="s">
        <v>144</v>
      </c>
      <c r="AI35" s="31" t="s">
        <v>144</v>
      </c>
      <c r="AJ35" s="31" t="s">
        <v>144</v>
      </c>
      <c r="AK35" s="31" t="s">
        <v>144</v>
      </c>
      <c r="AL35" s="31" t="s">
        <v>322</v>
      </c>
      <c r="AM35" s="31" t="s">
        <v>144</v>
      </c>
      <c r="AN35" s="31" t="s">
        <v>163</v>
      </c>
      <c r="AO35" s="31" t="s">
        <v>1321</v>
      </c>
    </row>
    <row r="36" spans="5:41" ht="15" customHeight="1" x14ac:dyDescent="0.25">
      <c r="E36" s="31" t="s">
        <v>132</v>
      </c>
      <c r="F36" s="31" t="s">
        <v>140</v>
      </c>
      <c r="G36" s="31" t="s">
        <v>153</v>
      </c>
      <c r="H36" s="31" t="s">
        <v>154</v>
      </c>
      <c r="I36" s="31" t="s">
        <v>481</v>
      </c>
      <c r="J36" s="31" t="s">
        <v>554</v>
      </c>
      <c r="K36" s="393" t="s">
        <v>586</v>
      </c>
      <c r="L36" s="31" t="s">
        <v>162</v>
      </c>
      <c r="M36" s="31" t="s">
        <v>144</v>
      </c>
      <c r="N36" s="31" t="s">
        <v>144</v>
      </c>
      <c r="O36" s="31">
        <v>16</v>
      </c>
      <c r="P36" s="31" t="s">
        <v>144</v>
      </c>
      <c r="Q36" s="31" t="s">
        <v>1319</v>
      </c>
      <c r="R36" s="31" t="s">
        <v>312</v>
      </c>
      <c r="S36" s="31" t="s">
        <v>619</v>
      </c>
      <c r="T36" s="31" t="s">
        <v>317</v>
      </c>
      <c r="U36" s="31" t="s">
        <v>321</v>
      </c>
      <c r="V36" s="31" t="s">
        <v>155</v>
      </c>
      <c r="W36" s="31" t="s">
        <v>144</v>
      </c>
      <c r="X36" s="31" t="s">
        <v>144</v>
      </c>
      <c r="Y36" s="31" t="s">
        <v>144</v>
      </c>
      <c r="Z36" s="33">
        <v>1</v>
      </c>
      <c r="AA36" s="402">
        <v>16</v>
      </c>
      <c r="AB36" s="31">
        <v>15.5</v>
      </c>
      <c r="AC36" s="390">
        <v>0.3</v>
      </c>
      <c r="AD36" s="31">
        <v>0.2</v>
      </c>
      <c r="AE36" s="31">
        <v>1.3</v>
      </c>
      <c r="AF36" s="31">
        <v>28</v>
      </c>
      <c r="AG36" s="31" t="s">
        <v>144</v>
      </c>
      <c r="AH36" s="31" t="s">
        <v>144</v>
      </c>
      <c r="AI36" s="31" t="s">
        <v>144</v>
      </c>
      <c r="AJ36" s="31" t="s">
        <v>144</v>
      </c>
      <c r="AK36" s="31" t="s">
        <v>144</v>
      </c>
      <c r="AL36" s="31" t="s">
        <v>322</v>
      </c>
      <c r="AM36" s="31" t="s">
        <v>144</v>
      </c>
      <c r="AN36" s="31" t="s">
        <v>163</v>
      </c>
      <c r="AO36" s="31" t="s">
        <v>1321</v>
      </c>
    </row>
    <row r="37" spans="5:41" ht="15" customHeight="1" x14ac:dyDescent="0.25">
      <c r="E37" s="31" t="s">
        <v>132</v>
      </c>
      <c r="F37" s="31" t="s">
        <v>140</v>
      </c>
      <c r="G37" s="31" t="s">
        <v>153</v>
      </c>
      <c r="H37" s="31" t="s">
        <v>154</v>
      </c>
      <c r="I37" s="31" t="s">
        <v>481</v>
      </c>
      <c r="J37" s="31" t="s">
        <v>554</v>
      </c>
      <c r="K37" s="393" t="s">
        <v>587</v>
      </c>
      <c r="L37" s="31" t="s">
        <v>162</v>
      </c>
      <c r="M37" s="31" t="s">
        <v>144</v>
      </c>
      <c r="N37" s="31" t="s">
        <v>144</v>
      </c>
      <c r="O37" s="31">
        <v>16</v>
      </c>
      <c r="P37" s="31" t="s">
        <v>144</v>
      </c>
      <c r="Q37" s="31" t="s">
        <v>1319</v>
      </c>
      <c r="R37" s="31" t="s">
        <v>312</v>
      </c>
      <c r="S37" s="31" t="s">
        <v>619</v>
      </c>
      <c r="T37" s="31" t="s">
        <v>317</v>
      </c>
      <c r="U37" s="31" t="s">
        <v>321</v>
      </c>
      <c r="V37" s="31" t="s">
        <v>155</v>
      </c>
      <c r="W37" s="31" t="s">
        <v>144</v>
      </c>
      <c r="X37" s="31" t="s">
        <v>144</v>
      </c>
      <c r="Y37" s="31" t="s">
        <v>144</v>
      </c>
      <c r="Z37" s="33">
        <v>1</v>
      </c>
      <c r="AA37" s="402">
        <v>16</v>
      </c>
      <c r="AB37" s="31">
        <v>15.5</v>
      </c>
      <c r="AC37" s="390">
        <v>0.3</v>
      </c>
      <c r="AD37" s="31">
        <v>0.2</v>
      </c>
      <c r="AE37" s="31">
        <v>1.3</v>
      </c>
      <c r="AF37" s="31">
        <v>28</v>
      </c>
      <c r="AG37" s="31" t="s">
        <v>144</v>
      </c>
      <c r="AH37" s="31" t="s">
        <v>144</v>
      </c>
      <c r="AI37" s="31" t="s">
        <v>144</v>
      </c>
      <c r="AJ37" s="31" t="s">
        <v>144</v>
      </c>
      <c r="AK37" s="31" t="s">
        <v>144</v>
      </c>
      <c r="AL37" s="31" t="s">
        <v>322</v>
      </c>
      <c r="AM37" s="31" t="s">
        <v>144</v>
      </c>
      <c r="AN37" s="31" t="s">
        <v>163</v>
      </c>
      <c r="AO37" s="31" t="s">
        <v>1321</v>
      </c>
    </row>
    <row r="38" spans="5:41" ht="15" customHeight="1" x14ac:dyDescent="0.25">
      <c r="E38" s="31" t="s">
        <v>132</v>
      </c>
      <c r="F38" s="31" t="s">
        <v>140</v>
      </c>
      <c r="G38" s="31" t="s">
        <v>153</v>
      </c>
      <c r="H38" s="31" t="s">
        <v>154</v>
      </c>
      <c r="I38" s="31" t="s">
        <v>481</v>
      </c>
      <c r="J38" s="31" t="s">
        <v>554</v>
      </c>
      <c r="K38" s="393" t="s">
        <v>588</v>
      </c>
      <c r="L38" s="31" t="s">
        <v>162</v>
      </c>
      <c r="M38" s="31" t="s">
        <v>144</v>
      </c>
      <c r="N38" s="31" t="s">
        <v>144</v>
      </c>
      <c r="O38" s="31">
        <v>16</v>
      </c>
      <c r="P38" s="31" t="s">
        <v>144</v>
      </c>
      <c r="Q38" s="31" t="s">
        <v>1319</v>
      </c>
      <c r="R38" s="31" t="s">
        <v>312</v>
      </c>
      <c r="S38" s="31" t="s">
        <v>619</v>
      </c>
      <c r="T38" s="31" t="s">
        <v>317</v>
      </c>
      <c r="U38" s="31" t="s">
        <v>321</v>
      </c>
      <c r="V38" s="31" t="s">
        <v>155</v>
      </c>
      <c r="W38" s="31" t="s">
        <v>144</v>
      </c>
      <c r="X38" s="31" t="s">
        <v>144</v>
      </c>
      <c r="Y38" s="31" t="s">
        <v>144</v>
      </c>
      <c r="Z38" s="33">
        <v>1</v>
      </c>
      <c r="AA38" s="402">
        <v>16</v>
      </c>
      <c r="AB38" s="31">
        <v>15.5</v>
      </c>
      <c r="AC38" s="390">
        <v>0.3</v>
      </c>
      <c r="AD38" s="31">
        <v>0.2</v>
      </c>
      <c r="AE38" s="31">
        <v>1.3</v>
      </c>
      <c r="AF38" s="31">
        <v>28</v>
      </c>
      <c r="AG38" s="31" t="s">
        <v>144</v>
      </c>
      <c r="AH38" s="31" t="s">
        <v>144</v>
      </c>
      <c r="AI38" s="31" t="s">
        <v>144</v>
      </c>
      <c r="AJ38" s="31" t="s">
        <v>144</v>
      </c>
      <c r="AK38" s="31" t="s">
        <v>144</v>
      </c>
      <c r="AL38" s="31" t="s">
        <v>322</v>
      </c>
      <c r="AM38" s="31" t="s">
        <v>144</v>
      </c>
      <c r="AN38" s="31" t="s">
        <v>163</v>
      </c>
      <c r="AO38" s="31" t="s">
        <v>1321</v>
      </c>
    </row>
    <row r="39" spans="5:41" ht="15" customHeight="1" x14ac:dyDescent="0.25">
      <c r="E39" s="31" t="s">
        <v>132</v>
      </c>
      <c r="F39" s="31" t="s">
        <v>140</v>
      </c>
      <c r="G39" s="31" t="s">
        <v>153</v>
      </c>
      <c r="H39" s="31" t="s">
        <v>154</v>
      </c>
      <c r="I39" s="31" t="s">
        <v>481</v>
      </c>
      <c r="J39" s="31" t="s">
        <v>554</v>
      </c>
      <c r="K39" s="393" t="s">
        <v>589</v>
      </c>
      <c r="L39" s="31" t="s">
        <v>162</v>
      </c>
      <c r="M39" s="31" t="s">
        <v>144</v>
      </c>
      <c r="N39" s="31" t="s">
        <v>144</v>
      </c>
      <c r="O39" s="31">
        <v>16</v>
      </c>
      <c r="P39" s="31" t="s">
        <v>144</v>
      </c>
      <c r="Q39" s="31" t="s">
        <v>1319</v>
      </c>
      <c r="R39" s="31" t="s">
        <v>312</v>
      </c>
      <c r="S39" s="31" t="s">
        <v>619</v>
      </c>
      <c r="T39" s="31" t="s">
        <v>317</v>
      </c>
      <c r="U39" s="31" t="s">
        <v>321</v>
      </c>
      <c r="V39" s="31" t="s">
        <v>155</v>
      </c>
      <c r="W39" s="31" t="s">
        <v>144</v>
      </c>
      <c r="X39" s="31" t="s">
        <v>144</v>
      </c>
      <c r="Y39" s="31" t="s">
        <v>144</v>
      </c>
      <c r="Z39" s="33">
        <v>1</v>
      </c>
      <c r="AA39" s="402">
        <v>16</v>
      </c>
      <c r="AB39" s="31">
        <v>15.5</v>
      </c>
      <c r="AC39" s="390">
        <v>0.3</v>
      </c>
      <c r="AD39" s="31">
        <v>0.2</v>
      </c>
      <c r="AE39" s="31">
        <v>1.3</v>
      </c>
      <c r="AF39" s="31">
        <v>28</v>
      </c>
      <c r="AG39" s="31" t="s">
        <v>144</v>
      </c>
      <c r="AH39" s="31" t="s">
        <v>144</v>
      </c>
      <c r="AI39" s="31" t="s">
        <v>144</v>
      </c>
      <c r="AJ39" s="31" t="s">
        <v>144</v>
      </c>
      <c r="AK39" s="31" t="s">
        <v>144</v>
      </c>
      <c r="AL39" s="31" t="s">
        <v>322</v>
      </c>
      <c r="AM39" s="31" t="s">
        <v>144</v>
      </c>
      <c r="AN39" s="31" t="s">
        <v>163</v>
      </c>
      <c r="AO39" s="31" t="s">
        <v>1321</v>
      </c>
    </row>
    <row r="40" spans="5:41" ht="15" customHeight="1" x14ac:dyDescent="0.25">
      <c r="E40" s="31" t="s">
        <v>132</v>
      </c>
      <c r="F40" s="31" t="s">
        <v>140</v>
      </c>
      <c r="G40" s="31" t="s">
        <v>153</v>
      </c>
      <c r="H40" s="31" t="s">
        <v>154</v>
      </c>
      <c r="I40" s="31" t="s">
        <v>481</v>
      </c>
      <c r="J40" s="31" t="s">
        <v>554</v>
      </c>
      <c r="K40" s="393" t="s">
        <v>590</v>
      </c>
      <c r="L40" s="31" t="s">
        <v>162</v>
      </c>
      <c r="M40" s="31" t="s">
        <v>144</v>
      </c>
      <c r="N40" s="31" t="s">
        <v>144</v>
      </c>
      <c r="O40" s="31">
        <v>16</v>
      </c>
      <c r="P40" s="31" t="s">
        <v>144</v>
      </c>
      <c r="Q40" s="31" t="s">
        <v>1319</v>
      </c>
      <c r="R40" s="31" t="s">
        <v>312</v>
      </c>
      <c r="S40" s="31" t="s">
        <v>619</v>
      </c>
      <c r="T40" s="31" t="s">
        <v>317</v>
      </c>
      <c r="U40" s="31" t="s">
        <v>321</v>
      </c>
      <c r="V40" s="31" t="s">
        <v>155</v>
      </c>
      <c r="W40" s="31" t="s">
        <v>144</v>
      </c>
      <c r="X40" s="31" t="s">
        <v>144</v>
      </c>
      <c r="Y40" s="31" t="s">
        <v>144</v>
      </c>
      <c r="Z40" s="33">
        <v>1</v>
      </c>
      <c r="AA40" s="402">
        <v>16</v>
      </c>
      <c r="AB40" s="31">
        <v>15.5</v>
      </c>
      <c r="AC40" s="390">
        <v>0.3</v>
      </c>
      <c r="AD40" s="31">
        <v>0.2</v>
      </c>
      <c r="AE40" s="31">
        <v>1.3</v>
      </c>
      <c r="AF40" s="31">
        <v>28</v>
      </c>
      <c r="AG40" s="31" t="s">
        <v>144</v>
      </c>
      <c r="AH40" s="31" t="s">
        <v>144</v>
      </c>
      <c r="AI40" s="31" t="s">
        <v>144</v>
      </c>
      <c r="AJ40" s="31" t="s">
        <v>144</v>
      </c>
      <c r="AK40" s="31" t="s">
        <v>144</v>
      </c>
      <c r="AL40" s="31" t="s">
        <v>322</v>
      </c>
      <c r="AM40" s="31" t="s">
        <v>144</v>
      </c>
      <c r="AN40" s="31" t="s">
        <v>163</v>
      </c>
      <c r="AO40" s="31" t="s">
        <v>1321</v>
      </c>
    </row>
    <row r="41" spans="5:41" ht="15" customHeight="1" x14ac:dyDescent="0.25">
      <c r="E41" s="31" t="s">
        <v>132</v>
      </c>
      <c r="F41" s="31" t="s">
        <v>140</v>
      </c>
      <c r="G41" s="31" t="s">
        <v>153</v>
      </c>
      <c r="H41" s="31" t="s">
        <v>154</v>
      </c>
      <c r="I41" s="31" t="s">
        <v>481</v>
      </c>
      <c r="J41" s="31" t="s">
        <v>554</v>
      </c>
      <c r="K41" s="393" t="s">
        <v>591</v>
      </c>
      <c r="L41" s="31" t="s">
        <v>162</v>
      </c>
      <c r="M41" s="31" t="s">
        <v>144</v>
      </c>
      <c r="N41" s="31" t="s">
        <v>144</v>
      </c>
      <c r="O41" s="31">
        <v>16</v>
      </c>
      <c r="P41" s="31" t="s">
        <v>144</v>
      </c>
      <c r="Q41" s="31" t="s">
        <v>1319</v>
      </c>
      <c r="R41" s="31" t="s">
        <v>312</v>
      </c>
      <c r="S41" s="31" t="s">
        <v>619</v>
      </c>
      <c r="T41" s="31" t="s">
        <v>317</v>
      </c>
      <c r="U41" s="31" t="s">
        <v>321</v>
      </c>
      <c r="V41" s="31" t="s">
        <v>155</v>
      </c>
      <c r="W41" s="31" t="s">
        <v>144</v>
      </c>
      <c r="X41" s="31" t="s">
        <v>144</v>
      </c>
      <c r="Y41" s="31" t="s">
        <v>144</v>
      </c>
      <c r="Z41" s="33">
        <v>1</v>
      </c>
      <c r="AA41" s="402">
        <v>16</v>
      </c>
      <c r="AB41" s="31">
        <v>15.5</v>
      </c>
      <c r="AC41" s="390">
        <v>0.3</v>
      </c>
      <c r="AD41" s="31">
        <v>0.2</v>
      </c>
      <c r="AE41" s="31">
        <v>1.3</v>
      </c>
      <c r="AF41" s="31">
        <v>28</v>
      </c>
      <c r="AG41" s="31" t="s">
        <v>144</v>
      </c>
      <c r="AH41" s="31" t="s">
        <v>144</v>
      </c>
      <c r="AI41" s="31" t="s">
        <v>144</v>
      </c>
      <c r="AJ41" s="31" t="s">
        <v>144</v>
      </c>
      <c r="AK41" s="31" t="s">
        <v>144</v>
      </c>
      <c r="AL41" s="31" t="s">
        <v>322</v>
      </c>
      <c r="AM41" s="31" t="s">
        <v>144</v>
      </c>
      <c r="AN41" s="31" t="s">
        <v>163</v>
      </c>
      <c r="AO41" s="31" t="s">
        <v>1321</v>
      </c>
    </row>
    <row r="42" spans="5:41" ht="15" customHeight="1" x14ac:dyDescent="0.25">
      <c r="E42" s="31" t="s">
        <v>132</v>
      </c>
      <c r="F42" s="31" t="s">
        <v>140</v>
      </c>
      <c r="G42" s="31" t="s">
        <v>153</v>
      </c>
      <c r="H42" s="31" t="s">
        <v>154</v>
      </c>
      <c r="I42" s="31" t="s">
        <v>481</v>
      </c>
      <c r="J42" s="31" t="s">
        <v>554</v>
      </c>
      <c r="K42" s="393" t="s">
        <v>592</v>
      </c>
      <c r="L42" s="31" t="s">
        <v>162</v>
      </c>
      <c r="M42" s="31" t="s">
        <v>144</v>
      </c>
      <c r="N42" s="31" t="s">
        <v>144</v>
      </c>
      <c r="O42" s="31">
        <v>16</v>
      </c>
      <c r="P42" s="31" t="s">
        <v>144</v>
      </c>
      <c r="Q42" s="31" t="s">
        <v>1319</v>
      </c>
      <c r="R42" s="31" t="s">
        <v>312</v>
      </c>
      <c r="S42" s="31" t="s">
        <v>619</v>
      </c>
      <c r="T42" s="31" t="s">
        <v>317</v>
      </c>
      <c r="U42" s="31" t="s">
        <v>321</v>
      </c>
      <c r="V42" s="31" t="s">
        <v>155</v>
      </c>
      <c r="W42" s="31" t="s">
        <v>144</v>
      </c>
      <c r="X42" s="31" t="s">
        <v>144</v>
      </c>
      <c r="Y42" s="31" t="s">
        <v>144</v>
      </c>
      <c r="Z42" s="33">
        <v>1</v>
      </c>
      <c r="AA42" s="402">
        <v>16</v>
      </c>
      <c r="AB42" s="31">
        <v>15.5</v>
      </c>
      <c r="AC42" s="390">
        <v>0.3</v>
      </c>
      <c r="AD42" s="31">
        <v>0.2</v>
      </c>
      <c r="AE42" s="31">
        <v>1.3</v>
      </c>
      <c r="AF42" s="31">
        <v>28</v>
      </c>
      <c r="AG42" s="31" t="s">
        <v>144</v>
      </c>
      <c r="AH42" s="31" t="s">
        <v>144</v>
      </c>
      <c r="AI42" s="31" t="s">
        <v>144</v>
      </c>
      <c r="AJ42" s="31" t="s">
        <v>144</v>
      </c>
      <c r="AK42" s="31" t="s">
        <v>144</v>
      </c>
      <c r="AL42" s="31" t="s">
        <v>322</v>
      </c>
      <c r="AM42" s="31" t="s">
        <v>144</v>
      </c>
      <c r="AN42" s="31" t="s">
        <v>163</v>
      </c>
      <c r="AO42" s="31" t="s">
        <v>1321</v>
      </c>
    </row>
    <row r="43" spans="5:41" ht="15" customHeight="1" x14ac:dyDescent="0.25">
      <c r="E43" s="31" t="s">
        <v>132</v>
      </c>
      <c r="F43" s="31" t="s">
        <v>140</v>
      </c>
      <c r="G43" s="31" t="s">
        <v>153</v>
      </c>
      <c r="H43" s="31" t="s">
        <v>154</v>
      </c>
      <c r="I43" s="31" t="s">
        <v>481</v>
      </c>
      <c r="J43" s="31" t="s">
        <v>554</v>
      </c>
      <c r="K43" s="393" t="s">
        <v>593</v>
      </c>
      <c r="L43" s="31" t="s">
        <v>162</v>
      </c>
      <c r="M43" s="31" t="s">
        <v>144</v>
      </c>
      <c r="N43" s="31" t="s">
        <v>144</v>
      </c>
      <c r="O43" s="31">
        <v>16</v>
      </c>
      <c r="P43" s="31" t="s">
        <v>144</v>
      </c>
      <c r="Q43" s="31" t="s">
        <v>1319</v>
      </c>
      <c r="R43" s="31" t="s">
        <v>312</v>
      </c>
      <c r="S43" s="31" t="s">
        <v>619</v>
      </c>
      <c r="T43" s="31" t="s">
        <v>317</v>
      </c>
      <c r="U43" s="31" t="s">
        <v>321</v>
      </c>
      <c r="V43" s="31" t="s">
        <v>155</v>
      </c>
      <c r="W43" s="31" t="s">
        <v>144</v>
      </c>
      <c r="X43" s="31" t="s">
        <v>144</v>
      </c>
      <c r="Y43" s="31" t="s">
        <v>144</v>
      </c>
      <c r="Z43" s="33">
        <v>1</v>
      </c>
      <c r="AA43" s="402">
        <v>16</v>
      </c>
      <c r="AB43" s="31">
        <v>15.5</v>
      </c>
      <c r="AC43" s="390">
        <v>0.3</v>
      </c>
      <c r="AD43" s="31">
        <v>0.2</v>
      </c>
      <c r="AE43" s="31">
        <v>1.3</v>
      </c>
      <c r="AF43" s="31">
        <v>28</v>
      </c>
      <c r="AG43" s="31" t="s">
        <v>144</v>
      </c>
      <c r="AH43" s="31" t="s">
        <v>144</v>
      </c>
      <c r="AI43" s="31" t="s">
        <v>144</v>
      </c>
      <c r="AJ43" s="31" t="s">
        <v>144</v>
      </c>
      <c r="AK43" s="31" t="s">
        <v>144</v>
      </c>
      <c r="AL43" s="31" t="s">
        <v>322</v>
      </c>
      <c r="AM43" s="31" t="s">
        <v>144</v>
      </c>
      <c r="AN43" s="31" t="s">
        <v>163</v>
      </c>
      <c r="AO43" s="31" t="s">
        <v>1321</v>
      </c>
    </row>
    <row r="44" spans="5:41" ht="15" customHeight="1" x14ac:dyDescent="0.25">
      <c r="E44" s="31" t="s">
        <v>132</v>
      </c>
      <c r="F44" s="31" t="s">
        <v>140</v>
      </c>
      <c r="G44" s="31" t="s">
        <v>153</v>
      </c>
      <c r="H44" s="31" t="s">
        <v>154</v>
      </c>
      <c r="I44" s="31" t="s">
        <v>481</v>
      </c>
      <c r="J44" s="31" t="s">
        <v>554</v>
      </c>
      <c r="K44" s="393" t="s">
        <v>594</v>
      </c>
      <c r="L44" s="31" t="s">
        <v>162</v>
      </c>
      <c r="M44" s="31" t="s">
        <v>144</v>
      </c>
      <c r="N44" s="31" t="s">
        <v>144</v>
      </c>
      <c r="O44" s="31">
        <v>16</v>
      </c>
      <c r="P44" s="31" t="s">
        <v>144</v>
      </c>
      <c r="Q44" s="31" t="s">
        <v>1319</v>
      </c>
      <c r="R44" s="31" t="s">
        <v>312</v>
      </c>
      <c r="S44" s="31" t="s">
        <v>619</v>
      </c>
      <c r="T44" s="31" t="s">
        <v>317</v>
      </c>
      <c r="U44" s="31" t="s">
        <v>321</v>
      </c>
      <c r="V44" s="31" t="s">
        <v>155</v>
      </c>
      <c r="W44" s="31" t="s">
        <v>144</v>
      </c>
      <c r="X44" s="31" t="s">
        <v>144</v>
      </c>
      <c r="Y44" s="31" t="s">
        <v>144</v>
      </c>
      <c r="Z44" s="33">
        <v>1</v>
      </c>
      <c r="AA44" s="402">
        <v>16</v>
      </c>
      <c r="AB44" s="31">
        <v>15.5</v>
      </c>
      <c r="AC44" s="390">
        <v>0.3</v>
      </c>
      <c r="AD44" s="31">
        <v>0.2</v>
      </c>
      <c r="AE44" s="31">
        <v>1.3</v>
      </c>
      <c r="AF44" s="31">
        <v>28</v>
      </c>
      <c r="AG44" s="31" t="s">
        <v>144</v>
      </c>
      <c r="AH44" s="31" t="s">
        <v>144</v>
      </c>
      <c r="AI44" s="31" t="s">
        <v>144</v>
      </c>
      <c r="AJ44" s="31" t="s">
        <v>144</v>
      </c>
      <c r="AK44" s="31" t="s">
        <v>144</v>
      </c>
      <c r="AL44" s="31" t="s">
        <v>322</v>
      </c>
      <c r="AM44" s="31" t="s">
        <v>144</v>
      </c>
      <c r="AN44" s="31" t="s">
        <v>163</v>
      </c>
      <c r="AO44" s="31" t="s">
        <v>1321</v>
      </c>
    </row>
    <row r="45" spans="5:41" ht="15" customHeight="1" x14ac:dyDescent="0.25">
      <c r="E45" s="31" t="s">
        <v>132</v>
      </c>
      <c r="F45" s="31" t="s">
        <v>140</v>
      </c>
      <c r="G45" s="31" t="s">
        <v>153</v>
      </c>
      <c r="H45" s="31" t="s">
        <v>154</v>
      </c>
      <c r="I45" s="31" t="s">
        <v>481</v>
      </c>
      <c r="J45" s="31" t="s">
        <v>554</v>
      </c>
      <c r="K45" s="393" t="s">
        <v>595</v>
      </c>
      <c r="L45" s="31" t="s">
        <v>162</v>
      </c>
      <c r="M45" s="31" t="s">
        <v>144</v>
      </c>
      <c r="N45" s="31" t="s">
        <v>144</v>
      </c>
      <c r="O45" s="31">
        <v>16</v>
      </c>
      <c r="P45" s="31" t="s">
        <v>144</v>
      </c>
      <c r="Q45" s="31" t="s">
        <v>1319</v>
      </c>
      <c r="R45" s="31" t="s">
        <v>312</v>
      </c>
      <c r="S45" s="31" t="s">
        <v>619</v>
      </c>
      <c r="T45" s="31" t="s">
        <v>317</v>
      </c>
      <c r="U45" s="31" t="s">
        <v>321</v>
      </c>
      <c r="V45" s="31" t="s">
        <v>155</v>
      </c>
      <c r="W45" s="31" t="s">
        <v>144</v>
      </c>
      <c r="X45" s="31" t="s">
        <v>144</v>
      </c>
      <c r="Y45" s="31" t="s">
        <v>144</v>
      </c>
      <c r="Z45" s="33">
        <v>1</v>
      </c>
      <c r="AA45" s="402">
        <v>16</v>
      </c>
      <c r="AB45" s="31">
        <v>15.5</v>
      </c>
      <c r="AC45" s="390">
        <v>0.3</v>
      </c>
      <c r="AD45" s="31">
        <v>0.2</v>
      </c>
      <c r="AE45" s="31">
        <v>1.3</v>
      </c>
      <c r="AF45" s="31">
        <v>28</v>
      </c>
      <c r="AG45" s="31" t="s">
        <v>144</v>
      </c>
      <c r="AH45" s="31" t="s">
        <v>144</v>
      </c>
      <c r="AI45" s="31" t="s">
        <v>144</v>
      </c>
      <c r="AJ45" s="31" t="s">
        <v>144</v>
      </c>
      <c r="AK45" s="31" t="s">
        <v>144</v>
      </c>
      <c r="AL45" s="31" t="s">
        <v>322</v>
      </c>
      <c r="AM45" s="31" t="s">
        <v>144</v>
      </c>
      <c r="AN45" s="31" t="s">
        <v>163</v>
      </c>
      <c r="AO45" s="31" t="s">
        <v>1321</v>
      </c>
    </row>
    <row r="46" spans="5:41" ht="15" customHeight="1" x14ac:dyDescent="0.25">
      <c r="E46" s="31" t="s">
        <v>132</v>
      </c>
      <c r="F46" s="31" t="s">
        <v>140</v>
      </c>
      <c r="G46" s="31" t="s">
        <v>153</v>
      </c>
      <c r="H46" s="31" t="s">
        <v>154</v>
      </c>
      <c r="I46" s="31" t="s">
        <v>481</v>
      </c>
      <c r="J46" s="31" t="s">
        <v>554</v>
      </c>
      <c r="K46" s="393" t="s">
        <v>596</v>
      </c>
      <c r="L46" s="31" t="s">
        <v>162</v>
      </c>
      <c r="M46" s="31" t="s">
        <v>144</v>
      </c>
      <c r="N46" s="31" t="s">
        <v>144</v>
      </c>
      <c r="O46" s="31">
        <v>16</v>
      </c>
      <c r="P46" s="31" t="s">
        <v>144</v>
      </c>
      <c r="Q46" s="31" t="s">
        <v>1319</v>
      </c>
      <c r="R46" s="31" t="s">
        <v>312</v>
      </c>
      <c r="S46" s="31" t="s">
        <v>619</v>
      </c>
      <c r="T46" s="31" t="s">
        <v>317</v>
      </c>
      <c r="U46" s="31" t="s">
        <v>321</v>
      </c>
      <c r="V46" s="31" t="s">
        <v>155</v>
      </c>
      <c r="W46" s="31" t="s">
        <v>144</v>
      </c>
      <c r="X46" s="31" t="s">
        <v>144</v>
      </c>
      <c r="Y46" s="31" t="s">
        <v>144</v>
      </c>
      <c r="Z46" s="33">
        <v>1</v>
      </c>
      <c r="AA46" s="402">
        <v>16</v>
      </c>
      <c r="AB46" s="31">
        <v>15.5</v>
      </c>
      <c r="AC46" s="390">
        <v>0.3</v>
      </c>
      <c r="AD46" s="31">
        <v>0.2</v>
      </c>
      <c r="AE46" s="31">
        <v>1.3</v>
      </c>
      <c r="AF46" s="31">
        <v>28</v>
      </c>
      <c r="AG46" s="31" t="s">
        <v>144</v>
      </c>
      <c r="AH46" s="31" t="s">
        <v>144</v>
      </c>
      <c r="AI46" s="31" t="s">
        <v>144</v>
      </c>
      <c r="AJ46" s="31" t="s">
        <v>144</v>
      </c>
      <c r="AK46" s="31" t="s">
        <v>144</v>
      </c>
      <c r="AL46" s="31" t="s">
        <v>322</v>
      </c>
      <c r="AM46" s="31" t="s">
        <v>144</v>
      </c>
      <c r="AN46" s="31" t="s">
        <v>163</v>
      </c>
      <c r="AO46" s="31" t="s">
        <v>1321</v>
      </c>
    </row>
    <row r="47" spans="5:41" ht="15" customHeight="1" x14ac:dyDescent="0.25">
      <c r="E47" s="31" t="s">
        <v>132</v>
      </c>
      <c r="F47" s="31" t="s">
        <v>140</v>
      </c>
      <c r="G47" s="31" t="s">
        <v>153</v>
      </c>
      <c r="H47" s="31" t="s">
        <v>154</v>
      </c>
      <c r="I47" s="31" t="s">
        <v>481</v>
      </c>
      <c r="J47" s="31" t="s">
        <v>554</v>
      </c>
      <c r="K47" s="393" t="s">
        <v>597</v>
      </c>
      <c r="L47" s="31" t="s">
        <v>162</v>
      </c>
      <c r="M47" s="31" t="s">
        <v>144</v>
      </c>
      <c r="N47" s="31" t="s">
        <v>144</v>
      </c>
      <c r="O47" s="31">
        <v>16</v>
      </c>
      <c r="P47" s="31" t="s">
        <v>144</v>
      </c>
      <c r="Q47" s="31" t="s">
        <v>1319</v>
      </c>
      <c r="R47" s="31" t="s">
        <v>312</v>
      </c>
      <c r="S47" s="31" t="s">
        <v>619</v>
      </c>
      <c r="T47" s="31" t="s">
        <v>317</v>
      </c>
      <c r="U47" s="31" t="s">
        <v>321</v>
      </c>
      <c r="V47" s="31" t="s">
        <v>155</v>
      </c>
      <c r="W47" s="31" t="s">
        <v>144</v>
      </c>
      <c r="X47" s="31" t="s">
        <v>144</v>
      </c>
      <c r="Y47" s="31" t="s">
        <v>144</v>
      </c>
      <c r="Z47" s="33">
        <v>1</v>
      </c>
      <c r="AA47" s="402">
        <v>16</v>
      </c>
      <c r="AB47" s="31">
        <v>15.5</v>
      </c>
      <c r="AC47" s="390">
        <v>0.3</v>
      </c>
      <c r="AD47" s="31">
        <v>0.2</v>
      </c>
      <c r="AE47" s="31">
        <v>1.3</v>
      </c>
      <c r="AF47" s="31">
        <v>28</v>
      </c>
      <c r="AG47" s="31" t="s">
        <v>144</v>
      </c>
      <c r="AH47" s="31" t="s">
        <v>144</v>
      </c>
      <c r="AI47" s="31" t="s">
        <v>144</v>
      </c>
      <c r="AJ47" s="31" t="s">
        <v>144</v>
      </c>
      <c r="AK47" s="31" t="s">
        <v>144</v>
      </c>
      <c r="AL47" s="31" t="s">
        <v>322</v>
      </c>
      <c r="AM47" s="31" t="s">
        <v>144</v>
      </c>
      <c r="AN47" s="31" t="s">
        <v>163</v>
      </c>
      <c r="AO47" s="31" t="s">
        <v>1321</v>
      </c>
    </row>
    <row r="48" spans="5:41" ht="15" customHeight="1" x14ac:dyDescent="0.25">
      <c r="E48" s="31" t="s">
        <v>132</v>
      </c>
      <c r="F48" s="31" t="s">
        <v>140</v>
      </c>
      <c r="G48" s="31" t="s">
        <v>153</v>
      </c>
      <c r="H48" s="31" t="s">
        <v>154</v>
      </c>
      <c r="I48" s="31" t="s">
        <v>481</v>
      </c>
      <c r="J48" s="31" t="s">
        <v>554</v>
      </c>
      <c r="K48" s="393" t="s">
        <v>598</v>
      </c>
      <c r="L48" s="31" t="s">
        <v>162</v>
      </c>
      <c r="M48" s="31" t="s">
        <v>144</v>
      </c>
      <c r="N48" s="31" t="s">
        <v>144</v>
      </c>
      <c r="O48" s="31">
        <v>16</v>
      </c>
      <c r="P48" s="31" t="s">
        <v>144</v>
      </c>
      <c r="Q48" s="31" t="s">
        <v>1319</v>
      </c>
      <c r="R48" s="31" t="s">
        <v>312</v>
      </c>
      <c r="S48" s="31" t="s">
        <v>619</v>
      </c>
      <c r="T48" s="31" t="s">
        <v>317</v>
      </c>
      <c r="U48" s="31" t="s">
        <v>321</v>
      </c>
      <c r="V48" s="31" t="s">
        <v>155</v>
      </c>
      <c r="W48" s="31" t="s">
        <v>144</v>
      </c>
      <c r="X48" s="31" t="s">
        <v>144</v>
      </c>
      <c r="Y48" s="31" t="s">
        <v>144</v>
      </c>
      <c r="Z48" s="33">
        <v>1</v>
      </c>
      <c r="AA48" s="402">
        <v>16</v>
      </c>
      <c r="AB48" s="31">
        <v>15.5</v>
      </c>
      <c r="AC48" s="390">
        <v>0.3</v>
      </c>
      <c r="AD48" s="31">
        <v>0.2</v>
      </c>
      <c r="AE48" s="31">
        <v>1.3</v>
      </c>
      <c r="AF48" s="31">
        <v>28</v>
      </c>
      <c r="AG48" s="31" t="s">
        <v>144</v>
      </c>
      <c r="AH48" s="31" t="s">
        <v>144</v>
      </c>
      <c r="AI48" s="31" t="s">
        <v>144</v>
      </c>
      <c r="AJ48" s="31" t="s">
        <v>144</v>
      </c>
      <c r="AK48" s="31" t="s">
        <v>144</v>
      </c>
      <c r="AL48" s="31" t="s">
        <v>322</v>
      </c>
      <c r="AM48" s="31" t="s">
        <v>144</v>
      </c>
      <c r="AN48" s="31" t="s">
        <v>163</v>
      </c>
      <c r="AO48" s="31" t="s">
        <v>1321</v>
      </c>
    </row>
    <row r="49" spans="5:41" ht="15" customHeight="1" x14ac:dyDescent="0.25">
      <c r="E49" s="31" t="s">
        <v>132</v>
      </c>
      <c r="F49" s="31" t="s">
        <v>140</v>
      </c>
      <c r="G49" s="31" t="s">
        <v>153</v>
      </c>
      <c r="H49" s="31" t="s">
        <v>154</v>
      </c>
      <c r="I49" s="31" t="s">
        <v>481</v>
      </c>
      <c r="J49" s="31" t="s">
        <v>554</v>
      </c>
      <c r="K49" s="393" t="s">
        <v>599</v>
      </c>
      <c r="L49" s="31" t="s">
        <v>162</v>
      </c>
      <c r="M49" s="31" t="s">
        <v>144</v>
      </c>
      <c r="N49" s="31" t="s">
        <v>144</v>
      </c>
      <c r="O49" s="31">
        <v>16</v>
      </c>
      <c r="P49" s="31" t="s">
        <v>144</v>
      </c>
      <c r="Q49" s="31" t="s">
        <v>1319</v>
      </c>
      <c r="R49" s="31" t="s">
        <v>312</v>
      </c>
      <c r="S49" s="31" t="s">
        <v>619</v>
      </c>
      <c r="T49" s="31" t="s">
        <v>317</v>
      </c>
      <c r="U49" s="31" t="s">
        <v>321</v>
      </c>
      <c r="V49" s="31" t="s">
        <v>155</v>
      </c>
      <c r="W49" s="31" t="s">
        <v>144</v>
      </c>
      <c r="X49" s="31" t="s">
        <v>144</v>
      </c>
      <c r="Y49" s="31" t="s">
        <v>144</v>
      </c>
      <c r="Z49" s="33">
        <v>1</v>
      </c>
      <c r="AA49" s="402">
        <v>16</v>
      </c>
      <c r="AB49" s="31">
        <v>15.5</v>
      </c>
      <c r="AC49" s="390">
        <v>0.3</v>
      </c>
      <c r="AD49" s="31">
        <v>0.2</v>
      </c>
      <c r="AE49" s="31">
        <v>1.3</v>
      </c>
      <c r="AF49" s="31">
        <v>28</v>
      </c>
      <c r="AG49" s="31" t="s">
        <v>144</v>
      </c>
      <c r="AH49" s="31" t="s">
        <v>144</v>
      </c>
      <c r="AI49" s="31" t="s">
        <v>144</v>
      </c>
      <c r="AJ49" s="31" t="s">
        <v>144</v>
      </c>
      <c r="AK49" s="31" t="s">
        <v>144</v>
      </c>
      <c r="AL49" s="31" t="s">
        <v>322</v>
      </c>
      <c r="AM49" s="31" t="s">
        <v>144</v>
      </c>
      <c r="AN49" s="31" t="s">
        <v>163</v>
      </c>
      <c r="AO49" s="31" t="s">
        <v>1321</v>
      </c>
    </row>
    <row r="50" spans="5:41" ht="15" customHeight="1" x14ac:dyDescent="0.25">
      <c r="E50" s="31" t="s">
        <v>132</v>
      </c>
      <c r="F50" s="31" t="s">
        <v>140</v>
      </c>
      <c r="G50" s="31" t="s">
        <v>153</v>
      </c>
      <c r="H50" s="31" t="s">
        <v>154</v>
      </c>
      <c r="I50" s="31" t="s">
        <v>481</v>
      </c>
      <c r="J50" s="31" t="s">
        <v>554</v>
      </c>
      <c r="K50" s="393" t="s">
        <v>600</v>
      </c>
      <c r="L50" s="31" t="s">
        <v>162</v>
      </c>
      <c r="M50" s="31" t="s">
        <v>144</v>
      </c>
      <c r="N50" s="31" t="s">
        <v>144</v>
      </c>
      <c r="O50" s="31">
        <v>16</v>
      </c>
      <c r="P50" s="31" t="s">
        <v>144</v>
      </c>
      <c r="Q50" s="31" t="s">
        <v>1319</v>
      </c>
      <c r="R50" s="31" t="s">
        <v>312</v>
      </c>
      <c r="S50" s="31" t="s">
        <v>619</v>
      </c>
      <c r="T50" s="31" t="s">
        <v>317</v>
      </c>
      <c r="U50" s="31" t="s">
        <v>321</v>
      </c>
      <c r="V50" s="31" t="s">
        <v>155</v>
      </c>
      <c r="W50" s="31" t="s">
        <v>144</v>
      </c>
      <c r="X50" s="31" t="s">
        <v>144</v>
      </c>
      <c r="Y50" s="31" t="s">
        <v>144</v>
      </c>
      <c r="Z50" s="33">
        <v>1</v>
      </c>
      <c r="AA50" s="402">
        <v>16</v>
      </c>
      <c r="AB50" s="31">
        <v>15.5</v>
      </c>
      <c r="AC50" s="390">
        <v>0.3</v>
      </c>
      <c r="AD50" s="31">
        <v>0.2</v>
      </c>
      <c r="AE50" s="31">
        <v>1.3</v>
      </c>
      <c r="AF50" s="31">
        <v>28</v>
      </c>
      <c r="AG50" s="31" t="s">
        <v>144</v>
      </c>
      <c r="AH50" s="31" t="s">
        <v>144</v>
      </c>
      <c r="AI50" s="31" t="s">
        <v>144</v>
      </c>
      <c r="AJ50" s="31" t="s">
        <v>144</v>
      </c>
      <c r="AK50" s="31" t="s">
        <v>144</v>
      </c>
      <c r="AL50" s="31" t="s">
        <v>322</v>
      </c>
      <c r="AM50" s="31" t="s">
        <v>144</v>
      </c>
      <c r="AN50" s="31" t="s">
        <v>163</v>
      </c>
      <c r="AO50" s="31" t="s">
        <v>1321</v>
      </c>
    </row>
    <row r="51" spans="5:41" ht="15" customHeight="1" x14ac:dyDescent="0.25">
      <c r="E51" s="31" t="s">
        <v>132</v>
      </c>
      <c r="F51" s="31" t="s">
        <v>140</v>
      </c>
      <c r="G51" s="31" t="s">
        <v>153</v>
      </c>
      <c r="H51" s="31" t="s">
        <v>154</v>
      </c>
      <c r="I51" s="31" t="s">
        <v>481</v>
      </c>
      <c r="J51" s="31" t="s">
        <v>554</v>
      </c>
      <c r="K51" s="393" t="s">
        <v>601</v>
      </c>
      <c r="L51" s="31" t="s">
        <v>162</v>
      </c>
      <c r="M51" s="31" t="s">
        <v>144</v>
      </c>
      <c r="N51" s="31" t="s">
        <v>144</v>
      </c>
      <c r="O51" s="31">
        <v>16</v>
      </c>
      <c r="P51" s="31" t="s">
        <v>144</v>
      </c>
      <c r="Q51" s="31" t="s">
        <v>1319</v>
      </c>
      <c r="R51" s="31" t="s">
        <v>312</v>
      </c>
      <c r="S51" s="31" t="s">
        <v>619</v>
      </c>
      <c r="T51" s="31" t="s">
        <v>317</v>
      </c>
      <c r="U51" s="31" t="s">
        <v>321</v>
      </c>
      <c r="V51" s="31" t="s">
        <v>155</v>
      </c>
      <c r="W51" s="31" t="s">
        <v>144</v>
      </c>
      <c r="X51" s="31" t="s">
        <v>144</v>
      </c>
      <c r="Y51" s="31" t="s">
        <v>144</v>
      </c>
      <c r="Z51" s="33">
        <v>1</v>
      </c>
      <c r="AA51" s="402">
        <v>16</v>
      </c>
      <c r="AB51" s="31">
        <v>15.5</v>
      </c>
      <c r="AC51" s="390">
        <v>0.3</v>
      </c>
      <c r="AD51" s="31">
        <v>0.2</v>
      </c>
      <c r="AE51" s="31">
        <v>1.3</v>
      </c>
      <c r="AF51" s="31">
        <v>28</v>
      </c>
      <c r="AG51" s="31" t="s">
        <v>144</v>
      </c>
      <c r="AH51" s="31" t="s">
        <v>144</v>
      </c>
      <c r="AI51" s="31" t="s">
        <v>144</v>
      </c>
      <c r="AJ51" s="31" t="s">
        <v>144</v>
      </c>
      <c r="AK51" s="31" t="s">
        <v>144</v>
      </c>
      <c r="AL51" s="31" t="s">
        <v>322</v>
      </c>
      <c r="AM51" s="31" t="s">
        <v>144</v>
      </c>
      <c r="AN51" s="31" t="s">
        <v>163</v>
      </c>
      <c r="AO51" s="31" t="s">
        <v>1321</v>
      </c>
    </row>
    <row r="52" spans="5:41" ht="15" customHeight="1" x14ac:dyDescent="0.25">
      <c r="E52" s="31" t="s">
        <v>132</v>
      </c>
      <c r="F52" s="31" t="s">
        <v>140</v>
      </c>
      <c r="G52" s="31" t="s">
        <v>153</v>
      </c>
      <c r="H52" s="31" t="s">
        <v>154</v>
      </c>
      <c r="I52" s="31" t="s">
        <v>481</v>
      </c>
      <c r="J52" s="31" t="s">
        <v>554</v>
      </c>
      <c r="K52" s="393" t="s">
        <v>602</v>
      </c>
      <c r="L52" s="31" t="s">
        <v>162</v>
      </c>
      <c r="M52" s="31" t="s">
        <v>144</v>
      </c>
      <c r="N52" s="31" t="s">
        <v>144</v>
      </c>
      <c r="O52" s="31">
        <v>16</v>
      </c>
      <c r="P52" s="31" t="s">
        <v>144</v>
      </c>
      <c r="Q52" s="31" t="s">
        <v>1319</v>
      </c>
      <c r="R52" s="31" t="s">
        <v>312</v>
      </c>
      <c r="S52" s="31" t="s">
        <v>619</v>
      </c>
      <c r="T52" s="31" t="s">
        <v>317</v>
      </c>
      <c r="U52" s="31" t="s">
        <v>321</v>
      </c>
      <c r="V52" s="31" t="s">
        <v>155</v>
      </c>
      <c r="W52" s="31" t="s">
        <v>144</v>
      </c>
      <c r="X52" s="31" t="s">
        <v>144</v>
      </c>
      <c r="Y52" s="31" t="s">
        <v>144</v>
      </c>
      <c r="Z52" s="33">
        <v>1</v>
      </c>
      <c r="AA52" s="402">
        <v>16</v>
      </c>
      <c r="AB52" s="31">
        <v>15.5</v>
      </c>
      <c r="AC52" s="390">
        <v>0.3</v>
      </c>
      <c r="AD52" s="31">
        <v>0.2</v>
      </c>
      <c r="AE52" s="31">
        <v>1.3</v>
      </c>
      <c r="AF52" s="31">
        <v>28</v>
      </c>
      <c r="AG52" s="31" t="s">
        <v>144</v>
      </c>
      <c r="AH52" s="31" t="s">
        <v>144</v>
      </c>
      <c r="AI52" s="31" t="s">
        <v>144</v>
      </c>
      <c r="AJ52" s="31" t="s">
        <v>144</v>
      </c>
      <c r="AK52" s="31" t="s">
        <v>144</v>
      </c>
      <c r="AL52" s="31" t="s">
        <v>322</v>
      </c>
      <c r="AM52" s="31" t="s">
        <v>144</v>
      </c>
      <c r="AN52" s="31" t="s">
        <v>163</v>
      </c>
      <c r="AO52" s="31" t="s">
        <v>1321</v>
      </c>
    </row>
    <row r="53" spans="5:41" ht="15" customHeight="1" x14ac:dyDescent="0.25">
      <c r="E53" s="31" t="s">
        <v>132</v>
      </c>
      <c r="F53" s="31" t="s">
        <v>140</v>
      </c>
      <c r="G53" s="31" t="s">
        <v>153</v>
      </c>
      <c r="H53" s="31" t="s">
        <v>154</v>
      </c>
      <c r="I53" s="31" t="s">
        <v>481</v>
      </c>
      <c r="J53" s="31" t="s">
        <v>554</v>
      </c>
      <c r="K53" s="393" t="s">
        <v>603</v>
      </c>
      <c r="L53" s="31" t="s">
        <v>162</v>
      </c>
      <c r="M53" s="31" t="s">
        <v>144</v>
      </c>
      <c r="N53" s="31" t="s">
        <v>144</v>
      </c>
      <c r="O53" s="31">
        <v>16</v>
      </c>
      <c r="P53" s="31" t="s">
        <v>144</v>
      </c>
      <c r="Q53" s="31" t="s">
        <v>1319</v>
      </c>
      <c r="R53" s="31" t="s">
        <v>312</v>
      </c>
      <c r="S53" s="31" t="s">
        <v>619</v>
      </c>
      <c r="T53" s="31" t="s">
        <v>317</v>
      </c>
      <c r="U53" s="31" t="s">
        <v>321</v>
      </c>
      <c r="V53" s="31" t="s">
        <v>155</v>
      </c>
      <c r="W53" s="31" t="s">
        <v>144</v>
      </c>
      <c r="X53" s="31" t="s">
        <v>144</v>
      </c>
      <c r="Y53" s="31" t="s">
        <v>144</v>
      </c>
      <c r="Z53" s="33">
        <v>1</v>
      </c>
      <c r="AA53" s="402">
        <v>16</v>
      </c>
      <c r="AB53" s="31">
        <v>15.5</v>
      </c>
      <c r="AC53" s="390">
        <v>0.3</v>
      </c>
      <c r="AD53" s="31">
        <v>0.2</v>
      </c>
      <c r="AE53" s="31">
        <v>1.3</v>
      </c>
      <c r="AF53" s="31">
        <v>28</v>
      </c>
      <c r="AG53" s="31" t="s">
        <v>144</v>
      </c>
      <c r="AH53" s="31" t="s">
        <v>144</v>
      </c>
      <c r="AI53" s="31" t="s">
        <v>144</v>
      </c>
      <c r="AJ53" s="31" t="s">
        <v>144</v>
      </c>
      <c r="AK53" s="31" t="s">
        <v>144</v>
      </c>
      <c r="AL53" s="31" t="s">
        <v>322</v>
      </c>
      <c r="AM53" s="31" t="s">
        <v>144</v>
      </c>
      <c r="AN53" s="31" t="s">
        <v>163</v>
      </c>
      <c r="AO53" s="31" t="s">
        <v>1321</v>
      </c>
    </row>
    <row r="54" spans="5:41" ht="15" customHeight="1" x14ac:dyDescent="0.25">
      <c r="E54" s="31" t="s">
        <v>132</v>
      </c>
      <c r="F54" s="31" t="s">
        <v>140</v>
      </c>
      <c r="G54" s="31" t="s">
        <v>153</v>
      </c>
      <c r="H54" s="31" t="s">
        <v>154</v>
      </c>
      <c r="I54" s="31" t="s">
        <v>481</v>
      </c>
      <c r="J54" s="31" t="s">
        <v>554</v>
      </c>
      <c r="K54" s="393" t="s">
        <v>604</v>
      </c>
      <c r="L54" s="31" t="s">
        <v>162</v>
      </c>
      <c r="M54" s="31" t="s">
        <v>144</v>
      </c>
      <c r="N54" s="31" t="s">
        <v>144</v>
      </c>
      <c r="O54" s="31">
        <v>16</v>
      </c>
      <c r="P54" s="31" t="s">
        <v>144</v>
      </c>
      <c r="Q54" s="31" t="s">
        <v>1319</v>
      </c>
      <c r="R54" s="31" t="s">
        <v>312</v>
      </c>
      <c r="S54" s="31" t="s">
        <v>619</v>
      </c>
      <c r="T54" s="31" t="s">
        <v>317</v>
      </c>
      <c r="U54" s="31" t="s">
        <v>321</v>
      </c>
      <c r="V54" s="31" t="s">
        <v>155</v>
      </c>
      <c r="W54" s="31" t="s">
        <v>144</v>
      </c>
      <c r="X54" s="31" t="s">
        <v>144</v>
      </c>
      <c r="Y54" s="31" t="s">
        <v>144</v>
      </c>
      <c r="Z54" s="33">
        <v>1</v>
      </c>
      <c r="AA54" s="402">
        <v>16</v>
      </c>
      <c r="AB54" s="31">
        <v>15.5</v>
      </c>
      <c r="AC54" s="390">
        <v>0.3</v>
      </c>
      <c r="AD54" s="31">
        <v>0.2</v>
      </c>
      <c r="AE54" s="31">
        <v>1.3</v>
      </c>
      <c r="AF54" s="31">
        <v>28</v>
      </c>
      <c r="AG54" s="31" t="s">
        <v>144</v>
      </c>
      <c r="AH54" s="31" t="s">
        <v>144</v>
      </c>
      <c r="AI54" s="31" t="s">
        <v>144</v>
      </c>
      <c r="AJ54" s="31" t="s">
        <v>144</v>
      </c>
      <c r="AK54" s="31" t="s">
        <v>144</v>
      </c>
      <c r="AL54" s="31" t="s">
        <v>322</v>
      </c>
      <c r="AM54" s="31" t="s">
        <v>144</v>
      </c>
      <c r="AN54" s="31" t="s">
        <v>163</v>
      </c>
      <c r="AO54" s="31" t="s">
        <v>1321</v>
      </c>
    </row>
    <row r="55" spans="5:41" ht="15" customHeight="1" x14ac:dyDescent="0.25">
      <c r="E55" s="31" t="s">
        <v>132</v>
      </c>
      <c r="F55" s="31" t="s">
        <v>140</v>
      </c>
      <c r="G55" s="31" t="s">
        <v>153</v>
      </c>
      <c r="H55" s="31" t="s">
        <v>154</v>
      </c>
      <c r="I55" s="31" t="s">
        <v>481</v>
      </c>
      <c r="J55" s="31" t="s">
        <v>554</v>
      </c>
      <c r="K55" s="393" t="s">
        <v>605</v>
      </c>
      <c r="L55" s="31" t="s">
        <v>162</v>
      </c>
      <c r="M55" s="31" t="s">
        <v>144</v>
      </c>
      <c r="N55" s="31" t="s">
        <v>144</v>
      </c>
      <c r="O55" s="31">
        <v>16</v>
      </c>
      <c r="P55" s="31" t="s">
        <v>144</v>
      </c>
      <c r="Q55" s="31" t="s">
        <v>1319</v>
      </c>
      <c r="R55" s="31" t="s">
        <v>312</v>
      </c>
      <c r="S55" s="31" t="s">
        <v>619</v>
      </c>
      <c r="T55" s="31" t="s">
        <v>317</v>
      </c>
      <c r="U55" s="31" t="s">
        <v>321</v>
      </c>
      <c r="V55" s="31" t="s">
        <v>155</v>
      </c>
      <c r="W55" s="31" t="s">
        <v>144</v>
      </c>
      <c r="X55" s="31" t="s">
        <v>144</v>
      </c>
      <c r="Y55" s="31" t="s">
        <v>144</v>
      </c>
      <c r="Z55" s="33">
        <v>1</v>
      </c>
      <c r="AA55" s="402">
        <v>16</v>
      </c>
      <c r="AB55" s="31">
        <v>15.5</v>
      </c>
      <c r="AC55" s="390">
        <v>0.3</v>
      </c>
      <c r="AD55" s="31">
        <v>0.2</v>
      </c>
      <c r="AE55" s="31">
        <v>1.3</v>
      </c>
      <c r="AF55" s="31">
        <v>28</v>
      </c>
      <c r="AG55" s="31" t="s">
        <v>144</v>
      </c>
      <c r="AH55" s="31" t="s">
        <v>144</v>
      </c>
      <c r="AI55" s="31" t="s">
        <v>144</v>
      </c>
      <c r="AJ55" s="31" t="s">
        <v>144</v>
      </c>
      <c r="AK55" s="31" t="s">
        <v>144</v>
      </c>
      <c r="AL55" s="31" t="s">
        <v>322</v>
      </c>
      <c r="AM55" s="31" t="s">
        <v>144</v>
      </c>
      <c r="AN55" s="31" t="s">
        <v>163</v>
      </c>
      <c r="AO55" s="31" t="s">
        <v>1321</v>
      </c>
    </row>
    <row r="56" spans="5:41" ht="15" customHeight="1" x14ac:dyDescent="0.25">
      <c r="E56" s="31" t="s">
        <v>132</v>
      </c>
      <c r="F56" s="31" t="s">
        <v>140</v>
      </c>
      <c r="G56" s="31" t="s">
        <v>153</v>
      </c>
      <c r="H56" s="31" t="s">
        <v>154</v>
      </c>
      <c r="I56" s="31" t="s">
        <v>481</v>
      </c>
      <c r="J56" s="31" t="s">
        <v>554</v>
      </c>
      <c r="K56" s="393" t="s">
        <v>606</v>
      </c>
      <c r="L56" s="31" t="s">
        <v>162</v>
      </c>
      <c r="M56" s="31" t="s">
        <v>144</v>
      </c>
      <c r="N56" s="31" t="s">
        <v>144</v>
      </c>
      <c r="O56" s="31">
        <v>16</v>
      </c>
      <c r="P56" s="31" t="s">
        <v>144</v>
      </c>
      <c r="Q56" s="31" t="s">
        <v>1319</v>
      </c>
      <c r="R56" s="31" t="s">
        <v>312</v>
      </c>
      <c r="S56" s="31" t="s">
        <v>619</v>
      </c>
      <c r="T56" s="31" t="s">
        <v>317</v>
      </c>
      <c r="U56" s="31" t="s">
        <v>321</v>
      </c>
      <c r="V56" s="31" t="s">
        <v>155</v>
      </c>
      <c r="W56" s="31" t="s">
        <v>144</v>
      </c>
      <c r="X56" s="31" t="s">
        <v>144</v>
      </c>
      <c r="Y56" s="31" t="s">
        <v>144</v>
      </c>
      <c r="Z56" s="33">
        <v>1</v>
      </c>
      <c r="AA56" s="402">
        <v>16</v>
      </c>
      <c r="AB56" s="31">
        <v>15.5</v>
      </c>
      <c r="AC56" s="390">
        <v>0.3</v>
      </c>
      <c r="AD56" s="31">
        <v>0.2</v>
      </c>
      <c r="AE56" s="31">
        <v>1.3</v>
      </c>
      <c r="AF56" s="31">
        <v>28</v>
      </c>
      <c r="AG56" s="31" t="s">
        <v>144</v>
      </c>
      <c r="AH56" s="31" t="s">
        <v>144</v>
      </c>
      <c r="AI56" s="31" t="s">
        <v>144</v>
      </c>
      <c r="AJ56" s="31" t="s">
        <v>144</v>
      </c>
      <c r="AK56" s="31" t="s">
        <v>144</v>
      </c>
      <c r="AL56" s="31" t="s">
        <v>322</v>
      </c>
      <c r="AM56" s="31" t="s">
        <v>144</v>
      </c>
      <c r="AN56" s="31" t="s">
        <v>163</v>
      </c>
      <c r="AO56" s="31" t="s">
        <v>1321</v>
      </c>
    </row>
    <row r="57" spans="5:41" ht="15" customHeight="1" x14ac:dyDescent="0.25">
      <c r="E57" s="31" t="s">
        <v>132</v>
      </c>
      <c r="F57" s="31" t="s">
        <v>140</v>
      </c>
      <c r="G57" s="31" t="s">
        <v>153</v>
      </c>
      <c r="H57" s="31" t="s">
        <v>154</v>
      </c>
      <c r="I57" s="31" t="s">
        <v>481</v>
      </c>
      <c r="J57" s="31" t="s">
        <v>554</v>
      </c>
      <c r="K57" s="393" t="s">
        <v>607</v>
      </c>
      <c r="L57" s="31" t="s">
        <v>162</v>
      </c>
      <c r="M57" s="31" t="s">
        <v>144</v>
      </c>
      <c r="N57" s="31" t="s">
        <v>144</v>
      </c>
      <c r="O57" s="31">
        <v>16</v>
      </c>
      <c r="P57" s="31" t="s">
        <v>144</v>
      </c>
      <c r="Q57" s="31" t="s">
        <v>1319</v>
      </c>
      <c r="R57" s="31" t="s">
        <v>312</v>
      </c>
      <c r="S57" s="31" t="s">
        <v>619</v>
      </c>
      <c r="T57" s="31" t="s">
        <v>317</v>
      </c>
      <c r="U57" s="31" t="s">
        <v>321</v>
      </c>
      <c r="V57" s="31" t="s">
        <v>155</v>
      </c>
      <c r="W57" s="31" t="s">
        <v>144</v>
      </c>
      <c r="X57" s="31" t="s">
        <v>144</v>
      </c>
      <c r="Y57" s="31" t="s">
        <v>144</v>
      </c>
      <c r="Z57" s="33">
        <v>1</v>
      </c>
      <c r="AA57" s="402">
        <v>16</v>
      </c>
      <c r="AB57" s="31">
        <v>15.5</v>
      </c>
      <c r="AC57" s="390">
        <v>0.3</v>
      </c>
      <c r="AD57" s="31">
        <v>0.2</v>
      </c>
      <c r="AE57" s="31">
        <v>1.3</v>
      </c>
      <c r="AF57" s="31">
        <v>28</v>
      </c>
      <c r="AG57" s="31" t="s">
        <v>144</v>
      </c>
      <c r="AH57" s="31" t="s">
        <v>144</v>
      </c>
      <c r="AI57" s="31" t="s">
        <v>144</v>
      </c>
      <c r="AJ57" s="31" t="s">
        <v>144</v>
      </c>
      <c r="AK57" s="31" t="s">
        <v>144</v>
      </c>
      <c r="AL57" s="31" t="s">
        <v>322</v>
      </c>
      <c r="AM57" s="31" t="s">
        <v>144</v>
      </c>
      <c r="AN57" s="31" t="s">
        <v>163</v>
      </c>
      <c r="AO57" s="31" t="s">
        <v>1321</v>
      </c>
    </row>
    <row r="58" spans="5:41" ht="15" customHeight="1" x14ac:dyDescent="0.25">
      <c r="E58" s="31" t="s">
        <v>132</v>
      </c>
      <c r="F58" s="31" t="s">
        <v>140</v>
      </c>
      <c r="G58" s="31" t="s">
        <v>153</v>
      </c>
      <c r="H58" s="31" t="s">
        <v>154</v>
      </c>
      <c r="I58" s="31" t="s">
        <v>481</v>
      </c>
      <c r="J58" s="31" t="s">
        <v>554</v>
      </c>
      <c r="K58" s="393" t="s">
        <v>608</v>
      </c>
      <c r="L58" s="31" t="s">
        <v>162</v>
      </c>
      <c r="M58" s="31" t="s">
        <v>144</v>
      </c>
      <c r="N58" s="31" t="s">
        <v>144</v>
      </c>
      <c r="O58" s="31">
        <v>16</v>
      </c>
      <c r="P58" s="31" t="s">
        <v>144</v>
      </c>
      <c r="Q58" s="31" t="s">
        <v>1319</v>
      </c>
      <c r="R58" s="31" t="s">
        <v>312</v>
      </c>
      <c r="S58" s="31" t="s">
        <v>619</v>
      </c>
      <c r="T58" s="31" t="s">
        <v>317</v>
      </c>
      <c r="U58" s="31" t="s">
        <v>321</v>
      </c>
      <c r="V58" s="31" t="s">
        <v>155</v>
      </c>
      <c r="W58" s="31" t="s">
        <v>144</v>
      </c>
      <c r="X58" s="31" t="s">
        <v>144</v>
      </c>
      <c r="Y58" s="31" t="s">
        <v>144</v>
      </c>
      <c r="Z58" s="33">
        <v>1</v>
      </c>
      <c r="AA58" s="402">
        <v>16</v>
      </c>
      <c r="AB58" s="31">
        <v>15.5</v>
      </c>
      <c r="AC58" s="390">
        <v>0.3</v>
      </c>
      <c r="AD58" s="31">
        <v>0.2</v>
      </c>
      <c r="AE58" s="31">
        <v>1.3</v>
      </c>
      <c r="AF58" s="31">
        <v>28</v>
      </c>
      <c r="AG58" s="31" t="s">
        <v>144</v>
      </c>
      <c r="AH58" s="31" t="s">
        <v>144</v>
      </c>
      <c r="AI58" s="31" t="s">
        <v>144</v>
      </c>
      <c r="AJ58" s="31" t="s">
        <v>144</v>
      </c>
      <c r="AK58" s="31" t="s">
        <v>144</v>
      </c>
      <c r="AL58" s="31" t="s">
        <v>322</v>
      </c>
      <c r="AM58" s="31" t="s">
        <v>144</v>
      </c>
      <c r="AN58" s="31" t="s">
        <v>163</v>
      </c>
      <c r="AO58" s="31" t="s">
        <v>1321</v>
      </c>
    </row>
    <row r="59" spans="5:41" ht="15" customHeight="1" x14ac:dyDescent="0.25">
      <c r="E59" s="31" t="s">
        <v>132</v>
      </c>
      <c r="F59" s="31" t="s">
        <v>140</v>
      </c>
      <c r="G59" s="31" t="s">
        <v>153</v>
      </c>
      <c r="H59" s="31" t="s">
        <v>154</v>
      </c>
      <c r="I59" s="31" t="s">
        <v>481</v>
      </c>
      <c r="J59" s="31" t="s">
        <v>554</v>
      </c>
      <c r="K59" s="393" t="s">
        <v>609</v>
      </c>
      <c r="L59" s="31" t="s">
        <v>162</v>
      </c>
      <c r="M59" s="31" t="s">
        <v>144</v>
      </c>
      <c r="N59" s="31" t="s">
        <v>144</v>
      </c>
      <c r="O59" s="31">
        <v>16</v>
      </c>
      <c r="P59" s="31" t="s">
        <v>144</v>
      </c>
      <c r="Q59" s="31" t="s">
        <v>1319</v>
      </c>
      <c r="R59" s="31" t="s">
        <v>312</v>
      </c>
      <c r="S59" s="31" t="s">
        <v>619</v>
      </c>
      <c r="T59" s="31" t="s">
        <v>317</v>
      </c>
      <c r="U59" s="31" t="s">
        <v>321</v>
      </c>
      <c r="V59" s="31" t="s">
        <v>155</v>
      </c>
      <c r="W59" s="31" t="s">
        <v>144</v>
      </c>
      <c r="X59" s="31" t="s">
        <v>144</v>
      </c>
      <c r="Y59" s="31" t="s">
        <v>144</v>
      </c>
      <c r="Z59" s="33">
        <v>1</v>
      </c>
      <c r="AA59" s="402">
        <v>16</v>
      </c>
      <c r="AB59" s="31">
        <v>15.5</v>
      </c>
      <c r="AC59" s="390">
        <v>0.3</v>
      </c>
      <c r="AD59" s="31">
        <v>0.2</v>
      </c>
      <c r="AE59" s="31">
        <v>1.3</v>
      </c>
      <c r="AF59" s="31">
        <v>28</v>
      </c>
      <c r="AG59" s="31" t="s">
        <v>144</v>
      </c>
      <c r="AH59" s="31" t="s">
        <v>144</v>
      </c>
      <c r="AI59" s="31" t="s">
        <v>144</v>
      </c>
      <c r="AJ59" s="31" t="s">
        <v>144</v>
      </c>
      <c r="AK59" s="31" t="s">
        <v>144</v>
      </c>
      <c r="AL59" s="31" t="s">
        <v>322</v>
      </c>
      <c r="AM59" s="31" t="s">
        <v>144</v>
      </c>
      <c r="AN59" s="31" t="s">
        <v>163</v>
      </c>
      <c r="AO59" s="31" t="s">
        <v>1321</v>
      </c>
    </row>
    <row r="60" spans="5:41" ht="15" customHeight="1" x14ac:dyDescent="0.25">
      <c r="E60" s="31" t="s">
        <v>132</v>
      </c>
      <c r="F60" s="31" t="s">
        <v>140</v>
      </c>
      <c r="G60" s="31" t="s">
        <v>153</v>
      </c>
      <c r="H60" s="31" t="s">
        <v>154</v>
      </c>
      <c r="I60" s="31" t="s">
        <v>481</v>
      </c>
      <c r="J60" s="31" t="s">
        <v>554</v>
      </c>
      <c r="K60" s="393" t="s">
        <v>610</v>
      </c>
      <c r="L60" s="31" t="s">
        <v>162</v>
      </c>
      <c r="M60" s="31" t="s">
        <v>144</v>
      </c>
      <c r="N60" s="31" t="s">
        <v>144</v>
      </c>
      <c r="O60" s="31">
        <v>16</v>
      </c>
      <c r="P60" s="31" t="s">
        <v>144</v>
      </c>
      <c r="Q60" s="31" t="s">
        <v>1319</v>
      </c>
      <c r="R60" s="31" t="s">
        <v>312</v>
      </c>
      <c r="S60" s="31" t="s">
        <v>619</v>
      </c>
      <c r="T60" s="31" t="s">
        <v>317</v>
      </c>
      <c r="U60" s="31" t="s">
        <v>321</v>
      </c>
      <c r="V60" s="31" t="s">
        <v>155</v>
      </c>
      <c r="W60" s="31" t="s">
        <v>144</v>
      </c>
      <c r="X60" s="31" t="s">
        <v>144</v>
      </c>
      <c r="Y60" s="31" t="s">
        <v>144</v>
      </c>
      <c r="Z60" s="33">
        <v>1</v>
      </c>
      <c r="AA60" s="402">
        <v>16</v>
      </c>
      <c r="AB60" s="31">
        <v>15.5</v>
      </c>
      <c r="AC60" s="390">
        <v>0.3</v>
      </c>
      <c r="AD60" s="31">
        <v>0.2</v>
      </c>
      <c r="AE60" s="31">
        <v>1.3</v>
      </c>
      <c r="AF60" s="31">
        <v>28</v>
      </c>
      <c r="AG60" s="31" t="s">
        <v>144</v>
      </c>
      <c r="AH60" s="31" t="s">
        <v>144</v>
      </c>
      <c r="AI60" s="31" t="s">
        <v>144</v>
      </c>
      <c r="AJ60" s="31" t="s">
        <v>144</v>
      </c>
      <c r="AK60" s="31" t="s">
        <v>144</v>
      </c>
      <c r="AL60" s="31" t="s">
        <v>322</v>
      </c>
      <c r="AM60" s="31" t="s">
        <v>144</v>
      </c>
      <c r="AN60" s="31" t="s">
        <v>163</v>
      </c>
      <c r="AO60" s="31" t="s">
        <v>1321</v>
      </c>
    </row>
    <row r="61" spans="5:41" ht="15" customHeight="1" x14ac:dyDescent="0.25">
      <c r="E61" s="31" t="s">
        <v>132</v>
      </c>
      <c r="F61" s="31" t="s">
        <v>140</v>
      </c>
      <c r="G61" s="31" t="s">
        <v>153</v>
      </c>
      <c r="H61" s="31" t="s">
        <v>154</v>
      </c>
      <c r="I61" s="31" t="s">
        <v>481</v>
      </c>
      <c r="J61" s="31" t="s">
        <v>554</v>
      </c>
      <c r="K61" s="393" t="s">
        <v>611</v>
      </c>
      <c r="L61" s="31" t="s">
        <v>162</v>
      </c>
      <c r="M61" s="31" t="s">
        <v>144</v>
      </c>
      <c r="N61" s="31" t="s">
        <v>144</v>
      </c>
      <c r="O61" s="31">
        <v>16</v>
      </c>
      <c r="P61" s="31" t="s">
        <v>144</v>
      </c>
      <c r="Q61" s="31" t="s">
        <v>1319</v>
      </c>
      <c r="R61" s="31" t="s">
        <v>312</v>
      </c>
      <c r="S61" s="31" t="s">
        <v>619</v>
      </c>
      <c r="T61" s="31" t="s">
        <v>317</v>
      </c>
      <c r="U61" s="31" t="s">
        <v>321</v>
      </c>
      <c r="V61" s="31" t="s">
        <v>155</v>
      </c>
      <c r="W61" s="31" t="s">
        <v>144</v>
      </c>
      <c r="X61" s="31" t="s">
        <v>144</v>
      </c>
      <c r="Y61" s="31" t="s">
        <v>144</v>
      </c>
      <c r="Z61" s="33">
        <v>1</v>
      </c>
      <c r="AA61" s="402">
        <v>16</v>
      </c>
      <c r="AB61" s="31">
        <v>15.5</v>
      </c>
      <c r="AC61" s="390">
        <v>0.3</v>
      </c>
      <c r="AD61" s="31">
        <v>0.2</v>
      </c>
      <c r="AE61" s="31">
        <v>1.3</v>
      </c>
      <c r="AF61" s="31">
        <v>28</v>
      </c>
      <c r="AG61" s="31" t="s">
        <v>144</v>
      </c>
      <c r="AH61" s="31" t="s">
        <v>144</v>
      </c>
      <c r="AI61" s="31" t="s">
        <v>144</v>
      </c>
      <c r="AJ61" s="31" t="s">
        <v>144</v>
      </c>
      <c r="AK61" s="31" t="s">
        <v>144</v>
      </c>
      <c r="AL61" s="31" t="s">
        <v>322</v>
      </c>
      <c r="AM61" s="31" t="s">
        <v>144</v>
      </c>
      <c r="AN61" s="31" t="s">
        <v>163</v>
      </c>
      <c r="AO61" s="31" t="s">
        <v>1321</v>
      </c>
    </row>
    <row r="62" spans="5:41" ht="15" customHeight="1" x14ac:dyDescent="0.25">
      <c r="E62" s="31" t="s">
        <v>132</v>
      </c>
      <c r="F62" s="31" t="s">
        <v>140</v>
      </c>
      <c r="G62" s="31" t="s">
        <v>153</v>
      </c>
      <c r="H62" s="31" t="s">
        <v>154</v>
      </c>
      <c r="I62" s="31" t="s">
        <v>481</v>
      </c>
      <c r="J62" s="31" t="s">
        <v>554</v>
      </c>
      <c r="K62" s="393" t="s">
        <v>612</v>
      </c>
      <c r="L62" s="31" t="s">
        <v>162</v>
      </c>
      <c r="M62" s="31" t="s">
        <v>144</v>
      </c>
      <c r="N62" s="31" t="s">
        <v>144</v>
      </c>
      <c r="O62" s="31">
        <v>16</v>
      </c>
      <c r="P62" s="31" t="s">
        <v>144</v>
      </c>
      <c r="Q62" s="31" t="s">
        <v>1319</v>
      </c>
      <c r="R62" s="31" t="s">
        <v>312</v>
      </c>
      <c r="S62" s="31" t="s">
        <v>619</v>
      </c>
      <c r="T62" s="31" t="s">
        <v>317</v>
      </c>
      <c r="U62" s="31" t="s">
        <v>321</v>
      </c>
      <c r="V62" s="31" t="s">
        <v>155</v>
      </c>
      <c r="W62" s="31" t="s">
        <v>144</v>
      </c>
      <c r="X62" s="31" t="s">
        <v>144</v>
      </c>
      <c r="Y62" s="31" t="s">
        <v>144</v>
      </c>
      <c r="Z62" s="33">
        <v>1</v>
      </c>
      <c r="AA62" s="402">
        <v>16</v>
      </c>
      <c r="AB62" s="31">
        <v>15.5</v>
      </c>
      <c r="AC62" s="390">
        <v>0.3</v>
      </c>
      <c r="AD62" s="31">
        <v>0.2</v>
      </c>
      <c r="AE62" s="31">
        <v>1.3</v>
      </c>
      <c r="AF62" s="31">
        <v>28</v>
      </c>
      <c r="AG62" s="31" t="s">
        <v>144</v>
      </c>
      <c r="AH62" s="31" t="s">
        <v>144</v>
      </c>
      <c r="AI62" s="31" t="s">
        <v>144</v>
      </c>
      <c r="AJ62" s="31" t="s">
        <v>144</v>
      </c>
      <c r="AK62" s="31" t="s">
        <v>144</v>
      </c>
      <c r="AL62" s="31" t="s">
        <v>322</v>
      </c>
      <c r="AM62" s="31" t="s">
        <v>144</v>
      </c>
      <c r="AN62" s="31" t="s">
        <v>163</v>
      </c>
      <c r="AO62" s="31" t="s">
        <v>1321</v>
      </c>
    </row>
    <row r="63" spans="5:41" ht="15" customHeight="1" x14ac:dyDescent="0.25">
      <c r="E63" s="31" t="s">
        <v>132</v>
      </c>
      <c r="F63" s="31" t="s">
        <v>140</v>
      </c>
      <c r="G63" s="31" t="s">
        <v>153</v>
      </c>
      <c r="H63" s="31" t="s">
        <v>154</v>
      </c>
      <c r="I63" s="31" t="s">
        <v>481</v>
      </c>
      <c r="J63" s="31" t="s">
        <v>554</v>
      </c>
      <c r="K63" s="393" t="s">
        <v>613</v>
      </c>
      <c r="L63" s="31" t="s">
        <v>162</v>
      </c>
      <c r="M63" s="31" t="s">
        <v>144</v>
      </c>
      <c r="N63" s="31" t="s">
        <v>144</v>
      </c>
      <c r="O63" s="31">
        <v>16</v>
      </c>
      <c r="P63" s="31" t="s">
        <v>144</v>
      </c>
      <c r="Q63" s="31" t="s">
        <v>1319</v>
      </c>
      <c r="R63" s="31" t="s">
        <v>312</v>
      </c>
      <c r="S63" s="31" t="s">
        <v>619</v>
      </c>
      <c r="T63" s="31" t="s">
        <v>317</v>
      </c>
      <c r="U63" s="31" t="s">
        <v>321</v>
      </c>
      <c r="V63" s="31" t="s">
        <v>155</v>
      </c>
      <c r="W63" s="31" t="s">
        <v>144</v>
      </c>
      <c r="X63" s="31" t="s">
        <v>144</v>
      </c>
      <c r="Y63" s="31" t="s">
        <v>144</v>
      </c>
      <c r="Z63" s="33">
        <v>1</v>
      </c>
      <c r="AA63" s="402">
        <v>16</v>
      </c>
      <c r="AB63" s="31">
        <v>15.5</v>
      </c>
      <c r="AC63" s="390">
        <v>0.3</v>
      </c>
      <c r="AD63" s="31">
        <v>0.2</v>
      </c>
      <c r="AE63" s="31">
        <v>1.3</v>
      </c>
      <c r="AF63" s="31">
        <v>28</v>
      </c>
      <c r="AG63" s="31" t="s">
        <v>144</v>
      </c>
      <c r="AH63" s="31" t="s">
        <v>144</v>
      </c>
      <c r="AI63" s="31" t="s">
        <v>144</v>
      </c>
      <c r="AJ63" s="31" t="s">
        <v>144</v>
      </c>
      <c r="AK63" s="31" t="s">
        <v>144</v>
      </c>
      <c r="AL63" s="31" t="s">
        <v>322</v>
      </c>
      <c r="AM63" s="31" t="s">
        <v>144</v>
      </c>
      <c r="AN63" s="31" t="s">
        <v>163</v>
      </c>
      <c r="AO63" s="31" t="s">
        <v>1321</v>
      </c>
    </row>
    <row r="64" spans="5:41" ht="15" customHeight="1" x14ac:dyDescent="0.25">
      <c r="E64" s="31" t="s">
        <v>132</v>
      </c>
      <c r="F64" s="31" t="s">
        <v>140</v>
      </c>
      <c r="G64" s="31" t="s">
        <v>153</v>
      </c>
      <c r="H64" s="31" t="s">
        <v>154</v>
      </c>
      <c r="I64" s="31" t="s">
        <v>481</v>
      </c>
      <c r="J64" s="31" t="s">
        <v>554</v>
      </c>
      <c r="K64" s="393" t="s">
        <v>614</v>
      </c>
      <c r="L64" s="31" t="s">
        <v>162</v>
      </c>
      <c r="M64" s="31" t="s">
        <v>144</v>
      </c>
      <c r="N64" s="31" t="s">
        <v>144</v>
      </c>
      <c r="O64" s="31">
        <v>16</v>
      </c>
      <c r="P64" s="31" t="s">
        <v>144</v>
      </c>
      <c r="Q64" s="31" t="s">
        <v>1319</v>
      </c>
      <c r="R64" s="31" t="s">
        <v>312</v>
      </c>
      <c r="S64" s="31" t="s">
        <v>619</v>
      </c>
      <c r="T64" s="31" t="s">
        <v>317</v>
      </c>
      <c r="U64" s="31" t="s">
        <v>321</v>
      </c>
      <c r="V64" s="31" t="s">
        <v>155</v>
      </c>
      <c r="W64" s="31" t="s">
        <v>144</v>
      </c>
      <c r="X64" s="31" t="s">
        <v>144</v>
      </c>
      <c r="Y64" s="31" t="s">
        <v>144</v>
      </c>
      <c r="Z64" s="33">
        <v>1</v>
      </c>
      <c r="AA64" s="402">
        <v>16</v>
      </c>
      <c r="AB64" s="31">
        <v>15.5</v>
      </c>
      <c r="AC64" s="390">
        <v>0.3</v>
      </c>
      <c r="AD64" s="31">
        <v>0.2</v>
      </c>
      <c r="AE64" s="31">
        <v>1.3</v>
      </c>
      <c r="AF64" s="31">
        <v>28</v>
      </c>
      <c r="AG64" s="31" t="s">
        <v>144</v>
      </c>
      <c r="AH64" s="31" t="s">
        <v>144</v>
      </c>
      <c r="AI64" s="31" t="s">
        <v>144</v>
      </c>
      <c r="AJ64" s="31" t="s">
        <v>144</v>
      </c>
      <c r="AK64" s="31" t="s">
        <v>144</v>
      </c>
      <c r="AL64" s="31" t="s">
        <v>322</v>
      </c>
      <c r="AM64" s="31" t="s">
        <v>144</v>
      </c>
      <c r="AN64" s="31" t="s">
        <v>163</v>
      </c>
      <c r="AO64" s="31" t="s">
        <v>1321</v>
      </c>
    </row>
    <row r="65" spans="5:41" ht="15" customHeight="1" x14ac:dyDescent="0.25">
      <c r="E65" s="31" t="s">
        <v>132</v>
      </c>
      <c r="F65" s="31" t="s">
        <v>140</v>
      </c>
      <c r="G65" s="31" t="s">
        <v>153</v>
      </c>
      <c r="H65" s="31" t="s">
        <v>154</v>
      </c>
      <c r="I65" s="31" t="s">
        <v>481</v>
      </c>
      <c r="J65" s="31" t="s">
        <v>554</v>
      </c>
      <c r="K65" s="393" t="s">
        <v>615</v>
      </c>
      <c r="L65" s="31" t="s">
        <v>162</v>
      </c>
      <c r="M65" s="31" t="s">
        <v>144</v>
      </c>
      <c r="N65" s="31" t="s">
        <v>144</v>
      </c>
      <c r="O65" s="31">
        <v>16</v>
      </c>
      <c r="P65" s="31" t="s">
        <v>144</v>
      </c>
      <c r="Q65" s="31" t="s">
        <v>1319</v>
      </c>
      <c r="R65" s="31" t="s">
        <v>312</v>
      </c>
      <c r="S65" s="31" t="s">
        <v>619</v>
      </c>
      <c r="T65" s="31" t="s">
        <v>317</v>
      </c>
      <c r="U65" s="31" t="s">
        <v>321</v>
      </c>
      <c r="V65" s="31" t="s">
        <v>155</v>
      </c>
      <c r="W65" s="31" t="s">
        <v>144</v>
      </c>
      <c r="X65" s="31" t="s">
        <v>144</v>
      </c>
      <c r="Y65" s="31" t="s">
        <v>144</v>
      </c>
      <c r="Z65" s="33">
        <v>1</v>
      </c>
      <c r="AA65" s="402">
        <v>16</v>
      </c>
      <c r="AB65" s="31">
        <v>15.5</v>
      </c>
      <c r="AC65" s="390">
        <v>0.3</v>
      </c>
      <c r="AD65" s="31">
        <v>0.2</v>
      </c>
      <c r="AE65" s="31">
        <v>1.3</v>
      </c>
      <c r="AF65" s="31">
        <v>28</v>
      </c>
      <c r="AG65" s="31" t="s">
        <v>144</v>
      </c>
      <c r="AH65" s="31" t="s">
        <v>144</v>
      </c>
      <c r="AI65" s="31" t="s">
        <v>144</v>
      </c>
      <c r="AJ65" s="31" t="s">
        <v>144</v>
      </c>
      <c r="AK65" s="31" t="s">
        <v>144</v>
      </c>
      <c r="AL65" s="31" t="s">
        <v>322</v>
      </c>
      <c r="AM65" s="31" t="s">
        <v>144</v>
      </c>
      <c r="AN65" s="31" t="s">
        <v>163</v>
      </c>
      <c r="AO65" s="31" t="s">
        <v>1321</v>
      </c>
    </row>
    <row r="66" spans="5:41" ht="15" customHeight="1" x14ac:dyDescent="0.25">
      <c r="E66" s="31" t="s">
        <v>132</v>
      </c>
      <c r="F66" s="31" t="s">
        <v>140</v>
      </c>
      <c r="G66" s="31" t="s">
        <v>153</v>
      </c>
      <c r="H66" s="31" t="s">
        <v>154</v>
      </c>
      <c r="I66" s="31" t="s">
        <v>481</v>
      </c>
      <c r="J66" s="31" t="s">
        <v>554</v>
      </c>
      <c r="K66" s="393" t="s">
        <v>616</v>
      </c>
      <c r="L66" s="31" t="s">
        <v>162</v>
      </c>
      <c r="M66" s="31" t="s">
        <v>144</v>
      </c>
      <c r="N66" s="31" t="s">
        <v>144</v>
      </c>
      <c r="O66" s="31">
        <v>16</v>
      </c>
      <c r="P66" s="31" t="s">
        <v>144</v>
      </c>
      <c r="Q66" s="31" t="s">
        <v>1319</v>
      </c>
      <c r="R66" s="31" t="s">
        <v>312</v>
      </c>
      <c r="S66" s="31" t="s">
        <v>619</v>
      </c>
      <c r="T66" s="31" t="s">
        <v>317</v>
      </c>
      <c r="U66" s="31" t="s">
        <v>321</v>
      </c>
      <c r="V66" s="31" t="s">
        <v>155</v>
      </c>
      <c r="W66" s="31" t="s">
        <v>144</v>
      </c>
      <c r="X66" s="31" t="s">
        <v>144</v>
      </c>
      <c r="Y66" s="31" t="s">
        <v>144</v>
      </c>
      <c r="Z66" s="33">
        <v>1</v>
      </c>
      <c r="AA66" s="402">
        <v>16</v>
      </c>
      <c r="AB66" s="31">
        <v>15.5</v>
      </c>
      <c r="AC66" s="390">
        <v>0.3</v>
      </c>
      <c r="AD66" s="31">
        <v>0.2</v>
      </c>
      <c r="AE66" s="31">
        <v>1.3</v>
      </c>
      <c r="AF66" s="31">
        <v>28</v>
      </c>
      <c r="AG66" s="31" t="s">
        <v>144</v>
      </c>
      <c r="AH66" s="31" t="s">
        <v>144</v>
      </c>
      <c r="AI66" s="31" t="s">
        <v>144</v>
      </c>
      <c r="AJ66" s="31" t="s">
        <v>144</v>
      </c>
      <c r="AK66" s="31" t="s">
        <v>144</v>
      </c>
      <c r="AL66" s="31" t="s">
        <v>322</v>
      </c>
      <c r="AM66" s="31" t="s">
        <v>144</v>
      </c>
      <c r="AN66" s="31" t="s">
        <v>163</v>
      </c>
      <c r="AO66" s="31" t="s">
        <v>1321</v>
      </c>
    </row>
    <row r="67" spans="5:41" ht="15" customHeight="1" x14ac:dyDescent="0.25">
      <c r="E67" s="31" t="s">
        <v>132</v>
      </c>
      <c r="F67" s="31" t="s">
        <v>140</v>
      </c>
      <c r="G67" s="31" t="s">
        <v>153</v>
      </c>
      <c r="H67" s="31" t="s">
        <v>154</v>
      </c>
      <c r="I67" s="31" t="s">
        <v>481</v>
      </c>
      <c r="J67" s="31" t="s">
        <v>554</v>
      </c>
      <c r="K67" s="393" t="s">
        <v>617</v>
      </c>
      <c r="L67" s="31" t="s">
        <v>162</v>
      </c>
      <c r="M67" s="31" t="s">
        <v>144</v>
      </c>
      <c r="N67" s="31" t="s">
        <v>144</v>
      </c>
      <c r="O67" s="31">
        <v>16</v>
      </c>
      <c r="P67" s="31" t="s">
        <v>144</v>
      </c>
      <c r="Q67" s="31" t="s">
        <v>1319</v>
      </c>
      <c r="R67" s="31" t="s">
        <v>312</v>
      </c>
      <c r="S67" s="31" t="s">
        <v>619</v>
      </c>
      <c r="T67" s="31" t="s">
        <v>317</v>
      </c>
      <c r="U67" s="31" t="s">
        <v>321</v>
      </c>
      <c r="V67" s="31" t="s">
        <v>155</v>
      </c>
      <c r="W67" s="31" t="s">
        <v>144</v>
      </c>
      <c r="X67" s="31" t="s">
        <v>144</v>
      </c>
      <c r="Y67" s="31" t="s">
        <v>144</v>
      </c>
      <c r="Z67" s="33">
        <v>1</v>
      </c>
      <c r="AA67" s="402">
        <v>16</v>
      </c>
      <c r="AB67" s="31">
        <v>15.5</v>
      </c>
      <c r="AC67" s="390">
        <v>0.3</v>
      </c>
      <c r="AD67" s="31">
        <v>0.2</v>
      </c>
      <c r="AE67" s="31">
        <v>1.3</v>
      </c>
      <c r="AF67" s="31">
        <v>28</v>
      </c>
      <c r="AG67" s="31" t="s">
        <v>144</v>
      </c>
      <c r="AH67" s="31" t="s">
        <v>144</v>
      </c>
      <c r="AI67" s="31" t="s">
        <v>144</v>
      </c>
      <c r="AJ67" s="31" t="s">
        <v>144</v>
      </c>
      <c r="AK67" s="31" t="s">
        <v>144</v>
      </c>
      <c r="AL67" s="31" t="s">
        <v>322</v>
      </c>
      <c r="AM67" s="31" t="s">
        <v>144</v>
      </c>
      <c r="AN67" s="31" t="s">
        <v>163</v>
      </c>
      <c r="AO67" s="31" t="s">
        <v>1321</v>
      </c>
    </row>
    <row r="68" spans="5:41" ht="15" customHeight="1" x14ac:dyDescent="0.25">
      <c r="E68" s="31" t="s">
        <v>132</v>
      </c>
      <c r="F68" s="31" t="s">
        <v>140</v>
      </c>
      <c r="G68" s="31" t="s">
        <v>153</v>
      </c>
      <c r="H68" s="31" t="s">
        <v>154</v>
      </c>
      <c r="I68" s="31" t="s">
        <v>481</v>
      </c>
      <c r="J68" s="31" t="s">
        <v>554</v>
      </c>
      <c r="K68" s="393" t="s">
        <v>618</v>
      </c>
      <c r="L68" s="31" t="s">
        <v>162</v>
      </c>
      <c r="M68" s="31" t="s">
        <v>144</v>
      </c>
      <c r="N68" s="31" t="s">
        <v>144</v>
      </c>
      <c r="O68" s="31">
        <v>16</v>
      </c>
      <c r="P68" s="31" t="s">
        <v>144</v>
      </c>
      <c r="Q68" s="31" t="s">
        <v>1319</v>
      </c>
      <c r="R68" s="31" t="s">
        <v>312</v>
      </c>
      <c r="S68" s="31" t="s">
        <v>619</v>
      </c>
      <c r="T68" s="31" t="s">
        <v>317</v>
      </c>
      <c r="U68" s="31" t="s">
        <v>321</v>
      </c>
      <c r="V68" s="31" t="s">
        <v>155</v>
      </c>
      <c r="W68" s="31" t="s">
        <v>144</v>
      </c>
      <c r="X68" s="31" t="s">
        <v>144</v>
      </c>
      <c r="Y68" s="31" t="s">
        <v>144</v>
      </c>
      <c r="Z68" s="33">
        <v>1</v>
      </c>
      <c r="AA68" s="402">
        <v>16</v>
      </c>
      <c r="AB68" s="31">
        <v>15.5</v>
      </c>
      <c r="AC68" s="390">
        <v>0.3</v>
      </c>
      <c r="AD68" s="31">
        <v>0.2</v>
      </c>
      <c r="AE68" s="31">
        <v>1.3</v>
      </c>
      <c r="AF68" s="31">
        <v>28</v>
      </c>
      <c r="AG68" s="31" t="s">
        <v>144</v>
      </c>
      <c r="AH68" s="31" t="s">
        <v>144</v>
      </c>
      <c r="AI68" s="31" t="s">
        <v>144</v>
      </c>
      <c r="AJ68" s="31" t="s">
        <v>144</v>
      </c>
      <c r="AK68" s="31" t="s">
        <v>144</v>
      </c>
      <c r="AL68" s="31" t="s">
        <v>322</v>
      </c>
      <c r="AM68" s="31" t="s">
        <v>144</v>
      </c>
      <c r="AN68" s="31" t="s">
        <v>163</v>
      </c>
      <c r="AO68" s="31" t="s">
        <v>1321</v>
      </c>
    </row>
    <row r="69" spans="5:41" ht="15" customHeight="1" x14ac:dyDescent="0.25">
      <c r="E69" s="31"/>
      <c r="F69" s="31"/>
      <c r="G69" s="31"/>
      <c r="H69" s="31"/>
      <c r="I69" s="31"/>
      <c r="J69" s="31"/>
      <c r="K69" s="393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3"/>
      <c r="AB69" s="31"/>
      <c r="AC69" s="390"/>
      <c r="AD69" s="31"/>
      <c r="AE69" s="31"/>
      <c r="AF69" s="31"/>
      <c r="AG69" s="31"/>
      <c r="AH69" s="31"/>
      <c r="AI69" s="31"/>
      <c r="AJ69" s="31"/>
      <c r="AK69" s="31"/>
      <c r="AL69" s="390"/>
    </row>
    <row r="70" spans="5:41" ht="15" customHeight="1" x14ac:dyDescent="0.25"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3"/>
      <c r="AB70" s="31"/>
      <c r="AC70" s="390"/>
      <c r="AD70" s="31"/>
      <c r="AE70" s="31"/>
      <c r="AF70" s="31"/>
      <c r="AG70" s="31"/>
      <c r="AH70" s="31"/>
      <c r="AI70" s="31"/>
      <c r="AJ70" s="31"/>
      <c r="AK70" s="31"/>
      <c r="AL70" s="390"/>
    </row>
    <row r="71" spans="5:41" ht="15" customHeight="1" x14ac:dyDescent="0.25">
      <c r="E71" s="31" t="s">
        <v>132</v>
      </c>
      <c r="F71" s="31" t="s">
        <v>140</v>
      </c>
      <c r="G71" s="31" t="s">
        <v>153</v>
      </c>
      <c r="H71" s="31" t="s">
        <v>154</v>
      </c>
      <c r="I71" s="31" t="s">
        <v>481</v>
      </c>
      <c r="J71" s="31" t="s">
        <v>554</v>
      </c>
      <c r="K71" s="393" t="s">
        <v>555</v>
      </c>
      <c r="L71" s="31" t="s">
        <v>162</v>
      </c>
      <c r="M71" s="31" t="s">
        <v>144</v>
      </c>
      <c r="N71" s="31" t="s">
        <v>144</v>
      </c>
      <c r="O71" s="31">
        <v>16</v>
      </c>
      <c r="P71" s="31" t="s">
        <v>144</v>
      </c>
      <c r="Q71" s="31" t="s">
        <v>471</v>
      </c>
      <c r="R71" s="31" t="s">
        <v>312</v>
      </c>
      <c r="S71" s="31" t="s">
        <v>619</v>
      </c>
      <c r="T71" s="31" t="s">
        <v>317</v>
      </c>
      <c r="U71" s="31" t="s">
        <v>321</v>
      </c>
      <c r="V71" s="31" t="s">
        <v>155</v>
      </c>
      <c r="W71" s="31" t="s">
        <v>144</v>
      </c>
      <c r="X71" s="31" t="s">
        <v>144</v>
      </c>
      <c r="Y71" s="31" t="s">
        <v>144</v>
      </c>
      <c r="Z71" s="33">
        <v>1</v>
      </c>
      <c r="AA71" s="402">
        <v>16</v>
      </c>
      <c r="AB71" s="31">
        <v>15.5</v>
      </c>
      <c r="AC71" s="390">
        <v>0.3</v>
      </c>
      <c r="AD71" s="31">
        <v>0.2</v>
      </c>
      <c r="AE71" s="31">
        <v>1.3</v>
      </c>
      <c r="AF71" s="31">
        <v>28</v>
      </c>
      <c r="AG71" s="31" t="s">
        <v>144</v>
      </c>
      <c r="AH71" s="31" t="s">
        <v>144</v>
      </c>
      <c r="AI71" s="31" t="s">
        <v>144</v>
      </c>
      <c r="AJ71" s="31" t="s">
        <v>144</v>
      </c>
      <c r="AK71" s="31" t="s">
        <v>144</v>
      </c>
      <c r="AL71" s="31" t="s">
        <v>322</v>
      </c>
      <c r="AM71" s="31" t="s">
        <v>144</v>
      </c>
      <c r="AN71" s="31" t="s">
        <v>163</v>
      </c>
      <c r="AO71" s="31" t="s">
        <v>1321</v>
      </c>
    </row>
    <row r="72" spans="5:41" ht="15" customHeight="1" x14ac:dyDescent="0.25">
      <c r="E72" s="31" t="s">
        <v>132</v>
      </c>
      <c r="F72" s="31" t="s">
        <v>140</v>
      </c>
      <c r="G72" s="31" t="s">
        <v>153</v>
      </c>
      <c r="H72" s="31" t="s">
        <v>154</v>
      </c>
      <c r="I72" s="31" t="s">
        <v>481</v>
      </c>
      <c r="J72" s="31" t="s">
        <v>554</v>
      </c>
      <c r="K72" s="393" t="s">
        <v>556</v>
      </c>
      <c r="L72" s="31" t="s">
        <v>162</v>
      </c>
      <c r="M72" s="31" t="s">
        <v>144</v>
      </c>
      <c r="N72" s="31" t="s">
        <v>144</v>
      </c>
      <c r="O72" s="31">
        <v>16</v>
      </c>
      <c r="P72" s="31" t="s">
        <v>144</v>
      </c>
      <c r="Q72" s="31" t="s">
        <v>471</v>
      </c>
      <c r="R72" s="31" t="s">
        <v>312</v>
      </c>
      <c r="S72" s="31" t="s">
        <v>619</v>
      </c>
      <c r="T72" s="31" t="s">
        <v>317</v>
      </c>
      <c r="U72" s="31" t="s">
        <v>321</v>
      </c>
      <c r="V72" s="31" t="s">
        <v>155</v>
      </c>
      <c r="W72" s="31" t="s">
        <v>144</v>
      </c>
      <c r="X72" s="31" t="s">
        <v>144</v>
      </c>
      <c r="Y72" s="31" t="s">
        <v>144</v>
      </c>
      <c r="Z72" s="33">
        <v>1</v>
      </c>
      <c r="AA72" s="402">
        <v>16</v>
      </c>
      <c r="AB72" s="31">
        <v>15.5</v>
      </c>
      <c r="AC72" s="390">
        <v>0.3</v>
      </c>
      <c r="AD72" s="31">
        <v>0.2</v>
      </c>
      <c r="AE72" s="31">
        <v>1.3</v>
      </c>
      <c r="AF72" s="31">
        <v>28</v>
      </c>
      <c r="AG72" s="31" t="s">
        <v>144</v>
      </c>
      <c r="AH72" s="31" t="s">
        <v>144</v>
      </c>
      <c r="AI72" s="31" t="s">
        <v>144</v>
      </c>
      <c r="AJ72" s="31" t="s">
        <v>144</v>
      </c>
      <c r="AK72" s="31" t="s">
        <v>144</v>
      </c>
      <c r="AL72" s="31" t="s">
        <v>322</v>
      </c>
      <c r="AM72" s="31" t="s">
        <v>144</v>
      </c>
      <c r="AN72" s="31" t="s">
        <v>163</v>
      </c>
      <c r="AO72" s="31" t="s">
        <v>1321</v>
      </c>
    </row>
    <row r="73" spans="5:41" ht="15" customHeight="1" x14ac:dyDescent="0.25">
      <c r="E73" s="31" t="s">
        <v>132</v>
      </c>
      <c r="F73" s="31" t="s">
        <v>140</v>
      </c>
      <c r="G73" s="31" t="s">
        <v>153</v>
      </c>
      <c r="H73" s="31" t="s">
        <v>154</v>
      </c>
      <c r="I73" s="31" t="s">
        <v>481</v>
      </c>
      <c r="J73" s="31" t="s">
        <v>554</v>
      </c>
      <c r="K73" s="393" t="s">
        <v>557</v>
      </c>
      <c r="L73" s="31" t="s">
        <v>162</v>
      </c>
      <c r="M73" s="31" t="s">
        <v>144</v>
      </c>
      <c r="N73" s="31" t="s">
        <v>144</v>
      </c>
      <c r="O73" s="31">
        <v>16</v>
      </c>
      <c r="P73" s="31" t="s">
        <v>144</v>
      </c>
      <c r="Q73" s="31" t="s">
        <v>471</v>
      </c>
      <c r="R73" s="31" t="s">
        <v>312</v>
      </c>
      <c r="S73" s="31" t="s">
        <v>619</v>
      </c>
      <c r="T73" s="31" t="s">
        <v>317</v>
      </c>
      <c r="U73" s="31" t="s">
        <v>321</v>
      </c>
      <c r="V73" s="31" t="s">
        <v>155</v>
      </c>
      <c r="W73" s="31" t="s">
        <v>144</v>
      </c>
      <c r="X73" s="31" t="s">
        <v>144</v>
      </c>
      <c r="Y73" s="31" t="s">
        <v>144</v>
      </c>
      <c r="Z73" s="33">
        <v>1</v>
      </c>
      <c r="AA73" s="402">
        <v>16</v>
      </c>
      <c r="AB73" s="31">
        <v>15.5</v>
      </c>
      <c r="AC73" s="390">
        <v>0.3</v>
      </c>
      <c r="AD73" s="31">
        <v>0.2</v>
      </c>
      <c r="AE73" s="31">
        <v>1.3</v>
      </c>
      <c r="AF73" s="31">
        <v>28</v>
      </c>
      <c r="AG73" s="31" t="s">
        <v>144</v>
      </c>
      <c r="AH73" s="31" t="s">
        <v>144</v>
      </c>
      <c r="AI73" s="31" t="s">
        <v>144</v>
      </c>
      <c r="AJ73" s="31" t="s">
        <v>144</v>
      </c>
      <c r="AK73" s="31" t="s">
        <v>144</v>
      </c>
      <c r="AL73" s="31" t="s">
        <v>322</v>
      </c>
      <c r="AM73" s="31" t="s">
        <v>144</v>
      </c>
      <c r="AN73" s="31" t="s">
        <v>163</v>
      </c>
      <c r="AO73" s="31" t="s">
        <v>1321</v>
      </c>
    </row>
    <row r="74" spans="5:41" ht="15" customHeight="1" x14ac:dyDescent="0.25">
      <c r="E74" s="31" t="s">
        <v>132</v>
      </c>
      <c r="F74" s="31" t="s">
        <v>140</v>
      </c>
      <c r="G74" s="31" t="s">
        <v>153</v>
      </c>
      <c r="H74" s="31" t="s">
        <v>154</v>
      </c>
      <c r="I74" s="31" t="s">
        <v>481</v>
      </c>
      <c r="J74" s="31" t="s">
        <v>554</v>
      </c>
      <c r="K74" s="393" t="s">
        <v>558</v>
      </c>
      <c r="L74" s="31" t="s">
        <v>162</v>
      </c>
      <c r="M74" s="31" t="s">
        <v>144</v>
      </c>
      <c r="N74" s="31" t="s">
        <v>144</v>
      </c>
      <c r="O74" s="31">
        <v>16</v>
      </c>
      <c r="P74" s="31" t="s">
        <v>144</v>
      </c>
      <c r="Q74" s="31" t="s">
        <v>471</v>
      </c>
      <c r="R74" s="31" t="s">
        <v>312</v>
      </c>
      <c r="S74" s="31" t="s">
        <v>619</v>
      </c>
      <c r="T74" s="31" t="s">
        <v>317</v>
      </c>
      <c r="U74" s="31" t="s">
        <v>321</v>
      </c>
      <c r="V74" s="31" t="s">
        <v>155</v>
      </c>
      <c r="W74" s="31" t="s">
        <v>144</v>
      </c>
      <c r="X74" s="31" t="s">
        <v>144</v>
      </c>
      <c r="Y74" s="31" t="s">
        <v>144</v>
      </c>
      <c r="Z74" s="33">
        <v>1</v>
      </c>
      <c r="AA74" s="402">
        <v>16</v>
      </c>
      <c r="AB74" s="31">
        <v>15.5</v>
      </c>
      <c r="AC74" s="390">
        <v>0.3</v>
      </c>
      <c r="AD74" s="31">
        <v>0.2</v>
      </c>
      <c r="AE74" s="31">
        <v>1.3</v>
      </c>
      <c r="AF74" s="31">
        <v>28</v>
      </c>
      <c r="AG74" s="31" t="s">
        <v>144</v>
      </c>
      <c r="AH74" s="31" t="s">
        <v>144</v>
      </c>
      <c r="AI74" s="31" t="s">
        <v>144</v>
      </c>
      <c r="AJ74" s="31" t="s">
        <v>144</v>
      </c>
      <c r="AK74" s="31" t="s">
        <v>144</v>
      </c>
      <c r="AL74" s="31" t="s">
        <v>322</v>
      </c>
      <c r="AM74" s="31" t="s">
        <v>144</v>
      </c>
      <c r="AN74" s="31" t="s">
        <v>163</v>
      </c>
      <c r="AO74" s="31" t="s">
        <v>1321</v>
      </c>
    </row>
    <row r="75" spans="5:41" ht="15" customHeight="1" x14ac:dyDescent="0.25">
      <c r="E75" s="31" t="s">
        <v>132</v>
      </c>
      <c r="F75" s="31" t="s">
        <v>140</v>
      </c>
      <c r="G75" s="31" t="s">
        <v>153</v>
      </c>
      <c r="H75" s="31" t="s">
        <v>154</v>
      </c>
      <c r="I75" s="31" t="s">
        <v>481</v>
      </c>
      <c r="J75" s="31" t="s">
        <v>554</v>
      </c>
      <c r="K75" s="393" t="s">
        <v>559</v>
      </c>
      <c r="L75" s="31" t="s">
        <v>162</v>
      </c>
      <c r="M75" s="31" t="s">
        <v>144</v>
      </c>
      <c r="N75" s="31" t="s">
        <v>144</v>
      </c>
      <c r="O75" s="31">
        <v>16</v>
      </c>
      <c r="P75" s="31" t="s">
        <v>144</v>
      </c>
      <c r="Q75" s="31" t="s">
        <v>471</v>
      </c>
      <c r="R75" s="31" t="s">
        <v>312</v>
      </c>
      <c r="S75" s="31" t="s">
        <v>619</v>
      </c>
      <c r="T75" s="31" t="s">
        <v>317</v>
      </c>
      <c r="U75" s="31" t="s">
        <v>321</v>
      </c>
      <c r="V75" s="31" t="s">
        <v>155</v>
      </c>
      <c r="W75" s="31" t="s">
        <v>144</v>
      </c>
      <c r="X75" s="31" t="s">
        <v>144</v>
      </c>
      <c r="Y75" s="31" t="s">
        <v>144</v>
      </c>
      <c r="Z75" s="33">
        <v>1</v>
      </c>
      <c r="AA75" s="402">
        <v>16</v>
      </c>
      <c r="AB75" s="31">
        <v>15.5</v>
      </c>
      <c r="AC75" s="390">
        <v>0.3</v>
      </c>
      <c r="AD75" s="31">
        <v>0.2</v>
      </c>
      <c r="AE75" s="31">
        <v>1.3</v>
      </c>
      <c r="AF75" s="31">
        <v>28</v>
      </c>
      <c r="AG75" s="31" t="s">
        <v>144</v>
      </c>
      <c r="AH75" s="31" t="s">
        <v>144</v>
      </c>
      <c r="AI75" s="31" t="s">
        <v>144</v>
      </c>
      <c r="AJ75" s="31" t="s">
        <v>144</v>
      </c>
      <c r="AK75" s="31" t="s">
        <v>144</v>
      </c>
      <c r="AL75" s="31" t="s">
        <v>322</v>
      </c>
      <c r="AM75" s="31" t="s">
        <v>144</v>
      </c>
      <c r="AN75" s="31" t="s">
        <v>163</v>
      </c>
      <c r="AO75" s="31" t="s">
        <v>1321</v>
      </c>
    </row>
    <row r="76" spans="5:41" ht="15" customHeight="1" x14ac:dyDescent="0.25">
      <c r="E76" s="31" t="s">
        <v>132</v>
      </c>
      <c r="F76" s="31" t="s">
        <v>140</v>
      </c>
      <c r="G76" s="31" t="s">
        <v>153</v>
      </c>
      <c r="H76" s="31" t="s">
        <v>154</v>
      </c>
      <c r="I76" s="31" t="s">
        <v>481</v>
      </c>
      <c r="J76" s="31" t="s">
        <v>554</v>
      </c>
      <c r="K76" s="393" t="s">
        <v>560</v>
      </c>
      <c r="L76" s="31" t="s">
        <v>162</v>
      </c>
      <c r="M76" s="31" t="s">
        <v>144</v>
      </c>
      <c r="N76" s="31" t="s">
        <v>144</v>
      </c>
      <c r="O76" s="31">
        <v>16</v>
      </c>
      <c r="P76" s="31" t="s">
        <v>144</v>
      </c>
      <c r="Q76" s="31" t="s">
        <v>471</v>
      </c>
      <c r="R76" s="31" t="s">
        <v>312</v>
      </c>
      <c r="S76" s="31" t="s">
        <v>619</v>
      </c>
      <c r="T76" s="31" t="s">
        <v>317</v>
      </c>
      <c r="U76" s="31" t="s">
        <v>321</v>
      </c>
      <c r="V76" s="31" t="s">
        <v>155</v>
      </c>
      <c r="W76" s="31" t="s">
        <v>144</v>
      </c>
      <c r="X76" s="31" t="s">
        <v>144</v>
      </c>
      <c r="Y76" s="31" t="s">
        <v>144</v>
      </c>
      <c r="Z76" s="33">
        <v>1</v>
      </c>
      <c r="AA76" s="402">
        <v>16</v>
      </c>
      <c r="AB76" s="31">
        <v>15.5</v>
      </c>
      <c r="AC76" s="390">
        <v>0.3</v>
      </c>
      <c r="AD76" s="31">
        <v>0.2</v>
      </c>
      <c r="AE76" s="31">
        <v>1.3</v>
      </c>
      <c r="AF76" s="31">
        <v>28</v>
      </c>
      <c r="AG76" s="31" t="s">
        <v>144</v>
      </c>
      <c r="AH76" s="31" t="s">
        <v>144</v>
      </c>
      <c r="AI76" s="31" t="s">
        <v>144</v>
      </c>
      <c r="AJ76" s="31" t="s">
        <v>144</v>
      </c>
      <c r="AK76" s="31" t="s">
        <v>144</v>
      </c>
      <c r="AL76" s="31" t="s">
        <v>322</v>
      </c>
      <c r="AM76" s="31" t="s">
        <v>144</v>
      </c>
      <c r="AN76" s="31" t="s">
        <v>163</v>
      </c>
      <c r="AO76" s="31" t="s">
        <v>1321</v>
      </c>
    </row>
    <row r="77" spans="5:41" ht="15" customHeight="1" x14ac:dyDescent="0.25">
      <c r="E77" s="31" t="s">
        <v>132</v>
      </c>
      <c r="F77" s="31" t="s">
        <v>140</v>
      </c>
      <c r="G77" s="31" t="s">
        <v>153</v>
      </c>
      <c r="H77" s="31" t="s">
        <v>154</v>
      </c>
      <c r="I77" s="31" t="s">
        <v>481</v>
      </c>
      <c r="J77" s="31" t="s">
        <v>554</v>
      </c>
      <c r="K77" s="393" t="s">
        <v>561</v>
      </c>
      <c r="L77" s="31" t="s">
        <v>162</v>
      </c>
      <c r="M77" s="31" t="s">
        <v>144</v>
      </c>
      <c r="N77" s="31" t="s">
        <v>144</v>
      </c>
      <c r="O77" s="31">
        <v>16</v>
      </c>
      <c r="P77" s="31" t="s">
        <v>144</v>
      </c>
      <c r="Q77" s="31" t="s">
        <v>471</v>
      </c>
      <c r="R77" s="31" t="s">
        <v>312</v>
      </c>
      <c r="S77" s="31" t="s">
        <v>619</v>
      </c>
      <c r="T77" s="31" t="s">
        <v>317</v>
      </c>
      <c r="U77" s="31" t="s">
        <v>321</v>
      </c>
      <c r="V77" s="31" t="s">
        <v>155</v>
      </c>
      <c r="W77" s="31" t="s">
        <v>144</v>
      </c>
      <c r="X77" s="31" t="s">
        <v>144</v>
      </c>
      <c r="Y77" s="31" t="s">
        <v>144</v>
      </c>
      <c r="Z77" s="33">
        <v>1</v>
      </c>
      <c r="AA77" s="402">
        <v>16</v>
      </c>
      <c r="AB77" s="31">
        <v>15.5</v>
      </c>
      <c r="AC77" s="390">
        <v>0.3</v>
      </c>
      <c r="AD77" s="31">
        <v>0.2</v>
      </c>
      <c r="AE77" s="31">
        <v>1.3</v>
      </c>
      <c r="AF77" s="31">
        <v>28</v>
      </c>
      <c r="AG77" s="31" t="s">
        <v>144</v>
      </c>
      <c r="AH77" s="31" t="s">
        <v>144</v>
      </c>
      <c r="AI77" s="31" t="s">
        <v>144</v>
      </c>
      <c r="AJ77" s="31" t="s">
        <v>144</v>
      </c>
      <c r="AK77" s="31" t="s">
        <v>144</v>
      </c>
      <c r="AL77" s="31" t="s">
        <v>322</v>
      </c>
      <c r="AM77" s="31" t="s">
        <v>144</v>
      </c>
      <c r="AN77" s="31" t="s">
        <v>163</v>
      </c>
      <c r="AO77" s="31" t="s">
        <v>1321</v>
      </c>
    </row>
    <row r="78" spans="5:41" ht="15" customHeight="1" x14ac:dyDescent="0.25">
      <c r="E78" s="31" t="s">
        <v>132</v>
      </c>
      <c r="F78" s="31" t="s">
        <v>140</v>
      </c>
      <c r="G78" s="31" t="s">
        <v>153</v>
      </c>
      <c r="H78" s="31" t="s">
        <v>154</v>
      </c>
      <c r="I78" s="31" t="s">
        <v>481</v>
      </c>
      <c r="J78" s="31" t="s">
        <v>554</v>
      </c>
      <c r="K78" s="393" t="s">
        <v>562</v>
      </c>
      <c r="L78" s="31" t="s">
        <v>162</v>
      </c>
      <c r="M78" s="31" t="s">
        <v>144</v>
      </c>
      <c r="N78" s="31" t="s">
        <v>144</v>
      </c>
      <c r="O78" s="31">
        <v>16</v>
      </c>
      <c r="P78" s="31" t="s">
        <v>144</v>
      </c>
      <c r="Q78" s="31" t="s">
        <v>471</v>
      </c>
      <c r="R78" s="31" t="s">
        <v>312</v>
      </c>
      <c r="S78" s="31" t="s">
        <v>619</v>
      </c>
      <c r="T78" s="31" t="s">
        <v>317</v>
      </c>
      <c r="U78" s="31" t="s">
        <v>321</v>
      </c>
      <c r="V78" s="31" t="s">
        <v>155</v>
      </c>
      <c r="W78" s="31" t="s">
        <v>144</v>
      </c>
      <c r="X78" s="31" t="s">
        <v>144</v>
      </c>
      <c r="Y78" s="31" t="s">
        <v>144</v>
      </c>
      <c r="Z78" s="33">
        <v>1</v>
      </c>
      <c r="AA78" s="402">
        <v>16</v>
      </c>
      <c r="AB78" s="31">
        <v>15.5</v>
      </c>
      <c r="AC78" s="390">
        <v>0.3</v>
      </c>
      <c r="AD78" s="31">
        <v>0.2</v>
      </c>
      <c r="AE78" s="31">
        <v>1.3</v>
      </c>
      <c r="AF78" s="31">
        <v>28</v>
      </c>
      <c r="AG78" s="31" t="s">
        <v>144</v>
      </c>
      <c r="AH78" s="31" t="s">
        <v>144</v>
      </c>
      <c r="AI78" s="31" t="s">
        <v>144</v>
      </c>
      <c r="AJ78" s="31" t="s">
        <v>144</v>
      </c>
      <c r="AK78" s="31" t="s">
        <v>144</v>
      </c>
      <c r="AL78" s="31" t="s">
        <v>322</v>
      </c>
      <c r="AM78" s="31" t="s">
        <v>144</v>
      </c>
      <c r="AN78" s="31" t="s">
        <v>163</v>
      </c>
      <c r="AO78" s="31" t="s">
        <v>1321</v>
      </c>
    </row>
    <row r="79" spans="5:41" ht="15" customHeight="1" x14ac:dyDescent="0.25">
      <c r="E79" s="31" t="s">
        <v>132</v>
      </c>
      <c r="F79" s="31" t="s">
        <v>140</v>
      </c>
      <c r="G79" s="31" t="s">
        <v>153</v>
      </c>
      <c r="H79" s="31" t="s">
        <v>154</v>
      </c>
      <c r="I79" s="31" t="s">
        <v>481</v>
      </c>
      <c r="J79" s="31" t="s">
        <v>554</v>
      </c>
      <c r="K79" s="393" t="s">
        <v>563</v>
      </c>
      <c r="L79" s="31" t="s">
        <v>162</v>
      </c>
      <c r="M79" s="31" t="s">
        <v>144</v>
      </c>
      <c r="N79" s="31" t="s">
        <v>144</v>
      </c>
      <c r="O79" s="31">
        <v>16</v>
      </c>
      <c r="P79" s="31" t="s">
        <v>144</v>
      </c>
      <c r="Q79" s="31" t="s">
        <v>471</v>
      </c>
      <c r="R79" s="31" t="s">
        <v>312</v>
      </c>
      <c r="S79" s="31" t="s">
        <v>619</v>
      </c>
      <c r="T79" s="31" t="s">
        <v>317</v>
      </c>
      <c r="U79" s="31" t="s">
        <v>321</v>
      </c>
      <c r="V79" s="31" t="s">
        <v>155</v>
      </c>
      <c r="W79" s="31" t="s">
        <v>144</v>
      </c>
      <c r="X79" s="31" t="s">
        <v>144</v>
      </c>
      <c r="Y79" s="31" t="s">
        <v>144</v>
      </c>
      <c r="Z79" s="33">
        <v>1</v>
      </c>
      <c r="AA79" s="402">
        <v>16</v>
      </c>
      <c r="AB79" s="31">
        <v>15.5</v>
      </c>
      <c r="AC79" s="390">
        <v>0.3</v>
      </c>
      <c r="AD79" s="31">
        <v>0.2</v>
      </c>
      <c r="AE79" s="31">
        <v>1.3</v>
      </c>
      <c r="AF79" s="31">
        <v>28</v>
      </c>
      <c r="AG79" s="31" t="s">
        <v>144</v>
      </c>
      <c r="AH79" s="31" t="s">
        <v>144</v>
      </c>
      <c r="AI79" s="31" t="s">
        <v>144</v>
      </c>
      <c r="AJ79" s="31" t="s">
        <v>144</v>
      </c>
      <c r="AK79" s="31" t="s">
        <v>144</v>
      </c>
      <c r="AL79" s="31" t="s">
        <v>322</v>
      </c>
      <c r="AM79" s="31" t="s">
        <v>144</v>
      </c>
      <c r="AN79" s="31" t="s">
        <v>163</v>
      </c>
      <c r="AO79" s="31" t="s">
        <v>1321</v>
      </c>
    </row>
    <row r="80" spans="5:41" ht="15" customHeight="1" x14ac:dyDescent="0.25">
      <c r="E80" s="31" t="s">
        <v>132</v>
      </c>
      <c r="F80" s="31" t="s">
        <v>140</v>
      </c>
      <c r="G80" s="31" t="s">
        <v>153</v>
      </c>
      <c r="H80" s="31" t="s">
        <v>154</v>
      </c>
      <c r="I80" s="31" t="s">
        <v>481</v>
      </c>
      <c r="J80" s="31" t="s">
        <v>554</v>
      </c>
      <c r="K80" s="393" t="s">
        <v>564</v>
      </c>
      <c r="L80" s="31" t="s">
        <v>162</v>
      </c>
      <c r="M80" s="31" t="s">
        <v>144</v>
      </c>
      <c r="N80" s="31" t="s">
        <v>144</v>
      </c>
      <c r="O80" s="31">
        <v>16</v>
      </c>
      <c r="P80" s="31" t="s">
        <v>144</v>
      </c>
      <c r="Q80" s="31" t="s">
        <v>471</v>
      </c>
      <c r="R80" s="31" t="s">
        <v>312</v>
      </c>
      <c r="S80" s="31" t="s">
        <v>619</v>
      </c>
      <c r="T80" s="31" t="s">
        <v>317</v>
      </c>
      <c r="U80" s="31" t="s">
        <v>321</v>
      </c>
      <c r="V80" s="31" t="s">
        <v>155</v>
      </c>
      <c r="W80" s="31" t="s">
        <v>144</v>
      </c>
      <c r="X80" s="31" t="s">
        <v>144</v>
      </c>
      <c r="Y80" s="31" t="s">
        <v>144</v>
      </c>
      <c r="Z80" s="33">
        <v>1</v>
      </c>
      <c r="AA80" s="402">
        <v>16</v>
      </c>
      <c r="AB80" s="31">
        <v>15.5</v>
      </c>
      <c r="AC80" s="390">
        <v>0.3</v>
      </c>
      <c r="AD80" s="31">
        <v>0.2</v>
      </c>
      <c r="AE80" s="31">
        <v>1.3</v>
      </c>
      <c r="AF80" s="31">
        <v>28</v>
      </c>
      <c r="AG80" s="31" t="s">
        <v>144</v>
      </c>
      <c r="AH80" s="31" t="s">
        <v>144</v>
      </c>
      <c r="AI80" s="31" t="s">
        <v>144</v>
      </c>
      <c r="AJ80" s="31" t="s">
        <v>144</v>
      </c>
      <c r="AK80" s="31" t="s">
        <v>144</v>
      </c>
      <c r="AL80" s="31" t="s">
        <v>322</v>
      </c>
      <c r="AM80" s="31" t="s">
        <v>144</v>
      </c>
      <c r="AN80" s="31" t="s">
        <v>163</v>
      </c>
      <c r="AO80" s="31" t="s">
        <v>1321</v>
      </c>
    </row>
    <row r="81" spans="5:41" ht="15" customHeight="1" x14ac:dyDescent="0.25">
      <c r="E81" s="31" t="s">
        <v>132</v>
      </c>
      <c r="F81" s="31" t="s">
        <v>140</v>
      </c>
      <c r="G81" s="31" t="s">
        <v>153</v>
      </c>
      <c r="H81" s="31" t="s">
        <v>154</v>
      </c>
      <c r="I81" s="31" t="s">
        <v>481</v>
      </c>
      <c r="J81" s="31" t="s">
        <v>554</v>
      </c>
      <c r="K81" s="393" t="s">
        <v>565</v>
      </c>
      <c r="L81" s="31" t="s">
        <v>162</v>
      </c>
      <c r="M81" s="31" t="s">
        <v>144</v>
      </c>
      <c r="N81" s="31" t="s">
        <v>144</v>
      </c>
      <c r="O81" s="31">
        <v>16</v>
      </c>
      <c r="P81" s="31" t="s">
        <v>144</v>
      </c>
      <c r="Q81" s="31" t="s">
        <v>471</v>
      </c>
      <c r="R81" s="31" t="s">
        <v>312</v>
      </c>
      <c r="S81" s="31" t="s">
        <v>619</v>
      </c>
      <c r="T81" s="31" t="s">
        <v>317</v>
      </c>
      <c r="U81" s="31" t="s">
        <v>321</v>
      </c>
      <c r="V81" s="31" t="s">
        <v>155</v>
      </c>
      <c r="W81" s="31" t="s">
        <v>144</v>
      </c>
      <c r="X81" s="31" t="s">
        <v>144</v>
      </c>
      <c r="Y81" s="31" t="s">
        <v>144</v>
      </c>
      <c r="Z81" s="33">
        <v>1</v>
      </c>
      <c r="AA81" s="402">
        <v>16</v>
      </c>
      <c r="AB81" s="31">
        <v>15.5</v>
      </c>
      <c r="AC81" s="390">
        <v>0.3</v>
      </c>
      <c r="AD81" s="31">
        <v>0.2</v>
      </c>
      <c r="AE81" s="31">
        <v>1.3</v>
      </c>
      <c r="AF81" s="31">
        <v>28</v>
      </c>
      <c r="AG81" s="31" t="s">
        <v>144</v>
      </c>
      <c r="AH81" s="31" t="s">
        <v>144</v>
      </c>
      <c r="AI81" s="31" t="s">
        <v>144</v>
      </c>
      <c r="AJ81" s="31" t="s">
        <v>144</v>
      </c>
      <c r="AK81" s="31" t="s">
        <v>144</v>
      </c>
      <c r="AL81" s="31" t="s">
        <v>322</v>
      </c>
      <c r="AM81" s="31" t="s">
        <v>144</v>
      </c>
      <c r="AN81" s="31" t="s">
        <v>163</v>
      </c>
      <c r="AO81" s="31" t="s">
        <v>1321</v>
      </c>
    </row>
    <row r="82" spans="5:41" ht="15" customHeight="1" x14ac:dyDescent="0.25">
      <c r="E82" s="31" t="s">
        <v>132</v>
      </c>
      <c r="F82" s="31" t="s">
        <v>140</v>
      </c>
      <c r="G82" s="31" t="s">
        <v>153</v>
      </c>
      <c r="H82" s="31" t="s">
        <v>154</v>
      </c>
      <c r="I82" s="31" t="s">
        <v>481</v>
      </c>
      <c r="J82" s="31" t="s">
        <v>554</v>
      </c>
      <c r="K82" s="393" t="s">
        <v>566</v>
      </c>
      <c r="L82" s="31" t="s">
        <v>162</v>
      </c>
      <c r="M82" s="31" t="s">
        <v>144</v>
      </c>
      <c r="N82" s="31" t="s">
        <v>144</v>
      </c>
      <c r="O82" s="31">
        <v>16</v>
      </c>
      <c r="P82" s="31" t="s">
        <v>144</v>
      </c>
      <c r="Q82" s="31" t="s">
        <v>471</v>
      </c>
      <c r="R82" s="31" t="s">
        <v>312</v>
      </c>
      <c r="S82" s="31" t="s">
        <v>619</v>
      </c>
      <c r="T82" s="31" t="s">
        <v>317</v>
      </c>
      <c r="U82" s="31" t="s">
        <v>321</v>
      </c>
      <c r="V82" s="31" t="s">
        <v>155</v>
      </c>
      <c r="W82" s="31" t="s">
        <v>144</v>
      </c>
      <c r="X82" s="31" t="s">
        <v>144</v>
      </c>
      <c r="Y82" s="31" t="s">
        <v>144</v>
      </c>
      <c r="Z82" s="33">
        <v>1</v>
      </c>
      <c r="AA82" s="402">
        <v>16</v>
      </c>
      <c r="AB82" s="31">
        <v>15.5</v>
      </c>
      <c r="AC82" s="390">
        <v>0.3</v>
      </c>
      <c r="AD82" s="31">
        <v>0.2</v>
      </c>
      <c r="AE82" s="31">
        <v>1.3</v>
      </c>
      <c r="AF82" s="31">
        <v>28</v>
      </c>
      <c r="AG82" s="31" t="s">
        <v>144</v>
      </c>
      <c r="AH82" s="31" t="s">
        <v>144</v>
      </c>
      <c r="AI82" s="31" t="s">
        <v>144</v>
      </c>
      <c r="AJ82" s="31" t="s">
        <v>144</v>
      </c>
      <c r="AK82" s="31" t="s">
        <v>144</v>
      </c>
      <c r="AL82" s="31" t="s">
        <v>322</v>
      </c>
      <c r="AM82" s="31" t="s">
        <v>144</v>
      </c>
      <c r="AN82" s="31" t="s">
        <v>163</v>
      </c>
      <c r="AO82" s="31" t="s">
        <v>1321</v>
      </c>
    </row>
    <row r="83" spans="5:41" ht="15" customHeight="1" x14ac:dyDescent="0.25">
      <c r="E83" s="31" t="s">
        <v>132</v>
      </c>
      <c r="F83" s="31" t="s">
        <v>140</v>
      </c>
      <c r="G83" s="31" t="s">
        <v>153</v>
      </c>
      <c r="H83" s="31" t="s">
        <v>154</v>
      </c>
      <c r="I83" s="31" t="s">
        <v>481</v>
      </c>
      <c r="J83" s="31" t="s">
        <v>554</v>
      </c>
      <c r="K83" s="393" t="s">
        <v>567</v>
      </c>
      <c r="L83" s="31" t="s">
        <v>162</v>
      </c>
      <c r="M83" s="31" t="s">
        <v>144</v>
      </c>
      <c r="N83" s="31" t="s">
        <v>144</v>
      </c>
      <c r="O83" s="31">
        <v>16</v>
      </c>
      <c r="P83" s="31" t="s">
        <v>144</v>
      </c>
      <c r="Q83" s="31" t="s">
        <v>471</v>
      </c>
      <c r="R83" s="31" t="s">
        <v>312</v>
      </c>
      <c r="S83" s="31" t="s">
        <v>619</v>
      </c>
      <c r="T83" s="31" t="s">
        <v>317</v>
      </c>
      <c r="U83" s="31" t="s">
        <v>321</v>
      </c>
      <c r="V83" s="31" t="s">
        <v>155</v>
      </c>
      <c r="W83" s="31" t="s">
        <v>144</v>
      </c>
      <c r="X83" s="31" t="s">
        <v>144</v>
      </c>
      <c r="Y83" s="31" t="s">
        <v>144</v>
      </c>
      <c r="Z83" s="33">
        <v>1</v>
      </c>
      <c r="AA83" s="402">
        <v>16</v>
      </c>
      <c r="AB83" s="31">
        <v>15.5</v>
      </c>
      <c r="AC83" s="390">
        <v>0.3</v>
      </c>
      <c r="AD83" s="31">
        <v>0.2</v>
      </c>
      <c r="AE83" s="31">
        <v>1.3</v>
      </c>
      <c r="AF83" s="31">
        <v>28</v>
      </c>
      <c r="AG83" s="31" t="s">
        <v>144</v>
      </c>
      <c r="AH83" s="31" t="s">
        <v>144</v>
      </c>
      <c r="AI83" s="31" t="s">
        <v>144</v>
      </c>
      <c r="AJ83" s="31" t="s">
        <v>144</v>
      </c>
      <c r="AK83" s="31" t="s">
        <v>144</v>
      </c>
      <c r="AL83" s="31" t="s">
        <v>322</v>
      </c>
      <c r="AM83" s="31" t="s">
        <v>144</v>
      </c>
      <c r="AN83" s="31" t="s">
        <v>163</v>
      </c>
      <c r="AO83" s="31" t="s">
        <v>1321</v>
      </c>
    </row>
    <row r="84" spans="5:41" ht="15" customHeight="1" x14ac:dyDescent="0.25">
      <c r="E84" s="31" t="s">
        <v>132</v>
      </c>
      <c r="F84" s="31" t="s">
        <v>140</v>
      </c>
      <c r="G84" s="31" t="s">
        <v>153</v>
      </c>
      <c r="H84" s="31" t="s">
        <v>154</v>
      </c>
      <c r="I84" s="31" t="s">
        <v>481</v>
      </c>
      <c r="J84" s="31" t="s">
        <v>554</v>
      </c>
      <c r="K84" s="393" t="s">
        <v>568</v>
      </c>
      <c r="L84" s="31" t="s">
        <v>162</v>
      </c>
      <c r="M84" s="31" t="s">
        <v>144</v>
      </c>
      <c r="N84" s="31" t="s">
        <v>144</v>
      </c>
      <c r="O84" s="31">
        <v>16</v>
      </c>
      <c r="P84" s="31" t="s">
        <v>144</v>
      </c>
      <c r="Q84" s="31" t="s">
        <v>471</v>
      </c>
      <c r="R84" s="31" t="s">
        <v>312</v>
      </c>
      <c r="S84" s="31" t="s">
        <v>619</v>
      </c>
      <c r="T84" s="31" t="s">
        <v>317</v>
      </c>
      <c r="U84" s="31" t="s">
        <v>321</v>
      </c>
      <c r="V84" s="31" t="s">
        <v>155</v>
      </c>
      <c r="W84" s="31" t="s">
        <v>144</v>
      </c>
      <c r="X84" s="31" t="s">
        <v>144</v>
      </c>
      <c r="Y84" s="31" t="s">
        <v>144</v>
      </c>
      <c r="Z84" s="33">
        <v>1</v>
      </c>
      <c r="AA84" s="402">
        <v>16</v>
      </c>
      <c r="AB84" s="31">
        <v>15.5</v>
      </c>
      <c r="AC84" s="390">
        <v>0.3</v>
      </c>
      <c r="AD84" s="31">
        <v>0.2</v>
      </c>
      <c r="AE84" s="31">
        <v>1.3</v>
      </c>
      <c r="AF84" s="31">
        <v>28</v>
      </c>
      <c r="AG84" s="31" t="s">
        <v>144</v>
      </c>
      <c r="AH84" s="31" t="s">
        <v>144</v>
      </c>
      <c r="AI84" s="31" t="s">
        <v>144</v>
      </c>
      <c r="AJ84" s="31" t="s">
        <v>144</v>
      </c>
      <c r="AK84" s="31" t="s">
        <v>144</v>
      </c>
      <c r="AL84" s="31" t="s">
        <v>322</v>
      </c>
      <c r="AM84" s="31" t="s">
        <v>144</v>
      </c>
      <c r="AN84" s="31" t="s">
        <v>163</v>
      </c>
      <c r="AO84" s="31" t="s">
        <v>1321</v>
      </c>
    </row>
    <row r="85" spans="5:41" ht="15" customHeight="1" x14ac:dyDescent="0.25">
      <c r="E85" s="31" t="s">
        <v>132</v>
      </c>
      <c r="F85" s="31" t="s">
        <v>140</v>
      </c>
      <c r="G85" s="31" t="s">
        <v>153</v>
      </c>
      <c r="H85" s="31" t="s">
        <v>154</v>
      </c>
      <c r="I85" s="31" t="s">
        <v>481</v>
      </c>
      <c r="J85" s="31" t="s">
        <v>554</v>
      </c>
      <c r="K85" s="393" t="s">
        <v>569</v>
      </c>
      <c r="L85" s="31" t="s">
        <v>162</v>
      </c>
      <c r="M85" s="31" t="s">
        <v>144</v>
      </c>
      <c r="N85" s="31" t="s">
        <v>144</v>
      </c>
      <c r="O85" s="31">
        <v>16</v>
      </c>
      <c r="P85" s="31" t="s">
        <v>144</v>
      </c>
      <c r="Q85" s="31" t="s">
        <v>471</v>
      </c>
      <c r="R85" s="31" t="s">
        <v>312</v>
      </c>
      <c r="S85" s="31" t="s">
        <v>619</v>
      </c>
      <c r="T85" s="31" t="s">
        <v>317</v>
      </c>
      <c r="U85" s="31" t="s">
        <v>321</v>
      </c>
      <c r="V85" s="31" t="s">
        <v>155</v>
      </c>
      <c r="W85" s="31" t="s">
        <v>144</v>
      </c>
      <c r="X85" s="31" t="s">
        <v>144</v>
      </c>
      <c r="Y85" s="31" t="s">
        <v>144</v>
      </c>
      <c r="Z85" s="33">
        <v>1</v>
      </c>
      <c r="AA85" s="402">
        <v>16</v>
      </c>
      <c r="AB85" s="31">
        <v>15.5</v>
      </c>
      <c r="AC85" s="390">
        <v>0.3</v>
      </c>
      <c r="AD85" s="31">
        <v>0.2</v>
      </c>
      <c r="AE85" s="31">
        <v>1.3</v>
      </c>
      <c r="AF85" s="31">
        <v>28</v>
      </c>
      <c r="AG85" s="31" t="s">
        <v>144</v>
      </c>
      <c r="AH85" s="31" t="s">
        <v>144</v>
      </c>
      <c r="AI85" s="31" t="s">
        <v>144</v>
      </c>
      <c r="AJ85" s="31" t="s">
        <v>144</v>
      </c>
      <c r="AK85" s="31" t="s">
        <v>144</v>
      </c>
      <c r="AL85" s="31" t="s">
        <v>322</v>
      </c>
      <c r="AM85" s="31" t="s">
        <v>144</v>
      </c>
      <c r="AN85" s="31" t="s">
        <v>163</v>
      </c>
      <c r="AO85" s="31" t="s">
        <v>1321</v>
      </c>
    </row>
    <row r="86" spans="5:41" ht="15" customHeight="1" x14ac:dyDescent="0.25">
      <c r="E86" s="31" t="s">
        <v>132</v>
      </c>
      <c r="F86" s="31" t="s">
        <v>140</v>
      </c>
      <c r="G86" s="31" t="s">
        <v>153</v>
      </c>
      <c r="H86" s="31" t="s">
        <v>154</v>
      </c>
      <c r="I86" s="31" t="s">
        <v>481</v>
      </c>
      <c r="J86" s="31" t="s">
        <v>554</v>
      </c>
      <c r="K86" s="393" t="s">
        <v>570</v>
      </c>
      <c r="L86" s="31" t="s">
        <v>162</v>
      </c>
      <c r="M86" s="31" t="s">
        <v>144</v>
      </c>
      <c r="N86" s="31" t="s">
        <v>144</v>
      </c>
      <c r="O86" s="31">
        <v>16</v>
      </c>
      <c r="P86" s="31" t="s">
        <v>144</v>
      </c>
      <c r="Q86" s="31" t="s">
        <v>471</v>
      </c>
      <c r="R86" s="31" t="s">
        <v>312</v>
      </c>
      <c r="S86" s="31" t="s">
        <v>619</v>
      </c>
      <c r="T86" s="31" t="s">
        <v>317</v>
      </c>
      <c r="U86" s="31" t="s">
        <v>321</v>
      </c>
      <c r="V86" s="31" t="s">
        <v>155</v>
      </c>
      <c r="W86" s="31" t="s">
        <v>144</v>
      </c>
      <c r="X86" s="31" t="s">
        <v>144</v>
      </c>
      <c r="Y86" s="31" t="s">
        <v>144</v>
      </c>
      <c r="Z86" s="33">
        <v>1</v>
      </c>
      <c r="AA86" s="402">
        <v>16</v>
      </c>
      <c r="AB86" s="31">
        <v>15.5</v>
      </c>
      <c r="AC86" s="390">
        <v>0.3</v>
      </c>
      <c r="AD86" s="31">
        <v>0.2</v>
      </c>
      <c r="AE86" s="31">
        <v>1.3</v>
      </c>
      <c r="AF86" s="31">
        <v>28</v>
      </c>
      <c r="AG86" s="31" t="s">
        <v>144</v>
      </c>
      <c r="AH86" s="31" t="s">
        <v>144</v>
      </c>
      <c r="AI86" s="31" t="s">
        <v>144</v>
      </c>
      <c r="AJ86" s="31" t="s">
        <v>144</v>
      </c>
      <c r="AK86" s="31" t="s">
        <v>144</v>
      </c>
      <c r="AL86" s="31" t="s">
        <v>322</v>
      </c>
      <c r="AM86" s="31" t="s">
        <v>144</v>
      </c>
      <c r="AN86" s="31" t="s">
        <v>163</v>
      </c>
      <c r="AO86" s="31" t="s">
        <v>1321</v>
      </c>
    </row>
    <row r="87" spans="5:41" ht="15" customHeight="1" x14ac:dyDescent="0.25">
      <c r="E87" s="31" t="s">
        <v>132</v>
      </c>
      <c r="F87" s="31" t="s">
        <v>140</v>
      </c>
      <c r="G87" s="31" t="s">
        <v>153</v>
      </c>
      <c r="H87" s="31" t="s">
        <v>154</v>
      </c>
      <c r="I87" s="31" t="s">
        <v>481</v>
      </c>
      <c r="J87" s="31" t="s">
        <v>554</v>
      </c>
      <c r="K87" s="393" t="s">
        <v>571</v>
      </c>
      <c r="L87" s="31" t="s">
        <v>162</v>
      </c>
      <c r="M87" s="31" t="s">
        <v>144</v>
      </c>
      <c r="N87" s="31" t="s">
        <v>144</v>
      </c>
      <c r="O87" s="31">
        <v>16</v>
      </c>
      <c r="P87" s="31" t="s">
        <v>144</v>
      </c>
      <c r="Q87" s="31" t="s">
        <v>471</v>
      </c>
      <c r="R87" s="31" t="s">
        <v>312</v>
      </c>
      <c r="S87" s="31" t="s">
        <v>619</v>
      </c>
      <c r="T87" s="31" t="s">
        <v>317</v>
      </c>
      <c r="U87" s="31" t="s">
        <v>321</v>
      </c>
      <c r="V87" s="31" t="s">
        <v>155</v>
      </c>
      <c r="W87" s="31" t="s">
        <v>144</v>
      </c>
      <c r="X87" s="31" t="s">
        <v>144</v>
      </c>
      <c r="Y87" s="31" t="s">
        <v>144</v>
      </c>
      <c r="Z87" s="33">
        <v>1</v>
      </c>
      <c r="AA87" s="402">
        <v>16</v>
      </c>
      <c r="AB87" s="31">
        <v>15.5</v>
      </c>
      <c r="AC87" s="390">
        <v>0.3</v>
      </c>
      <c r="AD87" s="31">
        <v>0.2</v>
      </c>
      <c r="AE87" s="31">
        <v>1.3</v>
      </c>
      <c r="AF87" s="31">
        <v>28</v>
      </c>
      <c r="AG87" s="31" t="s">
        <v>144</v>
      </c>
      <c r="AH87" s="31" t="s">
        <v>144</v>
      </c>
      <c r="AI87" s="31" t="s">
        <v>144</v>
      </c>
      <c r="AJ87" s="31" t="s">
        <v>144</v>
      </c>
      <c r="AK87" s="31" t="s">
        <v>144</v>
      </c>
      <c r="AL87" s="31" t="s">
        <v>322</v>
      </c>
      <c r="AM87" s="31" t="s">
        <v>144</v>
      </c>
      <c r="AN87" s="31" t="s">
        <v>163</v>
      </c>
      <c r="AO87" s="31" t="s">
        <v>1321</v>
      </c>
    </row>
    <row r="88" spans="5:41" ht="15" customHeight="1" x14ac:dyDescent="0.25">
      <c r="E88" s="31" t="s">
        <v>132</v>
      </c>
      <c r="F88" s="31" t="s">
        <v>140</v>
      </c>
      <c r="G88" s="31" t="s">
        <v>153</v>
      </c>
      <c r="H88" s="31" t="s">
        <v>154</v>
      </c>
      <c r="I88" s="31" t="s">
        <v>481</v>
      </c>
      <c r="J88" s="31" t="s">
        <v>554</v>
      </c>
      <c r="K88" s="393" t="s">
        <v>572</v>
      </c>
      <c r="L88" s="31" t="s">
        <v>162</v>
      </c>
      <c r="M88" s="31" t="s">
        <v>144</v>
      </c>
      <c r="N88" s="31" t="s">
        <v>144</v>
      </c>
      <c r="O88" s="31">
        <v>16</v>
      </c>
      <c r="P88" s="31" t="s">
        <v>144</v>
      </c>
      <c r="Q88" s="31" t="s">
        <v>471</v>
      </c>
      <c r="R88" s="31" t="s">
        <v>312</v>
      </c>
      <c r="S88" s="31" t="s">
        <v>619</v>
      </c>
      <c r="T88" s="31" t="s">
        <v>317</v>
      </c>
      <c r="U88" s="31" t="s">
        <v>321</v>
      </c>
      <c r="V88" s="31" t="s">
        <v>155</v>
      </c>
      <c r="W88" s="31" t="s">
        <v>144</v>
      </c>
      <c r="X88" s="31" t="s">
        <v>144</v>
      </c>
      <c r="Y88" s="31" t="s">
        <v>144</v>
      </c>
      <c r="Z88" s="33">
        <v>1</v>
      </c>
      <c r="AA88" s="402">
        <v>16</v>
      </c>
      <c r="AB88" s="31">
        <v>15.5</v>
      </c>
      <c r="AC88" s="390">
        <v>0.3</v>
      </c>
      <c r="AD88" s="31">
        <v>0.2</v>
      </c>
      <c r="AE88" s="31">
        <v>1.3</v>
      </c>
      <c r="AF88" s="31">
        <v>28</v>
      </c>
      <c r="AG88" s="31" t="s">
        <v>144</v>
      </c>
      <c r="AH88" s="31" t="s">
        <v>144</v>
      </c>
      <c r="AI88" s="31" t="s">
        <v>144</v>
      </c>
      <c r="AJ88" s="31" t="s">
        <v>144</v>
      </c>
      <c r="AK88" s="31" t="s">
        <v>144</v>
      </c>
      <c r="AL88" s="31" t="s">
        <v>322</v>
      </c>
      <c r="AM88" s="31" t="s">
        <v>144</v>
      </c>
      <c r="AN88" s="31" t="s">
        <v>163</v>
      </c>
      <c r="AO88" s="31" t="s">
        <v>1321</v>
      </c>
    </row>
    <row r="89" spans="5:41" ht="15" customHeight="1" x14ac:dyDescent="0.25">
      <c r="E89" s="31" t="s">
        <v>132</v>
      </c>
      <c r="F89" s="31" t="s">
        <v>140</v>
      </c>
      <c r="G89" s="31" t="s">
        <v>153</v>
      </c>
      <c r="H89" s="31" t="s">
        <v>154</v>
      </c>
      <c r="I89" s="31" t="s">
        <v>481</v>
      </c>
      <c r="J89" s="31" t="s">
        <v>554</v>
      </c>
      <c r="K89" s="393" t="s">
        <v>573</v>
      </c>
      <c r="L89" s="31" t="s">
        <v>162</v>
      </c>
      <c r="M89" s="31" t="s">
        <v>144</v>
      </c>
      <c r="N89" s="31" t="s">
        <v>144</v>
      </c>
      <c r="O89" s="31">
        <v>16</v>
      </c>
      <c r="P89" s="31" t="s">
        <v>144</v>
      </c>
      <c r="Q89" s="31" t="s">
        <v>471</v>
      </c>
      <c r="R89" s="31" t="s">
        <v>312</v>
      </c>
      <c r="S89" s="31" t="s">
        <v>619</v>
      </c>
      <c r="T89" s="31" t="s">
        <v>317</v>
      </c>
      <c r="U89" s="31" t="s">
        <v>321</v>
      </c>
      <c r="V89" s="31" t="s">
        <v>155</v>
      </c>
      <c r="W89" s="31" t="s">
        <v>144</v>
      </c>
      <c r="X89" s="31" t="s">
        <v>144</v>
      </c>
      <c r="Y89" s="31" t="s">
        <v>144</v>
      </c>
      <c r="Z89" s="33">
        <v>1</v>
      </c>
      <c r="AA89" s="402">
        <v>16</v>
      </c>
      <c r="AB89" s="31">
        <v>15.5</v>
      </c>
      <c r="AC89" s="390">
        <v>0.3</v>
      </c>
      <c r="AD89" s="31">
        <v>0.2</v>
      </c>
      <c r="AE89" s="31">
        <v>1.3</v>
      </c>
      <c r="AF89" s="31">
        <v>28</v>
      </c>
      <c r="AG89" s="31" t="s">
        <v>144</v>
      </c>
      <c r="AH89" s="31" t="s">
        <v>144</v>
      </c>
      <c r="AI89" s="31" t="s">
        <v>144</v>
      </c>
      <c r="AJ89" s="31" t="s">
        <v>144</v>
      </c>
      <c r="AK89" s="31" t="s">
        <v>144</v>
      </c>
      <c r="AL89" s="31" t="s">
        <v>322</v>
      </c>
      <c r="AM89" s="31" t="s">
        <v>144</v>
      </c>
      <c r="AN89" s="31" t="s">
        <v>163</v>
      </c>
      <c r="AO89" s="31" t="s">
        <v>1321</v>
      </c>
    </row>
    <row r="90" spans="5:41" ht="15" customHeight="1" x14ac:dyDescent="0.25">
      <c r="E90" s="31" t="s">
        <v>132</v>
      </c>
      <c r="F90" s="31" t="s">
        <v>140</v>
      </c>
      <c r="G90" s="31" t="s">
        <v>153</v>
      </c>
      <c r="H90" s="31" t="s">
        <v>154</v>
      </c>
      <c r="I90" s="31" t="s">
        <v>481</v>
      </c>
      <c r="J90" s="31" t="s">
        <v>554</v>
      </c>
      <c r="K90" s="393" t="s">
        <v>574</v>
      </c>
      <c r="L90" s="31" t="s">
        <v>162</v>
      </c>
      <c r="M90" s="31" t="s">
        <v>144</v>
      </c>
      <c r="N90" s="31" t="s">
        <v>144</v>
      </c>
      <c r="O90" s="31">
        <v>16</v>
      </c>
      <c r="P90" s="31" t="s">
        <v>144</v>
      </c>
      <c r="Q90" s="31" t="s">
        <v>471</v>
      </c>
      <c r="R90" s="31" t="s">
        <v>312</v>
      </c>
      <c r="S90" s="31" t="s">
        <v>619</v>
      </c>
      <c r="T90" s="31" t="s">
        <v>317</v>
      </c>
      <c r="U90" s="31" t="s">
        <v>321</v>
      </c>
      <c r="V90" s="31" t="s">
        <v>155</v>
      </c>
      <c r="W90" s="31" t="s">
        <v>144</v>
      </c>
      <c r="X90" s="31" t="s">
        <v>144</v>
      </c>
      <c r="Y90" s="31" t="s">
        <v>144</v>
      </c>
      <c r="Z90" s="33">
        <v>1</v>
      </c>
      <c r="AA90" s="402">
        <v>16</v>
      </c>
      <c r="AB90" s="31">
        <v>15.5</v>
      </c>
      <c r="AC90" s="390">
        <v>0.3</v>
      </c>
      <c r="AD90" s="31">
        <v>0.2</v>
      </c>
      <c r="AE90" s="31">
        <v>1.3</v>
      </c>
      <c r="AF90" s="31">
        <v>28</v>
      </c>
      <c r="AG90" s="31" t="s">
        <v>144</v>
      </c>
      <c r="AH90" s="31" t="s">
        <v>144</v>
      </c>
      <c r="AI90" s="31" t="s">
        <v>144</v>
      </c>
      <c r="AJ90" s="31" t="s">
        <v>144</v>
      </c>
      <c r="AK90" s="31" t="s">
        <v>144</v>
      </c>
      <c r="AL90" s="31" t="s">
        <v>322</v>
      </c>
      <c r="AM90" s="31" t="s">
        <v>144</v>
      </c>
      <c r="AN90" s="31" t="s">
        <v>163</v>
      </c>
      <c r="AO90" s="31" t="s">
        <v>1321</v>
      </c>
    </row>
    <row r="91" spans="5:41" ht="15" customHeight="1" x14ac:dyDescent="0.25">
      <c r="E91" s="31" t="s">
        <v>132</v>
      </c>
      <c r="F91" s="31" t="s">
        <v>140</v>
      </c>
      <c r="G91" s="31" t="s">
        <v>153</v>
      </c>
      <c r="H91" s="31" t="s">
        <v>154</v>
      </c>
      <c r="I91" s="31" t="s">
        <v>481</v>
      </c>
      <c r="J91" s="31" t="s">
        <v>554</v>
      </c>
      <c r="K91" s="393" t="s">
        <v>575</v>
      </c>
      <c r="L91" s="31" t="s">
        <v>162</v>
      </c>
      <c r="M91" s="31" t="s">
        <v>144</v>
      </c>
      <c r="N91" s="31" t="s">
        <v>144</v>
      </c>
      <c r="O91" s="31">
        <v>16</v>
      </c>
      <c r="P91" s="31" t="s">
        <v>144</v>
      </c>
      <c r="Q91" s="31" t="s">
        <v>471</v>
      </c>
      <c r="R91" s="31" t="s">
        <v>312</v>
      </c>
      <c r="S91" s="31" t="s">
        <v>619</v>
      </c>
      <c r="T91" s="31" t="s">
        <v>317</v>
      </c>
      <c r="U91" s="31" t="s">
        <v>321</v>
      </c>
      <c r="V91" s="31" t="s">
        <v>155</v>
      </c>
      <c r="W91" s="31" t="s">
        <v>144</v>
      </c>
      <c r="X91" s="31" t="s">
        <v>144</v>
      </c>
      <c r="Y91" s="31" t="s">
        <v>144</v>
      </c>
      <c r="Z91" s="33">
        <v>1</v>
      </c>
      <c r="AA91" s="402">
        <v>16</v>
      </c>
      <c r="AB91" s="31">
        <v>15.5</v>
      </c>
      <c r="AC91" s="390">
        <v>0.3</v>
      </c>
      <c r="AD91" s="31">
        <v>0.2</v>
      </c>
      <c r="AE91" s="31">
        <v>1.3</v>
      </c>
      <c r="AF91" s="31">
        <v>28</v>
      </c>
      <c r="AG91" s="31" t="s">
        <v>144</v>
      </c>
      <c r="AH91" s="31" t="s">
        <v>144</v>
      </c>
      <c r="AI91" s="31" t="s">
        <v>144</v>
      </c>
      <c r="AJ91" s="31" t="s">
        <v>144</v>
      </c>
      <c r="AK91" s="31" t="s">
        <v>144</v>
      </c>
      <c r="AL91" s="31" t="s">
        <v>322</v>
      </c>
      <c r="AM91" s="31" t="s">
        <v>144</v>
      </c>
      <c r="AN91" s="31" t="s">
        <v>163</v>
      </c>
      <c r="AO91" s="31" t="s">
        <v>1321</v>
      </c>
    </row>
    <row r="92" spans="5:41" ht="15" customHeight="1" x14ac:dyDescent="0.25">
      <c r="E92" s="31" t="s">
        <v>132</v>
      </c>
      <c r="F92" s="31" t="s">
        <v>140</v>
      </c>
      <c r="G92" s="31" t="s">
        <v>153</v>
      </c>
      <c r="H92" s="31" t="s">
        <v>154</v>
      </c>
      <c r="I92" s="31" t="s">
        <v>481</v>
      </c>
      <c r="J92" s="31" t="s">
        <v>554</v>
      </c>
      <c r="K92" s="393" t="s">
        <v>576</v>
      </c>
      <c r="L92" s="31" t="s">
        <v>162</v>
      </c>
      <c r="M92" s="31" t="s">
        <v>144</v>
      </c>
      <c r="N92" s="31" t="s">
        <v>144</v>
      </c>
      <c r="O92" s="31">
        <v>16</v>
      </c>
      <c r="P92" s="31" t="s">
        <v>144</v>
      </c>
      <c r="Q92" s="31" t="s">
        <v>471</v>
      </c>
      <c r="R92" s="31" t="s">
        <v>312</v>
      </c>
      <c r="S92" s="31" t="s">
        <v>619</v>
      </c>
      <c r="T92" s="31" t="s">
        <v>317</v>
      </c>
      <c r="U92" s="31" t="s">
        <v>321</v>
      </c>
      <c r="V92" s="31" t="s">
        <v>155</v>
      </c>
      <c r="W92" s="31" t="s">
        <v>144</v>
      </c>
      <c r="X92" s="31" t="s">
        <v>144</v>
      </c>
      <c r="Y92" s="31" t="s">
        <v>144</v>
      </c>
      <c r="Z92" s="33">
        <v>1</v>
      </c>
      <c r="AA92" s="402">
        <v>16</v>
      </c>
      <c r="AB92" s="31">
        <v>15.5</v>
      </c>
      <c r="AC92" s="390">
        <v>0.3</v>
      </c>
      <c r="AD92" s="31">
        <v>0.2</v>
      </c>
      <c r="AE92" s="31">
        <v>1.3</v>
      </c>
      <c r="AF92" s="31">
        <v>28</v>
      </c>
      <c r="AG92" s="31" t="s">
        <v>144</v>
      </c>
      <c r="AH92" s="31" t="s">
        <v>144</v>
      </c>
      <c r="AI92" s="31" t="s">
        <v>144</v>
      </c>
      <c r="AJ92" s="31" t="s">
        <v>144</v>
      </c>
      <c r="AK92" s="31" t="s">
        <v>144</v>
      </c>
      <c r="AL92" s="31" t="s">
        <v>322</v>
      </c>
      <c r="AM92" s="31" t="s">
        <v>144</v>
      </c>
      <c r="AN92" s="31" t="s">
        <v>163</v>
      </c>
      <c r="AO92" s="31" t="s">
        <v>1321</v>
      </c>
    </row>
    <row r="93" spans="5:41" ht="15" customHeight="1" x14ac:dyDescent="0.25">
      <c r="E93" s="31" t="s">
        <v>132</v>
      </c>
      <c r="F93" s="31" t="s">
        <v>140</v>
      </c>
      <c r="G93" s="31" t="s">
        <v>153</v>
      </c>
      <c r="H93" s="31" t="s">
        <v>154</v>
      </c>
      <c r="I93" s="31" t="s">
        <v>481</v>
      </c>
      <c r="J93" s="31" t="s">
        <v>554</v>
      </c>
      <c r="K93" s="393" t="s">
        <v>577</v>
      </c>
      <c r="L93" s="31" t="s">
        <v>162</v>
      </c>
      <c r="M93" s="31" t="s">
        <v>144</v>
      </c>
      <c r="N93" s="31" t="s">
        <v>144</v>
      </c>
      <c r="O93" s="31">
        <v>16</v>
      </c>
      <c r="P93" s="31" t="s">
        <v>144</v>
      </c>
      <c r="Q93" s="31" t="s">
        <v>471</v>
      </c>
      <c r="R93" s="31" t="s">
        <v>312</v>
      </c>
      <c r="S93" s="31" t="s">
        <v>619</v>
      </c>
      <c r="T93" s="31" t="s">
        <v>317</v>
      </c>
      <c r="U93" s="31" t="s">
        <v>321</v>
      </c>
      <c r="V93" s="31" t="s">
        <v>155</v>
      </c>
      <c r="W93" s="31" t="s">
        <v>144</v>
      </c>
      <c r="X93" s="31" t="s">
        <v>144</v>
      </c>
      <c r="Y93" s="31" t="s">
        <v>144</v>
      </c>
      <c r="Z93" s="33">
        <v>1</v>
      </c>
      <c r="AA93" s="402">
        <v>16</v>
      </c>
      <c r="AB93" s="31">
        <v>15.5</v>
      </c>
      <c r="AC93" s="390">
        <v>0.3</v>
      </c>
      <c r="AD93" s="31">
        <v>0.2</v>
      </c>
      <c r="AE93" s="31">
        <v>1.3</v>
      </c>
      <c r="AF93" s="31">
        <v>28</v>
      </c>
      <c r="AG93" s="31" t="s">
        <v>144</v>
      </c>
      <c r="AH93" s="31" t="s">
        <v>144</v>
      </c>
      <c r="AI93" s="31" t="s">
        <v>144</v>
      </c>
      <c r="AJ93" s="31" t="s">
        <v>144</v>
      </c>
      <c r="AK93" s="31" t="s">
        <v>144</v>
      </c>
      <c r="AL93" s="31" t="s">
        <v>322</v>
      </c>
      <c r="AM93" s="31" t="s">
        <v>144</v>
      </c>
      <c r="AN93" s="31" t="s">
        <v>163</v>
      </c>
      <c r="AO93" s="31" t="s">
        <v>1321</v>
      </c>
    </row>
    <row r="94" spans="5:41" ht="15" customHeight="1" x14ac:dyDescent="0.25">
      <c r="E94" s="31" t="s">
        <v>132</v>
      </c>
      <c r="F94" s="31" t="s">
        <v>140</v>
      </c>
      <c r="G94" s="31" t="s">
        <v>153</v>
      </c>
      <c r="H94" s="31" t="s">
        <v>154</v>
      </c>
      <c r="I94" s="31" t="s">
        <v>481</v>
      </c>
      <c r="J94" s="31" t="s">
        <v>554</v>
      </c>
      <c r="K94" s="393" t="s">
        <v>578</v>
      </c>
      <c r="L94" s="31" t="s">
        <v>162</v>
      </c>
      <c r="M94" s="31" t="s">
        <v>144</v>
      </c>
      <c r="N94" s="31" t="s">
        <v>144</v>
      </c>
      <c r="O94" s="31">
        <v>16</v>
      </c>
      <c r="P94" s="31" t="s">
        <v>144</v>
      </c>
      <c r="Q94" s="31" t="s">
        <v>471</v>
      </c>
      <c r="R94" s="31" t="s">
        <v>312</v>
      </c>
      <c r="S94" s="31" t="s">
        <v>619</v>
      </c>
      <c r="T94" s="31" t="s">
        <v>317</v>
      </c>
      <c r="U94" s="31" t="s">
        <v>321</v>
      </c>
      <c r="V94" s="31" t="s">
        <v>155</v>
      </c>
      <c r="W94" s="31" t="s">
        <v>144</v>
      </c>
      <c r="X94" s="31" t="s">
        <v>144</v>
      </c>
      <c r="Y94" s="31" t="s">
        <v>144</v>
      </c>
      <c r="Z94" s="33">
        <v>1</v>
      </c>
      <c r="AA94" s="402">
        <v>16</v>
      </c>
      <c r="AB94" s="31">
        <v>15.5</v>
      </c>
      <c r="AC94" s="390">
        <v>0.3</v>
      </c>
      <c r="AD94" s="31">
        <v>0.2</v>
      </c>
      <c r="AE94" s="31">
        <v>1.3</v>
      </c>
      <c r="AF94" s="31">
        <v>28</v>
      </c>
      <c r="AG94" s="31" t="s">
        <v>144</v>
      </c>
      <c r="AH94" s="31" t="s">
        <v>144</v>
      </c>
      <c r="AI94" s="31" t="s">
        <v>144</v>
      </c>
      <c r="AJ94" s="31" t="s">
        <v>144</v>
      </c>
      <c r="AK94" s="31" t="s">
        <v>144</v>
      </c>
      <c r="AL94" s="31" t="s">
        <v>322</v>
      </c>
      <c r="AM94" s="31" t="s">
        <v>144</v>
      </c>
      <c r="AN94" s="31" t="s">
        <v>163</v>
      </c>
      <c r="AO94" s="31" t="s">
        <v>1321</v>
      </c>
    </row>
    <row r="95" spans="5:41" ht="15" customHeight="1" x14ac:dyDescent="0.25">
      <c r="E95" s="31" t="s">
        <v>132</v>
      </c>
      <c r="F95" s="31" t="s">
        <v>140</v>
      </c>
      <c r="G95" s="31" t="s">
        <v>153</v>
      </c>
      <c r="H95" s="31" t="s">
        <v>154</v>
      </c>
      <c r="I95" s="31" t="s">
        <v>481</v>
      </c>
      <c r="J95" s="31" t="s">
        <v>554</v>
      </c>
      <c r="K95" s="393" t="s">
        <v>579</v>
      </c>
      <c r="L95" s="31" t="s">
        <v>162</v>
      </c>
      <c r="M95" s="31" t="s">
        <v>144</v>
      </c>
      <c r="N95" s="31" t="s">
        <v>144</v>
      </c>
      <c r="O95" s="31">
        <v>16</v>
      </c>
      <c r="P95" s="31" t="s">
        <v>144</v>
      </c>
      <c r="Q95" s="31" t="s">
        <v>471</v>
      </c>
      <c r="R95" s="31" t="s">
        <v>312</v>
      </c>
      <c r="S95" s="31" t="s">
        <v>619</v>
      </c>
      <c r="T95" s="31" t="s">
        <v>317</v>
      </c>
      <c r="U95" s="31" t="s">
        <v>321</v>
      </c>
      <c r="V95" s="31" t="s">
        <v>155</v>
      </c>
      <c r="W95" s="31" t="s">
        <v>144</v>
      </c>
      <c r="X95" s="31" t="s">
        <v>144</v>
      </c>
      <c r="Y95" s="31" t="s">
        <v>144</v>
      </c>
      <c r="Z95" s="33">
        <v>1</v>
      </c>
      <c r="AA95" s="402">
        <v>16</v>
      </c>
      <c r="AB95" s="31">
        <v>15.5</v>
      </c>
      <c r="AC95" s="390">
        <v>0.3</v>
      </c>
      <c r="AD95" s="31">
        <v>0.2</v>
      </c>
      <c r="AE95" s="31">
        <v>1.3</v>
      </c>
      <c r="AF95" s="31">
        <v>28</v>
      </c>
      <c r="AG95" s="31" t="s">
        <v>144</v>
      </c>
      <c r="AH95" s="31" t="s">
        <v>144</v>
      </c>
      <c r="AI95" s="31" t="s">
        <v>144</v>
      </c>
      <c r="AJ95" s="31" t="s">
        <v>144</v>
      </c>
      <c r="AK95" s="31" t="s">
        <v>144</v>
      </c>
      <c r="AL95" s="31" t="s">
        <v>322</v>
      </c>
      <c r="AM95" s="31" t="s">
        <v>144</v>
      </c>
      <c r="AN95" s="31" t="s">
        <v>163</v>
      </c>
      <c r="AO95" s="31" t="s">
        <v>1321</v>
      </c>
    </row>
    <row r="96" spans="5:41" ht="15" customHeight="1" x14ac:dyDescent="0.25">
      <c r="E96" s="31" t="s">
        <v>132</v>
      </c>
      <c r="F96" s="31" t="s">
        <v>140</v>
      </c>
      <c r="G96" s="31" t="s">
        <v>153</v>
      </c>
      <c r="H96" s="31" t="s">
        <v>154</v>
      </c>
      <c r="I96" s="31" t="s">
        <v>481</v>
      </c>
      <c r="J96" s="31" t="s">
        <v>554</v>
      </c>
      <c r="K96" s="393" t="s">
        <v>580</v>
      </c>
      <c r="L96" s="31" t="s">
        <v>162</v>
      </c>
      <c r="M96" s="31" t="s">
        <v>144</v>
      </c>
      <c r="N96" s="31" t="s">
        <v>144</v>
      </c>
      <c r="O96" s="31">
        <v>16</v>
      </c>
      <c r="P96" s="31" t="s">
        <v>144</v>
      </c>
      <c r="Q96" s="31" t="s">
        <v>471</v>
      </c>
      <c r="R96" s="31" t="s">
        <v>312</v>
      </c>
      <c r="S96" s="31" t="s">
        <v>619</v>
      </c>
      <c r="T96" s="31" t="s">
        <v>317</v>
      </c>
      <c r="U96" s="31" t="s">
        <v>321</v>
      </c>
      <c r="V96" s="31" t="s">
        <v>155</v>
      </c>
      <c r="W96" s="31" t="s">
        <v>144</v>
      </c>
      <c r="X96" s="31" t="s">
        <v>144</v>
      </c>
      <c r="Y96" s="31" t="s">
        <v>144</v>
      </c>
      <c r="Z96" s="33">
        <v>1</v>
      </c>
      <c r="AA96" s="402">
        <v>16</v>
      </c>
      <c r="AB96" s="31">
        <v>15.5</v>
      </c>
      <c r="AC96" s="390">
        <v>0.3</v>
      </c>
      <c r="AD96" s="31">
        <v>0.2</v>
      </c>
      <c r="AE96" s="31">
        <v>1.3</v>
      </c>
      <c r="AF96" s="31">
        <v>28</v>
      </c>
      <c r="AG96" s="31" t="s">
        <v>144</v>
      </c>
      <c r="AH96" s="31" t="s">
        <v>144</v>
      </c>
      <c r="AI96" s="31" t="s">
        <v>144</v>
      </c>
      <c r="AJ96" s="31" t="s">
        <v>144</v>
      </c>
      <c r="AK96" s="31" t="s">
        <v>144</v>
      </c>
      <c r="AL96" s="31" t="s">
        <v>322</v>
      </c>
      <c r="AM96" s="31" t="s">
        <v>144</v>
      </c>
      <c r="AN96" s="31" t="s">
        <v>163</v>
      </c>
      <c r="AO96" s="31" t="s">
        <v>1321</v>
      </c>
    </row>
    <row r="97" spans="5:41" ht="15" customHeight="1" x14ac:dyDescent="0.25">
      <c r="E97" s="31" t="s">
        <v>132</v>
      </c>
      <c r="F97" s="31" t="s">
        <v>140</v>
      </c>
      <c r="G97" s="31" t="s">
        <v>153</v>
      </c>
      <c r="H97" s="31" t="s">
        <v>154</v>
      </c>
      <c r="I97" s="31" t="s">
        <v>481</v>
      </c>
      <c r="J97" s="31" t="s">
        <v>554</v>
      </c>
      <c r="K97" s="393" t="s">
        <v>581</v>
      </c>
      <c r="L97" s="31" t="s">
        <v>162</v>
      </c>
      <c r="M97" s="31" t="s">
        <v>144</v>
      </c>
      <c r="N97" s="31" t="s">
        <v>144</v>
      </c>
      <c r="O97" s="31">
        <v>16</v>
      </c>
      <c r="P97" s="31" t="s">
        <v>144</v>
      </c>
      <c r="Q97" s="31" t="s">
        <v>471</v>
      </c>
      <c r="R97" s="31" t="s">
        <v>312</v>
      </c>
      <c r="S97" s="31" t="s">
        <v>619</v>
      </c>
      <c r="T97" s="31" t="s">
        <v>317</v>
      </c>
      <c r="U97" s="31" t="s">
        <v>321</v>
      </c>
      <c r="V97" s="31" t="s">
        <v>155</v>
      </c>
      <c r="W97" s="31" t="s">
        <v>144</v>
      </c>
      <c r="X97" s="31" t="s">
        <v>144</v>
      </c>
      <c r="Y97" s="31" t="s">
        <v>144</v>
      </c>
      <c r="Z97" s="33">
        <v>1</v>
      </c>
      <c r="AA97" s="402">
        <v>16</v>
      </c>
      <c r="AB97" s="31">
        <v>15.5</v>
      </c>
      <c r="AC97" s="390">
        <v>0.3</v>
      </c>
      <c r="AD97" s="31">
        <v>0.2</v>
      </c>
      <c r="AE97" s="31">
        <v>1.3</v>
      </c>
      <c r="AF97" s="31">
        <v>28</v>
      </c>
      <c r="AG97" s="31" t="s">
        <v>144</v>
      </c>
      <c r="AH97" s="31" t="s">
        <v>144</v>
      </c>
      <c r="AI97" s="31" t="s">
        <v>144</v>
      </c>
      <c r="AJ97" s="31" t="s">
        <v>144</v>
      </c>
      <c r="AK97" s="31" t="s">
        <v>144</v>
      </c>
      <c r="AL97" s="31" t="s">
        <v>322</v>
      </c>
      <c r="AM97" s="31" t="s">
        <v>144</v>
      </c>
      <c r="AN97" s="31" t="s">
        <v>163</v>
      </c>
      <c r="AO97" s="31" t="s">
        <v>1321</v>
      </c>
    </row>
    <row r="98" spans="5:41" ht="15" customHeight="1" x14ac:dyDescent="0.25">
      <c r="E98" s="31" t="s">
        <v>132</v>
      </c>
      <c r="F98" s="31" t="s">
        <v>140</v>
      </c>
      <c r="G98" s="31" t="s">
        <v>153</v>
      </c>
      <c r="H98" s="31" t="s">
        <v>154</v>
      </c>
      <c r="I98" s="31" t="s">
        <v>481</v>
      </c>
      <c r="J98" s="31" t="s">
        <v>554</v>
      </c>
      <c r="K98" s="393" t="s">
        <v>582</v>
      </c>
      <c r="L98" s="31" t="s">
        <v>162</v>
      </c>
      <c r="M98" s="31" t="s">
        <v>144</v>
      </c>
      <c r="N98" s="31" t="s">
        <v>144</v>
      </c>
      <c r="O98" s="31">
        <v>16</v>
      </c>
      <c r="P98" s="31" t="s">
        <v>144</v>
      </c>
      <c r="Q98" s="31" t="s">
        <v>471</v>
      </c>
      <c r="R98" s="31" t="s">
        <v>312</v>
      </c>
      <c r="S98" s="31" t="s">
        <v>619</v>
      </c>
      <c r="T98" s="31" t="s">
        <v>317</v>
      </c>
      <c r="U98" s="31" t="s">
        <v>321</v>
      </c>
      <c r="V98" s="31" t="s">
        <v>155</v>
      </c>
      <c r="W98" s="31" t="s">
        <v>144</v>
      </c>
      <c r="X98" s="31" t="s">
        <v>144</v>
      </c>
      <c r="Y98" s="31" t="s">
        <v>144</v>
      </c>
      <c r="Z98" s="33">
        <v>1</v>
      </c>
      <c r="AA98" s="402">
        <v>16</v>
      </c>
      <c r="AB98" s="31">
        <v>15.5</v>
      </c>
      <c r="AC98" s="390">
        <v>0.3</v>
      </c>
      <c r="AD98" s="31">
        <v>0.2</v>
      </c>
      <c r="AE98" s="31">
        <v>1.3</v>
      </c>
      <c r="AF98" s="31">
        <v>28</v>
      </c>
      <c r="AG98" s="31" t="s">
        <v>144</v>
      </c>
      <c r="AH98" s="31" t="s">
        <v>144</v>
      </c>
      <c r="AI98" s="31" t="s">
        <v>144</v>
      </c>
      <c r="AJ98" s="31" t="s">
        <v>144</v>
      </c>
      <c r="AK98" s="31" t="s">
        <v>144</v>
      </c>
      <c r="AL98" s="31" t="s">
        <v>322</v>
      </c>
      <c r="AM98" s="31" t="s">
        <v>144</v>
      </c>
      <c r="AN98" s="31" t="s">
        <v>163</v>
      </c>
      <c r="AO98" s="31" t="s">
        <v>1321</v>
      </c>
    </row>
    <row r="99" spans="5:41" ht="15" customHeight="1" x14ac:dyDescent="0.25">
      <c r="E99" s="31" t="s">
        <v>132</v>
      </c>
      <c r="F99" s="31" t="s">
        <v>140</v>
      </c>
      <c r="G99" s="31" t="s">
        <v>153</v>
      </c>
      <c r="H99" s="31" t="s">
        <v>154</v>
      </c>
      <c r="I99" s="31" t="s">
        <v>481</v>
      </c>
      <c r="J99" s="31" t="s">
        <v>554</v>
      </c>
      <c r="K99" s="393" t="s">
        <v>583</v>
      </c>
      <c r="L99" s="31" t="s">
        <v>162</v>
      </c>
      <c r="M99" s="31" t="s">
        <v>144</v>
      </c>
      <c r="N99" s="31" t="s">
        <v>144</v>
      </c>
      <c r="O99" s="31">
        <v>16</v>
      </c>
      <c r="P99" s="31" t="s">
        <v>144</v>
      </c>
      <c r="Q99" s="31" t="s">
        <v>471</v>
      </c>
      <c r="R99" s="31" t="s">
        <v>312</v>
      </c>
      <c r="S99" s="31" t="s">
        <v>619</v>
      </c>
      <c r="T99" s="31" t="s">
        <v>317</v>
      </c>
      <c r="U99" s="31" t="s">
        <v>321</v>
      </c>
      <c r="V99" s="31" t="s">
        <v>155</v>
      </c>
      <c r="W99" s="31" t="s">
        <v>144</v>
      </c>
      <c r="X99" s="31" t="s">
        <v>144</v>
      </c>
      <c r="Y99" s="31" t="s">
        <v>144</v>
      </c>
      <c r="Z99" s="33">
        <v>1</v>
      </c>
      <c r="AA99" s="402">
        <v>16</v>
      </c>
      <c r="AB99" s="31">
        <v>15.5</v>
      </c>
      <c r="AC99" s="390">
        <v>0.3</v>
      </c>
      <c r="AD99" s="31">
        <v>0.2</v>
      </c>
      <c r="AE99" s="31">
        <v>1.3</v>
      </c>
      <c r="AF99" s="31">
        <v>28</v>
      </c>
      <c r="AG99" s="31" t="s">
        <v>144</v>
      </c>
      <c r="AH99" s="31" t="s">
        <v>144</v>
      </c>
      <c r="AI99" s="31" t="s">
        <v>144</v>
      </c>
      <c r="AJ99" s="31" t="s">
        <v>144</v>
      </c>
      <c r="AK99" s="31" t="s">
        <v>144</v>
      </c>
      <c r="AL99" s="31" t="s">
        <v>322</v>
      </c>
      <c r="AM99" s="31" t="s">
        <v>144</v>
      </c>
      <c r="AN99" s="31" t="s">
        <v>163</v>
      </c>
      <c r="AO99" s="31" t="s">
        <v>1321</v>
      </c>
    </row>
    <row r="100" spans="5:41" ht="15" customHeight="1" x14ac:dyDescent="0.25">
      <c r="E100" s="31" t="s">
        <v>132</v>
      </c>
      <c r="F100" s="31" t="s">
        <v>140</v>
      </c>
      <c r="G100" s="31" t="s">
        <v>153</v>
      </c>
      <c r="H100" s="31" t="s">
        <v>154</v>
      </c>
      <c r="I100" s="31" t="s">
        <v>481</v>
      </c>
      <c r="J100" s="31" t="s">
        <v>554</v>
      </c>
      <c r="K100" s="393" t="s">
        <v>584</v>
      </c>
      <c r="L100" s="31" t="s">
        <v>162</v>
      </c>
      <c r="M100" s="31" t="s">
        <v>144</v>
      </c>
      <c r="N100" s="31" t="s">
        <v>144</v>
      </c>
      <c r="O100" s="31">
        <v>16</v>
      </c>
      <c r="P100" s="31" t="s">
        <v>144</v>
      </c>
      <c r="Q100" s="31" t="s">
        <v>471</v>
      </c>
      <c r="R100" s="31" t="s">
        <v>312</v>
      </c>
      <c r="S100" s="31" t="s">
        <v>619</v>
      </c>
      <c r="T100" s="31" t="s">
        <v>317</v>
      </c>
      <c r="U100" s="31" t="s">
        <v>321</v>
      </c>
      <c r="V100" s="31" t="s">
        <v>155</v>
      </c>
      <c r="W100" s="31" t="s">
        <v>144</v>
      </c>
      <c r="X100" s="31" t="s">
        <v>144</v>
      </c>
      <c r="Y100" s="31" t="s">
        <v>144</v>
      </c>
      <c r="Z100" s="33">
        <v>1</v>
      </c>
      <c r="AA100" s="402">
        <v>16</v>
      </c>
      <c r="AB100" s="31">
        <v>15.5</v>
      </c>
      <c r="AC100" s="390">
        <v>0.3</v>
      </c>
      <c r="AD100" s="31">
        <v>0.2</v>
      </c>
      <c r="AE100" s="31">
        <v>1.3</v>
      </c>
      <c r="AF100" s="31">
        <v>28</v>
      </c>
      <c r="AG100" s="31" t="s">
        <v>144</v>
      </c>
      <c r="AH100" s="31" t="s">
        <v>144</v>
      </c>
      <c r="AI100" s="31" t="s">
        <v>144</v>
      </c>
      <c r="AJ100" s="31" t="s">
        <v>144</v>
      </c>
      <c r="AK100" s="31" t="s">
        <v>144</v>
      </c>
      <c r="AL100" s="31" t="s">
        <v>322</v>
      </c>
      <c r="AM100" s="31" t="s">
        <v>144</v>
      </c>
      <c r="AN100" s="31" t="s">
        <v>163</v>
      </c>
      <c r="AO100" s="31" t="s">
        <v>1321</v>
      </c>
    </row>
    <row r="101" spans="5:41" ht="15" customHeight="1" x14ac:dyDescent="0.25">
      <c r="E101" s="31" t="s">
        <v>132</v>
      </c>
      <c r="F101" s="31" t="s">
        <v>140</v>
      </c>
      <c r="G101" s="31" t="s">
        <v>153</v>
      </c>
      <c r="H101" s="31" t="s">
        <v>154</v>
      </c>
      <c r="I101" s="31" t="s">
        <v>481</v>
      </c>
      <c r="J101" s="31" t="s">
        <v>554</v>
      </c>
      <c r="K101" s="393" t="s">
        <v>585</v>
      </c>
      <c r="L101" s="31" t="s">
        <v>162</v>
      </c>
      <c r="M101" s="31" t="s">
        <v>144</v>
      </c>
      <c r="N101" s="31" t="s">
        <v>144</v>
      </c>
      <c r="O101" s="31">
        <v>16</v>
      </c>
      <c r="P101" s="31" t="s">
        <v>144</v>
      </c>
      <c r="Q101" s="31" t="s">
        <v>471</v>
      </c>
      <c r="R101" s="31" t="s">
        <v>312</v>
      </c>
      <c r="S101" s="31" t="s">
        <v>619</v>
      </c>
      <c r="T101" s="31" t="s">
        <v>317</v>
      </c>
      <c r="U101" s="31" t="s">
        <v>321</v>
      </c>
      <c r="V101" s="31" t="s">
        <v>155</v>
      </c>
      <c r="W101" s="31" t="s">
        <v>144</v>
      </c>
      <c r="X101" s="31" t="s">
        <v>144</v>
      </c>
      <c r="Y101" s="31" t="s">
        <v>144</v>
      </c>
      <c r="Z101" s="33">
        <v>1</v>
      </c>
      <c r="AA101" s="402">
        <v>16</v>
      </c>
      <c r="AB101" s="31">
        <v>15.5</v>
      </c>
      <c r="AC101" s="390">
        <v>0.3</v>
      </c>
      <c r="AD101" s="31">
        <v>0.2</v>
      </c>
      <c r="AE101" s="31">
        <v>1.3</v>
      </c>
      <c r="AF101" s="31">
        <v>28</v>
      </c>
      <c r="AG101" s="31" t="s">
        <v>144</v>
      </c>
      <c r="AH101" s="31" t="s">
        <v>144</v>
      </c>
      <c r="AI101" s="31" t="s">
        <v>144</v>
      </c>
      <c r="AJ101" s="31" t="s">
        <v>144</v>
      </c>
      <c r="AK101" s="31" t="s">
        <v>144</v>
      </c>
      <c r="AL101" s="31" t="s">
        <v>322</v>
      </c>
      <c r="AM101" s="31" t="s">
        <v>144</v>
      </c>
      <c r="AN101" s="31" t="s">
        <v>163</v>
      </c>
      <c r="AO101" s="31" t="s">
        <v>1321</v>
      </c>
    </row>
    <row r="102" spans="5:41" ht="15" customHeight="1" x14ac:dyDescent="0.25">
      <c r="E102" s="31" t="s">
        <v>132</v>
      </c>
      <c r="F102" s="31" t="s">
        <v>140</v>
      </c>
      <c r="G102" s="31" t="s">
        <v>153</v>
      </c>
      <c r="H102" s="31" t="s">
        <v>154</v>
      </c>
      <c r="I102" s="31" t="s">
        <v>481</v>
      </c>
      <c r="J102" s="31" t="s">
        <v>554</v>
      </c>
      <c r="K102" s="393" t="s">
        <v>586</v>
      </c>
      <c r="L102" s="31" t="s">
        <v>162</v>
      </c>
      <c r="M102" s="31" t="s">
        <v>144</v>
      </c>
      <c r="N102" s="31" t="s">
        <v>144</v>
      </c>
      <c r="O102" s="31">
        <v>16</v>
      </c>
      <c r="P102" s="31" t="s">
        <v>144</v>
      </c>
      <c r="Q102" s="31" t="s">
        <v>471</v>
      </c>
      <c r="R102" s="31" t="s">
        <v>312</v>
      </c>
      <c r="S102" s="31" t="s">
        <v>619</v>
      </c>
      <c r="T102" s="31" t="s">
        <v>317</v>
      </c>
      <c r="U102" s="31" t="s">
        <v>321</v>
      </c>
      <c r="V102" s="31" t="s">
        <v>155</v>
      </c>
      <c r="W102" s="31" t="s">
        <v>144</v>
      </c>
      <c r="X102" s="31" t="s">
        <v>144</v>
      </c>
      <c r="Y102" s="31" t="s">
        <v>144</v>
      </c>
      <c r="Z102" s="33">
        <v>1</v>
      </c>
      <c r="AA102" s="402">
        <v>16</v>
      </c>
      <c r="AB102" s="31">
        <v>15.5</v>
      </c>
      <c r="AC102" s="390">
        <v>0.3</v>
      </c>
      <c r="AD102" s="31">
        <v>0.2</v>
      </c>
      <c r="AE102" s="31">
        <v>1.3</v>
      </c>
      <c r="AF102" s="31">
        <v>28</v>
      </c>
      <c r="AG102" s="31" t="s">
        <v>144</v>
      </c>
      <c r="AH102" s="31" t="s">
        <v>144</v>
      </c>
      <c r="AI102" s="31" t="s">
        <v>144</v>
      </c>
      <c r="AJ102" s="31" t="s">
        <v>144</v>
      </c>
      <c r="AK102" s="31" t="s">
        <v>144</v>
      </c>
      <c r="AL102" s="31" t="s">
        <v>322</v>
      </c>
      <c r="AM102" s="31" t="s">
        <v>144</v>
      </c>
      <c r="AN102" s="31" t="s">
        <v>163</v>
      </c>
      <c r="AO102" s="31" t="s">
        <v>1321</v>
      </c>
    </row>
    <row r="103" spans="5:41" ht="15" customHeight="1" x14ac:dyDescent="0.25">
      <c r="E103" s="31" t="s">
        <v>132</v>
      </c>
      <c r="F103" s="31" t="s">
        <v>140</v>
      </c>
      <c r="G103" s="31" t="s">
        <v>153</v>
      </c>
      <c r="H103" s="31" t="s">
        <v>154</v>
      </c>
      <c r="I103" s="31" t="s">
        <v>481</v>
      </c>
      <c r="J103" s="31" t="s">
        <v>554</v>
      </c>
      <c r="K103" s="393" t="s">
        <v>587</v>
      </c>
      <c r="L103" s="31" t="s">
        <v>162</v>
      </c>
      <c r="M103" s="31" t="s">
        <v>144</v>
      </c>
      <c r="N103" s="31" t="s">
        <v>144</v>
      </c>
      <c r="O103" s="31">
        <v>16</v>
      </c>
      <c r="P103" s="31" t="s">
        <v>144</v>
      </c>
      <c r="Q103" s="31" t="s">
        <v>471</v>
      </c>
      <c r="R103" s="31" t="s">
        <v>312</v>
      </c>
      <c r="S103" s="31" t="s">
        <v>619</v>
      </c>
      <c r="T103" s="31" t="s">
        <v>317</v>
      </c>
      <c r="U103" s="31" t="s">
        <v>321</v>
      </c>
      <c r="V103" s="31" t="s">
        <v>155</v>
      </c>
      <c r="W103" s="31" t="s">
        <v>144</v>
      </c>
      <c r="X103" s="31" t="s">
        <v>144</v>
      </c>
      <c r="Y103" s="31" t="s">
        <v>144</v>
      </c>
      <c r="Z103" s="33">
        <v>1</v>
      </c>
      <c r="AA103" s="402">
        <v>16</v>
      </c>
      <c r="AB103" s="31">
        <v>15.5</v>
      </c>
      <c r="AC103" s="390">
        <v>0.3</v>
      </c>
      <c r="AD103" s="31">
        <v>0.2</v>
      </c>
      <c r="AE103" s="31">
        <v>1.3</v>
      </c>
      <c r="AF103" s="31">
        <v>28</v>
      </c>
      <c r="AG103" s="31" t="s">
        <v>144</v>
      </c>
      <c r="AH103" s="31" t="s">
        <v>144</v>
      </c>
      <c r="AI103" s="31" t="s">
        <v>144</v>
      </c>
      <c r="AJ103" s="31" t="s">
        <v>144</v>
      </c>
      <c r="AK103" s="31" t="s">
        <v>144</v>
      </c>
      <c r="AL103" s="31" t="s">
        <v>322</v>
      </c>
      <c r="AM103" s="31" t="s">
        <v>144</v>
      </c>
      <c r="AN103" s="31" t="s">
        <v>163</v>
      </c>
      <c r="AO103" s="31" t="s">
        <v>1321</v>
      </c>
    </row>
    <row r="104" spans="5:41" ht="15" customHeight="1" x14ac:dyDescent="0.25">
      <c r="E104" s="31" t="s">
        <v>132</v>
      </c>
      <c r="F104" s="31" t="s">
        <v>140</v>
      </c>
      <c r="G104" s="31" t="s">
        <v>153</v>
      </c>
      <c r="H104" s="31" t="s">
        <v>154</v>
      </c>
      <c r="I104" s="31" t="s">
        <v>481</v>
      </c>
      <c r="J104" s="31" t="s">
        <v>554</v>
      </c>
      <c r="K104" s="393" t="s">
        <v>588</v>
      </c>
      <c r="L104" s="31" t="s">
        <v>162</v>
      </c>
      <c r="M104" s="31" t="s">
        <v>144</v>
      </c>
      <c r="N104" s="31" t="s">
        <v>144</v>
      </c>
      <c r="O104" s="31">
        <v>16</v>
      </c>
      <c r="P104" s="31" t="s">
        <v>144</v>
      </c>
      <c r="Q104" s="31" t="s">
        <v>471</v>
      </c>
      <c r="R104" s="31" t="s">
        <v>312</v>
      </c>
      <c r="S104" s="31" t="s">
        <v>619</v>
      </c>
      <c r="T104" s="31" t="s">
        <v>317</v>
      </c>
      <c r="U104" s="31" t="s">
        <v>321</v>
      </c>
      <c r="V104" s="31" t="s">
        <v>155</v>
      </c>
      <c r="W104" s="31" t="s">
        <v>144</v>
      </c>
      <c r="X104" s="31" t="s">
        <v>144</v>
      </c>
      <c r="Y104" s="31" t="s">
        <v>144</v>
      </c>
      <c r="Z104" s="33">
        <v>1</v>
      </c>
      <c r="AA104" s="402">
        <v>16</v>
      </c>
      <c r="AB104" s="31">
        <v>15.5</v>
      </c>
      <c r="AC104" s="390">
        <v>0.3</v>
      </c>
      <c r="AD104" s="31">
        <v>0.2</v>
      </c>
      <c r="AE104" s="31">
        <v>1.3</v>
      </c>
      <c r="AF104" s="31">
        <v>28</v>
      </c>
      <c r="AG104" s="31" t="s">
        <v>144</v>
      </c>
      <c r="AH104" s="31" t="s">
        <v>144</v>
      </c>
      <c r="AI104" s="31" t="s">
        <v>144</v>
      </c>
      <c r="AJ104" s="31" t="s">
        <v>144</v>
      </c>
      <c r="AK104" s="31" t="s">
        <v>144</v>
      </c>
      <c r="AL104" s="31" t="s">
        <v>322</v>
      </c>
      <c r="AM104" s="31" t="s">
        <v>144</v>
      </c>
      <c r="AN104" s="31" t="s">
        <v>163</v>
      </c>
      <c r="AO104" s="31" t="s">
        <v>1321</v>
      </c>
    </row>
    <row r="105" spans="5:41" ht="15" customHeight="1" x14ac:dyDescent="0.25">
      <c r="E105" s="31" t="s">
        <v>132</v>
      </c>
      <c r="F105" s="31" t="s">
        <v>140</v>
      </c>
      <c r="G105" s="31" t="s">
        <v>153</v>
      </c>
      <c r="H105" s="31" t="s">
        <v>154</v>
      </c>
      <c r="I105" s="31" t="s">
        <v>481</v>
      </c>
      <c r="J105" s="31" t="s">
        <v>554</v>
      </c>
      <c r="K105" s="393" t="s">
        <v>589</v>
      </c>
      <c r="L105" s="31" t="s">
        <v>162</v>
      </c>
      <c r="M105" s="31" t="s">
        <v>144</v>
      </c>
      <c r="N105" s="31" t="s">
        <v>144</v>
      </c>
      <c r="O105" s="31">
        <v>16</v>
      </c>
      <c r="P105" s="31" t="s">
        <v>144</v>
      </c>
      <c r="Q105" s="31" t="s">
        <v>471</v>
      </c>
      <c r="R105" s="31" t="s">
        <v>312</v>
      </c>
      <c r="S105" s="31" t="s">
        <v>619</v>
      </c>
      <c r="T105" s="31" t="s">
        <v>317</v>
      </c>
      <c r="U105" s="31" t="s">
        <v>321</v>
      </c>
      <c r="V105" s="31" t="s">
        <v>155</v>
      </c>
      <c r="W105" s="31" t="s">
        <v>144</v>
      </c>
      <c r="X105" s="31" t="s">
        <v>144</v>
      </c>
      <c r="Y105" s="31" t="s">
        <v>144</v>
      </c>
      <c r="Z105" s="33">
        <v>1</v>
      </c>
      <c r="AA105" s="402">
        <v>16</v>
      </c>
      <c r="AB105" s="31">
        <v>15.5</v>
      </c>
      <c r="AC105" s="390">
        <v>0.3</v>
      </c>
      <c r="AD105" s="31">
        <v>0.2</v>
      </c>
      <c r="AE105" s="31">
        <v>1.3</v>
      </c>
      <c r="AF105" s="31">
        <v>28</v>
      </c>
      <c r="AG105" s="31" t="s">
        <v>144</v>
      </c>
      <c r="AH105" s="31" t="s">
        <v>144</v>
      </c>
      <c r="AI105" s="31" t="s">
        <v>144</v>
      </c>
      <c r="AJ105" s="31" t="s">
        <v>144</v>
      </c>
      <c r="AK105" s="31" t="s">
        <v>144</v>
      </c>
      <c r="AL105" s="31" t="s">
        <v>322</v>
      </c>
      <c r="AM105" s="31" t="s">
        <v>144</v>
      </c>
      <c r="AN105" s="31" t="s">
        <v>163</v>
      </c>
      <c r="AO105" s="31" t="s">
        <v>1321</v>
      </c>
    </row>
    <row r="106" spans="5:41" ht="15" customHeight="1" x14ac:dyDescent="0.25">
      <c r="E106" s="31" t="s">
        <v>132</v>
      </c>
      <c r="F106" s="31" t="s">
        <v>140</v>
      </c>
      <c r="G106" s="31" t="s">
        <v>153</v>
      </c>
      <c r="H106" s="31" t="s">
        <v>154</v>
      </c>
      <c r="I106" s="31" t="s">
        <v>481</v>
      </c>
      <c r="J106" s="31" t="s">
        <v>554</v>
      </c>
      <c r="K106" s="393" t="s">
        <v>590</v>
      </c>
      <c r="L106" s="31" t="s">
        <v>162</v>
      </c>
      <c r="M106" s="31" t="s">
        <v>144</v>
      </c>
      <c r="N106" s="31" t="s">
        <v>144</v>
      </c>
      <c r="O106" s="31">
        <v>16</v>
      </c>
      <c r="P106" s="31" t="s">
        <v>144</v>
      </c>
      <c r="Q106" s="31" t="s">
        <v>471</v>
      </c>
      <c r="R106" s="31" t="s">
        <v>312</v>
      </c>
      <c r="S106" s="31" t="s">
        <v>619</v>
      </c>
      <c r="T106" s="31" t="s">
        <v>317</v>
      </c>
      <c r="U106" s="31" t="s">
        <v>321</v>
      </c>
      <c r="V106" s="31" t="s">
        <v>155</v>
      </c>
      <c r="W106" s="31" t="s">
        <v>144</v>
      </c>
      <c r="X106" s="31" t="s">
        <v>144</v>
      </c>
      <c r="Y106" s="31" t="s">
        <v>144</v>
      </c>
      <c r="Z106" s="33">
        <v>1</v>
      </c>
      <c r="AA106" s="402">
        <v>16</v>
      </c>
      <c r="AB106" s="31">
        <v>15.5</v>
      </c>
      <c r="AC106" s="390">
        <v>0.3</v>
      </c>
      <c r="AD106" s="31">
        <v>0.2</v>
      </c>
      <c r="AE106" s="31">
        <v>1.3</v>
      </c>
      <c r="AF106" s="31">
        <v>28</v>
      </c>
      <c r="AG106" s="31" t="s">
        <v>144</v>
      </c>
      <c r="AH106" s="31" t="s">
        <v>144</v>
      </c>
      <c r="AI106" s="31" t="s">
        <v>144</v>
      </c>
      <c r="AJ106" s="31" t="s">
        <v>144</v>
      </c>
      <c r="AK106" s="31" t="s">
        <v>144</v>
      </c>
      <c r="AL106" s="31" t="s">
        <v>322</v>
      </c>
      <c r="AM106" s="31" t="s">
        <v>144</v>
      </c>
      <c r="AN106" s="31" t="s">
        <v>163</v>
      </c>
      <c r="AO106" s="31" t="s">
        <v>1321</v>
      </c>
    </row>
    <row r="107" spans="5:41" ht="15" customHeight="1" x14ac:dyDescent="0.25">
      <c r="E107" s="31" t="s">
        <v>132</v>
      </c>
      <c r="F107" s="31" t="s">
        <v>140</v>
      </c>
      <c r="G107" s="31" t="s">
        <v>153</v>
      </c>
      <c r="H107" s="31" t="s">
        <v>154</v>
      </c>
      <c r="I107" s="31" t="s">
        <v>481</v>
      </c>
      <c r="J107" s="31" t="s">
        <v>554</v>
      </c>
      <c r="K107" s="393" t="s">
        <v>591</v>
      </c>
      <c r="L107" s="31" t="s">
        <v>162</v>
      </c>
      <c r="M107" s="31" t="s">
        <v>144</v>
      </c>
      <c r="N107" s="31" t="s">
        <v>144</v>
      </c>
      <c r="O107" s="31">
        <v>16</v>
      </c>
      <c r="P107" s="31" t="s">
        <v>144</v>
      </c>
      <c r="Q107" s="31" t="s">
        <v>471</v>
      </c>
      <c r="R107" s="31" t="s">
        <v>312</v>
      </c>
      <c r="S107" s="31" t="s">
        <v>619</v>
      </c>
      <c r="T107" s="31" t="s">
        <v>317</v>
      </c>
      <c r="U107" s="31" t="s">
        <v>321</v>
      </c>
      <c r="V107" s="31" t="s">
        <v>155</v>
      </c>
      <c r="W107" s="31" t="s">
        <v>144</v>
      </c>
      <c r="X107" s="31" t="s">
        <v>144</v>
      </c>
      <c r="Y107" s="31" t="s">
        <v>144</v>
      </c>
      <c r="Z107" s="33">
        <v>1</v>
      </c>
      <c r="AA107" s="402">
        <v>16</v>
      </c>
      <c r="AB107" s="31">
        <v>15.5</v>
      </c>
      <c r="AC107" s="390">
        <v>0.3</v>
      </c>
      <c r="AD107" s="31">
        <v>0.2</v>
      </c>
      <c r="AE107" s="31">
        <v>1.3</v>
      </c>
      <c r="AF107" s="31">
        <v>28</v>
      </c>
      <c r="AG107" s="31" t="s">
        <v>144</v>
      </c>
      <c r="AH107" s="31" t="s">
        <v>144</v>
      </c>
      <c r="AI107" s="31" t="s">
        <v>144</v>
      </c>
      <c r="AJ107" s="31" t="s">
        <v>144</v>
      </c>
      <c r="AK107" s="31" t="s">
        <v>144</v>
      </c>
      <c r="AL107" s="31" t="s">
        <v>322</v>
      </c>
      <c r="AM107" s="31" t="s">
        <v>144</v>
      </c>
      <c r="AN107" s="31" t="s">
        <v>163</v>
      </c>
      <c r="AO107" s="31" t="s">
        <v>1321</v>
      </c>
    </row>
    <row r="108" spans="5:41" ht="15" customHeight="1" x14ac:dyDescent="0.25">
      <c r="E108" s="31" t="s">
        <v>132</v>
      </c>
      <c r="F108" s="31" t="s">
        <v>140</v>
      </c>
      <c r="G108" s="31" t="s">
        <v>153</v>
      </c>
      <c r="H108" s="31" t="s">
        <v>154</v>
      </c>
      <c r="I108" s="31" t="s">
        <v>481</v>
      </c>
      <c r="J108" s="31" t="s">
        <v>554</v>
      </c>
      <c r="K108" s="393" t="s">
        <v>592</v>
      </c>
      <c r="L108" s="31" t="s">
        <v>162</v>
      </c>
      <c r="M108" s="31" t="s">
        <v>144</v>
      </c>
      <c r="N108" s="31" t="s">
        <v>144</v>
      </c>
      <c r="O108" s="31">
        <v>16</v>
      </c>
      <c r="P108" s="31" t="s">
        <v>144</v>
      </c>
      <c r="Q108" s="31" t="s">
        <v>471</v>
      </c>
      <c r="R108" s="31" t="s">
        <v>312</v>
      </c>
      <c r="S108" s="31" t="s">
        <v>619</v>
      </c>
      <c r="T108" s="31" t="s">
        <v>317</v>
      </c>
      <c r="U108" s="31" t="s">
        <v>321</v>
      </c>
      <c r="V108" s="31" t="s">
        <v>155</v>
      </c>
      <c r="W108" s="31" t="s">
        <v>144</v>
      </c>
      <c r="X108" s="31" t="s">
        <v>144</v>
      </c>
      <c r="Y108" s="31" t="s">
        <v>144</v>
      </c>
      <c r="Z108" s="33">
        <v>1</v>
      </c>
      <c r="AA108" s="402">
        <v>16</v>
      </c>
      <c r="AB108" s="31">
        <v>15.5</v>
      </c>
      <c r="AC108" s="390">
        <v>0.3</v>
      </c>
      <c r="AD108" s="31">
        <v>0.2</v>
      </c>
      <c r="AE108" s="31">
        <v>1.3</v>
      </c>
      <c r="AF108" s="31">
        <v>28</v>
      </c>
      <c r="AG108" s="31" t="s">
        <v>144</v>
      </c>
      <c r="AH108" s="31" t="s">
        <v>144</v>
      </c>
      <c r="AI108" s="31" t="s">
        <v>144</v>
      </c>
      <c r="AJ108" s="31" t="s">
        <v>144</v>
      </c>
      <c r="AK108" s="31" t="s">
        <v>144</v>
      </c>
      <c r="AL108" s="31" t="s">
        <v>322</v>
      </c>
      <c r="AM108" s="31" t="s">
        <v>144</v>
      </c>
      <c r="AN108" s="31" t="s">
        <v>163</v>
      </c>
      <c r="AO108" s="31" t="s">
        <v>1321</v>
      </c>
    </row>
    <row r="109" spans="5:41" ht="15" customHeight="1" x14ac:dyDescent="0.25">
      <c r="E109" s="31" t="s">
        <v>132</v>
      </c>
      <c r="F109" s="31" t="s">
        <v>140</v>
      </c>
      <c r="G109" s="31" t="s">
        <v>153</v>
      </c>
      <c r="H109" s="31" t="s">
        <v>154</v>
      </c>
      <c r="I109" s="31" t="s">
        <v>481</v>
      </c>
      <c r="J109" s="31" t="s">
        <v>554</v>
      </c>
      <c r="K109" s="393" t="s">
        <v>593</v>
      </c>
      <c r="L109" s="31" t="s">
        <v>162</v>
      </c>
      <c r="M109" s="31" t="s">
        <v>144</v>
      </c>
      <c r="N109" s="31" t="s">
        <v>144</v>
      </c>
      <c r="O109" s="31">
        <v>16</v>
      </c>
      <c r="P109" s="31" t="s">
        <v>144</v>
      </c>
      <c r="Q109" s="31" t="s">
        <v>471</v>
      </c>
      <c r="R109" s="31" t="s">
        <v>312</v>
      </c>
      <c r="S109" s="31" t="s">
        <v>619</v>
      </c>
      <c r="T109" s="31" t="s">
        <v>317</v>
      </c>
      <c r="U109" s="31" t="s">
        <v>321</v>
      </c>
      <c r="V109" s="31" t="s">
        <v>155</v>
      </c>
      <c r="W109" s="31" t="s">
        <v>144</v>
      </c>
      <c r="X109" s="31" t="s">
        <v>144</v>
      </c>
      <c r="Y109" s="31" t="s">
        <v>144</v>
      </c>
      <c r="Z109" s="33">
        <v>1</v>
      </c>
      <c r="AA109" s="402">
        <v>16</v>
      </c>
      <c r="AB109" s="31">
        <v>15.5</v>
      </c>
      <c r="AC109" s="390">
        <v>0.3</v>
      </c>
      <c r="AD109" s="31">
        <v>0.2</v>
      </c>
      <c r="AE109" s="31">
        <v>1.3</v>
      </c>
      <c r="AF109" s="31">
        <v>28</v>
      </c>
      <c r="AG109" s="31" t="s">
        <v>144</v>
      </c>
      <c r="AH109" s="31" t="s">
        <v>144</v>
      </c>
      <c r="AI109" s="31" t="s">
        <v>144</v>
      </c>
      <c r="AJ109" s="31" t="s">
        <v>144</v>
      </c>
      <c r="AK109" s="31" t="s">
        <v>144</v>
      </c>
      <c r="AL109" s="31" t="s">
        <v>322</v>
      </c>
      <c r="AM109" s="31" t="s">
        <v>144</v>
      </c>
      <c r="AN109" s="31" t="s">
        <v>163</v>
      </c>
      <c r="AO109" s="31" t="s">
        <v>1321</v>
      </c>
    </row>
    <row r="110" spans="5:41" ht="15" customHeight="1" x14ac:dyDescent="0.25">
      <c r="E110" s="31" t="s">
        <v>132</v>
      </c>
      <c r="F110" s="31" t="s">
        <v>140</v>
      </c>
      <c r="G110" s="31" t="s">
        <v>153</v>
      </c>
      <c r="H110" s="31" t="s">
        <v>154</v>
      </c>
      <c r="I110" s="31" t="s">
        <v>481</v>
      </c>
      <c r="J110" s="31" t="s">
        <v>554</v>
      </c>
      <c r="K110" s="393" t="s">
        <v>594</v>
      </c>
      <c r="L110" s="31" t="s">
        <v>162</v>
      </c>
      <c r="M110" s="31" t="s">
        <v>144</v>
      </c>
      <c r="N110" s="31" t="s">
        <v>144</v>
      </c>
      <c r="O110" s="31">
        <v>16</v>
      </c>
      <c r="P110" s="31" t="s">
        <v>144</v>
      </c>
      <c r="Q110" s="31" t="s">
        <v>471</v>
      </c>
      <c r="R110" s="31" t="s">
        <v>312</v>
      </c>
      <c r="S110" s="31" t="s">
        <v>619</v>
      </c>
      <c r="T110" s="31" t="s">
        <v>317</v>
      </c>
      <c r="U110" s="31" t="s">
        <v>321</v>
      </c>
      <c r="V110" s="31" t="s">
        <v>155</v>
      </c>
      <c r="W110" s="31" t="s">
        <v>144</v>
      </c>
      <c r="X110" s="31" t="s">
        <v>144</v>
      </c>
      <c r="Y110" s="31" t="s">
        <v>144</v>
      </c>
      <c r="Z110" s="33">
        <v>1</v>
      </c>
      <c r="AA110" s="402">
        <v>16</v>
      </c>
      <c r="AB110" s="31">
        <v>15.5</v>
      </c>
      <c r="AC110" s="390">
        <v>0.3</v>
      </c>
      <c r="AD110" s="31">
        <v>0.2</v>
      </c>
      <c r="AE110" s="31">
        <v>1.3</v>
      </c>
      <c r="AF110" s="31">
        <v>28</v>
      </c>
      <c r="AG110" s="31" t="s">
        <v>144</v>
      </c>
      <c r="AH110" s="31" t="s">
        <v>144</v>
      </c>
      <c r="AI110" s="31" t="s">
        <v>144</v>
      </c>
      <c r="AJ110" s="31" t="s">
        <v>144</v>
      </c>
      <c r="AK110" s="31" t="s">
        <v>144</v>
      </c>
      <c r="AL110" s="31" t="s">
        <v>322</v>
      </c>
      <c r="AM110" s="31" t="s">
        <v>144</v>
      </c>
      <c r="AN110" s="31" t="s">
        <v>163</v>
      </c>
      <c r="AO110" s="31" t="s">
        <v>1321</v>
      </c>
    </row>
    <row r="111" spans="5:41" ht="15" customHeight="1" x14ac:dyDescent="0.25">
      <c r="E111" s="31" t="s">
        <v>132</v>
      </c>
      <c r="F111" s="31" t="s">
        <v>140</v>
      </c>
      <c r="G111" s="31" t="s">
        <v>153</v>
      </c>
      <c r="H111" s="31" t="s">
        <v>154</v>
      </c>
      <c r="I111" s="31" t="s">
        <v>481</v>
      </c>
      <c r="J111" s="31" t="s">
        <v>554</v>
      </c>
      <c r="K111" s="393" t="s">
        <v>595</v>
      </c>
      <c r="L111" s="31" t="s">
        <v>162</v>
      </c>
      <c r="M111" s="31" t="s">
        <v>144</v>
      </c>
      <c r="N111" s="31" t="s">
        <v>144</v>
      </c>
      <c r="O111" s="31">
        <v>16</v>
      </c>
      <c r="P111" s="31" t="s">
        <v>144</v>
      </c>
      <c r="Q111" s="31" t="s">
        <v>471</v>
      </c>
      <c r="R111" s="31" t="s">
        <v>312</v>
      </c>
      <c r="S111" s="31" t="s">
        <v>619</v>
      </c>
      <c r="T111" s="31" t="s">
        <v>317</v>
      </c>
      <c r="U111" s="31" t="s">
        <v>321</v>
      </c>
      <c r="V111" s="31" t="s">
        <v>155</v>
      </c>
      <c r="W111" s="31" t="s">
        <v>144</v>
      </c>
      <c r="X111" s="31" t="s">
        <v>144</v>
      </c>
      <c r="Y111" s="31" t="s">
        <v>144</v>
      </c>
      <c r="Z111" s="33">
        <v>1</v>
      </c>
      <c r="AA111" s="402">
        <v>16</v>
      </c>
      <c r="AB111" s="31">
        <v>15.5</v>
      </c>
      <c r="AC111" s="390">
        <v>0.3</v>
      </c>
      <c r="AD111" s="31">
        <v>0.2</v>
      </c>
      <c r="AE111" s="31">
        <v>1.3</v>
      </c>
      <c r="AF111" s="31">
        <v>28</v>
      </c>
      <c r="AG111" s="31" t="s">
        <v>144</v>
      </c>
      <c r="AH111" s="31" t="s">
        <v>144</v>
      </c>
      <c r="AI111" s="31" t="s">
        <v>144</v>
      </c>
      <c r="AJ111" s="31" t="s">
        <v>144</v>
      </c>
      <c r="AK111" s="31" t="s">
        <v>144</v>
      </c>
      <c r="AL111" s="31" t="s">
        <v>322</v>
      </c>
      <c r="AM111" s="31" t="s">
        <v>144</v>
      </c>
      <c r="AN111" s="31" t="s">
        <v>163</v>
      </c>
      <c r="AO111" s="31" t="s">
        <v>1321</v>
      </c>
    </row>
    <row r="112" spans="5:41" ht="15" customHeight="1" x14ac:dyDescent="0.25">
      <c r="E112" s="31" t="s">
        <v>132</v>
      </c>
      <c r="F112" s="31" t="s">
        <v>140</v>
      </c>
      <c r="G112" s="31" t="s">
        <v>153</v>
      </c>
      <c r="H112" s="31" t="s">
        <v>154</v>
      </c>
      <c r="I112" s="31" t="s">
        <v>481</v>
      </c>
      <c r="J112" s="31" t="s">
        <v>554</v>
      </c>
      <c r="K112" s="393" t="s">
        <v>596</v>
      </c>
      <c r="L112" s="31" t="s">
        <v>162</v>
      </c>
      <c r="M112" s="31" t="s">
        <v>144</v>
      </c>
      <c r="N112" s="31" t="s">
        <v>144</v>
      </c>
      <c r="O112" s="31">
        <v>16</v>
      </c>
      <c r="P112" s="31" t="s">
        <v>144</v>
      </c>
      <c r="Q112" s="31" t="s">
        <v>471</v>
      </c>
      <c r="R112" s="31" t="s">
        <v>312</v>
      </c>
      <c r="S112" s="31" t="s">
        <v>619</v>
      </c>
      <c r="T112" s="31" t="s">
        <v>317</v>
      </c>
      <c r="U112" s="31" t="s">
        <v>321</v>
      </c>
      <c r="V112" s="31" t="s">
        <v>155</v>
      </c>
      <c r="W112" s="31" t="s">
        <v>144</v>
      </c>
      <c r="X112" s="31" t="s">
        <v>144</v>
      </c>
      <c r="Y112" s="31" t="s">
        <v>144</v>
      </c>
      <c r="Z112" s="33">
        <v>1</v>
      </c>
      <c r="AA112" s="402">
        <v>16</v>
      </c>
      <c r="AB112" s="31">
        <v>15.5</v>
      </c>
      <c r="AC112" s="390">
        <v>0.3</v>
      </c>
      <c r="AD112" s="31">
        <v>0.2</v>
      </c>
      <c r="AE112" s="31">
        <v>1.3</v>
      </c>
      <c r="AF112" s="31">
        <v>28</v>
      </c>
      <c r="AG112" s="31" t="s">
        <v>144</v>
      </c>
      <c r="AH112" s="31" t="s">
        <v>144</v>
      </c>
      <c r="AI112" s="31" t="s">
        <v>144</v>
      </c>
      <c r="AJ112" s="31" t="s">
        <v>144</v>
      </c>
      <c r="AK112" s="31" t="s">
        <v>144</v>
      </c>
      <c r="AL112" s="31" t="s">
        <v>322</v>
      </c>
      <c r="AM112" s="31" t="s">
        <v>144</v>
      </c>
      <c r="AN112" s="31" t="s">
        <v>163</v>
      </c>
      <c r="AO112" s="31" t="s">
        <v>1321</v>
      </c>
    </row>
    <row r="113" spans="5:41" ht="15" customHeight="1" x14ac:dyDescent="0.25">
      <c r="E113" s="31" t="s">
        <v>132</v>
      </c>
      <c r="F113" s="31" t="s">
        <v>140</v>
      </c>
      <c r="G113" s="31" t="s">
        <v>153</v>
      </c>
      <c r="H113" s="31" t="s">
        <v>154</v>
      </c>
      <c r="I113" s="31" t="s">
        <v>481</v>
      </c>
      <c r="J113" s="31" t="s">
        <v>554</v>
      </c>
      <c r="K113" s="393" t="s">
        <v>597</v>
      </c>
      <c r="L113" s="31" t="s">
        <v>162</v>
      </c>
      <c r="M113" s="31" t="s">
        <v>144</v>
      </c>
      <c r="N113" s="31" t="s">
        <v>144</v>
      </c>
      <c r="O113" s="31">
        <v>16</v>
      </c>
      <c r="P113" s="31" t="s">
        <v>144</v>
      </c>
      <c r="Q113" s="31" t="s">
        <v>471</v>
      </c>
      <c r="R113" s="31" t="s">
        <v>312</v>
      </c>
      <c r="S113" s="31" t="s">
        <v>619</v>
      </c>
      <c r="T113" s="31" t="s">
        <v>317</v>
      </c>
      <c r="U113" s="31" t="s">
        <v>321</v>
      </c>
      <c r="V113" s="31" t="s">
        <v>155</v>
      </c>
      <c r="W113" s="31" t="s">
        <v>144</v>
      </c>
      <c r="X113" s="31" t="s">
        <v>144</v>
      </c>
      <c r="Y113" s="31" t="s">
        <v>144</v>
      </c>
      <c r="Z113" s="33">
        <v>1</v>
      </c>
      <c r="AA113" s="402">
        <v>16</v>
      </c>
      <c r="AB113" s="31">
        <v>15.5</v>
      </c>
      <c r="AC113" s="390">
        <v>0.3</v>
      </c>
      <c r="AD113" s="31">
        <v>0.2</v>
      </c>
      <c r="AE113" s="31">
        <v>1.3</v>
      </c>
      <c r="AF113" s="31">
        <v>28</v>
      </c>
      <c r="AG113" s="31" t="s">
        <v>144</v>
      </c>
      <c r="AH113" s="31" t="s">
        <v>144</v>
      </c>
      <c r="AI113" s="31" t="s">
        <v>144</v>
      </c>
      <c r="AJ113" s="31" t="s">
        <v>144</v>
      </c>
      <c r="AK113" s="31" t="s">
        <v>144</v>
      </c>
      <c r="AL113" s="31" t="s">
        <v>322</v>
      </c>
      <c r="AM113" s="31" t="s">
        <v>144</v>
      </c>
      <c r="AN113" s="31" t="s">
        <v>163</v>
      </c>
      <c r="AO113" s="31" t="s">
        <v>1321</v>
      </c>
    </row>
    <row r="114" spans="5:41" ht="15" customHeight="1" x14ac:dyDescent="0.25">
      <c r="E114" s="31" t="s">
        <v>132</v>
      </c>
      <c r="F114" s="31" t="s">
        <v>140</v>
      </c>
      <c r="G114" s="31" t="s">
        <v>153</v>
      </c>
      <c r="H114" s="31" t="s">
        <v>154</v>
      </c>
      <c r="I114" s="31" t="s">
        <v>481</v>
      </c>
      <c r="J114" s="31" t="s">
        <v>554</v>
      </c>
      <c r="K114" s="393" t="s">
        <v>598</v>
      </c>
      <c r="L114" s="31" t="s">
        <v>162</v>
      </c>
      <c r="M114" s="31" t="s">
        <v>144</v>
      </c>
      <c r="N114" s="31" t="s">
        <v>144</v>
      </c>
      <c r="O114" s="31">
        <v>16</v>
      </c>
      <c r="P114" s="31" t="s">
        <v>144</v>
      </c>
      <c r="Q114" s="31" t="s">
        <v>471</v>
      </c>
      <c r="R114" s="31" t="s">
        <v>312</v>
      </c>
      <c r="S114" s="31" t="s">
        <v>619</v>
      </c>
      <c r="T114" s="31" t="s">
        <v>317</v>
      </c>
      <c r="U114" s="31" t="s">
        <v>321</v>
      </c>
      <c r="V114" s="31" t="s">
        <v>155</v>
      </c>
      <c r="W114" s="31" t="s">
        <v>144</v>
      </c>
      <c r="X114" s="31" t="s">
        <v>144</v>
      </c>
      <c r="Y114" s="31" t="s">
        <v>144</v>
      </c>
      <c r="Z114" s="33">
        <v>1</v>
      </c>
      <c r="AA114" s="402">
        <v>16</v>
      </c>
      <c r="AB114" s="31">
        <v>15.5</v>
      </c>
      <c r="AC114" s="390">
        <v>0.3</v>
      </c>
      <c r="AD114" s="31">
        <v>0.2</v>
      </c>
      <c r="AE114" s="31">
        <v>1.3</v>
      </c>
      <c r="AF114" s="31">
        <v>28</v>
      </c>
      <c r="AG114" s="31" t="s">
        <v>144</v>
      </c>
      <c r="AH114" s="31" t="s">
        <v>144</v>
      </c>
      <c r="AI114" s="31" t="s">
        <v>144</v>
      </c>
      <c r="AJ114" s="31" t="s">
        <v>144</v>
      </c>
      <c r="AK114" s="31" t="s">
        <v>144</v>
      </c>
      <c r="AL114" s="31" t="s">
        <v>322</v>
      </c>
      <c r="AM114" s="31" t="s">
        <v>144</v>
      </c>
      <c r="AN114" s="31" t="s">
        <v>163</v>
      </c>
      <c r="AO114" s="31" t="s">
        <v>1321</v>
      </c>
    </row>
    <row r="115" spans="5:41" ht="15" customHeight="1" x14ac:dyDescent="0.25">
      <c r="E115" s="31" t="s">
        <v>132</v>
      </c>
      <c r="F115" s="31" t="s">
        <v>140</v>
      </c>
      <c r="G115" s="31" t="s">
        <v>153</v>
      </c>
      <c r="H115" s="31" t="s">
        <v>154</v>
      </c>
      <c r="I115" s="31" t="s">
        <v>481</v>
      </c>
      <c r="J115" s="31" t="s">
        <v>554</v>
      </c>
      <c r="K115" s="393" t="s">
        <v>599</v>
      </c>
      <c r="L115" s="31" t="s">
        <v>162</v>
      </c>
      <c r="M115" s="31" t="s">
        <v>144</v>
      </c>
      <c r="N115" s="31" t="s">
        <v>144</v>
      </c>
      <c r="O115" s="31">
        <v>16</v>
      </c>
      <c r="P115" s="31" t="s">
        <v>144</v>
      </c>
      <c r="Q115" s="31" t="s">
        <v>471</v>
      </c>
      <c r="R115" s="31" t="s">
        <v>312</v>
      </c>
      <c r="S115" s="31" t="s">
        <v>619</v>
      </c>
      <c r="T115" s="31" t="s">
        <v>317</v>
      </c>
      <c r="U115" s="31" t="s">
        <v>321</v>
      </c>
      <c r="V115" s="31" t="s">
        <v>155</v>
      </c>
      <c r="W115" s="31" t="s">
        <v>144</v>
      </c>
      <c r="X115" s="31" t="s">
        <v>144</v>
      </c>
      <c r="Y115" s="31" t="s">
        <v>144</v>
      </c>
      <c r="Z115" s="33">
        <v>1</v>
      </c>
      <c r="AA115" s="402">
        <v>16</v>
      </c>
      <c r="AB115" s="31">
        <v>15.5</v>
      </c>
      <c r="AC115" s="390">
        <v>0.3</v>
      </c>
      <c r="AD115" s="31">
        <v>0.2</v>
      </c>
      <c r="AE115" s="31">
        <v>1.3</v>
      </c>
      <c r="AF115" s="31">
        <v>28</v>
      </c>
      <c r="AG115" s="31" t="s">
        <v>144</v>
      </c>
      <c r="AH115" s="31" t="s">
        <v>144</v>
      </c>
      <c r="AI115" s="31" t="s">
        <v>144</v>
      </c>
      <c r="AJ115" s="31" t="s">
        <v>144</v>
      </c>
      <c r="AK115" s="31" t="s">
        <v>144</v>
      </c>
      <c r="AL115" s="31" t="s">
        <v>322</v>
      </c>
      <c r="AM115" s="31" t="s">
        <v>144</v>
      </c>
      <c r="AN115" s="31" t="s">
        <v>163</v>
      </c>
      <c r="AO115" s="31" t="s">
        <v>1321</v>
      </c>
    </row>
    <row r="116" spans="5:41" ht="15" customHeight="1" x14ac:dyDescent="0.25">
      <c r="E116" s="31" t="s">
        <v>132</v>
      </c>
      <c r="F116" s="31" t="s">
        <v>140</v>
      </c>
      <c r="G116" s="31" t="s">
        <v>153</v>
      </c>
      <c r="H116" s="31" t="s">
        <v>154</v>
      </c>
      <c r="I116" s="31" t="s">
        <v>481</v>
      </c>
      <c r="J116" s="31" t="s">
        <v>554</v>
      </c>
      <c r="K116" s="393" t="s">
        <v>600</v>
      </c>
      <c r="L116" s="31" t="s">
        <v>162</v>
      </c>
      <c r="M116" s="31" t="s">
        <v>144</v>
      </c>
      <c r="N116" s="31" t="s">
        <v>144</v>
      </c>
      <c r="O116" s="31">
        <v>16</v>
      </c>
      <c r="P116" s="31" t="s">
        <v>144</v>
      </c>
      <c r="Q116" s="31" t="s">
        <v>471</v>
      </c>
      <c r="R116" s="31" t="s">
        <v>312</v>
      </c>
      <c r="S116" s="31" t="s">
        <v>619</v>
      </c>
      <c r="T116" s="31" t="s">
        <v>317</v>
      </c>
      <c r="U116" s="31" t="s">
        <v>321</v>
      </c>
      <c r="V116" s="31" t="s">
        <v>155</v>
      </c>
      <c r="W116" s="31" t="s">
        <v>144</v>
      </c>
      <c r="X116" s="31" t="s">
        <v>144</v>
      </c>
      <c r="Y116" s="31" t="s">
        <v>144</v>
      </c>
      <c r="Z116" s="33">
        <v>1</v>
      </c>
      <c r="AA116" s="402">
        <v>16</v>
      </c>
      <c r="AB116" s="31">
        <v>15.5</v>
      </c>
      <c r="AC116" s="390">
        <v>0.3</v>
      </c>
      <c r="AD116" s="31">
        <v>0.2</v>
      </c>
      <c r="AE116" s="31">
        <v>1.3</v>
      </c>
      <c r="AF116" s="31">
        <v>28</v>
      </c>
      <c r="AG116" s="31" t="s">
        <v>144</v>
      </c>
      <c r="AH116" s="31" t="s">
        <v>144</v>
      </c>
      <c r="AI116" s="31" t="s">
        <v>144</v>
      </c>
      <c r="AJ116" s="31" t="s">
        <v>144</v>
      </c>
      <c r="AK116" s="31" t="s">
        <v>144</v>
      </c>
      <c r="AL116" s="31" t="s">
        <v>322</v>
      </c>
      <c r="AM116" s="31" t="s">
        <v>144</v>
      </c>
      <c r="AN116" s="31" t="s">
        <v>163</v>
      </c>
      <c r="AO116" s="31" t="s">
        <v>1321</v>
      </c>
    </row>
    <row r="117" spans="5:41" ht="15" customHeight="1" x14ac:dyDescent="0.25">
      <c r="E117" s="31" t="s">
        <v>132</v>
      </c>
      <c r="F117" s="31" t="s">
        <v>140</v>
      </c>
      <c r="G117" s="31" t="s">
        <v>153</v>
      </c>
      <c r="H117" s="31" t="s">
        <v>154</v>
      </c>
      <c r="I117" s="31" t="s">
        <v>481</v>
      </c>
      <c r="J117" s="31" t="s">
        <v>554</v>
      </c>
      <c r="K117" s="393" t="s">
        <v>601</v>
      </c>
      <c r="L117" s="31" t="s">
        <v>162</v>
      </c>
      <c r="M117" s="31" t="s">
        <v>144</v>
      </c>
      <c r="N117" s="31" t="s">
        <v>144</v>
      </c>
      <c r="O117" s="31">
        <v>16</v>
      </c>
      <c r="P117" s="31" t="s">
        <v>144</v>
      </c>
      <c r="Q117" s="31" t="s">
        <v>471</v>
      </c>
      <c r="R117" s="31" t="s">
        <v>312</v>
      </c>
      <c r="S117" s="31" t="s">
        <v>619</v>
      </c>
      <c r="T117" s="31" t="s">
        <v>317</v>
      </c>
      <c r="U117" s="31" t="s">
        <v>321</v>
      </c>
      <c r="V117" s="31" t="s">
        <v>155</v>
      </c>
      <c r="W117" s="31" t="s">
        <v>144</v>
      </c>
      <c r="X117" s="31" t="s">
        <v>144</v>
      </c>
      <c r="Y117" s="31" t="s">
        <v>144</v>
      </c>
      <c r="Z117" s="33">
        <v>1</v>
      </c>
      <c r="AA117" s="402">
        <v>16</v>
      </c>
      <c r="AB117" s="31">
        <v>15.5</v>
      </c>
      <c r="AC117" s="390">
        <v>0.3</v>
      </c>
      <c r="AD117" s="31">
        <v>0.2</v>
      </c>
      <c r="AE117" s="31">
        <v>1.3</v>
      </c>
      <c r="AF117" s="31">
        <v>28</v>
      </c>
      <c r="AG117" s="31" t="s">
        <v>144</v>
      </c>
      <c r="AH117" s="31" t="s">
        <v>144</v>
      </c>
      <c r="AI117" s="31" t="s">
        <v>144</v>
      </c>
      <c r="AJ117" s="31" t="s">
        <v>144</v>
      </c>
      <c r="AK117" s="31" t="s">
        <v>144</v>
      </c>
      <c r="AL117" s="31" t="s">
        <v>322</v>
      </c>
      <c r="AM117" s="31" t="s">
        <v>144</v>
      </c>
      <c r="AN117" s="31" t="s">
        <v>163</v>
      </c>
      <c r="AO117" s="31" t="s">
        <v>1321</v>
      </c>
    </row>
    <row r="118" spans="5:41" ht="15" customHeight="1" x14ac:dyDescent="0.25">
      <c r="E118" s="31" t="s">
        <v>132</v>
      </c>
      <c r="F118" s="31" t="s">
        <v>140</v>
      </c>
      <c r="G118" s="31" t="s">
        <v>153</v>
      </c>
      <c r="H118" s="31" t="s">
        <v>154</v>
      </c>
      <c r="I118" s="31" t="s">
        <v>481</v>
      </c>
      <c r="J118" s="31" t="s">
        <v>554</v>
      </c>
      <c r="K118" s="393" t="s">
        <v>602</v>
      </c>
      <c r="L118" s="31" t="s">
        <v>162</v>
      </c>
      <c r="M118" s="31" t="s">
        <v>144</v>
      </c>
      <c r="N118" s="31" t="s">
        <v>144</v>
      </c>
      <c r="O118" s="31">
        <v>16</v>
      </c>
      <c r="P118" s="31" t="s">
        <v>144</v>
      </c>
      <c r="Q118" s="31" t="s">
        <v>471</v>
      </c>
      <c r="R118" s="31" t="s">
        <v>312</v>
      </c>
      <c r="S118" s="31" t="s">
        <v>619</v>
      </c>
      <c r="T118" s="31" t="s">
        <v>317</v>
      </c>
      <c r="U118" s="31" t="s">
        <v>321</v>
      </c>
      <c r="V118" s="31" t="s">
        <v>155</v>
      </c>
      <c r="W118" s="31" t="s">
        <v>144</v>
      </c>
      <c r="X118" s="31" t="s">
        <v>144</v>
      </c>
      <c r="Y118" s="31" t="s">
        <v>144</v>
      </c>
      <c r="Z118" s="33">
        <v>1</v>
      </c>
      <c r="AA118" s="402">
        <v>16</v>
      </c>
      <c r="AB118" s="31">
        <v>15.5</v>
      </c>
      <c r="AC118" s="390">
        <v>0.3</v>
      </c>
      <c r="AD118" s="31">
        <v>0.2</v>
      </c>
      <c r="AE118" s="31">
        <v>1.3</v>
      </c>
      <c r="AF118" s="31">
        <v>28</v>
      </c>
      <c r="AG118" s="31" t="s">
        <v>144</v>
      </c>
      <c r="AH118" s="31" t="s">
        <v>144</v>
      </c>
      <c r="AI118" s="31" t="s">
        <v>144</v>
      </c>
      <c r="AJ118" s="31" t="s">
        <v>144</v>
      </c>
      <c r="AK118" s="31" t="s">
        <v>144</v>
      </c>
      <c r="AL118" s="31" t="s">
        <v>322</v>
      </c>
      <c r="AM118" s="31" t="s">
        <v>144</v>
      </c>
      <c r="AN118" s="31" t="s">
        <v>163</v>
      </c>
      <c r="AO118" s="31" t="s">
        <v>1321</v>
      </c>
    </row>
    <row r="119" spans="5:41" ht="15" customHeight="1" x14ac:dyDescent="0.25">
      <c r="E119" s="31" t="s">
        <v>132</v>
      </c>
      <c r="F119" s="31" t="s">
        <v>140</v>
      </c>
      <c r="G119" s="31" t="s">
        <v>153</v>
      </c>
      <c r="H119" s="31" t="s">
        <v>154</v>
      </c>
      <c r="I119" s="31" t="s">
        <v>481</v>
      </c>
      <c r="J119" s="31" t="s">
        <v>554</v>
      </c>
      <c r="K119" s="393" t="s">
        <v>603</v>
      </c>
      <c r="L119" s="31" t="s">
        <v>162</v>
      </c>
      <c r="M119" s="31" t="s">
        <v>144</v>
      </c>
      <c r="N119" s="31" t="s">
        <v>144</v>
      </c>
      <c r="O119" s="31">
        <v>16</v>
      </c>
      <c r="P119" s="31" t="s">
        <v>144</v>
      </c>
      <c r="Q119" s="31" t="s">
        <v>471</v>
      </c>
      <c r="R119" s="31" t="s">
        <v>312</v>
      </c>
      <c r="S119" s="31" t="s">
        <v>619</v>
      </c>
      <c r="T119" s="31" t="s">
        <v>317</v>
      </c>
      <c r="U119" s="31" t="s">
        <v>321</v>
      </c>
      <c r="V119" s="31" t="s">
        <v>155</v>
      </c>
      <c r="W119" s="31" t="s">
        <v>144</v>
      </c>
      <c r="X119" s="31" t="s">
        <v>144</v>
      </c>
      <c r="Y119" s="31" t="s">
        <v>144</v>
      </c>
      <c r="Z119" s="33">
        <v>1</v>
      </c>
      <c r="AA119" s="402">
        <v>16</v>
      </c>
      <c r="AB119" s="31">
        <v>15.5</v>
      </c>
      <c r="AC119" s="390">
        <v>0.3</v>
      </c>
      <c r="AD119" s="31">
        <v>0.2</v>
      </c>
      <c r="AE119" s="31">
        <v>1.3</v>
      </c>
      <c r="AF119" s="31">
        <v>28</v>
      </c>
      <c r="AG119" s="31" t="s">
        <v>144</v>
      </c>
      <c r="AH119" s="31" t="s">
        <v>144</v>
      </c>
      <c r="AI119" s="31" t="s">
        <v>144</v>
      </c>
      <c r="AJ119" s="31" t="s">
        <v>144</v>
      </c>
      <c r="AK119" s="31" t="s">
        <v>144</v>
      </c>
      <c r="AL119" s="31" t="s">
        <v>322</v>
      </c>
      <c r="AM119" s="31" t="s">
        <v>144</v>
      </c>
      <c r="AN119" s="31" t="s">
        <v>163</v>
      </c>
      <c r="AO119" s="31" t="s">
        <v>1321</v>
      </c>
    </row>
    <row r="120" spans="5:41" ht="15" customHeight="1" x14ac:dyDescent="0.25">
      <c r="E120" s="31" t="s">
        <v>132</v>
      </c>
      <c r="F120" s="31" t="s">
        <v>140</v>
      </c>
      <c r="G120" s="31" t="s">
        <v>153</v>
      </c>
      <c r="H120" s="31" t="s">
        <v>154</v>
      </c>
      <c r="I120" s="31" t="s">
        <v>481</v>
      </c>
      <c r="J120" s="31" t="s">
        <v>554</v>
      </c>
      <c r="K120" s="393" t="s">
        <v>604</v>
      </c>
      <c r="L120" s="31" t="s">
        <v>162</v>
      </c>
      <c r="M120" s="31" t="s">
        <v>144</v>
      </c>
      <c r="N120" s="31" t="s">
        <v>144</v>
      </c>
      <c r="O120" s="31">
        <v>16</v>
      </c>
      <c r="P120" s="31" t="s">
        <v>144</v>
      </c>
      <c r="Q120" s="31" t="s">
        <v>471</v>
      </c>
      <c r="R120" s="31" t="s">
        <v>312</v>
      </c>
      <c r="S120" s="31" t="s">
        <v>619</v>
      </c>
      <c r="T120" s="31" t="s">
        <v>317</v>
      </c>
      <c r="U120" s="31" t="s">
        <v>321</v>
      </c>
      <c r="V120" s="31" t="s">
        <v>155</v>
      </c>
      <c r="W120" s="31" t="s">
        <v>144</v>
      </c>
      <c r="X120" s="31" t="s">
        <v>144</v>
      </c>
      <c r="Y120" s="31" t="s">
        <v>144</v>
      </c>
      <c r="Z120" s="33">
        <v>1</v>
      </c>
      <c r="AA120" s="402">
        <v>16</v>
      </c>
      <c r="AB120" s="31">
        <v>15.5</v>
      </c>
      <c r="AC120" s="390">
        <v>0.3</v>
      </c>
      <c r="AD120" s="31">
        <v>0.2</v>
      </c>
      <c r="AE120" s="31">
        <v>1.3</v>
      </c>
      <c r="AF120" s="31">
        <v>28</v>
      </c>
      <c r="AG120" s="31" t="s">
        <v>144</v>
      </c>
      <c r="AH120" s="31" t="s">
        <v>144</v>
      </c>
      <c r="AI120" s="31" t="s">
        <v>144</v>
      </c>
      <c r="AJ120" s="31" t="s">
        <v>144</v>
      </c>
      <c r="AK120" s="31" t="s">
        <v>144</v>
      </c>
      <c r="AL120" s="31" t="s">
        <v>322</v>
      </c>
      <c r="AM120" s="31" t="s">
        <v>144</v>
      </c>
      <c r="AN120" s="31" t="s">
        <v>163</v>
      </c>
      <c r="AO120" s="31" t="s">
        <v>1321</v>
      </c>
    </row>
    <row r="121" spans="5:41" ht="15" customHeight="1" x14ac:dyDescent="0.25">
      <c r="E121" s="31" t="s">
        <v>132</v>
      </c>
      <c r="F121" s="31" t="s">
        <v>140</v>
      </c>
      <c r="G121" s="31" t="s">
        <v>153</v>
      </c>
      <c r="H121" s="31" t="s">
        <v>154</v>
      </c>
      <c r="I121" s="31" t="s">
        <v>481</v>
      </c>
      <c r="J121" s="31" t="s">
        <v>554</v>
      </c>
      <c r="K121" s="393" t="s">
        <v>605</v>
      </c>
      <c r="L121" s="31" t="s">
        <v>162</v>
      </c>
      <c r="M121" s="31" t="s">
        <v>144</v>
      </c>
      <c r="N121" s="31" t="s">
        <v>144</v>
      </c>
      <c r="O121" s="31">
        <v>16</v>
      </c>
      <c r="P121" s="31" t="s">
        <v>144</v>
      </c>
      <c r="Q121" s="31" t="s">
        <v>471</v>
      </c>
      <c r="R121" s="31" t="s">
        <v>312</v>
      </c>
      <c r="S121" s="31" t="s">
        <v>619</v>
      </c>
      <c r="T121" s="31" t="s">
        <v>317</v>
      </c>
      <c r="U121" s="31" t="s">
        <v>321</v>
      </c>
      <c r="V121" s="31" t="s">
        <v>155</v>
      </c>
      <c r="W121" s="31" t="s">
        <v>144</v>
      </c>
      <c r="X121" s="31" t="s">
        <v>144</v>
      </c>
      <c r="Y121" s="31" t="s">
        <v>144</v>
      </c>
      <c r="Z121" s="33">
        <v>1</v>
      </c>
      <c r="AA121" s="402">
        <v>16</v>
      </c>
      <c r="AB121" s="31">
        <v>15.5</v>
      </c>
      <c r="AC121" s="390">
        <v>0.3</v>
      </c>
      <c r="AD121" s="31">
        <v>0.2</v>
      </c>
      <c r="AE121" s="31">
        <v>1.3</v>
      </c>
      <c r="AF121" s="31">
        <v>28</v>
      </c>
      <c r="AG121" s="31" t="s">
        <v>144</v>
      </c>
      <c r="AH121" s="31" t="s">
        <v>144</v>
      </c>
      <c r="AI121" s="31" t="s">
        <v>144</v>
      </c>
      <c r="AJ121" s="31" t="s">
        <v>144</v>
      </c>
      <c r="AK121" s="31" t="s">
        <v>144</v>
      </c>
      <c r="AL121" s="31" t="s">
        <v>322</v>
      </c>
      <c r="AM121" s="31" t="s">
        <v>144</v>
      </c>
      <c r="AN121" s="31" t="s">
        <v>163</v>
      </c>
      <c r="AO121" s="31" t="s">
        <v>1321</v>
      </c>
    </row>
    <row r="122" spans="5:41" ht="15" customHeight="1" x14ac:dyDescent="0.25">
      <c r="E122" s="31" t="s">
        <v>132</v>
      </c>
      <c r="F122" s="31" t="s">
        <v>140</v>
      </c>
      <c r="G122" s="31" t="s">
        <v>153</v>
      </c>
      <c r="H122" s="31" t="s">
        <v>154</v>
      </c>
      <c r="I122" s="31" t="s">
        <v>481</v>
      </c>
      <c r="J122" s="31" t="s">
        <v>554</v>
      </c>
      <c r="K122" s="393" t="s">
        <v>606</v>
      </c>
      <c r="L122" s="31" t="s">
        <v>162</v>
      </c>
      <c r="M122" s="31" t="s">
        <v>144</v>
      </c>
      <c r="N122" s="31" t="s">
        <v>144</v>
      </c>
      <c r="O122" s="31">
        <v>16</v>
      </c>
      <c r="P122" s="31" t="s">
        <v>144</v>
      </c>
      <c r="Q122" s="31" t="s">
        <v>471</v>
      </c>
      <c r="R122" s="31" t="s">
        <v>312</v>
      </c>
      <c r="S122" s="31" t="s">
        <v>619</v>
      </c>
      <c r="T122" s="31" t="s">
        <v>317</v>
      </c>
      <c r="U122" s="31" t="s">
        <v>321</v>
      </c>
      <c r="V122" s="31" t="s">
        <v>155</v>
      </c>
      <c r="W122" s="31" t="s">
        <v>144</v>
      </c>
      <c r="X122" s="31" t="s">
        <v>144</v>
      </c>
      <c r="Y122" s="31" t="s">
        <v>144</v>
      </c>
      <c r="Z122" s="33">
        <v>1</v>
      </c>
      <c r="AA122" s="402">
        <v>16</v>
      </c>
      <c r="AB122" s="31">
        <v>15.5</v>
      </c>
      <c r="AC122" s="390">
        <v>0.3</v>
      </c>
      <c r="AD122" s="31">
        <v>0.2</v>
      </c>
      <c r="AE122" s="31">
        <v>1.3</v>
      </c>
      <c r="AF122" s="31">
        <v>28</v>
      </c>
      <c r="AG122" s="31" t="s">
        <v>144</v>
      </c>
      <c r="AH122" s="31" t="s">
        <v>144</v>
      </c>
      <c r="AI122" s="31" t="s">
        <v>144</v>
      </c>
      <c r="AJ122" s="31" t="s">
        <v>144</v>
      </c>
      <c r="AK122" s="31" t="s">
        <v>144</v>
      </c>
      <c r="AL122" s="31" t="s">
        <v>322</v>
      </c>
      <c r="AM122" s="31" t="s">
        <v>144</v>
      </c>
      <c r="AN122" s="31" t="s">
        <v>163</v>
      </c>
      <c r="AO122" s="31" t="s">
        <v>1321</v>
      </c>
    </row>
    <row r="123" spans="5:41" ht="15" customHeight="1" x14ac:dyDescent="0.25">
      <c r="E123" s="31" t="s">
        <v>132</v>
      </c>
      <c r="F123" s="31" t="s">
        <v>140</v>
      </c>
      <c r="G123" s="31" t="s">
        <v>153</v>
      </c>
      <c r="H123" s="31" t="s">
        <v>154</v>
      </c>
      <c r="I123" s="31" t="s">
        <v>481</v>
      </c>
      <c r="J123" s="31" t="s">
        <v>554</v>
      </c>
      <c r="K123" s="393" t="s">
        <v>607</v>
      </c>
      <c r="L123" s="31" t="s">
        <v>162</v>
      </c>
      <c r="M123" s="31" t="s">
        <v>144</v>
      </c>
      <c r="N123" s="31" t="s">
        <v>144</v>
      </c>
      <c r="O123" s="31">
        <v>16</v>
      </c>
      <c r="P123" s="31" t="s">
        <v>144</v>
      </c>
      <c r="Q123" s="31" t="s">
        <v>471</v>
      </c>
      <c r="R123" s="31" t="s">
        <v>312</v>
      </c>
      <c r="S123" s="31" t="s">
        <v>619</v>
      </c>
      <c r="T123" s="31" t="s">
        <v>317</v>
      </c>
      <c r="U123" s="31" t="s">
        <v>321</v>
      </c>
      <c r="V123" s="31" t="s">
        <v>155</v>
      </c>
      <c r="W123" s="31" t="s">
        <v>144</v>
      </c>
      <c r="X123" s="31" t="s">
        <v>144</v>
      </c>
      <c r="Y123" s="31" t="s">
        <v>144</v>
      </c>
      <c r="Z123" s="33">
        <v>1</v>
      </c>
      <c r="AA123" s="402">
        <v>16</v>
      </c>
      <c r="AB123" s="31">
        <v>15.5</v>
      </c>
      <c r="AC123" s="390">
        <v>0.3</v>
      </c>
      <c r="AD123" s="31">
        <v>0.2</v>
      </c>
      <c r="AE123" s="31">
        <v>1.3</v>
      </c>
      <c r="AF123" s="31">
        <v>28</v>
      </c>
      <c r="AG123" s="31" t="s">
        <v>144</v>
      </c>
      <c r="AH123" s="31" t="s">
        <v>144</v>
      </c>
      <c r="AI123" s="31" t="s">
        <v>144</v>
      </c>
      <c r="AJ123" s="31" t="s">
        <v>144</v>
      </c>
      <c r="AK123" s="31" t="s">
        <v>144</v>
      </c>
      <c r="AL123" s="31" t="s">
        <v>322</v>
      </c>
      <c r="AM123" s="31" t="s">
        <v>144</v>
      </c>
      <c r="AN123" s="31" t="s">
        <v>163</v>
      </c>
      <c r="AO123" s="31" t="s">
        <v>1321</v>
      </c>
    </row>
    <row r="124" spans="5:41" ht="15" customHeight="1" x14ac:dyDescent="0.25">
      <c r="E124" s="31" t="s">
        <v>132</v>
      </c>
      <c r="F124" s="31" t="s">
        <v>140</v>
      </c>
      <c r="G124" s="31" t="s">
        <v>153</v>
      </c>
      <c r="H124" s="31" t="s">
        <v>154</v>
      </c>
      <c r="I124" s="31" t="s">
        <v>481</v>
      </c>
      <c r="J124" s="31" t="s">
        <v>554</v>
      </c>
      <c r="K124" s="393" t="s">
        <v>608</v>
      </c>
      <c r="L124" s="31" t="s">
        <v>162</v>
      </c>
      <c r="M124" s="31" t="s">
        <v>144</v>
      </c>
      <c r="N124" s="31" t="s">
        <v>144</v>
      </c>
      <c r="O124" s="31">
        <v>16</v>
      </c>
      <c r="P124" s="31" t="s">
        <v>144</v>
      </c>
      <c r="Q124" s="31" t="s">
        <v>471</v>
      </c>
      <c r="R124" s="31" t="s">
        <v>312</v>
      </c>
      <c r="S124" s="31" t="s">
        <v>619</v>
      </c>
      <c r="T124" s="31" t="s">
        <v>317</v>
      </c>
      <c r="U124" s="31" t="s">
        <v>321</v>
      </c>
      <c r="V124" s="31" t="s">
        <v>155</v>
      </c>
      <c r="W124" s="31" t="s">
        <v>144</v>
      </c>
      <c r="X124" s="31" t="s">
        <v>144</v>
      </c>
      <c r="Y124" s="31" t="s">
        <v>144</v>
      </c>
      <c r="Z124" s="33">
        <v>1</v>
      </c>
      <c r="AA124" s="402">
        <v>16</v>
      </c>
      <c r="AB124" s="31">
        <v>15.5</v>
      </c>
      <c r="AC124" s="390">
        <v>0.3</v>
      </c>
      <c r="AD124" s="31">
        <v>0.2</v>
      </c>
      <c r="AE124" s="31">
        <v>1.3</v>
      </c>
      <c r="AF124" s="31">
        <v>28</v>
      </c>
      <c r="AG124" s="31" t="s">
        <v>144</v>
      </c>
      <c r="AH124" s="31" t="s">
        <v>144</v>
      </c>
      <c r="AI124" s="31" t="s">
        <v>144</v>
      </c>
      <c r="AJ124" s="31" t="s">
        <v>144</v>
      </c>
      <c r="AK124" s="31" t="s">
        <v>144</v>
      </c>
      <c r="AL124" s="31" t="s">
        <v>322</v>
      </c>
      <c r="AM124" s="31" t="s">
        <v>144</v>
      </c>
      <c r="AN124" s="31" t="s">
        <v>163</v>
      </c>
      <c r="AO124" s="31" t="s">
        <v>1321</v>
      </c>
    </row>
    <row r="125" spans="5:41" ht="15" customHeight="1" x14ac:dyDescent="0.25">
      <c r="E125" s="31" t="s">
        <v>132</v>
      </c>
      <c r="F125" s="31" t="s">
        <v>140</v>
      </c>
      <c r="G125" s="31" t="s">
        <v>153</v>
      </c>
      <c r="H125" s="31" t="s">
        <v>154</v>
      </c>
      <c r="I125" s="31" t="s">
        <v>481</v>
      </c>
      <c r="J125" s="31" t="s">
        <v>554</v>
      </c>
      <c r="K125" s="393" t="s">
        <v>609</v>
      </c>
      <c r="L125" s="31" t="s">
        <v>162</v>
      </c>
      <c r="M125" s="31" t="s">
        <v>144</v>
      </c>
      <c r="N125" s="31" t="s">
        <v>144</v>
      </c>
      <c r="O125" s="31">
        <v>16</v>
      </c>
      <c r="P125" s="31" t="s">
        <v>144</v>
      </c>
      <c r="Q125" s="31" t="s">
        <v>471</v>
      </c>
      <c r="R125" s="31" t="s">
        <v>312</v>
      </c>
      <c r="S125" s="31" t="s">
        <v>619</v>
      </c>
      <c r="T125" s="31" t="s">
        <v>317</v>
      </c>
      <c r="U125" s="31" t="s">
        <v>321</v>
      </c>
      <c r="V125" s="31" t="s">
        <v>155</v>
      </c>
      <c r="W125" s="31" t="s">
        <v>144</v>
      </c>
      <c r="X125" s="31" t="s">
        <v>144</v>
      </c>
      <c r="Y125" s="31" t="s">
        <v>144</v>
      </c>
      <c r="Z125" s="33">
        <v>1</v>
      </c>
      <c r="AA125" s="402">
        <v>16</v>
      </c>
      <c r="AB125" s="31">
        <v>15.5</v>
      </c>
      <c r="AC125" s="390">
        <v>0.3</v>
      </c>
      <c r="AD125" s="31">
        <v>0.2</v>
      </c>
      <c r="AE125" s="31">
        <v>1.3</v>
      </c>
      <c r="AF125" s="31">
        <v>28</v>
      </c>
      <c r="AG125" s="31" t="s">
        <v>144</v>
      </c>
      <c r="AH125" s="31" t="s">
        <v>144</v>
      </c>
      <c r="AI125" s="31" t="s">
        <v>144</v>
      </c>
      <c r="AJ125" s="31" t="s">
        <v>144</v>
      </c>
      <c r="AK125" s="31" t="s">
        <v>144</v>
      </c>
      <c r="AL125" s="31" t="s">
        <v>322</v>
      </c>
      <c r="AM125" s="31" t="s">
        <v>144</v>
      </c>
      <c r="AN125" s="31" t="s">
        <v>163</v>
      </c>
      <c r="AO125" s="31" t="s">
        <v>1321</v>
      </c>
    </row>
    <row r="126" spans="5:41" ht="15" customHeight="1" x14ac:dyDescent="0.25">
      <c r="E126" s="31" t="s">
        <v>132</v>
      </c>
      <c r="F126" s="31" t="s">
        <v>140</v>
      </c>
      <c r="G126" s="31" t="s">
        <v>153</v>
      </c>
      <c r="H126" s="31" t="s">
        <v>154</v>
      </c>
      <c r="I126" s="31" t="s">
        <v>481</v>
      </c>
      <c r="J126" s="31" t="s">
        <v>554</v>
      </c>
      <c r="K126" s="393" t="s">
        <v>610</v>
      </c>
      <c r="L126" s="31" t="s">
        <v>162</v>
      </c>
      <c r="M126" s="31" t="s">
        <v>144</v>
      </c>
      <c r="N126" s="31" t="s">
        <v>144</v>
      </c>
      <c r="O126" s="31">
        <v>16</v>
      </c>
      <c r="P126" s="31" t="s">
        <v>144</v>
      </c>
      <c r="Q126" s="31" t="s">
        <v>471</v>
      </c>
      <c r="R126" s="31" t="s">
        <v>312</v>
      </c>
      <c r="S126" s="31" t="s">
        <v>619</v>
      </c>
      <c r="T126" s="31" t="s">
        <v>317</v>
      </c>
      <c r="U126" s="31" t="s">
        <v>321</v>
      </c>
      <c r="V126" s="31" t="s">
        <v>155</v>
      </c>
      <c r="W126" s="31" t="s">
        <v>144</v>
      </c>
      <c r="X126" s="31" t="s">
        <v>144</v>
      </c>
      <c r="Y126" s="31" t="s">
        <v>144</v>
      </c>
      <c r="Z126" s="33">
        <v>1</v>
      </c>
      <c r="AA126" s="402">
        <v>16</v>
      </c>
      <c r="AB126" s="31">
        <v>15.5</v>
      </c>
      <c r="AC126" s="390">
        <v>0.3</v>
      </c>
      <c r="AD126" s="31">
        <v>0.2</v>
      </c>
      <c r="AE126" s="31">
        <v>1.3</v>
      </c>
      <c r="AF126" s="31">
        <v>28</v>
      </c>
      <c r="AG126" s="31" t="s">
        <v>144</v>
      </c>
      <c r="AH126" s="31" t="s">
        <v>144</v>
      </c>
      <c r="AI126" s="31" t="s">
        <v>144</v>
      </c>
      <c r="AJ126" s="31" t="s">
        <v>144</v>
      </c>
      <c r="AK126" s="31" t="s">
        <v>144</v>
      </c>
      <c r="AL126" s="31" t="s">
        <v>322</v>
      </c>
      <c r="AM126" s="31" t="s">
        <v>144</v>
      </c>
      <c r="AN126" s="31" t="s">
        <v>163</v>
      </c>
      <c r="AO126" s="31" t="s">
        <v>1321</v>
      </c>
    </row>
    <row r="127" spans="5:41" ht="15" customHeight="1" x14ac:dyDescent="0.25">
      <c r="E127" s="31" t="s">
        <v>132</v>
      </c>
      <c r="F127" s="31" t="s">
        <v>140</v>
      </c>
      <c r="G127" s="31" t="s">
        <v>153</v>
      </c>
      <c r="H127" s="31" t="s">
        <v>154</v>
      </c>
      <c r="I127" s="31" t="s">
        <v>481</v>
      </c>
      <c r="J127" s="31" t="s">
        <v>554</v>
      </c>
      <c r="K127" s="393" t="s">
        <v>611</v>
      </c>
      <c r="L127" s="31" t="s">
        <v>162</v>
      </c>
      <c r="M127" s="31" t="s">
        <v>144</v>
      </c>
      <c r="N127" s="31" t="s">
        <v>144</v>
      </c>
      <c r="O127" s="31">
        <v>16</v>
      </c>
      <c r="P127" s="31" t="s">
        <v>144</v>
      </c>
      <c r="Q127" s="31" t="s">
        <v>471</v>
      </c>
      <c r="R127" s="31" t="s">
        <v>312</v>
      </c>
      <c r="S127" s="31" t="s">
        <v>619</v>
      </c>
      <c r="T127" s="31" t="s">
        <v>317</v>
      </c>
      <c r="U127" s="31" t="s">
        <v>321</v>
      </c>
      <c r="V127" s="31" t="s">
        <v>155</v>
      </c>
      <c r="W127" s="31" t="s">
        <v>144</v>
      </c>
      <c r="X127" s="31" t="s">
        <v>144</v>
      </c>
      <c r="Y127" s="31" t="s">
        <v>144</v>
      </c>
      <c r="Z127" s="33">
        <v>1</v>
      </c>
      <c r="AA127" s="402">
        <v>16</v>
      </c>
      <c r="AB127" s="31">
        <v>15.5</v>
      </c>
      <c r="AC127" s="390">
        <v>0.3</v>
      </c>
      <c r="AD127" s="31">
        <v>0.2</v>
      </c>
      <c r="AE127" s="31">
        <v>1.3</v>
      </c>
      <c r="AF127" s="31">
        <v>28</v>
      </c>
      <c r="AG127" s="31" t="s">
        <v>144</v>
      </c>
      <c r="AH127" s="31" t="s">
        <v>144</v>
      </c>
      <c r="AI127" s="31" t="s">
        <v>144</v>
      </c>
      <c r="AJ127" s="31" t="s">
        <v>144</v>
      </c>
      <c r="AK127" s="31" t="s">
        <v>144</v>
      </c>
      <c r="AL127" s="31" t="s">
        <v>322</v>
      </c>
      <c r="AM127" s="31" t="s">
        <v>144</v>
      </c>
      <c r="AN127" s="31" t="s">
        <v>163</v>
      </c>
      <c r="AO127" s="31" t="s">
        <v>1321</v>
      </c>
    </row>
    <row r="128" spans="5:41" ht="15" customHeight="1" x14ac:dyDescent="0.25">
      <c r="E128" s="31" t="s">
        <v>132</v>
      </c>
      <c r="F128" s="31" t="s">
        <v>140</v>
      </c>
      <c r="G128" s="31" t="s">
        <v>153</v>
      </c>
      <c r="H128" s="31" t="s">
        <v>154</v>
      </c>
      <c r="I128" s="31" t="s">
        <v>481</v>
      </c>
      <c r="J128" s="31" t="s">
        <v>554</v>
      </c>
      <c r="K128" s="393" t="s">
        <v>612</v>
      </c>
      <c r="L128" s="31" t="s">
        <v>162</v>
      </c>
      <c r="M128" s="31" t="s">
        <v>144</v>
      </c>
      <c r="N128" s="31" t="s">
        <v>144</v>
      </c>
      <c r="O128" s="31">
        <v>16</v>
      </c>
      <c r="P128" s="31" t="s">
        <v>144</v>
      </c>
      <c r="Q128" s="31" t="s">
        <v>471</v>
      </c>
      <c r="R128" s="31" t="s">
        <v>312</v>
      </c>
      <c r="S128" s="31" t="s">
        <v>619</v>
      </c>
      <c r="T128" s="31" t="s">
        <v>317</v>
      </c>
      <c r="U128" s="31" t="s">
        <v>321</v>
      </c>
      <c r="V128" s="31" t="s">
        <v>155</v>
      </c>
      <c r="W128" s="31" t="s">
        <v>144</v>
      </c>
      <c r="X128" s="31" t="s">
        <v>144</v>
      </c>
      <c r="Y128" s="31" t="s">
        <v>144</v>
      </c>
      <c r="Z128" s="33">
        <v>1</v>
      </c>
      <c r="AA128" s="402">
        <v>16</v>
      </c>
      <c r="AB128" s="31">
        <v>15.5</v>
      </c>
      <c r="AC128" s="390">
        <v>0.3</v>
      </c>
      <c r="AD128" s="31">
        <v>0.2</v>
      </c>
      <c r="AE128" s="31">
        <v>1.3</v>
      </c>
      <c r="AF128" s="31">
        <v>28</v>
      </c>
      <c r="AG128" s="31" t="s">
        <v>144</v>
      </c>
      <c r="AH128" s="31" t="s">
        <v>144</v>
      </c>
      <c r="AI128" s="31" t="s">
        <v>144</v>
      </c>
      <c r="AJ128" s="31" t="s">
        <v>144</v>
      </c>
      <c r="AK128" s="31" t="s">
        <v>144</v>
      </c>
      <c r="AL128" s="31" t="s">
        <v>322</v>
      </c>
      <c r="AM128" s="31" t="s">
        <v>144</v>
      </c>
      <c r="AN128" s="31" t="s">
        <v>163</v>
      </c>
      <c r="AO128" s="31" t="s">
        <v>1321</v>
      </c>
    </row>
    <row r="129" spans="5:47" ht="15" customHeight="1" x14ac:dyDescent="0.25">
      <c r="E129" s="31" t="s">
        <v>132</v>
      </c>
      <c r="F129" s="31" t="s">
        <v>140</v>
      </c>
      <c r="G129" s="31" t="s">
        <v>153</v>
      </c>
      <c r="H129" s="31" t="s">
        <v>154</v>
      </c>
      <c r="I129" s="31" t="s">
        <v>481</v>
      </c>
      <c r="J129" s="31" t="s">
        <v>554</v>
      </c>
      <c r="K129" s="393" t="s">
        <v>613</v>
      </c>
      <c r="L129" s="31" t="s">
        <v>162</v>
      </c>
      <c r="M129" s="31" t="s">
        <v>144</v>
      </c>
      <c r="N129" s="31" t="s">
        <v>144</v>
      </c>
      <c r="O129" s="31">
        <v>16</v>
      </c>
      <c r="P129" s="31" t="s">
        <v>144</v>
      </c>
      <c r="Q129" s="31" t="s">
        <v>471</v>
      </c>
      <c r="R129" s="31" t="s">
        <v>312</v>
      </c>
      <c r="S129" s="31" t="s">
        <v>619</v>
      </c>
      <c r="T129" s="31" t="s">
        <v>317</v>
      </c>
      <c r="U129" s="31" t="s">
        <v>321</v>
      </c>
      <c r="V129" s="31" t="s">
        <v>155</v>
      </c>
      <c r="W129" s="31" t="s">
        <v>144</v>
      </c>
      <c r="X129" s="31" t="s">
        <v>144</v>
      </c>
      <c r="Y129" s="31" t="s">
        <v>144</v>
      </c>
      <c r="Z129" s="33">
        <v>1</v>
      </c>
      <c r="AA129" s="402">
        <v>16</v>
      </c>
      <c r="AB129" s="31">
        <v>15.5</v>
      </c>
      <c r="AC129" s="390">
        <v>0.3</v>
      </c>
      <c r="AD129" s="31">
        <v>0.2</v>
      </c>
      <c r="AE129" s="31">
        <v>1.3</v>
      </c>
      <c r="AF129" s="31">
        <v>28</v>
      </c>
      <c r="AG129" s="31" t="s">
        <v>144</v>
      </c>
      <c r="AH129" s="31" t="s">
        <v>144</v>
      </c>
      <c r="AI129" s="31" t="s">
        <v>144</v>
      </c>
      <c r="AJ129" s="31" t="s">
        <v>144</v>
      </c>
      <c r="AK129" s="31" t="s">
        <v>144</v>
      </c>
      <c r="AL129" s="31" t="s">
        <v>322</v>
      </c>
      <c r="AM129" s="31" t="s">
        <v>144</v>
      </c>
      <c r="AN129" s="31" t="s">
        <v>163</v>
      </c>
      <c r="AO129" s="31" t="s">
        <v>1321</v>
      </c>
    </row>
    <row r="130" spans="5:47" ht="15" customHeight="1" x14ac:dyDescent="0.25">
      <c r="E130" s="31" t="s">
        <v>132</v>
      </c>
      <c r="F130" s="31" t="s">
        <v>140</v>
      </c>
      <c r="G130" s="31" t="s">
        <v>153</v>
      </c>
      <c r="H130" s="31" t="s">
        <v>154</v>
      </c>
      <c r="I130" s="31" t="s">
        <v>481</v>
      </c>
      <c r="J130" s="31" t="s">
        <v>554</v>
      </c>
      <c r="K130" s="393" t="s">
        <v>614</v>
      </c>
      <c r="L130" s="31" t="s">
        <v>162</v>
      </c>
      <c r="M130" s="31" t="s">
        <v>144</v>
      </c>
      <c r="N130" s="31" t="s">
        <v>144</v>
      </c>
      <c r="O130" s="31">
        <v>16</v>
      </c>
      <c r="P130" s="31" t="s">
        <v>144</v>
      </c>
      <c r="Q130" s="31" t="s">
        <v>471</v>
      </c>
      <c r="R130" s="31" t="s">
        <v>312</v>
      </c>
      <c r="S130" s="31" t="s">
        <v>619</v>
      </c>
      <c r="T130" s="31" t="s">
        <v>317</v>
      </c>
      <c r="U130" s="31" t="s">
        <v>321</v>
      </c>
      <c r="V130" s="31" t="s">
        <v>155</v>
      </c>
      <c r="W130" s="31" t="s">
        <v>144</v>
      </c>
      <c r="X130" s="31" t="s">
        <v>144</v>
      </c>
      <c r="Y130" s="31" t="s">
        <v>144</v>
      </c>
      <c r="Z130" s="33">
        <v>1</v>
      </c>
      <c r="AA130" s="402">
        <v>16</v>
      </c>
      <c r="AB130" s="31">
        <v>15.5</v>
      </c>
      <c r="AC130" s="390">
        <v>0.3</v>
      </c>
      <c r="AD130" s="31">
        <v>0.2</v>
      </c>
      <c r="AE130" s="31">
        <v>1.3</v>
      </c>
      <c r="AF130" s="31">
        <v>28</v>
      </c>
      <c r="AG130" s="31" t="s">
        <v>144</v>
      </c>
      <c r="AH130" s="31" t="s">
        <v>144</v>
      </c>
      <c r="AI130" s="31" t="s">
        <v>144</v>
      </c>
      <c r="AJ130" s="31" t="s">
        <v>144</v>
      </c>
      <c r="AK130" s="31" t="s">
        <v>144</v>
      </c>
      <c r="AL130" s="31" t="s">
        <v>322</v>
      </c>
      <c r="AM130" s="31" t="s">
        <v>144</v>
      </c>
      <c r="AN130" s="31" t="s">
        <v>163</v>
      </c>
      <c r="AO130" s="31" t="s">
        <v>1321</v>
      </c>
    </row>
    <row r="131" spans="5:47" ht="15" customHeight="1" x14ac:dyDescent="0.25">
      <c r="E131" s="31" t="s">
        <v>132</v>
      </c>
      <c r="F131" s="31" t="s">
        <v>140</v>
      </c>
      <c r="G131" s="31" t="s">
        <v>153</v>
      </c>
      <c r="H131" s="31" t="s">
        <v>154</v>
      </c>
      <c r="I131" s="31" t="s">
        <v>481</v>
      </c>
      <c r="J131" s="31" t="s">
        <v>554</v>
      </c>
      <c r="K131" s="393" t="s">
        <v>615</v>
      </c>
      <c r="L131" s="31" t="s">
        <v>162</v>
      </c>
      <c r="M131" s="31" t="s">
        <v>144</v>
      </c>
      <c r="N131" s="31" t="s">
        <v>144</v>
      </c>
      <c r="O131" s="31">
        <v>16</v>
      </c>
      <c r="P131" s="31" t="s">
        <v>144</v>
      </c>
      <c r="Q131" s="31" t="s">
        <v>471</v>
      </c>
      <c r="R131" s="31" t="s">
        <v>312</v>
      </c>
      <c r="S131" s="31" t="s">
        <v>619</v>
      </c>
      <c r="T131" s="31" t="s">
        <v>317</v>
      </c>
      <c r="U131" s="31" t="s">
        <v>321</v>
      </c>
      <c r="V131" s="31" t="s">
        <v>155</v>
      </c>
      <c r="W131" s="31" t="s">
        <v>144</v>
      </c>
      <c r="X131" s="31" t="s">
        <v>144</v>
      </c>
      <c r="Y131" s="31" t="s">
        <v>144</v>
      </c>
      <c r="Z131" s="33">
        <v>1</v>
      </c>
      <c r="AA131" s="402">
        <v>16</v>
      </c>
      <c r="AB131" s="31">
        <v>15.5</v>
      </c>
      <c r="AC131" s="390">
        <v>0.3</v>
      </c>
      <c r="AD131" s="31">
        <v>0.2</v>
      </c>
      <c r="AE131" s="31">
        <v>1.3</v>
      </c>
      <c r="AF131" s="31">
        <v>28</v>
      </c>
      <c r="AG131" s="31" t="s">
        <v>144</v>
      </c>
      <c r="AH131" s="31" t="s">
        <v>144</v>
      </c>
      <c r="AI131" s="31" t="s">
        <v>144</v>
      </c>
      <c r="AJ131" s="31" t="s">
        <v>144</v>
      </c>
      <c r="AK131" s="31" t="s">
        <v>144</v>
      </c>
      <c r="AL131" s="31" t="s">
        <v>322</v>
      </c>
      <c r="AM131" s="31" t="s">
        <v>144</v>
      </c>
      <c r="AN131" s="31" t="s">
        <v>163</v>
      </c>
      <c r="AO131" s="31" t="s">
        <v>1321</v>
      </c>
    </row>
    <row r="132" spans="5:47" ht="15" customHeight="1" x14ac:dyDescent="0.25">
      <c r="E132" s="31" t="s">
        <v>132</v>
      </c>
      <c r="F132" s="31" t="s">
        <v>140</v>
      </c>
      <c r="G132" s="31" t="s">
        <v>153</v>
      </c>
      <c r="H132" s="31" t="s">
        <v>154</v>
      </c>
      <c r="I132" s="31" t="s">
        <v>481</v>
      </c>
      <c r="J132" s="31" t="s">
        <v>554</v>
      </c>
      <c r="K132" s="393" t="s">
        <v>616</v>
      </c>
      <c r="L132" s="31" t="s">
        <v>162</v>
      </c>
      <c r="M132" s="31" t="s">
        <v>144</v>
      </c>
      <c r="N132" s="31" t="s">
        <v>144</v>
      </c>
      <c r="O132" s="31">
        <v>16</v>
      </c>
      <c r="P132" s="31" t="s">
        <v>144</v>
      </c>
      <c r="Q132" s="31" t="s">
        <v>471</v>
      </c>
      <c r="R132" s="31" t="s">
        <v>312</v>
      </c>
      <c r="S132" s="31" t="s">
        <v>619</v>
      </c>
      <c r="T132" s="31" t="s">
        <v>317</v>
      </c>
      <c r="U132" s="31" t="s">
        <v>321</v>
      </c>
      <c r="V132" s="31" t="s">
        <v>155</v>
      </c>
      <c r="W132" s="31" t="s">
        <v>144</v>
      </c>
      <c r="X132" s="31" t="s">
        <v>144</v>
      </c>
      <c r="Y132" s="31" t="s">
        <v>144</v>
      </c>
      <c r="Z132" s="33">
        <v>1</v>
      </c>
      <c r="AA132" s="402">
        <v>16</v>
      </c>
      <c r="AB132" s="31">
        <v>15.5</v>
      </c>
      <c r="AC132" s="390">
        <v>0.3</v>
      </c>
      <c r="AD132" s="31">
        <v>0.2</v>
      </c>
      <c r="AE132" s="31">
        <v>1.3</v>
      </c>
      <c r="AF132" s="31">
        <v>28</v>
      </c>
      <c r="AG132" s="31" t="s">
        <v>144</v>
      </c>
      <c r="AH132" s="31" t="s">
        <v>144</v>
      </c>
      <c r="AI132" s="31" t="s">
        <v>144</v>
      </c>
      <c r="AJ132" s="31" t="s">
        <v>144</v>
      </c>
      <c r="AK132" s="31" t="s">
        <v>144</v>
      </c>
      <c r="AL132" s="31" t="s">
        <v>322</v>
      </c>
      <c r="AM132" s="31" t="s">
        <v>144</v>
      </c>
      <c r="AN132" s="31" t="s">
        <v>163</v>
      </c>
      <c r="AO132" s="31" t="s">
        <v>1321</v>
      </c>
    </row>
    <row r="133" spans="5:47" ht="15" customHeight="1" x14ac:dyDescent="0.25">
      <c r="E133" s="31" t="s">
        <v>132</v>
      </c>
      <c r="F133" s="31" t="s">
        <v>140</v>
      </c>
      <c r="G133" s="31" t="s">
        <v>153</v>
      </c>
      <c r="H133" s="31" t="s">
        <v>154</v>
      </c>
      <c r="I133" s="31" t="s">
        <v>481</v>
      </c>
      <c r="J133" s="31" t="s">
        <v>554</v>
      </c>
      <c r="K133" s="393" t="s">
        <v>617</v>
      </c>
      <c r="L133" s="31" t="s">
        <v>162</v>
      </c>
      <c r="M133" s="31" t="s">
        <v>144</v>
      </c>
      <c r="N133" s="31" t="s">
        <v>144</v>
      </c>
      <c r="O133" s="31">
        <v>16</v>
      </c>
      <c r="P133" s="31" t="s">
        <v>144</v>
      </c>
      <c r="Q133" s="31" t="s">
        <v>471</v>
      </c>
      <c r="R133" s="31" t="s">
        <v>312</v>
      </c>
      <c r="S133" s="31" t="s">
        <v>619</v>
      </c>
      <c r="T133" s="31" t="s">
        <v>317</v>
      </c>
      <c r="U133" s="31" t="s">
        <v>321</v>
      </c>
      <c r="V133" s="31" t="s">
        <v>155</v>
      </c>
      <c r="W133" s="31" t="s">
        <v>144</v>
      </c>
      <c r="X133" s="31" t="s">
        <v>144</v>
      </c>
      <c r="Y133" s="31" t="s">
        <v>144</v>
      </c>
      <c r="Z133" s="33">
        <v>1</v>
      </c>
      <c r="AA133" s="402">
        <v>16</v>
      </c>
      <c r="AB133" s="31">
        <v>15.5</v>
      </c>
      <c r="AC133" s="390">
        <v>0.3</v>
      </c>
      <c r="AD133" s="31">
        <v>0.2</v>
      </c>
      <c r="AE133" s="31">
        <v>1.3</v>
      </c>
      <c r="AF133" s="31">
        <v>28</v>
      </c>
      <c r="AG133" s="31" t="s">
        <v>144</v>
      </c>
      <c r="AH133" s="31" t="s">
        <v>144</v>
      </c>
      <c r="AI133" s="31" t="s">
        <v>144</v>
      </c>
      <c r="AJ133" s="31" t="s">
        <v>144</v>
      </c>
      <c r="AK133" s="31" t="s">
        <v>144</v>
      </c>
      <c r="AL133" s="31" t="s">
        <v>322</v>
      </c>
      <c r="AM133" s="31" t="s">
        <v>144</v>
      </c>
      <c r="AN133" s="31" t="s">
        <v>163</v>
      </c>
      <c r="AO133" s="31" t="s">
        <v>1321</v>
      </c>
    </row>
    <row r="134" spans="5:47" ht="15" customHeight="1" x14ac:dyDescent="0.25">
      <c r="E134" s="31" t="s">
        <v>132</v>
      </c>
      <c r="F134" s="31" t="s">
        <v>140</v>
      </c>
      <c r="G134" s="31" t="s">
        <v>153</v>
      </c>
      <c r="H134" s="31" t="s">
        <v>154</v>
      </c>
      <c r="I134" s="31" t="s">
        <v>481</v>
      </c>
      <c r="J134" s="31" t="s">
        <v>554</v>
      </c>
      <c r="K134" s="393" t="s">
        <v>618</v>
      </c>
      <c r="L134" s="31" t="s">
        <v>162</v>
      </c>
      <c r="M134" s="31" t="s">
        <v>144</v>
      </c>
      <c r="N134" s="31" t="s">
        <v>144</v>
      </c>
      <c r="O134" s="31">
        <v>16</v>
      </c>
      <c r="P134" s="31" t="s">
        <v>144</v>
      </c>
      <c r="Q134" s="31" t="s">
        <v>471</v>
      </c>
      <c r="R134" s="31" t="s">
        <v>312</v>
      </c>
      <c r="S134" s="31" t="s">
        <v>619</v>
      </c>
      <c r="T134" s="31" t="s">
        <v>317</v>
      </c>
      <c r="U134" s="31" t="s">
        <v>321</v>
      </c>
      <c r="V134" s="31" t="s">
        <v>155</v>
      </c>
      <c r="W134" s="31" t="s">
        <v>144</v>
      </c>
      <c r="X134" s="31" t="s">
        <v>144</v>
      </c>
      <c r="Y134" s="31" t="s">
        <v>144</v>
      </c>
      <c r="Z134" s="33">
        <v>1</v>
      </c>
      <c r="AA134" s="402">
        <v>16</v>
      </c>
      <c r="AB134" s="31">
        <v>15.5</v>
      </c>
      <c r="AC134" s="390">
        <v>0.3</v>
      </c>
      <c r="AD134" s="31">
        <v>0.2</v>
      </c>
      <c r="AE134" s="31">
        <v>1.3</v>
      </c>
      <c r="AF134" s="31">
        <v>28</v>
      </c>
      <c r="AG134" s="31" t="s">
        <v>144</v>
      </c>
      <c r="AH134" s="31" t="s">
        <v>144</v>
      </c>
      <c r="AI134" s="31" t="s">
        <v>144</v>
      </c>
      <c r="AJ134" s="31" t="s">
        <v>144</v>
      </c>
      <c r="AK134" s="31" t="s">
        <v>144</v>
      </c>
      <c r="AL134" s="31" t="s">
        <v>322</v>
      </c>
      <c r="AM134" s="31" t="s">
        <v>144</v>
      </c>
      <c r="AN134" s="31" t="s">
        <v>163</v>
      </c>
      <c r="AO134" s="31" t="s">
        <v>1321</v>
      </c>
    </row>
    <row r="135" spans="5:47" ht="15" customHeight="1" x14ac:dyDescent="0.25">
      <c r="E135" s="31"/>
      <c r="F135" s="31"/>
      <c r="G135" s="31"/>
      <c r="H135" s="31"/>
      <c r="I135" s="31"/>
      <c r="J135" s="31"/>
      <c r="K135" s="393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I135" s="31"/>
      <c r="AJ135" s="31"/>
      <c r="AK135" s="31"/>
      <c r="AL135" s="31"/>
    </row>
    <row r="136" spans="5:47" ht="15" customHeight="1" x14ac:dyDescent="0.25">
      <c r="E136" s="31"/>
      <c r="F136" s="31"/>
      <c r="G136" s="31"/>
      <c r="H136" s="31"/>
      <c r="I136" s="31"/>
      <c r="J136" s="31"/>
      <c r="K136" s="393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I136" s="31"/>
      <c r="AJ136" s="31"/>
      <c r="AK136" s="31"/>
      <c r="AL136" s="31"/>
    </row>
    <row r="137" spans="5:47" ht="15" customHeight="1" x14ac:dyDescent="0.25">
      <c r="E137" s="31" t="s">
        <v>133</v>
      </c>
      <c r="F137" s="31" t="s">
        <v>140</v>
      </c>
      <c r="G137" s="31" t="s">
        <v>323</v>
      </c>
      <c r="H137" s="31" t="s">
        <v>324</v>
      </c>
      <c r="I137" s="31" t="s">
        <v>481</v>
      </c>
      <c r="J137" s="31" t="s">
        <v>647</v>
      </c>
      <c r="K137" s="31" t="s">
        <v>648</v>
      </c>
      <c r="L137" s="31" t="s">
        <v>162</v>
      </c>
      <c r="M137" s="31" t="s">
        <v>144</v>
      </c>
      <c r="N137" s="31" t="s">
        <v>144</v>
      </c>
      <c r="O137" s="31">
        <v>16</v>
      </c>
      <c r="P137" s="31" t="s">
        <v>144</v>
      </c>
      <c r="Q137" s="31" t="s">
        <v>649</v>
      </c>
      <c r="R137" s="31" t="s">
        <v>320</v>
      </c>
      <c r="S137" s="31" t="s">
        <v>259</v>
      </c>
      <c r="T137" s="31" t="s">
        <v>479</v>
      </c>
      <c r="U137" s="31" t="s">
        <v>144</v>
      </c>
      <c r="V137" s="31" t="s">
        <v>144</v>
      </c>
      <c r="W137" s="31" t="s">
        <v>144</v>
      </c>
      <c r="X137" s="31" t="s">
        <v>144</v>
      </c>
      <c r="Y137" s="31" t="s">
        <v>144</v>
      </c>
      <c r="Z137" s="31" t="s">
        <v>144</v>
      </c>
      <c r="AA137" s="378">
        <v>16</v>
      </c>
      <c r="AB137" s="378">
        <v>15.5</v>
      </c>
      <c r="AC137" s="378">
        <v>0.3</v>
      </c>
      <c r="AD137" s="378">
        <v>0.2</v>
      </c>
      <c r="AE137" s="31">
        <v>1.3</v>
      </c>
      <c r="AF137" s="31">
        <v>28</v>
      </c>
      <c r="AG137" s="31" t="s">
        <v>144</v>
      </c>
      <c r="AH137" s="31" t="s">
        <v>144</v>
      </c>
      <c r="AI137" s="31" t="s">
        <v>144</v>
      </c>
      <c r="AJ137" s="31" t="s">
        <v>144</v>
      </c>
      <c r="AK137" s="31" t="s">
        <v>144</v>
      </c>
      <c r="AL137" s="31" t="s">
        <v>325</v>
      </c>
      <c r="AM137" s="31" t="s">
        <v>144</v>
      </c>
      <c r="AN137" s="31" t="s">
        <v>163</v>
      </c>
      <c r="AO137" s="31" t="s">
        <v>144</v>
      </c>
      <c r="AP137" s="31" t="s">
        <v>144</v>
      </c>
      <c r="AQ137" s="31"/>
      <c r="AR137" s="31"/>
      <c r="AS137" s="31"/>
      <c r="AT137" s="31"/>
      <c r="AU137" s="31"/>
    </row>
    <row r="138" spans="5:47" ht="15" customHeight="1" x14ac:dyDescent="0.25">
      <c r="E138" s="31" t="s">
        <v>133</v>
      </c>
      <c r="F138" s="31" t="s">
        <v>140</v>
      </c>
      <c r="G138" s="31" t="s">
        <v>323</v>
      </c>
      <c r="H138" s="31" t="s">
        <v>324</v>
      </c>
      <c r="I138" s="31" t="s">
        <v>481</v>
      </c>
      <c r="J138" s="31" t="s">
        <v>647</v>
      </c>
      <c r="K138" s="31" t="s">
        <v>650</v>
      </c>
      <c r="L138" s="31" t="s">
        <v>162</v>
      </c>
      <c r="M138" s="31" t="s">
        <v>144</v>
      </c>
      <c r="N138" s="31" t="s">
        <v>144</v>
      </c>
      <c r="O138" s="31">
        <v>16</v>
      </c>
      <c r="P138" s="31" t="s">
        <v>144</v>
      </c>
      <c r="Q138" s="31" t="s">
        <v>649</v>
      </c>
      <c r="R138" s="31" t="s">
        <v>320</v>
      </c>
      <c r="S138" s="31" t="s">
        <v>259</v>
      </c>
      <c r="T138" s="31" t="s">
        <v>479</v>
      </c>
      <c r="U138" s="31" t="s">
        <v>144</v>
      </c>
      <c r="V138" s="31" t="s">
        <v>144</v>
      </c>
      <c r="W138" s="31" t="s">
        <v>144</v>
      </c>
      <c r="X138" s="31" t="s">
        <v>144</v>
      </c>
      <c r="Y138" s="31" t="s">
        <v>144</v>
      </c>
      <c r="Z138" s="31" t="s">
        <v>144</v>
      </c>
      <c r="AA138" s="378">
        <v>16</v>
      </c>
      <c r="AB138" s="378">
        <v>15.5</v>
      </c>
      <c r="AC138" s="378">
        <v>0.3</v>
      </c>
      <c r="AD138" s="378">
        <v>0.2</v>
      </c>
      <c r="AE138" s="31">
        <v>1.3</v>
      </c>
      <c r="AF138" s="31">
        <v>28</v>
      </c>
      <c r="AG138" s="31" t="s">
        <v>144</v>
      </c>
      <c r="AH138" s="31" t="s">
        <v>144</v>
      </c>
      <c r="AI138" s="31" t="s">
        <v>144</v>
      </c>
      <c r="AJ138" s="31" t="s">
        <v>144</v>
      </c>
      <c r="AK138" s="31" t="s">
        <v>144</v>
      </c>
      <c r="AL138" s="31" t="s">
        <v>325</v>
      </c>
      <c r="AM138" s="31" t="s">
        <v>144</v>
      </c>
      <c r="AN138" s="31" t="s">
        <v>163</v>
      </c>
      <c r="AO138" s="31" t="s">
        <v>144</v>
      </c>
      <c r="AP138" s="31" t="s">
        <v>144</v>
      </c>
      <c r="AQ138" s="31"/>
      <c r="AR138" s="31"/>
      <c r="AS138" s="31"/>
      <c r="AT138" s="31"/>
      <c r="AU138" s="31"/>
    </row>
    <row r="139" spans="5:47" ht="15" customHeight="1" x14ac:dyDescent="0.25">
      <c r="E139" s="31" t="s">
        <v>133</v>
      </c>
      <c r="F139" s="31" t="s">
        <v>140</v>
      </c>
      <c r="G139" s="31" t="s">
        <v>323</v>
      </c>
      <c r="H139" s="31" t="s">
        <v>324</v>
      </c>
      <c r="I139" s="31" t="s">
        <v>481</v>
      </c>
      <c r="J139" s="31" t="s">
        <v>647</v>
      </c>
      <c r="K139" s="31" t="s">
        <v>651</v>
      </c>
      <c r="L139" s="31" t="s">
        <v>162</v>
      </c>
      <c r="M139" s="31" t="s">
        <v>144</v>
      </c>
      <c r="N139" s="31" t="s">
        <v>144</v>
      </c>
      <c r="O139" s="31">
        <v>16</v>
      </c>
      <c r="P139" s="31" t="s">
        <v>144</v>
      </c>
      <c r="Q139" s="31" t="s">
        <v>649</v>
      </c>
      <c r="R139" s="31" t="s">
        <v>320</v>
      </c>
      <c r="S139" s="31" t="s">
        <v>259</v>
      </c>
      <c r="T139" s="31" t="s">
        <v>479</v>
      </c>
      <c r="U139" s="31" t="s">
        <v>144</v>
      </c>
      <c r="V139" s="31" t="s">
        <v>144</v>
      </c>
      <c r="W139" s="31" t="s">
        <v>144</v>
      </c>
      <c r="X139" s="31" t="s">
        <v>144</v>
      </c>
      <c r="Y139" s="31" t="s">
        <v>144</v>
      </c>
      <c r="Z139" s="31" t="s">
        <v>144</v>
      </c>
      <c r="AA139" s="378">
        <v>16</v>
      </c>
      <c r="AB139" s="378">
        <v>15.5</v>
      </c>
      <c r="AC139" s="378">
        <v>0.3</v>
      </c>
      <c r="AD139" s="378">
        <v>0.2</v>
      </c>
      <c r="AE139" s="31">
        <v>1.3</v>
      </c>
      <c r="AF139" s="31">
        <v>28</v>
      </c>
      <c r="AG139" s="31" t="s">
        <v>144</v>
      </c>
      <c r="AH139" s="31" t="s">
        <v>144</v>
      </c>
      <c r="AI139" s="31" t="s">
        <v>144</v>
      </c>
      <c r="AJ139" s="31" t="s">
        <v>144</v>
      </c>
      <c r="AK139" s="31" t="s">
        <v>144</v>
      </c>
      <c r="AL139" s="31" t="s">
        <v>325</v>
      </c>
      <c r="AM139" s="31" t="s">
        <v>144</v>
      </c>
      <c r="AN139" s="31" t="s">
        <v>163</v>
      </c>
      <c r="AO139" s="31" t="s">
        <v>144</v>
      </c>
      <c r="AP139" s="31" t="s">
        <v>144</v>
      </c>
      <c r="AQ139" s="31"/>
      <c r="AR139" s="31"/>
      <c r="AS139" s="31"/>
      <c r="AT139" s="31"/>
      <c r="AU139" s="31"/>
    </row>
    <row r="140" spans="5:47" ht="15" customHeight="1" x14ac:dyDescent="0.25">
      <c r="E140" s="31" t="s">
        <v>133</v>
      </c>
      <c r="F140" s="31" t="s">
        <v>140</v>
      </c>
      <c r="G140" s="31" t="s">
        <v>323</v>
      </c>
      <c r="H140" s="31" t="s">
        <v>324</v>
      </c>
      <c r="I140" s="31" t="s">
        <v>481</v>
      </c>
      <c r="J140" s="31" t="s">
        <v>647</v>
      </c>
      <c r="K140" s="31" t="s">
        <v>652</v>
      </c>
      <c r="L140" s="31" t="s">
        <v>162</v>
      </c>
      <c r="M140" s="31" t="s">
        <v>144</v>
      </c>
      <c r="N140" s="31" t="s">
        <v>144</v>
      </c>
      <c r="O140" s="31">
        <v>16</v>
      </c>
      <c r="P140" s="31" t="s">
        <v>144</v>
      </c>
      <c r="Q140" s="31" t="s">
        <v>649</v>
      </c>
      <c r="R140" s="31" t="s">
        <v>320</v>
      </c>
      <c r="S140" s="31" t="s">
        <v>259</v>
      </c>
      <c r="T140" s="31" t="s">
        <v>479</v>
      </c>
      <c r="U140" s="31" t="s">
        <v>144</v>
      </c>
      <c r="V140" s="31" t="s">
        <v>144</v>
      </c>
      <c r="W140" s="31" t="s">
        <v>144</v>
      </c>
      <c r="X140" s="31" t="s">
        <v>144</v>
      </c>
      <c r="Y140" s="31" t="s">
        <v>144</v>
      </c>
      <c r="Z140" s="31" t="s">
        <v>144</v>
      </c>
      <c r="AA140" s="378">
        <v>16</v>
      </c>
      <c r="AB140" s="378">
        <v>15.5</v>
      </c>
      <c r="AC140" s="378">
        <v>0.3</v>
      </c>
      <c r="AD140" s="378">
        <v>0.2</v>
      </c>
      <c r="AE140" s="31">
        <v>1.3</v>
      </c>
      <c r="AF140" s="31">
        <v>28</v>
      </c>
      <c r="AG140" s="31" t="s">
        <v>144</v>
      </c>
      <c r="AH140" s="31" t="s">
        <v>144</v>
      </c>
      <c r="AI140" s="31" t="s">
        <v>144</v>
      </c>
      <c r="AJ140" s="31" t="s">
        <v>144</v>
      </c>
      <c r="AK140" s="31" t="s">
        <v>144</v>
      </c>
      <c r="AL140" s="31" t="s">
        <v>325</v>
      </c>
      <c r="AM140" s="31" t="s">
        <v>144</v>
      </c>
      <c r="AN140" s="31" t="s">
        <v>163</v>
      </c>
      <c r="AO140" s="31" t="s">
        <v>144</v>
      </c>
      <c r="AP140" s="31" t="s">
        <v>144</v>
      </c>
      <c r="AQ140" s="31"/>
      <c r="AR140" s="31"/>
      <c r="AS140" s="31"/>
      <c r="AT140" s="31"/>
      <c r="AU140" s="31"/>
    </row>
    <row r="141" spans="5:47" ht="15" customHeight="1" x14ac:dyDescent="0.25">
      <c r="E141" s="31" t="s">
        <v>133</v>
      </c>
      <c r="F141" s="31" t="s">
        <v>140</v>
      </c>
      <c r="G141" s="31" t="s">
        <v>323</v>
      </c>
      <c r="H141" s="31" t="s">
        <v>324</v>
      </c>
      <c r="I141" s="31" t="s">
        <v>481</v>
      </c>
      <c r="J141" s="31" t="s">
        <v>647</v>
      </c>
      <c r="K141" s="31" t="s">
        <v>653</v>
      </c>
      <c r="L141" s="31" t="s">
        <v>162</v>
      </c>
      <c r="M141" s="31" t="s">
        <v>144</v>
      </c>
      <c r="N141" s="31" t="s">
        <v>144</v>
      </c>
      <c r="O141" s="31">
        <v>16</v>
      </c>
      <c r="P141" s="31" t="s">
        <v>144</v>
      </c>
      <c r="Q141" s="31" t="s">
        <v>649</v>
      </c>
      <c r="R141" s="31" t="s">
        <v>320</v>
      </c>
      <c r="S141" s="31" t="s">
        <v>259</v>
      </c>
      <c r="T141" s="31" t="s">
        <v>479</v>
      </c>
      <c r="U141" s="31" t="s">
        <v>144</v>
      </c>
      <c r="V141" s="31" t="s">
        <v>144</v>
      </c>
      <c r="W141" s="31" t="s">
        <v>144</v>
      </c>
      <c r="X141" s="31" t="s">
        <v>144</v>
      </c>
      <c r="Y141" s="31" t="s">
        <v>144</v>
      </c>
      <c r="Z141" s="31" t="s">
        <v>144</v>
      </c>
      <c r="AA141" s="378">
        <v>16</v>
      </c>
      <c r="AB141" s="378">
        <v>15.5</v>
      </c>
      <c r="AC141" s="378">
        <v>0.3</v>
      </c>
      <c r="AD141" s="378">
        <v>0.2</v>
      </c>
      <c r="AE141" s="31">
        <v>1.3</v>
      </c>
      <c r="AF141" s="31">
        <v>28</v>
      </c>
      <c r="AG141" s="31" t="s">
        <v>144</v>
      </c>
      <c r="AH141" s="31" t="s">
        <v>144</v>
      </c>
      <c r="AI141" s="31" t="s">
        <v>144</v>
      </c>
      <c r="AJ141" s="31" t="s">
        <v>144</v>
      </c>
      <c r="AK141" s="31" t="s">
        <v>144</v>
      </c>
      <c r="AL141" s="31" t="s">
        <v>325</v>
      </c>
      <c r="AM141" s="31" t="s">
        <v>144</v>
      </c>
      <c r="AN141" s="31" t="s">
        <v>163</v>
      </c>
      <c r="AO141" s="31" t="s">
        <v>144</v>
      </c>
      <c r="AP141" s="31" t="s">
        <v>144</v>
      </c>
      <c r="AQ141" s="31"/>
      <c r="AR141" s="31"/>
      <c r="AS141" s="31"/>
      <c r="AT141" s="31"/>
      <c r="AU141" s="31"/>
    </row>
    <row r="142" spans="5:47" ht="15" customHeight="1" x14ac:dyDescent="0.25">
      <c r="E142" s="31" t="s">
        <v>133</v>
      </c>
      <c r="F142" s="31" t="s">
        <v>140</v>
      </c>
      <c r="G142" s="31" t="s">
        <v>323</v>
      </c>
      <c r="H142" s="31" t="s">
        <v>324</v>
      </c>
      <c r="I142" s="31" t="s">
        <v>481</v>
      </c>
      <c r="J142" s="31" t="s">
        <v>647</v>
      </c>
      <c r="K142" s="31" t="s">
        <v>654</v>
      </c>
      <c r="L142" s="31" t="s">
        <v>162</v>
      </c>
      <c r="M142" s="31" t="s">
        <v>144</v>
      </c>
      <c r="N142" s="31" t="s">
        <v>144</v>
      </c>
      <c r="O142" s="31">
        <v>16</v>
      </c>
      <c r="P142" s="31" t="s">
        <v>144</v>
      </c>
      <c r="Q142" s="31" t="s">
        <v>649</v>
      </c>
      <c r="R142" s="31" t="s">
        <v>320</v>
      </c>
      <c r="S142" s="31" t="s">
        <v>259</v>
      </c>
      <c r="T142" s="31" t="s">
        <v>479</v>
      </c>
      <c r="U142" s="31" t="s">
        <v>144</v>
      </c>
      <c r="V142" s="31" t="s">
        <v>144</v>
      </c>
      <c r="W142" s="31" t="s">
        <v>144</v>
      </c>
      <c r="X142" s="31" t="s">
        <v>144</v>
      </c>
      <c r="Y142" s="31" t="s">
        <v>144</v>
      </c>
      <c r="Z142" s="31" t="s">
        <v>144</v>
      </c>
      <c r="AA142" s="378">
        <v>16</v>
      </c>
      <c r="AB142" s="378">
        <v>15.5</v>
      </c>
      <c r="AC142" s="378">
        <v>0.3</v>
      </c>
      <c r="AD142" s="378">
        <v>0.2</v>
      </c>
      <c r="AE142" s="31">
        <v>1.3</v>
      </c>
      <c r="AF142" s="31">
        <v>28</v>
      </c>
      <c r="AG142" s="31" t="s">
        <v>144</v>
      </c>
      <c r="AH142" s="31" t="s">
        <v>144</v>
      </c>
      <c r="AI142" s="31" t="s">
        <v>144</v>
      </c>
      <c r="AJ142" s="31" t="s">
        <v>144</v>
      </c>
      <c r="AK142" s="31" t="s">
        <v>144</v>
      </c>
      <c r="AL142" s="31" t="s">
        <v>325</v>
      </c>
      <c r="AM142" s="31" t="s">
        <v>144</v>
      </c>
      <c r="AN142" s="31" t="s">
        <v>163</v>
      </c>
      <c r="AO142" s="31" t="s">
        <v>144</v>
      </c>
      <c r="AP142" s="31" t="s">
        <v>144</v>
      </c>
      <c r="AQ142" s="31"/>
      <c r="AR142" s="31"/>
      <c r="AS142" s="31"/>
      <c r="AT142" s="31"/>
      <c r="AU142" s="31"/>
    </row>
    <row r="143" spans="5:47" ht="15" customHeight="1" x14ac:dyDescent="0.25">
      <c r="E143" s="31" t="s">
        <v>133</v>
      </c>
      <c r="F143" s="31" t="s">
        <v>140</v>
      </c>
      <c r="G143" s="31" t="s">
        <v>323</v>
      </c>
      <c r="H143" s="31" t="s">
        <v>324</v>
      </c>
      <c r="I143" s="31" t="s">
        <v>481</v>
      </c>
      <c r="J143" s="31" t="s">
        <v>647</v>
      </c>
      <c r="K143" s="31" t="s">
        <v>655</v>
      </c>
      <c r="L143" s="31" t="s">
        <v>162</v>
      </c>
      <c r="M143" s="31" t="s">
        <v>144</v>
      </c>
      <c r="N143" s="31" t="s">
        <v>144</v>
      </c>
      <c r="O143" s="31">
        <v>16</v>
      </c>
      <c r="P143" s="31" t="s">
        <v>144</v>
      </c>
      <c r="Q143" s="31" t="s">
        <v>649</v>
      </c>
      <c r="R143" s="31" t="s">
        <v>320</v>
      </c>
      <c r="S143" s="31" t="s">
        <v>259</v>
      </c>
      <c r="T143" s="31" t="s">
        <v>479</v>
      </c>
      <c r="U143" s="31" t="s">
        <v>144</v>
      </c>
      <c r="V143" s="31" t="s">
        <v>144</v>
      </c>
      <c r="W143" s="31" t="s">
        <v>144</v>
      </c>
      <c r="X143" s="31" t="s">
        <v>144</v>
      </c>
      <c r="Y143" s="31" t="s">
        <v>144</v>
      </c>
      <c r="Z143" s="31" t="s">
        <v>144</v>
      </c>
      <c r="AA143" s="378">
        <v>16</v>
      </c>
      <c r="AB143" s="378">
        <v>15.5</v>
      </c>
      <c r="AC143" s="378">
        <v>0.3</v>
      </c>
      <c r="AD143" s="378">
        <v>0.2</v>
      </c>
      <c r="AE143" s="31">
        <v>1.3</v>
      </c>
      <c r="AF143" s="31">
        <v>28</v>
      </c>
      <c r="AG143" s="31" t="s">
        <v>144</v>
      </c>
      <c r="AH143" s="31" t="s">
        <v>144</v>
      </c>
      <c r="AI143" s="31" t="s">
        <v>144</v>
      </c>
      <c r="AJ143" s="31" t="s">
        <v>144</v>
      </c>
      <c r="AK143" s="31" t="s">
        <v>144</v>
      </c>
      <c r="AL143" s="31" t="s">
        <v>325</v>
      </c>
      <c r="AM143" s="31" t="s">
        <v>144</v>
      </c>
      <c r="AN143" s="31" t="s">
        <v>163</v>
      </c>
      <c r="AO143" s="31" t="s">
        <v>144</v>
      </c>
      <c r="AP143" s="31" t="s">
        <v>144</v>
      </c>
      <c r="AQ143" s="31"/>
      <c r="AR143" s="31"/>
      <c r="AS143" s="31"/>
      <c r="AT143" s="31"/>
      <c r="AU143" s="31"/>
    </row>
    <row r="144" spans="5:47" ht="15" customHeight="1" x14ac:dyDescent="0.25">
      <c r="E144" s="31" t="s">
        <v>133</v>
      </c>
      <c r="F144" s="31" t="s">
        <v>140</v>
      </c>
      <c r="G144" s="31" t="s">
        <v>323</v>
      </c>
      <c r="H144" s="31" t="s">
        <v>324</v>
      </c>
      <c r="I144" s="31" t="s">
        <v>481</v>
      </c>
      <c r="J144" s="31" t="s">
        <v>647</v>
      </c>
      <c r="K144" s="31" t="s">
        <v>656</v>
      </c>
      <c r="L144" s="31" t="s">
        <v>162</v>
      </c>
      <c r="M144" s="31" t="s">
        <v>144</v>
      </c>
      <c r="N144" s="31" t="s">
        <v>144</v>
      </c>
      <c r="O144" s="31">
        <v>16</v>
      </c>
      <c r="P144" s="31" t="s">
        <v>144</v>
      </c>
      <c r="Q144" s="31" t="s">
        <v>649</v>
      </c>
      <c r="R144" s="31" t="s">
        <v>320</v>
      </c>
      <c r="S144" s="31" t="s">
        <v>259</v>
      </c>
      <c r="T144" s="31" t="s">
        <v>479</v>
      </c>
      <c r="U144" s="31" t="s">
        <v>144</v>
      </c>
      <c r="V144" s="31" t="s">
        <v>144</v>
      </c>
      <c r="W144" s="31" t="s">
        <v>144</v>
      </c>
      <c r="X144" s="31" t="s">
        <v>144</v>
      </c>
      <c r="Y144" s="31" t="s">
        <v>144</v>
      </c>
      <c r="Z144" s="31" t="s">
        <v>144</v>
      </c>
      <c r="AA144" s="378">
        <v>16</v>
      </c>
      <c r="AB144" s="378">
        <v>15.5</v>
      </c>
      <c r="AC144" s="378">
        <v>0.3</v>
      </c>
      <c r="AD144" s="378">
        <v>0.2</v>
      </c>
      <c r="AE144" s="31">
        <v>1.3</v>
      </c>
      <c r="AF144" s="31">
        <v>28</v>
      </c>
      <c r="AG144" s="31" t="s">
        <v>144</v>
      </c>
      <c r="AH144" s="31" t="s">
        <v>144</v>
      </c>
      <c r="AI144" s="31" t="s">
        <v>144</v>
      </c>
      <c r="AJ144" s="31" t="s">
        <v>144</v>
      </c>
      <c r="AK144" s="31" t="s">
        <v>144</v>
      </c>
      <c r="AL144" s="31" t="s">
        <v>325</v>
      </c>
      <c r="AM144" s="31" t="s">
        <v>144</v>
      </c>
      <c r="AN144" s="31" t="s">
        <v>163</v>
      </c>
      <c r="AO144" s="31" t="s">
        <v>144</v>
      </c>
      <c r="AP144" s="31" t="s">
        <v>144</v>
      </c>
      <c r="AQ144" s="31"/>
      <c r="AR144" s="31"/>
      <c r="AS144" s="31"/>
      <c r="AT144" s="31"/>
      <c r="AU144" s="31"/>
    </row>
    <row r="145" spans="5:47" ht="15" customHeight="1" x14ac:dyDescent="0.25">
      <c r="E145" s="31" t="s">
        <v>133</v>
      </c>
      <c r="F145" s="31" t="s">
        <v>140</v>
      </c>
      <c r="G145" s="31" t="s">
        <v>323</v>
      </c>
      <c r="H145" s="31" t="s">
        <v>324</v>
      </c>
      <c r="I145" s="31" t="s">
        <v>481</v>
      </c>
      <c r="J145" s="31" t="s">
        <v>647</v>
      </c>
      <c r="K145" s="31" t="s">
        <v>657</v>
      </c>
      <c r="L145" s="31" t="s">
        <v>162</v>
      </c>
      <c r="M145" s="31" t="s">
        <v>144</v>
      </c>
      <c r="N145" s="31" t="s">
        <v>144</v>
      </c>
      <c r="O145" s="31">
        <v>16</v>
      </c>
      <c r="P145" s="31" t="s">
        <v>144</v>
      </c>
      <c r="Q145" s="31" t="s">
        <v>649</v>
      </c>
      <c r="R145" s="31" t="s">
        <v>320</v>
      </c>
      <c r="S145" s="31" t="s">
        <v>259</v>
      </c>
      <c r="T145" s="31" t="s">
        <v>479</v>
      </c>
      <c r="U145" s="31" t="s">
        <v>144</v>
      </c>
      <c r="V145" s="31" t="s">
        <v>144</v>
      </c>
      <c r="W145" s="31" t="s">
        <v>144</v>
      </c>
      <c r="X145" s="31" t="s">
        <v>144</v>
      </c>
      <c r="Y145" s="31" t="s">
        <v>144</v>
      </c>
      <c r="Z145" s="31" t="s">
        <v>144</v>
      </c>
      <c r="AA145" s="378">
        <v>16</v>
      </c>
      <c r="AB145" s="378">
        <v>15.5</v>
      </c>
      <c r="AC145" s="378">
        <v>0.3</v>
      </c>
      <c r="AD145" s="378">
        <v>0.2</v>
      </c>
      <c r="AE145" s="31">
        <v>1.3</v>
      </c>
      <c r="AF145" s="31">
        <v>28</v>
      </c>
      <c r="AG145" s="31" t="s">
        <v>144</v>
      </c>
      <c r="AH145" s="31" t="s">
        <v>144</v>
      </c>
      <c r="AI145" s="31" t="s">
        <v>144</v>
      </c>
      <c r="AJ145" s="31" t="s">
        <v>144</v>
      </c>
      <c r="AK145" s="31" t="s">
        <v>144</v>
      </c>
      <c r="AL145" s="31" t="s">
        <v>325</v>
      </c>
      <c r="AM145" s="31" t="s">
        <v>144</v>
      </c>
      <c r="AN145" s="31" t="s">
        <v>163</v>
      </c>
      <c r="AO145" s="31" t="s">
        <v>144</v>
      </c>
      <c r="AP145" s="31" t="s">
        <v>144</v>
      </c>
      <c r="AQ145" s="31"/>
      <c r="AR145" s="31"/>
      <c r="AS145" s="31"/>
      <c r="AT145" s="31"/>
      <c r="AU145" s="31"/>
    </row>
    <row r="146" spans="5:47" ht="15" customHeight="1" x14ac:dyDescent="0.25">
      <c r="E146" s="31" t="s">
        <v>133</v>
      </c>
      <c r="F146" s="31" t="s">
        <v>140</v>
      </c>
      <c r="G146" s="31" t="s">
        <v>323</v>
      </c>
      <c r="H146" s="31" t="s">
        <v>324</v>
      </c>
      <c r="I146" s="31" t="s">
        <v>481</v>
      </c>
      <c r="J146" s="31" t="s">
        <v>647</v>
      </c>
      <c r="K146" s="31" t="s">
        <v>658</v>
      </c>
      <c r="L146" s="31" t="s">
        <v>162</v>
      </c>
      <c r="M146" s="31" t="s">
        <v>144</v>
      </c>
      <c r="N146" s="31" t="s">
        <v>144</v>
      </c>
      <c r="O146" s="31">
        <v>16</v>
      </c>
      <c r="P146" s="31" t="s">
        <v>144</v>
      </c>
      <c r="Q146" s="31" t="s">
        <v>649</v>
      </c>
      <c r="R146" s="31" t="s">
        <v>320</v>
      </c>
      <c r="S146" s="31" t="s">
        <v>259</v>
      </c>
      <c r="T146" s="31" t="s">
        <v>479</v>
      </c>
      <c r="U146" s="31" t="s">
        <v>144</v>
      </c>
      <c r="V146" s="31" t="s">
        <v>144</v>
      </c>
      <c r="W146" s="31" t="s">
        <v>144</v>
      </c>
      <c r="X146" s="31" t="s">
        <v>144</v>
      </c>
      <c r="Y146" s="31" t="s">
        <v>144</v>
      </c>
      <c r="Z146" s="31" t="s">
        <v>144</v>
      </c>
      <c r="AA146" s="378">
        <v>16</v>
      </c>
      <c r="AB146" s="378">
        <v>15.5</v>
      </c>
      <c r="AC146" s="378">
        <v>0.3</v>
      </c>
      <c r="AD146" s="378">
        <v>0.2</v>
      </c>
      <c r="AE146" s="31">
        <v>1.3</v>
      </c>
      <c r="AF146" s="31">
        <v>28</v>
      </c>
      <c r="AG146" s="31" t="s">
        <v>144</v>
      </c>
      <c r="AH146" s="31" t="s">
        <v>144</v>
      </c>
      <c r="AI146" s="31" t="s">
        <v>144</v>
      </c>
      <c r="AJ146" s="31" t="s">
        <v>144</v>
      </c>
      <c r="AK146" s="31" t="s">
        <v>144</v>
      </c>
      <c r="AL146" s="31" t="s">
        <v>325</v>
      </c>
      <c r="AM146" s="31" t="s">
        <v>144</v>
      </c>
      <c r="AN146" s="31" t="s">
        <v>163</v>
      </c>
      <c r="AO146" s="31" t="s">
        <v>144</v>
      </c>
      <c r="AP146" s="31" t="s">
        <v>144</v>
      </c>
      <c r="AQ146" s="31"/>
      <c r="AR146" s="31"/>
      <c r="AS146" s="31"/>
      <c r="AT146" s="31"/>
      <c r="AU146" s="31"/>
    </row>
    <row r="147" spans="5:47" ht="15" customHeight="1" x14ac:dyDescent="0.25">
      <c r="E147" s="31" t="s">
        <v>133</v>
      </c>
      <c r="F147" s="31" t="s">
        <v>140</v>
      </c>
      <c r="G147" s="31" t="s">
        <v>323</v>
      </c>
      <c r="H147" s="31" t="s">
        <v>324</v>
      </c>
      <c r="I147" s="31" t="s">
        <v>481</v>
      </c>
      <c r="J147" s="31" t="s">
        <v>647</v>
      </c>
      <c r="K147" s="31" t="s">
        <v>659</v>
      </c>
      <c r="L147" s="31" t="s">
        <v>162</v>
      </c>
      <c r="M147" s="31" t="s">
        <v>144</v>
      </c>
      <c r="N147" s="31" t="s">
        <v>144</v>
      </c>
      <c r="O147" s="31">
        <v>16</v>
      </c>
      <c r="P147" s="31" t="s">
        <v>144</v>
      </c>
      <c r="Q147" s="31" t="s">
        <v>649</v>
      </c>
      <c r="R147" s="31" t="s">
        <v>320</v>
      </c>
      <c r="S147" s="31" t="s">
        <v>259</v>
      </c>
      <c r="T147" s="31" t="s">
        <v>479</v>
      </c>
      <c r="U147" s="31" t="s">
        <v>144</v>
      </c>
      <c r="V147" s="31" t="s">
        <v>144</v>
      </c>
      <c r="W147" s="31" t="s">
        <v>144</v>
      </c>
      <c r="X147" s="31" t="s">
        <v>144</v>
      </c>
      <c r="Y147" s="31" t="s">
        <v>144</v>
      </c>
      <c r="Z147" s="31" t="s">
        <v>144</v>
      </c>
      <c r="AA147" s="378">
        <v>16</v>
      </c>
      <c r="AB147" s="378">
        <v>15.5</v>
      </c>
      <c r="AC147" s="378">
        <v>0.3</v>
      </c>
      <c r="AD147" s="378">
        <v>0.2</v>
      </c>
      <c r="AE147" s="31">
        <v>1.3</v>
      </c>
      <c r="AF147" s="31">
        <v>28</v>
      </c>
      <c r="AG147" s="31" t="s">
        <v>144</v>
      </c>
      <c r="AH147" s="31" t="s">
        <v>144</v>
      </c>
      <c r="AI147" s="31" t="s">
        <v>144</v>
      </c>
      <c r="AJ147" s="31" t="s">
        <v>144</v>
      </c>
      <c r="AK147" s="31" t="s">
        <v>144</v>
      </c>
      <c r="AL147" s="31" t="s">
        <v>325</v>
      </c>
      <c r="AM147" s="31" t="s">
        <v>144</v>
      </c>
      <c r="AN147" s="31" t="s">
        <v>163</v>
      </c>
      <c r="AO147" s="31" t="s">
        <v>144</v>
      </c>
      <c r="AP147" s="31" t="s">
        <v>144</v>
      </c>
      <c r="AQ147" s="31"/>
      <c r="AR147" s="31"/>
      <c r="AS147" s="31"/>
      <c r="AT147" s="31"/>
      <c r="AU147" s="31"/>
    </row>
    <row r="148" spans="5:47" ht="15" customHeight="1" x14ac:dyDescent="0.25">
      <c r="E148" s="31" t="s">
        <v>133</v>
      </c>
      <c r="F148" s="31" t="s">
        <v>140</v>
      </c>
      <c r="G148" s="31" t="s">
        <v>323</v>
      </c>
      <c r="H148" s="31" t="s">
        <v>324</v>
      </c>
      <c r="I148" s="31" t="s">
        <v>481</v>
      </c>
      <c r="J148" s="31" t="s">
        <v>647</v>
      </c>
      <c r="K148" s="31" t="s">
        <v>660</v>
      </c>
      <c r="L148" s="31" t="s">
        <v>162</v>
      </c>
      <c r="M148" s="31" t="s">
        <v>144</v>
      </c>
      <c r="N148" s="31" t="s">
        <v>144</v>
      </c>
      <c r="O148" s="31">
        <v>16</v>
      </c>
      <c r="P148" s="31" t="s">
        <v>144</v>
      </c>
      <c r="Q148" s="31" t="s">
        <v>649</v>
      </c>
      <c r="R148" s="31" t="s">
        <v>320</v>
      </c>
      <c r="S148" s="31" t="s">
        <v>259</v>
      </c>
      <c r="T148" s="31" t="s">
        <v>479</v>
      </c>
      <c r="U148" s="31" t="s">
        <v>144</v>
      </c>
      <c r="V148" s="31" t="s">
        <v>144</v>
      </c>
      <c r="W148" s="31" t="s">
        <v>144</v>
      </c>
      <c r="X148" s="31" t="s">
        <v>144</v>
      </c>
      <c r="Y148" s="31" t="s">
        <v>144</v>
      </c>
      <c r="Z148" s="31" t="s">
        <v>144</v>
      </c>
      <c r="AA148" s="378">
        <v>16</v>
      </c>
      <c r="AB148" s="378">
        <v>15.5</v>
      </c>
      <c r="AC148" s="378">
        <v>0.3</v>
      </c>
      <c r="AD148" s="378">
        <v>0.2</v>
      </c>
      <c r="AE148" s="31">
        <v>1.3</v>
      </c>
      <c r="AF148" s="31">
        <v>28</v>
      </c>
      <c r="AG148" s="31" t="s">
        <v>144</v>
      </c>
      <c r="AH148" s="31" t="s">
        <v>144</v>
      </c>
      <c r="AI148" s="31" t="s">
        <v>144</v>
      </c>
      <c r="AJ148" s="31" t="s">
        <v>144</v>
      </c>
      <c r="AK148" s="31" t="s">
        <v>144</v>
      </c>
      <c r="AL148" s="31" t="s">
        <v>325</v>
      </c>
      <c r="AM148" s="31" t="s">
        <v>144</v>
      </c>
      <c r="AN148" s="31" t="s">
        <v>163</v>
      </c>
      <c r="AO148" s="31" t="s">
        <v>144</v>
      </c>
      <c r="AP148" s="31" t="s">
        <v>144</v>
      </c>
      <c r="AQ148" s="31"/>
      <c r="AR148" s="31"/>
      <c r="AS148" s="31"/>
      <c r="AT148" s="31"/>
      <c r="AU148" s="31"/>
    </row>
    <row r="149" spans="5:47" ht="15" customHeight="1" x14ac:dyDescent="0.25">
      <c r="E149" s="31" t="s">
        <v>133</v>
      </c>
      <c r="F149" s="31" t="s">
        <v>140</v>
      </c>
      <c r="G149" s="31" t="s">
        <v>323</v>
      </c>
      <c r="H149" s="31" t="s">
        <v>324</v>
      </c>
      <c r="I149" s="31" t="s">
        <v>481</v>
      </c>
      <c r="J149" s="31" t="s">
        <v>647</v>
      </c>
      <c r="K149" s="31" t="s">
        <v>661</v>
      </c>
      <c r="L149" s="31" t="s">
        <v>162</v>
      </c>
      <c r="M149" s="31" t="s">
        <v>144</v>
      </c>
      <c r="N149" s="31" t="s">
        <v>144</v>
      </c>
      <c r="O149" s="31">
        <v>16</v>
      </c>
      <c r="P149" s="31" t="s">
        <v>144</v>
      </c>
      <c r="Q149" s="31" t="s">
        <v>649</v>
      </c>
      <c r="R149" s="31" t="s">
        <v>320</v>
      </c>
      <c r="S149" s="31" t="s">
        <v>259</v>
      </c>
      <c r="T149" s="31" t="s">
        <v>479</v>
      </c>
      <c r="U149" s="31" t="s">
        <v>144</v>
      </c>
      <c r="V149" s="31" t="s">
        <v>144</v>
      </c>
      <c r="W149" s="31" t="s">
        <v>144</v>
      </c>
      <c r="X149" s="31" t="s">
        <v>144</v>
      </c>
      <c r="Y149" s="31" t="s">
        <v>144</v>
      </c>
      <c r="Z149" s="31" t="s">
        <v>144</v>
      </c>
      <c r="AA149" s="378">
        <v>16</v>
      </c>
      <c r="AB149" s="378">
        <v>15.5</v>
      </c>
      <c r="AC149" s="378">
        <v>0.3</v>
      </c>
      <c r="AD149" s="378">
        <v>0.2</v>
      </c>
      <c r="AE149" s="31">
        <v>1.3</v>
      </c>
      <c r="AF149" s="31">
        <v>28</v>
      </c>
      <c r="AG149" s="31" t="s">
        <v>144</v>
      </c>
      <c r="AH149" s="31" t="s">
        <v>144</v>
      </c>
      <c r="AI149" s="31" t="s">
        <v>144</v>
      </c>
      <c r="AJ149" s="31" t="s">
        <v>144</v>
      </c>
      <c r="AK149" s="31" t="s">
        <v>144</v>
      </c>
      <c r="AL149" s="31" t="s">
        <v>325</v>
      </c>
      <c r="AM149" s="31" t="s">
        <v>144</v>
      </c>
      <c r="AN149" s="31" t="s">
        <v>163</v>
      </c>
      <c r="AO149" s="31" t="s">
        <v>144</v>
      </c>
      <c r="AP149" s="31" t="s">
        <v>144</v>
      </c>
      <c r="AQ149" s="31"/>
      <c r="AR149" s="31"/>
      <c r="AS149" s="31"/>
      <c r="AT149" s="31"/>
      <c r="AU149" s="31"/>
    </row>
    <row r="150" spans="5:47" ht="15" customHeight="1" x14ac:dyDescent="0.25">
      <c r="E150" s="31" t="s">
        <v>133</v>
      </c>
      <c r="F150" s="31" t="s">
        <v>140</v>
      </c>
      <c r="G150" s="31" t="s">
        <v>323</v>
      </c>
      <c r="H150" s="31" t="s">
        <v>324</v>
      </c>
      <c r="I150" s="31" t="s">
        <v>481</v>
      </c>
      <c r="J150" s="31" t="s">
        <v>647</v>
      </c>
      <c r="K150" s="31" t="s">
        <v>662</v>
      </c>
      <c r="L150" s="31" t="s">
        <v>162</v>
      </c>
      <c r="M150" s="31" t="s">
        <v>144</v>
      </c>
      <c r="N150" s="31" t="s">
        <v>144</v>
      </c>
      <c r="O150" s="31">
        <v>16</v>
      </c>
      <c r="P150" s="31" t="s">
        <v>144</v>
      </c>
      <c r="Q150" s="31" t="s">
        <v>649</v>
      </c>
      <c r="R150" s="31" t="s">
        <v>320</v>
      </c>
      <c r="S150" s="31" t="s">
        <v>259</v>
      </c>
      <c r="T150" s="31" t="s">
        <v>479</v>
      </c>
      <c r="U150" s="31" t="s">
        <v>144</v>
      </c>
      <c r="V150" s="31" t="s">
        <v>144</v>
      </c>
      <c r="W150" s="31" t="s">
        <v>144</v>
      </c>
      <c r="X150" s="31" t="s">
        <v>144</v>
      </c>
      <c r="Y150" s="31" t="s">
        <v>144</v>
      </c>
      <c r="Z150" s="31" t="s">
        <v>144</v>
      </c>
      <c r="AA150" s="378">
        <v>16</v>
      </c>
      <c r="AB150" s="378">
        <v>15.5</v>
      </c>
      <c r="AC150" s="378">
        <v>0.3</v>
      </c>
      <c r="AD150" s="378">
        <v>0.2</v>
      </c>
      <c r="AE150" s="31">
        <v>1.3</v>
      </c>
      <c r="AF150" s="31">
        <v>28</v>
      </c>
      <c r="AG150" s="31" t="s">
        <v>144</v>
      </c>
      <c r="AH150" s="31" t="s">
        <v>144</v>
      </c>
      <c r="AI150" s="31" t="s">
        <v>144</v>
      </c>
      <c r="AJ150" s="31" t="s">
        <v>144</v>
      </c>
      <c r="AK150" s="31" t="s">
        <v>144</v>
      </c>
      <c r="AL150" s="31" t="s">
        <v>325</v>
      </c>
      <c r="AM150" s="31" t="s">
        <v>144</v>
      </c>
      <c r="AN150" s="31" t="s">
        <v>163</v>
      </c>
      <c r="AO150" s="31" t="s">
        <v>144</v>
      </c>
      <c r="AP150" s="31" t="s">
        <v>144</v>
      </c>
      <c r="AQ150" s="31"/>
      <c r="AR150" s="31"/>
      <c r="AS150" s="31"/>
      <c r="AT150" s="31"/>
      <c r="AU150" s="31"/>
    </row>
    <row r="151" spans="5:47" ht="15" customHeight="1" x14ac:dyDescent="0.25">
      <c r="E151" s="31" t="s">
        <v>133</v>
      </c>
      <c r="F151" s="31" t="s">
        <v>140</v>
      </c>
      <c r="G151" s="31" t="s">
        <v>323</v>
      </c>
      <c r="H151" s="31" t="s">
        <v>324</v>
      </c>
      <c r="I151" s="31" t="s">
        <v>481</v>
      </c>
      <c r="J151" s="31" t="s">
        <v>647</v>
      </c>
      <c r="K151" s="31" t="s">
        <v>663</v>
      </c>
      <c r="L151" s="31" t="s">
        <v>162</v>
      </c>
      <c r="M151" s="31" t="s">
        <v>144</v>
      </c>
      <c r="N151" s="31" t="s">
        <v>144</v>
      </c>
      <c r="O151" s="31">
        <v>16</v>
      </c>
      <c r="P151" s="31" t="s">
        <v>144</v>
      </c>
      <c r="Q151" s="31" t="s">
        <v>649</v>
      </c>
      <c r="R151" s="31" t="s">
        <v>320</v>
      </c>
      <c r="S151" s="31" t="s">
        <v>259</v>
      </c>
      <c r="T151" s="31" t="s">
        <v>479</v>
      </c>
      <c r="U151" s="31" t="s">
        <v>144</v>
      </c>
      <c r="V151" s="31" t="s">
        <v>144</v>
      </c>
      <c r="W151" s="31" t="s">
        <v>144</v>
      </c>
      <c r="X151" s="31" t="s">
        <v>144</v>
      </c>
      <c r="Y151" s="31" t="s">
        <v>144</v>
      </c>
      <c r="Z151" s="31" t="s">
        <v>144</v>
      </c>
      <c r="AA151" s="378">
        <v>16</v>
      </c>
      <c r="AB151" s="378">
        <v>15.5</v>
      </c>
      <c r="AC151" s="378">
        <v>0.3</v>
      </c>
      <c r="AD151" s="378">
        <v>0.2</v>
      </c>
      <c r="AE151" s="31">
        <v>1.3</v>
      </c>
      <c r="AF151" s="31">
        <v>28</v>
      </c>
      <c r="AG151" s="31" t="s">
        <v>144</v>
      </c>
      <c r="AH151" s="31" t="s">
        <v>144</v>
      </c>
      <c r="AI151" s="31" t="s">
        <v>144</v>
      </c>
      <c r="AJ151" s="31" t="s">
        <v>144</v>
      </c>
      <c r="AK151" s="31" t="s">
        <v>144</v>
      </c>
      <c r="AL151" s="31" t="s">
        <v>325</v>
      </c>
      <c r="AM151" s="31" t="s">
        <v>144</v>
      </c>
      <c r="AN151" s="31" t="s">
        <v>163</v>
      </c>
      <c r="AO151" s="31" t="s">
        <v>144</v>
      </c>
      <c r="AP151" s="31" t="s">
        <v>144</v>
      </c>
      <c r="AQ151" s="31"/>
      <c r="AR151" s="31"/>
      <c r="AS151" s="31"/>
      <c r="AT151" s="31"/>
      <c r="AU151" s="31"/>
    </row>
    <row r="152" spans="5:47" ht="15" customHeight="1" x14ac:dyDescent="0.25">
      <c r="E152" s="31" t="s">
        <v>133</v>
      </c>
      <c r="F152" s="31" t="s">
        <v>140</v>
      </c>
      <c r="G152" s="31" t="s">
        <v>323</v>
      </c>
      <c r="H152" s="31" t="s">
        <v>324</v>
      </c>
      <c r="I152" s="31" t="s">
        <v>481</v>
      </c>
      <c r="J152" s="31" t="s">
        <v>647</v>
      </c>
      <c r="K152" s="31" t="s">
        <v>664</v>
      </c>
      <c r="L152" s="31" t="s">
        <v>162</v>
      </c>
      <c r="M152" s="31" t="s">
        <v>144</v>
      </c>
      <c r="N152" s="31" t="s">
        <v>144</v>
      </c>
      <c r="O152" s="31">
        <v>16</v>
      </c>
      <c r="P152" s="31" t="s">
        <v>144</v>
      </c>
      <c r="Q152" s="31" t="s">
        <v>649</v>
      </c>
      <c r="R152" s="31" t="s">
        <v>320</v>
      </c>
      <c r="S152" s="31" t="s">
        <v>259</v>
      </c>
      <c r="T152" s="31" t="s">
        <v>479</v>
      </c>
      <c r="U152" s="31" t="s">
        <v>144</v>
      </c>
      <c r="V152" s="31" t="s">
        <v>144</v>
      </c>
      <c r="W152" s="31" t="s">
        <v>144</v>
      </c>
      <c r="X152" s="31" t="s">
        <v>144</v>
      </c>
      <c r="Y152" s="31" t="s">
        <v>144</v>
      </c>
      <c r="Z152" s="31" t="s">
        <v>144</v>
      </c>
      <c r="AA152" s="378">
        <v>16</v>
      </c>
      <c r="AB152" s="378">
        <v>15.5</v>
      </c>
      <c r="AC152" s="378">
        <v>0.3</v>
      </c>
      <c r="AD152" s="378">
        <v>0.2</v>
      </c>
      <c r="AE152" s="31">
        <v>1.3</v>
      </c>
      <c r="AF152" s="31">
        <v>28</v>
      </c>
      <c r="AG152" s="31" t="s">
        <v>144</v>
      </c>
      <c r="AH152" s="31" t="s">
        <v>144</v>
      </c>
      <c r="AI152" s="31" t="s">
        <v>144</v>
      </c>
      <c r="AJ152" s="31" t="s">
        <v>144</v>
      </c>
      <c r="AK152" s="31" t="s">
        <v>144</v>
      </c>
      <c r="AL152" s="31" t="s">
        <v>325</v>
      </c>
      <c r="AM152" s="31" t="s">
        <v>144</v>
      </c>
      <c r="AN152" s="31" t="s">
        <v>163</v>
      </c>
      <c r="AO152" s="31" t="s">
        <v>144</v>
      </c>
      <c r="AP152" s="31" t="s">
        <v>144</v>
      </c>
      <c r="AQ152" s="31"/>
      <c r="AR152" s="31"/>
      <c r="AS152" s="31"/>
      <c r="AT152" s="31"/>
      <c r="AU152" s="31"/>
    </row>
    <row r="153" spans="5:47" ht="15" customHeight="1" x14ac:dyDescent="0.25">
      <c r="E153" s="31" t="s">
        <v>133</v>
      </c>
      <c r="F153" s="31" t="s">
        <v>140</v>
      </c>
      <c r="G153" s="31" t="s">
        <v>323</v>
      </c>
      <c r="H153" s="31" t="s">
        <v>324</v>
      </c>
      <c r="I153" s="31" t="s">
        <v>481</v>
      </c>
      <c r="J153" s="31" t="s">
        <v>647</v>
      </c>
      <c r="K153" s="31" t="s">
        <v>665</v>
      </c>
      <c r="L153" s="31" t="s">
        <v>162</v>
      </c>
      <c r="M153" s="31" t="s">
        <v>144</v>
      </c>
      <c r="N153" s="31" t="s">
        <v>144</v>
      </c>
      <c r="O153" s="31">
        <v>16</v>
      </c>
      <c r="P153" s="31" t="s">
        <v>144</v>
      </c>
      <c r="Q153" s="31" t="s">
        <v>649</v>
      </c>
      <c r="R153" s="31" t="s">
        <v>320</v>
      </c>
      <c r="S153" s="31" t="s">
        <v>259</v>
      </c>
      <c r="T153" s="31" t="s">
        <v>479</v>
      </c>
      <c r="U153" s="31" t="s">
        <v>144</v>
      </c>
      <c r="V153" s="31" t="s">
        <v>144</v>
      </c>
      <c r="W153" s="31" t="s">
        <v>144</v>
      </c>
      <c r="X153" s="31" t="s">
        <v>144</v>
      </c>
      <c r="Y153" s="31" t="s">
        <v>144</v>
      </c>
      <c r="Z153" s="31" t="s">
        <v>144</v>
      </c>
      <c r="AA153" s="378">
        <v>16</v>
      </c>
      <c r="AB153" s="378">
        <v>15.5</v>
      </c>
      <c r="AC153" s="378">
        <v>0.3</v>
      </c>
      <c r="AD153" s="378">
        <v>0.2</v>
      </c>
      <c r="AE153" s="31">
        <v>1.3</v>
      </c>
      <c r="AF153" s="31">
        <v>28</v>
      </c>
      <c r="AG153" s="31" t="s">
        <v>144</v>
      </c>
      <c r="AH153" s="31" t="s">
        <v>144</v>
      </c>
      <c r="AI153" s="31" t="s">
        <v>144</v>
      </c>
      <c r="AJ153" s="31" t="s">
        <v>144</v>
      </c>
      <c r="AK153" s="31" t="s">
        <v>144</v>
      </c>
      <c r="AL153" s="31" t="s">
        <v>325</v>
      </c>
      <c r="AM153" s="31" t="s">
        <v>144</v>
      </c>
      <c r="AN153" s="31" t="s">
        <v>163</v>
      </c>
      <c r="AO153" s="31" t="s">
        <v>144</v>
      </c>
      <c r="AP153" s="31" t="s">
        <v>144</v>
      </c>
      <c r="AQ153" s="31"/>
      <c r="AR153" s="31"/>
      <c r="AS153" s="31"/>
      <c r="AT153" s="31"/>
      <c r="AU153" s="31"/>
    </row>
    <row r="154" spans="5:47" ht="15" customHeight="1" x14ac:dyDescent="0.25">
      <c r="E154" s="31" t="s">
        <v>133</v>
      </c>
      <c r="F154" s="31" t="s">
        <v>140</v>
      </c>
      <c r="G154" s="31" t="s">
        <v>323</v>
      </c>
      <c r="H154" s="31" t="s">
        <v>324</v>
      </c>
      <c r="I154" s="31" t="s">
        <v>481</v>
      </c>
      <c r="J154" s="31" t="s">
        <v>647</v>
      </c>
      <c r="K154" s="31" t="s">
        <v>666</v>
      </c>
      <c r="L154" s="31" t="s">
        <v>162</v>
      </c>
      <c r="M154" s="31" t="s">
        <v>144</v>
      </c>
      <c r="N154" s="31" t="s">
        <v>144</v>
      </c>
      <c r="O154" s="31">
        <v>16</v>
      </c>
      <c r="P154" s="31" t="s">
        <v>144</v>
      </c>
      <c r="Q154" s="31" t="s">
        <v>649</v>
      </c>
      <c r="R154" s="31" t="s">
        <v>320</v>
      </c>
      <c r="S154" s="31" t="s">
        <v>259</v>
      </c>
      <c r="T154" s="31" t="s">
        <v>479</v>
      </c>
      <c r="U154" s="31" t="s">
        <v>144</v>
      </c>
      <c r="V154" s="31" t="s">
        <v>144</v>
      </c>
      <c r="W154" s="31" t="s">
        <v>144</v>
      </c>
      <c r="X154" s="31" t="s">
        <v>144</v>
      </c>
      <c r="Y154" s="31" t="s">
        <v>144</v>
      </c>
      <c r="Z154" s="31" t="s">
        <v>144</v>
      </c>
      <c r="AA154" s="378">
        <v>16</v>
      </c>
      <c r="AB154" s="378">
        <v>15.5</v>
      </c>
      <c r="AC154" s="378">
        <v>0.3</v>
      </c>
      <c r="AD154" s="378">
        <v>0.2</v>
      </c>
      <c r="AE154" s="31">
        <v>1.3</v>
      </c>
      <c r="AF154" s="31">
        <v>28</v>
      </c>
      <c r="AG154" s="31" t="s">
        <v>144</v>
      </c>
      <c r="AH154" s="31" t="s">
        <v>144</v>
      </c>
      <c r="AI154" s="31" t="s">
        <v>144</v>
      </c>
      <c r="AJ154" s="31" t="s">
        <v>144</v>
      </c>
      <c r="AK154" s="31" t="s">
        <v>144</v>
      </c>
      <c r="AL154" s="31" t="s">
        <v>325</v>
      </c>
      <c r="AM154" s="31" t="s">
        <v>144</v>
      </c>
      <c r="AN154" s="31" t="s">
        <v>163</v>
      </c>
      <c r="AO154" s="31" t="s">
        <v>144</v>
      </c>
      <c r="AP154" s="31" t="s">
        <v>144</v>
      </c>
      <c r="AQ154" s="31"/>
      <c r="AR154" s="31"/>
      <c r="AS154" s="31"/>
      <c r="AT154" s="31"/>
      <c r="AU154" s="31"/>
    </row>
    <row r="155" spans="5:47" ht="15" customHeight="1" x14ac:dyDescent="0.25">
      <c r="E155" s="31" t="s">
        <v>133</v>
      </c>
      <c r="F155" s="31" t="s">
        <v>140</v>
      </c>
      <c r="G155" s="31" t="s">
        <v>323</v>
      </c>
      <c r="H155" s="31" t="s">
        <v>324</v>
      </c>
      <c r="I155" s="31" t="s">
        <v>481</v>
      </c>
      <c r="J155" s="31" t="s">
        <v>647</v>
      </c>
      <c r="K155" s="31" t="s">
        <v>667</v>
      </c>
      <c r="L155" s="31" t="s">
        <v>162</v>
      </c>
      <c r="M155" s="31" t="s">
        <v>144</v>
      </c>
      <c r="N155" s="31" t="s">
        <v>144</v>
      </c>
      <c r="O155" s="31">
        <v>16</v>
      </c>
      <c r="P155" s="31" t="s">
        <v>144</v>
      </c>
      <c r="Q155" s="31" t="s">
        <v>649</v>
      </c>
      <c r="R155" s="31" t="s">
        <v>320</v>
      </c>
      <c r="S155" s="31" t="s">
        <v>259</v>
      </c>
      <c r="T155" s="31" t="s">
        <v>479</v>
      </c>
      <c r="U155" s="31" t="s">
        <v>144</v>
      </c>
      <c r="V155" s="31" t="s">
        <v>144</v>
      </c>
      <c r="W155" s="31" t="s">
        <v>144</v>
      </c>
      <c r="X155" s="31" t="s">
        <v>144</v>
      </c>
      <c r="Y155" s="31" t="s">
        <v>144</v>
      </c>
      <c r="Z155" s="31" t="s">
        <v>144</v>
      </c>
      <c r="AA155" s="378">
        <v>16</v>
      </c>
      <c r="AB155" s="378">
        <v>15.5</v>
      </c>
      <c r="AC155" s="378">
        <v>0.3</v>
      </c>
      <c r="AD155" s="378">
        <v>0.2</v>
      </c>
      <c r="AE155" s="31">
        <v>1.3</v>
      </c>
      <c r="AF155" s="31">
        <v>28</v>
      </c>
      <c r="AG155" s="31" t="s">
        <v>144</v>
      </c>
      <c r="AH155" s="31" t="s">
        <v>144</v>
      </c>
      <c r="AI155" s="31" t="s">
        <v>144</v>
      </c>
      <c r="AJ155" s="31" t="s">
        <v>144</v>
      </c>
      <c r="AK155" s="31" t="s">
        <v>144</v>
      </c>
      <c r="AL155" s="31" t="s">
        <v>325</v>
      </c>
      <c r="AM155" s="31" t="s">
        <v>144</v>
      </c>
      <c r="AN155" s="31" t="s">
        <v>163</v>
      </c>
      <c r="AO155" s="31" t="s">
        <v>144</v>
      </c>
      <c r="AP155" s="31" t="s">
        <v>144</v>
      </c>
      <c r="AQ155" s="31"/>
      <c r="AR155" s="31"/>
      <c r="AS155" s="31"/>
      <c r="AT155" s="31"/>
      <c r="AU155" s="31"/>
    </row>
    <row r="156" spans="5:47" ht="15" customHeight="1" x14ac:dyDescent="0.25">
      <c r="E156" s="31" t="s">
        <v>133</v>
      </c>
      <c r="F156" s="31" t="s">
        <v>140</v>
      </c>
      <c r="G156" s="31" t="s">
        <v>323</v>
      </c>
      <c r="H156" s="31" t="s">
        <v>324</v>
      </c>
      <c r="I156" s="31" t="s">
        <v>481</v>
      </c>
      <c r="J156" s="31" t="s">
        <v>647</v>
      </c>
      <c r="K156" s="31" t="s">
        <v>668</v>
      </c>
      <c r="L156" s="31" t="s">
        <v>162</v>
      </c>
      <c r="M156" s="31" t="s">
        <v>144</v>
      </c>
      <c r="N156" s="31" t="s">
        <v>144</v>
      </c>
      <c r="O156" s="31">
        <v>16</v>
      </c>
      <c r="P156" s="31" t="s">
        <v>144</v>
      </c>
      <c r="Q156" s="31" t="s">
        <v>649</v>
      </c>
      <c r="R156" s="31" t="s">
        <v>320</v>
      </c>
      <c r="S156" s="31" t="s">
        <v>259</v>
      </c>
      <c r="T156" s="31" t="s">
        <v>479</v>
      </c>
      <c r="U156" s="31" t="s">
        <v>144</v>
      </c>
      <c r="V156" s="31" t="s">
        <v>144</v>
      </c>
      <c r="W156" s="31" t="s">
        <v>144</v>
      </c>
      <c r="X156" s="31" t="s">
        <v>144</v>
      </c>
      <c r="Y156" s="31" t="s">
        <v>144</v>
      </c>
      <c r="Z156" s="31" t="s">
        <v>144</v>
      </c>
      <c r="AA156" s="378">
        <v>16</v>
      </c>
      <c r="AB156" s="378">
        <v>15.5</v>
      </c>
      <c r="AC156" s="378">
        <v>0.3</v>
      </c>
      <c r="AD156" s="378">
        <v>0.2</v>
      </c>
      <c r="AE156" s="31">
        <v>1.3</v>
      </c>
      <c r="AF156" s="31">
        <v>28</v>
      </c>
      <c r="AG156" s="31" t="s">
        <v>144</v>
      </c>
      <c r="AH156" s="31" t="s">
        <v>144</v>
      </c>
      <c r="AI156" s="31" t="s">
        <v>144</v>
      </c>
      <c r="AJ156" s="31" t="s">
        <v>144</v>
      </c>
      <c r="AK156" s="31" t="s">
        <v>144</v>
      </c>
      <c r="AL156" s="31" t="s">
        <v>325</v>
      </c>
      <c r="AM156" s="31" t="s">
        <v>144</v>
      </c>
      <c r="AN156" s="31" t="s">
        <v>163</v>
      </c>
      <c r="AO156" s="31" t="s">
        <v>144</v>
      </c>
      <c r="AP156" s="31" t="s">
        <v>144</v>
      </c>
      <c r="AQ156" s="31"/>
      <c r="AR156" s="31"/>
      <c r="AS156" s="31"/>
      <c r="AT156" s="31"/>
      <c r="AU156" s="31"/>
    </row>
    <row r="157" spans="5:47" ht="15" customHeight="1" x14ac:dyDescent="0.25">
      <c r="E157" s="31" t="s">
        <v>133</v>
      </c>
      <c r="F157" s="31" t="s">
        <v>140</v>
      </c>
      <c r="G157" s="31" t="s">
        <v>323</v>
      </c>
      <c r="H157" s="31" t="s">
        <v>324</v>
      </c>
      <c r="I157" s="31" t="s">
        <v>481</v>
      </c>
      <c r="J157" s="31" t="s">
        <v>647</v>
      </c>
      <c r="K157" s="31" t="s">
        <v>669</v>
      </c>
      <c r="L157" s="31" t="s">
        <v>162</v>
      </c>
      <c r="M157" s="31" t="s">
        <v>144</v>
      </c>
      <c r="N157" s="31" t="s">
        <v>144</v>
      </c>
      <c r="O157" s="31">
        <v>16</v>
      </c>
      <c r="P157" s="31" t="s">
        <v>144</v>
      </c>
      <c r="Q157" s="31" t="s">
        <v>649</v>
      </c>
      <c r="R157" s="31" t="s">
        <v>320</v>
      </c>
      <c r="S157" s="31" t="s">
        <v>259</v>
      </c>
      <c r="T157" s="31" t="s">
        <v>479</v>
      </c>
      <c r="U157" s="31" t="s">
        <v>144</v>
      </c>
      <c r="V157" s="31" t="s">
        <v>144</v>
      </c>
      <c r="W157" s="31" t="s">
        <v>144</v>
      </c>
      <c r="X157" s="31" t="s">
        <v>144</v>
      </c>
      <c r="Y157" s="31" t="s">
        <v>144</v>
      </c>
      <c r="Z157" s="31" t="s">
        <v>144</v>
      </c>
      <c r="AA157" s="378">
        <v>16</v>
      </c>
      <c r="AB157" s="378">
        <v>15.5</v>
      </c>
      <c r="AC157" s="378">
        <v>0.3</v>
      </c>
      <c r="AD157" s="378">
        <v>0.2</v>
      </c>
      <c r="AE157" s="31">
        <v>1.3</v>
      </c>
      <c r="AF157" s="31">
        <v>28</v>
      </c>
      <c r="AG157" s="31" t="s">
        <v>144</v>
      </c>
      <c r="AH157" s="31" t="s">
        <v>144</v>
      </c>
      <c r="AI157" s="31" t="s">
        <v>144</v>
      </c>
      <c r="AJ157" s="31" t="s">
        <v>144</v>
      </c>
      <c r="AK157" s="31" t="s">
        <v>144</v>
      </c>
      <c r="AL157" s="31" t="s">
        <v>325</v>
      </c>
      <c r="AM157" s="31" t="s">
        <v>144</v>
      </c>
      <c r="AN157" s="31" t="s">
        <v>163</v>
      </c>
      <c r="AO157" s="31" t="s">
        <v>144</v>
      </c>
      <c r="AP157" s="31" t="s">
        <v>144</v>
      </c>
      <c r="AQ157" s="31"/>
      <c r="AR157" s="31"/>
      <c r="AS157" s="31"/>
      <c r="AT157" s="31"/>
      <c r="AU157" s="31"/>
    </row>
    <row r="158" spans="5:47" ht="15" customHeight="1" x14ac:dyDescent="0.25">
      <c r="E158" s="31" t="s">
        <v>133</v>
      </c>
      <c r="F158" s="31" t="s">
        <v>140</v>
      </c>
      <c r="G158" s="31" t="s">
        <v>323</v>
      </c>
      <c r="H158" s="31" t="s">
        <v>324</v>
      </c>
      <c r="I158" s="31" t="s">
        <v>481</v>
      </c>
      <c r="J158" s="31" t="s">
        <v>647</v>
      </c>
      <c r="K158" s="31" t="s">
        <v>670</v>
      </c>
      <c r="L158" s="31" t="s">
        <v>162</v>
      </c>
      <c r="M158" s="31" t="s">
        <v>144</v>
      </c>
      <c r="N158" s="31" t="s">
        <v>144</v>
      </c>
      <c r="O158" s="31">
        <v>16</v>
      </c>
      <c r="P158" s="31" t="s">
        <v>144</v>
      </c>
      <c r="Q158" s="31" t="s">
        <v>649</v>
      </c>
      <c r="R158" s="31" t="s">
        <v>320</v>
      </c>
      <c r="S158" s="31" t="s">
        <v>259</v>
      </c>
      <c r="T158" s="31" t="s">
        <v>479</v>
      </c>
      <c r="U158" s="31" t="s">
        <v>144</v>
      </c>
      <c r="V158" s="31" t="s">
        <v>144</v>
      </c>
      <c r="W158" s="31" t="s">
        <v>144</v>
      </c>
      <c r="X158" s="31" t="s">
        <v>144</v>
      </c>
      <c r="Y158" s="31" t="s">
        <v>144</v>
      </c>
      <c r="Z158" s="31" t="s">
        <v>144</v>
      </c>
      <c r="AA158" s="378">
        <v>16</v>
      </c>
      <c r="AB158" s="378">
        <v>15.5</v>
      </c>
      <c r="AC158" s="378">
        <v>0.3</v>
      </c>
      <c r="AD158" s="378">
        <v>0.2</v>
      </c>
      <c r="AE158" s="31">
        <v>1.3</v>
      </c>
      <c r="AF158" s="31">
        <v>28</v>
      </c>
      <c r="AG158" s="31" t="s">
        <v>144</v>
      </c>
      <c r="AH158" s="31" t="s">
        <v>144</v>
      </c>
      <c r="AI158" s="31" t="s">
        <v>144</v>
      </c>
      <c r="AJ158" s="31" t="s">
        <v>144</v>
      </c>
      <c r="AK158" s="31" t="s">
        <v>144</v>
      </c>
      <c r="AL158" s="31" t="s">
        <v>325</v>
      </c>
      <c r="AM158" s="31" t="s">
        <v>144</v>
      </c>
      <c r="AN158" s="31" t="s">
        <v>163</v>
      </c>
      <c r="AO158" s="31" t="s">
        <v>144</v>
      </c>
      <c r="AP158" s="31" t="s">
        <v>144</v>
      </c>
      <c r="AQ158" s="31"/>
      <c r="AR158" s="31"/>
      <c r="AS158" s="31"/>
      <c r="AT158" s="31"/>
      <c r="AU158" s="31"/>
    </row>
    <row r="159" spans="5:47" ht="15" customHeight="1" x14ac:dyDescent="0.25">
      <c r="E159" s="31" t="s">
        <v>133</v>
      </c>
      <c r="F159" s="31" t="s">
        <v>140</v>
      </c>
      <c r="G159" s="31" t="s">
        <v>323</v>
      </c>
      <c r="H159" s="31" t="s">
        <v>324</v>
      </c>
      <c r="I159" s="31" t="s">
        <v>481</v>
      </c>
      <c r="J159" s="31" t="s">
        <v>647</v>
      </c>
      <c r="K159" s="31" t="s">
        <v>671</v>
      </c>
      <c r="L159" s="31" t="s">
        <v>162</v>
      </c>
      <c r="M159" s="31" t="s">
        <v>144</v>
      </c>
      <c r="N159" s="31" t="s">
        <v>144</v>
      </c>
      <c r="O159" s="31">
        <v>16</v>
      </c>
      <c r="P159" s="31" t="s">
        <v>144</v>
      </c>
      <c r="Q159" s="31" t="s">
        <v>649</v>
      </c>
      <c r="R159" s="31" t="s">
        <v>320</v>
      </c>
      <c r="S159" s="31" t="s">
        <v>259</v>
      </c>
      <c r="T159" s="31" t="s">
        <v>479</v>
      </c>
      <c r="U159" s="31" t="s">
        <v>144</v>
      </c>
      <c r="V159" s="31" t="s">
        <v>144</v>
      </c>
      <c r="W159" s="31" t="s">
        <v>144</v>
      </c>
      <c r="X159" s="31" t="s">
        <v>144</v>
      </c>
      <c r="Y159" s="31" t="s">
        <v>144</v>
      </c>
      <c r="Z159" s="31" t="s">
        <v>144</v>
      </c>
      <c r="AA159" s="378">
        <v>16</v>
      </c>
      <c r="AB159" s="378">
        <v>15.5</v>
      </c>
      <c r="AC159" s="378">
        <v>0.3</v>
      </c>
      <c r="AD159" s="378">
        <v>0.2</v>
      </c>
      <c r="AE159" s="31">
        <v>1.3</v>
      </c>
      <c r="AF159" s="31">
        <v>28</v>
      </c>
      <c r="AG159" s="31" t="s">
        <v>144</v>
      </c>
      <c r="AH159" s="31" t="s">
        <v>144</v>
      </c>
      <c r="AI159" s="31" t="s">
        <v>144</v>
      </c>
      <c r="AJ159" s="31" t="s">
        <v>144</v>
      </c>
      <c r="AK159" s="31" t="s">
        <v>144</v>
      </c>
      <c r="AL159" s="31" t="s">
        <v>325</v>
      </c>
      <c r="AM159" s="31" t="s">
        <v>144</v>
      </c>
      <c r="AN159" s="31" t="s">
        <v>163</v>
      </c>
      <c r="AO159" s="31" t="s">
        <v>144</v>
      </c>
      <c r="AP159" s="31" t="s">
        <v>144</v>
      </c>
      <c r="AQ159" s="31"/>
      <c r="AR159" s="31"/>
      <c r="AS159" s="31"/>
      <c r="AT159" s="31"/>
      <c r="AU159" s="31"/>
    </row>
    <row r="160" spans="5:47" ht="15" customHeight="1" x14ac:dyDescent="0.25">
      <c r="E160" s="31" t="s">
        <v>133</v>
      </c>
      <c r="F160" s="31" t="s">
        <v>140</v>
      </c>
      <c r="G160" s="31" t="s">
        <v>323</v>
      </c>
      <c r="H160" s="31" t="s">
        <v>324</v>
      </c>
      <c r="I160" s="31" t="s">
        <v>481</v>
      </c>
      <c r="J160" s="31" t="s">
        <v>647</v>
      </c>
      <c r="K160" s="31" t="s">
        <v>672</v>
      </c>
      <c r="L160" s="31" t="s">
        <v>162</v>
      </c>
      <c r="M160" s="31" t="s">
        <v>144</v>
      </c>
      <c r="N160" s="31" t="s">
        <v>144</v>
      </c>
      <c r="O160" s="31">
        <v>16</v>
      </c>
      <c r="P160" s="31" t="s">
        <v>144</v>
      </c>
      <c r="Q160" s="31" t="s">
        <v>649</v>
      </c>
      <c r="R160" s="31" t="s">
        <v>320</v>
      </c>
      <c r="S160" s="31" t="s">
        <v>259</v>
      </c>
      <c r="T160" s="31" t="s">
        <v>479</v>
      </c>
      <c r="U160" s="31" t="s">
        <v>144</v>
      </c>
      <c r="V160" s="31" t="s">
        <v>144</v>
      </c>
      <c r="W160" s="31" t="s">
        <v>144</v>
      </c>
      <c r="X160" s="31" t="s">
        <v>144</v>
      </c>
      <c r="Y160" s="31" t="s">
        <v>144</v>
      </c>
      <c r="Z160" s="31" t="s">
        <v>144</v>
      </c>
      <c r="AA160" s="378">
        <v>16</v>
      </c>
      <c r="AB160" s="378">
        <v>15.5</v>
      </c>
      <c r="AC160" s="378">
        <v>0.3</v>
      </c>
      <c r="AD160" s="378">
        <v>0.2</v>
      </c>
      <c r="AE160" s="31">
        <v>1.3</v>
      </c>
      <c r="AF160" s="31">
        <v>28</v>
      </c>
      <c r="AG160" s="31" t="s">
        <v>144</v>
      </c>
      <c r="AH160" s="31" t="s">
        <v>144</v>
      </c>
      <c r="AI160" s="31" t="s">
        <v>144</v>
      </c>
      <c r="AJ160" s="31" t="s">
        <v>144</v>
      </c>
      <c r="AK160" s="31" t="s">
        <v>144</v>
      </c>
      <c r="AL160" s="31" t="s">
        <v>325</v>
      </c>
      <c r="AM160" s="31" t="s">
        <v>144</v>
      </c>
      <c r="AN160" s="31" t="s">
        <v>163</v>
      </c>
      <c r="AO160" s="31" t="s">
        <v>144</v>
      </c>
      <c r="AP160" s="31" t="s">
        <v>144</v>
      </c>
      <c r="AQ160" s="31"/>
      <c r="AR160" s="31"/>
      <c r="AS160" s="31"/>
      <c r="AT160" s="31"/>
      <c r="AU160" s="31"/>
    </row>
    <row r="161" spans="5:47" ht="15" customHeight="1" x14ac:dyDescent="0.25">
      <c r="E161" s="31" t="s">
        <v>133</v>
      </c>
      <c r="F161" s="31" t="s">
        <v>140</v>
      </c>
      <c r="G161" s="31" t="s">
        <v>323</v>
      </c>
      <c r="H161" s="31" t="s">
        <v>324</v>
      </c>
      <c r="I161" s="31" t="s">
        <v>481</v>
      </c>
      <c r="J161" s="31" t="s">
        <v>647</v>
      </c>
      <c r="K161" s="31" t="s">
        <v>673</v>
      </c>
      <c r="L161" s="31" t="s">
        <v>162</v>
      </c>
      <c r="M161" s="31" t="s">
        <v>144</v>
      </c>
      <c r="N161" s="31" t="s">
        <v>144</v>
      </c>
      <c r="O161" s="31">
        <v>16</v>
      </c>
      <c r="P161" s="31" t="s">
        <v>144</v>
      </c>
      <c r="Q161" s="31" t="s">
        <v>649</v>
      </c>
      <c r="R161" s="31" t="s">
        <v>320</v>
      </c>
      <c r="S161" s="31" t="s">
        <v>259</v>
      </c>
      <c r="T161" s="31" t="s">
        <v>479</v>
      </c>
      <c r="U161" s="31" t="s">
        <v>144</v>
      </c>
      <c r="V161" s="31" t="s">
        <v>144</v>
      </c>
      <c r="W161" s="31" t="s">
        <v>144</v>
      </c>
      <c r="X161" s="31" t="s">
        <v>144</v>
      </c>
      <c r="Y161" s="31" t="s">
        <v>144</v>
      </c>
      <c r="Z161" s="31" t="s">
        <v>144</v>
      </c>
      <c r="AA161" s="378">
        <v>16</v>
      </c>
      <c r="AB161" s="378">
        <v>15.5</v>
      </c>
      <c r="AC161" s="378">
        <v>0.3</v>
      </c>
      <c r="AD161" s="378">
        <v>0.2</v>
      </c>
      <c r="AE161" s="31">
        <v>1.3</v>
      </c>
      <c r="AF161" s="31">
        <v>28</v>
      </c>
      <c r="AG161" s="31" t="s">
        <v>144</v>
      </c>
      <c r="AH161" s="31" t="s">
        <v>144</v>
      </c>
      <c r="AI161" s="31" t="s">
        <v>144</v>
      </c>
      <c r="AJ161" s="31" t="s">
        <v>144</v>
      </c>
      <c r="AK161" s="31" t="s">
        <v>144</v>
      </c>
      <c r="AL161" s="31" t="s">
        <v>325</v>
      </c>
      <c r="AM161" s="31" t="s">
        <v>144</v>
      </c>
      <c r="AN161" s="31" t="s">
        <v>163</v>
      </c>
      <c r="AO161" s="31" t="s">
        <v>144</v>
      </c>
      <c r="AP161" s="31" t="s">
        <v>144</v>
      </c>
      <c r="AQ161" s="31"/>
      <c r="AR161" s="31"/>
      <c r="AS161" s="31"/>
      <c r="AT161" s="31"/>
      <c r="AU161" s="31"/>
    </row>
    <row r="162" spans="5:47" ht="15" customHeight="1" x14ac:dyDescent="0.25">
      <c r="E162" s="31" t="s">
        <v>133</v>
      </c>
      <c r="F162" s="31" t="s">
        <v>140</v>
      </c>
      <c r="G162" s="31" t="s">
        <v>323</v>
      </c>
      <c r="H162" s="31" t="s">
        <v>324</v>
      </c>
      <c r="I162" s="31" t="s">
        <v>481</v>
      </c>
      <c r="J162" s="31" t="s">
        <v>647</v>
      </c>
      <c r="K162" s="31" t="s">
        <v>674</v>
      </c>
      <c r="L162" s="31" t="s">
        <v>162</v>
      </c>
      <c r="M162" s="31" t="s">
        <v>144</v>
      </c>
      <c r="N162" s="31" t="s">
        <v>144</v>
      </c>
      <c r="O162" s="31">
        <v>16</v>
      </c>
      <c r="P162" s="31" t="s">
        <v>144</v>
      </c>
      <c r="Q162" s="31" t="s">
        <v>649</v>
      </c>
      <c r="R162" s="31" t="s">
        <v>320</v>
      </c>
      <c r="S162" s="31" t="s">
        <v>259</v>
      </c>
      <c r="T162" s="31" t="s">
        <v>479</v>
      </c>
      <c r="U162" s="31" t="s">
        <v>144</v>
      </c>
      <c r="V162" s="31" t="s">
        <v>144</v>
      </c>
      <c r="W162" s="31" t="s">
        <v>144</v>
      </c>
      <c r="X162" s="31" t="s">
        <v>144</v>
      </c>
      <c r="Y162" s="31" t="s">
        <v>144</v>
      </c>
      <c r="Z162" s="31" t="s">
        <v>144</v>
      </c>
      <c r="AA162" s="378">
        <v>16</v>
      </c>
      <c r="AB162" s="378">
        <v>15.5</v>
      </c>
      <c r="AC162" s="378">
        <v>0.3</v>
      </c>
      <c r="AD162" s="378">
        <v>0.2</v>
      </c>
      <c r="AE162" s="31">
        <v>1.3</v>
      </c>
      <c r="AF162" s="31">
        <v>28</v>
      </c>
      <c r="AG162" s="31" t="s">
        <v>144</v>
      </c>
      <c r="AH162" s="31" t="s">
        <v>144</v>
      </c>
      <c r="AI162" s="31" t="s">
        <v>144</v>
      </c>
      <c r="AJ162" s="31" t="s">
        <v>144</v>
      </c>
      <c r="AK162" s="31" t="s">
        <v>144</v>
      </c>
      <c r="AL162" s="31" t="s">
        <v>325</v>
      </c>
      <c r="AM162" s="31" t="s">
        <v>144</v>
      </c>
      <c r="AN162" s="31" t="s">
        <v>163</v>
      </c>
      <c r="AO162" s="31" t="s">
        <v>144</v>
      </c>
      <c r="AP162" s="31" t="s">
        <v>144</v>
      </c>
      <c r="AQ162" s="31"/>
      <c r="AR162" s="31"/>
      <c r="AS162" s="31"/>
      <c r="AT162" s="31"/>
      <c r="AU162" s="31"/>
    </row>
    <row r="163" spans="5:47" ht="15" customHeight="1" x14ac:dyDescent="0.25">
      <c r="E163" s="31" t="s">
        <v>133</v>
      </c>
      <c r="F163" s="31" t="s">
        <v>140</v>
      </c>
      <c r="G163" s="31" t="s">
        <v>323</v>
      </c>
      <c r="H163" s="31" t="s">
        <v>324</v>
      </c>
      <c r="I163" s="31" t="s">
        <v>481</v>
      </c>
      <c r="J163" s="31" t="s">
        <v>647</v>
      </c>
      <c r="K163" s="31" t="s">
        <v>675</v>
      </c>
      <c r="L163" s="31" t="s">
        <v>162</v>
      </c>
      <c r="M163" s="31" t="s">
        <v>144</v>
      </c>
      <c r="N163" s="31" t="s">
        <v>144</v>
      </c>
      <c r="O163" s="31">
        <v>16</v>
      </c>
      <c r="P163" s="31" t="s">
        <v>144</v>
      </c>
      <c r="Q163" s="31" t="s">
        <v>649</v>
      </c>
      <c r="R163" s="31" t="s">
        <v>320</v>
      </c>
      <c r="S163" s="31" t="s">
        <v>259</v>
      </c>
      <c r="T163" s="31" t="s">
        <v>479</v>
      </c>
      <c r="U163" s="31" t="s">
        <v>144</v>
      </c>
      <c r="V163" s="31" t="s">
        <v>144</v>
      </c>
      <c r="W163" s="31" t="s">
        <v>144</v>
      </c>
      <c r="X163" s="31" t="s">
        <v>144</v>
      </c>
      <c r="Y163" s="31" t="s">
        <v>144</v>
      </c>
      <c r="Z163" s="31" t="s">
        <v>144</v>
      </c>
      <c r="AA163" s="378">
        <v>16</v>
      </c>
      <c r="AB163" s="378">
        <v>15.5</v>
      </c>
      <c r="AC163" s="378">
        <v>0.3</v>
      </c>
      <c r="AD163" s="378">
        <v>0.2</v>
      </c>
      <c r="AE163" s="31">
        <v>1.3</v>
      </c>
      <c r="AF163" s="31">
        <v>28</v>
      </c>
      <c r="AG163" s="31" t="s">
        <v>144</v>
      </c>
      <c r="AH163" s="31" t="s">
        <v>144</v>
      </c>
      <c r="AI163" s="31" t="s">
        <v>144</v>
      </c>
      <c r="AJ163" s="31" t="s">
        <v>144</v>
      </c>
      <c r="AK163" s="31" t="s">
        <v>144</v>
      </c>
      <c r="AL163" s="31" t="s">
        <v>325</v>
      </c>
      <c r="AM163" s="31" t="s">
        <v>144</v>
      </c>
      <c r="AN163" s="31" t="s">
        <v>163</v>
      </c>
      <c r="AO163" s="31" t="s">
        <v>144</v>
      </c>
      <c r="AP163" s="31" t="s">
        <v>144</v>
      </c>
      <c r="AQ163" s="31"/>
      <c r="AR163" s="31"/>
      <c r="AS163" s="31"/>
      <c r="AT163" s="31"/>
      <c r="AU163" s="31"/>
    </row>
    <row r="164" spans="5:47" ht="15" customHeight="1" x14ac:dyDescent="0.25">
      <c r="E164" s="31" t="s">
        <v>133</v>
      </c>
      <c r="F164" s="31" t="s">
        <v>140</v>
      </c>
      <c r="G164" s="31" t="s">
        <v>323</v>
      </c>
      <c r="H164" s="31" t="s">
        <v>324</v>
      </c>
      <c r="I164" s="31" t="s">
        <v>481</v>
      </c>
      <c r="J164" s="31" t="s">
        <v>647</v>
      </c>
      <c r="K164" s="31" t="s">
        <v>676</v>
      </c>
      <c r="L164" s="31" t="s">
        <v>162</v>
      </c>
      <c r="M164" s="31" t="s">
        <v>144</v>
      </c>
      <c r="N164" s="31" t="s">
        <v>144</v>
      </c>
      <c r="O164" s="31">
        <v>16</v>
      </c>
      <c r="P164" s="31" t="s">
        <v>144</v>
      </c>
      <c r="Q164" s="31" t="s">
        <v>649</v>
      </c>
      <c r="R164" s="31" t="s">
        <v>320</v>
      </c>
      <c r="S164" s="31" t="s">
        <v>259</v>
      </c>
      <c r="T164" s="31" t="s">
        <v>479</v>
      </c>
      <c r="U164" s="31" t="s">
        <v>144</v>
      </c>
      <c r="V164" s="31" t="s">
        <v>144</v>
      </c>
      <c r="W164" s="31" t="s">
        <v>144</v>
      </c>
      <c r="X164" s="31" t="s">
        <v>144</v>
      </c>
      <c r="Y164" s="31" t="s">
        <v>144</v>
      </c>
      <c r="Z164" s="31" t="s">
        <v>144</v>
      </c>
      <c r="AA164" s="378">
        <v>16</v>
      </c>
      <c r="AB164" s="378">
        <v>15.5</v>
      </c>
      <c r="AC164" s="378">
        <v>0.3</v>
      </c>
      <c r="AD164" s="378">
        <v>0.2</v>
      </c>
      <c r="AE164" s="31">
        <v>1.3</v>
      </c>
      <c r="AF164" s="31">
        <v>28</v>
      </c>
      <c r="AG164" s="31" t="s">
        <v>144</v>
      </c>
      <c r="AH164" s="31" t="s">
        <v>144</v>
      </c>
      <c r="AI164" s="31" t="s">
        <v>144</v>
      </c>
      <c r="AJ164" s="31" t="s">
        <v>144</v>
      </c>
      <c r="AK164" s="31" t="s">
        <v>144</v>
      </c>
      <c r="AL164" s="31" t="s">
        <v>325</v>
      </c>
      <c r="AM164" s="31" t="s">
        <v>144</v>
      </c>
      <c r="AN164" s="31" t="s">
        <v>163</v>
      </c>
      <c r="AO164" s="31" t="s">
        <v>144</v>
      </c>
      <c r="AP164" s="31" t="s">
        <v>144</v>
      </c>
      <c r="AQ164" s="31"/>
      <c r="AR164" s="31"/>
      <c r="AS164" s="31"/>
      <c r="AT164" s="31"/>
      <c r="AU164" s="31"/>
    </row>
    <row r="165" spans="5:47" ht="15" customHeight="1" x14ac:dyDescent="0.25">
      <c r="E165" s="31" t="s">
        <v>133</v>
      </c>
      <c r="F165" s="31" t="s">
        <v>140</v>
      </c>
      <c r="G165" s="31" t="s">
        <v>323</v>
      </c>
      <c r="H165" s="31" t="s">
        <v>324</v>
      </c>
      <c r="I165" s="31" t="s">
        <v>481</v>
      </c>
      <c r="J165" s="31" t="s">
        <v>647</v>
      </c>
      <c r="K165" s="31" t="s">
        <v>677</v>
      </c>
      <c r="L165" s="31" t="s">
        <v>162</v>
      </c>
      <c r="M165" s="31" t="s">
        <v>144</v>
      </c>
      <c r="N165" s="31" t="s">
        <v>144</v>
      </c>
      <c r="O165" s="31">
        <v>16</v>
      </c>
      <c r="P165" s="31" t="s">
        <v>144</v>
      </c>
      <c r="Q165" s="31" t="s">
        <v>649</v>
      </c>
      <c r="R165" s="31" t="s">
        <v>320</v>
      </c>
      <c r="S165" s="31" t="s">
        <v>259</v>
      </c>
      <c r="T165" s="31" t="s">
        <v>479</v>
      </c>
      <c r="U165" s="31" t="s">
        <v>144</v>
      </c>
      <c r="V165" s="31" t="s">
        <v>144</v>
      </c>
      <c r="W165" s="31" t="s">
        <v>144</v>
      </c>
      <c r="X165" s="31" t="s">
        <v>144</v>
      </c>
      <c r="Y165" s="31" t="s">
        <v>144</v>
      </c>
      <c r="Z165" s="31" t="s">
        <v>144</v>
      </c>
      <c r="AA165" s="378">
        <v>16</v>
      </c>
      <c r="AB165" s="378">
        <v>15.5</v>
      </c>
      <c r="AC165" s="378">
        <v>0.3</v>
      </c>
      <c r="AD165" s="378">
        <v>0.2</v>
      </c>
      <c r="AE165" s="31">
        <v>1.3</v>
      </c>
      <c r="AF165" s="31">
        <v>28</v>
      </c>
      <c r="AG165" s="31" t="s">
        <v>144</v>
      </c>
      <c r="AH165" s="31" t="s">
        <v>144</v>
      </c>
      <c r="AI165" s="31" t="s">
        <v>144</v>
      </c>
      <c r="AJ165" s="31" t="s">
        <v>144</v>
      </c>
      <c r="AK165" s="31" t="s">
        <v>144</v>
      </c>
      <c r="AL165" s="31" t="s">
        <v>325</v>
      </c>
      <c r="AM165" s="31" t="s">
        <v>144</v>
      </c>
      <c r="AN165" s="31" t="s">
        <v>163</v>
      </c>
      <c r="AO165" s="31" t="s">
        <v>144</v>
      </c>
      <c r="AP165" s="31" t="s">
        <v>144</v>
      </c>
      <c r="AQ165" s="31"/>
      <c r="AR165" s="31"/>
      <c r="AS165" s="31"/>
      <c r="AT165" s="31"/>
      <c r="AU165" s="31"/>
    </row>
    <row r="166" spans="5:47" ht="15" customHeight="1" x14ac:dyDescent="0.25">
      <c r="E166" s="31" t="s">
        <v>133</v>
      </c>
      <c r="F166" s="31" t="s">
        <v>140</v>
      </c>
      <c r="G166" s="31" t="s">
        <v>323</v>
      </c>
      <c r="H166" s="31" t="s">
        <v>324</v>
      </c>
      <c r="I166" s="31" t="s">
        <v>481</v>
      </c>
      <c r="J166" s="31" t="s">
        <v>647</v>
      </c>
      <c r="K166" s="31" t="s">
        <v>678</v>
      </c>
      <c r="L166" s="31" t="s">
        <v>162</v>
      </c>
      <c r="M166" s="31" t="s">
        <v>144</v>
      </c>
      <c r="N166" s="31" t="s">
        <v>144</v>
      </c>
      <c r="O166" s="31">
        <v>16</v>
      </c>
      <c r="P166" s="31" t="s">
        <v>144</v>
      </c>
      <c r="Q166" s="31" t="s">
        <v>649</v>
      </c>
      <c r="R166" s="31" t="s">
        <v>320</v>
      </c>
      <c r="S166" s="31" t="s">
        <v>259</v>
      </c>
      <c r="T166" s="31" t="s">
        <v>479</v>
      </c>
      <c r="U166" s="31" t="s">
        <v>144</v>
      </c>
      <c r="V166" s="31" t="s">
        <v>144</v>
      </c>
      <c r="W166" s="31" t="s">
        <v>144</v>
      </c>
      <c r="X166" s="31" t="s">
        <v>144</v>
      </c>
      <c r="Y166" s="31" t="s">
        <v>144</v>
      </c>
      <c r="Z166" s="31" t="s">
        <v>144</v>
      </c>
      <c r="AA166" s="378">
        <v>16</v>
      </c>
      <c r="AB166" s="378">
        <v>15.5</v>
      </c>
      <c r="AC166" s="378">
        <v>0.3</v>
      </c>
      <c r="AD166" s="378">
        <v>0.2</v>
      </c>
      <c r="AE166" s="31">
        <v>1.3</v>
      </c>
      <c r="AF166" s="31">
        <v>28</v>
      </c>
      <c r="AG166" s="31" t="s">
        <v>144</v>
      </c>
      <c r="AH166" s="31" t="s">
        <v>144</v>
      </c>
      <c r="AI166" s="31" t="s">
        <v>144</v>
      </c>
      <c r="AJ166" s="31" t="s">
        <v>144</v>
      </c>
      <c r="AK166" s="31" t="s">
        <v>144</v>
      </c>
      <c r="AL166" s="31" t="s">
        <v>325</v>
      </c>
      <c r="AM166" s="31" t="s">
        <v>144</v>
      </c>
      <c r="AN166" s="31" t="s">
        <v>163</v>
      </c>
      <c r="AO166" s="31" t="s">
        <v>144</v>
      </c>
      <c r="AP166" s="31" t="s">
        <v>144</v>
      </c>
      <c r="AQ166" s="31"/>
      <c r="AR166" s="31"/>
      <c r="AS166" s="31"/>
      <c r="AT166" s="31"/>
      <c r="AU166" s="31"/>
    </row>
    <row r="167" spans="5:47" ht="15" customHeight="1" x14ac:dyDescent="0.25">
      <c r="E167" s="31" t="s">
        <v>133</v>
      </c>
      <c r="F167" s="31" t="s">
        <v>140</v>
      </c>
      <c r="G167" s="31" t="s">
        <v>323</v>
      </c>
      <c r="H167" s="31" t="s">
        <v>324</v>
      </c>
      <c r="I167" s="31" t="s">
        <v>481</v>
      </c>
      <c r="J167" s="31" t="s">
        <v>647</v>
      </c>
      <c r="K167" s="31" t="s">
        <v>679</v>
      </c>
      <c r="L167" s="31" t="s">
        <v>162</v>
      </c>
      <c r="M167" s="31" t="s">
        <v>144</v>
      </c>
      <c r="N167" s="31" t="s">
        <v>144</v>
      </c>
      <c r="O167" s="31">
        <v>16</v>
      </c>
      <c r="P167" s="31" t="s">
        <v>144</v>
      </c>
      <c r="Q167" s="31" t="s">
        <v>649</v>
      </c>
      <c r="R167" s="31" t="s">
        <v>320</v>
      </c>
      <c r="S167" s="31" t="s">
        <v>259</v>
      </c>
      <c r="T167" s="31" t="s">
        <v>479</v>
      </c>
      <c r="U167" s="31" t="s">
        <v>144</v>
      </c>
      <c r="V167" s="31" t="s">
        <v>144</v>
      </c>
      <c r="W167" s="31" t="s">
        <v>144</v>
      </c>
      <c r="X167" s="31" t="s">
        <v>144</v>
      </c>
      <c r="Y167" s="31" t="s">
        <v>144</v>
      </c>
      <c r="Z167" s="31" t="s">
        <v>144</v>
      </c>
      <c r="AA167" s="378">
        <v>16</v>
      </c>
      <c r="AB167" s="378">
        <v>15.5</v>
      </c>
      <c r="AC167" s="378">
        <v>0.3</v>
      </c>
      <c r="AD167" s="378">
        <v>0.2</v>
      </c>
      <c r="AE167" s="31">
        <v>1.3</v>
      </c>
      <c r="AF167" s="31">
        <v>28</v>
      </c>
      <c r="AG167" s="31" t="s">
        <v>144</v>
      </c>
      <c r="AH167" s="31" t="s">
        <v>144</v>
      </c>
      <c r="AI167" s="31" t="s">
        <v>144</v>
      </c>
      <c r="AJ167" s="31" t="s">
        <v>144</v>
      </c>
      <c r="AK167" s="31" t="s">
        <v>144</v>
      </c>
      <c r="AL167" s="31" t="s">
        <v>325</v>
      </c>
      <c r="AM167" s="31" t="s">
        <v>144</v>
      </c>
      <c r="AN167" s="31" t="s">
        <v>163</v>
      </c>
      <c r="AO167" s="31" t="s">
        <v>144</v>
      </c>
      <c r="AP167" s="31" t="s">
        <v>144</v>
      </c>
      <c r="AQ167" s="31"/>
      <c r="AR167" s="31"/>
      <c r="AS167" s="31"/>
      <c r="AT167" s="31"/>
      <c r="AU167" s="31"/>
    </row>
    <row r="168" spans="5:47" ht="15" customHeight="1" x14ac:dyDescent="0.25">
      <c r="E168" s="31" t="s">
        <v>133</v>
      </c>
      <c r="F168" s="31" t="s">
        <v>140</v>
      </c>
      <c r="G168" s="31" t="s">
        <v>323</v>
      </c>
      <c r="H168" s="31" t="s">
        <v>324</v>
      </c>
      <c r="I168" s="31" t="s">
        <v>481</v>
      </c>
      <c r="J168" s="31" t="s">
        <v>647</v>
      </c>
      <c r="K168" s="31" t="s">
        <v>680</v>
      </c>
      <c r="L168" s="31" t="s">
        <v>162</v>
      </c>
      <c r="M168" s="31" t="s">
        <v>144</v>
      </c>
      <c r="N168" s="31" t="s">
        <v>144</v>
      </c>
      <c r="O168" s="31">
        <v>16</v>
      </c>
      <c r="P168" s="31" t="s">
        <v>144</v>
      </c>
      <c r="Q168" s="31" t="s">
        <v>649</v>
      </c>
      <c r="R168" s="31" t="s">
        <v>320</v>
      </c>
      <c r="S168" s="31" t="s">
        <v>259</v>
      </c>
      <c r="T168" s="31" t="s">
        <v>479</v>
      </c>
      <c r="U168" s="31" t="s">
        <v>144</v>
      </c>
      <c r="V168" s="31" t="s">
        <v>144</v>
      </c>
      <c r="W168" s="31" t="s">
        <v>144</v>
      </c>
      <c r="X168" s="31" t="s">
        <v>144</v>
      </c>
      <c r="Y168" s="31" t="s">
        <v>144</v>
      </c>
      <c r="Z168" s="31" t="s">
        <v>144</v>
      </c>
      <c r="AA168" s="378">
        <v>16</v>
      </c>
      <c r="AB168" s="378">
        <v>15.5</v>
      </c>
      <c r="AC168" s="378">
        <v>0.3</v>
      </c>
      <c r="AD168" s="378">
        <v>0.2</v>
      </c>
      <c r="AE168" s="31">
        <v>1.3</v>
      </c>
      <c r="AF168" s="31">
        <v>28</v>
      </c>
      <c r="AG168" s="31" t="s">
        <v>144</v>
      </c>
      <c r="AH168" s="31" t="s">
        <v>144</v>
      </c>
      <c r="AI168" s="31" t="s">
        <v>144</v>
      </c>
      <c r="AJ168" s="31" t="s">
        <v>144</v>
      </c>
      <c r="AK168" s="31" t="s">
        <v>144</v>
      </c>
      <c r="AL168" s="31" t="s">
        <v>325</v>
      </c>
      <c r="AM168" s="31" t="s">
        <v>144</v>
      </c>
      <c r="AN168" s="31" t="s">
        <v>163</v>
      </c>
      <c r="AO168" s="31" t="s">
        <v>144</v>
      </c>
      <c r="AP168" s="31" t="s">
        <v>144</v>
      </c>
      <c r="AQ168" s="31"/>
      <c r="AR168" s="31"/>
      <c r="AS168" s="31"/>
      <c r="AT168" s="31"/>
      <c r="AU168" s="31"/>
    </row>
    <row r="169" spans="5:47" ht="15" customHeight="1" x14ac:dyDescent="0.25">
      <c r="E169" s="31" t="s">
        <v>133</v>
      </c>
      <c r="F169" s="31" t="s">
        <v>140</v>
      </c>
      <c r="G169" s="31" t="s">
        <v>323</v>
      </c>
      <c r="H169" s="31" t="s">
        <v>324</v>
      </c>
      <c r="I169" s="31" t="s">
        <v>481</v>
      </c>
      <c r="J169" s="31" t="s">
        <v>647</v>
      </c>
      <c r="K169" s="31" t="s">
        <v>681</v>
      </c>
      <c r="L169" s="31" t="s">
        <v>162</v>
      </c>
      <c r="M169" s="31" t="s">
        <v>144</v>
      </c>
      <c r="N169" s="31" t="s">
        <v>144</v>
      </c>
      <c r="O169" s="31">
        <v>16</v>
      </c>
      <c r="P169" s="31" t="s">
        <v>144</v>
      </c>
      <c r="Q169" s="31" t="s">
        <v>649</v>
      </c>
      <c r="R169" s="31" t="s">
        <v>320</v>
      </c>
      <c r="S169" s="31" t="s">
        <v>259</v>
      </c>
      <c r="T169" s="31" t="s">
        <v>479</v>
      </c>
      <c r="U169" s="31" t="s">
        <v>144</v>
      </c>
      <c r="V169" s="31" t="s">
        <v>144</v>
      </c>
      <c r="W169" s="31" t="s">
        <v>144</v>
      </c>
      <c r="X169" s="31" t="s">
        <v>144</v>
      </c>
      <c r="Y169" s="31" t="s">
        <v>144</v>
      </c>
      <c r="Z169" s="31" t="s">
        <v>144</v>
      </c>
      <c r="AA169" s="378">
        <v>16</v>
      </c>
      <c r="AB169" s="378">
        <v>15.5</v>
      </c>
      <c r="AC169" s="378">
        <v>0.3</v>
      </c>
      <c r="AD169" s="378">
        <v>0.2</v>
      </c>
      <c r="AE169" s="31">
        <v>1.3</v>
      </c>
      <c r="AF169" s="31">
        <v>28</v>
      </c>
      <c r="AG169" s="31" t="s">
        <v>144</v>
      </c>
      <c r="AH169" s="31" t="s">
        <v>144</v>
      </c>
      <c r="AI169" s="31" t="s">
        <v>144</v>
      </c>
      <c r="AJ169" s="31" t="s">
        <v>144</v>
      </c>
      <c r="AK169" s="31" t="s">
        <v>144</v>
      </c>
      <c r="AL169" s="31" t="s">
        <v>325</v>
      </c>
      <c r="AM169" s="31" t="s">
        <v>144</v>
      </c>
      <c r="AN169" s="31" t="s">
        <v>163</v>
      </c>
      <c r="AO169" s="31" t="s">
        <v>144</v>
      </c>
      <c r="AP169" s="31" t="s">
        <v>144</v>
      </c>
      <c r="AQ169" s="31"/>
      <c r="AR169" s="31"/>
      <c r="AS169" s="31"/>
      <c r="AT169" s="31"/>
      <c r="AU169" s="31"/>
    </row>
    <row r="170" spans="5:47" ht="15" customHeight="1" x14ac:dyDescent="0.25">
      <c r="E170" s="31" t="s">
        <v>133</v>
      </c>
      <c r="F170" s="31" t="s">
        <v>140</v>
      </c>
      <c r="G170" s="31" t="s">
        <v>323</v>
      </c>
      <c r="H170" s="31" t="s">
        <v>324</v>
      </c>
      <c r="I170" s="31" t="s">
        <v>481</v>
      </c>
      <c r="J170" s="31" t="s">
        <v>647</v>
      </c>
      <c r="K170" s="31" t="s">
        <v>682</v>
      </c>
      <c r="L170" s="31" t="s">
        <v>162</v>
      </c>
      <c r="M170" s="31" t="s">
        <v>144</v>
      </c>
      <c r="N170" s="31" t="s">
        <v>144</v>
      </c>
      <c r="O170" s="31">
        <v>16</v>
      </c>
      <c r="P170" s="31" t="s">
        <v>144</v>
      </c>
      <c r="Q170" s="31" t="s">
        <v>649</v>
      </c>
      <c r="R170" s="31" t="s">
        <v>320</v>
      </c>
      <c r="S170" s="31" t="s">
        <v>259</v>
      </c>
      <c r="T170" s="31" t="s">
        <v>479</v>
      </c>
      <c r="U170" s="31" t="s">
        <v>144</v>
      </c>
      <c r="V170" s="31" t="s">
        <v>144</v>
      </c>
      <c r="W170" s="31" t="s">
        <v>144</v>
      </c>
      <c r="X170" s="31" t="s">
        <v>144</v>
      </c>
      <c r="Y170" s="31" t="s">
        <v>144</v>
      </c>
      <c r="Z170" s="31" t="s">
        <v>144</v>
      </c>
      <c r="AA170" s="378">
        <v>16</v>
      </c>
      <c r="AB170" s="378">
        <v>15.5</v>
      </c>
      <c r="AC170" s="378">
        <v>0.3</v>
      </c>
      <c r="AD170" s="378">
        <v>0.2</v>
      </c>
      <c r="AE170" s="31">
        <v>1.3</v>
      </c>
      <c r="AF170" s="31">
        <v>28</v>
      </c>
      <c r="AG170" s="31" t="s">
        <v>144</v>
      </c>
      <c r="AH170" s="31" t="s">
        <v>144</v>
      </c>
      <c r="AI170" s="31" t="s">
        <v>144</v>
      </c>
      <c r="AJ170" s="31" t="s">
        <v>144</v>
      </c>
      <c r="AK170" s="31" t="s">
        <v>144</v>
      </c>
      <c r="AL170" s="31" t="s">
        <v>325</v>
      </c>
      <c r="AM170" s="31" t="s">
        <v>144</v>
      </c>
      <c r="AN170" s="31" t="s">
        <v>163</v>
      </c>
      <c r="AO170" s="31" t="s">
        <v>144</v>
      </c>
      <c r="AP170" s="31" t="s">
        <v>144</v>
      </c>
      <c r="AQ170" s="31"/>
      <c r="AR170" s="31"/>
      <c r="AS170" s="31"/>
      <c r="AT170" s="31"/>
      <c r="AU170" s="31"/>
    </row>
    <row r="171" spans="5:47" ht="15" customHeight="1" x14ac:dyDescent="0.25">
      <c r="E171" s="31" t="s">
        <v>133</v>
      </c>
      <c r="F171" s="31" t="s">
        <v>140</v>
      </c>
      <c r="G171" s="31" t="s">
        <v>323</v>
      </c>
      <c r="H171" s="31" t="s">
        <v>324</v>
      </c>
      <c r="I171" s="31" t="s">
        <v>481</v>
      </c>
      <c r="J171" s="31" t="s">
        <v>647</v>
      </c>
      <c r="K171" s="31" t="s">
        <v>683</v>
      </c>
      <c r="L171" s="31" t="s">
        <v>162</v>
      </c>
      <c r="M171" s="31" t="s">
        <v>144</v>
      </c>
      <c r="N171" s="31" t="s">
        <v>144</v>
      </c>
      <c r="O171" s="31">
        <v>16</v>
      </c>
      <c r="P171" s="31" t="s">
        <v>144</v>
      </c>
      <c r="Q171" s="31" t="s">
        <v>649</v>
      </c>
      <c r="R171" s="31" t="s">
        <v>320</v>
      </c>
      <c r="S171" s="31" t="s">
        <v>259</v>
      </c>
      <c r="T171" s="31" t="s">
        <v>479</v>
      </c>
      <c r="U171" s="31" t="s">
        <v>144</v>
      </c>
      <c r="V171" s="31" t="s">
        <v>144</v>
      </c>
      <c r="W171" s="31" t="s">
        <v>144</v>
      </c>
      <c r="X171" s="31" t="s">
        <v>144</v>
      </c>
      <c r="Y171" s="31" t="s">
        <v>144</v>
      </c>
      <c r="Z171" s="31" t="s">
        <v>144</v>
      </c>
      <c r="AA171" s="378">
        <v>16</v>
      </c>
      <c r="AB171" s="378">
        <v>15.5</v>
      </c>
      <c r="AC171" s="378">
        <v>0.3</v>
      </c>
      <c r="AD171" s="378">
        <v>0.2</v>
      </c>
      <c r="AE171" s="31">
        <v>1.3</v>
      </c>
      <c r="AF171" s="31">
        <v>28</v>
      </c>
      <c r="AG171" s="31" t="s">
        <v>144</v>
      </c>
      <c r="AH171" s="31" t="s">
        <v>144</v>
      </c>
      <c r="AI171" s="31" t="s">
        <v>144</v>
      </c>
      <c r="AJ171" s="31" t="s">
        <v>144</v>
      </c>
      <c r="AK171" s="31" t="s">
        <v>144</v>
      </c>
      <c r="AL171" s="31" t="s">
        <v>325</v>
      </c>
      <c r="AM171" s="31" t="s">
        <v>144</v>
      </c>
      <c r="AN171" s="31" t="s">
        <v>163</v>
      </c>
      <c r="AO171" s="31" t="s">
        <v>144</v>
      </c>
      <c r="AP171" s="31" t="s">
        <v>144</v>
      </c>
      <c r="AQ171" s="31"/>
      <c r="AR171" s="31"/>
      <c r="AS171" s="31"/>
      <c r="AT171" s="31"/>
      <c r="AU171" s="31"/>
    </row>
    <row r="172" spans="5:47" ht="15" customHeight="1" x14ac:dyDescent="0.25">
      <c r="E172" s="31" t="s">
        <v>133</v>
      </c>
      <c r="F172" s="31" t="s">
        <v>140</v>
      </c>
      <c r="G172" s="31" t="s">
        <v>323</v>
      </c>
      <c r="H172" s="31" t="s">
        <v>324</v>
      </c>
      <c r="I172" s="31" t="s">
        <v>481</v>
      </c>
      <c r="J172" s="31" t="s">
        <v>647</v>
      </c>
      <c r="K172" s="31" t="s">
        <v>684</v>
      </c>
      <c r="L172" s="31" t="s">
        <v>162</v>
      </c>
      <c r="M172" s="31" t="s">
        <v>144</v>
      </c>
      <c r="N172" s="31" t="s">
        <v>144</v>
      </c>
      <c r="O172" s="31">
        <v>16</v>
      </c>
      <c r="P172" s="31" t="s">
        <v>144</v>
      </c>
      <c r="Q172" s="31" t="s">
        <v>649</v>
      </c>
      <c r="R172" s="31" t="s">
        <v>320</v>
      </c>
      <c r="S172" s="31" t="s">
        <v>259</v>
      </c>
      <c r="T172" s="31" t="s">
        <v>479</v>
      </c>
      <c r="U172" s="31" t="s">
        <v>144</v>
      </c>
      <c r="V172" s="31" t="s">
        <v>144</v>
      </c>
      <c r="W172" s="31" t="s">
        <v>144</v>
      </c>
      <c r="X172" s="31" t="s">
        <v>144</v>
      </c>
      <c r="Y172" s="31" t="s">
        <v>144</v>
      </c>
      <c r="Z172" s="31" t="s">
        <v>144</v>
      </c>
      <c r="AA172" s="378">
        <v>16</v>
      </c>
      <c r="AB172" s="378">
        <v>15.5</v>
      </c>
      <c r="AC172" s="378">
        <v>0.3</v>
      </c>
      <c r="AD172" s="378">
        <v>0.2</v>
      </c>
      <c r="AE172" s="31">
        <v>1.3</v>
      </c>
      <c r="AF172" s="31">
        <v>28</v>
      </c>
      <c r="AG172" s="31" t="s">
        <v>144</v>
      </c>
      <c r="AH172" s="31" t="s">
        <v>144</v>
      </c>
      <c r="AI172" s="31" t="s">
        <v>144</v>
      </c>
      <c r="AJ172" s="31" t="s">
        <v>144</v>
      </c>
      <c r="AK172" s="31" t="s">
        <v>144</v>
      </c>
      <c r="AL172" s="31" t="s">
        <v>325</v>
      </c>
      <c r="AM172" s="31" t="s">
        <v>144</v>
      </c>
      <c r="AN172" s="31" t="s">
        <v>163</v>
      </c>
      <c r="AO172" s="31" t="s">
        <v>144</v>
      </c>
      <c r="AP172" s="31" t="s">
        <v>144</v>
      </c>
      <c r="AQ172" s="31"/>
      <c r="AR172" s="31"/>
      <c r="AS172" s="31"/>
      <c r="AT172" s="31"/>
      <c r="AU172" s="31"/>
    </row>
    <row r="173" spans="5:47" ht="15" customHeight="1" x14ac:dyDescent="0.25">
      <c r="E173" s="31" t="s">
        <v>133</v>
      </c>
      <c r="F173" s="31" t="s">
        <v>140</v>
      </c>
      <c r="G173" s="31" t="s">
        <v>323</v>
      </c>
      <c r="H173" s="31" t="s">
        <v>324</v>
      </c>
      <c r="I173" s="31" t="s">
        <v>481</v>
      </c>
      <c r="J173" s="31" t="s">
        <v>647</v>
      </c>
      <c r="K173" s="31" t="s">
        <v>685</v>
      </c>
      <c r="L173" s="31" t="s">
        <v>162</v>
      </c>
      <c r="M173" s="31" t="s">
        <v>144</v>
      </c>
      <c r="N173" s="31" t="s">
        <v>144</v>
      </c>
      <c r="O173" s="31">
        <v>16</v>
      </c>
      <c r="P173" s="31" t="s">
        <v>144</v>
      </c>
      <c r="Q173" s="31" t="s">
        <v>649</v>
      </c>
      <c r="R173" s="31" t="s">
        <v>320</v>
      </c>
      <c r="S173" s="31" t="s">
        <v>259</v>
      </c>
      <c r="T173" s="31" t="s">
        <v>479</v>
      </c>
      <c r="U173" s="31" t="s">
        <v>144</v>
      </c>
      <c r="V173" s="31" t="s">
        <v>144</v>
      </c>
      <c r="W173" s="31" t="s">
        <v>144</v>
      </c>
      <c r="X173" s="31" t="s">
        <v>144</v>
      </c>
      <c r="Y173" s="31" t="s">
        <v>144</v>
      </c>
      <c r="Z173" s="31" t="s">
        <v>144</v>
      </c>
      <c r="AA173" s="378">
        <v>16</v>
      </c>
      <c r="AB173" s="378">
        <v>15.5</v>
      </c>
      <c r="AC173" s="378">
        <v>0.3</v>
      </c>
      <c r="AD173" s="378">
        <v>0.2</v>
      </c>
      <c r="AE173" s="31">
        <v>1.3</v>
      </c>
      <c r="AF173" s="31">
        <v>28</v>
      </c>
      <c r="AG173" s="31" t="s">
        <v>144</v>
      </c>
      <c r="AH173" s="31" t="s">
        <v>144</v>
      </c>
      <c r="AI173" s="31" t="s">
        <v>144</v>
      </c>
      <c r="AJ173" s="31" t="s">
        <v>144</v>
      </c>
      <c r="AK173" s="31" t="s">
        <v>144</v>
      </c>
      <c r="AL173" s="31" t="s">
        <v>325</v>
      </c>
      <c r="AM173" s="31" t="s">
        <v>144</v>
      </c>
      <c r="AN173" s="31" t="s">
        <v>163</v>
      </c>
      <c r="AO173" s="31" t="s">
        <v>144</v>
      </c>
      <c r="AP173" s="31" t="s">
        <v>144</v>
      </c>
      <c r="AQ173" s="31"/>
      <c r="AR173" s="31"/>
      <c r="AS173" s="31"/>
      <c r="AT173" s="31"/>
      <c r="AU173" s="31"/>
    </row>
    <row r="174" spans="5:47" ht="15" customHeight="1" x14ac:dyDescent="0.25">
      <c r="E174" s="31" t="s">
        <v>133</v>
      </c>
      <c r="F174" s="31" t="s">
        <v>140</v>
      </c>
      <c r="G174" s="31" t="s">
        <v>323</v>
      </c>
      <c r="H174" s="31" t="s">
        <v>324</v>
      </c>
      <c r="I174" s="31" t="s">
        <v>481</v>
      </c>
      <c r="J174" s="31" t="s">
        <v>647</v>
      </c>
      <c r="K174" s="31" t="s">
        <v>686</v>
      </c>
      <c r="L174" s="31" t="s">
        <v>162</v>
      </c>
      <c r="M174" s="31" t="s">
        <v>144</v>
      </c>
      <c r="N174" s="31" t="s">
        <v>144</v>
      </c>
      <c r="O174" s="31">
        <v>16</v>
      </c>
      <c r="P174" s="31" t="s">
        <v>144</v>
      </c>
      <c r="Q174" s="31" t="s">
        <v>649</v>
      </c>
      <c r="R174" s="31" t="s">
        <v>320</v>
      </c>
      <c r="S174" s="31" t="s">
        <v>259</v>
      </c>
      <c r="T174" s="31" t="s">
        <v>479</v>
      </c>
      <c r="U174" s="31" t="s">
        <v>144</v>
      </c>
      <c r="V174" s="31" t="s">
        <v>144</v>
      </c>
      <c r="W174" s="31" t="s">
        <v>144</v>
      </c>
      <c r="X174" s="31" t="s">
        <v>144</v>
      </c>
      <c r="Y174" s="31" t="s">
        <v>144</v>
      </c>
      <c r="Z174" s="31" t="s">
        <v>144</v>
      </c>
      <c r="AA174" s="378">
        <v>16</v>
      </c>
      <c r="AB174" s="378">
        <v>15.5</v>
      </c>
      <c r="AC174" s="378">
        <v>0.3</v>
      </c>
      <c r="AD174" s="378">
        <v>0.2</v>
      </c>
      <c r="AE174" s="31">
        <v>1.3</v>
      </c>
      <c r="AF174" s="31">
        <v>28</v>
      </c>
      <c r="AG174" s="31" t="s">
        <v>144</v>
      </c>
      <c r="AH174" s="31" t="s">
        <v>144</v>
      </c>
      <c r="AI174" s="31" t="s">
        <v>144</v>
      </c>
      <c r="AJ174" s="31" t="s">
        <v>144</v>
      </c>
      <c r="AK174" s="31" t="s">
        <v>144</v>
      </c>
      <c r="AL174" s="31" t="s">
        <v>325</v>
      </c>
      <c r="AM174" s="31" t="s">
        <v>144</v>
      </c>
      <c r="AN174" s="31" t="s">
        <v>163</v>
      </c>
      <c r="AO174" s="31" t="s">
        <v>144</v>
      </c>
      <c r="AP174" s="31" t="s">
        <v>144</v>
      </c>
      <c r="AQ174" s="31"/>
      <c r="AR174" s="31"/>
      <c r="AS174" s="31"/>
      <c r="AT174" s="31"/>
      <c r="AU174" s="31"/>
    </row>
    <row r="175" spans="5:47" ht="15" customHeight="1" x14ac:dyDescent="0.25">
      <c r="E175" s="31" t="s">
        <v>133</v>
      </c>
      <c r="F175" s="31" t="s">
        <v>140</v>
      </c>
      <c r="G175" s="31" t="s">
        <v>323</v>
      </c>
      <c r="H175" s="31" t="s">
        <v>324</v>
      </c>
      <c r="I175" s="31" t="s">
        <v>481</v>
      </c>
      <c r="J175" s="31" t="s">
        <v>647</v>
      </c>
      <c r="K175" s="31" t="s">
        <v>687</v>
      </c>
      <c r="L175" s="31" t="s">
        <v>162</v>
      </c>
      <c r="M175" s="31" t="s">
        <v>144</v>
      </c>
      <c r="N175" s="31" t="s">
        <v>144</v>
      </c>
      <c r="O175" s="31">
        <v>16</v>
      </c>
      <c r="P175" s="31" t="s">
        <v>144</v>
      </c>
      <c r="Q175" s="31" t="s">
        <v>649</v>
      </c>
      <c r="R175" s="31" t="s">
        <v>320</v>
      </c>
      <c r="S175" s="31" t="s">
        <v>259</v>
      </c>
      <c r="T175" s="31" t="s">
        <v>479</v>
      </c>
      <c r="U175" s="31" t="s">
        <v>144</v>
      </c>
      <c r="V175" s="31" t="s">
        <v>144</v>
      </c>
      <c r="W175" s="31" t="s">
        <v>144</v>
      </c>
      <c r="X175" s="31" t="s">
        <v>144</v>
      </c>
      <c r="Y175" s="31" t="s">
        <v>144</v>
      </c>
      <c r="Z175" s="31" t="s">
        <v>144</v>
      </c>
      <c r="AA175" s="378">
        <v>16</v>
      </c>
      <c r="AB175" s="378">
        <v>15.5</v>
      </c>
      <c r="AC175" s="378">
        <v>0.3</v>
      </c>
      <c r="AD175" s="378">
        <v>0.2</v>
      </c>
      <c r="AE175" s="31">
        <v>1.3</v>
      </c>
      <c r="AF175" s="31">
        <v>28</v>
      </c>
      <c r="AG175" s="31" t="s">
        <v>144</v>
      </c>
      <c r="AH175" s="31" t="s">
        <v>144</v>
      </c>
      <c r="AI175" s="31" t="s">
        <v>144</v>
      </c>
      <c r="AJ175" s="31" t="s">
        <v>144</v>
      </c>
      <c r="AK175" s="31" t="s">
        <v>144</v>
      </c>
      <c r="AL175" s="31" t="s">
        <v>325</v>
      </c>
      <c r="AM175" s="31" t="s">
        <v>144</v>
      </c>
      <c r="AN175" s="31" t="s">
        <v>163</v>
      </c>
      <c r="AO175" s="31" t="s">
        <v>144</v>
      </c>
      <c r="AP175" s="31" t="s">
        <v>144</v>
      </c>
      <c r="AQ175" s="31"/>
      <c r="AR175" s="31"/>
      <c r="AS175" s="31"/>
      <c r="AT175" s="31"/>
      <c r="AU175" s="31"/>
    </row>
    <row r="176" spans="5:47" ht="15" customHeight="1" x14ac:dyDescent="0.25">
      <c r="E176" s="31" t="s">
        <v>133</v>
      </c>
      <c r="F176" s="31" t="s">
        <v>140</v>
      </c>
      <c r="G176" s="31" t="s">
        <v>323</v>
      </c>
      <c r="H176" s="31" t="s">
        <v>324</v>
      </c>
      <c r="I176" s="31" t="s">
        <v>481</v>
      </c>
      <c r="J176" s="31" t="s">
        <v>647</v>
      </c>
      <c r="K176" s="31" t="s">
        <v>688</v>
      </c>
      <c r="L176" s="31" t="s">
        <v>162</v>
      </c>
      <c r="M176" s="31" t="s">
        <v>144</v>
      </c>
      <c r="N176" s="31" t="s">
        <v>144</v>
      </c>
      <c r="O176" s="31">
        <v>16</v>
      </c>
      <c r="P176" s="31" t="s">
        <v>144</v>
      </c>
      <c r="Q176" s="31" t="s">
        <v>649</v>
      </c>
      <c r="R176" s="31" t="s">
        <v>320</v>
      </c>
      <c r="S176" s="31" t="s">
        <v>259</v>
      </c>
      <c r="T176" s="31" t="s">
        <v>479</v>
      </c>
      <c r="U176" s="31" t="s">
        <v>144</v>
      </c>
      <c r="V176" s="31" t="s">
        <v>144</v>
      </c>
      <c r="W176" s="31" t="s">
        <v>144</v>
      </c>
      <c r="X176" s="31" t="s">
        <v>144</v>
      </c>
      <c r="Y176" s="31" t="s">
        <v>144</v>
      </c>
      <c r="Z176" s="31" t="s">
        <v>144</v>
      </c>
      <c r="AA176" s="378">
        <v>16</v>
      </c>
      <c r="AB176" s="378">
        <v>15.5</v>
      </c>
      <c r="AC176" s="378">
        <v>0.3</v>
      </c>
      <c r="AD176" s="378">
        <v>0.2</v>
      </c>
      <c r="AE176" s="31">
        <v>1.3</v>
      </c>
      <c r="AF176" s="31">
        <v>28</v>
      </c>
      <c r="AG176" s="31" t="s">
        <v>144</v>
      </c>
      <c r="AH176" s="31" t="s">
        <v>144</v>
      </c>
      <c r="AI176" s="31" t="s">
        <v>144</v>
      </c>
      <c r="AJ176" s="31" t="s">
        <v>144</v>
      </c>
      <c r="AK176" s="31" t="s">
        <v>144</v>
      </c>
      <c r="AL176" s="31" t="s">
        <v>325</v>
      </c>
      <c r="AM176" s="31" t="s">
        <v>144</v>
      </c>
      <c r="AN176" s="31" t="s">
        <v>163</v>
      </c>
      <c r="AO176" s="31" t="s">
        <v>144</v>
      </c>
      <c r="AP176" s="31" t="s">
        <v>144</v>
      </c>
      <c r="AQ176" s="31"/>
      <c r="AR176" s="31"/>
      <c r="AS176" s="31"/>
      <c r="AT176" s="31"/>
      <c r="AU176" s="31"/>
    </row>
    <row r="177" spans="5:47" ht="15" customHeight="1" x14ac:dyDescent="0.25">
      <c r="E177" s="31" t="s">
        <v>133</v>
      </c>
      <c r="F177" s="31" t="s">
        <v>140</v>
      </c>
      <c r="G177" s="31" t="s">
        <v>323</v>
      </c>
      <c r="H177" s="31" t="s">
        <v>324</v>
      </c>
      <c r="I177" s="31" t="s">
        <v>481</v>
      </c>
      <c r="J177" s="31" t="s">
        <v>647</v>
      </c>
      <c r="K177" s="31" t="s">
        <v>689</v>
      </c>
      <c r="L177" s="31" t="s">
        <v>162</v>
      </c>
      <c r="M177" s="31" t="s">
        <v>144</v>
      </c>
      <c r="N177" s="31" t="s">
        <v>144</v>
      </c>
      <c r="O177" s="31">
        <v>16</v>
      </c>
      <c r="P177" s="31" t="s">
        <v>144</v>
      </c>
      <c r="Q177" s="31" t="s">
        <v>649</v>
      </c>
      <c r="R177" s="31" t="s">
        <v>320</v>
      </c>
      <c r="S177" s="31" t="s">
        <v>259</v>
      </c>
      <c r="T177" s="31" t="s">
        <v>479</v>
      </c>
      <c r="U177" s="31" t="s">
        <v>144</v>
      </c>
      <c r="V177" s="31" t="s">
        <v>144</v>
      </c>
      <c r="W177" s="31" t="s">
        <v>144</v>
      </c>
      <c r="X177" s="31" t="s">
        <v>144</v>
      </c>
      <c r="Y177" s="31" t="s">
        <v>144</v>
      </c>
      <c r="Z177" s="31" t="s">
        <v>144</v>
      </c>
      <c r="AA177" s="378">
        <v>16</v>
      </c>
      <c r="AB177" s="378">
        <v>15.5</v>
      </c>
      <c r="AC177" s="378">
        <v>0.3</v>
      </c>
      <c r="AD177" s="378">
        <v>0.2</v>
      </c>
      <c r="AE177" s="31">
        <v>1.3</v>
      </c>
      <c r="AF177" s="31">
        <v>28</v>
      </c>
      <c r="AG177" s="31" t="s">
        <v>144</v>
      </c>
      <c r="AH177" s="31" t="s">
        <v>144</v>
      </c>
      <c r="AI177" s="31" t="s">
        <v>144</v>
      </c>
      <c r="AJ177" s="31" t="s">
        <v>144</v>
      </c>
      <c r="AK177" s="31" t="s">
        <v>144</v>
      </c>
      <c r="AL177" s="31" t="s">
        <v>325</v>
      </c>
      <c r="AM177" s="31" t="s">
        <v>144</v>
      </c>
      <c r="AN177" s="31" t="s">
        <v>163</v>
      </c>
      <c r="AO177" s="31" t="s">
        <v>144</v>
      </c>
      <c r="AP177" s="31" t="s">
        <v>144</v>
      </c>
      <c r="AQ177" s="31"/>
      <c r="AR177" s="31"/>
      <c r="AS177" s="31"/>
      <c r="AT177" s="31"/>
      <c r="AU177" s="31"/>
    </row>
    <row r="178" spans="5:47" ht="15" customHeight="1" x14ac:dyDescent="0.25">
      <c r="E178" s="31" t="s">
        <v>133</v>
      </c>
      <c r="F178" s="31" t="s">
        <v>140</v>
      </c>
      <c r="G178" s="31" t="s">
        <v>323</v>
      </c>
      <c r="H178" s="31" t="s">
        <v>324</v>
      </c>
      <c r="I178" s="31" t="s">
        <v>481</v>
      </c>
      <c r="J178" s="31" t="s">
        <v>647</v>
      </c>
      <c r="K178" s="31" t="s">
        <v>690</v>
      </c>
      <c r="L178" s="31" t="s">
        <v>162</v>
      </c>
      <c r="M178" s="31" t="s">
        <v>144</v>
      </c>
      <c r="N178" s="31" t="s">
        <v>144</v>
      </c>
      <c r="O178" s="31">
        <v>16</v>
      </c>
      <c r="P178" s="31" t="s">
        <v>144</v>
      </c>
      <c r="Q178" s="31" t="s">
        <v>649</v>
      </c>
      <c r="R178" s="31" t="s">
        <v>320</v>
      </c>
      <c r="S178" s="31" t="s">
        <v>259</v>
      </c>
      <c r="T178" s="31" t="s">
        <v>479</v>
      </c>
      <c r="U178" s="31" t="s">
        <v>144</v>
      </c>
      <c r="V178" s="31" t="s">
        <v>144</v>
      </c>
      <c r="W178" s="31" t="s">
        <v>144</v>
      </c>
      <c r="X178" s="31" t="s">
        <v>144</v>
      </c>
      <c r="Y178" s="31" t="s">
        <v>144</v>
      </c>
      <c r="Z178" s="31" t="s">
        <v>144</v>
      </c>
      <c r="AA178" s="378">
        <v>16</v>
      </c>
      <c r="AB178" s="378">
        <v>15.5</v>
      </c>
      <c r="AC178" s="378">
        <v>0.3</v>
      </c>
      <c r="AD178" s="378">
        <v>0.2</v>
      </c>
      <c r="AE178" s="31">
        <v>1.3</v>
      </c>
      <c r="AF178" s="31">
        <v>28</v>
      </c>
      <c r="AG178" s="31" t="s">
        <v>144</v>
      </c>
      <c r="AH178" s="31" t="s">
        <v>144</v>
      </c>
      <c r="AI178" s="31" t="s">
        <v>144</v>
      </c>
      <c r="AJ178" s="31" t="s">
        <v>144</v>
      </c>
      <c r="AK178" s="31" t="s">
        <v>144</v>
      </c>
      <c r="AL178" s="31" t="s">
        <v>325</v>
      </c>
      <c r="AM178" s="31" t="s">
        <v>144</v>
      </c>
      <c r="AN178" s="31" t="s">
        <v>163</v>
      </c>
      <c r="AO178" s="31" t="s">
        <v>144</v>
      </c>
      <c r="AP178" s="31" t="s">
        <v>144</v>
      </c>
      <c r="AQ178" s="31"/>
      <c r="AR178" s="31"/>
      <c r="AS178" s="31"/>
      <c r="AT178" s="31"/>
      <c r="AU178" s="31"/>
    </row>
    <row r="179" spans="5:47" ht="15" customHeight="1" x14ac:dyDescent="0.25">
      <c r="E179" s="31" t="s">
        <v>133</v>
      </c>
      <c r="F179" s="31" t="s">
        <v>140</v>
      </c>
      <c r="G179" s="31" t="s">
        <v>323</v>
      </c>
      <c r="H179" s="31" t="s">
        <v>324</v>
      </c>
      <c r="I179" s="31" t="s">
        <v>481</v>
      </c>
      <c r="J179" s="31" t="s">
        <v>647</v>
      </c>
      <c r="K179" s="31" t="s">
        <v>691</v>
      </c>
      <c r="L179" s="31" t="s">
        <v>162</v>
      </c>
      <c r="M179" s="31" t="s">
        <v>144</v>
      </c>
      <c r="N179" s="31" t="s">
        <v>144</v>
      </c>
      <c r="O179" s="31">
        <v>16</v>
      </c>
      <c r="P179" s="31" t="s">
        <v>144</v>
      </c>
      <c r="Q179" s="31" t="s">
        <v>649</v>
      </c>
      <c r="R179" s="31" t="s">
        <v>320</v>
      </c>
      <c r="S179" s="31" t="s">
        <v>259</v>
      </c>
      <c r="T179" s="31" t="s">
        <v>479</v>
      </c>
      <c r="U179" s="31" t="s">
        <v>144</v>
      </c>
      <c r="V179" s="31" t="s">
        <v>144</v>
      </c>
      <c r="W179" s="31" t="s">
        <v>144</v>
      </c>
      <c r="X179" s="31" t="s">
        <v>144</v>
      </c>
      <c r="Y179" s="31" t="s">
        <v>144</v>
      </c>
      <c r="Z179" s="31" t="s">
        <v>144</v>
      </c>
      <c r="AA179" s="378">
        <v>16</v>
      </c>
      <c r="AB179" s="378">
        <v>15.5</v>
      </c>
      <c r="AC179" s="378">
        <v>0.3</v>
      </c>
      <c r="AD179" s="378">
        <v>0.2</v>
      </c>
      <c r="AE179" s="31">
        <v>1.3</v>
      </c>
      <c r="AF179" s="31">
        <v>28</v>
      </c>
      <c r="AG179" s="31" t="s">
        <v>144</v>
      </c>
      <c r="AH179" s="31" t="s">
        <v>144</v>
      </c>
      <c r="AI179" s="31" t="s">
        <v>144</v>
      </c>
      <c r="AJ179" s="31" t="s">
        <v>144</v>
      </c>
      <c r="AK179" s="31" t="s">
        <v>144</v>
      </c>
      <c r="AL179" s="31" t="s">
        <v>325</v>
      </c>
      <c r="AM179" s="31" t="s">
        <v>144</v>
      </c>
      <c r="AN179" s="31" t="s">
        <v>163</v>
      </c>
      <c r="AO179" s="31" t="s">
        <v>144</v>
      </c>
      <c r="AP179" s="31" t="s">
        <v>144</v>
      </c>
      <c r="AQ179" s="31"/>
      <c r="AR179" s="31"/>
      <c r="AS179" s="31"/>
      <c r="AT179" s="31"/>
      <c r="AU179" s="31"/>
    </row>
    <row r="180" spans="5:47" ht="15" customHeight="1" x14ac:dyDescent="0.25">
      <c r="E180" s="31" t="s">
        <v>133</v>
      </c>
      <c r="F180" s="31" t="s">
        <v>140</v>
      </c>
      <c r="G180" s="31" t="s">
        <v>323</v>
      </c>
      <c r="H180" s="31" t="s">
        <v>324</v>
      </c>
      <c r="I180" s="31" t="s">
        <v>481</v>
      </c>
      <c r="J180" s="31" t="s">
        <v>647</v>
      </c>
      <c r="K180" s="31" t="s">
        <v>692</v>
      </c>
      <c r="L180" s="31" t="s">
        <v>162</v>
      </c>
      <c r="M180" s="31" t="s">
        <v>144</v>
      </c>
      <c r="N180" s="31" t="s">
        <v>144</v>
      </c>
      <c r="O180" s="31">
        <v>16</v>
      </c>
      <c r="P180" s="31" t="s">
        <v>144</v>
      </c>
      <c r="Q180" s="31" t="s">
        <v>649</v>
      </c>
      <c r="R180" s="31" t="s">
        <v>320</v>
      </c>
      <c r="S180" s="31" t="s">
        <v>259</v>
      </c>
      <c r="T180" s="31" t="s">
        <v>479</v>
      </c>
      <c r="U180" s="31" t="s">
        <v>144</v>
      </c>
      <c r="V180" s="31" t="s">
        <v>144</v>
      </c>
      <c r="W180" s="31" t="s">
        <v>144</v>
      </c>
      <c r="X180" s="31" t="s">
        <v>144</v>
      </c>
      <c r="Y180" s="31" t="s">
        <v>144</v>
      </c>
      <c r="Z180" s="31" t="s">
        <v>144</v>
      </c>
      <c r="AA180" s="378">
        <v>16</v>
      </c>
      <c r="AB180" s="378">
        <v>15.5</v>
      </c>
      <c r="AC180" s="378">
        <v>0.3</v>
      </c>
      <c r="AD180" s="378">
        <v>0.2</v>
      </c>
      <c r="AE180" s="31">
        <v>1.3</v>
      </c>
      <c r="AF180" s="31">
        <v>28</v>
      </c>
      <c r="AG180" s="31" t="s">
        <v>144</v>
      </c>
      <c r="AH180" s="31" t="s">
        <v>144</v>
      </c>
      <c r="AI180" s="31" t="s">
        <v>144</v>
      </c>
      <c r="AJ180" s="31" t="s">
        <v>144</v>
      </c>
      <c r="AK180" s="31" t="s">
        <v>144</v>
      </c>
      <c r="AL180" s="31" t="s">
        <v>325</v>
      </c>
      <c r="AM180" s="31" t="s">
        <v>144</v>
      </c>
      <c r="AN180" s="31" t="s">
        <v>163</v>
      </c>
      <c r="AO180" s="31" t="s">
        <v>144</v>
      </c>
      <c r="AP180" s="31" t="s">
        <v>144</v>
      </c>
      <c r="AQ180" s="31"/>
      <c r="AR180" s="31"/>
      <c r="AS180" s="31"/>
      <c r="AT180" s="31"/>
      <c r="AU180" s="31"/>
    </row>
    <row r="181" spans="5:47" ht="15" customHeight="1" x14ac:dyDescent="0.25">
      <c r="E181" s="31" t="s">
        <v>133</v>
      </c>
      <c r="F181" s="31" t="s">
        <v>140</v>
      </c>
      <c r="G181" s="31" t="s">
        <v>323</v>
      </c>
      <c r="H181" s="31" t="s">
        <v>324</v>
      </c>
      <c r="I181" s="31" t="s">
        <v>481</v>
      </c>
      <c r="J181" s="31" t="s">
        <v>647</v>
      </c>
      <c r="K181" s="31" t="s">
        <v>693</v>
      </c>
      <c r="L181" s="31" t="s">
        <v>162</v>
      </c>
      <c r="M181" s="31" t="s">
        <v>144</v>
      </c>
      <c r="N181" s="31" t="s">
        <v>144</v>
      </c>
      <c r="O181" s="31">
        <v>16</v>
      </c>
      <c r="P181" s="31" t="s">
        <v>144</v>
      </c>
      <c r="Q181" s="31" t="s">
        <v>649</v>
      </c>
      <c r="R181" s="31" t="s">
        <v>320</v>
      </c>
      <c r="S181" s="31" t="s">
        <v>259</v>
      </c>
      <c r="T181" s="31" t="s">
        <v>479</v>
      </c>
      <c r="U181" s="31" t="s">
        <v>144</v>
      </c>
      <c r="V181" s="31" t="s">
        <v>144</v>
      </c>
      <c r="W181" s="31" t="s">
        <v>144</v>
      </c>
      <c r="X181" s="31" t="s">
        <v>144</v>
      </c>
      <c r="Y181" s="31" t="s">
        <v>144</v>
      </c>
      <c r="Z181" s="31" t="s">
        <v>144</v>
      </c>
      <c r="AA181" s="378">
        <v>16</v>
      </c>
      <c r="AB181" s="378">
        <v>15.5</v>
      </c>
      <c r="AC181" s="378">
        <v>0.3</v>
      </c>
      <c r="AD181" s="378">
        <v>0.2</v>
      </c>
      <c r="AE181" s="31">
        <v>1.3</v>
      </c>
      <c r="AF181" s="31">
        <v>28</v>
      </c>
      <c r="AG181" s="31" t="s">
        <v>144</v>
      </c>
      <c r="AH181" s="31" t="s">
        <v>144</v>
      </c>
      <c r="AI181" s="31" t="s">
        <v>144</v>
      </c>
      <c r="AJ181" s="31" t="s">
        <v>144</v>
      </c>
      <c r="AK181" s="31" t="s">
        <v>144</v>
      </c>
      <c r="AL181" s="31" t="s">
        <v>325</v>
      </c>
      <c r="AM181" s="31" t="s">
        <v>144</v>
      </c>
      <c r="AN181" s="31" t="s">
        <v>163</v>
      </c>
      <c r="AO181" s="31" t="s">
        <v>144</v>
      </c>
      <c r="AP181" s="31" t="s">
        <v>144</v>
      </c>
      <c r="AQ181" s="31"/>
      <c r="AR181" s="31"/>
      <c r="AS181" s="31"/>
      <c r="AT181" s="31"/>
      <c r="AU181" s="31"/>
    </row>
    <row r="182" spans="5:47" ht="15" customHeight="1" x14ac:dyDescent="0.25">
      <c r="E182" s="31" t="s">
        <v>133</v>
      </c>
      <c r="F182" s="31" t="s">
        <v>140</v>
      </c>
      <c r="G182" s="31" t="s">
        <v>323</v>
      </c>
      <c r="H182" s="31" t="s">
        <v>324</v>
      </c>
      <c r="I182" s="31" t="s">
        <v>481</v>
      </c>
      <c r="J182" s="31" t="s">
        <v>647</v>
      </c>
      <c r="K182" s="31" t="s">
        <v>694</v>
      </c>
      <c r="L182" s="31" t="s">
        <v>162</v>
      </c>
      <c r="M182" s="31" t="s">
        <v>144</v>
      </c>
      <c r="N182" s="31" t="s">
        <v>144</v>
      </c>
      <c r="O182" s="31">
        <v>16</v>
      </c>
      <c r="P182" s="31" t="s">
        <v>144</v>
      </c>
      <c r="Q182" s="31" t="s">
        <v>649</v>
      </c>
      <c r="R182" s="31" t="s">
        <v>320</v>
      </c>
      <c r="S182" s="31" t="s">
        <v>259</v>
      </c>
      <c r="T182" s="31" t="s">
        <v>479</v>
      </c>
      <c r="U182" s="31" t="s">
        <v>144</v>
      </c>
      <c r="V182" s="31" t="s">
        <v>144</v>
      </c>
      <c r="W182" s="31" t="s">
        <v>144</v>
      </c>
      <c r="X182" s="31" t="s">
        <v>144</v>
      </c>
      <c r="Y182" s="31" t="s">
        <v>144</v>
      </c>
      <c r="Z182" s="31" t="s">
        <v>144</v>
      </c>
      <c r="AA182" s="378">
        <v>16</v>
      </c>
      <c r="AB182" s="378">
        <v>15.5</v>
      </c>
      <c r="AC182" s="378">
        <v>0.3</v>
      </c>
      <c r="AD182" s="378">
        <v>0.2</v>
      </c>
      <c r="AE182" s="31">
        <v>1.3</v>
      </c>
      <c r="AF182" s="31">
        <v>28</v>
      </c>
      <c r="AG182" s="31" t="s">
        <v>144</v>
      </c>
      <c r="AH182" s="31" t="s">
        <v>144</v>
      </c>
      <c r="AI182" s="31" t="s">
        <v>144</v>
      </c>
      <c r="AJ182" s="31" t="s">
        <v>144</v>
      </c>
      <c r="AK182" s="31" t="s">
        <v>144</v>
      </c>
      <c r="AL182" s="31" t="s">
        <v>325</v>
      </c>
      <c r="AM182" s="31" t="s">
        <v>144</v>
      </c>
      <c r="AN182" s="31" t="s">
        <v>163</v>
      </c>
      <c r="AO182" s="31" t="s">
        <v>144</v>
      </c>
      <c r="AP182" s="31" t="s">
        <v>144</v>
      </c>
      <c r="AQ182" s="31"/>
      <c r="AR182" s="31"/>
      <c r="AS182" s="31"/>
      <c r="AT182" s="31"/>
      <c r="AU182" s="31"/>
    </row>
    <row r="183" spans="5:47" ht="15" customHeight="1" x14ac:dyDescent="0.25">
      <c r="E183" s="31" t="s">
        <v>133</v>
      </c>
      <c r="F183" s="31" t="s">
        <v>140</v>
      </c>
      <c r="G183" s="31" t="s">
        <v>323</v>
      </c>
      <c r="H183" s="31" t="s">
        <v>324</v>
      </c>
      <c r="I183" s="31" t="s">
        <v>481</v>
      </c>
      <c r="J183" s="31" t="s">
        <v>647</v>
      </c>
      <c r="K183" s="31" t="s">
        <v>695</v>
      </c>
      <c r="L183" s="31" t="s">
        <v>162</v>
      </c>
      <c r="M183" s="31" t="s">
        <v>144</v>
      </c>
      <c r="N183" s="31" t="s">
        <v>144</v>
      </c>
      <c r="O183" s="31">
        <v>16</v>
      </c>
      <c r="P183" s="31" t="s">
        <v>144</v>
      </c>
      <c r="Q183" s="31" t="s">
        <v>649</v>
      </c>
      <c r="R183" s="31" t="s">
        <v>320</v>
      </c>
      <c r="S183" s="31" t="s">
        <v>259</v>
      </c>
      <c r="T183" s="31" t="s">
        <v>479</v>
      </c>
      <c r="U183" s="31" t="s">
        <v>144</v>
      </c>
      <c r="V183" s="31" t="s">
        <v>144</v>
      </c>
      <c r="W183" s="31" t="s">
        <v>144</v>
      </c>
      <c r="X183" s="31" t="s">
        <v>144</v>
      </c>
      <c r="Y183" s="31" t="s">
        <v>144</v>
      </c>
      <c r="Z183" s="31" t="s">
        <v>144</v>
      </c>
      <c r="AA183" s="378">
        <v>16</v>
      </c>
      <c r="AB183" s="378">
        <v>15.5</v>
      </c>
      <c r="AC183" s="378">
        <v>0.3</v>
      </c>
      <c r="AD183" s="378">
        <v>0.2</v>
      </c>
      <c r="AE183" s="31">
        <v>1.3</v>
      </c>
      <c r="AF183" s="31">
        <v>28</v>
      </c>
      <c r="AG183" s="31" t="s">
        <v>144</v>
      </c>
      <c r="AH183" s="31" t="s">
        <v>144</v>
      </c>
      <c r="AI183" s="31" t="s">
        <v>144</v>
      </c>
      <c r="AJ183" s="31" t="s">
        <v>144</v>
      </c>
      <c r="AK183" s="31" t="s">
        <v>144</v>
      </c>
      <c r="AL183" s="31" t="s">
        <v>325</v>
      </c>
      <c r="AM183" s="31" t="s">
        <v>144</v>
      </c>
      <c r="AN183" s="31" t="s">
        <v>163</v>
      </c>
      <c r="AO183" s="31" t="s">
        <v>144</v>
      </c>
      <c r="AP183" s="31" t="s">
        <v>144</v>
      </c>
      <c r="AQ183" s="31"/>
      <c r="AR183" s="31"/>
      <c r="AS183" s="31"/>
      <c r="AT183" s="31"/>
      <c r="AU183" s="31"/>
    </row>
    <row r="184" spans="5:47" ht="15" customHeight="1" x14ac:dyDescent="0.25">
      <c r="E184" s="31" t="s">
        <v>133</v>
      </c>
      <c r="F184" s="31" t="s">
        <v>140</v>
      </c>
      <c r="G184" s="31" t="s">
        <v>323</v>
      </c>
      <c r="H184" s="31" t="s">
        <v>324</v>
      </c>
      <c r="I184" s="31" t="s">
        <v>481</v>
      </c>
      <c r="J184" s="31" t="s">
        <v>647</v>
      </c>
      <c r="K184" s="31" t="s">
        <v>696</v>
      </c>
      <c r="L184" s="31" t="s">
        <v>162</v>
      </c>
      <c r="M184" s="31" t="s">
        <v>144</v>
      </c>
      <c r="N184" s="31" t="s">
        <v>144</v>
      </c>
      <c r="O184" s="31">
        <v>16</v>
      </c>
      <c r="P184" s="31" t="s">
        <v>144</v>
      </c>
      <c r="Q184" s="31" t="s">
        <v>649</v>
      </c>
      <c r="R184" s="31" t="s">
        <v>320</v>
      </c>
      <c r="S184" s="31" t="s">
        <v>259</v>
      </c>
      <c r="T184" s="31" t="s">
        <v>479</v>
      </c>
      <c r="U184" s="31" t="s">
        <v>144</v>
      </c>
      <c r="V184" s="31" t="s">
        <v>144</v>
      </c>
      <c r="W184" s="31" t="s">
        <v>144</v>
      </c>
      <c r="X184" s="31" t="s">
        <v>144</v>
      </c>
      <c r="Y184" s="31" t="s">
        <v>144</v>
      </c>
      <c r="Z184" s="31" t="s">
        <v>144</v>
      </c>
      <c r="AA184" s="378">
        <v>16</v>
      </c>
      <c r="AB184" s="378">
        <v>15.5</v>
      </c>
      <c r="AC184" s="378">
        <v>0.3</v>
      </c>
      <c r="AD184" s="378">
        <v>0.2</v>
      </c>
      <c r="AE184" s="31">
        <v>1.3</v>
      </c>
      <c r="AF184" s="31">
        <v>28</v>
      </c>
      <c r="AG184" s="31" t="s">
        <v>144</v>
      </c>
      <c r="AH184" s="31" t="s">
        <v>144</v>
      </c>
      <c r="AI184" s="31" t="s">
        <v>144</v>
      </c>
      <c r="AJ184" s="31" t="s">
        <v>144</v>
      </c>
      <c r="AK184" s="31" t="s">
        <v>144</v>
      </c>
      <c r="AL184" s="31" t="s">
        <v>325</v>
      </c>
      <c r="AM184" s="31" t="s">
        <v>144</v>
      </c>
      <c r="AN184" s="31" t="s">
        <v>163</v>
      </c>
      <c r="AO184" s="31" t="s">
        <v>144</v>
      </c>
      <c r="AP184" s="31" t="s">
        <v>144</v>
      </c>
      <c r="AQ184" s="31"/>
      <c r="AR184" s="31"/>
      <c r="AS184" s="31"/>
      <c r="AT184" s="31"/>
      <c r="AU184" s="31"/>
    </row>
    <row r="185" spans="5:47" ht="15" customHeight="1" x14ac:dyDescent="0.25">
      <c r="E185" s="31" t="s">
        <v>133</v>
      </c>
      <c r="F185" s="31" t="s">
        <v>140</v>
      </c>
      <c r="G185" s="31" t="s">
        <v>323</v>
      </c>
      <c r="H185" s="31" t="s">
        <v>324</v>
      </c>
      <c r="I185" s="31" t="s">
        <v>481</v>
      </c>
      <c r="J185" s="31" t="s">
        <v>647</v>
      </c>
      <c r="K185" s="31" t="s">
        <v>697</v>
      </c>
      <c r="L185" s="31" t="s">
        <v>162</v>
      </c>
      <c r="M185" s="31" t="s">
        <v>144</v>
      </c>
      <c r="N185" s="31" t="s">
        <v>144</v>
      </c>
      <c r="O185" s="31">
        <v>16</v>
      </c>
      <c r="P185" s="31" t="s">
        <v>144</v>
      </c>
      <c r="Q185" s="31" t="s">
        <v>649</v>
      </c>
      <c r="R185" s="31" t="s">
        <v>320</v>
      </c>
      <c r="S185" s="31" t="s">
        <v>259</v>
      </c>
      <c r="T185" s="31" t="s">
        <v>479</v>
      </c>
      <c r="U185" s="31" t="s">
        <v>144</v>
      </c>
      <c r="V185" s="31" t="s">
        <v>144</v>
      </c>
      <c r="W185" s="31" t="s">
        <v>144</v>
      </c>
      <c r="X185" s="31" t="s">
        <v>144</v>
      </c>
      <c r="Y185" s="31" t="s">
        <v>144</v>
      </c>
      <c r="Z185" s="31" t="s">
        <v>144</v>
      </c>
      <c r="AA185" s="378">
        <v>16</v>
      </c>
      <c r="AB185" s="378">
        <v>15.5</v>
      </c>
      <c r="AC185" s="378">
        <v>0.3</v>
      </c>
      <c r="AD185" s="378">
        <v>0.2</v>
      </c>
      <c r="AE185" s="31">
        <v>1.3</v>
      </c>
      <c r="AF185" s="31">
        <v>28</v>
      </c>
      <c r="AG185" s="31" t="s">
        <v>144</v>
      </c>
      <c r="AH185" s="31" t="s">
        <v>144</v>
      </c>
      <c r="AI185" s="31" t="s">
        <v>144</v>
      </c>
      <c r="AJ185" s="31" t="s">
        <v>144</v>
      </c>
      <c r="AK185" s="31" t="s">
        <v>144</v>
      </c>
      <c r="AL185" s="31" t="s">
        <v>325</v>
      </c>
      <c r="AM185" s="31" t="s">
        <v>144</v>
      </c>
      <c r="AN185" s="31" t="s">
        <v>163</v>
      </c>
      <c r="AO185" s="31" t="s">
        <v>144</v>
      </c>
      <c r="AP185" s="31" t="s">
        <v>144</v>
      </c>
      <c r="AQ185" s="31"/>
      <c r="AR185" s="31"/>
      <c r="AS185" s="31"/>
      <c r="AT185" s="31"/>
      <c r="AU185" s="31"/>
    </row>
    <row r="186" spans="5:47" ht="15" customHeight="1" x14ac:dyDescent="0.25">
      <c r="E186" s="31" t="s">
        <v>133</v>
      </c>
      <c r="F186" s="31" t="s">
        <v>140</v>
      </c>
      <c r="G186" s="31" t="s">
        <v>323</v>
      </c>
      <c r="H186" s="31" t="s">
        <v>324</v>
      </c>
      <c r="I186" s="31" t="s">
        <v>481</v>
      </c>
      <c r="J186" s="31" t="s">
        <v>647</v>
      </c>
      <c r="K186" s="31" t="s">
        <v>698</v>
      </c>
      <c r="L186" s="31" t="s">
        <v>162</v>
      </c>
      <c r="M186" s="31" t="s">
        <v>144</v>
      </c>
      <c r="N186" s="31" t="s">
        <v>144</v>
      </c>
      <c r="O186" s="31">
        <v>16</v>
      </c>
      <c r="P186" s="31" t="s">
        <v>144</v>
      </c>
      <c r="Q186" s="31" t="s">
        <v>649</v>
      </c>
      <c r="R186" s="31" t="s">
        <v>320</v>
      </c>
      <c r="S186" s="31" t="s">
        <v>259</v>
      </c>
      <c r="T186" s="31" t="s">
        <v>479</v>
      </c>
      <c r="U186" s="31" t="s">
        <v>144</v>
      </c>
      <c r="V186" s="31" t="s">
        <v>144</v>
      </c>
      <c r="W186" s="31" t="s">
        <v>144</v>
      </c>
      <c r="X186" s="31" t="s">
        <v>144</v>
      </c>
      <c r="Y186" s="31" t="s">
        <v>144</v>
      </c>
      <c r="Z186" s="31" t="s">
        <v>144</v>
      </c>
      <c r="AA186" s="378">
        <v>16</v>
      </c>
      <c r="AB186" s="378">
        <v>15.5</v>
      </c>
      <c r="AC186" s="378">
        <v>0.3</v>
      </c>
      <c r="AD186" s="378">
        <v>0.2</v>
      </c>
      <c r="AE186" s="31">
        <v>1.3</v>
      </c>
      <c r="AF186" s="31">
        <v>28</v>
      </c>
      <c r="AG186" s="31" t="s">
        <v>144</v>
      </c>
      <c r="AH186" s="31" t="s">
        <v>144</v>
      </c>
      <c r="AI186" s="31" t="s">
        <v>144</v>
      </c>
      <c r="AJ186" s="31" t="s">
        <v>144</v>
      </c>
      <c r="AK186" s="31" t="s">
        <v>144</v>
      </c>
      <c r="AL186" s="31" t="s">
        <v>325</v>
      </c>
      <c r="AM186" s="31" t="s">
        <v>144</v>
      </c>
      <c r="AN186" s="31" t="s">
        <v>163</v>
      </c>
      <c r="AO186" s="31" t="s">
        <v>144</v>
      </c>
      <c r="AP186" s="31" t="s">
        <v>144</v>
      </c>
      <c r="AQ186" s="31"/>
      <c r="AR186" s="31"/>
      <c r="AS186" s="31"/>
      <c r="AT186" s="31"/>
      <c r="AU186" s="31"/>
    </row>
    <row r="187" spans="5:47" ht="15" customHeight="1" x14ac:dyDescent="0.25">
      <c r="E187" s="31"/>
      <c r="F187" s="31"/>
      <c r="G187" s="31"/>
      <c r="H187" s="31"/>
      <c r="I187" s="31"/>
      <c r="J187" s="31"/>
      <c r="K187" s="31"/>
      <c r="L187" s="31"/>
      <c r="M187" s="394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I187" s="31"/>
      <c r="AJ187" s="31"/>
      <c r="AK187" s="31"/>
      <c r="AL187" s="31"/>
    </row>
    <row r="188" spans="5:47" ht="15" customHeight="1" x14ac:dyDescent="0.25">
      <c r="E188" s="31"/>
      <c r="F188" s="31"/>
      <c r="G188" s="31"/>
      <c r="H188" s="31"/>
      <c r="I188" s="31"/>
      <c r="J188" s="31"/>
      <c r="K188" s="31"/>
      <c r="L188" s="31"/>
      <c r="M188" s="394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I188" s="31"/>
      <c r="AJ188" s="31"/>
      <c r="AK188" s="31"/>
      <c r="AL188" s="31"/>
    </row>
    <row r="189" spans="5:47" ht="15" customHeight="1" x14ac:dyDescent="0.25">
      <c r="E189" s="31" t="s">
        <v>133</v>
      </c>
      <c r="F189" s="31" t="s">
        <v>140</v>
      </c>
      <c r="G189" s="31" t="s">
        <v>323</v>
      </c>
      <c r="H189" s="31" t="s">
        <v>324</v>
      </c>
      <c r="I189" s="31" t="s">
        <v>481</v>
      </c>
      <c r="J189" s="31" t="s">
        <v>699</v>
      </c>
      <c r="K189" s="31" t="s">
        <v>700</v>
      </c>
      <c r="L189" s="31" t="s">
        <v>162</v>
      </c>
      <c r="M189" s="31" t="s">
        <v>144</v>
      </c>
      <c r="N189" s="31" t="s">
        <v>144</v>
      </c>
      <c r="O189" s="31">
        <v>16</v>
      </c>
      <c r="P189" s="31" t="s">
        <v>144</v>
      </c>
      <c r="Q189" s="31" t="s">
        <v>649</v>
      </c>
      <c r="R189" s="31" t="s">
        <v>320</v>
      </c>
      <c r="S189" s="31" t="s">
        <v>259</v>
      </c>
      <c r="T189" s="31" t="s">
        <v>479</v>
      </c>
      <c r="U189" s="31" t="s">
        <v>144</v>
      </c>
      <c r="V189" s="31" t="s">
        <v>144</v>
      </c>
      <c r="W189" s="31" t="s">
        <v>144</v>
      </c>
      <c r="X189" s="31" t="s">
        <v>144</v>
      </c>
      <c r="Y189" s="31" t="s">
        <v>144</v>
      </c>
      <c r="Z189" s="31" t="s">
        <v>144</v>
      </c>
      <c r="AA189" s="378">
        <v>16</v>
      </c>
      <c r="AB189" s="378">
        <v>15.5</v>
      </c>
      <c r="AC189" s="378">
        <v>0.3</v>
      </c>
      <c r="AD189" s="378">
        <v>0.2</v>
      </c>
      <c r="AE189" s="31">
        <v>1.3</v>
      </c>
      <c r="AF189" s="31">
        <v>28</v>
      </c>
      <c r="AG189" s="31" t="s">
        <v>144</v>
      </c>
      <c r="AH189" s="31" t="s">
        <v>144</v>
      </c>
      <c r="AI189" s="31" t="s">
        <v>144</v>
      </c>
      <c r="AJ189" s="31" t="s">
        <v>144</v>
      </c>
      <c r="AK189" s="31" t="s">
        <v>144</v>
      </c>
      <c r="AL189" s="31" t="s">
        <v>325</v>
      </c>
      <c r="AM189" s="31" t="s">
        <v>144</v>
      </c>
      <c r="AN189" s="31" t="s">
        <v>163</v>
      </c>
      <c r="AO189" s="31" t="s">
        <v>144</v>
      </c>
      <c r="AP189" s="31" t="s">
        <v>144</v>
      </c>
      <c r="AQ189" s="31"/>
    </row>
    <row r="190" spans="5:47" ht="15" customHeight="1" x14ac:dyDescent="0.25">
      <c r="E190" s="31" t="s">
        <v>133</v>
      </c>
      <c r="F190" s="31" t="s">
        <v>140</v>
      </c>
      <c r="G190" s="31" t="s">
        <v>323</v>
      </c>
      <c r="H190" s="31" t="s">
        <v>324</v>
      </c>
      <c r="I190" s="31" t="s">
        <v>481</v>
      </c>
      <c r="J190" s="31" t="s">
        <v>699</v>
      </c>
      <c r="K190" s="31" t="s">
        <v>701</v>
      </c>
      <c r="L190" s="31" t="s">
        <v>162</v>
      </c>
      <c r="M190" s="31" t="s">
        <v>144</v>
      </c>
      <c r="N190" s="31" t="s">
        <v>144</v>
      </c>
      <c r="O190" s="31">
        <v>16</v>
      </c>
      <c r="P190" s="31" t="s">
        <v>144</v>
      </c>
      <c r="Q190" s="31" t="s">
        <v>649</v>
      </c>
      <c r="R190" s="31" t="s">
        <v>320</v>
      </c>
      <c r="S190" s="31" t="s">
        <v>259</v>
      </c>
      <c r="T190" s="31" t="s">
        <v>479</v>
      </c>
      <c r="U190" s="31" t="s">
        <v>144</v>
      </c>
      <c r="V190" s="31" t="s">
        <v>144</v>
      </c>
      <c r="W190" s="31" t="s">
        <v>144</v>
      </c>
      <c r="X190" s="31" t="s">
        <v>144</v>
      </c>
      <c r="Y190" s="31" t="s">
        <v>144</v>
      </c>
      <c r="Z190" s="31" t="s">
        <v>144</v>
      </c>
      <c r="AA190" s="378">
        <v>16</v>
      </c>
      <c r="AB190" s="378">
        <v>15.5</v>
      </c>
      <c r="AC190" s="378">
        <v>0.3</v>
      </c>
      <c r="AD190" s="378">
        <v>0.2</v>
      </c>
      <c r="AE190" s="31">
        <v>1.3</v>
      </c>
      <c r="AF190" s="31">
        <v>28</v>
      </c>
      <c r="AG190" s="31" t="s">
        <v>144</v>
      </c>
      <c r="AH190" s="31" t="s">
        <v>144</v>
      </c>
      <c r="AI190" s="31" t="s">
        <v>144</v>
      </c>
      <c r="AJ190" s="31" t="s">
        <v>144</v>
      </c>
      <c r="AK190" s="31" t="s">
        <v>144</v>
      </c>
      <c r="AL190" s="31" t="s">
        <v>325</v>
      </c>
      <c r="AM190" s="31" t="s">
        <v>144</v>
      </c>
      <c r="AN190" s="31" t="s">
        <v>163</v>
      </c>
      <c r="AO190" s="31" t="s">
        <v>144</v>
      </c>
      <c r="AP190" s="31" t="s">
        <v>144</v>
      </c>
      <c r="AQ190" s="31"/>
    </row>
    <row r="191" spans="5:47" ht="15" customHeight="1" x14ac:dyDescent="0.25">
      <c r="E191" s="31" t="s">
        <v>133</v>
      </c>
      <c r="F191" s="31" t="s">
        <v>140</v>
      </c>
      <c r="G191" s="31" t="s">
        <v>323</v>
      </c>
      <c r="H191" s="31" t="s">
        <v>324</v>
      </c>
      <c r="I191" s="31" t="s">
        <v>481</v>
      </c>
      <c r="J191" s="31" t="s">
        <v>699</v>
      </c>
      <c r="K191" s="31" t="s">
        <v>702</v>
      </c>
      <c r="L191" s="31" t="s">
        <v>162</v>
      </c>
      <c r="M191" s="31" t="s">
        <v>144</v>
      </c>
      <c r="N191" s="31" t="s">
        <v>144</v>
      </c>
      <c r="O191" s="31">
        <v>16</v>
      </c>
      <c r="P191" s="31" t="s">
        <v>144</v>
      </c>
      <c r="Q191" s="31" t="s">
        <v>649</v>
      </c>
      <c r="R191" s="31" t="s">
        <v>320</v>
      </c>
      <c r="S191" s="31" t="s">
        <v>259</v>
      </c>
      <c r="T191" s="31" t="s">
        <v>479</v>
      </c>
      <c r="U191" s="31" t="s">
        <v>144</v>
      </c>
      <c r="V191" s="31" t="s">
        <v>144</v>
      </c>
      <c r="W191" s="31" t="s">
        <v>144</v>
      </c>
      <c r="X191" s="31" t="s">
        <v>144</v>
      </c>
      <c r="Y191" s="31" t="s">
        <v>144</v>
      </c>
      <c r="Z191" s="31" t="s">
        <v>144</v>
      </c>
      <c r="AA191" s="378">
        <v>16</v>
      </c>
      <c r="AB191" s="378">
        <v>15.5</v>
      </c>
      <c r="AC191" s="378">
        <v>0.3</v>
      </c>
      <c r="AD191" s="378">
        <v>0.2</v>
      </c>
      <c r="AE191" s="31">
        <v>1.3</v>
      </c>
      <c r="AF191" s="31">
        <v>28</v>
      </c>
      <c r="AG191" s="31" t="s">
        <v>144</v>
      </c>
      <c r="AH191" s="31" t="s">
        <v>144</v>
      </c>
      <c r="AI191" s="31" t="s">
        <v>144</v>
      </c>
      <c r="AJ191" s="31" t="s">
        <v>144</v>
      </c>
      <c r="AK191" s="31" t="s">
        <v>144</v>
      </c>
      <c r="AL191" s="31" t="s">
        <v>325</v>
      </c>
      <c r="AM191" s="31" t="s">
        <v>144</v>
      </c>
      <c r="AN191" s="31" t="s">
        <v>163</v>
      </c>
      <c r="AO191" s="31" t="s">
        <v>144</v>
      </c>
      <c r="AP191" s="31" t="s">
        <v>144</v>
      </c>
      <c r="AQ191" s="31"/>
    </row>
    <row r="192" spans="5:47" ht="15" customHeight="1" x14ac:dyDescent="0.25">
      <c r="E192" s="31" t="s">
        <v>133</v>
      </c>
      <c r="F192" s="31" t="s">
        <v>140</v>
      </c>
      <c r="G192" s="31" t="s">
        <v>323</v>
      </c>
      <c r="H192" s="31" t="s">
        <v>324</v>
      </c>
      <c r="I192" s="31" t="s">
        <v>481</v>
      </c>
      <c r="J192" s="31" t="s">
        <v>699</v>
      </c>
      <c r="K192" s="31" t="s">
        <v>703</v>
      </c>
      <c r="L192" s="31" t="s">
        <v>162</v>
      </c>
      <c r="M192" s="31" t="s">
        <v>144</v>
      </c>
      <c r="N192" s="31" t="s">
        <v>144</v>
      </c>
      <c r="O192" s="31">
        <v>16</v>
      </c>
      <c r="P192" s="31" t="s">
        <v>144</v>
      </c>
      <c r="Q192" s="31" t="s">
        <v>649</v>
      </c>
      <c r="R192" s="31" t="s">
        <v>320</v>
      </c>
      <c r="S192" s="31" t="s">
        <v>259</v>
      </c>
      <c r="T192" s="31" t="s">
        <v>479</v>
      </c>
      <c r="U192" s="31" t="s">
        <v>144</v>
      </c>
      <c r="V192" s="31" t="s">
        <v>144</v>
      </c>
      <c r="W192" s="31" t="s">
        <v>144</v>
      </c>
      <c r="X192" s="31" t="s">
        <v>144</v>
      </c>
      <c r="Y192" s="31" t="s">
        <v>144</v>
      </c>
      <c r="Z192" s="31" t="s">
        <v>144</v>
      </c>
      <c r="AA192" s="378">
        <v>16</v>
      </c>
      <c r="AB192" s="378">
        <v>15.5</v>
      </c>
      <c r="AC192" s="378">
        <v>0.3</v>
      </c>
      <c r="AD192" s="378">
        <v>0.2</v>
      </c>
      <c r="AE192" s="31">
        <v>1.3</v>
      </c>
      <c r="AF192" s="31">
        <v>28</v>
      </c>
      <c r="AG192" s="31" t="s">
        <v>144</v>
      </c>
      <c r="AH192" s="31" t="s">
        <v>144</v>
      </c>
      <c r="AI192" s="31" t="s">
        <v>144</v>
      </c>
      <c r="AJ192" s="31" t="s">
        <v>144</v>
      </c>
      <c r="AK192" s="31" t="s">
        <v>144</v>
      </c>
      <c r="AL192" s="31" t="s">
        <v>325</v>
      </c>
      <c r="AM192" s="31" t="s">
        <v>144</v>
      </c>
      <c r="AN192" s="31" t="s">
        <v>163</v>
      </c>
      <c r="AO192" s="31" t="s">
        <v>144</v>
      </c>
      <c r="AP192" s="31" t="s">
        <v>144</v>
      </c>
      <c r="AQ192" s="31"/>
    </row>
    <row r="193" spans="5:43" ht="15" customHeight="1" x14ac:dyDescent="0.25">
      <c r="E193" s="31" t="s">
        <v>133</v>
      </c>
      <c r="F193" s="31" t="s">
        <v>140</v>
      </c>
      <c r="G193" s="31" t="s">
        <v>323</v>
      </c>
      <c r="H193" s="31" t="s">
        <v>324</v>
      </c>
      <c r="I193" s="31" t="s">
        <v>481</v>
      </c>
      <c r="J193" s="31" t="s">
        <v>699</v>
      </c>
      <c r="K193" s="31" t="s">
        <v>704</v>
      </c>
      <c r="L193" s="31" t="s">
        <v>162</v>
      </c>
      <c r="M193" s="31" t="s">
        <v>144</v>
      </c>
      <c r="N193" s="31" t="s">
        <v>144</v>
      </c>
      <c r="O193" s="31">
        <v>16</v>
      </c>
      <c r="P193" s="31" t="s">
        <v>144</v>
      </c>
      <c r="Q193" s="31" t="s">
        <v>649</v>
      </c>
      <c r="R193" s="31" t="s">
        <v>320</v>
      </c>
      <c r="S193" s="31" t="s">
        <v>259</v>
      </c>
      <c r="T193" s="31" t="s">
        <v>479</v>
      </c>
      <c r="U193" s="31" t="s">
        <v>144</v>
      </c>
      <c r="V193" s="31" t="s">
        <v>144</v>
      </c>
      <c r="W193" s="31" t="s">
        <v>144</v>
      </c>
      <c r="X193" s="31" t="s">
        <v>144</v>
      </c>
      <c r="Y193" s="31" t="s">
        <v>144</v>
      </c>
      <c r="Z193" s="31" t="s">
        <v>144</v>
      </c>
      <c r="AA193" s="378">
        <v>16</v>
      </c>
      <c r="AB193" s="378">
        <v>15.5</v>
      </c>
      <c r="AC193" s="378">
        <v>0.3</v>
      </c>
      <c r="AD193" s="378">
        <v>0.2</v>
      </c>
      <c r="AE193" s="31">
        <v>1.3</v>
      </c>
      <c r="AF193" s="31">
        <v>28</v>
      </c>
      <c r="AG193" s="31" t="s">
        <v>144</v>
      </c>
      <c r="AH193" s="31" t="s">
        <v>144</v>
      </c>
      <c r="AI193" s="31" t="s">
        <v>144</v>
      </c>
      <c r="AJ193" s="31" t="s">
        <v>144</v>
      </c>
      <c r="AK193" s="31" t="s">
        <v>144</v>
      </c>
      <c r="AL193" s="31" t="s">
        <v>325</v>
      </c>
      <c r="AM193" s="31" t="s">
        <v>144</v>
      </c>
      <c r="AN193" s="31" t="s">
        <v>163</v>
      </c>
      <c r="AO193" s="31" t="s">
        <v>144</v>
      </c>
      <c r="AP193" s="31" t="s">
        <v>144</v>
      </c>
      <c r="AQ193" s="31"/>
    </row>
    <row r="194" spans="5:43" ht="15" customHeight="1" x14ac:dyDescent="0.25">
      <c r="E194" s="31" t="s">
        <v>133</v>
      </c>
      <c r="F194" s="31" t="s">
        <v>140</v>
      </c>
      <c r="G194" s="31" t="s">
        <v>323</v>
      </c>
      <c r="H194" s="31" t="s">
        <v>324</v>
      </c>
      <c r="I194" s="31" t="s">
        <v>481</v>
      </c>
      <c r="J194" s="31" t="s">
        <v>699</v>
      </c>
      <c r="K194" s="31" t="s">
        <v>705</v>
      </c>
      <c r="L194" s="31" t="s">
        <v>162</v>
      </c>
      <c r="M194" s="31" t="s">
        <v>144</v>
      </c>
      <c r="N194" s="31" t="s">
        <v>144</v>
      </c>
      <c r="O194" s="31">
        <v>16</v>
      </c>
      <c r="P194" s="31" t="s">
        <v>144</v>
      </c>
      <c r="Q194" s="31" t="s">
        <v>649</v>
      </c>
      <c r="R194" s="31" t="s">
        <v>320</v>
      </c>
      <c r="S194" s="31" t="s">
        <v>259</v>
      </c>
      <c r="T194" s="31" t="s">
        <v>479</v>
      </c>
      <c r="U194" s="31" t="s">
        <v>144</v>
      </c>
      <c r="V194" s="31" t="s">
        <v>144</v>
      </c>
      <c r="W194" s="31" t="s">
        <v>144</v>
      </c>
      <c r="X194" s="31" t="s">
        <v>144</v>
      </c>
      <c r="Y194" s="31" t="s">
        <v>144</v>
      </c>
      <c r="Z194" s="31" t="s">
        <v>144</v>
      </c>
      <c r="AA194" s="378">
        <v>16</v>
      </c>
      <c r="AB194" s="378">
        <v>15.5</v>
      </c>
      <c r="AC194" s="378">
        <v>0.3</v>
      </c>
      <c r="AD194" s="378">
        <v>0.2</v>
      </c>
      <c r="AE194" s="31">
        <v>1.3</v>
      </c>
      <c r="AF194" s="31">
        <v>28</v>
      </c>
      <c r="AG194" s="31" t="s">
        <v>144</v>
      </c>
      <c r="AH194" s="31" t="s">
        <v>144</v>
      </c>
      <c r="AI194" s="31" t="s">
        <v>144</v>
      </c>
      <c r="AJ194" s="31" t="s">
        <v>144</v>
      </c>
      <c r="AK194" s="31" t="s">
        <v>144</v>
      </c>
      <c r="AL194" s="31" t="s">
        <v>325</v>
      </c>
      <c r="AM194" s="31" t="s">
        <v>144</v>
      </c>
      <c r="AN194" s="31" t="s">
        <v>163</v>
      </c>
      <c r="AO194" s="31" t="s">
        <v>144</v>
      </c>
      <c r="AP194" s="31" t="s">
        <v>144</v>
      </c>
      <c r="AQ194" s="31"/>
    </row>
    <row r="195" spans="5:43" ht="15" customHeight="1" x14ac:dyDescent="0.25">
      <c r="E195" s="31" t="s">
        <v>133</v>
      </c>
      <c r="F195" s="31" t="s">
        <v>140</v>
      </c>
      <c r="G195" s="31" t="s">
        <v>323</v>
      </c>
      <c r="H195" s="31" t="s">
        <v>324</v>
      </c>
      <c r="I195" s="31" t="s">
        <v>481</v>
      </c>
      <c r="J195" s="31" t="s">
        <v>699</v>
      </c>
      <c r="K195" s="31" t="s">
        <v>706</v>
      </c>
      <c r="L195" s="31" t="s">
        <v>162</v>
      </c>
      <c r="M195" s="31" t="s">
        <v>144</v>
      </c>
      <c r="N195" s="31" t="s">
        <v>144</v>
      </c>
      <c r="O195" s="31">
        <v>16</v>
      </c>
      <c r="P195" s="31" t="s">
        <v>144</v>
      </c>
      <c r="Q195" s="31" t="s">
        <v>649</v>
      </c>
      <c r="R195" s="31" t="s">
        <v>320</v>
      </c>
      <c r="S195" s="31" t="s">
        <v>259</v>
      </c>
      <c r="T195" s="31" t="s">
        <v>479</v>
      </c>
      <c r="U195" s="31" t="s">
        <v>144</v>
      </c>
      <c r="V195" s="31" t="s">
        <v>144</v>
      </c>
      <c r="W195" s="31" t="s">
        <v>144</v>
      </c>
      <c r="X195" s="31" t="s">
        <v>144</v>
      </c>
      <c r="Y195" s="31" t="s">
        <v>144</v>
      </c>
      <c r="Z195" s="31" t="s">
        <v>144</v>
      </c>
      <c r="AA195" s="378">
        <v>16</v>
      </c>
      <c r="AB195" s="378">
        <v>15.5</v>
      </c>
      <c r="AC195" s="378">
        <v>0.3</v>
      </c>
      <c r="AD195" s="378">
        <v>0.2</v>
      </c>
      <c r="AE195" s="31">
        <v>1.3</v>
      </c>
      <c r="AF195" s="31">
        <v>28</v>
      </c>
      <c r="AG195" s="31" t="s">
        <v>144</v>
      </c>
      <c r="AH195" s="31" t="s">
        <v>144</v>
      </c>
      <c r="AI195" s="31" t="s">
        <v>144</v>
      </c>
      <c r="AJ195" s="31" t="s">
        <v>144</v>
      </c>
      <c r="AK195" s="31" t="s">
        <v>144</v>
      </c>
      <c r="AL195" s="31" t="s">
        <v>325</v>
      </c>
      <c r="AM195" s="31" t="s">
        <v>144</v>
      </c>
      <c r="AN195" s="31" t="s">
        <v>163</v>
      </c>
      <c r="AO195" s="31" t="s">
        <v>144</v>
      </c>
      <c r="AP195" s="31" t="s">
        <v>144</v>
      </c>
      <c r="AQ195" s="31"/>
    </row>
    <row r="196" spans="5:43" ht="15" customHeight="1" x14ac:dyDescent="0.25">
      <c r="E196" s="31" t="s">
        <v>133</v>
      </c>
      <c r="F196" s="31" t="s">
        <v>140</v>
      </c>
      <c r="G196" s="31" t="s">
        <v>323</v>
      </c>
      <c r="H196" s="31" t="s">
        <v>324</v>
      </c>
      <c r="I196" s="31" t="s">
        <v>481</v>
      </c>
      <c r="J196" s="31" t="s">
        <v>699</v>
      </c>
      <c r="K196" s="31" t="s">
        <v>707</v>
      </c>
      <c r="L196" s="31" t="s">
        <v>162</v>
      </c>
      <c r="M196" s="31" t="s">
        <v>144</v>
      </c>
      <c r="N196" s="31" t="s">
        <v>144</v>
      </c>
      <c r="O196" s="31">
        <v>16</v>
      </c>
      <c r="P196" s="31" t="s">
        <v>144</v>
      </c>
      <c r="Q196" s="31" t="s">
        <v>649</v>
      </c>
      <c r="R196" s="31" t="s">
        <v>320</v>
      </c>
      <c r="S196" s="31" t="s">
        <v>259</v>
      </c>
      <c r="T196" s="31" t="s">
        <v>479</v>
      </c>
      <c r="U196" s="31" t="s">
        <v>144</v>
      </c>
      <c r="V196" s="31" t="s">
        <v>144</v>
      </c>
      <c r="W196" s="31" t="s">
        <v>144</v>
      </c>
      <c r="X196" s="31" t="s">
        <v>144</v>
      </c>
      <c r="Y196" s="31" t="s">
        <v>144</v>
      </c>
      <c r="Z196" s="31" t="s">
        <v>144</v>
      </c>
      <c r="AA196" s="378">
        <v>16</v>
      </c>
      <c r="AB196" s="378">
        <v>15.5</v>
      </c>
      <c r="AC196" s="378">
        <v>0.3</v>
      </c>
      <c r="AD196" s="378">
        <v>0.2</v>
      </c>
      <c r="AE196" s="31">
        <v>1.3</v>
      </c>
      <c r="AF196" s="31">
        <v>28</v>
      </c>
      <c r="AG196" s="31" t="s">
        <v>144</v>
      </c>
      <c r="AH196" s="31" t="s">
        <v>144</v>
      </c>
      <c r="AI196" s="31" t="s">
        <v>144</v>
      </c>
      <c r="AJ196" s="31" t="s">
        <v>144</v>
      </c>
      <c r="AK196" s="31" t="s">
        <v>144</v>
      </c>
      <c r="AL196" s="31" t="s">
        <v>325</v>
      </c>
      <c r="AM196" s="31" t="s">
        <v>144</v>
      </c>
      <c r="AN196" s="31" t="s">
        <v>163</v>
      </c>
      <c r="AO196" s="31" t="s">
        <v>144</v>
      </c>
      <c r="AP196" s="31" t="s">
        <v>144</v>
      </c>
      <c r="AQ196" s="31"/>
    </row>
    <row r="197" spans="5:43" ht="15" customHeight="1" x14ac:dyDescent="0.25">
      <c r="E197" s="31" t="s">
        <v>133</v>
      </c>
      <c r="F197" s="31" t="s">
        <v>140</v>
      </c>
      <c r="G197" s="31" t="s">
        <v>323</v>
      </c>
      <c r="H197" s="31" t="s">
        <v>324</v>
      </c>
      <c r="I197" s="31" t="s">
        <v>481</v>
      </c>
      <c r="J197" s="31" t="s">
        <v>699</v>
      </c>
      <c r="K197" s="31" t="s">
        <v>708</v>
      </c>
      <c r="L197" s="31" t="s">
        <v>162</v>
      </c>
      <c r="M197" s="31" t="s">
        <v>144</v>
      </c>
      <c r="N197" s="31" t="s">
        <v>144</v>
      </c>
      <c r="O197" s="31">
        <v>16</v>
      </c>
      <c r="P197" s="31" t="s">
        <v>144</v>
      </c>
      <c r="Q197" s="31" t="s">
        <v>649</v>
      </c>
      <c r="R197" s="31" t="s">
        <v>320</v>
      </c>
      <c r="S197" s="31" t="s">
        <v>259</v>
      </c>
      <c r="T197" s="31" t="s">
        <v>479</v>
      </c>
      <c r="U197" s="31" t="s">
        <v>144</v>
      </c>
      <c r="V197" s="31" t="s">
        <v>144</v>
      </c>
      <c r="W197" s="31" t="s">
        <v>144</v>
      </c>
      <c r="X197" s="31" t="s">
        <v>144</v>
      </c>
      <c r="Y197" s="31" t="s">
        <v>144</v>
      </c>
      <c r="Z197" s="31" t="s">
        <v>144</v>
      </c>
      <c r="AA197" s="378">
        <v>16</v>
      </c>
      <c r="AB197" s="378">
        <v>15.5</v>
      </c>
      <c r="AC197" s="378">
        <v>0.3</v>
      </c>
      <c r="AD197" s="378">
        <v>0.2</v>
      </c>
      <c r="AE197" s="31">
        <v>1.3</v>
      </c>
      <c r="AF197" s="31">
        <v>28</v>
      </c>
      <c r="AG197" s="31" t="s">
        <v>144</v>
      </c>
      <c r="AH197" s="31" t="s">
        <v>144</v>
      </c>
      <c r="AI197" s="31" t="s">
        <v>144</v>
      </c>
      <c r="AJ197" s="31" t="s">
        <v>144</v>
      </c>
      <c r="AK197" s="31" t="s">
        <v>144</v>
      </c>
      <c r="AL197" s="31" t="s">
        <v>325</v>
      </c>
      <c r="AM197" s="31" t="s">
        <v>144</v>
      </c>
      <c r="AN197" s="31" t="s">
        <v>163</v>
      </c>
      <c r="AO197" s="31" t="s">
        <v>144</v>
      </c>
      <c r="AP197" s="31" t="s">
        <v>144</v>
      </c>
      <c r="AQ197" s="31"/>
    </row>
    <row r="198" spans="5:43" ht="15" customHeight="1" x14ac:dyDescent="0.25">
      <c r="E198" s="31" t="s">
        <v>133</v>
      </c>
      <c r="F198" s="31" t="s">
        <v>140</v>
      </c>
      <c r="G198" s="31" t="s">
        <v>323</v>
      </c>
      <c r="H198" s="31" t="s">
        <v>324</v>
      </c>
      <c r="I198" s="31" t="s">
        <v>481</v>
      </c>
      <c r="J198" s="31" t="s">
        <v>699</v>
      </c>
      <c r="K198" s="31" t="s">
        <v>709</v>
      </c>
      <c r="L198" s="31" t="s">
        <v>162</v>
      </c>
      <c r="M198" s="31" t="s">
        <v>144</v>
      </c>
      <c r="N198" s="31" t="s">
        <v>144</v>
      </c>
      <c r="O198" s="31">
        <v>16</v>
      </c>
      <c r="P198" s="31" t="s">
        <v>144</v>
      </c>
      <c r="Q198" s="31" t="s">
        <v>649</v>
      </c>
      <c r="R198" s="31" t="s">
        <v>320</v>
      </c>
      <c r="S198" s="31" t="s">
        <v>259</v>
      </c>
      <c r="T198" s="31" t="s">
        <v>479</v>
      </c>
      <c r="U198" s="31" t="s">
        <v>144</v>
      </c>
      <c r="V198" s="31" t="s">
        <v>144</v>
      </c>
      <c r="W198" s="31" t="s">
        <v>144</v>
      </c>
      <c r="X198" s="31" t="s">
        <v>144</v>
      </c>
      <c r="Y198" s="31" t="s">
        <v>144</v>
      </c>
      <c r="Z198" s="31" t="s">
        <v>144</v>
      </c>
      <c r="AA198" s="378">
        <v>16</v>
      </c>
      <c r="AB198" s="378">
        <v>15.5</v>
      </c>
      <c r="AC198" s="378">
        <v>0.3</v>
      </c>
      <c r="AD198" s="378">
        <v>0.2</v>
      </c>
      <c r="AE198" s="31">
        <v>1.3</v>
      </c>
      <c r="AF198" s="31">
        <v>28</v>
      </c>
      <c r="AG198" s="31" t="s">
        <v>144</v>
      </c>
      <c r="AH198" s="31" t="s">
        <v>144</v>
      </c>
      <c r="AI198" s="31" t="s">
        <v>144</v>
      </c>
      <c r="AJ198" s="31" t="s">
        <v>144</v>
      </c>
      <c r="AK198" s="31" t="s">
        <v>144</v>
      </c>
      <c r="AL198" s="31" t="s">
        <v>325</v>
      </c>
      <c r="AM198" s="31" t="s">
        <v>144</v>
      </c>
      <c r="AN198" s="31" t="s">
        <v>163</v>
      </c>
      <c r="AO198" s="31" t="s">
        <v>144</v>
      </c>
      <c r="AP198" s="31" t="s">
        <v>144</v>
      </c>
      <c r="AQ198" s="31"/>
    </row>
    <row r="199" spans="5:43" ht="15" customHeight="1" x14ac:dyDescent="0.25">
      <c r="E199" s="31" t="s">
        <v>133</v>
      </c>
      <c r="F199" s="31" t="s">
        <v>140</v>
      </c>
      <c r="G199" s="31" t="s">
        <v>323</v>
      </c>
      <c r="H199" s="31" t="s">
        <v>324</v>
      </c>
      <c r="I199" s="31" t="s">
        <v>481</v>
      </c>
      <c r="J199" s="31" t="s">
        <v>699</v>
      </c>
      <c r="K199" s="31" t="s">
        <v>710</v>
      </c>
      <c r="L199" s="31" t="s">
        <v>162</v>
      </c>
      <c r="M199" s="31" t="s">
        <v>144</v>
      </c>
      <c r="N199" s="31" t="s">
        <v>144</v>
      </c>
      <c r="O199" s="31">
        <v>16</v>
      </c>
      <c r="P199" s="31" t="s">
        <v>144</v>
      </c>
      <c r="Q199" s="31" t="s">
        <v>649</v>
      </c>
      <c r="R199" s="31" t="s">
        <v>320</v>
      </c>
      <c r="S199" s="31" t="s">
        <v>259</v>
      </c>
      <c r="T199" s="31" t="s">
        <v>479</v>
      </c>
      <c r="U199" s="31" t="s">
        <v>144</v>
      </c>
      <c r="V199" s="31" t="s">
        <v>144</v>
      </c>
      <c r="W199" s="31" t="s">
        <v>144</v>
      </c>
      <c r="X199" s="31" t="s">
        <v>144</v>
      </c>
      <c r="Y199" s="31" t="s">
        <v>144</v>
      </c>
      <c r="Z199" s="31" t="s">
        <v>144</v>
      </c>
      <c r="AA199" s="378">
        <v>16</v>
      </c>
      <c r="AB199" s="378">
        <v>15.5</v>
      </c>
      <c r="AC199" s="378">
        <v>0.3</v>
      </c>
      <c r="AD199" s="378">
        <v>0.2</v>
      </c>
      <c r="AE199" s="31">
        <v>1.3</v>
      </c>
      <c r="AF199" s="31">
        <v>28</v>
      </c>
      <c r="AG199" s="31" t="s">
        <v>144</v>
      </c>
      <c r="AH199" s="31" t="s">
        <v>144</v>
      </c>
      <c r="AI199" s="31" t="s">
        <v>144</v>
      </c>
      <c r="AJ199" s="31" t="s">
        <v>144</v>
      </c>
      <c r="AK199" s="31" t="s">
        <v>144</v>
      </c>
      <c r="AL199" s="31" t="s">
        <v>325</v>
      </c>
      <c r="AM199" s="31" t="s">
        <v>144</v>
      </c>
      <c r="AN199" s="31" t="s">
        <v>163</v>
      </c>
      <c r="AO199" s="31" t="s">
        <v>144</v>
      </c>
      <c r="AP199" s="31" t="s">
        <v>144</v>
      </c>
      <c r="AQ199" s="31"/>
    </row>
    <row r="200" spans="5:43" ht="15" customHeight="1" x14ac:dyDescent="0.25">
      <c r="E200" s="31" t="s">
        <v>133</v>
      </c>
      <c r="F200" s="31" t="s">
        <v>140</v>
      </c>
      <c r="G200" s="31" t="s">
        <v>323</v>
      </c>
      <c r="H200" s="31" t="s">
        <v>324</v>
      </c>
      <c r="I200" s="31" t="s">
        <v>481</v>
      </c>
      <c r="J200" s="31" t="s">
        <v>699</v>
      </c>
      <c r="K200" s="31" t="s">
        <v>711</v>
      </c>
      <c r="L200" s="31" t="s">
        <v>162</v>
      </c>
      <c r="M200" s="31" t="s">
        <v>144</v>
      </c>
      <c r="N200" s="31" t="s">
        <v>144</v>
      </c>
      <c r="O200" s="31">
        <v>16</v>
      </c>
      <c r="P200" s="31" t="s">
        <v>144</v>
      </c>
      <c r="Q200" s="31" t="s">
        <v>649</v>
      </c>
      <c r="R200" s="31" t="s">
        <v>320</v>
      </c>
      <c r="S200" s="31" t="s">
        <v>259</v>
      </c>
      <c r="T200" s="31" t="s">
        <v>479</v>
      </c>
      <c r="U200" s="31" t="s">
        <v>144</v>
      </c>
      <c r="V200" s="31" t="s">
        <v>144</v>
      </c>
      <c r="W200" s="31" t="s">
        <v>144</v>
      </c>
      <c r="X200" s="31" t="s">
        <v>144</v>
      </c>
      <c r="Y200" s="31" t="s">
        <v>144</v>
      </c>
      <c r="Z200" s="31" t="s">
        <v>144</v>
      </c>
      <c r="AA200" s="378">
        <v>16</v>
      </c>
      <c r="AB200" s="378">
        <v>15.5</v>
      </c>
      <c r="AC200" s="378">
        <v>0.3</v>
      </c>
      <c r="AD200" s="378">
        <v>0.2</v>
      </c>
      <c r="AE200" s="31">
        <v>1.3</v>
      </c>
      <c r="AF200" s="31">
        <v>28</v>
      </c>
      <c r="AG200" s="31" t="s">
        <v>144</v>
      </c>
      <c r="AH200" s="31" t="s">
        <v>144</v>
      </c>
      <c r="AI200" s="31" t="s">
        <v>144</v>
      </c>
      <c r="AJ200" s="31" t="s">
        <v>144</v>
      </c>
      <c r="AK200" s="31" t="s">
        <v>144</v>
      </c>
      <c r="AL200" s="31" t="s">
        <v>325</v>
      </c>
      <c r="AM200" s="31" t="s">
        <v>144</v>
      </c>
      <c r="AN200" s="31" t="s">
        <v>163</v>
      </c>
      <c r="AO200" s="31" t="s">
        <v>144</v>
      </c>
      <c r="AP200" s="31" t="s">
        <v>144</v>
      </c>
      <c r="AQ200" s="31"/>
    </row>
    <row r="201" spans="5:43" ht="15" customHeight="1" x14ac:dyDescent="0.25">
      <c r="E201" s="31" t="s">
        <v>133</v>
      </c>
      <c r="F201" s="31" t="s">
        <v>140</v>
      </c>
      <c r="G201" s="31" t="s">
        <v>323</v>
      </c>
      <c r="H201" s="31" t="s">
        <v>324</v>
      </c>
      <c r="I201" s="31" t="s">
        <v>481</v>
      </c>
      <c r="J201" s="31" t="s">
        <v>699</v>
      </c>
      <c r="K201" s="31" t="s">
        <v>712</v>
      </c>
      <c r="L201" s="31" t="s">
        <v>162</v>
      </c>
      <c r="M201" s="31" t="s">
        <v>144</v>
      </c>
      <c r="N201" s="31" t="s">
        <v>144</v>
      </c>
      <c r="O201" s="31">
        <v>16</v>
      </c>
      <c r="P201" s="31" t="s">
        <v>144</v>
      </c>
      <c r="Q201" s="31" t="s">
        <v>649</v>
      </c>
      <c r="R201" s="31" t="s">
        <v>320</v>
      </c>
      <c r="S201" s="31" t="s">
        <v>259</v>
      </c>
      <c r="T201" s="31" t="s">
        <v>479</v>
      </c>
      <c r="U201" s="31" t="s">
        <v>144</v>
      </c>
      <c r="V201" s="31" t="s">
        <v>144</v>
      </c>
      <c r="W201" s="31" t="s">
        <v>144</v>
      </c>
      <c r="X201" s="31" t="s">
        <v>144</v>
      </c>
      <c r="Y201" s="31" t="s">
        <v>144</v>
      </c>
      <c r="Z201" s="31" t="s">
        <v>144</v>
      </c>
      <c r="AA201" s="378">
        <v>16</v>
      </c>
      <c r="AB201" s="378">
        <v>15.5</v>
      </c>
      <c r="AC201" s="378">
        <v>0.3</v>
      </c>
      <c r="AD201" s="378">
        <v>0.2</v>
      </c>
      <c r="AE201" s="31">
        <v>1.3</v>
      </c>
      <c r="AF201" s="31">
        <v>28</v>
      </c>
      <c r="AG201" s="31" t="s">
        <v>144</v>
      </c>
      <c r="AH201" s="31" t="s">
        <v>144</v>
      </c>
      <c r="AI201" s="31" t="s">
        <v>144</v>
      </c>
      <c r="AJ201" s="31" t="s">
        <v>144</v>
      </c>
      <c r="AK201" s="31" t="s">
        <v>144</v>
      </c>
      <c r="AL201" s="31" t="s">
        <v>325</v>
      </c>
      <c r="AM201" s="31" t="s">
        <v>144</v>
      </c>
      <c r="AN201" s="31" t="s">
        <v>163</v>
      </c>
      <c r="AO201" s="31" t="s">
        <v>144</v>
      </c>
      <c r="AP201" s="31" t="s">
        <v>144</v>
      </c>
      <c r="AQ201" s="31"/>
    </row>
    <row r="202" spans="5:43" ht="15" customHeight="1" x14ac:dyDescent="0.25">
      <c r="E202" s="31" t="s">
        <v>133</v>
      </c>
      <c r="F202" s="31" t="s">
        <v>140</v>
      </c>
      <c r="G202" s="31" t="s">
        <v>323</v>
      </c>
      <c r="H202" s="31" t="s">
        <v>324</v>
      </c>
      <c r="I202" s="31" t="s">
        <v>481</v>
      </c>
      <c r="J202" s="31" t="s">
        <v>699</v>
      </c>
      <c r="K202" s="31" t="s">
        <v>713</v>
      </c>
      <c r="L202" s="31" t="s">
        <v>162</v>
      </c>
      <c r="M202" s="31" t="s">
        <v>144</v>
      </c>
      <c r="N202" s="31" t="s">
        <v>144</v>
      </c>
      <c r="O202" s="31">
        <v>16</v>
      </c>
      <c r="P202" s="31" t="s">
        <v>144</v>
      </c>
      <c r="Q202" s="31" t="s">
        <v>649</v>
      </c>
      <c r="R202" s="31" t="s">
        <v>320</v>
      </c>
      <c r="S202" s="31" t="s">
        <v>259</v>
      </c>
      <c r="T202" s="31" t="s">
        <v>479</v>
      </c>
      <c r="U202" s="31" t="s">
        <v>144</v>
      </c>
      <c r="V202" s="31" t="s">
        <v>144</v>
      </c>
      <c r="W202" s="31" t="s">
        <v>144</v>
      </c>
      <c r="X202" s="31" t="s">
        <v>144</v>
      </c>
      <c r="Y202" s="31" t="s">
        <v>144</v>
      </c>
      <c r="Z202" s="31" t="s">
        <v>144</v>
      </c>
      <c r="AA202" s="378">
        <v>16</v>
      </c>
      <c r="AB202" s="378">
        <v>15.5</v>
      </c>
      <c r="AC202" s="378">
        <v>0.3</v>
      </c>
      <c r="AD202" s="378">
        <v>0.2</v>
      </c>
      <c r="AE202" s="31">
        <v>1.3</v>
      </c>
      <c r="AF202" s="31">
        <v>28</v>
      </c>
      <c r="AG202" s="31" t="s">
        <v>144</v>
      </c>
      <c r="AH202" s="31" t="s">
        <v>144</v>
      </c>
      <c r="AI202" s="31" t="s">
        <v>144</v>
      </c>
      <c r="AJ202" s="31" t="s">
        <v>144</v>
      </c>
      <c r="AK202" s="31" t="s">
        <v>144</v>
      </c>
      <c r="AL202" s="31" t="s">
        <v>325</v>
      </c>
      <c r="AM202" s="31" t="s">
        <v>144</v>
      </c>
      <c r="AN202" s="31" t="s">
        <v>163</v>
      </c>
      <c r="AO202" s="31" t="s">
        <v>144</v>
      </c>
      <c r="AP202" s="31" t="s">
        <v>144</v>
      </c>
      <c r="AQ202" s="31"/>
    </row>
    <row r="203" spans="5:43" ht="15" customHeight="1" x14ac:dyDescent="0.25">
      <c r="E203" s="31" t="s">
        <v>133</v>
      </c>
      <c r="F203" s="31" t="s">
        <v>140</v>
      </c>
      <c r="G203" s="31" t="s">
        <v>323</v>
      </c>
      <c r="H203" s="31" t="s">
        <v>324</v>
      </c>
      <c r="I203" s="31" t="s">
        <v>481</v>
      </c>
      <c r="J203" s="31" t="s">
        <v>699</v>
      </c>
      <c r="K203" s="31" t="s">
        <v>714</v>
      </c>
      <c r="L203" s="31" t="s">
        <v>162</v>
      </c>
      <c r="M203" s="31" t="s">
        <v>144</v>
      </c>
      <c r="N203" s="31" t="s">
        <v>144</v>
      </c>
      <c r="O203" s="31">
        <v>16</v>
      </c>
      <c r="P203" s="31" t="s">
        <v>144</v>
      </c>
      <c r="Q203" s="31" t="s">
        <v>649</v>
      </c>
      <c r="R203" s="31" t="s">
        <v>320</v>
      </c>
      <c r="S203" s="31" t="s">
        <v>259</v>
      </c>
      <c r="T203" s="31" t="s">
        <v>479</v>
      </c>
      <c r="U203" s="31" t="s">
        <v>144</v>
      </c>
      <c r="V203" s="31" t="s">
        <v>144</v>
      </c>
      <c r="W203" s="31" t="s">
        <v>144</v>
      </c>
      <c r="X203" s="31" t="s">
        <v>144</v>
      </c>
      <c r="Y203" s="31" t="s">
        <v>144</v>
      </c>
      <c r="Z203" s="31" t="s">
        <v>144</v>
      </c>
      <c r="AA203" s="378">
        <v>16</v>
      </c>
      <c r="AB203" s="378">
        <v>15.5</v>
      </c>
      <c r="AC203" s="378">
        <v>0.3</v>
      </c>
      <c r="AD203" s="378">
        <v>0.2</v>
      </c>
      <c r="AE203" s="31">
        <v>1.3</v>
      </c>
      <c r="AF203" s="31">
        <v>28</v>
      </c>
      <c r="AG203" s="31" t="s">
        <v>144</v>
      </c>
      <c r="AH203" s="31" t="s">
        <v>144</v>
      </c>
      <c r="AI203" s="31" t="s">
        <v>144</v>
      </c>
      <c r="AJ203" s="31" t="s">
        <v>144</v>
      </c>
      <c r="AK203" s="31" t="s">
        <v>144</v>
      </c>
      <c r="AL203" s="31" t="s">
        <v>325</v>
      </c>
      <c r="AM203" s="31" t="s">
        <v>144</v>
      </c>
      <c r="AN203" s="31" t="s">
        <v>163</v>
      </c>
      <c r="AO203" s="31" t="s">
        <v>144</v>
      </c>
      <c r="AP203" s="31" t="s">
        <v>144</v>
      </c>
      <c r="AQ203" s="31"/>
    </row>
    <row r="204" spans="5:43" ht="15" customHeight="1" x14ac:dyDescent="0.25">
      <c r="E204" s="31" t="s">
        <v>133</v>
      </c>
      <c r="F204" s="31" t="s">
        <v>140</v>
      </c>
      <c r="G204" s="31" t="s">
        <v>323</v>
      </c>
      <c r="H204" s="31" t="s">
        <v>324</v>
      </c>
      <c r="I204" s="31" t="s">
        <v>481</v>
      </c>
      <c r="J204" s="31" t="s">
        <v>699</v>
      </c>
      <c r="K204" s="31" t="s">
        <v>715</v>
      </c>
      <c r="L204" s="31" t="s">
        <v>162</v>
      </c>
      <c r="M204" s="31" t="s">
        <v>144</v>
      </c>
      <c r="N204" s="31" t="s">
        <v>144</v>
      </c>
      <c r="O204" s="31">
        <v>16</v>
      </c>
      <c r="P204" s="31" t="s">
        <v>144</v>
      </c>
      <c r="Q204" s="31" t="s">
        <v>649</v>
      </c>
      <c r="R204" s="31" t="s">
        <v>320</v>
      </c>
      <c r="S204" s="31" t="s">
        <v>259</v>
      </c>
      <c r="T204" s="31" t="s">
        <v>479</v>
      </c>
      <c r="U204" s="31" t="s">
        <v>144</v>
      </c>
      <c r="V204" s="31" t="s">
        <v>144</v>
      </c>
      <c r="W204" s="31" t="s">
        <v>144</v>
      </c>
      <c r="X204" s="31" t="s">
        <v>144</v>
      </c>
      <c r="Y204" s="31" t="s">
        <v>144</v>
      </c>
      <c r="Z204" s="31" t="s">
        <v>144</v>
      </c>
      <c r="AA204" s="378">
        <v>16</v>
      </c>
      <c r="AB204" s="378">
        <v>15.5</v>
      </c>
      <c r="AC204" s="378">
        <v>0.3</v>
      </c>
      <c r="AD204" s="378">
        <v>0.2</v>
      </c>
      <c r="AE204" s="31">
        <v>1.3</v>
      </c>
      <c r="AF204" s="31">
        <v>28</v>
      </c>
      <c r="AG204" s="31" t="s">
        <v>144</v>
      </c>
      <c r="AH204" s="31" t="s">
        <v>144</v>
      </c>
      <c r="AI204" s="31" t="s">
        <v>144</v>
      </c>
      <c r="AJ204" s="31" t="s">
        <v>144</v>
      </c>
      <c r="AK204" s="31" t="s">
        <v>144</v>
      </c>
      <c r="AL204" s="31" t="s">
        <v>325</v>
      </c>
      <c r="AM204" s="31" t="s">
        <v>144</v>
      </c>
      <c r="AN204" s="31" t="s">
        <v>163</v>
      </c>
      <c r="AO204" s="31" t="s">
        <v>144</v>
      </c>
      <c r="AP204" s="31" t="s">
        <v>144</v>
      </c>
      <c r="AQ204" s="31"/>
    </row>
    <row r="205" spans="5:43" ht="15" customHeight="1" x14ac:dyDescent="0.25">
      <c r="E205" s="31" t="s">
        <v>133</v>
      </c>
      <c r="F205" s="31" t="s">
        <v>140</v>
      </c>
      <c r="G205" s="31" t="s">
        <v>323</v>
      </c>
      <c r="H205" s="31" t="s">
        <v>324</v>
      </c>
      <c r="I205" s="31" t="s">
        <v>481</v>
      </c>
      <c r="J205" s="31" t="s">
        <v>699</v>
      </c>
      <c r="K205" s="31" t="s">
        <v>716</v>
      </c>
      <c r="L205" s="31" t="s">
        <v>162</v>
      </c>
      <c r="M205" s="31" t="s">
        <v>144</v>
      </c>
      <c r="N205" s="31" t="s">
        <v>144</v>
      </c>
      <c r="O205" s="31">
        <v>16</v>
      </c>
      <c r="P205" s="31" t="s">
        <v>144</v>
      </c>
      <c r="Q205" s="31" t="s">
        <v>649</v>
      </c>
      <c r="R205" s="31" t="s">
        <v>320</v>
      </c>
      <c r="S205" s="31" t="s">
        <v>259</v>
      </c>
      <c r="T205" s="31" t="s">
        <v>479</v>
      </c>
      <c r="U205" s="31" t="s">
        <v>144</v>
      </c>
      <c r="V205" s="31" t="s">
        <v>144</v>
      </c>
      <c r="W205" s="31" t="s">
        <v>144</v>
      </c>
      <c r="X205" s="31" t="s">
        <v>144</v>
      </c>
      <c r="Y205" s="31" t="s">
        <v>144</v>
      </c>
      <c r="Z205" s="31" t="s">
        <v>144</v>
      </c>
      <c r="AA205" s="378">
        <v>16</v>
      </c>
      <c r="AB205" s="378">
        <v>15.5</v>
      </c>
      <c r="AC205" s="378">
        <v>0.3</v>
      </c>
      <c r="AD205" s="378">
        <v>0.2</v>
      </c>
      <c r="AE205" s="31">
        <v>1.3</v>
      </c>
      <c r="AF205" s="31">
        <v>28</v>
      </c>
      <c r="AG205" s="31" t="s">
        <v>144</v>
      </c>
      <c r="AH205" s="31" t="s">
        <v>144</v>
      </c>
      <c r="AI205" s="31" t="s">
        <v>144</v>
      </c>
      <c r="AJ205" s="31" t="s">
        <v>144</v>
      </c>
      <c r="AK205" s="31" t="s">
        <v>144</v>
      </c>
      <c r="AL205" s="31" t="s">
        <v>325</v>
      </c>
      <c r="AM205" s="31" t="s">
        <v>144</v>
      </c>
      <c r="AN205" s="31" t="s">
        <v>163</v>
      </c>
      <c r="AO205" s="31" t="s">
        <v>144</v>
      </c>
      <c r="AP205" s="31" t="s">
        <v>144</v>
      </c>
      <c r="AQ205" s="31"/>
    </row>
    <row r="206" spans="5:43" ht="15" customHeight="1" x14ac:dyDescent="0.25">
      <c r="E206" s="31" t="s">
        <v>133</v>
      </c>
      <c r="F206" s="31" t="s">
        <v>140</v>
      </c>
      <c r="G206" s="31" t="s">
        <v>323</v>
      </c>
      <c r="H206" s="31" t="s">
        <v>324</v>
      </c>
      <c r="I206" s="31" t="s">
        <v>481</v>
      </c>
      <c r="J206" s="31" t="s">
        <v>699</v>
      </c>
      <c r="K206" s="31" t="s">
        <v>717</v>
      </c>
      <c r="L206" s="31" t="s">
        <v>162</v>
      </c>
      <c r="M206" s="31" t="s">
        <v>144</v>
      </c>
      <c r="N206" s="31" t="s">
        <v>144</v>
      </c>
      <c r="O206" s="31">
        <v>16</v>
      </c>
      <c r="P206" s="31" t="s">
        <v>144</v>
      </c>
      <c r="Q206" s="31" t="s">
        <v>649</v>
      </c>
      <c r="R206" s="31" t="s">
        <v>320</v>
      </c>
      <c r="S206" s="31" t="s">
        <v>259</v>
      </c>
      <c r="T206" s="31" t="s">
        <v>479</v>
      </c>
      <c r="U206" s="31" t="s">
        <v>144</v>
      </c>
      <c r="V206" s="31" t="s">
        <v>144</v>
      </c>
      <c r="W206" s="31" t="s">
        <v>144</v>
      </c>
      <c r="X206" s="31" t="s">
        <v>144</v>
      </c>
      <c r="Y206" s="31" t="s">
        <v>144</v>
      </c>
      <c r="Z206" s="31" t="s">
        <v>144</v>
      </c>
      <c r="AA206" s="378">
        <v>16</v>
      </c>
      <c r="AB206" s="378">
        <v>15.5</v>
      </c>
      <c r="AC206" s="378">
        <v>0.3</v>
      </c>
      <c r="AD206" s="378">
        <v>0.2</v>
      </c>
      <c r="AE206" s="31">
        <v>1.3</v>
      </c>
      <c r="AF206" s="31">
        <v>28</v>
      </c>
      <c r="AG206" s="31" t="s">
        <v>144</v>
      </c>
      <c r="AH206" s="31" t="s">
        <v>144</v>
      </c>
      <c r="AI206" s="31" t="s">
        <v>144</v>
      </c>
      <c r="AJ206" s="31" t="s">
        <v>144</v>
      </c>
      <c r="AK206" s="31" t="s">
        <v>144</v>
      </c>
      <c r="AL206" s="31" t="s">
        <v>325</v>
      </c>
      <c r="AM206" s="31" t="s">
        <v>144</v>
      </c>
      <c r="AN206" s="31" t="s">
        <v>163</v>
      </c>
      <c r="AO206" s="31" t="s">
        <v>144</v>
      </c>
      <c r="AP206" s="31" t="s">
        <v>144</v>
      </c>
      <c r="AQ206" s="31"/>
    </row>
    <row r="207" spans="5:43" ht="15" customHeight="1" x14ac:dyDescent="0.25">
      <c r="E207" s="31" t="s">
        <v>133</v>
      </c>
      <c r="F207" s="31" t="s">
        <v>140</v>
      </c>
      <c r="G207" s="31" t="s">
        <v>323</v>
      </c>
      <c r="H207" s="31" t="s">
        <v>324</v>
      </c>
      <c r="I207" s="31" t="s">
        <v>481</v>
      </c>
      <c r="J207" s="31" t="s">
        <v>699</v>
      </c>
      <c r="K207" s="31" t="s">
        <v>718</v>
      </c>
      <c r="L207" s="31" t="s">
        <v>162</v>
      </c>
      <c r="M207" s="31" t="s">
        <v>144</v>
      </c>
      <c r="N207" s="31" t="s">
        <v>144</v>
      </c>
      <c r="O207" s="31">
        <v>16</v>
      </c>
      <c r="P207" s="31" t="s">
        <v>144</v>
      </c>
      <c r="Q207" s="31" t="s">
        <v>649</v>
      </c>
      <c r="R207" s="31" t="s">
        <v>320</v>
      </c>
      <c r="S207" s="31" t="s">
        <v>259</v>
      </c>
      <c r="T207" s="31" t="s">
        <v>479</v>
      </c>
      <c r="U207" s="31" t="s">
        <v>144</v>
      </c>
      <c r="V207" s="31" t="s">
        <v>144</v>
      </c>
      <c r="W207" s="31" t="s">
        <v>144</v>
      </c>
      <c r="X207" s="31" t="s">
        <v>144</v>
      </c>
      <c r="Y207" s="31" t="s">
        <v>144</v>
      </c>
      <c r="Z207" s="31" t="s">
        <v>144</v>
      </c>
      <c r="AA207" s="378">
        <v>16</v>
      </c>
      <c r="AB207" s="378">
        <v>15.5</v>
      </c>
      <c r="AC207" s="378">
        <v>0.3</v>
      </c>
      <c r="AD207" s="378">
        <v>0.2</v>
      </c>
      <c r="AE207" s="31">
        <v>1.3</v>
      </c>
      <c r="AF207" s="31">
        <v>28</v>
      </c>
      <c r="AG207" s="31" t="s">
        <v>144</v>
      </c>
      <c r="AH207" s="31" t="s">
        <v>144</v>
      </c>
      <c r="AI207" s="31" t="s">
        <v>144</v>
      </c>
      <c r="AJ207" s="31" t="s">
        <v>144</v>
      </c>
      <c r="AK207" s="31" t="s">
        <v>144</v>
      </c>
      <c r="AL207" s="31" t="s">
        <v>325</v>
      </c>
      <c r="AM207" s="31" t="s">
        <v>144</v>
      </c>
      <c r="AN207" s="31" t="s">
        <v>163</v>
      </c>
      <c r="AO207" s="31" t="s">
        <v>144</v>
      </c>
      <c r="AP207" s="31" t="s">
        <v>144</v>
      </c>
      <c r="AQ207" s="31"/>
    </row>
    <row r="208" spans="5:43" ht="15" customHeight="1" x14ac:dyDescent="0.25">
      <c r="E208" s="31" t="s">
        <v>133</v>
      </c>
      <c r="F208" s="31" t="s">
        <v>140</v>
      </c>
      <c r="G208" s="31" t="s">
        <v>323</v>
      </c>
      <c r="H208" s="31" t="s">
        <v>324</v>
      </c>
      <c r="I208" s="31" t="s">
        <v>481</v>
      </c>
      <c r="J208" s="31" t="s">
        <v>699</v>
      </c>
      <c r="K208" s="31" t="s">
        <v>719</v>
      </c>
      <c r="L208" s="31" t="s">
        <v>162</v>
      </c>
      <c r="M208" s="31" t="s">
        <v>144</v>
      </c>
      <c r="N208" s="31" t="s">
        <v>144</v>
      </c>
      <c r="O208" s="31">
        <v>16</v>
      </c>
      <c r="P208" s="31" t="s">
        <v>144</v>
      </c>
      <c r="Q208" s="31" t="s">
        <v>649</v>
      </c>
      <c r="R208" s="31" t="s">
        <v>320</v>
      </c>
      <c r="S208" s="31" t="s">
        <v>259</v>
      </c>
      <c r="T208" s="31" t="s">
        <v>479</v>
      </c>
      <c r="U208" s="31" t="s">
        <v>144</v>
      </c>
      <c r="V208" s="31" t="s">
        <v>144</v>
      </c>
      <c r="W208" s="31" t="s">
        <v>144</v>
      </c>
      <c r="X208" s="31" t="s">
        <v>144</v>
      </c>
      <c r="Y208" s="31" t="s">
        <v>144</v>
      </c>
      <c r="Z208" s="31" t="s">
        <v>144</v>
      </c>
      <c r="AA208" s="378">
        <v>16</v>
      </c>
      <c r="AB208" s="378">
        <v>15.5</v>
      </c>
      <c r="AC208" s="378">
        <v>0.3</v>
      </c>
      <c r="AD208" s="378">
        <v>0.2</v>
      </c>
      <c r="AE208" s="31">
        <v>1.3</v>
      </c>
      <c r="AF208" s="31">
        <v>28</v>
      </c>
      <c r="AG208" s="31" t="s">
        <v>144</v>
      </c>
      <c r="AH208" s="31" t="s">
        <v>144</v>
      </c>
      <c r="AI208" s="31" t="s">
        <v>144</v>
      </c>
      <c r="AJ208" s="31" t="s">
        <v>144</v>
      </c>
      <c r="AK208" s="31" t="s">
        <v>144</v>
      </c>
      <c r="AL208" s="31" t="s">
        <v>325</v>
      </c>
      <c r="AM208" s="31" t="s">
        <v>144</v>
      </c>
      <c r="AN208" s="31" t="s">
        <v>163</v>
      </c>
      <c r="AO208" s="31" t="s">
        <v>144</v>
      </c>
      <c r="AP208" s="31" t="s">
        <v>144</v>
      </c>
      <c r="AQ208" s="31"/>
    </row>
    <row r="209" spans="5:43" ht="15" customHeight="1" x14ac:dyDescent="0.25">
      <c r="E209" s="31" t="s">
        <v>133</v>
      </c>
      <c r="F209" s="31" t="s">
        <v>140</v>
      </c>
      <c r="G209" s="31" t="s">
        <v>323</v>
      </c>
      <c r="H209" s="31" t="s">
        <v>324</v>
      </c>
      <c r="I209" s="31" t="s">
        <v>481</v>
      </c>
      <c r="J209" s="31" t="s">
        <v>699</v>
      </c>
      <c r="K209" s="31" t="s">
        <v>720</v>
      </c>
      <c r="L209" s="31" t="s">
        <v>162</v>
      </c>
      <c r="M209" s="31" t="s">
        <v>144</v>
      </c>
      <c r="N209" s="31" t="s">
        <v>144</v>
      </c>
      <c r="O209" s="31">
        <v>16</v>
      </c>
      <c r="P209" s="31" t="s">
        <v>144</v>
      </c>
      <c r="Q209" s="31" t="s">
        <v>649</v>
      </c>
      <c r="R209" s="31" t="s">
        <v>320</v>
      </c>
      <c r="S209" s="31" t="s">
        <v>259</v>
      </c>
      <c r="T209" s="31" t="s">
        <v>479</v>
      </c>
      <c r="U209" s="31" t="s">
        <v>144</v>
      </c>
      <c r="V209" s="31" t="s">
        <v>144</v>
      </c>
      <c r="W209" s="31" t="s">
        <v>144</v>
      </c>
      <c r="X209" s="31" t="s">
        <v>144</v>
      </c>
      <c r="Y209" s="31" t="s">
        <v>144</v>
      </c>
      <c r="Z209" s="31" t="s">
        <v>144</v>
      </c>
      <c r="AA209" s="378">
        <v>16</v>
      </c>
      <c r="AB209" s="378">
        <v>15.5</v>
      </c>
      <c r="AC209" s="378">
        <v>0.3</v>
      </c>
      <c r="AD209" s="378">
        <v>0.2</v>
      </c>
      <c r="AE209" s="31">
        <v>1.3</v>
      </c>
      <c r="AF209" s="31">
        <v>28</v>
      </c>
      <c r="AG209" s="31" t="s">
        <v>144</v>
      </c>
      <c r="AH209" s="31" t="s">
        <v>144</v>
      </c>
      <c r="AI209" s="31" t="s">
        <v>144</v>
      </c>
      <c r="AJ209" s="31" t="s">
        <v>144</v>
      </c>
      <c r="AK209" s="31" t="s">
        <v>144</v>
      </c>
      <c r="AL209" s="31" t="s">
        <v>325</v>
      </c>
      <c r="AM209" s="31" t="s">
        <v>144</v>
      </c>
      <c r="AN209" s="31" t="s">
        <v>163</v>
      </c>
      <c r="AO209" s="31" t="s">
        <v>144</v>
      </c>
      <c r="AP209" s="31" t="s">
        <v>144</v>
      </c>
      <c r="AQ209" s="31"/>
    </row>
    <row r="210" spans="5:43" ht="15" customHeight="1" x14ac:dyDescent="0.25">
      <c r="E210" s="31" t="s">
        <v>133</v>
      </c>
      <c r="F210" s="31" t="s">
        <v>140</v>
      </c>
      <c r="G210" s="31" t="s">
        <v>323</v>
      </c>
      <c r="H210" s="31" t="s">
        <v>324</v>
      </c>
      <c r="I210" s="31" t="s">
        <v>481</v>
      </c>
      <c r="J210" s="31" t="s">
        <v>699</v>
      </c>
      <c r="K210" s="31" t="s">
        <v>721</v>
      </c>
      <c r="L210" s="31" t="s">
        <v>162</v>
      </c>
      <c r="M210" s="31" t="s">
        <v>144</v>
      </c>
      <c r="N210" s="31" t="s">
        <v>144</v>
      </c>
      <c r="O210" s="31">
        <v>16</v>
      </c>
      <c r="P210" s="31" t="s">
        <v>144</v>
      </c>
      <c r="Q210" s="31" t="s">
        <v>649</v>
      </c>
      <c r="R210" s="31" t="s">
        <v>320</v>
      </c>
      <c r="S210" s="31" t="s">
        <v>259</v>
      </c>
      <c r="T210" s="31" t="s">
        <v>479</v>
      </c>
      <c r="U210" s="31" t="s">
        <v>144</v>
      </c>
      <c r="V210" s="31" t="s">
        <v>144</v>
      </c>
      <c r="W210" s="31" t="s">
        <v>144</v>
      </c>
      <c r="X210" s="31" t="s">
        <v>144</v>
      </c>
      <c r="Y210" s="31" t="s">
        <v>144</v>
      </c>
      <c r="Z210" s="31" t="s">
        <v>144</v>
      </c>
      <c r="AA210" s="378">
        <v>16</v>
      </c>
      <c r="AB210" s="378">
        <v>15.5</v>
      </c>
      <c r="AC210" s="378">
        <v>0.3</v>
      </c>
      <c r="AD210" s="378">
        <v>0.2</v>
      </c>
      <c r="AE210" s="31">
        <v>1.3</v>
      </c>
      <c r="AF210" s="31">
        <v>28</v>
      </c>
      <c r="AG210" s="31" t="s">
        <v>144</v>
      </c>
      <c r="AH210" s="31" t="s">
        <v>144</v>
      </c>
      <c r="AI210" s="31" t="s">
        <v>144</v>
      </c>
      <c r="AJ210" s="31" t="s">
        <v>144</v>
      </c>
      <c r="AK210" s="31" t="s">
        <v>144</v>
      </c>
      <c r="AL210" s="31" t="s">
        <v>325</v>
      </c>
      <c r="AM210" s="31" t="s">
        <v>144</v>
      </c>
      <c r="AN210" s="31" t="s">
        <v>163</v>
      </c>
      <c r="AO210" s="31" t="s">
        <v>144</v>
      </c>
      <c r="AP210" s="31" t="s">
        <v>144</v>
      </c>
      <c r="AQ210" s="31"/>
    </row>
    <row r="211" spans="5:43" ht="15" customHeight="1" x14ac:dyDescent="0.25">
      <c r="E211" s="31" t="s">
        <v>133</v>
      </c>
      <c r="F211" s="31" t="s">
        <v>140</v>
      </c>
      <c r="G211" s="31" t="s">
        <v>323</v>
      </c>
      <c r="H211" s="31" t="s">
        <v>324</v>
      </c>
      <c r="I211" s="31" t="s">
        <v>481</v>
      </c>
      <c r="J211" s="31" t="s">
        <v>699</v>
      </c>
      <c r="K211" s="31" t="s">
        <v>722</v>
      </c>
      <c r="L211" s="31" t="s">
        <v>162</v>
      </c>
      <c r="M211" s="31" t="s">
        <v>144</v>
      </c>
      <c r="N211" s="31" t="s">
        <v>144</v>
      </c>
      <c r="O211" s="31">
        <v>16</v>
      </c>
      <c r="P211" s="31" t="s">
        <v>144</v>
      </c>
      <c r="Q211" s="31" t="s">
        <v>649</v>
      </c>
      <c r="R211" s="31" t="s">
        <v>320</v>
      </c>
      <c r="S211" s="31" t="s">
        <v>259</v>
      </c>
      <c r="T211" s="31" t="s">
        <v>479</v>
      </c>
      <c r="U211" s="31" t="s">
        <v>144</v>
      </c>
      <c r="V211" s="31" t="s">
        <v>144</v>
      </c>
      <c r="W211" s="31" t="s">
        <v>144</v>
      </c>
      <c r="X211" s="31" t="s">
        <v>144</v>
      </c>
      <c r="Y211" s="31" t="s">
        <v>144</v>
      </c>
      <c r="Z211" s="31" t="s">
        <v>144</v>
      </c>
      <c r="AA211" s="378">
        <v>16</v>
      </c>
      <c r="AB211" s="378">
        <v>15.5</v>
      </c>
      <c r="AC211" s="378">
        <v>0.3</v>
      </c>
      <c r="AD211" s="378">
        <v>0.2</v>
      </c>
      <c r="AE211" s="31">
        <v>1.3</v>
      </c>
      <c r="AF211" s="31">
        <v>28</v>
      </c>
      <c r="AG211" s="31" t="s">
        <v>144</v>
      </c>
      <c r="AH211" s="31" t="s">
        <v>144</v>
      </c>
      <c r="AI211" s="31" t="s">
        <v>144</v>
      </c>
      <c r="AJ211" s="31" t="s">
        <v>144</v>
      </c>
      <c r="AK211" s="31" t="s">
        <v>144</v>
      </c>
      <c r="AL211" s="31" t="s">
        <v>325</v>
      </c>
      <c r="AM211" s="31" t="s">
        <v>144</v>
      </c>
      <c r="AN211" s="31" t="s">
        <v>163</v>
      </c>
      <c r="AO211" s="31" t="s">
        <v>144</v>
      </c>
      <c r="AP211" s="31" t="s">
        <v>144</v>
      </c>
      <c r="AQ211" s="31"/>
    </row>
    <row r="212" spans="5:43" ht="15" customHeight="1" x14ac:dyDescent="0.25">
      <c r="E212" s="31" t="s">
        <v>133</v>
      </c>
      <c r="F212" s="31" t="s">
        <v>140</v>
      </c>
      <c r="G212" s="31" t="s">
        <v>323</v>
      </c>
      <c r="H212" s="31" t="s">
        <v>324</v>
      </c>
      <c r="I212" s="31" t="s">
        <v>481</v>
      </c>
      <c r="J212" s="31" t="s">
        <v>699</v>
      </c>
      <c r="K212" s="31" t="s">
        <v>723</v>
      </c>
      <c r="L212" s="31" t="s">
        <v>162</v>
      </c>
      <c r="M212" s="31" t="s">
        <v>144</v>
      </c>
      <c r="N212" s="31" t="s">
        <v>144</v>
      </c>
      <c r="O212" s="31">
        <v>16</v>
      </c>
      <c r="P212" s="31" t="s">
        <v>144</v>
      </c>
      <c r="Q212" s="31" t="s">
        <v>649</v>
      </c>
      <c r="R212" s="31" t="s">
        <v>320</v>
      </c>
      <c r="S212" s="31" t="s">
        <v>259</v>
      </c>
      <c r="T212" s="31" t="s">
        <v>479</v>
      </c>
      <c r="U212" s="31" t="s">
        <v>144</v>
      </c>
      <c r="V212" s="31" t="s">
        <v>144</v>
      </c>
      <c r="W212" s="31" t="s">
        <v>144</v>
      </c>
      <c r="X212" s="31" t="s">
        <v>144</v>
      </c>
      <c r="Y212" s="31" t="s">
        <v>144</v>
      </c>
      <c r="Z212" s="31" t="s">
        <v>144</v>
      </c>
      <c r="AA212" s="378">
        <v>16</v>
      </c>
      <c r="AB212" s="378">
        <v>15.5</v>
      </c>
      <c r="AC212" s="378">
        <v>0.3</v>
      </c>
      <c r="AD212" s="378">
        <v>0.2</v>
      </c>
      <c r="AE212" s="31">
        <v>1.3</v>
      </c>
      <c r="AF212" s="31">
        <v>28</v>
      </c>
      <c r="AG212" s="31" t="s">
        <v>144</v>
      </c>
      <c r="AH212" s="31" t="s">
        <v>144</v>
      </c>
      <c r="AI212" s="31" t="s">
        <v>144</v>
      </c>
      <c r="AJ212" s="31" t="s">
        <v>144</v>
      </c>
      <c r="AK212" s="31" t="s">
        <v>144</v>
      </c>
      <c r="AL212" s="31" t="s">
        <v>325</v>
      </c>
      <c r="AM212" s="31" t="s">
        <v>144</v>
      </c>
      <c r="AN212" s="31" t="s">
        <v>163</v>
      </c>
      <c r="AO212" s="31" t="s">
        <v>144</v>
      </c>
      <c r="AP212" s="31" t="s">
        <v>144</v>
      </c>
      <c r="AQ212" s="31"/>
    </row>
    <row r="213" spans="5:43" ht="15" customHeight="1" x14ac:dyDescent="0.25">
      <c r="E213" s="31" t="s">
        <v>133</v>
      </c>
      <c r="F213" s="31" t="s">
        <v>140</v>
      </c>
      <c r="G213" s="31" t="s">
        <v>323</v>
      </c>
      <c r="H213" s="31" t="s">
        <v>324</v>
      </c>
      <c r="I213" s="31" t="s">
        <v>481</v>
      </c>
      <c r="J213" s="31" t="s">
        <v>699</v>
      </c>
      <c r="K213" s="31" t="s">
        <v>724</v>
      </c>
      <c r="L213" s="31" t="s">
        <v>162</v>
      </c>
      <c r="M213" s="31" t="s">
        <v>144</v>
      </c>
      <c r="N213" s="31" t="s">
        <v>144</v>
      </c>
      <c r="O213" s="31">
        <v>16</v>
      </c>
      <c r="P213" s="31" t="s">
        <v>144</v>
      </c>
      <c r="Q213" s="31" t="s">
        <v>649</v>
      </c>
      <c r="R213" s="31" t="s">
        <v>320</v>
      </c>
      <c r="S213" s="31" t="s">
        <v>259</v>
      </c>
      <c r="T213" s="31" t="s">
        <v>479</v>
      </c>
      <c r="U213" s="31" t="s">
        <v>144</v>
      </c>
      <c r="V213" s="31" t="s">
        <v>144</v>
      </c>
      <c r="W213" s="31" t="s">
        <v>144</v>
      </c>
      <c r="X213" s="31" t="s">
        <v>144</v>
      </c>
      <c r="Y213" s="31" t="s">
        <v>144</v>
      </c>
      <c r="Z213" s="31" t="s">
        <v>144</v>
      </c>
      <c r="AA213" s="378">
        <v>16</v>
      </c>
      <c r="AB213" s="378">
        <v>15.5</v>
      </c>
      <c r="AC213" s="378">
        <v>0.3</v>
      </c>
      <c r="AD213" s="378">
        <v>0.2</v>
      </c>
      <c r="AE213" s="31">
        <v>1.3</v>
      </c>
      <c r="AF213" s="31">
        <v>28</v>
      </c>
      <c r="AG213" s="31" t="s">
        <v>144</v>
      </c>
      <c r="AH213" s="31" t="s">
        <v>144</v>
      </c>
      <c r="AI213" s="31" t="s">
        <v>144</v>
      </c>
      <c r="AJ213" s="31" t="s">
        <v>144</v>
      </c>
      <c r="AK213" s="31" t="s">
        <v>144</v>
      </c>
      <c r="AL213" s="31" t="s">
        <v>325</v>
      </c>
      <c r="AM213" s="31" t="s">
        <v>144</v>
      </c>
      <c r="AN213" s="31" t="s">
        <v>163</v>
      </c>
      <c r="AO213" s="31" t="s">
        <v>144</v>
      </c>
      <c r="AP213" s="31" t="s">
        <v>144</v>
      </c>
      <c r="AQ213" s="31"/>
    </row>
    <row r="214" spans="5:43" ht="15" customHeight="1" x14ac:dyDescent="0.25">
      <c r="E214" s="31" t="s">
        <v>133</v>
      </c>
      <c r="F214" s="31" t="s">
        <v>140</v>
      </c>
      <c r="G214" s="31" t="s">
        <v>323</v>
      </c>
      <c r="H214" s="31" t="s">
        <v>324</v>
      </c>
      <c r="I214" s="31" t="s">
        <v>481</v>
      </c>
      <c r="J214" s="31" t="s">
        <v>699</v>
      </c>
      <c r="K214" s="31" t="s">
        <v>725</v>
      </c>
      <c r="L214" s="31" t="s">
        <v>162</v>
      </c>
      <c r="M214" s="31" t="s">
        <v>144</v>
      </c>
      <c r="N214" s="31" t="s">
        <v>144</v>
      </c>
      <c r="O214" s="31">
        <v>16</v>
      </c>
      <c r="P214" s="31" t="s">
        <v>144</v>
      </c>
      <c r="Q214" s="31" t="s">
        <v>649</v>
      </c>
      <c r="R214" s="31" t="s">
        <v>320</v>
      </c>
      <c r="S214" s="31" t="s">
        <v>259</v>
      </c>
      <c r="T214" s="31" t="s">
        <v>479</v>
      </c>
      <c r="U214" s="31" t="s">
        <v>144</v>
      </c>
      <c r="V214" s="31" t="s">
        <v>144</v>
      </c>
      <c r="W214" s="31" t="s">
        <v>144</v>
      </c>
      <c r="X214" s="31" t="s">
        <v>144</v>
      </c>
      <c r="Y214" s="31" t="s">
        <v>144</v>
      </c>
      <c r="Z214" s="31" t="s">
        <v>144</v>
      </c>
      <c r="AA214" s="378">
        <v>16</v>
      </c>
      <c r="AB214" s="378">
        <v>15.5</v>
      </c>
      <c r="AC214" s="378">
        <v>0.3</v>
      </c>
      <c r="AD214" s="378">
        <v>0.2</v>
      </c>
      <c r="AE214" s="31">
        <v>1.3</v>
      </c>
      <c r="AF214" s="31">
        <v>28</v>
      </c>
      <c r="AG214" s="31" t="s">
        <v>144</v>
      </c>
      <c r="AH214" s="31" t="s">
        <v>144</v>
      </c>
      <c r="AI214" s="31" t="s">
        <v>144</v>
      </c>
      <c r="AJ214" s="31" t="s">
        <v>144</v>
      </c>
      <c r="AK214" s="31" t="s">
        <v>144</v>
      </c>
      <c r="AL214" s="31" t="s">
        <v>325</v>
      </c>
      <c r="AM214" s="31" t="s">
        <v>144</v>
      </c>
      <c r="AN214" s="31" t="s">
        <v>163</v>
      </c>
      <c r="AO214" s="31" t="s">
        <v>144</v>
      </c>
      <c r="AP214" s="31" t="s">
        <v>144</v>
      </c>
      <c r="AQ214" s="31"/>
    </row>
    <row r="215" spans="5:43" ht="15" customHeight="1" x14ac:dyDescent="0.25">
      <c r="E215" s="31" t="s">
        <v>133</v>
      </c>
      <c r="F215" s="31" t="s">
        <v>140</v>
      </c>
      <c r="G215" s="31" t="s">
        <v>323</v>
      </c>
      <c r="H215" s="31" t="s">
        <v>324</v>
      </c>
      <c r="I215" s="31" t="s">
        <v>481</v>
      </c>
      <c r="J215" s="31" t="s">
        <v>699</v>
      </c>
      <c r="K215" s="31" t="s">
        <v>726</v>
      </c>
      <c r="L215" s="31" t="s">
        <v>162</v>
      </c>
      <c r="M215" s="31" t="s">
        <v>144</v>
      </c>
      <c r="N215" s="31" t="s">
        <v>144</v>
      </c>
      <c r="O215" s="31">
        <v>16</v>
      </c>
      <c r="P215" s="31" t="s">
        <v>144</v>
      </c>
      <c r="Q215" s="31" t="s">
        <v>649</v>
      </c>
      <c r="R215" s="31" t="s">
        <v>320</v>
      </c>
      <c r="S215" s="31" t="s">
        <v>259</v>
      </c>
      <c r="T215" s="31" t="s">
        <v>479</v>
      </c>
      <c r="U215" s="31" t="s">
        <v>144</v>
      </c>
      <c r="V215" s="31" t="s">
        <v>144</v>
      </c>
      <c r="W215" s="31" t="s">
        <v>144</v>
      </c>
      <c r="X215" s="31" t="s">
        <v>144</v>
      </c>
      <c r="Y215" s="31" t="s">
        <v>144</v>
      </c>
      <c r="Z215" s="31" t="s">
        <v>144</v>
      </c>
      <c r="AA215" s="378">
        <v>16</v>
      </c>
      <c r="AB215" s="378">
        <v>15.5</v>
      </c>
      <c r="AC215" s="378">
        <v>0.3</v>
      </c>
      <c r="AD215" s="378">
        <v>0.2</v>
      </c>
      <c r="AE215" s="31">
        <v>1.3</v>
      </c>
      <c r="AF215" s="31">
        <v>28</v>
      </c>
      <c r="AG215" s="31" t="s">
        <v>144</v>
      </c>
      <c r="AH215" s="31" t="s">
        <v>144</v>
      </c>
      <c r="AI215" s="31" t="s">
        <v>144</v>
      </c>
      <c r="AJ215" s="31" t="s">
        <v>144</v>
      </c>
      <c r="AK215" s="31" t="s">
        <v>144</v>
      </c>
      <c r="AL215" s="31" t="s">
        <v>325</v>
      </c>
      <c r="AM215" s="31" t="s">
        <v>144</v>
      </c>
      <c r="AN215" s="31" t="s">
        <v>163</v>
      </c>
      <c r="AO215" s="31" t="s">
        <v>144</v>
      </c>
      <c r="AP215" s="31" t="s">
        <v>144</v>
      </c>
      <c r="AQ215" s="31"/>
    </row>
    <row r="216" spans="5:43" ht="15" customHeight="1" x14ac:dyDescent="0.25">
      <c r="E216" s="31" t="s">
        <v>133</v>
      </c>
      <c r="F216" s="31" t="s">
        <v>140</v>
      </c>
      <c r="G216" s="31" t="s">
        <v>323</v>
      </c>
      <c r="H216" s="31" t="s">
        <v>324</v>
      </c>
      <c r="I216" s="31" t="s">
        <v>481</v>
      </c>
      <c r="J216" s="31" t="s">
        <v>699</v>
      </c>
      <c r="K216" s="31" t="s">
        <v>727</v>
      </c>
      <c r="L216" s="31" t="s">
        <v>162</v>
      </c>
      <c r="M216" s="31" t="s">
        <v>144</v>
      </c>
      <c r="N216" s="31" t="s">
        <v>144</v>
      </c>
      <c r="O216" s="31">
        <v>16</v>
      </c>
      <c r="P216" s="31" t="s">
        <v>144</v>
      </c>
      <c r="Q216" s="31" t="s">
        <v>649</v>
      </c>
      <c r="R216" s="31" t="s">
        <v>320</v>
      </c>
      <c r="S216" s="31" t="s">
        <v>259</v>
      </c>
      <c r="T216" s="31" t="s">
        <v>479</v>
      </c>
      <c r="U216" s="31" t="s">
        <v>144</v>
      </c>
      <c r="V216" s="31" t="s">
        <v>144</v>
      </c>
      <c r="W216" s="31" t="s">
        <v>144</v>
      </c>
      <c r="X216" s="31" t="s">
        <v>144</v>
      </c>
      <c r="Y216" s="31" t="s">
        <v>144</v>
      </c>
      <c r="Z216" s="31" t="s">
        <v>144</v>
      </c>
      <c r="AA216" s="378">
        <v>16</v>
      </c>
      <c r="AB216" s="378">
        <v>15.5</v>
      </c>
      <c r="AC216" s="378">
        <v>0.3</v>
      </c>
      <c r="AD216" s="378">
        <v>0.2</v>
      </c>
      <c r="AE216" s="31">
        <v>1.3</v>
      </c>
      <c r="AF216" s="31">
        <v>28</v>
      </c>
      <c r="AG216" s="31" t="s">
        <v>144</v>
      </c>
      <c r="AH216" s="31" t="s">
        <v>144</v>
      </c>
      <c r="AI216" s="31" t="s">
        <v>144</v>
      </c>
      <c r="AJ216" s="31" t="s">
        <v>144</v>
      </c>
      <c r="AK216" s="31" t="s">
        <v>144</v>
      </c>
      <c r="AL216" s="31" t="s">
        <v>325</v>
      </c>
      <c r="AM216" s="31" t="s">
        <v>144</v>
      </c>
      <c r="AN216" s="31" t="s">
        <v>163</v>
      </c>
      <c r="AO216" s="31" t="s">
        <v>144</v>
      </c>
      <c r="AP216" s="31" t="s">
        <v>144</v>
      </c>
      <c r="AQ216" s="31"/>
    </row>
    <row r="217" spans="5:43" ht="15" customHeight="1" x14ac:dyDescent="0.25">
      <c r="E217" s="31" t="s">
        <v>133</v>
      </c>
      <c r="F217" s="31" t="s">
        <v>140</v>
      </c>
      <c r="G217" s="31" t="s">
        <v>323</v>
      </c>
      <c r="H217" s="31" t="s">
        <v>324</v>
      </c>
      <c r="I217" s="31" t="s">
        <v>481</v>
      </c>
      <c r="J217" s="31" t="s">
        <v>699</v>
      </c>
      <c r="K217" s="31" t="s">
        <v>728</v>
      </c>
      <c r="L217" s="31" t="s">
        <v>162</v>
      </c>
      <c r="M217" s="31" t="s">
        <v>144</v>
      </c>
      <c r="N217" s="31" t="s">
        <v>144</v>
      </c>
      <c r="O217" s="31">
        <v>16</v>
      </c>
      <c r="P217" s="31" t="s">
        <v>144</v>
      </c>
      <c r="Q217" s="31" t="s">
        <v>649</v>
      </c>
      <c r="R217" s="31" t="s">
        <v>320</v>
      </c>
      <c r="S217" s="31" t="s">
        <v>259</v>
      </c>
      <c r="T217" s="31" t="s">
        <v>479</v>
      </c>
      <c r="U217" s="31" t="s">
        <v>144</v>
      </c>
      <c r="V217" s="31" t="s">
        <v>144</v>
      </c>
      <c r="W217" s="31" t="s">
        <v>144</v>
      </c>
      <c r="X217" s="31" t="s">
        <v>144</v>
      </c>
      <c r="Y217" s="31" t="s">
        <v>144</v>
      </c>
      <c r="Z217" s="31" t="s">
        <v>144</v>
      </c>
      <c r="AA217" s="378">
        <v>16</v>
      </c>
      <c r="AB217" s="378">
        <v>15.5</v>
      </c>
      <c r="AC217" s="378">
        <v>0.3</v>
      </c>
      <c r="AD217" s="378">
        <v>0.2</v>
      </c>
      <c r="AE217" s="31">
        <v>1.3</v>
      </c>
      <c r="AF217" s="31">
        <v>28</v>
      </c>
      <c r="AG217" s="31" t="s">
        <v>144</v>
      </c>
      <c r="AH217" s="31" t="s">
        <v>144</v>
      </c>
      <c r="AI217" s="31" t="s">
        <v>144</v>
      </c>
      <c r="AJ217" s="31" t="s">
        <v>144</v>
      </c>
      <c r="AK217" s="31" t="s">
        <v>144</v>
      </c>
      <c r="AL217" s="31" t="s">
        <v>325</v>
      </c>
      <c r="AM217" s="31" t="s">
        <v>144</v>
      </c>
      <c r="AN217" s="31" t="s">
        <v>163</v>
      </c>
      <c r="AO217" s="31" t="s">
        <v>144</v>
      </c>
      <c r="AP217" s="31" t="s">
        <v>144</v>
      </c>
      <c r="AQ217" s="31"/>
    </row>
    <row r="218" spans="5:43" ht="15" customHeight="1" x14ac:dyDescent="0.25">
      <c r="E218" s="31" t="s">
        <v>133</v>
      </c>
      <c r="F218" s="31" t="s">
        <v>140</v>
      </c>
      <c r="G218" s="31" t="s">
        <v>323</v>
      </c>
      <c r="H218" s="31" t="s">
        <v>324</v>
      </c>
      <c r="I218" s="31" t="s">
        <v>481</v>
      </c>
      <c r="J218" s="31" t="s">
        <v>699</v>
      </c>
      <c r="K218" s="31" t="s">
        <v>729</v>
      </c>
      <c r="L218" s="31" t="s">
        <v>162</v>
      </c>
      <c r="M218" s="31" t="s">
        <v>144</v>
      </c>
      <c r="N218" s="31" t="s">
        <v>144</v>
      </c>
      <c r="O218" s="31">
        <v>16</v>
      </c>
      <c r="P218" s="31" t="s">
        <v>144</v>
      </c>
      <c r="Q218" s="31" t="s">
        <v>649</v>
      </c>
      <c r="R218" s="31" t="s">
        <v>320</v>
      </c>
      <c r="S218" s="31" t="s">
        <v>259</v>
      </c>
      <c r="T218" s="31" t="s">
        <v>479</v>
      </c>
      <c r="U218" s="31" t="s">
        <v>144</v>
      </c>
      <c r="V218" s="31" t="s">
        <v>144</v>
      </c>
      <c r="W218" s="31" t="s">
        <v>144</v>
      </c>
      <c r="X218" s="31" t="s">
        <v>144</v>
      </c>
      <c r="Y218" s="31" t="s">
        <v>144</v>
      </c>
      <c r="Z218" s="31" t="s">
        <v>144</v>
      </c>
      <c r="AA218" s="378">
        <v>16</v>
      </c>
      <c r="AB218" s="378">
        <v>15.5</v>
      </c>
      <c r="AC218" s="378">
        <v>0.3</v>
      </c>
      <c r="AD218" s="378">
        <v>0.2</v>
      </c>
      <c r="AE218" s="31">
        <v>1.3</v>
      </c>
      <c r="AF218" s="31">
        <v>28</v>
      </c>
      <c r="AG218" s="31" t="s">
        <v>144</v>
      </c>
      <c r="AH218" s="31" t="s">
        <v>144</v>
      </c>
      <c r="AI218" s="31" t="s">
        <v>144</v>
      </c>
      <c r="AJ218" s="31" t="s">
        <v>144</v>
      </c>
      <c r="AK218" s="31" t="s">
        <v>144</v>
      </c>
      <c r="AL218" s="31" t="s">
        <v>325</v>
      </c>
      <c r="AM218" s="31" t="s">
        <v>144</v>
      </c>
      <c r="AN218" s="31" t="s">
        <v>163</v>
      </c>
      <c r="AO218" s="31" t="s">
        <v>144</v>
      </c>
      <c r="AP218" s="31" t="s">
        <v>144</v>
      </c>
      <c r="AQ218" s="31"/>
    </row>
    <row r="219" spans="5:43" ht="15" customHeight="1" x14ac:dyDescent="0.25">
      <c r="E219" s="31" t="s">
        <v>133</v>
      </c>
      <c r="F219" s="31" t="s">
        <v>140</v>
      </c>
      <c r="G219" s="31" t="s">
        <v>323</v>
      </c>
      <c r="H219" s="31" t="s">
        <v>324</v>
      </c>
      <c r="I219" s="31" t="s">
        <v>481</v>
      </c>
      <c r="J219" s="31" t="s">
        <v>699</v>
      </c>
      <c r="K219" s="31" t="s">
        <v>730</v>
      </c>
      <c r="L219" s="31" t="s">
        <v>162</v>
      </c>
      <c r="M219" s="31" t="s">
        <v>144</v>
      </c>
      <c r="N219" s="31" t="s">
        <v>144</v>
      </c>
      <c r="O219" s="31">
        <v>16</v>
      </c>
      <c r="P219" s="31" t="s">
        <v>144</v>
      </c>
      <c r="Q219" s="31" t="s">
        <v>649</v>
      </c>
      <c r="R219" s="31" t="s">
        <v>320</v>
      </c>
      <c r="S219" s="31" t="s">
        <v>259</v>
      </c>
      <c r="T219" s="31" t="s">
        <v>479</v>
      </c>
      <c r="U219" s="31" t="s">
        <v>144</v>
      </c>
      <c r="V219" s="31" t="s">
        <v>144</v>
      </c>
      <c r="W219" s="31" t="s">
        <v>144</v>
      </c>
      <c r="X219" s="31" t="s">
        <v>144</v>
      </c>
      <c r="Y219" s="31" t="s">
        <v>144</v>
      </c>
      <c r="Z219" s="31" t="s">
        <v>144</v>
      </c>
      <c r="AA219" s="378">
        <v>16</v>
      </c>
      <c r="AB219" s="378">
        <v>15.5</v>
      </c>
      <c r="AC219" s="378">
        <v>0.3</v>
      </c>
      <c r="AD219" s="378">
        <v>0.2</v>
      </c>
      <c r="AE219" s="31">
        <v>1.3</v>
      </c>
      <c r="AF219" s="31">
        <v>28</v>
      </c>
      <c r="AG219" s="31" t="s">
        <v>144</v>
      </c>
      <c r="AH219" s="31" t="s">
        <v>144</v>
      </c>
      <c r="AI219" s="31" t="s">
        <v>144</v>
      </c>
      <c r="AJ219" s="31" t="s">
        <v>144</v>
      </c>
      <c r="AK219" s="31" t="s">
        <v>144</v>
      </c>
      <c r="AL219" s="31" t="s">
        <v>325</v>
      </c>
      <c r="AM219" s="31" t="s">
        <v>144</v>
      </c>
      <c r="AN219" s="31" t="s">
        <v>163</v>
      </c>
      <c r="AO219" s="31" t="s">
        <v>144</v>
      </c>
      <c r="AP219" s="31" t="s">
        <v>144</v>
      </c>
      <c r="AQ219" s="31"/>
    </row>
    <row r="220" spans="5:43" ht="15" customHeight="1" x14ac:dyDescent="0.25">
      <c r="E220" s="31" t="s">
        <v>133</v>
      </c>
      <c r="F220" s="31" t="s">
        <v>140</v>
      </c>
      <c r="G220" s="31" t="s">
        <v>323</v>
      </c>
      <c r="H220" s="31" t="s">
        <v>324</v>
      </c>
      <c r="I220" s="31" t="s">
        <v>481</v>
      </c>
      <c r="J220" s="31" t="s">
        <v>699</v>
      </c>
      <c r="K220" s="31" t="s">
        <v>731</v>
      </c>
      <c r="L220" s="31" t="s">
        <v>162</v>
      </c>
      <c r="M220" s="31" t="s">
        <v>144</v>
      </c>
      <c r="N220" s="31" t="s">
        <v>144</v>
      </c>
      <c r="O220" s="31">
        <v>16</v>
      </c>
      <c r="P220" s="31" t="s">
        <v>144</v>
      </c>
      <c r="Q220" s="31" t="s">
        <v>649</v>
      </c>
      <c r="R220" s="31" t="s">
        <v>320</v>
      </c>
      <c r="S220" s="31" t="s">
        <v>259</v>
      </c>
      <c r="T220" s="31" t="s">
        <v>479</v>
      </c>
      <c r="U220" s="31" t="s">
        <v>144</v>
      </c>
      <c r="V220" s="31" t="s">
        <v>144</v>
      </c>
      <c r="W220" s="31" t="s">
        <v>144</v>
      </c>
      <c r="X220" s="31" t="s">
        <v>144</v>
      </c>
      <c r="Y220" s="31" t="s">
        <v>144</v>
      </c>
      <c r="Z220" s="31" t="s">
        <v>144</v>
      </c>
      <c r="AA220" s="378">
        <v>16</v>
      </c>
      <c r="AB220" s="378">
        <v>15.5</v>
      </c>
      <c r="AC220" s="378">
        <v>0.3</v>
      </c>
      <c r="AD220" s="378">
        <v>0.2</v>
      </c>
      <c r="AE220" s="31">
        <v>1.3</v>
      </c>
      <c r="AF220" s="31">
        <v>28</v>
      </c>
      <c r="AG220" s="31" t="s">
        <v>144</v>
      </c>
      <c r="AH220" s="31" t="s">
        <v>144</v>
      </c>
      <c r="AI220" s="31" t="s">
        <v>144</v>
      </c>
      <c r="AJ220" s="31" t="s">
        <v>144</v>
      </c>
      <c r="AK220" s="31" t="s">
        <v>144</v>
      </c>
      <c r="AL220" s="31" t="s">
        <v>325</v>
      </c>
      <c r="AM220" s="31" t="s">
        <v>144</v>
      </c>
      <c r="AN220" s="31" t="s">
        <v>163</v>
      </c>
      <c r="AO220" s="31" t="s">
        <v>144</v>
      </c>
      <c r="AP220" s="31" t="s">
        <v>144</v>
      </c>
      <c r="AQ220" s="31"/>
    </row>
    <row r="221" spans="5:43" ht="15" customHeight="1" x14ac:dyDescent="0.25">
      <c r="E221" s="31" t="s">
        <v>133</v>
      </c>
      <c r="F221" s="31" t="s">
        <v>140</v>
      </c>
      <c r="G221" s="31" t="s">
        <v>323</v>
      </c>
      <c r="H221" s="31" t="s">
        <v>324</v>
      </c>
      <c r="I221" s="31" t="s">
        <v>481</v>
      </c>
      <c r="J221" s="31" t="s">
        <v>699</v>
      </c>
      <c r="K221" s="31" t="s">
        <v>732</v>
      </c>
      <c r="L221" s="31" t="s">
        <v>162</v>
      </c>
      <c r="M221" s="31" t="s">
        <v>144</v>
      </c>
      <c r="N221" s="31" t="s">
        <v>144</v>
      </c>
      <c r="O221" s="31">
        <v>16</v>
      </c>
      <c r="P221" s="31" t="s">
        <v>144</v>
      </c>
      <c r="Q221" s="31" t="s">
        <v>649</v>
      </c>
      <c r="R221" s="31" t="s">
        <v>320</v>
      </c>
      <c r="S221" s="31" t="s">
        <v>259</v>
      </c>
      <c r="T221" s="31" t="s">
        <v>479</v>
      </c>
      <c r="U221" s="31" t="s">
        <v>144</v>
      </c>
      <c r="V221" s="31" t="s">
        <v>144</v>
      </c>
      <c r="W221" s="31" t="s">
        <v>144</v>
      </c>
      <c r="X221" s="31" t="s">
        <v>144</v>
      </c>
      <c r="Y221" s="31" t="s">
        <v>144</v>
      </c>
      <c r="Z221" s="31" t="s">
        <v>144</v>
      </c>
      <c r="AA221" s="378">
        <v>16</v>
      </c>
      <c r="AB221" s="378">
        <v>15.5</v>
      </c>
      <c r="AC221" s="378">
        <v>0.3</v>
      </c>
      <c r="AD221" s="378">
        <v>0.2</v>
      </c>
      <c r="AE221" s="31">
        <v>1.3</v>
      </c>
      <c r="AF221" s="31">
        <v>28</v>
      </c>
      <c r="AG221" s="31" t="s">
        <v>144</v>
      </c>
      <c r="AH221" s="31" t="s">
        <v>144</v>
      </c>
      <c r="AI221" s="31" t="s">
        <v>144</v>
      </c>
      <c r="AJ221" s="31" t="s">
        <v>144</v>
      </c>
      <c r="AK221" s="31" t="s">
        <v>144</v>
      </c>
      <c r="AL221" s="31" t="s">
        <v>325</v>
      </c>
      <c r="AM221" s="31" t="s">
        <v>144</v>
      </c>
      <c r="AN221" s="31" t="s">
        <v>163</v>
      </c>
      <c r="AO221" s="31" t="s">
        <v>144</v>
      </c>
      <c r="AP221" s="31" t="s">
        <v>144</v>
      </c>
      <c r="AQ221" s="31"/>
    </row>
    <row r="222" spans="5:43" ht="15" customHeight="1" x14ac:dyDescent="0.25">
      <c r="E222" s="31" t="s">
        <v>133</v>
      </c>
      <c r="F222" s="31" t="s">
        <v>140</v>
      </c>
      <c r="G222" s="31" t="s">
        <v>323</v>
      </c>
      <c r="H222" s="31" t="s">
        <v>324</v>
      </c>
      <c r="I222" s="31" t="s">
        <v>481</v>
      </c>
      <c r="J222" s="31" t="s">
        <v>699</v>
      </c>
      <c r="K222" s="31" t="s">
        <v>733</v>
      </c>
      <c r="L222" s="31" t="s">
        <v>162</v>
      </c>
      <c r="M222" s="31" t="s">
        <v>144</v>
      </c>
      <c r="N222" s="31" t="s">
        <v>144</v>
      </c>
      <c r="O222" s="31">
        <v>16</v>
      </c>
      <c r="P222" s="31" t="s">
        <v>144</v>
      </c>
      <c r="Q222" s="31" t="s">
        <v>649</v>
      </c>
      <c r="R222" s="31" t="s">
        <v>320</v>
      </c>
      <c r="S222" s="31" t="s">
        <v>259</v>
      </c>
      <c r="T222" s="31" t="s">
        <v>479</v>
      </c>
      <c r="U222" s="31" t="s">
        <v>144</v>
      </c>
      <c r="V222" s="31" t="s">
        <v>144</v>
      </c>
      <c r="W222" s="31" t="s">
        <v>144</v>
      </c>
      <c r="X222" s="31" t="s">
        <v>144</v>
      </c>
      <c r="Y222" s="31" t="s">
        <v>144</v>
      </c>
      <c r="Z222" s="31" t="s">
        <v>144</v>
      </c>
      <c r="AA222" s="378">
        <v>16</v>
      </c>
      <c r="AB222" s="378">
        <v>15.5</v>
      </c>
      <c r="AC222" s="378">
        <v>0.3</v>
      </c>
      <c r="AD222" s="378">
        <v>0.2</v>
      </c>
      <c r="AE222" s="31">
        <v>1.3</v>
      </c>
      <c r="AF222" s="31">
        <v>28</v>
      </c>
      <c r="AG222" s="31" t="s">
        <v>144</v>
      </c>
      <c r="AH222" s="31" t="s">
        <v>144</v>
      </c>
      <c r="AI222" s="31" t="s">
        <v>144</v>
      </c>
      <c r="AJ222" s="31" t="s">
        <v>144</v>
      </c>
      <c r="AK222" s="31" t="s">
        <v>144</v>
      </c>
      <c r="AL222" s="31" t="s">
        <v>325</v>
      </c>
      <c r="AM222" s="31" t="s">
        <v>144</v>
      </c>
      <c r="AN222" s="31" t="s">
        <v>163</v>
      </c>
      <c r="AO222" s="31" t="s">
        <v>144</v>
      </c>
      <c r="AP222" s="31" t="s">
        <v>144</v>
      </c>
      <c r="AQ222" s="31"/>
    </row>
    <row r="223" spans="5:43" ht="15" customHeight="1" x14ac:dyDescent="0.25">
      <c r="E223" s="31" t="s">
        <v>133</v>
      </c>
      <c r="F223" s="31" t="s">
        <v>140</v>
      </c>
      <c r="G223" s="31" t="s">
        <v>323</v>
      </c>
      <c r="H223" s="31" t="s">
        <v>324</v>
      </c>
      <c r="I223" s="31" t="s">
        <v>481</v>
      </c>
      <c r="J223" s="31" t="s">
        <v>699</v>
      </c>
      <c r="K223" s="31" t="s">
        <v>734</v>
      </c>
      <c r="L223" s="31" t="s">
        <v>162</v>
      </c>
      <c r="M223" s="31" t="s">
        <v>144</v>
      </c>
      <c r="N223" s="31" t="s">
        <v>144</v>
      </c>
      <c r="O223" s="31">
        <v>16</v>
      </c>
      <c r="P223" s="31" t="s">
        <v>144</v>
      </c>
      <c r="Q223" s="31" t="s">
        <v>649</v>
      </c>
      <c r="R223" s="31" t="s">
        <v>320</v>
      </c>
      <c r="S223" s="31" t="s">
        <v>259</v>
      </c>
      <c r="T223" s="31" t="s">
        <v>479</v>
      </c>
      <c r="U223" s="31" t="s">
        <v>144</v>
      </c>
      <c r="V223" s="31" t="s">
        <v>144</v>
      </c>
      <c r="W223" s="31" t="s">
        <v>144</v>
      </c>
      <c r="X223" s="31" t="s">
        <v>144</v>
      </c>
      <c r="Y223" s="31" t="s">
        <v>144</v>
      </c>
      <c r="Z223" s="31" t="s">
        <v>144</v>
      </c>
      <c r="AA223" s="378">
        <v>16</v>
      </c>
      <c r="AB223" s="378">
        <v>15.5</v>
      </c>
      <c r="AC223" s="378">
        <v>0.3</v>
      </c>
      <c r="AD223" s="378">
        <v>0.2</v>
      </c>
      <c r="AE223" s="31">
        <v>1.3</v>
      </c>
      <c r="AF223" s="31">
        <v>28</v>
      </c>
      <c r="AG223" s="31" t="s">
        <v>144</v>
      </c>
      <c r="AH223" s="31" t="s">
        <v>144</v>
      </c>
      <c r="AI223" s="31" t="s">
        <v>144</v>
      </c>
      <c r="AJ223" s="31" t="s">
        <v>144</v>
      </c>
      <c r="AK223" s="31" t="s">
        <v>144</v>
      </c>
      <c r="AL223" s="31" t="s">
        <v>325</v>
      </c>
      <c r="AM223" s="31" t="s">
        <v>144</v>
      </c>
      <c r="AN223" s="31" t="s">
        <v>163</v>
      </c>
      <c r="AO223" s="31" t="s">
        <v>144</v>
      </c>
      <c r="AP223" s="31" t="s">
        <v>144</v>
      </c>
      <c r="AQ223" s="31"/>
    </row>
    <row r="224" spans="5:43" ht="15" customHeight="1" x14ac:dyDescent="0.25">
      <c r="E224" s="31" t="s">
        <v>133</v>
      </c>
      <c r="F224" s="31" t="s">
        <v>140</v>
      </c>
      <c r="G224" s="31" t="s">
        <v>323</v>
      </c>
      <c r="H224" s="31" t="s">
        <v>324</v>
      </c>
      <c r="I224" s="31" t="s">
        <v>481</v>
      </c>
      <c r="J224" s="31" t="s">
        <v>699</v>
      </c>
      <c r="K224" s="31" t="s">
        <v>735</v>
      </c>
      <c r="L224" s="31" t="s">
        <v>162</v>
      </c>
      <c r="M224" s="31" t="s">
        <v>144</v>
      </c>
      <c r="N224" s="31" t="s">
        <v>144</v>
      </c>
      <c r="O224" s="31">
        <v>16</v>
      </c>
      <c r="P224" s="31" t="s">
        <v>144</v>
      </c>
      <c r="Q224" s="31" t="s">
        <v>649</v>
      </c>
      <c r="R224" s="31" t="s">
        <v>320</v>
      </c>
      <c r="S224" s="31" t="s">
        <v>259</v>
      </c>
      <c r="T224" s="31" t="s">
        <v>479</v>
      </c>
      <c r="U224" s="31" t="s">
        <v>144</v>
      </c>
      <c r="V224" s="31" t="s">
        <v>144</v>
      </c>
      <c r="W224" s="31" t="s">
        <v>144</v>
      </c>
      <c r="X224" s="31" t="s">
        <v>144</v>
      </c>
      <c r="Y224" s="31" t="s">
        <v>144</v>
      </c>
      <c r="Z224" s="31" t="s">
        <v>144</v>
      </c>
      <c r="AA224" s="378">
        <v>16</v>
      </c>
      <c r="AB224" s="378">
        <v>15.5</v>
      </c>
      <c r="AC224" s="378">
        <v>0.3</v>
      </c>
      <c r="AD224" s="378">
        <v>0.2</v>
      </c>
      <c r="AE224" s="31">
        <v>1.3</v>
      </c>
      <c r="AF224" s="31">
        <v>28</v>
      </c>
      <c r="AG224" s="31" t="s">
        <v>144</v>
      </c>
      <c r="AH224" s="31" t="s">
        <v>144</v>
      </c>
      <c r="AI224" s="31" t="s">
        <v>144</v>
      </c>
      <c r="AJ224" s="31" t="s">
        <v>144</v>
      </c>
      <c r="AK224" s="31" t="s">
        <v>144</v>
      </c>
      <c r="AL224" s="31" t="s">
        <v>325</v>
      </c>
      <c r="AM224" s="31" t="s">
        <v>144</v>
      </c>
      <c r="AN224" s="31" t="s">
        <v>163</v>
      </c>
      <c r="AO224" s="31" t="s">
        <v>144</v>
      </c>
      <c r="AP224" s="31" t="s">
        <v>144</v>
      </c>
      <c r="AQ224" s="31"/>
    </row>
    <row r="225" spans="5:43" ht="15" customHeight="1" x14ac:dyDescent="0.25">
      <c r="E225" s="31" t="s">
        <v>133</v>
      </c>
      <c r="F225" s="31" t="s">
        <v>140</v>
      </c>
      <c r="G225" s="31" t="s">
        <v>323</v>
      </c>
      <c r="H225" s="31" t="s">
        <v>324</v>
      </c>
      <c r="I225" s="31" t="s">
        <v>481</v>
      </c>
      <c r="J225" s="31" t="s">
        <v>699</v>
      </c>
      <c r="K225" s="31" t="s">
        <v>736</v>
      </c>
      <c r="L225" s="31" t="s">
        <v>162</v>
      </c>
      <c r="M225" s="31" t="s">
        <v>144</v>
      </c>
      <c r="N225" s="31" t="s">
        <v>144</v>
      </c>
      <c r="O225" s="31">
        <v>16</v>
      </c>
      <c r="P225" s="31" t="s">
        <v>144</v>
      </c>
      <c r="Q225" s="31" t="s">
        <v>649</v>
      </c>
      <c r="R225" s="31" t="s">
        <v>320</v>
      </c>
      <c r="S225" s="31" t="s">
        <v>259</v>
      </c>
      <c r="T225" s="31" t="s">
        <v>479</v>
      </c>
      <c r="U225" s="31" t="s">
        <v>144</v>
      </c>
      <c r="V225" s="31" t="s">
        <v>144</v>
      </c>
      <c r="W225" s="31" t="s">
        <v>144</v>
      </c>
      <c r="X225" s="31" t="s">
        <v>144</v>
      </c>
      <c r="Y225" s="31" t="s">
        <v>144</v>
      </c>
      <c r="Z225" s="31" t="s">
        <v>144</v>
      </c>
      <c r="AA225" s="378">
        <v>16</v>
      </c>
      <c r="AB225" s="378">
        <v>15.5</v>
      </c>
      <c r="AC225" s="378">
        <v>0.3</v>
      </c>
      <c r="AD225" s="378">
        <v>0.2</v>
      </c>
      <c r="AE225" s="31">
        <v>1.3</v>
      </c>
      <c r="AF225" s="31">
        <v>28</v>
      </c>
      <c r="AG225" s="31" t="s">
        <v>144</v>
      </c>
      <c r="AH225" s="31" t="s">
        <v>144</v>
      </c>
      <c r="AI225" s="31" t="s">
        <v>144</v>
      </c>
      <c r="AJ225" s="31" t="s">
        <v>144</v>
      </c>
      <c r="AK225" s="31" t="s">
        <v>144</v>
      </c>
      <c r="AL225" s="31" t="s">
        <v>325</v>
      </c>
      <c r="AM225" s="31" t="s">
        <v>144</v>
      </c>
      <c r="AN225" s="31" t="s">
        <v>163</v>
      </c>
      <c r="AO225" s="31" t="s">
        <v>144</v>
      </c>
      <c r="AP225" s="31" t="s">
        <v>144</v>
      </c>
      <c r="AQ225" s="31"/>
    </row>
    <row r="226" spans="5:43" ht="15" customHeight="1" x14ac:dyDescent="0.25">
      <c r="E226" s="31" t="s">
        <v>133</v>
      </c>
      <c r="F226" s="31" t="s">
        <v>140</v>
      </c>
      <c r="G226" s="31" t="s">
        <v>323</v>
      </c>
      <c r="H226" s="31" t="s">
        <v>324</v>
      </c>
      <c r="I226" s="31" t="s">
        <v>481</v>
      </c>
      <c r="J226" s="31" t="s">
        <v>699</v>
      </c>
      <c r="K226" s="31" t="s">
        <v>737</v>
      </c>
      <c r="L226" s="31" t="s">
        <v>162</v>
      </c>
      <c r="M226" s="31" t="s">
        <v>144</v>
      </c>
      <c r="N226" s="31" t="s">
        <v>144</v>
      </c>
      <c r="O226" s="31">
        <v>16</v>
      </c>
      <c r="P226" s="31" t="s">
        <v>144</v>
      </c>
      <c r="Q226" s="31" t="s">
        <v>649</v>
      </c>
      <c r="R226" s="31" t="s">
        <v>320</v>
      </c>
      <c r="S226" s="31" t="s">
        <v>259</v>
      </c>
      <c r="T226" s="31" t="s">
        <v>479</v>
      </c>
      <c r="U226" s="31" t="s">
        <v>144</v>
      </c>
      <c r="V226" s="31" t="s">
        <v>144</v>
      </c>
      <c r="W226" s="31" t="s">
        <v>144</v>
      </c>
      <c r="X226" s="31" t="s">
        <v>144</v>
      </c>
      <c r="Y226" s="31" t="s">
        <v>144</v>
      </c>
      <c r="Z226" s="31" t="s">
        <v>144</v>
      </c>
      <c r="AA226" s="378">
        <v>16</v>
      </c>
      <c r="AB226" s="378">
        <v>15.5</v>
      </c>
      <c r="AC226" s="378">
        <v>0.3</v>
      </c>
      <c r="AD226" s="378">
        <v>0.2</v>
      </c>
      <c r="AE226" s="31">
        <v>1.3</v>
      </c>
      <c r="AF226" s="31">
        <v>28</v>
      </c>
      <c r="AG226" s="31" t="s">
        <v>144</v>
      </c>
      <c r="AH226" s="31" t="s">
        <v>144</v>
      </c>
      <c r="AI226" s="31" t="s">
        <v>144</v>
      </c>
      <c r="AJ226" s="31" t="s">
        <v>144</v>
      </c>
      <c r="AK226" s="31" t="s">
        <v>144</v>
      </c>
      <c r="AL226" s="31" t="s">
        <v>325</v>
      </c>
      <c r="AM226" s="31" t="s">
        <v>144</v>
      </c>
      <c r="AN226" s="31" t="s">
        <v>163</v>
      </c>
      <c r="AO226" s="31" t="s">
        <v>144</v>
      </c>
      <c r="AP226" s="31" t="s">
        <v>144</v>
      </c>
      <c r="AQ226" s="31"/>
    </row>
    <row r="227" spans="5:43" ht="15" customHeight="1" x14ac:dyDescent="0.25">
      <c r="E227" s="31" t="s">
        <v>133</v>
      </c>
      <c r="F227" s="31" t="s">
        <v>140</v>
      </c>
      <c r="G227" s="31" t="s">
        <v>323</v>
      </c>
      <c r="H227" s="31" t="s">
        <v>324</v>
      </c>
      <c r="I227" s="31" t="s">
        <v>481</v>
      </c>
      <c r="J227" s="31" t="s">
        <v>699</v>
      </c>
      <c r="K227" s="31" t="s">
        <v>738</v>
      </c>
      <c r="L227" s="31" t="s">
        <v>162</v>
      </c>
      <c r="M227" s="31" t="s">
        <v>144</v>
      </c>
      <c r="N227" s="31" t="s">
        <v>144</v>
      </c>
      <c r="O227" s="31">
        <v>16</v>
      </c>
      <c r="P227" s="31" t="s">
        <v>144</v>
      </c>
      <c r="Q227" s="31" t="s">
        <v>649</v>
      </c>
      <c r="R227" s="31" t="s">
        <v>320</v>
      </c>
      <c r="S227" s="31" t="s">
        <v>259</v>
      </c>
      <c r="T227" s="31" t="s">
        <v>479</v>
      </c>
      <c r="U227" s="31" t="s">
        <v>144</v>
      </c>
      <c r="V227" s="31" t="s">
        <v>144</v>
      </c>
      <c r="W227" s="31" t="s">
        <v>144</v>
      </c>
      <c r="X227" s="31" t="s">
        <v>144</v>
      </c>
      <c r="Y227" s="31" t="s">
        <v>144</v>
      </c>
      <c r="Z227" s="31" t="s">
        <v>144</v>
      </c>
      <c r="AA227" s="378">
        <v>16</v>
      </c>
      <c r="AB227" s="378">
        <v>15.5</v>
      </c>
      <c r="AC227" s="378">
        <v>0.3</v>
      </c>
      <c r="AD227" s="378">
        <v>0.2</v>
      </c>
      <c r="AE227" s="31">
        <v>1.3</v>
      </c>
      <c r="AF227" s="31">
        <v>28</v>
      </c>
      <c r="AG227" s="31" t="s">
        <v>144</v>
      </c>
      <c r="AH227" s="31" t="s">
        <v>144</v>
      </c>
      <c r="AI227" s="31" t="s">
        <v>144</v>
      </c>
      <c r="AJ227" s="31" t="s">
        <v>144</v>
      </c>
      <c r="AK227" s="31" t="s">
        <v>144</v>
      </c>
      <c r="AL227" s="31" t="s">
        <v>325</v>
      </c>
      <c r="AM227" s="31" t="s">
        <v>144</v>
      </c>
      <c r="AN227" s="31" t="s">
        <v>163</v>
      </c>
      <c r="AO227" s="31" t="s">
        <v>144</v>
      </c>
      <c r="AP227" s="31" t="s">
        <v>144</v>
      </c>
      <c r="AQ227" s="31"/>
    </row>
    <row r="228" spans="5:43" ht="15" customHeight="1" x14ac:dyDescent="0.25">
      <c r="E228" s="31" t="s">
        <v>133</v>
      </c>
      <c r="F228" s="31" t="s">
        <v>140</v>
      </c>
      <c r="G228" s="31" t="s">
        <v>323</v>
      </c>
      <c r="H228" s="31" t="s">
        <v>324</v>
      </c>
      <c r="I228" s="31" t="s">
        <v>481</v>
      </c>
      <c r="J228" s="31" t="s">
        <v>699</v>
      </c>
      <c r="K228" s="31" t="s">
        <v>739</v>
      </c>
      <c r="L228" s="31" t="s">
        <v>162</v>
      </c>
      <c r="M228" s="31" t="s">
        <v>144</v>
      </c>
      <c r="N228" s="31" t="s">
        <v>144</v>
      </c>
      <c r="O228" s="31">
        <v>16</v>
      </c>
      <c r="P228" s="31" t="s">
        <v>144</v>
      </c>
      <c r="Q228" s="31" t="s">
        <v>649</v>
      </c>
      <c r="R228" s="31" t="s">
        <v>320</v>
      </c>
      <c r="S228" s="31" t="s">
        <v>259</v>
      </c>
      <c r="T228" s="31" t="s">
        <v>479</v>
      </c>
      <c r="U228" s="31" t="s">
        <v>144</v>
      </c>
      <c r="V228" s="31" t="s">
        <v>144</v>
      </c>
      <c r="W228" s="31" t="s">
        <v>144</v>
      </c>
      <c r="X228" s="31" t="s">
        <v>144</v>
      </c>
      <c r="Y228" s="31" t="s">
        <v>144</v>
      </c>
      <c r="Z228" s="31" t="s">
        <v>144</v>
      </c>
      <c r="AA228" s="378">
        <v>16</v>
      </c>
      <c r="AB228" s="378">
        <v>15.5</v>
      </c>
      <c r="AC228" s="378">
        <v>0.3</v>
      </c>
      <c r="AD228" s="378">
        <v>0.2</v>
      </c>
      <c r="AE228" s="31">
        <v>1.3</v>
      </c>
      <c r="AF228" s="31">
        <v>28</v>
      </c>
      <c r="AG228" s="31" t="s">
        <v>144</v>
      </c>
      <c r="AH228" s="31" t="s">
        <v>144</v>
      </c>
      <c r="AI228" s="31" t="s">
        <v>144</v>
      </c>
      <c r="AJ228" s="31" t="s">
        <v>144</v>
      </c>
      <c r="AK228" s="31" t="s">
        <v>144</v>
      </c>
      <c r="AL228" s="31" t="s">
        <v>325</v>
      </c>
      <c r="AM228" s="31" t="s">
        <v>144</v>
      </c>
      <c r="AN228" s="31" t="s">
        <v>163</v>
      </c>
      <c r="AO228" s="31" t="s">
        <v>144</v>
      </c>
      <c r="AP228" s="31" t="s">
        <v>144</v>
      </c>
      <c r="AQ228" s="31"/>
    </row>
    <row r="229" spans="5:43" ht="15" customHeight="1" x14ac:dyDescent="0.25">
      <c r="E229" s="31" t="s">
        <v>133</v>
      </c>
      <c r="F229" s="31" t="s">
        <v>140</v>
      </c>
      <c r="G229" s="31" t="s">
        <v>323</v>
      </c>
      <c r="H229" s="31" t="s">
        <v>324</v>
      </c>
      <c r="I229" s="31" t="s">
        <v>481</v>
      </c>
      <c r="J229" s="31" t="s">
        <v>699</v>
      </c>
      <c r="K229" s="31" t="s">
        <v>740</v>
      </c>
      <c r="L229" s="31" t="s">
        <v>162</v>
      </c>
      <c r="M229" s="31" t="s">
        <v>144</v>
      </c>
      <c r="N229" s="31" t="s">
        <v>144</v>
      </c>
      <c r="O229" s="31">
        <v>16</v>
      </c>
      <c r="P229" s="31" t="s">
        <v>144</v>
      </c>
      <c r="Q229" s="31" t="s">
        <v>649</v>
      </c>
      <c r="R229" s="31" t="s">
        <v>320</v>
      </c>
      <c r="S229" s="31" t="s">
        <v>259</v>
      </c>
      <c r="T229" s="31" t="s">
        <v>479</v>
      </c>
      <c r="U229" s="31" t="s">
        <v>144</v>
      </c>
      <c r="V229" s="31" t="s">
        <v>144</v>
      </c>
      <c r="W229" s="31" t="s">
        <v>144</v>
      </c>
      <c r="X229" s="31" t="s">
        <v>144</v>
      </c>
      <c r="Y229" s="31" t="s">
        <v>144</v>
      </c>
      <c r="Z229" s="31" t="s">
        <v>144</v>
      </c>
      <c r="AA229" s="378">
        <v>16</v>
      </c>
      <c r="AB229" s="378">
        <v>15.5</v>
      </c>
      <c r="AC229" s="378">
        <v>0.3</v>
      </c>
      <c r="AD229" s="378">
        <v>0.2</v>
      </c>
      <c r="AE229" s="31">
        <v>1.3</v>
      </c>
      <c r="AF229" s="31">
        <v>28</v>
      </c>
      <c r="AG229" s="31" t="s">
        <v>144</v>
      </c>
      <c r="AH229" s="31" t="s">
        <v>144</v>
      </c>
      <c r="AI229" s="31" t="s">
        <v>144</v>
      </c>
      <c r="AJ229" s="31" t="s">
        <v>144</v>
      </c>
      <c r="AK229" s="31" t="s">
        <v>144</v>
      </c>
      <c r="AL229" s="31" t="s">
        <v>325</v>
      </c>
      <c r="AM229" s="31" t="s">
        <v>144</v>
      </c>
      <c r="AN229" s="31" t="s">
        <v>163</v>
      </c>
      <c r="AO229" s="31" t="s">
        <v>144</v>
      </c>
      <c r="AP229" s="31" t="s">
        <v>144</v>
      </c>
      <c r="AQ229" s="31"/>
    </row>
    <row r="230" spans="5:43" ht="15" customHeight="1" x14ac:dyDescent="0.25">
      <c r="E230" s="31" t="s">
        <v>133</v>
      </c>
      <c r="F230" s="31" t="s">
        <v>140</v>
      </c>
      <c r="G230" s="31" t="s">
        <v>323</v>
      </c>
      <c r="H230" s="31" t="s">
        <v>324</v>
      </c>
      <c r="I230" s="31" t="s">
        <v>481</v>
      </c>
      <c r="J230" s="31" t="s">
        <v>699</v>
      </c>
      <c r="K230" s="31" t="s">
        <v>741</v>
      </c>
      <c r="L230" s="31" t="s">
        <v>162</v>
      </c>
      <c r="M230" s="31" t="s">
        <v>144</v>
      </c>
      <c r="N230" s="31" t="s">
        <v>144</v>
      </c>
      <c r="O230" s="31">
        <v>16</v>
      </c>
      <c r="P230" s="31" t="s">
        <v>144</v>
      </c>
      <c r="Q230" s="31" t="s">
        <v>649</v>
      </c>
      <c r="R230" s="31" t="s">
        <v>320</v>
      </c>
      <c r="S230" s="31" t="s">
        <v>259</v>
      </c>
      <c r="T230" s="31" t="s">
        <v>479</v>
      </c>
      <c r="U230" s="31" t="s">
        <v>144</v>
      </c>
      <c r="V230" s="31" t="s">
        <v>144</v>
      </c>
      <c r="W230" s="31" t="s">
        <v>144</v>
      </c>
      <c r="X230" s="31" t="s">
        <v>144</v>
      </c>
      <c r="Y230" s="31" t="s">
        <v>144</v>
      </c>
      <c r="Z230" s="31" t="s">
        <v>144</v>
      </c>
      <c r="AA230" s="378">
        <v>16</v>
      </c>
      <c r="AB230" s="378">
        <v>15.5</v>
      </c>
      <c r="AC230" s="378">
        <v>0.3</v>
      </c>
      <c r="AD230" s="378">
        <v>0.2</v>
      </c>
      <c r="AE230" s="31">
        <v>1.3</v>
      </c>
      <c r="AF230" s="31">
        <v>28</v>
      </c>
      <c r="AG230" s="31" t="s">
        <v>144</v>
      </c>
      <c r="AH230" s="31" t="s">
        <v>144</v>
      </c>
      <c r="AI230" s="31" t="s">
        <v>144</v>
      </c>
      <c r="AJ230" s="31" t="s">
        <v>144</v>
      </c>
      <c r="AK230" s="31" t="s">
        <v>144</v>
      </c>
      <c r="AL230" s="31" t="s">
        <v>325</v>
      </c>
      <c r="AM230" s="31" t="s">
        <v>144</v>
      </c>
      <c r="AN230" s="31" t="s">
        <v>163</v>
      </c>
      <c r="AO230" s="31" t="s">
        <v>144</v>
      </c>
      <c r="AP230" s="31" t="s">
        <v>144</v>
      </c>
      <c r="AQ230" s="31"/>
    </row>
    <row r="231" spans="5:43" ht="15" customHeight="1" x14ac:dyDescent="0.25">
      <c r="E231" s="31" t="s">
        <v>133</v>
      </c>
      <c r="F231" s="31" t="s">
        <v>140</v>
      </c>
      <c r="G231" s="31" t="s">
        <v>323</v>
      </c>
      <c r="H231" s="31" t="s">
        <v>324</v>
      </c>
      <c r="I231" s="31" t="s">
        <v>481</v>
      </c>
      <c r="J231" s="31" t="s">
        <v>699</v>
      </c>
      <c r="K231" s="31" t="s">
        <v>742</v>
      </c>
      <c r="L231" s="31" t="s">
        <v>162</v>
      </c>
      <c r="M231" s="31" t="s">
        <v>144</v>
      </c>
      <c r="N231" s="31" t="s">
        <v>144</v>
      </c>
      <c r="O231" s="31">
        <v>16</v>
      </c>
      <c r="P231" s="31" t="s">
        <v>144</v>
      </c>
      <c r="Q231" s="31" t="s">
        <v>649</v>
      </c>
      <c r="R231" s="31" t="s">
        <v>320</v>
      </c>
      <c r="S231" s="31" t="s">
        <v>259</v>
      </c>
      <c r="T231" s="31" t="s">
        <v>479</v>
      </c>
      <c r="U231" s="31" t="s">
        <v>144</v>
      </c>
      <c r="V231" s="31" t="s">
        <v>144</v>
      </c>
      <c r="W231" s="31" t="s">
        <v>144</v>
      </c>
      <c r="X231" s="31" t="s">
        <v>144</v>
      </c>
      <c r="Y231" s="31" t="s">
        <v>144</v>
      </c>
      <c r="Z231" s="31" t="s">
        <v>144</v>
      </c>
      <c r="AA231" s="378">
        <v>16</v>
      </c>
      <c r="AB231" s="378">
        <v>15.5</v>
      </c>
      <c r="AC231" s="378">
        <v>0.3</v>
      </c>
      <c r="AD231" s="378">
        <v>0.2</v>
      </c>
      <c r="AE231" s="31">
        <v>1.3</v>
      </c>
      <c r="AF231" s="31">
        <v>28</v>
      </c>
      <c r="AG231" s="31" t="s">
        <v>144</v>
      </c>
      <c r="AH231" s="31" t="s">
        <v>144</v>
      </c>
      <c r="AI231" s="31" t="s">
        <v>144</v>
      </c>
      <c r="AJ231" s="31" t="s">
        <v>144</v>
      </c>
      <c r="AK231" s="31" t="s">
        <v>144</v>
      </c>
      <c r="AL231" s="31" t="s">
        <v>325</v>
      </c>
      <c r="AM231" s="31" t="s">
        <v>144</v>
      </c>
      <c r="AN231" s="31" t="s">
        <v>163</v>
      </c>
      <c r="AO231" s="31" t="s">
        <v>144</v>
      </c>
      <c r="AP231" s="31" t="s">
        <v>144</v>
      </c>
      <c r="AQ231" s="31"/>
    </row>
    <row r="232" spans="5:43" ht="15" customHeight="1" x14ac:dyDescent="0.25">
      <c r="E232" s="31" t="s">
        <v>133</v>
      </c>
      <c r="F232" s="31" t="s">
        <v>140</v>
      </c>
      <c r="G232" s="31" t="s">
        <v>323</v>
      </c>
      <c r="H232" s="31" t="s">
        <v>324</v>
      </c>
      <c r="I232" s="31" t="s">
        <v>481</v>
      </c>
      <c r="J232" s="31" t="s">
        <v>699</v>
      </c>
      <c r="K232" s="31" t="s">
        <v>743</v>
      </c>
      <c r="L232" s="31" t="s">
        <v>162</v>
      </c>
      <c r="M232" s="31" t="s">
        <v>144</v>
      </c>
      <c r="N232" s="31" t="s">
        <v>144</v>
      </c>
      <c r="O232" s="31">
        <v>16</v>
      </c>
      <c r="P232" s="31" t="s">
        <v>144</v>
      </c>
      <c r="Q232" s="31" t="s">
        <v>649</v>
      </c>
      <c r="R232" s="31" t="s">
        <v>320</v>
      </c>
      <c r="S232" s="31" t="s">
        <v>259</v>
      </c>
      <c r="T232" s="31" t="s">
        <v>479</v>
      </c>
      <c r="U232" s="31" t="s">
        <v>144</v>
      </c>
      <c r="V232" s="31" t="s">
        <v>144</v>
      </c>
      <c r="W232" s="31" t="s">
        <v>144</v>
      </c>
      <c r="X232" s="31" t="s">
        <v>144</v>
      </c>
      <c r="Y232" s="31" t="s">
        <v>144</v>
      </c>
      <c r="Z232" s="31" t="s">
        <v>144</v>
      </c>
      <c r="AA232" s="378">
        <v>16</v>
      </c>
      <c r="AB232" s="378">
        <v>15.5</v>
      </c>
      <c r="AC232" s="378">
        <v>0.3</v>
      </c>
      <c r="AD232" s="378">
        <v>0.2</v>
      </c>
      <c r="AE232" s="31">
        <v>1.3</v>
      </c>
      <c r="AF232" s="31">
        <v>28</v>
      </c>
      <c r="AG232" s="31" t="s">
        <v>144</v>
      </c>
      <c r="AH232" s="31" t="s">
        <v>144</v>
      </c>
      <c r="AI232" s="31" t="s">
        <v>144</v>
      </c>
      <c r="AJ232" s="31" t="s">
        <v>144</v>
      </c>
      <c r="AK232" s="31" t="s">
        <v>144</v>
      </c>
      <c r="AL232" s="31" t="s">
        <v>325</v>
      </c>
      <c r="AM232" s="31" t="s">
        <v>144</v>
      </c>
      <c r="AN232" s="31" t="s">
        <v>163</v>
      </c>
      <c r="AO232" s="31" t="s">
        <v>144</v>
      </c>
      <c r="AP232" s="31" t="s">
        <v>144</v>
      </c>
      <c r="AQ232" s="31"/>
    </row>
    <row r="233" spans="5:43" ht="15" customHeight="1" x14ac:dyDescent="0.25">
      <c r="E233" s="31" t="s">
        <v>133</v>
      </c>
      <c r="F233" s="31" t="s">
        <v>140</v>
      </c>
      <c r="G233" s="31" t="s">
        <v>323</v>
      </c>
      <c r="H233" s="31" t="s">
        <v>324</v>
      </c>
      <c r="I233" s="31" t="s">
        <v>481</v>
      </c>
      <c r="J233" s="31" t="s">
        <v>699</v>
      </c>
      <c r="K233" s="31" t="s">
        <v>744</v>
      </c>
      <c r="L233" s="31" t="s">
        <v>162</v>
      </c>
      <c r="M233" s="31" t="s">
        <v>144</v>
      </c>
      <c r="N233" s="31" t="s">
        <v>144</v>
      </c>
      <c r="O233" s="31">
        <v>16</v>
      </c>
      <c r="P233" s="31" t="s">
        <v>144</v>
      </c>
      <c r="Q233" s="31" t="s">
        <v>649</v>
      </c>
      <c r="R233" s="31" t="s">
        <v>320</v>
      </c>
      <c r="S233" s="31" t="s">
        <v>259</v>
      </c>
      <c r="T233" s="31" t="s">
        <v>479</v>
      </c>
      <c r="U233" s="31" t="s">
        <v>144</v>
      </c>
      <c r="V233" s="31" t="s">
        <v>144</v>
      </c>
      <c r="W233" s="31" t="s">
        <v>144</v>
      </c>
      <c r="X233" s="31" t="s">
        <v>144</v>
      </c>
      <c r="Y233" s="31" t="s">
        <v>144</v>
      </c>
      <c r="Z233" s="31" t="s">
        <v>144</v>
      </c>
      <c r="AA233" s="378">
        <v>16</v>
      </c>
      <c r="AB233" s="378">
        <v>15.5</v>
      </c>
      <c r="AC233" s="378">
        <v>0.3</v>
      </c>
      <c r="AD233" s="378">
        <v>0.2</v>
      </c>
      <c r="AE233" s="31">
        <v>1.3</v>
      </c>
      <c r="AF233" s="31">
        <v>28</v>
      </c>
      <c r="AG233" s="31" t="s">
        <v>144</v>
      </c>
      <c r="AH233" s="31" t="s">
        <v>144</v>
      </c>
      <c r="AI233" s="31" t="s">
        <v>144</v>
      </c>
      <c r="AJ233" s="31" t="s">
        <v>144</v>
      </c>
      <c r="AK233" s="31" t="s">
        <v>144</v>
      </c>
      <c r="AL233" s="31" t="s">
        <v>325</v>
      </c>
      <c r="AM233" s="31" t="s">
        <v>144</v>
      </c>
      <c r="AN233" s="31" t="s">
        <v>163</v>
      </c>
      <c r="AO233" s="31" t="s">
        <v>144</v>
      </c>
      <c r="AP233" s="31" t="s">
        <v>144</v>
      </c>
      <c r="AQ233" s="31"/>
    </row>
    <row r="234" spans="5:43" ht="15" customHeight="1" x14ac:dyDescent="0.25">
      <c r="E234" s="31" t="s">
        <v>133</v>
      </c>
      <c r="F234" s="31" t="s">
        <v>140</v>
      </c>
      <c r="G234" s="31" t="s">
        <v>323</v>
      </c>
      <c r="H234" s="31" t="s">
        <v>324</v>
      </c>
      <c r="I234" s="31" t="s">
        <v>481</v>
      </c>
      <c r="J234" s="31" t="s">
        <v>699</v>
      </c>
      <c r="K234" s="31" t="s">
        <v>745</v>
      </c>
      <c r="L234" s="31" t="s">
        <v>162</v>
      </c>
      <c r="M234" s="31" t="s">
        <v>144</v>
      </c>
      <c r="N234" s="31" t="s">
        <v>144</v>
      </c>
      <c r="O234" s="31">
        <v>16</v>
      </c>
      <c r="P234" s="31" t="s">
        <v>144</v>
      </c>
      <c r="Q234" s="31" t="s">
        <v>649</v>
      </c>
      <c r="R234" s="31" t="s">
        <v>320</v>
      </c>
      <c r="S234" s="31" t="s">
        <v>259</v>
      </c>
      <c r="T234" s="31" t="s">
        <v>479</v>
      </c>
      <c r="U234" s="31" t="s">
        <v>144</v>
      </c>
      <c r="V234" s="31" t="s">
        <v>144</v>
      </c>
      <c r="W234" s="31" t="s">
        <v>144</v>
      </c>
      <c r="X234" s="31" t="s">
        <v>144</v>
      </c>
      <c r="Y234" s="31" t="s">
        <v>144</v>
      </c>
      <c r="Z234" s="31" t="s">
        <v>144</v>
      </c>
      <c r="AA234" s="378">
        <v>16</v>
      </c>
      <c r="AB234" s="378">
        <v>15.5</v>
      </c>
      <c r="AC234" s="378">
        <v>0.3</v>
      </c>
      <c r="AD234" s="378">
        <v>0.2</v>
      </c>
      <c r="AE234" s="31">
        <v>1.3</v>
      </c>
      <c r="AF234" s="31">
        <v>28</v>
      </c>
      <c r="AG234" s="31" t="s">
        <v>144</v>
      </c>
      <c r="AH234" s="31" t="s">
        <v>144</v>
      </c>
      <c r="AI234" s="31" t="s">
        <v>144</v>
      </c>
      <c r="AJ234" s="31" t="s">
        <v>144</v>
      </c>
      <c r="AK234" s="31" t="s">
        <v>144</v>
      </c>
      <c r="AL234" s="31" t="s">
        <v>325</v>
      </c>
      <c r="AM234" s="31" t="s">
        <v>144</v>
      </c>
      <c r="AN234" s="31" t="s">
        <v>163</v>
      </c>
      <c r="AO234" s="31" t="s">
        <v>144</v>
      </c>
      <c r="AP234" s="31" t="s">
        <v>144</v>
      </c>
      <c r="AQ234" s="31"/>
    </row>
    <row r="235" spans="5:43" ht="15" customHeight="1" x14ac:dyDescent="0.25">
      <c r="E235" s="31" t="s">
        <v>133</v>
      </c>
      <c r="F235" s="31" t="s">
        <v>140</v>
      </c>
      <c r="G235" s="31" t="s">
        <v>323</v>
      </c>
      <c r="H235" s="31" t="s">
        <v>324</v>
      </c>
      <c r="I235" s="31" t="s">
        <v>481</v>
      </c>
      <c r="J235" s="31" t="s">
        <v>699</v>
      </c>
      <c r="K235" s="31" t="s">
        <v>746</v>
      </c>
      <c r="L235" s="31" t="s">
        <v>162</v>
      </c>
      <c r="M235" s="31" t="s">
        <v>144</v>
      </c>
      <c r="N235" s="31" t="s">
        <v>144</v>
      </c>
      <c r="O235" s="31">
        <v>16</v>
      </c>
      <c r="P235" s="31" t="s">
        <v>144</v>
      </c>
      <c r="Q235" s="31" t="s">
        <v>649</v>
      </c>
      <c r="R235" s="31" t="s">
        <v>320</v>
      </c>
      <c r="S235" s="31" t="s">
        <v>259</v>
      </c>
      <c r="T235" s="31" t="s">
        <v>479</v>
      </c>
      <c r="U235" s="31" t="s">
        <v>144</v>
      </c>
      <c r="V235" s="31" t="s">
        <v>144</v>
      </c>
      <c r="W235" s="31" t="s">
        <v>144</v>
      </c>
      <c r="X235" s="31" t="s">
        <v>144</v>
      </c>
      <c r="Y235" s="31" t="s">
        <v>144</v>
      </c>
      <c r="Z235" s="31" t="s">
        <v>144</v>
      </c>
      <c r="AA235" s="378">
        <v>16</v>
      </c>
      <c r="AB235" s="378">
        <v>15.5</v>
      </c>
      <c r="AC235" s="378">
        <v>0.3</v>
      </c>
      <c r="AD235" s="378">
        <v>0.2</v>
      </c>
      <c r="AE235" s="31">
        <v>1.3</v>
      </c>
      <c r="AF235" s="31">
        <v>28</v>
      </c>
      <c r="AG235" s="31" t="s">
        <v>144</v>
      </c>
      <c r="AH235" s="31" t="s">
        <v>144</v>
      </c>
      <c r="AI235" s="31" t="s">
        <v>144</v>
      </c>
      <c r="AJ235" s="31" t="s">
        <v>144</v>
      </c>
      <c r="AK235" s="31" t="s">
        <v>144</v>
      </c>
      <c r="AL235" s="31" t="s">
        <v>325</v>
      </c>
      <c r="AM235" s="31" t="s">
        <v>144</v>
      </c>
      <c r="AN235" s="31" t="s">
        <v>163</v>
      </c>
      <c r="AO235" s="31" t="s">
        <v>144</v>
      </c>
      <c r="AP235" s="31" t="s">
        <v>144</v>
      </c>
      <c r="AQ235" s="31"/>
    </row>
    <row r="236" spans="5:43" ht="15" customHeight="1" x14ac:dyDescent="0.25">
      <c r="E236" s="31" t="s">
        <v>133</v>
      </c>
      <c r="F236" s="31" t="s">
        <v>140</v>
      </c>
      <c r="G236" s="31" t="s">
        <v>323</v>
      </c>
      <c r="H236" s="31" t="s">
        <v>324</v>
      </c>
      <c r="I236" s="31" t="s">
        <v>481</v>
      </c>
      <c r="J236" s="31" t="s">
        <v>699</v>
      </c>
      <c r="K236" s="31" t="s">
        <v>747</v>
      </c>
      <c r="L236" s="31" t="s">
        <v>162</v>
      </c>
      <c r="M236" s="31" t="s">
        <v>144</v>
      </c>
      <c r="N236" s="31" t="s">
        <v>144</v>
      </c>
      <c r="O236" s="31">
        <v>16</v>
      </c>
      <c r="P236" s="31" t="s">
        <v>144</v>
      </c>
      <c r="Q236" s="31" t="s">
        <v>649</v>
      </c>
      <c r="R236" s="31" t="s">
        <v>320</v>
      </c>
      <c r="S236" s="31" t="s">
        <v>259</v>
      </c>
      <c r="T236" s="31" t="s">
        <v>479</v>
      </c>
      <c r="U236" s="31" t="s">
        <v>144</v>
      </c>
      <c r="V236" s="31" t="s">
        <v>144</v>
      </c>
      <c r="W236" s="31" t="s">
        <v>144</v>
      </c>
      <c r="X236" s="31" t="s">
        <v>144</v>
      </c>
      <c r="Y236" s="31" t="s">
        <v>144</v>
      </c>
      <c r="Z236" s="31" t="s">
        <v>144</v>
      </c>
      <c r="AA236" s="378">
        <v>16</v>
      </c>
      <c r="AB236" s="378">
        <v>15.5</v>
      </c>
      <c r="AC236" s="378">
        <v>0.3</v>
      </c>
      <c r="AD236" s="378">
        <v>0.2</v>
      </c>
      <c r="AE236" s="31">
        <v>1.3</v>
      </c>
      <c r="AF236" s="31">
        <v>28</v>
      </c>
      <c r="AG236" s="31" t="s">
        <v>144</v>
      </c>
      <c r="AH236" s="31" t="s">
        <v>144</v>
      </c>
      <c r="AI236" s="31" t="s">
        <v>144</v>
      </c>
      <c r="AJ236" s="31" t="s">
        <v>144</v>
      </c>
      <c r="AK236" s="31" t="s">
        <v>144</v>
      </c>
      <c r="AL236" s="31" t="s">
        <v>325</v>
      </c>
      <c r="AM236" s="31" t="s">
        <v>144</v>
      </c>
      <c r="AN236" s="31" t="s">
        <v>163</v>
      </c>
      <c r="AO236" s="31" t="s">
        <v>144</v>
      </c>
      <c r="AP236" s="31" t="s">
        <v>144</v>
      </c>
      <c r="AQ236" s="31"/>
    </row>
    <row r="237" spans="5:43" ht="15" customHeight="1" x14ac:dyDescent="0.25">
      <c r="E237" s="31" t="s">
        <v>133</v>
      </c>
      <c r="F237" s="31" t="s">
        <v>140</v>
      </c>
      <c r="G237" s="31" t="s">
        <v>323</v>
      </c>
      <c r="H237" s="31" t="s">
        <v>324</v>
      </c>
      <c r="I237" s="31" t="s">
        <v>481</v>
      </c>
      <c r="J237" s="31" t="s">
        <v>699</v>
      </c>
      <c r="K237" s="31" t="s">
        <v>748</v>
      </c>
      <c r="L237" s="31" t="s">
        <v>162</v>
      </c>
      <c r="M237" s="31" t="s">
        <v>144</v>
      </c>
      <c r="N237" s="31" t="s">
        <v>144</v>
      </c>
      <c r="O237" s="31">
        <v>16</v>
      </c>
      <c r="P237" s="31" t="s">
        <v>144</v>
      </c>
      <c r="Q237" s="31" t="s">
        <v>649</v>
      </c>
      <c r="R237" s="31" t="s">
        <v>320</v>
      </c>
      <c r="S237" s="31" t="s">
        <v>259</v>
      </c>
      <c r="T237" s="31" t="s">
        <v>479</v>
      </c>
      <c r="U237" s="31" t="s">
        <v>144</v>
      </c>
      <c r="V237" s="31" t="s">
        <v>144</v>
      </c>
      <c r="W237" s="31" t="s">
        <v>144</v>
      </c>
      <c r="X237" s="31" t="s">
        <v>144</v>
      </c>
      <c r="Y237" s="31" t="s">
        <v>144</v>
      </c>
      <c r="Z237" s="31" t="s">
        <v>144</v>
      </c>
      <c r="AA237" s="378">
        <v>16</v>
      </c>
      <c r="AB237" s="378">
        <v>15.5</v>
      </c>
      <c r="AC237" s="378">
        <v>0.3</v>
      </c>
      <c r="AD237" s="378">
        <v>0.2</v>
      </c>
      <c r="AE237" s="31">
        <v>1.3</v>
      </c>
      <c r="AF237" s="31">
        <v>28</v>
      </c>
      <c r="AG237" s="31" t="s">
        <v>144</v>
      </c>
      <c r="AH237" s="31" t="s">
        <v>144</v>
      </c>
      <c r="AI237" s="31" t="s">
        <v>144</v>
      </c>
      <c r="AJ237" s="31" t="s">
        <v>144</v>
      </c>
      <c r="AK237" s="31" t="s">
        <v>144</v>
      </c>
      <c r="AL237" s="31" t="s">
        <v>325</v>
      </c>
      <c r="AM237" s="31" t="s">
        <v>144</v>
      </c>
      <c r="AN237" s="31" t="s">
        <v>163</v>
      </c>
      <c r="AO237" s="31" t="s">
        <v>144</v>
      </c>
      <c r="AP237" s="31" t="s">
        <v>144</v>
      </c>
      <c r="AQ237" s="31"/>
    </row>
    <row r="238" spans="5:43" ht="15" customHeight="1" x14ac:dyDescent="0.25">
      <c r="E238" s="31" t="s">
        <v>133</v>
      </c>
      <c r="F238" s="31" t="s">
        <v>140</v>
      </c>
      <c r="G238" s="31" t="s">
        <v>323</v>
      </c>
      <c r="H238" s="31" t="s">
        <v>324</v>
      </c>
      <c r="I238" s="31" t="s">
        <v>481</v>
      </c>
      <c r="J238" s="31" t="s">
        <v>699</v>
      </c>
      <c r="K238" s="31" t="s">
        <v>749</v>
      </c>
      <c r="L238" s="31" t="s">
        <v>162</v>
      </c>
      <c r="M238" s="31" t="s">
        <v>144</v>
      </c>
      <c r="N238" s="31" t="s">
        <v>144</v>
      </c>
      <c r="O238" s="31">
        <v>16</v>
      </c>
      <c r="P238" s="31" t="s">
        <v>144</v>
      </c>
      <c r="Q238" s="31" t="s">
        <v>649</v>
      </c>
      <c r="R238" s="31" t="s">
        <v>320</v>
      </c>
      <c r="S238" s="31" t="s">
        <v>259</v>
      </c>
      <c r="T238" s="31" t="s">
        <v>479</v>
      </c>
      <c r="U238" s="31" t="s">
        <v>144</v>
      </c>
      <c r="V238" s="31" t="s">
        <v>144</v>
      </c>
      <c r="W238" s="31" t="s">
        <v>144</v>
      </c>
      <c r="X238" s="31" t="s">
        <v>144</v>
      </c>
      <c r="Y238" s="31" t="s">
        <v>144</v>
      </c>
      <c r="Z238" s="31" t="s">
        <v>144</v>
      </c>
      <c r="AA238" s="378">
        <v>16</v>
      </c>
      <c r="AB238" s="378">
        <v>15.5</v>
      </c>
      <c r="AC238" s="378">
        <v>0.3</v>
      </c>
      <c r="AD238" s="378">
        <v>0.2</v>
      </c>
      <c r="AE238" s="31">
        <v>1.3</v>
      </c>
      <c r="AF238" s="31">
        <v>28</v>
      </c>
      <c r="AG238" s="31" t="s">
        <v>144</v>
      </c>
      <c r="AH238" s="31" t="s">
        <v>144</v>
      </c>
      <c r="AI238" s="31" t="s">
        <v>144</v>
      </c>
      <c r="AJ238" s="31" t="s">
        <v>144</v>
      </c>
      <c r="AK238" s="31" t="s">
        <v>144</v>
      </c>
      <c r="AL238" s="31" t="s">
        <v>325</v>
      </c>
      <c r="AM238" s="31" t="s">
        <v>144</v>
      </c>
      <c r="AN238" s="31" t="s">
        <v>163</v>
      </c>
      <c r="AO238" s="31" t="s">
        <v>144</v>
      </c>
      <c r="AP238" s="31" t="s">
        <v>144</v>
      </c>
      <c r="AQ238" s="31"/>
    </row>
    <row r="239" spans="5:43" ht="15" customHeight="1" x14ac:dyDescent="0.25">
      <c r="E239" s="31"/>
      <c r="F239" s="31"/>
      <c r="G239" s="31"/>
      <c r="H239" s="31"/>
      <c r="I239" s="31"/>
      <c r="J239" s="31"/>
      <c r="K239" s="31"/>
      <c r="L239" s="31"/>
      <c r="M239" s="394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I239" s="31"/>
      <c r="AJ239" s="31"/>
      <c r="AK239" s="31"/>
      <c r="AL239" s="31"/>
    </row>
    <row r="240" spans="5:43" ht="15" customHeight="1" x14ac:dyDescent="0.25">
      <c r="J240" s="31"/>
      <c r="K240" s="31"/>
      <c r="L240" s="31"/>
      <c r="Q240" s="390"/>
      <c r="R240" s="390"/>
    </row>
    <row r="241" spans="5:47" ht="15" customHeight="1" x14ac:dyDescent="0.25">
      <c r="E241" s="31" t="s">
        <v>134</v>
      </c>
      <c r="F241" s="31" t="s">
        <v>140</v>
      </c>
      <c r="G241" s="31" t="s">
        <v>374</v>
      </c>
      <c r="H241" s="31" t="s">
        <v>144</v>
      </c>
      <c r="I241" s="31" t="s">
        <v>481</v>
      </c>
      <c r="J241" s="31" t="s">
        <v>647</v>
      </c>
      <c r="K241" s="31" t="s">
        <v>750</v>
      </c>
      <c r="L241" s="31" t="s">
        <v>162</v>
      </c>
      <c r="M241" s="31" t="s">
        <v>144</v>
      </c>
      <c r="N241" s="31" t="s">
        <v>144</v>
      </c>
      <c r="O241" s="31">
        <v>16</v>
      </c>
      <c r="P241" s="31" t="s">
        <v>144</v>
      </c>
      <c r="Q241" s="31" t="s">
        <v>316</v>
      </c>
      <c r="R241" s="31" t="s">
        <v>477</v>
      </c>
      <c r="S241" s="31" t="s">
        <v>479</v>
      </c>
      <c r="T241" s="31" t="s">
        <v>144</v>
      </c>
      <c r="U241" s="31" t="s">
        <v>144</v>
      </c>
      <c r="V241" s="31" t="s">
        <v>144</v>
      </c>
      <c r="W241" s="31" t="s">
        <v>442</v>
      </c>
      <c r="X241" s="31" t="s">
        <v>193</v>
      </c>
      <c r="Y241" s="31" t="s">
        <v>194</v>
      </c>
      <c r="Z241" s="31" t="s">
        <v>144</v>
      </c>
      <c r="AA241" s="31" t="s">
        <v>144</v>
      </c>
      <c r="AB241" s="31" t="s">
        <v>144</v>
      </c>
      <c r="AC241" s="31" t="s">
        <v>144</v>
      </c>
      <c r="AD241" s="31" t="s">
        <v>144</v>
      </c>
      <c r="AE241" s="31" t="s">
        <v>144</v>
      </c>
      <c r="AF241" s="31" t="s">
        <v>144</v>
      </c>
      <c r="AG241" s="31" t="s">
        <v>144</v>
      </c>
      <c r="AH241" s="31" t="s">
        <v>1322</v>
      </c>
      <c r="AI241" s="31" t="s">
        <v>375</v>
      </c>
      <c r="AJ241" s="31" t="s">
        <v>144</v>
      </c>
      <c r="AK241" s="31" t="s">
        <v>144</v>
      </c>
      <c r="AL241" s="31" t="s">
        <v>325</v>
      </c>
      <c r="AM241" s="31" t="s">
        <v>144</v>
      </c>
      <c r="AN241" s="31" t="s">
        <v>163</v>
      </c>
      <c r="AO241" s="31" t="s">
        <v>144</v>
      </c>
      <c r="AP241" s="31" t="s">
        <v>144</v>
      </c>
      <c r="AQ241" s="31"/>
      <c r="AR241" s="31"/>
      <c r="AS241" s="31"/>
      <c r="AT241" s="31"/>
      <c r="AU241" s="31"/>
    </row>
    <row r="242" spans="5:47" ht="15" customHeight="1" x14ac:dyDescent="0.25">
      <c r="E242" s="31" t="s">
        <v>134</v>
      </c>
      <c r="F242" s="31" t="s">
        <v>140</v>
      </c>
      <c r="G242" s="31" t="s">
        <v>374</v>
      </c>
      <c r="H242" s="31" t="s">
        <v>144</v>
      </c>
      <c r="I242" s="31" t="s">
        <v>481</v>
      </c>
      <c r="J242" s="31" t="s">
        <v>647</v>
      </c>
      <c r="K242" s="31" t="s">
        <v>751</v>
      </c>
      <c r="L242" s="31" t="s">
        <v>162</v>
      </c>
      <c r="M242" s="31" t="s">
        <v>144</v>
      </c>
      <c r="N242" s="31" t="s">
        <v>144</v>
      </c>
      <c r="O242" s="31">
        <v>16</v>
      </c>
      <c r="P242" s="31" t="s">
        <v>144</v>
      </c>
      <c r="Q242" s="31" t="s">
        <v>316</v>
      </c>
      <c r="R242" s="31" t="s">
        <v>477</v>
      </c>
      <c r="S242" s="31" t="s">
        <v>479</v>
      </c>
      <c r="T242" s="31" t="s">
        <v>144</v>
      </c>
      <c r="U242" s="31" t="s">
        <v>144</v>
      </c>
      <c r="V242" s="31" t="s">
        <v>144</v>
      </c>
      <c r="W242" s="31" t="s">
        <v>442</v>
      </c>
      <c r="X242" s="31" t="s">
        <v>193</v>
      </c>
      <c r="Y242" s="31" t="s">
        <v>194</v>
      </c>
      <c r="Z242" s="31" t="s">
        <v>144</v>
      </c>
      <c r="AA242" s="31" t="s">
        <v>144</v>
      </c>
      <c r="AB242" s="31" t="s">
        <v>144</v>
      </c>
      <c r="AC242" s="31" t="s">
        <v>144</v>
      </c>
      <c r="AD242" s="31" t="s">
        <v>144</v>
      </c>
      <c r="AE242" s="31" t="s">
        <v>144</v>
      </c>
      <c r="AF242" s="31" t="s">
        <v>144</v>
      </c>
      <c r="AG242" s="31" t="s">
        <v>144</v>
      </c>
      <c r="AH242" s="31" t="s">
        <v>1322</v>
      </c>
      <c r="AI242" s="31" t="s">
        <v>375</v>
      </c>
      <c r="AJ242" s="31" t="s">
        <v>144</v>
      </c>
      <c r="AK242" s="31" t="s">
        <v>144</v>
      </c>
      <c r="AL242" s="31" t="s">
        <v>325</v>
      </c>
      <c r="AM242" s="31" t="s">
        <v>144</v>
      </c>
      <c r="AN242" s="31" t="s">
        <v>163</v>
      </c>
      <c r="AO242" s="31" t="s">
        <v>144</v>
      </c>
      <c r="AP242" s="31" t="s">
        <v>144</v>
      </c>
      <c r="AQ242" s="31"/>
      <c r="AR242" s="31"/>
      <c r="AS242" s="31"/>
      <c r="AT242" s="31"/>
      <c r="AU242" s="31"/>
    </row>
    <row r="243" spans="5:47" ht="15" customHeight="1" x14ac:dyDescent="0.25">
      <c r="E243" s="31" t="s">
        <v>134</v>
      </c>
      <c r="F243" s="31" t="s">
        <v>140</v>
      </c>
      <c r="G243" s="31" t="s">
        <v>374</v>
      </c>
      <c r="H243" s="31" t="s">
        <v>144</v>
      </c>
      <c r="I243" s="31" t="s">
        <v>481</v>
      </c>
      <c r="J243" s="31" t="s">
        <v>647</v>
      </c>
      <c r="K243" s="31" t="s">
        <v>752</v>
      </c>
      <c r="L243" s="31" t="s">
        <v>162</v>
      </c>
      <c r="M243" s="31" t="s">
        <v>144</v>
      </c>
      <c r="N243" s="31" t="s">
        <v>144</v>
      </c>
      <c r="O243" s="31">
        <v>16</v>
      </c>
      <c r="P243" s="31" t="s">
        <v>144</v>
      </c>
      <c r="Q243" s="31" t="s">
        <v>316</v>
      </c>
      <c r="R243" s="31" t="s">
        <v>477</v>
      </c>
      <c r="S243" s="31" t="s">
        <v>479</v>
      </c>
      <c r="T243" s="31" t="s">
        <v>144</v>
      </c>
      <c r="U243" s="31" t="s">
        <v>144</v>
      </c>
      <c r="V243" s="31" t="s">
        <v>144</v>
      </c>
      <c r="W243" s="31" t="s">
        <v>442</v>
      </c>
      <c r="X243" s="31" t="s">
        <v>193</v>
      </c>
      <c r="Y243" s="31" t="s">
        <v>194</v>
      </c>
      <c r="Z243" s="31" t="s">
        <v>144</v>
      </c>
      <c r="AA243" s="31" t="s">
        <v>144</v>
      </c>
      <c r="AB243" s="31" t="s">
        <v>144</v>
      </c>
      <c r="AC243" s="31" t="s">
        <v>144</v>
      </c>
      <c r="AD243" s="31" t="s">
        <v>144</v>
      </c>
      <c r="AE243" s="31" t="s">
        <v>144</v>
      </c>
      <c r="AF243" s="31" t="s">
        <v>144</v>
      </c>
      <c r="AG243" s="31" t="s">
        <v>144</v>
      </c>
      <c r="AH243" s="31" t="s">
        <v>1322</v>
      </c>
      <c r="AI243" s="31" t="s">
        <v>375</v>
      </c>
      <c r="AJ243" s="31" t="s">
        <v>144</v>
      </c>
      <c r="AK243" s="31" t="s">
        <v>144</v>
      </c>
      <c r="AL243" s="31" t="s">
        <v>325</v>
      </c>
      <c r="AM243" s="31" t="s">
        <v>144</v>
      </c>
      <c r="AN243" s="31" t="s">
        <v>163</v>
      </c>
      <c r="AO243" s="31" t="s">
        <v>144</v>
      </c>
      <c r="AP243" s="31" t="s">
        <v>144</v>
      </c>
      <c r="AQ243" s="31"/>
      <c r="AR243" s="31"/>
      <c r="AS243" s="31"/>
      <c r="AT243" s="31"/>
      <c r="AU243" s="31"/>
    </row>
    <row r="244" spans="5:47" ht="15" customHeight="1" x14ac:dyDescent="0.25">
      <c r="E244" s="31" t="s">
        <v>134</v>
      </c>
      <c r="F244" s="31" t="s">
        <v>140</v>
      </c>
      <c r="G244" s="31" t="s">
        <v>374</v>
      </c>
      <c r="H244" s="31" t="s">
        <v>144</v>
      </c>
      <c r="I244" s="31" t="s">
        <v>481</v>
      </c>
      <c r="J244" s="31" t="s">
        <v>647</v>
      </c>
      <c r="K244" s="31" t="s">
        <v>753</v>
      </c>
      <c r="L244" s="31" t="s">
        <v>162</v>
      </c>
      <c r="M244" s="31" t="s">
        <v>144</v>
      </c>
      <c r="N244" s="31" t="s">
        <v>144</v>
      </c>
      <c r="O244" s="31">
        <v>16</v>
      </c>
      <c r="P244" s="31" t="s">
        <v>144</v>
      </c>
      <c r="Q244" s="31" t="s">
        <v>316</v>
      </c>
      <c r="R244" s="31" t="s">
        <v>477</v>
      </c>
      <c r="S244" s="31" t="s">
        <v>479</v>
      </c>
      <c r="T244" s="31" t="s">
        <v>144</v>
      </c>
      <c r="U244" s="31" t="s">
        <v>144</v>
      </c>
      <c r="V244" s="31" t="s">
        <v>144</v>
      </c>
      <c r="W244" s="31" t="s">
        <v>442</v>
      </c>
      <c r="X244" s="31" t="s">
        <v>193</v>
      </c>
      <c r="Y244" s="31" t="s">
        <v>194</v>
      </c>
      <c r="Z244" s="31" t="s">
        <v>144</v>
      </c>
      <c r="AA244" s="31" t="s">
        <v>144</v>
      </c>
      <c r="AB244" s="31" t="s">
        <v>144</v>
      </c>
      <c r="AC244" s="31" t="s">
        <v>144</v>
      </c>
      <c r="AD244" s="31" t="s">
        <v>144</v>
      </c>
      <c r="AE244" s="31" t="s">
        <v>144</v>
      </c>
      <c r="AF244" s="31" t="s">
        <v>144</v>
      </c>
      <c r="AG244" s="31" t="s">
        <v>144</v>
      </c>
      <c r="AH244" s="31" t="s">
        <v>1322</v>
      </c>
      <c r="AI244" s="31" t="s">
        <v>375</v>
      </c>
      <c r="AJ244" s="31" t="s">
        <v>144</v>
      </c>
      <c r="AK244" s="31" t="s">
        <v>144</v>
      </c>
      <c r="AL244" s="31" t="s">
        <v>325</v>
      </c>
      <c r="AM244" s="31" t="s">
        <v>144</v>
      </c>
      <c r="AN244" s="31" t="s">
        <v>163</v>
      </c>
      <c r="AO244" s="31" t="s">
        <v>144</v>
      </c>
      <c r="AP244" s="31" t="s">
        <v>144</v>
      </c>
      <c r="AQ244" s="31"/>
      <c r="AR244" s="31"/>
      <c r="AS244" s="31"/>
      <c r="AT244" s="31"/>
      <c r="AU244" s="31"/>
    </row>
    <row r="245" spans="5:47" ht="15" customHeight="1" x14ac:dyDescent="0.25">
      <c r="E245" s="31" t="s">
        <v>134</v>
      </c>
      <c r="F245" s="31" t="s">
        <v>140</v>
      </c>
      <c r="G245" s="31" t="s">
        <v>374</v>
      </c>
      <c r="H245" s="31" t="s">
        <v>144</v>
      </c>
      <c r="I245" s="31" t="s">
        <v>481</v>
      </c>
      <c r="J245" s="31" t="s">
        <v>647</v>
      </c>
      <c r="K245" s="31" t="s">
        <v>754</v>
      </c>
      <c r="L245" s="31" t="s">
        <v>162</v>
      </c>
      <c r="M245" s="31" t="s">
        <v>144</v>
      </c>
      <c r="N245" s="31" t="s">
        <v>144</v>
      </c>
      <c r="O245" s="31">
        <v>16</v>
      </c>
      <c r="P245" s="31" t="s">
        <v>144</v>
      </c>
      <c r="Q245" s="31" t="s">
        <v>316</v>
      </c>
      <c r="R245" s="31" t="s">
        <v>477</v>
      </c>
      <c r="S245" s="31" t="s">
        <v>479</v>
      </c>
      <c r="T245" s="31" t="s">
        <v>144</v>
      </c>
      <c r="U245" s="31" t="s">
        <v>144</v>
      </c>
      <c r="V245" s="31" t="s">
        <v>144</v>
      </c>
      <c r="W245" s="31" t="s">
        <v>442</v>
      </c>
      <c r="X245" s="31" t="s">
        <v>193</v>
      </c>
      <c r="Y245" s="31" t="s">
        <v>194</v>
      </c>
      <c r="Z245" s="31" t="s">
        <v>144</v>
      </c>
      <c r="AA245" s="31" t="s">
        <v>144</v>
      </c>
      <c r="AB245" s="31" t="s">
        <v>144</v>
      </c>
      <c r="AC245" s="31" t="s">
        <v>144</v>
      </c>
      <c r="AD245" s="31" t="s">
        <v>144</v>
      </c>
      <c r="AE245" s="31" t="s">
        <v>144</v>
      </c>
      <c r="AF245" s="31" t="s">
        <v>144</v>
      </c>
      <c r="AG245" s="31" t="s">
        <v>144</v>
      </c>
      <c r="AH245" s="31" t="s">
        <v>1322</v>
      </c>
      <c r="AI245" s="31" t="s">
        <v>375</v>
      </c>
      <c r="AJ245" s="31" t="s">
        <v>144</v>
      </c>
      <c r="AK245" s="31" t="s">
        <v>144</v>
      </c>
      <c r="AL245" s="31" t="s">
        <v>325</v>
      </c>
      <c r="AM245" s="31" t="s">
        <v>144</v>
      </c>
      <c r="AN245" s="31" t="s">
        <v>163</v>
      </c>
      <c r="AO245" s="31" t="s">
        <v>144</v>
      </c>
      <c r="AP245" s="31" t="s">
        <v>144</v>
      </c>
      <c r="AQ245" s="31"/>
      <c r="AR245" s="31"/>
      <c r="AS245" s="31"/>
      <c r="AT245" s="31"/>
      <c r="AU245" s="31"/>
    </row>
    <row r="246" spans="5:47" ht="15" customHeight="1" x14ac:dyDescent="0.25">
      <c r="E246" s="31" t="s">
        <v>134</v>
      </c>
      <c r="F246" s="31" t="s">
        <v>140</v>
      </c>
      <c r="G246" s="31" t="s">
        <v>374</v>
      </c>
      <c r="H246" s="31" t="s">
        <v>144</v>
      </c>
      <c r="I246" s="31" t="s">
        <v>481</v>
      </c>
      <c r="J246" s="31" t="s">
        <v>647</v>
      </c>
      <c r="K246" s="31" t="s">
        <v>755</v>
      </c>
      <c r="L246" s="31" t="s">
        <v>162</v>
      </c>
      <c r="M246" s="31" t="s">
        <v>144</v>
      </c>
      <c r="N246" s="31" t="s">
        <v>144</v>
      </c>
      <c r="O246" s="31">
        <v>16</v>
      </c>
      <c r="P246" s="31" t="s">
        <v>144</v>
      </c>
      <c r="Q246" s="31" t="s">
        <v>316</v>
      </c>
      <c r="R246" s="31" t="s">
        <v>477</v>
      </c>
      <c r="S246" s="31" t="s">
        <v>479</v>
      </c>
      <c r="T246" s="31" t="s">
        <v>144</v>
      </c>
      <c r="U246" s="31" t="s">
        <v>144</v>
      </c>
      <c r="V246" s="31" t="s">
        <v>144</v>
      </c>
      <c r="W246" s="31" t="s">
        <v>442</v>
      </c>
      <c r="X246" s="31" t="s">
        <v>193</v>
      </c>
      <c r="Y246" s="31" t="s">
        <v>194</v>
      </c>
      <c r="Z246" s="31" t="s">
        <v>144</v>
      </c>
      <c r="AA246" s="31" t="s">
        <v>144</v>
      </c>
      <c r="AB246" s="31" t="s">
        <v>144</v>
      </c>
      <c r="AC246" s="31" t="s">
        <v>144</v>
      </c>
      <c r="AD246" s="31" t="s">
        <v>144</v>
      </c>
      <c r="AE246" s="31" t="s">
        <v>144</v>
      </c>
      <c r="AF246" s="31" t="s">
        <v>144</v>
      </c>
      <c r="AG246" s="31" t="s">
        <v>144</v>
      </c>
      <c r="AH246" s="31" t="s">
        <v>1322</v>
      </c>
      <c r="AI246" s="31" t="s">
        <v>375</v>
      </c>
      <c r="AJ246" s="31" t="s">
        <v>144</v>
      </c>
      <c r="AK246" s="31" t="s">
        <v>144</v>
      </c>
      <c r="AL246" s="31" t="s">
        <v>325</v>
      </c>
      <c r="AM246" s="31" t="s">
        <v>144</v>
      </c>
      <c r="AN246" s="31" t="s">
        <v>163</v>
      </c>
      <c r="AO246" s="31" t="s">
        <v>144</v>
      </c>
      <c r="AP246" s="31" t="s">
        <v>144</v>
      </c>
      <c r="AQ246" s="31"/>
      <c r="AR246" s="31"/>
      <c r="AS246" s="31"/>
      <c r="AT246" s="31"/>
      <c r="AU246" s="31"/>
    </row>
    <row r="247" spans="5:47" ht="15" customHeight="1" x14ac:dyDescent="0.25">
      <c r="E247" s="31" t="s">
        <v>134</v>
      </c>
      <c r="F247" s="31" t="s">
        <v>140</v>
      </c>
      <c r="G247" s="31" t="s">
        <v>374</v>
      </c>
      <c r="H247" s="31" t="s">
        <v>144</v>
      </c>
      <c r="I247" s="31" t="s">
        <v>481</v>
      </c>
      <c r="J247" s="31" t="s">
        <v>647</v>
      </c>
      <c r="K247" s="31" t="s">
        <v>756</v>
      </c>
      <c r="L247" s="31" t="s">
        <v>162</v>
      </c>
      <c r="M247" s="31" t="s">
        <v>144</v>
      </c>
      <c r="N247" s="31" t="s">
        <v>144</v>
      </c>
      <c r="O247" s="31">
        <v>16</v>
      </c>
      <c r="P247" s="31" t="s">
        <v>144</v>
      </c>
      <c r="Q247" s="31" t="s">
        <v>316</v>
      </c>
      <c r="R247" s="31" t="s">
        <v>477</v>
      </c>
      <c r="S247" s="31" t="s">
        <v>479</v>
      </c>
      <c r="T247" s="31" t="s">
        <v>144</v>
      </c>
      <c r="U247" s="31" t="s">
        <v>144</v>
      </c>
      <c r="V247" s="31" t="s">
        <v>144</v>
      </c>
      <c r="W247" s="31" t="s">
        <v>442</v>
      </c>
      <c r="X247" s="31" t="s">
        <v>193</v>
      </c>
      <c r="Y247" s="31" t="s">
        <v>194</v>
      </c>
      <c r="Z247" s="31" t="s">
        <v>144</v>
      </c>
      <c r="AA247" s="31" t="s">
        <v>144</v>
      </c>
      <c r="AB247" s="31" t="s">
        <v>144</v>
      </c>
      <c r="AC247" s="31" t="s">
        <v>144</v>
      </c>
      <c r="AD247" s="31" t="s">
        <v>144</v>
      </c>
      <c r="AE247" s="31" t="s">
        <v>144</v>
      </c>
      <c r="AF247" s="31" t="s">
        <v>144</v>
      </c>
      <c r="AG247" s="31" t="s">
        <v>144</v>
      </c>
      <c r="AH247" s="31" t="s">
        <v>1322</v>
      </c>
      <c r="AI247" s="31" t="s">
        <v>375</v>
      </c>
      <c r="AJ247" s="31" t="s">
        <v>144</v>
      </c>
      <c r="AK247" s="31" t="s">
        <v>144</v>
      </c>
      <c r="AL247" s="31" t="s">
        <v>325</v>
      </c>
      <c r="AM247" s="31" t="s">
        <v>144</v>
      </c>
      <c r="AN247" s="31" t="s">
        <v>163</v>
      </c>
      <c r="AO247" s="31" t="s">
        <v>144</v>
      </c>
      <c r="AP247" s="31" t="s">
        <v>144</v>
      </c>
      <c r="AQ247" s="31"/>
      <c r="AR247" s="31"/>
      <c r="AS247" s="31"/>
      <c r="AT247" s="31"/>
      <c r="AU247" s="31"/>
    </row>
    <row r="248" spans="5:47" ht="15" customHeight="1" x14ac:dyDescent="0.25">
      <c r="E248" s="31" t="s">
        <v>134</v>
      </c>
      <c r="F248" s="31" t="s">
        <v>140</v>
      </c>
      <c r="G248" s="31" t="s">
        <v>374</v>
      </c>
      <c r="H248" s="31" t="s">
        <v>144</v>
      </c>
      <c r="I248" s="31" t="s">
        <v>481</v>
      </c>
      <c r="J248" s="31" t="s">
        <v>647</v>
      </c>
      <c r="K248" s="31" t="s">
        <v>757</v>
      </c>
      <c r="L248" s="31" t="s">
        <v>162</v>
      </c>
      <c r="M248" s="31" t="s">
        <v>144</v>
      </c>
      <c r="N248" s="31" t="s">
        <v>144</v>
      </c>
      <c r="O248" s="31">
        <v>16</v>
      </c>
      <c r="P248" s="31" t="s">
        <v>144</v>
      </c>
      <c r="Q248" s="31" t="s">
        <v>316</v>
      </c>
      <c r="R248" s="31" t="s">
        <v>477</v>
      </c>
      <c r="S248" s="31" t="s">
        <v>479</v>
      </c>
      <c r="T248" s="31" t="s">
        <v>144</v>
      </c>
      <c r="U248" s="31" t="s">
        <v>144</v>
      </c>
      <c r="V248" s="31" t="s">
        <v>144</v>
      </c>
      <c r="W248" s="31" t="s">
        <v>442</v>
      </c>
      <c r="X248" s="31" t="s">
        <v>193</v>
      </c>
      <c r="Y248" s="31" t="s">
        <v>194</v>
      </c>
      <c r="Z248" s="31" t="s">
        <v>144</v>
      </c>
      <c r="AA248" s="31" t="s">
        <v>144</v>
      </c>
      <c r="AB248" s="31" t="s">
        <v>144</v>
      </c>
      <c r="AC248" s="31" t="s">
        <v>144</v>
      </c>
      <c r="AD248" s="31" t="s">
        <v>144</v>
      </c>
      <c r="AE248" s="31" t="s">
        <v>144</v>
      </c>
      <c r="AF248" s="31" t="s">
        <v>144</v>
      </c>
      <c r="AG248" s="31" t="s">
        <v>144</v>
      </c>
      <c r="AH248" s="31" t="s">
        <v>1322</v>
      </c>
      <c r="AI248" s="31" t="s">
        <v>375</v>
      </c>
      <c r="AJ248" s="31" t="s">
        <v>144</v>
      </c>
      <c r="AK248" s="31" t="s">
        <v>144</v>
      </c>
      <c r="AL248" s="31" t="s">
        <v>325</v>
      </c>
      <c r="AM248" s="31" t="s">
        <v>144</v>
      </c>
      <c r="AN248" s="31" t="s">
        <v>163</v>
      </c>
      <c r="AO248" s="31" t="s">
        <v>144</v>
      </c>
      <c r="AP248" s="31" t="s">
        <v>144</v>
      </c>
      <c r="AQ248" s="31"/>
      <c r="AR248" s="31"/>
      <c r="AS248" s="31"/>
      <c r="AT248" s="31"/>
      <c r="AU248" s="31"/>
    </row>
    <row r="249" spans="5:47" ht="15" customHeight="1" x14ac:dyDescent="0.25">
      <c r="E249" s="31" t="s">
        <v>134</v>
      </c>
      <c r="F249" s="31" t="s">
        <v>140</v>
      </c>
      <c r="G249" s="31" t="s">
        <v>374</v>
      </c>
      <c r="H249" s="31" t="s">
        <v>144</v>
      </c>
      <c r="I249" s="31" t="s">
        <v>481</v>
      </c>
      <c r="J249" s="31" t="s">
        <v>647</v>
      </c>
      <c r="K249" s="31" t="s">
        <v>758</v>
      </c>
      <c r="L249" s="31" t="s">
        <v>162</v>
      </c>
      <c r="M249" s="31" t="s">
        <v>144</v>
      </c>
      <c r="N249" s="31" t="s">
        <v>144</v>
      </c>
      <c r="O249" s="31">
        <v>16</v>
      </c>
      <c r="P249" s="31" t="s">
        <v>144</v>
      </c>
      <c r="Q249" s="31" t="s">
        <v>316</v>
      </c>
      <c r="R249" s="31" t="s">
        <v>477</v>
      </c>
      <c r="S249" s="31" t="s">
        <v>479</v>
      </c>
      <c r="T249" s="31" t="s">
        <v>144</v>
      </c>
      <c r="U249" s="31" t="s">
        <v>144</v>
      </c>
      <c r="V249" s="31" t="s">
        <v>144</v>
      </c>
      <c r="W249" s="31" t="s">
        <v>442</v>
      </c>
      <c r="X249" s="31" t="s">
        <v>193</v>
      </c>
      <c r="Y249" s="31" t="s">
        <v>194</v>
      </c>
      <c r="Z249" s="31" t="s">
        <v>144</v>
      </c>
      <c r="AA249" s="31" t="s">
        <v>144</v>
      </c>
      <c r="AB249" s="31" t="s">
        <v>144</v>
      </c>
      <c r="AC249" s="31" t="s">
        <v>144</v>
      </c>
      <c r="AD249" s="31" t="s">
        <v>144</v>
      </c>
      <c r="AE249" s="31" t="s">
        <v>144</v>
      </c>
      <c r="AF249" s="31" t="s">
        <v>144</v>
      </c>
      <c r="AG249" s="31" t="s">
        <v>144</v>
      </c>
      <c r="AH249" s="31" t="s">
        <v>1322</v>
      </c>
      <c r="AI249" s="31" t="s">
        <v>375</v>
      </c>
      <c r="AJ249" s="31" t="s">
        <v>144</v>
      </c>
      <c r="AK249" s="31" t="s">
        <v>144</v>
      </c>
      <c r="AL249" s="31" t="s">
        <v>325</v>
      </c>
      <c r="AM249" s="31" t="s">
        <v>144</v>
      </c>
      <c r="AN249" s="31" t="s">
        <v>163</v>
      </c>
      <c r="AO249" s="31" t="s">
        <v>144</v>
      </c>
      <c r="AP249" s="31" t="s">
        <v>144</v>
      </c>
      <c r="AQ249" s="31"/>
      <c r="AR249" s="31"/>
      <c r="AS249" s="31"/>
      <c r="AT249" s="31"/>
      <c r="AU249" s="31"/>
    </row>
    <row r="250" spans="5:47" ht="15" customHeight="1" x14ac:dyDescent="0.25">
      <c r="E250" s="31" t="s">
        <v>134</v>
      </c>
      <c r="F250" s="31" t="s">
        <v>140</v>
      </c>
      <c r="G250" s="31" t="s">
        <v>374</v>
      </c>
      <c r="H250" s="31" t="s">
        <v>144</v>
      </c>
      <c r="I250" s="31" t="s">
        <v>481</v>
      </c>
      <c r="J250" s="31" t="s">
        <v>647</v>
      </c>
      <c r="K250" s="31" t="s">
        <v>759</v>
      </c>
      <c r="L250" s="31" t="s">
        <v>162</v>
      </c>
      <c r="M250" s="31" t="s">
        <v>144</v>
      </c>
      <c r="N250" s="31" t="s">
        <v>144</v>
      </c>
      <c r="O250" s="31">
        <v>16</v>
      </c>
      <c r="P250" s="31" t="s">
        <v>144</v>
      </c>
      <c r="Q250" s="31" t="s">
        <v>316</v>
      </c>
      <c r="R250" s="31" t="s">
        <v>477</v>
      </c>
      <c r="S250" s="31" t="s">
        <v>479</v>
      </c>
      <c r="T250" s="31" t="s">
        <v>144</v>
      </c>
      <c r="U250" s="31" t="s">
        <v>144</v>
      </c>
      <c r="V250" s="31" t="s">
        <v>144</v>
      </c>
      <c r="W250" s="31" t="s">
        <v>442</v>
      </c>
      <c r="X250" s="31" t="s">
        <v>193</v>
      </c>
      <c r="Y250" s="31" t="s">
        <v>194</v>
      </c>
      <c r="Z250" s="31" t="s">
        <v>144</v>
      </c>
      <c r="AA250" s="31" t="s">
        <v>144</v>
      </c>
      <c r="AB250" s="31" t="s">
        <v>144</v>
      </c>
      <c r="AC250" s="31" t="s">
        <v>144</v>
      </c>
      <c r="AD250" s="31" t="s">
        <v>144</v>
      </c>
      <c r="AE250" s="31" t="s">
        <v>144</v>
      </c>
      <c r="AF250" s="31" t="s">
        <v>144</v>
      </c>
      <c r="AG250" s="31" t="s">
        <v>144</v>
      </c>
      <c r="AH250" s="31" t="s">
        <v>1322</v>
      </c>
      <c r="AI250" s="31" t="s">
        <v>375</v>
      </c>
      <c r="AJ250" s="31" t="s">
        <v>144</v>
      </c>
      <c r="AK250" s="31" t="s">
        <v>144</v>
      </c>
      <c r="AL250" s="31" t="s">
        <v>325</v>
      </c>
      <c r="AM250" s="31" t="s">
        <v>144</v>
      </c>
      <c r="AN250" s="31" t="s">
        <v>163</v>
      </c>
      <c r="AO250" s="31" t="s">
        <v>144</v>
      </c>
      <c r="AP250" s="31" t="s">
        <v>144</v>
      </c>
      <c r="AQ250" s="31"/>
      <c r="AR250" s="31"/>
      <c r="AS250" s="31"/>
      <c r="AT250" s="31"/>
      <c r="AU250" s="31"/>
    </row>
    <row r="251" spans="5:47" ht="15" customHeight="1" x14ac:dyDescent="0.25">
      <c r="E251" s="31" t="s">
        <v>134</v>
      </c>
      <c r="F251" s="31" t="s">
        <v>140</v>
      </c>
      <c r="G251" s="31" t="s">
        <v>374</v>
      </c>
      <c r="H251" s="31" t="s">
        <v>144</v>
      </c>
      <c r="I251" s="31" t="s">
        <v>481</v>
      </c>
      <c r="J251" s="31" t="s">
        <v>647</v>
      </c>
      <c r="K251" s="31" t="s">
        <v>760</v>
      </c>
      <c r="L251" s="31" t="s">
        <v>162</v>
      </c>
      <c r="M251" s="31" t="s">
        <v>144</v>
      </c>
      <c r="N251" s="31" t="s">
        <v>144</v>
      </c>
      <c r="O251" s="31">
        <v>16</v>
      </c>
      <c r="P251" s="31" t="s">
        <v>144</v>
      </c>
      <c r="Q251" s="31" t="s">
        <v>316</v>
      </c>
      <c r="R251" s="31" t="s">
        <v>477</v>
      </c>
      <c r="S251" s="31" t="s">
        <v>479</v>
      </c>
      <c r="T251" s="31" t="s">
        <v>144</v>
      </c>
      <c r="U251" s="31" t="s">
        <v>144</v>
      </c>
      <c r="V251" s="31" t="s">
        <v>144</v>
      </c>
      <c r="W251" s="31" t="s">
        <v>442</v>
      </c>
      <c r="X251" s="31" t="s">
        <v>193</v>
      </c>
      <c r="Y251" s="31" t="s">
        <v>194</v>
      </c>
      <c r="Z251" s="31" t="s">
        <v>144</v>
      </c>
      <c r="AA251" s="31" t="s">
        <v>144</v>
      </c>
      <c r="AB251" s="31" t="s">
        <v>144</v>
      </c>
      <c r="AC251" s="31" t="s">
        <v>144</v>
      </c>
      <c r="AD251" s="31" t="s">
        <v>144</v>
      </c>
      <c r="AE251" s="31" t="s">
        <v>144</v>
      </c>
      <c r="AF251" s="31" t="s">
        <v>144</v>
      </c>
      <c r="AG251" s="31" t="s">
        <v>144</v>
      </c>
      <c r="AH251" s="31" t="s">
        <v>1322</v>
      </c>
      <c r="AI251" s="31" t="s">
        <v>375</v>
      </c>
      <c r="AJ251" s="31" t="s">
        <v>144</v>
      </c>
      <c r="AK251" s="31" t="s">
        <v>144</v>
      </c>
      <c r="AL251" s="31" t="s">
        <v>325</v>
      </c>
      <c r="AM251" s="31" t="s">
        <v>144</v>
      </c>
      <c r="AN251" s="31" t="s">
        <v>163</v>
      </c>
      <c r="AO251" s="31" t="s">
        <v>144</v>
      </c>
      <c r="AP251" s="31" t="s">
        <v>144</v>
      </c>
      <c r="AQ251" s="31"/>
      <c r="AR251" s="31"/>
      <c r="AS251" s="31"/>
      <c r="AT251" s="31"/>
      <c r="AU251" s="31"/>
    </row>
    <row r="252" spans="5:47" ht="15" customHeight="1" x14ac:dyDescent="0.25">
      <c r="E252" s="31" t="s">
        <v>134</v>
      </c>
      <c r="F252" s="31" t="s">
        <v>140</v>
      </c>
      <c r="G252" s="31" t="s">
        <v>374</v>
      </c>
      <c r="H252" s="31" t="s">
        <v>144</v>
      </c>
      <c r="I252" s="31" t="s">
        <v>481</v>
      </c>
      <c r="J252" s="31" t="s">
        <v>647</v>
      </c>
      <c r="K252" s="31" t="s">
        <v>761</v>
      </c>
      <c r="L252" s="31" t="s">
        <v>162</v>
      </c>
      <c r="M252" s="31" t="s">
        <v>144</v>
      </c>
      <c r="N252" s="31" t="s">
        <v>144</v>
      </c>
      <c r="O252" s="31">
        <v>16</v>
      </c>
      <c r="P252" s="31" t="s">
        <v>144</v>
      </c>
      <c r="Q252" s="31" t="s">
        <v>316</v>
      </c>
      <c r="R252" s="31" t="s">
        <v>477</v>
      </c>
      <c r="S252" s="31" t="s">
        <v>479</v>
      </c>
      <c r="T252" s="31" t="s">
        <v>144</v>
      </c>
      <c r="U252" s="31" t="s">
        <v>144</v>
      </c>
      <c r="V252" s="31" t="s">
        <v>144</v>
      </c>
      <c r="W252" s="31" t="s">
        <v>442</v>
      </c>
      <c r="X252" s="31" t="s">
        <v>193</v>
      </c>
      <c r="Y252" s="31" t="s">
        <v>194</v>
      </c>
      <c r="Z252" s="31" t="s">
        <v>144</v>
      </c>
      <c r="AA252" s="31" t="s">
        <v>144</v>
      </c>
      <c r="AB252" s="31" t="s">
        <v>144</v>
      </c>
      <c r="AC252" s="31" t="s">
        <v>144</v>
      </c>
      <c r="AD252" s="31" t="s">
        <v>144</v>
      </c>
      <c r="AE252" s="31" t="s">
        <v>144</v>
      </c>
      <c r="AF252" s="31" t="s">
        <v>144</v>
      </c>
      <c r="AG252" s="31" t="s">
        <v>144</v>
      </c>
      <c r="AH252" s="31" t="s">
        <v>1322</v>
      </c>
      <c r="AI252" s="31" t="s">
        <v>375</v>
      </c>
      <c r="AJ252" s="31" t="s">
        <v>144</v>
      </c>
      <c r="AK252" s="31" t="s">
        <v>144</v>
      </c>
      <c r="AL252" s="31" t="s">
        <v>325</v>
      </c>
      <c r="AM252" s="31" t="s">
        <v>144</v>
      </c>
      <c r="AN252" s="31" t="s">
        <v>163</v>
      </c>
      <c r="AO252" s="31" t="s">
        <v>144</v>
      </c>
      <c r="AP252" s="31" t="s">
        <v>144</v>
      </c>
      <c r="AQ252" s="31"/>
      <c r="AR252" s="31"/>
      <c r="AS252" s="31"/>
      <c r="AT252" s="31"/>
      <c r="AU252" s="31"/>
    </row>
    <row r="253" spans="5:47" ht="15" customHeight="1" x14ac:dyDescent="0.25">
      <c r="E253" s="31" t="s">
        <v>134</v>
      </c>
      <c r="F253" s="31" t="s">
        <v>140</v>
      </c>
      <c r="G253" s="31" t="s">
        <v>374</v>
      </c>
      <c r="H253" s="31" t="s">
        <v>144</v>
      </c>
      <c r="I253" s="31" t="s">
        <v>481</v>
      </c>
      <c r="J253" s="31" t="s">
        <v>647</v>
      </c>
      <c r="K253" s="31" t="s">
        <v>762</v>
      </c>
      <c r="L253" s="31" t="s">
        <v>162</v>
      </c>
      <c r="M253" s="31" t="s">
        <v>144</v>
      </c>
      <c r="N253" s="31" t="s">
        <v>144</v>
      </c>
      <c r="O253" s="31">
        <v>16</v>
      </c>
      <c r="P253" s="31" t="s">
        <v>144</v>
      </c>
      <c r="Q253" s="31" t="s">
        <v>316</v>
      </c>
      <c r="R253" s="31" t="s">
        <v>477</v>
      </c>
      <c r="S253" s="31" t="s">
        <v>479</v>
      </c>
      <c r="T253" s="31" t="s">
        <v>144</v>
      </c>
      <c r="U253" s="31" t="s">
        <v>144</v>
      </c>
      <c r="V253" s="31" t="s">
        <v>144</v>
      </c>
      <c r="W253" s="31" t="s">
        <v>442</v>
      </c>
      <c r="X253" s="31" t="s">
        <v>193</v>
      </c>
      <c r="Y253" s="31" t="s">
        <v>194</v>
      </c>
      <c r="Z253" s="31" t="s">
        <v>144</v>
      </c>
      <c r="AA253" s="31" t="s">
        <v>144</v>
      </c>
      <c r="AB253" s="31" t="s">
        <v>144</v>
      </c>
      <c r="AC253" s="31" t="s">
        <v>144</v>
      </c>
      <c r="AD253" s="31" t="s">
        <v>144</v>
      </c>
      <c r="AE253" s="31" t="s">
        <v>144</v>
      </c>
      <c r="AF253" s="31" t="s">
        <v>144</v>
      </c>
      <c r="AG253" s="31" t="s">
        <v>144</v>
      </c>
      <c r="AH253" s="31" t="s">
        <v>1322</v>
      </c>
      <c r="AI253" s="31" t="s">
        <v>375</v>
      </c>
      <c r="AJ253" s="31" t="s">
        <v>144</v>
      </c>
      <c r="AK253" s="31" t="s">
        <v>144</v>
      </c>
      <c r="AL253" s="31" t="s">
        <v>325</v>
      </c>
      <c r="AM253" s="31" t="s">
        <v>144</v>
      </c>
      <c r="AN253" s="31" t="s">
        <v>163</v>
      </c>
      <c r="AO253" s="31" t="s">
        <v>144</v>
      </c>
      <c r="AP253" s="31" t="s">
        <v>144</v>
      </c>
      <c r="AQ253" s="31"/>
      <c r="AR253" s="31"/>
      <c r="AS253" s="31"/>
      <c r="AT253" s="31"/>
      <c r="AU253" s="31"/>
    </row>
    <row r="254" spans="5:47" ht="15" customHeight="1" x14ac:dyDescent="0.25">
      <c r="E254" s="31" t="s">
        <v>134</v>
      </c>
      <c r="F254" s="31" t="s">
        <v>140</v>
      </c>
      <c r="G254" s="31" t="s">
        <v>374</v>
      </c>
      <c r="H254" s="31" t="s">
        <v>144</v>
      </c>
      <c r="I254" s="31" t="s">
        <v>481</v>
      </c>
      <c r="J254" s="31" t="s">
        <v>647</v>
      </c>
      <c r="K254" s="31" t="s">
        <v>763</v>
      </c>
      <c r="L254" s="31" t="s">
        <v>162</v>
      </c>
      <c r="M254" s="31" t="s">
        <v>144</v>
      </c>
      <c r="N254" s="31" t="s">
        <v>144</v>
      </c>
      <c r="O254" s="31">
        <v>16</v>
      </c>
      <c r="P254" s="31" t="s">
        <v>144</v>
      </c>
      <c r="Q254" s="31" t="s">
        <v>316</v>
      </c>
      <c r="R254" s="31" t="s">
        <v>477</v>
      </c>
      <c r="S254" s="31" t="s">
        <v>479</v>
      </c>
      <c r="T254" s="31" t="s">
        <v>144</v>
      </c>
      <c r="U254" s="31" t="s">
        <v>144</v>
      </c>
      <c r="V254" s="31" t="s">
        <v>144</v>
      </c>
      <c r="W254" s="31" t="s">
        <v>442</v>
      </c>
      <c r="X254" s="31" t="s">
        <v>193</v>
      </c>
      <c r="Y254" s="31" t="s">
        <v>194</v>
      </c>
      <c r="Z254" s="31" t="s">
        <v>144</v>
      </c>
      <c r="AA254" s="31" t="s">
        <v>144</v>
      </c>
      <c r="AB254" s="31" t="s">
        <v>144</v>
      </c>
      <c r="AC254" s="31" t="s">
        <v>144</v>
      </c>
      <c r="AD254" s="31" t="s">
        <v>144</v>
      </c>
      <c r="AE254" s="31" t="s">
        <v>144</v>
      </c>
      <c r="AF254" s="31" t="s">
        <v>144</v>
      </c>
      <c r="AG254" s="31" t="s">
        <v>144</v>
      </c>
      <c r="AH254" s="31" t="s">
        <v>1322</v>
      </c>
      <c r="AI254" s="31" t="s">
        <v>375</v>
      </c>
      <c r="AJ254" s="31" t="s">
        <v>144</v>
      </c>
      <c r="AK254" s="31" t="s">
        <v>144</v>
      </c>
      <c r="AL254" s="31" t="s">
        <v>325</v>
      </c>
      <c r="AM254" s="31" t="s">
        <v>144</v>
      </c>
      <c r="AN254" s="31" t="s">
        <v>163</v>
      </c>
      <c r="AO254" s="31" t="s">
        <v>144</v>
      </c>
      <c r="AP254" s="31" t="s">
        <v>144</v>
      </c>
      <c r="AQ254" s="31"/>
      <c r="AR254" s="31"/>
      <c r="AS254" s="31"/>
      <c r="AT254" s="31"/>
      <c r="AU254" s="31"/>
    </row>
    <row r="255" spans="5:47" ht="15" customHeight="1" x14ac:dyDescent="0.25">
      <c r="E255" s="31" t="s">
        <v>134</v>
      </c>
      <c r="F255" s="31" t="s">
        <v>140</v>
      </c>
      <c r="G255" s="31" t="s">
        <v>374</v>
      </c>
      <c r="H255" s="31" t="s">
        <v>144</v>
      </c>
      <c r="I255" s="31" t="s">
        <v>481</v>
      </c>
      <c r="J255" s="31" t="s">
        <v>647</v>
      </c>
      <c r="K255" s="31" t="s">
        <v>764</v>
      </c>
      <c r="L255" s="31" t="s">
        <v>162</v>
      </c>
      <c r="M255" s="31" t="s">
        <v>144</v>
      </c>
      <c r="N255" s="31" t="s">
        <v>144</v>
      </c>
      <c r="O255" s="31">
        <v>16</v>
      </c>
      <c r="P255" s="31" t="s">
        <v>144</v>
      </c>
      <c r="Q255" s="31" t="s">
        <v>316</v>
      </c>
      <c r="R255" s="31" t="s">
        <v>477</v>
      </c>
      <c r="S255" s="31" t="s">
        <v>479</v>
      </c>
      <c r="T255" s="31" t="s">
        <v>144</v>
      </c>
      <c r="U255" s="31" t="s">
        <v>144</v>
      </c>
      <c r="V255" s="31" t="s">
        <v>144</v>
      </c>
      <c r="W255" s="31" t="s">
        <v>442</v>
      </c>
      <c r="X255" s="31" t="s">
        <v>193</v>
      </c>
      <c r="Y255" s="31" t="s">
        <v>194</v>
      </c>
      <c r="Z255" s="31" t="s">
        <v>144</v>
      </c>
      <c r="AA255" s="31" t="s">
        <v>144</v>
      </c>
      <c r="AB255" s="31" t="s">
        <v>144</v>
      </c>
      <c r="AC255" s="31" t="s">
        <v>144</v>
      </c>
      <c r="AD255" s="31" t="s">
        <v>144</v>
      </c>
      <c r="AE255" s="31" t="s">
        <v>144</v>
      </c>
      <c r="AF255" s="31" t="s">
        <v>144</v>
      </c>
      <c r="AG255" s="31" t="s">
        <v>144</v>
      </c>
      <c r="AH255" s="31" t="s">
        <v>1322</v>
      </c>
      <c r="AI255" s="31" t="s">
        <v>375</v>
      </c>
      <c r="AJ255" s="31" t="s">
        <v>144</v>
      </c>
      <c r="AK255" s="31" t="s">
        <v>144</v>
      </c>
      <c r="AL255" s="31" t="s">
        <v>325</v>
      </c>
      <c r="AM255" s="31" t="s">
        <v>144</v>
      </c>
      <c r="AN255" s="31" t="s">
        <v>163</v>
      </c>
      <c r="AO255" s="31" t="s">
        <v>144</v>
      </c>
      <c r="AP255" s="31" t="s">
        <v>144</v>
      </c>
      <c r="AQ255" s="31"/>
      <c r="AR255" s="31"/>
      <c r="AS255" s="31"/>
      <c r="AT255" s="31"/>
      <c r="AU255" s="31"/>
    </row>
    <row r="256" spans="5:47" ht="15" customHeight="1" x14ac:dyDescent="0.25">
      <c r="E256" s="31" t="s">
        <v>134</v>
      </c>
      <c r="F256" s="31" t="s">
        <v>140</v>
      </c>
      <c r="G256" s="31" t="s">
        <v>374</v>
      </c>
      <c r="H256" s="31" t="s">
        <v>144</v>
      </c>
      <c r="I256" s="31" t="s">
        <v>481</v>
      </c>
      <c r="J256" s="31" t="s">
        <v>647</v>
      </c>
      <c r="K256" s="31" t="s">
        <v>765</v>
      </c>
      <c r="L256" s="31" t="s">
        <v>162</v>
      </c>
      <c r="M256" s="31" t="s">
        <v>144</v>
      </c>
      <c r="N256" s="31" t="s">
        <v>144</v>
      </c>
      <c r="O256" s="31">
        <v>16</v>
      </c>
      <c r="P256" s="31" t="s">
        <v>144</v>
      </c>
      <c r="Q256" s="31" t="s">
        <v>316</v>
      </c>
      <c r="R256" s="31" t="s">
        <v>477</v>
      </c>
      <c r="S256" s="31" t="s">
        <v>479</v>
      </c>
      <c r="T256" s="31" t="s">
        <v>144</v>
      </c>
      <c r="U256" s="31" t="s">
        <v>144</v>
      </c>
      <c r="V256" s="31" t="s">
        <v>144</v>
      </c>
      <c r="W256" s="31" t="s">
        <v>442</v>
      </c>
      <c r="X256" s="31" t="s">
        <v>193</v>
      </c>
      <c r="Y256" s="31" t="s">
        <v>194</v>
      </c>
      <c r="Z256" s="31" t="s">
        <v>144</v>
      </c>
      <c r="AA256" s="31" t="s">
        <v>144</v>
      </c>
      <c r="AB256" s="31" t="s">
        <v>144</v>
      </c>
      <c r="AC256" s="31" t="s">
        <v>144</v>
      </c>
      <c r="AD256" s="31" t="s">
        <v>144</v>
      </c>
      <c r="AE256" s="31" t="s">
        <v>144</v>
      </c>
      <c r="AF256" s="31" t="s">
        <v>144</v>
      </c>
      <c r="AG256" s="31" t="s">
        <v>144</v>
      </c>
      <c r="AH256" s="31" t="s">
        <v>1322</v>
      </c>
      <c r="AI256" s="31" t="s">
        <v>375</v>
      </c>
      <c r="AJ256" s="31" t="s">
        <v>144</v>
      </c>
      <c r="AK256" s="31" t="s">
        <v>144</v>
      </c>
      <c r="AL256" s="31" t="s">
        <v>325</v>
      </c>
      <c r="AM256" s="31" t="s">
        <v>144</v>
      </c>
      <c r="AN256" s="31" t="s">
        <v>163</v>
      </c>
      <c r="AO256" s="31" t="s">
        <v>144</v>
      </c>
      <c r="AP256" s="31" t="s">
        <v>144</v>
      </c>
      <c r="AQ256" s="31"/>
      <c r="AR256" s="31"/>
      <c r="AS256" s="31"/>
      <c r="AT256" s="31"/>
      <c r="AU256" s="31"/>
    </row>
    <row r="257" spans="5:47" ht="15" customHeight="1" x14ac:dyDescent="0.25">
      <c r="E257" s="31" t="s">
        <v>134</v>
      </c>
      <c r="F257" s="31" t="s">
        <v>140</v>
      </c>
      <c r="G257" s="31" t="s">
        <v>374</v>
      </c>
      <c r="H257" s="31" t="s">
        <v>144</v>
      </c>
      <c r="I257" s="31" t="s">
        <v>481</v>
      </c>
      <c r="J257" s="31" t="s">
        <v>647</v>
      </c>
      <c r="K257" s="31" t="s">
        <v>766</v>
      </c>
      <c r="L257" s="31" t="s">
        <v>162</v>
      </c>
      <c r="M257" s="31" t="s">
        <v>144</v>
      </c>
      <c r="N257" s="31" t="s">
        <v>144</v>
      </c>
      <c r="O257" s="31">
        <v>16</v>
      </c>
      <c r="P257" s="31" t="s">
        <v>144</v>
      </c>
      <c r="Q257" s="31" t="s">
        <v>316</v>
      </c>
      <c r="R257" s="31" t="s">
        <v>477</v>
      </c>
      <c r="S257" s="31" t="s">
        <v>479</v>
      </c>
      <c r="T257" s="31" t="s">
        <v>144</v>
      </c>
      <c r="U257" s="31" t="s">
        <v>144</v>
      </c>
      <c r="V257" s="31" t="s">
        <v>144</v>
      </c>
      <c r="W257" s="31" t="s">
        <v>442</v>
      </c>
      <c r="X257" s="31" t="s">
        <v>193</v>
      </c>
      <c r="Y257" s="31" t="s">
        <v>194</v>
      </c>
      <c r="Z257" s="31" t="s">
        <v>144</v>
      </c>
      <c r="AA257" s="31" t="s">
        <v>144</v>
      </c>
      <c r="AB257" s="31" t="s">
        <v>144</v>
      </c>
      <c r="AC257" s="31" t="s">
        <v>144</v>
      </c>
      <c r="AD257" s="31" t="s">
        <v>144</v>
      </c>
      <c r="AE257" s="31" t="s">
        <v>144</v>
      </c>
      <c r="AF257" s="31" t="s">
        <v>144</v>
      </c>
      <c r="AG257" s="31" t="s">
        <v>144</v>
      </c>
      <c r="AH257" s="31" t="s">
        <v>1322</v>
      </c>
      <c r="AI257" s="31" t="s">
        <v>375</v>
      </c>
      <c r="AJ257" s="31" t="s">
        <v>144</v>
      </c>
      <c r="AK257" s="31" t="s">
        <v>144</v>
      </c>
      <c r="AL257" s="31" t="s">
        <v>325</v>
      </c>
      <c r="AM257" s="31" t="s">
        <v>144</v>
      </c>
      <c r="AN257" s="31" t="s">
        <v>163</v>
      </c>
      <c r="AO257" s="31" t="s">
        <v>144</v>
      </c>
      <c r="AP257" s="31" t="s">
        <v>144</v>
      </c>
      <c r="AQ257" s="31"/>
      <c r="AR257" s="31"/>
      <c r="AS257" s="31"/>
      <c r="AT257" s="31"/>
      <c r="AU257" s="31"/>
    </row>
    <row r="258" spans="5:47" ht="15" customHeight="1" x14ac:dyDescent="0.25">
      <c r="E258" s="31" t="s">
        <v>134</v>
      </c>
      <c r="F258" s="31" t="s">
        <v>140</v>
      </c>
      <c r="G258" s="31" t="s">
        <v>374</v>
      </c>
      <c r="H258" s="31" t="s">
        <v>144</v>
      </c>
      <c r="I258" s="31" t="s">
        <v>481</v>
      </c>
      <c r="J258" s="31" t="s">
        <v>647</v>
      </c>
      <c r="K258" s="31" t="s">
        <v>767</v>
      </c>
      <c r="L258" s="31" t="s">
        <v>162</v>
      </c>
      <c r="M258" s="31" t="s">
        <v>144</v>
      </c>
      <c r="N258" s="31" t="s">
        <v>144</v>
      </c>
      <c r="O258" s="31">
        <v>16</v>
      </c>
      <c r="P258" s="31" t="s">
        <v>144</v>
      </c>
      <c r="Q258" s="31" t="s">
        <v>316</v>
      </c>
      <c r="R258" s="31" t="s">
        <v>477</v>
      </c>
      <c r="S258" s="31" t="s">
        <v>479</v>
      </c>
      <c r="T258" s="31" t="s">
        <v>144</v>
      </c>
      <c r="U258" s="31" t="s">
        <v>144</v>
      </c>
      <c r="V258" s="31" t="s">
        <v>144</v>
      </c>
      <c r="W258" s="31" t="s">
        <v>442</v>
      </c>
      <c r="X258" s="31" t="s">
        <v>193</v>
      </c>
      <c r="Y258" s="31" t="s">
        <v>194</v>
      </c>
      <c r="Z258" s="31" t="s">
        <v>144</v>
      </c>
      <c r="AA258" s="31" t="s">
        <v>144</v>
      </c>
      <c r="AB258" s="31" t="s">
        <v>144</v>
      </c>
      <c r="AC258" s="31" t="s">
        <v>144</v>
      </c>
      <c r="AD258" s="31" t="s">
        <v>144</v>
      </c>
      <c r="AE258" s="31" t="s">
        <v>144</v>
      </c>
      <c r="AF258" s="31" t="s">
        <v>144</v>
      </c>
      <c r="AG258" s="31" t="s">
        <v>144</v>
      </c>
      <c r="AH258" s="31" t="s">
        <v>1322</v>
      </c>
      <c r="AI258" s="31" t="s">
        <v>375</v>
      </c>
      <c r="AJ258" s="31" t="s">
        <v>144</v>
      </c>
      <c r="AK258" s="31" t="s">
        <v>144</v>
      </c>
      <c r="AL258" s="31" t="s">
        <v>325</v>
      </c>
      <c r="AM258" s="31" t="s">
        <v>144</v>
      </c>
      <c r="AN258" s="31" t="s">
        <v>163</v>
      </c>
      <c r="AO258" s="31" t="s">
        <v>144</v>
      </c>
      <c r="AP258" s="31" t="s">
        <v>144</v>
      </c>
      <c r="AQ258" s="31"/>
      <c r="AR258" s="31"/>
      <c r="AS258" s="31"/>
      <c r="AT258" s="31"/>
      <c r="AU258" s="31"/>
    </row>
    <row r="259" spans="5:47" ht="15" customHeight="1" x14ac:dyDescent="0.25">
      <c r="E259" s="31" t="s">
        <v>134</v>
      </c>
      <c r="F259" s="31" t="s">
        <v>140</v>
      </c>
      <c r="G259" s="31" t="s">
        <v>374</v>
      </c>
      <c r="H259" s="31" t="s">
        <v>144</v>
      </c>
      <c r="I259" s="31" t="s">
        <v>481</v>
      </c>
      <c r="J259" s="31" t="s">
        <v>647</v>
      </c>
      <c r="K259" s="31" t="s">
        <v>768</v>
      </c>
      <c r="L259" s="31" t="s">
        <v>162</v>
      </c>
      <c r="M259" s="31" t="s">
        <v>144</v>
      </c>
      <c r="N259" s="31" t="s">
        <v>144</v>
      </c>
      <c r="O259" s="31">
        <v>16</v>
      </c>
      <c r="P259" s="31" t="s">
        <v>144</v>
      </c>
      <c r="Q259" s="31" t="s">
        <v>316</v>
      </c>
      <c r="R259" s="31" t="s">
        <v>477</v>
      </c>
      <c r="S259" s="31" t="s">
        <v>479</v>
      </c>
      <c r="T259" s="31" t="s">
        <v>144</v>
      </c>
      <c r="U259" s="31" t="s">
        <v>144</v>
      </c>
      <c r="V259" s="31" t="s">
        <v>144</v>
      </c>
      <c r="W259" s="31" t="s">
        <v>442</v>
      </c>
      <c r="X259" s="31" t="s">
        <v>193</v>
      </c>
      <c r="Y259" s="31" t="s">
        <v>194</v>
      </c>
      <c r="Z259" s="31" t="s">
        <v>144</v>
      </c>
      <c r="AA259" s="31" t="s">
        <v>144</v>
      </c>
      <c r="AB259" s="31" t="s">
        <v>144</v>
      </c>
      <c r="AC259" s="31" t="s">
        <v>144</v>
      </c>
      <c r="AD259" s="31" t="s">
        <v>144</v>
      </c>
      <c r="AE259" s="31" t="s">
        <v>144</v>
      </c>
      <c r="AF259" s="31" t="s">
        <v>144</v>
      </c>
      <c r="AG259" s="31" t="s">
        <v>144</v>
      </c>
      <c r="AH259" s="31" t="s">
        <v>1322</v>
      </c>
      <c r="AI259" s="31" t="s">
        <v>375</v>
      </c>
      <c r="AJ259" s="31" t="s">
        <v>144</v>
      </c>
      <c r="AK259" s="31" t="s">
        <v>144</v>
      </c>
      <c r="AL259" s="31" t="s">
        <v>325</v>
      </c>
      <c r="AM259" s="31" t="s">
        <v>144</v>
      </c>
      <c r="AN259" s="31" t="s">
        <v>163</v>
      </c>
      <c r="AO259" s="31" t="s">
        <v>144</v>
      </c>
      <c r="AP259" s="31" t="s">
        <v>144</v>
      </c>
      <c r="AQ259" s="31"/>
      <c r="AR259" s="31"/>
      <c r="AS259" s="31"/>
      <c r="AT259" s="31"/>
      <c r="AU259" s="31"/>
    </row>
    <row r="260" spans="5:47" ht="15" customHeight="1" x14ac:dyDescent="0.25">
      <c r="E260" s="31" t="s">
        <v>134</v>
      </c>
      <c r="F260" s="31" t="s">
        <v>140</v>
      </c>
      <c r="G260" s="31" t="s">
        <v>374</v>
      </c>
      <c r="H260" s="31" t="s">
        <v>144</v>
      </c>
      <c r="I260" s="31" t="s">
        <v>481</v>
      </c>
      <c r="J260" s="31" t="s">
        <v>647</v>
      </c>
      <c r="K260" s="31" t="s">
        <v>769</v>
      </c>
      <c r="L260" s="31" t="s">
        <v>162</v>
      </c>
      <c r="M260" s="31" t="s">
        <v>144</v>
      </c>
      <c r="N260" s="31" t="s">
        <v>144</v>
      </c>
      <c r="O260" s="31">
        <v>16</v>
      </c>
      <c r="P260" s="31" t="s">
        <v>144</v>
      </c>
      <c r="Q260" s="31" t="s">
        <v>316</v>
      </c>
      <c r="R260" s="31" t="s">
        <v>477</v>
      </c>
      <c r="S260" s="31" t="s">
        <v>479</v>
      </c>
      <c r="T260" s="31" t="s">
        <v>144</v>
      </c>
      <c r="U260" s="31" t="s">
        <v>144</v>
      </c>
      <c r="V260" s="31" t="s">
        <v>144</v>
      </c>
      <c r="W260" s="31" t="s">
        <v>442</v>
      </c>
      <c r="X260" s="31" t="s">
        <v>193</v>
      </c>
      <c r="Y260" s="31" t="s">
        <v>194</v>
      </c>
      <c r="Z260" s="31" t="s">
        <v>144</v>
      </c>
      <c r="AA260" s="31" t="s">
        <v>144</v>
      </c>
      <c r="AB260" s="31" t="s">
        <v>144</v>
      </c>
      <c r="AC260" s="31" t="s">
        <v>144</v>
      </c>
      <c r="AD260" s="31" t="s">
        <v>144</v>
      </c>
      <c r="AE260" s="31" t="s">
        <v>144</v>
      </c>
      <c r="AF260" s="31" t="s">
        <v>144</v>
      </c>
      <c r="AG260" s="31" t="s">
        <v>144</v>
      </c>
      <c r="AH260" s="31" t="s">
        <v>1322</v>
      </c>
      <c r="AI260" s="31" t="s">
        <v>375</v>
      </c>
      <c r="AJ260" s="31" t="s">
        <v>144</v>
      </c>
      <c r="AK260" s="31" t="s">
        <v>144</v>
      </c>
      <c r="AL260" s="31" t="s">
        <v>325</v>
      </c>
      <c r="AM260" s="31" t="s">
        <v>144</v>
      </c>
      <c r="AN260" s="31" t="s">
        <v>163</v>
      </c>
      <c r="AO260" s="31" t="s">
        <v>144</v>
      </c>
      <c r="AP260" s="31" t="s">
        <v>144</v>
      </c>
      <c r="AQ260" s="31"/>
      <c r="AR260" s="31"/>
      <c r="AS260" s="31"/>
      <c r="AT260" s="31"/>
      <c r="AU260" s="31"/>
    </row>
    <row r="261" spans="5:47" ht="15" customHeight="1" x14ac:dyDescent="0.25">
      <c r="E261" s="31" t="s">
        <v>134</v>
      </c>
      <c r="F261" s="31" t="s">
        <v>140</v>
      </c>
      <c r="G261" s="31" t="s">
        <v>374</v>
      </c>
      <c r="H261" s="31" t="s">
        <v>144</v>
      </c>
      <c r="I261" s="31" t="s">
        <v>481</v>
      </c>
      <c r="J261" s="31" t="s">
        <v>647</v>
      </c>
      <c r="K261" s="31" t="s">
        <v>770</v>
      </c>
      <c r="L261" s="31" t="s">
        <v>162</v>
      </c>
      <c r="M261" s="31" t="s">
        <v>144</v>
      </c>
      <c r="N261" s="31" t="s">
        <v>144</v>
      </c>
      <c r="O261" s="31">
        <v>16</v>
      </c>
      <c r="P261" s="31" t="s">
        <v>144</v>
      </c>
      <c r="Q261" s="31" t="s">
        <v>316</v>
      </c>
      <c r="R261" s="31" t="s">
        <v>477</v>
      </c>
      <c r="S261" s="31" t="s">
        <v>479</v>
      </c>
      <c r="T261" s="31" t="s">
        <v>144</v>
      </c>
      <c r="U261" s="31" t="s">
        <v>144</v>
      </c>
      <c r="V261" s="31" t="s">
        <v>144</v>
      </c>
      <c r="W261" s="31" t="s">
        <v>442</v>
      </c>
      <c r="X261" s="31" t="s">
        <v>193</v>
      </c>
      <c r="Y261" s="31" t="s">
        <v>194</v>
      </c>
      <c r="Z261" s="31" t="s">
        <v>144</v>
      </c>
      <c r="AA261" s="31" t="s">
        <v>144</v>
      </c>
      <c r="AB261" s="31" t="s">
        <v>144</v>
      </c>
      <c r="AC261" s="31" t="s">
        <v>144</v>
      </c>
      <c r="AD261" s="31" t="s">
        <v>144</v>
      </c>
      <c r="AE261" s="31" t="s">
        <v>144</v>
      </c>
      <c r="AF261" s="31" t="s">
        <v>144</v>
      </c>
      <c r="AG261" s="31" t="s">
        <v>144</v>
      </c>
      <c r="AH261" s="31" t="s">
        <v>1322</v>
      </c>
      <c r="AI261" s="31" t="s">
        <v>375</v>
      </c>
      <c r="AJ261" s="31" t="s">
        <v>144</v>
      </c>
      <c r="AK261" s="31" t="s">
        <v>144</v>
      </c>
      <c r="AL261" s="31" t="s">
        <v>325</v>
      </c>
      <c r="AM261" s="31" t="s">
        <v>144</v>
      </c>
      <c r="AN261" s="31" t="s">
        <v>163</v>
      </c>
      <c r="AO261" s="31" t="s">
        <v>144</v>
      </c>
      <c r="AP261" s="31" t="s">
        <v>144</v>
      </c>
      <c r="AQ261" s="31"/>
      <c r="AR261" s="31"/>
      <c r="AS261" s="31"/>
      <c r="AT261" s="31"/>
      <c r="AU261" s="31"/>
    </row>
    <row r="262" spans="5:47" ht="15" customHeight="1" x14ac:dyDescent="0.25">
      <c r="E262" s="31" t="s">
        <v>134</v>
      </c>
      <c r="F262" s="31" t="s">
        <v>140</v>
      </c>
      <c r="G262" s="31" t="s">
        <v>374</v>
      </c>
      <c r="H262" s="31" t="s">
        <v>144</v>
      </c>
      <c r="I262" s="31" t="s">
        <v>481</v>
      </c>
      <c r="J262" s="31" t="s">
        <v>647</v>
      </c>
      <c r="K262" s="31" t="s">
        <v>771</v>
      </c>
      <c r="L262" s="31" t="s">
        <v>162</v>
      </c>
      <c r="M262" s="31" t="s">
        <v>144</v>
      </c>
      <c r="N262" s="31" t="s">
        <v>144</v>
      </c>
      <c r="O262" s="31">
        <v>16</v>
      </c>
      <c r="P262" s="31" t="s">
        <v>144</v>
      </c>
      <c r="Q262" s="31" t="s">
        <v>316</v>
      </c>
      <c r="R262" s="31" t="s">
        <v>477</v>
      </c>
      <c r="S262" s="31" t="s">
        <v>479</v>
      </c>
      <c r="T262" s="31" t="s">
        <v>144</v>
      </c>
      <c r="U262" s="31" t="s">
        <v>144</v>
      </c>
      <c r="V262" s="31" t="s">
        <v>144</v>
      </c>
      <c r="W262" s="31" t="s">
        <v>442</v>
      </c>
      <c r="X262" s="31" t="s">
        <v>193</v>
      </c>
      <c r="Y262" s="31" t="s">
        <v>194</v>
      </c>
      <c r="Z262" s="31" t="s">
        <v>144</v>
      </c>
      <c r="AA262" s="31" t="s">
        <v>144</v>
      </c>
      <c r="AB262" s="31" t="s">
        <v>144</v>
      </c>
      <c r="AC262" s="31" t="s">
        <v>144</v>
      </c>
      <c r="AD262" s="31" t="s">
        <v>144</v>
      </c>
      <c r="AE262" s="31" t="s">
        <v>144</v>
      </c>
      <c r="AF262" s="31" t="s">
        <v>144</v>
      </c>
      <c r="AG262" s="31" t="s">
        <v>144</v>
      </c>
      <c r="AH262" s="31" t="s">
        <v>1322</v>
      </c>
      <c r="AI262" s="31" t="s">
        <v>375</v>
      </c>
      <c r="AJ262" s="31" t="s">
        <v>144</v>
      </c>
      <c r="AK262" s="31" t="s">
        <v>144</v>
      </c>
      <c r="AL262" s="31" t="s">
        <v>325</v>
      </c>
      <c r="AM262" s="31" t="s">
        <v>144</v>
      </c>
      <c r="AN262" s="31" t="s">
        <v>163</v>
      </c>
      <c r="AO262" s="31" t="s">
        <v>144</v>
      </c>
      <c r="AP262" s="31" t="s">
        <v>144</v>
      </c>
      <c r="AQ262" s="31"/>
      <c r="AR262" s="31"/>
      <c r="AS262" s="31"/>
      <c r="AT262" s="31"/>
      <c r="AU262" s="31"/>
    </row>
    <row r="263" spans="5:47" ht="15" customHeight="1" x14ac:dyDescent="0.25">
      <c r="E263" s="31" t="s">
        <v>134</v>
      </c>
      <c r="F263" s="31" t="s">
        <v>140</v>
      </c>
      <c r="G263" s="31" t="s">
        <v>374</v>
      </c>
      <c r="H263" s="31" t="s">
        <v>144</v>
      </c>
      <c r="I263" s="31" t="s">
        <v>481</v>
      </c>
      <c r="J263" s="31" t="s">
        <v>647</v>
      </c>
      <c r="K263" s="31" t="s">
        <v>772</v>
      </c>
      <c r="L263" s="31" t="s">
        <v>162</v>
      </c>
      <c r="M263" s="31" t="s">
        <v>144</v>
      </c>
      <c r="N263" s="31" t="s">
        <v>144</v>
      </c>
      <c r="O263" s="31">
        <v>16</v>
      </c>
      <c r="P263" s="31" t="s">
        <v>144</v>
      </c>
      <c r="Q263" s="31" t="s">
        <v>316</v>
      </c>
      <c r="R263" s="31" t="s">
        <v>477</v>
      </c>
      <c r="S263" s="31" t="s">
        <v>479</v>
      </c>
      <c r="T263" s="31" t="s">
        <v>144</v>
      </c>
      <c r="U263" s="31" t="s">
        <v>144</v>
      </c>
      <c r="V263" s="31" t="s">
        <v>144</v>
      </c>
      <c r="W263" s="31" t="s">
        <v>442</v>
      </c>
      <c r="X263" s="31" t="s">
        <v>193</v>
      </c>
      <c r="Y263" s="31" t="s">
        <v>194</v>
      </c>
      <c r="Z263" s="31" t="s">
        <v>144</v>
      </c>
      <c r="AA263" s="31" t="s">
        <v>144</v>
      </c>
      <c r="AB263" s="31" t="s">
        <v>144</v>
      </c>
      <c r="AC263" s="31" t="s">
        <v>144</v>
      </c>
      <c r="AD263" s="31" t="s">
        <v>144</v>
      </c>
      <c r="AE263" s="31" t="s">
        <v>144</v>
      </c>
      <c r="AF263" s="31" t="s">
        <v>144</v>
      </c>
      <c r="AG263" s="31" t="s">
        <v>144</v>
      </c>
      <c r="AH263" s="31" t="s">
        <v>1322</v>
      </c>
      <c r="AI263" s="31" t="s">
        <v>375</v>
      </c>
      <c r="AJ263" s="31" t="s">
        <v>144</v>
      </c>
      <c r="AK263" s="31" t="s">
        <v>144</v>
      </c>
      <c r="AL263" s="31" t="s">
        <v>325</v>
      </c>
      <c r="AM263" s="31" t="s">
        <v>144</v>
      </c>
      <c r="AN263" s="31" t="s">
        <v>163</v>
      </c>
      <c r="AO263" s="31" t="s">
        <v>144</v>
      </c>
      <c r="AP263" s="31" t="s">
        <v>144</v>
      </c>
      <c r="AQ263" s="31"/>
      <c r="AR263" s="31"/>
      <c r="AS263" s="31"/>
      <c r="AT263" s="31"/>
      <c r="AU263" s="31"/>
    </row>
    <row r="264" spans="5:47" ht="15" customHeight="1" x14ac:dyDescent="0.25">
      <c r="E264" s="31" t="s">
        <v>134</v>
      </c>
      <c r="F264" s="31" t="s">
        <v>140</v>
      </c>
      <c r="G264" s="31" t="s">
        <v>374</v>
      </c>
      <c r="H264" s="31" t="s">
        <v>144</v>
      </c>
      <c r="I264" s="31" t="s">
        <v>481</v>
      </c>
      <c r="J264" s="31" t="s">
        <v>647</v>
      </c>
      <c r="K264" s="31" t="s">
        <v>773</v>
      </c>
      <c r="L264" s="31" t="s">
        <v>162</v>
      </c>
      <c r="M264" s="31" t="s">
        <v>144</v>
      </c>
      <c r="N264" s="31" t="s">
        <v>144</v>
      </c>
      <c r="O264" s="31">
        <v>16</v>
      </c>
      <c r="P264" s="31" t="s">
        <v>144</v>
      </c>
      <c r="Q264" s="31" t="s">
        <v>316</v>
      </c>
      <c r="R264" s="31" t="s">
        <v>477</v>
      </c>
      <c r="S264" s="31" t="s">
        <v>479</v>
      </c>
      <c r="T264" s="31" t="s">
        <v>144</v>
      </c>
      <c r="U264" s="31" t="s">
        <v>144</v>
      </c>
      <c r="V264" s="31" t="s">
        <v>144</v>
      </c>
      <c r="W264" s="31" t="s">
        <v>442</v>
      </c>
      <c r="X264" s="31" t="s">
        <v>193</v>
      </c>
      <c r="Y264" s="31" t="s">
        <v>194</v>
      </c>
      <c r="Z264" s="31" t="s">
        <v>144</v>
      </c>
      <c r="AA264" s="31" t="s">
        <v>144</v>
      </c>
      <c r="AB264" s="31" t="s">
        <v>144</v>
      </c>
      <c r="AC264" s="31" t="s">
        <v>144</v>
      </c>
      <c r="AD264" s="31" t="s">
        <v>144</v>
      </c>
      <c r="AE264" s="31" t="s">
        <v>144</v>
      </c>
      <c r="AF264" s="31" t="s">
        <v>144</v>
      </c>
      <c r="AG264" s="31" t="s">
        <v>144</v>
      </c>
      <c r="AH264" s="31" t="s">
        <v>1322</v>
      </c>
      <c r="AI264" s="31" t="s">
        <v>375</v>
      </c>
      <c r="AJ264" s="31" t="s">
        <v>144</v>
      </c>
      <c r="AK264" s="31" t="s">
        <v>144</v>
      </c>
      <c r="AL264" s="31" t="s">
        <v>325</v>
      </c>
      <c r="AM264" s="31" t="s">
        <v>144</v>
      </c>
      <c r="AN264" s="31" t="s">
        <v>163</v>
      </c>
      <c r="AO264" s="31" t="s">
        <v>144</v>
      </c>
      <c r="AP264" s="31" t="s">
        <v>144</v>
      </c>
      <c r="AQ264" s="31"/>
      <c r="AR264" s="31"/>
      <c r="AS264" s="31"/>
      <c r="AT264" s="31"/>
      <c r="AU264" s="31"/>
    </row>
    <row r="265" spans="5:47" ht="15" customHeight="1" x14ac:dyDescent="0.25">
      <c r="E265" s="31" t="s">
        <v>134</v>
      </c>
      <c r="F265" s="31" t="s">
        <v>140</v>
      </c>
      <c r="G265" s="31" t="s">
        <v>374</v>
      </c>
      <c r="H265" s="31" t="s">
        <v>144</v>
      </c>
      <c r="I265" s="31" t="s">
        <v>481</v>
      </c>
      <c r="J265" s="31" t="s">
        <v>647</v>
      </c>
      <c r="K265" s="31" t="s">
        <v>774</v>
      </c>
      <c r="L265" s="31" t="s">
        <v>162</v>
      </c>
      <c r="M265" s="31" t="s">
        <v>144</v>
      </c>
      <c r="N265" s="31" t="s">
        <v>144</v>
      </c>
      <c r="O265" s="31">
        <v>16</v>
      </c>
      <c r="P265" s="31" t="s">
        <v>144</v>
      </c>
      <c r="Q265" s="31" t="s">
        <v>316</v>
      </c>
      <c r="R265" s="31" t="s">
        <v>477</v>
      </c>
      <c r="S265" s="31" t="s">
        <v>479</v>
      </c>
      <c r="T265" s="31" t="s">
        <v>144</v>
      </c>
      <c r="U265" s="31" t="s">
        <v>144</v>
      </c>
      <c r="V265" s="31" t="s">
        <v>144</v>
      </c>
      <c r="W265" s="31" t="s">
        <v>442</v>
      </c>
      <c r="X265" s="31" t="s">
        <v>193</v>
      </c>
      <c r="Y265" s="31" t="s">
        <v>194</v>
      </c>
      <c r="Z265" s="31" t="s">
        <v>144</v>
      </c>
      <c r="AA265" s="31" t="s">
        <v>144</v>
      </c>
      <c r="AB265" s="31" t="s">
        <v>144</v>
      </c>
      <c r="AC265" s="31" t="s">
        <v>144</v>
      </c>
      <c r="AD265" s="31" t="s">
        <v>144</v>
      </c>
      <c r="AE265" s="31" t="s">
        <v>144</v>
      </c>
      <c r="AF265" s="31" t="s">
        <v>144</v>
      </c>
      <c r="AG265" s="31" t="s">
        <v>144</v>
      </c>
      <c r="AH265" s="31" t="s">
        <v>1322</v>
      </c>
      <c r="AI265" s="31" t="s">
        <v>375</v>
      </c>
      <c r="AJ265" s="31" t="s">
        <v>144</v>
      </c>
      <c r="AK265" s="31" t="s">
        <v>144</v>
      </c>
      <c r="AL265" s="31" t="s">
        <v>325</v>
      </c>
      <c r="AM265" s="31" t="s">
        <v>144</v>
      </c>
      <c r="AN265" s="31" t="s">
        <v>163</v>
      </c>
      <c r="AO265" s="31" t="s">
        <v>144</v>
      </c>
      <c r="AP265" s="31" t="s">
        <v>144</v>
      </c>
      <c r="AQ265" s="31"/>
      <c r="AR265" s="31"/>
      <c r="AS265" s="31"/>
      <c r="AT265" s="31"/>
      <c r="AU265" s="31"/>
    </row>
    <row r="266" spans="5:47" ht="15" customHeight="1" x14ac:dyDescent="0.25">
      <c r="E266" s="31" t="s">
        <v>134</v>
      </c>
      <c r="F266" s="31" t="s">
        <v>140</v>
      </c>
      <c r="G266" s="31" t="s">
        <v>374</v>
      </c>
      <c r="H266" s="31" t="s">
        <v>144</v>
      </c>
      <c r="I266" s="31" t="s">
        <v>481</v>
      </c>
      <c r="J266" s="31" t="s">
        <v>647</v>
      </c>
      <c r="K266" s="31" t="s">
        <v>775</v>
      </c>
      <c r="L266" s="31" t="s">
        <v>162</v>
      </c>
      <c r="M266" s="31" t="s">
        <v>144</v>
      </c>
      <c r="N266" s="31" t="s">
        <v>144</v>
      </c>
      <c r="O266" s="31">
        <v>16</v>
      </c>
      <c r="P266" s="31" t="s">
        <v>144</v>
      </c>
      <c r="Q266" s="31" t="s">
        <v>316</v>
      </c>
      <c r="R266" s="31" t="s">
        <v>477</v>
      </c>
      <c r="S266" s="31" t="s">
        <v>479</v>
      </c>
      <c r="T266" s="31" t="s">
        <v>144</v>
      </c>
      <c r="U266" s="31" t="s">
        <v>144</v>
      </c>
      <c r="V266" s="31" t="s">
        <v>144</v>
      </c>
      <c r="W266" s="31" t="s">
        <v>442</v>
      </c>
      <c r="X266" s="31" t="s">
        <v>193</v>
      </c>
      <c r="Y266" s="31" t="s">
        <v>194</v>
      </c>
      <c r="Z266" s="31" t="s">
        <v>144</v>
      </c>
      <c r="AA266" s="31" t="s">
        <v>144</v>
      </c>
      <c r="AB266" s="31" t="s">
        <v>144</v>
      </c>
      <c r="AC266" s="31" t="s">
        <v>144</v>
      </c>
      <c r="AD266" s="31" t="s">
        <v>144</v>
      </c>
      <c r="AE266" s="31" t="s">
        <v>144</v>
      </c>
      <c r="AF266" s="31" t="s">
        <v>144</v>
      </c>
      <c r="AG266" s="31" t="s">
        <v>144</v>
      </c>
      <c r="AH266" s="31" t="s">
        <v>1322</v>
      </c>
      <c r="AI266" s="31" t="s">
        <v>375</v>
      </c>
      <c r="AJ266" s="31" t="s">
        <v>144</v>
      </c>
      <c r="AK266" s="31" t="s">
        <v>144</v>
      </c>
      <c r="AL266" s="31" t="s">
        <v>325</v>
      </c>
      <c r="AM266" s="31" t="s">
        <v>144</v>
      </c>
      <c r="AN266" s="31" t="s">
        <v>163</v>
      </c>
      <c r="AO266" s="31" t="s">
        <v>144</v>
      </c>
      <c r="AP266" s="31" t="s">
        <v>144</v>
      </c>
      <c r="AQ266" s="31"/>
      <c r="AR266" s="31"/>
      <c r="AS266" s="31"/>
      <c r="AT266" s="31"/>
      <c r="AU266" s="31"/>
    </row>
    <row r="267" spans="5:47" ht="15" customHeight="1" x14ac:dyDescent="0.25">
      <c r="E267" s="31" t="s">
        <v>134</v>
      </c>
      <c r="F267" s="31" t="s">
        <v>140</v>
      </c>
      <c r="G267" s="31" t="s">
        <v>374</v>
      </c>
      <c r="H267" s="31" t="s">
        <v>144</v>
      </c>
      <c r="I267" s="31" t="s">
        <v>481</v>
      </c>
      <c r="J267" s="31" t="s">
        <v>647</v>
      </c>
      <c r="K267" s="31" t="s">
        <v>776</v>
      </c>
      <c r="L267" s="31" t="s">
        <v>162</v>
      </c>
      <c r="M267" s="31" t="s">
        <v>144</v>
      </c>
      <c r="N267" s="31" t="s">
        <v>144</v>
      </c>
      <c r="O267" s="31">
        <v>16</v>
      </c>
      <c r="P267" s="31" t="s">
        <v>144</v>
      </c>
      <c r="Q267" s="31" t="s">
        <v>316</v>
      </c>
      <c r="R267" s="31" t="s">
        <v>477</v>
      </c>
      <c r="S267" s="31" t="s">
        <v>479</v>
      </c>
      <c r="T267" s="31" t="s">
        <v>144</v>
      </c>
      <c r="U267" s="31" t="s">
        <v>144</v>
      </c>
      <c r="V267" s="31" t="s">
        <v>144</v>
      </c>
      <c r="W267" s="31" t="s">
        <v>442</v>
      </c>
      <c r="X267" s="31" t="s">
        <v>193</v>
      </c>
      <c r="Y267" s="31" t="s">
        <v>194</v>
      </c>
      <c r="Z267" s="31" t="s">
        <v>144</v>
      </c>
      <c r="AA267" s="31" t="s">
        <v>144</v>
      </c>
      <c r="AB267" s="31" t="s">
        <v>144</v>
      </c>
      <c r="AC267" s="31" t="s">
        <v>144</v>
      </c>
      <c r="AD267" s="31" t="s">
        <v>144</v>
      </c>
      <c r="AE267" s="31" t="s">
        <v>144</v>
      </c>
      <c r="AF267" s="31" t="s">
        <v>144</v>
      </c>
      <c r="AG267" s="31" t="s">
        <v>144</v>
      </c>
      <c r="AH267" s="31" t="s">
        <v>1322</v>
      </c>
      <c r="AI267" s="31" t="s">
        <v>375</v>
      </c>
      <c r="AJ267" s="31" t="s">
        <v>144</v>
      </c>
      <c r="AK267" s="31" t="s">
        <v>144</v>
      </c>
      <c r="AL267" s="31" t="s">
        <v>325</v>
      </c>
      <c r="AM267" s="31" t="s">
        <v>144</v>
      </c>
      <c r="AN267" s="31" t="s">
        <v>163</v>
      </c>
      <c r="AO267" s="31" t="s">
        <v>144</v>
      </c>
      <c r="AP267" s="31" t="s">
        <v>144</v>
      </c>
      <c r="AQ267" s="31"/>
      <c r="AR267" s="31"/>
      <c r="AS267" s="31"/>
      <c r="AT267" s="31"/>
      <c r="AU267" s="31"/>
    </row>
    <row r="268" spans="5:47" ht="15" customHeight="1" x14ac:dyDescent="0.25">
      <c r="E268" s="31" t="s">
        <v>134</v>
      </c>
      <c r="F268" s="31" t="s">
        <v>140</v>
      </c>
      <c r="G268" s="31" t="s">
        <v>374</v>
      </c>
      <c r="H268" s="31" t="s">
        <v>144</v>
      </c>
      <c r="I268" s="31" t="s">
        <v>481</v>
      </c>
      <c r="J268" s="31" t="s">
        <v>647</v>
      </c>
      <c r="K268" s="31" t="s">
        <v>777</v>
      </c>
      <c r="L268" s="31" t="s">
        <v>162</v>
      </c>
      <c r="M268" s="31" t="s">
        <v>144</v>
      </c>
      <c r="N268" s="31" t="s">
        <v>144</v>
      </c>
      <c r="O268" s="31">
        <v>16</v>
      </c>
      <c r="P268" s="31" t="s">
        <v>144</v>
      </c>
      <c r="Q268" s="31" t="s">
        <v>316</v>
      </c>
      <c r="R268" s="31" t="s">
        <v>477</v>
      </c>
      <c r="S268" s="31" t="s">
        <v>479</v>
      </c>
      <c r="T268" s="31" t="s">
        <v>144</v>
      </c>
      <c r="U268" s="31" t="s">
        <v>144</v>
      </c>
      <c r="V268" s="31" t="s">
        <v>144</v>
      </c>
      <c r="W268" s="31" t="s">
        <v>442</v>
      </c>
      <c r="X268" s="31" t="s">
        <v>193</v>
      </c>
      <c r="Y268" s="31" t="s">
        <v>194</v>
      </c>
      <c r="Z268" s="31" t="s">
        <v>144</v>
      </c>
      <c r="AA268" s="31" t="s">
        <v>144</v>
      </c>
      <c r="AB268" s="31" t="s">
        <v>144</v>
      </c>
      <c r="AC268" s="31" t="s">
        <v>144</v>
      </c>
      <c r="AD268" s="31" t="s">
        <v>144</v>
      </c>
      <c r="AE268" s="31" t="s">
        <v>144</v>
      </c>
      <c r="AF268" s="31" t="s">
        <v>144</v>
      </c>
      <c r="AG268" s="31" t="s">
        <v>144</v>
      </c>
      <c r="AH268" s="31" t="s">
        <v>1322</v>
      </c>
      <c r="AI268" s="31" t="s">
        <v>375</v>
      </c>
      <c r="AJ268" s="31" t="s">
        <v>144</v>
      </c>
      <c r="AK268" s="31" t="s">
        <v>144</v>
      </c>
      <c r="AL268" s="31" t="s">
        <v>325</v>
      </c>
      <c r="AM268" s="31" t="s">
        <v>144</v>
      </c>
      <c r="AN268" s="31" t="s">
        <v>163</v>
      </c>
      <c r="AO268" s="31" t="s">
        <v>144</v>
      </c>
      <c r="AP268" s="31" t="s">
        <v>144</v>
      </c>
      <c r="AQ268" s="31"/>
      <c r="AR268" s="31"/>
      <c r="AS268" s="31"/>
      <c r="AT268" s="31"/>
      <c r="AU268" s="31"/>
    </row>
    <row r="269" spans="5:47" ht="15" customHeight="1" x14ac:dyDescent="0.25">
      <c r="E269" s="31" t="s">
        <v>134</v>
      </c>
      <c r="F269" s="31" t="s">
        <v>140</v>
      </c>
      <c r="G269" s="31" t="s">
        <v>374</v>
      </c>
      <c r="H269" s="31" t="s">
        <v>144</v>
      </c>
      <c r="I269" s="31" t="s">
        <v>481</v>
      </c>
      <c r="J269" s="31" t="s">
        <v>647</v>
      </c>
      <c r="K269" s="31" t="s">
        <v>778</v>
      </c>
      <c r="L269" s="31" t="s">
        <v>162</v>
      </c>
      <c r="M269" s="31" t="s">
        <v>144</v>
      </c>
      <c r="N269" s="31" t="s">
        <v>144</v>
      </c>
      <c r="O269" s="31">
        <v>16</v>
      </c>
      <c r="P269" s="31" t="s">
        <v>144</v>
      </c>
      <c r="Q269" s="31" t="s">
        <v>316</v>
      </c>
      <c r="R269" s="31" t="s">
        <v>477</v>
      </c>
      <c r="S269" s="31" t="s">
        <v>479</v>
      </c>
      <c r="T269" s="31" t="s">
        <v>144</v>
      </c>
      <c r="U269" s="31" t="s">
        <v>144</v>
      </c>
      <c r="V269" s="31" t="s">
        <v>144</v>
      </c>
      <c r="W269" s="31" t="s">
        <v>442</v>
      </c>
      <c r="X269" s="31" t="s">
        <v>193</v>
      </c>
      <c r="Y269" s="31" t="s">
        <v>194</v>
      </c>
      <c r="Z269" s="31" t="s">
        <v>144</v>
      </c>
      <c r="AA269" s="31" t="s">
        <v>144</v>
      </c>
      <c r="AB269" s="31" t="s">
        <v>144</v>
      </c>
      <c r="AC269" s="31" t="s">
        <v>144</v>
      </c>
      <c r="AD269" s="31" t="s">
        <v>144</v>
      </c>
      <c r="AE269" s="31" t="s">
        <v>144</v>
      </c>
      <c r="AF269" s="31" t="s">
        <v>144</v>
      </c>
      <c r="AG269" s="31" t="s">
        <v>144</v>
      </c>
      <c r="AH269" s="31" t="s">
        <v>1322</v>
      </c>
      <c r="AI269" s="31" t="s">
        <v>375</v>
      </c>
      <c r="AJ269" s="31" t="s">
        <v>144</v>
      </c>
      <c r="AK269" s="31" t="s">
        <v>144</v>
      </c>
      <c r="AL269" s="31" t="s">
        <v>325</v>
      </c>
      <c r="AM269" s="31" t="s">
        <v>144</v>
      </c>
      <c r="AN269" s="31" t="s">
        <v>163</v>
      </c>
      <c r="AO269" s="31" t="s">
        <v>144</v>
      </c>
      <c r="AP269" s="31" t="s">
        <v>144</v>
      </c>
      <c r="AQ269" s="31"/>
      <c r="AR269" s="31"/>
      <c r="AS269" s="31"/>
      <c r="AT269" s="31"/>
      <c r="AU269" s="31"/>
    </row>
    <row r="270" spans="5:47" ht="15" customHeight="1" x14ac:dyDescent="0.25">
      <c r="E270" s="31" t="s">
        <v>134</v>
      </c>
      <c r="F270" s="31" t="s">
        <v>140</v>
      </c>
      <c r="G270" s="31" t="s">
        <v>374</v>
      </c>
      <c r="H270" s="31" t="s">
        <v>144</v>
      </c>
      <c r="I270" s="31" t="s">
        <v>481</v>
      </c>
      <c r="J270" s="31" t="s">
        <v>647</v>
      </c>
      <c r="K270" s="31" t="s">
        <v>779</v>
      </c>
      <c r="L270" s="31" t="s">
        <v>162</v>
      </c>
      <c r="M270" s="31" t="s">
        <v>144</v>
      </c>
      <c r="N270" s="31" t="s">
        <v>144</v>
      </c>
      <c r="O270" s="31">
        <v>16</v>
      </c>
      <c r="P270" s="31" t="s">
        <v>144</v>
      </c>
      <c r="Q270" s="31" t="s">
        <v>316</v>
      </c>
      <c r="R270" s="31" t="s">
        <v>477</v>
      </c>
      <c r="S270" s="31" t="s">
        <v>479</v>
      </c>
      <c r="T270" s="31" t="s">
        <v>144</v>
      </c>
      <c r="U270" s="31" t="s">
        <v>144</v>
      </c>
      <c r="V270" s="31" t="s">
        <v>144</v>
      </c>
      <c r="W270" s="31" t="s">
        <v>442</v>
      </c>
      <c r="X270" s="31" t="s">
        <v>193</v>
      </c>
      <c r="Y270" s="31" t="s">
        <v>194</v>
      </c>
      <c r="Z270" s="31" t="s">
        <v>144</v>
      </c>
      <c r="AA270" s="31" t="s">
        <v>144</v>
      </c>
      <c r="AB270" s="31" t="s">
        <v>144</v>
      </c>
      <c r="AC270" s="31" t="s">
        <v>144</v>
      </c>
      <c r="AD270" s="31" t="s">
        <v>144</v>
      </c>
      <c r="AE270" s="31" t="s">
        <v>144</v>
      </c>
      <c r="AF270" s="31" t="s">
        <v>144</v>
      </c>
      <c r="AG270" s="31" t="s">
        <v>144</v>
      </c>
      <c r="AH270" s="31" t="s">
        <v>1322</v>
      </c>
      <c r="AI270" s="31" t="s">
        <v>375</v>
      </c>
      <c r="AJ270" s="31" t="s">
        <v>144</v>
      </c>
      <c r="AK270" s="31" t="s">
        <v>144</v>
      </c>
      <c r="AL270" s="31" t="s">
        <v>325</v>
      </c>
      <c r="AM270" s="31" t="s">
        <v>144</v>
      </c>
      <c r="AN270" s="31" t="s">
        <v>163</v>
      </c>
      <c r="AO270" s="31" t="s">
        <v>144</v>
      </c>
      <c r="AP270" s="31" t="s">
        <v>144</v>
      </c>
      <c r="AQ270" s="31"/>
      <c r="AR270" s="31"/>
      <c r="AS270" s="31"/>
      <c r="AT270" s="31"/>
      <c r="AU270" s="31"/>
    </row>
    <row r="271" spans="5:47" ht="15" customHeight="1" x14ac:dyDescent="0.25">
      <c r="E271" s="31" t="s">
        <v>134</v>
      </c>
      <c r="F271" s="31" t="s">
        <v>140</v>
      </c>
      <c r="G271" s="31" t="s">
        <v>374</v>
      </c>
      <c r="H271" s="31" t="s">
        <v>144</v>
      </c>
      <c r="I271" s="31" t="s">
        <v>481</v>
      </c>
      <c r="J271" s="31" t="s">
        <v>647</v>
      </c>
      <c r="K271" s="31" t="s">
        <v>780</v>
      </c>
      <c r="L271" s="31" t="s">
        <v>162</v>
      </c>
      <c r="M271" s="31" t="s">
        <v>144</v>
      </c>
      <c r="N271" s="31" t="s">
        <v>144</v>
      </c>
      <c r="O271" s="31">
        <v>16</v>
      </c>
      <c r="P271" s="31" t="s">
        <v>144</v>
      </c>
      <c r="Q271" s="31" t="s">
        <v>316</v>
      </c>
      <c r="R271" s="31" t="s">
        <v>477</v>
      </c>
      <c r="S271" s="31" t="s">
        <v>479</v>
      </c>
      <c r="T271" s="31" t="s">
        <v>144</v>
      </c>
      <c r="U271" s="31" t="s">
        <v>144</v>
      </c>
      <c r="V271" s="31" t="s">
        <v>144</v>
      </c>
      <c r="W271" s="31" t="s">
        <v>442</v>
      </c>
      <c r="X271" s="31" t="s">
        <v>193</v>
      </c>
      <c r="Y271" s="31" t="s">
        <v>194</v>
      </c>
      <c r="Z271" s="31" t="s">
        <v>144</v>
      </c>
      <c r="AA271" s="31" t="s">
        <v>144</v>
      </c>
      <c r="AB271" s="31" t="s">
        <v>144</v>
      </c>
      <c r="AC271" s="31" t="s">
        <v>144</v>
      </c>
      <c r="AD271" s="31" t="s">
        <v>144</v>
      </c>
      <c r="AE271" s="31" t="s">
        <v>144</v>
      </c>
      <c r="AF271" s="31" t="s">
        <v>144</v>
      </c>
      <c r="AG271" s="31" t="s">
        <v>144</v>
      </c>
      <c r="AH271" s="31" t="s">
        <v>1322</v>
      </c>
      <c r="AI271" s="31" t="s">
        <v>375</v>
      </c>
      <c r="AJ271" s="31" t="s">
        <v>144</v>
      </c>
      <c r="AK271" s="31" t="s">
        <v>144</v>
      </c>
      <c r="AL271" s="31" t="s">
        <v>325</v>
      </c>
      <c r="AM271" s="31" t="s">
        <v>144</v>
      </c>
      <c r="AN271" s="31" t="s">
        <v>163</v>
      </c>
      <c r="AO271" s="31" t="s">
        <v>144</v>
      </c>
      <c r="AP271" s="31" t="s">
        <v>144</v>
      </c>
      <c r="AQ271" s="31"/>
      <c r="AR271" s="31"/>
      <c r="AS271" s="31"/>
      <c r="AT271" s="31"/>
      <c r="AU271" s="31"/>
    </row>
    <row r="272" spans="5:47" ht="15" customHeight="1" x14ac:dyDescent="0.25">
      <c r="E272" s="31" t="s">
        <v>134</v>
      </c>
      <c r="F272" s="31" t="s">
        <v>140</v>
      </c>
      <c r="G272" s="31" t="s">
        <v>374</v>
      </c>
      <c r="H272" s="31" t="s">
        <v>144</v>
      </c>
      <c r="I272" s="31" t="s">
        <v>481</v>
      </c>
      <c r="J272" s="31" t="s">
        <v>647</v>
      </c>
      <c r="K272" s="31" t="s">
        <v>781</v>
      </c>
      <c r="L272" s="31" t="s">
        <v>162</v>
      </c>
      <c r="M272" s="31" t="s">
        <v>144</v>
      </c>
      <c r="N272" s="31" t="s">
        <v>144</v>
      </c>
      <c r="O272" s="31">
        <v>16</v>
      </c>
      <c r="P272" s="31" t="s">
        <v>144</v>
      </c>
      <c r="Q272" s="31" t="s">
        <v>316</v>
      </c>
      <c r="R272" s="31" t="s">
        <v>477</v>
      </c>
      <c r="S272" s="31" t="s">
        <v>479</v>
      </c>
      <c r="T272" s="31" t="s">
        <v>144</v>
      </c>
      <c r="U272" s="31" t="s">
        <v>144</v>
      </c>
      <c r="V272" s="31" t="s">
        <v>144</v>
      </c>
      <c r="W272" s="31" t="s">
        <v>442</v>
      </c>
      <c r="X272" s="31" t="s">
        <v>193</v>
      </c>
      <c r="Y272" s="31" t="s">
        <v>194</v>
      </c>
      <c r="Z272" s="31" t="s">
        <v>144</v>
      </c>
      <c r="AA272" s="31" t="s">
        <v>144</v>
      </c>
      <c r="AB272" s="31" t="s">
        <v>144</v>
      </c>
      <c r="AC272" s="31" t="s">
        <v>144</v>
      </c>
      <c r="AD272" s="31" t="s">
        <v>144</v>
      </c>
      <c r="AE272" s="31" t="s">
        <v>144</v>
      </c>
      <c r="AF272" s="31" t="s">
        <v>144</v>
      </c>
      <c r="AG272" s="31" t="s">
        <v>144</v>
      </c>
      <c r="AH272" s="31" t="s">
        <v>1322</v>
      </c>
      <c r="AI272" s="31" t="s">
        <v>375</v>
      </c>
      <c r="AJ272" s="31" t="s">
        <v>144</v>
      </c>
      <c r="AK272" s="31" t="s">
        <v>144</v>
      </c>
      <c r="AL272" s="31" t="s">
        <v>325</v>
      </c>
      <c r="AM272" s="31" t="s">
        <v>144</v>
      </c>
      <c r="AN272" s="31" t="s">
        <v>163</v>
      </c>
      <c r="AO272" s="31" t="s">
        <v>144</v>
      </c>
      <c r="AP272" s="31" t="s">
        <v>144</v>
      </c>
      <c r="AQ272" s="31"/>
      <c r="AR272" s="31"/>
      <c r="AS272" s="31"/>
      <c r="AT272" s="31"/>
      <c r="AU272" s="31"/>
    </row>
    <row r="273" spans="5:47" ht="15" customHeight="1" x14ac:dyDescent="0.25">
      <c r="E273" s="31" t="s">
        <v>134</v>
      </c>
      <c r="F273" s="31" t="s">
        <v>140</v>
      </c>
      <c r="G273" s="31" t="s">
        <v>374</v>
      </c>
      <c r="H273" s="31" t="s">
        <v>144</v>
      </c>
      <c r="I273" s="31" t="s">
        <v>481</v>
      </c>
      <c r="J273" s="31" t="s">
        <v>647</v>
      </c>
      <c r="K273" s="31" t="s">
        <v>782</v>
      </c>
      <c r="L273" s="31" t="s">
        <v>162</v>
      </c>
      <c r="M273" s="31" t="s">
        <v>144</v>
      </c>
      <c r="N273" s="31" t="s">
        <v>144</v>
      </c>
      <c r="O273" s="31">
        <v>16</v>
      </c>
      <c r="P273" s="31" t="s">
        <v>144</v>
      </c>
      <c r="Q273" s="31" t="s">
        <v>316</v>
      </c>
      <c r="R273" s="31" t="s">
        <v>477</v>
      </c>
      <c r="S273" s="31" t="s">
        <v>479</v>
      </c>
      <c r="T273" s="31" t="s">
        <v>144</v>
      </c>
      <c r="U273" s="31" t="s">
        <v>144</v>
      </c>
      <c r="V273" s="31" t="s">
        <v>144</v>
      </c>
      <c r="W273" s="31" t="s">
        <v>442</v>
      </c>
      <c r="X273" s="31" t="s">
        <v>193</v>
      </c>
      <c r="Y273" s="31" t="s">
        <v>194</v>
      </c>
      <c r="Z273" s="31" t="s">
        <v>144</v>
      </c>
      <c r="AA273" s="31" t="s">
        <v>144</v>
      </c>
      <c r="AB273" s="31" t="s">
        <v>144</v>
      </c>
      <c r="AC273" s="31" t="s">
        <v>144</v>
      </c>
      <c r="AD273" s="31" t="s">
        <v>144</v>
      </c>
      <c r="AE273" s="31" t="s">
        <v>144</v>
      </c>
      <c r="AF273" s="31" t="s">
        <v>144</v>
      </c>
      <c r="AG273" s="31" t="s">
        <v>144</v>
      </c>
      <c r="AH273" s="31" t="s">
        <v>1322</v>
      </c>
      <c r="AI273" s="31" t="s">
        <v>375</v>
      </c>
      <c r="AJ273" s="31" t="s">
        <v>144</v>
      </c>
      <c r="AK273" s="31" t="s">
        <v>144</v>
      </c>
      <c r="AL273" s="31" t="s">
        <v>325</v>
      </c>
      <c r="AM273" s="31" t="s">
        <v>144</v>
      </c>
      <c r="AN273" s="31" t="s">
        <v>163</v>
      </c>
      <c r="AO273" s="31" t="s">
        <v>144</v>
      </c>
      <c r="AP273" s="31" t="s">
        <v>144</v>
      </c>
      <c r="AQ273" s="31"/>
      <c r="AR273" s="31"/>
      <c r="AS273" s="31"/>
      <c r="AT273" s="31"/>
      <c r="AU273" s="31"/>
    </row>
    <row r="274" spans="5:47" ht="15" customHeight="1" x14ac:dyDescent="0.25">
      <c r="E274" s="31" t="s">
        <v>134</v>
      </c>
      <c r="F274" s="31" t="s">
        <v>140</v>
      </c>
      <c r="G274" s="31" t="s">
        <v>374</v>
      </c>
      <c r="H274" s="31" t="s">
        <v>144</v>
      </c>
      <c r="I274" s="31" t="s">
        <v>481</v>
      </c>
      <c r="J274" s="31" t="s">
        <v>647</v>
      </c>
      <c r="K274" s="31" t="s">
        <v>783</v>
      </c>
      <c r="L274" s="31" t="s">
        <v>162</v>
      </c>
      <c r="M274" s="31" t="s">
        <v>144</v>
      </c>
      <c r="N274" s="31" t="s">
        <v>144</v>
      </c>
      <c r="O274" s="31">
        <v>16</v>
      </c>
      <c r="P274" s="31" t="s">
        <v>144</v>
      </c>
      <c r="Q274" s="31" t="s">
        <v>316</v>
      </c>
      <c r="R274" s="31" t="s">
        <v>477</v>
      </c>
      <c r="S274" s="31" t="s">
        <v>479</v>
      </c>
      <c r="T274" s="31" t="s">
        <v>144</v>
      </c>
      <c r="U274" s="31" t="s">
        <v>144</v>
      </c>
      <c r="V274" s="31" t="s">
        <v>144</v>
      </c>
      <c r="W274" s="31" t="s">
        <v>442</v>
      </c>
      <c r="X274" s="31" t="s">
        <v>193</v>
      </c>
      <c r="Y274" s="31" t="s">
        <v>194</v>
      </c>
      <c r="Z274" s="31" t="s">
        <v>144</v>
      </c>
      <c r="AA274" s="31" t="s">
        <v>144</v>
      </c>
      <c r="AB274" s="31" t="s">
        <v>144</v>
      </c>
      <c r="AC274" s="31" t="s">
        <v>144</v>
      </c>
      <c r="AD274" s="31" t="s">
        <v>144</v>
      </c>
      <c r="AE274" s="31" t="s">
        <v>144</v>
      </c>
      <c r="AF274" s="31" t="s">
        <v>144</v>
      </c>
      <c r="AG274" s="31" t="s">
        <v>144</v>
      </c>
      <c r="AH274" s="31" t="s">
        <v>1322</v>
      </c>
      <c r="AI274" s="31" t="s">
        <v>375</v>
      </c>
      <c r="AJ274" s="31" t="s">
        <v>144</v>
      </c>
      <c r="AK274" s="31" t="s">
        <v>144</v>
      </c>
      <c r="AL274" s="31" t="s">
        <v>325</v>
      </c>
      <c r="AM274" s="31" t="s">
        <v>144</v>
      </c>
      <c r="AN274" s="31" t="s">
        <v>163</v>
      </c>
      <c r="AO274" s="31" t="s">
        <v>144</v>
      </c>
      <c r="AP274" s="31" t="s">
        <v>144</v>
      </c>
      <c r="AQ274" s="31"/>
      <c r="AR274" s="31"/>
      <c r="AS274" s="31"/>
      <c r="AT274" s="31"/>
      <c r="AU274" s="31"/>
    </row>
    <row r="275" spans="5:47" ht="15" customHeight="1" x14ac:dyDescent="0.25">
      <c r="E275" s="31" t="s">
        <v>134</v>
      </c>
      <c r="F275" s="31" t="s">
        <v>140</v>
      </c>
      <c r="G275" s="31" t="s">
        <v>374</v>
      </c>
      <c r="H275" s="31" t="s">
        <v>144</v>
      </c>
      <c r="I275" s="31" t="s">
        <v>481</v>
      </c>
      <c r="J275" s="31" t="s">
        <v>647</v>
      </c>
      <c r="K275" s="31" t="s">
        <v>784</v>
      </c>
      <c r="L275" s="31" t="s">
        <v>162</v>
      </c>
      <c r="M275" s="31" t="s">
        <v>144</v>
      </c>
      <c r="N275" s="31" t="s">
        <v>144</v>
      </c>
      <c r="O275" s="31">
        <v>16</v>
      </c>
      <c r="P275" s="31" t="s">
        <v>144</v>
      </c>
      <c r="Q275" s="31" t="s">
        <v>316</v>
      </c>
      <c r="R275" s="31" t="s">
        <v>477</v>
      </c>
      <c r="S275" s="31" t="s">
        <v>479</v>
      </c>
      <c r="T275" s="31" t="s">
        <v>144</v>
      </c>
      <c r="U275" s="31" t="s">
        <v>144</v>
      </c>
      <c r="V275" s="31" t="s">
        <v>144</v>
      </c>
      <c r="W275" s="31" t="s">
        <v>442</v>
      </c>
      <c r="X275" s="31" t="s">
        <v>193</v>
      </c>
      <c r="Y275" s="31" t="s">
        <v>194</v>
      </c>
      <c r="Z275" s="31" t="s">
        <v>144</v>
      </c>
      <c r="AA275" s="31" t="s">
        <v>144</v>
      </c>
      <c r="AB275" s="31" t="s">
        <v>144</v>
      </c>
      <c r="AC275" s="31" t="s">
        <v>144</v>
      </c>
      <c r="AD275" s="31" t="s">
        <v>144</v>
      </c>
      <c r="AE275" s="31" t="s">
        <v>144</v>
      </c>
      <c r="AF275" s="31" t="s">
        <v>144</v>
      </c>
      <c r="AG275" s="31" t="s">
        <v>144</v>
      </c>
      <c r="AH275" s="31" t="s">
        <v>1322</v>
      </c>
      <c r="AI275" s="31" t="s">
        <v>375</v>
      </c>
      <c r="AJ275" s="31" t="s">
        <v>144</v>
      </c>
      <c r="AK275" s="31" t="s">
        <v>144</v>
      </c>
      <c r="AL275" s="31" t="s">
        <v>325</v>
      </c>
      <c r="AM275" s="31" t="s">
        <v>144</v>
      </c>
      <c r="AN275" s="31" t="s">
        <v>163</v>
      </c>
      <c r="AO275" s="31" t="s">
        <v>144</v>
      </c>
      <c r="AP275" s="31" t="s">
        <v>144</v>
      </c>
      <c r="AQ275" s="31"/>
      <c r="AR275" s="31"/>
      <c r="AS275" s="31"/>
      <c r="AT275" s="31"/>
      <c r="AU275" s="31"/>
    </row>
    <row r="276" spans="5:47" ht="15" customHeight="1" x14ac:dyDescent="0.25">
      <c r="E276" s="31" t="s">
        <v>134</v>
      </c>
      <c r="F276" s="31" t="s">
        <v>140</v>
      </c>
      <c r="G276" s="31" t="s">
        <v>374</v>
      </c>
      <c r="H276" s="31" t="s">
        <v>144</v>
      </c>
      <c r="I276" s="31" t="s">
        <v>481</v>
      </c>
      <c r="J276" s="31" t="s">
        <v>647</v>
      </c>
      <c r="K276" s="31" t="s">
        <v>785</v>
      </c>
      <c r="L276" s="31" t="s">
        <v>162</v>
      </c>
      <c r="M276" s="31" t="s">
        <v>144</v>
      </c>
      <c r="N276" s="31" t="s">
        <v>144</v>
      </c>
      <c r="O276" s="31">
        <v>16</v>
      </c>
      <c r="P276" s="31" t="s">
        <v>144</v>
      </c>
      <c r="Q276" s="31" t="s">
        <v>316</v>
      </c>
      <c r="R276" s="31" t="s">
        <v>477</v>
      </c>
      <c r="S276" s="31" t="s">
        <v>479</v>
      </c>
      <c r="T276" s="31" t="s">
        <v>144</v>
      </c>
      <c r="U276" s="31" t="s">
        <v>144</v>
      </c>
      <c r="V276" s="31" t="s">
        <v>144</v>
      </c>
      <c r="W276" s="31" t="s">
        <v>442</v>
      </c>
      <c r="X276" s="31" t="s">
        <v>193</v>
      </c>
      <c r="Y276" s="31" t="s">
        <v>194</v>
      </c>
      <c r="Z276" s="31" t="s">
        <v>144</v>
      </c>
      <c r="AA276" s="31" t="s">
        <v>144</v>
      </c>
      <c r="AB276" s="31" t="s">
        <v>144</v>
      </c>
      <c r="AC276" s="31" t="s">
        <v>144</v>
      </c>
      <c r="AD276" s="31" t="s">
        <v>144</v>
      </c>
      <c r="AE276" s="31" t="s">
        <v>144</v>
      </c>
      <c r="AF276" s="31" t="s">
        <v>144</v>
      </c>
      <c r="AG276" s="31" t="s">
        <v>144</v>
      </c>
      <c r="AH276" s="31" t="s">
        <v>1322</v>
      </c>
      <c r="AI276" s="31" t="s">
        <v>375</v>
      </c>
      <c r="AJ276" s="31" t="s">
        <v>144</v>
      </c>
      <c r="AK276" s="31" t="s">
        <v>144</v>
      </c>
      <c r="AL276" s="31" t="s">
        <v>325</v>
      </c>
      <c r="AM276" s="31" t="s">
        <v>144</v>
      </c>
      <c r="AN276" s="31" t="s">
        <v>163</v>
      </c>
      <c r="AO276" s="31" t="s">
        <v>144</v>
      </c>
      <c r="AP276" s="31" t="s">
        <v>144</v>
      </c>
      <c r="AQ276" s="31"/>
      <c r="AR276" s="31"/>
      <c r="AS276" s="31"/>
      <c r="AT276" s="31"/>
      <c r="AU276" s="31"/>
    </row>
    <row r="277" spans="5:47" ht="15" customHeight="1" x14ac:dyDescent="0.25">
      <c r="E277" s="31" t="s">
        <v>134</v>
      </c>
      <c r="F277" s="31" t="s">
        <v>140</v>
      </c>
      <c r="G277" s="31" t="s">
        <v>374</v>
      </c>
      <c r="H277" s="31" t="s">
        <v>144</v>
      </c>
      <c r="I277" s="31" t="s">
        <v>481</v>
      </c>
      <c r="J277" s="31" t="s">
        <v>647</v>
      </c>
      <c r="K277" s="31" t="s">
        <v>786</v>
      </c>
      <c r="L277" s="31" t="s">
        <v>162</v>
      </c>
      <c r="M277" s="31" t="s">
        <v>144</v>
      </c>
      <c r="N277" s="31" t="s">
        <v>144</v>
      </c>
      <c r="O277" s="31">
        <v>16</v>
      </c>
      <c r="P277" s="31" t="s">
        <v>144</v>
      </c>
      <c r="Q277" s="31" t="s">
        <v>316</v>
      </c>
      <c r="R277" s="31" t="s">
        <v>477</v>
      </c>
      <c r="S277" s="31" t="s">
        <v>479</v>
      </c>
      <c r="T277" s="31" t="s">
        <v>144</v>
      </c>
      <c r="U277" s="31" t="s">
        <v>144</v>
      </c>
      <c r="V277" s="31" t="s">
        <v>144</v>
      </c>
      <c r="W277" s="31" t="s">
        <v>442</v>
      </c>
      <c r="X277" s="31" t="s">
        <v>193</v>
      </c>
      <c r="Y277" s="31" t="s">
        <v>194</v>
      </c>
      <c r="Z277" s="31" t="s">
        <v>144</v>
      </c>
      <c r="AA277" s="31" t="s">
        <v>144</v>
      </c>
      <c r="AB277" s="31" t="s">
        <v>144</v>
      </c>
      <c r="AC277" s="31" t="s">
        <v>144</v>
      </c>
      <c r="AD277" s="31" t="s">
        <v>144</v>
      </c>
      <c r="AE277" s="31" t="s">
        <v>144</v>
      </c>
      <c r="AF277" s="31" t="s">
        <v>144</v>
      </c>
      <c r="AG277" s="31" t="s">
        <v>144</v>
      </c>
      <c r="AH277" s="31" t="s">
        <v>1322</v>
      </c>
      <c r="AI277" s="31" t="s">
        <v>375</v>
      </c>
      <c r="AJ277" s="31" t="s">
        <v>144</v>
      </c>
      <c r="AK277" s="31" t="s">
        <v>144</v>
      </c>
      <c r="AL277" s="31" t="s">
        <v>325</v>
      </c>
      <c r="AM277" s="31" t="s">
        <v>144</v>
      </c>
      <c r="AN277" s="31" t="s">
        <v>163</v>
      </c>
      <c r="AO277" s="31" t="s">
        <v>144</v>
      </c>
      <c r="AP277" s="31" t="s">
        <v>144</v>
      </c>
      <c r="AQ277" s="31"/>
      <c r="AR277" s="31"/>
      <c r="AS277" s="31"/>
      <c r="AT277" s="31"/>
      <c r="AU277" s="31"/>
    </row>
    <row r="278" spans="5:47" ht="15" customHeight="1" x14ac:dyDescent="0.25">
      <c r="E278" s="31" t="s">
        <v>134</v>
      </c>
      <c r="F278" s="31" t="s">
        <v>140</v>
      </c>
      <c r="G278" s="31" t="s">
        <v>374</v>
      </c>
      <c r="H278" s="31" t="s">
        <v>144</v>
      </c>
      <c r="I278" s="31" t="s">
        <v>481</v>
      </c>
      <c r="J278" s="31" t="s">
        <v>647</v>
      </c>
      <c r="K278" s="31" t="s">
        <v>787</v>
      </c>
      <c r="L278" s="31" t="s">
        <v>162</v>
      </c>
      <c r="M278" s="31" t="s">
        <v>144</v>
      </c>
      <c r="N278" s="31" t="s">
        <v>144</v>
      </c>
      <c r="O278" s="31">
        <v>16</v>
      </c>
      <c r="P278" s="31" t="s">
        <v>144</v>
      </c>
      <c r="Q278" s="31" t="s">
        <v>316</v>
      </c>
      <c r="R278" s="31" t="s">
        <v>477</v>
      </c>
      <c r="S278" s="31" t="s">
        <v>479</v>
      </c>
      <c r="T278" s="31" t="s">
        <v>144</v>
      </c>
      <c r="U278" s="31" t="s">
        <v>144</v>
      </c>
      <c r="V278" s="31" t="s">
        <v>144</v>
      </c>
      <c r="W278" s="31" t="s">
        <v>442</v>
      </c>
      <c r="X278" s="31" t="s">
        <v>193</v>
      </c>
      <c r="Y278" s="31" t="s">
        <v>194</v>
      </c>
      <c r="Z278" s="31" t="s">
        <v>144</v>
      </c>
      <c r="AA278" s="31" t="s">
        <v>144</v>
      </c>
      <c r="AB278" s="31" t="s">
        <v>144</v>
      </c>
      <c r="AC278" s="31" t="s">
        <v>144</v>
      </c>
      <c r="AD278" s="31" t="s">
        <v>144</v>
      </c>
      <c r="AE278" s="31" t="s">
        <v>144</v>
      </c>
      <c r="AF278" s="31" t="s">
        <v>144</v>
      </c>
      <c r="AG278" s="31" t="s">
        <v>144</v>
      </c>
      <c r="AH278" s="31" t="s">
        <v>1322</v>
      </c>
      <c r="AI278" s="31" t="s">
        <v>375</v>
      </c>
      <c r="AJ278" s="31" t="s">
        <v>144</v>
      </c>
      <c r="AK278" s="31" t="s">
        <v>144</v>
      </c>
      <c r="AL278" s="31" t="s">
        <v>325</v>
      </c>
      <c r="AM278" s="31" t="s">
        <v>144</v>
      </c>
      <c r="AN278" s="31" t="s">
        <v>163</v>
      </c>
      <c r="AO278" s="31" t="s">
        <v>144</v>
      </c>
      <c r="AP278" s="31" t="s">
        <v>144</v>
      </c>
      <c r="AQ278" s="31"/>
      <c r="AR278" s="31"/>
      <c r="AS278" s="31"/>
      <c r="AT278" s="31"/>
      <c r="AU278" s="31"/>
    </row>
    <row r="279" spans="5:47" ht="15" customHeight="1" x14ac:dyDescent="0.25">
      <c r="E279" s="31" t="s">
        <v>134</v>
      </c>
      <c r="F279" s="31" t="s">
        <v>140</v>
      </c>
      <c r="G279" s="31" t="s">
        <v>374</v>
      </c>
      <c r="H279" s="31" t="s">
        <v>144</v>
      </c>
      <c r="I279" s="31" t="s">
        <v>481</v>
      </c>
      <c r="J279" s="31" t="s">
        <v>647</v>
      </c>
      <c r="K279" s="31" t="s">
        <v>788</v>
      </c>
      <c r="L279" s="31" t="s">
        <v>162</v>
      </c>
      <c r="M279" s="31" t="s">
        <v>144</v>
      </c>
      <c r="N279" s="31" t="s">
        <v>144</v>
      </c>
      <c r="O279" s="31">
        <v>16</v>
      </c>
      <c r="P279" s="31" t="s">
        <v>144</v>
      </c>
      <c r="Q279" s="31" t="s">
        <v>316</v>
      </c>
      <c r="R279" s="31" t="s">
        <v>477</v>
      </c>
      <c r="S279" s="31" t="s">
        <v>479</v>
      </c>
      <c r="T279" s="31" t="s">
        <v>144</v>
      </c>
      <c r="U279" s="31" t="s">
        <v>144</v>
      </c>
      <c r="V279" s="31" t="s">
        <v>144</v>
      </c>
      <c r="W279" s="31" t="s">
        <v>442</v>
      </c>
      <c r="X279" s="31" t="s">
        <v>193</v>
      </c>
      <c r="Y279" s="31" t="s">
        <v>194</v>
      </c>
      <c r="Z279" s="31" t="s">
        <v>144</v>
      </c>
      <c r="AA279" s="31" t="s">
        <v>144</v>
      </c>
      <c r="AB279" s="31" t="s">
        <v>144</v>
      </c>
      <c r="AC279" s="31" t="s">
        <v>144</v>
      </c>
      <c r="AD279" s="31" t="s">
        <v>144</v>
      </c>
      <c r="AE279" s="31" t="s">
        <v>144</v>
      </c>
      <c r="AF279" s="31" t="s">
        <v>144</v>
      </c>
      <c r="AG279" s="31" t="s">
        <v>144</v>
      </c>
      <c r="AH279" s="31" t="s">
        <v>1322</v>
      </c>
      <c r="AI279" s="31" t="s">
        <v>375</v>
      </c>
      <c r="AJ279" s="31" t="s">
        <v>144</v>
      </c>
      <c r="AK279" s="31" t="s">
        <v>144</v>
      </c>
      <c r="AL279" s="31" t="s">
        <v>325</v>
      </c>
      <c r="AM279" s="31" t="s">
        <v>144</v>
      </c>
      <c r="AN279" s="31" t="s">
        <v>163</v>
      </c>
      <c r="AO279" s="31" t="s">
        <v>144</v>
      </c>
      <c r="AP279" s="31" t="s">
        <v>144</v>
      </c>
      <c r="AQ279" s="31"/>
      <c r="AR279" s="31"/>
      <c r="AS279" s="31"/>
      <c r="AT279" s="31"/>
      <c r="AU279" s="31"/>
    </row>
    <row r="280" spans="5:47" ht="15" customHeight="1" x14ac:dyDescent="0.25">
      <c r="E280" s="31" t="s">
        <v>134</v>
      </c>
      <c r="F280" s="31" t="s">
        <v>140</v>
      </c>
      <c r="G280" s="31" t="s">
        <v>374</v>
      </c>
      <c r="H280" s="31" t="s">
        <v>144</v>
      </c>
      <c r="I280" s="31" t="s">
        <v>481</v>
      </c>
      <c r="J280" s="31" t="s">
        <v>647</v>
      </c>
      <c r="K280" s="31" t="s">
        <v>789</v>
      </c>
      <c r="L280" s="31" t="s">
        <v>162</v>
      </c>
      <c r="M280" s="31" t="s">
        <v>144</v>
      </c>
      <c r="N280" s="31" t="s">
        <v>144</v>
      </c>
      <c r="O280" s="31">
        <v>16</v>
      </c>
      <c r="P280" s="31" t="s">
        <v>144</v>
      </c>
      <c r="Q280" s="31" t="s">
        <v>316</v>
      </c>
      <c r="R280" s="31" t="s">
        <v>477</v>
      </c>
      <c r="S280" s="31" t="s">
        <v>479</v>
      </c>
      <c r="T280" s="31" t="s">
        <v>144</v>
      </c>
      <c r="U280" s="31" t="s">
        <v>144</v>
      </c>
      <c r="V280" s="31" t="s">
        <v>144</v>
      </c>
      <c r="W280" s="31" t="s">
        <v>442</v>
      </c>
      <c r="X280" s="31" t="s">
        <v>193</v>
      </c>
      <c r="Y280" s="31" t="s">
        <v>194</v>
      </c>
      <c r="Z280" s="31" t="s">
        <v>144</v>
      </c>
      <c r="AA280" s="31" t="s">
        <v>144</v>
      </c>
      <c r="AB280" s="31" t="s">
        <v>144</v>
      </c>
      <c r="AC280" s="31" t="s">
        <v>144</v>
      </c>
      <c r="AD280" s="31" t="s">
        <v>144</v>
      </c>
      <c r="AE280" s="31" t="s">
        <v>144</v>
      </c>
      <c r="AF280" s="31" t="s">
        <v>144</v>
      </c>
      <c r="AG280" s="31" t="s">
        <v>144</v>
      </c>
      <c r="AH280" s="31" t="s">
        <v>1322</v>
      </c>
      <c r="AI280" s="31" t="s">
        <v>375</v>
      </c>
      <c r="AJ280" s="31" t="s">
        <v>144</v>
      </c>
      <c r="AK280" s="31" t="s">
        <v>144</v>
      </c>
      <c r="AL280" s="31" t="s">
        <v>325</v>
      </c>
      <c r="AM280" s="31" t="s">
        <v>144</v>
      </c>
      <c r="AN280" s="31" t="s">
        <v>163</v>
      </c>
      <c r="AO280" s="31" t="s">
        <v>144</v>
      </c>
      <c r="AP280" s="31" t="s">
        <v>144</v>
      </c>
      <c r="AQ280" s="31"/>
      <c r="AR280" s="31"/>
      <c r="AS280" s="31"/>
      <c r="AT280" s="31"/>
      <c r="AU280" s="31"/>
    </row>
    <row r="281" spans="5:47" ht="15" customHeight="1" x14ac:dyDescent="0.25">
      <c r="E281" s="31" t="s">
        <v>134</v>
      </c>
      <c r="F281" s="31" t="s">
        <v>140</v>
      </c>
      <c r="G281" s="31" t="s">
        <v>374</v>
      </c>
      <c r="H281" s="31" t="s">
        <v>144</v>
      </c>
      <c r="I281" s="31" t="s">
        <v>481</v>
      </c>
      <c r="J281" s="31" t="s">
        <v>647</v>
      </c>
      <c r="K281" s="31" t="s">
        <v>790</v>
      </c>
      <c r="L281" s="31" t="s">
        <v>162</v>
      </c>
      <c r="M281" s="31" t="s">
        <v>144</v>
      </c>
      <c r="N281" s="31" t="s">
        <v>144</v>
      </c>
      <c r="O281" s="31">
        <v>16</v>
      </c>
      <c r="P281" s="31" t="s">
        <v>144</v>
      </c>
      <c r="Q281" s="31" t="s">
        <v>316</v>
      </c>
      <c r="R281" s="31" t="s">
        <v>477</v>
      </c>
      <c r="S281" s="31" t="s">
        <v>479</v>
      </c>
      <c r="T281" s="31" t="s">
        <v>144</v>
      </c>
      <c r="U281" s="31" t="s">
        <v>144</v>
      </c>
      <c r="V281" s="31" t="s">
        <v>144</v>
      </c>
      <c r="W281" s="31" t="s">
        <v>442</v>
      </c>
      <c r="X281" s="31" t="s">
        <v>193</v>
      </c>
      <c r="Y281" s="31" t="s">
        <v>194</v>
      </c>
      <c r="Z281" s="31" t="s">
        <v>144</v>
      </c>
      <c r="AA281" s="31" t="s">
        <v>144</v>
      </c>
      <c r="AB281" s="31" t="s">
        <v>144</v>
      </c>
      <c r="AC281" s="31" t="s">
        <v>144</v>
      </c>
      <c r="AD281" s="31" t="s">
        <v>144</v>
      </c>
      <c r="AE281" s="31" t="s">
        <v>144</v>
      </c>
      <c r="AF281" s="31" t="s">
        <v>144</v>
      </c>
      <c r="AG281" s="31" t="s">
        <v>144</v>
      </c>
      <c r="AH281" s="31" t="s">
        <v>1322</v>
      </c>
      <c r="AI281" s="31" t="s">
        <v>375</v>
      </c>
      <c r="AJ281" s="31" t="s">
        <v>144</v>
      </c>
      <c r="AK281" s="31" t="s">
        <v>144</v>
      </c>
      <c r="AL281" s="31" t="s">
        <v>325</v>
      </c>
      <c r="AM281" s="31" t="s">
        <v>144</v>
      </c>
      <c r="AN281" s="31" t="s">
        <v>163</v>
      </c>
      <c r="AO281" s="31" t="s">
        <v>144</v>
      </c>
      <c r="AP281" s="31" t="s">
        <v>144</v>
      </c>
      <c r="AQ281" s="31"/>
      <c r="AR281" s="31"/>
      <c r="AS281" s="31"/>
      <c r="AT281" s="31"/>
      <c r="AU281" s="31"/>
    </row>
    <row r="282" spans="5:47" ht="15" customHeight="1" x14ac:dyDescent="0.25">
      <c r="E282" s="31" t="s">
        <v>134</v>
      </c>
      <c r="F282" s="31" t="s">
        <v>140</v>
      </c>
      <c r="G282" s="31" t="s">
        <v>374</v>
      </c>
      <c r="H282" s="31" t="s">
        <v>144</v>
      </c>
      <c r="I282" s="31" t="s">
        <v>481</v>
      </c>
      <c r="J282" s="31" t="s">
        <v>647</v>
      </c>
      <c r="K282" s="31" t="s">
        <v>791</v>
      </c>
      <c r="L282" s="31" t="s">
        <v>162</v>
      </c>
      <c r="M282" s="31" t="s">
        <v>144</v>
      </c>
      <c r="N282" s="31" t="s">
        <v>144</v>
      </c>
      <c r="O282" s="31">
        <v>16</v>
      </c>
      <c r="P282" s="31" t="s">
        <v>144</v>
      </c>
      <c r="Q282" s="31" t="s">
        <v>316</v>
      </c>
      <c r="R282" s="31" t="s">
        <v>477</v>
      </c>
      <c r="S282" s="31" t="s">
        <v>479</v>
      </c>
      <c r="T282" s="31" t="s">
        <v>144</v>
      </c>
      <c r="U282" s="31" t="s">
        <v>144</v>
      </c>
      <c r="V282" s="31" t="s">
        <v>144</v>
      </c>
      <c r="W282" s="31" t="s">
        <v>442</v>
      </c>
      <c r="X282" s="31" t="s">
        <v>193</v>
      </c>
      <c r="Y282" s="31" t="s">
        <v>194</v>
      </c>
      <c r="Z282" s="31" t="s">
        <v>144</v>
      </c>
      <c r="AA282" s="31" t="s">
        <v>144</v>
      </c>
      <c r="AB282" s="31" t="s">
        <v>144</v>
      </c>
      <c r="AC282" s="31" t="s">
        <v>144</v>
      </c>
      <c r="AD282" s="31" t="s">
        <v>144</v>
      </c>
      <c r="AE282" s="31" t="s">
        <v>144</v>
      </c>
      <c r="AF282" s="31" t="s">
        <v>144</v>
      </c>
      <c r="AG282" s="31" t="s">
        <v>144</v>
      </c>
      <c r="AH282" s="31" t="s">
        <v>1322</v>
      </c>
      <c r="AI282" s="31" t="s">
        <v>375</v>
      </c>
      <c r="AJ282" s="31" t="s">
        <v>144</v>
      </c>
      <c r="AK282" s="31" t="s">
        <v>144</v>
      </c>
      <c r="AL282" s="31" t="s">
        <v>325</v>
      </c>
      <c r="AM282" s="31" t="s">
        <v>144</v>
      </c>
      <c r="AN282" s="31" t="s">
        <v>163</v>
      </c>
      <c r="AO282" s="31" t="s">
        <v>144</v>
      </c>
      <c r="AP282" s="31" t="s">
        <v>144</v>
      </c>
      <c r="AQ282" s="31"/>
      <c r="AR282" s="31"/>
      <c r="AS282" s="31"/>
      <c r="AT282" s="31"/>
      <c r="AU282" s="31"/>
    </row>
    <row r="283" spans="5:47" ht="15" customHeight="1" x14ac:dyDescent="0.25">
      <c r="E283" s="31" t="s">
        <v>134</v>
      </c>
      <c r="F283" s="31" t="s">
        <v>140</v>
      </c>
      <c r="G283" s="31" t="s">
        <v>374</v>
      </c>
      <c r="H283" s="31" t="s">
        <v>144</v>
      </c>
      <c r="I283" s="31" t="s">
        <v>481</v>
      </c>
      <c r="J283" s="31" t="s">
        <v>647</v>
      </c>
      <c r="K283" s="31" t="s">
        <v>792</v>
      </c>
      <c r="L283" s="31" t="s">
        <v>162</v>
      </c>
      <c r="M283" s="31" t="s">
        <v>144</v>
      </c>
      <c r="N283" s="31" t="s">
        <v>144</v>
      </c>
      <c r="O283" s="31">
        <v>16</v>
      </c>
      <c r="P283" s="31" t="s">
        <v>144</v>
      </c>
      <c r="Q283" s="31" t="s">
        <v>316</v>
      </c>
      <c r="R283" s="31" t="s">
        <v>477</v>
      </c>
      <c r="S283" s="31" t="s">
        <v>479</v>
      </c>
      <c r="T283" s="31" t="s">
        <v>144</v>
      </c>
      <c r="U283" s="31" t="s">
        <v>144</v>
      </c>
      <c r="V283" s="31" t="s">
        <v>144</v>
      </c>
      <c r="W283" s="31" t="s">
        <v>442</v>
      </c>
      <c r="X283" s="31" t="s">
        <v>193</v>
      </c>
      <c r="Y283" s="31" t="s">
        <v>194</v>
      </c>
      <c r="Z283" s="31" t="s">
        <v>144</v>
      </c>
      <c r="AA283" s="31" t="s">
        <v>144</v>
      </c>
      <c r="AB283" s="31" t="s">
        <v>144</v>
      </c>
      <c r="AC283" s="31" t="s">
        <v>144</v>
      </c>
      <c r="AD283" s="31" t="s">
        <v>144</v>
      </c>
      <c r="AE283" s="31" t="s">
        <v>144</v>
      </c>
      <c r="AF283" s="31" t="s">
        <v>144</v>
      </c>
      <c r="AG283" s="31" t="s">
        <v>144</v>
      </c>
      <c r="AH283" s="31" t="s">
        <v>1322</v>
      </c>
      <c r="AI283" s="31" t="s">
        <v>375</v>
      </c>
      <c r="AJ283" s="31" t="s">
        <v>144</v>
      </c>
      <c r="AK283" s="31" t="s">
        <v>144</v>
      </c>
      <c r="AL283" s="31" t="s">
        <v>325</v>
      </c>
      <c r="AM283" s="31" t="s">
        <v>144</v>
      </c>
      <c r="AN283" s="31" t="s">
        <v>163</v>
      </c>
      <c r="AO283" s="31" t="s">
        <v>144</v>
      </c>
      <c r="AP283" s="31" t="s">
        <v>144</v>
      </c>
      <c r="AQ283" s="31"/>
      <c r="AR283" s="31"/>
      <c r="AS283" s="31"/>
      <c r="AT283" s="31"/>
      <c r="AU283" s="31"/>
    </row>
    <row r="284" spans="5:47" ht="15" customHeight="1" x14ac:dyDescent="0.25">
      <c r="E284" s="31" t="s">
        <v>134</v>
      </c>
      <c r="F284" s="31" t="s">
        <v>140</v>
      </c>
      <c r="G284" s="31" t="s">
        <v>374</v>
      </c>
      <c r="H284" s="31" t="s">
        <v>144</v>
      </c>
      <c r="I284" s="31" t="s">
        <v>481</v>
      </c>
      <c r="J284" s="31" t="s">
        <v>647</v>
      </c>
      <c r="K284" s="31" t="s">
        <v>793</v>
      </c>
      <c r="L284" s="31" t="s">
        <v>162</v>
      </c>
      <c r="M284" s="31" t="s">
        <v>144</v>
      </c>
      <c r="N284" s="31" t="s">
        <v>144</v>
      </c>
      <c r="O284" s="31">
        <v>16</v>
      </c>
      <c r="P284" s="31" t="s">
        <v>144</v>
      </c>
      <c r="Q284" s="31" t="s">
        <v>316</v>
      </c>
      <c r="R284" s="31" t="s">
        <v>477</v>
      </c>
      <c r="S284" s="31" t="s">
        <v>479</v>
      </c>
      <c r="T284" s="31" t="s">
        <v>144</v>
      </c>
      <c r="U284" s="31" t="s">
        <v>144</v>
      </c>
      <c r="V284" s="31" t="s">
        <v>144</v>
      </c>
      <c r="W284" s="31" t="s">
        <v>442</v>
      </c>
      <c r="X284" s="31" t="s">
        <v>193</v>
      </c>
      <c r="Y284" s="31" t="s">
        <v>194</v>
      </c>
      <c r="Z284" s="31" t="s">
        <v>144</v>
      </c>
      <c r="AA284" s="31" t="s">
        <v>144</v>
      </c>
      <c r="AB284" s="31" t="s">
        <v>144</v>
      </c>
      <c r="AC284" s="31" t="s">
        <v>144</v>
      </c>
      <c r="AD284" s="31" t="s">
        <v>144</v>
      </c>
      <c r="AE284" s="31" t="s">
        <v>144</v>
      </c>
      <c r="AF284" s="31" t="s">
        <v>144</v>
      </c>
      <c r="AG284" s="31" t="s">
        <v>144</v>
      </c>
      <c r="AH284" s="31" t="s">
        <v>1322</v>
      </c>
      <c r="AI284" s="31" t="s">
        <v>375</v>
      </c>
      <c r="AJ284" s="31" t="s">
        <v>144</v>
      </c>
      <c r="AK284" s="31" t="s">
        <v>144</v>
      </c>
      <c r="AL284" s="31" t="s">
        <v>325</v>
      </c>
      <c r="AM284" s="31" t="s">
        <v>144</v>
      </c>
      <c r="AN284" s="31" t="s">
        <v>163</v>
      </c>
      <c r="AO284" s="31" t="s">
        <v>144</v>
      </c>
      <c r="AP284" s="31" t="s">
        <v>144</v>
      </c>
      <c r="AQ284" s="31"/>
      <c r="AR284" s="31"/>
      <c r="AS284" s="31"/>
      <c r="AT284" s="31"/>
      <c r="AU284" s="31"/>
    </row>
    <row r="285" spans="5:47" ht="15" customHeight="1" x14ac:dyDescent="0.25">
      <c r="E285" s="31" t="s">
        <v>134</v>
      </c>
      <c r="F285" s="31" t="s">
        <v>140</v>
      </c>
      <c r="G285" s="31" t="s">
        <v>374</v>
      </c>
      <c r="H285" s="31" t="s">
        <v>144</v>
      </c>
      <c r="I285" s="31" t="s">
        <v>481</v>
      </c>
      <c r="J285" s="31" t="s">
        <v>647</v>
      </c>
      <c r="K285" s="31" t="s">
        <v>794</v>
      </c>
      <c r="L285" s="31" t="s">
        <v>162</v>
      </c>
      <c r="M285" s="31" t="s">
        <v>144</v>
      </c>
      <c r="N285" s="31" t="s">
        <v>144</v>
      </c>
      <c r="O285" s="31">
        <v>16</v>
      </c>
      <c r="P285" s="31" t="s">
        <v>144</v>
      </c>
      <c r="Q285" s="31" t="s">
        <v>316</v>
      </c>
      <c r="R285" s="31" t="s">
        <v>477</v>
      </c>
      <c r="S285" s="31" t="s">
        <v>479</v>
      </c>
      <c r="T285" s="31" t="s">
        <v>144</v>
      </c>
      <c r="U285" s="31" t="s">
        <v>144</v>
      </c>
      <c r="V285" s="31" t="s">
        <v>144</v>
      </c>
      <c r="W285" s="31" t="s">
        <v>442</v>
      </c>
      <c r="X285" s="31" t="s">
        <v>193</v>
      </c>
      <c r="Y285" s="31" t="s">
        <v>194</v>
      </c>
      <c r="Z285" s="31" t="s">
        <v>144</v>
      </c>
      <c r="AA285" s="31" t="s">
        <v>144</v>
      </c>
      <c r="AB285" s="31" t="s">
        <v>144</v>
      </c>
      <c r="AC285" s="31" t="s">
        <v>144</v>
      </c>
      <c r="AD285" s="31" t="s">
        <v>144</v>
      </c>
      <c r="AE285" s="31" t="s">
        <v>144</v>
      </c>
      <c r="AF285" s="31" t="s">
        <v>144</v>
      </c>
      <c r="AG285" s="31" t="s">
        <v>144</v>
      </c>
      <c r="AH285" s="31" t="s">
        <v>1322</v>
      </c>
      <c r="AI285" s="31" t="s">
        <v>375</v>
      </c>
      <c r="AJ285" s="31" t="s">
        <v>144</v>
      </c>
      <c r="AK285" s="31" t="s">
        <v>144</v>
      </c>
      <c r="AL285" s="31" t="s">
        <v>325</v>
      </c>
      <c r="AM285" s="31" t="s">
        <v>144</v>
      </c>
      <c r="AN285" s="31" t="s">
        <v>163</v>
      </c>
      <c r="AO285" s="31" t="s">
        <v>144</v>
      </c>
      <c r="AP285" s="31" t="s">
        <v>144</v>
      </c>
      <c r="AQ285" s="31"/>
      <c r="AR285" s="31"/>
      <c r="AS285" s="31"/>
      <c r="AT285" s="31"/>
      <c r="AU285" s="31"/>
    </row>
    <row r="286" spans="5:47" ht="15" customHeight="1" x14ac:dyDescent="0.25">
      <c r="E286" s="31" t="s">
        <v>134</v>
      </c>
      <c r="F286" s="31" t="s">
        <v>140</v>
      </c>
      <c r="G286" s="31" t="s">
        <v>374</v>
      </c>
      <c r="H286" s="31" t="s">
        <v>144</v>
      </c>
      <c r="I286" s="31" t="s">
        <v>481</v>
      </c>
      <c r="J286" s="31" t="s">
        <v>647</v>
      </c>
      <c r="K286" s="31" t="s">
        <v>795</v>
      </c>
      <c r="L286" s="31" t="s">
        <v>162</v>
      </c>
      <c r="M286" s="31" t="s">
        <v>144</v>
      </c>
      <c r="N286" s="31" t="s">
        <v>144</v>
      </c>
      <c r="O286" s="31">
        <v>16</v>
      </c>
      <c r="P286" s="31" t="s">
        <v>144</v>
      </c>
      <c r="Q286" s="31" t="s">
        <v>316</v>
      </c>
      <c r="R286" s="31" t="s">
        <v>477</v>
      </c>
      <c r="S286" s="31" t="s">
        <v>479</v>
      </c>
      <c r="T286" s="31" t="s">
        <v>144</v>
      </c>
      <c r="U286" s="31" t="s">
        <v>144</v>
      </c>
      <c r="V286" s="31" t="s">
        <v>144</v>
      </c>
      <c r="W286" s="31" t="s">
        <v>442</v>
      </c>
      <c r="X286" s="31" t="s">
        <v>193</v>
      </c>
      <c r="Y286" s="31" t="s">
        <v>194</v>
      </c>
      <c r="Z286" s="31" t="s">
        <v>144</v>
      </c>
      <c r="AA286" s="31" t="s">
        <v>144</v>
      </c>
      <c r="AB286" s="31" t="s">
        <v>144</v>
      </c>
      <c r="AC286" s="31" t="s">
        <v>144</v>
      </c>
      <c r="AD286" s="31" t="s">
        <v>144</v>
      </c>
      <c r="AE286" s="31" t="s">
        <v>144</v>
      </c>
      <c r="AF286" s="31" t="s">
        <v>144</v>
      </c>
      <c r="AG286" s="31" t="s">
        <v>144</v>
      </c>
      <c r="AH286" s="31" t="s">
        <v>1322</v>
      </c>
      <c r="AI286" s="31" t="s">
        <v>375</v>
      </c>
      <c r="AJ286" s="31" t="s">
        <v>144</v>
      </c>
      <c r="AK286" s="31" t="s">
        <v>144</v>
      </c>
      <c r="AL286" s="31" t="s">
        <v>325</v>
      </c>
      <c r="AM286" s="31" t="s">
        <v>144</v>
      </c>
      <c r="AN286" s="31" t="s">
        <v>163</v>
      </c>
      <c r="AO286" s="31" t="s">
        <v>144</v>
      </c>
      <c r="AP286" s="31" t="s">
        <v>144</v>
      </c>
      <c r="AQ286" s="31"/>
      <c r="AR286" s="31"/>
      <c r="AS286" s="31"/>
      <c r="AT286" s="31"/>
      <c r="AU286" s="31"/>
    </row>
    <row r="287" spans="5:47" ht="15" customHeight="1" x14ac:dyDescent="0.25">
      <c r="E287" s="31" t="s">
        <v>134</v>
      </c>
      <c r="F287" s="31" t="s">
        <v>140</v>
      </c>
      <c r="G287" s="31" t="s">
        <v>374</v>
      </c>
      <c r="H287" s="31" t="s">
        <v>144</v>
      </c>
      <c r="I287" s="31" t="s">
        <v>481</v>
      </c>
      <c r="J287" s="31" t="s">
        <v>647</v>
      </c>
      <c r="K287" s="31" t="s">
        <v>796</v>
      </c>
      <c r="L287" s="31" t="s">
        <v>162</v>
      </c>
      <c r="M287" s="31" t="s">
        <v>144</v>
      </c>
      <c r="N287" s="31" t="s">
        <v>144</v>
      </c>
      <c r="O287" s="31">
        <v>16</v>
      </c>
      <c r="P287" s="31" t="s">
        <v>144</v>
      </c>
      <c r="Q287" s="31" t="s">
        <v>316</v>
      </c>
      <c r="R287" s="31" t="s">
        <v>477</v>
      </c>
      <c r="S287" s="31" t="s">
        <v>479</v>
      </c>
      <c r="T287" s="31" t="s">
        <v>144</v>
      </c>
      <c r="U287" s="31" t="s">
        <v>144</v>
      </c>
      <c r="V287" s="31" t="s">
        <v>144</v>
      </c>
      <c r="W287" s="31" t="s">
        <v>442</v>
      </c>
      <c r="X287" s="31" t="s">
        <v>193</v>
      </c>
      <c r="Y287" s="31" t="s">
        <v>194</v>
      </c>
      <c r="Z287" s="31" t="s">
        <v>144</v>
      </c>
      <c r="AA287" s="31" t="s">
        <v>144</v>
      </c>
      <c r="AB287" s="31" t="s">
        <v>144</v>
      </c>
      <c r="AC287" s="31" t="s">
        <v>144</v>
      </c>
      <c r="AD287" s="31" t="s">
        <v>144</v>
      </c>
      <c r="AE287" s="31" t="s">
        <v>144</v>
      </c>
      <c r="AF287" s="31" t="s">
        <v>144</v>
      </c>
      <c r="AG287" s="31" t="s">
        <v>144</v>
      </c>
      <c r="AH287" s="31" t="s">
        <v>1322</v>
      </c>
      <c r="AI287" s="31" t="s">
        <v>375</v>
      </c>
      <c r="AJ287" s="31" t="s">
        <v>144</v>
      </c>
      <c r="AK287" s="31" t="s">
        <v>144</v>
      </c>
      <c r="AL287" s="31" t="s">
        <v>325</v>
      </c>
      <c r="AM287" s="31" t="s">
        <v>144</v>
      </c>
      <c r="AN287" s="31" t="s">
        <v>163</v>
      </c>
      <c r="AO287" s="31" t="s">
        <v>144</v>
      </c>
      <c r="AP287" s="31" t="s">
        <v>144</v>
      </c>
      <c r="AQ287" s="31"/>
      <c r="AR287" s="31"/>
      <c r="AS287" s="31"/>
      <c r="AT287" s="31"/>
      <c r="AU287" s="31"/>
    </row>
    <row r="288" spans="5:47" ht="15" customHeight="1" x14ac:dyDescent="0.25">
      <c r="E288" s="31" t="s">
        <v>134</v>
      </c>
      <c r="F288" s="31" t="s">
        <v>140</v>
      </c>
      <c r="G288" s="31" t="s">
        <v>374</v>
      </c>
      <c r="H288" s="31" t="s">
        <v>144</v>
      </c>
      <c r="I288" s="31" t="s">
        <v>481</v>
      </c>
      <c r="J288" s="31" t="s">
        <v>647</v>
      </c>
      <c r="K288" s="31" t="s">
        <v>797</v>
      </c>
      <c r="L288" s="31" t="s">
        <v>162</v>
      </c>
      <c r="M288" s="31" t="s">
        <v>144</v>
      </c>
      <c r="N288" s="31" t="s">
        <v>144</v>
      </c>
      <c r="O288" s="31">
        <v>16</v>
      </c>
      <c r="P288" s="31" t="s">
        <v>144</v>
      </c>
      <c r="Q288" s="31" t="s">
        <v>316</v>
      </c>
      <c r="R288" s="31" t="s">
        <v>477</v>
      </c>
      <c r="S288" s="31" t="s">
        <v>479</v>
      </c>
      <c r="T288" s="31" t="s">
        <v>144</v>
      </c>
      <c r="U288" s="31" t="s">
        <v>144</v>
      </c>
      <c r="V288" s="31" t="s">
        <v>144</v>
      </c>
      <c r="W288" s="31" t="s">
        <v>442</v>
      </c>
      <c r="X288" s="31" t="s">
        <v>193</v>
      </c>
      <c r="Y288" s="31" t="s">
        <v>194</v>
      </c>
      <c r="Z288" s="31" t="s">
        <v>144</v>
      </c>
      <c r="AA288" s="31" t="s">
        <v>144</v>
      </c>
      <c r="AB288" s="31" t="s">
        <v>144</v>
      </c>
      <c r="AC288" s="31" t="s">
        <v>144</v>
      </c>
      <c r="AD288" s="31" t="s">
        <v>144</v>
      </c>
      <c r="AE288" s="31" t="s">
        <v>144</v>
      </c>
      <c r="AF288" s="31" t="s">
        <v>144</v>
      </c>
      <c r="AG288" s="31" t="s">
        <v>144</v>
      </c>
      <c r="AH288" s="31" t="s">
        <v>1322</v>
      </c>
      <c r="AI288" s="31" t="s">
        <v>375</v>
      </c>
      <c r="AJ288" s="31" t="s">
        <v>144</v>
      </c>
      <c r="AK288" s="31" t="s">
        <v>144</v>
      </c>
      <c r="AL288" s="31" t="s">
        <v>325</v>
      </c>
      <c r="AM288" s="31" t="s">
        <v>144</v>
      </c>
      <c r="AN288" s="31" t="s">
        <v>163</v>
      </c>
      <c r="AO288" s="31" t="s">
        <v>144</v>
      </c>
      <c r="AP288" s="31" t="s">
        <v>144</v>
      </c>
      <c r="AQ288" s="31"/>
      <c r="AR288" s="31"/>
      <c r="AS288" s="31"/>
      <c r="AT288" s="31"/>
      <c r="AU288" s="31"/>
    </row>
    <row r="289" spans="5:47" ht="15" customHeight="1" x14ac:dyDescent="0.25">
      <c r="E289" s="31" t="s">
        <v>134</v>
      </c>
      <c r="F289" s="31" t="s">
        <v>140</v>
      </c>
      <c r="G289" s="31" t="s">
        <v>374</v>
      </c>
      <c r="H289" s="31" t="s">
        <v>144</v>
      </c>
      <c r="I289" s="31" t="s">
        <v>481</v>
      </c>
      <c r="J289" s="31" t="s">
        <v>647</v>
      </c>
      <c r="K289" s="31" t="s">
        <v>798</v>
      </c>
      <c r="L289" s="31" t="s">
        <v>162</v>
      </c>
      <c r="M289" s="31" t="s">
        <v>144</v>
      </c>
      <c r="N289" s="31" t="s">
        <v>144</v>
      </c>
      <c r="O289" s="31">
        <v>16</v>
      </c>
      <c r="P289" s="31" t="s">
        <v>144</v>
      </c>
      <c r="Q289" s="31" t="s">
        <v>316</v>
      </c>
      <c r="R289" s="31" t="s">
        <v>477</v>
      </c>
      <c r="S289" s="31" t="s">
        <v>479</v>
      </c>
      <c r="T289" s="31" t="s">
        <v>144</v>
      </c>
      <c r="U289" s="31" t="s">
        <v>144</v>
      </c>
      <c r="V289" s="31" t="s">
        <v>144</v>
      </c>
      <c r="W289" s="31" t="s">
        <v>442</v>
      </c>
      <c r="X289" s="31" t="s">
        <v>193</v>
      </c>
      <c r="Y289" s="31" t="s">
        <v>194</v>
      </c>
      <c r="Z289" s="31" t="s">
        <v>144</v>
      </c>
      <c r="AA289" s="31" t="s">
        <v>144</v>
      </c>
      <c r="AB289" s="31" t="s">
        <v>144</v>
      </c>
      <c r="AC289" s="31" t="s">
        <v>144</v>
      </c>
      <c r="AD289" s="31" t="s">
        <v>144</v>
      </c>
      <c r="AE289" s="31" t="s">
        <v>144</v>
      </c>
      <c r="AF289" s="31" t="s">
        <v>144</v>
      </c>
      <c r="AG289" s="31" t="s">
        <v>144</v>
      </c>
      <c r="AH289" s="31" t="s">
        <v>1322</v>
      </c>
      <c r="AI289" s="31" t="s">
        <v>375</v>
      </c>
      <c r="AJ289" s="31" t="s">
        <v>144</v>
      </c>
      <c r="AK289" s="31" t="s">
        <v>144</v>
      </c>
      <c r="AL289" s="31" t="s">
        <v>325</v>
      </c>
      <c r="AM289" s="31" t="s">
        <v>144</v>
      </c>
      <c r="AN289" s="31" t="s">
        <v>163</v>
      </c>
      <c r="AO289" s="31" t="s">
        <v>144</v>
      </c>
      <c r="AP289" s="31" t="s">
        <v>144</v>
      </c>
      <c r="AQ289" s="31"/>
      <c r="AR289" s="31"/>
      <c r="AS289" s="31"/>
      <c r="AT289" s="31"/>
      <c r="AU289" s="31"/>
    </row>
    <row r="290" spans="5:47" ht="15" customHeight="1" x14ac:dyDescent="0.25">
      <c r="E290" s="31" t="s">
        <v>134</v>
      </c>
      <c r="F290" s="31" t="s">
        <v>140</v>
      </c>
      <c r="G290" s="31" t="s">
        <v>374</v>
      </c>
      <c r="H290" s="31" t="s">
        <v>144</v>
      </c>
      <c r="I290" s="31" t="s">
        <v>481</v>
      </c>
      <c r="J290" s="31" t="s">
        <v>647</v>
      </c>
      <c r="K290" s="31" t="s">
        <v>799</v>
      </c>
      <c r="L290" s="31" t="s">
        <v>162</v>
      </c>
      <c r="M290" s="31" t="s">
        <v>144</v>
      </c>
      <c r="N290" s="31" t="s">
        <v>144</v>
      </c>
      <c r="O290" s="31">
        <v>16</v>
      </c>
      <c r="P290" s="31" t="s">
        <v>144</v>
      </c>
      <c r="Q290" s="31" t="s">
        <v>316</v>
      </c>
      <c r="R290" s="31" t="s">
        <v>477</v>
      </c>
      <c r="S290" s="31" t="s">
        <v>479</v>
      </c>
      <c r="T290" s="31" t="s">
        <v>144</v>
      </c>
      <c r="U290" s="31" t="s">
        <v>144</v>
      </c>
      <c r="V290" s="31" t="s">
        <v>144</v>
      </c>
      <c r="W290" s="31" t="s">
        <v>442</v>
      </c>
      <c r="X290" s="31" t="s">
        <v>193</v>
      </c>
      <c r="Y290" s="31" t="s">
        <v>194</v>
      </c>
      <c r="Z290" s="31" t="s">
        <v>144</v>
      </c>
      <c r="AA290" s="31" t="s">
        <v>144</v>
      </c>
      <c r="AB290" s="31" t="s">
        <v>144</v>
      </c>
      <c r="AC290" s="31" t="s">
        <v>144</v>
      </c>
      <c r="AD290" s="31" t="s">
        <v>144</v>
      </c>
      <c r="AE290" s="31" t="s">
        <v>144</v>
      </c>
      <c r="AF290" s="31" t="s">
        <v>144</v>
      </c>
      <c r="AG290" s="31" t="s">
        <v>144</v>
      </c>
      <c r="AH290" s="31" t="s">
        <v>1322</v>
      </c>
      <c r="AI290" s="31" t="s">
        <v>375</v>
      </c>
      <c r="AJ290" s="31" t="s">
        <v>144</v>
      </c>
      <c r="AK290" s="31" t="s">
        <v>144</v>
      </c>
      <c r="AL290" s="31" t="s">
        <v>325</v>
      </c>
      <c r="AM290" s="31" t="s">
        <v>144</v>
      </c>
      <c r="AN290" s="31" t="s">
        <v>163</v>
      </c>
      <c r="AO290" s="31" t="s">
        <v>144</v>
      </c>
      <c r="AP290" s="31" t="s">
        <v>144</v>
      </c>
      <c r="AQ290" s="31"/>
      <c r="AR290" s="31"/>
      <c r="AS290" s="31"/>
      <c r="AT290" s="31"/>
      <c r="AU290" s="31"/>
    </row>
    <row r="291" spans="5:47" ht="15" customHeight="1" x14ac:dyDescent="0.25">
      <c r="E291" s="31"/>
      <c r="F291" s="31"/>
      <c r="G291" s="31"/>
      <c r="H291" s="31"/>
      <c r="I291" s="31"/>
      <c r="J291" s="31"/>
      <c r="K291" s="31"/>
      <c r="L291" s="31"/>
      <c r="M291" s="394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 spans="5:47" ht="15" customHeight="1" x14ac:dyDescent="0.25">
      <c r="E292" s="31"/>
      <c r="F292" s="31"/>
      <c r="G292" s="31"/>
      <c r="H292" s="31"/>
      <c r="I292" s="31"/>
      <c r="J292" s="31"/>
      <c r="K292" s="31"/>
      <c r="L292" s="31"/>
      <c r="M292" s="394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 spans="5:47" ht="15" customHeight="1" x14ac:dyDescent="0.25">
      <c r="E293" s="31" t="s">
        <v>134</v>
      </c>
      <c r="F293" s="31" t="s">
        <v>140</v>
      </c>
      <c r="G293" s="31" t="s">
        <v>374</v>
      </c>
      <c r="H293" s="31" t="s">
        <v>144</v>
      </c>
      <c r="I293" s="31" t="s">
        <v>481</v>
      </c>
      <c r="J293" s="31" t="s">
        <v>699</v>
      </c>
      <c r="K293" s="31" t="s">
        <v>800</v>
      </c>
      <c r="L293" s="31" t="s">
        <v>162</v>
      </c>
      <c r="M293" s="31" t="s">
        <v>144</v>
      </c>
      <c r="N293" s="31" t="s">
        <v>144</v>
      </c>
      <c r="O293" s="31">
        <v>16</v>
      </c>
      <c r="P293" s="31" t="s">
        <v>144</v>
      </c>
      <c r="Q293" s="31" t="s">
        <v>316</v>
      </c>
      <c r="R293" s="31" t="s">
        <v>477</v>
      </c>
      <c r="S293" s="31" t="s">
        <v>479</v>
      </c>
      <c r="T293" s="31" t="s">
        <v>144</v>
      </c>
      <c r="U293" s="31" t="s">
        <v>144</v>
      </c>
      <c r="V293" s="31" t="s">
        <v>144</v>
      </c>
      <c r="W293" s="31" t="s">
        <v>442</v>
      </c>
      <c r="X293" s="31" t="s">
        <v>193</v>
      </c>
      <c r="Y293" s="31" t="s">
        <v>194</v>
      </c>
      <c r="Z293" s="31" t="s">
        <v>144</v>
      </c>
      <c r="AA293" s="31" t="s">
        <v>144</v>
      </c>
      <c r="AB293" s="31" t="s">
        <v>144</v>
      </c>
      <c r="AC293" s="31" t="s">
        <v>144</v>
      </c>
      <c r="AD293" s="31" t="s">
        <v>144</v>
      </c>
      <c r="AE293" s="31" t="s">
        <v>144</v>
      </c>
      <c r="AF293" s="31" t="s">
        <v>144</v>
      </c>
      <c r="AG293" s="31" t="s">
        <v>144</v>
      </c>
      <c r="AH293" s="31" t="s">
        <v>1322</v>
      </c>
      <c r="AI293" s="31" t="s">
        <v>375</v>
      </c>
      <c r="AJ293" s="31" t="s">
        <v>144</v>
      </c>
      <c r="AK293" s="31" t="s">
        <v>144</v>
      </c>
      <c r="AL293" s="31" t="s">
        <v>325</v>
      </c>
      <c r="AM293" s="31" t="s">
        <v>144</v>
      </c>
      <c r="AN293" s="31" t="s">
        <v>163</v>
      </c>
      <c r="AO293" s="31" t="s">
        <v>144</v>
      </c>
      <c r="AP293" s="31" t="s">
        <v>144</v>
      </c>
    </row>
    <row r="294" spans="5:47" ht="15" customHeight="1" x14ac:dyDescent="0.25">
      <c r="E294" s="31" t="s">
        <v>134</v>
      </c>
      <c r="F294" s="31" t="s">
        <v>140</v>
      </c>
      <c r="G294" s="31" t="s">
        <v>374</v>
      </c>
      <c r="H294" s="31" t="s">
        <v>144</v>
      </c>
      <c r="I294" s="31" t="s">
        <v>481</v>
      </c>
      <c r="J294" s="31" t="s">
        <v>699</v>
      </c>
      <c r="K294" s="31" t="s">
        <v>801</v>
      </c>
      <c r="L294" s="31" t="s">
        <v>162</v>
      </c>
      <c r="M294" s="31" t="s">
        <v>144</v>
      </c>
      <c r="N294" s="31" t="s">
        <v>144</v>
      </c>
      <c r="O294" s="31">
        <v>16</v>
      </c>
      <c r="P294" s="31" t="s">
        <v>144</v>
      </c>
      <c r="Q294" s="31" t="s">
        <v>316</v>
      </c>
      <c r="R294" s="31" t="s">
        <v>477</v>
      </c>
      <c r="S294" s="31" t="s">
        <v>479</v>
      </c>
      <c r="T294" s="31" t="s">
        <v>144</v>
      </c>
      <c r="U294" s="31" t="s">
        <v>144</v>
      </c>
      <c r="V294" s="31" t="s">
        <v>144</v>
      </c>
      <c r="W294" s="31" t="s">
        <v>442</v>
      </c>
      <c r="X294" s="31" t="s">
        <v>193</v>
      </c>
      <c r="Y294" s="31" t="s">
        <v>194</v>
      </c>
      <c r="Z294" s="31" t="s">
        <v>144</v>
      </c>
      <c r="AA294" s="31" t="s">
        <v>144</v>
      </c>
      <c r="AB294" s="31" t="s">
        <v>144</v>
      </c>
      <c r="AC294" s="31" t="s">
        <v>144</v>
      </c>
      <c r="AD294" s="31" t="s">
        <v>144</v>
      </c>
      <c r="AE294" s="31" t="s">
        <v>144</v>
      </c>
      <c r="AF294" s="31" t="s">
        <v>144</v>
      </c>
      <c r="AG294" s="31" t="s">
        <v>144</v>
      </c>
      <c r="AH294" s="31" t="s">
        <v>1322</v>
      </c>
      <c r="AI294" s="31" t="s">
        <v>375</v>
      </c>
      <c r="AJ294" s="31" t="s">
        <v>144</v>
      </c>
      <c r="AK294" s="31" t="s">
        <v>144</v>
      </c>
      <c r="AL294" s="31" t="s">
        <v>325</v>
      </c>
      <c r="AM294" s="31" t="s">
        <v>144</v>
      </c>
      <c r="AN294" s="31" t="s">
        <v>163</v>
      </c>
      <c r="AO294" s="31" t="s">
        <v>144</v>
      </c>
      <c r="AP294" s="31" t="s">
        <v>144</v>
      </c>
    </row>
    <row r="295" spans="5:47" ht="15" customHeight="1" x14ac:dyDescent="0.25">
      <c r="E295" s="31" t="s">
        <v>134</v>
      </c>
      <c r="F295" s="31" t="s">
        <v>140</v>
      </c>
      <c r="G295" s="31" t="s">
        <v>374</v>
      </c>
      <c r="H295" s="31" t="s">
        <v>144</v>
      </c>
      <c r="I295" s="31" t="s">
        <v>481</v>
      </c>
      <c r="J295" s="31" t="s">
        <v>699</v>
      </c>
      <c r="K295" s="31" t="s">
        <v>802</v>
      </c>
      <c r="L295" s="31" t="s">
        <v>162</v>
      </c>
      <c r="M295" s="31" t="s">
        <v>144</v>
      </c>
      <c r="N295" s="31" t="s">
        <v>144</v>
      </c>
      <c r="O295" s="31">
        <v>16</v>
      </c>
      <c r="P295" s="31" t="s">
        <v>144</v>
      </c>
      <c r="Q295" s="31" t="s">
        <v>316</v>
      </c>
      <c r="R295" s="31" t="s">
        <v>477</v>
      </c>
      <c r="S295" s="31" t="s">
        <v>479</v>
      </c>
      <c r="T295" s="31" t="s">
        <v>144</v>
      </c>
      <c r="U295" s="31" t="s">
        <v>144</v>
      </c>
      <c r="V295" s="31" t="s">
        <v>144</v>
      </c>
      <c r="W295" s="31" t="s">
        <v>442</v>
      </c>
      <c r="X295" s="31" t="s">
        <v>193</v>
      </c>
      <c r="Y295" s="31" t="s">
        <v>194</v>
      </c>
      <c r="Z295" s="31" t="s">
        <v>144</v>
      </c>
      <c r="AA295" s="31" t="s">
        <v>144</v>
      </c>
      <c r="AB295" s="31" t="s">
        <v>144</v>
      </c>
      <c r="AC295" s="31" t="s">
        <v>144</v>
      </c>
      <c r="AD295" s="31" t="s">
        <v>144</v>
      </c>
      <c r="AE295" s="31" t="s">
        <v>144</v>
      </c>
      <c r="AF295" s="31" t="s">
        <v>144</v>
      </c>
      <c r="AG295" s="31" t="s">
        <v>144</v>
      </c>
      <c r="AH295" s="31" t="s">
        <v>1322</v>
      </c>
      <c r="AI295" s="31" t="s">
        <v>375</v>
      </c>
      <c r="AJ295" s="31" t="s">
        <v>144</v>
      </c>
      <c r="AK295" s="31" t="s">
        <v>144</v>
      </c>
      <c r="AL295" s="31" t="s">
        <v>325</v>
      </c>
      <c r="AM295" s="31" t="s">
        <v>144</v>
      </c>
      <c r="AN295" s="31" t="s">
        <v>163</v>
      </c>
      <c r="AO295" s="31" t="s">
        <v>144</v>
      </c>
      <c r="AP295" s="31" t="s">
        <v>144</v>
      </c>
    </row>
    <row r="296" spans="5:47" ht="15" customHeight="1" x14ac:dyDescent="0.25">
      <c r="E296" s="31" t="s">
        <v>134</v>
      </c>
      <c r="F296" s="31" t="s">
        <v>140</v>
      </c>
      <c r="G296" s="31" t="s">
        <v>374</v>
      </c>
      <c r="H296" s="31" t="s">
        <v>144</v>
      </c>
      <c r="I296" s="31" t="s">
        <v>481</v>
      </c>
      <c r="J296" s="31" t="s">
        <v>699</v>
      </c>
      <c r="K296" s="31" t="s">
        <v>803</v>
      </c>
      <c r="L296" s="31" t="s">
        <v>162</v>
      </c>
      <c r="M296" s="31" t="s">
        <v>144</v>
      </c>
      <c r="N296" s="31" t="s">
        <v>144</v>
      </c>
      <c r="O296" s="31">
        <v>16</v>
      </c>
      <c r="P296" s="31" t="s">
        <v>144</v>
      </c>
      <c r="Q296" s="31" t="s">
        <v>316</v>
      </c>
      <c r="R296" s="31" t="s">
        <v>477</v>
      </c>
      <c r="S296" s="31" t="s">
        <v>479</v>
      </c>
      <c r="T296" s="31" t="s">
        <v>144</v>
      </c>
      <c r="U296" s="31" t="s">
        <v>144</v>
      </c>
      <c r="V296" s="31" t="s">
        <v>144</v>
      </c>
      <c r="W296" s="31" t="s">
        <v>442</v>
      </c>
      <c r="X296" s="31" t="s">
        <v>193</v>
      </c>
      <c r="Y296" s="31" t="s">
        <v>194</v>
      </c>
      <c r="Z296" s="31" t="s">
        <v>144</v>
      </c>
      <c r="AA296" s="31" t="s">
        <v>144</v>
      </c>
      <c r="AB296" s="31" t="s">
        <v>144</v>
      </c>
      <c r="AC296" s="31" t="s">
        <v>144</v>
      </c>
      <c r="AD296" s="31" t="s">
        <v>144</v>
      </c>
      <c r="AE296" s="31" t="s">
        <v>144</v>
      </c>
      <c r="AF296" s="31" t="s">
        <v>144</v>
      </c>
      <c r="AG296" s="31" t="s">
        <v>144</v>
      </c>
      <c r="AH296" s="31" t="s">
        <v>1322</v>
      </c>
      <c r="AI296" s="31" t="s">
        <v>375</v>
      </c>
      <c r="AJ296" s="31" t="s">
        <v>144</v>
      </c>
      <c r="AK296" s="31" t="s">
        <v>144</v>
      </c>
      <c r="AL296" s="31" t="s">
        <v>325</v>
      </c>
      <c r="AM296" s="31" t="s">
        <v>144</v>
      </c>
      <c r="AN296" s="31" t="s">
        <v>163</v>
      </c>
      <c r="AO296" s="31" t="s">
        <v>144</v>
      </c>
      <c r="AP296" s="31" t="s">
        <v>144</v>
      </c>
    </row>
    <row r="297" spans="5:47" ht="15" customHeight="1" x14ac:dyDescent="0.25">
      <c r="E297" s="31" t="s">
        <v>134</v>
      </c>
      <c r="F297" s="31" t="s">
        <v>140</v>
      </c>
      <c r="G297" s="31" t="s">
        <v>374</v>
      </c>
      <c r="H297" s="31" t="s">
        <v>144</v>
      </c>
      <c r="I297" s="31" t="s">
        <v>481</v>
      </c>
      <c r="J297" s="31" t="s">
        <v>699</v>
      </c>
      <c r="K297" s="31" t="s">
        <v>804</v>
      </c>
      <c r="L297" s="31" t="s">
        <v>162</v>
      </c>
      <c r="M297" s="31" t="s">
        <v>144</v>
      </c>
      <c r="N297" s="31" t="s">
        <v>144</v>
      </c>
      <c r="O297" s="31">
        <v>16</v>
      </c>
      <c r="P297" s="31" t="s">
        <v>144</v>
      </c>
      <c r="Q297" s="31" t="s">
        <v>316</v>
      </c>
      <c r="R297" s="31" t="s">
        <v>477</v>
      </c>
      <c r="S297" s="31" t="s">
        <v>479</v>
      </c>
      <c r="T297" s="31" t="s">
        <v>144</v>
      </c>
      <c r="U297" s="31" t="s">
        <v>144</v>
      </c>
      <c r="V297" s="31" t="s">
        <v>144</v>
      </c>
      <c r="W297" s="31" t="s">
        <v>442</v>
      </c>
      <c r="X297" s="31" t="s">
        <v>193</v>
      </c>
      <c r="Y297" s="31" t="s">
        <v>194</v>
      </c>
      <c r="Z297" s="31" t="s">
        <v>144</v>
      </c>
      <c r="AA297" s="31" t="s">
        <v>144</v>
      </c>
      <c r="AB297" s="31" t="s">
        <v>144</v>
      </c>
      <c r="AC297" s="31" t="s">
        <v>144</v>
      </c>
      <c r="AD297" s="31" t="s">
        <v>144</v>
      </c>
      <c r="AE297" s="31" t="s">
        <v>144</v>
      </c>
      <c r="AF297" s="31" t="s">
        <v>144</v>
      </c>
      <c r="AG297" s="31" t="s">
        <v>144</v>
      </c>
      <c r="AH297" s="31" t="s">
        <v>1322</v>
      </c>
      <c r="AI297" s="31" t="s">
        <v>375</v>
      </c>
      <c r="AJ297" s="31" t="s">
        <v>144</v>
      </c>
      <c r="AK297" s="31" t="s">
        <v>144</v>
      </c>
      <c r="AL297" s="31" t="s">
        <v>325</v>
      </c>
      <c r="AM297" s="31" t="s">
        <v>144</v>
      </c>
      <c r="AN297" s="31" t="s">
        <v>163</v>
      </c>
      <c r="AO297" s="31" t="s">
        <v>144</v>
      </c>
      <c r="AP297" s="31" t="s">
        <v>144</v>
      </c>
    </row>
    <row r="298" spans="5:47" ht="15" customHeight="1" x14ac:dyDescent="0.25">
      <c r="E298" s="31" t="s">
        <v>134</v>
      </c>
      <c r="F298" s="31" t="s">
        <v>140</v>
      </c>
      <c r="G298" s="31" t="s">
        <v>374</v>
      </c>
      <c r="H298" s="31" t="s">
        <v>144</v>
      </c>
      <c r="I298" s="31" t="s">
        <v>481</v>
      </c>
      <c r="J298" s="31" t="s">
        <v>699</v>
      </c>
      <c r="K298" s="31" t="s">
        <v>805</v>
      </c>
      <c r="L298" s="31" t="s">
        <v>162</v>
      </c>
      <c r="M298" s="31" t="s">
        <v>144</v>
      </c>
      <c r="N298" s="31" t="s">
        <v>144</v>
      </c>
      <c r="O298" s="31">
        <v>16</v>
      </c>
      <c r="P298" s="31" t="s">
        <v>144</v>
      </c>
      <c r="Q298" s="31" t="s">
        <v>316</v>
      </c>
      <c r="R298" s="31" t="s">
        <v>477</v>
      </c>
      <c r="S298" s="31" t="s">
        <v>479</v>
      </c>
      <c r="T298" s="31" t="s">
        <v>144</v>
      </c>
      <c r="U298" s="31" t="s">
        <v>144</v>
      </c>
      <c r="V298" s="31" t="s">
        <v>144</v>
      </c>
      <c r="W298" s="31" t="s">
        <v>442</v>
      </c>
      <c r="X298" s="31" t="s">
        <v>193</v>
      </c>
      <c r="Y298" s="31" t="s">
        <v>194</v>
      </c>
      <c r="Z298" s="31" t="s">
        <v>144</v>
      </c>
      <c r="AA298" s="31" t="s">
        <v>144</v>
      </c>
      <c r="AB298" s="31" t="s">
        <v>144</v>
      </c>
      <c r="AC298" s="31" t="s">
        <v>144</v>
      </c>
      <c r="AD298" s="31" t="s">
        <v>144</v>
      </c>
      <c r="AE298" s="31" t="s">
        <v>144</v>
      </c>
      <c r="AF298" s="31" t="s">
        <v>144</v>
      </c>
      <c r="AG298" s="31" t="s">
        <v>144</v>
      </c>
      <c r="AH298" s="31" t="s">
        <v>1322</v>
      </c>
      <c r="AI298" s="31" t="s">
        <v>375</v>
      </c>
      <c r="AJ298" s="31" t="s">
        <v>144</v>
      </c>
      <c r="AK298" s="31" t="s">
        <v>144</v>
      </c>
      <c r="AL298" s="31" t="s">
        <v>325</v>
      </c>
      <c r="AM298" s="31" t="s">
        <v>144</v>
      </c>
      <c r="AN298" s="31" t="s">
        <v>163</v>
      </c>
      <c r="AO298" s="31" t="s">
        <v>144</v>
      </c>
      <c r="AP298" s="31" t="s">
        <v>144</v>
      </c>
    </row>
    <row r="299" spans="5:47" ht="15" customHeight="1" x14ac:dyDescent="0.25">
      <c r="E299" s="31" t="s">
        <v>134</v>
      </c>
      <c r="F299" s="31" t="s">
        <v>140</v>
      </c>
      <c r="G299" s="31" t="s">
        <v>374</v>
      </c>
      <c r="H299" s="31" t="s">
        <v>144</v>
      </c>
      <c r="I299" s="31" t="s">
        <v>481</v>
      </c>
      <c r="J299" s="31" t="s">
        <v>699</v>
      </c>
      <c r="K299" s="31" t="s">
        <v>806</v>
      </c>
      <c r="L299" s="31" t="s">
        <v>162</v>
      </c>
      <c r="M299" s="31" t="s">
        <v>144</v>
      </c>
      <c r="N299" s="31" t="s">
        <v>144</v>
      </c>
      <c r="O299" s="31">
        <v>16</v>
      </c>
      <c r="P299" s="31" t="s">
        <v>144</v>
      </c>
      <c r="Q299" s="31" t="s">
        <v>316</v>
      </c>
      <c r="R299" s="31" t="s">
        <v>477</v>
      </c>
      <c r="S299" s="31" t="s">
        <v>479</v>
      </c>
      <c r="T299" s="31" t="s">
        <v>144</v>
      </c>
      <c r="U299" s="31" t="s">
        <v>144</v>
      </c>
      <c r="V299" s="31" t="s">
        <v>144</v>
      </c>
      <c r="W299" s="31" t="s">
        <v>442</v>
      </c>
      <c r="X299" s="31" t="s">
        <v>193</v>
      </c>
      <c r="Y299" s="31" t="s">
        <v>194</v>
      </c>
      <c r="Z299" s="31" t="s">
        <v>144</v>
      </c>
      <c r="AA299" s="31" t="s">
        <v>144</v>
      </c>
      <c r="AB299" s="31" t="s">
        <v>144</v>
      </c>
      <c r="AC299" s="31" t="s">
        <v>144</v>
      </c>
      <c r="AD299" s="31" t="s">
        <v>144</v>
      </c>
      <c r="AE299" s="31" t="s">
        <v>144</v>
      </c>
      <c r="AF299" s="31" t="s">
        <v>144</v>
      </c>
      <c r="AG299" s="31" t="s">
        <v>144</v>
      </c>
      <c r="AH299" s="31" t="s">
        <v>1322</v>
      </c>
      <c r="AI299" s="31" t="s">
        <v>375</v>
      </c>
      <c r="AJ299" s="31" t="s">
        <v>144</v>
      </c>
      <c r="AK299" s="31" t="s">
        <v>144</v>
      </c>
      <c r="AL299" s="31" t="s">
        <v>325</v>
      </c>
      <c r="AM299" s="31" t="s">
        <v>144</v>
      </c>
      <c r="AN299" s="31" t="s">
        <v>163</v>
      </c>
      <c r="AO299" s="31" t="s">
        <v>144</v>
      </c>
      <c r="AP299" s="31" t="s">
        <v>144</v>
      </c>
    </row>
    <row r="300" spans="5:47" ht="15" customHeight="1" x14ac:dyDescent="0.25">
      <c r="E300" s="31" t="s">
        <v>134</v>
      </c>
      <c r="F300" s="31" t="s">
        <v>140</v>
      </c>
      <c r="G300" s="31" t="s">
        <v>374</v>
      </c>
      <c r="H300" s="31" t="s">
        <v>144</v>
      </c>
      <c r="I300" s="31" t="s">
        <v>481</v>
      </c>
      <c r="J300" s="31" t="s">
        <v>699</v>
      </c>
      <c r="K300" s="31" t="s">
        <v>807</v>
      </c>
      <c r="L300" s="31" t="s">
        <v>162</v>
      </c>
      <c r="M300" s="31" t="s">
        <v>144</v>
      </c>
      <c r="N300" s="31" t="s">
        <v>144</v>
      </c>
      <c r="O300" s="31">
        <v>16</v>
      </c>
      <c r="P300" s="31" t="s">
        <v>144</v>
      </c>
      <c r="Q300" s="31" t="s">
        <v>316</v>
      </c>
      <c r="R300" s="31" t="s">
        <v>477</v>
      </c>
      <c r="S300" s="31" t="s">
        <v>479</v>
      </c>
      <c r="T300" s="31" t="s">
        <v>144</v>
      </c>
      <c r="U300" s="31" t="s">
        <v>144</v>
      </c>
      <c r="V300" s="31" t="s">
        <v>144</v>
      </c>
      <c r="W300" s="31" t="s">
        <v>442</v>
      </c>
      <c r="X300" s="31" t="s">
        <v>193</v>
      </c>
      <c r="Y300" s="31" t="s">
        <v>194</v>
      </c>
      <c r="Z300" s="31" t="s">
        <v>144</v>
      </c>
      <c r="AA300" s="31" t="s">
        <v>144</v>
      </c>
      <c r="AB300" s="31" t="s">
        <v>144</v>
      </c>
      <c r="AC300" s="31" t="s">
        <v>144</v>
      </c>
      <c r="AD300" s="31" t="s">
        <v>144</v>
      </c>
      <c r="AE300" s="31" t="s">
        <v>144</v>
      </c>
      <c r="AF300" s="31" t="s">
        <v>144</v>
      </c>
      <c r="AG300" s="31" t="s">
        <v>144</v>
      </c>
      <c r="AH300" s="31" t="s">
        <v>1322</v>
      </c>
      <c r="AI300" s="31" t="s">
        <v>375</v>
      </c>
      <c r="AJ300" s="31" t="s">
        <v>144</v>
      </c>
      <c r="AK300" s="31" t="s">
        <v>144</v>
      </c>
      <c r="AL300" s="31" t="s">
        <v>325</v>
      </c>
      <c r="AM300" s="31" t="s">
        <v>144</v>
      </c>
      <c r="AN300" s="31" t="s">
        <v>163</v>
      </c>
      <c r="AO300" s="31" t="s">
        <v>144</v>
      </c>
      <c r="AP300" s="31" t="s">
        <v>144</v>
      </c>
    </row>
    <row r="301" spans="5:47" ht="15" customHeight="1" x14ac:dyDescent="0.25">
      <c r="E301" s="31" t="s">
        <v>134</v>
      </c>
      <c r="F301" s="31" t="s">
        <v>140</v>
      </c>
      <c r="G301" s="31" t="s">
        <v>374</v>
      </c>
      <c r="H301" s="31" t="s">
        <v>144</v>
      </c>
      <c r="I301" s="31" t="s">
        <v>481</v>
      </c>
      <c r="J301" s="31" t="s">
        <v>699</v>
      </c>
      <c r="K301" s="31" t="s">
        <v>808</v>
      </c>
      <c r="L301" s="31" t="s">
        <v>162</v>
      </c>
      <c r="M301" s="31" t="s">
        <v>144</v>
      </c>
      <c r="N301" s="31" t="s">
        <v>144</v>
      </c>
      <c r="O301" s="31">
        <v>16</v>
      </c>
      <c r="P301" s="31" t="s">
        <v>144</v>
      </c>
      <c r="Q301" s="31" t="s">
        <v>316</v>
      </c>
      <c r="R301" s="31" t="s">
        <v>477</v>
      </c>
      <c r="S301" s="31" t="s">
        <v>479</v>
      </c>
      <c r="T301" s="31" t="s">
        <v>144</v>
      </c>
      <c r="U301" s="31" t="s">
        <v>144</v>
      </c>
      <c r="V301" s="31" t="s">
        <v>144</v>
      </c>
      <c r="W301" s="31" t="s">
        <v>442</v>
      </c>
      <c r="X301" s="31" t="s">
        <v>193</v>
      </c>
      <c r="Y301" s="31" t="s">
        <v>194</v>
      </c>
      <c r="Z301" s="31" t="s">
        <v>144</v>
      </c>
      <c r="AA301" s="31" t="s">
        <v>144</v>
      </c>
      <c r="AB301" s="31" t="s">
        <v>144</v>
      </c>
      <c r="AC301" s="31" t="s">
        <v>144</v>
      </c>
      <c r="AD301" s="31" t="s">
        <v>144</v>
      </c>
      <c r="AE301" s="31" t="s">
        <v>144</v>
      </c>
      <c r="AF301" s="31" t="s">
        <v>144</v>
      </c>
      <c r="AG301" s="31" t="s">
        <v>144</v>
      </c>
      <c r="AH301" s="31" t="s">
        <v>1322</v>
      </c>
      <c r="AI301" s="31" t="s">
        <v>375</v>
      </c>
      <c r="AJ301" s="31" t="s">
        <v>144</v>
      </c>
      <c r="AK301" s="31" t="s">
        <v>144</v>
      </c>
      <c r="AL301" s="31" t="s">
        <v>325</v>
      </c>
      <c r="AM301" s="31" t="s">
        <v>144</v>
      </c>
      <c r="AN301" s="31" t="s">
        <v>163</v>
      </c>
      <c r="AO301" s="31" t="s">
        <v>144</v>
      </c>
      <c r="AP301" s="31" t="s">
        <v>144</v>
      </c>
    </row>
    <row r="302" spans="5:47" ht="15" customHeight="1" x14ac:dyDescent="0.25">
      <c r="E302" s="31" t="s">
        <v>134</v>
      </c>
      <c r="F302" s="31" t="s">
        <v>140</v>
      </c>
      <c r="G302" s="31" t="s">
        <v>374</v>
      </c>
      <c r="H302" s="31" t="s">
        <v>144</v>
      </c>
      <c r="I302" s="31" t="s">
        <v>481</v>
      </c>
      <c r="J302" s="31" t="s">
        <v>699</v>
      </c>
      <c r="K302" s="31" t="s">
        <v>809</v>
      </c>
      <c r="L302" s="31" t="s">
        <v>162</v>
      </c>
      <c r="M302" s="31" t="s">
        <v>144</v>
      </c>
      <c r="N302" s="31" t="s">
        <v>144</v>
      </c>
      <c r="O302" s="31">
        <v>16</v>
      </c>
      <c r="P302" s="31" t="s">
        <v>144</v>
      </c>
      <c r="Q302" s="31" t="s">
        <v>316</v>
      </c>
      <c r="R302" s="31" t="s">
        <v>477</v>
      </c>
      <c r="S302" s="31" t="s">
        <v>479</v>
      </c>
      <c r="T302" s="31" t="s">
        <v>144</v>
      </c>
      <c r="U302" s="31" t="s">
        <v>144</v>
      </c>
      <c r="V302" s="31" t="s">
        <v>144</v>
      </c>
      <c r="W302" s="31" t="s">
        <v>442</v>
      </c>
      <c r="X302" s="31" t="s">
        <v>193</v>
      </c>
      <c r="Y302" s="31" t="s">
        <v>194</v>
      </c>
      <c r="Z302" s="31" t="s">
        <v>144</v>
      </c>
      <c r="AA302" s="31" t="s">
        <v>144</v>
      </c>
      <c r="AB302" s="31" t="s">
        <v>144</v>
      </c>
      <c r="AC302" s="31" t="s">
        <v>144</v>
      </c>
      <c r="AD302" s="31" t="s">
        <v>144</v>
      </c>
      <c r="AE302" s="31" t="s">
        <v>144</v>
      </c>
      <c r="AF302" s="31" t="s">
        <v>144</v>
      </c>
      <c r="AG302" s="31" t="s">
        <v>144</v>
      </c>
      <c r="AH302" s="31" t="s">
        <v>1322</v>
      </c>
      <c r="AI302" s="31" t="s">
        <v>375</v>
      </c>
      <c r="AJ302" s="31" t="s">
        <v>144</v>
      </c>
      <c r="AK302" s="31" t="s">
        <v>144</v>
      </c>
      <c r="AL302" s="31" t="s">
        <v>325</v>
      </c>
      <c r="AM302" s="31" t="s">
        <v>144</v>
      </c>
      <c r="AN302" s="31" t="s">
        <v>163</v>
      </c>
      <c r="AO302" s="31" t="s">
        <v>144</v>
      </c>
      <c r="AP302" s="31" t="s">
        <v>144</v>
      </c>
    </row>
    <row r="303" spans="5:47" ht="15" customHeight="1" x14ac:dyDescent="0.25">
      <c r="E303" s="31" t="s">
        <v>134</v>
      </c>
      <c r="F303" s="31" t="s">
        <v>140</v>
      </c>
      <c r="G303" s="31" t="s">
        <v>374</v>
      </c>
      <c r="H303" s="31" t="s">
        <v>144</v>
      </c>
      <c r="I303" s="31" t="s">
        <v>481</v>
      </c>
      <c r="J303" s="31" t="s">
        <v>699</v>
      </c>
      <c r="K303" s="31" t="s">
        <v>810</v>
      </c>
      <c r="L303" s="31" t="s">
        <v>162</v>
      </c>
      <c r="M303" s="31" t="s">
        <v>144</v>
      </c>
      <c r="N303" s="31" t="s">
        <v>144</v>
      </c>
      <c r="O303" s="31">
        <v>16</v>
      </c>
      <c r="P303" s="31" t="s">
        <v>144</v>
      </c>
      <c r="Q303" s="31" t="s">
        <v>316</v>
      </c>
      <c r="R303" s="31" t="s">
        <v>477</v>
      </c>
      <c r="S303" s="31" t="s">
        <v>479</v>
      </c>
      <c r="T303" s="31" t="s">
        <v>144</v>
      </c>
      <c r="U303" s="31" t="s">
        <v>144</v>
      </c>
      <c r="V303" s="31" t="s">
        <v>144</v>
      </c>
      <c r="W303" s="31" t="s">
        <v>442</v>
      </c>
      <c r="X303" s="31" t="s">
        <v>193</v>
      </c>
      <c r="Y303" s="31" t="s">
        <v>194</v>
      </c>
      <c r="Z303" s="31" t="s">
        <v>144</v>
      </c>
      <c r="AA303" s="31" t="s">
        <v>144</v>
      </c>
      <c r="AB303" s="31" t="s">
        <v>144</v>
      </c>
      <c r="AC303" s="31" t="s">
        <v>144</v>
      </c>
      <c r="AD303" s="31" t="s">
        <v>144</v>
      </c>
      <c r="AE303" s="31" t="s">
        <v>144</v>
      </c>
      <c r="AF303" s="31" t="s">
        <v>144</v>
      </c>
      <c r="AG303" s="31" t="s">
        <v>144</v>
      </c>
      <c r="AH303" s="31" t="s">
        <v>1322</v>
      </c>
      <c r="AI303" s="31" t="s">
        <v>375</v>
      </c>
      <c r="AJ303" s="31" t="s">
        <v>144</v>
      </c>
      <c r="AK303" s="31" t="s">
        <v>144</v>
      </c>
      <c r="AL303" s="31" t="s">
        <v>325</v>
      </c>
      <c r="AM303" s="31" t="s">
        <v>144</v>
      </c>
      <c r="AN303" s="31" t="s">
        <v>163</v>
      </c>
      <c r="AO303" s="31" t="s">
        <v>144</v>
      </c>
      <c r="AP303" s="31" t="s">
        <v>144</v>
      </c>
    </row>
    <row r="304" spans="5:47" ht="15" customHeight="1" x14ac:dyDescent="0.25">
      <c r="E304" s="31" t="s">
        <v>134</v>
      </c>
      <c r="F304" s="31" t="s">
        <v>140</v>
      </c>
      <c r="G304" s="31" t="s">
        <v>374</v>
      </c>
      <c r="H304" s="31" t="s">
        <v>144</v>
      </c>
      <c r="I304" s="31" t="s">
        <v>481</v>
      </c>
      <c r="J304" s="31" t="s">
        <v>699</v>
      </c>
      <c r="K304" s="31" t="s">
        <v>811</v>
      </c>
      <c r="L304" s="31" t="s">
        <v>162</v>
      </c>
      <c r="M304" s="31" t="s">
        <v>144</v>
      </c>
      <c r="N304" s="31" t="s">
        <v>144</v>
      </c>
      <c r="O304" s="31">
        <v>16</v>
      </c>
      <c r="P304" s="31" t="s">
        <v>144</v>
      </c>
      <c r="Q304" s="31" t="s">
        <v>316</v>
      </c>
      <c r="R304" s="31" t="s">
        <v>477</v>
      </c>
      <c r="S304" s="31" t="s">
        <v>479</v>
      </c>
      <c r="T304" s="31" t="s">
        <v>144</v>
      </c>
      <c r="U304" s="31" t="s">
        <v>144</v>
      </c>
      <c r="V304" s="31" t="s">
        <v>144</v>
      </c>
      <c r="W304" s="31" t="s">
        <v>442</v>
      </c>
      <c r="X304" s="31" t="s">
        <v>193</v>
      </c>
      <c r="Y304" s="31" t="s">
        <v>194</v>
      </c>
      <c r="Z304" s="31" t="s">
        <v>144</v>
      </c>
      <c r="AA304" s="31" t="s">
        <v>144</v>
      </c>
      <c r="AB304" s="31" t="s">
        <v>144</v>
      </c>
      <c r="AC304" s="31" t="s">
        <v>144</v>
      </c>
      <c r="AD304" s="31" t="s">
        <v>144</v>
      </c>
      <c r="AE304" s="31" t="s">
        <v>144</v>
      </c>
      <c r="AF304" s="31" t="s">
        <v>144</v>
      </c>
      <c r="AG304" s="31" t="s">
        <v>144</v>
      </c>
      <c r="AH304" s="31" t="s">
        <v>1322</v>
      </c>
      <c r="AI304" s="31" t="s">
        <v>375</v>
      </c>
      <c r="AJ304" s="31" t="s">
        <v>144</v>
      </c>
      <c r="AK304" s="31" t="s">
        <v>144</v>
      </c>
      <c r="AL304" s="31" t="s">
        <v>325</v>
      </c>
      <c r="AM304" s="31" t="s">
        <v>144</v>
      </c>
      <c r="AN304" s="31" t="s">
        <v>163</v>
      </c>
      <c r="AO304" s="31" t="s">
        <v>144</v>
      </c>
      <c r="AP304" s="31" t="s">
        <v>144</v>
      </c>
    </row>
    <row r="305" spans="5:42" ht="15" customHeight="1" x14ac:dyDescent="0.25">
      <c r="E305" s="31" t="s">
        <v>134</v>
      </c>
      <c r="F305" s="31" t="s">
        <v>140</v>
      </c>
      <c r="G305" s="31" t="s">
        <v>374</v>
      </c>
      <c r="H305" s="31" t="s">
        <v>144</v>
      </c>
      <c r="I305" s="31" t="s">
        <v>481</v>
      </c>
      <c r="J305" s="31" t="s">
        <v>699</v>
      </c>
      <c r="K305" s="31" t="s">
        <v>812</v>
      </c>
      <c r="L305" s="31" t="s">
        <v>162</v>
      </c>
      <c r="M305" s="31" t="s">
        <v>144</v>
      </c>
      <c r="N305" s="31" t="s">
        <v>144</v>
      </c>
      <c r="O305" s="31">
        <v>16</v>
      </c>
      <c r="P305" s="31" t="s">
        <v>144</v>
      </c>
      <c r="Q305" s="31" t="s">
        <v>316</v>
      </c>
      <c r="R305" s="31" t="s">
        <v>477</v>
      </c>
      <c r="S305" s="31" t="s">
        <v>479</v>
      </c>
      <c r="T305" s="31" t="s">
        <v>144</v>
      </c>
      <c r="U305" s="31" t="s">
        <v>144</v>
      </c>
      <c r="V305" s="31" t="s">
        <v>144</v>
      </c>
      <c r="W305" s="31" t="s">
        <v>442</v>
      </c>
      <c r="X305" s="31" t="s">
        <v>193</v>
      </c>
      <c r="Y305" s="31" t="s">
        <v>194</v>
      </c>
      <c r="Z305" s="31" t="s">
        <v>144</v>
      </c>
      <c r="AA305" s="31" t="s">
        <v>144</v>
      </c>
      <c r="AB305" s="31" t="s">
        <v>144</v>
      </c>
      <c r="AC305" s="31" t="s">
        <v>144</v>
      </c>
      <c r="AD305" s="31" t="s">
        <v>144</v>
      </c>
      <c r="AE305" s="31" t="s">
        <v>144</v>
      </c>
      <c r="AF305" s="31" t="s">
        <v>144</v>
      </c>
      <c r="AG305" s="31" t="s">
        <v>144</v>
      </c>
      <c r="AH305" s="31" t="s">
        <v>1322</v>
      </c>
      <c r="AI305" s="31" t="s">
        <v>375</v>
      </c>
      <c r="AJ305" s="31" t="s">
        <v>144</v>
      </c>
      <c r="AK305" s="31" t="s">
        <v>144</v>
      </c>
      <c r="AL305" s="31" t="s">
        <v>325</v>
      </c>
      <c r="AM305" s="31" t="s">
        <v>144</v>
      </c>
      <c r="AN305" s="31" t="s">
        <v>163</v>
      </c>
      <c r="AO305" s="31" t="s">
        <v>144</v>
      </c>
      <c r="AP305" s="31" t="s">
        <v>144</v>
      </c>
    </row>
    <row r="306" spans="5:42" ht="15" customHeight="1" x14ac:dyDescent="0.25">
      <c r="E306" s="31" t="s">
        <v>134</v>
      </c>
      <c r="F306" s="31" t="s">
        <v>140</v>
      </c>
      <c r="G306" s="31" t="s">
        <v>374</v>
      </c>
      <c r="H306" s="31" t="s">
        <v>144</v>
      </c>
      <c r="I306" s="31" t="s">
        <v>481</v>
      </c>
      <c r="J306" s="31" t="s">
        <v>699</v>
      </c>
      <c r="K306" s="31" t="s">
        <v>813</v>
      </c>
      <c r="L306" s="31" t="s">
        <v>162</v>
      </c>
      <c r="M306" s="31" t="s">
        <v>144</v>
      </c>
      <c r="N306" s="31" t="s">
        <v>144</v>
      </c>
      <c r="O306" s="31">
        <v>16</v>
      </c>
      <c r="P306" s="31" t="s">
        <v>144</v>
      </c>
      <c r="Q306" s="31" t="s">
        <v>316</v>
      </c>
      <c r="R306" s="31" t="s">
        <v>477</v>
      </c>
      <c r="S306" s="31" t="s">
        <v>479</v>
      </c>
      <c r="T306" s="31" t="s">
        <v>144</v>
      </c>
      <c r="U306" s="31" t="s">
        <v>144</v>
      </c>
      <c r="V306" s="31" t="s">
        <v>144</v>
      </c>
      <c r="W306" s="31" t="s">
        <v>442</v>
      </c>
      <c r="X306" s="31" t="s">
        <v>193</v>
      </c>
      <c r="Y306" s="31" t="s">
        <v>194</v>
      </c>
      <c r="Z306" s="31" t="s">
        <v>144</v>
      </c>
      <c r="AA306" s="31" t="s">
        <v>144</v>
      </c>
      <c r="AB306" s="31" t="s">
        <v>144</v>
      </c>
      <c r="AC306" s="31" t="s">
        <v>144</v>
      </c>
      <c r="AD306" s="31" t="s">
        <v>144</v>
      </c>
      <c r="AE306" s="31" t="s">
        <v>144</v>
      </c>
      <c r="AF306" s="31" t="s">
        <v>144</v>
      </c>
      <c r="AG306" s="31" t="s">
        <v>144</v>
      </c>
      <c r="AH306" s="31" t="s">
        <v>1322</v>
      </c>
      <c r="AI306" s="31" t="s">
        <v>375</v>
      </c>
      <c r="AJ306" s="31" t="s">
        <v>144</v>
      </c>
      <c r="AK306" s="31" t="s">
        <v>144</v>
      </c>
      <c r="AL306" s="31" t="s">
        <v>325</v>
      </c>
      <c r="AM306" s="31" t="s">
        <v>144</v>
      </c>
      <c r="AN306" s="31" t="s">
        <v>163</v>
      </c>
      <c r="AO306" s="31" t="s">
        <v>144</v>
      </c>
      <c r="AP306" s="31" t="s">
        <v>144</v>
      </c>
    </row>
    <row r="307" spans="5:42" ht="15" customHeight="1" x14ac:dyDescent="0.25">
      <c r="E307" s="31" t="s">
        <v>134</v>
      </c>
      <c r="F307" s="31" t="s">
        <v>140</v>
      </c>
      <c r="G307" s="31" t="s">
        <v>374</v>
      </c>
      <c r="H307" s="31" t="s">
        <v>144</v>
      </c>
      <c r="I307" s="31" t="s">
        <v>481</v>
      </c>
      <c r="J307" s="31" t="s">
        <v>699</v>
      </c>
      <c r="K307" s="31" t="s">
        <v>814</v>
      </c>
      <c r="L307" s="31" t="s">
        <v>162</v>
      </c>
      <c r="M307" s="31" t="s">
        <v>144</v>
      </c>
      <c r="N307" s="31" t="s">
        <v>144</v>
      </c>
      <c r="O307" s="31">
        <v>16</v>
      </c>
      <c r="P307" s="31" t="s">
        <v>144</v>
      </c>
      <c r="Q307" s="31" t="s">
        <v>316</v>
      </c>
      <c r="R307" s="31" t="s">
        <v>477</v>
      </c>
      <c r="S307" s="31" t="s">
        <v>479</v>
      </c>
      <c r="T307" s="31" t="s">
        <v>144</v>
      </c>
      <c r="U307" s="31" t="s">
        <v>144</v>
      </c>
      <c r="V307" s="31" t="s">
        <v>144</v>
      </c>
      <c r="W307" s="31" t="s">
        <v>442</v>
      </c>
      <c r="X307" s="31" t="s">
        <v>193</v>
      </c>
      <c r="Y307" s="31" t="s">
        <v>194</v>
      </c>
      <c r="Z307" s="31" t="s">
        <v>144</v>
      </c>
      <c r="AA307" s="31" t="s">
        <v>144</v>
      </c>
      <c r="AB307" s="31" t="s">
        <v>144</v>
      </c>
      <c r="AC307" s="31" t="s">
        <v>144</v>
      </c>
      <c r="AD307" s="31" t="s">
        <v>144</v>
      </c>
      <c r="AE307" s="31" t="s">
        <v>144</v>
      </c>
      <c r="AF307" s="31" t="s">
        <v>144</v>
      </c>
      <c r="AG307" s="31" t="s">
        <v>144</v>
      </c>
      <c r="AH307" s="31" t="s">
        <v>1322</v>
      </c>
      <c r="AI307" s="31" t="s">
        <v>375</v>
      </c>
      <c r="AJ307" s="31" t="s">
        <v>144</v>
      </c>
      <c r="AK307" s="31" t="s">
        <v>144</v>
      </c>
      <c r="AL307" s="31" t="s">
        <v>325</v>
      </c>
      <c r="AM307" s="31" t="s">
        <v>144</v>
      </c>
      <c r="AN307" s="31" t="s">
        <v>163</v>
      </c>
      <c r="AO307" s="31" t="s">
        <v>144</v>
      </c>
      <c r="AP307" s="31" t="s">
        <v>144</v>
      </c>
    </row>
    <row r="308" spans="5:42" ht="15" customHeight="1" x14ac:dyDescent="0.25">
      <c r="E308" s="31" t="s">
        <v>134</v>
      </c>
      <c r="F308" s="31" t="s">
        <v>140</v>
      </c>
      <c r="G308" s="31" t="s">
        <v>374</v>
      </c>
      <c r="H308" s="31" t="s">
        <v>144</v>
      </c>
      <c r="I308" s="31" t="s">
        <v>481</v>
      </c>
      <c r="J308" s="31" t="s">
        <v>699</v>
      </c>
      <c r="K308" s="31" t="s">
        <v>815</v>
      </c>
      <c r="L308" s="31" t="s">
        <v>162</v>
      </c>
      <c r="M308" s="31" t="s">
        <v>144</v>
      </c>
      <c r="N308" s="31" t="s">
        <v>144</v>
      </c>
      <c r="O308" s="31">
        <v>16</v>
      </c>
      <c r="P308" s="31" t="s">
        <v>144</v>
      </c>
      <c r="Q308" s="31" t="s">
        <v>316</v>
      </c>
      <c r="R308" s="31" t="s">
        <v>477</v>
      </c>
      <c r="S308" s="31" t="s">
        <v>479</v>
      </c>
      <c r="T308" s="31" t="s">
        <v>144</v>
      </c>
      <c r="U308" s="31" t="s">
        <v>144</v>
      </c>
      <c r="V308" s="31" t="s">
        <v>144</v>
      </c>
      <c r="W308" s="31" t="s">
        <v>442</v>
      </c>
      <c r="X308" s="31" t="s">
        <v>193</v>
      </c>
      <c r="Y308" s="31" t="s">
        <v>194</v>
      </c>
      <c r="Z308" s="31" t="s">
        <v>144</v>
      </c>
      <c r="AA308" s="31" t="s">
        <v>144</v>
      </c>
      <c r="AB308" s="31" t="s">
        <v>144</v>
      </c>
      <c r="AC308" s="31" t="s">
        <v>144</v>
      </c>
      <c r="AD308" s="31" t="s">
        <v>144</v>
      </c>
      <c r="AE308" s="31" t="s">
        <v>144</v>
      </c>
      <c r="AF308" s="31" t="s">
        <v>144</v>
      </c>
      <c r="AG308" s="31" t="s">
        <v>144</v>
      </c>
      <c r="AH308" s="31" t="s">
        <v>1322</v>
      </c>
      <c r="AI308" s="31" t="s">
        <v>375</v>
      </c>
      <c r="AJ308" s="31" t="s">
        <v>144</v>
      </c>
      <c r="AK308" s="31" t="s">
        <v>144</v>
      </c>
      <c r="AL308" s="31" t="s">
        <v>325</v>
      </c>
      <c r="AM308" s="31" t="s">
        <v>144</v>
      </c>
      <c r="AN308" s="31" t="s">
        <v>163</v>
      </c>
      <c r="AO308" s="31" t="s">
        <v>144</v>
      </c>
      <c r="AP308" s="31" t="s">
        <v>144</v>
      </c>
    </row>
    <row r="309" spans="5:42" ht="15" customHeight="1" x14ac:dyDescent="0.25">
      <c r="E309" s="31" t="s">
        <v>134</v>
      </c>
      <c r="F309" s="31" t="s">
        <v>140</v>
      </c>
      <c r="G309" s="31" t="s">
        <v>374</v>
      </c>
      <c r="H309" s="31" t="s">
        <v>144</v>
      </c>
      <c r="I309" s="31" t="s">
        <v>481</v>
      </c>
      <c r="J309" s="31" t="s">
        <v>699</v>
      </c>
      <c r="K309" s="31" t="s">
        <v>816</v>
      </c>
      <c r="L309" s="31" t="s">
        <v>162</v>
      </c>
      <c r="M309" s="31" t="s">
        <v>144</v>
      </c>
      <c r="N309" s="31" t="s">
        <v>144</v>
      </c>
      <c r="O309" s="31">
        <v>16</v>
      </c>
      <c r="P309" s="31" t="s">
        <v>144</v>
      </c>
      <c r="Q309" s="31" t="s">
        <v>316</v>
      </c>
      <c r="R309" s="31" t="s">
        <v>477</v>
      </c>
      <c r="S309" s="31" t="s">
        <v>479</v>
      </c>
      <c r="T309" s="31" t="s">
        <v>144</v>
      </c>
      <c r="U309" s="31" t="s">
        <v>144</v>
      </c>
      <c r="V309" s="31" t="s">
        <v>144</v>
      </c>
      <c r="W309" s="31" t="s">
        <v>442</v>
      </c>
      <c r="X309" s="31" t="s">
        <v>193</v>
      </c>
      <c r="Y309" s="31" t="s">
        <v>194</v>
      </c>
      <c r="Z309" s="31" t="s">
        <v>144</v>
      </c>
      <c r="AA309" s="31" t="s">
        <v>144</v>
      </c>
      <c r="AB309" s="31" t="s">
        <v>144</v>
      </c>
      <c r="AC309" s="31" t="s">
        <v>144</v>
      </c>
      <c r="AD309" s="31" t="s">
        <v>144</v>
      </c>
      <c r="AE309" s="31" t="s">
        <v>144</v>
      </c>
      <c r="AF309" s="31" t="s">
        <v>144</v>
      </c>
      <c r="AG309" s="31" t="s">
        <v>144</v>
      </c>
      <c r="AH309" s="31" t="s">
        <v>1322</v>
      </c>
      <c r="AI309" s="31" t="s">
        <v>375</v>
      </c>
      <c r="AJ309" s="31" t="s">
        <v>144</v>
      </c>
      <c r="AK309" s="31" t="s">
        <v>144</v>
      </c>
      <c r="AL309" s="31" t="s">
        <v>325</v>
      </c>
      <c r="AM309" s="31" t="s">
        <v>144</v>
      </c>
      <c r="AN309" s="31" t="s">
        <v>163</v>
      </c>
      <c r="AO309" s="31" t="s">
        <v>144</v>
      </c>
      <c r="AP309" s="31" t="s">
        <v>144</v>
      </c>
    </row>
    <row r="310" spans="5:42" ht="15" customHeight="1" x14ac:dyDescent="0.25">
      <c r="E310" s="31" t="s">
        <v>134</v>
      </c>
      <c r="F310" s="31" t="s">
        <v>140</v>
      </c>
      <c r="G310" s="31" t="s">
        <v>374</v>
      </c>
      <c r="H310" s="31" t="s">
        <v>144</v>
      </c>
      <c r="I310" s="31" t="s">
        <v>481</v>
      </c>
      <c r="J310" s="31" t="s">
        <v>699</v>
      </c>
      <c r="K310" s="31" t="s">
        <v>817</v>
      </c>
      <c r="L310" s="31" t="s">
        <v>162</v>
      </c>
      <c r="M310" s="31" t="s">
        <v>144</v>
      </c>
      <c r="N310" s="31" t="s">
        <v>144</v>
      </c>
      <c r="O310" s="31">
        <v>16</v>
      </c>
      <c r="P310" s="31" t="s">
        <v>144</v>
      </c>
      <c r="Q310" s="31" t="s">
        <v>316</v>
      </c>
      <c r="R310" s="31" t="s">
        <v>477</v>
      </c>
      <c r="S310" s="31" t="s">
        <v>479</v>
      </c>
      <c r="T310" s="31" t="s">
        <v>144</v>
      </c>
      <c r="U310" s="31" t="s">
        <v>144</v>
      </c>
      <c r="V310" s="31" t="s">
        <v>144</v>
      </c>
      <c r="W310" s="31" t="s">
        <v>442</v>
      </c>
      <c r="X310" s="31" t="s">
        <v>193</v>
      </c>
      <c r="Y310" s="31" t="s">
        <v>194</v>
      </c>
      <c r="Z310" s="31" t="s">
        <v>144</v>
      </c>
      <c r="AA310" s="31" t="s">
        <v>144</v>
      </c>
      <c r="AB310" s="31" t="s">
        <v>144</v>
      </c>
      <c r="AC310" s="31" t="s">
        <v>144</v>
      </c>
      <c r="AD310" s="31" t="s">
        <v>144</v>
      </c>
      <c r="AE310" s="31" t="s">
        <v>144</v>
      </c>
      <c r="AF310" s="31" t="s">
        <v>144</v>
      </c>
      <c r="AG310" s="31" t="s">
        <v>144</v>
      </c>
      <c r="AH310" s="31" t="s">
        <v>1322</v>
      </c>
      <c r="AI310" s="31" t="s">
        <v>375</v>
      </c>
      <c r="AJ310" s="31" t="s">
        <v>144</v>
      </c>
      <c r="AK310" s="31" t="s">
        <v>144</v>
      </c>
      <c r="AL310" s="31" t="s">
        <v>325</v>
      </c>
      <c r="AM310" s="31" t="s">
        <v>144</v>
      </c>
      <c r="AN310" s="31" t="s">
        <v>163</v>
      </c>
      <c r="AO310" s="31" t="s">
        <v>144</v>
      </c>
      <c r="AP310" s="31" t="s">
        <v>144</v>
      </c>
    </row>
    <row r="311" spans="5:42" ht="15" customHeight="1" x14ac:dyDescent="0.25">
      <c r="E311" s="31" t="s">
        <v>134</v>
      </c>
      <c r="F311" s="31" t="s">
        <v>140</v>
      </c>
      <c r="G311" s="31" t="s">
        <v>374</v>
      </c>
      <c r="H311" s="31" t="s">
        <v>144</v>
      </c>
      <c r="I311" s="31" t="s">
        <v>481</v>
      </c>
      <c r="J311" s="31" t="s">
        <v>699</v>
      </c>
      <c r="K311" s="31" t="s">
        <v>818</v>
      </c>
      <c r="L311" s="31" t="s">
        <v>162</v>
      </c>
      <c r="M311" s="31" t="s">
        <v>144</v>
      </c>
      <c r="N311" s="31" t="s">
        <v>144</v>
      </c>
      <c r="O311" s="31">
        <v>16</v>
      </c>
      <c r="P311" s="31" t="s">
        <v>144</v>
      </c>
      <c r="Q311" s="31" t="s">
        <v>316</v>
      </c>
      <c r="R311" s="31" t="s">
        <v>477</v>
      </c>
      <c r="S311" s="31" t="s">
        <v>479</v>
      </c>
      <c r="T311" s="31" t="s">
        <v>144</v>
      </c>
      <c r="U311" s="31" t="s">
        <v>144</v>
      </c>
      <c r="V311" s="31" t="s">
        <v>144</v>
      </c>
      <c r="W311" s="31" t="s">
        <v>442</v>
      </c>
      <c r="X311" s="31" t="s">
        <v>193</v>
      </c>
      <c r="Y311" s="31" t="s">
        <v>194</v>
      </c>
      <c r="Z311" s="31" t="s">
        <v>144</v>
      </c>
      <c r="AA311" s="31" t="s">
        <v>144</v>
      </c>
      <c r="AB311" s="31" t="s">
        <v>144</v>
      </c>
      <c r="AC311" s="31" t="s">
        <v>144</v>
      </c>
      <c r="AD311" s="31" t="s">
        <v>144</v>
      </c>
      <c r="AE311" s="31" t="s">
        <v>144</v>
      </c>
      <c r="AF311" s="31" t="s">
        <v>144</v>
      </c>
      <c r="AG311" s="31" t="s">
        <v>144</v>
      </c>
      <c r="AH311" s="31" t="s">
        <v>1322</v>
      </c>
      <c r="AI311" s="31" t="s">
        <v>375</v>
      </c>
      <c r="AJ311" s="31" t="s">
        <v>144</v>
      </c>
      <c r="AK311" s="31" t="s">
        <v>144</v>
      </c>
      <c r="AL311" s="31" t="s">
        <v>325</v>
      </c>
      <c r="AM311" s="31" t="s">
        <v>144</v>
      </c>
      <c r="AN311" s="31" t="s">
        <v>163</v>
      </c>
      <c r="AO311" s="31" t="s">
        <v>144</v>
      </c>
      <c r="AP311" s="31" t="s">
        <v>144</v>
      </c>
    </row>
    <row r="312" spans="5:42" ht="15" customHeight="1" x14ac:dyDescent="0.25">
      <c r="E312" s="31" t="s">
        <v>134</v>
      </c>
      <c r="F312" s="31" t="s">
        <v>140</v>
      </c>
      <c r="G312" s="31" t="s">
        <v>374</v>
      </c>
      <c r="H312" s="31" t="s">
        <v>144</v>
      </c>
      <c r="I312" s="31" t="s">
        <v>481</v>
      </c>
      <c r="J312" s="31" t="s">
        <v>699</v>
      </c>
      <c r="K312" s="31" t="s">
        <v>819</v>
      </c>
      <c r="L312" s="31" t="s">
        <v>162</v>
      </c>
      <c r="M312" s="31" t="s">
        <v>144</v>
      </c>
      <c r="N312" s="31" t="s">
        <v>144</v>
      </c>
      <c r="O312" s="31">
        <v>16</v>
      </c>
      <c r="P312" s="31" t="s">
        <v>144</v>
      </c>
      <c r="Q312" s="31" t="s">
        <v>316</v>
      </c>
      <c r="R312" s="31" t="s">
        <v>477</v>
      </c>
      <c r="S312" s="31" t="s">
        <v>479</v>
      </c>
      <c r="T312" s="31" t="s">
        <v>144</v>
      </c>
      <c r="U312" s="31" t="s">
        <v>144</v>
      </c>
      <c r="V312" s="31" t="s">
        <v>144</v>
      </c>
      <c r="W312" s="31" t="s">
        <v>442</v>
      </c>
      <c r="X312" s="31" t="s">
        <v>193</v>
      </c>
      <c r="Y312" s="31" t="s">
        <v>194</v>
      </c>
      <c r="Z312" s="31" t="s">
        <v>144</v>
      </c>
      <c r="AA312" s="31" t="s">
        <v>144</v>
      </c>
      <c r="AB312" s="31" t="s">
        <v>144</v>
      </c>
      <c r="AC312" s="31" t="s">
        <v>144</v>
      </c>
      <c r="AD312" s="31" t="s">
        <v>144</v>
      </c>
      <c r="AE312" s="31" t="s">
        <v>144</v>
      </c>
      <c r="AF312" s="31" t="s">
        <v>144</v>
      </c>
      <c r="AG312" s="31" t="s">
        <v>144</v>
      </c>
      <c r="AH312" s="31" t="s">
        <v>1322</v>
      </c>
      <c r="AI312" s="31" t="s">
        <v>375</v>
      </c>
      <c r="AJ312" s="31" t="s">
        <v>144</v>
      </c>
      <c r="AK312" s="31" t="s">
        <v>144</v>
      </c>
      <c r="AL312" s="31" t="s">
        <v>325</v>
      </c>
      <c r="AM312" s="31" t="s">
        <v>144</v>
      </c>
      <c r="AN312" s="31" t="s">
        <v>163</v>
      </c>
      <c r="AO312" s="31" t="s">
        <v>144</v>
      </c>
      <c r="AP312" s="31" t="s">
        <v>144</v>
      </c>
    </row>
    <row r="313" spans="5:42" ht="15" customHeight="1" x14ac:dyDescent="0.25">
      <c r="E313" s="31" t="s">
        <v>134</v>
      </c>
      <c r="F313" s="31" t="s">
        <v>140</v>
      </c>
      <c r="G313" s="31" t="s">
        <v>374</v>
      </c>
      <c r="H313" s="31" t="s">
        <v>144</v>
      </c>
      <c r="I313" s="31" t="s">
        <v>481</v>
      </c>
      <c r="J313" s="31" t="s">
        <v>699</v>
      </c>
      <c r="K313" s="31" t="s">
        <v>820</v>
      </c>
      <c r="L313" s="31" t="s">
        <v>162</v>
      </c>
      <c r="M313" s="31" t="s">
        <v>144</v>
      </c>
      <c r="N313" s="31" t="s">
        <v>144</v>
      </c>
      <c r="O313" s="31">
        <v>16</v>
      </c>
      <c r="P313" s="31" t="s">
        <v>144</v>
      </c>
      <c r="Q313" s="31" t="s">
        <v>316</v>
      </c>
      <c r="R313" s="31" t="s">
        <v>477</v>
      </c>
      <c r="S313" s="31" t="s">
        <v>479</v>
      </c>
      <c r="T313" s="31" t="s">
        <v>144</v>
      </c>
      <c r="U313" s="31" t="s">
        <v>144</v>
      </c>
      <c r="V313" s="31" t="s">
        <v>144</v>
      </c>
      <c r="W313" s="31" t="s">
        <v>442</v>
      </c>
      <c r="X313" s="31" t="s">
        <v>193</v>
      </c>
      <c r="Y313" s="31" t="s">
        <v>194</v>
      </c>
      <c r="Z313" s="31" t="s">
        <v>144</v>
      </c>
      <c r="AA313" s="31" t="s">
        <v>144</v>
      </c>
      <c r="AB313" s="31" t="s">
        <v>144</v>
      </c>
      <c r="AC313" s="31" t="s">
        <v>144</v>
      </c>
      <c r="AD313" s="31" t="s">
        <v>144</v>
      </c>
      <c r="AE313" s="31" t="s">
        <v>144</v>
      </c>
      <c r="AF313" s="31" t="s">
        <v>144</v>
      </c>
      <c r="AG313" s="31" t="s">
        <v>144</v>
      </c>
      <c r="AH313" s="31" t="s">
        <v>1322</v>
      </c>
      <c r="AI313" s="31" t="s">
        <v>375</v>
      </c>
      <c r="AJ313" s="31" t="s">
        <v>144</v>
      </c>
      <c r="AK313" s="31" t="s">
        <v>144</v>
      </c>
      <c r="AL313" s="31" t="s">
        <v>325</v>
      </c>
      <c r="AM313" s="31" t="s">
        <v>144</v>
      </c>
      <c r="AN313" s="31" t="s">
        <v>163</v>
      </c>
      <c r="AO313" s="31" t="s">
        <v>144</v>
      </c>
      <c r="AP313" s="31" t="s">
        <v>144</v>
      </c>
    </row>
    <row r="314" spans="5:42" ht="15" customHeight="1" x14ac:dyDescent="0.25">
      <c r="E314" s="31" t="s">
        <v>134</v>
      </c>
      <c r="F314" s="31" t="s">
        <v>140</v>
      </c>
      <c r="G314" s="31" t="s">
        <v>374</v>
      </c>
      <c r="H314" s="31" t="s">
        <v>144</v>
      </c>
      <c r="I314" s="31" t="s">
        <v>481</v>
      </c>
      <c r="J314" s="31" t="s">
        <v>699</v>
      </c>
      <c r="K314" s="31" t="s">
        <v>821</v>
      </c>
      <c r="L314" s="31" t="s">
        <v>162</v>
      </c>
      <c r="M314" s="31" t="s">
        <v>144</v>
      </c>
      <c r="N314" s="31" t="s">
        <v>144</v>
      </c>
      <c r="O314" s="31">
        <v>16</v>
      </c>
      <c r="P314" s="31" t="s">
        <v>144</v>
      </c>
      <c r="Q314" s="31" t="s">
        <v>316</v>
      </c>
      <c r="R314" s="31" t="s">
        <v>477</v>
      </c>
      <c r="S314" s="31" t="s">
        <v>479</v>
      </c>
      <c r="T314" s="31" t="s">
        <v>144</v>
      </c>
      <c r="U314" s="31" t="s">
        <v>144</v>
      </c>
      <c r="V314" s="31" t="s">
        <v>144</v>
      </c>
      <c r="W314" s="31" t="s">
        <v>442</v>
      </c>
      <c r="X314" s="31" t="s">
        <v>193</v>
      </c>
      <c r="Y314" s="31" t="s">
        <v>194</v>
      </c>
      <c r="Z314" s="31" t="s">
        <v>144</v>
      </c>
      <c r="AA314" s="31" t="s">
        <v>144</v>
      </c>
      <c r="AB314" s="31" t="s">
        <v>144</v>
      </c>
      <c r="AC314" s="31" t="s">
        <v>144</v>
      </c>
      <c r="AD314" s="31" t="s">
        <v>144</v>
      </c>
      <c r="AE314" s="31" t="s">
        <v>144</v>
      </c>
      <c r="AF314" s="31" t="s">
        <v>144</v>
      </c>
      <c r="AG314" s="31" t="s">
        <v>144</v>
      </c>
      <c r="AH314" s="31" t="s">
        <v>1322</v>
      </c>
      <c r="AI314" s="31" t="s">
        <v>375</v>
      </c>
      <c r="AJ314" s="31" t="s">
        <v>144</v>
      </c>
      <c r="AK314" s="31" t="s">
        <v>144</v>
      </c>
      <c r="AL314" s="31" t="s">
        <v>325</v>
      </c>
      <c r="AM314" s="31" t="s">
        <v>144</v>
      </c>
      <c r="AN314" s="31" t="s">
        <v>163</v>
      </c>
      <c r="AO314" s="31" t="s">
        <v>144</v>
      </c>
      <c r="AP314" s="31" t="s">
        <v>144</v>
      </c>
    </row>
    <row r="315" spans="5:42" ht="15" customHeight="1" x14ac:dyDescent="0.25">
      <c r="E315" s="31" t="s">
        <v>134</v>
      </c>
      <c r="F315" s="31" t="s">
        <v>140</v>
      </c>
      <c r="G315" s="31" t="s">
        <v>374</v>
      </c>
      <c r="H315" s="31" t="s">
        <v>144</v>
      </c>
      <c r="I315" s="31" t="s">
        <v>481</v>
      </c>
      <c r="J315" s="31" t="s">
        <v>699</v>
      </c>
      <c r="K315" s="31" t="s">
        <v>822</v>
      </c>
      <c r="L315" s="31" t="s">
        <v>162</v>
      </c>
      <c r="M315" s="31" t="s">
        <v>144</v>
      </c>
      <c r="N315" s="31" t="s">
        <v>144</v>
      </c>
      <c r="O315" s="31">
        <v>16</v>
      </c>
      <c r="P315" s="31" t="s">
        <v>144</v>
      </c>
      <c r="Q315" s="31" t="s">
        <v>316</v>
      </c>
      <c r="R315" s="31" t="s">
        <v>477</v>
      </c>
      <c r="S315" s="31" t="s">
        <v>479</v>
      </c>
      <c r="T315" s="31" t="s">
        <v>144</v>
      </c>
      <c r="U315" s="31" t="s">
        <v>144</v>
      </c>
      <c r="V315" s="31" t="s">
        <v>144</v>
      </c>
      <c r="W315" s="31" t="s">
        <v>442</v>
      </c>
      <c r="X315" s="31" t="s">
        <v>193</v>
      </c>
      <c r="Y315" s="31" t="s">
        <v>194</v>
      </c>
      <c r="Z315" s="31" t="s">
        <v>144</v>
      </c>
      <c r="AA315" s="31" t="s">
        <v>144</v>
      </c>
      <c r="AB315" s="31" t="s">
        <v>144</v>
      </c>
      <c r="AC315" s="31" t="s">
        <v>144</v>
      </c>
      <c r="AD315" s="31" t="s">
        <v>144</v>
      </c>
      <c r="AE315" s="31" t="s">
        <v>144</v>
      </c>
      <c r="AF315" s="31" t="s">
        <v>144</v>
      </c>
      <c r="AG315" s="31" t="s">
        <v>144</v>
      </c>
      <c r="AH315" s="31" t="s">
        <v>1322</v>
      </c>
      <c r="AI315" s="31" t="s">
        <v>375</v>
      </c>
      <c r="AJ315" s="31" t="s">
        <v>144</v>
      </c>
      <c r="AK315" s="31" t="s">
        <v>144</v>
      </c>
      <c r="AL315" s="31" t="s">
        <v>325</v>
      </c>
      <c r="AM315" s="31" t="s">
        <v>144</v>
      </c>
      <c r="AN315" s="31" t="s">
        <v>163</v>
      </c>
      <c r="AO315" s="31" t="s">
        <v>144</v>
      </c>
      <c r="AP315" s="31" t="s">
        <v>144</v>
      </c>
    </row>
    <row r="316" spans="5:42" ht="15" customHeight="1" x14ac:dyDescent="0.25">
      <c r="E316" s="31" t="s">
        <v>134</v>
      </c>
      <c r="F316" s="31" t="s">
        <v>140</v>
      </c>
      <c r="G316" s="31" t="s">
        <v>374</v>
      </c>
      <c r="H316" s="31" t="s">
        <v>144</v>
      </c>
      <c r="I316" s="31" t="s">
        <v>481</v>
      </c>
      <c r="J316" s="31" t="s">
        <v>699</v>
      </c>
      <c r="K316" s="31" t="s">
        <v>823</v>
      </c>
      <c r="L316" s="31" t="s">
        <v>162</v>
      </c>
      <c r="M316" s="31" t="s">
        <v>144</v>
      </c>
      <c r="N316" s="31" t="s">
        <v>144</v>
      </c>
      <c r="O316" s="31">
        <v>16</v>
      </c>
      <c r="P316" s="31" t="s">
        <v>144</v>
      </c>
      <c r="Q316" s="31" t="s">
        <v>316</v>
      </c>
      <c r="R316" s="31" t="s">
        <v>477</v>
      </c>
      <c r="S316" s="31" t="s">
        <v>479</v>
      </c>
      <c r="T316" s="31" t="s">
        <v>144</v>
      </c>
      <c r="U316" s="31" t="s">
        <v>144</v>
      </c>
      <c r="V316" s="31" t="s">
        <v>144</v>
      </c>
      <c r="W316" s="31" t="s">
        <v>442</v>
      </c>
      <c r="X316" s="31" t="s">
        <v>193</v>
      </c>
      <c r="Y316" s="31" t="s">
        <v>194</v>
      </c>
      <c r="Z316" s="31" t="s">
        <v>144</v>
      </c>
      <c r="AA316" s="31" t="s">
        <v>144</v>
      </c>
      <c r="AB316" s="31" t="s">
        <v>144</v>
      </c>
      <c r="AC316" s="31" t="s">
        <v>144</v>
      </c>
      <c r="AD316" s="31" t="s">
        <v>144</v>
      </c>
      <c r="AE316" s="31" t="s">
        <v>144</v>
      </c>
      <c r="AF316" s="31" t="s">
        <v>144</v>
      </c>
      <c r="AG316" s="31" t="s">
        <v>144</v>
      </c>
      <c r="AH316" s="31" t="s">
        <v>1322</v>
      </c>
      <c r="AI316" s="31" t="s">
        <v>375</v>
      </c>
      <c r="AJ316" s="31" t="s">
        <v>144</v>
      </c>
      <c r="AK316" s="31" t="s">
        <v>144</v>
      </c>
      <c r="AL316" s="31" t="s">
        <v>325</v>
      </c>
      <c r="AM316" s="31" t="s">
        <v>144</v>
      </c>
      <c r="AN316" s="31" t="s">
        <v>163</v>
      </c>
      <c r="AO316" s="31" t="s">
        <v>144</v>
      </c>
      <c r="AP316" s="31" t="s">
        <v>144</v>
      </c>
    </row>
    <row r="317" spans="5:42" ht="15" customHeight="1" x14ac:dyDescent="0.25">
      <c r="E317" s="31" t="s">
        <v>134</v>
      </c>
      <c r="F317" s="31" t="s">
        <v>140</v>
      </c>
      <c r="G317" s="31" t="s">
        <v>374</v>
      </c>
      <c r="H317" s="31" t="s">
        <v>144</v>
      </c>
      <c r="I317" s="31" t="s">
        <v>481</v>
      </c>
      <c r="J317" s="31" t="s">
        <v>699</v>
      </c>
      <c r="K317" s="31" t="s">
        <v>824</v>
      </c>
      <c r="L317" s="31" t="s">
        <v>162</v>
      </c>
      <c r="M317" s="31" t="s">
        <v>144</v>
      </c>
      <c r="N317" s="31" t="s">
        <v>144</v>
      </c>
      <c r="O317" s="31">
        <v>16</v>
      </c>
      <c r="P317" s="31" t="s">
        <v>144</v>
      </c>
      <c r="Q317" s="31" t="s">
        <v>316</v>
      </c>
      <c r="R317" s="31" t="s">
        <v>477</v>
      </c>
      <c r="S317" s="31" t="s">
        <v>479</v>
      </c>
      <c r="T317" s="31" t="s">
        <v>144</v>
      </c>
      <c r="U317" s="31" t="s">
        <v>144</v>
      </c>
      <c r="V317" s="31" t="s">
        <v>144</v>
      </c>
      <c r="W317" s="31" t="s">
        <v>442</v>
      </c>
      <c r="X317" s="31" t="s">
        <v>193</v>
      </c>
      <c r="Y317" s="31" t="s">
        <v>194</v>
      </c>
      <c r="Z317" s="31" t="s">
        <v>144</v>
      </c>
      <c r="AA317" s="31" t="s">
        <v>144</v>
      </c>
      <c r="AB317" s="31" t="s">
        <v>144</v>
      </c>
      <c r="AC317" s="31" t="s">
        <v>144</v>
      </c>
      <c r="AD317" s="31" t="s">
        <v>144</v>
      </c>
      <c r="AE317" s="31" t="s">
        <v>144</v>
      </c>
      <c r="AF317" s="31" t="s">
        <v>144</v>
      </c>
      <c r="AG317" s="31" t="s">
        <v>144</v>
      </c>
      <c r="AH317" s="31" t="s">
        <v>1322</v>
      </c>
      <c r="AI317" s="31" t="s">
        <v>375</v>
      </c>
      <c r="AJ317" s="31" t="s">
        <v>144</v>
      </c>
      <c r="AK317" s="31" t="s">
        <v>144</v>
      </c>
      <c r="AL317" s="31" t="s">
        <v>325</v>
      </c>
      <c r="AM317" s="31" t="s">
        <v>144</v>
      </c>
      <c r="AN317" s="31" t="s">
        <v>163</v>
      </c>
      <c r="AO317" s="31" t="s">
        <v>144</v>
      </c>
      <c r="AP317" s="31" t="s">
        <v>144</v>
      </c>
    </row>
    <row r="318" spans="5:42" ht="15" customHeight="1" x14ac:dyDescent="0.25">
      <c r="E318" s="31" t="s">
        <v>134</v>
      </c>
      <c r="F318" s="31" t="s">
        <v>140</v>
      </c>
      <c r="G318" s="31" t="s">
        <v>374</v>
      </c>
      <c r="H318" s="31" t="s">
        <v>144</v>
      </c>
      <c r="I318" s="31" t="s">
        <v>481</v>
      </c>
      <c r="J318" s="31" t="s">
        <v>699</v>
      </c>
      <c r="K318" s="31" t="s">
        <v>825</v>
      </c>
      <c r="L318" s="31" t="s">
        <v>162</v>
      </c>
      <c r="M318" s="31" t="s">
        <v>144</v>
      </c>
      <c r="N318" s="31" t="s">
        <v>144</v>
      </c>
      <c r="O318" s="31">
        <v>16</v>
      </c>
      <c r="P318" s="31" t="s">
        <v>144</v>
      </c>
      <c r="Q318" s="31" t="s">
        <v>316</v>
      </c>
      <c r="R318" s="31" t="s">
        <v>477</v>
      </c>
      <c r="S318" s="31" t="s">
        <v>479</v>
      </c>
      <c r="T318" s="31" t="s">
        <v>144</v>
      </c>
      <c r="U318" s="31" t="s">
        <v>144</v>
      </c>
      <c r="V318" s="31" t="s">
        <v>144</v>
      </c>
      <c r="W318" s="31" t="s">
        <v>442</v>
      </c>
      <c r="X318" s="31" t="s">
        <v>193</v>
      </c>
      <c r="Y318" s="31" t="s">
        <v>194</v>
      </c>
      <c r="Z318" s="31" t="s">
        <v>144</v>
      </c>
      <c r="AA318" s="31" t="s">
        <v>144</v>
      </c>
      <c r="AB318" s="31" t="s">
        <v>144</v>
      </c>
      <c r="AC318" s="31" t="s">
        <v>144</v>
      </c>
      <c r="AD318" s="31" t="s">
        <v>144</v>
      </c>
      <c r="AE318" s="31" t="s">
        <v>144</v>
      </c>
      <c r="AF318" s="31" t="s">
        <v>144</v>
      </c>
      <c r="AG318" s="31" t="s">
        <v>144</v>
      </c>
      <c r="AH318" s="31" t="s">
        <v>1322</v>
      </c>
      <c r="AI318" s="31" t="s">
        <v>375</v>
      </c>
      <c r="AJ318" s="31" t="s">
        <v>144</v>
      </c>
      <c r="AK318" s="31" t="s">
        <v>144</v>
      </c>
      <c r="AL318" s="31" t="s">
        <v>325</v>
      </c>
      <c r="AM318" s="31" t="s">
        <v>144</v>
      </c>
      <c r="AN318" s="31" t="s">
        <v>163</v>
      </c>
      <c r="AO318" s="31" t="s">
        <v>144</v>
      </c>
      <c r="AP318" s="31" t="s">
        <v>144</v>
      </c>
    </row>
    <row r="319" spans="5:42" ht="15" customHeight="1" x14ac:dyDescent="0.25">
      <c r="E319" s="31" t="s">
        <v>134</v>
      </c>
      <c r="F319" s="31" t="s">
        <v>140</v>
      </c>
      <c r="G319" s="31" t="s">
        <v>374</v>
      </c>
      <c r="H319" s="31" t="s">
        <v>144</v>
      </c>
      <c r="I319" s="31" t="s">
        <v>481</v>
      </c>
      <c r="J319" s="31" t="s">
        <v>699</v>
      </c>
      <c r="K319" s="31" t="s">
        <v>826</v>
      </c>
      <c r="L319" s="31" t="s">
        <v>162</v>
      </c>
      <c r="M319" s="31" t="s">
        <v>144</v>
      </c>
      <c r="N319" s="31" t="s">
        <v>144</v>
      </c>
      <c r="O319" s="31">
        <v>16</v>
      </c>
      <c r="P319" s="31" t="s">
        <v>144</v>
      </c>
      <c r="Q319" s="31" t="s">
        <v>316</v>
      </c>
      <c r="R319" s="31" t="s">
        <v>477</v>
      </c>
      <c r="S319" s="31" t="s">
        <v>479</v>
      </c>
      <c r="T319" s="31" t="s">
        <v>144</v>
      </c>
      <c r="U319" s="31" t="s">
        <v>144</v>
      </c>
      <c r="V319" s="31" t="s">
        <v>144</v>
      </c>
      <c r="W319" s="31" t="s">
        <v>442</v>
      </c>
      <c r="X319" s="31" t="s">
        <v>193</v>
      </c>
      <c r="Y319" s="31" t="s">
        <v>194</v>
      </c>
      <c r="Z319" s="31" t="s">
        <v>144</v>
      </c>
      <c r="AA319" s="31" t="s">
        <v>144</v>
      </c>
      <c r="AB319" s="31" t="s">
        <v>144</v>
      </c>
      <c r="AC319" s="31" t="s">
        <v>144</v>
      </c>
      <c r="AD319" s="31" t="s">
        <v>144</v>
      </c>
      <c r="AE319" s="31" t="s">
        <v>144</v>
      </c>
      <c r="AF319" s="31" t="s">
        <v>144</v>
      </c>
      <c r="AG319" s="31" t="s">
        <v>144</v>
      </c>
      <c r="AH319" s="31" t="s">
        <v>1322</v>
      </c>
      <c r="AI319" s="31" t="s">
        <v>375</v>
      </c>
      <c r="AJ319" s="31" t="s">
        <v>144</v>
      </c>
      <c r="AK319" s="31" t="s">
        <v>144</v>
      </c>
      <c r="AL319" s="31" t="s">
        <v>325</v>
      </c>
      <c r="AM319" s="31" t="s">
        <v>144</v>
      </c>
      <c r="AN319" s="31" t="s">
        <v>163</v>
      </c>
      <c r="AO319" s="31" t="s">
        <v>144</v>
      </c>
      <c r="AP319" s="31" t="s">
        <v>144</v>
      </c>
    </row>
    <row r="320" spans="5:42" ht="15" customHeight="1" x14ac:dyDescent="0.25">
      <c r="E320" s="31" t="s">
        <v>134</v>
      </c>
      <c r="F320" s="31" t="s">
        <v>140</v>
      </c>
      <c r="G320" s="31" t="s">
        <v>374</v>
      </c>
      <c r="H320" s="31" t="s">
        <v>144</v>
      </c>
      <c r="I320" s="31" t="s">
        <v>481</v>
      </c>
      <c r="J320" s="31" t="s">
        <v>699</v>
      </c>
      <c r="K320" s="31" t="s">
        <v>827</v>
      </c>
      <c r="L320" s="31" t="s">
        <v>162</v>
      </c>
      <c r="M320" s="31" t="s">
        <v>144</v>
      </c>
      <c r="N320" s="31" t="s">
        <v>144</v>
      </c>
      <c r="O320" s="31">
        <v>16</v>
      </c>
      <c r="P320" s="31" t="s">
        <v>144</v>
      </c>
      <c r="Q320" s="31" t="s">
        <v>316</v>
      </c>
      <c r="R320" s="31" t="s">
        <v>477</v>
      </c>
      <c r="S320" s="31" t="s">
        <v>479</v>
      </c>
      <c r="T320" s="31" t="s">
        <v>144</v>
      </c>
      <c r="U320" s="31" t="s">
        <v>144</v>
      </c>
      <c r="V320" s="31" t="s">
        <v>144</v>
      </c>
      <c r="W320" s="31" t="s">
        <v>442</v>
      </c>
      <c r="X320" s="31" t="s">
        <v>193</v>
      </c>
      <c r="Y320" s="31" t="s">
        <v>194</v>
      </c>
      <c r="Z320" s="31" t="s">
        <v>144</v>
      </c>
      <c r="AA320" s="31" t="s">
        <v>144</v>
      </c>
      <c r="AB320" s="31" t="s">
        <v>144</v>
      </c>
      <c r="AC320" s="31" t="s">
        <v>144</v>
      </c>
      <c r="AD320" s="31" t="s">
        <v>144</v>
      </c>
      <c r="AE320" s="31" t="s">
        <v>144</v>
      </c>
      <c r="AF320" s="31" t="s">
        <v>144</v>
      </c>
      <c r="AG320" s="31" t="s">
        <v>144</v>
      </c>
      <c r="AH320" s="31" t="s">
        <v>1322</v>
      </c>
      <c r="AI320" s="31" t="s">
        <v>375</v>
      </c>
      <c r="AJ320" s="31" t="s">
        <v>144</v>
      </c>
      <c r="AK320" s="31" t="s">
        <v>144</v>
      </c>
      <c r="AL320" s="31" t="s">
        <v>325</v>
      </c>
      <c r="AM320" s="31" t="s">
        <v>144</v>
      </c>
      <c r="AN320" s="31" t="s">
        <v>163</v>
      </c>
      <c r="AO320" s="31" t="s">
        <v>144</v>
      </c>
      <c r="AP320" s="31" t="s">
        <v>144</v>
      </c>
    </row>
    <row r="321" spans="5:42" ht="15" customHeight="1" x14ac:dyDescent="0.25">
      <c r="E321" s="31" t="s">
        <v>134</v>
      </c>
      <c r="F321" s="31" t="s">
        <v>140</v>
      </c>
      <c r="G321" s="31" t="s">
        <v>374</v>
      </c>
      <c r="H321" s="31" t="s">
        <v>144</v>
      </c>
      <c r="I321" s="31" t="s">
        <v>481</v>
      </c>
      <c r="J321" s="31" t="s">
        <v>699</v>
      </c>
      <c r="K321" s="31" t="s">
        <v>828</v>
      </c>
      <c r="L321" s="31" t="s">
        <v>162</v>
      </c>
      <c r="M321" s="31" t="s">
        <v>144</v>
      </c>
      <c r="N321" s="31" t="s">
        <v>144</v>
      </c>
      <c r="O321" s="31">
        <v>16</v>
      </c>
      <c r="P321" s="31" t="s">
        <v>144</v>
      </c>
      <c r="Q321" s="31" t="s">
        <v>316</v>
      </c>
      <c r="R321" s="31" t="s">
        <v>477</v>
      </c>
      <c r="S321" s="31" t="s">
        <v>479</v>
      </c>
      <c r="T321" s="31" t="s">
        <v>144</v>
      </c>
      <c r="U321" s="31" t="s">
        <v>144</v>
      </c>
      <c r="V321" s="31" t="s">
        <v>144</v>
      </c>
      <c r="W321" s="31" t="s">
        <v>442</v>
      </c>
      <c r="X321" s="31" t="s">
        <v>193</v>
      </c>
      <c r="Y321" s="31" t="s">
        <v>194</v>
      </c>
      <c r="Z321" s="31" t="s">
        <v>144</v>
      </c>
      <c r="AA321" s="31" t="s">
        <v>144</v>
      </c>
      <c r="AB321" s="31" t="s">
        <v>144</v>
      </c>
      <c r="AC321" s="31" t="s">
        <v>144</v>
      </c>
      <c r="AD321" s="31" t="s">
        <v>144</v>
      </c>
      <c r="AE321" s="31" t="s">
        <v>144</v>
      </c>
      <c r="AF321" s="31" t="s">
        <v>144</v>
      </c>
      <c r="AG321" s="31" t="s">
        <v>144</v>
      </c>
      <c r="AH321" s="31" t="s">
        <v>1322</v>
      </c>
      <c r="AI321" s="31" t="s">
        <v>375</v>
      </c>
      <c r="AJ321" s="31" t="s">
        <v>144</v>
      </c>
      <c r="AK321" s="31" t="s">
        <v>144</v>
      </c>
      <c r="AL321" s="31" t="s">
        <v>325</v>
      </c>
      <c r="AM321" s="31" t="s">
        <v>144</v>
      </c>
      <c r="AN321" s="31" t="s">
        <v>163</v>
      </c>
      <c r="AO321" s="31" t="s">
        <v>144</v>
      </c>
      <c r="AP321" s="31" t="s">
        <v>144</v>
      </c>
    </row>
    <row r="322" spans="5:42" ht="15" customHeight="1" x14ac:dyDescent="0.25">
      <c r="E322" s="31" t="s">
        <v>134</v>
      </c>
      <c r="F322" s="31" t="s">
        <v>140</v>
      </c>
      <c r="G322" s="31" t="s">
        <v>374</v>
      </c>
      <c r="H322" s="31" t="s">
        <v>144</v>
      </c>
      <c r="I322" s="31" t="s">
        <v>481</v>
      </c>
      <c r="J322" s="31" t="s">
        <v>699</v>
      </c>
      <c r="K322" s="31" t="s">
        <v>829</v>
      </c>
      <c r="L322" s="31" t="s">
        <v>162</v>
      </c>
      <c r="M322" s="31" t="s">
        <v>144</v>
      </c>
      <c r="N322" s="31" t="s">
        <v>144</v>
      </c>
      <c r="O322" s="31">
        <v>16</v>
      </c>
      <c r="P322" s="31" t="s">
        <v>144</v>
      </c>
      <c r="Q322" s="31" t="s">
        <v>316</v>
      </c>
      <c r="R322" s="31" t="s">
        <v>477</v>
      </c>
      <c r="S322" s="31" t="s">
        <v>479</v>
      </c>
      <c r="T322" s="31" t="s">
        <v>144</v>
      </c>
      <c r="U322" s="31" t="s">
        <v>144</v>
      </c>
      <c r="V322" s="31" t="s">
        <v>144</v>
      </c>
      <c r="W322" s="31" t="s">
        <v>442</v>
      </c>
      <c r="X322" s="31" t="s">
        <v>193</v>
      </c>
      <c r="Y322" s="31" t="s">
        <v>194</v>
      </c>
      <c r="Z322" s="31" t="s">
        <v>144</v>
      </c>
      <c r="AA322" s="31" t="s">
        <v>144</v>
      </c>
      <c r="AB322" s="31" t="s">
        <v>144</v>
      </c>
      <c r="AC322" s="31" t="s">
        <v>144</v>
      </c>
      <c r="AD322" s="31" t="s">
        <v>144</v>
      </c>
      <c r="AE322" s="31" t="s">
        <v>144</v>
      </c>
      <c r="AF322" s="31" t="s">
        <v>144</v>
      </c>
      <c r="AG322" s="31" t="s">
        <v>144</v>
      </c>
      <c r="AH322" s="31" t="s">
        <v>1322</v>
      </c>
      <c r="AI322" s="31" t="s">
        <v>375</v>
      </c>
      <c r="AJ322" s="31" t="s">
        <v>144</v>
      </c>
      <c r="AK322" s="31" t="s">
        <v>144</v>
      </c>
      <c r="AL322" s="31" t="s">
        <v>325</v>
      </c>
      <c r="AM322" s="31" t="s">
        <v>144</v>
      </c>
      <c r="AN322" s="31" t="s">
        <v>163</v>
      </c>
      <c r="AO322" s="31" t="s">
        <v>144</v>
      </c>
      <c r="AP322" s="31" t="s">
        <v>144</v>
      </c>
    </row>
    <row r="323" spans="5:42" ht="15" customHeight="1" x14ac:dyDescent="0.25">
      <c r="E323" s="31" t="s">
        <v>134</v>
      </c>
      <c r="F323" s="31" t="s">
        <v>140</v>
      </c>
      <c r="G323" s="31" t="s">
        <v>374</v>
      </c>
      <c r="H323" s="31" t="s">
        <v>144</v>
      </c>
      <c r="I323" s="31" t="s">
        <v>481</v>
      </c>
      <c r="J323" s="31" t="s">
        <v>699</v>
      </c>
      <c r="K323" s="31" t="s">
        <v>830</v>
      </c>
      <c r="L323" s="31" t="s">
        <v>162</v>
      </c>
      <c r="M323" s="31" t="s">
        <v>144</v>
      </c>
      <c r="N323" s="31" t="s">
        <v>144</v>
      </c>
      <c r="O323" s="31">
        <v>16</v>
      </c>
      <c r="P323" s="31" t="s">
        <v>144</v>
      </c>
      <c r="Q323" s="31" t="s">
        <v>316</v>
      </c>
      <c r="R323" s="31" t="s">
        <v>477</v>
      </c>
      <c r="S323" s="31" t="s">
        <v>479</v>
      </c>
      <c r="T323" s="31" t="s">
        <v>144</v>
      </c>
      <c r="U323" s="31" t="s">
        <v>144</v>
      </c>
      <c r="V323" s="31" t="s">
        <v>144</v>
      </c>
      <c r="W323" s="31" t="s">
        <v>442</v>
      </c>
      <c r="X323" s="31" t="s">
        <v>193</v>
      </c>
      <c r="Y323" s="31" t="s">
        <v>194</v>
      </c>
      <c r="Z323" s="31" t="s">
        <v>144</v>
      </c>
      <c r="AA323" s="31" t="s">
        <v>144</v>
      </c>
      <c r="AB323" s="31" t="s">
        <v>144</v>
      </c>
      <c r="AC323" s="31" t="s">
        <v>144</v>
      </c>
      <c r="AD323" s="31" t="s">
        <v>144</v>
      </c>
      <c r="AE323" s="31" t="s">
        <v>144</v>
      </c>
      <c r="AF323" s="31" t="s">
        <v>144</v>
      </c>
      <c r="AG323" s="31" t="s">
        <v>144</v>
      </c>
      <c r="AH323" s="31" t="s">
        <v>1322</v>
      </c>
      <c r="AI323" s="31" t="s">
        <v>375</v>
      </c>
      <c r="AJ323" s="31" t="s">
        <v>144</v>
      </c>
      <c r="AK323" s="31" t="s">
        <v>144</v>
      </c>
      <c r="AL323" s="31" t="s">
        <v>325</v>
      </c>
      <c r="AM323" s="31" t="s">
        <v>144</v>
      </c>
      <c r="AN323" s="31" t="s">
        <v>163</v>
      </c>
      <c r="AO323" s="31" t="s">
        <v>144</v>
      </c>
      <c r="AP323" s="31" t="s">
        <v>144</v>
      </c>
    </row>
    <row r="324" spans="5:42" ht="15" customHeight="1" x14ac:dyDescent="0.25">
      <c r="E324" s="31" t="s">
        <v>134</v>
      </c>
      <c r="F324" s="31" t="s">
        <v>140</v>
      </c>
      <c r="G324" s="31" t="s">
        <v>374</v>
      </c>
      <c r="H324" s="31" t="s">
        <v>144</v>
      </c>
      <c r="I324" s="31" t="s">
        <v>481</v>
      </c>
      <c r="J324" s="31" t="s">
        <v>699</v>
      </c>
      <c r="K324" s="31" t="s">
        <v>831</v>
      </c>
      <c r="L324" s="31" t="s">
        <v>162</v>
      </c>
      <c r="M324" s="31" t="s">
        <v>144</v>
      </c>
      <c r="N324" s="31" t="s">
        <v>144</v>
      </c>
      <c r="O324" s="31">
        <v>16</v>
      </c>
      <c r="P324" s="31" t="s">
        <v>144</v>
      </c>
      <c r="Q324" s="31" t="s">
        <v>316</v>
      </c>
      <c r="R324" s="31" t="s">
        <v>477</v>
      </c>
      <c r="S324" s="31" t="s">
        <v>479</v>
      </c>
      <c r="T324" s="31" t="s">
        <v>144</v>
      </c>
      <c r="U324" s="31" t="s">
        <v>144</v>
      </c>
      <c r="V324" s="31" t="s">
        <v>144</v>
      </c>
      <c r="W324" s="31" t="s">
        <v>442</v>
      </c>
      <c r="X324" s="31" t="s">
        <v>193</v>
      </c>
      <c r="Y324" s="31" t="s">
        <v>194</v>
      </c>
      <c r="Z324" s="31" t="s">
        <v>144</v>
      </c>
      <c r="AA324" s="31" t="s">
        <v>144</v>
      </c>
      <c r="AB324" s="31" t="s">
        <v>144</v>
      </c>
      <c r="AC324" s="31" t="s">
        <v>144</v>
      </c>
      <c r="AD324" s="31" t="s">
        <v>144</v>
      </c>
      <c r="AE324" s="31" t="s">
        <v>144</v>
      </c>
      <c r="AF324" s="31" t="s">
        <v>144</v>
      </c>
      <c r="AG324" s="31" t="s">
        <v>144</v>
      </c>
      <c r="AH324" s="31" t="s">
        <v>1322</v>
      </c>
      <c r="AI324" s="31" t="s">
        <v>375</v>
      </c>
      <c r="AJ324" s="31" t="s">
        <v>144</v>
      </c>
      <c r="AK324" s="31" t="s">
        <v>144</v>
      </c>
      <c r="AL324" s="31" t="s">
        <v>325</v>
      </c>
      <c r="AM324" s="31" t="s">
        <v>144</v>
      </c>
      <c r="AN324" s="31" t="s">
        <v>163</v>
      </c>
      <c r="AO324" s="31" t="s">
        <v>144</v>
      </c>
      <c r="AP324" s="31" t="s">
        <v>144</v>
      </c>
    </row>
    <row r="325" spans="5:42" ht="15" customHeight="1" x14ac:dyDescent="0.25">
      <c r="E325" s="31" t="s">
        <v>134</v>
      </c>
      <c r="F325" s="31" t="s">
        <v>140</v>
      </c>
      <c r="G325" s="31" t="s">
        <v>374</v>
      </c>
      <c r="H325" s="31" t="s">
        <v>144</v>
      </c>
      <c r="I325" s="31" t="s">
        <v>481</v>
      </c>
      <c r="J325" s="31" t="s">
        <v>699</v>
      </c>
      <c r="K325" s="31" t="s">
        <v>832</v>
      </c>
      <c r="L325" s="31" t="s">
        <v>162</v>
      </c>
      <c r="M325" s="31" t="s">
        <v>144</v>
      </c>
      <c r="N325" s="31" t="s">
        <v>144</v>
      </c>
      <c r="O325" s="31">
        <v>16</v>
      </c>
      <c r="P325" s="31" t="s">
        <v>144</v>
      </c>
      <c r="Q325" s="31" t="s">
        <v>316</v>
      </c>
      <c r="R325" s="31" t="s">
        <v>477</v>
      </c>
      <c r="S325" s="31" t="s">
        <v>479</v>
      </c>
      <c r="T325" s="31" t="s">
        <v>144</v>
      </c>
      <c r="U325" s="31" t="s">
        <v>144</v>
      </c>
      <c r="V325" s="31" t="s">
        <v>144</v>
      </c>
      <c r="W325" s="31" t="s">
        <v>442</v>
      </c>
      <c r="X325" s="31" t="s">
        <v>193</v>
      </c>
      <c r="Y325" s="31" t="s">
        <v>194</v>
      </c>
      <c r="Z325" s="31" t="s">
        <v>144</v>
      </c>
      <c r="AA325" s="31" t="s">
        <v>144</v>
      </c>
      <c r="AB325" s="31" t="s">
        <v>144</v>
      </c>
      <c r="AC325" s="31" t="s">
        <v>144</v>
      </c>
      <c r="AD325" s="31" t="s">
        <v>144</v>
      </c>
      <c r="AE325" s="31" t="s">
        <v>144</v>
      </c>
      <c r="AF325" s="31" t="s">
        <v>144</v>
      </c>
      <c r="AG325" s="31" t="s">
        <v>144</v>
      </c>
      <c r="AH325" s="31" t="s">
        <v>1322</v>
      </c>
      <c r="AI325" s="31" t="s">
        <v>375</v>
      </c>
      <c r="AJ325" s="31" t="s">
        <v>144</v>
      </c>
      <c r="AK325" s="31" t="s">
        <v>144</v>
      </c>
      <c r="AL325" s="31" t="s">
        <v>325</v>
      </c>
      <c r="AM325" s="31" t="s">
        <v>144</v>
      </c>
      <c r="AN325" s="31" t="s">
        <v>163</v>
      </c>
      <c r="AO325" s="31" t="s">
        <v>144</v>
      </c>
      <c r="AP325" s="31" t="s">
        <v>144</v>
      </c>
    </row>
    <row r="326" spans="5:42" ht="15" customHeight="1" x14ac:dyDescent="0.25">
      <c r="E326" s="31" t="s">
        <v>134</v>
      </c>
      <c r="F326" s="31" t="s">
        <v>140</v>
      </c>
      <c r="G326" s="31" t="s">
        <v>374</v>
      </c>
      <c r="H326" s="31" t="s">
        <v>144</v>
      </c>
      <c r="I326" s="31" t="s">
        <v>481</v>
      </c>
      <c r="J326" s="31" t="s">
        <v>699</v>
      </c>
      <c r="K326" s="31" t="s">
        <v>833</v>
      </c>
      <c r="L326" s="31" t="s">
        <v>162</v>
      </c>
      <c r="M326" s="31" t="s">
        <v>144</v>
      </c>
      <c r="N326" s="31" t="s">
        <v>144</v>
      </c>
      <c r="O326" s="31">
        <v>16</v>
      </c>
      <c r="P326" s="31" t="s">
        <v>144</v>
      </c>
      <c r="Q326" s="31" t="s">
        <v>316</v>
      </c>
      <c r="R326" s="31" t="s">
        <v>477</v>
      </c>
      <c r="S326" s="31" t="s">
        <v>479</v>
      </c>
      <c r="T326" s="31" t="s">
        <v>144</v>
      </c>
      <c r="U326" s="31" t="s">
        <v>144</v>
      </c>
      <c r="V326" s="31" t="s">
        <v>144</v>
      </c>
      <c r="W326" s="31" t="s">
        <v>442</v>
      </c>
      <c r="X326" s="31" t="s">
        <v>193</v>
      </c>
      <c r="Y326" s="31" t="s">
        <v>194</v>
      </c>
      <c r="Z326" s="31" t="s">
        <v>144</v>
      </c>
      <c r="AA326" s="31" t="s">
        <v>144</v>
      </c>
      <c r="AB326" s="31" t="s">
        <v>144</v>
      </c>
      <c r="AC326" s="31" t="s">
        <v>144</v>
      </c>
      <c r="AD326" s="31" t="s">
        <v>144</v>
      </c>
      <c r="AE326" s="31" t="s">
        <v>144</v>
      </c>
      <c r="AF326" s="31" t="s">
        <v>144</v>
      </c>
      <c r="AG326" s="31" t="s">
        <v>144</v>
      </c>
      <c r="AH326" s="31" t="s">
        <v>1322</v>
      </c>
      <c r="AI326" s="31" t="s">
        <v>375</v>
      </c>
      <c r="AJ326" s="31" t="s">
        <v>144</v>
      </c>
      <c r="AK326" s="31" t="s">
        <v>144</v>
      </c>
      <c r="AL326" s="31" t="s">
        <v>325</v>
      </c>
      <c r="AM326" s="31" t="s">
        <v>144</v>
      </c>
      <c r="AN326" s="31" t="s">
        <v>163</v>
      </c>
      <c r="AO326" s="31" t="s">
        <v>144</v>
      </c>
      <c r="AP326" s="31" t="s">
        <v>144</v>
      </c>
    </row>
    <row r="327" spans="5:42" ht="15" customHeight="1" x14ac:dyDescent="0.25">
      <c r="E327" s="31" t="s">
        <v>134</v>
      </c>
      <c r="F327" s="31" t="s">
        <v>140</v>
      </c>
      <c r="G327" s="31" t="s">
        <v>374</v>
      </c>
      <c r="H327" s="31" t="s">
        <v>144</v>
      </c>
      <c r="I327" s="31" t="s">
        <v>481</v>
      </c>
      <c r="J327" s="31" t="s">
        <v>699</v>
      </c>
      <c r="K327" s="31" t="s">
        <v>834</v>
      </c>
      <c r="L327" s="31" t="s">
        <v>162</v>
      </c>
      <c r="M327" s="31" t="s">
        <v>144</v>
      </c>
      <c r="N327" s="31" t="s">
        <v>144</v>
      </c>
      <c r="O327" s="31">
        <v>16</v>
      </c>
      <c r="P327" s="31" t="s">
        <v>144</v>
      </c>
      <c r="Q327" s="31" t="s">
        <v>316</v>
      </c>
      <c r="R327" s="31" t="s">
        <v>477</v>
      </c>
      <c r="S327" s="31" t="s">
        <v>479</v>
      </c>
      <c r="T327" s="31" t="s">
        <v>144</v>
      </c>
      <c r="U327" s="31" t="s">
        <v>144</v>
      </c>
      <c r="V327" s="31" t="s">
        <v>144</v>
      </c>
      <c r="W327" s="31" t="s">
        <v>442</v>
      </c>
      <c r="X327" s="31" t="s">
        <v>193</v>
      </c>
      <c r="Y327" s="31" t="s">
        <v>194</v>
      </c>
      <c r="Z327" s="31" t="s">
        <v>144</v>
      </c>
      <c r="AA327" s="31" t="s">
        <v>144</v>
      </c>
      <c r="AB327" s="31" t="s">
        <v>144</v>
      </c>
      <c r="AC327" s="31" t="s">
        <v>144</v>
      </c>
      <c r="AD327" s="31" t="s">
        <v>144</v>
      </c>
      <c r="AE327" s="31" t="s">
        <v>144</v>
      </c>
      <c r="AF327" s="31" t="s">
        <v>144</v>
      </c>
      <c r="AG327" s="31" t="s">
        <v>144</v>
      </c>
      <c r="AH327" s="31" t="s">
        <v>1322</v>
      </c>
      <c r="AI327" s="31" t="s">
        <v>375</v>
      </c>
      <c r="AJ327" s="31" t="s">
        <v>144</v>
      </c>
      <c r="AK327" s="31" t="s">
        <v>144</v>
      </c>
      <c r="AL327" s="31" t="s">
        <v>325</v>
      </c>
      <c r="AM327" s="31" t="s">
        <v>144</v>
      </c>
      <c r="AN327" s="31" t="s">
        <v>163</v>
      </c>
      <c r="AO327" s="31" t="s">
        <v>144</v>
      </c>
      <c r="AP327" s="31" t="s">
        <v>144</v>
      </c>
    </row>
    <row r="328" spans="5:42" ht="15" customHeight="1" x14ac:dyDescent="0.25">
      <c r="E328" s="31" t="s">
        <v>134</v>
      </c>
      <c r="F328" s="31" t="s">
        <v>140</v>
      </c>
      <c r="G328" s="31" t="s">
        <v>374</v>
      </c>
      <c r="H328" s="31" t="s">
        <v>144</v>
      </c>
      <c r="I328" s="31" t="s">
        <v>481</v>
      </c>
      <c r="J328" s="31" t="s">
        <v>699</v>
      </c>
      <c r="K328" s="31" t="s">
        <v>835</v>
      </c>
      <c r="L328" s="31" t="s">
        <v>162</v>
      </c>
      <c r="M328" s="31" t="s">
        <v>144</v>
      </c>
      <c r="N328" s="31" t="s">
        <v>144</v>
      </c>
      <c r="O328" s="31">
        <v>16</v>
      </c>
      <c r="P328" s="31" t="s">
        <v>144</v>
      </c>
      <c r="Q328" s="31" t="s">
        <v>316</v>
      </c>
      <c r="R328" s="31" t="s">
        <v>477</v>
      </c>
      <c r="S328" s="31" t="s">
        <v>479</v>
      </c>
      <c r="T328" s="31" t="s">
        <v>144</v>
      </c>
      <c r="U328" s="31" t="s">
        <v>144</v>
      </c>
      <c r="V328" s="31" t="s">
        <v>144</v>
      </c>
      <c r="W328" s="31" t="s">
        <v>442</v>
      </c>
      <c r="X328" s="31" t="s">
        <v>193</v>
      </c>
      <c r="Y328" s="31" t="s">
        <v>194</v>
      </c>
      <c r="Z328" s="31" t="s">
        <v>144</v>
      </c>
      <c r="AA328" s="31" t="s">
        <v>144</v>
      </c>
      <c r="AB328" s="31" t="s">
        <v>144</v>
      </c>
      <c r="AC328" s="31" t="s">
        <v>144</v>
      </c>
      <c r="AD328" s="31" t="s">
        <v>144</v>
      </c>
      <c r="AE328" s="31" t="s">
        <v>144</v>
      </c>
      <c r="AF328" s="31" t="s">
        <v>144</v>
      </c>
      <c r="AG328" s="31" t="s">
        <v>144</v>
      </c>
      <c r="AH328" s="31" t="s">
        <v>1322</v>
      </c>
      <c r="AI328" s="31" t="s">
        <v>375</v>
      </c>
      <c r="AJ328" s="31" t="s">
        <v>144</v>
      </c>
      <c r="AK328" s="31" t="s">
        <v>144</v>
      </c>
      <c r="AL328" s="31" t="s">
        <v>325</v>
      </c>
      <c r="AM328" s="31" t="s">
        <v>144</v>
      </c>
      <c r="AN328" s="31" t="s">
        <v>163</v>
      </c>
      <c r="AO328" s="31" t="s">
        <v>144</v>
      </c>
      <c r="AP328" s="31" t="s">
        <v>144</v>
      </c>
    </row>
    <row r="329" spans="5:42" ht="15" customHeight="1" x14ac:dyDescent="0.25">
      <c r="E329" s="31" t="s">
        <v>134</v>
      </c>
      <c r="F329" s="31" t="s">
        <v>140</v>
      </c>
      <c r="G329" s="31" t="s">
        <v>374</v>
      </c>
      <c r="H329" s="31" t="s">
        <v>144</v>
      </c>
      <c r="I329" s="31" t="s">
        <v>481</v>
      </c>
      <c r="J329" s="31" t="s">
        <v>699</v>
      </c>
      <c r="K329" s="31" t="s">
        <v>836</v>
      </c>
      <c r="L329" s="31" t="s">
        <v>162</v>
      </c>
      <c r="M329" s="31" t="s">
        <v>144</v>
      </c>
      <c r="N329" s="31" t="s">
        <v>144</v>
      </c>
      <c r="O329" s="31">
        <v>16</v>
      </c>
      <c r="P329" s="31" t="s">
        <v>144</v>
      </c>
      <c r="Q329" s="31" t="s">
        <v>316</v>
      </c>
      <c r="R329" s="31" t="s">
        <v>477</v>
      </c>
      <c r="S329" s="31" t="s">
        <v>479</v>
      </c>
      <c r="T329" s="31" t="s">
        <v>144</v>
      </c>
      <c r="U329" s="31" t="s">
        <v>144</v>
      </c>
      <c r="V329" s="31" t="s">
        <v>144</v>
      </c>
      <c r="W329" s="31" t="s">
        <v>442</v>
      </c>
      <c r="X329" s="31" t="s">
        <v>193</v>
      </c>
      <c r="Y329" s="31" t="s">
        <v>194</v>
      </c>
      <c r="Z329" s="31" t="s">
        <v>144</v>
      </c>
      <c r="AA329" s="31" t="s">
        <v>144</v>
      </c>
      <c r="AB329" s="31" t="s">
        <v>144</v>
      </c>
      <c r="AC329" s="31" t="s">
        <v>144</v>
      </c>
      <c r="AD329" s="31" t="s">
        <v>144</v>
      </c>
      <c r="AE329" s="31" t="s">
        <v>144</v>
      </c>
      <c r="AF329" s="31" t="s">
        <v>144</v>
      </c>
      <c r="AG329" s="31" t="s">
        <v>144</v>
      </c>
      <c r="AH329" s="31" t="s">
        <v>1322</v>
      </c>
      <c r="AI329" s="31" t="s">
        <v>375</v>
      </c>
      <c r="AJ329" s="31" t="s">
        <v>144</v>
      </c>
      <c r="AK329" s="31" t="s">
        <v>144</v>
      </c>
      <c r="AL329" s="31" t="s">
        <v>325</v>
      </c>
      <c r="AM329" s="31" t="s">
        <v>144</v>
      </c>
      <c r="AN329" s="31" t="s">
        <v>163</v>
      </c>
      <c r="AO329" s="31" t="s">
        <v>144</v>
      </c>
      <c r="AP329" s="31" t="s">
        <v>144</v>
      </c>
    </row>
    <row r="330" spans="5:42" ht="15" customHeight="1" x14ac:dyDescent="0.25">
      <c r="E330" s="31" t="s">
        <v>134</v>
      </c>
      <c r="F330" s="31" t="s">
        <v>140</v>
      </c>
      <c r="G330" s="31" t="s">
        <v>374</v>
      </c>
      <c r="H330" s="31" t="s">
        <v>144</v>
      </c>
      <c r="I330" s="31" t="s">
        <v>481</v>
      </c>
      <c r="J330" s="31" t="s">
        <v>699</v>
      </c>
      <c r="K330" s="31" t="s">
        <v>837</v>
      </c>
      <c r="L330" s="31" t="s">
        <v>162</v>
      </c>
      <c r="M330" s="31" t="s">
        <v>144</v>
      </c>
      <c r="N330" s="31" t="s">
        <v>144</v>
      </c>
      <c r="O330" s="31">
        <v>16</v>
      </c>
      <c r="P330" s="31" t="s">
        <v>144</v>
      </c>
      <c r="Q330" s="31" t="s">
        <v>316</v>
      </c>
      <c r="R330" s="31" t="s">
        <v>477</v>
      </c>
      <c r="S330" s="31" t="s">
        <v>479</v>
      </c>
      <c r="T330" s="31" t="s">
        <v>144</v>
      </c>
      <c r="U330" s="31" t="s">
        <v>144</v>
      </c>
      <c r="V330" s="31" t="s">
        <v>144</v>
      </c>
      <c r="W330" s="31" t="s">
        <v>442</v>
      </c>
      <c r="X330" s="31" t="s">
        <v>193</v>
      </c>
      <c r="Y330" s="31" t="s">
        <v>194</v>
      </c>
      <c r="Z330" s="31" t="s">
        <v>144</v>
      </c>
      <c r="AA330" s="31" t="s">
        <v>144</v>
      </c>
      <c r="AB330" s="31" t="s">
        <v>144</v>
      </c>
      <c r="AC330" s="31" t="s">
        <v>144</v>
      </c>
      <c r="AD330" s="31" t="s">
        <v>144</v>
      </c>
      <c r="AE330" s="31" t="s">
        <v>144</v>
      </c>
      <c r="AF330" s="31" t="s">
        <v>144</v>
      </c>
      <c r="AG330" s="31" t="s">
        <v>144</v>
      </c>
      <c r="AH330" s="31" t="s">
        <v>1322</v>
      </c>
      <c r="AI330" s="31" t="s">
        <v>375</v>
      </c>
      <c r="AJ330" s="31" t="s">
        <v>144</v>
      </c>
      <c r="AK330" s="31" t="s">
        <v>144</v>
      </c>
      <c r="AL330" s="31" t="s">
        <v>325</v>
      </c>
      <c r="AM330" s="31" t="s">
        <v>144</v>
      </c>
      <c r="AN330" s="31" t="s">
        <v>163</v>
      </c>
      <c r="AO330" s="31" t="s">
        <v>144</v>
      </c>
      <c r="AP330" s="31" t="s">
        <v>144</v>
      </c>
    </row>
    <row r="331" spans="5:42" ht="15" customHeight="1" x14ac:dyDescent="0.25">
      <c r="E331" s="31" t="s">
        <v>134</v>
      </c>
      <c r="F331" s="31" t="s">
        <v>140</v>
      </c>
      <c r="G331" s="31" t="s">
        <v>374</v>
      </c>
      <c r="H331" s="31" t="s">
        <v>144</v>
      </c>
      <c r="I331" s="31" t="s">
        <v>481</v>
      </c>
      <c r="J331" s="31" t="s">
        <v>699</v>
      </c>
      <c r="K331" s="31" t="s">
        <v>838</v>
      </c>
      <c r="L331" s="31" t="s">
        <v>162</v>
      </c>
      <c r="M331" s="31" t="s">
        <v>144</v>
      </c>
      <c r="N331" s="31" t="s">
        <v>144</v>
      </c>
      <c r="O331" s="31">
        <v>16</v>
      </c>
      <c r="P331" s="31" t="s">
        <v>144</v>
      </c>
      <c r="Q331" s="31" t="s">
        <v>316</v>
      </c>
      <c r="R331" s="31" t="s">
        <v>477</v>
      </c>
      <c r="S331" s="31" t="s">
        <v>479</v>
      </c>
      <c r="T331" s="31" t="s">
        <v>144</v>
      </c>
      <c r="U331" s="31" t="s">
        <v>144</v>
      </c>
      <c r="V331" s="31" t="s">
        <v>144</v>
      </c>
      <c r="W331" s="31" t="s">
        <v>442</v>
      </c>
      <c r="X331" s="31" t="s">
        <v>193</v>
      </c>
      <c r="Y331" s="31" t="s">
        <v>194</v>
      </c>
      <c r="Z331" s="31" t="s">
        <v>144</v>
      </c>
      <c r="AA331" s="31" t="s">
        <v>144</v>
      </c>
      <c r="AB331" s="31" t="s">
        <v>144</v>
      </c>
      <c r="AC331" s="31" t="s">
        <v>144</v>
      </c>
      <c r="AD331" s="31" t="s">
        <v>144</v>
      </c>
      <c r="AE331" s="31" t="s">
        <v>144</v>
      </c>
      <c r="AF331" s="31" t="s">
        <v>144</v>
      </c>
      <c r="AG331" s="31" t="s">
        <v>144</v>
      </c>
      <c r="AH331" s="31" t="s">
        <v>1322</v>
      </c>
      <c r="AI331" s="31" t="s">
        <v>375</v>
      </c>
      <c r="AJ331" s="31" t="s">
        <v>144</v>
      </c>
      <c r="AK331" s="31" t="s">
        <v>144</v>
      </c>
      <c r="AL331" s="31" t="s">
        <v>325</v>
      </c>
      <c r="AM331" s="31" t="s">
        <v>144</v>
      </c>
      <c r="AN331" s="31" t="s">
        <v>163</v>
      </c>
      <c r="AO331" s="31" t="s">
        <v>144</v>
      </c>
      <c r="AP331" s="31" t="s">
        <v>144</v>
      </c>
    </row>
    <row r="332" spans="5:42" ht="15" customHeight="1" x14ac:dyDescent="0.25">
      <c r="E332" s="31" t="s">
        <v>134</v>
      </c>
      <c r="F332" s="31" t="s">
        <v>140</v>
      </c>
      <c r="G332" s="31" t="s">
        <v>374</v>
      </c>
      <c r="H332" s="31" t="s">
        <v>144</v>
      </c>
      <c r="I332" s="31" t="s">
        <v>481</v>
      </c>
      <c r="J332" s="31" t="s">
        <v>699</v>
      </c>
      <c r="K332" s="31" t="s">
        <v>839</v>
      </c>
      <c r="L332" s="31" t="s">
        <v>162</v>
      </c>
      <c r="M332" s="31" t="s">
        <v>144</v>
      </c>
      <c r="N332" s="31" t="s">
        <v>144</v>
      </c>
      <c r="O332" s="31">
        <v>16</v>
      </c>
      <c r="P332" s="31" t="s">
        <v>144</v>
      </c>
      <c r="Q332" s="31" t="s">
        <v>316</v>
      </c>
      <c r="R332" s="31" t="s">
        <v>477</v>
      </c>
      <c r="S332" s="31" t="s">
        <v>479</v>
      </c>
      <c r="T332" s="31" t="s">
        <v>144</v>
      </c>
      <c r="U332" s="31" t="s">
        <v>144</v>
      </c>
      <c r="V332" s="31" t="s">
        <v>144</v>
      </c>
      <c r="W332" s="31" t="s">
        <v>442</v>
      </c>
      <c r="X332" s="31" t="s">
        <v>193</v>
      </c>
      <c r="Y332" s="31" t="s">
        <v>194</v>
      </c>
      <c r="Z332" s="31" t="s">
        <v>144</v>
      </c>
      <c r="AA332" s="31" t="s">
        <v>144</v>
      </c>
      <c r="AB332" s="31" t="s">
        <v>144</v>
      </c>
      <c r="AC332" s="31" t="s">
        <v>144</v>
      </c>
      <c r="AD332" s="31" t="s">
        <v>144</v>
      </c>
      <c r="AE332" s="31" t="s">
        <v>144</v>
      </c>
      <c r="AF332" s="31" t="s">
        <v>144</v>
      </c>
      <c r="AG332" s="31" t="s">
        <v>144</v>
      </c>
      <c r="AH332" s="31" t="s">
        <v>1322</v>
      </c>
      <c r="AI332" s="31" t="s">
        <v>375</v>
      </c>
      <c r="AJ332" s="31" t="s">
        <v>144</v>
      </c>
      <c r="AK332" s="31" t="s">
        <v>144</v>
      </c>
      <c r="AL332" s="31" t="s">
        <v>325</v>
      </c>
      <c r="AM332" s="31" t="s">
        <v>144</v>
      </c>
      <c r="AN332" s="31" t="s">
        <v>163</v>
      </c>
      <c r="AO332" s="31" t="s">
        <v>144</v>
      </c>
      <c r="AP332" s="31" t="s">
        <v>144</v>
      </c>
    </row>
    <row r="333" spans="5:42" ht="15" customHeight="1" x14ac:dyDescent="0.25">
      <c r="E333" s="31" t="s">
        <v>134</v>
      </c>
      <c r="F333" s="31" t="s">
        <v>140</v>
      </c>
      <c r="G333" s="31" t="s">
        <v>374</v>
      </c>
      <c r="H333" s="31" t="s">
        <v>144</v>
      </c>
      <c r="I333" s="31" t="s">
        <v>481</v>
      </c>
      <c r="J333" s="31" t="s">
        <v>699</v>
      </c>
      <c r="K333" s="31" t="s">
        <v>840</v>
      </c>
      <c r="L333" s="31" t="s">
        <v>162</v>
      </c>
      <c r="M333" s="31" t="s">
        <v>144</v>
      </c>
      <c r="N333" s="31" t="s">
        <v>144</v>
      </c>
      <c r="O333" s="31">
        <v>16</v>
      </c>
      <c r="P333" s="31" t="s">
        <v>144</v>
      </c>
      <c r="Q333" s="31" t="s">
        <v>316</v>
      </c>
      <c r="R333" s="31" t="s">
        <v>477</v>
      </c>
      <c r="S333" s="31" t="s">
        <v>479</v>
      </c>
      <c r="T333" s="31" t="s">
        <v>144</v>
      </c>
      <c r="U333" s="31" t="s">
        <v>144</v>
      </c>
      <c r="V333" s="31" t="s">
        <v>144</v>
      </c>
      <c r="W333" s="31" t="s">
        <v>442</v>
      </c>
      <c r="X333" s="31" t="s">
        <v>193</v>
      </c>
      <c r="Y333" s="31" t="s">
        <v>194</v>
      </c>
      <c r="Z333" s="31" t="s">
        <v>144</v>
      </c>
      <c r="AA333" s="31" t="s">
        <v>144</v>
      </c>
      <c r="AB333" s="31" t="s">
        <v>144</v>
      </c>
      <c r="AC333" s="31" t="s">
        <v>144</v>
      </c>
      <c r="AD333" s="31" t="s">
        <v>144</v>
      </c>
      <c r="AE333" s="31" t="s">
        <v>144</v>
      </c>
      <c r="AF333" s="31" t="s">
        <v>144</v>
      </c>
      <c r="AG333" s="31" t="s">
        <v>144</v>
      </c>
      <c r="AH333" s="31" t="s">
        <v>1322</v>
      </c>
      <c r="AI333" s="31" t="s">
        <v>375</v>
      </c>
      <c r="AJ333" s="31" t="s">
        <v>144</v>
      </c>
      <c r="AK333" s="31" t="s">
        <v>144</v>
      </c>
      <c r="AL333" s="31" t="s">
        <v>325</v>
      </c>
      <c r="AM333" s="31" t="s">
        <v>144</v>
      </c>
      <c r="AN333" s="31" t="s">
        <v>163</v>
      </c>
      <c r="AO333" s="31" t="s">
        <v>144</v>
      </c>
      <c r="AP333" s="31" t="s">
        <v>144</v>
      </c>
    </row>
    <row r="334" spans="5:42" ht="15" customHeight="1" x14ac:dyDescent="0.25">
      <c r="E334" s="31" t="s">
        <v>134</v>
      </c>
      <c r="F334" s="31" t="s">
        <v>140</v>
      </c>
      <c r="G334" s="31" t="s">
        <v>374</v>
      </c>
      <c r="H334" s="31" t="s">
        <v>144</v>
      </c>
      <c r="I334" s="31" t="s">
        <v>481</v>
      </c>
      <c r="J334" s="31" t="s">
        <v>699</v>
      </c>
      <c r="K334" s="31" t="s">
        <v>841</v>
      </c>
      <c r="L334" s="31" t="s">
        <v>162</v>
      </c>
      <c r="M334" s="31" t="s">
        <v>144</v>
      </c>
      <c r="N334" s="31" t="s">
        <v>144</v>
      </c>
      <c r="O334" s="31">
        <v>16</v>
      </c>
      <c r="P334" s="31" t="s">
        <v>144</v>
      </c>
      <c r="Q334" s="31" t="s">
        <v>316</v>
      </c>
      <c r="R334" s="31" t="s">
        <v>477</v>
      </c>
      <c r="S334" s="31" t="s">
        <v>479</v>
      </c>
      <c r="T334" s="31" t="s">
        <v>144</v>
      </c>
      <c r="U334" s="31" t="s">
        <v>144</v>
      </c>
      <c r="V334" s="31" t="s">
        <v>144</v>
      </c>
      <c r="W334" s="31" t="s">
        <v>442</v>
      </c>
      <c r="X334" s="31" t="s">
        <v>193</v>
      </c>
      <c r="Y334" s="31" t="s">
        <v>194</v>
      </c>
      <c r="Z334" s="31" t="s">
        <v>144</v>
      </c>
      <c r="AA334" s="31" t="s">
        <v>144</v>
      </c>
      <c r="AB334" s="31" t="s">
        <v>144</v>
      </c>
      <c r="AC334" s="31" t="s">
        <v>144</v>
      </c>
      <c r="AD334" s="31" t="s">
        <v>144</v>
      </c>
      <c r="AE334" s="31" t="s">
        <v>144</v>
      </c>
      <c r="AF334" s="31" t="s">
        <v>144</v>
      </c>
      <c r="AG334" s="31" t="s">
        <v>144</v>
      </c>
      <c r="AH334" s="31" t="s">
        <v>1322</v>
      </c>
      <c r="AI334" s="31" t="s">
        <v>375</v>
      </c>
      <c r="AJ334" s="31" t="s">
        <v>144</v>
      </c>
      <c r="AK334" s="31" t="s">
        <v>144</v>
      </c>
      <c r="AL334" s="31" t="s">
        <v>325</v>
      </c>
      <c r="AM334" s="31" t="s">
        <v>144</v>
      </c>
      <c r="AN334" s="31" t="s">
        <v>163</v>
      </c>
      <c r="AO334" s="31" t="s">
        <v>144</v>
      </c>
      <c r="AP334" s="31" t="s">
        <v>144</v>
      </c>
    </row>
    <row r="335" spans="5:42" ht="15" customHeight="1" x14ac:dyDescent="0.25">
      <c r="E335" s="31" t="s">
        <v>134</v>
      </c>
      <c r="F335" s="31" t="s">
        <v>140</v>
      </c>
      <c r="G335" s="31" t="s">
        <v>374</v>
      </c>
      <c r="H335" s="31" t="s">
        <v>144</v>
      </c>
      <c r="I335" s="31" t="s">
        <v>481</v>
      </c>
      <c r="J335" s="31" t="s">
        <v>699</v>
      </c>
      <c r="K335" s="31" t="s">
        <v>842</v>
      </c>
      <c r="L335" s="31" t="s">
        <v>162</v>
      </c>
      <c r="M335" s="31" t="s">
        <v>144</v>
      </c>
      <c r="N335" s="31" t="s">
        <v>144</v>
      </c>
      <c r="O335" s="31">
        <v>16</v>
      </c>
      <c r="P335" s="31" t="s">
        <v>144</v>
      </c>
      <c r="Q335" s="31" t="s">
        <v>316</v>
      </c>
      <c r="R335" s="31" t="s">
        <v>477</v>
      </c>
      <c r="S335" s="31" t="s">
        <v>479</v>
      </c>
      <c r="T335" s="31" t="s">
        <v>144</v>
      </c>
      <c r="U335" s="31" t="s">
        <v>144</v>
      </c>
      <c r="V335" s="31" t="s">
        <v>144</v>
      </c>
      <c r="W335" s="31" t="s">
        <v>442</v>
      </c>
      <c r="X335" s="31" t="s">
        <v>193</v>
      </c>
      <c r="Y335" s="31" t="s">
        <v>194</v>
      </c>
      <c r="Z335" s="31" t="s">
        <v>144</v>
      </c>
      <c r="AA335" s="31" t="s">
        <v>144</v>
      </c>
      <c r="AB335" s="31" t="s">
        <v>144</v>
      </c>
      <c r="AC335" s="31" t="s">
        <v>144</v>
      </c>
      <c r="AD335" s="31" t="s">
        <v>144</v>
      </c>
      <c r="AE335" s="31" t="s">
        <v>144</v>
      </c>
      <c r="AF335" s="31" t="s">
        <v>144</v>
      </c>
      <c r="AG335" s="31" t="s">
        <v>144</v>
      </c>
      <c r="AH335" s="31" t="s">
        <v>1322</v>
      </c>
      <c r="AI335" s="31" t="s">
        <v>375</v>
      </c>
      <c r="AJ335" s="31" t="s">
        <v>144</v>
      </c>
      <c r="AK335" s="31" t="s">
        <v>144</v>
      </c>
      <c r="AL335" s="31" t="s">
        <v>325</v>
      </c>
      <c r="AM335" s="31" t="s">
        <v>144</v>
      </c>
      <c r="AN335" s="31" t="s">
        <v>163</v>
      </c>
      <c r="AO335" s="31" t="s">
        <v>144</v>
      </c>
      <c r="AP335" s="31" t="s">
        <v>144</v>
      </c>
    </row>
    <row r="336" spans="5:42" ht="15" customHeight="1" x14ac:dyDescent="0.25">
      <c r="E336" s="31" t="s">
        <v>134</v>
      </c>
      <c r="F336" s="31" t="s">
        <v>140</v>
      </c>
      <c r="G336" s="31" t="s">
        <v>374</v>
      </c>
      <c r="H336" s="31" t="s">
        <v>144</v>
      </c>
      <c r="I336" s="31" t="s">
        <v>481</v>
      </c>
      <c r="J336" s="31" t="s">
        <v>699</v>
      </c>
      <c r="K336" s="31" t="s">
        <v>843</v>
      </c>
      <c r="L336" s="31" t="s">
        <v>162</v>
      </c>
      <c r="M336" s="31" t="s">
        <v>144</v>
      </c>
      <c r="N336" s="31" t="s">
        <v>144</v>
      </c>
      <c r="O336" s="31">
        <v>16</v>
      </c>
      <c r="P336" s="31" t="s">
        <v>144</v>
      </c>
      <c r="Q336" s="31" t="s">
        <v>316</v>
      </c>
      <c r="R336" s="31" t="s">
        <v>477</v>
      </c>
      <c r="S336" s="31" t="s">
        <v>479</v>
      </c>
      <c r="T336" s="31" t="s">
        <v>144</v>
      </c>
      <c r="U336" s="31" t="s">
        <v>144</v>
      </c>
      <c r="V336" s="31" t="s">
        <v>144</v>
      </c>
      <c r="W336" s="31" t="s">
        <v>442</v>
      </c>
      <c r="X336" s="31" t="s">
        <v>193</v>
      </c>
      <c r="Y336" s="31" t="s">
        <v>194</v>
      </c>
      <c r="Z336" s="31" t="s">
        <v>144</v>
      </c>
      <c r="AA336" s="31" t="s">
        <v>144</v>
      </c>
      <c r="AB336" s="31" t="s">
        <v>144</v>
      </c>
      <c r="AC336" s="31" t="s">
        <v>144</v>
      </c>
      <c r="AD336" s="31" t="s">
        <v>144</v>
      </c>
      <c r="AE336" s="31" t="s">
        <v>144</v>
      </c>
      <c r="AF336" s="31" t="s">
        <v>144</v>
      </c>
      <c r="AG336" s="31" t="s">
        <v>144</v>
      </c>
      <c r="AH336" s="31" t="s">
        <v>1322</v>
      </c>
      <c r="AI336" s="31" t="s">
        <v>375</v>
      </c>
      <c r="AJ336" s="31" t="s">
        <v>144</v>
      </c>
      <c r="AK336" s="31" t="s">
        <v>144</v>
      </c>
      <c r="AL336" s="31" t="s">
        <v>325</v>
      </c>
      <c r="AM336" s="31" t="s">
        <v>144</v>
      </c>
      <c r="AN336" s="31" t="s">
        <v>163</v>
      </c>
      <c r="AO336" s="31" t="s">
        <v>144</v>
      </c>
      <c r="AP336" s="31" t="s">
        <v>144</v>
      </c>
    </row>
    <row r="337" spans="5:47" ht="15" customHeight="1" x14ac:dyDescent="0.25">
      <c r="E337" s="31" t="s">
        <v>134</v>
      </c>
      <c r="F337" s="31" t="s">
        <v>140</v>
      </c>
      <c r="G337" s="31" t="s">
        <v>374</v>
      </c>
      <c r="H337" s="31" t="s">
        <v>144</v>
      </c>
      <c r="I337" s="31" t="s">
        <v>481</v>
      </c>
      <c r="J337" s="31" t="s">
        <v>699</v>
      </c>
      <c r="K337" s="31" t="s">
        <v>844</v>
      </c>
      <c r="L337" s="31" t="s">
        <v>162</v>
      </c>
      <c r="M337" s="31" t="s">
        <v>144</v>
      </c>
      <c r="N337" s="31" t="s">
        <v>144</v>
      </c>
      <c r="O337" s="31">
        <v>16</v>
      </c>
      <c r="P337" s="31" t="s">
        <v>144</v>
      </c>
      <c r="Q337" s="31" t="s">
        <v>316</v>
      </c>
      <c r="R337" s="31" t="s">
        <v>477</v>
      </c>
      <c r="S337" s="31" t="s">
        <v>479</v>
      </c>
      <c r="T337" s="31" t="s">
        <v>144</v>
      </c>
      <c r="U337" s="31" t="s">
        <v>144</v>
      </c>
      <c r="V337" s="31" t="s">
        <v>144</v>
      </c>
      <c r="W337" s="31" t="s">
        <v>442</v>
      </c>
      <c r="X337" s="31" t="s">
        <v>193</v>
      </c>
      <c r="Y337" s="31" t="s">
        <v>194</v>
      </c>
      <c r="Z337" s="31" t="s">
        <v>144</v>
      </c>
      <c r="AA337" s="31" t="s">
        <v>144</v>
      </c>
      <c r="AB337" s="31" t="s">
        <v>144</v>
      </c>
      <c r="AC337" s="31" t="s">
        <v>144</v>
      </c>
      <c r="AD337" s="31" t="s">
        <v>144</v>
      </c>
      <c r="AE337" s="31" t="s">
        <v>144</v>
      </c>
      <c r="AF337" s="31" t="s">
        <v>144</v>
      </c>
      <c r="AG337" s="31" t="s">
        <v>144</v>
      </c>
      <c r="AH337" s="31" t="s">
        <v>1322</v>
      </c>
      <c r="AI337" s="31" t="s">
        <v>375</v>
      </c>
      <c r="AJ337" s="31" t="s">
        <v>144</v>
      </c>
      <c r="AK337" s="31" t="s">
        <v>144</v>
      </c>
      <c r="AL337" s="31" t="s">
        <v>325</v>
      </c>
      <c r="AM337" s="31" t="s">
        <v>144</v>
      </c>
      <c r="AN337" s="31" t="s">
        <v>163</v>
      </c>
      <c r="AO337" s="31" t="s">
        <v>144</v>
      </c>
      <c r="AP337" s="31" t="s">
        <v>144</v>
      </c>
    </row>
    <row r="338" spans="5:47" ht="15" customHeight="1" x14ac:dyDescent="0.25">
      <c r="E338" s="31" t="s">
        <v>134</v>
      </c>
      <c r="F338" s="31" t="s">
        <v>140</v>
      </c>
      <c r="G338" s="31" t="s">
        <v>374</v>
      </c>
      <c r="H338" s="31" t="s">
        <v>144</v>
      </c>
      <c r="I338" s="31" t="s">
        <v>481</v>
      </c>
      <c r="J338" s="31" t="s">
        <v>699</v>
      </c>
      <c r="K338" s="31" t="s">
        <v>845</v>
      </c>
      <c r="L338" s="31" t="s">
        <v>162</v>
      </c>
      <c r="M338" s="31" t="s">
        <v>144</v>
      </c>
      <c r="N338" s="31" t="s">
        <v>144</v>
      </c>
      <c r="O338" s="31">
        <v>16</v>
      </c>
      <c r="P338" s="31" t="s">
        <v>144</v>
      </c>
      <c r="Q338" s="31" t="s">
        <v>316</v>
      </c>
      <c r="R338" s="31" t="s">
        <v>477</v>
      </c>
      <c r="S338" s="31" t="s">
        <v>479</v>
      </c>
      <c r="T338" s="31" t="s">
        <v>144</v>
      </c>
      <c r="U338" s="31" t="s">
        <v>144</v>
      </c>
      <c r="V338" s="31" t="s">
        <v>144</v>
      </c>
      <c r="W338" s="31" t="s">
        <v>442</v>
      </c>
      <c r="X338" s="31" t="s">
        <v>193</v>
      </c>
      <c r="Y338" s="31" t="s">
        <v>194</v>
      </c>
      <c r="Z338" s="31" t="s">
        <v>144</v>
      </c>
      <c r="AA338" s="31" t="s">
        <v>144</v>
      </c>
      <c r="AB338" s="31" t="s">
        <v>144</v>
      </c>
      <c r="AC338" s="31" t="s">
        <v>144</v>
      </c>
      <c r="AD338" s="31" t="s">
        <v>144</v>
      </c>
      <c r="AE338" s="31" t="s">
        <v>144</v>
      </c>
      <c r="AF338" s="31" t="s">
        <v>144</v>
      </c>
      <c r="AG338" s="31" t="s">
        <v>144</v>
      </c>
      <c r="AH338" s="31" t="s">
        <v>1322</v>
      </c>
      <c r="AI338" s="31" t="s">
        <v>375</v>
      </c>
      <c r="AJ338" s="31" t="s">
        <v>144</v>
      </c>
      <c r="AK338" s="31" t="s">
        <v>144</v>
      </c>
      <c r="AL338" s="31" t="s">
        <v>325</v>
      </c>
      <c r="AM338" s="31" t="s">
        <v>144</v>
      </c>
      <c r="AN338" s="31" t="s">
        <v>163</v>
      </c>
      <c r="AO338" s="31" t="s">
        <v>144</v>
      </c>
      <c r="AP338" s="31" t="s">
        <v>144</v>
      </c>
    </row>
    <row r="339" spans="5:47" ht="15" customHeight="1" x14ac:dyDescent="0.25">
      <c r="E339" s="31" t="s">
        <v>134</v>
      </c>
      <c r="F339" s="31" t="s">
        <v>140</v>
      </c>
      <c r="G339" s="31" t="s">
        <v>374</v>
      </c>
      <c r="H339" s="31" t="s">
        <v>144</v>
      </c>
      <c r="I339" s="31" t="s">
        <v>481</v>
      </c>
      <c r="J339" s="31" t="s">
        <v>699</v>
      </c>
      <c r="K339" s="31" t="s">
        <v>846</v>
      </c>
      <c r="L339" s="31" t="s">
        <v>162</v>
      </c>
      <c r="M339" s="31" t="s">
        <v>144</v>
      </c>
      <c r="N339" s="31" t="s">
        <v>144</v>
      </c>
      <c r="O339" s="31">
        <v>16</v>
      </c>
      <c r="P339" s="31" t="s">
        <v>144</v>
      </c>
      <c r="Q339" s="31" t="s">
        <v>316</v>
      </c>
      <c r="R339" s="31" t="s">
        <v>477</v>
      </c>
      <c r="S339" s="31" t="s">
        <v>479</v>
      </c>
      <c r="T339" s="31" t="s">
        <v>144</v>
      </c>
      <c r="U339" s="31" t="s">
        <v>144</v>
      </c>
      <c r="V339" s="31" t="s">
        <v>144</v>
      </c>
      <c r="W339" s="31" t="s">
        <v>442</v>
      </c>
      <c r="X339" s="31" t="s">
        <v>193</v>
      </c>
      <c r="Y339" s="31" t="s">
        <v>194</v>
      </c>
      <c r="Z339" s="31" t="s">
        <v>144</v>
      </c>
      <c r="AA339" s="31" t="s">
        <v>144</v>
      </c>
      <c r="AB339" s="31" t="s">
        <v>144</v>
      </c>
      <c r="AC339" s="31" t="s">
        <v>144</v>
      </c>
      <c r="AD339" s="31" t="s">
        <v>144</v>
      </c>
      <c r="AE339" s="31" t="s">
        <v>144</v>
      </c>
      <c r="AF339" s="31" t="s">
        <v>144</v>
      </c>
      <c r="AG339" s="31" t="s">
        <v>144</v>
      </c>
      <c r="AH339" s="31" t="s">
        <v>1322</v>
      </c>
      <c r="AI339" s="31" t="s">
        <v>375</v>
      </c>
      <c r="AJ339" s="31" t="s">
        <v>144</v>
      </c>
      <c r="AK339" s="31" t="s">
        <v>144</v>
      </c>
      <c r="AL339" s="31" t="s">
        <v>325</v>
      </c>
      <c r="AM339" s="31" t="s">
        <v>144</v>
      </c>
      <c r="AN339" s="31" t="s">
        <v>163</v>
      </c>
      <c r="AO339" s="31" t="s">
        <v>144</v>
      </c>
      <c r="AP339" s="31" t="s">
        <v>144</v>
      </c>
    </row>
    <row r="340" spans="5:47" ht="15" customHeight="1" x14ac:dyDescent="0.25">
      <c r="E340" s="31" t="s">
        <v>134</v>
      </c>
      <c r="F340" s="31" t="s">
        <v>140</v>
      </c>
      <c r="G340" s="31" t="s">
        <v>374</v>
      </c>
      <c r="H340" s="31" t="s">
        <v>144</v>
      </c>
      <c r="I340" s="31" t="s">
        <v>481</v>
      </c>
      <c r="J340" s="31" t="s">
        <v>699</v>
      </c>
      <c r="K340" s="31" t="s">
        <v>847</v>
      </c>
      <c r="L340" s="31" t="s">
        <v>162</v>
      </c>
      <c r="M340" s="31" t="s">
        <v>144</v>
      </c>
      <c r="N340" s="31" t="s">
        <v>144</v>
      </c>
      <c r="O340" s="31">
        <v>16</v>
      </c>
      <c r="P340" s="31" t="s">
        <v>144</v>
      </c>
      <c r="Q340" s="31" t="s">
        <v>316</v>
      </c>
      <c r="R340" s="31" t="s">
        <v>477</v>
      </c>
      <c r="S340" s="31" t="s">
        <v>479</v>
      </c>
      <c r="T340" s="31" t="s">
        <v>144</v>
      </c>
      <c r="U340" s="31" t="s">
        <v>144</v>
      </c>
      <c r="V340" s="31" t="s">
        <v>144</v>
      </c>
      <c r="W340" s="31" t="s">
        <v>442</v>
      </c>
      <c r="X340" s="31" t="s">
        <v>193</v>
      </c>
      <c r="Y340" s="31" t="s">
        <v>194</v>
      </c>
      <c r="Z340" s="31" t="s">
        <v>144</v>
      </c>
      <c r="AA340" s="31" t="s">
        <v>144</v>
      </c>
      <c r="AB340" s="31" t="s">
        <v>144</v>
      </c>
      <c r="AC340" s="31" t="s">
        <v>144</v>
      </c>
      <c r="AD340" s="31" t="s">
        <v>144</v>
      </c>
      <c r="AE340" s="31" t="s">
        <v>144</v>
      </c>
      <c r="AF340" s="31" t="s">
        <v>144</v>
      </c>
      <c r="AG340" s="31" t="s">
        <v>144</v>
      </c>
      <c r="AH340" s="31" t="s">
        <v>1322</v>
      </c>
      <c r="AI340" s="31" t="s">
        <v>375</v>
      </c>
      <c r="AJ340" s="31" t="s">
        <v>144</v>
      </c>
      <c r="AK340" s="31" t="s">
        <v>144</v>
      </c>
      <c r="AL340" s="31" t="s">
        <v>325</v>
      </c>
      <c r="AM340" s="31" t="s">
        <v>144</v>
      </c>
      <c r="AN340" s="31" t="s">
        <v>163</v>
      </c>
      <c r="AO340" s="31" t="s">
        <v>144</v>
      </c>
      <c r="AP340" s="31" t="s">
        <v>144</v>
      </c>
    </row>
    <row r="341" spans="5:47" ht="15" customHeight="1" x14ac:dyDescent="0.25">
      <c r="E341" s="31" t="s">
        <v>134</v>
      </c>
      <c r="F341" s="31" t="s">
        <v>140</v>
      </c>
      <c r="G341" s="31" t="s">
        <v>374</v>
      </c>
      <c r="H341" s="31" t="s">
        <v>144</v>
      </c>
      <c r="I341" s="31" t="s">
        <v>481</v>
      </c>
      <c r="J341" s="31" t="s">
        <v>699</v>
      </c>
      <c r="K341" s="31" t="s">
        <v>848</v>
      </c>
      <c r="L341" s="31" t="s">
        <v>162</v>
      </c>
      <c r="M341" s="31" t="s">
        <v>144</v>
      </c>
      <c r="N341" s="31" t="s">
        <v>144</v>
      </c>
      <c r="O341" s="31">
        <v>16</v>
      </c>
      <c r="P341" s="31" t="s">
        <v>144</v>
      </c>
      <c r="Q341" s="31" t="s">
        <v>316</v>
      </c>
      <c r="R341" s="31" t="s">
        <v>477</v>
      </c>
      <c r="S341" s="31" t="s">
        <v>479</v>
      </c>
      <c r="T341" s="31" t="s">
        <v>144</v>
      </c>
      <c r="U341" s="31" t="s">
        <v>144</v>
      </c>
      <c r="V341" s="31" t="s">
        <v>144</v>
      </c>
      <c r="W341" s="31" t="s">
        <v>442</v>
      </c>
      <c r="X341" s="31" t="s">
        <v>193</v>
      </c>
      <c r="Y341" s="31" t="s">
        <v>194</v>
      </c>
      <c r="Z341" s="31" t="s">
        <v>144</v>
      </c>
      <c r="AA341" s="31" t="s">
        <v>144</v>
      </c>
      <c r="AB341" s="31" t="s">
        <v>144</v>
      </c>
      <c r="AC341" s="31" t="s">
        <v>144</v>
      </c>
      <c r="AD341" s="31" t="s">
        <v>144</v>
      </c>
      <c r="AE341" s="31" t="s">
        <v>144</v>
      </c>
      <c r="AF341" s="31" t="s">
        <v>144</v>
      </c>
      <c r="AG341" s="31" t="s">
        <v>144</v>
      </c>
      <c r="AH341" s="31" t="s">
        <v>1322</v>
      </c>
      <c r="AI341" s="31" t="s">
        <v>375</v>
      </c>
      <c r="AJ341" s="31" t="s">
        <v>144</v>
      </c>
      <c r="AK341" s="31" t="s">
        <v>144</v>
      </c>
      <c r="AL341" s="31" t="s">
        <v>325</v>
      </c>
      <c r="AM341" s="31" t="s">
        <v>144</v>
      </c>
      <c r="AN341" s="31" t="s">
        <v>163</v>
      </c>
      <c r="AO341" s="31" t="s">
        <v>144</v>
      </c>
      <c r="AP341" s="31" t="s">
        <v>144</v>
      </c>
    </row>
    <row r="342" spans="5:47" ht="15" customHeight="1" x14ac:dyDescent="0.25">
      <c r="E342" s="31" t="s">
        <v>134</v>
      </c>
      <c r="F342" s="31" t="s">
        <v>140</v>
      </c>
      <c r="G342" s="31" t="s">
        <v>374</v>
      </c>
      <c r="H342" s="31" t="s">
        <v>144</v>
      </c>
      <c r="I342" s="31" t="s">
        <v>481</v>
      </c>
      <c r="J342" s="31" t="s">
        <v>699</v>
      </c>
      <c r="K342" s="31" t="s">
        <v>849</v>
      </c>
      <c r="L342" s="31" t="s">
        <v>162</v>
      </c>
      <c r="M342" s="31" t="s">
        <v>144</v>
      </c>
      <c r="N342" s="31" t="s">
        <v>144</v>
      </c>
      <c r="O342" s="31">
        <v>16</v>
      </c>
      <c r="P342" s="31" t="s">
        <v>144</v>
      </c>
      <c r="Q342" s="31" t="s">
        <v>316</v>
      </c>
      <c r="R342" s="31" t="s">
        <v>477</v>
      </c>
      <c r="S342" s="31" t="s">
        <v>479</v>
      </c>
      <c r="T342" s="31" t="s">
        <v>144</v>
      </c>
      <c r="U342" s="31" t="s">
        <v>144</v>
      </c>
      <c r="V342" s="31" t="s">
        <v>144</v>
      </c>
      <c r="W342" s="31" t="s">
        <v>442</v>
      </c>
      <c r="X342" s="31" t="s">
        <v>193</v>
      </c>
      <c r="Y342" s="31" t="s">
        <v>194</v>
      </c>
      <c r="Z342" s="31" t="s">
        <v>144</v>
      </c>
      <c r="AA342" s="31" t="s">
        <v>144</v>
      </c>
      <c r="AB342" s="31" t="s">
        <v>144</v>
      </c>
      <c r="AC342" s="31" t="s">
        <v>144</v>
      </c>
      <c r="AD342" s="31" t="s">
        <v>144</v>
      </c>
      <c r="AE342" s="31" t="s">
        <v>144</v>
      </c>
      <c r="AF342" s="31" t="s">
        <v>144</v>
      </c>
      <c r="AG342" s="31" t="s">
        <v>144</v>
      </c>
      <c r="AH342" s="31" t="s">
        <v>1322</v>
      </c>
      <c r="AI342" s="31" t="s">
        <v>375</v>
      </c>
      <c r="AJ342" s="31" t="s">
        <v>144</v>
      </c>
      <c r="AK342" s="31" t="s">
        <v>144</v>
      </c>
      <c r="AL342" s="31" t="s">
        <v>325</v>
      </c>
      <c r="AM342" s="31" t="s">
        <v>144</v>
      </c>
      <c r="AN342" s="31" t="s">
        <v>163</v>
      </c>
      <c r="AO342" s="31" t="s">
        <v>144</v>
      </c>
      <c r="AP342" s="31" t="s">
        <v>144</v>
      </c>
    </row>
    <row r="343" spans="5:47" ht="15" customHeight="1" x14ac:dyDescent="0.25">
      <c r="E343" s="31"/>
      <c r="F343" s="31"/>
      <c r="G343" s="31"/>
      <c r="H343" s="31"/>
      <c r="I343" s="31"/>
      <c r="J343" s="31"/>
      <c r="K343" s="31"/>
      <c r="L343" s="31"/>
      <c r="M343" s="394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</row>
    <row r="344" spans="5:47" ht="15" customHeight="1" x14ac:dyDescent="0.25">
      <c r="E344" s="31"/>
      <c r="F344" s="31"/>
      <c r="G344" s="31"/>
      <c r="H344" s="31"/>
      <c r="I344" s="31"/>
      <c r="J344" s="31"/>
      <c r="K344" s="31"/>
      <c r="L344" s="31"/>
      <c r="M344" s="394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</row>
    <row r="345" spans="5:47" ht="15" customHeight="1" x14ac:dyDescent="0.25">
      <c r="E345" s="31" t="s">
        <v>135</v>
      </c>
      <c r="F345" s="31" t="s">
        <v>140</v>
      </c>
      <c r="G345" s="31" t="s">
        <v>374</v>
      </c>
      <c r="H345" s="31" t="s">
        <v>376</v>
      </c>
      <c r="I345" s="31" t="s">
        <v>481</v>
      </c>
      <c r="J345" s="31" t="s">
        <v>522</v>
      </c>
      <c r="K345" s="393" t="s">
        <v>850</v>
      </c>
      <c r="L345" s="31" t="s">
        <v>162</v>
      </c>
      <c r="M345" s="31" t="s">
        <v>144</v>
      </c>
      <c r="N345" s="31" t="s">
        <v>144</v>
      </c>
      <c r="O345" s="31" t="s">
        <v>144</v>
      </c>
      <c r="P345" s="31" t="s">
        <v>144</v>
      </c>
      <c r="Q345" s="31" t="s">
        <v>316</v>
      </c>
      <c r="R345" s="31" t="s">
        <v>313</v>
      </c>
      <c r="S345" s="31">
        <v>210</v>
      </c>
      <c r="T345" s="31" t="s">
        <v>144</v>
      </c>
      <c r="U345" s="31" t="s">
        <v>144</v>
      </c>
      <c r="V345" s="31" t="s">
        <v>144</v>
      </c>
      <c r="W345" s="31" t="s">
        <v>144</v>
      </c>
      <c r="X345" s="31" t="s">
        <v>144</v>
      </c>
      <c r="Y345" s="31"/>
      <c r="Z345" s="31" t="s">
        <v>144</v>
      </c>
      <c r="AA345" s="31" t="s">
        <v>144</v>
      </c>
      <c r="AB345" s="31" t="s">
        <v>144</v>
      </c>
      <c r="AC345" s="31" t="s">
        <v>144</v>
      </c>
      <c r="AD345" s="31" t="s">
        <v>144</v>
      </c>
      <c r="AE345" s="31" t="s">
        <v>144</v>
      </c>
      <c r="AF345" s="31" t="s">
        <v>144</v>
      </c>
      <c r="AG345" s="31" t="s">
        <v>1327</v>
      </c>
      <c r="AH345" s="31" t="s">
        <v>1323</v>
      </c>
      <c r="AI345" s="31" t="s">
        <v>144</v>
      </c>
      <c r="AJ345" s="31" t="s">
        <v>144</v>
      </c>
      <c r="AK345" s="31" t="s">
        <v>144</v>
      </c>
      <c r="AL345" s="31" t="s">
        <v>144</v>
      </c>
      <c r="AM345" s="31" t="s">
        <v>144</v>
      </c>
      <c r="AN345" s="31" t="s">
        <v>163</v>
      </c>
      <c r="AO345" s="31" t="s">
        <v>144</v>
      </c>
      <c r="AP345" s="31" t="s">
        <v>144</v>
      </c>
      <c r="AQ345" s="31"/>
      <c r="AR345" s="31"/>
      <c r="AS345" s="31"/>
      <c r="AT345" s="31"/>
      <c r="AU345" s="31"/>
    </row>
    <row r="346" spans="5:47" ht="15" customHeight="1" x14ac:dyDescent="0.25">
      <c r="E346" s="31" t="s">
        <v>135</v>
      </c>
      <c r="F346" s="31" t="s">
        <v>140</v>
      </c>
      <c r="G346" s="31" t="s">
        <v>374</v>
      </c>
      <c r="H346" s="31" t="s">
        <v>376</v>
      </c>
      <c r="I346" s="31" t="s">
        <v>481</v>
      </c>
      <c r="J346" s="31" t="s">
        <v>522</v>
      </c>
      <c r="K346" s="393" t="s">
        <v>851</v>
      </c>
      <c r="L346" s="31" t="s">
        <v>162</v>
      </c>
      <c r="M346" s="31" t="s">
        <v>144</v>
      </c>
      <c r="N346" s="31" t="s">
        <v>144</v>
      </c>
      <c r="O346" s="31" t="s">
        <v>144</v>
      </c>
      <c r="P346" s="31" t="s">
        <v>144</v>
      </c>
      <c r="Q346" s="31" t="s">
        <v>316</v>
      </c>
      <c r="R346" s="31" t="s">
        <v>313</v>
      </c>
      <c r="S346" s="31">
        <v>210</v>
      </c>
      <c r="T346" s="31" t="s">
        <v>144</v>
      </c>
      <c r="U346" s="31" t="s">
        <v>144</v>
      </c>
      <c r="V346" s="31" t="s">
        <v>144</v>
      </c>
      <c r="W346" s="31" t="s">
        <v>144</v>
      </c>
      <c r="X346" s="31" t="s">
        <v>144</v>
      </c>
      <c r="Y346" s="31"/>
      <c r="Z346" s="31" t="s">
        <v>144</v>
      </c>
      <c r="AA346" s="31" t="s">
        <v>144</v>
      </c>
      <c r="AB346" s="31" t="s">
        <v>144</v>
      </c>
      <c r="AC346" s="31" t="s">
        <v>144</v>
      </c>
      <c r="AD346" s="31" t="s">
        <v>144</v>
      </c>
      <c r="AE346" s="31" t="s">
        <v>144</v>
      </c>
      <c r="AF346" s="31" t="s">
        <v>144</v>
      </c>
      <c r="AG346" s="31" t="s">
        <v>1327</v>
      </c>
      <c r="AH346" s="31" t="s">
        <v>1323</v>
      </c>
      <c r="AI346" s="31" t="s">
        <v>144</v>
      </c>
      <c r="AJ346" s="31" t="s">
        <v>144</v>
      </c>
      <c r="AK346" s="31" t="s">
        <v>144</v>
      </c>
      <c r="AL346" s="31" t="s">
        <v>144</v>
      </c>
      <c r="AM346" s="31" t="s">
        <v>144</v>
      </c>
      <c r="AN346" s="31" t="s">
        <v>163</v>
      </c>
      <c r="AO346" s="31" t="s">
        <v>144</v>
      </c>
      <c r="AP346" s="31" t="s">
        <v>144</v>
      </c>
      <c r="AQ346" s="31"/>
      <c r="AR346" s="31"/>
      <c r="AS346" s="31"/>
      <c r="AT346" s="31"/>
      <c r="AU346" s="31"/>
    </row>
    <row r="347" spans="5:47" ht="15" customHeight="1" x14ac:dyDescent="0.25">
      <c r="E347" s="31" t="s">
        <v>135</v>
      </c>
      <c r="F347" s="31" t="s">
        <v>140</v>
      </c>
      <c r="G347" s="31" t="s">
        <v>374</v>
      </c>
      <c r="H347" s="31" t="s">
        <v>376</v>
      </c>
      <c r="I347" s="31" t="s">
        <v>481</v>
      </c>
      <c r="J347" s="31" t="s">
        <v>522</v>
      </c>
      <c r="K347" s="393" t="s">
        <v>852</v>
      </c>
      <c r="L347" s="31" t="s">
        <v>162</v>
      </c>
      <c r="M347" s="31" t="s">
        <v>144</v>
      </c>
      <c r="N347" s="31" t="s">
        <v>144</v>
      </c>
      <c r="O347" s="31" t="s">
        <v>144</v>
      </c>
      <c r="P347" s="31" t="s">
        <v>144</v>
      </c>
      <c r="Q347" s="31" t="s">
        <v>316</v>
      </c>
      <c r="R347" s="31" t="s">
        <v>313</v>
      </c>
      <c r="S347" s="31">
        <v>210</v>
      </c>
      <c r="T347" s="31" t="s">
        <v>144</v>
      </c>
      <c r="U347" s="31" t="s">
        <v>144</v>
      </c>
      <c r="V347" s="31" t="s">
        <v>144</v>
      </c>
      <c r="W347" s="31" t="s">
        <v>144</v>
      </c>
      <c r="X347" s="31" t="s">
        <v>144</v>
      </c>
      <c r="Y347" s="31"/>
      <c r="Z347" s="31" t="s">
        <v>144</v>
      </c>
      <c r="AA347" s="31" t="s">
        <v>144</v>
      </c>
      <c r="AB347" s="31" t="s">
        <v>144</v>
      </c>
      <c r="AC347" s="31" t="s">
        <v>144</v>
      </c>
      <c r="AD347" s="31" t="s">
        <v>144</v>
      </c>
      <c r="AE347" s="31" t="s">
        <v>144</v>
      </c>
      <c r="AF347" s="31" t="s">
        <v>144</v>
      </c>
      <c r="AG347" s="31" t="s">
        <v>1327</v>
      </c>
      <c r="AH347" s="31" t="s">
        <v>1323</v>
      </c>
      <c r="AI347" s="31" t="s">
        <v>144</v>
      </c>
      <c r="AJ347" s="31" t="s">
        <v>144</v>
      </c>
      <c r="AK347" s="31" t="s">
        <v>144</v>
      </c>
      <c r="AL347" s="31" t="s">
        <v>144</v>
      </c>
      <c r="AM347" s="31" t="s">
        <v>144</v>
      </c>
      <c r="AN347" s="31" t="s">
        <v>163</v>
      </c>
      <c r="AO347" s="31" t="s">
        <v>144</v>
      </c>
      <c r="AP347" s="31" t="s">
        <v>144</v>
      </c>
      <c r="AQ347" s="31"/>
      <c r="AR347" s="31"/>
      <c r="AS347" s="31"/>
      <c r="AT347" s="31"/>
      <c r="AU347" s="31"/>
    </row>
    <row r="348" spans="5:47" ht="15" customHeight="1" x14ac:dyDescent="0.25">
      <c r="E348" s="31" t="s">
        <v>135</v>
      </c>
      <c r="F348" s="31" t="s">
        <v>140</v>
      </c>
      <c r="G348" s="31" t="s">
        <v>374</v>
      </c>
      <c r="H348" s="31" t="s">
        <v>376</v>
      </c>
      <c r="I348" s="31" t="s">
        <v>481</v>
      </c>
      <c r="J348" s="31" t="s">
        <v>522</v>
      </c>
      <c r="K348" s="393" t="s">
        <v>853</v>
      </c>
      <c r="L348" s="31" t="s">
        <v>162</v>
      </c>
      <c r="M348" s="31" t="s">
        <v>144</v>
      </c>
      <c r="N348" s="31" t="s">
        <v>144</v>
      </c>
      <c r="O348" s="31" t="s">
        <v>144</v>
      </c>
      <c r="P348" s="31" t="s">
        <v>144</v>
      </c>
      <c r="Q348" s="31" t="s">
        <v>316</v>
      </c>
      <c r="R348" s="31" t="s">
        <v>313</v>
      </c>
      <c r="S348" s="31">
        <v>210</v>
      </c>
      <c r="T348" s="31" t="s">
        <v>144</v>
      </c>
      <c r="U348" s="31" t="s">
        <v>144</v>
      </c>
      <c r="V348" s="31" t="s">
        <v>144</v>
      </c>
      <c r="W348" s="31" t="s">
        <v>144</v>
      </c>
      <c r="X348" s="31" t="s">
        <v>144</v>
      </c>
      <c r="Y348" s="31"/>
      <c r="Z348" s="31" t="s">
        <v>144</v>
      </c>
      <c r="AA348" s="31" t="s">
        <v>144</v>
      </c>
      <c r="AB348" s="31" t="s">
        <v>144</v>
      </c>
      <c r="AC348" s="31" t="s">
        <v>144</v>
      </c>
      <c r="AD348" s="31" t="s">
        <v>144</v>
      </c>
      <c r="AE348" s="31" t="s">
        <v>144</v>
      </c>
      <c r="AF348" s="31" t="s">
        <v>144</v>
      </c>
      <c r="AG348" s="31" t="s">
        <v>1327</v>
      </c>
      <c r="AH348" s="31" t="s">
        <v>1323</v>
      </c>
      <c r="AI348" s="31" t="s">
        <v>144</v>
      </c>
      <c r="AJ348" s="31" t="s">
        <v>144</v>
      </c>
      <c r="AK348" s="31" t="s">
        <v>144</v>
      </c>
      <c r="AL348" s="31" t="s">
        <v>144</v>
      </c>
      <c r="AM348" s="31" t="s">
        <v>144</v>
      </c>
      <c r="AN348" s="31" t="s">
        <v>163</v>
      </c>
      <c r="AO348" s="31" t="s">
        <v>144</v>
      </c>
      <c r="AP348" s="31" t="s">
        <v>144</v>
      </c>
      <c r="AQ348" s="31"/>
      <c r="AR348" s="31"/>
      <c r="AS348" s="31"/>
      <c r="AT348" s="31"/>
      <c r="AU348" s="31"/>
    </row>
    <row r="349" spans="5:47" ht="15" customHeight="1" x14ac:dyDescent="0.25">
      <c r="E349" s="31" t="s">
        <v>135</v>
      </c>
      <c r="F349" s="31" t="s">
        <v>140</v>
      </c>
      <c r="G349" s="31" t="s">
        <v>374</v>
      </c>
      <c r="H349" s="31" t="s">
        <v>376</v>
      </c>
      <c r="I349" s="31" t="s">
        <v>481</v>
      </c>
      <c r="J349" s="31" t="s">
        <v>522</v>
      </c>
      <c r="K349" s="393" t="s">
        <v>854</v>
      </c>
      <c r="L349" s="31" t="s">
        <v>162</v>
      </c>
      <c r="M349" s="31" t="s">
        <v>144</v>
      </c>
      <c r="N349" s="31" t="s">
        <v>144</v>
      </c>
      <c r="O349" s="31" t="s">
        <v>144</v>
      </c>
      <c r="P349" s="31" t="s">
        <v>144</v>
      </c>
      <c r="Q349" s="31" t="s">
        <v>316</v>
      </c>
      <c r="R349" s="31" t="s">
        <v>313</v>
      </c>
      <c r="S349" s="31">
        <v>210</v>
      </c>
      <c r="T349" s="31" t="s">
        <v>144</v>
      </c>
      <c r="U349" s="31" t="s">
        <v>144</v>
      </c>
      <c r="V349" s="31" t="s">
        <v>144</v>
      </c>
      <c r="W349" s="31" t="s">
        <v>144</v>
      </c>
      <c r="X349" s="31" t="s">
        <v>144</v>
      </c>
      <c r="Y349" s="31"/>
      <c r="Z349" s="31" t="s">
        <v>144</v>
      </c>
      <c r="AA349" s="31" t="s">
        <v>144</v>
      </c>
      <c r="AB349" s="31" t="s">
        <v>144</v>
      </c>
      <c r="AC349" s="31" t="s">
        <v>144</v>
      </c>
      <c r="AD349" s="31" t="s">
        <v>144</v>
      </c>
      <c r="AE349" s="31" t="s">
        <v>144</v>
      </c>
      <c r="AF349" s="31" t="s">
        <v>144</v>
      </c>
      <c r="AG349" s="31" t="s">
        <v>1327</v>
      </c>
      <c r="AH349" s="31" t="s">
        <v>1323</v>
      </c>
      <c r="AI349" s="31" t="s">
        <v>144</v>
      </c>
      <c r="AJ349" s="31" t="s">
        <v>144</v>
      </c>
      <c r="AK349" s="31" t="s">
        <v>144</v>
      </c>
      <c r="AL349" s="31" t="s">
        <v>144</v>
      </c>
      <c r="AM349" s="31" t="s">
        <v>144</v>
      </c>
      <c r="AN349" s="31" t="s">
        <v>163</v>
      </c>
      <c r="AO349" s="31" t="s">
        <v>144</v>
      </c>
      <c r="AP349" s="31" t="s">
        <v>144</v>
      </c>
      <c r="AQ349" s="31"/>
      <c r="AR349" s="31"/>
      <c r="AS349" s="31"/>
      <c r="AT349" s="31"/>
      <c r="AU349" s="31"/>
    </row>
    <row r="350" spans="5:47" ht="15" customHeight="1" x14ac:dyDescent="0.25">
      <c r="E350" s="31" t="s">
        <v>135</v>
      </c>
      <c r="F350" s="31" t="s">
        <v>140</v>
      </c>
      <c r="G350" s="31" t="s">
        <v>374</v>
      </c>
      <c r="H350" s="31" t="s">
        <v>376</v>
      </c>
      <c r="I350" s="31" t="s">
        <v>481</v>
      </c>
      <c r="J350" s="31" t="s">
        <v>522</v>
      </c>
      <c r="K350" s="393" t="s">
        <v>855</v>
      </c>
      <c r="L350" s="31" t="s">
        <v>162</v>
      </c>
      <c r="M350" s="31" t="s">
        <v>144</v>
      </c>
      <c r="N350" s="31" t="s">
        <v>144</v>
      </c>
      <c r="O350" s="31" t="s">
        <v>144</v>
      </c>
      <c r="P350" s="31" t="s">
        <v>144</v>
      </c>
      <c r="Q350" s="31" t="s">
        <v>316</v>
      </c>
      <c r="R350" s="31" t="s">
        <v>313</v>
      </c>
      <c r="S350" s="31">
        <v>210</v>
      </c>
      <c r="T350" s="31" t="s">
        <v>144</v>
      </c>
      <c r="U350" s="31" t="s">
        <v>144</v>
      </c>
      <c r="V350" s="31" t="s">
        <v>144</v>
      </c>
      <c r="W350" s="31" t="s">
        <v>144</v>
      </c>
      <c r="X350" s="31" t="s">
        <v>144</v>
      </c>
      <c r="Y350" s="31"/>
      <c r="Z350" s="31" t="s">
        <v>144</v>
      </c>
      <c r="AA350" s="31" t="s">
        <v>144</v>
      </c>
      <c r="AB350" s="31" t="s">
        <v>144</v>
      </c>
      <c r="AC350" s="31" t="s">
        <v>144</v>
      </c>
      <c r="AD350" s="31" t="s">
        <v>144</v>
      </c>
      <c r="AE350" s="31" t="s">
        <v>144</v>
      </c>
      <c r="AF350" s="31" t="s">
        <v>144</v>
      </c>
      <c r="AG350" s="31" t="s">
        <v>1327</v>
      </c>
      <c r="AH350" s="31" t="s">
        <v>1323</v>
      </c>
      <c r="AI350" s="31" t="s">
        <v>144</v>
      </c>
      <c r="AJ350" s="31" t="s">
        <v>144</v>
      </c>
      <c r="AK350" s="31" t="s">
        <v>144</v>
      </c>
      <c r="AL350" s="31" t="s">
        <v>144</v>
      </c>
      <c r="AM350" s="31" t="s">
        <v>144</v>
      </c>
      <c r="AN350" s="31" t="s">
        <v>163</v>
      </c>
      <c r="AO350" s="31" t="s">
        <v>144</v>
      </c>
      <c r="AP350" s="31" t="s">
        <v>144</v>
      </c>
      <c r="AQ350" s="31"/>
      <c r="AR350" s="31"/>
      <c r="AS350" s="31"/>
      <c r="AT350" s="31"/>
      <c r="AU350" s="31"/>
    </row>
    <row r="351" spans="5:47" ht="15" customHeight="1" x14ac:dyDescent="0.25">
      <c r="E351" s="31" t="s">
        <v>135</v>
      </c>
      <c r="F351" s="31" t="s">
        <v>140</v>
      </c>
      <c r="G351" s="31" t="s">
        <v>374</v>
      </c>
      <c r="H351" s="31" t="s">
        <v>376</v>
      </c>
      <c r="I351" s="31" t="s">
        <v>481</v>
      </c>
      <c r="J351" s="31" t="s">
        <v>522</v>
      </c>
      <c r="K351" s="393" t="s">
        <v>856</v>
      </c>
      <c r="L351" s="31" t="s">
        <v>162</v>
      </c>
      <c r="M351" s="31" t="s">
        <v>144</v>
      </c>
      <c r="N351" s="31" t="s">
        <v>144</v>
      </c>
      <c r="O351" s="31" t="s">
        <v>144</v>
      </c>
      <c r="P351" s="31" t="s">
        <v>144</v>
      </c>
      <c r="Q351" s="31" t="s">
        <v>316</v>
      </c>
      <c r="R351" s="31" t="s">
        <v>313</v>
      </c>
      <c r="S351" s="31">
        <v>210</v>
      </c>
      <c r="T351" s="31" t="s">
        <v>144</v>
      </c>
      <c r="U351" s="31" t="s">
        <v>144</v>
      </c>
      <c r="V351" s="31" t="s">
        <v>144</v>
      </c>
      <c r="W351" s="31" t="s">
        <v>144</v>
      </c>
      <c r="X351" s="31" t="s">
        <v>144</v>
      </c>
      <c r="Y351" s="31"/>
      <c r="Z351" s="31" t="s">
        <v>144</v>
      </c>
      <c r="AA351" s="31" t="s">
        <v>144</v>
      </c>
      <c r="AB351" s="31" t="s">
        <v>144</v>
      </c>
      <c r="AC351" s="31" t="s">
        <v>144</v>
      </c>
      <c r="AD351" s="31" t="s">
        <v>144</v>
      </c>
      <c r="AE351" s="31" t="s">
        <v>144</v>
      </c>
      <c r="AF351" s="31" t="s">
        <v>144</v>
      </c>
      <c r="AG351" s="31" t="s">
        <v>1327</v>
      </c>
      <c r="AH351" s="31" t="s">
        <v>1323</v>
      </c>
      <c r="AI351" s="31" t="s">
        <v>144</v>
      </c>
      <c r="AJ351" s="31" t="s">
        <v>144</v>
      </c>
      <c r="AK351" s="31" t="s">
        <v>144</v>
      </c>
      <c r="AL351" s="31" t="s">
        <v>144</v>
      </c>
      <c r="AM351" s="31" t="s">
        <v>144</v>
      </c>
      <c r="AN351" s="31" t="s">
        <v>163</v>
      </c>
      <c r="AO351" s="31" t="s">
        <v>144</v>
      </c>
      <c r="AP351" s="31" t="s">
        <v>144</v>
      </c>
      <c r="AQ351" s="31"/>
      <c r="AR351" s="31"/>
      <c r="AS351" s="31"/>
      <c r="AT351" s="31"/>
      <c r="AU351" s="31"/>
    </row>
    <row r="352" spans="5:47" ht="15" customHeight="1" x14ac:dyDescent="0.25">
      <c r="E352" s="31" t="s">
        <v>135</v>
      </c>
      <c r="F352" s="31" t="s">
        <v>140</v>
      </c>
      <c r="G352" s="31" t="s">
        <v>374</v>
      </c>
      <c r="H352" s="31" t="s">
        <v>376</v>
      </c>
      <c r="I352" s="31" t="s">
        <v>481</v>
      </c>
      <c r="J352" s="31" t="s">
        <v>522</v>
      </c>
      <c r="K352" s="393" t="s">
        <v>857</v>
      </c>
      <c r="L352" s="31" t="s">
        <v>162</v>
      </c>
      <c r="M352" s="31" t="s">
        <v>144</v>
      </c>
      <c r="N352" s="31" t="s">
        <v>144</v>
      </c>
      <c r="O352" s="31" t="s">
        <v>144</v>
      </c>
      <c r="P352" s="31" t="s">
        <v>144</v>
      </c>
      <c r="Q352" s="31" t="s">
        <v>316</v>
      </c>
      <c r="R352" s="31" t="s">
        <v>313</v>
      </c>
      <c r="S352" s="31">
        <v>210</v>
      </c>
      <c r="T352" s="31" t="s">
        <v>144</v>
      </c>
      <c r="U352" s="31" t="s">
        <v>144</v>
      </c>
      <c r="V352" s="31" t="s">
        <v>144</v>
      </c>
      <c r="W352" s="31" t="s">
        <v>144</v>
      </c>
      <c r="X352" s="31" t="s">
        <v>144</v>
      </c>
      <c r="Y352" s="31"/>
      <c r="Z352" s="31" t="s">
        <v>144</v>
      </c>
      <c r="AA352" s="31" t="s">
        <v>144</v>
      </c>
      <c r="AB352" s="31" t="s">
        <v>144</v>
      </c>
      <c r="AC352" s="31" t="s">
        <v>144</v>
      </c>
      <c r="AD352" s="31" t="s">
        <v>144</v>
      </c>
      <c r="AE352" s="31" t="s">
        <v>144</v>
      </c>
      <c r="AF352" s="31" t="s">
        <v>144</v>
      </c>
      <c r="AG352" s="31" t="s">
        <v>1327</v>
      </c>
      <c r="AH352" s="31" t="s">
        <v>1323</v>
      </c>
      <c r="AI352" s="31" t="s">
        <v>144</v>
      </c>
      <c r="AJ352" s="31" t="s">
        <v>144</v>
      </c>
      <c r="AK352" s="31" t="s">
        <v>144</v>
      </c>
      <c r="AL352" s="31" t="s">
        <v>144</v>
      </c>
      <c r="AM352" s="31" t="s">
        <v>144</v>
      </c>
      <c r="AN352" s="31" t="s">
        <v>163</v>
      </c>
      <c r="AO352" s="31" t="s">
        <v>144</v>
      </c>
      <c r="AP352" s="31" t="s">
        <v>144</v>
      </c>
      <c r="AQ352" s="31"/>
      <c r="AR352" s="31"/>
      <c r="AS352" s="31"/>
      <c r="AT352" s="31"/>
      <c r="AU352" s="31"/>
    </row>
    <row r="353" spans="5:47" ht="15" customHeight="1" x14ac:dyDescent="0.25">
      <c r="E353" s="31" t="s">
        <v>135</v>
      </c>
      <c r="F353" s="31" t="s">
        <v>140</v>
      </c>
      <c r="G353" s="31" t="s">
        <v>374</v>
      </c>
      <c r="H353" s="31" t="s">
        <v>376</v>
      </c>
      <c r="I353" s="31" t="s">
        <v>481</v>
      </c>
      <c r="J353" s="31" t="s">
        <v>522</v>
      </c>
      <c r="K353" s="393" t="s">
        <v>858</v>
      </c>
      <c r="L353" s="31" t="s">
        <v>162</v>
      </c>
      <c r="M353" s="31" t="s">
        <v>144</v>
      </c>
      <c r="N353" s="31" t="s">
        <v>144</v>
      </c>
      <c r="O353" s="31" t="s">
        <v>144</v>
      </c>
      <c r="P353" s="31" t="s">
        <v>144</v>
      </c>
      <c r="Q353" s="31" t="s">
        <v>316</v>
      </c>
      <c r="R353" s="31" t="s">
        <v>313</v>
      </c>
      <c r="S353" s="31">
        <v>210</v>
      </c>
      <c r="T353" s="31" t="s">
        <v>144</v>
      </c>
      <c r="U353" s="31" t="s">
        <v>144</v>
      </c>
      <c r="V353" s="31" t="s">
        <v>144</v>
      </c>
      <c r="W353" s="31" t="s">
        <v>144</v>
      </c>
      <c r="X353" s="31" t="s">
        <v>144</v>
      </c>
      <c r="Y353" s="31"/>
      <c r="Z353" s="31" t="s">
        <v>144</v>
      </c>
      <c r="AA353" s="31" t="s">
        <v>144</v>
      </c>
      <c r="AB353" s="31" t="s">
        <v>144</v>
      </c>
      <c r="AC353" s="31" t="s">
        <v>144</v>
      </c>
      <c r="AD353" s="31" t="s">
        <v>144</v>
      </c>
      <c r="AE353" s="31" t="s">
        <v>144</v>
      </c>
      <c r="AF353" s="31" t="s">
        <v>144</v>
      </c>
      <c r="AG353" s="31" t="s">
        <v>1327</v>
      </c>
      <c r="AH353" s="31" t="s">
        <v>1323</v>
      </c>
      <c r="AI353" s="31" t="s">
        <v>144</v>
      </c>
      <c r="AJ353" s="31" t="s">
        <v>144</v>
      </c>
      <c r="AK353" s="31" t="s">
        <v>144</v>
      </c>
      <c r="AL353" s="31" t="s">
        <v>144</v>
      </c>
      <c r="AM353" s="31" t="s">
        <v>144</v>
      </c>
      <c r="AN353" s="31" t="s">
        <v>163</v>
      </c>
      <c r="AO353" s="31" t="s">
        <v>144</v>
      </c>
      <c r="AP353" s="31" t="s">
        <v>144</v>
      </c>
      <c r="AQ353" s="31"/>
      <c r="AR353" s="31"/>
      <c r="AS353" s="31"/>
      <c r="AT353" s="31"/>
      <c r="AU353" s="31"/>
    </row>
    <row r="354" spans="5:47" ht="15" customHeight="1" x14ac:dyDescent="0.25">
      <c r="E354" s="31" t="s">
        <v>135</v>
      </c>
      <c r="F354" s="31" t="s">
        <v>140</v>
      </c>
      <c r="G354" s="31" t="s">
        <v>374</v>
      </c>
      <c r="H354" s="31" t="s">
        <v>376</v>
      </c>
      <c r="I354" s="31" t="s">
        <v>481</v>
      </c>
      <c r="J354" s="31" t="s">
        <v>522</v>
      </c>
      <c r="K354" s="393" t="s">
        <v>859</v>
      </c>
      <c r="L354" s="31" t="s">
        <v>162</v>
      </c>
      <c r="M354" s="31" t="s">
        <v>144</v>
      </c>
      <c r="N354" s="31" t="s">
        <v>144</v>
      </c>
      <c r="O354" s="31" t="s">
        <v>144</v>
      </c>
      <c r="P354" s="31" t="s">
        <v>144</v>
      </c>
      <c r="Q354" s="31" t="s">
        <v>316</v>
      </c>
      <c r="R354" s="31" t="s">
        <v>313</v>
      </c>
      <c r="S354" s="31">
        <v>210</v>
      </c>
      <c r="T354" s="31" t="s">
        <v>144</v>
      </c>
      <c r="U354" s="31" t="s">
        <v>144</v>
      </c>
      <c r="V354" s="31" t="s">
        <v>144</v>
      </c>
      <c r="W354" s="31" t="s">
        <v>144</v>
      </c>
      <c r="X354" s="31" t="s">
        <v>144</v>
      </c>
      <c r="Y354" s="31"/>
      <c r="Z354" s="31" t="s">
        <v>144</v>
      </c>
      <c r="AA354" s="31" t="s">
        <v>144</v>
      </c>
      <c r="AB354" s="31" t="s">
        <v>144</v>
      </c>
      <c r="AC354" s="31" t="s">
        <v>144</v>
      </c>
      <c r="AD354" s="31" t="s">
        <v>144</v>
      </c>
      <c r="AE354" s="31" t="s">
        <v>144</v>
      </c>
      <c r="AF354" s="31" t="s">
        <v>144</v>
      </c>
      <c r="AG354" s="31" t="s">
        <v>1327</v>
      </c>
      <c r="AH354" s="31" t="s">
        <v>1323</v>
      </c>
      <c r="AI354" s="31" t="s">
        <v>144</v>
      </c>
      <c r="AJ354" s="31" t="s">
        <v>144</v>
      </c>
      <c r="AK354" s="31" t="s">
        <v>144</v>
      </c>
      <c r="AL354" s="31" t="s">
        <v>144</v>
      </c>
      <c r="AM354" s="31" t="s">
        <v>144</v>
      </c>
      <c r="AN354" s="31" t="s">
        <v>163</v>
      </c>
      <c r="AO354" s="31" t="s">
        <v>144</v>
      </c>
      <c r="AP354" s="31" t="s">
        <v>144</v>
      </c>
      <c r="AQ354" s="31"/>
      <c r="AR354" s="31"/>
      <c r="AS354" s="31"/>
      <c r="AT354" s="31"/>
      <c r="AU354" s="31"/>
    </row>
    <row r="355" spans="5:47" ht="15" customHeight="1" x14ac:dyDescent="0.25">
      <c r="J355" s="31"/>
      <c r="K355" s="31"/>
      <c r="L355" s="31"/>
    </row>
    <row r="356" spans="5:47" ht="15" customHeight="1" x14ac:dyDescent="0.25">
      <c r="J356" s="31"/>
      <c r="K356" s="31"/>
      <c r="L356" s="31"/>
    </row>
    <row r="357" spans="5:47" ht="15" customHeight="1" x14ac:dyDescent="0.25">
      <c r="E357" s="31" t="s">
        <v>136</v>
      </c>
      <c r="F357" s="31" t="s">
        <v>140</v>
      </c>
      <c r="G357" s="31" t="s">
        <v>195</v>
      </c>
      <c r="H357" s="31" t="s">
        <v>154</v>
      </c>
      <c r="I357" s="31" t="s">
        <v>481</v>
      </c>
      <c r="J357" s="31" t="s">
        <v>860</v>
      </c>
      <c r="K357" s="31" t="s">
        <v>861</v>
      </c>
      <c r="L357" s="31" t="s">
        <v>162</v>
      </c>
      <c r="M357" s="31" t="s">
        <v>144</v>
      </c>
      <c r="N357" s="31" t="s">
        <v>144</v>
      </c>
      <c r="O357" s="31" t="s">
        <v>144</v>
      </c>
      <c r="P357" s="31" t="s">
        <v>144</v>
      </c>
      <c r="Q357" s="31" t="s">
        <v>862</v>
      </c>
      <c r="R357" s="372" t="s">
        <v>312</v>
      </c>
      <c r="S357" s="31" t="s">
        <v>479</v>
      </c>
      <c r="T357" s="31" t="s">
        <v>480</v>
      </c>
      <c r="U357" s="31">
        <v>65</v>
      </c>
      <c r="V357" s="31" t="s">
        <v>144</v>
      </c>
      <c r="W357" s="31" t="s">
        <v>144</v>
      </c>
      <c r="X357" s="31" t="s">
        <v>144</v>
      </c>
      <c r="Y357" s="31"/>
      <c r="Z357" s="33">
        <v>1</v>
      </c>
      <c r="AA357" s="31" t="s">
        <v>144</v>
      </c>
      <c r="AB357" s="31" t="s">
        <v>144</v>
      </c>
      <c r="AC357" s="31" t="s">
        <v>144</v>
      </c>
      <c r="AD357" s="31" t="s">
        <v>144</v>
      </c>
      <c r="AE357" s="31" t="s">
        <v>144</v>
      </c>
      <c r="AF357" s="31" t="s">
        <v>144</v>
      </c>
      <c r="AG357" s="31"/>
      <c r="AH357" s="31" t="s">
        <v>190</v>
      </c>
      <c r="AI357" s="31" t="s">
        <v>196</v>
      </c>
      <c r="AJ357" s="31" t="s">
        <v>863</v>
      </c>
      <c r="AK357" s="31" t="s">
        <v>144</v>
      </c>
      <c r="AL357" s="31" t="s">
        <v>322</v>
      </c>
      <c r="AM357" s="31" t="s">
        <v>144</v>
      </c>
      <c r="AN357" s="31" t="s">
        <v>163</v>
      </c>
      <c r="AO357" s="31" t="s">
        <v>156</v>
      </c>
      <c r="AP357" s="31" t="s">
        <v>144</v>
      </c>
      <c r="AQ357" s="31" t="s">
        <v>144</v>
      </c>
      <c r="AR357" s="31" t="s">
        <v>144</v>
      </c>
      <c r="AS357" s="31"/>
      <c r="AT357" s="31"/>
      <c r="AU357" s="31"/>
    </row>
    <row r="358" spans="5:47" ht="15" customHeight="1" x14ac:dyDescent="0.25">
      <c r="E358" s="31" t="s">
        <v>136</v>
      </c>
      <c r="F358" s="31" t="s">
        <v>140</v>
      </c>
      <c r="G358" s="31" t="s">
        <v>195</v>
      </c>
      <c r="H358" s="31" t="s">
        <v>154</v>
      </c>
      <c r="I358" s="31" t="s">
        <v>481</v>
      </c>
      <c r="J358" s="31" t="s">
        <v>860</v>
      </c>
      <c r="K358" s="31" t="s">
        <v>864</v>
      </c>
      <c r="L358" s="31" t="s">
        <v>162</v>
      </c>
      <c r="M358" s="31" t="s">
        <v>144</v>
      </c>
      <c r="N358" s="31" t="s">
        <v>144</v>
      </c>
      <c r="O358" s="31" t="s">
        <v>144</v>
      </c>
      <c r="P358" s="31" t="s">
        <v>144</v>
      </c>
      <c r="Q358" s="31" t="s">
        <v>862</v>
      </c>
      <c r="R358" s="372" t="s">
        <v>312</v>
      </c>
      <c r="S358" s="31" t="s">
        <v>479</v>
      </c>
      <c r="T358" s="31" t="s">
        <v>480</v>
      </c>
      <c r="U358" s="31">
        <v>65</v>
      </c>
      <c r="V358" s="31" t="s">
        <v>144</v>
      </c>
      <c r="W358" s="31" t="s">
        <v>144</v>
      </c>
      <c r="X358" s="31" t="s">
        <v>144</v>
      </c>
      <c r="Y358" s="31"/>
      <c r="Z358" s="33">
        <v>1</v>
      </c>
      <c r="AA358" s="31" t="s">
        <v>144</v>
      </c>
      <c r="AB358" s="31" t="s">
        <v>144</v>
      </c>
      <c r="AC358" s="31" t="s">
        <v>144</v>
      </c>
      <c r="AD358" s="31" t="s">
        <v>144</v>
      </c>
      <c r="AE358" s="31" t="s">
        <v>144</v>
      </c>
      <c r="AF358" s="31" t="s">
        <v>144</v>
      </c>
      <c r="AG358" s="31"/>
      <c r="AH358" s="31" t="s">
        <v>190</v>
      </c>
      <c r="AI358" s="31" t="s">
        <v>196</v>
      </c>
      <c r="AJ358" s="31" t="s">
        <v>863</v>
      </c>
      <c r="AK358" s="31" t="s">
        <v>144</v>
      </c>
      <c r="AL358" s="31" t="s">
        <v>322</v>
      </c>
      <c r="AM358" s="31" t="s">
        <v>144</v>
      </c>
      <c r="AN358" s="31" t="s">
        <v>163</v>
      </c>
      <c r="AO358" s="31" t="s">
        <v>156</v>
      </c>
      <c r="AP358" s="31" t="s">
        <v>144</v>
      </c>
      <c r="AQ358" s="31" t="s">
        <v>144</v>
      </c>
      <c r="AR358" s="31" t="s">
        <v>144</v>
      </c>
      <c r="AS358" s="31"/>
      <c r="AT358" s="31"/>
      <c r="AU358" s="31"/>
    </row>
    <row r="359" spans="5:47" ht="15" customHeight="1" x14ac:dyDescent="0.25">
      <c r="E359" s="31" t="s">
        <v>136</v>
      </c>
      <c r="F359" s="31" t="s">
        <v>140</v>
      </c>
      <c r="G359" s="31" t="s">
        <v>195</v>
      </c>
      <c r="H359" s="31" t="s">
        <v>154</v>
      </c>
      <c r="I359" s="31" t="s">
        <v>481</v>
      </c>
      <c r="J359" s="31" t="s">
        <v>860</v>
      </c>
      <c r="K359" s="31" t="s">
        <v>865</v>
      </c>
      <c r="L359" s="31" t="s">
        <v>162</v>
      </c>
      <c r="M359" s="31" t="s">
        <v>144</v>
      </c>
      <c r="N359" s="31" t="s">
        <v>144</v>
      </c>
      <c r="O359" s="31" t="s">
        <v>144</v>
      </c>
      <c r="P359" s="31" t="s">
        <v>144</v>
      </c>
      <c r="Q359" s="31" t="s">
        <v>862</v>
      </c>
      <c r="R359" s="372" t="s">
        <v>312</v>
      </c>
      <c r="S359" s="31" t="s">
        <v>479</v>
      </c>
      <c r="T359" s="31" t="s">
        <v>480</v>
      </c>
      <c r="U359" s="31">
        <v>65</v>
      </c>
      <c r="V359" s="31" t="s">
        <v>144</v>
      </c>
      <c r="W359" s="31" t="s">
        <v>144</v>
      </c>
      <c r="X359" s="31" t="s">
        <v>144</v>
      </c>
      <c r="Y359" s="31"/>
      <c r="Z359" s="33">
        <v>1</v>
      </c>
      <c r="AA359" s="31" t="s">
        <v>144</v>
      </c>
      <c r="AB359" s="31" t="s">
        <v>144</v>
      </c>
      <c r="AC359" s="31" t="s">
        <v>144</v>
      </c>
      <c r="AD359" s="31" t="s">
        <v>144</v>
      </c>
      <c r="AE359" s="31" t="s">
        <v>144</v>
      </c>
      <c r="AF359" s="31" t="s">
        <v>144</v>
      </c>
      <c r="AG359" s="31"/>
      <c r="AH359" s="31" t="s">
        <v>190</v>
      </c>
      <c r="AI359" s="31" t="s">
        <v>196</v>
      </c>
      <c r="AJ359" s="31" t="s">
        <v>863</v>
      </c>
      <c r="AK359" s="31" t="s">
        <v>144</v>
      </c>
      <c r="AL359" s="31" t="s">
        <v>322</v>
      </c>
      <c r="AM359" s="31" t="s">
        <v>144</v>
      </c>
      <c r="AN359" s="31" t="s">
        <v>163</v>
      </c>
      <c r="AO359" s="31" t="s">
        <v>156</v>
      </c>
      <c r="AP359" s="31" t="s">
        <v>144</v>
      </c>
      <c r="AQ359" s="31" t="s">
        <v>144</v>
      </c>
      <c r="AR359" s="31" t="s">
        <v>144</v>
      </c>
      <c r="AS359" s="31"/>
      <c r="AT359" s="31"/>
      <c r="AU359" s="31"/>
    </row>
    <row r="360" spans="5:47" ht="15" customHeight="1" x14ac:dyDescent="0.25">
      <c r="E360" s="31" t="s">
        <v>136</v>
      </c>
      <c r="F360" s="31" t="s">
        <v>140</v>
      </c>
      <c r="G360" s="31" t="s">
        <v>195</v>
      </c>
      <c r="H360" s="31" t="s">
        <v>154</v>
      </c>
      <c r="I360" s="31" t="s">
        <v>481</v>
      </c>
      <c r="J360" s="31" t="s">
        <v>860</v>
      </c>
      <c r="K360" s="31" t="s">
        <v>866</v>
      </c>
      <c r="L360" s="31" t="s">
        <v>162</v>
      </c>
      <c r="M360" s="31" t="s">
        <v>144</v>
      </c>
      <c r="N360" s="31" t="s">
        <v>144</v>
      </c>
      <c r="O360" s="31" t="s">
        <v>144</v>
      </c>
      <c r="P360" s="31" t="s">
        <v>144</v>
      </c>
      <c r="Q360" s="31" t="s">
        <v>862</v>
      </c>
      <c r="R360" s="372" t="s">
        <v>312</v>
      </c>
      <c r="S360" s="31" t="s">
        <v>479</v>
      </c>
      <c r="T360" s="31" t="s">
        <v>480</v>
      </c>
      <c r="U360" s="31">
        <v>65</v>
      </c>
      <c r="V360" s="31" t="s">
        <v>144</v>
      </c>
      <c r="W360" s="31" t="s">
        <v>144</v>
      </c>
      <c r="X360" s="31" t="s">
        <v>144</v>
      </c>
      <c r="Y360" s="31"/>
      <c r="Z360" s="33">
        <v>1</v>
      </c>
      <c r="AA360" s="31" t="s">
        <v>144</v>
      </c>
      <c r="AB360" s="31" t="s">
        <v>144</v>
      </c>
      <c r="AC360" s="31" t="s">
        <v>144</v>
      </c>
      <c r="AD360" s="31" t="s">
        <v>144</v>
      </c>
      <c r="AE360" s="31" t="s">
        <v>144</v>
      </c>
      <c r="AF360" s="31" t="s">
        <v>144</v>
      </c>
      <c r="AG360" s="31"/>
      <c r="AH360" s="31" t="s">
        <v>190</v>
      </c>
      <c r="AI360" s="31" t="s">
        <v>196</v>
      </c>
      <c r="AJ360" s="31" t="s">
        <v>863</v>
      </c>
      <c r="AK360" s="31" t="s">
        <v>144</v>
      </c>
      <c r="AL360" s="31" t="s">
        <v>322</v>
      </c>
      <c r="AM360" s="31" t="s">
        <v>144</v>
      </c>
      <c r="AN360" s="31" t="s">
        <v>163</v>
      </c>
      <c r="AO360" s="31" t="s">
        <v>156</v>
      </c>
      <c r="AP360" s="31" t="s">
        <v>144</v>
      </c>
      <c r="AQ360" s="31" t="s">
        <v>144</v>
      </c>
      <c r="AR360" s="31" t="s">
        <v>144</v>
      </c>
      <c r="AS360" s="31"/>
      <c r="AT360" s="31"/>
      <c r="AU360" s="31"/>
    </row>
    <row r="361" spans="5:47" ht="15" customHeight="1" x14ac:dyDescent="0.25"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3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95"/>
    </row>
    <row r="362" spans="5:47" ht="15" customHeight="1" x14ac:dyDescent="0.25"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3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95"/>
    </row>
    <row r="363" spans="5:47" ht="15" customHeight="1" x14ac:dyDescent="0.25">
      <c r="E363" s="31" t="s">
        <v>136</v>
      </c>
      <c r="F363" s="31" t="s">
        <v>140</v>
      </c>
      <c r="G363" s="31" t="s">
        <v>195</v>
      </c>
      <c r="H363" s="31" t="s">
        <v>154</v>
      </c>
      <c r="I363" s="31" t="s">
        <v>481</v>
      </c>
      <c r="J363" s="31" t="s">
        <v>867</v>
      </c>
      <c r="K363" s="31" t="s">
        <v>868</v>
      </c>
      <c r="L363" s="31" t="s">
        <v>162</v>
      </c>
      <c r="M363" s="31" t="s">
        <v>144</v>
      </c>
      <c r="N363" s="31" t="s">
        <v>144</v>
      </c>
      <c r="O363" s="31" t="s">
        <v>144</v>
      </c>
      <c r="P363" s="31" t="s">
        <v>144</v>
      </c>
      <c r="Q363" s="31" t="s">
        <v>862</v>
      </c>
      <c r="R363" s="372" t="s">
        <v>312</v>
      </c>
      <c r="S363" s="31" t="s">
        <v>479</v>
      </c>
      <c r="T363" s="31" t="s">
        <v>480</v>
      </c>
      <c r="U363" s="31">
        <v>65</v>
      </c>
      <c r="V363" s="31" t="s">
        <v>144</v>
      </c>
      <c r="W363" s="31" t="s">
        <v>144</v>
      </c>
      <c r="X363" s="31" t="s">
        <v>144</v>
      </c>
      <c r="Y363" s="31"/>
      <c r="Z363" s="33">
        <v>1</v>
      </c>
      <c r="AA363" s="31" t="s">
        <v>144</v>
      </c>
      <c r="AB363" s="31" t="s">
        <v>144</v>
      </c>
      <c r="AC363" s="31" t="s">
        <v>144</v>
      </c>
      <c r="AD363" s="31" t="s">
        <v>144</v>
      </c>
      <c r="AE363" s="31" t="s">
        <v>144</v>
      </c>
      <c r="AF363" s="31" t="s">
        <v>144</v>
      </c>
      <c r="AG363" s="31"/>
      <c r="AH363" s="31" t="s">
        <v>190</v>
      </c>
      <c r="AI363" s="31" t="s">
        <v>196</v>
      </c>
      <c r="AJ363" s="31" t="s">
        <v>863</v>
      </c>
      <c r="AK363" s="31" t="s">
        <v>144</v>
      </c>
      <c r="AL363" s="31" t="s">
        <v>322</v>
      </c>
      <c r="AM363" s="31" t="s">
        <v>144</v>
      </c>
      <c r="AN363" s="31" t="s">
        <v>163</v>
      </c>
      <c r="AO363" s="31" t="s">
        <v>156</v>
      </c>
      <c r="AP363" s="31" t="s">
        <v>144</v>
      </c>
      <c r="AQ363" s="31" t="s">
        <v>144</v>
      </c>
      <c r="AR363" s="31" t="s">
        <v>144</v>
      </c>
      <c r="AS363" s="31"/>
      <c r="AT363" s="31"/>
      <c r="AU363" s="31"/>
    </row>
    <row r="364" spans="5:47" ht="15" customHeight="1" x14ac:dyDescent="0.25">
      <c r="E364" s="31" t="s">
        <v>136</v>
      </c>
      <c r="F364" s="31" t="s">
        <v>140</v>
      </c>
      <c r="G364" s="31" t="s">
        <v>195</v>
      </c>
      <c r="H364" s="31" t="s">
        <v>154</v>
      </c>
      <c r="I364" s="31" t="s">
        <v>481</v>
      </c>
      <c r="J364" s="31" t="s">
        <v>867</v>
      </c>
      <c r="K364" s="31" t="s">
        <v>869</v>
      </c>
      <c r="L364" s="31" t="s">
        <v>162</v>
      </c>
      <c r="M364" s="31" t="s">
        <v>144</v>
      </c>
      <c r="N364" s="31" t="s">
        <v>144</v>
      </c>
      <c r="O364" s="31" t="s">
        <v>144</v>
      </c>
      <c r="P364" s="31" t="s">
        <v>144</v>
      </c>
      <c r="Q364" s="31" t="s">
        <v>862</v>
      </c>
      <c r="R364" s="372" t="s">
        <v>312</v>
      </c>
      <c r="S364" s="31" t="s">
        <v>479</v>
      </c>
      <c r="T364" s="31" t="s">
        <v>480</v>
      </c>
      <c r="U364" s="31">
        <v>65</v>
      </c>
      <c r="V364" s="31" t="s">
        <v>144</v>
      </c>
      <c r="W364" s="31" t="s">
        <v>144</v>
      </c>
      <c r="X364" s="31" t="s">
        <v>144</v>
      </c>
      <c r="Y364" s="31"/>
      <c r="Z364" s="33">
        <v>1</v>
      </c>
      <c r="AA364" s="31" t="s">
        <v>144</v>
      </c>
      <c r="AB364" s="31" t="s">
        <v>144</v>
      </c>
      <c r="AC364" s="31" t="s">
        <v>144</v>
      </c>
      <c r="AD364" s="31" t="s">
        <v>144</v>
      </c>
      <c r="AE364" s="31" t="s">
        <v>144</v>
      </c>
      <c r="AF364" s="31" t="s">
        <v>144</v>
      </c>
      <c r="AG364" s="31"/>
      <c r="AH364" s="31" t="s">
        <v>190</v>
      </c>
      <c r="AI364" s="31" t="s">
        <v>196</v>
      </c>
      <c r="AJ364" s="31" t="s">
        <v>863</v>
      </c>
      <c r="AK364" s="31" t="s">
        <v>144</v>
      </c>
      <c r="AL364" s="31" t="s">
        <v>322</v>
      </c>
      <c r="AM364" s="31" t="s">
        <v>144</v>
      </c>
      <c r="AN364" s="31" t="s">
        <v>163</v>
      </c>
      <c r="AO364" s="31" t="s">
        <v>156</v>
      </c>
      <c r="AP364" s="31" t="s">
        <v>144</v>
      </c>
      <c r="AQ364" s="31" t="s">
        <v>144</v>
      </c>
      <c r="AR364" s="31" t="s">
        <v>144</v>
      </c>
      <c r="AS364" s="31"/>
      <c r="AT364" s="31"/>
      <c r="AU364" s="31"/>
    </row>
    <row r="365" spans="5:47" ht="15" customHeight="1" x14ac:dyDescent="0.25">
      <c r="E365" s="31" t="s">
        <v>136</v>
      </c>
      <c r="F365" s="31" t="s">
        <v>140</v>
      </c>
      <c r="G365" s="31" t="s">
        <v>195</v>
      </c>
      <c r="H365" s="31" t="s">
        <v>154</v>
      </c>
      <c r="I365" s="31" t="s">
        <v>481</v>
      </c>
      <c r="J365" s="31" t="s">
        <v>867</v>
      </c>
      <c r="K365" s="31" t="s">
        <v>870</v>
      </c>
      <c r="L365" s="31" t="s">
        <v>162</v>
      </c>
      <c r="M365" s="31" t="s">
        <v>144</v>
      </c>
      <c r="N365" s="31" t="s">
        <v>144</v>
      </c>
      <c r="O365" s="31" t="s">
        <v>144</v>
      </c>
      <c r="P365" s="31" t="s">
        <v>144</v>
      </c>
      <c r="Q365" s="31" t="s">
        <v>862</v>
      </c>
      <c r="R365" s="372" t="s">
        <v>312</v>
      </c>
      <c r="S365" s="31" t="s">
        <v>479</v>
      </c>
      <c r="T365" s="31" t="s">
        <v>480</v>
      </c>
      <c r="U365" s="31">
        <v>65</v>
      </c>
      <c r="V365" s="31" t="s">
        <v>144</v>
      </c>
      <c r="W365" s="31" t="s">
        <v>144</v>
      </c>
      <c r="X365" s="31" t="s">
        <v>144</v>
      </c>
      <c r="Y365" s="31"/>
      <c r="Z365" s="33">
        <v>1</v>
      </c>
      <c r="AA365" s="31" t="s">
        <v>144</v>
      </c>
      <c r="AB365" s="31" t="s">
        <v>144</v>
      </c>
      <c r="AC365" s="31" t="s">
        <v>144</v>
      </c>
      <c r="AD365" s="31" t="s">
        <v>144</v>
      </c>
      <c r="AE365" s="31" t="s">
        <v>144</v>
      </c>
      <c r="AF365" s="31" t="s">
        <v>144</v>
      </c>
      <c r="AG365" s="31"/>
      <c r="AH365" s="31" t="s">
        <v>190</v>
      </c>
      <c r="AI365" s="31" t="s">
        <v>196</v>
      </c>
      <c r="AJ365" s="31" t="s">
        <v>863</v>
      </c>
      <c r="AK365" s="31" t="s">
        <v>144</v>
      </c>
      <c r="AL365" s="31" t="s">
        <v>322</v>
      </c>
      <c r="AM365" s="31" t="s">
        <v>144</v>
      </c>
      <c r="AN365" s="31" t="s">
        <v>163</v>
      </c>
      <c r="AO365" s="31" t="s">
        <v>156</v>
      </c>
      <c r="AP365" s="31" t="s">
        <v>144</v>
      </c>
      <c r="AQ365" s="31" t="s">
        <v>144</v>
      </c>
      <c r="AR365" s="31" t="s">
        <v>144</v>
      </c>
      <c r="AS365" s="31"/>
      <c r="AT365" s="31"/>
      <c r="AU365" s="31"/>
    </row>
    <row r="366" spans="5:47" ht="15" customHeight="1" x14ac:dyDescent="0.25">
      <c r="E366" s="31" t="s">
        <v>136</v>
      </c>
      <c r="F366" s="31" t="s">
        <v>140</v>
      </c>
      <c r="G366" s="31" t="s">
        <v>195</v>
      </c>
      <c r="H366" s="31" t="s">
        <v>154</v>
      </c>
      <c r="I366" s="31" t="s">
        <v>481</v>
      </c>
      <c r="J366" s="31" t="s">
        <v>867</v>
      </c>
      <c r="K366" s="31" t="s">
        <v>871</v>
      </c>
      <c r="L366" s="31" t="s">
        <v>162</v>
      </c>
      <c r="M366" s="31" t="s">
        <v>144</v>
      </c>
      <c r="N366" s="31" t="s">
        <v>144</v>
      </c>
      <c r="O366" s="31" t="s">
        <v>144</v>
      </c>
      <c r="P366" s="31" t="s">
        <v>144</v>
      </c>
      <c r="Q366" s="31" t="s">
        <v>862</v>
      </c>
      <c r="R366" s="372" t="s">
        <v>312</v>
      </c>
      <c r="S366" s="31" t="s">
        <v>479</v>
      </c>
      <c r="T366" s="31" t="s">
        <v>480</v>
      </c>
      <c r="U366" s="31">
        <v>65</v>
      </c>
      <c r="V366" s="31" t="s">
        <v>144</v>
      </c>
      <c r="W366" s="31" t="s">
        <v>144</v>
      </c>
      <c r="X366" s="31" t="s">
        <v>144</v>
      </c>
      <c r="Y366" s="31"/>
      <c r="Z366" s="33">
        <v>1</v>
      </c>
      <c r="AA366" s="31" t="s">
        <v>144</v>
      </c>
      <c r="AB366" s="31" t="s">
        <v>144</v>
      </c>
      <c r="AC366" s="31" t="s">
        <v>144</v>
      </c>
      <c r="AD366" s="31" t="s">
        <v>144</v>
      </c>
      <c r="AE366" s="31" t="s">
        <v>144</v>
      </c>
      <c r="AF366" s="31" t="s">
        <v>144</v>
      </c>
      <c r="AG366" s="31"/>
      <c r="AH366" s="31" t="s">
        <v>190</v>
      </c>
      <c r="AI366" s="31" t="s">
        <v>196</v>
      </c>
      <c r="AJ366" s="31" t="s">
        <v>863</v>
      </c>
      <c r="AK366" s="31" t="s">
        <v>144</v>
      </c>
      <c r="AL366" s="31" t="s">
        <v>322</v>
      </c>
      <c r="AM366" s="31" t="s">
        <v>144</v>
      </c>
      <c r="AN366" s="31" t="s">
        <v>163</v>
      </c>
      <c r="AO366" s="31" t="s">
        <v>156</v>
      </c>
      <c r="AP366" s="31" t="s">
        <v>144</v>
      </c>
      <c r="AQ366" s="31" t="s">
        <v>144</v>
      </c>
      <c r="AR366" s="31" t="s">
        <v>144</v>
      </c>
      <c r="AS366" s="31"/>
      <c r="AT366" s="31"/>
      <c r="AU366" s="31"/>
    </row>
    <row r="367" spans="5:47" ht="15" customHeight="1" x14ac:dyDescent="0.25"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3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95"/>
    </row>
    <row r="368" spans="5:47" ht="15" customHeight="1" x14ac:dyDescent="0.25"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3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95"/>
    </row>
    <row r="369" spans="5:47" ht="15" customHeight="1" x14ac:dyDescent="0.25">
      <c r="E369" s="31" t="s">
        <v>136</v>
      </c>
      <c r="F369" s="31" t="s">
        <v>140</v>
      </c>
      <c r="G369" s="31" t="s">
        <v>195</v>
      </c>
      <c r="H369" s="31" t="s">
        <v>154</v>
      </c>
      <c r="I369" s="31" t="s">
        <v>481</v>
      </c>
      <c r="J369" s="31" t="s">
        <v>872</v>
      </c>
      <c r="K369" s="31" t="s">
        <v>873</v>
      </c>
      <c r="L369" s="31" t="s">
        <v>162</v>
      </c>
      <c r="M369" s="31" t="s">
        <v>144</v>
      </c>
      <c r="N369" s="31" t="s">
        <v>144</v>
      </c>
      <c r="O369" s="31" t="s">
        <v>144</v>
      </c>
      <c r="P369" s="31" t="s">
        <v>144</v>
      </c>
      <c r="Q369" s="31" t="s">
        <v>862</v>
      </c>
      <c r="R369" s="372" t="s">
        <v>312</v>
      </c>
      <c r="S369" s="31" t="s">
        <v>479</v>
      </c>
      <c r="T369" s="31" t="s">
        <v>480</v>
      </c>
      <c r="U369" s="31">
        <v>65</v>
      </c>
      <c r="V369" s="31" t="s">
        <v>144</v>
      </c>
      <c r="W369" s="31" t="s">
        <v>144</v>
      </c>
      <c r="X369" s="31" t="s">
        <v>144</v>
      </c>
      <c r="Y369" s="31"/>
      <c r="Z369" s="33">
        <v>1</v>
      </c>
      <c r="AA369" s="31" t="s">
        <v>144</v>
      </c>
      <c r="AB369" s="31" t="s">
        <v>144</v>
      </c>
      <c r="AC369" s="31" t="s">
        <v>144</v>
      </c>
      <c r="AD369" s="31" t="s">
        <v>144</v>
      </c>
      <c r="AE369" s="31" t="s">
        <v>144</v>
      </c>
      <c r="AF369" s="31" t="s">
        <v>144</v>
      </c>
      <c r="AG369" s="31"/>
      <c r="AH369" s="31" t="s">
        <v>190</v>
      </c>
      <c r="AI369" s="31" t="s">
        <v>196</v>
      </c>
      <c r="AJ369" s="31" t="s">
        <v>863</v>
      </c>
      <c r="AK369" s="31" t="s">
        <v>144</v>
      </c>
      <c r="AL369" s="31" t="s">
        <v>322</v>
      </c>
      <c r="AM369" s="31" t="s">
        <v>144</v>
      </c>
      <c r="AN369" s="31" t="s">
        <v>163</v>
      </c>
      <c r="AO369" s="31" t="s">
        <v>156</v>
      </c>
      <c r="AP369" s="31" t="s">
        <v>144</v>
      </c>
      <c r="AQ369" s="31" t="s">
        <v>144</v>
      </c>
      <c r="AR369" s="31" t="s">
        <v>144</v>
      </c>
      <c r="AS369" s="31"/>
      <c r="AT369" s="31"/>
      <c r="AU369" s="31"/>
    </row>
    <row r="370" spans="5:47" ht="15" customHeight="1" x14ac:dyDescent="0.25">
      <c r="E370" s="31" t="s">
        <v>136</v>
      </c>
      <c r="F370" s="31" t="s">
        <v>140</v>
      </c>
      <c r="G370" s="31" t="s">
        <v>195</v>
      </c>
      <c r="H370" s="31" t="s">
        <v>154</v>
      </c>
      <c r="I370" s="31" t="s">
        <v>481</v>
      </c>
      <c r="J370" s="31" t="s">
        <v>872</v>
      </c>
      <c r="K370" s="31" t="s">
        <v>874</v>
      </c>
      <c r="L370" s="31" t="s">
        <v>162</v>
      </c>
      <c r="M370" s="31" t="s">
        <v>144</v>
      </c>
      <c r="N370" s="31" t="s">
        <v>144</v>
      </c>
      <c r="O370" s="31" t="s">
        <v>144</v>
      </c>
      <c r="P370" s="31" t="s">
        <v>144</v>
      </c>
      <c r="Q370" s="31" t="s">
        <v>862</v>
      </c>
      <c r="R370" s="372" t="s">
        <v>312</v>
      </c>
      <c r="S370" s="31" t="s">
        <v>479</v>
      </c>
      <c r="T370" s="31" t="s">
        <v>480</v>
      </c>
      <c r="U370" s="31">
        <v>65</v>
      </c>
      <c r="V370" s="31" t="s">
        <v>144</v>
      </c>
      <c r="W370" s="31" t="s">
        <v>144</v>
      </c>
      <c r="X370" s="31" t="s">
        <v>144</v>
      </c>
      <c r="Y370" s="31"/>
      <c r="Z370" s="33">
        <v>1</v>
      </c>
      <c r="AA370" s="31" t="s">
        <v>144</v>
      </c>
      <c r="AB370" s="31" t="s">
        <v>144</v>
      </c>
      <c r="AC370" s="31" t="s">
        <v>144</v>
      </c>
      <c r="AD370" s="31" t="s">
        <v>144</v>
      </c>
      <c r="AE370" s="31" t="s">
        <v>144</v>
      </c>
      <c r="AF370" s="31" t="s">
        <v>144</v>
      </c>
      <c r="AG370" s="31"/>
      <c r="AH370" s="31" t="s">
        <v>190</v>
      </c>
      <c r="AI370" s="31" t="s">
        <v>196</v>
      </c>
      <c r="AJ370" s="31" t="s">
        <v>863</v>
      </c>
      <c r="AK370" s="31" t="s">
        <v>144</v>
      </c>
      <c r="AL370" s="31" t="s">
        <v>322</v>
      </c>
      <c r="AM370" s="31" t="s">
        <v>144</v>
      </c>
      <c r="AN370" s="31" t="s">
        <v>163</v>
      </c>
      <c r="AO370" s="31" t="s">
        <v>156</v>
      </c>
      <c r="AP370" s="31" t="s">
        <v>144</v>
      </c>
      <c r="AQ370" s="31" t="s">
        <v>144</v>
      </c>
      <c r="AR370" s="31" t="s">
        <v>144</v>
      </c>
      <c r="AS370" s="31"/>
      <c r="AT370" s="31"/>
      <c r="AU370" s="31"/>
    </row>
    <row r="371" spans="5:47" ht="15" customHeight="1" x14ac:dyDescent="0.25">
      <c r="E371" s="31" t="s">
        <v>136</v>
      </c>
      <c r="F371" s="31" t="s">
        <v>140</v>
      </c>
      <c r="G371" s="31" t="s">
        <v>195</v>
      </c>
      <c r="H371" s="31" t="s">
        <v>154</v>
      </c>
      <c r="I371" s="31" t="s">
        <v>481</v>
      </c>
      <c r="J371" s="31" t="s">
        <v>872</v>
      </c>
      <c r="K371" s="31" t="s">
        <v>875</v>
      </c>
      <c r="L371" s="31" t="s">
        <v>162</v>
      </c>
      <c r="M371" s="31" t="s">
        <v>144</v>
      </c>
      <c r="N371" s="31" t="s">
        <v>144</v>
      </c>
      <c r="O371" s="31" t="s">
        <v>144</v>
      </c>
      <c r="P371" s="31" t="s">
        <v>144</v>
      </c>
      <c r="Q371" s="31" t="s">
        <v>862</v>
      </c>
      <c r="R371" s="372" t="s">
        <v>312</v>
      </c>
      <c r="S371" s="31" t="s">
        <v>479</v>
      </c>
      <c r="T371" s="31" t="s">
        <v>480</v>
      </c>
      <c r="U371" s="31">
        <v>65</v>
      </c>
      <c r="V371" s="31" t="s">
        <v>144</v>
      </c>
      <c r="W371" s="31" t="s">
        <v>144</v>
      </c>
      <c r="X371" s="31" t="s">
        <v>144</v>
      </c>
      <c r="Y371" s="31"/>
      <c r="Z371" s="33">
        <v>1</v>
      </c>
      <c r="AA371" s="31" t="s">
        <v>144</v>
      </c>
      <c r="AB371" s="31" t="s">
        <v>144</v>
      </c>
      <c r="AC371" s="31" t="s">
        <v>144</v>
      </c>
      <c r="AD371" s="31" t="s">
        <v>144</v>
      </c>
      <c r="AE371" s="31" t="s">
        <v>144</v>
      </c>
      <c r="AF371" s="31" t="s">
        <v>144</v>
      </c>
      <c r="AG371" s="31"/>
      <c r="AH371" s="31" t="s">
        <v>190</v>
      </c>
      <c r="AI371" s="31" t="s">
        <v>196</v>
      </c>
      <c r="AJ371" s="31" t="s">
        <v>863</v>
      </c>
      <c r="AK371" s="31" t="s">
        <v>144</v>
      </c>
      <c r="AL371" s="31" t="s">
        <v>322</v>
      </c>
      <c r="AM371" s="31" t="s">
        <v>144</v>
      </c>
      <c r="AN371" s="31" t="s">
        <v>163</v>
      </c>
      <c r="AO371" s="31" t="s">
        <v>156</v>
      </c>
      <c r="AP371" s="31" t="s">
        <v>144</v>
      </c>
      <c r="AQ371" s="31" t="s">
        <v>144</v>
      </c>
      <c r="AR371" s="31" t="s">
        <v>144</v>
      </c>
      <c r="AS371" s="31"/>
      <c r="AT371" s="31"/>
      <c r="AU371" s="31"/>
    </row>
    <row r="372" spans="5:47" ht="15" customHeight="1" x14ac:dyDescent="0.25">
      <c r="E372" s="31" t="s">
        <v>136</v>
      </c>
      <c r="F372" s="31" t="s">
        <v>140</v>
      </c>
      <c r="G372" s="31" t="s">
        <v>195</v>
      </c>
      <c r="H372" s="31" t="s">
        <v>154</v>
      </c>
      <c r="I372" s="31" t="s">
        <v>481</v>
      </c>
      <c r="J372" s="31" t="s">
        <v>872</v>
      </c>
      <c r="K372" s="31" t="s">
        <v>876</v>
      </c>
      <c r="L372" s="31" t="s">
        <v>162</v>
      </c>
      <c r="M372" s="31" t="s">
        <v>144</v>
      </c>
      <c r="N372" s="31" t="s">
        <v>144</v>
      </c>
      <c r="O372" s="31" t="s">
        <v>144</v>
      </c>
      <c r="P372" s="31" t="s">
        <v>144</v>
      </c>
      <c r="Q372" s="31" t="s">
        <v>862</v>
      </c>
      <c r="R372" s="372" t="s">
        <v>312</v>
      </c>
      <c r="S372" s="31" t="s">
        <v>479</v>
      </c>
      <c r="T372" s="31" t="s">
        <v>480</v>
      </c>
      <c r="U372" s="31">
        <v>65</v>
      </c>
      <c r="V372" s="31" t="s">
        <v>144</v>
      </c>
      <c r="W372" s="31" t="s">
        <v>144</v>
      </c>
      <c r="X372" s="31" t="s">
        <v>144</v>
      </c>
      <c r="Y372" s="31"/>
      <c r="Z372" s="33">
        <v>1</v>
      </c>
      <c r="AA372" s="31" t="s">
        <v>144</v>
      </c>
      <c r="AB372" s="31" t="s">
        <v>144</v>
      </c>
      <c r="AC372" s="31" t="s">
        <v>144</v>
      </c>
      <c r="AD372" s="31" t="s">
        <v>144</v>
      </c>
      <c r="AE372" s="31" t="s">
        <v>144</v>
      </c>
      <c r="AF372" s="31" t="s">
        <v>144</v>
      </c>
      <c r="AG372" s="31"/>
      <c r="AH372" s="31" t="s">
        <v>190</v>
      </c>
      <c r="AI372" s="31" t="s">
        <v>196</v>
      </c>
      <c r="AJ372" s="31" t="s">
        <v>863</v>
      </c>
      <c r="AK372" s="31" t="s">
        <v>144</v>
      </c>
      <c r="AL372" s="31" t="s">
        <v>322</v>
      </c>
      <c r="AM372" s="31" t="s">
        <v>144</v>
      </c>
      <c r="AN372" s="31" t="s">
        <v>163</v>
      </c>
      <c r="AO372" s="31" t="s">
        <v>156</v>
      </c>
      <c r="AP372" s="31" t="s">
        <v>144</v>
      </c>
      <c r="AQ372" s="31" t="s">
        <v>144</v>
      </c>
      <c r="AR372" s="31" t="s">
        <v>144</v>
      </c>
      <c r="AS372" s="31"/>
      <c r="AT372" s="31"/>
      <c r="AU372" s="31"/>
    </row>
    <row r="373" spans="5:47" ht="15" customHeight="1" x14ac:dyDescent="0.25"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3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95"/>
    </row>
    <row r="374" spans="5:47" ht="15" customHeight="1" x14ac:dyDescent="0.25"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3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95"/>
    </row>
    <row r="375" spans="5:47" ht="15" customHeight="1" x14ac:dyDescent="0.25">
      <c r="E375" s="31" t="s">
        <v>136</v>
      </c>
      <c r="F375" s="31" t="s">
        <v>140</v>
      </c>
      <c r="G375" s="31" t="s">
        <v>195</v>
      </c>
      <c r="H375" s="31" t="s">
        <v>154</v>
      </c>
      <c r="I375" s="31" t="s">
        <v>481</v>
      </c>
      <c r="J375" s="31" t="s">
        <v>877</v>
      </c>
      <c r="K375" s="31" t="s">
        <v>878</v>
      </c>
      <c r="L375" s="31" t="s">
        <v>162</v>
      </c>
      <c r="M375" s="31" t="s">
        <v>144</v>
      </c>
      <c r="N375" s="31" t="s">
        <v>144</v>
      </c>
      <c r="O375" s="31" t="s">
        <v>144</v>
      </c>
      <c r="P375" s="31" t="s">
        <v>144</v>
      </c>
      <c r="Q375" s="31" t="s">
        <v>862</v>
      </c>
      <c r="R375" s="372" t="s">
        <v>312</v>
      </c>
      <c r="S375" s="31" t="s">
        <v>479</v>
      </c>
      <c r="T375" s="31" t="s">
        <v>480</v>
      </c>
      <c r="U375" s="31">
        <v>65</v>
      </c>
      <c r="V375" s="31" t="s">
        <v>144</v>
      </c>
      <c r="W375" s="31" t="s">
        <v>144</v>
      </c>
      <c r="X375" s="31" t="s">
        <v>144</v>
      </c>
      <c r="Y375" s="31"/>
      <c r="Z375" s="33">
        <v>1</v>
      </c>
      <c r="AA375" s="31" t="s">
        <v>144</v>
      </c>
      <c r="AB375" s="31" t="s">
        <v>144</v>
      </c>
      <c r="AC375" s="31" t="s">
        <v>144</v>
      </c>
      <c r="AD375" s="31" t="s">
        <v>144</v>
      </c>
      <c r="AE375" s="31" t="s">
        <v>144</v>
      </c>
      <c r="AF375" s="31" t="s">
        <v>144</v>
      </c>
      <c r="AG375" s="31"/>
      <c r="AH375" s="31" t="s">
        <v>190</v>
      </c>
      <c r="AI375" s="31" t="s">
        <v>196</v>
      </c>
      <c r="AJ375" s="31" t="s">
        <v>863</v>
      </c>
      <c r="AK375" s="31" t="s">
        <v>144</v>
      </c>
      <c r="AL375" s="31" t="s">
        <v>322</v>
      </c>
      <c r="AM375" s="31" t="s">
        <v>144</v>
      </c>
      <c r="AN375" s="31" t="s">
        <v>163</v>
      </c>
      <c r="AO375" s="31" t="s">
        <v>156</v>
      </c>
      <c r="AP375" s="31" t="s">
        <v>144</v>
      </c>
      <c r="AQ375" s="31" t="s">
        <v>144</v>
      </c>
      <c r="AR375" s="31" t="s">
        <v>144</v>
      </c>
      <c r="AS375" s="31"/>
      <c r="AT375" s="31"/>
      <c r="AU375" s="31"/>
    </row>
    <row r="376" spans="5:47" ht="15" customHeight="1" x14ac:dyDescent="0.25">
      <c r="E376" s="31" t="s">
        <v>136</v>
      </c>
      <c r="F376" s="31" t="s">
        <v>140</v>
      </c>
      <c r="G376" s="31" t="s">
        <v>195</v>
      </c>
      <c r="H376" s="31" t="s">
        <v>154</v>
      </c>
      <c r="I376" s="31" t="s">
        <v>481</v>
      </c>
      <c r="J376" s="31" t="s">
        <v>877</v>
      </c>
      <c r="K376" s="31" t="s">
        <v>879</v>
      </c>
      <c r="L376" s="31" t="s">
        <v>162</v>
      </c>
      <c r="M376" s="31" t="s">
        <v>144</v>
      </c>
      <c r="N376" s="31" t="s">
        <v>144</v>
      </c>
      <c r="O376" s="31" t="s">
        <v>144</v>
      </c>
      <c r="P376" s="31" t="s">
        <v>144</v>
      </c>
      <c r="Q376" s="31" t="s">
        <v>862</v>
      </c>
      <c r="R376" s="372" t="s">
        <v>312</v>
      </c>
      <c r="S376" s="31" t="s">
        <v>479</v>
      </c>
      <c r="T376" s="31" t="s">
        <v>480</v>
      </c>
      <c r="U376" s="31">
        <v>65</v>
      </c>
      <c r="V376" s="31" t="s">
        <v>144</v>
      </c>
      <c r="W376" s="31" t="s">
        <v>144</v>
      </c>
      <c r="X376" s="31" t="s">
        <v>144</v>
      </c>
      <c r="Y376" s="31"/>
      <c r="Z376" s="33">
        <v>1</v>
      </c>
      <c r="AA376" s="31" t="s">
        <v>144</v>
      </c>
      <c r="AB376" s="31" t="s">
        <v>144</v>
      </c>
      <c r="AC376" s="31" t="s">
        <v>144</v>
      </c>
      <c r="AD376" s="31" t="s">
        <v>144</v>
      </c>
      <c r="AE376" s="31" t="s">
        <v>144</v>
      </c>
      <c r="AF376" s="31" t="s">
        <v>144</v>
      </c>
      <c r="AG376" s="31"/>
      <c r="AH376" s="31" t="s">
        <v>190</v>
      </c>
      <c r="AI376" s="31" t="s">
        <v>196</v>
      </c>
      <c r="AJ376" s="31" t="s">
        <v>863</v>
      </c>
      <c r="AK376" s="31" t="s">
        <v>144</v>
      </c>
      <c r="AL376" s="31" t="s">
        <v>322</v>
      </c>
      <c r="AM376" s="31" t="s">
        <v>144</v>
      </c>
      <c r="AN376" s="31" t="s">
        <v>163</v>
      </c>
      <c r="AO376" s="31" t="s">
        <v>156</v>
      </c>
      <c r="AP376" s="31" t="s">
        <v>144</v>
      </c>
      <c r="AQ376" s="31" t="s">
        <v>144</v>
      </c>
      <c r="AR376" s="31" t="s">
        <v>144</v>
      </c>
      <c r="AS376" s="31"/>
      <c r="AT376" s="31"/>
      <c r="AU376" s="31"/>
    </row>
    <row r="377" spans="5:47" ht="15" customHeight="1" x14ac:dyDescent="0.25">
      <c r="E377" s="31" t="s">
        <v>136</v>
      </c>
      <c r="F377" s="31" t="s">
        <v>140</v>
      </c>
      <c r="G377" s="31" t="s">
        <v>195</v>
      </c>
      <c r="H377" s="31" t="s">
        <v>154</v>
      </c>
      <c r="I377" s="31" t="s">
        <v>481</v>
      </c>
      <c r="J377" s="31" t="s">
        <v>877</v>
      </c>
      <c r="K377" s="31" t="s">
        <v>880</v>
      </c>
      <c r="L377" s="31" t="s">
        <v>162</v>
      </c>
      <c r="M377" s="31" t="s">
        <v>144</v>
      </c>
      <c r="N377" s="31" t="s">
        <v>144</v>
      </c>
      <c r="O377" s="31" t="s">
        <v>144</v>
      </c>
      <c r="P377" s="31" t="s">
        <v>144</v>
      </c>
      <c r="Q377" s="31" t="s">
        <v>862</v>
      </c>
      <c r="R377" s="372" t="s">
        <v>312</v>
      </c>
      <c r="S377" s="31" t="s">
        <v>479</v>
      </c>
      <c r="T377" s="31" t="s">
        <v>480</v>
      </c>
      <c r="U377" s="31">
        <v>65</v>
      </c>
      <c r="V377" s="31" t="s">
        <v>144</v>
      </c>
      <c r="W377" s="31" t="s">
        <v>144</v>
      </c>
      <c r="X377" s="31" t="s">
        <v>144</v>
      </c>
      <c r="Y377" s="31"/>
      <c r="Z377" s="33">
        <v>1</v>
      </c>
      <c r="AA377" s="31" t="s">
        <v>144</v>
      </c>
      <c r="AB377" s="31" t="s">
        <v>144</v>
      </c>
      <c r="AC377" s="31" t="s">
        <v>144</v>
      </c>
      <c r="AD377" s="31" t="s">
        <v>144</v>
      </c>
      <c r="AE377" s="31" t="s">
        <v>144</v>
      </c>
      <c r="AF377" s="31" t="s">
        <v>144</v>
      </c>
      <c r="AG377" s="31"/>
      <c r="AH377" s="31" t="s">
        <v>190</v>
      </c>
      <c r="AI377" s="31" t="s">
        <v>196</v>
      </c>
      <c r="AJ377" s="31" t="s">
        <v>863</v>
      </c>
      <c r="AK377" s="31" t="s">
        <v>144</v>
      </c>
      <c r="AL377" s="31" t="s">
        <v>322</v>
      </c>
      <c r="AM377" s="31" t="s">
        <v>144</v>
      </c>
      <c r="AN377" s="31" t="s">
        <v>163</v>
      </c>
      <c r="AO377" s="31" t="s">
        <v>156</v>
      </c>
      <c r="AP377" s="31" t="s">
        <v>144</v>
      </c>
      <c r="AQ377" s="31" t="s">
        <v>144</v>
      </c>
      <c r="AR377" s="31" t="s">
        <v>144</v>
      </c>
      <c r="AS377" s="31"/>
      <c r="AT377" s="31"/>
      <c r="AU377" s="31"/>
    </row>
    <row r="378" spans="5:47" ht="15" customHeight="1" x14ac:dyDescent="0.25">
      <c r="E378" s="31" t="s">
        <v>136</v>
      </c>
      <c r="F378" s="31" t="s">
        <v>140</v>
      </c>
      <c r="G378" s="31" t="s">
        <v>195</v>
      </c>
      <c r="H378" s="31" t="s">
        <v>154</v>
      </c>
      <c r="I378" s="31" t="s">
        <v>481</v>
      </c>
      <c r="J378" s="31" t="s">
        <v>877</v>
      </c>
      <c r="K378" s="31" t="s">
        <v>881</v>
      </c>
      <c r="L378" s="31" t="s">
        <v>162</v>
      </c>
      <c r="M378" s="31" t="s">
        <v>144</v>
      </c>
      <c r="N378" s="31" t="s">
        <v>144</v>
      </c>
      <c r="O378" s="31" t="s">
        <v>144</v>
      </c>
      <c r="P378" s="31" t="s">
        <v>144</v>
      </c>
      <c r="Q378" s="31" t="s">
        <v>862</v>
      </c>
      <c r="R378" s="372" t="s">
        <v>312</v>
      </c>
      <c r="S378" s="31" t="s">
        <v>479</v>
      </c>
      <c r="T378" s="31" t="s">
        <v>480</v>
      </c>
      <c r="U378" s="31">
        <v>65</v>
      </c>
      <c r="V378" s="31" t="s">
        <v>144</v>
      </c>
      <c r="W378" s="31" t="s">
        <v>144</v>
      </c>
      <c r="X378" s="31" t="s">
        <v>144</v>
      </c>
      <c r="Y378" s="31"/>
      <c r="Z378" s="33">
        <v>1</v>
      </c>
      <c r="AA378" s="31" t="s">
        <v>144</v>
      </c>
      <c r="AB378" s="31" t="s">
        <v>144</v>
      </c>
      <c r="AC378" s="31" t="s">
        <v>144</v>
      </c>
      <c r="AD378" s="31" t="s">
        <v>144</v>
      </c>
      <c r="AE378" s="31" t="s">
        <v>144</v>
      </c>
      <c r="AF378" s="31" t="s">
        <v>144</v>
      </c>
      <c r="AG378" s="31"/>
      <c r="AH378" s="31" t="s">
        <v>190</v>
      </c>
      <c r="AI378" s="31" t="s">
        <v>196</v>
      </c>
      <c r="AJ378" s="31" t="s">
        <v>863</v>
      </c>
      <c r="AK378" s="31" t="s">
        <v>144</v>
      </c>
      <c r="AL378" s="31" t="s">
        <v>322</v>
      </c>
      <c r="AM378" s="31" t="s">
        <v>144</v>
      </c>
      <c r="AN378" s="31" t="s">
        <v>163</v>
      </c>
      <c r="AO378" s="31" t="s">
        <v>156</v>
      </c>
      <c r="AP378" s="31" t="s">
        <v>144</v>
      </c>
      <c r="AQ378" s="31" t="s">
        <v>144</v>
      </c>
      <c r="AR378" s="31" t="s">
        <v>144</v>
      </c>
      <c r="AS378" s="31"/>
      <c r="AT378" s="31"/>
      <c r="AU378" s="31"/>
    </row>
    <row r="379" spans="5:47" ht="15" customHeight="1" x14ac:dyDescent="0.25">
      <c r="E379" s="31" t="s">
        <v>136</v>
      </c>
      <c r="F379" s="31" t="s">
        <v>140</v>
      </c>
      <c r="G379" s="31" t="s">
        <v>195</v>
      </c>
      <c r="H379" s="31" t="s">
        <v>154</v>
      </c>
      <c r="I379" s="31" t="s">
        <v>481</v>
      </c>
      <c r="J379" s="31" t="s">
        <v>877</v>
      </c>
      <c r="K379" s="31" t="s">
        <v>882</v>
      </c>
      <c r="L379" s="31" t="s">
        <v>162</v>
      </c>
      <c r="M379" s="31" t="s">
        <v>144</v>
      </c>
      <c r="N379" s="31" t="s">
        <v>144</v>
      </c>
      <c r="O379" s="31" t="s">
        <v>144</v>
      </c>
      <c r="P379" s="31" t="s">
        <v>144</v>
      </c>
      <c r="Q379" s="31" t="s">
        <v>862</v>
      </c>
      <c r="R379" s="372" t="s">
        <v>312</v>
      </c>
      <c r="S379" s="31" t="s">
        <v>479</v>
      </c>
      <c r="T379" s="31" t="s">
        <v>480</v>
      </c>
      <c r="U379" s="31">
        <v>65</v>
      </c>
      <c r="V379" s="31" t="s">
        <v>144</v>
      </c>
      <c r="W379" s="31" t="s">
        <v>144</v>
      </c>
      <c r="X379" s="31" t="s">
        <v>144</v>
      </c>
      <c r="Y379" s="31"/>
      <c r="Z379" s="33">
        <v>1</v>
      </c>
      <c r="AA379" s="31" t="s">
        <v>144</v>
      </c>
      <c r="AB379" s="31" t="s">
        <v>144</v>
      </c>
      <c r="AC379" s="31" t="s">
        <v>144</v>
      </c>
      <c r="AD379" s="31" t="s">
        <v>144</v>
      </c>
      <c r="AE379" s="31" t="s">
        <v>144</v>
      </c>
      <c r="AF379" s="31" t="s">
        <v>144</v>
      </c>
      <c r="AG379" s="31"/>
      <c r="AH379" s="31" t="s">
        <v>190</v>
      </c>
      <c r="AI379" s="31" t="s">
        <v>196</v>
      </c>
      <c r="AJ379" s="31" t="s">
        <v>863</v>
      </c>
      <c r="AK379" s="31" t="s">
        <v>144</v>
      </c>
      <c r="AL379" s="31" t="s">
        <v>322</v>
      </c>
      <c r="AM379" s="31" t="s">
        <v>144</v>
      </c>
      <c r="AN379" s="31" t="s">
        <v>163</v>
      </c>
      <c r="AO379" s="31" t="s">
        <v>156</v>
      </c>
      <c r="AP379" s="31" t="s">
        <v>144</v>
      </c>
      <c r="AQ379" s="31" t="s">
        <v>144</v>
      </c>
      <c r="AR379" s="31" t="s">
        <v>144</v>
      </c>
      <c r="AS379" s="31"/>
      <c r="AT379" s="31"/>
      <c r="AU379" s="31"/>
    </row>
    <row r="380" spans="5:47" ht="15" customHeight="1" x14ac:dyDescent="0.25">
      <c r="E380" s="31" t="s">
        <v>136</v>
      </c>
      <c r="F380" s="31" t="s">
        <v>140</v>
      </c>
      <c r="G380" s="31" t="s">
        <v>195</v>
      </c>
      <c r="H380" s="31" t="s">
        <v>154</v>
      </c>
      <c r="I380" s="31" t="s">
        <v>481</v>
      </c>
      <c r="J380" s="31" t="s">
        <v>877</v>
      </c>
      <c r="K380" s="31" t="s">
        <v>883</v>
      </c>
      <c r="L380" s="31" t="s">
        <v>162</v>
      </c>
      <c r="M380" s="31" t="s">
        <v>144</v>
      </c>
      <c r="N380" s="31" t="s">
        <v>144</v>
      </c>
      <c r="O380" s="31" t="s">
        <v>144</v>
      </c>
      <c r="P380" s="31" t="s">
        <v>144</v>
      </c>
      <c r="Q380" s="31" t="s">
        <v>862</v>
      </c>
      <c r="R380" s="372" t="s">
        <v>312</v>
      </c>
      <c r="S380" s="31" t="s">
        <v>479</v>
      </c>
      <c r="T380" s="31" t="s">
        <v>480</v>
      </c>
      <c r="U380" s="31">
        <v>65</v>
      </c>
      <c r="V380" s="31" t="s">
        <v>144</v>
      </c>
      <c r="W380" s="31" t="s">
        <v>144</v>
      </c>
      <c r="X380" s="31" t="s">
        <v>144</v>
      </c>
      <c r="Y380" s="31"/>
      <c r="Z380" s="33">
        <v>1</v>
      </c>
      <c r="AA380" s="31" t="s">
        <v>144</v>
      </c>
      <c r="AB380" s="31" t="s">
        <v>144</v>
      </c>
      <c r="AC380" s="31" t="s">
        <v>144</v>
      </c>
      <c r="AD380" s="31" t="s">
        <v>144</v>
      </c>
      <c r="AE380" s="31" t="s">
        <v>144</v>
      </c>
      <c r="AF380" s="31" t="s">
        <v>144</v>
      </c>
      <c r="AG380" s="31"/>
      <c r="AH380" s="31" t="s">
        <v>190</v>
      </c>
      <c r="AI380" s="31" t="s">
        <v>196</v>
      </c>
      <c r="AJ380" s="31" t="s">
        <v>863</v>
      </c>
      <c r="AK380" s="31" t="s">
        <v>144</v>
      </c>
      <c r="AL380" s="31" t="s">
        <v>322</v>
      </c>
      <c r="AM380" s="31" t="s">
        <v>144</v>
      </c>
      <c r="AN380" s="31" t="s">
        <v>163</v>
      </c>
      <c r="AO380" s="31" t="s">
        <v>156</v>
      </c>
      <c r="AP380" s="31" t="s">
        <v>144</v>
      </c>
      <c r="AQ380" s="31" t="s">
        <v>144</v>
      </c>
      <c r="AR380" s="31" t="s">
        <v>144</v>
      </c>
      <c r="AS380" s="31"/>
      <c r="AT380" s="31"/>
      <c r="AU380" s="31"/>
    </row>
    <row r="381" spans="5:47" ht="15" customHeight="1" x14ac:dyDescent="0.25">
      <c r="E381" s="31" t="s">
        <v>136</v>
      </c>
      <c r="F381" s="31" t="s">
        <v>140</v>
      </c>
      <c r="G381" s="31" t="s">
        <v>195</v>
      </c>
      <c r="H381" s="31" t="s">
        <v>154</v>
      </c>
      <c r="I381" s="31" t="s">
        <v>481</v>
      </c>
      <c r="J381" s="31" t="s">
        <v>877</v>
      </c>
      <c r="K381" s="31" t="s">
        <v>884</v>
      </c>
      <c r="L381" s="31" t="s">
        <v>162</v>
      </c>
      <c r="M381" s="31" t="s">
        <v>144</v>
      </c>
      <c r="N381" s="31" t="s">
        <v>144</v>
      </c>
      <c r="O381" s="31" t="s">
        <v>144</v>
      </c>
      <c r="P381" s="31" t="s">
        <v>144</v>
      </c>
      <c r="Q381" s="31" t="s">
        <v>862</v>
      </c>
      <c r="R381" s="372" t="s">
        <v>312</v>
      </c>
      <c r="S381" s="31" t="s">
        <v>479</v>
      </c>
      <c r="T381" s="31" t="s">
        <v>480</v>
      </c>
      <c r="U381" s="31">
        <v>65</v>
      </c>
      <c r="V381" s="31" t="s">
        <v>144</v>
      </c>
      <c r="W381" s="31" t="s">
        <v>144</v>
      </c>
      <c r="X381" s="31" t="s">
        <v>144</v>
      </c>
      <c r="Y381" s="31"/>
      <c r="Z381" s="33">
        <v>1</v>
      </c>
      <c r="AA381" s="31" t="s">
        <v>144</v>
      </c>
      <c r="AB381" s="31" t="s">
        <v>144</v>
      </c>
      <c r="AC381" s="31" t="s">
        <v>144</v>
      </c>
      <c r="AD381" s="31" t="s">
        <v>144</v>
      </c>
      <c r="AE381" s="31" t="s">
        <v>144</v>
      </c>
      <c r="AF381" s="31" t="s">
        <v>144</v>
      </c>
      <c r="AG381" s="31"/>
      <c r="AH381" s="31" t="s">
        <v>190</v>
      </c>
      <c r="AI381" s="31" t="s">
        <v>196</v>
      </c>
      <c r="AJ381" s="31" t="s">
        <v>863</v>
      </c>
      <c r="AK381" s="31" t="s">
        <v>144</v>
      </c>
      <c r="AL381" s="31" t="s">
        <v>322</v>
      </c>
      <c r="AM381" s="31" t="s">
        <v>144</v>
      </c>
      <c r="AN381" s="31" t="s">
        <v>163</v>
      </c>
      <c r="AO381" s="31" t="s">
        <v>156</v>
      </c>
      <c r="AP381" s="31" t="s">
        <v>144</v>
      </c>
      <c r="AQ381" s="31" t="s">
        <v>144</v>
      </c>
      <c r="AR381" s="31" t="s">
        <v>144</v>
      </c>
      <c r="AS381" s="31"/>
      <c r="AT381" s="31"/>
      <c r="AU381" s="31"/>
    </row>
    <row r="382" spans="5:47" ht="15" customHeight="1" x14ac:dyDescent="0.25">
      <c r="E382" s="31" t="s">
        <v>885</v>
      </c>
      <c r="F382" s="31" t="s">
        <v>140</v>
      </c>
      <c r="G382" s="31" t="s">
        <v>195</v>
      </c>
      <c r="H382" s="31" t="s">
        <v>886</v>
      </c>
      <c r="I382" s="31" t="s">
        <v>481</v>
      </c>
      <c r="J382" s="31" t="s">
        <v>877</v>
      </c>
      <c r="K382" s="31" t="s">
        <v>887</v>
      </c>
      <c r="L382" s="31" t="s">
        <v>162</v>
      </c>
      <c r="M382" s="31" t="s">
        <v>144</v>
      </c>
      <c r="N382" s="31" t="s">
        <v>144</v>
      </c>
      <c r="O382" s="31" t="s">
        <v>144</v>
      </c>
      <c r="P382" s="31" t="s">
        <v>144</v>
      </c>
      <c r="Q382" s="31" t="s">
        <v>862</v>
      </c>
      <c r="R382" s="372" t="s">
        <v>312</v>
      </c>
      <c r="S382" s="31" t="s">
        <v>479</v>
      </c>
      <c r="T382" s="31" t="s">
        <v>480</v>
      </c>
      <c r="U382" s="31">
        <v>65</v>
      </c>
      <c r="V382" s="31" t="s">
        <v>144</v>
      </c>
      <c r="W382" s="31" t="s">
        <v>144</v>
      </c>
      <c r="X382" s="31" t="s">
        <v>144</v>
      </c>
      <c r="Y382" s="31"/>
      <c r="Z382" s="33">
        <v>1</v>
      </c>
      <c r="AA382" s="31" t="s">
        <v>144</v>
      </c>
      <c r="AB382" s="31" t="s">
        <v>144</v>
      </c>
      <c r="AC382" s="31" t="s">
        <v>144</v>
      </c>
      <c r="AD382" s="31" t="s">
        <v>144</v>
      </c>
      <c r="AE382" s="31" t="s">
        <v>144</v>
      </c>
      <c r="AF382" s="31" t="s">
        <v>144</v>
      </c>
      <c r="AG382" s="31"/>
      <c r="AH382" s="31" t="s">
        <v>190</v>
      </c>
      <c r="AI382" s="31" t="s">
        <v>196</v>
      </c>
      <c r="AJ382" s="31" t="s">
        <v>863</v>
      </c>
      <c r="AK382" s="31" t="s">
        <v>144</v>
      </c>
      <c r="AL382" s="31" t="s">
        <v>322</v>
      </c>
      <c r="AM382" s="31" t="s">
        <v>144</v>
      </c>
      <c r="AN382" s="31" t="s">
        <v>163</v>
      </c>
      <c r="AO382" s="31" t="s">
        <v>156</v>
      </c>
      <c r="AP382" s="31" t="s">
        <v>144</v>
      </c>
      <c r="AQ382" s="31" t="s">
        <v>144</v>
      </c>
      <c r="AR382" s="31" t="s">
        <v>144</v>
      </c>
      <c r="AS382" s="31"/>
      <c r="AT382" s="31"/>
      <c r="AU382" s="31"/>
    </row>
    <row r="383" spans="5:47" ht="15" customHeight="1" x14ac:dyDescent="0.25">
      <c r="E383" s="31" t="s">
        <v>888</v>
      </c>
      <c r="F383" s="31" t="s">
        <v>140</v>
      </c>
      <c r="G383" s="31" t="s">
        <v>195</v>
      </c>
      <c r="H383" s="31" t="s">
        <v>889</v>
      </c>
      <c r="I383" s="31" t="s">
        <v>481</v>
      </c>
      <c r="J383" s="31" t="s">
        <v>877</v>
      </c>
      <c r="K383" s="31" t="s">
        <v>890</v>
      </c>
      <c r="L383" s="31" t="s">
        <v>162</v>
      </c>
      <c r="M383" s="31" t="s">
        <v>144</v>
      </c>
      <c r="N383" s="31" t="s">
        <v>144</v>
      </c>
      <c r="O383" s="31" t="s">
        <v>144</v>
      </c>
      <c r="P383" s="31" t="s">
        <v>144</v>
      </c>
      <c r="Q383" s="31" t="s">
        <v>862</v>
      </c>
      <c r="R383" s="372" t="s">
        <v>312</v>
      </c>
      <c r="S383" s="31" t="s">
        <v>479</v>
      </c>
      <c r="T383" s="31" t="s">
        <v>480</v>
      </c>
      <c r="U383" s="31">
        <v>65</v>
      </c>
      <c r="V383" s="31" t="s">
        <v>144</v>
      </c>
      <c r="W383" s="31" t="s">
        <v>144</v>
      </c>
      <c r="X383" s="31" t="s">
        <v>144</v>
      </c>
      <c r="Y383" s="31"/>
      <c r="Z383" s="33">
        <v>1</v>
      </c>
      <c r="AA383" s="31" t="s">
        <v>144</v>
      </c>
      <c r="AB383" s="31" t="s">
        <v>144</v>
      </c>
      <c r="AC383" s="31" t="s">
        <v>144</v>
      </c>
      <c r="AD383" s="31" t="s">
        <v>144</v>
      </c>
      <c r="AE383" s="31" t="s">
        <v>144</v>
      </c>
      <c r="AF383" s="31" t="s">
        <v>144</v>
      </c>
      <c r="AG383" s="31"/>
      <c r="AH383" s="31" t="s">
        <v>190</v>
      </c>
      <c r="AI383" s="31" t="s">
        <v>196</v>
      </c>
      <c r="AJ383" s="31" t="s">
        <v>863</v>
      </c>
      <c r="AK383" s="31" t="s">
        <v>144</v>
      </c>
      <c r="AL383" s="31" t="s">
        <v>322</v>
      </c>
      <c r="AM383" s="31" t="s">
        <v>144</v>
      </c>
      <c r="AN383" s="31" t="s">
        <v>163</v>
      </c>
      <c r="AO383" s="31" t="s">
        <v>156</v>
      </c>
      <c r="AP383" s="31" t="s">
        <v>144</v>
      </c>
      <c r="AQ383" s="31" t="s">
        <v>144</v>
      </c>
      <c r="AR383" s="31" t="s">
        <v>144</v>
      </c>
      <c r="AS383" s="31"/>
      <c r="AT383" s="31"/>
      <c r="AU383" s="31"/>
    </row>
    <row r="384" spans="5:47" ht="15" customHeight="1" x14ac:dyDescent="0.25">
      <c r="E384" s="31" t="s">
        <v>891</v>
      </c>
      <c r="F384" s="31" t="s">
        <v>140</v>
      </c>
      <c r="G384" s="31" t="s">
        <v>195</v>
      </c>
      <c r="H384" s="31" t="s">
        <v>892</v>
      </c>
      <c r="I384" s="31" t="s">
        <v>481</v>
      </c>
      <c r="J384" s="31" t="s">
        <v>877</v>
      </c>
      <c r="K384" s="31" t="s">
        <v>893</v>
      </c>
      <c r="L384" s="31" t="s">
        <v>162</v>
      </c>
      <c r="M384" s="31" t="s">
        <v>144</v>
      </c>
      <c r="N384" s="31" t="s">
        <v>144</v>
      </c>
      <c r="O384" s="31" t="s">
        <v>144</v>
      </c>
      <c r="P384" s="31" t="s">
        <v>144</v>
      </c>
      <c r="Q384" s="31" t="s">
        <v>862</v>
      </c>
      <c r="R384" s="372" t="s">
        <v>312</v>
      </c>
      <c r="S384" s="31" t="s">
        <v>479</v>
      </c>
      <c r="T384" s="31" t="s">
        <v>480</v>
      </c>
      <c r="U384" s="31">
        <v>65</v>
      </c>
      <c r="V384" s="31" t="s">
        <v>144</v>
      </c>
      <c r="W384" s="31" t="s">
        <v>144</v>
      </c>
      <c r="X384" s="31" t="s">
        <v>144</v>
      </c>
      <c r="Y384" s="31"/>
      <c r="Z384" s="33">
        <v>1</v>
      </c>
      <c r="AA384" s="31" t="s">
        <v>144</v>
      </c>
      <c r="AB384" s="31" t="s">
        <v>144</v>
      </c>
      <c r="AC384" s="31" t="s">
        <v>144</v>
      </c>
      <c r="AD384" s="31" t="s">
        <v>144</v>
      </c>
      <c r="AE384" s="31" t="s">
        <v>144</v>
      </c>
      <c r="AF384" s="31" t="s">
        <v>144</v>
      </c>
      <c r="AG384" s="31"/>
      <c r="AH384" s="31" t="s">
        <v>190</v>
      </c>
      <c r="AI384" s="31" t="s">
        <v>196</v>
      </c>
      <c r="AJ384" s="31" t="s">
        <v>863</v>
      </c>
      <c r="AK384" s="31" t="s">
        <v>144</v>
      </c>
      <c r="AL384" s="31" t="s">
        <v>322</v>
      </c>
      <c r="AM384" s="31" t="s">
        <v>144</v>
      </c>
      <c r="AN384" s="31" t="s">
        <v>163</v>
      </c>
      <c r="AO384" s="31" t="s">
        <v>156</v>
      </c>
      <c r="AP384" s="31" t="s">
        <v>144</v>
      </c>
      <c r="AQ384" s="31" t="s">
        <v>144</v>
      </c>
      <c r="AR384" s="31" t="s">
        <v>144</v>
      </c>
      <c r="AS384" s="31"/>
      <c r="AT384" s="31"/>
      <c r="AU384" s="31"/>
    </row>
    <row r="385" spans="5:47" ht="15" customHeight="1" x14ac:dyDescent="0.25">
      <c r="E385" s="31" t="s">
        <v>894</v>
      </c>
      <c r="F385" s="31" t="s">
        <v>140</v>
      </c>
      <c r="G385" s="31" t="s">
        <v>195</v>
      </c>
      <c r="H385" s="31" t="s">
        <v>895</v>
      </c>
      <c r="I385" s="31" t="s">
        <v>481</v>
      </c>
      <c r="J385" s="31" t="s">
        <v>877</v>
      </c>
      <c r="K385" s="31" t="s">
        <v>896</v>
      </c>
      <c r="L385" s="31" t="s">
        <v>162</v>
      </c>
      <c r="M385" s="31" t="s">
        <v>144</v>
      </c>
      <c r="N385" s="31" t="s">
        <v>144</v>
      </c>
      <c r="O385" s="31" t="s">
        <v>144</v>
      </c>
      <c r="P385" s="31" t="s">
        <v>144</v>
      </c>
      <c r="Q385" s="31" t="s">
        <v>862</v>
      </c>
      <c r="R385" s="372" t="s">
        <v>312</v>
      </c>
      <c r="S385" s="31" t="s">
        <v>479</v>
      </c>
      <c r="T385" s="31" t="s">
        <v>480</v>
      </c>
      <c r="U385" s="31">
        <v>65</v>
      </c>
      <c r="V385" s="31" t="s">
        <v>144</v>
      </c>
      <c r="W385" s="31" t="s">
        <v>144</v>
      </c>
      <c r="X385" s="31" t="s">
        <v>144</v>
      </c>
      <c r="Y385" s="31"/>
      <c r="Z385" s="33">
        <v>1</v>
      </c>
      <c r="AA385" s="31" t="s">
        <v>144</v>
      </c>
      <c r="AB385" s="31" t="s">
        <v>144</v>
      </c>
      <c r="AC385" s="31" t="s">
        <v>144</v>
      </c>
      <c r="AD385" s="31" t="s">
        <v>144</v>
      </c>
      <c r="AE385" s="31" t="s">
        <v>144</v>
      </c>
      <c r="AF385" s="31" t="s">
        <v>144</v>
      </c>
      <c r="AG385" s="31"/>
      <c r="AH385" s="31" t="s">
        <v>190</v>
      </c>
      <c r="AI385" s="31" t="s">
        <v>196</v>
      </c>
      <c r="AJ385" s="31" t="s">
        <v>863</v>
      </c>
      <c r="AK385" s="31" t="s">
        <v>144</v>
      </c>
      <c r="AL385" s="31" t="s">
        <v>322</v>
      </c>
      <c r="AM385" s="31" t="s">
        <v>144</v>
      </c>
      <c r="AN385" s="31" t="s">
        <v>163</v>
      </c>
      <c r="AO385" s="31" t="s">
        <v>156</v>
      </c>
      <c r="AP385" s="31" t="s">
        <v>144</v>
      </c>
      <c r="AQ385" s="31" t="s">
        <v>144</v>
      </c>
      <c r="AR385" s="31" t="s">
        <v>144</v>
      </c>
      <c r="AS385" s="31"/>
      <c r="AT385" s="31"/>
      <c r="AU385" s="31"/>
    </row>
    <row r="386" spans="5:47" ht="15" customHeight="1" x14ac:dyDescent="0.25">
      <c r="E386" s="31" t="s">
        <v>897</v>
      </c>
      <c r="F386" s="31" t="s">
        <v>140</v>
      </c>
      <c r="G386" s="31" t="s">
        <v>195</v>
      </c>
      <c r="H386" s="31" t="s">
        <v>898</v>
      </c>
      <c r="I386" s="31" t="s">
        <v>481</v>
      </c>
      <c r="J386" s="31" t="s">
        <v>877</v>
      </c>
      <c r="K386" s="31" t="s">
        <v>899</v>
      </c>
      <c r="L386" s="31" t="s">
        <v>162</v>
      </c>
      <c r="M386" s="31" t="s">
        <v>144</v>
      </c>
      <c r="N386" s="31" t="s">
        <v>144</v>
      </c>
      <c r="O386" s="31" t="s">
        <v>144</v>
      </c>
      <c r="P386" s="31" t="s">
        <v>144</v>
      </c>
      <c r="Q386" s="31" t="s">
        <v>862</v>
      </c>
      <c r="R386" s="372" t="s">
        <v>312</v>
      </c>
      <c r="S386" s="31" t="s">
        <v>479</v>
      </c>
      <c r="T386" s="31" t="s">
        <v>480</v>
      </c>
      <c r="U386" s="31">
        <v>65</v>
      </c>
      <c r="V386" s="31" t="s">
        <v>144</v>
      </c>
      <c r="W386" s="31" t="s">
        <v>144</v>
      </c>
      <c r="X386" s="31" t="s">
        <v>144</v>
      </c>
      <c r="Y386" s="31"/>
      <c r="Z386" s="33">
        <v>1</v>
      </c>
      <c r="AA386" s="31" t="s">
        <v>144</v>
      </c>
      <c r="AB386" s="31" t="s">
        <v>144</v>
      </c>
      <c r="AC386" s="31" t="s">
        <v>144</v>
      </c>
      <c r="AD386" s="31" t="s">
        <v>144</v>
      </c>
      <c r="AE386" s="31" t="s">
        <v>144</v>
      </c>
      <c r="AF386" s="31" t="s">
        <v>144</v>
      </c>
      <c r="AG386" s="31"/>
      <c r="AH386" s="31" t="s">
        <v>190</v>
      </c>
      <c r="AI386" s="31" t="s">
        <v>196</v>
      </c>
      <c r="AJ386" s="31" t="s">
        <v>863</v>
      </c>
      <c r="AK386" s="31" t="s">
        <v>144</v>
      </c>
      <c r="AL386" s="31" t="s">
        <v>322</v>
      </c>
      <c r="AM386" s="31" t="s">
        <v>144</v>
      </c>
      <c r="AN386" s="31" t="s">
        <v>163</v>
      </c>
      <c r="AO386" s="31" t="s">
        <v>156</v>
      </c>
      <c r="AP386" s="31" t="s">
        <v>144</v>
      </c>
      <c r="AQ386" s="31" t="s">
        <v>144</v>
      </c>
      <c r="AR386" s="31" t="s">
        <v>144</v>
      </c>
      <c r="AS386" s="31"/>
      <c r="AT386" s="31"/>
      <c r="AU386" s="31"/>
    </row>
    <row r="387" spans="5:47" ht="15" customHeight="1" x14ac:dyDescent="0.25">
      <c r="E387" s="31" t="s">
        <v>900</v>
      </c>
      <c r="F387" s="31" t="s">
        <v>140</v>
      </c>
      <c r="G387" s="31" t="s">
        <v>195</v>
      </c>
      <c r="H387" s="31" t="s">
        <v>901</v>
      </c>
      <c r="I387" s="31" t="s">
        <v>481</v>
      </c>
      <c r="J387" s="31" t="s">
        <v>877</v>
      </c>
      <c r="K387" s="31" t="s">
        <v>902</v>
      </c>
      <c r="L387" s="31" t="s">
        <v>162</v>
      </c>
      <c r="M387" s="31" t="s">
        <v>144</v>
      </c>
      <c r="N387" s="31" t="s">
        <v>144</v>
      </c>
      <c r="O387" s="31" t="s">
        <v>144</v>
      </c>
      <c r="P387" s="31" t="s">
        <v>144</v>
      </c>
      <c r="Q387" s="31" t="s">
        <v>862</v>
      </c>
      <c r="R387" s="372" t="s">
        <v>312</v>
      </c>
      <c r="S387" s="31" t="s">
        <v>479</v>
      </c>
      <c r="T387" s="31" t="s">
        <v>480</v>
      </c>
      <c r="U387" s="31">
        <v>65</v>
      </c>
      <c r="V387" s="31" t="s">
        <v>144</v>
      </c>
      <c r="W387" s="31" t="s">
        <v>144</v>
      </c>
      <c r="X387" s="31" t="s">
        <v>144</v>
      </c>
      <c r="Y387" s="31"/>
      <c r="Z387" s="33">
        <v>1</v>
      </c>
      <c r="AA387" s="31" t="s">
        <v>144</v>
      </c>
      <c r="AB387" s="31" t="s">
        <v>144</v>
      </c>
      <c r="AC387" s="31" t="s">
        <v>144</v>
      </c>
      <c r="AD387" s="31" t="s">
        <v>144</v>
      </c>
      <c r="AE387" s="31" t="s">
        <v>144</v>
      </c>
      <c r="AF387" s="31" t="s">
        <v>144</v>
      </c>
      <c r="AG387" s="31"/>
      <c r="AH387" s="31" t="s">
        <v>190</v>
      </c>
      <c r="AI387" s="31" t="s">
        <v>196</v>
      </c>
      <c r="AJ387" s="31" t="s">
        <v>863</v>
      </c>
      <c r="AK387" s="31" t="s">
        <v>144</v>
      </c>
      <c r="AL387" s="31" t="s">
        <v>322</v>
      </c>
      <c r="AM387" s="31" t="s">
        <v>144</v>
      </c>
      <c r="AN387" s="31" t="s">
        <v>163</v>
      </c>
      <c r="AO387" s="31" t="s">
        <v>156</v>
      </c>
      <c r="AP387" s="31" t="s">
        <v>144</v>
      </c>
      <c r="AQ387" s="31" t="s">
        <v>144</v>
      </c>
      <c r="AR387" s="31" t="s">
        <v>144</v>
      </c>
      <c r="AS387" s="31"/>
      <c r="AT387" s="31"/>
      <c r="AU387" s="31"/>
    </row>
    <row r="388" spans="5:47" ht="15" customHeight="1" x14ac:dyDescent="0.25">
      <c r="E388" s="31" t="s">
        <v>903</v>
      </c>
      <c r="F388" s="31" t="s">
        <v>140</v>
      </c>
      <c r="G388" s="31" t="s">
        <v>195</v>
      </c>
      <c r="H388" s="31" t="s">
        <v>904</v>
      </c>
      <c r="I388" s="31" t="s">
        <v>481</v>
      </c>
      <c r="J388" s="31" t="s">
        <v>877</v>
      </c>
      <c r="K388" s="31" t="s">
        <v>905</v>
      </c>
      <c r="L388" s="31" t="s">
        <v>162</v>
      </c>
      <c r="M388" s="31" t="s">
        <v>144</v>
      </c>
      <c r="N388" s="31" t="s">
        <v>144</v>
      </c>
      <c r="O388" s="31" t="s">
        <v>144</v>
      </c>
      <c r="P388" s="31" t="s">
        <v>144</v>
      </c>
      <c r="Q388" s="31" t="s">
        <v>862</v>
      </c>
      <c r="R388" s="372" t="s">
        <v>312</v>
      </c>
      <c r="S388" s="31" t="s">
        <v>479</v>
      </c>
      <c r="T388" s="31" t="s">
        <v>480</v>
      </c>
      <c r="U388" s="31">
        <v>65</v>
      </c>
      <c r="V388" s="31" t="s">
        <v>144</v>
      </c>
      <c r="W388" s="31" t="s">
        <v>144</v>
      </c>
      <c r="X388" s="31" t="s">
        <v>144</v>
      </c>
      <c r="Y388" s="31"/>
      <c r="Z388" s="33">
        <v>1</v>
      </c>
      <c r="AA388" s="31" t="s">
        <v>144</v>
      </c>
      <c r="AB388" s="31" t="s">
        <v>144</v>
      </c>
      <c r="AC388" s="31" t="s">
        <v>144</v>
      </c>
      <c r="AD388" s="31" t="s">
        <v>144</v>
      </c>
      <c r="AE388" s="31" t="s">
        <v>144</v>
      </c>
      <c r="AF388" s="31" t="s">
        <v>144</v>
      </c>
      <c r="AG388" s="31"/>
      <c r="AH388" s="31" t="s">
        <v>190</v>
      </c>
      <c r="AI388" s="31" t="s">
        <v>196</v>
      </c>
      <c r="AJ388" s="31" t="s">
        <v>863</v>
      </c>
      <c r="AK388" s="31" t="s">
        <v>144</v>
      </c>
      <c r="AL388" s="31" t="s">
        <v>322</v>
      </c>
      <c r="AM388" s="31" t="s">
        <v>144</v>
      </c>
      <c r="AN388" s="31" t="s">
        <v>163</v>
      </c>
      <c r="AO388" s="31" t="s">
        <v>156</v>
      </c>
      <c r="AP388" s="31" t="s">
        <v>144</v>
      </c>
      <c r="AQ388" s="31" t="s">
        <v>144</v>
      </c>
      <c r="AR388" s="31" t="s">
        <v>144</v>
      </c>
      <c r="AS388" s="31"/>
      <c r="AT388" s="31"/>
      <c r="AU388" s="31"/>
    </row>
    <row r="389" spans="5:47" ht="15" customHeight="1" x14ac:dyDescent="0.25">
      <c r="E389" s="31" t="s">
        <v>906</v>
      </c>
      <c r="F389" s="31" t="s">
        <v>140</v>
      </c>
      <c r="G389" s="31" t="s">
        <v>195</v>
      </c>
      <c r="H389" s="31" t="s">
        <v>907</v>
      </c>
      <c r="I389" s="31" t="s">
        <v>481</v>
      </c>
      <c r="J389" s="31" t="s">
        <v>877</v>
      </c>
      <c r="K389" s="31" t="s">
        <v>908</v>
      </c>
      <c r="L389" s="31" t="s">
        <v>162</v>
      </c>
      <c r="M389" s="31" t="s">
        <v>144</v>
      </c>
      <c r="N389" s="31" t="s">
        <v>144</v>
      </c>
      <c r="O389" s="31" t="s">
        <v>144</v>
      </c>
      <c r="P389" s="31" t="s">
        <v>144</v>
      </c>
      <c r="Q389" s="31" t="s">
        <v>862</v>
      </c>
      <c r="R389" s="372" t="s">
        <v>312</v>
      </c>
      <c r="S389" s="31" t="s">
        <v>479</v>
      </c>
      <c r="T389" s="31" t="s">
        <v>480</v>
      </c>
      <c r="U389" s="31">
        <v>65</v>
      </c>
      <c r="V389" s="31" t="s">
        <v>144</v>
      </c>
      <c r="W389" s="31" t="s">
        <v>144</v>
      </c>
      <c r="X389" s="31" t="s">
        <v>144</v>
      </c>
      <c r="Y389" s="31"/>
      <c r="Z389" s="33">
        <v>1</v>
      </c>
      <c r="AA389" s="31" t="s">
        <v>144</v>
      </c>
      <c r="AB389" s="31" t="s">
        <v>144</v>
      </c>
      <c r="AC389" s="31" t="s">
        <v>144</v>
      </c>
      <c r="AD389" s="31" t="s">
        <v>144</v>
      </c>
      <c r="AE389" s="31" t="s">
        <v>144</v>
      </c>
      <c r="AF389" s="31" t="s">
        <v>144</v>
      </c>
      <c r="AG389" s="31"/>
      <c r="AH389" s="31" t="s">
        <v>190</v>
      </c>
      <c r="AI389" s="31" t="s">
        <v>196</v>
      </c>
      <c r="AJ389" s="31" t="s">
        <v>863</v>
      </c>
      <c r="AK389" s="31" t="s">
        <v>144</v>
      </c>
      <c r="AL389" s="31" t="s">
        <v>322</v>
      </c>
      <c r="AM389" s="31" t="s">
        <v>144</v>
      </c>
      <c r="AN389" s="31" t="s">
        <v>163</v>
      </c>
      <c r="AO389" s="31" t="s">
        <v>156</v>
      </c>
      <c r="AP389" s="31" t="s">
        <v>144</v>
      </c>
      <c r="AQ389" s="31" t="s">
        <v>144</v>
      </c>
      <c r="AR389" s="31" t="s">
        <v>144</v>
      </c>
      <c r="AS389" s="31"/>
      <c r="AT389" s="31"/>
      <c r="AU389" s="31"/>
    </row>
    <row r="390" spans="5:47" ht="15" customHeight="1" x14ac:dyDescent="0.25">
      <c r="E390" s="31" t="s">
        <v>909</v>
      </c>
      <c r="F390" s="31" t="s">
        <v>140</v>
      </c>
      <c r="G390" s="31" t="s">
        <v>195</v>
      </c>
      <c r="H390" s="31" t="s">
        <v>910</v>
      </c>
      <c r="I390" s="31" t="s">
        <v>481</v>
      </c>
      <c r="J390" s="31" t="s">
        <v>877</v>
      </c>
      <c r="K390" s="31" t="s">
        <v>911</v>
      </c>
      <c r="L390" s="31" t="s">
        <v>162</v>
      </c>
      <c r="M390" s="31" t="s">
        <v>144</v>
      </c>
      <c r="N390" s="31" t="s">
        <v>144</v>
      </c>
      <c r="O390" s="31" t="s">
        <v>144</v>
      </c>
      <c r="P390" s="31" t="s">
        <v>144</v>
      </c>
      <c r="Q390" s="31" t="s">
        <v>862</v>
      </c>
      <c r="R390" s="372" t="s">
        <v>312</v>
      </c>
      <c r="S390" s="31" t="s">
        <v>479</v>
      </c>
      <c r="T390" s="31" t="s">
        <v>480</v>
      </c>
      <c r="U390" s="31">
        <v>65</v>
      </c>
      <c r="V390" s="31" t="s">
        <v>144</v>
      </c>
      <c r="W390" s="31" t="s">
        <v>144</v>
      </c>
      <c r="X390" s="31" t="s">
        <v>144</v>
      </c>
      <c r="Y390" s="31"/>
      <c r="Z390" s="33">
        <v>1</v>
      </c>
      <c r="AA390" s="31" t="s">
        <v>144</v>
      </c>
      <c r="AB390" s="31" t="s">
        <v>144</v>
      </c>
      <c r="AC390" s="31" t="s">
        <v>144</v>
      </c>
      <c r="AD390" s="31" t="s">
        <v>144</v>
      </c>
      <c r="AE390" s="31" t="s">
        <v>144</v>
      </c>
      <c r="AF390" s="31" t="s">
        <v>144</v>
      </c>
      <c r="AG390" s="31"/>
      <c r="AH390" s="31" t="s">
        <v>190</v>
      </c>
      <c r="AI390" s="31" t="s">
        <v>196</v>
      </c>
      <c r="AJ390" s="31" t="s">
        <v>863</v>
      </c>
      <c r="AK390" s="31" t="s">
        <v>144</v>
      </c>
      <c r="AL390" s="31" t="s">
        <v>322</v>
      </c>
      <c r="AM390" s="31" t="s">
        <v>144</v>
      </c>
      <c r="AN390" s="31" t="s">
        <v>163</v>
      </c>
      <c r="AO390" s="31" t="s">
        <v>156</v>
      </c>
      <c r="AP390" s="31" t="s">
        <v>144</v>
      </c>
      <c r="AQ390" s="31" t="s">
        <v>144</v>
      </c>
      <c r="AR390" s="31" t="s">
        <v>144</v>
      </c>
      <c r="AS390" s="31"/>
      <c r="AT390" s="31"/>
      <c r="AU390" s="31"/>
    </row>
    <row r="391" spans="5:47" ht="15" customHeight="1" x14ac:dyDescent="0.25">
      <c r="E391" s="31" t="s">
        <v>912</v>
      </c>
      <c r="F391" s="31" t="s">
        <v>140</v>
      </c>
      <c r="G391" s="31" t="s">
        <v>195</v>
      </c>
      <c r="H391" s="31" t="s">
        <v>913</v>
      </c>
      <c r="I391" s="31" t="s">
        <v>481</v>
      </c>
      <c r="J391" s="31" t="s">
        <v>877</v>
      </c>
      <c r="K391" s="31" t="s">
        <v>914</v>
      </c>
      <c r="L391" s="31" t="s">
        <v>162</v>
      </c>
      <c r="M391" s="31" t="s">
        <v>144</v>
      </c>
      <c r="N391" s="31" t="s">
        <v>144</v>
      </c>
      <c r="O391" s="31" t="s">
        <v>144</v>
      </c>
      <c r="P391" s="31" t="s">
        <v>144</v>
      </c>
      <c r="Q391" s="31" t="s">
        <v>862</v>
      </c>
      <c r="R391" s="372" t="s">
        <v>312</v>
      </c>
      <c r="S391" s="31" t="s">
        <v>479</v>
      </c>
      <c r="T391" s="31" t="s">
        <v>480</v>
      </c>
      <c r="U391" s="31">
        <v>65</v>
      </c>
      <c r="V391" s="31" t="s">
        <v>144</v>
      </c>
      <c r="W391" s="31" t="s">
        <v>144</v>
      </c>
      <c r="X391" s="31" t="s">
        <v>144</v>
      </c>
      <c r="Y391" s="31"/>
      <c r="Z391" s="33">
        <v>1</v>
      </c>
      <c r="AA391" s="31" t="s">
        <v>144</v>
      </c>
      <c r="AB391" s="31" t="s">
        <v>144</v>
      </c>
      <c r="AC391" s="31" t="s">
        <v>144</v>
      </c>
      <c r="AD391" s="31" t="s">
        <v>144</v>
      </c>
      <c r="AE391" s="31" t="s">
        <v>144</v>
      </c>
      <c r="AF391" s="31" t="s">
        <v>144</v>
      </c>
      <c r="AG391" s="31"/>
      <c r="AH391" s="31" t="s">
        <v>190</v>
      </c>
      <c r="AI391" s="31" t="s">
        <v>196</v>
      </c>
      <c r="AJ391" s="31" t="s">
        <v>863</v>
      </c>
      <c r="AK391" s="31" t="s">
        <v>144</v>
      </c>
      <c r="AL391" s="31" t="s">
        <v>322</v>
      </c>
      <c r="AM391" s="31" t="s">
        <v>144</v>
      </c>
      <c r="AN391" s="31" t="s">
        <v>163</v>
      </c>
      <c r="AO391" s="31" t="s">
        <v>156</v>
      </c>
      <c r="AP391" s="31" t="s">
        <v>144</v>
      </c>
      <c r="AQ391" s="31" t="s">
        <v>144</v>
      </c>
      <c r="AR391" s="31" t="s">
        <v>144</v>
      </c>
      <c r="AS391" s="31"/>
      <c r="AT391" s="31"/>
      <c r="AU391" s="31"/>
    </row>
    <row r="392" spans="5:47" ht="15" customHeight="1" x14ac:dyDescent="0.25"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72"/>
      <c r="S392" s="31"/>
      <c r="T392" s="31"/>
      <c r="U392" s="31"/>
      <c r="V392" s="31"/>
      <c r="W392" s="31"/>
      <c r="X392" s="31"/>
      <c r="Y392" s="31"/>
      <c r="Z392" s="33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</row>
    <row r="393" spans="5:47" ht="15" customHeight="1" x14ac:dyDescent="0.25"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72"/>
      <c r="S393" s="31"/>
      <c r="T393" s="31"/>
      <c r="U393" s="31"/>
      <c r="V393" s="31"/>
      <c r="W393" s="31"/>
      <c r="X393" s="31"/>
      <c r="Y393" s="31"/>
      <c r="Z393" s="33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</row>
    <row r="394" spans="5:47" ht="15" customHeight="1" x14ac:dyDescent="0.25">
      <c r="E394" s="31" t="s">
        <v>136</v>
      </c>
      <c r="F394" s="31" t="s">
        <v>140</v>
      </c>
      <c r="G394" s="31" t="s">
        <v>195</v>
      </c>
      <c r="H394" s="31" t="s">
        <v>154</v>
      </c>
      <c r="I394" s="31" t="s">
        <v>481</v>
      </c>
      <c r="J394" s="31" t="s">
        <v>915</v>
      </c>
      <c r="K394" s="31" t="s">
        <v>916</v>
      </c>
      <c r="L394" s="31" t="s">
        <v>162</v>
      </c>
      <c r="M394" s="31" t="s">
        <v>144</v>
      </c>
      <c r="N394" s="31" t="s">
        <v>144</v>
      </c>
      <c r="O394" s="31" t="s">
        <v>144</v>
      </c>
      <c r="P394" s="31" t="s">
        <v>144</v>
      </c>
      <c r="Q394" s="31" t="s">
        <v>862</v>
      </c>
      <c r="R394" s="372" t="s">
        <v>312</v>
      </c>
      <c r="S394" s="31" t="s">
        <v>479</v>
      </c>
      <c r="T394" s="31" t="s">
        <v>480</v>
      </c>
      <c r="U394" s="31">
        <v>65</v>
      </c>
      <c r="V394" s="31" t="s">
        <v>144</v>
      </c>
      <c r="W394" s="31" t="s">
        <v>144</v>
      </c>
      <c r="X394" s="31" t="s">
        <v>144</v>
      </c>
      <c r="Y394" s="31"/>
      <c r="Z394" s="33">
        <v>1</v>
      </c>
      <c r="AA394" s="31" t="s">
        <v>144</v>
      </c>
      <c r="AB394" s="31" t="s">
        <v>144</v>
      </c>
      <c r="AC394" s="31" t="s">
        <v>144</v>
      </c>
      <c r="AD394" s="31" t="s">
        <v>144</v>
      </c>
      <c r="AE394" s="31" t="s">
        <v>144</v>
      </c>
      <c r="AF394" s="31" t="s">
        <v>144</v>
      </c>
      <c r="AG394" s="31"/>
      <c r="AH394" s="31" t="s">
        <v>190</v>
      </c>
      <c r="AI394" s="31" t="s">
        <v>196</v>
      </c>
      <c r="AJ394" s="31" t="s">
        <v>863</v>
      </c>
      <c r="AK394" s="31" t="s">
        <v>144</v>
      </c>
      <c r="AL394" s="31" t="s">
        <v>322</v>
      </c>
      <c r="AM394" s="31" t="s">
        <v>144</v>
      </c>
      <c r="AN394" s="31" t="s">
        <v>163</v>
      </c>
      <c r="AO394" s="31" t="s">
        <v>156</v>
      </c>
      <c r="AP394" s="31" t="s">
        <v>144</v>
      </c>
      <c r="AQ394" s="31" t="s">
        <v>144</v>
      </c>
      <c r="AR394" s="31" t="s">
        <v>144</v>
      </c>
      <c r="AS394" s="31"/>
      <c r="AT394" s="31"/>
      <c r="AU394" s="31"/>
    </row>
    <row r="395" spans="5:47" ht="15" customHeight="1" x14ac:dyDescent="0.25">
      <c r="E395" s="31" t="s">
        <v>136</v>
      </c>
      <c r="F395" s="31" t="s">
        <v>140</v>
      </c>
      <c r="G395" s="31" t="s">
        <v>195</v>
      </c>
      <c r="H395" s="31" t="s">
        <v>154</v>
      </c>
      <c r="I395" s="31" t="s">
        <v>481</v>
      </c>
      <c r="J395" s="31" t="s">
        <v>915</v>
      </c>
      <c r="K395" s="31" t="s">
        <v>917</v>
      </c>
      <c r="L395" s="31" t="s">
        <v>162</v>
      </c>
      <c r="M395" s="31" t="s">
        <v>144</v>
      </c>
      <c r="N395" s="31" t="s">
        <v>144</v>
      </c>
      <c r="O395" s="31" t="s">
        <v>144</v>
      </c>
      <c r="P395" s="31" t="s">
        <v>144</v>
      </c>
      <c r="Q395" s="31" t="s">
        <v>862</v>
      </c>
      <c r="R395" s="372" t="s">
        <v>312</v>
      </c>
      <c r="S395" s="31" t="s">
        <v>479</v>
      </c>
      <c r="T395" s="31" t="s">
        <v>480</v>
      </c>
      <c r="U395" s="31">
        <v>65</v>
      </c>
      <c r="V395" s="31" t="s">
        <v>144</v>
      </c>
      <c r="W395" s="31" t="s">
        <v>144</v>
      </c>
      <c r="X395" s="31" t="s">
        <v>144</v>
      </c>
      <c r="Y395" s="31"/>
      <c r="Z395" s="33">
        <v>1</v>
      </c>
      <c r="AA395" s="31" t="s">
        <v>144</v>
      </c>
      <c r="AB395" s="31" t="s">
        <v>144</v>
      </c>
      <c r="AC395" s="31" t="s">
        <v>144</v>
      </c>
      <c r="AD395" s="31" t="s">
        <v>144</v>
      </c>
      <c r="AE395" s="31" t="s">
        <v>144</v>
      </c>
      <c r="AF395" s="31" t="s">
        <v>144</v>
      </c>
      <c r="AG395" s="31"/>
      <c r="AH395" s="31" t="s">
        <v>190</v>
      </c>
      <c r="AI395" s="31" t="s">
        <v>196</v>
      </c>
      <c r="AJ395" s="31" t="s">
        <v>863</v>
      </c>
      <c r="AK395" s="31" t="s">
        <v>144</v>
      </c>
      <c r="AL395" s="31" t="s">
        <v>322</v>
      </c>
      <c r="AM395" s="31" t="s">
        <v>144</v>
      </c>
      <c r="AN395" s="31" t="s">
        <v>163</v>
      </c>
      <c r="AO395" s="31" t="s">
        <v>156</v>
      </c>
      <c r="AP395" s="31" t="s">
        <v>144</v>
      </c>
      <c r="AQ395" s="31" t="s">
        <v>144</v>
      </c>
      <c r="AR395" s="31" t="s">
        <v>144</v>
      </c>
      <c r="AS395" s="31"/>
      <c r="AT395" s="31"/>
      <c r="AU395" s="31"/>
    </row>
    <row r="396" spans="5:47" ht="15" customHeight="1" x14ac:dyDescent="0.25">
      <c r="E396" s="31" t="s">
        <v>136</v>
      </c>
      <c r="F396" s="31" t="s">
        <v>140</v>
      </c>
      <c r="G396" s="31" t="s">
        <v>195</v>
      </c>
      <c r="H396" s="31" t="s">
        <v>154</v>
      </c>
      <c r="I396" s="31" t="s">
        <v>481</v>
      </c>
      <c r="J396" s="31" t="s">
        <v>915</v>
      </c>
      <c r="K396" s="31" t="s">
        <v>918</v>
      </c>
      <c r="L396" s="31" t="s">
        <v>162</v>
      </c>
      <c r="M396" s="31" t="s">
        <v>144</v>
      </c>
      <c r="N396" s="31" t="s">
        <v>144</v>
      </c>
      <c r="O396" s="31" t="s">
        <v>144</v>
      </c>
      <c r="P396" s="31" t="s">
        <v>144</v>
      </c>
      <c r="Q396" s="31" t="s">
        <v>862</v>
      </c>
      <c r="R396" s="372" t="s">
        <v>312</v>
      </c>
      <c r="S396" s="31" t="s">
        <v>479</v>
      </c>
      <c r="T396" s="31" t="s">
        <v>480</v>
      </c>
      <c r="U396" s="31">
        <v>65</v>
      </c>
      <c r="V396" s="31" t="s">
        <v>144</v>
      </c>
      <c r="W396" s="31" t="s">
        <v>144</v>
      </c>
      <c r="X396" s="31" t="s">
        <v>144</v>
      </c>
      <c r="Y396" s="31"/>
      <c r="Z396" s="33">
        <v>1</v>
      </c>
      <c r="AA396" s="31" t="s">
        <v>144</v>
      </c>
      <c r="AB396" s="31" t="s">
        <v>144</v>
      </c>
      <c r="AC396" s="31" t="s">
        <v>144</v>
      </c>
      <c r="AD396" s="31" t="s">
        <v>144</v>
      </c>
      <c r="AE396" s="31" t="s">
        <v>144</v>
      </c>
      <c r="AF396" s="31" t="s">
        <v>144</v>
      </c>
      <c r="AG396" s="31"/>
      <c r="AH396" s="31" t="s">
        <v>190</v>
      </c>
      <c r="AI396" s="31" t="s">
        <v>196</v>
      </c>
      <c r="AJ396" s="31" t="s">
        <v>863</v>
      </c>
      <c r="AK396" s="31" t="s">
        <v>144</v>
      </c>
      <c r="AL396" s="31" t="s">
        <v>322</v>
      </c>
      <c r="AM396" s="31" t="s">
        <v>144</v>
      </c>
      <c r="AN396" s="31" t="s">
        <v>163</v>
      </c>
      <c r="AO396" s="31" t="s">
        <v>156</v>
      </c>
      <c r="AP396" s="31" t="s">
        <v>144</v>
      </c>
      <c r="AQ396" s="31" t="s">
        <v>144</v>
      </c>
      <c r="AR396" s="31" t="s">
        <v>144</v>
      </c>
      <c r="AS396" s="31"/>
      <c r="AT396" s="31"/>
      <c r="AU396" s="31"/>
    </row>
    <row r="397" spans="5:47" ht="15" customHeight="1" x14ac:dyDescent="0.25">
      <c r="E397" s="31" t="s">
        <v>136</v>
      </c>
      <c r="F397" s="31" t="s">
        <v>140</v>
      </c>
      <c r="G397" s="31" t="s">
        <v>195</v>
      </c>
      <c r="H397" s="31" t="s">
        <v>154</v>
      </c>
      <c r="I397" s="31" t="s">
        <v>481</v>
      </c>
      <c r="J397" s="31" t="s">
        <v>915</v>
      </c>
      <c r="K397" s="31" t="s">
        <v>919</v>
      </c>
      <c r="L397" s="31" t="s">
        <v>162</v>
      </c>
      <c r="M397" s="31" t="s">
        <v>144</v>
      </c>
      <c r="N397" s="31" t="s">
        <v>144</v>
      </c>
      <c r="O397" s="31" t="s">
        <v>144</v>
      </c>
      <c r="P397" s="31" t="s">
        <v>144</v>
      </c>
      <c r="Q397" s="31" t="s">
        <v>862</v>
      </c>
      <c r="R397" s="372" t="s">
        <v>312</v>
      </c>
      <c r="S397" s="31" t="s">
        <v>479</v>
      </c>
      <c r="T397" s="31" t="s">
        <v>480</v>
      </c>
      <c r="U397" s="31">
        <v>65</v>
      </c>
      <c r="V397" s="31" t="s">
        <v>144</v>
      </c>
      <c r="W397" s="31" t="s">
        <v>144</v>
      </c>
      <c r="X397" s="31" t="s">
        <v>144</v>
      </c>
      <c r="Y397" s="31"/>
      <c r="Z397" s="33">
        <v>1</v>
      </c>
      <c r="AA397" s="31" t="s">
        <v>144</v>
      </c>
      <c r="AB397" s="31" t="s">
        <v>144</v>
      </c>
      <c r="AC397" s="31" t="s">
        <v>144</v>
      </c>
      <c r="AD397" s="31" t="s">
        <v>144</v>
      </c>
      <c r="AE397" s="31" t="s">
        <v>144</v>
      </c>
      <c r="AF397" s="31" t="s">
        <v>144</v>
      </c>
      <c r="AG397" s="31"/>
      <c r="AH397" s="31" t="s">
        <v>190</v>
      </c>
      <c r="AI397" s="31" t="s">
        <v>196</v>
      </c>
      <c r="AJ397" s="31" t="s">
        <v>863</v>
      </c>
      <c r="AK397" s="31" t="s">
        <v>144</v>
      </c>
      <c r="AL397" s="31" t="s">
        <v>322</v>
      </c>
      <c r="AM397" s="31" t="s">
        <v>144</v>
      </c>
      <c r="AN397" s="31" t="s">
        <v>163</v>
      </c>
      <c r="AO397" s="31" t="s">
        <v>156</v>
      </c>
      <c r="AP397" s="31" t="s">
        <v>144</v>
      </c>
      <c r="AQ397" s="31" t="s">
        <v>144</v>
      </c>
      <c r="AR397" s="31" t="s">
        <v>144</v>
      </c>
      <c r="AS397" s="31"/>
      <c r="AT397" s="31"/>
      <c r="AU397" s="31"/>
    </row>
    <row r="398" spans="5:47" ht="15" customHeight="1" x14ac:dyDescent="0.25">
      <c r="E398" s="31" t="s">
        <v>136</v>
      </c>
      <c r="F398" s="31" t="s">
        <v>140</v>
      </c>
      <c r="G398" s="31" t="s">
        <v>195</v>
      </c>
      <c r="H398" s="31" t="s">
        <v>154</v>
      </c>
      <c r="I398" s="31" t="s">
        <v>481</v>
      </c>
      <c r="J398" s="31" t="s">
        <v>915</v>
      </c>
      <c r="K398" s="31" t="s">
        <v>920</v>
      </c>
      <c r="L398" s="31" t="s">
        <v>162</v>
      </c>
      <c r="M398" s="31" t="s">
        <v>144</v>
      </c>
      <c r="N398" s="31" t="s">
        <v>144</v>
      </c>
      <c r="O398" s="31" t="s">
        <v>144</v>
      </c>
      <c r="P398" s="31" t="s">
        <v>144</v>
      </c>
      <c r="Q398" s="31" t="s">
        <v>862</v>
      </c>
      <c r="R398" s="372" t="s">
        <v>312</v>
      </c>
      <c r="S398" s="31" t="s">
        <v>479</v>
      </c>
      <c r="T398" s="31" t="s">
        <v>480</v>
      </c>
      <c r="U398" s="31">
        <v>65</v>
      </c>
      <c r="V398" s="31" t="s">
        <v>144</v>
      </c>
      <c r="W398" s="31" t="s">
        <v>144</v>
      </c>
      <c r="X398" s="31" t="s">
        <v>144</v>
      </c>
      <c r="Y398" s="31"/>
      <c r="Z398" s="33">
        <v>1</v>
      </c>
      <c r="AA398" s="31" t="s">
        <v>144</v>
      </c>
      <c r="AB398" s="31" t="s">
        <v>144</v>
      </c>
      <c r="AC398" s="31" t="s">
        <v>144</v>
      </c>
      <c r="AD398" s="31" t="s">
        <v>144</v>
      </c>
      <c r="AE398" s="31" t="s">
        <v>144</v>
      </c>
      <c r="AF398" s="31" t="s">
        <v>144</v>
      </c>
      <c r="AG398" s="31"/>
      <c r="AH398" s="31" t="s">
        <v>190</v>
      </c>
      <c r="AI398" s="31" t="s">
        <v>196</v>
      </c>
      <c r="AJ398" s="31" t="s">
        <v>863</v>
      </c>
      <c r="AK398" s="31" t="s">
        <v>144</v>
      </c>
      <c r="AL398" s="31" t="s">
        <v>322</v>
      </c>
      <c r="AM398" s="31" t="s">
        <v>144</v>
      </c>
      <c r="AN398" s="31" t="s">
        <v>163</v>
      </c>
      <c r="AO398" s="31" t="s">
        <v>156</v>
      </c>
      <c r="AP398" s="31" t="s">
        <v>144</v>
      </c>
      <c r="AQ398" s="31" t="s">
        <v>144</v>
      </c>
      <c r="AR398" s="31" t="s">
        <v>144</v>
      </c>
      <c r="AS398" s="31"/>
      <c r="AT398" s="31"/>
      <c r="AU398" s="31"/>
    </row>
    <row r="399" spans="5:47" ht="15" customHeight="1" x14ac:dyDescent="0.25">
      <c r="E399" s="31" t="s">
        <v>136</v>
      </c>
      <c r="F399" s="31" t="s">
        <v>140</v>
      </c>
      <c r="G399" s="31" t="s">
        <v>195</v>
      </c>
      <c r="H399" s="31" t="s">
        <v>154</v>
      </c>
      <c r="I399" s="31" t="s">
        <v>481</v>
      </c>
      <c r="J399" s="31" t="s">
        <v>915</v>
      </c>
      <c r="K399" s="31" t="s">
        <v>920</v>
      </c>
      <c r="L399" s="31" t="s">
        <v>162</v>
      </c>
      <c r="M399" s="31" t="s">
        <v>144</v>
      </c>
      <c r="N399" s="31" t="s">
        <v>144</v>
      </c>
      <c r="O399" s="31" t="s">
        <v>144</v>
      </c>
      <c r="P399" s="31" t="s">
        <v>144</v>
      </c>
      <c r="Q399" s="31" t="s">
        <v>862</v>
      </c>
      <c r="R399" s="372" t="s">
        <v>312</v>
      </c>
      <c r="S399" s="31" t="s">
        <v>479</v>
      </c>
      <c r="T399" s="31" t="s">
        <v>480</v>
      </c>
      <c r="U399" s="31">
        <v>65</v>
      </c>
      <c r="V399" s="31" t="s">
        <v>144</v>
      </c>
      <c r="W399" s="31" t="s">
        <v>144</v>
      </c>
      <c r="X399" s="31" t="s">
        <v>144</v>
      </c>
      <c r="Y399" s="31"/>
      <c r="Z399" s="33">
        <v>1</v>
      </c>
      <c r="AA399" s="31" t="s">
        <v>144</v>
      </c>
      <c r="AB399" s="31" t="s">
        <v>144</v>
      </c>
      <c r="AC399" s="31" t="s">
        <v>144</v>
      </c>
      <c r="AD399" s="31" t="s">
        <v>144</v>
      </c>
      <c r="AE399" s="31" t="s">
        <v>144</v>
      </c>
      <c r="AF399" s="31" t="s">
        <v>144</v>
      </c>
      <c r="AG399" s="31"/>
      <c r="AH399" s="31" t="s">
        <v>190</v>
      </c>
      <c r="AI399" s="31" t="s">
        <v>196</v>
      </c>
      <c r="AJ399" s="31" t="s">
        <v>863</v>
      </c>
      <c r="AK399" s="31" t="s">
        <v>144</v>
      </c>
      <c r="AL399" s="31" t="s">
        <v>322</v>
      </c>
      <c r="AM399" s="31" t="s">
        <v>144</v>
      </c>
      <c r="AN399" s="31" t="s">
        <v>163</v>
      </c>
      <c r="AO399" s="31" t="s">
        <v>156</v>
      </c>
      <c r="AP399" s="31" t="s">
        <v>144</v>
      </c>
      <c r="AQ399" s="31" t="s">
        <v>144</v>
      </c>
      <c r="AR399" s="31" t="s">
        <v>144</v>
      </c>
      <c r="AS399" s="31"/>
      <c r="AT399" s="31"/>
      <c r="AU399" s="31"/>
    </row>
    <row r="400" spans="5:47" ht="15" customHeight="1" x14ac:dyDescent="0.25">
      <c r="E400" s="31" t="s">
        <v>136</v>
      </c>
      <c r="F400" s="31" t="s">
        <v>140</v>
      </c>
      <c r="G400" s="31" t="s">
        <v>195</v>
      </c>
      <c r="H400" s="31" t="s">
        <v>154</v>
      </c>
      <c r="I400" s="31" t="s">
        <v>481</v>
      </c>
      <c r="J400" s="31" t="s">
        <v>915</v>
      </c>
      <c r="K400" s="31" t="s">
        <v>921</v>
      </c>
      <c r="L400" s="31" t="s">
        <v>162</v>
      </c>
      <c r="M400" s="31" t="s">
        <v>144</v>
      </c>
      <c r="N400" s="31" t="s">
        <v>144</v>
      </c>
      <c r="O400" s="31" t="s">
        <v>144</v>
      </c>
      <c r="P400" s="31" t="s">
        <v>144</v>
      </c>
      <c r="Q400" s="31" t="s">
        <v>862</v>
      </c>
      <c r="R400" s="372" t="s">
        <v>312</v>
      </c>
      <c r="S400" s="31" t="s">
        <v>479</v>
      </c>
      <c r="T400" s="31" t="s">
        <v>480</v>
      </c>
      <c r="U400" s="31">
        <v>65</v>
      </c>
      <c r="V400" s="31" t="s">
        <v>144</v>
      </c>
      <c r="W400" s="31" t="s">
        <v>144</v>
      </c>
      <c r="X400" s="31" t="s">
        <v>144</v>
      </c>
      <c r="Y400" s="31"/>
      <c r="Z400" s="33">
        <v>1</v>
      </c>
      <c r="AA400" s="31" t="s">
        <v>144</v>
      </c>
      <c r="AB400" s="31" t="s">
        <v>144</v>
      </c>
      <c r="AC400" s="31" t="s">
        <v>144</v>
      </c>
      <c r="AD400" s="31" t="s">
        <v>144</v>
      </c>
      <c r="AE400" s="31" t="s">
        <v>144</v>
      </c>
      <c r="AF400" s="31" t="s">
        <v>144</v>
      </c>
      <c r="AG400" s="31"/>
      <c r="AH400" s="31" t="s">
        <v>190</v>
      </c>
      <c r="AI400" s="31" t="s">
        <v>196</v>
      </c>
      <c r="AJ400" s="31" t="s">
        <v>863</v>
      </c>
      <c r="AK400" s="31" t="s">
        <v>144</v>
      </c>
      <c r="AL400" s="31" t="s">
        <v>322</v>
      </c>
      <c r="AM400" s="31" t="s">
        <v>144</v>
      </c>
      <c r="AN400" s="31" t="s">
        <v>163</v>
      </c>
      <c r="AO400" s="31" t="s">
        <v>156</v>
      </c>
      <c r="AP400" s="31" t="s">
        <v>144</v>
      </c>
      <c r="AQ400" s="31" t="s">
        <v>144</v>
      </c>
      <c r="AR400" s="31" t="s">
        <v>144</v>
      </c>
      <c r="AS400" s="31"/>
      <c r="AT400" s="31"/>
      <c r="AU400" s="31"/>
    </row>
    <row r="401" spans="5:47" ht="15" customHeight="1" x14ac:dyDescent="0.25">
      <c r="E401" s="31" t="s">
        <v>136</v>
      </c>
      <c r="F401" s="31" t="s">
        <v>140</v>
      </c>
      <c r="G401" s="31" t="s">
        <v>195</v>
      </c>
      <c r="H401" s="31" t="s">
        <v>154</v>
      </c>
      <c r="I401" s="31" t="s">
        <v>481</v>
      </c>
      <c r="J401" s="31" t="s">
        <v>915</v>
      </c>
      <c r="K401" s="31" t="s">
        <v>922</v>
      </c>
      <c r="L401" s="31" t="s">
        <v>162</v>
      </c>
      <c r="M401" s="31" t="s">
        <v>144</v>
      </c>
      <c r="N401" s="31" t="s">
        <v>144</v>
      </c>
      <c r="O401" s="31" t="s">
        <v>144</v>
      </c>
      <c r="P401" s="31" t="s">
        <v>144</v>
      </c>
      <c r="Q401" s="31" t="s">
        <v>862</v>
      </c>
      <c r="R401" s="372" t="s">
        <v>312</v>
      </c>
      <c r="S401" s="31" t="s">
        <v>479</v>
      </c>
      <c r="T401" s="31" t="s">
        <v>480</v>
      </c>
      <c r="U401" s="31">
        <v>65</v>
      </c>
      <c r="V401" s="31" t="s">
        <v>144</v>
      </c>
      <c r="W401" s="31" t="s">
        <v>144</v>
      </c>
      <c r="X401" s="31" t="s">
        <v>144</v>
      </c>
      <c r="Y401" s="31"/>
      <c r="Z401" s="33">
        <v>1</v>
      </c>
      <c r="AA401" s="31" t="s">
        <v>144</v>
      </c>
      <c r="AB401" s="31" t="s">
        <v>144</v>
      </c>
      <c r="AC401" s="31" t="s">
        <v>144</v>
      </c>
      <c r="AD401" s="31" t="s">
        <v>144</v>
      </c>
      <c r="AE401" s="31" t="s">
        <v>144</v>
      </c>
      <c r="AF401" s="31" t="s">
        <v>144</v>
      </c>
      <c r="AG401" s="31"/>
      <c r="AH401" s="31" t="s">
        <v>190</v>
      </c>
      <c r="AI401" s="31" t="s">
        <v>196</v>
      </c>
      <c r="AJ401" s="31" t="s">
        <v>863</v>
      </c>
      <c r="AK401" s="31" t="s">
        <v>144</v>
      </c>
      <c r="AL401" s="31" t="s">
        <v>322</v>
      </c>
      <c r="AM401" s="31" t="s">
        <v>144</v>
      </c>
      <c r="AN401" s="31" t="s">
        <v>163</v>
      </c>
      <c r="AO401" s="31" t="s">
        <v>156</v>
      </c>
      <c r="AP401" s="31" t="s">
        <v>144</v>
      </c>
      <c r="AQ401" s="31" t="s">
        <v>144</v>
      </c>
      <c r="AR401" s="31" t="s">
        <v>144</v>
      </c>
      <c r="AS401" s="31"/>
      <c r="AT401" s="31"/>
      <c r="AU401" s="31"/>
    </row>
    <row r="402" spans="5:47" ht="15" customHeight="1" x14ac:dyDescent="0.25"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72"/>
      <c r="S402" s="31"/>
      <c r="T402" s="31"/>
      <c r="U402" s="31"/>
      <c r="V402" s="31"/>
      <c r="W402" s="31"/>
      <c r="X402" s="31"/>
      <c r="Y402" s="31"/>
      <c r="Z402" s="33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</row>
    <row r="403" spans="5:47" ht="15" customHeight="1" x14ac:dyDescent="0.25"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72"/>
      <c r="S403" s="31"/>
      <c r="T403" s="31"/>
      <c r="U403" s="31"/>
      <c r="V403" s="31"/>
      <c r="W403" s="31"/>
      <c r="X403" s="31"/>
      <c r="Y403" s="31"/>
      <c r="Z403" s="33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</row>
    <row r="404" spans="5:47" ht="15" customHeight="1" x14ac:dyDescent="0.25">
      <c r="E404" s="31" t="s">
        <v>136</v>
      </c>
      <c r="F404" s="31" t="s">
        <v>140</v>
      </c>
      <c r="G404" s="31" t="s">
        <v>195</v>
      </c>
      <c r="H404" s="31" t="s">
        <v>154</v>
      </c>
      <c r="I404" s="31" t="s">
        <v>481</v>
      </c>
      <c r="J404" s="31" t="s">
        <v>923</v>
      </c>
      <c r="K404" s="31" t="s">
        <v>924</v>
      </c>
      <c r="L404" s="31" t="s">
        <v>162</v>
      </c>
      <c r="M404" s="31" t="s">
        <v>144</v>
      </c>
      <c r="N404" s="31" t="s">
        <v>144</v>
      </c>
      <c r="O404" s="31" t="s">
        <v>144</v>
      </c>
      <c r="P404" s="31" t="s">
        <v>144</v>
      </c>
      <c r="Q404" s="31" t="s">
        <v>862</v>
      </c>
      <c r="R404" s="372" t="s">
        <v>312</v>
      </c>
      <c r="S404" s="31" t="s">
        <v>479</v>
      </c>
      <c r="T404" s="31" t="s">
        <v>480</v>
      </c>
      <c r="U404" s="31">
        <v>65</v>
      </c>
      <c r="V404" s="31" t="s">
        <v>144</v>
      </c>
      <c r="W404" s="31" t="s">
        <v>144</v>
      </c>
      <c r="X404" s="31" t="s">
        <v>144</v>
      </c>
      <c r="Y404" s="31"/>
      <c r="Z404" s="33">
        <v>1</v>
      </c>
      <c r="AA404" s="31" t="s">
        <v>144</v>
      </c>
      <c r="AB404" s="31" t="s">
        <v>144</v>
      </c>
      <c r="AC404" s="31" t="s">
        <v>144</v>
      </c>
      <c r="AD404" s="31" t="s">
        <v>144</v>
      </c>
      <c r="AE404" s="31" t="s">
        <v>144</v>
      </c>
      <c r="AF404" s="31" t="s">
        <v>144</v>
      </c>
      <c r="AG404" s="31"/>
      <c r="AH404" s="31" t="s">
        <v>190</v>
      </c>
      <c r="AI404" s="31" t="s">
        <v>196</v>
      </c>
      <c r="AJ404" s="31" t="s">
        <v>863</v>
      </c>
      <c r="AK404" s="31" t="s">
        <v>144</v>
      </c>
      <c r="AL404" s="31" t="s">
        <v>322</v>
      </c>
      <c r="AM404" s="31" t="s">
        <v>144</v>
      </c>
      <c r="AN404" s="31" t="s">
        <v>163</v>
      </c>
      <c r="AO404" s="31" t="s">
        <v>156</v>
      </c>
      <c r="AP404" s="31" t="s">
        <v>144</v>
      </c>
      <c r="AQ404" s="31" t="s">
        <v>144</v>
      </c>
      <c r="AR404" s="31" t="s">
        <v>144</v>
      </c>
      <c r="AS404" s="31"/>
      <c r="AT404" s="31"/>
      <c r="AU404" s="31"/>
    </row>
    <row r="405" spans="5:47" ht="15" customHeight="1" x14ac:dyDescent="0.25">
      <c r="E405" s="31" t="s">
        <v>136</v>
      </c>
      <c r="F405" s="31" t="s">
        <v>140</v>
      </c>
      <c r="G405" s="31" t="s">
        <v>195</v>
      </c>
      <c r="H405" s="31" t="s">
        <v>154</v>
      </c>
      <c r="I405" s="31" t="s">
        <v>481</v>
      </c>
      <c r="J405" s="31" t="s">
        <v>923</v>
      </c>
      <c r="K405" s="31" t="s">
        <v>925</v>
      </c>
      <c r="L405" s="31" t="s">
        <v>162</v>
      </c>
      <c r="M405" s="31" t="s">
        <v>144</v>
      </c>
      <c r="N405" s="31" t="s">
        <v>144</v>
      </c>
      <c r="O405" s="31" t="s">
        <v>144</v>
      </c>
      <c r="P405" s="31" t="s">
        <v>144</v>
      </c>
      <c r="Q405" s="31" t="s">
        <v>862</v>
      </c>
      <c r="R405" s="372" t="s">
        <v>312</v>
      </c>
      <c r="S405" s="31" t="s">
        <v>479</v>
      </c>
      <c r="T405" s="31" t="s">
        <v>480</v>
      </c>
      <c r="U405" s="31">
        <v>65</v>
      </c>
      <c r="V405" s="31" t="s">
        <v>144</v>
      </c>
      <c r="W405" s="31" t="s">
        <v>144</v>
      </c>
      <c r="X405" s="31" t="s">
        <v>144</v>
      </c>
      <c r="Y405" s="31"/>
      <c r="Z405" s="33">
        <v>1</v>
      </c>
      <c r="AA405" s="31" t="s">
        <v>144</v>
      </c>
      <c r="AB405" s="31" t="s">
        <v>144</v>
      </c>
      <c r="AC405" s="31" t="s">
        <v>144</v>
      </c>
      <c r="AD405" s="31" t="s">
        <v>144</v>
      </c>
      <c r="AE405" s="31" t="s">
        <v>144</v>
      </c>
      <c r="AF405" s="31" t="s">
        <v>144</v>
      </c>
      <c r="AG405" s="31"/>
      <c r="AH405" s="31" t="s">
        <v>190</v>
      </c>
      <c r="AI405" s="31" t="s">
        <v>196</v>
      </c>
      <c r="AJ405" s="31" t="s">
        <v>863</v>
      </c>
      <c r="AK405" s="31" t="s">
        <v>144</v>
      </c>
      <c r="AL405" s="31" t="s">
        <v>322</v>
      </c>
      <c r="AM405" s="31" t="s">
        <v>144</v>
      </c>
      <c r="AN405" s="31" t="s">
        <v>163</v>
      </c>
      <c r="AO405" s="31" t="s">
        <v>156</v>
      </c>
      <c r="AP405" s="31" t="s">
        <v>144</v>
      </c>
      <c r="AQ405" s="31" t="s">
        <v>144</v>
      </c>
      <c r="AR405" s="31" t="s">
        <v>144</v>
      </c>
      <c r="AS405" s="31"/>
      <c r="AT405" s="31"/>
      <c r="AU405" s="31"/>
    </row>
    <row r="406" spans="5:47" ht="15" customHeight="1" x14ac:dyDescent="0.25">
      <c r="E406" s="31" t="s">
        <v>136</v>
      </c>
      <c r="F406" s="31" t="s">
        <v>140</v>
      </c>
      <c r="G406" s="31" t="s">
        <v>195</v>
      </c>
      <c r="H406" s="31" t="s">
        <v>154</v>
      </c>
      <c r="I406" s="31" t="s">
        <v>481</v>
      </c>
      <c r="J406" s="31" t="s">
        <v>923</v>
      </c>
      <c r="K406" s="31" t="s">
        <v>926</v>
      </c>
      <c r="L406" s="31" t="s">
        <v>162</v>
      </c>
      <c r="M406" s="31" t="s">
        <v>144</v>
      </c>
      <c r="N406" s="31" t="s">
        <v>144</v>
      </c>
      <c r="O406" s="31" t="s">
        <v>144</v>
      </c>
      <c r="P406" s="31" t="s">
        <v>144</v>
      </c>
      <c r="Q406" s="31" t="s">
        <v>862</v>
      </c>
      <c r="R406" s="372" t="s">
        <v>312</v>
      </c>
      <c r="S406" s="31" t="s">
        <v>479</v>
      </c>
      <c r="T406" s="31" t="s">
        <v>480</v>
      </c>
      <c r="U406" s="31">
        <v>65</v>
      </c>
      <c r="V406" s="31" t="s">
        <v>144</v>
      </c>
      <c r="W406" s="31" t="s">
        <v>144</v>
      </c>
      <c r="X406" s="31" t="s">
        <v>144</v>
      </c>
      <c r="Y406" s="31"/>
      <c r="Z406" s="33">
        <v>1</v>
      </c>
      <c r="AA406" s="31" t="s">
        <v>144</v>
      </c>
      <c r="AB406" s="31" t="s">
        <v>144</v>
      </c>
      <c r="AC406" s="31" t="s">
        <v>144</v>
      </c>
      <c r="AD406" s="31" t="s">
        <v>144</v>
      </c>
      <c r="AE406" s="31" t="s">
        <v>144</v>
      </c>
      <c r="AF406" s="31" t="s">
        <v>144</v>
      </c>
      <c r="AG406" s="31"/>
      <c r="AH406" s="31" t="s">
        <v>190</v>
      </c>
      <c r="AI406" s="31" t="s">
        <v>196</v>
      </c>
      <c r="AJ406" s="31" t="s">
        <v>863</v>
      </c>
      <c r="AK406" s="31" t="s">
        <v>144</v>
      </c>
      <c r="AL406" s="31" t="s">
        <v>322</v>
      </c>
      <c r="AM406" s="31" t="s">
        <v>144</v>
      </c>
      <c r="AN406" s="31" t="s">
        <v>163</v>
      </c>
      <c r="AO406" s="31" t="s">
        <v>156</v>
      </c>
      <c r="AP406" s="31" t="s">
        <v>144</v>
      </c>
      <c r="AQ406" s="31" t="s">
        <v>144</v>
      </c>
      <c r="AR406" s="31" t="s">
        <v>144</v>
      </c>
      <c r="AS406" s="31"/>
      <c r="AT406" s="31"/>
      <c r="AU406" s="31"/>
    </row>
    <row r="407" spans="5:47" ht="15" customHeight="1" x14ac:dyDescent="0.25">
      <c r="E407" s="31" t="s">
        <v>136</v>
      </c>
      <c r="F407" s="31" t="s">
        <v>140</v>
      </c>
      <c r="G407" s="31" t="s">
        <v>195</v>
      </c>
      <c r="H407" s="31" t="s">
        <v>154</v>
      </c>
      <c r="I407" s="31" t="s">
        <v>481</v>
      </c>
      <c r="J407" s="31" t="s">
        <v>923</v>
      </c>
      <c r="K407" s="31" t="s">
        <v>927</v>
      </c>
      <c r="L407" s="31" t="s">
        <v>162</v>
      </c>
      <c r="M407" s="31" t="s">
        <v>144</v>
      </c>
      <c r="N407" s="31" t="s">
        <v>144</v>
      </c>
      <c r="O407" s="31" t="s">
        <v>144</v>
      </c>
      <c r="P407" s="31" t="s">
        <v>144</v>
      </c>
      <c r="Q407" s="31" t="s">
        <v>862</v>
      </c>
      <c r="R407" s="372" t="s">
        <v>312</v>
      </c>
      <c r="S407" s="31" t="s">
        <v>479</v>
      </c>
      <c r="T407" s="31" t="s">
        <v>480</v>
      </c>
      <c r="U407" s="31">
        <v>65</v>
      </c>
      <c r="V407" s="31" t="s">
        <v>144</v>
      </c>
      <c r="W407" s="31" t="s">
        <v>144</v>
      </c>
      <c r="X407" s="31" t="s">
        <v>144</v>
      </c>
      <c r="Y407" s="31"/>
      <c r="Z407" s="33">
        <v>1</v>
      </c>
      <c r="AA407" s="31" t="s">
        <v>144</v>
      </c>
      <c r="AB407" s="31" t="s">
        <v>144</v>
      </c>
      <c r="AC407" s="31" t="s">
        <v>144</v>
      </c>
      <c r="AD407" s="31" t="s">
        <v>144</v>
      </c>
      <c r="AE407" s="31" t="s">
        <v>144</v>
      </c>
      <c r="AF407" s="31" t="s">
        <v>144</v>
      </c>
      <c r="AG407" s="31"/>
      <c r="AH407" s="31" t="s">
        <v>190</v>
      </c>
      <c r="AI407" s="31" t="s">
        <v>196</v>
      </c>
      <c r="AJ407" s="31" t="s">
        <v>863</v>
      </c>
      <c r="AK407" s="31" t="s">
        <v>144</v>
      </c>
      <c r="AL407" s="31" t="s">
        <v>322</v>
      </c>
      <c r="AM407" s="31" t="s">
        <v>144</v>
      </c>
      <c r="AN407" s="31" t="s">
        <v>163</v>
      </c>
      <c r="AO407" s="31" t="s">
        <v>156</v>
      </c>
      <c r="AP407" s="31" t="s">
        <v>144</v>
      </c>
      <c r="AQ407" s="31" t="s">
        <v>144</v>
      </c>
      <c r="AR407" s="31" t="s">
        <v>144</v>
      </c>
      <c r="AS407" s="31"/>
      <c r="AT407" s="31"/>
      <c r="AU407" s="31"/>
    </row>
    <row r="408" spans="5:47" ht="15" customHeight="1" x14ac:dyDescent="0.25">
      <c r="E408" s="31" t="s">
        <v>136</v>
      </c>
      <c r="F408" s="31" t="s">
        <v>140</v>
      </c>
      <c r="G408" s="31" t="s">
        <v>195</v>
      </c>
      <c r="H408" s="31" t="s">
        <v>154</v>
      </c>
      <c r="I408" s="31" t="s">
        <v>481</v>
      </c>
      <c r="J408" s="31" t="s">
        <v>923</v>
      </c>
      <c r="K408" s="31" t="s">
        <v>928</v>
      </c>
      <c r="L408" s="31" t="s">
        <v>162</v>
      </c>
      <c r="M408" s="31" t="s">
        <v>144</v>
      </c>
      <c r="N408" s="31" t="s">
        <v>144</v>
      </c>
      <c r="O408" s="31" t="s">
        <v>144</v>
      </c>
      <c r="P408" s="31" t="s">
        <v>144</v>
      </c>
      <c r="Q408" s="31" t="s">
        <v>862</v>
      </c>
      <c r="R408" s="372" t="s">
        <v>312</v>
      </c>
      <c r="S408" s="31" t="s">
        <v>479</v>
      </c>
      <c r="T408" s="31" t="s">
        <v>480</v>
      </c>
      <c r="U408" s="31">
        <v>65</v>
      </c>
      <c r="V408" s="31" t="s">
        <v>144</v>
      </c>
      <c r="W408" s="31" t="s">
        <v>144</v>
      </c>
      <c r="X408" s="31" t="s">
        <v>144</v>
      </c>
      <c r="Y408" s="31"/>
      <c r="Z408" s="33">
        <v>1</v>
      </c>
      <c r="AA408" s="31" t="s">
        <v>144</v>
      </c>
      <c r="AB408" s="31" t="s">
        <v>144</v>
      </c>
      <c r="AC408" s="31" t="s">
        <v>144</v>
      </c>
      <c r="AD408" s="31" t="s">
        <v>144</v>
      </c>
      <c r="AE408" s="31" t="s">
        <v>144</v>
      </c>
      <c r="AF408" s="31" t="s">
        <v>144</v>
      </c>
      <c r="AG408" s="31"/>
      <c r="AH408" s="31" t="s">
        <v>190</v>
      </c>
      <c r="AI408" s="31" t="s">
        <v>196</v>
      </c>
      <c r="AJ408" s="31" t="s">
        <v>863</v>
      </c>
      <c r="AK408" s="31" t="s">
        <v>144</v>
      </c>
      <c r="AL408" s="31" t="s">
        <v>322</v>
      </c>
      <c r="AM408" s="31" t="s">
        <v>144</v>
      </c>
      <c r="AN408" s="31" t="s">
        <v>163</v>
      </c>
      <c r="AO408" s="31" t="s">
        <v>156</v>
      </c>
      <c r="AP408" s="31" t="s">
        <v>144</v>
      </c>
      <c r="AQ408" s="31" t="s">
        <v>144</v>
      </c>
      <c r="AR408" s="31" t="s">
        <v>144</v>
      </c>
      <c r="AS408" s="31"/>
      <c r="AT408" s="31"/>
      <c r="AU408" s="31"/>
    </row>
    <row r="409" spans="5:47" ht="15" customHeight="1" x14ac:dyDescent="0.25">
      <c r="E409" s="31" t="s">
        <v>136</v>
      </c>
      <c r="F409" s="31" t="s">
        <v>140</v>
      </c>
      <c r="G409" s="31" t="s">
        <v>195</v>
      </c>
      <c r="H409" s="31" t="s">
        <v>154</v>
      </c>
      <c r="I409" s="31" t="s">
        <v>481</v>
      </c>
      <c r="J409" s="31" t="s">
        <v>923</v>
      </c>
      <c r="K409" s="31" t="s">
        <v>929</v>
      </c>
      <c r="L409" s="31" t="s">
        <v>162</v>
      </c>
      <c r="M409" s="31" t="s">
        <v>144</v>
      </c>
      <c r="N409" s="31" t="s">
        <v>144</v>
      </c>
      <c r="O409" s="31" t="s">
        <v>144</v>
      </c>
      <c r="P409" s="31" t="s">
        <v>144</v>
      </c>
      <c r="Q409" s="31" t="s">
        <v>862</v>
      </c>
      <c r="R409" s="372" t="s">
        <v>312</v>
      </c>
      <c r="S409" s="31" t="s">
        <v>479</v>
      </c>
      <c r="T409" s="31" t="s">
        <v>480</v>
      </c>
      <c r="U409" s="31">
        <v>65</v>
      </c>
      <c r="V409" s="31" t="s">
        <v>144</v>
      </c>
      <c r="W409" s="31" t="s">
        <v>144</v>
      </c>
      <c r="X409" s="31" t="s">
        <v>144</v>
      </c>
      <c r="Y409" s="31"/>
      <c r="Z409" s="33">
        <v>1</v>
      </c>
      <c r="AA409" s="31" t="s">
        <v>144</v>
      </c>
      <c r="AB409" s="31" t="s">
        <v>144</v>
      </c>
      <c r="AC409" s="31" t="s">
        <v>144</v>
      </c>
      <c r="AD409" s="31" t="s">
        <v>144</v>
      </c>
      <c r="AE409" s="31" t="s">
        <v>144</v>
      </c>
      <c r="AF409" s="31" t="s">
        <v>144</v>
      </c>
      <c r="AG409" s="31"/>
      <c r="AH409" s="31" t="s">
        <v>190</v>
      </c>
      <c r="AI409" s="31" t="s">
        <v>196</v>
      </c>
      <c r="AJ409" s="31" t="s">
        <v>863</v>
      </c>
      <c r="AK409" s="31" t="s">
        <v>144</v>
      </c>
      <c r="AL409" s="31" t="s">
        <v>322</v>
      </c>
      <c r="AM409" s="31" t="s">
        <v>144</v>
      </c>
      <c r="AN409" s="31" t="s">
        <v>163</v>
      </c>
      <c r="AO409" s="31" t="s">
        <v>156</v>
      </c>
      <c r="AP409" s="31" t="s">
        <v>144</v>
      </c>
      <c r="AQ409" s="31" t="s">
        <v>144</v>
      </c>
      <c r="AR409" s="31" t="s">
        <v>144</v>
      </c>
      <c r="AS409" s="31"/>
      <c r="AT409" s="31"/>
      <c r="AU409" s="31"/>
    </row>
    <row r="410" spans="5:47" ht="15" customHeight="1" x14ac:dyDescent="0.25">
      <c r="E410" s="31" t="s">
        <v>136</v>
      </c>
      <c r="F410" s="31" t="s">
        <v>140</v>
      </c>
      <c r="G410" s="31" t="s">
        <v>195</v>
      </c>
      <c r="H410" s="31" t="s">
        <v>154</v>
      </c>
      <c r="I410" s="31" t="s">
        <v>481</v>
      </c>
      <c r="J410" s="31" t="s">
        <v>923</v>
      </c>
      <c r="K410" s="31" t="s">
        <v>930</v>
      </c>
      <c r="L410" s="31" t="s">
        <v>162</v>
      </c>
      <c r="M410" s="31" t="s">
        <v>144</v>
      </c>
      <c r="N410" s="31" t="s">
        <v>144</v>
      </c>
      <c r="O410" s="31" t="s">
        <v>144</v>
      </c>
      <c r="P410" s="31" t="s">
        <v>144</v>
      </c>
      <c r="Q410" s="31" t="s">
        <v>862</v>
      </c>
      <c r="R410" s="372" t="s">
        <v>312</v>
      </c>
      <c r="S410" s="31" t="s">
        <v>479</v>
      </c>
      <c r="T410" s="31" t="s">
        <v>480</v>
      </c>
      <c r="U410" s="31">
        <v>65</v>
      </c>
      <c r="V410" s="31" t="s">
        <v>144</v>
      </c>
      <c r="W410" s="31" t="s">
        <v>144</v>
      </c>
      <c r="X410" s="31" t="s">
        <v>144</v>
      </c>
      <c r="Y410" s="31"/>
      <c r="Z410" s="33">
        <v>1</v>
      </c>
      <c r="AA410" s="31" t="s">
        <v>144</v>
      </c>
      <c r="AB410" s="31" t="s">
        <v>144</v>
      </c>
      <c r="AC410" s="31" t="s">
        <v>144</v>
      </c>
      <c r="AD410" s="31" t="s">
        <v>144</v>
      </c>
      <c r="AE410" s="31" t="s">
        <v>144</v>
      </c>
      <c r="AF410" s="31" t="s">
        <v>144</v>
      </c>
      <c r="AG410" s="31"/>
      <c r="AH410" s="31" t="s">
        <v>190</v>
      </c>
      <c r="AI410" s="31" t="s">
        <v>196</v>
      </c>
      <c r="AJ410" s="31" t="s">
        <v>863</v>
      </c>
      <c r="AK410" s="31" t="s">
        <v>144</v>
      </c>
      <c r="AL410" s="31" t="s">
        <v>322</v>
      </c>
      <c r="AM410" s="31" t="s">
        <v>144</v>
      </c>
      <c r="AN410" s="31" t="s">
        <v>163</v>
      </c>
      <c r="AO410" s="31" t="s">
        <v>156</v>
      </c>
      <c r="AP410" s="31" t="s">
        <v>144</v>
      </c>
      <c r="AQ410" s="31" t="s">
        <v>144</v>
      </c>
      <c r="AR410" s="31" t="s">
        <v>144</v>
      </c>
      <c r="AS410" s="31"/>
      <c r="AT410" s="31"/>
      <c r="AU410" s="31"/>
    </row>
    <row r="411" spans="5:47" ht="15" customHeight="1" x14ac:dyDescent="0.25">
      <c r="E411" s="31" t="s">
        <v>136</v>
      </c>
      <c r="F411" s="31" t="s">
        <v>140</v>
      </c>
      <c r="G411" s="31" t="s">
        <v>195</v>
      </c>
      <c r="H411" s="31" t="s">
        <v>154</v>
      </c>
      <c r="I411" s="31" t="s">
        <v>481</v>
      </c>
      <c r="J411" s="31" t="s">
        <v>923</v>
      </c>
      <c r="K411" s="31" t="s">
        <v>931</v>
      </c>
      <c r="L411" s="31" t="s">
        <v>162</v>
      </c>
      <c r="M411" s="31" t="s">
        <v>144</v>
      </c>
      <c r="N411" s="31" t="s">
        <v>144</v>
      </c>
      <c r="O411" s="31" t="s">
        <v>144</v>
      </c>
      <c r="P411" s="31" t="s">
        <v>144</v>
      </c>
      <c r="Q411" s="31" t="s">
        <v>862</v>
      </c>
      <c r="R411" s="372" t="s">
        <v>312</v>
      </c>
      <c r="S411" s="31" t="s">
        <v>479</v>
      </c>
      <c r="T411" s="31" t="s">
        <v>480</v>
      </c>
      <c r="U411" s="31">
        <v>65</v>
      </c>
      <c r="V411" s="31" t="s">
        <v>144</v>
      </c>
      <c r="W411" s="31" t="s">
        <v>144</v>
      </c>
      <c r="X411" s="31" t="s">
        <v>144</v>
      </c>
      <c r="Y411" s="31"/>
      <c r="Z411" s="33">
        <v>1</v>
      </c>
      <c r="AA411" s="31" t="s">
        <v>144</v>
      </c>
      <c r="AB411" s="31" t="s">
        <v>144</v>
      </c>
      <c r="AC411" s="31" t="s">
        <v>144</v>
      </c>
      <c r="AD411" s="31" t="s">
        <v>144</v>
      </c>
      <c r="AE411" s="31" t="s">
        <v>144</v>
      </c>
      <c r="AF411" s="31" t="s">
        <v>144</v>
      </c>
      <c r="AG411" s="31"/>
      <c r="AH411" s="31" t="s">
        <v>190</v>
      </c>
      <c r="AI411" s="31" t="s">
        <v>196</v>
      </c>
      <c r="AJ411" s="31" t="s">
        <v>863</v>
      </c>
      <c r="AK411" s="31" t="s">
        <v>144</v>
      </c>
      <c r="AL411" s="31" t="s">
        <v>322</v>
      </c>
      <c r="AM411" s="31" t="s">
        <v>144</v>
      </c>
      <c r="AN411" s="31" t="s">
        <v>163</v>
      </c>
      <c r="AO411" s="31" t="s">
        <v>156</v>
      </c>
      <c r="AP411" s="31" t="s">
        <v>144</v>
      </c>
      <c r="AQ411" s="31" t="s">
        <v>144</v>
      </c>
      <c r="AR411" s="31" t="s">
        <v>144</v>
      </c>
      <c r="AS411" s="31"/>
      <c r="AT411" s="31"/>
      <c r="AU411" s="31"/>
    </row>
    <row r="412" spans="5:47" ht="15" customHeight="1" x14ac:dyDescent="0.25">
      <c r="E412" s="31" t="s">
        <v>136</v>
      </c>
      <c r="F412" s="31" t="s">
        <v>140</v>
      </c>
      <c r="G412" s="31" t="s">
        <v>195</v>
      </c>
      <c r="H412" s="31" t="s">
        <v>154</v>
      </c>
      <c r="I412" s="31" t="s">
        <v>481</v>
      </c>
      <c r="J412" s="31" t="s">
        <v>923</v>
      </c>
      <c r="K412" s="31" t="s">
        <v>932</v>
      </c>
      <c r="L412" s="31" t="s">
        <v>162</v>
      </c>
      <c r="M412" s="31" t="s">
        <v>144</v>
      </c>
      <c r="N412" s="31" t="s">
        <v>144</v>
      </c>
      <c r="O412" s="31" t="s">
        <v>144</v>
      </c>
      <c r="P412" s="31" t="s">
        <v>144</v>
      </c>
      <c r="Q412" s="31" t="s">
        <v>862</v>
      </c>
      <c r="R412" s="372" t="s">
        <v>312</v>
      </c>
      <c r="S412" s="31" t="s">
        <v>479</v>
      </c>
      <c r="T412" s="31" t="s">
        <v>480</v>
      </c>
      <c r="U412" s="31">
        <v>65</v>
      </c>
      <c r="V412" s="31" t="s">
        <v>144</v>
      </c>
      <c r="W412" s="31" t="s">
        <v>144</v>
      </c>
      <c r="X412" s="31" t="s">
        <v>144</v>
      </c>
      <c r="Y412" s="31"/>
      <c r="Z412" s="33">
        <v>1</v>
      </c>
      <c r="AA412" s="31" t="s">
        <v>144</v>
      </c>
      <c r="AB412" s="31" t="s">
        <v>144</v>
      </c>
      <c r="AC412" s="31" t="s">
        <v>144</v>
      </c>
      <c r="AD412" s="31" t="s">
        <v>144</v>
      </c>
      <c r="AE412" s="31" t="s">
        <v>144</v>
      </c>
      <c r="AF412" s="31" t="s">
        <v>144</v>
      </c>
      <c r="AG412" s="31"/>
      <c r="AH412" s="31" t="s">
        <v>190</v>
      </c>
      <c r="AI412" s="31" t="s">
        <v>196</v>
      </c>
      <c r="AJ412" s="31" t="s">
        <v>863</v>
      </c>
      <c r="AK412" s="31" t="s">
        <v>144</v>
      </c>
      <c r="AL412" s="31" t="s">
        <v>322</v>
      </c>
      <c r="AM412" s="31" t="s">
        <v>144</v>
      </c>
      <c r="AN412" s="31" t="s">
        <v>163</v>
      </c>
      <c r="AO412" s="31" t="s">
        <v>156</v>
      </c>
      <c r="AP412" s="31" t="s">
        <v>144</v>
      </c>
      <c r="AQ412" s="31" t="s">
        <v>144</v>
      </c>
      <c r="AR412" s="31" t="s">
        <v>144</v>
      </c>
      <c r="AS412" s="31"/>
      <c r="AT412" s="31"/>
      <c r="AU412" s="31"/>
    </row>
    <row r="413" spans="5:47" ht="15" customHeight="1" x14ac:dyDescent="0.25">
      <c r="E413" s="31" t="s">
        <v>136</v>
      </c>
      <c r="F413" s="31" t="s">
        <v>140</v>
      </c>
      <c r="G413" s="31" t="s">
        <v>195</v>
      </c>
      <c r="H413" s="31" t="s">
        <v>154</v>
      </c>
      <c r="I413" s="31" t="s">
        <v>481</v>
      </c>
      <c r="J413" s="31" t="s">
        <v>923</v>
      </c>
      <c r="K413" s="31" t="s">
        <v>933</v>
      </c>
      <c r="L413" s="31" t="s">
        <v>162</v>
      </c>
      <c r="M413" s="31" t="s">
        <v>144</v>
      </c>
      <c r="N413" s="31" t="s">
        <v>144</v>
      </c>
      <c r="O413" s="31" t="s">
        <v>144</v>
      </c>
      <c r="P413" s="31" t="s">
        <v>144</v>
      </c>
      <c r="Q413" s="31" t="s">
        <v>862</v>
      </c>
      <c r="R413" s="372" t="s">
        <v>312</v>
      </c>
      <c r="S413" s="31" t="s">
        <v>479</v>
      </c>
      <c r="T413" s="31" t="s">
        <v>480</v>
      </c>
      <c r="U413" s="31">
        <v>65</v>
      </c>
      <c r="V413" s="31" t="s">
        <v>144</v>
      </c>
      <c r="W413" s="31" t="s">
        <v>144</v>
      </c>
      <c r="X413" s="31" t="s">
        <v>144</v>
      </c>
      <c r="Y413" s="31"/>
      <c r="Z413" s="33">
        <v>1</v>
      </c>
      <c r="AA413" s="31" t="s">
        <v>144</v>
      </c>
      <c r="AB413" s="31" t="s">
        <v>144</v>
      </c>
      <c r="AC413" s="31" t="s">
        <v>144</v>
      </c>
      <c r="AD413" s="31" t="s">
        <v>144</v>
      </c>
      <c r="AE413" s="31" t="s">
        <v>144</v>
      </c>
      <c r="AF413" s="31" t="s">
        <v>144</v>
      </c>
      <c r="AG413" s="31"/>
      <c r="AH413" s="31" t="s">
        <v>190</v>
      </c>
      <c r="AI413" s="31" t="s">
        <v>196</v>
      </c>
      <c r="AJ413" s="31" t="s">
        <v>863</v>
      </c>
      <c r="AK413" s="31" t="s">
        <v>144</v>
      </c>
      <c r="AL413" s="31" t="s">
        <v>322</v>
      </c>
      <c r="AM413" s="31" t="s">
        <v>144</v>
      </c>
      <c r="AN413" s="31" t="s">
        <v>163</v>
      </c>
      <c r="AO413" s="31" t="s">
        <v>156</v>
      </c>
      <c r="AP413" s="31" t="s">
        <v>144</v>
      </c>
      <c r="AQ413" s="31" t="s">
        <v>144</v>
      </c>
      <c r="AR413" s="31" t="s">
        <v>144</v>
      </c>
      <c r="AS413" s="31"/>
      <c r="AT413" s="31"/>
      <c r="AU413" s="31"/>
    </row>
    <row r="414" spans="5:47" ht="15" customHeight="1" x14ac:dyDescent="0.25">
      <c r="E414" s="31" t="s">
        <v>136</v>
      </c>
      <c r="F414" s="31" t="s">
        <v>140</v>
      </c>
      <c r="G414" s="31" t="s">
        <v>195</v>
      </c>
      <c r="H414" s="31" t="s">
        <v>154</v>
      </c>
      <c r="I414" s="31" t="s">
        <v>481</v>
      </c>
      <c r="J414" s="31" t="s">
        <v>923</v>
      </c>
      <c r="K414" s="31" t="s">
        <v>934</v>
      </c>
      <c r="L414" s="31" t="s">
        <v>162</v>
      </c>
      <c r="M414" s="31" t="s">
        <v>144</v>
      </c>
      <c r="N414" s="31" t="s">
        <v>144</v>
      </c>
      <c r="O414" s="31" t="s">
        <v>144</v>
      </c>
      <c r="P414" s="31" t="s">
        <v>144</v>
      </c>
      <c r="Q414" s="31" t="s">
        <v>862</v>
      </c>
      <c r="R414" s="372" t="s">
        <v>312</v>
      </c>
      <c r="S414" s="31" t="s">
        <v>479</v>
      </c>
      <c r="T414" s="31" t="s">
        <v>480</v>
      </c>
      <c r="U414" s="31">
        <v>65</v>
      </c>
      <c r="V414" s="31" t="s">
        <v>144</v>
      </c>
      <c r="W414" s="31" t="s">
        <v>144</v>
      </c>
      <c r="X414" s="31" t="s">
        <v>144</v>
      </c>
      <c r="Y414" s="31"/>
      <c r="Z414" s="33">
        <v>1</v>
      </c>
      <c r="AA414" s="31" t="s">
        <v>144</v>
      </c>
      <c r="AB414" s="31" t="s">
        <v>144</v>
      </c>
      <c r="AC414" s="31" t="s">
        <v>144</v>
      </c>
      <c r="AD414" s="31" t="s">
        <v>144</v>
      </c>
      <c r="AE414" s="31" t="s">
        <v>144</v>
      </c>
      <c r="AF414" s="31" t="s">
        <v>144</v>
      </c>
      <c r="AG414" s="31"/>
      <c r="AH414" s="31" t="s">
        <v>190</v>
      </c>
      <c r="AI414" s="31" t="s">
        <v>196</v>
      </c>
      <c r="AJ414" s="31" t="s">
        <v>863</v>
      </c>
      <c r="AK414" s="31" t="s">
        <v>144</v>
      </c>
      <c r="AL414" s="31" t="s">
        <v>322</v>
      </c>
      <c r="AM414" s="31" t="s">
        <v>144</v>
      </c>
      <c r="AN414" s="31" t="s">
        <v>163</v>
      </c>
      <c r="AO414" s="31" t="s">
        <v>156</v>
      </c>
      <c r="AP414" s="31" t="s">
        <v>144</v>
      </c>
      <c r="AQ414" s="31" t="s">
        <v>144</v>
      </c>
      <c r="AR414" s="31" t="s">
        <v>144</v>
      </c>
      <c r="AS414" s="31"/>
      <c r="AT414" s="31"/>
      <c r="AU414" s="31"/>
    </row>
    <row r="415" spans="5:47" ht="15" customHeight="1" x14ac:dyDescent="0.25">
      <c r="E415" s="31" t="s">
        <v>136</v>
      </c>
      <c r="F415" s="31" t="s">
        <v>140</v>
      </c>
      <c r="G415" s="31" t="s">
        <v>195</v>
      </c>
      <c r="H415" s="31" t="s">
        <v>154</v>
      </c>
      <c r="I415" s="31" t="s">
        <v>481</v>
      </c>
      <c r="J415" s="31" t="s">
        <v>923</v>
      </c>
      <c r="K415" s="31" t="s">
        <v>935</v>
      </c>
      <c r="L415" s="31" t="s">
        <v>162</v>
      </c>
      <c r="M415" s="31" t="s">
        <v>144</v>
      </c>
      <c r="N415" s="31" t="s">
        <v>144</v>
      </c>
      <c r="O415" s="31" t="s">
        <v>144</v>
      </c>
      <c r="P415" s="31" t="s">
        <v>144</v>
      </c>
      <c r="Q415" s="31" t="s">
        <v>862</v>
      </c>
      <c r="R415" s="372" t="s">
        <v>312</v>
      </c>
      <c r="S415" s="31" t="s">
        <v>479</v>
      </c>
      <c r="T415" s="31" t="s">
        <v>480</v>
      </c>
      <c r="U415" s="31">
        <v>65</v>
      </c>
      <c r="V415" s="31" t="s">
        <v>144</v>
      </c>
      <c r="W415" s="31" t="s">
        <v>144</v>
      </c>
      <c r="X415" s="31" t="s">
        <v>144</v>
      </c>
      <c r="Y415" s="31"/>
      <c r="Z415" s="33">
        <v>1</v>
      </c>
      <c r="AA415" s="31" t="s">
        <v>144</v>
      </c>
      <c r="AB415" s="31" t="s">
        <v>144</v>
      </c>
      <c r="AC415" s="31" t="s">
        <v>144</v>
      </c>
      <c r="AD415" s="31" t="s">
        <v>144</v>
      </c>
      <c r="AE415" s="31" t="s">
        <v>144</v>
      </c>
      <c r="AF415" s="31" t="s">
        <v>144</v>
      </c>
      <c r="AG415" s="31"/>
      <c r="AH415" s="31" t="s">
        <v>190</v>
      </c>
      <c r="AI415" s="31" t="s">
        <v>196</v>
      </c>
      <c r="AJ415" s="31" t="s">
        <v>863</v>
      </c>
      <c r="AK415" s="31" t="s">
        <v>144</v>
      </c>
      <c r="AL415" s="31" t="s">
        <v>322</v>
      </c>
      <c r="AM415" s="31" t="s">
        <v>144</v>
      </c>
      <c r="AN415" s="31" t="s">
        <v>163</v>
      </c>
      <c r="AO415" s="31" t="s">
        <v>156</v>
      </c>
      <c r="AP415" s="31" t="s">
        <v>144</v>
      </c>
      <c r="AQ415" s="31" t="s">
        <v>144</v>
      </c>
      <c r="AR415" s="31" t="s">
        <v>144</v>
      </c>
      <c r="AS415" s="31"/>
      <c r="AT415" s="31"/>
      <c r="AU415" s="31"/>
    </row>
    <row r="416" spans="5:47" ht="15" customHeight="1" x14ac:dyDescent="0.25">
      <c r="E416" s="31" t="s">
        <v>136</v>
      </c>
      <c r="F416" s="31" t="s">
        <v>140</v>
      </c>
      <c r="G416" s="31" t="s">
        <v>195</v>
      </c>
      <c r="H416" s="31" t="s">
        <v>154</v>
      </c>
      <c r="I416" s="31" t="s">
        <v>481</v>
      </c>
      <c r="J416" s="31" t="s">
        <v>923</v>
      </c>
      <c r="K416" s="31" t="s">
        <v>936</v>
      </c>
      <c r="L416" s="31" t="s">
        <v>162</v>
      </c>
      <c r="M416" s="31" t="s">
        <v>144</v>
      </c>
      <c r="N416" s="31" t="s">
        <v>144</v>
      </c>
      <c r="O416" s="31" t="s">
        <v>144</v>
      </c>
      <c r="P416" s="31" t="s">
        <v>144</v>
      </c>
      <c r="Q416" s="31" t="s">
        <v>862</v>
      </c>
      <c r="R416" s="372" t="s">
        <v>312</v>
      </c>
      <c r="S416" s="31" t="s">
        <v>479</v>
      </c>
      <c r="T416" s="31" t="s">
        <v>480</v>
      </c>
      <c r="U416" s="31">
        <v>65</v>
      </c>
      <c r="V416" s="31" t="s">
        <v>144</v>
      </c>
      <c r="W416" s="31" t="s">
        <v>144</v>
      </c>
      <c r="X416" s="31" t="s">
        <v>144</v>
      </c>
      <c r="Y416" s="31"/>
      <c r="Z416" s="33">
        <v>1</v>
      </c>
      <c r="AA416" s="31" t="s">
        <v>144</v>
      </c>
      <c r="AB416" s="31" t="s">
        <v>144</v>
      </c>
      <c r="AC416" s="31" t="s">
        <v>144</v>
      </c>
      <c r="AD416" s="31" t="s">
        <v>144</v>
      </c>
      <c r="AE416" s="31" t="s">
        <v>144</v>
      </c>
      <c r="AF416" s="31" t="s">
        <v>144</v>
      </c>
      <c r="AG416" s="31"/>
      <c r="AH416" s="31" t="s">
        <v>190</v>
      </c>
      <c r="AI416" s="31" t="s">
        <v>196</v>
      </c>
      <c r="AJ416" s="31" t="s">
        <v>863</v>
      </c>
      <c r="AK416" s="31" t="s">
        <v>144</v>
      </c>
      <c r="AL416" s="31" t="s">
        <v>322</v>
      </c>
      <c r="AM416" s="31" t="s">
        <v>144</v>
      </c>
      <c r="AN416" s="31" t="s">
        <v>163</v>
      </c>
      <c r="AO416" s="31" t="s">
        <v>156</v>
      </c>
      <c r="AP416" s="31" t="s">
        <v>144</v>
      </c>
      <c r="AQ416" s="31" t="s">
        <v>144</v>
      </c>
      <c r="AR416" s="31" t="s">
        <v>144</v>
      </c>
      <c r="AS416" s="31"/>
      <c r="AT416" s="31"/>
      <c r="AU416" s="31"/>
    </row>
    <row r="417" spans="5:47" ht="15" customHeight="1" x14ac:dyDescent="0.25"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72"/>
      <c r="S417" s="31"/>
      <c r="T417" s="31"/>
      <c r="U417" s="31"/>
      <c r="V417" s="31"/>
      <c r="W417" s="31"/>
      <c r="X417" s="31"/>
      <c r="Y417" s="31"/>
      <c r="Z417" s="33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</row>
    <row r="418" spans="5:47" ht="15" customHeight="1" x14ac:dyDescent="0.25"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72"/>
      <c r="S418" s="31"/>
      <c r="T418" s="31"/>
      <c r="U418" s="31"/>
      <c r="V418" s="31"/>
      <c r="W418" s="31"/>
      <c r="X418" s="31"/>
      <c r="Y418" s="31"/>
      <c r="Z418" s="33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</row>
    <row r="419" spans="5:47" ht="15" customHeight="1" x14ac:dyDescent="0.25">
      <c r="E419" s="31" t="s">
        <v>136</v>
      </c>
      <c r="F419" s="31" t="s">
        <v>140</v>
      </c>
      <c r="G419" s="31" t="s">
        <v>195</v>
      </c>
      <c r="H419" s="31" t="s">
        <v>154</v>
      </c>
      <c r="I419" s="31" t="s">
        <v>481</v>
      </c>
      <c r="J419" s="31" t="s">
        <v>937</v>
      </c>
      <c r="K419" s="31" t="s">
        <v>938</v>
      </c>
      <c r="L419" s="31" t="s">
        <v>162</v>
      </c>
      <c r="M419" s="31" t="s">
        <v>144</v>
      </c>
      <c r="N419" s="31" t="s">
        <v>144</v>
      </c>
      <c r="O419" s="31" t="s">
        <v>144</v>
      </c>
      <c r="P419" s="31" t="s">
        <v>144</v>
      </c>
      <c r="Q419" s="31" t="s">
        <v>862</v>
      </c>
      <c r="R419" s="372" t="s">
        <v>312</v>
      </c>
      <c r="S419" s="31" t="s">
        <v>479</v>
      </c>
      <c r="T419" s="31" t="s">
        <v>480</v>
      </c>
      <c r="U419" s="31">
        <v>65</v>
      </c>
      <c r="V419" s="31" t="s">
        <v>144</v>
      </c>
      <c r="W419" s="31" t="s">
        <v>144</v>
      </c>
      <c r="X419" s="31" t="s">
        <v>144</v>
      </c>
      <c r="Y419" s="31"/>
      <c r="Z419" s="33">
        <v>1</v>
      </c>
      <c r="AA419" s="31" t="s">
        <v>144</v>
      </c>
      <c r="AB419" s="31" t="s">
        <v>144</v>
      </c>
      <c r="AC419" s="31" t="s">
        <v>144</v>
      </c>
      <c r="AD419" s="31" t="s">
        <v>144</v>
      </c>
      <c r="AE419" s="31" t="s">
        <v>144</v>
      </c>
      <c r="AF419" s="31" t="s">
        <v>144</v>
      </c>
      <c r="AG419" s="31"/>
      <c r="AH419" s="31" t="s">
        <v>190</v>
      </c>
      <c r="AI419" s="31" t="s">
        <v>196</v>
      </c>
      <c r="AJ419" s="31" t="s">
        <v>863</v>
      </c>
      <c r="AK419" s="31" t="s">
        <v>144</v>
      </c>
      <c r="AL419" s="31" t="s">
        <v>322</v>
      </c>
      <c r="AM419" s="31" t="s">
        <v>144</v>
      </c>
      <c r="AN419" s="31" t="s">
        <v>163</v>
      </c>
      <c r="AO419" s="31" t="s">
        <v>156</v>
      </c>
      <c r="AP419" s="31" t="s">
        <v>144</v>
      </c>
      <c r="AQ419" s="31" t="s">
        <v>144</v>
      </c>
      <c r="AR419" s="31" t="s">
        <v>144</v>
      </c>
      <c r="AS419" s="31"/>
      <c r="AT419" s="31"/>
      <c r="AU419" s="31"/>
    </row>
    <row r="420" spans="5:47" ht="15" customHeight="1" x14ac:dyDescent="0.25">
      <c r="E420" s="31" t="s">
        <v>136</v>
      </c>
      <c r="F420" s="31" t="s">
        <v>140</v>
      </c>
      <c r="G420" s="31" t="s">
        <v>195</v>
      </c>
      <c r="H420" s="31" t="s">
        <v>154</v>
      </c>
      <c r="I420" s="31" t="s">
        <v>481</v>
      </c>
      <c r="J420" s="31" t="s">
        <v>937</v>
      </c>
      <c r="K420" s="31" t="s">
        <v>939</v>
      </c>
      <c r="L420" s="31" t="s">
        <v>162</v>
      </c>
      <c r="M420" s="31" t="s">
        <v>144</v>
      </c>
      <c r="N420" s="31" t="s">
        <v>144</v>
      </c>
      <c r="O420" s="31" t="s">
        <v>144</v>
      </c>
      <c r="P420" s="31" t="s">
        <v>144</v>
      </c>
      <c r="Q420" s="31" t="s">
        <v>862</v>
      </c>
      <c r="R420" s="372" t="s">
        <v>312</v>
      </c>
      <c r="S420" s="31" t="s">
        <v>479</v>
      </c>
      <c r="T420" s="31" t="s">
        <v>480</v>
      </c>
      <c r="U420" s="31">
        <v>65</v>
      </c>
      <c r="V420" s="31" t="s">
        <v>144</v>
      </c>
      <c r="W420" s="31" t="s">
        <v>144</v>
      </c>
      <c r="X420" s="31" t="s">
        <v>144</v>
      </c>
      <c r="Y420" s="31"/>
      <c r="Z420" s="33">
        <v>1</v>
      </c>
      <c r="AA420" s="31" t="s">
        <v>144</v>
      </c>
      <c r="AB420" s="31" t="s">
        <v>144</v>
      </c>
      <c r="AC420" s="31" t="s">
        <v>144</v>
      </c>
      <c r="AD420" s="31" t="s">
        <v>144</v>
      </c>
      <c r="AE420" s="31" t="s">
        <v>144</v>
      </c>
      <c r="AF420" s="31" t="s">
        <v>144</v>
      </c>
      <c r="AG420" s="31"/>
      <c r="AH420" s="31" t="s">
        <v>190</v>
      </c>
      <c r="AI420" s="31" t="s">
        <v>196</v>
      </c>
      <c r="AJ420" s="31" t="s">
        <v>863</v>
      </c>
      <c r="AK420" s="31" t="s">
        <v>144</v>
      </c>
      <c r="AL420" s="31" t="s">
        <v>322</v>
      </c>
      <c r="AM420" s="31" t="s">
        <v>144</v>
      </c>
      <c r="AN420" s="31" t="s">
        <v>163</v>
      </c>
      <c r="AO420" s="31" t="s">
        <v>156</v>
      </c>
      <c r="AP420" s="31" t="s">
        <v>144</v>
      </c>
      <c r="AQ420" s="31" t="s">
        <v>144</v>
      </c>
      <c r="AR420" s="31" t="s">
        <v>144</v>
      </c>
      <c r="AS420" s="31"/>
      <c r="AT420" s="31"/>
      <c r="AU420" s="31"/>
    </row>
    <row r="421" spans="5:47" ht="15" customHeight="1" x14ac:dyDescent="0.25">
      <c r="E421" s="31" t="s">
        <v>136</v>
      </c>
      <c r="F421" s="31" t="s">
        <v>140</v>
      </c>
      <c r="G421" s="31" t="s">
        <v>195</v>
      </c>
      <c r="H421" s="31" t="s">
        <v>154</v>
      </c>
      <c r="I421" s="31" t="s">
        <v>481</v>
      </c>
      <c r="J421" s="31" t="s">
        <v>937</v>
      </c>
      <c r="K421" s="31" t="s">
        <v>940</v>
      </c>
      <c r="L421" s="31" t="s">
        <v>162</v>
      </c>
      <c r="M421" s="31" t="s">
        <v>144</v>
      </c>
      <c r="N421" s="31" t="s">
        <v>144</v>
      </c>
      <c r="O421" s="31" t="s">
        <v>144</v>
      </c>
      <c r="P421" s="31" t="s">
        <v>144</v>
      </c>
      <c r="Q421" s="31" t="s">
        <v>862</v>
      </c>
      <c r="R421" s="372" t="s">
        <v>312</v>
      </c>
      <c r="S421" s="31" t="s">
        <v>479</v>
      </c>
      <c r="T421" s="31" t="s">
        <v>480</v>
      </c>
      <c r="U421" s="31">
        <v>65</v>
      </c>
      <c r="V421" s="31" t="s">
        <v>144</v>
      </c>
      <c r="W421" s="31" t="s">
        <v>144</v>
      </c>
      <c r="X421" s="31" t="s">
        <v>144</v>
      </c>
      <c r="Y421" s="31"/>
      <c r="Z421" s="33">
        <v>1</v>
      </c>
      <c r="AA421" s="31" t="s">
        <v>144</v>
      </c>
      <c r="AB421" s="31" t="s">
        <v>144</v>
      </c>
      <c r="AC421" s="31" t="s">
        <v>144</v>
      </c>
      <c r="AD421" s="31" t="s">
        <v>144</v>
      </c>
      <c r="AE421" s="31" t="s">
        <v>144</v>
      </c>
      <c r="AF421" s="31" t="s">
        <v>144</v>
      </c>
      <c r="AG421" s="31"/>
      <c r="AH421" s="31" t="s">
        <v>190</v>
      </c>
      <c r="AI421" s="31" t="s">
        <v>196</v>
      </c>
      <c r="AJ421" s="31" t="s">
        <v>863</v>
      </c>
      <c r="AK421" s="31" t="s">
        <v>144</v>
      </c>
      <c r="AL421" s="31" t="s">
        <v>322</v>
      </c>
      <c r="AM421" s="31" t="s">
        <v>144</v>
      </c>
      <c r="AN421" s="31" t="s">
        <v>163</v>
      </c>
      <c r="AO421" s="31" t="s">
        <v>156</v>
      </c>
      <c r="AP421" s="31" t="s">
        <v>144</v>
      </c>
      <c r="AQ421" s="31" t="s">
        <v>144</v>
      </c>
      <c r="AR421" s="31" t="s">
        <v>144</v>
      </c>
      <c r="AS421" s="31"/>
      <c r="AT421" s="31"/>
      <c r="AU421" s="31"/>
    </row>
    <row r="422" spans="5:47" ht="15" customHeight="1" x14ac:dyDescent="0.25">
      <c r="E422" s="31" t="s">
        <v>136</v>
      </c>
      <c r="F422" s="31" t="s">
        <v>140</v>
      </c>
      <c r="G422" s="31" t="s">
        <v>195</v>
      </c>
      <c r="H422" s="31" t="s">
        <v>154</v>
      </c>
      <c r="I422" s="31" t="s">
        <v>481</v>
      </c>
      <c r="J422" s="31" t="s">
        <v>937</v>
      </c>
      <c r="K422" s="31" t="s">
        <v>941</v>
      </c>
      <c r="L422" s="31" t="s">
        <v>162</v>
      </c>
      <c r="M422" s="31" t="s">
        <v>144</v>
      </c>
      <c r="N422" s="31" t="s">
        <v>144</v>
      </c>
      <c r="O422" s="31" t="s">
        <v>144</v>
      </c>
      <c r="P422" s="31" t="s">
        <v>144</v>
      </c>
      <c r="Q422" s="31" t="s">
        <v>862</v>
      </c>
      <c r="R422" s="372" t="s">
        <v>312</v>
      </c>
      <c r="S422" s="31" t="s">
        <v>479</v>
      </c>
      <c r="T422" s="31" t="s">
        <v>480</v>
      </c>
      <c r="U422" s="31">
        <v>65</v>
      </c>
      <c r="V422" s="31" t="s">
        <v>144</v>
      </c>
      <c r="W422" s="31" t="s">
        <v>144</v>
      </c>
      <c r="X422" s="31" t="s">
        <v>144</v>
      </c>
      <c r="Y422" s="31"/>
      <c r="Z422" s="33">
        <v>1</v>
      </c>
      <c r="AA422" s="31" t="s">
        <v>144</v>
      </c>
      <c r="AB422" s="31" t="s">
        <v>144</v>
      </c>
      <c r="AC422" s="31" t="s">
        <v>144</v>
      </c>
      <c r="AD422" s="31" t="s">
        <v>144</v>
      </c>
      <c r="AE422" s="31" t="s">
        <v>144</v>
      </c>
      <c r="AF422" s="31" t="s">
        <v>144</v>
      </c>
      <c r="AG422" s="31"/>
      <c r="AH422" s="31" t="s">
        <v>190</v>
      </c>
      <c r="AI422" s="31" t="s">
        <v>196</v>
      </c>
      <c r="AJ422" s="31" t="s">
        <v>863</v>
      </c>
      <c r="AK422" s="31" t="s">
        <v>144</v>
      </c>
      <c r="AL422" s="31" t="s">
        <v>322</v>
      </c>
      <c r="AM422" s="31" t="s">
        <v>144</v>
      </c>
      <c r="AN422" s="31" t="s">
        <v>163</v>
      </c>
      <c r="AO422" s="31" t="s">
        <v>156</v>
      </c>
      <c r="AP422" s="31" t="s">
        <v>144</v>
      </c>
      <c r="AQ422" s="31" t="s">
        <v>144</v>
      </c>
      <c r="AR422" s="31" t="s">
        <v>144</v>
      </c>
      <c r="AS422" s="31"/>
      <c r="AT422" s="31"/>
      <c r="AU422" s="31"/>
    </row>
    <row r="423" spans="5:47" ht="15" customHeight="1" x14ac:dyDescent="0.25">
      <c r="E423" s="31" t="s">
        <v>136</v>
      </c>
      <c r="F423" s="31" t="s">
        <v>140</v>
      </c>
      <c r="G423" s="31" t="s">
        <v>195</v>
      </c>
      <c r="H423" s="31" t="s">
        <v>154</v>
      </c>
      <c r="I423" s="31" t="s">
        <v>481</v>
      </c>
      <c r="J423" s="31" t="s">
        <v>937</v>
      </c>
      <c r="K423" s="31" t="s">
        <v>942</v>
      </c>
      <c r="L423" s="31" t="s">
        <v>162</v>
      </c>
      <c r="M423" s="31" t="s">
        <v>144</v>
      </c>
      <c r="N423" s="31" t="s">
        <v>144</v>
      </c>
      <c r="O423" s="31" t="s">
        <v>144</v>
      </c>
      <c r="P423" s="31" t="s">
        <v>144</v>
      </c>
      <c r="Q423" s="31" t="s">
        <v>862</v>
      </c>
      <c r="R423" s="372" t="s">
        <v>312</v>
      </c>
      <c r="S423" s="31" t="s">
        <v>479</v>
      </c>
      <c r="T423" s="31" t="s">
        <v>480</v>
      </c>
      <c r="U423" s="31">
        <v>65</v>
      </c>
      <c r="V423" s="31" t="s">
        <v>144</v>
      </c>
      <c r="W423" s="31" t="s">
        <v>144</v>
      </c>
      <c r="X423" s="31" t="s">
        <v>144</v>
      </c>
      <c r="Y423" s="31"/>
      <c r="Z423" s="33">
        <v>1</v>
      </c>
      <c r="AA423" s="31" t="s">
        <v>144</v>
      </c>
      <c r="AB423" s="31" t="s">
        <v>144</v>
      </c>
      <c r="AC423" s="31" t="s">
        <v>144</v>
      </c>
      <c r="AD423" s="31" t="s">
        <v>144</v>
      </c>
      <c r="AE423" s="31" t="s">
        <v>144</v>
      </c>
      <c r="AF423" s="31" t="s">
        <v>144</v>
      </c>
      <c r="AG423" s="31"/>
      <c r="AH423" s="31" t="s">
        <v>190</v>
      </c>
      <c r="AI423" s="31" t="s">
        <v>196</v>
      </c>
      <c r="AJ423" s="31" t="s">
        <v>863</v>
      </c>
      <c r="AK423" s="31" t="s">
        <v>144</v>
      </c>
      <c r="AL423" s="31" t="s">
        <v>322</v>
      </c>
      <c r="AM423" s="31" t="s">
        <v>144</v>
      </c>
      <c r="AN423" s="31" t="s">
        <v>163</v>
      </c>
      <c r="AO423" s="31" t="s">
        <v>156</v>
      </c>
      <c r="AP423" s="31" t="s">
        <v>144</v>
      </c>
      <c r="AQ423" s="31" t="s">
        <v>144</v>
      </c>
      <c r="AR423" s="31" t="s">
        <v>144</v>
      </c>
      <c r="AS423" s="31"/>
      <c r="AT423" s="31"/>
      <c r="AU423" s="31"/>
    </row>
    <row r="424" spans="5:47" ht="15" customHeight="1" x14ac:dyDescent="0.25">
      <c r="E424" s="31" t="s">
        <v>136</v>
      </c>
      <c r="F424" s="31" t="s">
        <v>140</v>
      </c>
      <c r="G424" s="31" t="s">
        <v>195</v>
      </c>
      <c r="H424" s="31" t="s">
        <v>154</v>
      </c>
      <c r="I424" s="31" t="s">
        <v>481</v>
      </c>
      <c r="J424" s="31" t="s">
        <v>937</v>
      </c>
      <c r="K424" s="31" t="s">
        <v>943</v>
      </c>
      <c r="L424" s="31" t="s">
        <v>162</v>
      </c>
      <c r="M424" s="31" t="s">
        <v>144</v>
      </c>
      <c r="N424" s="31" t="s">
        <v>144</v>
      </c>
      <c r="O424" s="31" t="s">
        <v>144</v>
      </c>
      <c r="P424" s="31" t="s">
        <v>144</v>
      </c>
      <c r="Q424" s="31" t="s">
        <v>862</v>
      </c>
      <c r="R424" s="372" t="s">
        <v>312</v>
      </c>
      <c r="S424" s="31" t="s">
        <v>479</v>
      </c>
      <c r="T424" s="31" t="s">
        <v>480</v>
      </c>
      <c r="U424" s="31">
        <v>65</v>
      </c>
      <c r="V424" s="31" t="s">
        <v>144</v>
      </c>
      <c r="W424" s="31" t="s">
        <v>144</v>
      </c>
      <c r="X424" s="31" t="s">
        <v>144</v>
      </c>
      <c r="Y424" s="31"/>
      <c r="Z424" s="33">
        <v>1</v>
      </c>
      <c r="AA424" s="31" t="s">
        <v>144</v>
      </c>
      <c r="AB424" s="31" t="s">
        <v>144</v>
      </c>
      <c r="AC424" s="31" t="s">
        <v>144</v>
      </c>
      <c r="AD424" s="31" t="s">
        <v>144</v>
      </c>
      <c r="AE424" s="31" t="s">
        <v>144</v>
      </c>
      <c r="AF424" s="31" t="s">
        <v>144</v>
      </c>
      <c r="AG424" s="31"/>
      <c r="AH424" s="31" t="s">
        <v>190</v>
      </c>
      <c r="AI424" s="31" t="s">
        <v>196</v>
      </c>
      <c r="AJ424" s="31" t="s">
        <v>863</v>
      </c>
      <c r="AK424" s="31" t="s">
        <v>144</v>
      </c>
      <c r="AL424" s="31" t="s">
        <v>322</v>
      </c>
      <c r="AM424" s="31" t="s">
        <v>144</v>
      </c>
      <c r="AN424" s="31" t="s">
        <v>163</v>
      </c>
      <c r="AO424" s="31" t="s">
        <v>156</v>
      </c>
      <c r="AP424" s="31" t="s">
        <v>144</v>
      </c>
      <c r="AQ424" s="31" t="s">
        <v>144</v>
      </c>
      <c r="AR424" s="31" t="s">
        <v>144</v>
      </c>
      <c r="AS424" s="31"/>
      <c r="AT424" s="31"/>
      <c r="AU424" s="31"/>
    </row>
    <row r="425" spans="5:47" ht="15" customHeight="1" x14ac:dyDescent="0.25"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72"/>
      <c r="S425" s="31"/>
      <c r="T425" s="31"/>
      <c r="U425" s="31"/>
      <c r="V425" s="31"/>
      <c r="W425" s="31"/>
      <c r="X425" s="31"/>
      <c r="Y425" s="31"/>
      <c r="Z425" s="33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</row>
    <row r="426" spans="5:47" ht="15" customHeight="1" x14ac:dyDescent="0.25"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72"/>
      <c r="S426" s="31"/>
      <c r="T426" s="31"/>
      <c r="U426" s="31"/>
      <c r="V426" s="31"/>
      <c r="W426" s="31"/>
      <c r="X426" s="31"/>
      <c r="Y426" s="31"/>
      <c r="Z426" s="33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</row>
    <row r="427" spans="5:47" ht="15" customHeight="1" x14ac:dyDescent="0.25">
      <c r="E427" s="31" t="s">
        <v>136</v>
      </c>
      <c r="F427" s="31" t="s">
        <v>140</v>
      </c>
      <c r="G427" s="31" t="s">
        <v>195</v>
      </c>
      <c r="H427" s="31" t="s">
        <v>154</v>
      </c>
      <c r="I427" s="31" t="s">
        <v>481</v>
      </c>
      <c r="J427" s="31" t="s">
        <v>944</v>
      </c>
      <c r="K427" s="31" t="s">
        <v>945</v>
      </c>
      <c r="L427" s="31" t="s">
        <v>162</v>
      </c>
      <c r="M427" s="31" t="s">
        <v>144</v>
      </c>
      <c r="N427" s="31" t="s">
        <v>144</v>
      </c>
      <c r="O427" s="31" t="s">
        <v>144</v>
      </c>
      <c r="P427" s="31" t="s">
        <v>144</v>
      </c>
      <c r="Q427" s="31" t="s">
        <v>862</v>
      </c>
      <c r="R427" s="372" t="s">
        <v>312</v>
      </c>
      <c r="S427" s="31" t="s">
        <v>479</v>
      </c>
      <c r="T427" s="31" t="s">
        <v>480</v>
      </c>
      <c r="U427" s="31">
        <v>65</v>
      </c>
      <c r="V427" s="31" t="s">
        <v>144</v>
      </c>
      <c r="W427" s="31" t="s">
        <v>144</v>
      </c>
      <c r="X427" s="31" t="s">
        <v>144</v>
      </c>
      <c r="Y427" s="31"/>
      <c r="Z427" s="33">
        <v>1</v>
      </c>
      <c r="AA427" s="31" t="s">
        <v>144</v>
      </c>
      <c r="AB427" s="31" t="s">
        <v>144</v>
      </c>
      <c r="AC427" s="31" t="s">
        <v>144</v>
      </c>
      <c r="AD427" s="31" t="s">
        <v>144</v>
      </c>
      <c r="AE427" s="31" t="s">
        <v>144</v>
      </c>
      <c r="AF427" s="31" t="s">
        <v>144</v>
      </c>
      <c r="AG427" s="31"/>
      <c r="AH427" s="31" t="s">
        <v>190</v>
      </c>
      <c r="AI427" s="31" t="s">
        <v>196</v>
      </c>
      <c r="AJ427" s="31" t="s">
        <v>863</v>
      </c>
      <c r="AK427" s="31" t="s">
        <v>144</v>
      </c>
      <c r="AL427" s="31" t="s">
        <v>322</v>
      </c>
      <c r="AM427" s="31" t="s">
        <v>144</v>
      </c>
      <c r="AN427" s="31" t="s">
        <v>163</v>
      </c>
      <c r="AO427" s="31" t="s">
        <v>156</v>
      </c>
      <c r="AP427" s="31" t="s">
        <v>144</v>
      </c>
      <c r="AQ427" s="31" t="s">
        <v>144</v>
      </c>
      <c r="AR427" s="31" t="s">
        <v>144</v>
      </c>
      <c r="AS427" s="31"/>
      <c r="AT427" s="31"/>
      <c r="AU427" s="31"/>
    </row>
    <row r="428" spans="5:47" ht="15" customHeight="1" x14ac:dyDescent="0.25">
      <c r="E428" s="31" t="s">
        <v>136</v>
      </c>
      <c r="F428" s="31" t="s">
        <v>140</v>
      </c>
      <c r="G428" s="31" t="s">
        <v>195</v>
      </c>
      <c r="H428" s="31" t="s">
        <v>154</v>
      </c>
      <c r="I428" s="31" t="s">
        <v>481</v>
      </c>
      <c r="J428" s="31" t="s">
        <v>944</v>
      </c>
      <c r="K428" s="31" t="s">
        <v>946</v>
      </c>
      <c r="L428" s="31" t="s">
        <v>162</v>
      </c>
      <c r="M428" s="31" t="s">
        <v>144</v>
      </c>
      <c r="N428" s="31" t="s">
        <v>144</v>
      </c>
      <c r="O428" s="31" t="s">
        <v>144</v>
      </c>
      <c r="P428" s="31" t="s">
        <v>144</v>
      </c>
      <c r="Q428" s="31" t="s">
        <v>862</v>
      </c>
      <c r="R428" s="372" t="s">
        <v>312</v>
      </c>
      <c r="S428" s="31" t="s">
        <v>479</v>
      </c>
      <c r="T428" s="31" t="s">
        <v>480</v>
      </c>
      <c r="U428" s="31">
        <v>65</v>
      </c>
      <c r="V428" s="31" t="s">
        <v>144</v>
      </c>
      <c r="W428" s="31" t="s">
        <v>144</v>
      </c>
      <c r="X428" s="31" t="s">
        <v>144</v>
      </c>
      <c r="Y428" s="31"/>
      <c r="Z428" s="33">
        <v>1</v>
      </c>
      <c r="AA428" s="31" t="s">
        <v>144</v>
      </c>
      <c r="AB428" s="31" t="s">
        <v>144</v>
      </c>
      <c r="AC428" s="31" t="s">
        <v>144</v>
      </c>
      <c r="AD428" s="31" t="s">
        <v>144</v>
      </c>
      <c r="AE428" s="31" t="s">
        <v>144</v>
      </c>
      <c r="AF428" s="31" t="s">
        <v>144</v>
      </c>
      <c r="AG428" s="31"/>
      <c r="AH428" s="31" t="s">
        <v>190</v>
      </c>
      <c r="AI428" s="31" t="s">
        <v>196</v>
      </c>
      <c r="AJ428" s="31" t="s">
        <v>863</v>
      </c>
      <c r="AK428" s="31" t="s">
        <v>144</v>
      </c>
      <c r="AL428" s="31" t="s">
        <v>322</v>
      </c>
      <c r="AM428" s="31" t="s">
        <v>144</v>
      </c>
      <c r="AN428" s="31" t="s">
        <v>163</v>
      </c>
      <c r="AO428" s="31" t="s">
        <v>156</v>
      </c>
      <c r="AP428" s="31" t="s">
        <v>144</v>
      </c>
      <c r="AQ428" s="31" t="s">
        <v>144</v>
      </c>
      <c r="AR428" s="31" t="s">
        <v>144</v>
      </c>
      <c r="AS428" s="31"/>
      <c r="AT428" s="31"/>
      <c r="AU428" s="31"/>
    </row>
    <row r="429" spans="5:47" ht="15" customHeight="1" x14ac:dyDescent="0.25">
      <c r="E429" s="31" t="s">
        <v>136</v>
      </c>
      <c r="F429" s="31" t="s">
        <v>140</v>
      </c>
      <c r="G429" s="31" t="s">
        <v>195</v>
      </c>
      <c r="H429" s="31" t="s">
        <v>154</v>
      </c>
      <c r="I429" s="31" t="s">
        <v>481</v>
      </c>
      <c r="J429" s="31" t="s">
        <v>944</v>
      </c>
      <c r="K429" s="31" t="s">
        <v>947</v>
      </c>
      <c r="L429" s="31" t="s">
        <v>162</v>
      </c>
      <c r="M429" s="31" t="s">
        <v>144</v>
      </c>
      <c r="N429" s="31" t="s">
        <v>144</v>
      </c>
      <c r="O429" s="31" t="s">
        <v>144</v>
      </c>
      <c r="P429" s="31" t="s">
        <v>144</v>
      </c>
      <c r="Q429" s="31" t="s">
        <v>862</v>
      </c>
      <c r="R429" s="372" t="s">
        <v>312</v>
      </c>
      <c r="S429" s="31" t="s">
        <v>479</v>
      </c>
      <c r="T429" s="31" t="s">
        <v>480</v>
      </c>
      <c r="U429" s="31">
        <v>65</v>
      </c>
      <c r="V429" s="31" t="s">
        <v>144</v>
      </c>
      <c r="W429" s="31" t="s">
        <v>144</v>
      </c>
      <c r="X429" s="31" t="s">
        <v>144</v>
      </c>
      <c r="Y429" s="31"/>
      <c r="Z429" s="33">
        <v>1</v>
      </c>
      <c r="AA429" s="31" t="s">
        <v>144</v>
      </c>
      <c r="AB429" s="31" t="s">
        <v>144</v>
      </c>
      <c r="AC429" s="31" t="s">
        <v>144</v>
      </c>
      <c r="AD429" s="31" t="s">
        <v>144</v>
      </c>
      <c r="AE429" s="31" t="s">
        <v>144</v>
      </c>
      <c r="AF429" s="31" t="s">
        <v>144</v>
      </c>
      <c r="AG429" s="31"/>
      <c r="AH429" s="31" t="s">
        <v>190</v>
      </c>
      <c r="AI429" s="31" t="s">
        <v>196</v>
      </c>
      <c r="AJ429" s="31" t="s">
        <v>863</v>
      </c>
      <c r="AK429" s="31" t="s">
        <v>144</v>
      </c>
      <c r="AL429" s="31" t="s">
        <v>322</v>
      </c>
      <c r="AM429" s="31" t="s">
        <v>144</v>
      </c>
      <c r="AN429" s="31" t="s">
        <v>163</v>
      </c>
      <c r="AO429" s="31" t="s">
        <v>156</v>
      </c>
      <c r="AP429" s="31" t="s">
        <v>144</v>
      </c>
      <c r="AQ429" s="31" t="s">
        <v>144</v>
      </c>
      <c r="AR429" s="31" t="s">
        <v>144</v>
      </c>
      <c r="AS429" s="31"/>
      <c r="AT429" s="31"/>
      <c r="AU429" s="31"/>
    </row>
    <row r="430" spans="5:47" ht="15" customHeight="1" x14ac:dyDescent="0.25">
      <c r="E430" s="31" t="s">
        <v>136</v>
      </c>
      <c r="F430" s="31" t="s">
        <v>140</v>
      </c>
      <c r="G430" s="31" t="s">
        <v>195</v>
      </c>
      <c r="H430" s="31" t="s">
        <v>154</v>
      </c>
      <c r="I430" s="31" t="s">
        <v>481</v>
      </c>
      <c r="J430" s="31" t="s">
        <v>944</v>
      </c>
      <c r="K430" s="31" t="s">
        <v>948</v>
      </c>
      <c r="L430" s="31" t="s">
        <v>162</v>
      </c>
      <c r="M430" s="31" t="s">
        <v>144</v>
      </c>
      <c r="N430" s="31" t="s">
        <v>144</v>
      </c>
      <c r="O430" s="31" t="s">
        <v>144</v>
      </c>
      <c r="P430" s="31" t="s">
        <v>144</v>
      </c>
      <c r="Q430" s="31" t="s">
        <v>862</v>
      </c>
      <c r="R430" s="372" t="s">
        <v>312</v>
      </c>
      <c r="S430" s="31" t="s">
        <v>479</v>
      </c>
      <c r="T430" s="31" t="s">
        <v>480</v>
      </c>
      <c r="U430" s="31">
        <v>65</v>
      </c>
      <c r="V430" s="31" t="s">
        <v>144</v>
      </c>
      <c r="W430" s="31" t="s">
        <v>144</v>
      </c>
      <c r="X430" s="31" t="s">
        <v>144</v>
      </c>
      <c r="Y430" s="31"/>
      <c r="Z430" s="33">
        <v>1</v>
      </c>
      <c r="AA430" s="31" t="s">
        <v>144</v>
      </c>
      <c r="AB430" s="31" t="s">
        <v>144</v>
      </c>
      <c r="AC430" s="31" t="s">
        <v>144</v>
      </c>
      <c r="AD430" s="31" t="s">
        <v>144</v>
      </c>
      <c r="AE430" s="31" t="s">
        <v>144</v>
      </c>
      <c r="AF430" s="31" t="s">
        <v>144</v>
      </c>
      <c r="AG430" s="31"/>
      <c r="AH430" s="31" t="s">
        <v>190</v>
      </c>
      <c r="AI430" s="31" t="s">
        <v>196</v>
      </c>
      <c r="AJ430" s="31" t="s">
        <v>863</v>
      </c>
      <c r="AK430" s="31" t="s">
        <v>144</v>
      </c>
      <c r="AL430" s="31" t="s">
        <v>322</v>
      </c>
      <c r="AM430" s="31" t="s">
        <v>144</v>
      </c>
      <c r="AN430" s="31" t="s">
        <v>163</v>
      </c>
      <c r="AO430" s="31" t="s">
        <v>156</v>
      </c>
      <c r="AP430" s="31" t="s">
        <v>144</v>
      </c>
      <c r="AQ430" s="31" t="s">
        <v>144</v>
      </c>
      <c r="AR430" s="31" t="s">
        <v>144</v>
      </c>
      <c r="AS430" s="31"/>
      <c r="AT430" s="31"/>
      <c r="AU430" s="31"/>
    </row>
    <row r="431" spans="5:47" ht="15" customHeight="1" x14ac:dyDescent="0.25"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3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95"/>
    </row>
    <row r="432" spans="5:47" ht="15" customHeight="1" x14ac:dyDescent="0.25">
      <c r="I432" s="31"/>
      <c r="J432" s="31"/>
      <c r="K432" s="31"/>
      <c r="L432" s="31"/>
    </row>
    <row r="433" spans="5:47" ht="15" customHeight="1" x14ac:dyDescent="0.25">
      <c r="E433" s="31" t="s">
        <v>137</v>
      </c>
      <c r="F433" s="31" t="s">
        <v>140</v>
      </c>
      <c r="G433" s="31" t="s">
        <v>377</v>
      </c>
      <c r="H433" s="31" t="s">
        <v>324</v>
      </c>
      <c r="I433" s="31" t="s">
        <v>481</v>
      </c>
      <c r="J433" s="31" t="s">
        <v>647</v>
      </c>
      <c r="K433" s="31" t="s">
        <v>949</v>
      </c>
      <c r="L433" s="31" t="s">
        <v>162</v>
      </c>
      <c r="M433" s="31" t="s">
        <v>144</v>
      </c>
      <c r="N433" s="31" t="s">
        <v>144</v>
      </c>
      <c r="O433" s="31" t="s">
        <v>144</v>
      </c>
      <c r="P433" s="31" t="s">
        <v>144</v>
      </c>
      <c r="Q433" s="31" t="s">
        <v>474</v>
      </c>
      <c r="R433" s="31" t="s">
        <v>443</v>
      </c>
      <c r="S433" s="31" t="s">
        <v>480</v>
      </c>
      <c r="T433" s="31" t="s">
        <v>478</v>
      </c>
      <c r="U433" s="31" t="s">
        <v>144</v>
      </c>
      <c r="V433" s="31" t="s">
        <v>144</v>
      </c>
      <c r="W433" s="31" t="s">
        <v>144</v>
      </c>
      <c r="X433" s="31" t="s">
        <v>144</v>
      </c>
      <c r="Y433" s="31"/>
      <c r="Z433" s="31" t="s">
        <v>144</v>
      </c>
      <c r="AA433" s="378">
        <v>16</v>
      </c>
      <c r="AB433" s="378">
        <v>15.5</v>
      </c>
      <c r="AC433" s="378">
        <v>0.3</v>
      </c>
      <c r="AD433" s="378">
        <v>0.2</v>
      </c>
      <c r="AE433" s="31">
        <v>1.3</v>
      </c>
      <c r="AF433" s="31">
        <v>28</v>
      </c>
      <c r="AG433" s="31" t="s">
        <v>191</v>
      </c>
      <c r="AH433" s="31" t="s">
        <v>144</v>
      </c>
      <c r="AI433" s="31" t="s">
        <v>144</v>
      </c>
      <c r="AJ433" s="31" t="s">
        <v>144</v>
      </c>
      <c r="AK433" s="31" t="s">
        <v>144</v>
      </c>
      <c r="AL433" s="31" t="s">
        <v>325</v>
      </c>
      <c r="AM433" s="31" t="s">
        <v>144</v>
      </c>
      <c r="AN433" s="31" t="s">
        <v>475</v>
      </c>
      <c r="AO433" s="31" t="s">
        <v>1324</v>
      </c>
      <c r="AP433" s="31" t="s">
        <v>144</v>
      </c>
      <c r="AQ433" s="31" t="s">
        <v>144</v>
      </c>
      <c r="AR433" s="31" t="s">
        <v>144</v>
      </c>
      <c r="AS433" s="31"/>
      <c r="AT433" s="31"/>
      <c r="AU433" s="31"/>
    </row>
    <row r="434" spans="5:47" ht="15" customHeight="1" x14ac:dyDescent="0.25">
      <c r="E434" s="31" t="s">
        <v>137</v>
      </c>
      <c r="F434" s="31" t="s">
        <v>140</v>
      </c>
      <c r="G434" s="31" t="s">
        <v>377</v>
      </c>
      <c r="H434" s="31" t="s">
        <v>324</v>
      </c>
      <c r="I434" s="31" t="s">
        <v>481</v>
      </c>
      <c r="J434" s="31" t="s">
        <v>647</v>
      </c>
      <c r="K434" s="31" t="s">
        <v>950</v>
      </c>
      <c r="L434" s="31" t="s">
        <v>162</v>
      </c>
      <c r="M434" s="31" t="s">
        <v>144</v>
      </c>
      <c r="N434" s="31" t="s">
        <v>144</v>
      </c>
      <c r="O434" s="31" t="s">
        <v>144</v>
      </c>
      <c r="P434" s="31" t="s">
        <v>144</v>
      </c>
      <c r="Q434" s="31" t="s">
        <v>474</v>
      </c>
      <c r="R434" s="31" t="s">
        <v>443</v>
      </c>
      <c r="S434" s="31" t="s">
        <v>480</v>
      </c>
      <c r="T434" s="31" t="s">
        <v>478</v>
      </c>
      <c r="U434" s="31" t="s">
        <v>144</v>
      </c>
      <c r="V434" s="31" t="s">
        <v>144</v>
      </c>
      <c r="W434" s="31" t="s">
        <v>144</v>
      </c>
      <c r="X434" s="31" t="s">
        <v>144</v>
      </c>
      <c r="Y434" s="31"/>
      <c r="Z434" s="31" t="s">
        <v>144</v>
      </c>
      <c r="AA434" s="378">
        <v>16</v>
      </c>
      <c r="AB434" s="378">
        <v>15.5</v>
      </c>
      <c r="AC434" s="378">
        <v>0.3</v>
      </c>
      <c r="AD434" s="378">
        <v>0.2</v>
      </c>
      <c r="AE434" s="31">
        <v>1.3</v>
      </c>
      <c r="AF434" s="31">
        <v>28</v>
      </c>
      <c r="AG434" s="31" t="s">
        <v>191</v>
      </c>
      <c r="AH434" s="31" t="s">
        <v>144</v>
      </c>
      <c r="AI434" s="31" t="s">
        <v>144</v>
      </c>
      <c r="AJ434" s="31" t="s">
        <v>144</v>
      </c>
      <c r="AK434" s="31" t="s">
        <v>144</v>
      </c>
      <c r="AL434" s="31" t="s">
        <v>325</v>
      </c>
      <c r="AM434" s="31" t="s">
        <v>144</v>
      </c>
      <c r="AN434" s="31" t="s">
        <v>475</v>
      </c>
      <c r="AO434" s="31" t="s">
        <v>1324</v>
      </c>
      <c r="AP434" s="31" t="s">
        <v>144</v>
      </c>
      <c r="AQ434" s="31" t="s">
        <v>144</v>
      </c>
      <c r="AR434" s="31" t="s">
        <v>144</v>
      </c>
      <c r="AS434" s="31"/>
      <c r="AT434" s="31"/>
      <c r="AU434" s="31"/>
    </row>
    <row r="435" spans="5:47" ht="15" customHeight="1" x14ac:dyDescent="0.25">
      <c r="E435" s="31" t="s">
        <v>137</v>
      </c>
      <c r="F435" s="31" t="s">
        <v>140</v>
      </c>
      <c r="G435" s="31" t="s">
        <v>377</v>
      </c>
      <c r="H435" s="31" t="s">
        <v>324</v>
      </c>
      <c r="I435" s="31" t="s">
        <v>481</v>
      </c>
      <c r="J435" s="31" t="s">
        <v>647</v>
      </c>
      <c r="K435" s="31" t="s">
        <v>951</v>
      </c>
      <c r="L435" s="31" t="s">
        <v>162</v>
      </c>
      <c r="M435" s="31" t="s">
        <v>144</v>
      </c>
      <c r="N435" s="31" t="s">
        <v>144</v>
      </c>
      <c r="O435" s="31" t="s">
        <v>144</v>
      </c>
      <c r="P435" s="31" t="s">
        <v>144</v>
      </c>
      <c r="Q435" s="31" t="s">
        <v>474</v>
      </c>
      <c r="R435" s="31" t="s">
        <v>443</v>
      </c>
      <c r="S435" s="31" t="s">
        <v>480</v>
      </c>
      <c r="T435" s="31" t="s">
        <v>478</v>
      </c>
      <c r="U435" s="31" t="s">
        <v>144</v>
      </c>
      <c r="V435" s="31" t="s">
        <v>144</v>
      </c>
      <c r="W435" s="31" t="s">
        <v>144</v>
      </c>
      <c r="X435" s="31" t="s">
        <v>144</v>
      </c>
      <c r="Y435" s="31"/>
      <c r="Z435" s="31" t="s">
        <v>144</v>
      </c>
      <c r="AA435" s="378">
        <v>16</v>
      </c>
      <c r="AB435" s="378">
        <v>15.5</v>
      </c>
      <c r="AC435" s="378">
        <v>0.3</v>
      </c>
      <c r="AD435" s="378">
        <v>0.2</v>
      </c>
      <c r="AE435" s="31">
        <v>1.3</v>
      </c>
      <c r="AF435" s="31">
        <v>28</v>
      </c>
      <c r="AG435" s="31" t="s">
        <v>191</v>
      </c>
      <c r="AH435" s="31" t="s">
        <v>144</v>
      </c>
      <c r="AI435" s="31" t="s">
        <v>144</v>
      </c>
      <c r="AJ435" s="31" t="s">
        <v>144</v>
      </c>
      <c r="AK435" s="31" t="s">
        <v>144</v>
      </c>
      <c r="AL435" s="31" t="s">
        <v>325</v>
      </c>
      <c r="AM435" s="31" t="s">
        <v>144</v>
      </c>
      <c r="AN435" s="31" t="s">
        <v>475</v>
      </c>
      <c r="AO435" s="31" t="s">
        <v>1324</v>
      </c>
      <c r="AP435" s="31" t="s">
        <v>144</v>
      </c>
      <c r="AQ435" s="31" t="s">
        <v>144</v>
      </c>
      <c r="AR435" s="31" t="s">
        <v>144</v>
      </c>
      <c r="AS435" s="31"/>
      <c r="AT435" s="31"/>
      <c r="AU435" s="31"/>
    </row>
    <row r="436" spans="5:47" ht="15" customHeight="1" x14ac:dyDescent="0.25">
      <c r="E436" s="31" t="s">
        <v>137</v>
      </c>
      <c r="F436" s="31" t="s">
        <v>140</v>
      </c>
      <c r="G436" s="31" t="s">
        <v>377</v>
      </c>
      <c r="H436" s="31" t="s">
        <v>324</v>
      </c>
      <c r="I436" s="31" t="s">
        <v>481</v>
      </c>
      <c r="J436" s="31" t="s">
        <v>647</v>
      </c>
      <c r="K436" s="31" t="s">
        <v>952</v>
      </c>
      <c r="L436" s="31" t="s">
        <v>162</v>
      </c>
      <c r="M436" s="31" t="s">
        <v>144</v>
      </c>
      <c r="N436" s="31" t="s">
        <v>144</v>
      </c>
      <c r="O436" s="31" t="s">
        <v>144</v>
      </c>
      <c r="P436" s="31" t="s">
        <v>144</v>
      </c>
      <c r="Q436" s="31" t="s">
        <v>474</v>
      </c>
      <c r="R436" s="31" t="s">
        <v>443</v>
      </c>
      <c r="S436" s="31" t="s">
        <v>480</v>
      </c>
      <c r="T436" s="31" t="s">
        <v>478</v>
      </c>
      <c r="U436" s="31" t="s">
        <v>144</v>
      </c>
      <c r="V436" s="31" t="s">
        <v>144</v>
      </c>
      <c r="W436" s="31" t="s">
        <v>144</v>
      </c>
      <c r="X436" s="31" t="s">
        <v>144</v>
      </c>
      <c r="Y436" s="31"/>
      <c r="Z436" s="31" t="s">
        <v>144</v>
      </c>
      <c r="AA436" s="378">
        <v>16</v>
      </c>
      <c r="AB436" s="378">
        <v>15.5</v>
      </c>
      <c r="AC436" s="378">
        <v>0.3</v>
      </c>
      <c r="AD436" s="378">
        <v>0.2</v>
      </c>
      <c r="AE436" s="31">
        <v>1.3</v>
      </c>
      <c r="AF436" s="31">
        <v>28</v>
      </c>
      <c r="AG436" s="31" t="s">
        <v>191</v>
      </c>
      <c r="AH436" s="31" t="s">
        <v>144</v>
      </c>
      <c r="AI436" s="31" t="s">
        <v>144</v>
      </c>
      <c r="AJ436" s="31" t="s">
        <v>144</v>
      </c>
      <c r="AK436" s="31" t="s">
        <v>144</v>
      </c>
      <c r="AL436" s="31" t="s">
        <v>325</v>
      </c>
      <c r="AM436" s="31" t="s">
        <v>144</v>
      </c>
      <c r="AN436" s="31" t="s">
        <v>475</v>
      </c>
      <c r="AO436" s="31" t="s">
        <v>1324</v>
      </c>
      <c r="AP436" s="31" t="s">
        <v>144</v>
      </c>
      <c r="AQ436" s="31" t="s">
        <v>144</v>
      </c>
      <c r="AR436" s="31" t="s">
        <v>144</v>
      </c>
      <c r="AS436" s="31"/>
      <c r="AT436" s="31"/>
      <c r="AU436" s="31"/>
    </row>
    <row r="437" spans="5:47" ht="15" customHeight="1" x14ac:dyDescent="0.25">
      <c r="E437" s="31" t="s">
        <v>137</v>
      </c>
      <c r="F437" s="31" t="s">
        <v>140</v>
      </c>
      <c r="G437" s="31" t="s">
        <v>377</v>
      </c>
      <c r="H437" s="31" t="s">
        <v>324</v>
      </c>
      <c r="I437" s="31" t="s">
        <v>481</v>
      </c>
      <c r="J437" s="31" t="s">
        <v>647</v>
      </c>
      <c r="K437" s="31" t="s">
        <v>953</v>
      </c>
      <c r="L437" s="31" t="s">
        <v>162</v>
      </c>
      <c r="M437" s="31" t="s">
        <v>144</v>
      </c>
      <c r="N437" s="31" t="s">
        <v>144</v>
      </c>
      <c r="O437" s="31" t="s">
        <v>144</v>
      </c>
      <c r="P437" s="31" t="s">
        <v>144</v>
      </c>
      <c r="Q437" s="31" t="s">
        <v>474</v>
      </c>
      <c r="R437" s="31" t="s">
        <v>443</v>
      </c>
      <c r="S437" s="31" t="s">
        <v>480</v>
      </c>
      <c r="T437" s="31" t="s">
        <v>478</v>
      </c>
      <c r="U437" s="31" t="s">
        <v>144</v>
      </c>
      <c r="V437" s="31" t="s">
        <v>144</v>
      </c>
      <c r="W437" s="31" t="s">
        <v>144</v>
      </c>
      <c r="X437" s="31" t="s">
        <v>144</v>
      </c>
      <c r="Y437" s="31"/>
      <c r="Z437" s="31" t="s">
        <v>144</v>
      </c>
      <c r="AA437" s="378">
        <v>16</v>
      </c>
      <c r="AB437" s="378">
        <v>15.5</v>
      </c>
      <c r="AC437" s="378">
        <v>0.3</v>
      </c>
      <c r="AD437" s="378">
        <v>0.2</v>
      </c>
      <c r="AE437" s="31">
        <v>1.3</v>
      </c>
      <c r="AF437" s="31">
        <v>28</v>
      </c>
      <c r="AG437" s="31" t="s">
        <v>191</v>
      </c>
      <c r="AH437" s="31" t="s">
        <v>144</v>
      </c>
      <c r="AI437" s="31" t="s">
        <v>144</v>
      </c>
      <c r="AJ437" s="31" t="s">
        <v>144</v>
      </c>
      <c r="AK437" s="31" t="s">
        <v>144</v>
      </c>
      <c r="AL437" s="31" t="s">
        <v>325</v>
      </c>
      <c r="AM437" s="31" t="s">
        <v>144</v>
      </c>
      <c r="AN437" s="31" t="s">
        <v>475</v>
      </c>
      <c r="AO437" s="31" t="s">
        <v>1324</v>
      </c>
      <c r="AP437" s="31" t="s">
        <v>144</v>
      </c>
      <c r="AQ437" s="31" t="s">
        <v>144</v>
      </c>
      <c r="AR437" s="31" t="s">
        <v>144</v>
      </c>
      <c r="AS437" s="31"/>
      <c r="AT437" s="31"/>
      <c r="AU437" s="31"/>
    </row>
    <row r="438" spans="5:47" ht="15" customHeight="1" x14ac:dyDescent="0.25">
      <c r="E438" s="31" t="s">
        <v>137</v>
      </c>
      <c r="F438" s="31" t="s">
        <v>140</v>
      </c>
      <c r="G438" s="31" t="s">
        <v>377</v>
      </c>
      <c r="H438" s="31" t="s">
        <v>324</v>
      </c>
      <c r="I438" s="31" t="s">
        <v>481</v>
      </c>
      <c r="J438" s="31" t="s">
        <v>647</v>
      </c>
      <c r="K438" s="31" t="s">
        <v>954</v>
      </c>
      <c r="L438" s="31" t="s">
        <v>162</v>
      </c>
      <c r="M438" s="31" t="s">
        <v>144</v>
      </c>
      <c r="N438" s="31" t="s">
        <v>144</v>
      </c>
      <c r="O438" s="31" t="s">
        <v>144</v>
      </c>
      <c r="P438" s="31" t="s">
        <v>144</v>
      </c>
      <c r="Q438" s="31" t="s">
        <v>474</v>
      </c>
      <c r="R438" s="31" t="s">
        <v>443</v>
      </c>
      <c r="S438" s="31" t="s">
        <v>480</v>
      </c>
      <c r="T438" s="31" t="s">
        <v>478</v>
      </c>
      <c r="U438" s="31" t="s">
        <v>144</v>
      </c>
      <c r="V438" s="31" t="s">
        <v>144</v>
      </c>
      <c r="W438" s="31" t="s">
        <v>144</v>
      </c>
      <c r="X438" s="31" t="s">
        <v>144</v>
      </c>
      <c r="Y438" s="31"/>
      <c r="Z438" s="31" t="s">
        <v>144</v>
      </c>
      <c r="AA438" s="378">
        <v>16</v>
      </c>
      <c r="AB438" s="378">
        <v>15.5</v>
      </c>
      <c r="AC438" s="378">
        <v>0.3</v>
      </c>
      <c r="AD438" s="378">
        <v>0.2</v>
      </c>
      <c r="AE438" s="31">
        <v>1.3</v>
      </c>
      <c r="AF438" s="31">
        <v>28</v>
      </c>
      <c r="AG438" s="31" t="s">
        <v>191</v>
      </c>
      <c r="AH438" s="31" t="s">
        <v>144</v>
      </c>
      <c r="AI438" s="31" t="s">
        <v>144</v>
      </c>
      <c r="AJ438" s="31" t="s">
        <v>144</v>
      </c>
      <c r="AK438" s="31" t="s">
        <v>144</v>
      </c>
      <c r="AL438" s="31" t="s">
        <v>325</v>
      </c>
      <c r="AM438" s="31" t="s">
        <v>144</v>
      </c>
      <c r="AN438" s="31" t="s">
        <v>475</v>
      </c>
      <c r="AO438" s="31" t="s">
        <v>1324</v>
      </c>
      <c r="AP438" s="31" t="s">
        <v>144</v>
      </c>
      <c r="AQ438" s="31" t="s">
        <v>144</v>
      </c>
      <c r="AR438" s="31" t="s">
        <v>144</v>
      </c>
      <c r="AS438" s="31"/>
      <c r="AT438" s="31"/>
      <c r="AU438" s="31"/>
    </row>
    <row r="439" spans="5:47" ht="15" customHeight="1" x14ac:dyDescent="0.25">
      <c r="E439" s="31" t="s">
        <v>137</v>
      </c>
      <c r="F439" s="31" t="s">
        <v>140</v>
      </c>
      <c r="G439" s="31" t="s">
        <v>377</v>
      </c>
      <c r="H439" s="31" t="s">
        <v>324</v>
      </c>
      <c r="I439" s="31" t="s">
        <v>481</v>
      </c>
      <c r="J439" s="31" t="s">
        <v>647</v>
      </c>
      <c r="K439" s="31" t="s">
        <v>955</v>
      </c>
      <c r="L439" s="31" t="s">
        <v>162</v>
      </c>
      <c r="M439" s="31" t="s">
        <v>144</v>
      </c>
      <c r="N439" s="31" t="s">
        <v>144</v>
      </c>
      <c r="O439" s="31" t="s">
        <v>144</v>
      </c>
      <c r="P439" s="31" t="s">
        <v>144</v>
      </c>
      <c r="Q439" s="31" t="s">
        <v>474</v>
      </c>
      <c r="R439" s="31" t="s">
        <v>443</v>
      </c>
      <c r="S439" s="31" t="s">
        <v>480</v>
      </c>
      <c r="T439" s="31" t="s">
        <v>478</v>
      </c>
      <c r="U439" s="31" t="s">
        <v>144</v>
      </c>
      <c r="V439" s="31" t="s">
        <v>144</v>
      </c>
      <c r="W439" s="31" t="s">
        <v>144</v>
      </c>
      <c r="X439" s="31" t="s">
        <v>144</v>
      </c>
      <c r="Y439" s="31"/>
      <c r="Z439" s="31" t="s">
        <v>144</v>
      </c>
      <c r="AA439" s="378">
        <v>16</v>
      </c>
      <c r="AB439" s="378">
        <v>15.5</v>
      </c>
      <c r="AC439" s="378">
        <v>0.3</v>
      </c>
      <c r="AD439" s="378">
        <v>0.2</v>
      </c>
      <c r="AE439" s="31">
        <v>1.3</v>
      </c>
      <c r="AF439" s="31">
        <v>28</v>
      </c>
      <c r="AG439" s="31" t="s">
        <v>191</v>
      </c>
      <c r="AH439" s="31" t="s">
        <v>144</v>
      </c>
      <c r="AI439" s="31" t="s">
        <v>144</v>
      </c>
      <c r="AJ439" s="31" t="s">
        <v>144</v>
      </c>
      <c r="AK439" s="31" t="s">
        <v>144</v>
      </c>
      <c r="AL439" s="31" t="s">
        <v>325</v>
      </c>
      <c r="AM439" s="31" t="s">
        <v>144</v>
      </c>
      <c r="AN439" s="31" t="s">
        <v>475</v>
      </c>
      <c r="AO439" s="31" t="s">
        <v>1324</v>
      </c>
      <c r="AP439" s="31" t="s">
        <v>144</v>
      </c>
      <c r="AQ439" s="31" t="s">
        <v>144</v>
      </c>
      <c r="AR439" s="31" t="s">
        <v>144</v>
      </c>
      <c r="AS439" s="31"/>
      <c r="AT439" s="31"/>
      <c r="AU439" s="31"/>
    </row>
    <row r="440" spans="5:47" ht="15" customHeight="1" x14ac:dyDescent="0.25">
      <c r="E440" s="31" t="s">
        <v>137</v>
      </c>
      <c r="F440" s="31" t="s">
        <v>140</v>
      </c>
      <c r="G440" s="31" t="s">
        <v>377</v>
      </c>
      <c r="H440" s="31" t="s">
        <v>324</v>
      </c>
      <c r="I440" s="31" t="s">
        <v>481</v>
      </c>
      <c r="J440" s="31" t="s">
        <v>647</v>
      </c>
      <c r="K440" s="31" t="s">
        <v>956</v>
      </c>
      <c r="L440" s="31" t="s">
        <v>162</v>
      </c>
      <c r="M440" s="31" t="s">
        <v>144</v>
      </c>
      <c r="N440" s="31" t="s">
        <v>144</v>
      </c>
      <c r="O440" s="31" t="s">
        <v>144</v>
      </c>
      <c r="P440" s="31" t="s">
        <v>144</v>
      </c>
      <c r="Q440" s="31" t="s">
        <v>474</v>
      </c>
      <c r="R440" s="31" t="s">
        <v>443</v>
      </c>
      <c r="S440" s="31" t="s">
        <v>480</v>
      </c>
      <c r="T440" s="31" t="s">
        <v>478</v>
      </c>
      <c r="U440" s="31" t="s">
        <v>144</v>
      </c>
      <c r="V440" s="31" t="s">
        <v>144</v>
      </c>
      <c r="W440" s="31" t="s">
        <v>144</v>
      </c>
      <c r="X440" s="31" t="s">
        <v>144</v>
      </c>
      <c r="Y440" s="31"/>
      <c r="Z440" s="31" t="s">
        <v>144</v>
      </c>
      <c r="AA440" s="378">
        <v>16</v>
      </c>
      <c r="AB440" s="378">
        <v>15.5</v>
      </c>
      <c r="AC440" s="378">
        <v>0.3</v>
      </c>
      <c r="AD440" s="378">
        <v>0.2</v>
      </c>
      <c r="AE440" s="31">
        <v>1.3</v>
      </c>
      <c r="AF440" s="31">
        <v>28</v>
      </c>
      <c r="AG440" s="31" t="s">
        <v>191</v>
      </c>
      <c r="AH440" s="31" t="s">
        <v>144</v>
      </c>
      <c r="AI440" s="31" t="s">
        <v>144</v>
      </c>
      <c r="AJ440" s="31" t="s">
        <v>144</v>
      </c>
      <c r="AK440" s="31" t="s">
        <v>144</v>
      </c>
      <c r="AL440" s="31" t="s">
        <v>325</v>
      </c>
      <c r="AM440" s="31" t="s">
        <v>144</v>
      </c>
      <c r="AN440" s="31" t="s">
        <v>475</v>
      </c>
      <c r="AO440" s="31" t="s">
        <v>1324</v>
      </c>
      <c r="AP440" s="31" t="s">
        <v>144</v>
      </c>
      <c r="AQ440" s="31" t="s">
        <v>144</v>
      </c>
      <c r="AR440" s="31" t="s">
        <v>144</v>
      </c>
      <c r="AS440" s="31"/>
      <c r="AT440" s="31"/>
      <c r="AU440" s="31"/>
    </row>
    <row r="441" spans="5:47" ht="15" customHeight="1" x14ac:dyDescent="0.25">
      <c r="E441" s="31" t="s">
        <v>137</v>
      </c>
      <c r="F441" s="31" t="s">
        <v>140</v>
      </c>
      <c r="G441" s="31" t="s">
        <v>377</v>
      </c>
      <c r="H441" s="31" t="s">
        <v>324</v>
      </c>
      <c r="I441" s="31" t="s">
        <v>481</v>
      </c>
      <c r="J441" s="31" t="s">
        <v>647</v>
      </c>
      <c r="K441" s="31" t="s">
        <v>957</v>
      </c>
      <c r="L441" s="31" t="s">
        <v>162</v>
      </c>
      <c r="M441" s="31" t="s">
        <v>144</v>
      </c>
      <c r="N441" s="31" t="s">
        <v>144</v>
      </c>
      <c r="O441" s="31" t="s">
        <v>144</v>
      </c>
      <c r="P441" s="31" t="s">
        <v>144</v>
      </c>
      <c r="Q441" s="31" t="s">
        <v>474</v>
      </c>
      <c r="R441" s="31" t="s">
        <v>443</v>
      </c>
      <c r="S441" s="31" t="s">
        <v>480</v>
      </c>
      <c r="T441" s="31" t="s">
        <v>478</v>
      </c>
      <c r="U441" s="31" t="s">
        <v>144</v>
      </c>
      <c r="V441" s="31" t="s">
        <v>144</v>
      </c>
      <c r="W441" s="31" t="s">
        <v>144</v>
      </c>
      <c r="X441" s="31" t="s">
        <v>144</v>
      </c>
      <c r="Y441" s="31"/>
      <c r="Z441" s="31" t="s">
        <v>144</v>
      </c>
      <c r="AA441" s="378">
        <v>16</v>
      </c>
      <c r="AB441" s="378">
        <v>15.5</v>
      </c>
      <c r="AC441" s="378">
        <v>0.3</v>
      </c>
      <c r="AD441" s="378">
        <v>0.2</v>
      </c>
      <c r="AE441" s="31">
        <v>1.3</v>
      </c>
      <c r="AF441" s="31">
        <v>28</v>
      </c>
      <c r="AG441" s="31" t="s">
        <v>191</v>
      </c>
      <c r="AH441" s="31" t="s">
        <v>144</v>
      </c>
      <c r="AI441" s="31" t="s">
        <v>144</v>
      </c>
      <c r="AJ441" s="31" t="s">
        <v>144</v>
      </c>
      <c r="AK441" s="31" t="s">
        <v>144</v>
      </c>
      <c r="AL441" s="31" t="s">
        <v>325</v>
      </c>
      <c r="AM441" s="31" t="s">
        <v>144</v>
      </c>
      <c r="AN441" s="31" t="s">
        <v>475</v>
      </c>
      <c r="AO441" s="31" t="s">
        <v>1324</v>
      </c>
      <c r="AP441" s="31" t="s">
        <v>144</v>
      </c>
      <c r="AQ441" s="31" t="s">
        <v>144</v>
      </c>
      <c r="AR441" s="31" t="s">
        <v>144</v>
      </c>
      <c r="AS441" s="31"/>
      <c r="AT441" s="31"/>
      <c r="AU441" s="31"/>
    </row>
    <row r="442" spans="5:47" ht="15" customHeight="1" x14ac:dyDescent="0.25">
      <c r="E442" s="31" t="s">
        <v>137</v>
      </c>
      <c r="F442" s="31" t="s">
        <v>140</v>
      </c>
      <c r="G442" s="31" t="s">
        <v>377</v>
      </c>
      <c r="H442" s="31" t="s">
        <v>324</v>
      </c>
      <c r="I442" s="31" t="s">
        <v>481</v>
      </c>
      <c r="J442" s="31" t="s">
        <v>647</v>
      </c>
      <c r="K442" s="31" t="s">
        <v>958</v>
      </c>
      <c r="L442" s="31" t="s">
        <v>162</v>
      </c>
      <c r="M442" s="31" t="s">
        <v>144</v>
      </c>
      <c r="N442" s="31" t="s">
        <v>144</v>
      </c>
      <c r="O442" s="31" t="s">
        <v>144</v>
      </c>
      <c r="P442" s="31" t="s">
        <v>144</v>
      </c>
      <c r="Q442" s="31" t="s">
        <v>474</v>
      </c>
      <c r="R442" s="31" t="s">
        <v>443</v>
      </c>
      <c r="S442" s="31" t="s">
        <v>480</v>
      </c>
      <c r="T442" s="31" t="s">
        <v>478</v>
      </c>
      <c r="U442" s="31" t="s">
        <v>144</v>
      </c>
      <c r="V442" s="31" t="s">
        <v>144</v>
      </c>
      <c r="W442" s="31" t="s">
        <v>144</v>
      </c>
      <c r="X442" s="31" t="s">
        <v>144</v>
      </c>
      <c r="Y442" s="31"/>
      <c r="Z442" s="31" t="s">
        <v>144</v>
      </c>
      <c r="AA442" s="378">
        <v>16</v>
      </c>
      <c r="AB442" s="378">
        <v>15.5</v>
      </c>
      <c r="AC442" s="378">
        <v>0.3</v>
      </c>
      <c r="AD442" s="378">
        <v>0.2</v>
      </c>
      <c r="AE442" s="31">
        <v>1.3</v>
      </c>
      <c r="AF442" s="31">
        <v>28</v>
      </c>
      <c r="AG442" s="31" t="s">
        <v>191</v>
      </c>
      <c r="AH442" s="31" t="s">
        <v>144</v>
      </c>
      <c r="AI442" s="31" t="s">
        <v>144</v>
      </c>
      <c r="AJ442" s="31" t="s">
        <v>144</v>
      </c>
      <c r="AK442" s="31" t="s">
        <v>144</v>
      </c>
      <c r="AL442" s="31" t="s">
        <v>325</v>
      </c>
      <c r="AM442" s="31" t="s">
        <v>144</v>
      </c>
      <c r="AN442" s="31" t="s">
        <v>475</v>
      </c>
      <c r="AO442" s="31" t="s">
        <v>1324</v>
      </c>
      <c r="AP442" s="31" t="s">
        <v>144</v>
      </c>
      <c r="AQ442" s="31" t="s">
        <v>144</v>
      </c>
      <c r="AR442" s="31" t="s">
        <v>144</v>
      </c>
      <c r="AS442" s="31"/>
      <c r="AT442" s="31"/>
      <c r="AU442" s="31"/>
    </row>
    <row r="443" spans="5:47" ht="15" customHeight="1" x14ac:dyDescent="0.25">
      <c r="E443" s="31" t="s">
        <v>137</v>
      </c>
      <c r="F443" s="31" t="s">
        <v>140</v>
      </c>
      <c r="G443" s="31" t="s">
        <v>377</v>
      </c>
      <c r="H443" s="31" t="s">
        <v>324</v>
      </c>
      <c r="I443" s="31" t="s">
        <v>481</v>
      </c>
      <c r="J443" s="31" t="s">
        <v>647</v>
      </c>
      <c r="K443" s="31" t="s">
        <v>959</v>
      </c>
      <c r="L443" s="31" t="s">
        <v>162</v>
      </c>
      <c r="M443" s="31" t="s">
        <v>144</v>
      </c>
      <c r="N443" s="31" t="s">
        <v>144</v>
      </c>
      <c r="O443" s="31" t="s">
        <v>144</v>
      </c>
      <c r="P443" s="31" t="s">
        <v>144</v>
      </c>
      <c r="Q443" s="31" t="s">
        <v>474</v>
      </c>
      <c r="R443" s="31" t="s">
        <v>443</v>
      </c>
      <c r="S443" s="31" t="s">
        <v>480</v>
      </c>
      <c r="T443" s="31" t="s">
        <v>478</v>
      </c>
      <c r="U443" s="31" t="s">
        <v>144</v>
      </c>
      <c r="V443" s="31" t="s">
        <v>144</v>
      </c>
      <c r="W443" s="31" t="s">
        <v>144</v>
      </c>
      <c r="X443" s="31" t="s">
        <v>144</v>
      </c>
      <c r="Y443" s="31"/>
      <c r="Z443" s="31" t="s">
        <v>144</v>
      </c>
      <c r="AA443" s="378">
        <v>16</v>
      </c>
      <c r="AB443" s="378">
        <v>15.5</v>
      </c>
      <c r="AC443" s="378">
        <v>0.3</v>
      </c>
      <c r="AD443" s="378">
        <v>0.2</v>
      </c>
      <c r="AE443" s="31">
        <v>1.3</v>
      </c>
      <c r="AF443" s="31">
        <v>28</v>
      </c>
      <c r="AG443" s="31" t="s">
        <v>191</v>
      </c>
      <c r="AH443" s="31" t="s">
        <v>144</v>
      </c>
      <c r="AI443" s="31" t="s">
        <v>144</v>
      </c>
      <c r="AJ443" s="31" t="s">
        <v>144</v>
      </c>
      <c r="AK443" s="31" t="s">
        <v>144</v>
      </c>
      <c r="AL443" s="31" t="s">
        <v>325</v>
      </c>
      <c r="AM443" s="31" t="s">
        <v>144</v>
      </c>
      <c r="AN443" s="31" t="s">
        <v>475</v>
      </c>
      <c r="AO443" s="31" t="s">
        <v>1324</v>
      </c>
      <c r="AP443" s="31" t="s">
        <v>144</v>
      </c>
      <c r="AQ443" s="31" t="s">
        <v>144</v>
      </c>
      <c r="AR443" s="31" t="s">
        <v>144</v>
      </c>
      <c r="AS443" s="31"/>
      <c r="AT443" s="31"/>
      <c r="AU443" s="31"/>
    </row>
    <row r="444" spans="5:47" ht="15" customHeight="1" x14ac:dyDescent="0.25">
      <c r="E444" s="31" t="s">
        <v>137</v>
      </c>
      <c r="F444" s="31" t="s">
        <v>140</v>
      </c>
      <c r="G444" s="31" t="s">
        <v>377</v>
      </c>
      <c r="H444" s="31" t="s">
        <v>324</v>
      </c>
      <c r="I444" s="31" t="s">
        <v>481</v>
      </c>
      <c r="J444" s="31" t="s">
        <v>647</v>
      </c>
      <c r="K444" s="31" t="s">
        <v>960</v>
      </c>
      <c r="L444" s="31" t="s">
        <v>162</v>
      </c>
      <c r="M444" s="31" t="s">
        <v>144</v>
      </c>
      <c r="N444" s="31" t="s">
        <v>144</v>
      </c>
      <c r="O444" s="31" t="s">
        <v>144</v>
      </c>
      <c r="P444" s="31" t="s">
        <v>144</v>
      </c>
      <c r="Q444" s="31" t="s">
        <v>474</v>
      </c>
      <c r="R444" s="31" t="s">
        <v>443</v>
      </c>
      <c r="S444" s="31" t="s">
        <v>480</v>
      </c>
      <c r="T444" s="31" t="s">
        <v>478</v>
      </c>
      <c r="U444" s="31" t="s">
        <v>144</v>
      </c>
      <c r="V444" s="31" t="s">
        <v>144</v>
      </c>
      <c r="W444" s="31" t="s">
        <v>144</v>
      </c>
      <c r="X444" s="31" t="s">
        <v>144</v>
      </c>
      <c r="Y444" s="31"/>
      <c r="Z444" s="31" t="s">
        <v>144</v>
      </c>
      <c r="AA444" s="378">
        <v>16</v>
      </c>
      <c r="AB444" s="378">
        <v>15.5</v>
      </c>
      <c r="AC444" s="378">
        <v>0.3</v>
      </c>
      <c r="AD444" s="378">
        <v>0.2</v>
      </c>
      <c r="AE444" s="31">
        <v>1.3</v>
      </c>
      <c r="AF444" s="31">
        <v>28</v>
      </c>
      <c r="AG444" s="31" t="s">
        <v>191</v>
      </c>
      <c r="AH444" s="31" t="s">
        <v>144</v>
      </c>
      <c r="AI444" s="31" t="s">
        <v>144</v>
      </c>
      <c r="AJ444" s="31" t="s">
        <v>144</v>
      </c>
      <c r="AK444" s="31" t="s">
        <v>144</v>
      </c>
      <c r="AL444" s="31" t="s">
        <v>325</v>
      </c>
      <c r="AM444" s="31" t="s">
        <v>144</v>
      </c>
      <c r="AN444" s="31" t="s">
        <v>475</v>
      </c>
      <c r="AO444" s="31" t="s">
        <v>1324</v>
      </c>
      <c r="AP444" s="31" t="s">
        <v>144</v>
      </c>
      <c r="AQ444" s="31" t="s">
        <v>144</v>
      </c>
      <c r="AR444" s="31" t="s">
        <v>144</v>
      </c>
      <c r="AS444" s="31"/>
      <c r="AT444" s="31"/>
      <c r="AU444" s="31"/>
    </row>
    <row r="445" spans="5:47" ht="15" customHeight="1" x14ac:dyDescent="0.25">
      <c r="E445" s="31" t="s">
        <v>137</v>
      </c>
      <c r="F445" s="31" t="s">
        <v>140</v>
      </c>
      <c r="G445" s="31" t="s">
        <v>377</v>
      </c>
      <c r="H445" s="31" t="s">
        <v>324</v>
      </c>
      <c r="I445" s="31" t="s">
        <v>481</v>
      </c>
      <c r="J445" s="31" t="s">
        <v>647</v>
      </c>
      <c r="K445" s="31" t="s">
        <v>961</v>
      </c>
      <c r="L445" s="31" t="s">
        <v>162</v>
      </c>
      <c r="M445" s="31" t="s">
        <v>144</v>
      </c>
      <c r="N445" s="31" t="s">
        <v>144</v>
      </c>
      <c r="O445" s="31" t="s">
        <v>144</v>
      </c>
      <c r="P445" s="31" t="s">
        <v>144</v>
      </c>
      <c r="Q445" s="31" t="s">
        <v>474</v>
      </c>
      <c r="R445" s="31" t="s">
        <v>443</v>
      </c>
      <c r="S445" s="31" t="s">
        <v>480</v>
      </c>
      <c r="T445" s="31" t="s">
        <v>478</v>
      </c>
      <c r="U445" s="31" t="s">
        <v>144</v>
      </c>
      <c r="V445" s="31" t="s">
        <v>144</v>
      </c>
      <c r="W445" s="31" t="s">
        <v>144</v>
      </c>
      <c r="X445" s="31" t="s">
        <v>144</v>
      </c>
      <c r="Y445" s="31"/>
      <c r="Z445" s="31" t="s">
        <v>144</v>
      </c>
      <c r="AA445" s="378">
        <v>16</v>
      </c>
      <c r="AB445" s="378">
        <v>15.5</v>
      </c>
      <c r="AC445" s="378">
        <v>0.3</v>
      </c>
      <c r="AD445" s="378">
        <v>0.2</v>
      </c>
      <c r="AE445" s="31">
        <v>1.3</v>
      </c>
      <c r="AF445" s="31">
        <v>28</v>
      </c>
      <c r="AG445" s="31" t="s">
        <v>191</v>
      </c>
      <c r="AH445" s="31" t="s">
        <v>144</v>
      </c>
      <c r="AI445" s="31" t="s">
        <v>144</v>
      </c>
      <c r="AJ445" s="31" t="s">
        <v>144</v>
      </c>
      <c r="AK445" s="31" t="s">
        <v>144</v>
      </c>
      <c r="AL445" s="31" t="s">
        <v>325</v>
      </c>
      <c r="AM445" s="31" t="s">
        <v>144</v>
      </c>
      <c r="AN445" s="31" t="s">
        <v>475</v>
      </c>
      <c r="AO445" s="31" t="s">
        <v>1324</v>
      </c>
      <c r="AP445" s="31" t="s">
        <v>144</v>
      </c>
      <c r="AQ445" s="31" t="s">
        <v>144</v>
      </c>
      <c r="AR445" s="31" t="s">
        <v>144</v>
      </c>
      <c r="AS445" s="31"/>
      <c r="AT445" s="31"/>
      <c r="AU445" s="31"/>
    </row>
    <row r="446" spans="5:47" ht="15" customHeight="1" x14ac:dyDescent="0.25">
      <c r="E446" s="31" t="s">
        <v>137</v>
      </c>
      <c r="F446" s="31" t="s">
        <v>140</v>
      </c>
      <c r="G446" s="31" t="s">
        <v>377</v>
      </c>
      <c r="H446" s="31" t="s">
        <v>324</v>
      </c>
      <c r="I446" s="31" t="s">
        <v>481</v>
      </c>
      <c r="J446" s="31" t="s">
        <v>647</v>
      </c>
      <c r="K446" s="31" t="s">
        <v>962</v>
      </c>
      <c r="L446" s="31" t="s">
        <v>162</v>
      </c>
      <c r="M446" s="31" t="s">
        <v>144</v>
      </c>
      <c r="N446" s="31" t="s">
        <v>144</v>
      </c>
      <c r="O446" s="31" t="s">
        <v>144</v>
      </c>
      <c r="P446" s="31" t="s">
        <v>144</v>
      </c>
      <c r="Q446" s="31" t="s">
        <v>474</v>
      </c>
      <c r="R446" s="31" t="s">
        <v>443</v>
      </c>
      <c r="S446" s="31" t="s">
        <v>480</v>
      </c>
      <c r="T446" s="31" t="s">
        <v>478</v>
      </c>
      <c r="U446" s="31" t="s">
        <v>144</v>
      </c>
      <c r="V446" s="31" t="s">
        <v>144</v>
      </c>
      <c r="W446" s="31" t="s">
        <v>144</v>
      </c>
      <c r="X446" s="31" t="s">
        <v>144</v>
      </c>
      <c r="Y446" s="31"/>
      <c r="Z446" s="31" t="s">
        <v>144</v>
      </c>
      <c r="AA446" s="378">
        <v>16</v>
      </c>
      <c r="AB446" s="378">
        <v>15.5</v>
      </c>
      <c r="AC446" s="378">
        <v>0.3</v>
      </c>
      <c r="AD446" s="378">
        <v>0.2</v>
      </c>
      <c r="AE446" s="31">
        <v>1.3</v>
      </c>
      <c r="AF446" s="31">
        <v>28</v>
      </c>
      <c r="AG446" s="31" t="s">
        <v>191</v>
      </c>
      <c r="AH446" s="31" t="s">
        <v>144</v>
      </c>
      <c r="AI446" s="31" t="s">
        <v>144</v>
      </c>
      <c r="AJ446" s="31" t="s">
        <v>144</v>
      </c>
      <c r="AK446" s="31" t="s">
        <v>144</v>
      </c>
      <c r="AL446" s="31" t="s">
        <v>325</v>
      </c>
      <c r="AM446" s="31" t="s">
        <v>144</v>
      </c>
      <c r="AN446" s="31" t="s">
        <v>475</v>
      </c>
      <c r="AO446" s="31" t="s">
        <v>1324</v>
      </c>
      <c r="AP446" s="31" t="s">
        <v>144</v>
      </c>
      <c r="AQ446" s="31" t="s">
        <v>144</v>
      </c>
      <c r="AR446" s="31" t="s">
        <v>144</v>
      </c>
      <c r="AS446" s="31"/>
      <c r="AT446" s="31"/>
      <c r="AU446" s="31"/>
    </row>
    <row r="447" spans="5:47" ht="15" customHeight="1" x14ac:dyDescent="0.25">
      <c r="E447" s="31" t="s">
        <v>137</v>
      </c>
      <c r="F447" s="31" t="s">
        <v>140</v>
      </c>
      <c r="G447" s="31" t="s">
        <v>377</v>
      </c>
      <c r="H447" s="31" t="s">
        <v>324</v>
      </c>
      <c r="I447" s="31" t="s">
        <v>481</v>
      </c>
      <c r="J447" s="31" t="s">
        <v>647</v>
      </c>
      <c r="K447" s="31" t="s">
        <v>963</v>
      </c>
      <c r="L447" s="31" t="s">
        <v>162</v>
      </c>
      <c r="M447" s="31" t="s">
        <v>144</v>
      </c>
      <c r="N447" s="31" t="s">
        <v>144</v>
      </c>
      <c r="O447" s="31" t="s">
        <v>144</v>
      </c>
      <c r="P447" s="31" t="s">
        <v>144</v>
      </c>
      <c r="Q447" s="31" t="s">
        <v>474</v>
      </c>
      <c r="R447" s="31" t="s">
        <v>443</v>
      </c>
      <c r="S447" s="31" t="s">
        <v>480</v>
      </c>
      <c r="T447" s="31" t="s">
        <v>478</v>
      </c>
      <c r="U447" s="31" t="s">
        <v>144</v>
      </c>
      <c r="V447" s="31" t="s">
        <v>144</v>
      </c>
      <c r="W447" s="31" t="s">
        <v>144</v>
      </c>
      <c r="X447" s="31" t="s">
        <v>144</v>
      </c>
      <c r="Y447" s="31"/>
      <c r="Z447" s="31" t="s">
        <v>144</v>
      </c>
      <c r="AA447" s="378">
        <v>16</v>
      </c>
      <c r="AB447" s="378">
        <v>15.5</v>
      </c>
      <c r="AC447" s="378">
        <v>0.3</v>
      </c>
      <c r="AD447" s="378">
        <v>0.2</v>
      </c>
      <c r="AE447" s="31">
        <v>1.3</v>
      </c>
      <c r="AF447" s="31">
        <v>28</v>
      </c>
      <c r="AG447" s="31" t="s">
        <v>191</v>
      </c>
      <c r="AH447" s="31" t="s">
        <v>144</v>
      </c>
      <c r="AI447" s="31" t="s">
        <v>144</v>
      </c>
      <c r="AJ447" s="31" t="s">
        <v>144</v>
      </c>
      <c r="AK447" s="31" t="s">
        <v>144</v>
      </c>
      <c r="AL447" s="31" t="s">
        <v>325</v>
      </c>
      <c r="AM447" s="31" t="s">
        <v>144</v>
      </c>
      <c r="AN447" s="31" t="s">
        <v>475</v>
      </c>
      <c r="AO447" s="31" t="s">
        <v>1324</v>
      </c>
      <c r="AP447" s="31" t="s">
        <v>144</v>
      </c>
      <c r="AQ447" s="31" t="s">
        <v>144</v>
      </c>
      <c r="AR447" s="31" t="s">
        <v>144</v>
      </c>
      <c r="AS447" s="31"/>
      <c r="AT447" s="31"/>
      <c r="AU447" s="31"/>
    </row>
    <row r="448" spans="5:47" ht="15" customHeight="1" x14ac:dyDescent="0.25">
      <c r="E448" s="31" t="s">
        <v>137</v>
      </c>
      <c r="F448" s="31" t="s">
        <v>140</v>
      </c>
      <c r="G448" s="31" t="s">
        <v>377</v>
      </c>
      <c r="H448" s="31" t="s">
        <v>324</v>
      </c>
      <c r="I448" s="31" t="s">
        <v>481</v>
      </c>
      <c r="J448" s="31" t="s">
        <v>647</v>
      </c>
      <c r="K448" s="31" t="s">
        <v>964</v>
      </c>
      <c r="L448" s="31" t="s">
        <v>162</v>
      </c>
      <c r="M448" s="31" t="s">
        <v>144</v>
      </c>
      <c r="N448" s="31" t="s">
        <v>144</v>
      </c>
      <c r="O448" s="31" t="s">
        <v>144</v>
      </c>
      <c r="P448" s="31" t="s">
        <v>144</v>
      </c>
      <c r="Q448" s="31" t="s">
        <v>474</v>
      </c>
      <c r="R448" s="31" t="s">
        <v>443</v>
      </c>
      <c r="S448" s="31" t="s">
        <v>480</v>
      </c>
      <c r="T448" s="31" t="s">
        <v>478</v>
      </c>
      <c r="U448" s="31" t="s">
        <v>144</v>
      </c>
      <c r="V448" s="31" t="s">
        <v>144</v>
      </c>
      <c r="W448" s="31" t="s">
        <v>144</v>
      </c>
      <c r="X448" s="31" t="s">
        <v>144</v>
      </c>
      <c r="Y448" s="31"/>
      <c r="Z448" s="31" t="s">
        <v>144</v>
      </c>
      <c r="AA448" s="378">
        <v>16</v>
      </c>
      <c r="AB448" s="378">
        <v>15.5</v>
      </c>
      <c r="AC448" s="378">
        <v>0.3</v>
      </c>
      <c r="AD448" s="378">
        <v>0.2</v>
      </c>
      <c r="AE448" s="31">
        <v>1.3</v>
      </c>
      <c r="AF448" s="31">
        <v>28</v>
      </c>
      <c r="AG448" s="31" t="s">
        <v>191</v>
      </c>
      <c r="AH448" s="31" t="s">
        <v>144</v>
      </c>
      <c r="AI448" s="31" t="s">
        <v>144</v>
      </c>
      <c r="AJ448" s="31" t="s">
        <v>144</v>
      </c>
      <c r="AK448" s="31" t="s">
        <v>144</v>
      </c>
      <c r="AL448" s="31" t="s">
        <v>325</v>
      </c>
      <c r="AM448" s="31" t="s">
        <v>144</v>
      </c>
      <c r="AN448" s="31" t="s">
        <v>475</v>
      </c>
      <c r="AO448" s="31" t="s">
        <v>1324</v>
      </c>
      <c r="AP448" s="31" t="s">
        <v>144</v>
      </c>
      <c r="AQ448" s="31" t="s">
        <v>144</v>
      </c>
      <c r="AR448" s="31" t="s">
        <v>144</v>
      </c>
      <c r="AS448" s="31"/>
      <c r="AT448" s="31"/>
      <c r="AU448" s="31"/>
    </row>
    <row r="449" spans="5:47" ht="15" customHeight="1" x14ac:dyDescent="0.25">
      <c r="E449" s="31" t="s">
        <v>137</v>
      </c>
      <c r="F449" s="31" t="s">
        <v>140</v>
      </c>
      <c r="G449" s="31" t="s">
        <v>377</v>
      </c>
      <c r="H449" s="31" t="s">
        <v>324</v>
      </c>
      <c r="I449" s="31" t="s">
        <v>481</v>
      </c>
      <c r="J449" s="31" t="s">
        <v>647</v>
      </c>
      <c r="K449" s="31" t="s">
        <v>965</v>
      </c>
      <c r="L449" s="31" t="s">
        <v>162</v>
      </c>
      <c r="M449" s="31" t="s">
        <v>144</v>
      </c>
      <c r="N449" s="31" t="s">
        <v>144</v>
      </c>
      <c r="O449" s="31" t="s">
        <v>144</v>
      </c>
      <c r="P449" s="31" t="s">
        <v>144</v>
      </c>
      <c r="Q449" s="31" t="s">
        <v>474</v>
      </c>
      <c r="R449" s="31" t="s">
        <v>443</v>
      </c>
      <c r="S449" s="31" t="s">
        <v>480</v>
      </c>
      <c r="T449" s="31" t="s">
        <v>478</v>
      </c>
      <c r="U449" s="31" t="s">
        <v>144</v>
      </c>
      <c r="V449" s="31" t="s">
        <v>144</v>
      </c>
      <c r="W449" s="31" t="s">
        <v>144</v>
      </c>
      <c r="X449" s="31" t="s">
        <v>144</v>
      </c>
      <c r="Y449" s="31"/>
      <c r="Z449" s="31" t="s">
        <v>144</v>
      </c>
      <c r="AA449" s="378">
        <v>16</v>
      </c>
      <c r="AB449" s="378">
        <v>15.5</v>
      </c>
      <c r="AC449" s="378">
        <v>0.3</v>
      </c>
      <c r="AD449" s="378">
        <v>0.2</v>
      </c>
      <c r="AE449" s="31">
        <v>1.3</v>
      </c>
      <c r="AF449" s="31">
        <v>28</v>
      </c>
      <c r="AG449" s="31" t="s">
        <v>191</v>
      </c>
      <c r="AH449" s="31" t="s">
        <v>144</v>
      </c>
      <c r="AI449" s="31" t="s">
        <v>144</v>
      </c>
      <c r="AJ449" s="31" t="s">
        <v>144</v>
      </c>
      <c r="AK449" s="31" t="s">
        <v>144</v>
      </c>
      <c r="AL449" s="31" t="s">
        <v>325</v>
      </c>
      <c r="AM449" s="31" t="s">
        <v>144</v>
      </c>
      <c r="AN449" s="31" t="s">
        <v>475</v>
      </c>
      <c r="AO449" s="31" t="s">
        <v>1324</v>
      </c>
      <c r="AP449" s="31" t="s">
        <v>144</v>
      </c>
      <c r="AQ449" s="31" t="s">
        <v>144</v>
      </c>
      <c r="AR449" s="31" t="s">
        <v>144</v>
      </c>
      <c r="AS449" s="31"/>
      <c r="AT449" s="31"/>
      <c r="AU449" s="31"/>
    </row>
    <row r="450" spans="5:47" ht="15" customHeight="1" x14ac:dyDescent="0.25">
      <c r="E450" s="31" t="s">
        <v>137</v>
      </c>
      <c r="F450" s="31" t="s">
        <v>140</v>
      </c>
      <c r="G450" s="31" t="s">
        <v>377</v>
      </c>
      <c r="H450" s="31" t="s">
        <v>324</v>
      </c>
      <c r="I450" s="31" t="s">
        <v>481</v>
      </c>
      <c r="J450" s="31" t="s">
        <v>647</v>
      </c>
      <c r="K450" s="31" t="s">
        <v>966</v>
      </c>
      <c r="L450" s="31" t="s">
        <v>162</v>
      </c>
      <c r="M450" s="31" t="s">
        <v>144</v>
      </c>
      <c r="N450" s="31" t="s">
        <v>144</v>
      </c>
      <c r="O450" s="31" t="s">
        <v>144</v>
      </c>
      <c r="P450" s="31" t="s">
        <v>144</v>
      </c>
      <c r="Q450" s="31" t="s">
        <v>474</v>
      </c>
      <c r="R450" s="31" t="s">
        <v>443</v>
      </c>
      <c r="S450" s="31" t="s">
        <v>480</v>
      </c>
      <c r="T450" s="31" t="s">
        <v>478</v>
      </c>
      <c r="U450" s="31" t="s">
        <v>144</v>
      </c>
      <c r="V450" s="31" t="s">
        <v>144</v>
      </c>
      <c r="W450" s="31" t="s">
        <v>144</v>
      </c>
      <c r="X450" s="31" t="s">
        <v>144</v>
      </c>
      <c r="Y450" s="31"/>
      <c r="Z450" s="31" t="s">
        <v>144</v>
      </c>
      <c r="AA450" s="378">
        <v>16</v>
      </c>
      <c r="AB450" s="378">
        <v>15.5</v>
      </c>
      <c r="AC450" s="378">
        <v>0.3</v>
      </c>
      <c r="AD450" s="378">
        <v>0.2</v>
      </c>
      <c r="AE450" s="31">
        <v>1.3</v>
      </c>
      <c r="AF450" s="31">
        <v>28</v>
      </c>
      <c r="AG450" s="31" t="s">
        <v>191</v>
      </c>
      <c r="AH450" s="31" t="s">
        <v>144</v>
      </c>
      <c r="AI450" s="31" t="s">
        <v>144</v>
      </c>
      <c r="AJ450" s="31" t="s">
        <v>144</v>
      </c>
      <c r="AK450" s="31" t="s">
        <v>144</v>
      </c>
      <c r="AL450" s="31" t="s">
        <v>325</v>
      </c>
      <c r="AM450" s="31" t="s">
        <v>144</v>
      </c>
      <c r="AN450" s="31" t="s">
        <v>475</v>
      </c>
      <c r="AO450" s="31" t="s">
        <v>1324</v>
      </c>
      <c r="AP450" s="31" t="s">
        <v>144</v>
      </c>
      <c r="AQ450" s="31" t="s">
        <v>144</v>
      </c>
      <c r="AR450" s="31" t="s">
        <v>144</v>
      </c>
      <c r="AS450" s="31"/>
      <c r="AT450" s="31"/>
      <c r="AU450" s="31"/>
    </row>
    <row r="451" spans="5:47" ht="15" customHeight="1" x14ac:dyDescent="0.25">
      <c r="E451" s="31" t="s">
        <v>137</v>
      </c>
      <c r="F451" s="31" t="s">
        <v>140</v>
      </c>
      <c r="G451" s="31" t="s">
        <v>377</v>
      </c>
      <c r="H451" s="31" t="s">
        <v>324</v>
      </c>
      <c r="I451" s="31" t="s">
        <v>481</v>
      </c>
      <c r="J451" s="31" t="s">
        <v>647</v>
      </c>
      <c r="K451" s="31" t="s">
        <v>967</v>
      </c>
      <c r="L451" s="31" t="s">
        <v>162</v>
      </c>
      <c r="M451" s="31" t="s">
        <v>144</v>
      </c>
      <c r="N451" s="31" t="s">
        <v>144</v>
      </c>
      <c r="O451" s="31" t="s">
        <v>144</v>
      </c>
      <c r="P451" s="31" t="s">
        <v>144</v>
      </c>
      <c r="Q451" s="31" t="s">
        <v>474</v>
      </c>
      <c r="R451" s="31" t="s">
        <v>443</v>
      </c>
      <c r="S451" s="31" t="s">
        <v>480</v>
      </c>
      <c r="T451" s="31" t="s">
        <v>478</v>
      </c>
      <c r="U451" s="31" t="s">
        <v>144</v>
      </c>
      <c r="V451" s="31" t="s">
        <v>144</v>
      </c>
      <c r="W451" s="31" t="s">
        <v>144</v>
      </c>
      <c r="X451" s="31" t="s">
        <v>144</v>
      </c>
      <c r="Y451" s="31"/>
      <c r="Z451" s="31" t="s">
        <v>144</v>
      </c>
      <c r="AA451" s="378">
        <v>16</v>
      </c>
      <c r="AB451" s="378">
        <v>15.5</v>
      </c>
      <c r="AC451" s="378">
        <v>0.3</v>
      </c>
      <c r="AD451" s="378">
        <v>0.2</v>
      </c>
      <c r="AE451" s="31">
        <v>1.3</v>
      </c>
      <c r="AF451" s="31">
        <v>28</v>
      </c>
      <c r="AG451" s="31" t="s">
        <v>191</v>
      </c>
      <c r="AH451" s="31" t="s">
        <v>144</v>
      </c>
      <c r="AI451" s="31" t="s">
        <v>144</v>
      </c>
      <c r="AJ451" s="31" t="s">
        <v>144</v>
      </c>
      <c r="AK451" s="31" t="s">
        <v>144</v>
      </c>
      <c r="AL451" s="31" t="s">
        <v>325</v>
      </c>
      <c r="AM451" s="31" t="s">
        <v>144</v>
      </c>
      <c r="AN451" s="31" t="s">
        <v>475</v>
      </c>
      <c r="AO451" s="31" t="s">
        <v>1324</v>
      </c>
      <c r="AP451" s="31" t="s">
        <v>144</v>
      </c>
      <c r="AQ451" s="31" t="s">
        <v>144</v>
      </c>
      <c r="AR451" s="31" t="s">
        <v>144</v>
      </c>
      <c r="AS451" s="31"/>
      <c r="AT451" s="31"/>
      <c r="AU451" s="31"/>
    </row>
    <row r="452" spans="5:47" ht="15" customHeight="1" x14ac:dyDescent="0.25">
      <c r="E452" s="31" t="s">
        <v>137</v>
      </c>
      <c r="F452" s="31" t="s">
        <v>140</v>
      </c>
      <c r="G452" s="31" t="s">
        <v>377</v>
      </c>
      <c r="H452" s="31" t="s">
        <v>324</v>
      </c>
      <c r="I452" s="31" t="s">
        <v>481</v>
      </c>
      <c r="J452" s="31" t="s">
        <v>647</v>
      </c>
      <c r="K452" s="31" t="s">
        <v>968</v>
      </c>
      <c r="L452" s="31" t="s">
        <v>162</v>
      </c>
      <c r="M452" s="31" t="s">
        <v>144</v>
      </c>
      <c r="N452" s="31" t="s">
        <v>144</v>
      </c>
      <c r="O452" s="31" t="s">
        <v>144</v>
      </c>
      <c r="P452" s="31" t="s">
        <v>144</v>
      </c>
      <c r="Q452" s="31" t="s">
        <v>474</v>
      </c>
      <c r="R452" s="31" t="s">
        <v>443</v>
      </c>
      <c r="S452" s="31" t="s">
        <v>480</v>
      </c>
      <c r="T452" s="31" t="s">
        <v>478</v>
      </c>
      <c r="U452" s="31" t="s">
        <v>144</v>
      </c>
      <c r="V452" s="31" t="s">
        <v>144</v>
      </c>
      <c r="W452" s="31" t="s">
        <v>144</v>
      </c>
      <c r="X452" s="31" t="s">
        <v>144</v>
      </c>
      <c r="Y452" s="31"/>
      <c r="Z452" s="31" t="s">
        <v>144</v>
      </c>
      <c r="AA452" s="378">
        <v>16</v>
      </c>
      <c r="AB452" s="378">
        <v>15.5</v>
      </c>
      <c r="AC452" s="378">
        <v>0.3</v>
      </c>
      <c r="AD452" s="378">
        <v>0.2</v>
      </c>
      <c r="AE452" s="31">
        <v>1.3</v>
      </c>
      <c r="AF452" s="31">
        <v>28</v>
      </c>
      <c r="AG452" s="31" t="s">
        <v>191</v>
      </c>
      <c r="AH452" s="31" t="s">
        <v>144</v>
      </c>
      <c r="AI452" s="31" t="s">
        <v>144</v>
      </c>
      <c r="AJ452" s="31" t="s">
        <v>144</v>
      </c>
      <c r="AK452" s="31" t="s">
        <v>144</v>
      </c>
      <c r="AL452" s="31" t="s">
        <v>325</v>
      </c>
      <c r="AM452" s="31" t="s">
        <v>144</v>
      </c>
      <c r="AN452" s="31" t="s">
        <v>475</v>
      </c>
      <c r="AO452" s="31" t="s">
        <v>1324</v>
      </c>
      <c r="AP452" s="31" t="s">
        <v>144</v>
      </c>
      <c r="AQ452" s="31" t="s">
        <v>144</v>
      </c>
      <c r="AR452" s="31" t="s">
        <v>144</v>
      </c>
      <c r="AS452" s="31"/>
      <c r="AT452" s="31"/>
      <c r="AU452" s="31"/>
    </row>
    <row r="453" spans="5:47" ht="15" customHeight="1" x14ac:dyDescent="0.25">
      <c r="E453" s="31" t="s">
        <v>137</v>
      </c>
      <c r="F453" s="31" t="s">
        <v>140</v>
      </c>
      <c r="G453" s="31" t="s">
        <v>377</v>
      </c>
      <c r="H453" s="31" t="s">
        <v>324</v>
      </c>
      <c r="I453" s="31" t="s">
        <v>481</v>
      </c>
      <c r="J453" s="31" t="s">
        <v>647</v>
      </c>
      <c r="K453" s="31" t="s">
        <v>969</v>
      </c>
      <c r="L453" s="31" t="s">
        <v>162</v>
      </c>
      <c r="M453" s="31" t="s">
        <v>144</v>
      </c>
      <c r="N453" s="31" t="s">
        <v>144</v>
      </c>
      <c r="O453" s="31" t="s">
        <v>144</v>
      </c>
      <c r="P453" s="31" t="s">
        <v>144</v>
      </c>
      <c r="Q453" s="31" t="s">
        <v>474</v>
      </c>
      <c r="R453" s="31" t="s">
        <v>443</v>
      </c>
      <c r="S453" s="31" t="s">
        <v>480</v>
      </c>
      <c r="T453" s="31" t="s">
        <v>478</v>
      </c>
      <c r="U453" s="31" t="s">
        <v>144</v>
      </c>
      <c r="V453" s="31" t="s">
        <v>144</v>
      </c>
      <c r="W453" s="31" t="s">
        <v>144</v>
      </c>
      <c r="X453" s="31" t="s">
        <v>144</v>
      </c>
      <c r="Y453" s="31"/>
      <c r="Z453" s="31" t="s">
        <v>144</v>
      </c>
      <c r="AA453" s="378">
        <v>16</v>
      </c>
      <c r="AB453" s="378">
        <v>15.5</v>
      </c>
      <c r="AC453" s="378">
        <v>0.3</v>
      </c>
      <c r="AD453" s="378">
        <v>0.2</v>
      </c>
      <c r="AE453" s="31">
        <v>1.3</v>
      </c>
      <c r="AF453" s="31">
        <v>28</v>
      </c>
      <c r="AG453" s="31" t="s">
        <v>191</v>
      </c>
      <c r="AH453" s="31" t="s">
        <v>144</v>
      </c>
      <c r="AI453" s="31" t="s">
        <v>144</v>
      </c>
      <c r="AJ453" s="31" t="s">
        <v>144</v>
      </c>
      <c r="AK453" s="31" t="s">
        <v>144</v>
      </c>
      <c r="AL453" s="31" t="s">
        <v>325</v>
      </c>
      <c r="AM453" s="31" t="s">
        <v>144</v>
      </c>
      <c r="AN453" s="31" t="s">
        <v>475</v>
      </c>
      <c r="AO453" s="31" t="s">
        <v>1324</v>
      </c>
      <c r="AP453" s="31" t="s">
        <v>144</v>
      </c>
      <c r="AQ453" s="31" t="s">
        <v>144</v>
      </c>
      <c r="AR453" s="31" t="s">
        <v>144</v>
      </c>
      <c r="AS453" s="31"/>
      <c r="AT453" s="31"/>
      <c r="AU453" s="31"/>
    </row>
    <row r="454" spans="5:47" ht="15" customHeight="1" x14ac:dyDescent="0.25">
      <c r="E454" s="31" t="s">
        <v>137</v>
      </c>
      <c r="F454" s="31" t="s">
        <v>140</v>
      </c>
      <c r="G454" s="31" t="s">
        <v>377</v>
      </c>
      <c r="H454" s="31" t="s">
        <v>324</v>
      </c>
      <c r="I454" s="31" t="s">
        <v>481</v>
      </c>
      <c r="J454" s="31" t="s">
        <v>647</v>
      </c>
      <c r="K454" s="31" t="s">
        <v>970</v>
      </c>
      <c r="L454" s="31" t="s">
        <v>162</v>
      </c>
      <c r="M454" s="31" t="s">
        <v>144</v>
      </c>
      <c r="N454" s="31" t="s">
        <v>144</v>
      </c>
      <c r="O454" s="31" t="s">
        <v>144</v>
      </c>
      <c r="P454" s="31" t="s">
        <v>144</v>
      </c>
      <c r="Q454" s="31" t="s">
        <v>474</v>
      </c>
      <c r="R454" s="31" t="s">
        <v>443</v>
      </c>
      <c r="S454" s="31" t="s">
        <v>480</v>
      </c>
      <c r="T454" s="31" t="s">
        <v>478</v>
      </c>
      <c r="U454" s="31" t="s">
        <v>144</v>
      </c>
      <c r="V454" s="31" t="s">
        <v>144</v>
      </c>
      <c r="W454" s="31" t="s">
        <v>144</v>
      </c>
      <c r="X454" s="31" t="s">
        <v>144</v>
      </c>
      <c r="Y454" s="31"/>
      <c r="Z454" s="31" t="s">
        <v>144</v>
      </c>
      <c r="AA454" s="378">
        <v>16</v>
      </c>
      <c r="AB454" s="378">
        <v>15.5</v>
      </c>
      <c r="AC454" s="378">
        <v>0.3</v>
      </c>
      <c r="AD454" s="378">
        <v>0.2</v>
      </c>
      <c r="AE454" s="31">
        <v>1.3</v>
      </c>
      <c r="AF454" s="31">
        <v>28</v>
      </c>
      <c r="AG454" s="31" t="s">
        <v>191</v>
      </c>
      <c r="AH454" s="31" t="s">
        <v>144</v>
      </c>
      <c r="AI454" s="31" t="s">
        <v>144</v>
      </c>
      <c r="AJ454" s="31" t="s">
        <v>144</v>
      </c>
      <c r="AK454" s="31" t="s">
        <v>144</v>
      </c>
      <c r="AL454" s="31" t="s">
        <v>325</v>
      </c>
      <c r="AM454" s="31" t="s">
        <v>144</v>
      </c>
      <c r="AN454" s="31" t="s">
        <v>475</v>
      </c>
      <c r="AO454" s="31" t="s">
        <v>1324</v>
      </c>
      <c r="AP454" s="31" t="s">
        <v>144</v>
      </c>
      <c r="AQ454" s="31" t="s">
        <v>144</v>
      </c>
      <c r="AR454" s="31" t="s">
        <v>144</v>
      </c>
      <c r="AS454" s="31"/>
      <c r="AT454" s="31"/>
      <c r="AU454" s="31"/>
    </row>
    <row r="455" spans="5:47" ht="15" customHeight="1" x14ac:dyDescent="0.25">
      <c r="E455" s="31" t="s">
        <v>137</v>
      </c>
      <c r="F455" s="31" t="s">
        <v>140</v>
      </c>
      <c r="G455" s="31" t="s">
        <v>377</v>
      </c>
      <c r="H455" s="31" t="s">
        <v>324</v>
      </c>
      <c r="I455" s="31" t="s">
        <v>481</v>
      </c>
      <c r="J455" s="31" t="s">
        <v>647</v>
      </c>
      <c r="K455" s="31" t="s">
        <v>971</v>
      </c>
      <c r="L455" s="31" t="s">
        <v>162</v>
      </c>
      <c r="M455" s="31" t="s">
        <v>144</v>
      </c>
      <c r="N455" s="31" t="s">
        <v>144</v>
      </c>
      <c r="O455" s="31" t="s">
        <v>144</v>
      </c>
      <c r="P455" s="31" t="s">
        <v>144</v>
      </c>
      <c r="Q455" s="31" t="s">
        <v>474</v>
      </c>
      <c r="R455" s="31" t="s">
        <v>443</v>
      </c>
      <c r="S455" s="31" t="s">
        <v>480</v>
      </c>
      <c r="T455" s="31" t="s">
        <v>478</v>
      </c>
      <c r="U455" s="31" t="s">
        <v>144</v>
      </c>
      <c r="V455" s="31" t="s">
        <v>144</v>
      </c>
      <c r="W455" s="31" t="s">
        <v>144</v>
      </c>
      <c r="X455" s="31" t="s">
        <v>144</v>
      </c>
      <c r="Y455" s="31"/>
      <c r="Z455" s="31" t="s">
        <v>144</v>
      </c>
      <c r="AA455" s="378">
        <v>16</v>
      </c>
      <c r="AB455" s="378">
        <v>15.5</v>
      </c>
      <c r="AC455" s="378">
        <v>0.3</v>
      </c>
      <c r="AD455" s="378">
        <v>0.2</v>
      </c>
      <c r="AE455" s="31">
        <v>1.3</v>
      </c>
      <c r="AF455" s="31">
        <v>28</v>
      </c>
      <c r="AG455" s="31" t="s">
        <v>191</v>
      </c>
      <c r="AH455" s="31" t="s">
        <v>144</v>
      </c>
      <c r="AI455" s="31" t="s">
        <v>144</v>
      </c>
      <c r="AJ455" s="31" t="s">
        <v>144</v>
      </c>
      <c r="AK455" s="31" t="s">
        <v>144</v>
      </c>
      <c r="AL455" s="31" t="s">
        <v>325</v>
      </c>
      <c r="AM455" s="31" t="s">
        <v>144</v>
      </c>
      <c r="AN455" s="31" t="s">
        <v>475</v>
      </c>
      <c r="AO455" s="31" t="s">
        <v>1324</v>
      </c>
      <c r="AP455" s="31" t="s">
        <v>144</v>
      </c>
      <c r="AQ455" s="31" t="s">
        <v>144</v>
      </c>
      <c r="AR455" s="31" t="s">
        <v>144</v>
      </c>
      <c r="AS455" s="31"/>
      <c r="AT455" s="31"/>
      <c r="AU455" s="31"/>
    </row>
    <row r="456" spans="5:47" ht="15" customHeight="1" x14ac:dyDescent="0.25">
      <c r="E456" s="31" t="s">
        <v>137</v>
      </c>
      <c r="F456" s="31" t="s">
        <v>140</v>
      </c>
      <c r="G456" s="31" t="s">
        <v>377</v>
      </c>
      <c r="H456" s="31" t="s">
        <v>324</v>
      </c>
      <c r="I456" s="31" t="s">
        <v>481</v>
      </c>
      <c r="J456" s="31" t="s">
        <v>647</v>
      </c>
      <c r="K456" s="31" t="s">
        <v>972</v>
      </c>
      <c r="L456" s="31" t="s">
        <v>162</v>
      </c>
      <c r="M456" s="31" t="s">
        <v>144</v>
      </c>
      <c r="N456" s="31" t="s">
        <v>144</v>
      </c>
      <c r="O456" s="31" t="s">
        <v>144</v>
      </c>
      <c r="P456" s="31" t="s">
        <v>144</v>
      </c>
      <c r="Q456" s="31" t="s">
        <v>474</v>
      </c>
      <c r="R456" s="31" t="s">
        <v>443</v>
      </c>
      <c r="S456" s="31" t="s">
        <v>480</v>
      </c>
      <c r="T456" s="31" t="s">
        <v>478</v>
      </c>
      <c r="U456" s="31" t="s">
        <v>144</v>
      </c>
      <c r="V456" s="31" t="s">
        <v>144</v>
      </c>
      <c r="W456" s="31" t="s">
        <v>144</v>
      </c>
      <c r="X456" s="31" t="s">
        <v>144</v>
      </c>
      <c r="Y456" s="31"/>
      <c r="Z456" s="31" t="s">
        <v>144</v>
      </c>
      <c r="AA456" s="378">
        <v>16</v>
      </c>
      <c r="AB456" s="378">
        <v>15.5</v>
      </c>
      <c r="AC456" s="378">
        <v>0.3</v>
      </c>
      <c r="AD456" s="378">
        <v>0.2</v>
      </c>
      <c r="AE456" s="31">
        <v>1.3</v>
      </c>
      <c r="AF456" s="31">
        <v>28</v>
      </c>
      <c r="AG456" s="31" t="s">
        <v>191</v>
      </c>
      <c r="AH456" s="31" t="s">
        <v>144</v>
      </c>
      <c r="AI456" s="31" t="s">
        <v>144</v>
      </c>
      <c r="AJ456" s="31" t="s">
        <v>144</v>
      </c>
      <c r="AK456" s="31" t="s">
        <v>144</v>
      </c>
      <c r="AL456" s="31" t="s">
        <v>325</v>
      </c>
      <c r="AM456" s="31" t="s">
        <v>144</v>
      </c>
      <c r="AN456" s="31" t="s">
        <v>475</v>
      </c>
      <c r="AO456" s="31" t="s">
        <v>1324</v>
      </c>
      <c r="AP456" s="31" t="s">
        <v>144</v>
      </c>
      <c r="AQ456" s="31" t="s">
        <v>144</v>
      </c>
      <c r="AR456" s="31" t="s">
        <v>144</v>
      </c>
      <c r="AS456" s="31"/>
      <c r="AT456" s="31"/>
      <c r="AU456" s="31"/>
    </row>
    <row r="457" spans="5:47" ht="15" customHeight="1" x14ac:dyDescent="0.25">
      <c r="E457" s="31" t="s">
        <v>137</v>
      </c>
      <c r="F457" s="31" t="s">
        <v>140</v>
      </c>
      <c r="G457" s="31" t="s">
        <v>377</v>
      </c>
      <c r="H457" s="31" t="s">
        <v>324</v>
      </c>
      <c r="I457" s="31" t="s">
        <v>481</v>
      </c>
      <c r="J457" s="31" t="s">
        <v>647</v>
      </c>
      <c r="K457" s="31" t="s">
        <v>973</v>
      </c>
      <c r="L457" s="31" t="s">
        <v>162</v>
      </c>
      <c r="M457" s="31" t="s">
        <v>144</v>
      </c>
      <c r="N457" s="31" t="s">
        <v>144</v>
      </c>
      <c r="O457" s="31" t="s">
        <v>144</v>
      </c>
      <c r="P457" s="31" t="s">
        <v>144</v>
      </c>
      <c r="Q457" s="31" t="s">
        <v>474</v>
      </c>
      <c r="R457" s="31" t="s">
        <v>443</v>
      </c>
      <c r="S457" s="31" t="s">
        <v>480</v>
      </c>
      <c r="T457" s="31" t="s">
        <v>478</v>
      </c>
      <c r="U457" s="31" t="s">
        <v>144</v>
      </c>
      <c r="V457" s="31" t="s">
        <v>144</v>
      </c>
      <c r="W457" s="31" t="s">
        <v>144</v>
      </c>
      <c r="X457" s="31" t="s">
        <v>144</v>
      </c>
      <c r="Y457" s="31"/>
      <c r="Z457" s="31" t="s">
        <v>144</v>
      </c>
      <c r="AA457" s="378">
        <v>16</v>
      </c>
      <c r="AB457" s="378">
        <v>15.5</v>
      </c>
      <c r="AC457" s="378">
        <v>0.3</v>
      </c>
      <c r="AD457" s="378">
        <v>0.2</v>
      </c>
      <c r="AE457" s="31">
        <v>1.3</v>
      </c>
      <c r="AF457" s="31">
        <v>28</v>
      </c>
      <c r="AG457" s="31" t="s">
        <v>191</v>
      </c>
      <c r="AH457" s="31" t="s">
        <v>144</v>
      </c>
      <c r="AI457" s="31" t="s">
        <v>144</v>
      </c>
      <c r="AJ457" s="31" t="s">
        <v>144</v>
      </c>
      <c r="AK457" s="31" t="s">
        <v>144</v>
      </c>
      <c r="AL457" s="31" t="s">
        <v>325</v>
      </c>
      <c r="AM457" s="31" t="s">
        <v>144</v>
      </c>
      <c r="AN457" s="31" t="s">
        <v>475</v>
      </c>
      <c r="AO457" s="31" t="s">
        <v>1324</v>
      </c>
      <c r="AP457" s="31" t="s">
        <v>144</v>
      </c>
      <c r="AQ457" s="31" t="s">
        <v>144</v>
      </c>
      <c r="AR457" s="31" t="s">
        <v>144</v>
      </c>
      <c r="AS457" s="31"/>
      <c r="AT457" s="31"/>
      <c r="AU457" s="31"/>
    </row>
    <row r="458" spans="5:47" ht="15" customHeight="1" x14ac:dyDescent="0.25">
      <c r="E458" s="31" t="s">
        <v>137</v>
      </c>
      <c r="F458" s="31" t="s">
        <v>140</v>
      </c>
      <c r="G458" s="31" t="s">
        <v>377</v>
      </c>
      <c r="H458" s="31" t="s">
        <v>324</v>
      </c>
      <c r="I458" s="31" t="s">
        <v>481</v>
      </c>
      <c r="J458" s="31" t="s">
        <v>647</v>
      </c>
      <c r="K458" s="31" t="s">
        <v>974</v>
      </c>
      <c r="L458" s="31" t="s">
        <v>162</v>
      </c>
      <c r="M458" s="31" t="s">
        <v>144</v>
      </c>
      <c r="N458" s="31" t="s">
        <v>144</v>
      </c>
      <c r="O458" s="31" t="s">
        <v>144</v>
      </c>
      <c r="P458" s="31" t="s">
        <v>144</v>
      </c>
      <c r="Q458" s="31" t="s">
        <v>474</v>
      </c>
      <c r="R458" s="31" t="s">
        <v>443</v>
      </c>
      <c r="S458" s="31" t="s">
        <v>480</v>
      </c>
      <c r="T458" s="31" t="s">
        <v>478</v>
      </c>
      <c r="U458" s="31" t="s">
        <v>144</v>
      </c>
      <c r="V458" s="31" t="s">
        <v>144</v>
      </c>
      <c r="W458" s="31" t="s">
        <v>144</v>
      </c>
      <c r="X458" s="31" t="s">
        <v>144</v>
      </c>
      <c r="Y458" s="31"/>
      <c r="Z458" s="31" t="s">
        <v>144</v>
      </c>
      <c r="AA458" s="378">
        <v>16</v>
      </c>
      <c r="AB458" s="378">
        <v>15.5</v>
      </c>
      <c r="AC458" s="378">
        <v>0.3</v>
      </c>
      <c r="AD458" s="378">
        <v>0.2</v>
      </c>
      <c r="AE458" s="31">
        <v>1.3</v>
      </c>
      <c r="AF458" s="31">
        <v>28</v>
      </c>
      <c r="AG458" s="31" t="s">
        <v>191</v>
      </c>
      <c r="AH458" s="31" t="s">
        <v>144</v>
      </c>
      <c r="AI458" s="31" t="s">
        <v>144</v>
      </c>
      <c r="AJ458" s="31" t="s">
        <v>144</v>
      </c>
      <c r="AK458" s="31" t="s">
        <v>144</v>
      </c>
      <c r="AL458" s="31" t="s">
        <v>325</v>
      </c>
      <c r="AM458" s="31" t="s">
        <v>144</v>
      </c>
      <c r="AN458" s="31" t="s">
        <v>475</v>
      </c>
      <c r="AO458" s="31" t="s">
        <v>1324</v>
      </c>
      <c r="AP458" s="31" t="s">
        <v>144</v>
      </c>
      <c r="AQ458" s="31" t="s">
        <v>144</v>
      </c>
      <c r="AR458" s="31" t="s">
        <v>144</v>
      </c>
      <c r="AS458" s="31"/>
      <c r="AT458" s="31"/>
      <c r="AU458" s="31"/>
    </row>
    <row r="459" spans="5:47" ht="15" customHeight="1" x14ac:dyDescent="0.25">
      <c r="E459" s="31" t="s">
        <v>137</v>
      </c>
      <c r="F459" s="31" t="s">
        <v>140</v>
      </c>
      <c r="G459" s="31" t="s">
        <v>377</v>
      </c>
      <c r="H459" s="31" t="s">
        <v>324</v>
      </c>
      <c r="I459" s="31" t="s">
        <v>481</v>
      </c>
      <c r="J459" s="31" t="s">
        <v>647</v>
      </c>
      <c r="K459" s="31" t="s">
        <v>975</v>
      </c>
      <c r="L459" s="31" t="s">
        <v>162</v>
      </c>
      <c r="M459" s="31" t="s">
        <v>144</v>
      </c>
      <c r="N459" s="31" t="s">
        <v>144</v>
      </c>
      <c r="O459" s="31" t="s">
        <v>144</v>
      </c>
      <c r="P459" s="31" t="s">
        <v>144</v>
      </c>
      <c r="Q459" s="31" t="s">
        <v>474</v>
      </c>
      <c r="R459" s="31" t="s">
        <v>443</v>
      </c>
      <c r="S459" s="31" t="s">
        <v>480</v>
      </c>
      <c r="T459" s="31" t="s">
        <v>478</v>
      </c>
      <c r="U459" s="31" t="s">
        <v>144</v>
      </c>
      <c r="V459" s="31" t="s">
        <v>144</v>
      </c>
      <c r="W459" s="31" t="s">
        <v>144</v>
      </c>
      <c r="X459" s="31" t="s">
        <v>144</v>
      </c>
      <c r="Y459" s="31"/>
      <c r="Z459" s="31" t="s">
        <v>144</v>
      </c>
      <c r="AA459" s="378">
        <v>16</v>
      </c>
      <c r="AB459" s="378">
        <v>15.5</v>
      </c>
      <c r="AC459" s="378">
        <v>0.3</v>
      </c>
      <c r="AD459" s="378">
        <v>0.2</v>
      </c>
      <c r="AE459" s="31">
        <v>1.3</v>
      </c>
      <c r="AF459" s="31">
        <v>28</v>
      </c>
      <c r="AG459" s="31" t="s">
        <v>191</v>
      </c>
      <c r="AH459" s="31" t="s">
        <v>144</v>
      </c>
      <c r="AI459" s="31" t="s">
        <v>144</v>
      </c>
      <c r="AJ459" s="31" t="s">
        <v>144</v>
      </c>
      <c r="AK459" s="31" t="s">
        <v>144</v>
      </c>
      <c r="AL459" s="31" t="s">
        <v>325</v>
      </c>
      <c r="AM459" s="31" t="s">
        <v>144</v>
      </c>
      <c r="AN459" s="31" t="s">
        <v>475</v>
      </c>
      <c r="AO459" s="31" t="s">
        <v>1324</v>
      </c>
      <c r="AP459" s="31" t="s">
        <v>144</v>
      </c>
      <c r="AQ459" s="31" t="s">
        <v>144</v>
      </c>
      <c r="AR459" s="31" t="s">
        <v>144</v>
      </c>
      <c r="AS459" s="31"/>
      <c r="AT459" s="31"/>
      <c r="AU459" s="31"/>
    </row>
    <row r="460" spans="5:47" ht="15" customHeight="1" x14ac:dyDescent="0.25">
      <c r="E460" s="31" t="s">
        <v>137</v>
      </c>
      <c r="F460" s="31" t="s">
        <v>140</v>
      </c>
      <c r="G460" s="31" t="s">
        <v>377</v>
      </c>
      <c r="H460" s="31" t="s">
        <v>324</v>
      </c>
      <c r="I460" s="31" t="s">
        <v>481</v>
      </c>
      <c r="J460" s="31" t="s">
        <v>647</v>
      </c>
      <c r="K460" s="31" t="s">
        <v>976</v>
      </c>
      <c r="L460" s="31" t="s">
        <v>162</v>
      </c>
      <c r="M460" s="31" t="s">
        <v>144</v>
      </c>
      <c r="N460" s="31" t="s">
        <v>144</v>
      </c>
      <c r="O460" s="31" t="s">
        <v>144</v>
      </c>
      <c r="P460" s="31" t="s">
        <v>144</v>
      </c>
      <c r="Q460" s="31" t="s">
        <v>474</v>
      </c>
      <c r="R460" s="31" t="s">
        <v>443</v>
      </c>
      <c r="S460" s="31" t="s">
        <v>480</v>
      </c>
      <c r="T460" s="31" t="s">
        <v>478</v>
      </c>
      <c r="U460" s="31" t="s">
        <v>144</v>
      </c>
      <c r="V460" s="31" t="s">
        <v>144</v>
      </c>
      <c r="W460" s="31" t="s">
        <v>144</v>
      </c>
      <c r="X460" s="31" t="s">
        <v>144</v>
      </c>
      <c r="Y460" s="31"/>
      <c r="Z460" s="31" t="s">
        <v>144</v>
      </c>
      <c r="AA460" s="378">
        <v>16</v>
      </c>
      <c r="AB460" s="378">
        <v>15.5</v>
      </c>
      <c r="AC460" s="378">
        <v>0.3</v>
      </c>
      <c r="AD460" s="378">
        <v>0.2</v>
      </c>
      <c r="AE460" s="31">
        <v>1.3</v>
      </c>
      <c r="AF460" s="31">
        <v>28</v>
      </c>
      <c r="AG460" s="31" t="s">
        <v>191</v>
      </c>
      <c r="AH460" s="31" t="s">
        <v>144</v>
      </c>
      <c r="AI460" s="31" t="s">
        <v>144</v>
      </c>
      <c r="AJ460" s="31" t="s">
        <v>144</v>
      </c>
      <c r="AK460" s="31" t="s">
        <v>144</v>
      </c>
      <c r="AL460" s="31" t="s">
        <v>325</v>
      </c>
      <c r="AM460" s="31" t="s">
        <v>144</v>
      </c>
      <c r="AN460" s="31" t="s">
        <v>475</v>
      </c>
      <c r="AO460" s="31" t="s">
        <v>1324</v>
      </c>
      <c r="AP460" s="31" t="s">
        <v>144</v>
      </c>
      <c r="AQ460" s="31" t="s">
        <v>144</v>
      </c>
      <c r="AR460" s="31" t="s">
        <v>144</v>
      </c>
      <c r="AS460" s="31"/>
      <c r="AT460" s="31"/>
      <c r="AU460" s="31"/>
    </row>
    <row r="461" spans="5:47" ht="15" customHeight="1" x14ac:dyDescent="0.25">
      <c r="E461" s="31" t="s">
        <v>137</v>
      </c>
      <c r="F461" s="31" t="s">
        <v>140</v>
      </c>
      <c r="G461" s="31" t="s">
        <v>377</v>
      </c>
      <c r="H461" s="31" t="s">
        <v>324</v>
      </c>
      <c r="I461" s="31" t="s">
        <v>481</v>
      </c>
      <c r="J461" s="31" t="s">
        <v>647</v>
      </c>
      <c r="K461" s="31" t="s">
        <v>977</v>
      </c>
      <c r="L461" s="31" t="s">
        <v>162</v>
      </c>
      <c r="M461" s="31" t="s">
        <v>144</v>
      </c>
      <c r="N461" s="31" t="s">
        <v>144</v>
      </c>
      <c r="O461" s="31" t="s">
        <v>144</v>
      </c>
      <c r="P461" s="31" t="s">
        <v>144</v>
      </c>
      <c r="Q461" s="31" t="s">
        <v>474</v>
      </c>
      <c r="R461" s="31" t="s">
        <v>443</v>
      </c>
      <c r="S461" s="31" t="s">
        <v>480</v>
      </c>
      <c r="T461" s="31" t="s">
        <v>478</v>
      </c>
      <c r="U461" s="31" t="s">
        <v>144</v>
      </c>
      <c r="V461" s="31" t="s">
        <v>144</v>
      </c>
      <c r="W461" s="31" t="s">
        <v>144</v>
      </c>
      <c r="X461" s="31" t="s">
        <v>144</v>
      </c>
      <c r="Y461" s="31"/>
      <c r="Z461" s="31" t="s">
        <v>144</v>
      </c>
      <c r="AA461" s="378">
        <v>16</v>
      </c>
      <c r="AB461" s="378">
        <v>15.5</v>
      </c>
      <c r="AC461" s="378">
        <v>0.3</v>
      </c>
      <c r="AD461" s="378">
        <v>0.2</v>
      </c>
      <c r="AE461" s="31">
        <v>1.3</v>
      </c>
      <c r="AF461" s="31">
        <v>28</v>
      </c>
      <c r="AG461" s="31" t="s">
        <v>191</v>
      </c>
      <c r="AH461" s="31" t="s">
        <v>144</v>
      </c>
      <c r="AI461" s="31" t="s">
        <v>144</v>
      </c>
      <c r="AJ461" s="31" t="s">
        <v>144</v>
      </c>
      <c r="AK461" s="31" t="s">
        <v>144</v>
      </c>
      <c r="AL461" s="31" t="s">
        <v>325</v>
      </c>
      <c r="AM461" s="31" t="s">
        <v>144</v>
      </c>
      <c r="AN461" s="31" t="s">
        <v>475</v>
      </c>
      <c r="AO461" s="31" t="s">
        <v>1324</v>
      </c>
      <c r="AP461" s="31" t="s">
        <v>144</v>
      </c>
      <c r="AQ461" s="31" t="s">
        <v>144</v>
      </c>
      <c r="AR461" s="31" t="s">
        <v>144</v>
      </c>
      <c r="AS461" s="31"/>
      <c r="AT461" s="31"/>
      <c r="AU461" s="31"/>
    </row>
    <row r="462" spans="5:47" ht="15" customHeight="1" x14ac:dyDescent="0.25">
      <c r="E462" s="31" t="s">
        <v>137</v>
      </c>
      <c r="F462" s="31" t="s">
        <v>140</v>
      </c>
      <c r="G462" s="31" t="s">
        <v>377</v>
      </c>
      <c r="H462" s="31" t="s">
        <v>324</v>
      </c>
      <c r="I462" s="31" t="s">
        <v>481</v>
      </c>
      <c r="J462" s="31" t="s">
        <v>647</v>
      </c>
      <c r="K462" s="31" t="s">
        <v>978</v>
      </c>
      <c r="L462" s="31" t="s">
        <v>162</v>
      </c>
      <c r="M462" s="31" t="s">
        <v>144</v>
      </c>
      <c r="N462" s="31" t="s">
        <v>144</v>
      </c>
      <c r="O462" s="31" t="s">
        <v>144</v>
      </c>
      <c r="P462" s="31" t="s">
        <v>144</v>
      </c>
      <c r="Q462" s="31" t="s">
        <v>474</v>
      </c>
      <c r="R462" s="31" t="s">
        <v>443</v>
      </c>
      <c r="S462" s="31" t="s">
        <v>480</v>
      </c>
      <c r="T462" s="31" t="s">
        <v>478</v>
      </c>
      <c r="U462" s="31" t="s">
        <v>144</v>
      </c>
      <c r="V462" s="31" t="s">
        <v>144</v>
      </c>
      <c r="W462" s="31" t="s">
        <v>144</v>
      </c>
      <c r="X462" s="31" t="s">
        <v>144</v>
      </c>
      <c r="Y462" s="31"/>
      <c r="Z462" s="31" t="s">
        <v>144</v>
      </c>
      <c r="AA462" s="378">
        <v>16</v>
      </c>
      <c r="AB462" s="378">
        <v>15.5</v>
      </c>
      <c r="AC462" s="378">
        <v>0.3</v>
      </c>
      <c r="AD462" s="378">
        <v>0.2</v>
      </c>
      <c r="AE462" s="31">
        <v>1.3</v>
      </c>
      <c r="AF462" s="31">
        <v>28</v>
      </c>
      <c r="AG462" s="31" t="s">
        <v>191</v>
      </c>
      <c r="AH462" s="31" t="s">
        <v>144</v>
      </c>
      <c r="AI462" s="31" t="s">
        <v>144</v>
      </c>
      <c r="AJ462" s="31" t="s">
        <v>144</v>
      </c>
      <c r="AK462" s="31" t="s">
        <v>144</v>
      </c>
      <c r="AL462" s="31" t="s">
        <v>325</v>
      </c>
      <c r="AM462" s="31" t="s">
        <v>144</v>
      </c>
      <c r="AN462" s="31" t="s">
        <v>475</v>
      </c>
      <c r="AO462" s="31" t="s">
        <v>1324</v>
      </c>
      <c r="AP462" s="31" t="s">
        <v>144</v>
      </c>
      <c r="AQ462" s="31" t="s">
        <v>144</v>
      </c>
      <c r="AR462" s="31" t="s">
        <v>144</v>
      </c>
      <c r="AS462" s="31"/>
      <c r="AT462" s="31"/>
      <c r="AU462" s="31"/>
    </row>
    <row r="463" spans="5:47" ht="15" customHeight="1" x14ac:dyDescent="0.25">
      <c r="E463" s="31" t="s">
        <v>137</v>
      </c>
      <c r="F463" s="31" t="s">
        <v>140</v>
      </c>
      <c r="G463" s="31" t="s">
        <v>377</v>
      </c>
      <c r="H463" s="31" t="s">
        <v>324</v>
      </c>
      <c r="I463" s="31" t="s">
        <v>481</v>
      </c>
      <c r="J463" s="31" t="s">
        <v>647</v>
      </c>
      <c r="K463" s="31" t="s">
        <v>979</v>
      </c>
      <c r="L463" s="31" t="s">
        <v>162</v>
      </c>
      <c r="M463" s="31" t="s">
        <v>144</v>
      </c>
      <c r="N463" s="31" t="s">
        <v>144</v>
      </c>
      <c r="O463" s="31" t="s">
        <v>144</v>
      </c>
      <c r="P463" s="31" t="s">
        <v>144</v>
      </c>
      <c r="Q463" s="31" t="s">
        <v>474</v>
      </c>
      <c r="R463" s="31" t="s">
        <v>443</v>
      </c>
      <c r="S463" s="31" t="s">
        <v>480</v>
      </c>
      <c r="T463" s="31" t="s">
        <v>478</v>
      </c>
      <c r="U463" s="31" t="s">
        <v>144</v>
      </c>
      <c r="V463" s="31" t="s">
        <v>144</v>
      </c>
      <c r="W463" s="31" t="s">
        <v>144</v>
      </c>
      <c r="X463" s="31" t="s">
        <v>144</v>
      </c>
      <c r="Y463" s="31"/>
      <c r="Z463" s="31" t="s">
        <v>144</v>
      </c>
      <c r="AA463" s="378">
        <v>16</v>
      </c>
      <c r="AB463" s="378">
        <v>15.5</v>
      </c>
      <c r="AC463" s="378">
        <v>0.3</v>
      </c>
      <c r="AD463" s="378">
        <v>0.2</v>
      </c>
      <c r="AE463" s="31">
        <v>1.3</v>
      </c>
      <c r="AF463" s="31">
        <v>28</v>
      </c>
      <c r="AG463" s="31" t="s">
        <v>191</v>
      </c>
      <c r="AH463" s="31" t="s">
        <v>144</v>
      </c>
      <c r="AI463" s="31" t="s">
        <v>144</v>
      </c>
      <c r="AJ463" s="31" t="s">
        <v>144</v>
      </c>
      <c r="AK463" s="31" t="s">
        <v>144</v>
      </c>
      <c r="AL463" s="31" t="s">
        <v>325</v>
      </c>
      <c r="AM463" s="31" t="s">
        <v>144</v>
      </c>
      <c r="AN463" s="31" t="s">
        <v>475</v>
      </c>
      <c r="AO463" s="31" t="s">
        <v>1324</v>
      </c>
      <c r="AP463" s="31" t="s">
        <v>144</v>
      </c>
      <c r="AQ463" s="31" t="s">
        <v>144</v>
      </c>
      <c r="AR463" s="31" t="s">
        <v>144</v>
      </c>
      <c r="AS463" s="31"/>
      <c r="AT463" s="31"/>
      <c r="AU463" s="31"/>
    </row>
    <row r="464" spans="5:47" ht="15" customHeight="1" x14ac:dyDescent="0.25">
      <c r="E464" s="31" t="s">
        <v>137</v>
      </c>
      <c r="F464" s="31" t="s">
        <v>140</v>
      </c>
      <c r="G464" s="31" t="s">
        <v>377</v>
      </c>
      <c r="H464" s="31" t="s">
        <v>324</v>
      </c>
      <c r="I464" s="31" t="s">
        <v>481</v>
      </c>
      <c r="J464" s="31" t="s">
        <v>647</v>
      </c>
      <c r="K464" s="31" t="s">
        <v>980</v>
      </c>
      <c r="L464" s="31" t="s">
        <v>162</v>
      </c>
      <c r="M464" s="31" t="s">
        <v>144</v>
      </c>
      <c r="N464" s="31" t="s">
        <v>144</v>
      </c>
      <c r="O464" s="31" t="s">
        <v>144</v>
      </c>
      <c r="P464" s="31" t="s">
        <v>144</v>
      </c>
      <c r="Q464" s="31" t="s">
        <v>474</v>
      </c>
      <c r="R464" s="31" t="s">
        <v>443</v>
      </c>
      <c r="S464" s="31" t="s">
        <v>480</v>
      </c>
      <c r="T464" s="31" t="s">
        <v>478</v>
      </c>
      <c r="U464" s="31" t="s">
        <v>144</v>
      </c>
      <c r="V464" s="31" t="s">
        <v>144</v>
      </c>
      <c r="W464" s="31" t="s">
        <v>144</v>
      </c>
      <c r="X464" s="31" t="s">
        <v>144</v>
      </c>
      <c r="Y464" s="31"/>
      <c r="Z464" s="31" t="s">
        <v>144</v>
      </c>
      <c r="AA464" s="378">
        <v>16</v>
      </c>
      <c r="AB464" s="378">
        <v>15.5</v>
      </c>
      <c r="AC464" s="378">
        <v>0.3</v>
      </c>
      <c r="AD464" s="378">
        <v>0.2</v>
      </c>
      <c r="AE464" s="31">
        <v>1.3</v>
      </c>
      <c r="AF464" s="31">
        <v>28</v>
      </c>
      <c r="AG464" s="31" t="s">
        <v>191</v>
      </c>
      <c r="AH464" s="31" t="s">
        <v>144</v>
      </c>
      <c r="AI464" s="31" t="s">
        <v>144</v>
      </c>
      <c r="AJ464" s="31" t="s">
        <v>144</v>
      </c>
      <c r="AK464" s="31" t="s">
        <v>144</v>
      </c>
      <c r="AL464" s="31" t="s">
        <v>325</v>
      </c>
      <c r="AM464" s="31" t="s">
        <v>144</v>
      </c>
      <c r="AN464" s="31" t="s">
        <v>475</v>
      </c>
      <c r="AO464" s="31" t="s">
        <v>1324</v>
      </c>
      <c r="AP464" s="31" t="s">
        <v>144</v>
      </c>
      <c r="AQ464" s="31" t="s">
        <v>144</v>
      </c>
      <c r="AR464" s="31" t="s">
        <v>144</v>
      </c>
      <c r="AS464" s="31"/>
      <c r="AT464" s="31"/>
      <c r="AU464" s="31"/>
    </row>
    <row r="465" spans="5:47" ht="15" customHeight="1" x14ac:dyDescent="0.25">
      <c r="E465" s="31" t="s">
        <v>137</v>
      </c>
      <c r="F465" s="31" t="s">
        <v>140</v>
      </c>
      <c r="G465" s="31" t="s">
        <v>377</v>
      </c>
      <c r="H465" s="31" t="s">
        <v>324</v>
      </c>
      <c r="I465" s="31" t="s">
        <v>481</v>
      </c>
      <c r="J465" s="31" t="s">
        <v>647</v>
      </c>
      <c r="K465" s="31" t="s">
        <v>981</v>
      </c>
      <c r="L465" s="31" t="s">
        <v>162</v>
      </c>
      <c r="M465" s="31" t="s">
        <v>144</v>
      </c>
      <c r="N465" s="31" t="s">
        <v>144</v>
      </c>
      <c r="O465" s="31" t="s">
        <v>144</v>
      </c>
      <c r="P465" s="31" t="s">
        <v>144</v>
      </c>
      <c r="Q465" s="31" t="s">
        <v>474</v>
      </c>
      <c r="R465" s="31" t="s">
        <v>443</v>
      </c>
      <c r="S465" s="31" t="s">
        <v>480</v>
      </c>
      <c r="T465" s="31" t="s">
        <v>478</v>
      </c>
      <c r="U465" s="31" t="s">
        <v>144</v>
      </c>
      <c r="V465" s="31" t="s">
        <v>144</v>
      </c>
      <c r="W465" s="31" t="s">
        <v>144</v>
      </c>
      <c r="X465" s="31" t="s">
        <v>144</v>
      </c>
      <c r="Y465" s="31"/>
      <c r="Z465" s="31" t="s">
        <v>144</v>
      </c>
      <c r="AA465" s="378">
        <v>16</v>
      </c>
      <c r="AB465" s="378">
        <v>15.5</v>
      </c>
      <c r="AC465" s="378">
        <v>0.3</v>
      </c>
      <c r="AD465" s="378">
        <v>0.2</v>
      </c>
      <c r="AE465" s="31">
        <v>1.3</v>
      </c>
      <c r="AF465" s="31">
        <v>28</v>
      </c>
      <c r="AG465" s="31" t="s">
        <v>191</v>
      </c>
      <c r="AH465" s="31" t="s">
        <v>144</v>
      </c>
      <c r="AI465" s="31" t="s">
        <v>144</v>
      </c>
      <c r="AJ465" s="31" t="s">
        <v>144</v>
      </c>
      <c r="AK465" s="31" t="s">
        <v>144</v>
      </c>
      <c r="AL465" s="31" t="s">
        <v>325</v>
      </c>
      <c r="AM465" s="31" t="s">
        <v>144</v>
      </c>
      <c r="AN465" s="31" t="s">
        <v>475</v>
      </c>
      <c r="AO465" s="31" t="s">
        <v>1324</v>
      </c>
      <c r="AP465" s="31" t="s">
        <v>144</v>
      </c>
      <c r="AQ465" s="31" t="s">
        <v>144</v>
      </c>
      <c r="AR465" s="31" t="s">
        <v>144</v>
      </c>
      <c r="AS465" s="31"/>
      <c r="AT465" s="31"/>
      <c r="AU465" s="31"/>
    </row>
    <row r="466" spans="5:47" ht="15" customHeight="1" x14ac:dyDescent="0.25">
      <c r="E466" s="31" t="s">
        <v>137</v>
      </c>
      <c r="F466" s="31" t="s">
        <v>140</v>
      </c>
      <c r="G466" s="31" t="s">
        <v>377</v>
      </c>
      <c r="H466" s="31" t="s">
        <v>324</v>
      </c>
      <c r="I466" s="31" t="s">
        <v>481</v>
      </c>
      <c r="J466" s="31" t="s">
        <v>647</v>
      </c>
      <c r="K466" s="31" t="s">
        <v>982</v>
      </c>
      <c r="L466" s="31" t="s">
        <v>162</v>
      </c>
      <c r="M466" s="31" t="s">
        <v>144</v>
      </c>
      <c r="N466" s="31" t="s">
        <v>144</v>
      </c>
      <c r="O466" s="31" t="s">
        <v>144</v>
      </c>
      <c r="P466" s="31" t="s">
        <v>144</v>
      </c>
      <c r="Q466" s="31" t="s">
        <v>474</v>
      </c>
      <c r="R466" s="31" t="s">
        <v>443</v>
      </c>
      <c r="S466" s="31" t="s">
        <v>480</v>
      </c>
      <c r="T466" s="31" t="s">
        <v>478</v>
      </c>
      <c r="U466" s="31" t="s">
        <v>144</v>
      </c>
      <c r="V466" s="31" t="s">
        <v>144</v>
      </c>
      <c r="W466" s="31" t="s">
        <v>144</v>
      </c>
      <c r="X466" s="31" t="s">
        <v>144</v>
      </c>
      <c r="Y466" s="31"/>
      <c r="Z466" s="31" t="s">
        <v>144</v>
      </c>
      <c r="AA466" s="378">
        <v>16</v>
      </c>
      <c r="AB466" s="378">
        <v>15.5</v>
      </c>
      <c r="AC466" s="378">
        <v>0.3</v>
      </c>
      <c r="AD466" s="378">
        <v>0.2</v>
      </c>
      <c r="AE466" s="31">
        <v>1.3</v>
      </c>
      <c r="AF466" s="31">
        <v>28</v>
      </c>
      <c r="AG466" s="31" t="s">
        <v>191</v>
      </c>
      <c r="AH466" s="31" t="s">
        <v>144</v>
      </c>
      <c r="AI466" s="31" t="s">
        <v>144</v>
      </c>
      <c r="AJ466" s="31" t="s">
        <v>144</v>
      </c>
      <c r="AK466" s="31" t="s">
        <v>144</v>
      </c>
      <c r="AL466" s="31" t="s">
        <v>325</v>
      </c>
      <c r="AM466" s="31" t="s">
        <v>144</v>
      </c>
      <c r="AN466" s="31" t="s">
        <v>475</v>
      </c>
      <c r="AO466" s="31" t="s">
        <v>1324</v>
      </c>
      <c r="AP466" s="31" t="s">
        <v>144</v>
      </c>
      <c r="AQ466" s="31" t="s">
        <v>144</v>
      </c>
      <c r="AR466" s="31" t="s">
        <v>144</v>
      </c>
      <c r="AS466" s="31"/>
      <c r="AT466" s="31"/>
      <c r="AU466" s="31"/>
    </row>
    <row r="467" spans="5:47" ht="15" customHeight="1" x14ac:dyDescent="0.25">
      <c r="E467" s="31" t="s">
        <v>137</v>
      </c>
      <c r="F467" s="31" t="s">
        <v>140</v>
      </c>
      <c r="G467" s="31" t="s">
        <v>377</v>
      </c>
      <c r="H467" s="31" t="s">
        <v>324</v>
      </c>
      <c r="I467" s="31" t="s">
        <v>481</v>
      </c>
      <c r="J467" s="31" t="s">
        <v>647</v>
      </c>
      <c r="K467" s="31" t="s">
        <v>983</v>
      </c>
      <c r="L467" s="31" t="s">
        <v>162</v>
      </c>
      <c r="M467" s="31" t="s">
        <v>144</v>
      </c>
      <c r="N467" s="31" t="s">
        <v>144</v>
      </c>
      <c r="O467" s="31" t="s">
        <v>144</v>
      </c>
      <c r="P467" s="31" t="s">
        <v>144</v>
      </c>
      <c r="Q467" s="31" t="s">
        <v>474</v>
      </c>
      <c r="R467" s="31" t="s">
        <v>443</v>
      </c>
      <c r="S467" s="31" t="s">
        <v>480</v>
      </c>
      <c r="T467" s="31" t="s">
        <v>478</v>
      </c>
      <c r="U467" s="31" t="s">
        <v>144</v>
      </c>
      <c r="V467" s="31" t="s">
        <v>144</v>
      </c>
      <c r="W467" s="31" t="s">
        <v>144</v>
      </c>
      <c r="X467" s="31" t="s">
        <v>144</v>
      </c>
      <c r="Y467" s="31"/>
      <c r="Z467" s="31" t="s">
        <v>144</v>
      </c>
      <c r="AA467" s="378">
        <v>16</v>
      </c>
      <c r="AB467" s="378">
        <v>15.5</v>
      </c>
      <c r="AC467" s="378">
        <v>0.3</v>
      </c>
      <c r="AD467" s="378">
        <v>0.2</v>
      </c>
      <c r="AE467" s="31">
        <v>1.3</v>
      </c>
      <c r="AF467" s="31">
        <v>28</v>
      </c>
      <c r="AG467" s="31" t="s">
        <v>191</v>
      </c>
      <c r="AH467" s="31" t="s">
        <v>144</v>
      </c>
      <c r="AI467" s="31" t="s">
        <v>144</v>
      </c>
      <c r="AJ467" s="31" t="s">
        <v>144</v>
      </c>
      <c r="AK467" s="31" t="s">
        <v>144</v>
      </c>
      <c r="AL467" s="31" t="s">
        <v>325</v>
      </c>
      <c r="AM467" s="31" t="s">
        <v>144</v>
      </c>
      <c r="AN467" s="31" t="s">
        <v>475</v>
      </c>
      <c r="AO467" s="31" t="s">
        <v>1324</v>
      </c>
      <c r="AP467" s="31" t="s">
        <v>144</v>
      </c>
      <c r="AQ467" s="31" t="s">
        <v>144</v>
      </c>
      <c r="AR467" s="31" t="s">
        <v>144</v>
      </c>
      <c r="AS467" s="31"/>
      <c r="AT467" s="31"/>
      <c r="AU467" s="31"/>
    </row>
    <row r="468" spans="5:47" ht="15" customHeight="1" x14ac:dyDescent="0.25">
      <c r="E468" s="31" t="s">
        <v>137</v>
      </c>
      <c r="F468" s="31" t="s">
        <v>140</v>
      </c>
      <c r="G468" s="31" t="s">
        <v>377</v>
      </c>
      <c r="H468" s="31" t="s">
        <v>324</v>
      </c>
      <c r="I468" s="31" t="s">
        <v>481</v>
      </c>
      <c r="J468" s="31" t="s">
        <v>647</v>
      </c>
      <c r="K468" s="31" t="s">
        <v>984</v>
      </c>
      <c r="L468" s="31" t="s">
        <v>162</v>
      </c>
      <c r="M468" s="31" t="s">
        <v>144</v>
      </c>
      <c r="N468" s="31" t="s">
        <v>144</v>
      </c>
      <c r="O468" s="31" t="s">
        <v>144</v>
      </c>
      <c r="P468" s="31" t="s">
        <v>144</v>
      </c>
      <c r="Q468" s="31" t="s">
        <v>474</v>
      </c>
      <c r="R468" s="31" t="s">
        <v>443</v>
      </c>
      <c r="S468" s="31" t="s">
        <v>480</v>
      </c>
      <c r="T468" s="31" t="s">
        <v>478</v>
      </c>
      <c r="U468" s="31" t="s">
        <v>144</v>
      </c>
      <c r="V468" s="31" t="s">
        <v>144</v>
      </c>
      <c r="W468" s="31" t="s">
        <v>144</v>
      </c>
      <c r="X468" s="31" t="s">
        <v>144</v>
      </c>
      <c r="Y468" s="31"/>
      <c r="Z468" s="31" t="s">
        <v>144</v>
      </c>
      <c r="AA468" s="378">
        <v>16</v>
      </c>
      <c r="AB468" s="378">
        <v>15.5</v>
      </c>
      <c r="AC468" s="378">
        <v>0.3</v>
      </c>
      <c r="AD468" s="378">
        <v>0.2</v>
      </c>
      <c r="AE468" s="31">
        <v>1.3</v>
      </c>
      <c r="AF468" s="31">
        <v>28</v>
      </c>
      <c r="AG468" s="31" t="s">
        <v>191</v>
      </c>
      <c r="AH468" s="31" t="s">
        <v>144</v>
      </c>
      <c r="AI468" s="31" t="s">
        <v>144</v>
      </c>
      <c r="AJ468" s="31" t="s">
        <v>144</v>
      </c>
      <c r="AK468" s="31" t="s">
        <v>144</v>
      </c>
      <c r="AL468" s="31" t="s">
        <v>325</v>
      </c>
      <c r="AM468" s="31" t="s">
        <v>144</v>
      </c>
      <c r="AN468" s="31" t="s">
        <v>475</v>
      </c>
      <c r="AO468" s="31" t="s">
        <v>1324</v>
      </c>
      <c r="AP468" s="31" t="s">
        <v>144</v>
      </c>
      <c r="AQ468" s="31" t="s">
        <v>144</v>
      </c>
      <c r="AR468" s="31" t="s">
        <v>144</v>
      </c>
      <c r="AS468" s="31"/>
      <c r="AT468" s="31"/>
      <c r="AU468" s="31"/>
    </row>
    <row r="469" spans="5:47" ht="15" customHeight="1" x14ac:dyDescent="0.25">
      <c r="E469" s="31" t="s">
        <v>137</v>
      </c>
      <c r="F469" s="31" t="s">
        <v>140</v>
      </c>
      <c r="G469" s="31" t="s">
        <v>377</v>
      </c>
      <c r="H469" s="31" t="s">
        <v>324</v>
      </c>
      <c r="I469" s="31" t="s">
        <v>481</v>
      </c>
      <c r="J469" s="31" t="s">
        <v>647</v>
      </c>
      <c r="K469" s="31" t="s">
        <v>985</v>
      </c>
      <c r="L469" s="31" t="s">
        <v>162</v>
      </c>
      <c r="M469" s="31" t="s">
        <v>144</v>
      </c>
      <c r="N469" s="31" t="s">
        <v>144</v>
      </c>
      <c r="O469" s="31" t="s">
        <v>144</v>
      </c>
      <c r="P469" s="31" t="s">
        <v>144</v>
      </c>
      <c r="Q469" s="31" t="s">
        <v>474</v>
      </c>
      <c r="R469" s="31" t="s">
        <v>443</v>
      </c>
      <c r="S469" s="31" t="s">
        <v>480</v>
      </c>
      <c r="T469" s="31" t="s">
        <v>478</v>
      </c>
      <c r="U469" s="31" t="s">
        <v>144</v>
      </c>
      <c r="V469" s="31" t="s">
        <v>144</v>
      </c>
      <c r="W469" s="31" t="s">
        <v>144</v>
      </c>
      <c r="X469" s="31" t="s">
        <v>144</v>
      </c>
      <c r="Y469" s="31"/>
      <c r="Z469" s="31" t="s">
        <v>144</v>
      </c>
      <c r="AA469" s="378">
        <v>16</v>
      </c>
      <c r="AB469" s="378">
        <v>15.5</v>
      </c>
      <c r="AC469" s="378">
        <v>0.3</v>
      </c>
      <c r="AD469" s="378">
        <v>0.2</v>
      </c>
      <c r="AE469" s="31">
        <v>1.3</v>
      </c>
      <c r="AF469" s="31">
        <v>28</v>
      </c>
      <c r="AG469" s="31" t="s">
        <v>191</v>
      </c>
      <c r="AH469" s="31" t="s">
        <v>144</v>
      </c>
      <c r="AI469" s="31" t="s">
        <v>144</v>
      </c>
      <c r="AJ469" s="31" t="s">
        <v>144</v>
      </c>
      <c r="AK469" s="31" t="s">
        <v>144</v>
      </c>
      <c r="AL469" s="31" t="s">
        <v>325</v>
      </c>
      <c r="AM469" s="31" t="s">
        <v>144</v>
      </c>
      <c r="AN469" s="31" t="s">
        <v>475</v>
      </c>
      <c r="AO469" s="31" t="s">
        <v>1324</v>
      </c>
      <c r="AP469" s="31" t="s">
        <v>144</v>
      </c>
      <c r="AQ469" s="31" t="s">
        <v>144</v>
      </c>
      <c r="AR469" s="31" t="s">
        <v>144</v>
      </c>
      <c r="AS469" s="31"/>
      <c r="AT469" s="31"/>
      <c r="AU469" s="31"/>
    </row>
    <row r="470" spans="5:47" ht="15" customHeight="1" x14ac:dyDescent="0.25">
      <c r="E470" s="31" t="s">
        <v>137</v>
      </c>
      <c r="F470" s="31" t="s">
        <v>140</v>
      </c>
      <c r="G470" s="31" t="s">
        <v>377</v>
      </c>
      <c r="H470" s="31" t="s">
        <v>324</v>
      </c>
      <c r="I470" s="31" t="s">
        <v>481</v>
      </c>
      <c r="J470" s="31" t="s">
        <v>647</v>
      </c>
      <c r="K470" s="31" t="s">
        <v>986</v>
      </c>
      <c r="L470" s="31" t="s">
        <v>162</v>
      </c>
      <c r="M470" s="31" t="s">
        <v>144</v>
      </c>
      <c r="N470" s="31" t="s">
        <v>144</v>
      </c>
      <c r="O470" s="31" t="s">
        <v>144</v>
      </c>
      <c r="P470" s="31" t="s">
        <v>144</v>
      </c>
      <c r="Q470" s="31" t="s">
        <v>474</v>
      </c>
      <c r="R470" s="31" t="s">
        <v>443</v>
      </c>
      <c r="S470" s="31" t="s">
        <v>480</v>
      </c>
      <c r="T470" s="31" t="s">
        <v>478</v>
      </c>
      <c r="U470" s="31" t="s">
        <v>144</v>
      </c>
      <c r="V470" s="31" t="s">
        <v>144</v>
      </c>
      <c r="W470" s="31" t="s">
        <v>144</v>
      </c>
      <c r="X470" s="31" t="s">
        <v>144</v>
      </c>
      <c r="Y470" s="31"/>
      <c r="Z470" s="31" t="s">
        <v>144</v>
      </c>
      <c r="AA470" s="378">
        <v>16</v>
      </c>
      <c r="AB470" s="378">
        <v>15.5</v>
      </c>
      <c r="AC470" s="378">
        <v>0.3</v>
      </c>
      <c r="AD470" s="378">
        <v>0.2</v>
      </c>
      <c r="AE470" s="31">
        <v>1.3</v>
      </c>
      <c r="AF470" s="31">
        <v>28</v>
      </c>
      <c r="AG470" s="31" t="s">
        <v>191</v>
      </c>
      <c r="AH470" s="31" t="s">
        <v>144</v>
      </c>
      <c r="AI470" s="31" t="s">
        <v>144</v>
      </c>
      <c r="AJ470" s="31" t="s">
        <v>144</v>
      </c>
      <c r="AK470" s="31" t="s">
        <v>144</v>
      </c>
      <c r="AL470" s="31" t="s">
        <v>325</v>
      </c>
      <c r="AM470" s="31" t="s">
        <v>144</v>
      </c>
      <c r="AN470" s="31" t="s">
        <v>475</v>
      </c>
      <c r="AO470" s="31" t="s">
        <v>1324</v>
      </c>
      <c r="AP470" s="31" t="s">
        <v>144</v>
      </c>
      <c r="AQ470" s="31" t="s">
        <v>144</v>
      </c>
      <c r="AR470" s="31" t="s">
        <v>144</v>
      </c>
      <c r="AS470" s="31"/>
      <c r="AT470" s="31"/>
      <c r="AU470" s="31"/>
    </row>
    <row r="471" spans="5:47" ht="15" customHeight="1" x14ac:dyDescent="0.25">
      <c r="E471" s="31" t="s">
        <v>137</v>
      </c>
      <c r="F471" s="31" t="s">
        <v>140</v>
      </c>
      <c r="G471" s="31" t="s">
        <v>377</v>
      </c>
      <c r="H471" s="31" t="s">
        <v>324</v>
      </c>
      <c r="I471" s="31" t="s">
        <v>481</v>
      </c>
      <c r="J471" s="31" t="s">
        <v>647</v>
      </c>
      <c r="K471" s="31" t="s">
        <v>987</v>
      </c>
      <c r="L471" s="31" t="s">
        <v>162</v>
      </c>
      <c r="M471" s="31" t="s">
        <v>144</v>
      </c>
      <c r="N471" s="31" t="s">
        <v>144</v>
      </c>
      <c r="O471" s="31" t="s">
        <v>144</v>
      </c>
      <c r="P471" s="31" t="s">
        <v>144</v>
      </c>
      <c r="Q471" s="31" t="s">
        <v>474</v>
      </c>
      <c r="R471" s="31" t="s">
        <v>443</v>
      </c>
      <c r="S471" s="31" t="s">
        <v>480</v>
      </c>
      <c r="T471" s="31" t="s">
        <v>478</v>
      </c>
      <c r="U471" s="31" t="s">
        <v>144</v>
      </c>
      <c r="V471" s="31" t="s">
        <v>144</v>
      </c>
      <c r="W471" s="31" t="s">
        <v>144</v>
      </c>
      <c r="X471" s="31" t="s">
        <v>144</v>
      </c>
      <c r="Y471" s="31"/>
      <c r="Z471" s="31" t="s">
        <v>144</v>
      </c>
      <c r="AA471" s="378">
        <v>16</v>
      </c>
      <c r="AB471" s="378">
        <v>15.5</v>
      </c>
      <c r="AC471" s="378">
        <v>0.3</v>
      </c>
      <c r="AD471" s="378">
        <v>0.2</v>
      </c>
      <c r="AE471" s="31">
        <v>1.3</v>
      </c>
      <c r="AF471" s="31">
        <v>28</v>
      </c>
      <c r="AG471" s="31" t="s">
        <v>191</v>
      </c>
      <c r="AH471" s="31" t="s">
        <v>144</v>
      </c>
      <c r="AI471" s="31" t="s">
        <v>144</v>
      </c>
      <c r="AJ471" s="31" t="s">
        <v>144</v>
      </c>
      <c r="AK471" s="31" t="s">
        <v>144</v>
      </c>
      <c r="AL471" s="31" t="s">
        <v>325</v>
      </c>
      <c r="AM471" s="31" t="s">
        <v>144</v>
      </c>
      <c r="AN471" s="31" t="s">
        <v>475</v>
      </c>
      <c r="AO471" s="31" t="s">
        <v>1324</v>
      </c>
      <c r="AP471" s="31" t="s">
        <v>144</v>
      </c>
      <c r="AQ471" s="31" t="s">
        <v>144</v>
      </c>
      <c r="AR471" s="31" t="s">
        <v>144</v>
      </c>
      <c r="AS471" s="31"/>
      <c r="AT471" s="31"/>
      <c r="AU471" s="31"/>
    </row>
    <row r="472" spans="5:47" ht="15" customHeight="1" x14ac:dyDescent="0.25">
      <c r="E472" s="31" t="s">
        <v>137</v>
      </c>
      <c r="F472" s="31" t="s">
        <v>140</v>
      </c>
      <c r="G472" s="31" t="s">
        <v>377</v>
      </c>
      <c r="H472" s="31" t="s">
        <v>324</v>
      </c>
      <c r="I472" s="31" t="s">
        <v>481</v>
      </c>
      <c r="J472" s="31" t="s">
        <v>647</v>
      </c>
      <c r="K472" s="31" t="s">
        <v>988</v>
      </c>
      <c r="L472" s="31" t="s">
        <v>162</v>
      </c>
      <c r="M472" s="31" t="s">
        <v>144</v>
      </c>
      <c r="N472" s="31" t="s">
        <v>144</v>
      </c>
      <c r="O472" s="31" t="s">
        <v>144</v>
      </c>
      <c r="P472" s="31" t="s">
        <v>144</v>
      </c>
      <c r="Q472" s="31" t="s">
        <v>474</v>
      </c>
      <c r="R472" s="31" t="s">
        <v>443</v>
      </c>
      <c r="S472" s="31" t="s">
        <v>480</v>
      </c>
      <c r="T472" s="31" t="s">
        <v>478</v>
      </c>
      <c r="U472" s="31" t="s">
        <v>144</v>
      </c>
      <c r="V472" s="31" t="s">
        <v>144</v>
      </c>
      <c r="W472" s="31" t="s">
        <v>144</v>
      </c>
      <c r="X472" s="31" t="s">
        <v>144</v>
      </c>
      <c r="Y472" s="31"/>
      <c r="Z472" s="31" t="s">
        <v>144</v>
      </c>
      <c r="AA472" s="378">
        <v>16</v>
      </c>
      <c r="AB472" s="378">
        <v>15.5</v>
      </c>
      <c r="AC472" s="378">
        <v>0.3</v>
      </c>
      <c r="AD472" s="378">
        <v>0.2</v>
      </c>
      <c r="AE472" s="31">
        <v>1.3</v>
      </c>
      <c r="AF472" s="31">
        <v>28</v>
      </c>
      <c r="AG472" s="31" t="s">
        <v>191</v>
      </c>
      <c r="AH472" s="31" t="s">
        <v>144</v>
      </c>
      <c r="AI472" s="31" t="s">
        <v>144</v>
      </c>
      <c r="AJ472" s="31" t="s">
        <v>144</v>
      </c>
      <c r="AK472" s="31" t="s">
        <v>144</v>
      </c>
      <c r="AL472" s="31" t="s">
        <v>325</v>
      </c>
      <c r="AM472" s="31" t="s">
        <v>144</v>
      </c>
      <c r="AN472" s="31" t="s">
        <v>475</v>
      </c>
      <c r="AO472" s="31" t="s">
        <v>1324</v>
      </c>
      <c r="AP472" s="31" t="s">
        <v>144</v>
      </c>
      <c r="AQ472" s="31" t="s">
        <v>144</v>
      </c>
      <c r="AR472" s="31" t="s">
        <v>144</v>
      </c>
      <c r="AS472" s="31"/>
      <c r="AT472" s="31"/>
      <c r="AU472" s="31"/>
    </row>
    <row r="473" spans="5:47" ht="15" customHeight="1" x14ac:dyDescent="0.25">
      <c r="E473" s="31" t="s">
        <v>137</v>
      </c>
      <c r="F473" s="31" t="s">
        <v>140</v>
      </c>
      <c r="G473" s="31" t="s">
        <v>377</v>
      </c>
      <c r="H473" s="31" t="s">
        <v>324</v>
      </c>
      <c r="I473" s="31" t="s">
        <v>481</v>
      </c>
      <c r="J473" s="31" t="s">
        <v>647</v>
      </c>
      <c r="K473" s="31" t="s">
        <v>989</v>
      </c>
      <c r="L473" s="31" t="s">
        <v>162</v>
      </c>
      <c r="M473" s="31" t="s">
        <v>144</v>
      </c>
      <c r="N473" s="31" t="s">
        <v>144</v>
      </c>
      <c r="O473" s="31" t="s">
        <v>144</v>
      </c>
      <c r="P473" s="31" t="s">
        <v>144</v>
      </c>
      <c r="Q473" s="31" t="s">
        <v>474</v>
      </c>
      <c r="R473" s="31" t="s">
        <v>443</v>
      </c>
      <c r="S473" s="31" t="s">
        <v>480</v>
      </c>
      <c r="T473" s="31" t="s">
        <v>478</v>
      </c>
      <c r="U473" s="31" t="s">
        <v>144</v>
      </c>
      <c r="V473" s="31" t="s">
        <v>144</v>
      </c>
      <c r="W473" s="31" t="s">
        <v>144</v>
      </c>
      <c r="X473" s="31" t="s">
        <v>144</v>
      </c>
      <c r="Y473" s="31"/>
      <c r="Z473" s="31" t="s">
        <v>144</v>
      </c>
      <c r="AA473" s="378">
        <v>16</v>
      </c>
      <c r="AB473" s="378">
        <v>15.5</v>
      </c>
      <c r="AC473" s="378">
        <v>0.3</v>
      </c>
      <c r="AD473" s="378">
        <v>0.2</v>
      </c>
      <c r="AE473" s="31">
        <v>1.3</v>
      </c>
      <c r="AF473" s="31">
        <v>28</v>
      </c>
      <c r="AG473" s="31" t="s">
        <v>191</v>
      </c>
      <c r="AH473" s="31" t="s">
        <v>144</v>
      </c>
      <c r="AI473" s="31" t="s">
        <v>144</v>
      </c>
      <c r="AJ473" s="31" t="s">
        <v>144</v>
      </c>
      <c r="AK473" s="31" t="s">
        <v>144</v>
      </c>
      <c r="AL473" s="31" t="s">
        <v>325</v>
      </c>
      <c r="AM473" s="31" t="s">
        <v>144</v>
      </c>
      <c r="AN473" s="31" t="s">
        <v>475</v>
      </c>
      <c r="AO473" s="31" t="s">
        <v>1324</v>
      </c>
      <c r="AP473" s="31" t="s">
        <v>144</v>
      </c>
      <c r="AQ473" s="31" t="s">
        <v>144</v>
      </c>
      <c r="AR473" s="31" t="s">
        <v>144</v>
      </c>
      <c r="AS473" s="31"/>
      <c r="AT473" s="31"/>
      <c r="AU473" s="31"/>
    </row>
    <row r="474" spans="5:47" ht="15" customHeight="1" x14ac:dyDescent="0.25">
      <c r="E474" s="31" t="s">
        <v>137</v>
      </c>
      <c r="F474" s="31" t="s">
        <v>140</v>
      </c>
      <c r="G474" s="31" t="s">
        <v>377</v>
      </c>
      <c r="H474" s="31" t="s">
        <v>324</v>
      </c>
      <c r="I474" s="31" t="s">
        <v>481</v>
      </c>
      <c r="J474" s="31" t="s">
        <v>647</v>
      </c>
      <c r="K474" s="31" t="s">
        <v>990</v>
      </c>
      <c r="L474" s="31" t="s">
        <v>162</v>
      </c>
      <c r="M474" s="31" t="s">
        <v>144</v>
      </c>
      <c r="N474" s="31" t="s">
        <v>144</v>
      </c>
      <c r="O474" s="31" t="s">
        <v>144</v>
      </c>
      <c r="P474" s="31" t="s">
        <v>144</v>
      </c>
      <c r="Q474" s="31" t="s">
        <v>474</v>
      </c>
      <c r="R474" s="31" t="s">
        <v>443</v>
      </c>
      <c r="S474" s="31" t="s">
        <v>480</v>
      </c>
      <c r="T474" s="31" t="s">
        <v>478</v>
      </c>
      <c r="U474" s="31" t="s">
        <v>144</v>
      </c>
      <c r="V474" s="31" t="s">
        <v>144</v>
      </c>
      <c r="W474" s="31" t="s">
        <v>144</v>
      </c>
      <c r="X474" s="31" t="s">
        <v>144</v>
      </c>
      <c r="Y474" s="31"/>
      <c r="Z474" s="31" t="s">
        <v>144</v>
      </c>
      <c r="AA474" s="378">
        <v>16</v>
      </c>
      <c r="AB474" s="378">
        <v>15.5</v>
      </c>
      <c r="AC474" s="378">
        <v>0.3</v>
      </c>
      <c r="AD474" s="378">
        <v>0.2</v>
      </c>
      <c r="AE474" s="31">
        <v>1.3</v>
      </c>
      <c r="AF474" s="31">
        <v>28</v>
      </c>
      <c r="AG474" s="31" t="s">
        <v>191</v>
      </c>
      <c r="AH474" s="31" t="s">
        <v>144</v>
      </c>
      <c r="AI474" s="31" t="s">
        <v>144</v>
      </c>
      <c r="AJ474" s="31" t="s">
        <v>144</v>
      </c>
      <c r="AK474" s="31" t="s">
        <v>144</v>
      </c>
      <c r="AL474" s="31" t="s">
        <v>325</v>
      </c>
      <c r="AM474" s="31" t="s">
        <v>144</v>
      </c>
      <c r="AN474" s="31" t="s">
        <v>475</v>
      </c>
      <c r="AO474" s="31" t="s">
        <v>1324</v>
      </c>
      <c r="AP474" s="31" t="s">
        <v>144</v>
      </c>
      <c r="AQ474" s="31" t="s">
        <v>144</v>
      </c>
      <c r="AR474" s="31" t="s">
        <v>144</v>
      </c>
      <c r="AS474" s="31"/>
      <c r="AT474" s="31"/>
      <c r="AU474" s="31"/>
    </row>
    <row r="475" spans="5:47" ht="15" customHeight="1" x14ac:dyDescent="0.25">
      <c r="E475" s="31" t="s">
        <v>137</v>
      </c>
      <c r="F475" s="31" t="s">
        <v>140</v>
      </c>
      <c r="G475" s="31" t="s">
        <v>377</v>
      </c>
      <c r="H475" s="31" t="s">
        <v>324</v>
      </c>
      <c r="I475" s="31" t="s">
        <v>481</v>
      </c>
      <c r="J475" s="31" t="s">
        <v>647</v>
      </c>
      <c r="K475" s="31" t="s">
        <v>991</v>
      </c>
      <c r="L475" s="31" t="s">
        <v>162</v>
      </c>
      <c r="M475" s="31" t="s">
        <v>144</v>
      </c>
      <c r="N475" s="31" t="s">
        <v>144</v>
      </c>
      <c r="O475" s="31" t="s">
        <v>144</v>
      </c>
      <c r="P475" s="31" t="s">
        <v>144</v>
      </c>
      <c r="Q475" s="31" t="s">
        <v>474</v>
      </c>
      <c r="R475" s="31" t="s">
        <v>443</v>
      </c>
      <c r="S475" s="31" t="s">
        <v>480</v>
      </c>
      <c r="T475" s="31" t="s">
        <v>478</v>
      </c>
      <c r="U475" s="31" t="s">
        <v>144</v>
      </c>
      <c r="V475" s="31" t="s">
        <v>144</v>
      </c>
      <c r="W475" s="31" t="s">
        <v>144</v>
      </c>
      <c r="X475" s="31" t="s">
        <v>144</v>
      </c>
      <c r="Y475" s="31"/>
      <c r="Z475" s="31" t="s">
        <v>144</v>
      </c>
      <c r="AA475" s="378">
        <v>16</v>
      </c>
      <c r="AB475" s="378">
        <v>15.5</v>
      </c>
      <c r="AC475" s="378">
        <v>0.3</v>
      </c>
      <c r="AD475" s="378">
        <v>0.2</v>
      </c>
      <c r="AE475" s="31">
        <v>1.3</v>
      </c>
      <c r="AF475" s="31">
        <v>28</v>
      </c>
      <c r="AG475" s="31" t="s">
        <v>191</v>
      </c>
      <c r="AH475" s="31" t="s">
        <v>144</v>
      </c>
      <c r="AI475" s="31" t="s">
        <v>144</v>
      </c>
      <c r="AJ475" s="31" t="s">
        <v>144</v>
      </c>
      <c r="AK475" s="31" t="s">
        <v>144</v>
      </c>
      <c r="AL475" s="31" t="s">
        <v>325</v>
      </c>
      <c r="AM475" s="31" t="s">
        <v>144</v>
      </c>
      <c r="AN475" s="31" t="s">
        <v>475</v>
      </c>
      <c r="AO475" s="31" t="s">
        <v>1324</v>
      </c>
      <c r="AP475" s="31" t="s">
        <v>144</v>
      </c>
      <c r="AQ475" s="31" t="s">
        <v>144</v>
      </c>
      <c r="AR475" s="31" t="s">
        <v>144</v>
      </c>
      <c r="AS475" s="31"/>
      <c r="AT475" s="31"/>
      <c r="AU475" s="31"/>
    </row>
    <row r="476" spans="5:47" ht="15" customHeight="1" x14ac:dyDescent="0.25">
      <c r="E476" s="31" t="s">
        <v>137</v>
      </c>
      <c r="F476" s="31" t="s">
        <v>140</v>
      </c>
      <c r="G476" s="31" t="s">
        <v>377</v>
      </c>
      <c r="H476" s="31" t="s">
        <v>324</v>
      </c>
      <c r="I476" s="31" t="s">
        <v>481</v>
      </c>
      <c r="J476" s="31" t="s">
        <v>647</v>
      </c>
      <c r="K476" s="31" t="s">
        <v>992</v>
      </c>
      <c r="L476" s="31" t="s">
        <v>162</v>
      </c>
      <c r="M476" s="31" t="s">
        <v>144</v>
      </c>
      <c r="N476" s="31" t="s">
        <v>144</v>
      </c>
      <c r="O476" s="31" t="s">
        <v>144</v>
      </c>
      <c r="P476" s="31" t="s">
        <v>144</v>
      </c>
      <c r="Q476" s="31" t="s">
        <v>474</v>
      </c>
      <c r="R476" s="31" t="s">
        <v>443</v>
      </c>
      <c r="S476" s="31" t="s">
        <v>480</v>
      </c>
      <c r="T476" s="31" t="s">
        <v>478</v>
      </c>
      <c r="U476" s="31" t="s">
        <v>144</v>
      </c>
      <c r="V476" s="31" t="s">
        <v>144</v>
      </c>
      <c r="W476" s="31" t="s">
        <v>144</v>
      </c>
      <c r="X476" s="31" t="s">
        <v>144</v>
      </c>
      <c r="Y476" s="31"/>
      <c r="Z476" s="31" t="s">
        <v>144</v>
      </c>
      <c r="AA476" s="378">
        <v>16</v>
      </c>
      <c r="AB476" s="378">
        <v>15.5</v>
      </c>
      <c r="AC476" s="378">
        <v>0.3</v>
      </c>
      <c r="AD476" s="378">
        <v>0.2</v>
      </c>
      <c r="AE476" s="31">
        <v>1.3</v>
      </c>
      <c r="AF476" s="31">
        <v>28</v>
      </c>
      <c r="AG476" s="31" t="s">
        <v>191</v>
      </c>
      <c r="AH476" s="31" t="s">
        <v>144</v>
      </c>
      <c r="AI476" s="31" t="s">
        <v>144</v>
      </c>
      <c r="AJ476" s="31" t="s">
        <v>144</v>
      </c>
      <c r="AK476" s="31" t="s">
        <v>144</v>
      </c>
      <c r="AL476" s="31" t="s">
        <v>325</v>
      </c>
      <c r="AM476" s="31" t="s">
        <v>144</v>
      </c>
      <c r="AN476" s="31" t="s">
        <v>475</v>
      </c>
      <c r="AO476" s="31" t="s">
        <v>1324</v>
      </c>
      <c r="AP476" s="31" t="s">
        <v>144</v>
      </c>
      <c r="AQ476" s="31" t="s">
        <v>144</v>
      </c>
      <c r="AR476" s="31" t="s">
        <v>144</v>
      </c>
      <c r="AS476" s="31"/>
      <c r="AT476" s="31"/>
      <c r="AU476" s="31"/>
    </row>
    <row r="477" spans="5:47" ht="15" customHeight="1" x14ac:dyDescent="0.25">
      <c r="E477" s="31" t="s">
        <v>137</v>
      </c>
      <c r="F477" s="31" t="s">
        <v>140</v>
      </c>
      <c r="G477" s="31" t="s">
        <v>377</v>
      </c>
      <c r="H477" s="31" t="s">
        <v>324</v>
      </c>
      <c r="I477" s="31" t="s">
        <v>481</v>
      </c>
      <c r="J477" s="31" t="s">
        <v>647</v>
      </c>
      <c r="K477" s="31" t="s">
        <v>993</v>
      </c>
      <c r="L477" s="31" t="s">
        <v>162</v>
      </c>
      <c r="M477" s="31" t="s">
        <v>144</v>
      </c>
      <c r="N477" s="31" t="s">
        <v>144</v>
      </c>
      <c r="O477" s="31" t="s">
        <v>144</v>
      </c>
      <c r="P477" s="31" t="s">
        <v>144</v>
      </c>
      <c r="Q477" s="31" t="s">
        <v>474</v>
      </c>
      <c r="R477" s="31" t="s">
        <v>443</v>
      </c>
      <c r="S477" s="31" t="s">
        <v>480</v>
      </c>
      <c r="T477" s="31" t="s">
        <v>478</v>
      </c>
      <c r="U477" s="31" t="s">
        <v>144</v>
      </c>
      <c r="V477" s="31" t="s">
        <v>144</v>
      </c>
      <c r="W477" s="31" t="s">
        <v>144</v>
      </c>
      <c r="X477" s="31" t="s">
        <v>144</v>
      </c>
      <c r="Y477" s="31"/>
      <c r="Z477" s="31" t="s">
        <v>144</v>
      </c>
      <c r="AA477" s="378">
        <v>16</v>
      </c>
      <c r="AB477" s="378">
        <v>15.5</v>
      </c>
      <c r="AC477" s="378">
        <v>0.3</v>
      </c>
      <c r="AD477" s="378">
        <v>0.2</v>
      </c>
      <c r="AE477" s="31">
        <v>1.3</v>
      </c>
      <c r="AF477" s="31">
        <v>28</v>
      </c>
      <c r="AG477" s="31" t="s">
        <v>191</v>
      </c>
      <c r="AH477" s="31" t="s">
        <v>144</v>
      </c>
      <c r="AI477" s="31" t="s">
        <v>144</v>
      </c>
      <c r="AJ477" s="31" t="s">
        <v>144</v>
      </c>
      <c r="AK477" s="31" t="s">
        <v>144</v>
      </c>
      <c r="AL477" s="31" t="s">
        <v>325</v>
      </c>
      <c r="AM477" s="31" t="s">
        <v>144</v>
      </c>
      <c r="AN477" s="31" t="s">
        <v>475</v>
      </c>
      <c r="AO477" s="31" t="s">
        <v>1324</v>
      </c>
      <c r="AP477" s="31" t="s">
        <v>144</v>
      </c>
      <c r="AQ477" s="31" t="s">
        <v>144</v>
      </c>
      <c r="AR477" s="31" t="s">
        <v>144</v>
      </c>
      <c r="AS477" s="31"/>
      <c r="AT477" s="31"/>
      <c r="AU477" s="31"/>
    </row>
    <row r="478" spans="5:47" ht="15" customHeight="1" x14ac:dyDescent="0.25">
      <c r="E478" s="31" t="s">
        <v>137</v>
      </c>
      <c r="F478" s="31" t="s">
        <v>140</v>
      </c>
      <c r="G478" s="31" t="s">
        <v>377</v>
      </c>
      <c r="H478" s="31" t="s">
        <v>324</v>
      </c>
      <c r="I478" s="31" t="s">
        <v>481</v>
      </c>
      <c r="J478" s="31" t="s">
        <v>647</v>
      </c>
      <c r="K478" s="31" t="s">
        <v>994</v>
      </c>
      <c r="L478" s="31" t="s">
        <v>162</v>
      </c>
      <c r="M478" s="31" t="s">
        <v>144</v>
      </c>
      <c r="N478" s="31" t="s">
        <v>144</v>
      </c>
      <c r="O478" s="31" t="s">
        <v>144</v>
      </c>
      <c r="P478" s="31" t="s">
        <v>144</v>
      </c>
      <c r="Q478" s="31" t="s">
        <v>474</v>
      </c>
      <c r="R478" s="31" t="s">
        <v>443</v>
      </c>
      <c r="S478" s="31" t="s">
        <v>480</v>
      </c>
      <c r="T478" s="31" t="s">
        <v>478</v>
      </c>
      <c r="U478" s="31" t="s">
        <v>144</v>
      </c>
      <c r="V478" s="31" t="s">
        <v>144</v>
      </c>
      <c r="W478" s="31" t="s">
        <v>144</v>
      </c>
      <c r="X478" s="31" t="s">
        <v>144</v>
      </c>
      <c r="Y478" s="31"/>
      <c r="Z478" s="31" t="s">
        <v>144</v>
      </c>
      <c r="AA478" s="378">
        <v>16</v>
      </c>
      <c r="AB478" s="378">
        <v>15.5</v>
      </c>
      <c r="AC478" s="378">
        <v>0.3</v>
      </c>
      <c r="AD478" s="378">
        <v>0.2</v>
      </c>
      <c r="AE478" s="31">
        <v>1.3</v>
      </c>
      <c r="AF478" s="31">
        <v>28</v>
      </c>
      <c r="AG478" s="31" t="s">
        <v>191</v>
      </c>
      <c r="AH478" s="31" t="s">
        <v>144</v>
      </c>
      <c r="AI478" s="31" t="s">
        <v>144</v>
      </c>
      <c r="AJ478" s="31" t="s">
        <v>144</v>
      </c>
      <c r="AK478" s="31" t="s">
        <v>144</v>
      </c>
      <c r="AL478" s="31" t="s">
        <v>325</v>
      </c>
      <c r="AM478" s="31" t="s">
        <v>144</v>
      </c>
      <c r="AN478" s="31" t="s">
        <v>475</v>
      </c>
      <c r="AO478" s="31" t="s">
        <v>1324</v>
      </c>
      <c r="AP478" s="31" t="s">
        <v>144</v>
      </c>
      <c r="AQ478" s="31" t="s">
        <v>144</v>
      </c>
      <c r="AR478" s="31" t="s">
        <v>144</v>
      </c>
      <c r="AS478" s="31"/>
      <c r="AT478" s="31"/>
      <c r="AU478" s="31"/>
    </row>
    <row r="479" spans="5:47" ht="15" customHeight="1" x14ac:dyDescent="0.25">
      <c r="E479" s="31" t="s">
        <v>137</v>
      </c>
      <c r="F479" s="31" t="s">
        <v>140</v>
      </c>
      <c r="G479" s="31" t="s">
        <v>377</v>
      </c>
      <c r="H479" s="31" t="s">
        <v>324</v>
      </c>
      <c r="I479" s="31" t="s">
        <v>481</v>
      </c>
      <c r="J479" s="31" t="s">
        <v>647</v>
      </c>
      <c r="K479" s="31" t="s">
        <v>995</v>
      </c>
      <c r="L479" s="31" t="s">
        <v>162</v>
      </c>
      <c r="M479" s="31" t="s">
        <v>144</v>
      </c>
      <c r="N479" s="31" t="s">
        <v>144</v>
      </c>
      <c r="O479" s="31" t="s">
        <v>144</v>
      </c>
      <c r="P479" s="31" t="s">
        <v>144</v>
      </c>
      <c r="Q479" s="31" t="s">
        <v>474</v>
      </c>
      <c r="R479" s="31" t="s">
        <v>443</v>
      </c>
      <c r="S479" s="31" t="s">
        <v>480</v>
      </c>
      <c r="T479" s="31" t="s">
        <v>478</v>
      </c>
      <c r="U479" s="31" t="s">
        <v>144</v>
      </c>
      <c r="V479" s="31" t="s">
        <v>144</v>
      </c>
      <c r="W479" s="31" t="s">
        <v>144</v>
      </c>
      <c r="X479" s="31" t="s">
        <v>144</v>
      </c>
      <c r="Y479" s="31"/>
      <c r="Z479" s="31" t="s">
        <v>144</v>
      </c>
      <c r="AA479" s="378">
        <v>16</v>
      </c>
      <c r="AB479" s="378">
        <v>15.5</v>
      </c>
      <c r="AC479" s="378">
        <v>0.3</v>
      </c>
      <c r="AD479" s="378">
        <v>0.2</v>
      </c>
      <c r="AE479" s="31">
        <v>1.3</v>
      </c>
      <c r="AF479" s="31">
        <v>28</v>
      </c>
      <c r="AG479" s="31" t="s">
        <v>191</v>
      </c>
      <c r="AH479" s="31" t="s">
        <v>144</v>
      </c>
      <c r="AI479" s="31" t="s">
        <v>144</v>
      </c>
      <c r="AJ479" s="31" t="s">
        <v>144</v>
      </c>
      <c r="AK479" s="31" t="s">
        <v>144</v>
      </c>
      <c r="AL479" s="31" t="s">
        <v>325</v>
      </c>
      <c r="AM479" s="31" t="s">
        <v>144</v>
      </c>
      <c r="AN479" s="31" t="s">
        <v>475</v>
      </c>
      <c r="AO479" s="31" t="s">
        <v>1324</v>
      </c>
      <c r="AP479" s="31" t="s">
        <v>144</v>
      </c>
      <c r="AQ479" s="31" t="s">
        <v>144</v>
      </c>
      <c r="AR479" s="31" t="s">
        <v>144</v>
      </c>
      <c r="AS479" s="31"/>
      <c r="AT479" s="31"/>
      <c r="AU479" s="31"/>
    </row>
    <row r="480" spans="5:47" ht="15" customHeight="1" x14ac:dyDescent="0.25">
      <c r="E480" s="31" t="s">
        <v>137</v>
      </c>
      <c r="F480" s="31" t="s">
        <v>140</v>
      </c>
      <c r="G480" s="31" t="s">
        <v>377</v>
      </c>
      <c r="H480" s="31" t="s">
        <v>324</v>
      </c>
      <c r="I480" s="31" t="s">
        <v>481</v>
      </c>
      <c r="J480" s="31" t="s">
        <v>647</v>
      </c>
      <c r="K480" s="31" t="s">
        <v>996</v>
      </c>
      <c r="L480" s="31" t="s">
        <v>162</v>
      </c>
      <c r="M480" s="31" t="s">
        <v>144</v>
      </c>
      <c r="N480" s="31" t="s">
        <v>144</v>
      </c>
      <c r="O480" s="31" t="s">
        <v>144</v>
      </c>
      <c r="P480" s="31" t="s">
        <v>144</v>
      </c>
      <c r="Q480" s="31" t="s">
        <v>474</v>
      </c>
      <c r="R480" s="31" t="s">
        <v>443</v>
      </c>
      <c r="S480" s="31" t="s">
        <v>480</v>
      </c>
      <c r="T480" s="31" t="s">
        <v>478</v>
      </c>
      <c r="U480" s="31" t="s">
        <v>144</v>
      </c>
      <c r="V480" s="31" t="s">
        <v>144</v>
      </c>
      <c r="W480" s="31" t="s">
        <v>144</v>
      </c>
      <c r="X480" s="31" t="s">
        <v>144</v>
      </c>
      <c r="Y480" s="31"/>
      <c r="Z480" s="31" t="s">
        <v>144</v>
      </c>
      <c r="AA480" s="378">
        <v>16</v>
      </c>
      <c r="AB480" s="378">
        <v>15.5</v>
      </c>
      <c r="AC480" s="378">
        <v>0.3</v>
      </c>
      <c r="AD480" s="378">
        <v>0.2</v>
      </c>
      <c r="AE480" s="31">
        <v>1.3</v>
      </c>
      <c r="AF480" s="31">
        <v>28</v>
      </c>
      <c r="AG480" s="31" t="s">
        <v>191</v>
      </c>
      <c r="AH480" s="31" t="s">
        <v>144</v>
      </c>
      <c r="AI480" s="31" t="s">
        <v>144</v>
      </c>
      <c r="AJ480" s="31" t="s">
        <v>144</v>
      </c>
      <c r="AK480" s="31" t="s">
        <v>144</v>
      </c>
      <c r="AL480" s="31" t="s">
        <v>325</v>
      </c>
      <c r="AM480" s="31" t="s">
        <v>144</v>
      </c>
      <c r="AN480" s="31" t="s">
        <v>475</v>
      </c>
      <c r="AO480" s="31" t="s">
        <v>1324</v>
      </c>
      <c r="AP480" s="31" t="s">
        <v>144</v>
      </c>
      <c r="AQ480" s="31" t="s">
        <v>144</v>
      </c>
      <c r="AR480" s="31" t="s">
        <v>144</v>
      </c>
      <c r="AS480" s="31"/>
      <c r="AT480" s="31"/>
      <c r="AU480" s="31"/>
    </row>
    <row r="481" spans="5:47" ht="15" customHeight="1" x14ac:dyDescent="0.25">
      <c r="E481" s="31" t="s">
        <v>137</v>
      </c>
      <c r="F481" s="31" t="s">
        <v>140</v>
      </c>
      <c r="G481" s="31" t="s">
        <v>377</v>
      </c>
      <c r="H481" s="31" t="s">
        <v>324</v>
      </c>
      <c r="I481" s="31" t="s">
        <v>481</v>
      </c>
      <c r="J481" s="31" t="s">
        <v>647</v>
      </c>
      <c r="K481" s="31" t="s">
        <v>997</v>
      </c>
      <c r="L481" s="31" t="s">
        <v>162</v>
      </c>
      <c r="M481" s="31" t="s">
        <v>144</v>
      </c>
      <c r="N481" s="31" t="s">
        <v>144</v>
      </c>
      <c r="O481" s="31" t="s">
        <v>144</v>
      </c>
      <c r="P481" s="31" t="s">
        <v>144</v>
      </c>
      <c r="Q481" s="31" t="s">
        <v>474</v>
      </c>
      <c r="R481" s="31" t="s">
        <v>443</v>
      </c>
      <c r="S481" s="31" t="s">
        <v>480</v>
      </c>
      <c r="T481" s="31" t="s">
        <v>478</v>
      </c>
      <c r="U481" s="31" t="s">
        <v>144</v>
      </c>
      <c r="V481" s="31" t="s">
        <v>144</v>
      </c>
      <c r="W481" s="31" t="s">
        <v>144</v>
      </c>
      <c r="X481" s="31" t="s">
        <v>144</v>
      </c>
      <c r="Y481" s="31"/>
      <c r="Z481" s="31" t="s">
        <v>144</v>
      </c>
      <c r="AA481" s="378">
        <v>16</v>
      </c>
      <c r="AB481" s="378">
        <v>15.5</v>
      </c>
      <c r="AC481" s="378">
        <v>0.3</v>
      </c>
      <c r="AD481" s="378">
        <v>0.2</v>
      </c>
      <c r="AE481" s="31">
        <v>1.3</v>
      </c>
      <c r="AF481" s="31">
        <v>28</v>
      </c>
      <c r="AG481" s="31" t="s">
        <v>191</v>
      </c>
      <c r="AH481" s="31" t="s">
        <v>144</v>
      </c>
      <c r="AI481" s="31" t="s">
        <v>144</v>
      </c>
      <c r="AJ481" s="31" t="s">
        <v>144</v>
      </c>
      <c r="AK481" s="31" t="s">
        <v>144</v>
      </c>
      <c r="AL481" s="31" t="s">
        <v>325</v>
      </c>
      <c r="AM481" s="31" t="s">
        <v>144</v>
      </c>
      <c r="AN481" s="31" t="s">
        <v>475</v>
      </c>
      <c r="AO481" s="31" t="s">
        <v>1324</v>
      </c>
      <c r="AP481" s="31" t="s">
        <v>144</v>
      </c>
      <c r="AQ481" s="31" t="s">
        <v>144</v>
      </c>
      <c r="AR481" s="31" t="s">
        <v>144</v>
      </c>
      <c r="AS481" s="31"/>
      <c r="AT481" s="31"/>
      <c r="AU481" s="31"/>
    </row>
    <row r="482" spans="5:47" ht="15" customHeight="1" x14ac:dyDescent="0.25">
      <c r="E482" s="31" t="s">
        <v>137</v>
      </c>
      <c r="F482" s="31" t="s">
        <v>140</v>
      </c>
      <c r="G482" s="31" t="s">
        <v>377</v>
      </c>
      <c r="H482" s="31" t="s">
        <v>324</v>
      </c>
      <c r="I482" s="31" t="s">
        <v>481</v>
      </c>
      <c r="J482" s="31" t="s">
        <v>647</v>
      </c>
      <c r="K482" s="31" t="s">
        <v>998</v>
      </c>
      <c r="L482" s="31" t="s">
        <v>162</v>
      </c>
      <c r="M482" s="31" t="s">
        <v>144</v>
      </c>
      <c r="N482" s="31" t="s">
        <v>144</v>
      </c>
      <c r="O482" s="31" t="s">
        <v>144</v>
      </c>
      <c r="P482" s="31" t="s">
        <v>144</v>
      </c>
      <c r="Q482" s="31" t="s">
        <v>474</v>
      </c>
      <c r="R482" s="31" t="s">
        <v>443</v>
      </c>
      <c r="S482" s="31" t="s">
        <v>480</v>
      </c>
      <c r="T482" s="31" t="s">
        <v>478</v>
      </c>
      <c r="U482" s="31" t="s">
        <v>144</v>
      </c>
      <c r="V482" s="31" t="s">
        <v>144</v>
      </c>
      <c r="W482" s="31" t="s">
        <v>144</v>
      </c>
      <c r="X482" s="31" t="s">
        <v>144</v>
      </c>
      <c r="Y482" s="31"/>
      <c r="Z482" s="31" t="s">
        <v>144</v>
      </c>
      <c r="AA482" s="378">
        <v>16</v>
      </c>
      <c r="AB482" s="378">
        <v>15.5</v>
      </c>
      <c r="AC482" s="378">
        <v>0.3</v>
      </c>
      <c r="AD482" s="378">
        <v>0.2</v>
      </c>
      <c r="AE482" s="31">
        <v>1.3</v>
      </c>
      <c r="AF482" s="31">
        <v>28</v>
      </c>
      <c r="AG482" s="31" t="s">
        <v>191</v>
      </c>
      <c r="AH482" s="31" t="s">
        <v>144</v>
      </c>
      <c r="AI482" s="31" t="s">
        <v>144</v>
      </c>
      <c r="AJ482" s="31" t="s">
        <v>144</v>
      </c>
      <c r="AK482" s="31" t="s">
        <v>144</v>
      </c>
      <c r="AL482" s="31" t="s">
        <v>325</v>
      </c>
      <c r="AM482" s="31" t="s">
        <v>144</v>
      </c>
      <c r="AN482" s="31" t="s">
        <v>475</v>
      </c>
      <c r="AO482" s="31" t="s">
        <v>1324</v>
      </c>
      <c r="AP482" s="31" t="s">
        <v>144</v>
      </c>
      <c r="AQ482" s="31" t="s">
        <v>144</v>
      </c>
      <c r="AR482" s="31" t="s">
        <v>144</v>
      </c>
      <c r="AS482" s="31"/>
      <c r="AT482" s="31"/>
      <c r="AU482" s="31"/>
    </row>
    <row r="483" spans="5:47" ht="15" customHeight="1" x14ac:dyDescent="0.25"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78"/>
      <c r="AB483" s="378"/>
      <c r="AC483" s="378"/>
      <c r="AD483" s="378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</row>
    <row r="484" spans="5:47" ht="15" customHeight="1" x14ac:dyDescent="0.25"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78"/>
      <c r="AB484" s="378"/>
      <c r="AC484" s="378"/>
      <c r="AD484" s="378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</row>
    <row r="485" spans="5:47" ht="15" customHeight="1" x14ac:dyDescent="0.25">
      <c r="E485" s="31" t="s">
        <v>137</v>
      </c>
      <c r="F485" s="31" t="s">
        <v>140</v>
      </c>
      <c r="G485" s="31" t="s">
        <v>377</v>
      </c>
      <c r="H485" s="31" t="s">
        <v>324</v>
      </c>
      <c r="I485" s="31" t="s">
        <v>481</v>
      </c>
      <c r="J485" s="31" t="s">
        <v>699</v>
      </c>
      <c r="K485" s="31" t="s">
        <v>999</v>
      </c>
      <c r="L485" s="31" t="s">
        <v>162</v>
      </c>
      <c r="M485" s="31" t="s">
        <v>144</v>
      </c>
      <c r="N485" s="31" t="s">
        <v>144</v>
      </c>
      <c r="O485" s="31" t="s">
        <v>144</v>
      </c>
      <c r="P485" s="31" t="s">
        <v>144</v>
      </c>
      <c r="Q485" s="31" t="s">
        <v>474</v>
      </c>
      <c r="R485" s="31" t="s">
        <v>443</v>
      </c>
      <c r="S485" s="31" t="s">
        <v>480</v>
      </c>
      <c r="T485" s="31" t="s">
        <v>478</v>
      </c>
      <c r="U485" s="31" t="s">
        <v>144</v>
      </c>
      <c r="V485" s="31" t="s">
        <v>144</v>
      </c>
      <c r="W485" s="31" t="s">
        <v>144</v>
      </c>
      <c r="X485" s="31" t="s">
        <v>144</v>
      </c>
      <c r="Y485" s="31"/>
      <c r="Z485" s="31" t="s">
        <v>144</v>
      </c>
      <c r="AA485" s="378">
        <v>16</v>
      </c>
      <c r="AB485" s="378">
        <v>15.5</v>
      </c>
      <c r="AC485" s="378">
        <v>0.3</v>
      </c>
      <c r="AD485" s="378">
        <v>0.2</v>
      </c>
      <c r="AE485" s="31">
        <v>1.3</v>
      </c>
      <c r="AF485" s="31">
        <v>28</v>
      </c>
      <c r="AG485" s="31" t="s">
        <v>191</v>
      </c>
      <c r="AH485" s="31" t="s">
        <v>144</v>
      </c>
      <c r="AI485" s="31" t="s">
        <v>144</v>
      </c>
      <c r="AJ485" s="31" t="s">
        <v>144</v>
      </c>
      <c r="AK485" s="31" t="s">
        <v>144</v>
      </c>
      <c r="AL485" s="31" t="s">
        <v>325</v>
      </c>
      <c r="AM485" s="31" t="s">
        <v>144</v>
      </c>
      <c r="AN485" s="31" t="s">
        <v>475</v>
      </c>
      <c r="AO485" s="31" t="s">
        <v>1324</v>
      </c>
      <c r="AP485" s="31" t="s">
        <v>144</v>
      </c>
      <c r="AQ485" s="31" t="s">
        <v>144</v>
      </c>
      <c r="AR485" s="31" t="s">
        <v>144</v>
      </c>
      <c r="AS485" s="31"/>
      <c r="AT485" s="31"/>
      <c r="AU485" s="31"/>
    </row>
    <row r="486" spans="5:47" ht="15" customHeight="1" x14ac:dyDescent="0.25">
      <c r="E486" s="31" t="s">
        <v>137</v>
      </c>
      <c r="F486" s="31" t="s">
        <v>140</v>
      </c>
      <c r="G486" s="31" t="s">
        <v>377</v>
      </c>
      <c r="H486" s="31" t="s">
        <v>324</v>
      </c>
      <c r="I486" s="31" t="s">
        <v>481</v>
      </c>
      <c r="J486" s="31" t="s">
        <v>699</v>
      </c>
      <c r="K486" s="31" t="s">
        <v>1000</v>
      </c>
      <c r="L486" s="31" t="s">
        <v>162</v>
      </c>
      <c r="M486" s="31" t="s">
        <v>144</v>
      </c>
      <c r="N486" s="31" t="s">
        <v>144</v>
      </c>
      <c r="O486" s="31" t="s">
        <v>144</v>
      </c>
      <c r="P486" s="31" t="s">
        <v>144</v>
      </c>
      <c r="Q486" s="31" t="s">
        <v>474</v>
      </c>
      <c r="R486" s="31" t="s">
        <v>443</v>
      </c>
      <c r="S486" s="31" t="s">
        <v>480</v>
      </c>
      <c r="T486" s="31" t="s">
        <v>478</v>
      </c>
      <c r="U486" s="31" t="s">
        <v>144</v>
      </c>
      <c r="V486" s="31" t="s">
        <v>144</v>
      </c>
      <c r="W486" s="31" t="s">
        <v>144</v>
      </c>
      <c r="X486" s="31" t="s">
        <v>144</v>
      </c>
      <c r="Y486" s="31"/>
      <c r="Z486" s="31" t="s">
        <v>144</v>
      </c>
      <c r="AA486" s="378">
        <v>16</v>
      </c>
      <c r="AB486" s="378">
        <v>15.5</v>
      </c>
      <c r="AC486" s="378">
        <v>0.3</v>
      </c>
      <c r="AD486" s="378">
        <v>0.2</v>
      </c>
      <c r="AE486" s="31">
        <v>1.3</v>
      </c>
      <c r="AF486" s="31">
        <v>28</v>
      </c>
      <c r="AG486" s="31" t="s">
        <v>191</v>
      </c>
      <c r="AH486" s="31" t="s">
        <v>144</v>
      </c>
      <c r="AI486" s="31" t="s">
        <v>144</v>
      </c>
      <c r="AJ486" s="31" t="s">
        <v>144</v>
      </c>
      <c r="AK486" s="31" t="s">
        <v>144</v>
      </c>
      <c r="AL486" s="31" t="s">
        <v>325</v>
      </c>
      <c r="AM486" s="31" t="s">
        <v>144</v>
      </c>
      <c r="AN486" s="31" t="s">
        <v>475</v>
      </c>
      <c r="AO486" s="31" t="s">
        <v>1324</v>
      </c>
      <c r="AP486" s="31" t="s">
        <v>144</v>
      </c>
      <c r="AQ486" s="31" t="s">
        <v>144</v>
      </c>
      <c r="AR486" s="31" t="s">
        <v>144</v>
      </c>
      <c r="AS486" s="31"/>
      <c r="AT486" s="31"/>
      <c r="AU486" s="31"/>
    </row>
    <row r="487" spans="5:47" ht="15" customHeight="1" x14ac:dyDescent="0.25">
      <c r="E487" s="31" t="s">
        <v>137</v>
      </c>
      <c r="F487" s="31" t="s">
        <v>140</v>
      </c>
      <c r="G487" s="31" t="s">
        <v>377</v>
      </c>
      <c r="H487" s="31" t="s">
        <v>324</v>
      </c>
      <c r="I487" s="31" t="s">
        <v>481</v>
      </c>
      <c r="J487" s="31" t="s">
        <v>699</v>
      </c>
      <c r="K487" s="31" t="s">
        <v>1001</v>
      </c>
      <c r="L487" s="31" t="s">
        <v>162</v>
      </c>
      <c r="M487" s="31" t="s">
        <v>144</v>
      </c>
      <c r="N487" s="31" t="s">
        <v>144</v>
      </c>
      <c r="O487" s="31" t="s">
        <v>144</v>
      </c>
      <c r="P487" s="31" t="s">
        <v>144</v>
      </c>
      <c r="Q487" s="31" t="s">
        <v>474</v>
      </c>
      <c r="R487" s="31" t="s">
        <v>443</v>
      </c>
      <c r="S487" s="31" t="s">
        <v>480</v>
      </c>
      <c r="T487" s="31" t="s">
        <v>478</v>
      </c>
      <c r="U487" s="31" t="s">
        <v>144</v>
      </c>
      <c r="V487" s="31" t="s">
        <v>144</v>
      </c>
      <c r="W487" s="31" t="s">
        <v>144</v>
      </c>
      <c r="X487" s="31" t="s">
        <v>144</v>
      </c>
      <c r="Y487" s="31"/>
      <c r="Z487" s="31" t="s">
        <v>144</v>
      </c>
      <c r="AA487" s="378">
        <v>16</v>
      </c>
      <c r="AB487" s="378">
        <v>15.5</v>
      </c>
      <c r="AC487" s="378">
        <v>0.3</v>
      </c>
      <c r="AD487" s="378">
        <v>0.2</v>
      </c>
      <c r="AE487" s="31">
        <v>1.3</v>
      </c>
      <c r="AF487" s="31">
        <v>28</v>
      </c>
      <c r="AG487" s="31" t="s">
        <v>191</v>
      </c>
      <c r="AH487" s="31" t="s">
        <v>144</v>
      </c>
      <c r="AI487" s="31" t="s">
        <v>144</v>
      </c>
      <c r="AJ487" s="31" t="s">
        <v>144</v>
      </c>
      <c r="AK487" s="31" t="s">
        <v>144</v>
      </c>
      <c r="AL487" s="31" t="s">
        <v>325</v>
      </c>
      <c r="AM487" s="31" t="s">
        <v>144</v>
      </c>
      <c r="AN487" s="31" t="s">
        <v>475</v>
      </c>
      <c r="AO487" s="31" t="s">
        <v>1324</v>
      </c>
      <c r="AP487" s="31" t="s">
        <v>144</v>
      </c>
      <c r="AQ487" s="31" t="s">
        <v>144</v>
      </c>
      <c r="AR487" s="31" t="s">
        <v>144</v>
      </c>
      <c r="AS487" s="31"/>
      <c r="AT487" s="31"/>
      <c r="AU487" s="31"/>
    </row>
    <row r="488" spans="5:47" ht="15" customHeight="1" x14ac:dyDescent="0.25">
      <c r="E488" s="31" t="s">
        <v>137</v>
      </c>
      <c r="F488" s="31" t="s">
        <v>140</v>
      </c>
      <c r="G488" s="31" t="s">
        <v>377</v>
      </c>
      <c r="H488" s="31" t="s">
        <v>324</v>
      </c>
      <c r="I488" s="31" t="s">
        <v>481</v>
      </c>
      <c r="J488" s="31" t="s">
        <v>699</v>
      </c>
      <c r="K488" s="31" t="s">
        <v>1002</v>
      </c>
      <c r="L488" s="31" t="s">
        <v>162</v>
      </c>
      <c r="M488" s="31" t="s">
        <v>144</v>
      </c>
      <c r="N488" s="31" t="s">
        <v>144</v>
      </c>
      <c r="O488" s="31" t="s">
        <v>144</v>
      </c>
      <c r="P488" s="31" t="s">
        <v>144</v>
      </c>
      <c r="Q488" s="31" t="s">
        <v>474</v>
      </c>
      <c r="R488" s="31" t="s">
        <v>443</v>
      </c>
      <c r="S488" s="31" t="s">
        <v>480</v>
      </c>
      <c r="T488" s="31" t="s">
        <v>478</v>
      </c>
      <c r="U488" s="31" t="s">
        <v>144</v>
      </c>
      <c r="V488" s="31" t="s">
        <v>144</v>
      </c>
      <c r="W488" s="31" t="s">
        <v>144</v>
      </c>
      <c r="X488" s="31" t="s">
        <v>144</v>
      </c>
      <c r="Y488" s="31"/>
      <c r="Z488" s="31" t="s">
        <v>144</v>
      </c>
      <c r="AA488" s="378">
        <v>16</v>
      </c>
      <c r="AB488" s="378">
        <v>15.5</v>
      </c>
      <c r="AC488" s="378">
        <v>0.3</v>
      </c>
      <c r="AD488" s="378">
        <v>0.2</v>
      </c>
      <c r="AE488" s="31">
        <v>1.3</v>
      </c>
      <c r="AF488" s="31">
        <v>28</v>
      </c>
      <c r="AG488" s="31" t="s">
        <v>191</v>
      </c>
      <c r="AH488" s="31" t="s">
        <v>144</v>
      </c>
      <c r="AI488" s="31" t="s">
        <v>144</v>
      </c>
      <c r="AJ488" s="31" t="s">
        <v>144</v>
      </c>
      <c r="AK488" s="31" t="s">
        <v>144</v>
      </c>
      <c r="AL488" s="31" t="s">
        <v>325</v>
      </c>
      <c r="AM488" s="31" t="s">
        <v>144</v>
      </c>
      <c r="AN488" s="31" t="s">
        <v>475</v>
      </c>
      <c r="AO488" s="31" t="s">
        <v>1324</v>
      </c>
      <c r="AP488" s="31" t="s">
        <v>144</v>
      </c>
      <c r="AQ488" s="31" t="s">
        <v>144</v>
      </c>
      <c r="AR488" s="31" t="s">
        <v>144</v>
      </c>
      <c r="AS488" s="31"/>
      <c r="AT488" s="31"/>
      <c r="AU488" s="31"/>
    </row>
    <row r="489" spans="5:47" ht="15" customHeight="1" x14ac:dyDescent="0.25">
      <c r="E489" s="31" t="s">
        <v>137</v>
      </c>
      <c r="F489" s="31" t="s">
        <v>140</v>
      </c>
      <c r="G489" s="31" t="s">
        <v>377</v>
      </c>
      <c r="H489" s="31" t="s">
        <v>324</v>
      </c>
      <c r="I489" s="31" t="s">
        <v>481</v>
      </c>
      <c r="J489" s="31" t="s">
        <v>699</v>
      </c>
      <c r="K489" s="31" t="s">
        <v>1003</v>
      </c>
      <c r="L489" s="31" t="s">
        <v>162</v>
      </c>
      <c r="M489" s="31" t="s">
        <v>144</v>
      </c>
      <c r="N489" s="31" t="s">
        <v>144</v>
      </c>
      <c r="O489" s="31" t="s">
        <v>144</v>
      </c>
      <c r="P489" s="31" t="s">
        <v>144</v>
      </c>
      <c r="Q489" s="31" t="s">
        <v>474</v>
      </c>
      <c r="R489" s="31" t="s">
        <v>443</v>
      </c>
      <c r="S489" s="31" t="s">
        <v>480</v>
      </c>
      <c r="T489" s="31" t="s">
        <v>478</v>
      </c>
      <c r="U489" s="31" t="s">
        <v>144</v>
      </c>
      <c r="V489" s="31" t="s">
        <v>144</v>
      </c>
      <c r="W489" s="31" t="s">
        <v>144</v>
      </c>
      <c r="X489" s="31" t="s">
        <v>144</v>
      </c>
      <c r="Y489" s="31"/>
      <c r="Z489" s="31" t="s">
        <v>144</v>
      </c>
      <c r="AA489" s="378">
        <v>16</v>
      </c>
      <c r="AB489" s="378">
        <v>15.5</v>
      </c>
      <c r="AC489" s="378">
        <v>0.3</v>
      </c>
      <c r="AD489" s="378">
        <v>0.2</v>
      </c>
      <c r="AE489" s="31">
        <v>1.3</v>
      </c>
      <c r="AF489" s="31">
        <v>28</v>
      </c>
      <c r="AG489" s="31" t="s">
        <v>191</v>
      </c>
      <c r="AH489" s="31" t="s">
        <v>144</v>
      </c>
      <c r="AI489" s="31" t="s">
        <v>144</v>
      </c>
      <c r="AJ489" s="31" t="s">
        <v>144</v>
      </c>
      <c r="AK489" s="31" t="s">
        <v>144</v>
      </c>
      <c r="AL489" s="31" t="s">
        <v>325</v>
      </c>
      <c r="AM489" s="31" t="s">
        <v>144</v>
      </c>
      <c r="AN489" s="31" t="s">
        <v>475</v>
      </c>
      <c r="AO489" s="31" t="s">
        <v>1324</v>
      </c>
      <c r="AP489" s="31" t="s">
        <v>144</v>
      </c>
      <c r="AQ489" s="31" t="s">
        <v>144</v>
      </c>
      <c r="AR489" s="31" t="s">
        <v>144</v>
      </c>
      <c r="AS489" s="31"/>
      <c r="AT489" s="31"/>
      <c r="AU489" s="31"/>
    </row>
    <row r="490" spans="5:47" ht="15" customHeight="1" x14ac:dyDescent="0.25">
      <c r="E490" s="31" t="s">
        <v>137</v>
      </c>
      <c r="F490" s="31" t="s">
        <v>140</v>
      </c>
      <c r="G490" s="31" t="s">
        <v>377</v>
      </c>
      <c r="H490" s="31" t="s">
        <v>324</v>
      </c>
      <c r="I490" s="31" t="s">
        <v>481</v>
      </c>
      <c r="J490" s="31" t="s">
        <v>699</v>
      </c>
      <c r="K490" s="31" t="s">
        <v>1004</v>
      </c>
      <c r="L490" s="31" t="s">
        <v>162</v>
      </c>
      <c r="M490" s="31" t="s">
        <v>144</v>
      </c>
      <c r="N490" s="31" t="s">
        <v>144</v>
      </c>
      <c r="O490" s="31" t="s">
        <v>144</v>
      </c>
      <c r="P490" s="31" t="s">
        <v>144</v>
      </c>
      <c r="Q490" s="31" t="s">
        <v>474</v>
      </c>
      <c r="R490" s="31" t="s">
        <v>443</v>
      </c>
      <c r="S490" s="31" t="s">
        <v>480</v>
      </c>
      <c r="T490" s="31" t="s">
        <v>478</v>
      </c>
      <c r="U490" s="31" t="s">
        <v>144</v>
      </c>
      <c r="V490" s="31" t="s">
        <v>144</v>
      </c>
      <c r="W490" s="31" t="s">
        <v>144</v>
      </c>
      <c r="X490" s="31" t="s">
        <v>144</v>
      </c>
      <c r="Y490" s="31"/>
      <c r="Z490" s="31" t="s">
        <v>144</v>
      </c>
      <c r="AA490" s="378">
        <v>16</v>
      </c>
      <c r="AB490" s="378">
        <v>15.5</v>
      </c>
      <c r="AC490" s="378">
        <v>0.3</v>
      </c>
      <c r="AD490" s="378">
        <v>0.2</v>
      </c>
      <c r="AE490" s="31">
        <v>1.3</v>
      </c>
      <c r="AF490" s="31">
        <v>28</v>
      </c>
      <c r="AG490" s="31" t="s">
        <v>191</v>
      </c>
      <c r="AH490" s="31" t="s">
        <v>144</v>
      </c>
      <c r="AI490" s="31" t="s">
        <v>144</v>
      </c>
      <c r="AJ490" s="31" t="s">
        <v>144</v>
      </c>
      <c r="AK490" s="31" t="s">
        <v>144</v>
      </c>
      <c r="AL490" s="31" t="s">
        <v>325</v>
      </c>
      <c r="AM490" s="31" t="s">
        <v>144</v>
      </c>
      <c r="AN490" s="31" t="s">
        <v>475</v>
      </c>
      <c r="AO490" s="31" t="s">
        <v>1324</v>
      </c>
      <c r="AP490" s="31" t="s">
        <v>144</v>
      </c>
      <c r="AQ490" s="31" t="s">
        <v>144</v>
      </c>
      <c r="AR490" s="31" t="s">
        <v>144</v>
      </c>
      <c r="AS490" s="31"/>
      <c r="AT490" s="31"/>
      <c r="AU490" s="31"/>
    </row>
    <row r="491" spans="5:47" ht="15" customHeight="1" x14ac:dyDescent="0.25">
      <c r="E491" s="31" t="s">
        <v>137</v>
      </c>
      <c r="F491" s="31" t="s">
        <v>140</v>
      </c>
      <c r="G491" s="31" t="s">
        <v>377</v>
      </c>
      <c r="H491" s="31" t="s">
        <v>324</v>
      </c>
      <c r="I491" s="31" t="s">
        <v>481</v>
      </c>
      <c r="J491" s="31" t="s">
        <v>699</v>
      </c>
      <c r="K491" s="31" t="s">
        <v>1005</v>
      </c>
      <c r="L491" s="31" t="s">
        <v>162</v>
      </c>
      <c r="M491" s="31" t="s">
        <v>144</v>
      </c>
      <c r="N491" s="31" t="s">
        <v>144</v>
      </c>
      <c r="O491" s="31" t="s">
        <v>144</v>
      </c>
      <c r="P491" s="31" t="s">
        <v>144</v>
      </c>
      <c r="Q491" s="31" t="s">
        <v>474</v>
      </c>
      <c r="R491" s="31" t="s">
        <v>443</v>
      </c>
      <c r="S491" s="31" t="s">
        <v>480</v>
      </c>
      <c r="T491" s="31" t="s">
        <v>478</v>
      </c>
      <c r="U491" s="31" t="s">
        <v>144</v>
      </c>
      <c r="V491" s="31" t="s">
        <v>144</v>
      </c>
      <c r="W491" s="31" t="s">
        <v>144</v>
      </c>
      <c r="X491" s="31" t="s">
        <v>144</v>
      </c>
      <c r="Y491" s="31"/>
      <c r="Z491" s="31" t="s">
        <v>144</v>
      </c>
      <c r="AA491" s="378">
        <v>16</v>
      </c>
      <c r="AB491" s="378">
        <v>15.5</v>
      </c>
      <c r="AC491" s="378">
        <v>0.3</v>
      </c>
      <c r="AD491" s="378">
        <v>0.2</v>
      </c>
      <c r="AE491" s="31">
        <v>1.3</v>
      </c>
      <c r="AF491" s="31">
        <v>28</v>
      </c>
      <c r="AG491" s="31" t="s">
        <v>191</v>
      </c>
      <c r="AH491" s="31" t="s">
        <v>144</v>
      </c>
      <c r="AI491" s="31" t="s">
        <v>144</v>
      </c>
      <c r="AJ491" s="31" t="s">
        <v>144</v>
      </c>
      <c r="AK491" s="31" t="s">
        <v>144</v>
      </c>
      <c r="AL491" s="31" t="s">
        <v>325</v>
      </c>
      <c r="AM491" s="31" t="s">
        <v>144</v>
      </c>
      <c r="AN491" s="31" t="s">
        <v>475</v>
      </c>
      <c r="AO491" s="31" t="s">
        <v>1324</v>
      </c>
      <c r="AP491" s="31" t="s">
        <v>144</v>
      </c>
      <c r="AQ491" s="31" t="s">
        <v>144</v>
      </c>
      <c r="AR491" s="31" t="s">
        <v>144</v>
      </c>
      <c r="AS491" s="31"/>
      <c r="AT491" s="31"/>
      <c r="AU491" s="31"/>
    </row>
    <row r="492" spans="5:47" ht="15" customHeight="1" x14ac:dyDescent="0.25">
      <c r="E492" s="31" t="s">
        <v>137</v>
      </c>
      <c r="F492" s="31" t="s">
        <v>140</v>
      </c>
      <c r="G492" s="31" t="s">
        <v>377</v>
      </c>
      <c r="H492" s="31" t="s">
        <v>324</v>
      </c>
      <c r="I492" s="31" t="s">
        <v>481</v>
      </c>
      <c r="J492" s="31" t="s">
        <v>699</v>
      </c>
      <c r="K492" s="31" t="s">
        <v>1006</v>
      </c>
      <c r="L492" s="31" t="s">
        <v>162</v>
      </c>
      <c r="M492" s="31" t="s">
        <v>144</v>
      </c>
      <c r="N492" s="31" t="s">
        <v>144</v>
      </c>
      <c r="O492" s="31" t="s">
        <v>144</v>
      </c>
      <c r="P492" s="31" t="s">
        <v>144</v>
      </c>
      <c r="Q492" s="31" t="s">
        <v>474</v>
      </c>
      <c r="R492" s="31" t="s">
        <v>443</v>
      </c>
      <c r="S492" s="31" t="s">
        <v>480</v>
      </c>
      <c r="T492" s="31" t="s">
        <v>478</v>
      </c>
      <c r="U492" s="31" t="s">
        <v>144</v>
      </c>
      <c r="V492" s="31" t="s">
        <v>144</v>
      </c>
      <c r="W492" s="31" t="s">
        <v>144</v>
      </c>
      <c r="X492" s="31" t="s">
        <v>144</v>
      </c>
      <c r="Y492" s="31"/>
      <c r="Z492" s="31" t="s">
        <v>144</v>
      </c>
      <c r="AA492" s="378">
        <v>16</v>
      </c>
      <c r="AB492" s="378">
        <v>15.5</v>
      </c>
      <c r="AC492" s="378">
        <v>0.3</v>
      </c>
      <c r="AD492" s="378">
        <v>0.2</v>
      </c>
      <c r="AE492" s="31">
        <v>1.3</v>
      </c>
      <c r="AF492" s="31">
        <v>28</v>
      </c>
      <c r="AG492" s="31" t="s">
        <v>191</v>
      </c>
      <c r="AH492" s="31" t="s">
        <v>144</v>
      </c>
      <c r="AI492" s="31" t="s">
        <v>144</v>
      </c>
      <c r="AJ492" s="31" t="s">
        <v>144</v>
      </c>
      <c r="AK492" s="31" t="s">
        <v>144</v>
      </c>
      <c r="AL492" s="31" t="s">
        <v>325</v>
      </c>
      <c r="AM492" s="31" t="s">
        <v>144</v>
      </c>
      <c r="AN492" s="31" t="s">
        <v>475</v>
      </c>
      <c r="AO492" s="31" t="s">
        <v>1324</v>
      </c>
      <c r="AP492" s="31" t="s">
        <v>144</v>
      </c>
      <c r="AQ492" s="31" t="s">
        <v>144</v>
      </c>
      <c r="AR492" s="31" t="s">
        <v>144</v>
      </c>
      <c r="AS492" s="31"/>
      <c r="AT492" s="31"/>
      <c r="AU492" s="31"/>
    </row>
    <row r="493" spans="5:47" ht="15" customHeight="1" x14ac:dyDescent="0.25">
      <c r="E493" s="31" t="s">
        <v>137</v>
      </c>
      <c r="F493" s="31" t="s">
        <v>140</v>
      </c>
      <c r="G493" s="31" t="s">
        <v>377</v>
      </c>
      <c r="H493" s="31" t="s">
        <v>324</v>
      </c>
      <c r="I493" s="31" t="s">
        <v>481</v>
      </c>
      <c r="J493" s="31" t="s">
        <v>699</v>
      </c>
      <c r="K493" s="31" t="s">
        <v>1007</v>
      </c>
      <c r="L493" s="31" t="s">
        <v>162</v>
      </c>
      <c r="M493" s="31" t="s">
        <v>144</v>
      </c>
      <c r="N493" s="31" t="s">
        <v>144</v>
      </c>
      <c r="O493" s="31" t="s">
        <v>144</v>
      </c>
      <c r="P493" s="31" t="s">
        <v>144</v>
      </c>
      <c r="Q493" s="31" t="s">
        <v>474</v>
      </c>
      <c r="R493" s="31" t="s">
        <v>443</v>
      </c>
      <c r="S493" s="31" t="s">
        <v>480</v>
      </c>
      <c r="T493" s="31" t="s">
        <v>478</v>
      </c>
      <c r="U493" s="31" t="s">
        <v>144</v>
      </c>
      <c r="V493" s="31" t="s">
        <v>144</v>
      </c>
      <c r="W493" s="31" t="s">
        <v>144</v>
      </c>
      <c r="X493" s="31" t="s">
        <v>144</v>
      </c>
      <c r="Y493" s="31"/>
      <c r="Z493" s="31" t="s">
        <v>144</v>
      </c>
      <c r="AA493" s="378">
        <v>16</v>
      </c>
      <c r="AB493" s="378">
        <v>15.5</v>
      </c>
      <c r="AC493" s="378">
        <v>0.3</v>
      </c>
      <c r="AD493" s="378">
        <v>0.2</v>
      </c>
      <c r="AE493" s="31">
        <v>1.3</v>
      </c>
      <c r="AF493" s="31">
        <v>28</v>
      </c>
      <c r="AG493" s="31" t="s">
        <v>191</v>
      </c>
      <c r="AH493" s="31" t="s">
        <v>144</v>
      </c>
      <c r="AI493" s="31" t="s">
        <v>144</v>
      </c>
      <c r="AJ493" s="31" t="s">
        <v>144</v>
      </c>
      <c r="AK493" s="31" t="s">
        <v>144</v>
      </c>
      <c r="AL493" s="31" t="s">
        <v>325</v>
      </c>
      <c r="AM493" s="31" t="s">
        <v>144</v>
      </c>
      <c r="AN493" s="31" t="s">
        <v>475</v>
      </c>
      <c r="AO493" s="31" t="s">
        <v>1324</v>
      </c>
      <c r="AP493" s="31" t="s">
        <v>144</v>
      </c>
      <c r="AQ493" s="31" t="s">
        <v>144</v>
      </c>
      <c r="AR493" s="31" t="s">
        <v>144</v>
      </c>
      <c r="AS493" s="31"/>
      <c r="AT493" s="31"/>
      <c r="AU493" s="31"/>
    </row>
    <row r="494" spans="5:47" ht="15" customHeight="1" x14ac:dyDescent="0.25">
      <c r="E494" s="31" t="s">
        <v>137</v>
      </c>
      <c r="F494" s="31" t="s">
        <v>140</v>
      </c>
      <c r="G494" s="31" t="s">
        <v>377</v>
      </c>
      <c r="H494" s="31" t="s">
        <v>324</v>
      </c>
      <c r="I494" s="31" t="s">
        <v>481</v>
      </c>
      <c r="J494" s="31" t="s">
        <v>699</v>
      </c>
      <c r="K494" s="31" t="s">
        <v>1008</v>
      </c>
      <c r="L494" s="31" t="s">
        <v>162</v>
      </c>
      <c r="M494" s="31" t="s">
        <v>144</v>
      </c>
      <c r="N494" s="31" t="s">
        <v>144</v>
      </c>
      <c r="O494" s="31" t="s">
        <v>144</v>
      </c>
      <c r="P494" s="31" t="s">
        <v>144</v>
      </c>
      <c r="Q494" s="31" t="s">
        <v>474</v>
      </c>
      <c r="R494" s="31" t="s">
        <v>443</v>
      </c>
      <c r="S494" s="31" t="s">
        <v>480</v>
      </c>
      <c r="T494" s="31" t="s">
        <v>478</v>
      </c>
      <c r="U494" s="31" t="s">
        <v>144</v>
      </c>
      <c r="V494" s="31" t="s">
        <v>144</v>
      </c>
      <c r="W494" s="31" t="s">
        <v>144</v>
      </c>
      <c r="X494" s="31" t="s">
        <v>144</v>
      </c>
      <c r="Y494" s="31"/>
      <c r="Z494" s="31" t="s">
        <v>144</v>
      </c>
      <c r="AA494" s="378">
        <v>16</v>
      </c>
      <c r="AB494" s="378">
        <v>15.5</v>
      </c>
      <c r="AC494" s="378">
        <v>0.3</v>
      </c>
      <c r="AD494" s="378">
        <v>0.2</v>
      </c>
      <c r="AE494" s="31">
        <v>1.3</v>
      </c>
      <c r="AF494" s="31">
        <v>28</v>
      </c>
      <c r="AG494" s="31" t="s">
        <v>191</v>
      </c>
      <c r="AH494" s="31" t="s">
        <v>144</v>
      </c>
      <c r="AI494" s="31" t="s">
        <v>144</v>
      </c>
      <c r="AJ494" s="31" t="s">
        <v>144</v>
      </c>
      <c r="AK494" s="31" t="s">
        <v>144</v>
      </c>
      <c r="AL494" s="31" t="s">
        <v>325</v>
      </c>
      <c r="AM494" s="31" t="s">
        <v>144</v>
      </c>
      <c r="AN494" s="31" t="s">
        <v>475</v>
      </c>
      <c r="AO494" s="31" t="s">
        <v>1324</v>
      </c>
      <c r="AP494" s="31" t="s">
        <v>144</v>
      </c>
      <c r="AQ494" s="31" t="s">
        <v>144</v>
      </c>
      <c r="AR494" s="31" t="s">
        <v>144</v>
      </c>
      <c r="AS494" s="31"/>
      <c r="AT494" s="31"/>
      <c r="AU494" s="31"/>
    </row>
    <row r="495" spans="5:47" ht="15" customHeight="1" x14ac:dyDescent="0.25">
      <c r="E495" s="31" t="s">
        <v>137</v>
      </c>
      <c r="F495" s="31" t="s">
        <v>140</v>
      </c>
      <c r="G495" s="31" t="s">
        <v>377</v>
      </c>
      <c r="H495" s="31" t="s">
        <v>324</v>
      </c>
      <c r="I495" s="31" t="s">
        <v>481</v>
      </c>
      <c r="J495" s="31" t="s">
        <v>699</v>
      </c>
      <c r="K495" s="31" t="s">
        <v>1009</v>
      </c>
      <c r="L495" s="31" t="s">
        <v>162</v>
      </c>
      <c r="M495" s="31" t="s">
        <v>144</v>
      </c>
      <c r="N495" s="31" t="s">
        <v>144</v>
      </c>
      <c r="O495" s="31" t="s">
        <v>144</v>
      </c>
      <c r="P495" s="31" t="s">
        <v>144</v>
      </c>
      <c r="Q495" s="31" t="s">
        <v>474</v>
      </c>
      <c r="R495" s="31" t="s">
        <v>443</v>
      </c>
      <c r="S495" s="31" t="s">
        <v>480</v>
      </c>
      <c r="T495" s="31" t="s">
        <v>478</v>
      </c>
      <c r="U495" s="31" t="s">
        <v>144</v>
      </c>
      <c r="V495" s="31" t="s">
        <v>144</v>
      </c>
      <c r="W495" s="31" t="s">
        <v>144</v>
      </c>
      <c r="X495" s="31" t="s">
        <v>144</v>
      </c>
      <c r="Y495" s="31"/>
      <c r="Z495" s="31" t="s">
        <v>144</v>
      </c>
      <c r="AA495" s="378">
        <v>16</v>
      </c>
      <c r="AB495" s="378">
        <v>15.5</v>
      </c>
      <c r="AC495" s="378">
        <v>0.3</v>
      </c>
      <c r="AD495" s="378">
        <v>0.2</v>
      </c>
      <c r="AE495" s="31">
        <v>1.3</v>
      </c>
      <c r="AF495" s="31">
        <v>28</v>
      </c>
      <c r="AG495" s="31" t="s">
        <v>191</v>
      </c>
      <c r="AH495" s="31" t="s">
        <v>144</v>
      </c>
      <c r="AI495" s="31" t="s">
        <v>144</v>
      </c>
      <c r="AJ495" s="31" t="s">
        <v>144</v>
      </c>
      <c r="AK495" s="31" t="s">
        <v>144</v>
      </c>
      <c r="AL495" s="31" t="s">
        <v>325</v>
      </c>
      <c r="AM495" s="31" t="s">
        <v>144</v>
      </c>
      <c r="AN495" s="31" t="s">
        <v>475</v>
      </c>
      <c r="AO495" s="31" t="s">
        <v>1324</v>
      </c>
      <c r="AP495" s="31" t="s">
        <v>144</v>
      </c>
      <c r="AQ495" s="31" t="s">
        <v>144</v>
      </c>
      <c r="AR495" s="31" t="s">
        <v>144</v>
      </c>
      <c r="AS495" s="31"/>
      <c r="AT495" s="31"/>
      <c r="AU495" s="31"/>
    </row>
    <row r="496" spans="5:47" ht="15" customHeight="1" x14ac:dyDescent="0.25">
      <c r="E496" s="31" t="s">
        <v>137</v>
      </c>
      <c r="F496" s="31" t="s">
        <v>140</v>
      </c>
      <c r="G496" s="31" t="s">
        <v>377</v>
      </c>
      <c r="H496" s="31" t="s">
        <v>324</v>
      </c>
      <c r="I496" s="31" t="s">
        <v>481</v>
      </c>
      <c r="J496" s="31" t="s">
        <v>699</v>
      </c>
      <c r="K496" s="31" t="s">
        <v>1010</v>
      </c>
      <c r="L496" s="31" t="s">
        <v>162</v>
      </c>
      <c r="M496" s="31" t="s">
        <v>144</v>
      </c>
      <c r="N496" s="31" t="s">
        <v>144</v>
      </c>
      <c r="O496" s="31" t="s">
        <v>144</v>
      </c>
      <c r="P496" s="31" t="s">
        <v>144</v>
      </c>
      <c r="Q496" s="31" t="s">
        <v>474</v>
      </c>
      <c r="R496" s="31" t="s">
        <v>443</v>
      </c>
      <c r="S496" s="31" t="s">
        <v>480</v>
      </c>
      <c r="T496" s="31" t="s">
        <v>478</v>
      </c>
      <c r="U496" s="31" t="s">
        <v>144</v>
      </c>
      <c r="V496" s="31" t="s">
        <v>144</v>
      </c>
      <c r="W496" s="31" t="s">
        <v>144</v>
      </c>
      <c r="X496" s="31" t="s">
        <v>144</v>
      </c>
      <c r="Y496" s="31"/>
      <c r="Z496" s="31" t="s">
        <v>144</v>
      </c>
      <c r="AA496" s="378">
        <v>16</v>
      </c>
      <c r="AB496" s="378">
        <v>15.5</v>
      </c>
      <c r="AC496" s="378">
        <v>0.3</v>
      </c>
      <c r="AD496" s="378">
        <v>0.2</v>
      </c>
      <c r="AE496" s="31">
        <v>1.3</v>
      </c>
      <c r="AF496" s="31">
        <v>28</v>
      </c>
      <c r="AG496" s="31" t="s">
        <v>191</v>
      </c>
      <c r="AH496" s="31" t="s">
        <v>144</v>
      </c>
      <c r="AI496" s="31" t="s">
        <v>144</v>
      </c>
      <c r="AJ496" s="31" t="s">
        <v>144</v>
      </c>
      <c r="AK496" s="31" t="s">
        <v>144</v>
      </c>
      <c r="AL496" s="31" t="s">
        <v>325</v>
      </c>
      <c r="AM496" s="31" t="s">
        <v>144</v>
      </c>
      <c r="AN496" s="31" t="s">
        <v>475</v>
      </c>
      <c r="AO496" s="31" t="s">
        <v>1324</v>
      </c>
      <c r="AP496" s="31" t="s">
        <v>144</v>
      </c>
      <c r="AQ496" s="31" t="s">
        <v>144</v>
      </c>
      <c r="AR496" s="31" t="s">
        <v>144</v>
      </c>
      <c r="AS496" s="31"/>
      <c r="AT496" s="31"/>
      <c r="AU496" s="31"/>
    </row>
    <row r="497" spans="5:47" ht="15" customHeight="1" x14ac:dyDescent="0.25">
      <c r="E497" s="31" t="s">
        <v>137</v>
      </c>
      <c r="F497" s="31" t="s">
        <v>140</v>
      </c>
      <c r="G497" s="31" t="s">
        <v>377</v>
      </c>
      <c r="H497" s="31" t="s">
        <v>324</v>
      </c>
      <c r="I497" s="31" t="s">
        <v>481</v>
      </c>
      <c r="J497" s="31" t="s">
        <v>699</v>
      </c>
      <c r="K497" s="31" t="s">
        <v>1011</v>
      </c>
      <c r="L497" s="31" t="s">
        <v>162</v>
      </c>
      <c r="M497" s="31" t="s">
        <v>144</v>
      </c>
      <c r="N497" s="31" t="s">
        <v>144</v>
      </c>
      <c r="O497" s="31" t="s">
        <v>144</v>
      </c>
      <c r="P497" s="31" t="s">
        <v>144</v>
      </c>
      <c r="Q497" s="31" t="s">
        <v>474</v>
      </c>
      <c r="R497" s="31" t="s">
        <v>443</v>
      </c>
      <c r="S497" s="31" t="s">
        <v>480</v>
      </c>
      <c r="T497" s="31" t="s">
        <v>478</v>
      </c>
      <c r="U497" s="31" t="s">
        <v>144</v>
      </c>
      <c r="V497" s="31" t="s">
        <v>144</v>
      </c>
      <c r="W497" s="31" t="s">
        <v>144</v>
      </c>
      <c r="X497" s="31" t="s">
        <v>144</v>
      </c>
      <c r="Y497" s="31"/>
      <c r="Z497" s="31" t="s">
        <v>144</v>
      </c>
      <c r="AA497" s="378">
        <v>16</v>
      </c>
      <c r="AB497" s="378">
        <v>15.5</v>
      </c>
      <c r="AC497" s="378">
        <v>0.3</v>
      </c>
      <c r="AD497" s="378">
        <v>0.2</v>
      </c>
      <c r="AE497" s="31">
        <v>1.3</v>
      </c>
      <c r="AF497" s="31">
        <v>28</v>
      </c>
      <c r="AG497" s="31" t="s">
        <v>191</v>
      </c>
      <c r="AH497" s="31" t="s">
        <v>144</v>
      </c>
      <c r="AI497" s="31" t="s">
        <v>144</v>
      </c>
      <c r="AJ497" s="31" t="s">
        <v>144</v>
      </c>
      <c r="AK497" s="31" t="s">
        <v>144</v>
      </c>
      <c r="AL497" s="31" t="s">
        <v>325</v>
      </c>
      <c r="AM497" s="31" t="s">
        <v>144</v>
      </c>
      <c r="AN497" s="31" t="s">
        <v>475</v>
      </c>
      <c r="AO497" s="31" t="s">
        <v>1324</v>
      </c>
      <c r="AP497" s="31" t="s">
        <v>144</v>
      </c>
      <c r="AQ497" s="31" t="s">
        <v>144</v>
      </c>
      <c r="AR497" s="31" t="s">
        <v>144</v>
      </c>
      <c r="AS497" s="31"/>
      <c r="AT497" s="31"/>
      <c r="AU497" s="31"/>
    </row>
    <row r="498" spans="5:47" ht="15" customHeight="1" x14ac:dyDescent="0.25">
      <c r="E498" s="31" t="s">
        <v>137</v>
      </c>
      <c r="F498" s="31" t="s">
        <v>140</v>
      </c>
      <c r="G498" s="31" t="s">
        <v>377</v>
      </c>
      <c r="H498" s="31" t="s">
        <v>324</v>
      </c>
      <c r="I498" s="31" t="s">
        <v>481</v>
      </c>
      <c r="J498" s="31" t="s">
        <v>699</v>
      </c>
      <c r="K498" s="31" t="s">
        <v>1012</v>
      </c>
      <c r="L498" s="31" t="s">
        <v>162</v>
      </c>
      <c r="M498" s="31" t="s">
        <v>144</v>
      </c>
      <c r="N498" s="31" t="s">
        <v>144</v>
      </c>
      <c r="O498" s="31" t="s">
        <v>144</v>
      </c>
      <c r="P498" s="31" t="s">
        <v>144</v>
      </c>
      <c r="Q498" s="31" t="s">
        <v>474</v>
      </c>
      <c r="R498" s="31" t="s">
        <v>443</v>
      </c>
      <c r="S498" s="31" t="s">
        <v>480</v>
      </c>
      <c r="T498" s="31" t="s">
        <v>478</v>
      </c>
      <c r="U498" s="31" t="s">
        <v>144</v>
      </c>
      <c r="V498" s="31" t="s">
        <v>144</v>
      </c>
      <c r="W498" s="31" t="s">
        <v>144</v>
      </c>
      <c r="X498" s="31" t="s">
        <v>144</v>
      </c>
      <c r="Y498" s="31"/>
      <c r="Z498" s="31" t="s">
        <v>144</v>
      </c>
      <c r="AA498" s="378">
        <v>16</v>
      </c>
      <c r="AB498" s="378">
        <v>15.5</v>
      </c>
      <c r="AC498" s="378">
        <v>0.3</v>
      </c>
      <c r="AD498" s="378">
        <v>0.2</v>
      </c>
      <c r="AE498" s="31">
        <v>1.3</v>
      </c>
      <c r="AF498" s="31">
        <v>28</v>
      </c>
      <c r="AG498" s="31" t="s">
        <v>191</v>
      </c>
      <c r="AH498" s="31" t="s">
        <v>144</v>
      </c>
      <c r="AI498" s="31" t="s">
        <v>144</v>
      </c>
      <c r="AJ498" s="31" t="s">
        <v>144</v>
      </c>
      <c r="AK498" s="31" t="s">
        <v>144</v>
      </c>
      <c r="AL498" s="31" t="s">
        <v>325</v>
      </c>
      <c r="AM498" s="31" t="s">
        <v>144</v>
      </c>
      <c r="AN498" s="31" t="s">
        <v>475</v>
      </c>
      <c r="AO498" s="31" t="s">
        <v>1324</v>
      </c>
      <c r="AP498" s="31" t="s">
        <v>144</v>
      </c>
      <c r="AQ498" s="31" t="s">
        <v>144</v>
      </c>
      <c r="AR498" s="31" t="s">
        <v>144</v>
      </c>
      <c r="AS498" s="31"/>
      <c r="AT498" s="31"/>
      <c r="AU498" s="31"/>
    </row>
    <row r="499" spans="5:47" ht="15" customHeight="1" x14ac:dyDescent="0.25">
      <c r="E499" s="31" t="s">
        <v>137</v>
      </c>
      <c r="F499" s="31" t="s">
        <v>140</v>
      </c>
      <c r="G499" s="31" t="s">
        <v>377</v>
      </c>
      <c r="H499" s="31" t="s">
        <v>324</v>
      </c>
      <c r="I499" s="31" t="s">
        <v>481</v>
      </c>
      <c r="J499" s="31" t="s">
        <v>699</v>
      </c>
      <c r="K499" s="31" t="s">
        <v>1013</v>
      </c>
      <c r="L499" s="31" t="s">
        <v>162</v>
      </c>
      <c r="M499" s="31" t="s">
        <v>144</v>
      </c>
      <c r="N499" s="31" t="s">
        <v>144</v>
      </c>
      <c r="O499" s="31" t="s">
        <v>144</v>
      </c>
      <c r="P499" s="31" t="s">
        <v>144</v>
      </c>
      <c r="Q499" s="31" t="s">
        <v>474</v>
      </c>
      <c r="R499" s="31" t="s">
        <v>443</v>
      </c>
      <c r="S499" s="31" t="s">
        <v>480</v>
      </c>
      <c r="T499" s="31" t="s">
        <v>478</v>
      </c>
      <c r="U499" s="31" t="s">
        <v>144</v>
      </c>
      <c r="V499" s="31" t="s">
        <v>144</v>
      </c>
      <c r="W499" s="31" t="s">
        <v>144</v>
      </c>
      <c r="X499" s="31" t="s">
        <v>144</v>
      </c>
      <c r="Y499" s="31"/>
      <c r="Z499" s="31" t="s">
        <v>144</v>
      </c>
      <c r="AA499" s="378">
        <v>16</v>
      </c>
      <c r="AB499" s="378">
        <v>15.5</v>
      </c>
      <c r="AC499" s="378">
        <v>0.3</v>
      </c>
      <c r="AD499" s="378">
        <v>0.2</v>
      </c>
      <c r="AE499" s="31">
        <v>1.3</v>
      </c>
      <c r="AF499" s="31">
        <v>28</v>
      </c>
      <c r="AG499" s="31" t="s">
        <v>191</v>
      </c>
      <c r="AH499" s="31" t="s">
        <v>144</v>
      </c>
      <c r="AI499" s="31" t="s">
        <v>144</v>
      </c>
      <c r="AJ499" s="31" t="s">
        <v>144</v>
      </c>
      <c r="AK499" s="31" t="s">
        <v>144</v>
      </c>
      <c r="AL499" s="31" t="s">
        <v>325</v>
      </c>
      <c r="AM499" s="31" t="s">
        <v>144</v>
      </c>
      <c r="AN499" s="31" t="s">
        <v>475</v>
      </c>
      <c r="AO499" s="31" t="s">
        <v>1324</v>
      </c>
      <c r="AP499" s="31" t="s">
        <v>144</v>
      </c>
      <c r="AQ499" s="31" t="s">
        <v>144</v>
      </c>
      <c r="AR499" s="31" t="s">
        <v>144</v>
      </c>
      <c r="AS499" s="31"/>
      <c r="AT499" s="31"/>
      <c r="AU499" s="31"/>
    </row>
    <row r="500" spans="5:47" ht="15" customHeight="1" x14ac:dyDescent="0.25">
      <c r="E500" s="31" t="s">
        <v>137</v>
      </c>
      <c r="F500" s="31" t="s">
        <v>140</v>
      </c>
      <c r="G500" s="31" t="s">
        <v>377</v>
      </c>
      <c r="H500" s="31" t="s">
        <v>324</v>
      </c>
      <c r="I500" s="31" t="s">
        <v>481</v>
      </c>
      <c r="J500" s="31" t="s">
        <v>699</v>
      </c>
      <c r="K500" s="31" t="s">
        <v>1014</v>
      </c>
      <c r="L500" s="31" t="s">
        <v>162</v>
      </c>
      <c r="M500" s="31" t="s">
        <v>144</v>
      </c>
      <c r="N500" s="31" t="s">
        <v>144</v>
      </c>
      <c r="O500" s="31" t="s">
        <v>144</v>
      </c>
      <c r="P500" s="31" t="s">
        <v>144</v>
      </c>
      <c r="Q500" s="31" t="s">
        <v>474</v>
      </c>
      <c r="R500" s="31" t="s">
        <v>443</v>
      </c>
      <c r="S500" s="31" t="s">
        <v>480</v>
      </c>
      <c r="T500" s="31" t="s">
        <v>478</v>
      </c>
      <c r="U500" s="31" t="s">
        <v>144</v>
      </c>
      <c r="V500" s="31" t="s">
        <v>144</v>
      </c>
      <c r="W500" s="31" t="s">
        <v>144</v>
      </c>
      <c r="X500" s="31" t="s">
        <v>144</v>
      </c>
      <c r="Y500" s="31"/>
      <c r="Z500" s="31" t="s">
        <v>144</v>
      </c>
      <c r="AA500" s="378">
        <v>16</v>
      </c>
      <c r="AB500" s="378">
        <v>15.5</v>
      </c>
      <c r="AC500" s="378">
        <v>0.3</v>
      </c>
      <c r="AD500" s="378">
        <v>0.2</v>
      </c>
      <c r="AE500" s="31">
        <v>1.3</v>
      </c>
      <c r="AF500" s="31">
        <v>28</v>
      </c>
      <c r="AG500" s="31" t="s">
        <v>191</v>
      </c>
      <c r="AH500" s="31" t="s">
        <v>144</v>
      </c>
      <c r="AI500" s="31" t="s">
        <v>144</v>
      </c>
      <c r="AJ500" s="31" t="s">
        <v>144</v>
      </c>
      <c r="AK500" s="31" t="s">
        <v>144</v>
      </c>
      <c r="AL500" s="31" t="s">
        <v>325</v>
      </c>
      <c r="AM500" s="31" t="s">
        <v>144</v>
      </c>
      <c r="AN500" s="31" t="s">
        <v>475</v>
      </c>
      <c r="AO500" s="31" t="s">
        <v>1324</v>
      </c>
      <c r="AP500" s="31" t="s">
        <v>144</v>
      </c>
      <c r="AQ500" s="31" t="s">
        <v>144</v>
      </c>
      <c r="AR500" s="31" t="s">
        <v>144</v>
      </c>
      <c r="AS500" s="31"/>
      <c r="AT500" s="31"/>
      <c r="AU500" s="31"/>
    </row>
    <row r="501" spans="5:47" ht="15" customHeight="1" x14ac:dyDescent="0.25">
      <c r="E501" s="31" t="s">
        <v>137</v>
      </c>
      <c r="F501" s="31" t="s">
        <v>140</v>
      </c>
      <c r="G501" s="31" t="s">
        <v>377</v>
      </c>
      <c r="H501" s="31" t="s">
        <v>324</v>
      </c>
      <c r="I501" s="31" t="s">
        <v>481</v>
      </c>
      <c r="J501" s="31" t="s">
        <v>699</v>
      </c>
      <c r="K501" s="31" t="s">
        <v>1015</v>
      </c>
      <c r="L501" s="31" t="s">
        <v>162</v>
      </c>
      <c r="M501" s="31" t="s">
        <v>144</v>
      </c>
      <c r="N501" s="31" t="s">
        <v>144</v>
      </c>
      <c r="O501" s="31" t="s">
        <v>144</v>
      </c>
      <c r="P501" s="31" t="s">
        <v>144</v>
      </c>
      <c r="Q501" s="31" t="s">
        <v>474</v>
      </c>
      <c r="R501" s="31" t="s">
        <v>443</v>
      </c>
      <c r="S501" s="31" t="s">
        <v>480</v>
      </c>
      <c r="T501" s="31" t="s">
        <v>478</v>
      </c>
      <c r="U501" s="31" t="s">
        <v>144</v>
      </c>
      <c r="V501" s="31" t="s">
        <v>144</v>
      </c>
      <c r="W501" s="31" t="s">
        <v>144</v>
      </c>
      <c r="X501" s="31" t="s">
        <v>144</v>
      </c>
      <c r="Y501" s="31"/>
      <c r="Z501" s="31" t="s">
        <v>144</v>
      </c>
      <c r="AA501" s="378">
        <v>16</v>
      </c>
      <c r="AB501" s="378">
        <v>15.5</v>
      </c>
      <c r="AC501" s="378">
        <v>0.3</v>
      </c>
      <c r="AD501" s="378">
        <v>0.2</v>
      </c>
      <c r="AE501" s="31">
        <v>1.3</v>
      </c>
      <c r="AF501" s="31">
        <v>28</v>
      </c>
      <c r="AG501" s="31" t="s">
        <v>191</v>
      </c>
      <c r="AH501" s="31" t="s">
        <v>144</v>
      </c>
      <c r="AI501" s="31" t="s">
        <v>144</v>
      </c>
      <c r="AJ501" s="31" t="s">
        <v>144</v>
      </c>
      <c r="AK501" s="31" t="s">
        <v>144</v>
      </c>
      <c r="AL501" s="31" t="s">
        <v>325</v>
      </c>
      <c r="AM501" s="31" t="s">
        <v>144</v>
      </c>
      <c r="AN501" s="31" t="s">
        <v>475</v>
      </c>
      <c r="AO501" s="31" t="s">
        <v>1324</v>
      </c>
      <c r="AP501" s="31" t="s">
        <v>144</v>
      </c>
      <c r="AQ501" s="31" t="s">
        <v>144</v>
      </c>
      <c r="AR501" s="31" t="s">
        <v>144</v>
      </c>
      <c r="AS501" s="31"/>
      <c r="AT501" s="31"/>
      <c r="AU501" s="31"/>
    </row>
    <row r="502" spans="5:47" ht="15" customHeight="1" x14ac:dyDescent="0.25">
      <c r="E502" s="31" t="s">
        <v>137</v>
      </c>
      <c r="F502" s="31" t="s">
        <v>140</v>
      </c>
      <c r="G502" s="31" t="s">
        <v>377</v>
      </c>
      <c r="H502" s="31" t="s">
        <v>324</v>
      </c>
      <c r="I502" s="31" t="s">
        <v>481</v>
      </c>
      <c r="J502" s="31" t="s">
        <v>699</v>
      </c>
      <c r="K502" s="31" t="s">
        <v>1016</v>
      </c>
      <c r="L502" s="31" t="s">
        <v>162</v>
      </c>
      <c r="M502" s="31" t="s">
        <v>144</v>
      </c>
      <c r="N502" s="31" t="s">
        <v>144</v>
      </c>
      <c r="O502" s="31" t="s">
        <v>144</v>
      </c>
      <c r="P502" s="31" t="s">
        <v>144</v>
      </c>
      <c r="Q502" s="31" t="s">
        <v>474</v>
      </c>
      <c r="R502" s="31" t="s">
        <v>443</v>
      </c>
      <c r="S502" s="31" t="s">
        <v>480</v>
      </c>
      <c r="T502" s="31" t="s">
        <v>478</v>
      </c>
      <c r="U502" s="31" t="s">
        <v>144</v>
      </c>
      <c r="V502" s="31" t="s">
        <v>144</v>
      </c>
      <c r="W502" s="31" t="s">
        <v>144</v>
      </c>
      <c r="X502" s="31" t="s">
        <v>144</v>
      </c>
      <c r="Y502" s="31"/>
      <c r="Z502" s="31" t="s">
        <v>144</v>
      </c>
      <c r="AA502" s="378">
        <v>16</v>
      </c>
      <c r="AB502" s="378">
        <v>15.5</v>
      </c>
      <c r="AC502" s="378">
        <v>0.3</v>
      </c>
      <c r="AD502" s="378">
        <v>0.2</v>
      </c>
      <c r="AE502" s="31">
        <v>1.3</v>
      </c>
      <c r="AF502" s="31">
        <v>28</v>
      </c>
      <c r="AG502" s="31" t="s">
        <v>191</v>
      </c>
      <c r="AH502" s="31" t="s">
        <v>144</v>
      </c>
      <c r="AI502" s="31" t="s">
        <v>144</v>
      </c>
      <c r="AJ502" s="31" t="s">
        <v>144</v>
      </c>
      <c r="AK502" s="31" t="s">
        <v>144</v>
      </c>
      <c r="AL502" s="31" t="s">
        <v>325</v>
      </c>
      <c r="AM502" s="31" t="s">
        <v>144</v>
      </c>
      <c r="AN502" s="31" t="s">
        <v>475</v>
      </c>
      <c r="AO502" s="31" t="s">
        <v>1324</v>
      </c>
      <c r="AP502" s="31" t="s">
        <v>144</v>
      </c>
      <c r="AQ502" s="31" t="s">
        <v>144</v>
      </c>
      <c r="AR502" s="31" t="s">
        <v>144</v>
      </c>
      <c r="AS502" s="31"/>
      <c r="AT502" s="31"/>
      <c r="AU502" s="31"/>
    </row>
    <row r="503" spans="5:47" ht="15" customHeight="1" x14ac:dyDescent="0.25">
      <c r="E503" s="31" t="s">
        <v>137</v>
      </c>
      <c r="F503" s="31" t="s">
        <v>140</v>
      </c>
      <c r="G503" s="31" t="s">
        <v>377</v>
      </c>
      <c r="H503" s="31" t="s">
        <v>324</v>
      </c>
      <c r="I503" s="31" t="s">
        <v>481</v>
      </c>
      <c r="J503" s="31" t="s">
        <v>699</v>
      </c>
      <c r="K503" s="31" t="s">
        <v>1017</v>
      </c>
      <c r="L503" s="31" t="s">
        <v>162</v>
      </c>
      <c r="M503" s="31" t="s">
        <v>144</v>
      </c>
      <c r="N503" s="31" t="s">
        <v>144</v>
      </c>
      <c r="O503" s="31" t="s">
        <v>144</v>
      </c>
      <c r="P503" s="31" t="s">
        <v>144</v>
      </c>
      <c r="Q503" s="31" t="s">
        <v>474</v>
      </c>
      <c r="R503" s="31" t="s">
        <v>443</v>
      </c>
      <c r="S503" s="31" t="s">
        <v>480</v>
      </c>
      <c r="T503" s="31" t="s">
        <v>478</v>
      </c>
      <c r="U503" s="31" t="s">
        <v>144</v>
      </c>
      <c r="V503" s="31" t="s">
        <v>144</v>
      </c>
      <c r="W503" s="31" t="s">
        <v>144</v>
      </c>
      <c r="X503" s="31" t="s">
        <v>144</v>
      </c>
      <c r="Y503" s="31"/>
      <c r="Z503" s="31" t="s">
        <v>144</v>
      </c>
      <c r="AA503" s="378">
        <v>16</v>
      </c>
      <c r="AB503" s="378">
        <v>15.5</v>
      </c>
      <c r="AC503" s="378">
        <v>0.3</v>
      </c>
      <c r="AD503" s="378">
        <v>0.2</v>
      </c>
      <c r="AE503" s="31">
        <v>1.3</v>
      </c>
      <c r="AF503" s="31">
        <v>28</v>
      </c>
      <c r="AG503" s="31" t="s">
        <v>191</v>
      </c>
      <c r="AH503" s="31" t="s">
        <v>144</v>
      </c>
      <c r="AI503" s="31" t="s">
        <v>144</v>
      </c>
      <c r="AJ503" s="31" t="s">
        <v>144</v>
      </c>
      <c r="AK503" s="31" t="s">
        <v>144</v>
      </c>
      <c r="AL503" s="31" t="s">
        <v>325</v>
      </c>
      <c r="AM503" s="31" t="s">
        <v>144</v>
      </c>
      <c r="AN503" s="31" t="s">
        <v>475</v>
      </c>
      <c r="AO503" s="31" t="s">
        <v>1324</v>
      </c>
      <c r="AP503" s="31" t="s">
        <v>144</v>
      </c>
      <c r="AQ503" s="31" t="s">
        <v>144</v>
      </c>
      <c r="AR503" s="31" t="s">
        <v>144</v>
      </c>
      <c r="AS503" s="31"/>
      <c r="AT503" s="31"/>
      <c r="AU503" s="31"/>
    </row>
    <row r="504" spans="5:47" ht="15" customHeight="1" x14ac:dyDescent="0.25">
      <c r="E504" s="31" t="s">
        <v>137</v>
      </c>
      <c r="F504" s="31" t="s">
        <v>140</v>
      </c>
      <c r="G504" s="31" t="s">
        <v>377</v>
      </c>
      <c r="H504" s="31" t="s">
        <v>324</v>
      </c>
      <c r="I504" s="31" t="s">
        <v>481</v>
      </c>
      <c r="J504" s="31" t="s">
        <v>699</v>
      </c>
      <c r="K504" s="31" t="s">
        <v>1018</v>
      </c>
      <c r="L504" s="31" t="s">
        <v>162</v>
      </c>
      <c r="M504" s="31" t="s">
        <v>144</v>
      </c>
      <c r="N504" s="31" t="s">
        <v>144</v>
      </c>
      <c r="O504" s="31" t="s">
        <v>144</v>
      </c>
      <c r="P504" s="31" t="s">
        <v>144</v>
      </c>
      <c r="Q504" s="31" t="s">
        <v>474</v>
      </c>
      <c r="R504" s="31" t="s">
        <v>443</v>
      </c>
      <c r="S504" s="31" t="s">
        <v>480</v>
      </c>
      <c r="T504" s="31" t="s">
        <v>478</v>
      </c>
      <c r="U504" s="31" t="s">
        <v>144</v>
      </c>
      <c r="V504" s="31" t="s">
        <v>144</v>
      </c>
      <c r="W504" s="31" t="s">
        <v>144</v>
      </c>
      <c r="X504" s="31" t="s">
        <v>144</v>
      </c>
      <c r="Y504" s="31"/>
      <c r="Z504" s="31" t="s">
        <v>144</v>
      </c>
      <c r="AA504" s="378">
        <v>16</v>
      </c>
      <c r="AB504" s="378">
        <v>15.5</v>
      </c>
      <c r="AC504" s="378">
        <v>0.3</v>
      </c>
      <c r="AD504" s="378">
        <v>0.2</v>
      </c>
      <c r="AE504" s="31">
        <v>1.3</v>
      </c>
      <c r="AF504" s="31">
        <v>28</v>
      </c>
      <c r="AG504" s="31" t="s">
        <v>191</v>
      </c>
      <c r="AH504" s="31" t="s">
        <v>144</v>
      </c>
      <c r="AI504" s="31" t="s">
        <v>144</v>
      </c>
      <c r="AJ504" s="31" t="s">
        <v>144</v>
      </c>
      <c r="AK504" s="31" t="s">
        <v>144</v>
      </c>
      <c r="AL504" s="31" t="s">
        <v>325</v>
      </c>
      <c r="AM504" s="31" t="s">
        <v>144</v>
      </c>
      <c r="AN504" s="31" t="s">
        <v>475</v>
      </c>
      <c r="AO504" s="31" t="s">
        <v>1324</v>
      </c>
      <c r="AP504" s="31" t="s">
        <v>144</v>
      </c>
      <c r="AQ504" s="31" t="s">
        <v>144</v>
      </c>
      <c r="AR504" s="31" t="s">
        <v>144</v>
      </c>
      <c r="AS504" s="31"/>
      <c r="AT504" s="31"/>
      <c r="AU504" s="31"/>
    </row>
    <row r="505" spans="5:47" ht="15" customHeight="1" x14ac:dyDescent="0.25">
      <c r="E505" s="31" t="s">
        <v>137</v>
      </c>
      <c r="F505" s="31" t="s">
        <v>140</v>
      </c>
      <c r="G505" s="31" t="s">
        <v>377</v>
      </c>
      <c r="H505" s="31" t="s">
        <v>324</v>
      </c>
      <c r="I505" s="31" t="s">
        <v>481</v>
      </c>
      <c r="J505" s="31" t="s">
        <v>699</v>
      </c>
      <c r="K505" s="31" t="s">
        <v>1019</v>
      </c>
      <c r="L505" s="31" t="s">
        <v>162</v>
      </c>
      <c r="M505" s="31" t="s">
        <v>144</v>
      </c>
      <c r="N505" s="31" t="s">
        <v>144</v>
      </c>
      <c r="O505" s="31" t="s">
        <v>144</v>
      </c>
      <c r="P505" s="31" t="s">
        <v>144</v>
      </c>
      <c r="Q505" s="31" t="s">
        <v>474</v>
      </c>
      <c r="R505" s="31" t="s">
        <v>443</v>
      </c>
      <c r="S505" s="31" t="s">
        <v>480</v>
      </c>
      <c r="T505" s="31" t="s">
        <v>478</v>
      </c>
      <c r="U505" s="31" t="s">
        <v>144</v>
      </c>
      <c r="V505" s="31" t="s">
        <v>144</v>
      </c>
      <c r="W505" s="31" t="s">
        <v>144</v>
      </c>
      <c r="X505" s="31" t="s">
        <v>144</v>
      </c>
      <c r="Y505" s="31"/>
      <c r="Z505" s="31" t="s">
        <v>144</v>
      </c>
      <c r="AA505" s="378">
        <v>16</v>
      </c>
      <c r="AB505" s="378">
        <v>15.5</v>
      </c>
      <c r="AC505" s="378">
        <v>0.3</v>
      </c>
      <c r="AD505" s="378">
        <v>0.2</v>
      </c>
      <c r="AE505" s="31">
        <v>1.3</v>
      </c>
      <c r="AF505" s="31">
        <v>28</v>
      </c>
      <c r="AG505" s="31" t="s">
        <v>191</v>
      </c>
      <c r="AH505" s="31" t="s">
        <v>144</v>
      </c>
      <c r="AI505" s="31" t="s">
        <v>144</v>
      </c>
      <c r="AJ505" s="31" t="s">
        <v>144</v>
      </c>
      <c r="AK505" s="31" t="s">
        <v>144</v>
      </c>
      <c r="AL505" s="31" t="s">
        <v>325</v>
      </c>
      <c r="AM505" s="31" t="s">
        <v>144</v>
      </c>
      <c r="AN505" s="31" t="s">
        <v>475</v>
      </c>
      <c r="AO505" s="31" t="s">
        <v>1324</v>
      </c>
      <c r="AP505" s="31" t="s">
        <v>144</v>
      </c>
      <c r="AQ505" s="31" t="s">
        <v>144</v>
      </c>
      <c r="AR505" s="31" t="s">
        <v>144</v>
      </c>
      <c r="AS505" s="31"/>
      <c r="AT505" s="31"/>
      <c r="AU505" s="31"/>
    </row>
    <row r="506" spans="5:47" ht="15" customHeight="1" x14ac:dyDescent="0.25">
      <c r="E506" s="31" t="s">
        <v>137</v>
      </c>
      <c r="F506" s="31" t="s">
        <v>140</v>
      </c>
      <c r="G506" s="31" t="s">
        <v>377</v>
      </c>
      <c r="H506" s="31" t="s">
        <v>324</v>
      </c>
      <c r="I506" s="31" t="s">
        <v>481</v>
      </c>
      <c r="J506" s="31" t="s">
        <v>699</v>
      </c>
      <c r="K506" s="31" t="s">
        <v>1020</v>
      </c>
      <c r="L506" s="31" t="s">
        <v>162</v>
      </c>
      <c r="M506" s="31" t="s">
        <v>144</v>
      </c>
      <c r="N506" s="31" t="s">
        <v>144</v>
      </c>
      <c r="O506" s="31" t="s">
        <v>144</v>
      </c>
      <c r="P506" s="31" t="s">
        <v>144</v>
      </c>
      <c r="Q506" s="31" t="s">
        <v>474</v>
      </c>
      <c r="R506" s="31" t="s">
        <v>443</v>
      </c>
      <c r="S506" s="31" t="s">
        <v>480</v>
      </c>
      <c r="T506" s="31" t="s">
        <v>478</v>
      </c>
      <c r="U506" s="31" t="s">
        <v>144</v>
      </c>
      <c r="V506" s="31" t="s">
        <v>144</v>
      </c>
      <c r="W506" s="31" t="s">
        <v>144</v>
      </c>
      <c r="X506" s="31" t="s">
        <v>144</v>
      </c>
      <c r="Y506" s="31"/>
      <c r="Z506" s="31" t="s">
        <v>144</v>
      </c>
      <c r="AA506" s="378">
        <v>16</v>
      </c>
      <c r="AB506" s="378">
        <v>15.5</v>
      </c>
      <c r="AC506" s="378">
        <v>0.3</v>
      </c>
      <c r="AD506" s="378">
        <v>0.2</v>
      </c>
      <c r="AE506" s="31">
        <v>1.3</v>
      </c>
      <c r="AF506" s="31">
        <v>28</v>
      </c>
      <c r="AG506" s="31" t="s">
        <v>191</v>
      </c>
      <c r="AH506" s="31" t="s">
        <v>144</v>
      </c>
      <c r="AI506" s="31" t="s">
        <v>144</v>
      </c>
      <c r="AJ506" s="31" t="s">
        <v>144</v>
      </c>
      <c r="AK506" s="31" t="s">
        <v>144</v>
      </c>
      <c r="AL506" s="31" t="s">
        <v>325</v>
      </c>
      <c r="AM506" s="31" t="s">
        <v>144</v>
      </c>
      <c r="AN506" s="31" t="s">
        <v>475</v>
      </c>
      <c r="AO506" s="31" t="s">
        <v>1324</v>
      </c>
      <c r="AP506" s="31" t="s">
        <v>144</v>
      </c>
      <c r="AQ506" s="31" t="s">
        <v>144</v>
      </c>
      <c r="AR506" s="31" t="s">
        <v>144</v>
      </c>
      <c r="AS506" s="31"/>
      <c r="AT506" s="31"/>
      <c r="AU506" s="31"/>
    </row>
    <row r="507" spans="5:47" ht="15" customHeight="1" x14ac:dyDescent="0.25">
      <c r="E507" s="31" t="s">
        <v>137</v>
      </c>
      <c r="F507" s="31" t="s">
        <v>140</v>
      </c>
      <c r="G507" s="31" t="s">
        <v>377</v>
      </c>
      <c r="H507" s="31" t="s">
        <v>324</v>
      </c>
      <c r="I507" s="31" t="s">
        <v>481</v>
      </c>
      <c r="J507" s="31" t="s">
        <v>699</v>
      </c>
      <c r="K507" s="31" t="s">
        <v>1021</v>
      </c>
      <c r="L507" s="31" t="s">
        <v>162</v>
      </c>
      <c r="M507" s="31" t="s">
        <v>144</v>
      </c>
      <c r="N507" s="31" t="s">
        <v>144</v>
      </c>
      <c r="O507" s="31" t="s">
        <v>144</v>
      </c>
      <c r="P507" s="31" t="s">
        <v>144</v>
      </c>
      <c r="Q507" s="31" t="s">
        <v>474</v>
      </c>
      <c r="R507" s="31" t="s">
        <v>443</v>
      </c>
      <c r="S507" s="31" t="s">
        <v>480</v>
      </c>
      <c r="T507" s="31" t="s">
        <v>478</v>
      </c>
      <c r="U507" s="31" t="s">
        <v>144</v>
      </c>
      <c r="V507" s="31" t="s">
        <v>144</v>
      </c>
      <c r="W507" s="31" t="s">
        <v>144</v>
      </c>
      <c r="X507" s="31" t="s">
        <v>144</v>
      </c>
      <c r="Y507" s="31"/>
      <c r="Z507" s="31" t="s">
        <v>144</v>
      </c>
      <c r="AA507" s="378">
        <v>16</v>
      </c>
      <c r="AB507" s="378">
        <v>15.5</v>
      </c>
      <c r="AC507" s="378">
        <v>0.3</v>
      </c>
      <c r="AD507" s="378">
        <v>0.2</v>
      </c>
      <c r="AE507" s="31">
        <v>1.3</v>
      </c>
      <c r="AF507" s="31">
        <v>28</v>
      </c>
      <c r="AG507" s="31" t="s">
        <v>191</v>
      </c>
      <c r="AH507" s="31" t="s">
        <v>144</v>
      </c>
      <c r="AI507" s="31" t="s">
        <v>144</v>
      </c>
      <c r="AJ507" s="31" t="s">
        <v>144</v>
      </c>
      <c r="AK507" s="31" t="s">
        <v>144</v>
      </c>
      <c r="AL507" s="31" t="s">
        <v>325</v>
      </c>
      <c r="AM507" s="31" t="s">
        <v>144</v>
      </c>
      <c r="AN507" s="31" t="s">
        <v>475</v>
      </c>
      <c r="AO507" s="31" t="s">
        <v>1324</v>
      </c>
      <c r="AP507" s="31" t="s">
        <v>144</v>
      </c>
      <c r="AQ507" s="31" t="s">
        <v>144</v>
      </c>
      <c r="AR507" s="31" t="s">
        <v>144</v>
      </c>
      <c r="AS507" s="31"/>
      <c r="AT507" s="31"/>
      <c r="AU507" s="31"/>
    </row>
    <row r="508" spans="5:47" ht="15" customHeight="1" x14ac:dyDescent="0.25">
      <c r="E508" s="31" t="s">
        <v>137</v>
      </c>
      <c r="F508" s="31" t="s">
        <v>140</v>
      </c>
      <c r="G508" s="31" t="s">
        <v>377</v>
      </c>
      <c r="H508" s="31" t="s">
        <v>324</v>
      </c>
      <c r="I508" s="31" t="s">
        <v>481</v>
      </c>
      <c r="J508" s="31" t="s">
        <v>699</v>
      </c>
      <c r="K508" s="31" t="s">
        <v>1022</v>
      </c>
      <c r="L508" s="31" t="s">
        <v>162</v>
      </c>
      <c r="M508" s="31" t="s">
        <v>144</v>
      </c>
      <c r="N508" s="31" t="s">
        <v>144</v>
      </c>
      <c r="O508" s="31" t="s">
        <v>144</v>
      </c>
      <c r="P508" s="31" t="s">
        <v>144</v>
      </c>
      <c r="Q508" s="31" t="s">
        <v>474</v>
      </c>
      <c r="R508" s="31" t="s">
        <v>443</v>
      </c>
      <c r="S508" s="31" t="s">
        <v>480</v>
      </c>
      <c r="T508" s="31" t="s">
        <v>478</v>
      </c>
      <c r="U508" s="31" t="s">
        <v>144</v>
      </c>
      <c r="V508" s="31" t="s">
        <v>144</v>
      </c>
      <c r="W508" s="31" t="s">
        <v>144</v>
      </c>
      <c r="X508" s="31" t="s">
        <v>144</v>
      </c>
      <c r="Y508" s="31"/>
      <c r="Z508" s="31" t="s">
        <v>144</v>
      </c>
      <c r="AA508" s="378">
        <v>16</v>
      </c>
      <c r="AB508" s="378">
        <v>15.5</v>
      </c>
      <c r="AC508" s="378">
        <v>0.3</v>
      </c>
      <c r="AD508" s="378">
        <v>0.2</v>
      </c>
      <c r="AE508" s="31">
        <v>1.3</v>
      </c>
      <c r="AF508" s="31">
        <v>28</v>
      </c>
      <c r="AG508" s="31" t="s">
        <v>191</v>
      </c>
      <c r="AH508" s="31" t="s">
        <v>144</v>
      </c>
      <c r="AI508" s="31" t="s">
        <v>144</v>
      </c>
      <c r="AJ508" s="31" t="s">
        <v>144</v>
      </c>
      <c r="AK508" s="31" t="s">
        <v>144</v>
      </c>
      <c r="AL508" s="31" t="s">
        <v>325</v>
      </c>
      <c r="AM508" s="31" t="s">
        <v>144</v>
      </c>
      <c r="AN508" s="31" t="s">
        <v>475</v>
      </c>
      <c r="AO508" s="31" t="s">
        <v>1324</v>
      </c>
      <c r="AP508" s="31" t="s">
        <v>144</v>
      </c>
      <c r="AQ508" s="31" t="s">
        <v>144</v>
      </c>
      <c r="AR508" s="31" t="s">
        <v>144</v>
      </c>
      <c r="AS508" s="31"/>
      <c r="AT508" s="31"/>
      <c r="AU508" s="31"/>
    </row>
    <row r="509" spans="5:47" ht="15" customHeight="1" x14ac:dyDescent="0.25">
      <c r="E509" s="31" t="s">
        <v>137</v>
      </c>
      <c r="F509" s="31" t="s">
        <v>140</v>
      </c>
      <c r="G509" s="31" t="s">
        <v>377</v>
      </c>
      <c r="H509" s="31" t="s">
        <v>324</v>
      </c>
      <c r="I509" s="31" t="s">
        <v>481</v>
      </c>
      <c r="J509" s="31" t="s">
        <v>699</v>
      </c>
      <c r="K509" s="31" t="s">
        <v>1023</v>
      </c>
      <c r="L509" s="31" t="s">
        <v>162</v>
      </c>
      <c r="M509" s="31" t="s">
        <v>144</v>
      </c>
      <c r="N509" s="31" t="s">
        <v>144</v>
      </c>
      <c r="O509" s="31" t="s">
        <v>144</v>
      </c>
      <c r="P509" s="31" t="s">
        <v>144</v>
      </c>
      <c r="Q509" s="31" t="s">
        <v>474</v>
      </c>
      <c r="R509" s="31" t="s">
        <v>443</v>
      </c>
      <c r="S509" s="31" t="s">
        <v>480</v>
      </c>
      <c r="T509" s="31" t="s">
        <v>478</v>
      </c>
      <c r="U509" s="31" t="s">
        <v>144</v>
      </c>
      <c r="V509" s="31" t="s">
        <v>144</v>
      </c>
      <c r="W509" s="31" t="s">
        <v>144</v>
      </c>
      <c r="X509" s="31" t="s">
        <v>144</v>
      </c>
      <c r="Y509" s="31"/>
      <c r="Z509" s="31" t="s">
        <v>144</v>
      </c>
      <c r="AA509" s="378">
        <v>16</v>
      </c>
      <c r="AB509" s="378">
        <v>15.5</v>
      </c>
      <c r="AC509" s="378">
        <v>0.3</v>
      </c>
      <c r="AD509" s="378">
        <v>0.2</v>
      </c>
      <c r="AE509" s="31">
        <v>1.3</v>
      </c>
      <c r="AF509" s="31">
        <v>28</v>
      </c>
      <c r="AG509" s="31" t="s">
        <v>191</v>
      </c>
      <c r="AH509" s="31" t="s">
        <v>144</v>
      </c>
      <c r="AI509" s="31" t="s">
        <v>144</v>
      </c>
      <c r="AJ509" s="31" t="s">
        <v>144</v>
      </c>
      <c r="AK509" s="31" t="s">
        <v>144</v>
      </c>
      <c r="AL509" s="31" t="s">
        <v>325</v>
      </c>
      <c r="AM509" s="31" t="s">
        <v>144</v>
      </c>
      <c r="AN509" s="31" t="s">
        <v>475</v>
      </c>
      <c r="AO509" s="31" t="s">
        <v>1324</v>
      </c>
      <c r="AP509" s="31" t="s">
        <v>144</v>
      </c>
      <c r="AQ509" s="31" t="s">
        <v>144</v>
      </c>
      <c r="AR509" s="31" t="s">
        <v>144</v>
      </c>
      <c r="AS509" s="31"/>
      <c r="AT509" s="31"/>
      <c r="AU509" s="31"/>
    </row>
    <row r="510" spans="5:47" ht="15" customHeight="1" x14ac:dyDescent="0.25">
      <c r="E510" s="31" t="s">
        <v>137</v>
      </c>
      <c r="F510" s="31" t="s">
        <v>140</v>
      </c>
      <c r="G510" s="31" t="s">
        <v>377</v>
      </c>
      <c r="H510" s="31" t="s">
        <v>324</v>
      </c>
      <c r="I510" s="31" t="s">
        <v>481</v>
      </c>
      <c r="J510" s="31" t="s">
        <v>699</v>
      </c>
      <c r="K510" s="31" t="s">
        <v>1024</v>
      </c>
      <c r="L510" s="31" t="s">
        <v>162</v>
      </c>
      <c r="M510" s="31" t="s">
        <v>144</v>
      </c>
      <c r="N510" s="31" t="s">
        <v>144</v>
      </c>
      <c r="O510" s="31" t="s">
        <v>144</v>
      </c>
      <c r="P510" s="31" t="s">
        <v>144</v>
      </c>
      <c r="Q510" s="31" t="s">
        <v>474</v>
      </c>
      <c r="R510" s="31" t="s">
        <v>443</v>
      </c>
      <c r="S510" s="31" t="s">
        <v>480</v>
      </c>
      <c r="T510" s="31" t="s">
        <v>478</v>
      </c>
      <c r="U510" s="31" t="s">
        <v>144</v>
      </c>
      <c r="V510" s="31" t="s">
        <v>144</v>
      </c>
      <c r="W510" s="31" t="s">
        <v>144</v>
      </c>
      <c r="X510" s="31" t="s">
        <v>144</v>
      </c>
      <c r="Y510" s="31"/>
      <c r="Z510" s="31" t="s">
        <v>144</v>
      </c>
      <c r="AA510" s="378">
        <v>16</v>
      </c>
      <c r="AB510" s="378">
        <v>15.5</v>
      </c>
      <c r="AC510" s="378">
        <v>0.3</v>
      </c>
      <c r="AD510" s="378">
        <v>0.2</v>
      </c>
      <c r="AE510" s="31">
        <v>1.3</v>
      </c>
      <c r="AF510" s="31">
        <v>28</v>
      </c>
      <c r="AG510" s="31" t="s">
        <v>191</v>
      </c>
      <c r="AH510" s="31" t="s">
        <v>144</v>
      </c>
      <c r="AI510" s="31" t="s">
        <v>144</v>
      </c>
      <c r="AJ510" s="31" t="s">
        <v>144</v>
      </c>
      <c r="AK510" s="31" t="s">
        <v>144</v>
      </c>
      <c r="AL510" s="31" t="s">
        <v>325</v>
      </c>
      <c r="AM510" s="31" t="s">
        <v>144</v>
      </c>
      <c r="AN510" s="31" t="s">
        <v>475</v>
      </c>
      <c r="AO510" s="31" t="s">
        <v>1324</v>
      </c>
      <c r="AP510" s="31" t="s">
        <v>144</v>
      </c>
      <c r="AQ510" s="31" t="s">
        <v>144</v>
      </c>
      <c r="AR510" s="31" t="s">
        <v>144</v>
      </c>
      <c r="AS510" s="31"/>
      <c r="AT510" s="31"/>
      <c r="AU510" s="31"/>
    </row>
    <row r="511" spans="5:47" ht="15" customHeight="1" x14ac:dyDescent="0.25">
      <c r="E511" s="31" t="s">
        <v>137</v>
      </c>
      <c r="F511" s="31" t="s">
        <v>140</v>
      </c>
      <c r="G511" s="31" t="s">
        <v>377</v>
      </c>
      <c r="H511" s="31" t="s">
        <v>324</v>
      </c>
      <c r="I511" s="31" t="s">
        <v>481</v>
      </c>
      <c r="J511" s="31" t="s">
        <v>699</v>
      </c>
      <c r="K511" s="31" t="s">
        <v>1025</v>
      </c>
      <c r="L511" s="31" t="s">
        <v>162</v>
      </c>
      <c r="M511" s="31" t="s">
        <v>144</v>
      </c>
      <c r="N511" s="31" t="s">
        <v>144</v>
      </c>
      <c r="O511" s="31" t="s">
        <v>144</v>
      </c>
      <c r="P511" s="31" t="s">
        <v>144</v>
      </c>
      <c r="Q511" s="31" t="s">
        <v>474</v>
      </c>
      <c r="R511" s="31" t="s">
        <v>443</v>
      </c>
      <c r="S511" s="31" t="s">
        <v>480</v>
      </c>
      <c r="T511" s="31" t="s">
        <v>478</v>
      </c>
      <c r="U511" s="31" t="s">
        <v>144</v>
      </c>
      <c r="V511" s="31" t="s">
        <v>144</v>
      </c>
      <c r="W511" s="31" t="s">
        <v>144</v>
      </c>
      <c r="X511" s="31" t="s">
        <v>144</v>
      </c>
      <c r="Y511" s="31"/>
      <c r="Z511" s="31" t="s">
        <v>144</v>
      </c>
      <c r="AA511" s="378">
        <v>16</v>
      </c>
      <c r="AB511" s="378">
        <v>15.5</v>
      </c>
      <c r="AC511" s="378">
        <v>0.3</v>
      </c>
      <c r="AD511" s="378">
        <v>0.2</v>
      </c>
      <c r="AE511" s="31">
        <v>1.3</v>
      </c>
      <c r="AF511" s="31">
        <v>28</v>
      </c>
      <c r="AG511" s="31" t="s">
        <v>191</v>
      </c>
      <c r="AH511" s="31" t="s">
        <v>144</v>
      </c>
      <c r="AI511" s="31" t="s">
        <v>144</v>
      </c>
      <c r="AJ511" s="31" t="s">
        <v>144</v>
      </c>
      <c r="AK511" s="31" t="s">
        <v>144</v>
      </c>
      <c r="AL511" s="31" t="s">
        <v>325</v>
      </c>
      <c r="AM511" s="31" t="s">
        <v>144</v>
      </c>
      <c r="AN511" s="31" t="s">
        <v>475</v>
      </c>
      <c r="AO511" s="31" t="s">
        <v>1324</v>
      </c>
      <c r="AP511" s="31" t="s">
        <v>144</v>
      </c>
      <c r="AQ511" s="31" t="s">
        <v>144</v>
      </c>
      <c r="AR511" s="31" t="s">
        <v>144</v>
      </c>
      <c r="AS511" s="31"/>
      <c r="AT511" s="31"/>
      <c r="AU511" s="31"/>
    </row>
    <row r="512" spans="5:47" ht="15" customHeight="1" x14ac:dyDescent="0.25">
      <c r="E512" s="31" t="s">
        <v>137</v>
      </c>
      <c r="F512" s="31" t="s">
        <v>140</v>
      </c>
      <c r="G512" s="31" t="s">
        <v>377</v>
      </c>
      <c r="H512" s="31" t="s">
        <v>324</v>
      </c>
      <c r="I512" s="31" t="s">
        <v>481</v>
      </c>
      <c r="J512" s="31" t="s">
        <v>699</v>
      </c>
      <c r="K512" s="31" t="s">
        <v>1026</v>
      </c>
      <c r="L512" s="31" t="s">
        <v>162</v>
      </c>
      <c r="M512" s="31" t="s">
        <v>144</v>
      </c>
      <c r="N512" s="31" t="s">
        <v>144</v>
      </c>
      <c r="O512" s="31" t="s">
        <v>144</v>
      </c>
      <c r="P512" s="31" t="s">
        <v>144</v>
      </c>
      <c r="Q512" s="31" t="s">
        <v>474</v>
      </c>
      <c r="R512" s="31" t="s">
        <v>443</v>
      </c>
      <c r="S512" s="31" t="s">
        <v>480</v>
      </c>
      <c r="T512" s="31" t="s">
        <v>478</v>
      </c>
      <c r="U512" s="31" t="s">
        <v>144</v>
      </c>
      <c r="V512" s="31" t="s">
        <v>144</v>
      </c>
      <c r="W512" s="31" t="s">
        <v>144</v>
      </c>
      <c r="X512" s="31" t="s">
        <v>144</v>
      </c>
      <c r="Y512" s="31"/>
      <c r="Z512" s="31" t="s">
        <v>144</v>
      </c>
      <c r="AA512" s="378">
        <v>16</v>
      </c>
      <c r="AB512" s="378">
        <v>15.5</v>
      </c>
      <c r="AC512" s="378">
        <v>0.3</v>
      </c>
      <c r="AD512" s="378">
        <v>0.2</v>
      </c>
      <c r="AE512" s="31">
        <v>1.3</v>
      </c>
      <c r="AF512" s="31">
        <v>28</v>
      </c>
      <c r="AG512" s="31" t="s">
        <v>191</v>
      </c>
      <c r="AH512" s="31" t="s">
        <v>144</v>
      </c>
      <c r="AI512" s="31" t="s">
        <v>144</v>
      </c>
      <c r="AJ512" s="31" t="s">
        <v>144</v>
      </c>
      <c r="AK512" s="31" t="s">
        <v>144</v>
      </c>
      <c r="AL512" s="31" t="s">
        <v>325</v>
      </c>
      <c r="AM512" s="31" t="s">
        <v>144</v>
      </c>
      <c r="AN512" s="31" t="s">
        <v>475</v>
      </c>
      <c r="AO512" s="31" t="s">
        <v>1324</v>
      </c>
      <c r="AP512" s="31" t="s">
        <v>144</v>
      </c>
      <c r="AQ512" s="31" t="s">
        <v>144</v>
      </c>
      <c r="AR512" s="31" t="s">
        <v>144</v>
      </c>
      <c r="AS512" s="31"/>
      <c r="AT512" s="31"/>
      <c r="AU512" s="31"/>
    </row>
    <row r="513" spans="5:47" ht="15" customHeight="1" x14ac:dyDescent="0.25">
      <c r="E513" s="31" t="s">
        <v>137</v>
      </c>
      <c r="F513" s="31" t="s">
        <v>140</v>
      </c>
      <c r="G513" s="31" t="s">
        <v>377</v>
      </c>
      <c r="H513" s="31" t="s">
        <v>324</v>
      </c>
      <c r="I513" s="31" t="s">
        <v>481</v>
      </c>
      <c r="J513" s="31" t="s">
        <v>699</v>
      </c>
      <c r="K513" s="31" t="s">
        <v>1027</v>
      </c>
      <c r="L513" s="31" t="s">
        <v>162</v>
      </c>
      <c r="M513" s="31" t="s">
        <v>144</v>
      </c>
      <c r="N513" s="31" t="s">
        <v>144</v>
      </c>
      <c r="O513" s="31" t="s">
        <v>144</v>
      </c>
      <c r="P513" s="31" t="s">
        <v>144</v>
      </c>
      <c r="Q513" s="31" t="s">
        <v>474</v>
      </c>
      <c r="R513" s="31" t="s">
        <v>443</v>
      </c>
      <c r="S513" s="31" t="s">
        <v>480</v>
      </c>
      <c r="T513" s="31" t="s">
        <v>478</v>
      </c>
      <c r="U513" s="31" t="s">
        <v>144</v>
      </c>
      <c r="V513" s="31" t="s">
        <v>144</v>
      </c>
      <c r="W513" s="31" t="s">
        <v>144</v>
      </c>
      <c r="X513" s="31" t="s">
        <v>144</v>
      </c>
      <c r="Y513" s="31"/>
      <c r="Z513" s="31" t="s">
        <v>144</v>
      </c>
      <c r="AA513" s="378">
        <v>16</v>
      </c>
      <c r="AB513" s="378">
        <v>15.5</v>
      </c>
      <c r="AC513" s="378">
        <v>0.3</v>
      </c>
      <c r="AD513" s="378">
        <v>0.2</v>
      </c>
      <c r="AE513" s="31">
        <v>1.3</v>
      </c>
      <c r="AF513" s="31">
        <v>28</v>
      </c>
      <c r="AG513" s="31" t="s">
        <v>191</v>
      </c>
      <c r="AH513" s="31" t="s">
        <v>144</v>
      </c>
      <c r="AI513" s="31" t="s">
        <v>144</v>
      </c>
      <c r="AJ513" s="31" t="s">
        <v>144</v>
      </c>
      <c r="AK513" s="31" t="s">
        <v>144</v>
      </c>
      <c r="AL513" s="31" t="s">
        <v>325</v>
      </c>
      <c r="AM513" s="31" t="s">
        <v>144</v>
      </c>
      <c r="AN513" s="31" t="s">
        <v>475</v>
      </c>
      <c r="AO513" s="31" t="s">
        <v>1324</v>
      </c>
      <c r="AP513" s="31" t="s">
        <v>144</v>
      </c>
      <c r="AQ513" s="31" t="s">
        <v>144</v>
      </c>
      <c r="AR513" s="31" t="s">
        <v>144</v>
      </c>
      <c r="AS513" s="31"/>
      <c r="AT513" s="31"/>
      <c r="AU513" s="31"/>
    </row>
    <row r="514" spans="5:47" ht="15" customHeight="1" x14ac:dyDescent="0.25">
      <c r="E514" s="31" t="s">
        <v>137</v>
      </c>
      <c r="F514" s="31" t="s">
        <v>140</v>
      </c>
      <c r="G514" s="31" t="s">
        <v>377</v>
      </c>
      <c r="H514" s="31" t="s">
        <v>324</v>
      </c>
      <c r="I514" s="31" t="s">
        <v>481</v>
      </c>
      <c r="J514" s="31" t="s">
        <v>699</v>
      </c>
      <c r="K514" s="31" t="s">
        <v>1028</v>
      </c>
      <c r="L514" s="31" t="s">
        <v>162</v>
      </c>
      <c r="M514" s="31" t="s">
        <v>144</v>
      </c>
      <c r="N514" s="31" t="s">
        <v>144</v>
      </c>
      <c r="O514" s="31" t="s">
        <v>144</v>
      </c>
      <c r="P514" s="31" t="s">
        <v>144</v>
      </c>
      <c r="Q514" s="31" t="s">
        <v>474</v>
      </c>
      <c r="R514" s="31" t="s">
        <v>443</v>
      </c>
      <c r="S514" s="31" t="s">
        <v>480</v>
      </c>
      <c r="T514" s="31" t="s">
        <v>478</v>
      </c>
      <c r="U514" s="31" t="s">
        <v>144</v>
      </c>
      <c r="V514" s="31" t="s">
        <v>144</v>
      </c>
      <c r="W514" s="31" t="s">
        <v>144</v>
      </c>
      <c r="X514" s="31" t="s">
        <v>144</v>
      </c>
      <c r="Y514" s="31"/>
      <c r="Z514" s="31" t="s">
        <v>144</v>
      </c>
      <c r="AA514" s="378">
        <v>16</v>
      </c>
      <c r="AB514" s="378">
        <v>15.5</v>
      </c>
      <c r="AC514" s="378">
        <v>0.3</v>
      </c>
      <c r="AD514" s="378">
        <v>0.2</v>
      </c>
      <c r="AE514" s="31">
        <v>1.3</v>
      </c>
      <c r="AF514" s="31">
        <v>28</v>
      </c>
      <c r="AG514" s="31" t="s">
        <v>191</v>
      </c>
      <c r="AH514" s="31" t="s">
        <v>144</v>
      </c>
      <c r="AI514" s="31" t="s">
        <v>144</v>
      </c>
      <c r="AJ514" s="31" t="s">
        <v>144</v>
      </c>
      <c r="AK514" s="31" t="s">
        <v>144</v>
      </c>
      <c r="AL514" s="31" t="s">
        <v>325</v>
      </c>
      <c r="AM514" s="31" t="s">
        <v>144</v>
      </c>
      <c r="AN514" s="31" t="s">
        <v>475</v>
      </c>
      <c r="AO514" s="31" t="s">
        <v>1324</v>
      </c>
      <c r="AP514" s="31" t="s">
        <v>144</v>
      </c>
      <c r="AQ514" s="31" t="s">
        <v>144</v>
      </c>
      <c r="AR514" s="31" t="s">
        <v>144</v>
      </c>
      <c r="AS514" s="31"/>
      <c r="AT514" s="31"/>
      <c r="AU514" s="31"/>
    </row>
    <row r="515" spans="5:47" ht="15" customHeight="1" x14ac:dyDescent="0.25">
      <c r="E515" s="31" t="s">
        <v>137</v>
      </c>
      <c r="F515" s="31" t="s">
        <v>140</v>
      </c>
      <c r="G515" s="31" t="s">
        <v>377</v>
      </c>
      <c r="H515" s="31" t="s">
        <v>324</v>
      </c>
      <c r="I515" s="31" t="s">
        <v>481</v>
      </c>
      <c r="J515" s="31" t="s">
        <v>699</v>
      </c>
      <c r="K515" s="31" t="s">
        <v>1029</v>
      </c>
      <c r="L515" s="31" t="s">
        <v>162</v>
      </c>
      <c r="M515" s="31" t="s">
        <v>144</v>
      </c>
      <c r="N515" s="31" t="s">
        <v>144</v>
      </c>
      <c r="O515" s="31" t="s">
        <v>144</v>
      </c>
      <c r="P515" s="31" t="s">
        <v>144</v>
      </c>
      <c r="Q515" s="31" t="s">
        <v>474</v>
      </c>
      <c r="R515" s="31" t="s">
        <v>443</v>
      </c>
      <c r="S515" s="31" t="s">
        <v>480</v>
      </c>
      <c r="T515" s="31" t="s">
        <v>478</v>
      </c>
      <c r="U515" s="31" t="s">
        <v>144</v>
      </c>
      <c r="V515" s="31" t="s">
        <v>144</v>
      </c>
      <c r="W515" s="31" t="s">
        <v>144</v>
      </c>
      <c r="X515" s="31" t="s">
        <v>144</v>
      </c>
      <c r="Y515" s="31"/>
      <c r="Z515" s="31" t="s">
        <v>144</v>
      </c>
      <c r="AA515" s="378">
        <v>16</v>
      </c>
      <c r="AB515" s="378">
        <v>15.5</v>
      </c>
      <c r="AC515" s="378">
        <v>0.3</v>
      </c>
      <c r="AD515" s="378">
        <v>0.2</v>
      </c>
      <c r="AE515" s="31">
        <v>1.3</v>
      </c>
      <c r="AF515" s="31">
        <v>28</v>
      </c>
      <c r="AG515" s="31" t="s">
        <v>191</v>
      </c>
      <c r="AH515" s="31" t="s">
        <v>144</v>
      </c>
      <c r="AI515" s="31" t="s">
        <v>144</v>
      </c>
      <c r="AJ515" s="31" t="s">
        <v>144</v>
      </c>
      <c r="AK515" s="31" t="s">
        <v>144</v>
      </c>
      <c r="AL515" s="31" t="s">
        <v>325</v>
      </c>
      <c r="AM515" s="31" t="s">
        <v>144</v>
      </c>
      <c r="AN515" s="31" t="s">
        <v>475</v>
      </c>
      <c r="AO515" s="31" t="s">
        <v>1324</v>
      </c>
      <c r="AP515" s="31" t="s">
        <v>144</v>
      </c>
      <c r="AQ515" s="31" t="s">
        <v>144</v>
      </c>
      <c r="AR515" s="31" t="s">
        <v>144</v>
      </c>
      <c r="AS515" s="31"/>
      <c r="AT515" s="31"/>
      <c r="AU515" s="31"/>
    </row>
    <row r="516" spans="5:47" ht="15" customHeight="1" x14ac:dyDescent="0.25">
      <c r="E516" s="31" t="s">
        <v>137</v>
      </c>
      <c r="F516" s="31" t="s">
        <v>140</v>
      </c>
      <c r="G516" s="31" t="s">
        <v>377</v>
      </c>
      <c r="H516" s="31" t="s">
        <v>324</v>
      </c>
      <c r="I516" s="31" t="s">
        <v>481</v>
      </c>
      <c r="J516" s="31" t="s">
        <v>699</v>
      </c>
      <c r="K516" s="31" t="s">
        <v>1030</v>
      </c>
      <c r="L516" s="31" t="s">
        <v>162</v>
      </c>
      <c r="M516" s="31" t="s">
        <v>144</v>
      </c>
      <c r="N516" s="31" t="s">
        <v>144</v>
      </c>
      <c r="O516" s="31" t="s">
        <v>144</v>
      </c>
      <c r="P516" s="31" t="s">
        <v>144</v>
      </c>
      <c r="Q516" s="31" t="s">
        <v>474</v>
      </c>
      <c r="R516" s="31" t="s">
        <v>443</v>
      </c>
      <c r="S516" s="31" t="s">
        <v>480</v>
      </c>
      <c r="T516" s="31" t="s">
        <v>478</v>
      </c>
      <c r="U516" s="31" t="s">
        <v>144</v>
      </c>
      <c r="V516" s="31" t="s">
        <v>144</v>
      </c>
      <c r="W516" s="31" t="s">
        <v>144</v>
      </c>
      <c r="X516" s="31" t="s">
        <v>144</v>
      </c>
      <c r="Y516" s="31"/>
      <c r="Z516" s="31" t="s">
        <v>144</v>
      </c>
      <c r="AA516" s="378">
        <v>16</v>
      </c>
      <c r="AB516" s="378">
        <v>15.5</v>
      </c>
      <c r="AC516" s="378">
        <v>0.3</v>
      </c>
      <c r="AD516" s="378">
        <v>0.2</v>
      </c>
      <c r="AE516" s="31">
        <v>1.3</v>
      </c>
      <c r="AF516" s="31">
        <v>28</v>
      </c>
      <c r="AG516" s="31" t="s">
        <v>191</v>
      </c>
      <c r="AH516" s="31" t="s">
        <v>144</v>
      </c>
      <c r="AI516" s="31" t="s">
        <v>144</v>
      </c>
      <c r="AJ516" s="31" t="s">
        <v>144</v>
      </c>
      <c r="AK516" s="31" t="s">
        <v>144</v>
      </c>
      <c r="AL516" s="31" t="s">
        <v>325</v>
      </c>
      <c r="AM516" s="31" t="s">
        <v>144</v>
      </c>
      <c r="AN516" s="31" t="s">
        <v>475</v>
      </c>
      <c r="AO516" s="31" t="s">
        <v>1324</v>
      </c>
      <c r="AP516" s="31" t="s">
        <v>144</v>
      </c>
      <c r="AQ516" s="31" t="s">
        <v>144</v>
      </c>
      <c r="AR516" s="31" t="s">
        <v>144</v>
      </c>
      <c r="AS516" s="31"/>
      <c r="AT516" s="31"/>
      <c r="AU516" s="31"/>
    </row>
    <row r="517" spans="5:47" ht="15" customHeight="1" x14ac:dyDescent="0.25">
      <c r="E517" s="31" t="s">
        <v>137</v>
      </c>
      <c r="F517" s="31" t="s">
        <v>140</v>
      </c>
      <c r="G517" s="31" t="s">
        <v>377</v>
      </c>
      <c r="H517" s="31" t="s">
        <v>324</v>
      </c>
      <c r="I517" s="31" t="s">
        <v>481</v>
      </c>
      <c r="J517" s="31" t="s">
        <v>699</v>
      </c>
      <c r="K517" s="31" t="s">
        <v>1031</v>
      </c>
      <c r="L517" s="31" t="s">
        <v>162</v>
      </c>
      <c r="M517" s="31" t="s">
        <v>144</v>
      </c>
      <c r="N517" s="31" t="s">
        <v>144</v>
      </c>
      <c r="O517" s="31" t="s">
        <v>144</v>
      </c>
      <c r="P517" s="31" t="s">
        <v>144</v>
      </c>
      <c r="Q517" s="31" t="s">
        <v>474</v>
      </c>
      <c r="R517" s="31" t="s">
        <v>443</v>
      </c>
      <c r="S517" s="31" t="s">
        <v>480</v>
      </c>
      <c r="T517" s="31" t="s">
        <v>478</v>
      </c>
      <c r="U517" s="31" t="s">
        <v>144</v>
      </c>
      <c r="V517" s="31" t="s">
        <v>144</v>
      </c>
      <c r="W517" s="31" t="s">
        <v>144</v>
      </c>
      <c r="X517" s="31" t="s">
        <v>144</v>
      </c>
      <c r="Y517" s="31"/>
      <c r="Z517" s="31" t="s">
        <v>144</v>
      </c>
      <c r="AA517" s="378">
        <v>16</v>
      </c>
      <c r="AB517" s="378">
        <v>15.5</v>
      </c>
      <c r="AC517" s="378">
        <v>0.3</v>
      </c>
      <c r="AD517" s="378">
        <v>0.2</v>
      </c>
      <c r="AE517" s="31">
        <v>1.3</v>
      </c>
      <c r="AF517" s="31">
        <v>28</v>
      </c>
      <c r="AG517" s="31" t="s">
        <v>191</v>
      </c>
      <c r="AH517" s="31" t="s">
        <v>144</v>
      </c>
      <c r="AI517" s="31" t="s">
        <v>144</v>
      </c>
      <c r="AJ517" s="31" t="s">
        <v>144</v>
      </c>
      <c r="AK517" s="31" t="s">
        <v>144</v>
      </c>
      <c r="AL517" s="31" t="s">
        <v>325</v>
      </c>
      <c r="AM517" s="31" t="s">
        <v>144</v>
      </c>
      <c r="AN517" s="31" t="s">
        <v>475</v>
      </c>
      <c r="AO517" s="31" t="s">
        <v>1324</v>
      </c>
      <c r="AP517" s="31" t="s">
        <v>144</v>
      </c>
      <c r="AQ517" s="31" t="s">
        <v>144</v>
      </c>
      <c r="AR517" s="31" t="s">
        <v>144</v>
      </c>
      <c r="AS517" s="31"/>
      <c r="AT517" s="31"/>
      <c r="AU517" s="31"/>
    </row>
    <row r="518" spans="5:47" ht="15" customHeight="1" x14ac:dyDescent="0.25">
      <c r="E518" s="31" t="s">
        <v>137</v>
      </c>
      <c r="F518" s="31" t="s">
        <v>140</v>
      </c>
      <c r="G518" s="31" t="s">
        <v>377</v>
      </c>
      <c r="H518" s="31" t="s">
        <v>324</v>
      </c>
      <c r="I518" s="31" t="s">
        <v>481</v>
      </c>
      <c r="J518" s="31" t="s">
        <v>699</v>
      </c>
      <c r="K518" s="31" t="s">
        <v>1032</v>
      </c>
      <c r="L518" s="31" t="s">
        <v>162</v>
      </c>
      <c r="M518" s="31" t="s">
        <v>144</v>
      </c>
      <c r="N518" s="31" t="s">
        <v>144</v>
      </c>
      <c r="O518" s="31" t="s">
        <v>144</v>
      </c>
      <c r="P518" s="31" t="s">
        <v>144</v>
      </c>
      <c r="Q518" s="31" t="s">
        <v>474</v>
      </c>
      <c r="R518" s="31" t="s">
        <v>443</v>
      </c>
      <c r="S518" s="31" t="s">
        <v>480</v>
      </c>
      <c r="T518" s="31" t="s">
        <v>478</v>
      </c>
      <c r="U518" s="31" t="s">
        <v>144</v>
      </c>
      <c r="V518" s="31" t="s">
        <v>144</v>
      </c>
      <c r="W518" s="31" t="s">
        <v>144</v>
      </c>
      <c r="X518" s="31" t="s">
        <v>144</v>
      </c>
      <c r="Y518" s="31"/>
      <c r="Z518" s="31" t="s">
        <v>144</v>
      </c>
      <c r="AA518" s="378">
        <v>16</v>
      </c>
      <c r="AB518" s="378">
        <v>15.5</v>
      </c>
      <c r="AC518" s="378">
        <v>0.3</v>
      </c>
      <c r="AD518" s="378">
        <v>0.2</v>
      </c>
      <c r="AE518" s="31">
        <v>1.3</v>
      </c>
      <c r="AF518" s="31">
        <v>28</v>
      </c>
      <c r="AG518" s="31" t="s">
        <v>191</v>
      </c>
      <c r="AH518" s="31" t="s">
        <v>144</v>
      </c>
      <c r="AI518" s="31" t="s">
        <v>144</v>
      </c>
      <c r="AJ518" s="31" t="s">
        <v>144</v>
      </c>
      <c r="AK518" s="31" t="s">
        <v>144</v>
      </c>
      <c r="AL518" s="31" t="s">
        <v>325</v>
      </c>
      <c r="AM518" s="31" t="s">
        <v>144</v>
      </c>
      <c r="AN518" s="31" t="s">
        <v>475</v>
      </c>
      <c r="AO518" s="31" t="s">
        <v>1324</v>
      </c>
      <c r="AP518" s="31" t="s">
        <v>144</v>
      </c>
      <c r="AQ518" s="31" t="s">
        <v>144</v>
      </c>
      <c r="AR518" s="31" t="s">
        <v>144</v>
      </c>
      <c r="AS518" s="31"/>
      <c r="AT518" s="31"/>
      <c r="AU518" s="31"/>
    </row>
    <row r="519" spans="5:47" ht="15" customHeight="1" x14ac:dyDescent="0.25">
      <c r="E519" s="31" t="s">
        <v>137</v>
      </c>
      <c r="F519" s="31" t="s">
        <v>140</v>
      </c>
      <c r="G519" s="31" t="s">
        <v>377</v>
      </c>
      <c r="H519" s="31" t="s">
        <v>324</v>
      </c>
      <c r="I519" s="31" t="s">
        <v>481</v>
      </c>
      <c r="J519" s="31" t="s">
        <v>699</v>
      </c>
      <c r="K519" s="31" t="s">
        <v>1033</v>
      </c>
      <c r="L519" s="31" t="s">
        <v>162</v>
      </c>
      <c r="M519" s="31" t="s">
        <v>144</v>
      </c>
      <c r="N519" s="31" t="s">
        <v>144</v>
      </c>
      <c r="O519" s="31" t="s">
        <v>144</v>
      </c>
      <c r="P519" s="31" t="s">
        <v>144</v>
      </c>
      <c r="Q519" s="31" t="s">
        <v>474</v>
      </c>
      <c r="R519" s="31" t="s">
        <v>443</v>
      </c>
      <c r="S519" s="31" t="s">
        <v>480</v>
      </c>
      <c r="T519" s="31" t="s">
        <v>478</v>
      </c>
      <c r="U519" s="31" t="s">
        <v>144</v>
      </c>
      <c r="V519" s="31" t="s">
        <v>144</v>
      </c>
      <c r="W519" s="31" t="s">
        <v>144</v>
      </c>
      <c r="X519" s="31" t="s">
        <v>144</v>
      </c>
      <c r="Y519" s="31"/>
      <c r="Z519" s="31" t="s">
        <v>144</v>
      </c>
      <c r="AA519" s="378">
        <v>16</v>
      </c>
      <c r="AB519" s="378">
        <v>15.5</v>
      </c>
      <c r="AC519" s="378">
        <v>0.3</v>
      </c>
      <c r="AD519" s="378">
        <v>0.2</v>
      </c>
      <c r="AE519" s="31">
        <v>1.3</v>
      </c>
      <c r="AF519" s="31">
        <v>28</v>
      </c>
      <c r="AG519" s="31" t="s">
        <v>191</v>
      </c>
      <c r="AH519" s="31" t="s">
        <v>144</v>
      </c>
      <c r="AI519" s="31" t="s">
        <v>144</v>
      </c>
      <c r="AJ519" s="31" t="s">
        <v>144</v>
      </c>
      <c r="AK519" s="31" t="s">
        <v>144</v>
      </c>
      <c r="AL519" s="31" t="s">
        <v>325</v>
      </c>
      <c r="AM519" s="31" t="s">
        <v>144</v>
      </c>
      <c r="AN519" s="31" t="s">
        <v>475</v>
      </c>
      <c r="AO519" s="31" t="s">
        <v>1324</v>
      </c>
      <c r="AP519" s="31" t="s">
        <v>144</v>
      </c>
      <c r="AQ519" s="31" t="s">
        <v>144</v>
      </c>
      <c r="AR519" s="31" t="s">
        <v>144</v>
      </c>
      <c r="AS519" s="31"/>
      <c r="AT519" s="31"/>
      <c r="AU519" s="31"/>
    </row>
    <row r="520" spans="5:47" ht="15" customHeight="1" x14ac:dyDescent="0.25">
      <c r="E520" s="31" t="s">
        <v>137</v>
      </c>
      <c r="F520" s="31" t="s">
        <v>140</v>
      </c>
      <c r="G520" s="31" t="s">
        <v>377</v>
      </c>
      <c r="H520" s="31" t="s">
        <v>324</v>
      </c>
      <c r="I520" s="31" t="s">
        <v>481</v>
      </c>
      <c r="J520" s="31" t="s">
        <v>699</v>
      </c>
      <c r="K520" s="31" t="s">
        <v>1034</v>
      </c>
      <c r="L520" s="31" t="s">
        <v>162</v>
      </c>
      <c r="M520" s="31" t="s">
        <v>144</v>
      </c>
      <c r="N520" s="31" t="s">
        <v>144</v>
      </c>
      <c r="O520" s="31" t="s">
        <v>144</v>
      </c>
      <c r="P520" s="31" t="s">
        <v>144</v>
      </c>
      <c r="Q520" s="31" t="s">
        <v>474</v>
      </c>
      <c r="R520" s="31" t="s">
        <v>443</v>
      </c>
      <c r="S520" s="31" t="s">
        <v>480</v>
      </c>
      <c r="T520" s="31" t="s">
        <v>478</v>
      </c>
      <c r="U520" s="31" t="s">
        <v>144</v>
      </c>
      <c r="V520" s="31" t="s">
        <v>144</v>
      </c>
      <c r="W520" s="31" t="s">
        <v>144</v>
      </c>
      <c r="X520" s="31" t="s">
        <v>144</v>
      </c>
      <c r="Y520" s="31"/>
      <c r="Z520" s="31" t="s">
        <v>144</v>
      </c>
      <c r="AA520" s="378">
        <v>16</v>
      </c>
      <c r="AB520" s="378">
        <v>15.5</v>
      </c>
      <c r="AC520" s="378">
        <v>0.3</v>
      </c>
      <c r="AD520" s="378">
        <v>0.2</v>
      </c>
      <c r="AE520" s="31">
        <v>1.3</v>
      </c>
      <c r="AF520" s="31">
        <v>28</v>
      </c>
      <c r="AG520" s="31" t="s">
        <v>191</v>
      </c>
      <c r="AH520" s="31" t="s">
        <v>144</v>
      </c>
      <c r="AI520" s="31" t="s">
        <v>144</v>
      </c>
      <c r="AJ520" s="31" t="s">
        <v>144</v>
      </c>
      <c r="AK520" s="31" t="s">
        <v>144</v>
      </c>
      <c r="AL520" s="31" t="s">
        <v>325</v>
      </c>
      <c r="AM520" s="31" t="s">
        <v>144</v>
      </c>
      <c r="AN520" s="31" t="s">
        <v>475</v>
      </c>
      <c r="AO520" s="31" t="s">
        <v>1324</v>
      </c>
      <c r="AP520" s="31" t="s">
        <v>144</v>
      </c>
      <c r="AQ520" s="31" t="s">
        <v>144</v>
      </c>
      <c r="AR520" s="31" t="s">
        <v>144</v>
      </c>
      <c r="AS520" s="31"/>
      <c r="AT520" s="31"/>
      <c r="AU520" s="31"/>
    </row>
    <row r="521" spans="5:47" ht="15" customHeight="1" x14ac:dyDescent="0.25">
      <c r="E521" s="31" t="s">
        <v>137</v>
      </c>
      <c r="F521" s="31" t="s">
        <v>140</v>
      </c>
      <c r="G521" s="31" t="s">
        <v>377</v>
      </c>
      <c r="H521" s="31" t="s">
        <v>324</v>
      </c>
      <c r="I521" s="31" t="s">
        <v>481</v>
      </c>
      <c r="J521" s="31" t="s">
        <v>699</v>
      </c>
      <c r="K521" s="31" t="s">
        <v>1035</v>
      </c>
      <c r="L521" s="31" t="s">
        <v>162</v>
      </c>
      <c r="M521" s="31" t="s">
        <v>144</v>
      </c>
      <c r="N521" s="31" t="s">
        <v>144</v>
      </c>
      <c r="O521" s="31" t="s">
        <v>144</v>
      </c>
      <c r="P521" s="31" t="s">
        <v>144</v>
      </c>
      <c r="Q521" s="31" t="s">
        <v>474</v>
      </c>
      <c r="R521" s="31" t="s">
        <v>443</v>
      </c>
      <c r="S521" s="31" t="s">
        <v>480</v>
      </c>
      <c r="T521" s="31" t="s">
        <v>478</v>
      </c>
      <c r="U521" s="31" t="s">
        <v>144</v>
      </c>
      <c r="V521" s="31" t="s">
        <v>144</v>
      </c>
      <c r="W521" s="31" t="s">
        <v>144</v>
      </c>
      <c r="X521" s="31" t="s">
        <v>144</v>
      </c>
      <c r="Y521" s="31"/>
      <c r="Z521" s="31" t="s">
        <v>144</v>
      </c>
      <c r="AA521" s="378">
        <v>16</v>
      </c>
      <c r="AB521" s="378">
        <v>15.5</v>
      </c>
      <c r="AC521" s="378">
        <v>0.3</v>
      </c>
      <c r="AD521" s="378">
        <v>0.2</v>
      </c>
      <c r="AE521" s="31">
        <v>1.3</v>
      </c>
      <c r="AF521" s="31">
        <v>28</v>
      </c>
      <c r="AG521" s="31" t="s">
        <v>191</v>
      </c>
      <c r="AH521" s="31" t="s">
        <v>144</v>
      </c>
      <c r="AI521" s="31" t="s">
        <v>144</v>
      </c>
      <c r="AJ521" s="31" t="s">
        <v>144</v>
      </c>
      <c r="AK521" s="31" t="s">
        <v>144</v>
      </c>
      <c r="AL521" s="31" t="s">
        <v>325</v>
      </c>
      <c r="AM521" s="31" t="s">
        <v>144</v>
      </c>
      <c r="AN521" s="31" t="s">
        <v>475</v>
      </c>
      <c r="AO521" s="31" t="s">
        <v>1324</v>
      </c>
      <c r="AP521" s="31" t="s">
        <v>144</v>
      </c>
      <c r="AQ521" s="31" t="s">
        <v>144</v>
      </c>
      <c r="AR521" s="31" t="s">
        <v>144</v>
      </c>
      <c r="AS521" s="31"/>
      <c r="AT521" s="31"/>
      <c r="AU521" s="31"/>
    </row>
    <row r="522" spans="5:47" ht="15" customHeight="1" x14ac:dyDescent="0.25">
      <c r="E522" s="31" t="s">
        <v>137</v>
      </c>
      <c r="F522" s="31" t="s">
        <v>140</v>
      </c>
      <c r="G522" s="31" t="s">
        <v>377</v>
      </c>
      <c r="H522" s="31" t="s">
        <v>324</v>
      </c>
      <c r="I522" s="31" t="s">
        <v>481</v>
      </c>
      <c r="J522" s="31" t="s">
        <v>699</v>
      </c>
      <c r="K522" s="31" t="s">
        <v>1036</v>
      </c>
      <c r="L522" s="31" t="s">
        <v>162</v>
      </c>
      <c r="M522" s="31" t="s">
        <v>144</v>
      </c>
      <c r="N522" s="31" t="s">
        <v>144</v>
      </c>
      <c r="O522" s="31" t="s">
        <v>144</v>
      </c>
      <c r="P522" s="31" t="s">
        <v>144</v>
      </c>
      <c r="Q522" s="31" t="s">
        <v>474</v>
      </c>
      <c r="R522" s="31" t="s">
        <v>443</v>
      </c>
      <c r="S522" s="31" t="s">
        <v>480</v>
      </c>
      <c r="T522" s="31" t="s">
        <v>478</v>
      </c>
      <c r="U522" s="31" t="s">
        <v>144</v>
      </c>
      <c r="V522" s="31" t="s">
        <v>144</v>
      </c>
      <c r="W522" s="31" t="s">
        <v>144</v>
      </c>
      <c r="X522" s="31" t="s">
        <v>144</v>
      </c>
      <c r="Y522" s="31"/>
      <c r="Z522" s="31" t="s">
        <v>144</v>
      </c>
      <c r="AA522" s="378">
        <v>16</v>
      </c>
      <c r="AB522" s="378">
        <v>15.5</v>
      </c>
      <c r="AC522" s="378">
        <v>0.3</v>
      </c>
      <c r="AD522" s="378">
        <v>0.2</v>
      </c>
      <c r="AE522" s="31">
        <v>1.3</v>
      </c>
      <c r="AF522" s="31">
        <v>28</v>
      </c>
      <c r="AG522" s="31" t="s">
        <v>191</v>
      </c>
      <c r="AH522" s="31" t="s">
        <v>144</v>
      </c>
      <c r="AI522" s="31" t="s">
        <v>144</v>
      </c>
      <c r="AJ522" s="31" t="s">
        <v>144</v>
      </c>
      <c r="AK522" s="31" t="s">
        <v>144</v>
      </c>
      <c r="AL522" s="31" t="s">
        <v>325</v>
      </c>
      <c r="AM522" s="31" t="s">
        <v>144</v>
      </c>
      <c r="AN522" s="31" t="s">
        <v>475</v>
      </c>
      <c r="AO522" s="31" t="s">
        <v>1324</v>
      </c>
      <c r="AP522" s="31" t="s">
        <v>144</v>
      </c>
      <c r="AQ522" s="31" t="s">
        <v>144</v>
      </c>
      <c r="AR522" s="31" t="s">
        <v>144</v>
      </c>
      <c r="AS522" s="31"/>
      <c r="AT522" s="31"/>
      <c r="AU522" s="31"/>
    </row>
    <row r="523" spans="5:47" ht="15" customHeight="1" x14ac:dyDescent="0.25">
      <c r="E523" s="31" t="s">
        <v>137</v>
      </c>
      <c r="F523" s="31" t="s">
        <v>140</v>
      </c>
      <c r="G523" s="31" t="s">
        <v>377</v>
      </c>
      <c r="H523" s="31" t="s">
        <v>324</v>
      </c>
      <c r="I523" s="31" t="s">
        <v>481</v>
      </c>
      <c r="J523" s="31" t="s">
        <v>699</v>
      </c>
      <c r="K523" s="31" t="s">
        <v>1037</v>
      </c>
      <c r="L523" s="31" t="s">
        <v>162</v>
      </c>
      <c r="M523" s="31" t="s">
        <v>144</v>
      </c>
      <c r="N523" s="31" t="s">
        <v>144</v>
      </c>
      <c r="O523" s="31" t="s">
        <v>144</v>
      </c>
      <c r="P523" s="31" t="s">
        <v>144</v>
      </c>
      <c r="Q523" s="31" t="s">
        <v>474</v>
      </c>
      <c r="R523" s="31" t="s">
        <v>443</v>
      </c>
      <c r="S523" s="31" t="s">
        <v>480</v>
      </c>
      <c r="T523" s="31" t="s">
        <v>478</v>
      </c>
      <c r="U523" s="31" t="s">
        <v>144</v>
      </c>
      <c r="V523" s="31" t="s">
        <v>144</v>
      </c>
      <c r="W523" s="31" t="s">
        <v>144</v>
      </c>
      <c r="X523" s="31" t="s">
        <v>144</v>
      </c>
      <c r="Y523" s="31"/>
      <c r="Z523" s="31" t="s">
        <v>144</v>
      </c>
      <c r="AA523" s="378">
        <v>16</v>
      </c>
      <c r="AB523" s="378">
        <v>15.5</v>
      </c>
      <c r="AC523" s="378">
        <v>0.3</v>
      </c>
      <c r="AD523" s="378">
        <v>0.2</v>
      </c>
      <c r="AE523" s="31">
        <v>1.3</v>
      </c>
      <c r="AF523" s="31">
        <v>28</v>
      </c>
      <c r="AG523" s="31" t="s">
        <v>191</v>
      </c>
      <c r="AH523" s="31" t="s">
        <v>144</v>
      </c>
      <c r="AI523" s="31" t="s">
        <v>144</v>
      </c>
      <c r="AJ523" s="31" t="s">
        <v>144</v>
      </c>
      <c r="AK523" s="31" t="s">
        <v>144</v>
      </c>
      <c r="AL523" s="31" t="s">
        <v>325</v>
      </c>
      <c r="AM523" s="31" t="s">
        <v>144</v>
      </c>
      <c r="AN523" s="31" t="s">
        <v>475</v>
      </c>
      <c r="AO523" s="31" t="s">
        <v>1324</v>
      </c>
      <c r="AP523" s="31" t="s">
        <v>144</v>
      </c>
      <c r="AQ523" s="31" t="s">
        <v>144</v>
      </c>
      <c r="AR523" s="31" t="s">
        <v>144</v>
      </c>
      <c r="AS523" s="31"/>
      <c r="AT523" s="31"/>
      <c r="AU523" s="31"/>
    </row>
    <row r="524" spans="5:47" ht="15" customHeight="1" x14ac:dyDescent="0.25">
      <c r="E524" s="31" t="s">
        <v>137</v>
      </c>
      <c r="F524" s="31" t="s">
        <v>140</v>
      </c>
      <c r="G524" s="31" t="s">
        <v>377</v>
      </c>
      <c r="H524" s="31" t="s">
        <v>324</v>
      </c>
      <c r="I524" s="31" t="s">
        <v>481</v>
      </c>
      <c r="J524" s="31" t="s">
        <v>699</v>
      </c>
      <c r="K524" s="31" t="s">
        <v>1038</v>
      </c>
      <c r="L524" s="31" t="s">
        <v>162</v>
      </c>
      <c r="M524" s="31" t="s">
        <v>144</v>
      </c>
      <c r="N524" s="31" t="s">
        <v>144</v>
      </c>
      <c r="O524" s="31" t="s">
        <v>144</v>
      </c>
      <c r="P524" s="31" t="s">
        <v>144</v>
      </c>
      <c r="Q524" s="31" t="s">
        <v>474</v>
      </c>
      <c r="R524" s="31" t="s">
        <v>443</v>
      </c>
      <c r="S524" s="31" t="s">
        <v>480</v>
      </c>
      <c r="T524" s="31" t="s">
        <v>478</v>
      </c>
      <c r="U524" s="31" t="s">
        <v>144</v>
      </c>
      <c r="V524" s="31" t="s">
        <v>144</v>
      </c>
      <c r="W524" s="31" t="s">
        <v>144</v>
      </c>
      <c r="X524" s="31" t="s">
        <v>144</v>
      </c>
      <c r="Y524" s="31"/>
      <c r="Z524" s="31" t="s">
        <v>144</v>
      </c>
      <c r="AA524" s="378">
        <v>16</v>
      </c>
      <c r="AB524" s="378">
        <v>15.5</v>
      </c>
      <c r="AC524" s="378">
        <v>0.3</v>
      </c>
      <c r="AD524" s="378">
        <v>0.2</v>
      </c>
      <c r="AE524" s="31">
        <v>1.3</v>
      </c>
      <c r="AF524" s="31">
        <v>28</v>
      </c>
      <c r="AG524" s="31" t="s">
        <v>191</v>
      </c>
      <c r="AH524" s="31" t="s">
        <v>144</v>
      </c>
      <c r="AI524" s="31" t="s">
        <v>144</v>
      </c>
      <c r="AJ524" s="31" t="s">
        <v>144</v>
      </c>
      <c r="AK524" s="31" t="s">
        <v>144</v>
      </c>
      <c r="AL524" s="31" t="s">
        <v>325</v>
      </c>
      <c r="AM524" s="31" t="s">
        <v>144</v>
      </c>
      <c r="AN524" s="31" t="s">
        <v>475</v>
      </c>
      <c r="AO524" s="31" t="s">
        <v>1324</v>
      </c>
      <c r="AP524" s="31" t="s">
        <v>144</v>
      </c>
      <c r="AQ524" s="31" t="s">
        <v>144</v>
      </c>
      <c r="AR524" s="31" t="s">
        <v>144</v>
      </c>
      <c r="AS524" s="31"/>
      <c r="AT524" s="31"/>
      <c r="AU524" s="31"/>
    </row>
    <row r="525" spans="5:47" ht="15" customHeight="1" x14ac:dyDescent="0.25">
      <c r="E525" s="31" t="s">
        <v>137</v>
      </c>
      <c r="F525" s="31" t="s">
        <v>140</v>
      </c>
      <c r="G525" s="31" t="s">
        <v>377</v>
      </c>
      <c r="H525" s="31" t="s">
        <v>324</v>
      </c>
      <c r="I525" s="31" t="s">
        <v>481</v>
      </c>
      <c r="J525" s="31" t="s">
        <v>699</v>
      </c>
      <c r="K525" s="31" t="s">
        <v>1039</v>
      </c>
      <c r="L525" s="31" t="s">
        <v>162</v>
      </c>
      <c r="M525" s="31" t="s">
        <v>144</v>
      </c>
      <c r="N525" s="31" t="s">
        <v>144</v>
      </c>
      <c r="O525" s="31" t="s">
        <v>144</v>
      </c>
      <c r="P525" s="31" t="s">
        <v>144</v>
      </c>
      <c r="Q525" s="31" t="s">
        <v>474</v>
      </c>
      <c r="R525" s="31" t="s">
        <v>443</v>
      </c>
      <c r="S525" s="31" t="s">
        <v>480</v>
      </c>
      <c r="T525" s="31" t="s">
        <v>478</v>
      </c>
      <c r="U525" s="31" t="s">
        <v>144</v>
      </c>
      <c r="V525" s="31" t="s">
        <v>144</v>
      </c>
      <c r="W525" s="31" t="s">
        <v>144</v>
      </c>
      <c r="X525" s="31" t="s">
        <v>144</v>
      </c>
      <c r="Y525" s="31"/>
      <c r="Z525" s="31" t="s">
        <v>144</v>
      </c>
      <c r="AA525" s="378">
        <v>16</v>
      </c>
      <c r="AB525" s="378">
        <v>15.5</v>
      </c>
      <c r="AC525" s="378">
        <v>0.3</v>
      </c>
      <c r="AD525" s="378">
        <v>0.2</v>
      </c>
      <c r="AE525" s="31">
        <v>1.3</v>
      </c>
      <c r="AF525" s="31">
        <v>28</v>
      </c>
      <c r="AG525" s="31" t="s">
        <v>191</v>
      </c>
      <c r="AH525" s="31" t="s">
        <v>144</v>
      </c>
      <c r="AI525" s="31" t="s">
        <v>144</v>
      </c>
      <c r="AJ525" s="31" t="s">
        <v>144</v>
      </c>
      <c r="AK525" s="31" t="s">
        <v>144</v>
      </c>
      <c r="AL525" s="31" t="s">
        <v>325</v>
      </c>
      <c r="AM525" s="31" t="s">
        <v>144</v>
      </c>
      <c r="AN525" s="31" t="s">
        <v>475</v>
      </c>
      <c r="AO525" s="31" t="s">
        <v>1324</v>
      </c>
      <c r="AP525" s="31" t="s">
        <v>144</v>
      </c>
      <c r="AQ525" s="31" t="s">
        <v>144</v>
      </c>
      <c r="AR525" s="31" t="s">
        <v>144</v>
      </c>
      <c r="AS525" s="31"/>
      <c r="AT525" s="31"/>
      <c r="AU525" s="31"/>
    </row>
    <row r="526" spans="5:47" ht="15" customHeight="1" x14ac:dyDescent="0.25">
      <c r="E526" s="31" t="s">
        <v>137</v>
      </c>
      <c r="F526" s="31" t="s">
        <v>140</v>
      </c>
      <c r="G526" s="31" t="s">
        <v>377</v>
      </c>
      <c r="H526" s="31" t="s">
        <v>324</v>
      </c>
      <c r="I526" s="31" t="s">
        <v>481</v>
      </c>
      <c r="J526" s="31" t="s">
        <v>699</v>
      </c>
      <c r="K526" s="31" t="s">
        <v>1040</v>
      </c>
      <c r="L526" s="31" t="s">
        <v>162</v>
      </c>
      <c r="M526" s="31" t="s">
        <v>144</v>
      </c>
      <c r="N526" s="31" t="s">
        <v>144</v>
      </c>
      <c r="O526" s="31" t="s">
        <v>144</v>
      </c>
      <c r="P526" s="31" t="s">
        <v>144</v>
      </c>
      <c r="Q526" s="31" t="s">
        <v>474</v>
      </c>
      <c r="R526" s="31" t="s">
        <v>443</v>
      </c>
      <c r="S526" s="31" t="s">
        <v>480</v>
      </c>
      <c r="T526" s="31" t="s">
        <v>478</v>
      </c>
      <c r="U526" s="31" t="s">
        <v>144</v>
      </c>
      <c r="V526" s="31" t="s">
        <v>144</v>
      </c>
      <c r="W526" s="31" t="s">
        <v>144</v>
      </c>
      <c r="X526" s="31" t="s">
        <v>144</v>
      </c>
      <c r="Y526" s="31"/>
      <c r="Z526" s="31" t="s">
        <v>144</v>
      </c>
      <c r="AA526" s="378">
        <v>16</v>
      </c>
      <c r="AB526" s="378">
        <v>15.5</v>
      </c>
      <c r="AC526" s="378">
        <v>0.3</v>
      </c>
      <c r="AD526" s="378">
        <v>0.2</v>
      </c>
      <c r="AE526" s="31">
        <v>1.3</v>
      </c>
      <c r="AF526" s="31">
        <v>28</v>
      </c>
      <c r="AG526" s="31" t="s">
        <v>191</v>
      </c>
      <c r="AH526" s="31" t="s">
        <v>144</v>
      </c>
      <c r="AI526" s="31" t="s">
        <v>144</v>
      </c>
      <c r="AJ526" s="31" t="s">
        <v>144</v>
      </c>
      <c r="AK526" s="31" t="s">
        <v>144</v>
      </c>
      <c r="AL526" s="31" t="s">
        <v>325</v>
      </c>
      <c r="AM526" s="31" t="s">
        <v>144</v>
      </c>
      <c r="AN526" s="31" t="s">
        <v>475</v>
      </c>
      <c r="AO526" s="31" t="s">
        <v>1324</v>
      </c>
      <c r="AP526" s="31" t="s">
        <v>144</v>
      </c>
      <c r="AQ526" s="31" t="s">
        <v>144</v>
      </c>
      <c r="AR526" s="31" t="s">
        <v>144</v>
      </c>
      <c r="AS526" s="31"/>
      <c r="AT526" s="31"/>
      <c r="AU526" s="31"/>
    </row>
    <row r="527" spans="5:47" ht="15" customHeight="1" x14ac:dyDescent="0.25">
      <c r="E527" s="31" t="s">
        <v>137</v>
      </c>
      <c r="F527" s="31" t="s">
        <v>140</v>
      </c>
      <c r="G527" s="31" t="s">
        <v>377</v>
      </c>
      <c r="H527" s="31" t="s">
        <v>324</v>
      </c>
      <c r="I527" s="31" t="s">
        <v>481</v>
      </c>
      <c r="J527" s="31" t="s">
        <v>699</v>
      </c>
      <c r="K527" s="31" t="s">
        <v>1041</v>
      </c>
      <c r="L527" s="31" t="s">
        <v>162</v>
      </c>
      <c r="M527" s="31" t="s">
        <v>144</v>
      </c>
      <c r="N527" s="31" t="s">
        <v>144</v>
      </c>
      <c r="O527" s="31" t="s">
        <v>144</v>
      </c>
      <c r="P527" s="31" t="s">
        <v>144</v>
      </c>
      <c r="Q527" s="31" t="s">
        <v>474</v>
      </c>
      <c r="R527" s="31" t="s">
        <v>443</v>
      </c>
      <c r="S527" s="31" t="s">
        <v>480</v>
      </c>
      <c r="T527" s="31" t="s">
        <v>478</v>
      </c>
      <c r="U527" s="31" t="s">
        <v>144</v>
      </c>
      <c r="V527" s="31" t="s">
        <v>144</v>
      </c>
      <c r="W527" s="31" t="s">
        <v>144</v>
      </c>
      <c r="X527" s="31" t="s">
        <v>144</v>
      </c>
      <c r="Y527" s="31"/>
      <c r="Z527" s="31" t="s">
        <v>144</v>
      </c>
      <c r="AA527" s="378">
        <v>16</v>
      </c>
      <c r="AB527" s="378">
        <v>15.5</v>
      </c>
      <c r="AC527" s="378">
        <v>0.3</v>
      </c>
      <c r="AD527" s="378">
        <v>0.2</v>
      </c>
      <c r="AE527" s="31">
        <v>1.3</v>
      </c>
      <c r="AF527" s="31">
        <v>28</v>
      </c>
      <c r="AG527" s="31" t="s">
        <v>191</v>
      </c>
      <c r="AH527" s="31" t="s">
        <v>144</v>
      </c>
      <c r="AI527" s="31" t="s">
        <v>144</v>
      </c>
      <c r="AJ527" s="31" t="s">
        <v>144</v>
      </c>
      <c r="AK527" s="31" t="s">
        <v>144</v>
      </c>
      <c r="AL527" s="31" t="s">
        <v>325</v>
      </c>
      <c r="AM527" s="31" t="s">
        <v>144</v>
      </c>
      <c r="AN527" s="31" t="s">
        <v>475</v>
      </c>
      <c r="AO527" s="31" t="s">
        <v>1324</v>
      </c>
      <c r="AP527" s="31" t="s">
        <v>144</v>
      </c>
      <c r="AQ527" s="31" t="s">
        <v>144</v>
      </c>
      <c r="AR527" s="31" t="s">
        <v>144</v>
      </c>
      <c r="AS527" s="31"/>
      <c r="AT527" s="31"/>
      <c r="AU527" s="31"/>
    </row>
    <row r="528" spans="5:47" ht="15" customHeight="1" x14ac:dyDescent="0.25">
      <c r="E528" s="31" t="s">
        <v>137</v>
      </c>
      <c r="F528" s="31" t="s">
        <v>140</v>
      </c>
      <c r="G528" s="31" t="s">
        <v>377</v>
      </c>
      <c r="H528" s="31" t="s">
        <v>324</v>
      </c>
      <c r="I528" s="31" t="s">
        <v>481</v>
      </c>
      <c r="J528" s="31" t="s">
        <v>699</v>
      </c>
      <c r="K528" s="31" t="s">
        <v>1042</v>
      </c>
      <c r="L528" s="31" t="s">
        <v>162</v>
      </c>
      <c r="M528" s="31" t="s">
        <v>144</v>
      </c>
      <c r="N528" s="31" t="s">
        <v>144</v>
      </c>
      <c r="O528" s="31" t="s">
        <v>144</v>
      </c>
      <c r="P528" s="31" t="s">
        <v>144</v>
      </c>
      <c r="Q528" s="31" t="s">
        <v>474</v>
      </c>
      <c r="R528" s="31" t="s">
        <v>443</v>
      </c>
      <c r="S528" s="31" t="s">
        <v>480</v>
      </c>
      <c r="T528" s="31" t="s">
        <v>478</v>
      </c>
      <c r="U528" s="31" t="s">
        <v>144</v>
      </c>
      <c r="V528" s="31" t="s">
        <v>144</v>
      </c>
      <c r="W528" s="31" t="s">
        <v>144</v>
      </c>
      <c r="X528" s="31" t="s">
        <v>144</v>
      </c>
      <c r="Y528" s="31"/>
      <c r="Z528" s="31" t="s">
        <v>144</v>
      </c>
      <c r="AA528" s="378">
        <v>16</v>
      </c>
      <c r="AB528" s="378">
        <v>15.5</v>
      </c>
      <c r="AC528" s="378">
        <v>0.3</v>
      </c>
      <c r="AD528" s="378">
        <v>0.2</v>
      </c>
      <c r="AE528" s="31">
        <v>1.3</v>
      </c>
      <c r="AF528" s="31">
        <v>28</v>
      </c>
      <c r="AG528" s="31" t="s">
        <v>191</v>
      </c>
      <c r="AH528" s="31" t="s">
        <v>144</v>
      </c>
      <c r="AI528" s="31" t="s">
        <v>144</v>
      </c>
      <c r="AJ528" s="31" t="s">
        <v>144</v>
      </c>
      <c r="AK528" s="31" t="s">
        <v>144</v>
      </c>
      <c r="AL528" s="31" t="s">
        <v>325</v>
      </c>
      <c r="AM528" s="31" t="s">
        <v>144</v>
      </c>
      <c r="AN528" s="31" t="s">
        <v>475</v>
      </c>
      <c r="AO528" s="31" t="s">
        <v>1324</v>
      </c>
      <c r="AP528" s="31" t="s">
        <v>144</v>
      </c>
      <c r="AQ528" s="31" t="s">
        <v>144</v>
      </c>
      <c r="AR528" s="31" t="s">
        <v>144</v>
      </c>
      <c r="AS528" s="31"/>
      <c r="AT528" s="31"/>
      <c r="AU528" s="31"/>
    </row>
    <row r="529" spans="5:47" ht="15" customHeight="1" x14ac:dyDescent="0.25">
      <c r="E529" s="31" t="s">
        <v>137</v>
      </c>
      <c r="F529" s="31" t="s">
        <v>140</v>
      </c>
      <c r="G529" s="31" t="s">
        <v>377</v>
      </c>
      <c r="H529" s="31" t="s">
        <v>324</v>
      </c>
      <c r="I529" s="31" t="s">
        <v>481</v>
      </c>
      <c r="J529" s="31" t="s">
        <v>699</v>
      </c>
      <c r="K529" s="31" t="s">
        <v>1043</v>
      </c>
      <c r="L529" s="31" t="s">
        <v>162</v>
      </c>
      <c r="M529" s="31" t="s">
        <v>144</v>
      </c>
      <c r="N529" s="31" t="s">
        <v>144</v>
      </c>
      <c r="O529" s="31" t="s">
        <v>144</v>
      </c>
      <c r="P529" s="31" t="s">
        <v>144</v>
      </c>
      <c r="Q529" s="31" t="s">
        <v>474</v>
      </c>
      <c r="R529" s="31" t="s">
        <v>443</v>
      </c>
      <c r="S529" s="31" t="s">
        <v>480</v>
      </c>
      <c r="T529" s="31" t="s">
        <v>478</v>
      </c>
      <c r="U529" s="31" t="s">
        <v>144</v>
      </c>
      <c r="V529" s="31" t="s">
        <v>144</v>
      </c>
      <c r="W529" s="31" t="s">
        <v>144</v>
      </c>
      <c r="X529" s="31" t="s">
        <v>144</v>
      </c>
      <c r="Y529" s="31"/>
      <c r="Z529" s="31" t="s">
        <v>144</v>
      </c>
      <c r="AA529" s="378">
        <v>16</v>
      </c>
      <c r="AB529" s="378">
        <v>15.5</v>
      </c>
      <c r="AC529" s="378">
        <v>0.3</v>
      </c>
      <c r="AD529" s="378">
        <v>0.2</v>
      </c>
      <c r="AE529" s="31">
        <v>1.3</v>
      </c>
      <c r="AF529" s="31">
        <v>28</v>
      </c>
      <c r="AG529" s="31" t="s">
        <v>191</v>
      </c>
      <c r="AH529" s="31" t="s">
        <v>144</v>
      </c>
      <c r="AI529" s="31" t="s">
        <v>144</v>
      </c>
      <c r="AJ529" s="31" t="s">
        <v>144</v>
      </c>
      <c r="AK529" s="31" t="s">
        <v>144</v>
      </c>
      <c r="AL529" s="31" t="s">
        <v>325</v>
      </c>
      <c r="AM529" s="31" t="s">
        <v>144</v>
      </c>
      <c r="AN529" s="31" t="s">
        <v>475</v>
      </c>
      <c r="AO529" s="31" t="s">
        <v>1324</v>
      </c>
      <c r="AP529" s="31" t="s">
        <v>144</v>
      </c>
      <c r="AQ529" s="31" t="s">
        <v>144</v>
      </c>
      <c r="AR529" s="31" t="s">
        <v>144</v>
      </c>
      <c r="AS529" s="31"/>
      <c r="AT529" s="31"/>
      <c r="AU529" s="31"/>
    </row>
    <row r="530" spans="5:47" ht="15" customHeight="1" x14ac:dyDescent="0.25">
      <c r="E530" s="31" t="s">
        <v>137</v>
      </c>
      <c r="F530" s="31" t="s">
        <v>140</v>
      </c>
      <c r="G530" s="31" t="s">
        <v>377</v>
      </c>
      <c r="H530" s="31" t="s">
        <v>324</v>
      </c>
      <c r="I530" s="31" t="s">
        <v>481</v>
      </c>
      <c r="J530" s="31" t="s">
        <v>699</v>
      </c>
      <c r="K530" s="31" t="s">
        <v>1044</v>
      </c>
      <c r="L530" s="31" t="s">
        <v>162</v>
      </c>
      <c r="M530" s="31" t="s">
        <v>144</v>
      </c>
      <c r="N530" s="31" t="s">
        <v>144</v>
      </c>
      <c r="O530" s="31" t="s">
        <v>144</v>
      </c>
      <c r="P530" s="31" t="s">
        <v>144</v>
      </c>
      <c r="Q530" s="31" t="s">
        <v>474</v>
      </c>
      <c r="R530" s="31" t="s">
        <v>443</v>
      </c>
      <c r="S530" s="31" t="s">
        <v>480</v>
      </c>
      <c r="T530" s="31" t="s">
        <v>478</v>
      </c>
      <c r="U530" s="31" t="s">
        <v>144</v>
      </c>
      <c r="V530" s="31" t="s">
        <v>144</v>
      </c>
      <c r="W530" s="31" t="s">
        <v>144</v>
      </c>
      <c r="X530" s="31" t="s">
        <v>144</v>
      </c>
      <c r="Y530" s="31"/>
      <c r="Z530" s="31" t="s">
        <v>144</v>
      </c>
      <c r="AA530" s="378">
        <v>16</v>
      </c>
      <c r="AB530" s="378">
        <v>15.5</v>
      </c>
      <c r="AC530" s="378">
        <v>0.3</v>
      </c>
      <c r="AD530" s="378">
        <v>0.2</v>
      </c>
      <c r="AE530" s="31">
        <v>1.3</v>
      </c>
      <c r="AF530" s="31">
        <v>28</v>
      </c>
      <c r="AG530" s="31" t="s">
        <v>191</v>
      </c>
      <c r="AH530" s="31" t="s">
        <v>144</v>
      </c>
      <c r="AI530" s="31" t="s">
        <v>144</v>
      </c>
      <c r="AJ530" s="31" t="s">
        <v>144</v>
      </c>
      <c r="AK530" s="31" t="s">
        <v>144</v>
      </c>
      <c r="AL530" s="31" t="s">
        <v>325</v>
      </c>
      <c r="AM530" s="31" t="s">
        <v>144</v>
      </c>
      <c r="AN530" s="31" t="s">
        <v>475</v>
      </c>
      <c r="AO530" s="31" t="s">
        <v>1324</v>
      </c>
      <c r="AP530" s="31" t="s">
        <v>144</v>
      </c>
      <c r="AQ530" s="31" t="s">
        <v>144</v>
      </c>
      <c r="AR530" s="31" t="s">
        <v>144</v>
      </c>
      <c r="AS530" s="31"/>
      <c r="AT530" s="31"/>
      <c r="AU530" s="31"/>
    </row>
    <row r="531" spans="5:47" ht="15" customHeight="1" x14ac:dyDescent="0.25">
      <c r="E531" s="31" t="s">
        <v>137</v>
      </c>
      <c r="F531" s="31" t="s">
        <v>140</v>
      </c>
      <c r="G531" s="31" t="s">
        <v>377</v>
      </c>
      <c r="H531" s="31" t="s">
        <v>324</v>
      </c>
      <c r="I531" s="31" t="s">
        <v>481</v>
      </c>
      <c r="J531" s="31" t="s">
        <v>699</v>
      </c>
      <c r="K531" s="31" t="s">
        <v>1045</v>
      </c>
      <c r="L531" s="31" t="s">
        <v>162</v>
      </c>
      <c r="M531" s="31" t="s">
        <v>144</v>
      </c>
      <c r="N531" s="31" t="s">
        <v>144</v>
      </c>
      <c r="O531" s="31" t="s">
        <v>144</v>
      </c>
      <c r="P531" s="31" t="s">
        <v>144</v>
      </c>
      <c r="Q531" s="31" t="s">
        <v>474</v>
      </c>
      <c r="R531" s="31" t="s">
        <v>443</v>
      </c>
      <c r="S531" s="31" t="s">
        <v>480</v>
      </c>
      <c r="T531" s="31" t="s">
        <v>478</v>
      </c>
      <c r="U531" s="31" t="s">
        <v>144</v>
      </c>
      <c r="V531" s="31" t="s">
        <v>144</v>
      </c>
      <c r="W531" s="31" t="s">
        <v>144</v>
      </c>
      <c r="X531" s="31" t="s">
        <v>144</v>
      </c>
      <c r="Y531" s="31"/>
      <c r="Z531" s="31" t="s">
        <v>144</v>
      </c>
      <c r="AA531" s="378">
        <v>16</v>
      </c>
      <c r="AB531" s="378">
        <v>15.5</v>
      </c>
      <c r="AC531" s="378">
        <v>0.3</v>
      </c>
      <c r="AD531" s="378">
        <v>0.2</v>
      </c>
      <c r="AE531" s="31">
        <v>1.3</v>
      </c>
      <c r="AF531" s="31">
        <v>28</v>
      </c>
      <c r="AG531" s="31" t="s">
        <v>191</v>
      </c>
      <c r="AH531" s="31" t="s">
        <v>144</v>
      </c>
      <c r="AI531" s="31" t="s">
        <v>144</v>
      </c>
      <c r="AJ531" s="31" t="s">
        <v>144</v>
      </c>
      <c r="AK531" s="31" t="s">
        <v>144</v>
      </c>
      <c r="AL531" s="31" t="s">
        <v>325</v>
      </c>
      <c r="AM531" s="31" t="s">
        <v>144</v>
      </c>
      <c r="AN531" s="31" t="s">
        <v>475</v>
      </c>
      <c r="AO531" s="31" t="s">
        <v>1324</v>
      </c>
      <c r="AP531" s="31" t="s">
        <v>144</v>
      </c>
      <c r="AQ531" s="31" t="s">
        <v>144</v>
      </c>
      <c r="AR531" s="31" t="s">
        <v>144</v>
      </c>
      <c r="AS531" s="31"/>
      <c r="AT531" s="31"/>
      <c r="AU531" s="31"/>
    </row>
    <row r="532" spans="5:47" ht="15" customHeight="1" x14ac:dyDescent="0.25">
      <c r="E532" s="31" t="s">
        <v>137</v>
      </c>
      <c r="F532" s="31" t="s">
        <v>140</v>
      </c>
      <c r="G532" s="31" t="s">
        <v>377</v>
      </c>
      <c r="H532" s="31" t="s">
        <v>324</v>
      </c>
      <c r="I532" s="31" t="s">
        <v>481</v>
      </c>
      <c r="J532" s="31" t="s">
        <v>699</v>
      </c>
      <c r="K532" s="31" t="s">
        <v>1046</v>
      </c>
      <c r="L532" s="31" t="s">
        <v>162</v>
      </c>
      <c r="M532" s="31" t="s">
        <v>144</v>
      </c>
      <c r="N532" s="31" t="s">
        <v>144</v>
      </c>
      <c r="O532" s="31" t="s">
        <v>144</v>
      </c>
      <c r="P532" s="31" t="s">
        <v>144</v>
      </c>
      <c r="Q532" s="31" t="s">
        <v>474</v>
      </c>
      <c r="R532" s="31" t="s">
        <v>443</v>
      </c>
      <c r="S532" s="31" t="s">
        <v>480</v>
      </c>
      <c r="T532" s="31" t="s">
        <v>478</v>
      </c>
      <c r="U532" s="31" t="s">
        <v>144</v>
      </c>
      <c r="V532" s="31" t="s">
        <v>144</v>
      </c>
      <c r="W532" s="31" t="s">
        <v>144</v>
      </c>
      <c r="X532" s="31" t="s">
        <v>144</v>
      </c>
      <c r="Y532" s="31"/>
      <c r="Z532" s="31" t="s">
        <v>144</v>
      </c>
      <c r="AA532" s="378">
        <v>16</v>
      </c>
      <c r="AB532" s="378">
        <v>15.5</v>
      </c>
      <c r="AC532" s="378">
        <v>0.3</v>
      </c>
      <c r="AD532" s="378">
        <v>0.2</v>
      </c>
      <c r="AE532" s="31">
        <v>1.3</v>
      </c>
      <c r="AF532" s="31">
        <v>28</v>
      </c>
      <c r="AG532" s="31" t="s">
        <v>191</v>
      </c>
      <c r="AH532" s="31" t="s">
        <v>144</v>
      </c>
      <c r="AI532" s="31" t="s">
        <v>144</v>
      </c>
      <c r="AJ532" s="31" t="s">
        <v>144</v>
      </c>
      <c r="AK532" s="31" t="s">
        <v>144</v>
      </c>
      <c r="AL532" s="31" t="s">
        <v>325</v>
      </c>
      <c r="AM532" s="31" t="s">
        <v>144</v>
      </c>
      <c r="AN532" s="31" t="s">
        <v>475</v>
      </c>
      <c r="AO532" s="31" t="s">
        <v>1324</v>
      </c>
      <c r="AP532" s="31" t="s">
        <v>144</v>
      </c>
      <c r="AQ532" s="31" t="s">
        <v>144</v>
      </c>
      <c r="AR532" s="31" t="s">
        <v>144</v>
      </c>
      <c r="AS532" s="31"/>
      <c r="AT532" s="31"/>
      <c r="AU532" s="31"/>
    </row>
    <row r="533" spans="5:47" ht="15" customHeight="1" x14ac:dyDescent="0.25">
      <c r="E533" s="31" t="s">
        <v>137</v>
      </c>
      <c r="F533" s="31" t="s">
        <v>140</v>
      </c>
      <c r="G533" s="31" t="s">
        <v>377</v>
      </c>
      <c r="H533" s="31" t="s">
        <v>324</v>
      </c>
      <c r="I533" s="31" t="s">
        <v>481</v>
      </c>
      <c r="J533" s="31" t="s">
        <v>699</v>
      </c>
      <c r="K533" s="31" t="s">
        <v>1047</v>
      </c>
      <c r="L533" s="31" t="s">
        <v>162</v>
      </c>
      <c r="M533" s="31" t="s">
        <v>144</v>
      </c>
      <c r="N533" s="31" t="s">
        <v>144</v>
      </c>
      <c r="O533" s="31" t="s">
        <v>144</v>
      </c>
      <c r="P533" s="31" t="s">
        <v>144</v>
      </c>
      <c r="Q533" s="31" t="s">
        <v>474</v>
      </c>
      <c r="R533" s="31" t="s">
        <v>443</v>
      </c>
      <c r="S533" s="31" t="s">
        <v>480</v>
      </c>
      <c r="T533" s="31" t="s">
        <v>478</v>
      </c>
      <c r="U533" s="31" t="s">
        <v>144</v>
      </c>
      <c r="V533" s="31" t="s">
        <v>144</v>
      </c>
      <c r="W533" s="31" t="s">
        <v>144</v>
      </c>
      <c r="X533" s="31" t="s">
        <v>144</v>
      </c>
      <c r="Y533" s="31"/>
      <c r="Z533" s="31" t="s">
        <v>144</v>
      </c>
      <c r="AA533" s="378">
        <v>16</v>
      </c>
      <c r="AB533" s="378">
        <v>15.5</v>
      </c>
      <c r="AC533" s="378">
        <v>0.3</v>
      </c>
      <c r="AD533" s="378">
        <v>0.2</v>
      </c>
      <c r="AE533" s="31">
        <v>1.3</v>
      </c>
      <c r="AF533" s="31">
        <v>28</v>
      </c>
      <c r="AG533" s="31" t="s">
        <v>191</v>
      </c>
      <c r="AH533" s="31" t="s">
        <v>144</v>
      </c>
      <c r="AI533" s="31" t="s">
        <v>144</v>
      </c>
      <c r="AJ533" s="31" t="s">
        <v>144</v>
      </c>
      <c r="AK533" s="31" t="s">
        <v>144</v>
      </c>
      <c r="AL533" s="31" t="s">
        <v>325</v>
      </c>
      <c r="AM533" s="31" t="s">
        <v>144</v>
      </c>
      <c r="AN533" s="31" t="s">
        <v>475</v>
      </c>
      <c r="AO533" s="31" t="s">
        <v>1324</v>
      </c>
      <c r="AP533" s="31" t="s">
        <v>144</v>
      </c>
      <c r="AQ533" s="31" t="s">
        <v>144</v>
      </c>
      <c r="AR533" s="31" t="s">
        <v>144</v>
      </c>
      <c r="AS533" s="31"/>
      <c r="AT533" s="31"/>
      <c r="AU533" s="31"/>
    </row>
    <row r="534" spans="5:47" ht="15" customHeight="1" x14ac:dyDescent="0.25">
      <c r="E534" s="31" t="s">
        <v>137</v>
      </c>
      <c r="F534" s="31" t="s">
        <v>140</v>
      </c>
      <c r="G534" s="31" t="s">
        <v>377</v>
      </c>
      <c r="H534" s="31" t="s">
        <v>324</v>
      </c>
      <c r="I534" s="31" t="s">
        <v>481</v>
      </c>
      <c r="J534" s="31" t="s">
        <v>699</v>
      </c>
      <c r="K534" s="31" t="s">
        <v>1048</v>
      </c>
      <c r="L534" s="31" t="s">
        <v>162</v>
      </c>
      <c r="M534" s="31" t="s">
        <v>144</v>
      </c>
      <c r="N534" s="31" t="s">
        <v>144</v>
      </c>
      <c r="O534" s="31" t="s">
        <v>144</v>
      </c>
      <c r="P534" s="31" t="s">
        <v>144</v>
      </c>
      <c r="Q534" s="31" t="s">
        <v>474</v>
      </c>
      <c r="R534" s="31" t="s">
        <v>443</v>
      </c>
      <c r="S534" s="31" t="s">
        <v>480</v>
      </c>
      <c r="T534" s="31" t="s">
        <v>478</v>
      </c>
      <c r="U534" s="31" t="s">
        <v>144</v>
      </c>
      <c r="V534" s="31" t="s">
        <v>144</v>
      </c>
      <c r="W534" s="31" t="s">
        <v>144</v>
      </c>
      <c r="X534" s="31" t="s">
        <v>144</v>
      </c>
      <c r="Y534" s="31"/>
      <c r="Z534" s="31" t="s">
        <v>144</v>
      </c>
      <c r="AA534" s="378">
        <v>16</v>
      </c>
      <c r="AB534" s="378">
        <v>15.5</v>
      </c>
      <c r="AC534" s="378">
        <v>0.3</v>
      </c>
      <c r="AD534" s="378">
        <v>0.2</v>
      </c>
      <c r="AE534" s="31">
        <v>1.3</v>
      </c>
      <c r="AF534" s="31">
        <v>28</v>
      </c>
      <c r="AG534" s="31" t="s">
        <v>191</v>
      </c>
      <c r="AH534" s="31" t="s">
        <v>144</v>
      </c>
      <c r="AI534" s="31" t="s">
        <v>144</v>
      </c>
      <c r="AJ534" s="31" t="s">
        <v>144</v>
      </c>
      <c r="AK534" s="31" t="s">
        <v>144</v>
      </c>
      <c r="AL534" s="31" t="s">
        <v>325</v>
      </c>
      <c r="AM534" s="31" t="s">
        <v>144</v>
      </c>
      <c r="AN534" s="31" t="s">
        <v>475</v>
      </c>
      <c r="AO534" s="31" t="s">
        <v>1324</v>
      </c>
      <c r="AP534" s="31" t="s">
        <v>144</v>
      </c>
      <c r="AQ534" s="31" t="s">
        <v>144</v>
      </c>
      <c r="AR534" s="31" t="s">
        <v>144</v>
      </c>
      <c r="AS534" s="31"/>
      <c r="AT534" s="31"/>
      <c r="AU534" s="31"/>
    </row>
    <row r="535" spans="5:47" ht="15" customHeight="1" x14ac:dyDescent="0.25">
      <c r="I535" s="31"/>
      <c r="J535" s="31"/>
      <c r="K535" s="31"/>
      <c r="L535" s="31"/>
      <c r="Q535" s="392"/>
      <c r="R535" s="390"/>
    </row>
    <row r="536" spans="5:47" ht="15" customHeight="1" x14ac:dyDescent="0.25">
      <c r="I536" s="31"/>
      <c r="J536" s="31"/>
      <c r="K536" s="31"/>
      <c r="L536" s="31"/>
      <c r="Q536" s="392"/>
      <c r="R536" s="390"/>
    </row>
    <row r="537" spans="5:47" ht="15" customHeight="1" x14ac:dyDescent="0.25">
      <c r="E537" s="31" t="s">
        <v>138</v>
      </c>
      <c r="F537" s="31" t="s">
        <v>140</v>
      </c>
      <c r="G537" s="31" t="s">
        <v>374</v>
      </c>
      <c r="H537" s="31" t="s">
        <v>376</v>
      </c>
      <c r="I537" s="31" t="s">
        <v>481</v>
      </c>
      <c r="J537" s="31" t="s">
        <v>522</v>
      </c>
      <c r="K537" s="31" t="s">
        <v>1049</v>
      </c>
      <c r="L537" s="31" t="s">
        <v>1050</v>
      </c>
      <c r="M537" s="31" t="s">
        <v>144</v>
      </c>
      <c r="N537" s="31" t="s">
        <v>144</v>
      </c>
      <c r="O537" s="31" t="s">
        <v>144</v>
      </c>
      <c r="P537" s="31" t="s">
        <v>144</v>
      </c>
      <c r="Q537" s="31" t="s">
        <v>256</v>
      </c>
      <c r="R537" s="31" t="s">
        <v>312</v>
      </c>
      <c r="S537" s="31" t="s">
        <v>144</v>
      </c>
      <c r="T537" s="31" t="s">
        <v>144</v>
      </c>
      <c r="U537" s="31" t="s">
        <v>144</v>
      </c>
      <c r="V537" s="31" t="s">
        <v>144</v>
      </c>
      <c r="W537" s="31" t="s">
        <v>144</v>
      </c>
      <c r="X537" s="31" t="s">
        <v>144</v>
      </c>
      <c r="Y537" s="31"/>
      <c r="Z537" s="33" t="s">
        <v>144</v>
      </c>
      <c r="AA537" s="31" t="s">
        <v>144</v>
      </c>
      <c r="AB537" s="31" t="s">
        <v>144</v>
      </c>
      <c r="AC537" s="31" t="s">
        <v>144</v>
      </c>
      <c r="AD537" s="31" t="s">
        <v>144</v>
      </c>
      <c r="AE537" s="31" t="s">
        <v>144</v>
      </c>
      <c r="AF537" s="31" t="s">
        <v>144</v>
      </c>
      <c r="AG537" s="31" t="s">
        <v>144</v>
      </c>
      <c r="AH537" s="31" t="s">
        <v>190</v>
      </c>
      <c r="AI537" s="31" t="s">
        <v>144</v>
      </c>
      <c r="AJ537" s="31" t="s">
        <v>144</v>
      </c>
      <c r="AK537" s="31" t="s">
        <v>144</v>
      </c>
      <c r="AL537" s="31" t="s">
        <v>322</v>
      </c>
      <c r="AM537" s="31" t="s">
        <v>144</v>
      </c>
      <c r="AN537" s="31" t="s">
        <v>163</v>
      </c>
      <c r="AO537" s="31" t="s">
        <v>1325</v>
      </c>
      <c r="AP537" s="31" t="s">
        <v>144</v>
      </c>
      <c r="AQ537" s="31" t="s">
        <v>144</v>
      </c>
      <c r="AR537" s="31" t="s">
        <v>144</v>
      </c>
      <c r="AS537" s="31"/>
      <c r="AT537" s="31"/>
      <c r="AU537" s="31"/>
    </row>
    <row r="538" spans="5:47" ht="15" customHeight="1" x14ac:dyDescent="0.25">
      <c r="E538" s="31" t="s">
        <v>138</v>
      </c>
      <c r="F538" s="31" t="s">
        <v>140</v>
      </c>
      <c r="G538" s="31" t="s">
        <v>374</v>
      </c>
      <c r="H538" s="31" t="s">
        <v>376</v>
      </c>
      <c r="I538" s="31" t="s">
        <v>481</v>
      </c>
      <c r="J538" s="31" t="s">
        <v>522</v>
      </c>
      <c r="K538" s="31" t="s">
        <v>1051</v>
      </c>
      <c r="L538" s="31" t="s">
        <v>1050</v>
      </c>
      <c r="M538" s="31" t="s">
        <v>144</v>
      </c>
      <c r="N538" s="31" t="s">
        <v>144</v>
      </c>
      <c r="O538" s="31" t="s">
        <v>144</v>
      </c>
      <c r="P538" s="31" t="s">
        <v>144</v>
      </c>
      <c r="Q538" s="31" t="s">
        <v>256</v>
      </c>
      <c r="R538" s="31" t="s">
        <v>312</v>
      </c>
      <c r="S538" s="31" t="s">
        <v>144</v>
      </c>
      <c r="T538" s="31" t="s">
        <v>144</v>
      </c>
      <c r="U538" s="31" t="s">
        <v>144</v>
      </c>
      <c r="V538" s="31" t="s">
        <v>144</v>
      </c>
      <c r="W538" s="31" t="s">
        <v>144</v>
      </c>
      <c r="X538" s="31" t="s">
        <v>144</v>
      </c>
      <c r="Y538" s="31"/>
      <c r="Z538" s="33" t="s">
        <v>144</v>
      </c>
      <c r="AA538" s="31" t="s">
        <v>144</v>
      </c>
      <c r="AB538" s="31" t="s">
        <v>144</v>
      </c>
      <c r="AC538" s="31" t="s">
        <v>144</v>
      </c>
      <c r="AD538" s="31" t="s">
        <v>144</v>
      </c>
      <c r="AE538" s="31" t="s">
        <v>144</v>
      </c>
      <c r="AF538" s="31" t="s">
        <v>144</v>
      </c>
      <c r="AG538" s="31" t="s">
        <v>144</v>
      </c>
      <c r="AH538" s="31" t="s">
        <v>190</v>
      </c>
      <c r="AI538" s="31" t="s">
        <v>144</v>
      </c>
      <c r="AJ538" s="31" t="s">
        <v>144</v>
      </c>
      <c r="AK538" s="31" t="s">
        <v>144</v>
      </c>
      <c r="AL538" s="31" t="s">
        <v>322</v>
      </c>
      <c r="AM538" s="31" t="s">
        <v>144</v>
      </c>
      <c r="AN538" s="31" t="s">
        <v>163</v>
      </c>
      <c r="AO538" s="31" t="s">
        <v>1325</v>
      </c>
      <c r="AP538" s="31" t="s">
        <v>144</v>
      </c>
      <c r="AQ538" s="31" t="s">
        <v>144</v>
      </c>
      <c r="AR538" s="31" t="s">
        <v>144</v>
      </c>
      <c r="AS538" s="31"/>
      <c r="AT538" s="31"/>
      <c r="AU538" s="31"/>
    </row>
    <row r="539" spans="5:47" ht="15" customHeight="1" x14ac:dyDescent="0.25">
      <c r="E539" s="31" t="s">
        <v>138</v>
      </c>
      <c r="F539" s="31" t="s">
        <v>140</v>
      </c>
      <c r="G539" s="31" t="s">
        <v>374</v>
      </c>
      <c r="H539" s="31" t="s">
        <v>376</v>
      </c>
      <c r="I539" s="31" t="s">
        <v>481</v>
      </c>
      <c r="J539" s="31" t="s">
        <v>522</v>
      </c>
      <c r="K539" s="31" t="s">
        <v>1052</v>
      </c>
      <c r="L539" s="31" t="s">
        <v>1050</v>
      </c>
      <c r="M539" s="31" t="s">
        <v>144</v>
      </c>
      <c r="N539" s="31" t="s">
        <v>144</v>
      </c>
      <c r="O539" s="31" t="s">
        <v>144</v>
      </c>
      <c r="P539" s="31" t="s">
        <v>144</v>
      </c>
      <c r="Q539" s="31" t="s">
        <v>256</v>
      </c>
      <c r="R539" s="31" t="s">
        <v>312</v>
      </c>
      <c r="S539" s="31" t="s">
        <v>144</v>
      </c>
      <c r="T539" s="31" t="s">
        <v>144</v>
      </c>
      <c r="U539" s="31" t="s">
        <v>144</v>
      </c>
      <c r="V539" s="31" t="s">
        <v>144</v>
      </c>
      <c r="W539" s="31" t="s">
        <v>144</v>
      </c>
      <c r="X539" s="31" t="s">
        <v>144</v>
      </c>
      <c r="Y539" s="31"/>
      <c r="Z539" s="33" t="s">
        <v>144</v>
      </c>
      <c r="AA539" s="31" t="s">
        <v>144</v>
      </c>
      <c r="AB539" s="31" t="s">
        <v>144</v>
      </c>
      <c r="AC539" s="31" t="s">
        <v>144</v>
      </c>
      <c r="AD539" s="31" t="s">
        <v>144</v>
      </c>
      <c r="AE539" s="31" t="s">
        <v>144</v>
      </c>
      <c r="AF539" s="31" t="s">
        <v>144</v>
      </c>
      <c r="AG539" s="31" t="s">
        <v>144</v>
      </c>
      <c r="AH539" s="31" t="s">
        <v>190</v>
      </c>
      <c r="AI539" s="31" t="s">
        <v>144</v>
      </c>
      <c r="AJ539" s="31" t="s">
        <v>144</v>
      </c>
      <c r="AK539" s="31" t="s">
        <v>144</v>
      </c>
      <c r="AL539" s="31" t="s">
        <v>322</v>
      </c>
      <c r="AM539" s="31" t="s">
        <v>144</v>
      </c>
      <c r="AN539" s="31" t="s">
        <v>163</v>
      </c>
      <c r="AO539" s="31" t="s">
        <v>1325</v>
      </c>
      <c r="AP539" s="31" t="s">
        <v>144</v>
      </c>
      <c r="AQ539" s="31" t="s">
        <v>144</v>
      </c>
      <c r="AR539" s="31" t="s">
        <v>144</v>
      </c>
      <c r="AS539" s="31"/>
      <c r="AT539" s="31"/>
      <c r="AU539" s="31"/>
    </row>
    <row r="540" spans="5:47" ht="15" customHeight="1" x14ac:dyDescent="0.25">
      <c r="E540" s="31" t="s">
        <v>138</v>
      </c>
      <c r="F540" s="31" t="s">
        <v>140</v>
      </c>
      <c r="G540" s="31" t="s">
        <v>374</v>
      </c>
      <c r="H540" s="31" t="s">
        <v>376</v>
      </c>
      <c r="I540" s="31" t="s">
        <v>481</v>
      </c>
      <c r="J540" s="31" t="s">
        <v>522</v>
      </c>
      <c r="K540" s="31" t="s">
        <v>1053</v>
      </c>
      <c r="L540" s="31" t="s">
        <v>1050</v>
      </c>
      <c r="M540" s="31" t="s">
        <v>144</v>
      </c>
      <c r="N540" s="31" t="s">
        <v>144</v>
      </c>
      <c r="O540" s="31" t="s">
        <v>144</v>
      </c>
      <c r="P540" s="31" t="s">
        <v>144</v>
      </c>
      <c r="Q540" s="31" t="s">
        <v>256</v>
      </c>
      <c r="R540" s="31" t="s">
        <v>312</v>
      </c>
      <c r="S540" s="31" t="s">
        <v>144</v>
      </c>
      <c r="T540" s="31" t="s">
        <v>144</v>
      </c>
      <c r="U540" s="31" t="s">
        <v>144</v>
      </c>
      <c r="V540" s="31" t="s">
        <v>144</v>
      </c>
      <c r="W540" s="31" t="s">
        <v>144</v>
      </c>
      <c r="X540" s="31" t="s">
        <v>144</v>
      </c>
      <c r="Y540" s="31"/>
      <c r="Z540" s="33" t="s">
        <v>144</v>
      </c>
      <c r="AA540" s="31" t="s">
        <v>144</v>
      </c>
      <c r="AB540" s="31" t="s">
        <v>144</v>
      </c>
      <c r="AC540" s="31" t="s">
        <v>144</v>
      </c>
      <c r="AD540" s="31" t="s">
        <v>144</v>
      </c>
      <c r="AE540" s="31" t="s">
        <v>144</v>
      </c>
      <c r="AF540" s="31" t="s">
        <v>144</v>
      </c>
      <c r="AG540" s="31" t="s">
        <v>144</v>
      </c>
      <c r="AH540" s="31" t="s">
        <v>190</v>
      </c>
      <c r="AI540" s="31" t="s">
        <v>144</v>
      </c>
      <c r="AJ540" s="31" t="s">
        <v>144</v>
      </c>
      <c r="AK540" s="31" t="s">
        <v>144</v>
      </c>
      <c r="AL540" s="31" t="s">
        <v>322</v>
      </c>
      <c r="AM540" s="31" t="s">
        <v>144</v>
      </c>
      <c r="AN540" s="31" t="s">
        <v>163</v>
      </c>
      <c r="AO540" s="31" t="s">
        <v>1325</v>
      </c>
      <c r="AP540" s="31" t="s">
        <v>144</v>
      </c>
      <c r="AQ540" s="31" t="s">
        <v>144</v>
      </c>
      <c r="AR540" s="31" t="s">
        <v>144</v>
      </c>
      <c r="AS540" s="31"/>
      <c r="AT540" s="31"/>
      <c r="AU540" s="31"/>
    </row>
    <row r="541" spans="5:47" ht="15" customHeight="1" x14ac:dyDescent="0.25">
      <c r="E541" s="31" t="s">
        <v>138</v>
      </c>
      <c r="F541" s="31" t="s">
        <v>140</v>
      </c>
      <c r="G541" s="31" t="s">
        <v>374</v>
      </c>
      <c r="H541" s="31" t="s">
        <v>376</v>
      </c>
      <c r="I541" s="31" t="s">
        <v>481</v>
      </c>
      <c r="J541" s="31" t="s">
        <v>522</v>
      </c>
      <c r="K541" s="31" t="s">
        <v>1054</v>
      </c>
      <c r="L541" s="31" t="s">
        <v>1050</v>
      </c>
      <c r="M541" s="31" t="s">
        <v>144</v>
      </c>
      <c r="N541" s="31" t="s">
        <v>144</v>
      </c>
      <c r="O541" s="31" t="s">
        <v>144</v>
      </c>
      <c r="P541" s="31" t="s">
        <v>144</v>
      </c>
      <c r="Q541" s="31" t="s">
        <v>256</v>
      </c>
      <c r="R541" s="31" t="s">
        <v>312</v>
      </c>
      <c r="S541" s="31" t="s">
        <v>144</v>
      </c>
      <c r="T541" s="31" t="s">
        <v>144</v>
      </c>
      <c r="U541" s="31" t="s">
        <v>144</v>
      </c>
      <c r="V541" s="31" t="s">
        <v>144</v>
      </c>
      <c r="W541" s="31" t="s">
        <v>144</v>
      </c>
      <c r="X541" s="31" t="s">
        <v>144</v>
      </c>
      <c r="Y541" s="31"/>
      <c r="Z541" s="33" t="s">
        <v>144</v>
      </c>
      <c r="AA541" s="31" t="s">
        <v>144</v>
      </c>
      <c r="AB541" s="31" t="s">
        <v>144</v>
      </c>
      <c r="AC541" s="31" t="s">
        <v>144</v>
      </c>
      <c r="AD541" s="31" t="s">
        <v>144</v>
      </c>
      <c r="AE541" s="31" t="s">
        <v>144</v>
      </c>
      <c r="AF541" s="31" t="s">
        <v>144</v>
      </c>
      <c r="AG541" s="31" t="s">
        <v>144</v>
      </c>
      <c r="AH541" s="31" t="s">
        <v>190</v>
      </c>
      <c r="AI541" s="31" t="s">
        <v>144</v>
      </c>
      <c r="AJ541" s="31" t="s">
        <v>144</v>
      </c>
      <c r="AK541" s="31" t="s">
        <v>144</v>
      </c>
      <c r="AL541" s="31" t="s">
        <v>322</v>
      </c>
      <c r="AM541" s="31" t="s">
        <v>144</v>
      </c>
      <c r="AN541" s="31" t="s">
        <v>163</v>
      </c>
      <c r="AO541" s="31" t="s">
        <v>1325</v>
      </c>
      <c r="AP541" s="31" t="s">
        <v>144</v>
      </c>
      <c r="AQ541" s="31" t="s">
        <v>144</v>
      </c>
      <c r="AR541" s="31" t="s">
        <v>144</v>
      </c>
      <c r="AS541" s="31"/>
      <c r="AT541" s="31"/>
      <c r="AU541" s="31"/>
    </row>
    <row r="542" spans="5:47" ht="15" customHeight="1" x14ac:dyDescent="0.25">
      <c r="E542" s="31" t="s">
        <v>138</v>
      </c>
      <c r="F542" s="31" t="s">
        <v>140</v>
      </c>
      <c r="G542" s="31" t="s">
        <v>374</v>
      </c>
      <c r="H542" s="31" t="s">
        <v>376</v>
      </c>
      <c r="I542" s="31" t="s">
        <v>481</v>
      </c>
      <c r="J542" s="31" t="s">
        <v>522</v>
      </c>
      <c r="K542" s="31" t="s">
        <v>1055</v>
      </c>
      <c r="L542" s="31" t="s">
        <v>1050</v>
      </c>
      <c r="M542" s="31" t="s">
        <v>144</v>
      </c>
      <c r="N542" s="31" t="s">
        <v>144</v>
      </c>
      <c r="O542" s="31" t="s">
        <v>144</v>
      </c>
      <c r="P542" s="31" t="s">
        <v>144</v>
      </c>
      <c r="Q542" s="31" t="s">
        <v>256</v>
      </c>
      <c r="R542" s="31" t="s">
        <v>312</v>
      </c>
      <c r="S542" s="31" t="s">
        <v>144</v>
      </c>
      <c r="T542" s="31" t="s">
        <v>144</v>
      </c>
      <c r="U542" s="31" t="s">
        <v>144</v>
      </c>
      <c r="V542" s="31" t="s">
        <v>144</v>
      </c>
      <c r="W542" s="31" t="s">
        <v>144</v>
      </c>
      <c r="X542" s="31" t="s">
        <v>144</v>
      </c>
      <c r="Y542" s="31"/>
      <c r="Z542" s="33" t="s">
        <v>144</v>
      </c>
      <c r="AA542" s="31" t="s">
        <v>144</v>
      </c>
      <c r="AB542" s="31" t="s">
        <v>144</v>
      </c>
      <c r="AC542" s="31" t="s">
        <v>144</v>
      </c>
      <c r="AD542" s="31" t="s">
        <v>144</v>
      </c>
      <c r="AE542" s="31" t="s">
        <v>144</v>
      </c>
      <c r="AF542" s="31" t="s">
        <v>144</v>
      </c>
      <c r="AG542" s="31" t="s">
        <v>144</v>
      </c>
      <c r="AH542" s="31" t="s">
        <v>190</v>
      </c>
      <c r="AI542" s="31" t="s">
        <v>144</v>
      </c>
      <c r="AJ542" s="31" t="s">
        <v>144</v>
      </c>
      <c r="AK542" s="31" t="s">
        <v>144</v>
      </c>
      <c r="AL542" s="31" t="s">
        <v>322</v>
      </c>
      <c r="AM542" s="31" t="s">
        <v>144</v>
      </c>
      <c r="AN542" s="31" t="s">
        <v>163</v>
      </c>
      <c r="AO542" s="31" t="s">
        <v>1325</v>
      </c>
      <c r="AP542" s="31" t="s">
        <v>144</v>
      </c>
      <c r="AQ542" s="31" t="s">
        <v>144</v>
      </c>
      <c r="AR542" s="31" t="s">
        <v>144</v>
      </c>
      <c r="AS542" s="31"/>
      <c r="AT542" s="31"/>
      <c r="AU542" s="31"/>
    </row>
    <row r="543" spans="5:47" ht="15" customHeight="1" x14ac:dyDescent="0.25">
      <c r="E543" s="31" t="s">
        <v>138</v>
      </c>
      <c r="F543" s="31" t="s">
        <v>140</v>
      </c>
      <c r="G543" s="31" t="s">
        <v>374</v>
      </c>
      <c r="H543" s="31" t="s">
        <v>376</v>
      </c>
      <c r="I543" s="31" t="s">
        <v>481</v>
      </c>
      <c r="J543" s="31" t="s">
        <v>522</v>
      </c>
      <c r="K543" s="31" t="s">
        <v>1056</v>
      </c>
      <c r="L543" s="31" t="s">
        <v>1050</v>
      </c>
      <c r="M543" s="31" t="s">
        <v>144</v>
      </c>
      <c r="N543" s="31" t="s">
        <v>144</v>
      </c>
      <c r="O543" s="31" t="s">
        <v>144</v>
      </c>
      <c r="P543" s="31" t="s">
        <v>144</v>
      </c>
      <c r="Q543" s="31" t="s">
        <v>256</v>
      </c>
      <c r="R543" s="31" t="s">
        <v>312</v>
      </c>
      <c r="S543" s="31" t="s">
        <v>144</v>
      </c>
      <c r="T543" s="31" t="s">
        <v>144</v>
      </c>
      <c r="U543" s="31" t="s">
        <v>144</v>
      </c>
      <c r="V543" s="31" t="s">
        <v>144</v>
      </c>
      <c r="W543" s="31" t="s">
        <v>144</v>
      </c>
      <c r="X543" s="31" t="s">
        <v>144</v>
      </c>
      <c r="Y543" s="31"/>
      <c r="Z543" s="33" t="s">
        <v>144</v>
      </c>
      <c r="AA543" s="31" t="s">
        <v>144</v>
      </c>
      <c r="AB543" s="31" t="s">
        <v>144</v>
      </c>
      <c r="AC543" s="31" t="s">
        <v>144</v>
      </c>
      <c r="AD543" s="31" t="s">
        <v>144</v>
      </c>
      <c r="AE543" s="31" t="s">
        <v>144</v>
      </c>
      <c r="AF543" s="31" t="s">
        <v>144</v>
      </c>
      <c r="AG543" s="31" t="s">
        <v>144</v>
      </c>
      <c r="AH543" s="31" t="s">
        <v>190</v>
      </c>
      <c r="AI543" s="31" t="s">
        <v>144</v>
      </c>
      <c r="AJ543" s="31" t="s">
        <v>144</v>
      </c>
      <c r="AK543" s="31" t="s">
        <v>144</v>
      </c>
      <c r="AL543" s="31" t="s">
        <v>322</v>
      </c>
      <c r="AM543" s="31" t="s">
        <v>144</v>
      </c>
      <c r="AN543" s="31" t="s">
        <v>163</v>
      </c>
      <c r="AO543" s="31" t="s">
        <v>1325</v>
      </c>
      <c r="AP543" s="31" t="s">
        <v>144</v>
      </c>
      <c r="AQ543" s="31" t="s">
        <v>144</v>
      </c>
      <c r="AR543" s="31" t="s">
        <v>144</v>
      </c>
      <c r="AS543" s="31"/>
      <c r="AT543" s="31"/>
      <c r="AU543" s="31"/>
    </row>
    <row r="544" spans="5:47" ht="15" customHeight="1" x14ac:dyDescent="0.25">
      <c r="E544" s="31" t="s">
        <v>138</v>
      </c>
      <c r="F544" s="31" t="s">
        <v>140</v>
      </c>
      <c r="G544" s="31" t="s">
        <v>374</v>
      </c>
      <c r="H544" s="31" t="s">
        <v>376</v>
      </c>
      <c r="I544" s="31" t="s">
        <v>481</v>
      </c>
      <c r="J544" s="31" t="s">
        <v>522</v>
      </c>
      <c r="K544" s="31" t="s">
        <v>1057</v>
      </c>
      <c r="L544" s="31" t="s">
        <v>1050</v>
      </c>
      <c r="M544" s="31" t="s">
        <v>144</v>
      </c>
      <c r="N544" s="31" t="s">
        <v>144</v>
      </c>
      <c r="O544" s="31" t="s">
        <v>144</v>
      </c>
      <c r="P544" s="31" t="s">
        <v>144</v>
      </c>
      <c r="Q544" s="31" t="s">
        <v>256</v>
      </c>
      <c r="R544" s="31" t="s">
        <v>312</v>
      </c>
      <c r="S544" s="31" t="s">
        <v>144</v>
      </c>
      <c r="T544" s="31" t="s">
        <v>144</v>
      </c>
      <c r="U544" s="31" t="s">
        <v>144</v>
      </c>
      <c r="V544" s="31" t="s">
        <v>144</v>
      </c>
      <c r="W544" s="31" t="s">
        <v>144</v>
      </c>
      <c r="X544" s="31" t="s">
        <v>144</v>
      </c>
      <c r="Y544" s="31"/>
      <c r="Z544" s="33" t="s">
        <v>144</v>
      </c>
      <c r="AA544" s="31" t="s">
        <v>144</v>
      </c>
      <c r="AB544" s="31" t="s">
        <v>144</v>
      </c>
      <c r="AC544" s="31" t="s">
        <v>144</v>
      </c>
      <c r="AD544" s="31" t="s">
        <v>144</v>
      </c>
      <c r="AE544" s="31" t="s">
        <v>144</v>
      </c>
      <c r="AF544" s="31" t="s">
        <v>144</v>
      </c>
      <c r="AG544" s="31" t="s">
        <v>144</v>
      </c>
      <c r="AH544" s="31" t="s">
        <v>190</v>
      </c>
      <c r="AI544" s="31" t="s">
        <v>144</v>
      </c>
      <c r="AJ544" s="31" t="s">
        <v>144</v>
      </c>
      <c r="AK544" s="31" t="s">
        <v>144</v>
      </c>
      <c r="AL544" s="31" t="s">
        <v>322</v>
      </c>
      <c r="AM544" s="31" t="s">
        <v>144</v>
      </c>
      <c r="AN544" s="31" t="s">
        <v>163</v>
      </c>
      <c r="AO544" s="31" t="s">
        <v>1325</v>
      </c>
      <c r="AP544" s="31" t="s">
        <v>144</v>
      </c>
      <c r="AQ544" s="31" t="s">
        <v>144</v>
      </c>
      <c r="AR544" s="31" t="s">
        <v>144</v>
      </c>
      <c r="AS544" s="31"/>
      <c r="AT544" s="31"/>
      <c r="AU544" s="31"/>
    </row>
    <row r="545" spans="5:47" ht="15" customHeight="1" x14ac:dyDescent="0.25">
      <c r="E545" s="31" t="s">
        <v>138</v>
      </c>
      <c r="F545" s="31" t="s">
        <v>140</v>
      </c>
      <c r="G545" s="31" t="s">
        <v>374</v>
      </c>
      <c r="H545" s="31" t="s">
        <v>376</v>
      </c>
      <c r="I545" s="31" t="s">
        <v>481</v>
      </c>
      <c r="J545" s="31" t="s">
        <v>522</v>
      </c>
      <c r="K545" s="31" t="s">
        <v>1058</v>
      </c>
      <c r="L545" s="31" t="s">
        <v>1050</v>
      </c>
      <c r="M545" s="31" t="s">
        <v>144</v>
      </c>
      <c r="N545" s="31" t="s">
        <v>144</v>
      </c>
      <c r="O545" s="31" t="s">
        <v>144</v>
      </c>
      <c r="P545" s="31" t="s">
        <v>144</v>
      </c>
      <c r="Q545" s="31" t="s">
        <v>256</v>
      </c>
      <c r="R545" s="31" t="s">
        <v>312</v>
      </c>
      <c r="S545" s="31" t="s">
        <v>144</v>
      </c>
      <c r="T545" s="31" t="s">
        <v>144</v>
      </c>
      <c r="U545" s="31" t="s">
        <v>144</v>
      </c>
      <c r="V545" s="31" t="s">
        <v>144</v>
      </c>
      <c r="W545" s="31" t="s">
        <v>144</v>
      </c>
      <c r="X545" s="31" t="s">
        <v>144</v>
      </c>
      <c r="Y545" s="31"/>
      <c r="Z545" s="33" t="s">
        <v>144</v>
      </c>
      <c r="AA545" s="31" t="s">
        <v>144</v>
      </c>
      <c r="AB545" s="31" t="s">
        <v>144</v>
      </c>
      <c r="AC545" s="31" t="s">
        <v>144</v>
      </c>
      <c r="AD545" s="31" t="s">
        <v>144</v>
      </c>
      <c r="AE545" s="31" t="s">
        <v>144</v>
      </c>
      <c r="AF545" s="31" t="s">
        <v>144</v>
      </c>
      <c r="AG545" s="31" t="s">
        <v>144</v>
      </c>
      <c r="AH545" s="31" t="s">
        <v>190</v>
      </c>
      <c r="AI545" s="31" t="s">
        <v>144</v>
      </c>
      <c r="AJ545" s="31" t="s">
        <v>144</v>
      </c>
      <c r="AK545" s="31" t="s">
        <v>144</v>
      </c>
      <c r="AL545" s="31" t="s">
        <v>322</v>
      </c>
      <c r="AM545" s="31" t="s">
        <v>144</v>
      </c>
      <c r="AN545" s="31" t="s">
        <v>163</v>
      </c>
      <c r="AO545" s="31" t="s">
        <v>1325</v>
      </c>
      <c r="AP545" s="31" t="s">
        <v>144</v>
      </c>
      <c r="AQ545" s="31" t="s">
        <v>144</v>
      </c>
      <c r="AR545" s="31" t="s">
        <v>144</v>
      </c>
      <c r="AS545" s="31"/>
      <c r="AT545" s="31"/>
      <c r="AU545" s="31"/>
    </row>
    <row r="546" spans="5:47" ht="15" customHeight="1" x14ac:dyDescent="0.25">
      <c r="E546" s="31" t="s">
        <v>138</v>
      </c>
      <c r="F546" s="31" t="s">
        <v>140</v>
      </c>
      <c r="G546" s="31" t="s">
        <v>374</v>
      </c>
      <c r="H546" s="31" t="s">
        <v>376</v>
      </c>
      <c r="I546" s="31" t="s">
        <v>481</v>
      </c>
      <c r="J546" s="31" t="s">
        <v>522</v>
      </c>
      <c r="K546" s="31" t="s">
        <v>1059</v>
      </c>
      <c r="L546" s="31" t="s">
        <v>1050</v>
      </c>
      <c r="M546" s="31" t="s">
        <v>144</v>
      </c>
      <c r="N546" s="31" t="s">
        <v>144</v>
      </c>
      <c r="O546" s="31" t="s">
        <v>144</v>
      </c>
      <c r="P546" s="31" t="s">
        <v>144</v>
      </c>
      <c r="Q546" s="31" t="s">
        <v>256</v>
      </c>
      <c r="R546" s="31" t="s">
        <v>312</v>
      </c>
      <c r="S546" s="31" t="s">
        <v>144</v>
      </c>
      <c r="T546" s="31" t="s">
        <v>144</v>
      </c>
      <c r="U546" s="31" t="s">
        <v>144</v>
      </c>
      <c r="V546" s="31" t="s">
        <v>144</v>
      </c>
      <c r="W546" s="31" t="s">
        <v>144</v>
      </c>
      <c r="X546" s="31" t="s">
        <v>144</v>
      </c>
      <c r="Y546" s="31"/>
      <c r="Z546" s="33" t="s">
        <v>144</v>
      </c>
      <c r="AA546" s="31" t="s">
        <v>144</v>
      </c>
      <c r="AB546" s="31" t="s">
        <v>144</v>
      </c>
      <c r="AC546" s="31" t="s">
        <v>144</v>
      </c>
      <c r="AD546" s="31" t="s">
        <v>144</v>
      </c>
      <c r="AE546" s="31" t="s">
        <v>144</v>
      </c>
      <c r="AF546" s="31" t="s">
        <v>144</v>
      </c>
      <c r="AG546" s="31" t="s">
        <v>144</v>
      </c>
      <c r="AH546" s="31" t="s">
        <v>190</v>
      </c>
      <c r="AI546" s="31" t="s">
        <v>144</v>
      </c>
      <c r="AJ546" s="31" t="s">
        <v>144</v>
      </c>
      <c r="AK546" s="31" t="s">
        <v>144</v>
      </c>
      <c r="AL546" s="31" t="s">
        <v>322</v>
      </c>
      <c r="AM546" s="31" t="s">
        <v>144</v>
      </c>
      <c r="AN546" s="31" t="s">
        <v>163</v>
      </c>
      <c r="AO546" s="31" t="s">
        <v>1325</v>
      </c>
      <c r="AP546" s="31" t="s">
        <v>144</v>
      </c>
      <c r="AQ546" s="31" t="s">
        <v>144</v>
      </c>
      <c r="AR546" s="31" t="s">
        <v>144</v>
      </c>
      <c r="AS546" s="31"/>
      <c r="AT546" s="31"/>
      <c r="AU546" s="31"/>
    </row>
    <row r="547" spans="5:47" ht="15" customHeight="1" x14ac:dyDescent="0.25">
      <c r="E547" s="31" t="s">
        <v>138</v>
      </c>
      <c r="F547" s="31" t="s">
        <v>140</v>
      </c>
      <c r="G547" s="31" t="s">
        <v>374</v>
      </c>
      <c r="H547" s="31" t="s">
        <v>376</v>
      </c>
      <c r="I547" s="31" t="s">
        <v>481</v>
      </c>
      <c r="J547" s="31" t="s">
        <v>522</v>
      </c>
      <c r="K547" s="31" t="s">
        <v>1060</v>
      </c>
      <c r="L547" s="31" t="s">
        <v>1050</v>
      </c>
      <c r="M547" s="31" t="s">
        <v>144</v>
      </c>
      <c r="N547" s="31" t="s">
        <v>144</v>
      </c>
      <c r="O547" s="31" t="s">
        <v>144</v>
      </c>
      <c r="P547" s="31" t="s">
        <v>144</v>
      </c>
      <c r="Q547" s="31" t="s">
        <v>256</v>
      </c>
      <c r="R547" s="31" t="s">
        <v>312</v>
      </c>
      <c r="S547" s="31" t="s">
        <v>144</v>
      </c>
      <c r="T547" s="31" t="s">
        <v>144</v>
      </c>
      <c r="U547" s="31" t="s">
        <v>144</v>
      </c>
      <c r="V547" s="31" t="s">
        <v>144</v>
      </c>
      <c r="W547" s="31" t="s">
        <v>144</v>
      </c>
      <c r="X547" s="31" t="s">
        <v>144</v>
      </c>
      <c r="Y547" s="31"/>
      <c r="Z547" s="33" t="s">
        <v>144</v>
      </c>
      <c r="AA547" s="31" t="s">
        <v>144</v>
      </c>
      <c r="AB547" s="31" t="s">
        <v>144</v>
      </c>
      <c r="AC547" s="31" t="s">
        <v>144</v>
      </c>
      <c r="AD547" s="31" t="s">
        <v>144</v>
      </c>
      <c r="AE547" s="31" t="s">
        <v>144</v>
      </c>
      <c r="AF547" s="31" t="s">
        <v>144</v>
      </c>
      <c r="AG547" s="31" t="s">
        <v>144</v>
      </c>
      <c r="AH547" s="31" t="s">
        <v>190</v>
      </c>
      <c r="AI547" s="31" t="s">
        <v>144</v>
      </c>
      <c r="AJ547" s="31" t="s">
        <v>144</v>
      </c>
      <c r="AK547" s="31" t="s">
        <v>144</v>
      </c>
      <c r="AL547" s="31" t="s">
        <v>322</v>
      </c>
      <c r="AM547" s="31" t="s">
        <v>144</v>
      </c>
      <c r="AN547" s="31" t="s">
        <v>163</v>
      </c>
      <c r="AO547" s="31" t="s">
        <v>1325</v>
      </c>
      <c r="AP547" s="31" t="s">
        <v>144</v>
      </c>
      <c r="AQ547" s="31" t="s">
        <v>144</v>
      </c>
      <c r="AR547" s="31" t="s">
        <v>144</v>
      </c>
      <c r="AS547" s="31"/>
      <c r="AT547" s="31"/>
      <c r="AU547" s="31"/>
    </row>
    <row r="548" spans="5:47" ht="15" customHeight="1" x14ac:dyDescent="0.25">
      <c r="E548" s="31" t="s">
        <v>138</v>
      </c>
      <c r="F548" s="31" t="s">
        <v>140</v>
      </c>
      <c r="G548" s="31" t="s">
        <v>374</v>
      </c>
      <c r="H548" s="31" t="s">
        <v>376</v>
      </c>
      <c r="I548" s="31" t="s">
        <v>481</v>
      </c>
      <c r="J548" s="31" t="s">
        <v>522</v>
      </c>
      <c r="K548" s="31" t="s">
        <v>1061</v>
      </c>
      <c r="L548" s="31" t="s">
        <v>1050</v>
      </c>
      <c r="M548" s="31" t="s">
        <v>144</v>
      </c>
      <c r="N548" s="31" t="s">
        <v>144</v>
      </c>
      <c r="O548" s="31" t="s">
        <v>144</v>
      </c>
      <c r="P548" s="31" t="s">
        <v>144</v>
      </c>
      <c r="Q548" s="31" t="s">
        <v>256</v>
      </c>
      <c r="R548" s="31" t="s">
        <v>312</v>
      </c>
      <c r="S548" s="31" t="s">
        <v>144</v>
      </c>
      <c r="T548" s="31" t="s">
        <v>144</v>
      </c>
      <c r="U548" s="31" t="s">
        <v>144</v>
      </c>
      <c r="V548" s="31" t="s">
        <v>144</v>
      </c>
      <c r="W548" s="31" t="s">
        <v>144</v>
      </c>
      <c r="X548" s="31" t="s">
        <v>144</v>
      </c>
      <c r="Y548" s="31"/>
      <c r="Z548" s="33" t="s">
        <v>144</v>
      </c>
      <c r="AA548" s="31" t="s">
        <v>144</v>
      </c>
      <c r="AB548" s="31" t="s">
        <v>144</v>
      </c>
      <c r="AC548" s="31" t="s">
        <v>144</v>
      </c>
      <c r="AD548" s="31" t="s">
        <v>144</v>
      </c>
      <c r="AE548" s="31" t="s">
        <v>144</v>
      </c>
      <c r="AF548" s="31" t="s">
        <v>144</v>
      </c>
      <c r="AG548" s="31" t="s">
        <v>144</v>
      </c>
      <c r="AH548" s="31" t="s">
        <v>190</v>
      </c>
      <c r="AI548" s="31" t="s">
        <v>144</v>
      </c>
      <c r="AJ548" s="31" t="s">
        <v>144</v>
      </c>
      <c r="AK548" s="31" t="s">
        <v>144</v>
      </c>
      <c r="AL548" s="31" t="s">
        <v>322</v>
      </c>
      <c r="AM548" s="31" t="s">
        <v>144</v>
      </c>
      <c r="AN548" s="31" t="s">
        <v>163</v>
      </c>
      <c r="AO548" s="31" t="s">
        <v>1325</v>
      </c>
      <c r="AP548" s="31" t="s">
        <v>144</v>
      </c>
      <c r="AQ548" s="31" t="s">
        <v>144</v>
      </c>
      <c r="AR548" s="31" t="s">
        <v>144</v>
      </c>
      <c r="AS548" s="31"/>
      <c r="AT548" s="31"/>
      <c r="AU548" s="31"/>
    </row>
    <row r="549" spans="5:47" ht="15" customHeight="1" x14ac:dyDescent="0.25">
      <c r="E549" s="31" t="s">
        <v>138</v>
      </c>
      <c r="F549" s="31" t="s">
        <v>140</v>
      </c>
      <c r="G549" s="31" t="s">
        <v>374</v>
      </c>
      <c r="H549" s="31" t="s">
        <v>376</v>
      </c>
      <c r="I549" s="31" t="s">
        <v>481</v>
      </c>
      <c r="J549" s="31" t="s">
        <v>522</v>
      </c>
      <c r="K549" s="31" t="s">
        <v>1062</v>
      </c>
      <c r="L549" s="31" t="s">
        <v>1050</v>
      </c>
      <c r="M549" s="31" t="s">
        <v>144</v>
      </c>
      <c r="N549" s="31" t="s">
        <v>144</v>
      </c>
      <c r="O549" s="31" t="s">
        <v>144</v>
      </c>
      <c r="P549" s="31" t="s">
        <v>144</v>
      </c>
      <c r="Q549" s="31" t="s">
        <v>256</v>
      </c>
      <c r="R549" s="31" t="s">
        <v>312</v>
      </c>
      <c r="S549" s="31" t="s">
        <v>144</v>
      </c>
      <c r="T549" s="31" t="s">
        <v>144</v>
      </c>
      <c r="U549" s="31" t="s">
        <v>144</v>
      </c>
      <c r="V549" s="31" t="s">
        <v>144</v>
      </c>
      <c r="W549" s="31" t="s">
        <v>144</v>
      </c>
      <c r="X549" s="31" t="s">
        <v>144</v>
      </c>
      <c r="Y549" s="31"/>
      <c r="Z549" s="33" t="s">
        <v>144</v>
      </c>
      <c r="AA549" s="31" t="s">
        <v>144</v>
      </c>
      <c r="AB549" s="31" t="s">
        <v>144</v>
      </c>
      <c r="AC549" s="31" t="s">
        <v>144</v>
      </c>
      <c r="AD549" s="31" t="s">
        <v>144</v>
      </c>
      <c r="AE549" s="31" t="s">
        <v>144</v>
      </c>
      <c r="AF549" s="31" t="s">
        <v>144</v>
      </c>
      <c r="AG549" s="31" t="s">
        <v>144</v>
      </c>
      <c r="AH549" s="31" t="s">
        <v>190</v>
      </c>
      <c r="AI549" s="31" t="s">
        <v>144</v>
      </c>
      <c r="AJ549" s="31" t="s">
        <v>144</v>
      </c>
      <c r="AK549" s="31" t="s">
        <v>144</v>
      </c>
      <c r="AL549" s="31" t="s">
        <v>322</v>
      </c>
      <c r="AM549" s="31" t="s">
        <v>144</v>
      </c>
      <c r="AN549" s="31" t="s">
        <v>163</v>
      </c>
      <c r="AO549" s="31" t="s">
        <v>1325</v>
      </c>
      <c r="AP549" s="31" t="s">
        <v>144</v>
      </c>
      <c r="AQ549" s="31" t="s">
        <v>144</v>
      </c>
      <c r="AR549" s="31" t="s">
        <v>144</v>
      </c>
      <c r="AS549" s="31"/>
      <c r="AT549" s="31"/>
      <c r="AU549" s="31"/>
    </row>
    <row r="550" spans="5:47" ht="15" customHeight="1" x14ac:dyDescent="0.25">
      <c r="E550" s="31" t="s">
        <v>138</v>
      </c>
      <c r="F550" s="31" t="s">
        <v>140</v>
      </c>
      <c r="G550" s="31" t="s">
        <v>374</v>
      </c>
      <c r="H550" s="31" t="s">
        <v>376</v>
      </c>
      <c r="I550" s="31" t="s">
        <v>481</v>
      </c>
      <c r="J550" s="31" t="s">
        <v>522</v>
      </c>
      <c r="K550" s="31" t="s">
        <v>1063</v>
      </c>
      <c r="L550" s="31" t="s">
        <v>1050</v>
      </c>
      <c r="M550" s="31" t="s">
        <v>144</v>
      </c>
      <c r="N550" s="31" t="s">
        <v>144</v>
      </c>
      <c r="O550" s="31" t="s">
        <v>144</v>
      </c>
      <c r="P550" s="31" t="s">
        <v>144</v>
      </c>
      <c r="Q550" s="31" t="s">
        <v>256</v>
      </c>
      <c r="R550" s="31" t="s">
        <v>312</v>
      </c>
      <c r="S550" s="31" t="s">
        <v>144</v>
      </c>
      <c r="T550" s="31" t="s">
        <v>144</v>
      </c>
      <c r="U550" s="31" t="s">
        <v>144</v>
      </c>
      <c r="V550" s="31" t="s">
        <v>144</v>
      </c>
      <c r="W550" s="31" t="s">
        <v>144</v>
      </c>
      <c r="X550" s="31" t="s">
        <v>144</v>
      </c>
      <c r="Y550" s="31"/>
      <c r="Z550" s="33" t="s">
        <v>144</v>
      </c>
      <c r="AA550" s="31" t="s">
        <v>144</v>
      </c>
      <c r="AB550" s="31" t="s">
        <v>144</v>
      </c>
      <c r="AC550" s="31" t="s">
        <v>144</v>
      </c>
      <c r="AD550" s="31" t="s">
        <v>144</v>
      </c>
      <c r="AE550" s="31" t="s">
        <v>144</v>
      </c>
      <c r="AF550" s="31" t="s">
        <v>144</v>
      </c>
      <c r="AG550" s="31" t="s">
        <v>144</v>
      </c>
      <c r="AH550" s="31" t="s">
        <v>190</v>
      </c>
      <c r="AI550" s="31" t="s">
        <v>144</v>
      </c>
      <c r="AJ550" s="31" t="s">
        <v>144</v>
      </c>
      <c r="AK550" s="31" t="s">
        <v>144</v>
      </c>
      <c r="AL550" s="31" t="s">
        <v>322</v>
      </c>
      <c r="AM550" s="31" t="s">
        <v>144</v>
      </c>
      <c r="AN550" s="31" t="s">
        <v>163</v>
      </c>
      <c r="AO550" s="31" t="s">
        <v>1325</v>
      </c>
      <c r="AP550" s="31" t="s">
        <v>144</v>
      </c>
      <c r="AQ550" s="31" t="s">
        <v>144</v>
      </c>
      <c r="AR550" s="31" t="s">
        <v>144</v>
      </c>
      <c r="AS550" s="31"/>
      <c r="AT550" s="31"/>
      <c r="AU550" s="31"/>
    </row>
    <row r="551" spans="5:47" ht="15" customHeight="1" x14ac:dyDescent="0.25">
      <c r="E551" s="31" t="s">
        <v>138</v>
      </c>
      <c r="F551" s="31" t="s">
        <v>140</v>
      </c>
      <c r="G551" s="31" t="s">
        <v>374</v>
      </c>
      <c r="H551" s="31" t="s">
        <v>376</v>
      </c>
      <c r="I551" s="31" t="s">
        <v>481</v>
      </c>
      <c r="J551" s="31" t="s">
        <v>522</v>
      </c>
      <c r="K551" s="31" t="s">
        <v>1064</v>
      </c>
      <c r="L551" s="31" t="s">
        <v>1050</v>
      </c>
      <c r="M551" s="31" t="s">
        <v>144</v>
      </c>
      <c r="N551" s="31" t="s">
        <v>144</v>
      </c>
      <c r="O551" s="31" t="s">
        <v>144</v>
      </c>
      <c r="P551" s="31" t="s">
        <v>144</v>
      </c>
      <c r="Q551" s="31" t="s">
        <v>256</v>
      </c>
      <c r="R551" s="31" t="s">
        <v>312</v>
      </c>
      <c r="S551" s="31" t="s">
        <v>144</v>
      </c>
      <c r="T551" s="31" t="s">
        <v>144</v>
      </c>
      <c r="U551" s="31" t="s">
        <v>144</v>
      </c>
      <c r="V551" s="31" t="s">
        <v>144</v>
      </c>
      <c r="W551" s="31" t="s">
        <v>144</v>
      </c>
      <c r="X551" s="31" t="s">
        <v>144</v>
      </c>
      <c r="Y551" s="31"/>
      <c r="Z551" s="33" t="s">
        <v>144</v>
      </c>
      <c r="AA551" s="31" t="s">
        <v>144</v>
      </c>
      <c r="AB551" s="31" t="s">
        <v>144</v>
      </c>
      <c r="AC551" s="31" t="s">
        <v>144</v>
      </c>
      <c r="AD551" s="31" t="s">
        <v>144</v>
      </c>
      <c r="AE551" s="31" t="s">
        <v>144</v>
      </c>
      <c r="AF551" s="31" t="s">
        <v>144</v>
      </c>
      <c r="AG551" s="31" t="s">
        <v>144</v>
      </c>
      <c r="AH551" s="31" t="s">
        <v>190</v>
      </c>
      <c r="AI551" s="31" t="s">
        <v>144</v>
      </c>
      <c r="AJ551" s="31" t="s">
        <v>144</v>
      </c>
      <c r="AK551" s="31" t="s">
        <v>144</v>
      </c>
      <c r="AL551" s="31" t="s">
        <v>322</v>
      </c>
      <c r="AM551" s="31" t="s">
        <v>144</v>
      </c>
      <c r="AN551" s="31" t="s">
        <v>163</v>
      </c>
      <c r="AO551" s="31" t="s">
        <v>1325</v>
      </c>
      <c r="AP551" s="31" t="s">
        <v>144</v>
      </c>
      <c r="AQ551" s="31" t="s">
        <v>144</v>
      </c>
      <c r="AR551" s="31" t="s">
        <v>144</v>
      </c>
      <c r="AS551" s="31"/>
      <c r="AT551" s="31"/>
      <c r="AU551" s="31"/>
    </row>
    <row r="552" spans="5:47" ht="15" customHeight="1" x14ac:dyDescent="0.25">
      <c r="E552" s="31" t="s">
        <v>138</v>
      </c>
      <c r="F552" s="31" t="s">
        <v>140</v>
      </c>
      <c r="G552" s="31" t="s">
        <v>374</v>
      </c>
      <c r="H552" s="31" t="s">
        <v>376</v>
      </c>
      <c r="I552" s="31" t="s">
        <v>481</v>
      </c>
      <c r="J552" s="31" t="s">
        <v>522</v>
      </c>
      <c r="K552" s="31" t="s">
        <v>1065</v>
      </c>
      <c r="L552" s="31" t="s">
        <v>1050</v>
      </c>
      <c r="M552" s="31" t="s">
        <v>144</v>
      </c>
      <c r="N552" s="31" t="s">
        <v>144</v>
      </c>
      <c r="O552" s="31" t="s">
        <v>144</v>
      </c>
      <c r="P552" s="31" t="s">
        <v>144</v>
      </c>
      <c r="Q552" s="31" t="s">
        <v>256</v>
      </c>
      <c r="R552" s="31" t="s">
        <v>312</v>
      </c>
      <c r="S552" s="31" t="s">
        <v>144</v>
      </c>
      <c r="T552" s="31" t="s">
        <v>144</v>
      </c>
      <c r="U552" s="31" t="s">
        <v>144</v>
      </c>
      <c r="V552" s="31" t="s">
        <v>144</v>
      </c>
      <c r="W552" s="31" t="s">
        <v>144</v>
      </c>
      <c r="X552" s="31" t="s">
        <v>144</v>
      </c>
      <c r="Y552" s="31"/>
      <c r="Z552" s="33" t="s">
        <v>144</v>
      </c>
      <c r="AA552" s="31" t="s">
        <v>144</v>
      </c>
      <c r="AB552" s="31" t="s">
        <v>144</v>
      </c>
      <c r="AC552" s="31" t="s">
        <v>144</v>
      </c>
      <c r="AD552" s="31" t="s">
        <v>144</v>
      </c>
      <c r="AE552" s="31" t="s">
        <v>144</v>
      </c>
      <c r="AF552" s="31" t="s">
        <v>144</v>
      </c>
      <c r="AG552" s="31" t="s">
        <v>144</v>
      </c>
      <c r="AH552" s="31" t="s">
        <v>190</v>
      </c>
      <c r="AI552" s="31" t="s">
        <v>144</v>
      </c>
      <c r="AJ552" s="31" t="s">
        <v>144</v>
      </c>
      <c r="AK552" s="31" t="s">
        <v>144</v>
      </c>
      <c r="AL552" s="31" t="s">
        <v>322</v>
      </c>
      <c r="AM552" s="31" t="s">
        <v>144</v>
      </c>
      <c r="AN552" s="31" t="s">
        <v>163</v>
      </c>
      <c r="AO552" s="31" t="s">
        <v>1325</v>
      </c>
      <c r="AP552" s="31" t="s">
        <v>144</v>
      </c>
      <c r="AQ552" s="31" t="s">
        <v>144</v>
      </c>
      <c r="AR552" s="31" t="s">
        <v>144</v>
      </c>
      <c r="AS552" s="31"/>
      <c r="AT552" s="31"/>
      <c r="AU552" s="31"/>
    </row>
    <row r="553" spans="5:47" ht="15" customHeight="1" x14ac:dyDescent="0.25">
      <c r="E553" s="31" t="s">
        <v>138</v>
      </c>
      <c r="F553" s="31" t="s">
        <v>140</v>
      </c>
      <c r="G553" s="31" t="s">
        <v>374</v>
      </c>
      <c r="H553" s="31" t="s">
        <v>376</v>
      </c>
      <c r="I553" s="31" t="s">
        <v>481</v>
      </c>
      <c r="J553" s="31" t="s">
        <v>522</v>
      </c>
      <c r="K553" s="31" t="s">
        <v>1066</v>
      </c>
      <c r="L553" s="31" t="s">
        <v>1050</v>
      </c>
      <c r="M553" s="31" t="s">
        <v>144</v>
      </c>
      <c r="N553" s="31" t="s">
        <v>144</v>
      </c>
      <c r="O553" s="31" t="s">
        <v>144</v>
      </c>
      <c r="P553" s="31" t="s">
        <v>144</v>
      </c>
      <c r="Q553" s="31" t="s">
        <v>256</v>
      </c>
      <c r="R553" s="31" t="s">
        <v>312</v>
      </c>
      <c r="S553" s="31" t="s">
        <v>144</v>
      </c>
      <c r="T553" s="31" t="s">
        <v>144</v>
      </c>
      <c r="U553" s="31" t="s">
        <v>144</v>
      </c>
      <c r="V553" s="31" t="s">
        <v>144</v>
      </c>
      <c r="W553" s="31" t="s">
        <v>144</v>
      </c>
      <c r="X553" s="31" t="s">
        <v>144</v>
      </c>
      <c r="Y553" s="31"/>
      <c r="Z553" s="33" t="s">
        <v>144</v>
      </c>
      <c r="AA553" s="31" t="s">
        <v>144</v>
      </c>
      <c r="AB553" s="31" t="s">
        <v>144</v>
      </c>
      <c r="AC553" s="31" t="s">
        <v>144</v>
      </c>
      <c r="AD553" s="31" t="s">
        <v>144</v>
      </c>
      <c r="AE553" s="31" t="s">
        <v>144</v>
      </c>
      <c r="AF553" s="31" t="s">
        <v>144</v>
      </c>
      <c r="AG553" s="31" t="s">
        <v>144</v>
      </c>
      <c r="AH553" s="31" t="s">
        <v>190</v>
      </c>
      <c r="AI553" s="31" t="s">
        <v>144</v>
      </c>
      <c r="AJ553" s="31" t="s">
        <v>144</v>
      </c>
      <c r="AK553" s="31" t="s">
        <v>144</v>
      </c>
      <c r="AL553" s="31" t="s">
        <v>322</v>
      </c>
      <c r="AM553" s="31" t="s">
        <v>144</v>
      </c>
      <c r="AN553" s="31" t="s">
        <v>163</v>
      </c>
      <c r="AO553" s="31" t="s">
        <v>1325</v>
      </c>
      <c r="AP553" s="31" t="s">
        <v>144</v>
      </c>
      <c r="AQ553" s="31" t="s">
        <v>144</v>
      </c>
      <c r="AR553" s="31" t="s">
        <v>144</v>
      </c>
      <c r="AS553" s="31"/>
      <c r="AT553" s="31"/>
      <c r="AU553" s="31"/>
    </row>
    <row r="554" spans="5:47" ht="15" customHeight="1" x14ac:dyDescent="0.25">
      <c r="E554" s="31" t="s">
        <v>138</v>
      </c>
      <c r="F554" s="31" t="s">
        <v>140</v>
      </c>
      <c r="G554" s="31" t="s">
        <v>374</v>
      </c>
      <c r="H554" s="31" t="s">
        <v>376</v>
      </c>
      <c r="I554" s="31" t="s">
        <v>481</v>
      </c>
      <c r="J554" s="31" t="s">
        <v>522</v>
      </c>
      <c r="K554" s="31" t="s">
        <v>1067</v>
      </c>
      <c r="L554" s="31" t="s">
        <v>1050</v>
      </c>
      <c r="M554" s="31" t="s">
        <v>144</v>
      </c>
      <c r="N554" s="31" t="s">
        <v>144</v>
      </c>
      <c r="O554" s="31" t="s">
        <v>144</v>
      </c>
      <c r="P554" s="31" t="s">
        <v>144</v>
      </c>
      <c r="Q554" s="31" t="s">
        <v>256</v>
      </c>
      <c r="R554" s="31" t="s">
        <v>312</v>
      </c>
      <c r="S554" s="31" t="s">
        <v>144</v>
      </c>
      <c r="T554" s="31" t="s">
        <v>144</v>
      </c>
      <c r="U554" s="31" t="s">
        <v>144</v>
      </c>
      <c r="V554" s="31" t="s">
        <v>144</v>
      </c>
      <c r="W554" s="31" t="s">
        <v>144</v>
      </c>
      <c r="X554" s="31" t="s">
        <v>144</v>
      </c>
      <c r="Y554" s="31"/>
      <c r="Z554" s="33" t="s">
        <v>144</v>
      </c>
      <c r="AA554" s="31" t="s">
        <v>144</v>
      </c>
      <c r="AB554" s="31" t="s">
        <v>144</v>
      </c>
      <c r="AC554" s="31" t="s">
        <v>144</v>
      </c>
      <c r="AD554" s="31" t="s">
        <v>144</v>
      </c>
      <c r="AE554" s="31" t="s">
        <v>144</v>
      </c>
      <c r="AF554" s="31" t="s">
        <v>144</v>
      </c>
      <c r="AG554" s="31" t="s">
        <v>144</v>
      </c>
      <c r="AH554" s="31" t="s">
        <v>190</v>
      </c>
      <c r="AI554" s="31" t="s">
        <v>144</v>
      </c>
      <c r="AJ554" s="31" t="s">
        <v>144</v>
      </c>
      <c r="AK554" s="31" t="s">
        <v>144</v>
      </c>
      <c r="AL554" s="31" t="s">
        <v>322</v>
      </c>
      <c r="AM554" s="31" t="s">
        <v>144</v>
      </c>
      <c r="AN554" s="31" t="s">
        <v>163</v>
      </c>
      <c r="AO554" s="31" t="s">
        <v>1325</v>
      </c>
      <c r="AP554" s="31" t="s">
        <v>144</v>
      </c>
      <c r="AQ554" s="31" t="s">
        <v>144</v>
      </c>
      <c r="AR554" s="31" t="s">
        <v>144</v>
      </c>
      <c r="AS554" s="31"/>
      <c r="AT554" s="31"/>
      <c r="AU554" s="31"/>
    </row>
    <row r="555" spans="5:47" ht="15" customHeight="1" x14ac:dyDescent="0.25">
      <c r="E555" s="31" t="s">
        <v>138</v>
      </c>
      <c r="F555" s="31" t="s">
        <v>140</v>
      </c>
      <c r="G555" s="31" t="s">
        <v>374</v>
      </c>
      <c r="H555" s="31" t="s">
        <v>376</v>
      </c>
      <c r="I555" s="31" t="s">
        <v>481</v>
      </c>
      <c r="J555" s="31" t="s">
        <v>522</v>
      </c>
      <c r="K555" s="31" t="s">
        <v>1068</v>
      </c>
      <c r="L555" s="31" t="s">
        <v>1050</v>
      </c>
      <c r="M555" s="31" t="s">
        <v>144</v>
      </c>
      <c r="N555" s="31" t="s">
        <v>144</v>
      </c>
      <c r="O555" s="31" t="s">
        <v>144</v>
      </c>
      <c r="P555" s="31" t="s">
        <v>144</v>
      </c>
      <c r="Q555" s="31" t="s">
        <v>256</v>
      </c>
      <c r="R555" s="31" t="s">
        <v>312</v>
      </c>
      <c r="S555" s="31" t="s">
        <v>144</v>
      </c>
      <c r="T555" s="31" t="s">
        <v>144</v>
      </c>
      <c r="U555" s="31" t="s">
        <v>144</v>
      </c>
      <c r="V555" s="31" t="s">
        <v>144</v>
      </c>
      <c r="W555" s="31" t="s">
        <v>144</v>
      </c>
      <c r="X555" s="31" t="s">
        <v>144</v>
      </c>
      <c r="Y555" s="31"/>
      <c r="Z555" s="33" t="s">
        <v>144</v>
      </c>
      <c r="AA555" s="31" t="s">
        <v>144</v>
      </c>
      <c r="AB555" s="31" t="s">
        <v>144</v>
      </c>
      <c r="AC555" s="31" t="s">
        <v>144</v>
      </c>
      <c r="AD555" s="31" t="s">
        <v>144</v>
      </c>
      <c r="AE555" s="31" t="s">
        <v>144</v>
      </c>
      <c r="AF555" s="31" t="s">
        <v>144</v>
      </c>
      <c r="AG555" s="31" t="s">
        <v>144</v>
      </c>
      <c r="AH555" s="31" t="s">
        <v>190</v>
      </c>
      <c r="AI555" s="31" t="s">
        <v>144</v>
      </c>
      <c r="AJ555" s="31" t="s">
        <v>144</v>
      </c>
      <c r="AK555" s="31" t="s">
        <v>144</v>
      </c>
      <c r="AL555" s="31" t="s">
        <v>322</v>
      </c>
      <c r="AM555" s="31" t="s">
        <v>144</v>
      </c>
      <c r="AN555" s="31" t="s">
        <v>163</v>
      </c>
      <c r="AO555" s="31" t="s">
        <v>1325</v>
      </c>
      <c r="AP555" s="31" t="s">
        <v>144</v>
      </c>
      <c r="AQ555" s="31" t="s">
        <v>144</v>
      </c>
      <c r="AR555" s="31" t="s">
        <v>144</v>
      </c>
      <c r="AS555" s="31"/>
      <c r="AT555" s="31"/>
      <c r="AU555" s="31"/>
    </row>
    <row r="556" spans="5:47" ht="15" customHeight="1" x14ac:dyDescent="0.25">
      <c r="E556" s="31" t="s">
        <v>138</v>
      </c>
      <c r="F556" s="31" t="s">
        <v>140</v>
      </c>
      <c r="G556" s="31" t="s">
        <v>374</v>
      </c>
      <c r="H556" s="31" t="s">
        <v>376</v>
      </c>
      <c r="I556" s="31" t="s">
        <v>481</v>
      </c>
      <c r="J556" s="31" t="s">
        <v>522</v>
      </c>
      <c r="K556" s="31" t="s">
        <v>1069</v>
      </c>
      <c r="L556" s="31" t="s">
        <v>1050</v>
      </c>
      <c r="M556" s="31" t="s">
        <v>144</v>
      </c>
      <c r="N556" s="31" t="s">
        <v>144</v>
      </c>
      <c r="O556" s="31" t="s">
        <v>144</v>
      </c>
      <c r="P556" s="31" t="s">
        <v>144</v>
      </c>
      <c r="Q556" s="31" t="s">
        <v>256</v>
      </c>
      <c r="R556" s="31" t="s">
        <v>312</v>
      </c>
      <c r="S556" s="31" t="s">
        <v>144</v>
      </c>
      <c r="T556" s="31" t="s">
        <v>144</v>
      </c>
      <c r="U556" s="31" t="s">
        <v>144</v>
      </c>
      <c r="V556" s="31" t="s">
        <v>144</v>
      </c>
      <c r="W556" s="31" t="s">
        <v>144</v>
      </c>
      <c r="X556" s="31" t="s">
        <v>144</v>
      </c>
      <c r="Y556" s="31"/>
      <c r="Z556" s="33" t="s">
        <v>144</v>
      </c>
      <c r="AA556" s="31" t="s">
        <v>144</v>
      </c>
      <c r="AB556" s="31" t="s">
        <v>144</v>
      </c>
      <c r="AC556" s="31" t="s">
        <v>144</v>
      </c>
      <c r="AD556" s="31" t="s">
        <v>144</v>
      </c>
      <c r="AE556" s="31" t="s">
        <v>144</v>
      </c>
      <c r="AF556" s="31" t="s">
        <v>144</v>
      </c>
      <c r="AG556" s="31" t="s">
        <v>144</v>
      </c>
      <c r="AH556" s="31" t="s">
        <v>190</v>
      </c>
      <c r="AI556" s="31" t="s">
        <v>144</v>
      </c>
      <c r="AJ556" s="31" t="s">
        <v>144</v>
      </c>
      <c r="AK556" s="31" t="s">
        <v>144</v>
      </c>
      <c r="AL556" s="31" t="s">
        <v>322</v>
      </c>
      <c r="AM556" s="31" t="s">
        <v>144</v>
      </c>
      <c r="AN556" s="31" t="s">
        <v>163</v>
      </c>
      <c r="AO556" s="31" t="s">
        <v>1325</v>
      </c>
      <c r="AP556" s="31" t="s">
        <v>144</v>
      </c>
      <c r="AQ556" s="31" t="s">
        <v>144</v>
      </c>
      <c r="AR556" s="31" t="s">
        <v>144</v>
      </c>
      <c r="AS556" s="31"/>
      <c r="AT556" s="31"/>
      <c r="AU556" s="31"/>
    </row>
    <row r="557" spans="5:47" ht="15" customHeight="1" x14ac:dyDescent="0.25">
      <c r="E557" s="31" t="s">
        <v>138</v>
      </c>
      <c r="F557" s="31" t="s">
        <v>140</v>
      </c>
      <c r="G557" s="31" t="s">
        <v>374</v>
      </c>
      <c r="H557" s="31" t="s">
        <v>376</v>
      </c>
      <c r="I557" s="31" t="s">
        <v>481</v>
      </c>
      <c r="J557" s="31" t="s">
        <v>522</v>
      </c>
      <c r="K557" s="31" t="s">
        <v>1070</v>
      </c>
      <c r="L557" s="31" t="s">
        <v>1050</v>
      </c>
      <c r="M557" s="31" t="s">
        <v>144</v>
      </c>
      <c r="N557" s="31" t="s">
        <v>144</v>
      </c>
      <c r="O557" s="31" t="s">
        <v>144</v>
      </c>
      <c r="P557" s="31" t="s">
        <v>144</v>
      </c>
      <c r="Q557" s="31" t="s">
        <v>256</v>
      </c>
      <c r="R557" s="31" t="s">
        <v>312</v>
      </c>
      <c r="S557" s="31" t="s">
        <v>144</v>
      </c>
      <c r="T557" s="31" t="s">
        <v>144</v>
      </c>
      <c r="U557" s="31" t="s">
        <v>144</v>
      </c>
      <c r="V557" s="31" t="s">
        <v>144</v>
      </c>
      <c r="W557" s="31" t="s">
        <v>144</v>
      </c>
      <c r="X557" s="31" t="s">
        <v>144</v>
      </c>
      <c r="Y557" s="31"/>
      <c r="Z557" s="33" t="s">
        <v>144</v>
      </c>
      <c r="AA557" s="31" t="s">
        <v>144</v>
      </c>
      <c r="AB557" s="31" t="s">
        <v>144</v>
      </c>
      <c r="AC557" s="31" t="s">
        <v>144</v>
      </c>
      <c r="AD557" s="31" t="s">
        <v>144</v>
      </c>
      <c r="AE557" s="31" t="s">
        <v>144</v>
      </c>
      <c r="AF557" s="31" t="s">
        <v>144</v>
      </c>
      <c r="AG557" s="31" t="s">
        <v>144</v>
      </c>
      <c r="AH557" s="31" t="s">
        <v>190</v>
      </c>
      <c r="AI557" s="31" t="s">
        <v>144</v>
      </c>
      <c r="AJ557" s="31" t="s">
        <v>144</v>
      </c>
      <c r="AK557" s="31" t="s">
        <v>144</v>
      </c>
      <c r="AL557" s="31" t="s">
        <v>322</v>
      </c>
      <c r="AM557" s="31" t="s">
        <v>144</v>
      </c>
      <c r="AN557" s="31" t="s">
        <v>163</v>
      </c>
      <c r="AO557" s="31" t="s">
        <v>1325</v>
      </c>
      <c r="AP557" s="31" t="s">
        <v>144</v>
      </c>
      <c r="AQ557" s="31" t="s">
        <v>144</v>
      </c>
      <c r="AR557" s="31" t="s">
        <v>144</v>
      </c>
      <c r="AS557" s="31"/>
      <c r="AT557" s="31"/>
      <c r="AU557" s="31"/>
    </row>
    <row r="558" spans="5:47" ht="15" customHeight="1" x14ac:dyDescent="0.25"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</row>
    <row r="559" spans="5:47" ht="15" customHeight="1" x14ac:dyDescent="0.25"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</row>
    <row r="560" spans="5:47" ht="15" customHeight="1" x14ac:dyDescent="0.25">
      <c r="E560" s="31" t="s">
        <v>139</v>
      </c>
      <c r="F560" s="31" t="s">
        <v>140</v>
      </c>
      <c r="G560" s="31" t="s">
        <v>195</v>
      </c>
      <c r="H560" s="31" t="s">
        <v>154</v>
      </c>
      <c r="I560" s="31" t="s">
        <v>481</v>
      </c>
      <c r="J560" s="31" t="s">
        <v>860</v>
      </c>
      <c r="K560" s="31" t="s">
        <v>861</v>
      </c>
      <c r="L560" s="31" t="s">
        <v>1050</v>
      </c>
      <c r="M560" s="31" t="s">
        <v>144</v>
      </c>
      <c r="N560" s="31" t="s">
        <v>144</v>
      </c>
      <c r="O560" s="31" t="s">
        <v>144</v>
      </c>
      <c r="P560" s="31" t="s">
        <v>144</v>
      </c>
      <c r="Q560" s="31" t="s">
        <v>1071</v>
      </c>
      <c r="R560" s="31" t="s">
        <v>312</v>
      </c>
      <c r="S560" s="31" t="s">
        <v>144</v>
      </c>
      <c r="T560" s="31" t="s">
        <v>144</v>
      </c>
      <c r="U560" s="31" t="s">
        <v>144</v>
      </c>
      <c r="V560" s="31" t="s">
        <v>144</v>
      </c>
      <c r="W560" s="31" t="s">
        <v>144</v>
      </c>
      <c r="X560" s="31" t="s">
        <v>144</v>
      </c>
      <c r="Y560" s="31"/>
      <c r="Z560" s="33">
        <v>0.91</v>
      </c>
      <c r="AA560" s="31" t="s">
        <v>144</v>
      </c>
      <c r="AB560" s="31" t="s">
        <v>144</v>
      </c>
      <c r="AC560" s="31" t="s">
        <v>144</v>
      </c>
      <c r="AD560" s="31" t="s">
        <v>144</v>
      </c>
      <c r="AE560" s="31" t="s">
        <v>144</v>
      </c>
      <c r="AF560" s="31" t="s">
        <v>144</v>
      </c>
      <c r="AG560" s="31" t="s">
        <v>144</v>
      </c>
      <c r="AH560" s="31" t="s">
        <v>190</v>
      </c>
      <c r="AI560" s="31" t="s">
        <v>144</v>
      </c>
      <c r="AJ560" s="31" t="s">
        <v>144</v>
      </c>
      <c r="AK560" s="31" t="s">
        <v>144</v>
      </c>
      <c r="AL560" s="31" t="s">
        <v>322</v>
      </c>
      <c r="AM560" s="31" t="s">
        <v>144</v>
      </c>
      <c r="AN560" s="31" t="s">
        <v>163</v>
      </c>
      <c r="AO560" s="31" t="s">
        <v>1325</v>
      </c>
      <c r="AP560" s="31" t="s">
        <v>144</v>
      </c>
      <c r="AQ560" s="31" t="s">
        <v>144</v>
      </c>
      <c r="AR560" s="31" t="s">
        <v>144</v>
      </c>
    </row>
    <row r="561" spans="5:44" ht="15" customHeight="1" x14ac:dyDescent="0.25">
      <c r="E561" s="31" t="s">
        <v>139</v>
      </c>
      <c r="F561" s="31" t="s">
        <v>140</v>
      </c>
      <c r="G561" s="31" t="s">
        <v>195</v>
      </c>
      <c r="H561" s="31" t="s">
        <v>154</v>
      </c>
      <c r="I561" s="31" t="s">
        <v>481</v>
      </c>
      <c r="J561" s="31" t="s">
        <v>860</v>
      </c>
      <c r="K561" s="31" t="s">
        <v>864</v>
      </c>
      <c r="L561" s="31" t="s">
        <v>1050</v>
      </c>
      <c r="M561" s="31" t="s">
        <v>144</v>
      </c>
      <c r="N561" s="31" t="s">
        <v>144</v>
      </c>
      <c r="O561" s="31" t="s">
        <v>144</v>
      </c>
      <c r="P561" s="31" t="s">
        <v>144</v>
      </c>
      <c r="Q561" s="31" t="s">
        <v>1071</v>
      </c>
      <c r="R561" s="31" t="s">
        <v>312</v>
      </c>
      <c r="S561" s="31" t="s">
        <v>144</v>
      </c>
      <c r="T561" s="31" t="s">
        <v>144</v>
      </c>
      <c r="U561" s="31" t="s">
        <v>144</v>
      </c>
      <c r="V561" s="31" t="s">
        <v>144</v>
      </c>
      <c r="W561" s="31" t="s">
        <v>144</v>
      </c>
      <c r="X561" s="31" t="s">
        <v>144</v>
      </c>
      <c r="Y561" s="31"/>
      <c r="Z561" s="33">
        <v>0.91</v>
      </c>
      <c r="AA561" s="31" t="s">
        <v>144</v>
      </c>
      <c r="AB561" s="31" t="s">
        <v>144</v>
      </c>
      <c r="AC561" s="31" t="s">
        <v>144</v>
      </c>
      <c r="AD561" s="31" t="s">
        <v>144</v>
      </c>
      <c r="AE561" s="31" t="s">
        <v>144</v>
      </c>
      <c r="AF561" s="31" t="s">
        <v>144</v>
      </c>
      <c r="AG561" s="31" t="s">
        <v>144</v>
      </c>
      <c r="AH561" s="31" t="s">
        <v>190</v>
      </c>
      <c r="AI561" s="31" t="s">
        <v>144</v>
      </c>
      <c r="AJ561" s="31" t="s">
        <v>144</v>
      </c>
      <c r="AK561" s="31" t="s">
        <v>144</v>
      </c>
      <c r="AL561" s="31" t="s">
        <v>322</v>
      </c>
      <c r="AM561" s="31" t="s">
        <v>144</v>
      </c>
      <c r="AN561" s="31" t="s">
        <v>163</v>
      </c>
      <c r="AO561" s="31" t="s">
        <v>1325</v>
      </c>
      <c r="AP561" s="31" t="s">
        <v>144</v>
      </c>
      <c r="AQ561" s="31" t="s">
        <v>144</v>
      </c>
      <c r="AR561" s="31" t="s">
        <v>144</v>
      </c>
    </row>
    <row r="562" spans="5:44" ht="15" customHeight="1" x14ac:dyDescent="0.25">
      <c r="E562" s="31" t="s">
        <v>139</v>
      </c>
      <c r="F562" s="31" t="s">
        <v>140</v>
      </c>
      <c r="G562" s="31" t="s">
        <v>195</v>
      </c>
      <c r="H562" s="31" t="s">
        <v>154</v>
      </c>
      <c r="I562" s="31" t="s">
        <v>481</v>
      </c>
      <c r="J562" s="31" t="s">
        <v>860</v>
      </c>
      <c r="K562" s="31" t="s">
        <v>865</v>
      </c>
      <c r="L562" s="31" t="s">
        <v>1050</v>
      </c>
      <c r="M562" s="31" t="s">
        <v>144</v>
      </c>
      <c r="N562" s="31" t="s">
        <v>144</v>
      </c>
      <c r="O562" s="31" t="s">
        <v>144</v>
      </c>
      <c r="P562" s="31" t="s">
        <v>144</v>
      </c>
      <c r="Q562" s="31" t="s">
        <v>1071</v>
      </c>
      <c r="R562" s="31" t="s">
        <v>312</v>
      </c>
      <c r="S562" s="31" t="s">
        <v>144</v>
      </c>
      <c r="T562" s="31" t="s">
        <v>144</v>
      </c>
      <c r="U562" s="31" t="s">
        <v>144</v>
      </c>
      <c r="V562" s="31" t="s">
        <v>144</v>
      </c>
      <c r="W562" s="31" t="s">
        <v>144</v>
      </c>
      <c r="X562" s="31" t="s">
        <v>144</v>
      </c>
      <c r="Y562" s="31"/>
      <c r="Z562" s="33">
        <v>0.91</v>
      </c>
      <c r="AA562" s="31" t="s">
        <v>144</v>
      </c>
      <c r="AB562" s="31" t="s">
        <v>144</v>
      </c>
      <c r="AC562" s="31" t="s">
        <v>144</v>
      </c>
      <c r="AD562" s="31" t="s">
        <v>144</v>
      </c>
      <c r="AE562" s="31" t="s">
        <v>144</v>
      </c>
      <c r="AF562" s="31" t="s">
        <v>144</v>
      </c>
      <c r="AG562" s="31" t="s">
        <v>144</v>
      </c>
      <c r="AH562" s="31" t="s">
        <v>190</v>
      </c>
      <c r="AI562" s="31" t="s">
        <v>144</v>
      </c>
      <c r="AJ562" s="31" t="s">
        <v>144</v>
      </c>
      <c r="AK562" s="31" t="s">
        <v>144</v>
      </c>
      <c r="AL562" s="31" t="s">
        <v>322</v>
      </c>
      <c r="AM562" s="31" t="s">
        <v>144</v>
      </c>
      <c r="AN562" s="31" t="s">
        <v>163</v>
      </c>
      <c r="AO562" s="31" t="s">
        <v>1325</v>
      </c>
      <c r="AP562" s="31" t="s">
        <v>144</v>
      </c>
      <c r="AQ562" s="31" t="s">
        <v>144</v>
      </c>
      <c r="AR562" s="31" t="s">
        <v>144</v>
      </c>
    </row>
    <row r="563" spans="5:44" ht="15" customHeight="1" x14ac:dyDescent="0.25">
      <c r="E563" s="31" t="s">
        <v>139</v>
      </c>
      <c r="F563" s="31" t="s">
        <v>140</v>
      </c>
      <c r="G563" s="31" t="s">
        <v>195</v>
      </c>
      <c r="H563" s="31" t="s">
        <v>154</v>
      </c>
      <c r="I563" s="31" t="s">
        <v>481</v>
      </c>
      <c r="J563" s="31" t="s">
        <v>860</v>
      </c>
      <c r="K563" s="31" t="s">
        <v>866</v>
      </c>
      <c r="L563" s="31" t="s">
        <v>1050</v>
      </c>
      <c r="M563" s="31" t="s">
        <v>144</v>
      </c>
      <c r="N563" s="31" t="s">
        <v>144</v>
      </c>
      <c r="O563" s="31" t="s">
        <v>144</v>
      </c>
      <c r="P563" s="31" t="s">
        <v>144</v>
      </c>
      <c r="Q563" s="31" t="s">
        <v>1071</v>
      </c>
      <c r="R563" s="31" t="s">
        <v>312</v>
      </c>
      <c r="S563" s="31" t="s">
        <v>144</v>
      </c>
      <c r="T563" s="31" t="s">
        <v>144</v>
      </c>
      <c r="U563" s="31" t="s">
        <v>144</v>
      </c>
      <c r="V563" s="31" t="s">
        <v>144</v>
      </c>
      <c r="W563" s="31" t="s">
        <v>144</v>
      </c>
      <c r="X563" s="31" t="s">
        <v>144</v>
      </c>
      <c r="Y563" s="31"/>
      <c r="Z563" s="33">
        <v>0.91</v>
      </c>
      <c r="AA563" s="31" t="s">
        <v>144</v>
      </c>
      <c r="AB563" s="31" t="s">
        <v>144</v>
      </c>
      <c r="AC563" s="31" t="s">
        <v>144</v>
      </c>
      <c r="AD563" s="31" t="s">
        <v>144</v>
      </c>
      <c r="AE563" s="31" t="s">
        <v>144</v>
      </c>
      <c r="AF563" s="31" t="s">
        <v>144</v>
      </c>
      <c r="AG563" s="31" t="s">
        <v>144</v>
      </c>
      <c r="AH563" s="31" t="s">
        <v>190</v>
      </c>
      <c r="AI563" s="31" t="s">
        <v>144</v>
      </c>
      <c r="AJ563" s="31" t="s">
        <v>144</v>
      </c>
      <c r="AK563" s="31" t="s">
        <v>144</v>
      </c>
      <c r="AL563" s="31" t="s">
        <v>322</v>
      </c>
      <c r="AM563" s="31" t="s">
        <v>144</v>
      </c>
      <c r="AN563" s="31" t="s">
        <v>163</v>
      </c>
      <c r="AO563" s="31" t="s">
        <v>1325</v>
      </c>
      <c r="AP563" s="31" t="s">
        <v>144</v>
      </c>
      <c r="AQ563" s="31" t="s">
        <v>144</v>
      </c>
      <c r="AR563" s="31" t="s">
        <v>144</v>
      </c>
    </row>
    <row r="564" spans="5:44" ht="15" customHeight="1" x14ac:dyDescent="0.25"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3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</row>
    <row r="565" spans="5:44" ht="15" customHeight="1" x14ac:dyDescent="0.25"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3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</row>
    <row r="566" spans="5:44" ht="15" customHeight="1" x14ac:dyDescent="0.25">
      <c r="E566" s="31" t="s">
        <v>139</v>
      </c>
      <c r="F566" s="31" t="s">
        <v>140</v>
      </c>
      <c r="G566" s="31" t="s">
        <v>195</v>
      </c>
      <c r="H566" s="31" t="s">
        <v>154</v>
      </c>
      <c r="I566" s="31" t="s">
        <v>481</v>
      </c>
      <c r="J566" s="31" t="s">
        <v>867</v>
      </c>
      <c r="K566" s="31" t="s">
        <v>868</v>
      </c>
      <c r="L566" s="31" t="s">
        <v>1050</v>
      </c>
      <c r="M566" s="31" t="s">
        <v>144</v>
      </c>
      <c r="N566" s="31" t="s">
        <v>144</v>
      </c>
      <c r="O566" s="31" t="s">
        <v>144</v>
      </c>
      <c r="P566" s="31" t="s">
        <v>144</v>
      </c>
      <c r="Q566" s="31" t="s">
        <v>1071</v>
      </c>
      <c r="R566" s="31" t="s">
        <v>312</v>
      </c>
      <c r="S566" s="31" t="s">
        <v>144</v>
      </c>
      <c r="T566" s="31" t="s">
        <v>144</v>
      </c>
      <c r="U566" s="31" t="s">
        <v>144</v>
      </c>
      <c r="V566" s="31" t="s">
        <v>144</v>
      </c>
      <c r="W566" s="31" t="s">
        <v>144</v>
      </c>
      <c r="X566" s="31" t="s">
        <v>144</v>
      </c>
      <c r="Y566" s="31"/>
      <c r="Z566" s="33">
        <v>0.91</v>
      </c>
      <c r="AA566" s="31" t="s">
        <v>144</v>
      </c>
      <c r="AB566" s="31" t="s">
        <v>144</v>
      </c>
      <c r="AC566" s="31" t="s">
        <v>144</v>
      </c>
      <c r="AD566" s="31" t="s">
        <v>144</v>
      </c>
      <c r="AE566" s="31" t="s">
        <v>144</v>
      </c>
      <c r="AF566" s="31" t="s">
        <v>144</v>
      </c>
      <c r="AG566" s="31" t="s">
        <v>144</v>
      </c>
      <c r="AH566" s="31" t="s">
        <v>190</v>
      </c>
      <c r="AI566" s="31" t="s">
        <v>144</v>
      </c>
      <c r="AJ566" s="31" t="s">
        <v>144</v>
      </c>
      <c r="AK566" s="31" t="s">
        <v>144</v>
      </c>
      <c r="AL566" s="31" t="s">
        <v>322</v>
      </c>
      <c r="AM566" s="31" t="s">
        <v>144</v>
      </c>
      <c r="AN566" s="31" t="s">
        <v>163</v>
      </c>
      <c r="AO566" s="31" t="s">
        <v>1325</v>
      </c>
      <c r="AP566" s="31" t="s">
        <v>144</v>
      </c>
      <c r="AQ566" s="31" t="s">
        <v>144</v>
      </c>
      <c r="AR566" s="31" t="s">
        <v>144</v>
      </c>
    </row>
    <row r="567" spans="5:44" ht="15" customHeight="1" x14ac:dyDescent="0.25">
      <c r="E567" s="31" t="s">
        <v>139</v>
      </c>
      <c r="F567" s="31" t="s">
        <v>140</v>
      </c>
      <c r="G567" s="31" t="s">
        <v>195</v>
      </c>
      <c r="H567" s="31" t="s">
        <v>154</v>
      </c>
      <c r="I567" s="31" t="s">
        <v>481</v>
      </c>
      <c r="J567" s="31" t="s">
        <v>867</v>
      </c>
      <c r="K567" s="31" t="s">
        <v>869</v>
      </c>
      <c r="L567" s="31" t="s">
        <v>1050</v>
      </c>
      <c r="M567" s="31" t="s">
        <v>144</v>
      </c>
      <c r="N567" s="31" t="s">
        <v>144</v>
      </c>
      <c r="O567" s="31" t="s">
        <v>144</v>
      </c>
      <c r="P567" s="31" t="s">
        <v>144</v>
      </c>
      <c r="Q567" s="31" t="s">
        <v>1071</v>
      </c>
      <c r="R567" s="31" t="s">
        <v>312</v>
      </c>
      <c r="S567" s="31" t="s">
        <v>144</v>
      </c>
      <c r="T567" s="31" t="s">
        <v>144</v>
      </c>
      <c r="U567" s="31" t="s">
        <v>144</v>
      </c>
      <c r="V567" s="31" t="s">
        <v>144</v>
      </c>
      <c r="W567" s="31" t="s">
        <v>144</v>
      </c>
      <c r="X567" s="31" t="s">
        <v>144</v>
      </c>
      <c r="Y567" s="31"/>
      <c r="Z567" s="33">
        <v>0.91</v>
      </c>
      <c r="AA567" s="31" t="s">
        <v>144</v>
      </c>
      <c r="AB567" s="31" t="s">
        <v>144</v>
      </c>
      <c r="AC567" s="31" t="s">
        <v>144</v>
      </c>
      <c r="AD567" s="31" t="s">
        <v>144</v>
      </c>
      <c r="AE567" s="31" t="s">
        <v>144</v>
      </c>
      <c r="AF567" s="31" t="s">
        <v>144</v>
      </c>
      <c r="AG567" s="31" t="s">
        <v>144</v>
      </c>
      <c r="AH567" s="31" t="s">
        <v>190</v>
      </c>
      <c r="AI567" s="31" t="s">
        <v>144</v>
      </c>
      <c r="AJ567" s="31" t="s">
        <v>144</v>
      </c>
      <c r="AK567" s="31" t="s">
        <v>144</v>
      </c>
      <c r="AL567" s="31" t="s">
        <v>322</v>
      </c>
      <c r="AM567" s="31" t="s">
        <v>144</v>
      </c>
      <c r="AN567" s="31" t="s">
        <v>163</v>
      </c>
      <c r="AO567" s="31" t="s">
        <v>1325</v>
      </c>
      <c r="AP567" s="31" t="s">
        <v>144</v>
      </c>
      <c r="AQ567" s="31" t="s">
        <v>144</v>
      </c>
      <c r="AR567" s="31" t="s">
        <v>144</v>
      </c>
    </row>
    <row r="568" spans="5:44" ht="15" customHeight="1" x14ac:dyDescent="0.25">
      <c r="E568" s="31" t="s">
        <v>139</v>
      </c>
      <c r="F568" s="31" t="s">
        <v>140</v>
      </c>
      <c r="G568" s="31" t="s">
        <v>195</v>
      </c>
      <c r="H568" s="31" t="s">
        <v>154</v>
      </c>
      <c r="I568" s="31" t="s">
        <v>481</v>
      </c>
      <c r="J568" s="31" t="s">
        <v>867</v>
      </c>
      <c r="K568" s="31" t="s">
        <v>870</v>
      </c>
      <c r="L568" s="31" t="s">
        <v>1050</v>
      </c>
      <c r="M568" s="31" t="s">
        <v>144</v>
      </c>
      <c r="N568" s="31" t="s">
        <v>144</v>
      </c>
      <c r="O568" s="31" t="s">
        <v>144</v>
      </c>
      <c r="P568" s="31" t="s">
        <v>144</v>
      </c>
      <c r="Q568" s="31" t="s">
        <v>1071</v>
      </c>
      <c r="R568" s="31" t="s">
        <v>312</v>
      </c>
      <c r="S568" s="31" t="s">
        <v>144</v>
      </c>
      <c r="T568" s="31" t="s">
        <v>144</v>
      </c>
      <c r="U568" s="31" t="s">
        <v>144</v>
      </c>
      <c r="V568" s="31" t="s">
        <v>144</v>
      </c>
      <c r="W568" s="31" t="s">
        <v>144</v>
      </c>
      <c r="X568" s="31" t="s">
        <v>144</v>
      </c>
      <c r="Y568" s="31"/>
      <c r="Z568" s="33">
        <v>0.91</v>
      </c>
      <c r="AA568" s="31" t="s">
        <v>144</v>
      </c>
      <c r="AB568" s="31" t="s">
        <v>144</v>
      </c>
      <c r="AC568" s="31" t="s">
        <v>144</v>
      </c>
      <c r="AD568" s="31" t="s">
        <v>144</v>
      </c>
      <c r="AE568" s="31" t="s">
        <v>144</v>
      </c>
      <c r="AF568" s="31" t="s">
        <v>144</v>
      </c>
      <c r="AG568" s="31" t="s">
        <v>144</v>
      </c>
      <c r="AH568" s="31" t="s">
        <v>190</v>
      </c>
      <c r="AI568" s="31" t="s">
        <v>144</v>
      </c>
      <c r="AJ568" s="31" t="s">
        <v>144</v>
      </c>
      <c r="AK568" s="31" t="s">
        <v>144</v>
      </c>
      <c r="AL568" s="31" t="s">
        <v>322</v>
      </c>
      <c r="AM568" s="31" t="s">
        <v>144</v>
      </c>
      <c r="AN568" s="31" t="s">
        <v>163</v>
      </c>
      <c r="AO568" s="31" t="s">
        <v>1325</v>
      </c>
      <c r="AP568" s="31" t="s">
        <v>144</v>
      </c>
      <c r="AQ568" s="31" t="s">
        <v>144</v>
      </c>
      <c r="AR568" s="31" t="s">
        <v>144</v>
      </c>
    </row>
    <row r="569" spans="5:44" ht="15" customHeight="1" x14ac:dyDescent="0.25">
      <c r="E569" s="31" t="s">
        <v>139</v>
      </c>
      <c r="F569" s="31" t="s">
        <v>140</v>
      </c>
      <c r="G569" s="31" t="s">
        <v>195</v>
      </c>
      <c r="H569" s="31" t="s">
        <v>154</v>
      </c>
      <c r="I569" s="31" t="s">
        <v>481</v>
      </c>
      <c r="J569" s="31" t="s">
        <v>867</v>
      </c>
      <c r="K569" s="31" t="s">
        <v>871</v>
      </c>
      <c r="L569" s="31" t="s">
        <v>1050</v>
      </c>
      <c r="M569" s="31" t="s">
        <v>144</v>
      </c>
      <c r="N569" s="31" t="s">
        <v>144</v>
      </c>
      <c r="O569" s="31" t="s">
        <v>144</v>
      </c>
      <c r="P569" s="31" t="s">
        <v>144</v>
      </c>
      <c r="Q569" s="31" t="s">
        <v>1071</v>
      </c>
      <c r="R569" s="31" t="s">
        <v>312</v>
      </c>
      <c r="S569" s="31" t="s">
        <v>144</v>
      </c>
      <c r="T569" s="31" t="s">
        <v>144</v>
      </c>
      <c r="U569" s="31" t="s">
        <v>144</v>
      </c>
      <c r="V569" s="31" t="s">
        <v>144</v>
      </c>
      <c r="W569" s="31" t="s">
        <v>144</v>
      </c>
      <c r="X569" s="31" t="s">
        <v>144</v>
      </c>
      <c r="Y569" s="31"/>
      <c r="Z569" s="33">
        <v>0.91</v>
      </c>
      <c r="AA569" s="31" t="s">
        <v>144</v>
      </c>
      <c r="AB569" s="31" t="s">
        <v>144</v>
      </c>
      <c r="AC569" s="31" t="s">
        <v>144</v>
      </c>
      <c r="AD569" s="31" t="s">
        <v>144</v>
      </c>
      <c r="AE569" s="31" t="s">
        <v>144</v>
      </c>
      <c r="AF569" s="31" t="s">
        <v>144</v>
      </c>
      <c r="AG569" s="31" t="s">
        <v>144</v>
      </c>
      <c r="AH569" s="31" t="s">
        <v>190</v>
      </c>
      <c r="AI569" s="31" t="s">
        <v>144</v>
      </c>
      <c r="AJ569" s="31" t="s">
        <v>144</v>
      </c>
      <c r="AK569" s="31" t="s">
        <v>144</v>
      </c>
      <c r="AL569" s="31" t="s">
        <v>322</v>
      </c>
      <c r="AM569" s="31" t="s">
        <v>144</v>
      </c>
      <c r="AN569" s="31" t="s">
        <v>163</v>
      </c>
      <c r="AO569" s="31" t="s">
        <v>1325</v>
      </c>
      <c r="AP569" s="31" t="s">
        <v>144</v>
      </c>
      <c r="AQ569" s="31" t="s">
        <v>144</v>
      </c>
      <c r="AR569" s="31" t="s">
        <v>144</v>
      </c>
    </row>
    <row r="570" spans="5:44" ht="15" customHeight="1" x14ac:dyDescent="0.25"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3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</row>
    <row r="571" spans="5:44" ht="15" customHeight="1" x14ac:dyDescent="0.25"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3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</row>
    <row r="572" spans="5:44" ht="15" customHeight="1" x14ac:dyDescent="0.25">
      <c r="E572" s="31" t="s">
        <v>139</v>
      </c>
      <c r="F572" s="31" t="s">
        <v>140</v>
      </c>
      <c r="G572" s="31" t="s">
        <v>195</v>
      </c>
      <c r="H572" s="31" t="s">
        <v>154</v>
      </c>
      <c r="I572" s="31" t="s">
        <v>481</v>
      </c>
      <c r="J572" s="31" t="s">
        <v>872</v>
      </c>
      <c r="K572" s="31" t="s">
        <v>873</v>
      </c>
      <c r="L572" s="31" t="s">
        <v>1050</v>
      </c>
      <c r="M572" s="31" t="s">
        <v>144</v>
      </c>
      <c r="N572" s="31" t="s">
        <v>144</v>
      </c>
      <c r="O572" s="31" t="s">
        <v>144</v>
      </c>
      <c r="P572" s="31" t="s">
        <v>144</v>
      </c>
      <c r="Q572" s="31" t="s">
        <v>1071</v>
      </c>
      <c r="R572" s="31" t="s">
        <v>312</v>
      </c>
      <c r="S572" s="31" t="s">
        <v>144</v>
      </c>
      <c r="T572" s="31" t="s">
        <v>144</v>
      </c>
      <c r="U572" s="31" t="s">
        <v>144</v>
      </c>
      <c r="V572" s="31" t="s">
        <v>144</v>
      </c>
      <c r="W572" s="31" t="s">
        <v>144</v>
      </c>
      <c r="X572" s="31" t="s">
        <v>144</v>
      </c>
      <c r="Y572" s="31"/>
      <c r="Z572" s="33">
        <v>0.91</v>
      </c>
      <c r="AA572" s="31" t="s">
        <v>144</v>
      </c>
      <c r="AB572" s="31" t="s">
        <v>144</v>
      </c>
      <c r="AC572" s="31" t="s">
        <v>144</v>
      </c>
      <c r="AD572" s="31" t="s">
        <v>144</v>
      </c>
      <c r="AE572" s="31" t="s">
        <v>144</v>
      </c>
      <c r="AF572" s="31" t="s">
        <v>144</v>
      </c>
      <c r="AG572" s="31" t="s">
        <v>144</v>
      </c>
      <c r="AH572" s="31" t="s">
        <v>190</v>
      </c>
      <c r="AI572" s="31" t="s">
        <v>144</v>
      </c>
      <c r="AJ572" s="31" t="s">
        <v>144</v>
      </c>
      <c r="AK572" s="31" t="s">
        <v>144</v>
      </c>
      <c r="AL572" s="31" t="s">
        <v>322</v>
      </c>
      <c r="AM572" s="31" t="s">
        <v>144</v>
      </c>
      <c r="AN572" s="31" t="s">
        <v>163</v>
      </c>
      <c r="AO572" s="31" t="s">
        <v>1325</v>
      </c>
      <c r="AP572" s="31" t="s">
        <v>144</v>
      </c>
      <c r="AQ572" s="31" t="s">
        <v>144</v>
      </c>
      <c r="AR572" s="31" t="s">
        <v>144</v>
      </c>
    </row>
    <row r="573" spans="5:44" ht="15" customHeight="1" x14ac:dyDescent="0.25">
      <c r="E573" s="31" t="s">
        <v>139</v>
      </c>
      <c r="F573" s="31" t="s">
        <v>140</v>
      </c>
      <c r="G573" s="31" t="s">
        <v>195</v>
      </c>
      <c r="H573" s="31" t="s">
        <v>154</v>
      </c>
      <c r="I573" s="31" t="s">
        <v>481</v>
      </c>
      <c r="J573" s="31" t="s">
        <v>872</v>
      </c>
      <c r="K573" s="31" t="s">
        <v>874</v>
      </c>
      <c r="L573" s="31" t="s">
        <v>1050</v>
      </c>
      <c r="M573" s="31" t="s">
        <v>144</v>
      </c>
      <c r="N573" s="31" t="s">
        <v>144</v>
      </c>
      <c r="O573" s="31" t="s">
        <v>144</v>
      </c>
      <c r="P573" s="31" t="s">
        <v>144</v>
      </c>
      <c r="Q573" s="31" t="s">
        <v>1071</v>
      </c>
      <c r="R573" s="31" t="s">
        <v>312</v>
      </c>
      <c r="S573" s="31" t="s">
        <v>144</v>
      </c>
      <c r="T573" s="31" t="s">
        <v>144</v>
      </c>
      <c r="U573" s="31" t="s">
        <v>144</v>
      </c>
      <c r="V573" s="31" t="s">
        <v>144</v>
      </c>
      <c r="W573" s="31" t="s">
        <v>144</v>
      </c>
      <c r="X573" s="31" t="s">
        <v>144</v>
      </c>
      <c r="Y573" s="31"/>
      <c r="Z573" s="33">
        <v>0.91</v>
      </c>
      <c r="AA573" s="31" t="s">
        <v>144</v>
      </c>
      <c r="AB573" s="31" t="s">
        <v>144</v>
      </c>
      <c r="AC573" s="31" t="s">
        <v>144</v>
      </c>
      <c r="AD573" s="31" t="s">
        <v>144</v>
      </c>
      <c r="AE573" s="31" t="s">
        <v>144</v>
      </c>
      <c r="AF573" s="31" t="s">
        <v>144</v>
      </c>
      <c r="AG573" s="31" t="s">
        <v>144</v>
      </c>
      <c r="AH573" s="31" t="s">
        <v>190</v>
      </c>
      <c r="AI573" s="31" t="s">
        <v>144</v>
      </c>
      <c r="AJ573" s="31" t="s">
        <v>144</v>
      </c>
      <c r="AK573" s="31" t="s">
        <v>144</v>
      </c>
      <c r="AL573" s="31" t="s">
        <v>322</v>
      </c>
      <c r="AM573" s="31" t="s">
        <v>144</v>
      </c>
      <c r="AN573" s="31" t="s">
        <v>163</v>
      </c>
      <c r="AO573" s="31" t="s">
        <v>1325</v>
      </c>
      <c r="AP573" s="31" t="s">
        <v>144</v>
      </c>
      <c r="AQ573" s="31" t="s">
        <v>144</v>
      </c>
      <c r="AR573" s="31" t="s">
        <v>144</v>
      </c>
    </row>
    <row r="574" spans="5:44" ht="15" customHeight="1" x14ac:dyDescent="0.25">
      <c r="E574" s="31" t="s">
        <v>139</v>
      </c>
      <c r="F574" s="31" t="s">
        <v>140</v>
      </c>
      <c r="G574" s="31" t="s">
        <v>195</v>
      </c>
      <c r="H574" s="31" t="s">
        <v>154</v>
      </c>
      <c r="I574" s="31" t="s">
        <v>481</v>
      </c>
      <c r="J574" s="31" t="s">
        <v>872</v>
      </c>
      <c r="K574" s="31" t="s">
        <v>875</v>
      </c>
      <c r="L574" s="31" t="s">
        <v>1050</v>
      </c>
      <c r="M574" s="31" t="s">
        <v>144</v>
      </c>
      <c r="N574" s="31" t="s">
        <v>144</v>
      </c>
      <c r="O574" s="31" t="s">
        <v>144</v>
      </c>
      <c r="P574" s="31" t="s">
        <v>144</v>
      </c>
      <c r="Q574" s="31" t="s">
        <v>1071</v>
      </c>
      <c r="R574" s="31" t="s">
        <v>312</v>
      </c>
      <c r="S574" s="31" t="s">
        <v>144</v>
      </c>
      <c r="T574" s="31" t="s">
        <v>144</v>
      </c>
      <c r="U574" s="31" t="s">
        <v>144</v>
      </c>
      <c r="V574" s="31" t="s">
        <v>144</v>
      </c>
      <c r="W574" s="31" t="s">
        <v>144</v>
      </c>
      <c r="X574" s="31" t="s">
        <v>144</v>
      </c>
      <c r="Y574" s="31"/>
      <c r="Z574" s="33">
        <v>0.91</v>
      </c>
      <c r="AA574" s="31" t="s">
        <v>144</v>
      </c>
      <c r="AB574" s="31" t="s">
        <v>144</v>
      </c>
      <c r="AC574" s="31" t="s">
        <v>144</v>
      </c>
      <c r="AD574" s="31" t="s">
        <v>144</v>
      </c>
      <c r="AE574" s="31" t="s">
        <v>144</v>
      </c>
      <c r="AF574" s="31" t="s">
        <v>144</v>
      </c>
      <c r="AG574" s="31" t="s">
        <v>144</v>
      </c>
      <c r="AH574" s="31" t="s">
        <v>190</v>
      </c>
      <c r="AI574" s="31" t="s">
        <v>144</v>
      </c>
      <c r="AJ574" s="31" t="s">
        <v>144</v>
      </c>
      <c r="AK574" s="31" t="s">
        <v>144</v>
      </c>
      <c r="AL574" s="31" t="s">
        <v>322</v>
      </c>
      <c r="AM574" s="31" t="s">
        <v>144</v>
      </c>
      <c r="AN574" s="31" t="s">
        <v>163</v>
      </c>
      <c r="AO574" s="31" t="s">
        <v>1325</v>
      </c>
      <c r="AP574" s="31" t="s">
        <v>144</v>
      </c>
      <c r="AQ574" s="31" t="s">
        <v>144</v>
      </c>
      <c r="AR574" s="31" t="s">
        <v>144</v>
      </c>
    </row>
    <row r="575" spans="5:44" ht="15" customHeight="1" x14ac:dyDescent="0.25">
      <c r="E575" s="31" t="s">
        <v>139</v>
      </c>
      <c r="F575" s="31" t="s">
        <v>140</v>
      </c>
      <c r="G575" s="31" t="s">
        <v>195</v>
      </c>
      <c r="H575" s="31" t="s">
        <v>154</v>
      </c>
      <c r="I575" s="31" t="s">
        <v>481</v>
      </c>
      <c r="J575" s="31" t="s">
        <v>872</v>
      </c>
      <c r="K575" s="31" t="s">
        <v>876</v>
      </c>
      <c r="L575" s="31" t="s">
        <v>1050</v>
      </c>
      <c r="M575" s="31" t="s">
        <v>144</v>
      </c>
      <c r="N575" s="31" t="s">
        <v>144</v>
      </c>
      <c r="O575" s="31" t="s">
        <v>144</v>
      </c>
      <c r="P575" s="31" t="s">
        <v>144</v>
      </c>
      <c r="Q575" s="31" t="s">
        <v>1071</v>
      </c>
      <c r="R575" s="31" t="s">
        <v>312</v>
      </c>
      <c r="S575" s="31" t="s">
        <v>144</v>
      </c>
      <c r="T575" s="31" t="s">
        <v>144</v>
      </c>
      <c r="U575" s="31" t="s">
        <v>144</v>
      </c>
      <c r="V575" s="31" t="s">
        <v>144</v>
      </c>
      <c r="W575" s="31" t="s">
        <v>144</v>
      </c>
      <c r="X575" s="31" t="s">
        <v>144</v>
      </c>
      <c r="Y575" s="31"/>
      <c r="Z575" s="33">
        <v>0.91</v>
      </c>
      <c r="AA575" s="31" t="s">
        <v>144</v>
      </c>
      <c r="AB575" s="31" t="s">
        <v>144</v>
      </c>
      <c r="AC575" s="31" t="s">
        <v>144</v>
      </c>
      <c r="AD575" s="31" t="s">
        <v>144</v>
      </c>
      <c r="AE575" s="31" t="s">
        <v>144</v>
      </c>
      <c r="AF575" s="31" t="s">
        <v>144</v>
      </c>
      <c r="AG575" s="31" t="s">
        <v>144</v>
      </c>
      <c r="AH575" s="31" t="s">
        <v>190</v>
      </c>
      <c r="AI575" s="31" t="s">
        <v>144</v>
      </c>
      <c r="AJ575" s="31" t="s">
        <v>144</v>
      </c>
      <c r="AK575" s="31" t="s">
        <v>144</v>
      </c>
      <c r="AL575" s="31" t="s">
        <v>322</v>
      </c>
      <c r="AM575" s="31" t="s">
        <v>144</v>
      </c>
      <c r="AN575" s="31" t="s">
        <v>163</v>
      </c>
      <c r="AO575" s="31" t="s">
        <v>1325</v>
      </c>
      <c r="AP575" s="31" t="s">
        <v>144</v>
      </c>
      <c r="AQ575" s="31" t="s">
        <v>144</v>
      </c>
      <c r="AR575" s="31" t="s">
        <v>144</v>
      </c>
    </row>
    <row r="576" spans="5:44" ht="15" customHeight="1" x14ac:dyDescent="0.25"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3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</row>
    <row r="577" spans="5:44" ht="15" customHeight="1" x14ac:dyDescent="0.25"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3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</row>
    <row r="578" spans="5:44" ht="15" customHeight="1" x14ac:dyDescent="0.25">
      <c r="E578" s="31" t="s">
        <v>139</v>
      </c>
      <c r="F578" s="31" t="s">
        <v>140</v>
      </c>
      <c r="G578" s="31" t="s">
        <v>195</v>
      </c>
      <c r="H578" s="31" t="s">
        <v>154</v>
      </c>
      <c r="I578" s="31" t="s">
        <v>481</v>
      </c>
      <c r="J578" s="31" t="s">
        <v>877</v>
      </c>
      <c r="K578" s="31" t="s">
        <v>878</v>
      </c>
      <c r="L578" s="31" t="s">
        <v>1050</v>
      </c>
      <c r="M578" s="31" t="s">
        <v>144</v>
      </c>
      <c r="N578" s="31" t="s">
        <v>144</v>
      </c>
      <c r="O578" s="31" t="s">
        <v>144</v>
      </c>
      <c r="P578" s="31" t="s">
        <v>144</v>
      </c>
      <c r="Q578" s="31" t="s">
        <v>1071</v>
      </c>
      <c r="R578" s="31" t="s">
        <v>312</v>
      </c>
      <c r="S578" s="31" t="s">
        <v>144</v>
      </c>
      <c r="T578" s="31" t="s">
        <v>144</v>
      </c>
      <c r="U578" s="31" t="s">
        <v>144</v>
      </c>
      <c r="V578" s="31" t="s">
        <v>144</v>
      </c>
      <c r="W578" s="31" t="s">
        <v>144</v>
      </c>
      <c r="X578" s="31" t="s">
        <v>144</v>
      </c>
      <c r="Y578" s="31"/>
      <c r="Z578" s="33">
        <v>0.91</v>
      </c>
      <c r="AA578" s="31" t="s">
        <v>144</v>
      </c>
      <c r="AB578" s="31" t="s">
        <v>144</v>
      </c>
      <c r="AC578" s="31" t="s">
        <v>144</v>
      </c>
      <c r="AD578" s="31" t="s">
        <v>144</v>
      </c>
      <c r="AE578" s="31" t="s">
        <v>144</v>
      </c>
      <c r="AF578" s="31" t="s">
        <v>144</v>
      </c>
      <c r="AG578" s="31" t="s">
        <v>144</v>
      </c>
      <c r="AH578" s="31" t="s">
        <v>190</v>
      </c>
      <c r="AI578" s="31" t="s">
        <v>144</v>
      </c>
      <c r="AJ578" s="31" t="s">
        <v>144</v>
      </c>
      <c r="AK578" s="31" t="s">
        <v>144</v>
      </c>
      <c r="AL578" s="31" t="s">
        <v>322</v>
      </c>
      <c r="AM578" s="31" t="s">
        <v>144</v>
      </c>
      <c r="AN578" s="31" t="s">
        <v>163</v>
      </c>
      <c r="AO578" s="31" t="s">
        <v>1325</v>
      </c>
      <c r="AP578" s="31" t="s">
        <v>144</v>
      </c>
      <c r="AQ578" s="31" t="s">
        <v>144</v>
      </c>
      <c r="AR578" s="31" t="s">
        <v>144</v>
      </c>
    </row>
    <row r="579" spans="5:44" ht="15" customHeight="1" x14ac:dyDescent="0.25">
      <c r="E579" s="31" t="s">
        <v>139</v>
      </c>
      <c r="F579" s="31" t="s">
        <v>140</v>
      </c>
      <c r="G579" s="31" t="s">
        <v>195</v>
      </c>
      <c r="H579" s="31" t="s">
        <v>154</v>
      </c>
      <c r="I579" s="31" t="s">
        <v>481</v>
      </c>
      <c r="J579" s="31" t="s">
        <v>877</v>
      </c>
      <c r="K579" s="31" t="s">
        <v>879</v>
      </c>
      <c r="L579" s="31" t="s">
        <v>1050</v>
      </c>
      <c r="M579" s="31" t="s">
        <v>144</v>
      </c>
      <c r="N579" s="31" t="s">
        <v>144</v>
      </c>
      <c r="O579" s="31" t="s">
        <v>144</v>
      </c>
      <c r="P579" s="31" t="s">
        <v>144</v>
      </c>
      <c r="Q579" s="31" t="s">
        <v>1071</v>
      </c>
      <c r="R579" s="31" t="s">
        <v>312</v>
      </c>
      <c r="S579" s="31" t="s">
        <v>144</v>
      </c>
      <c r="T579" s="31" t="s">
        <v>144</v>
      </c>
      <c r="U579" s="31" t="s">
        <v>144</v>
      </c>
      <c r="V579" s="31" t="s">
        <v>144</v>
      </c>
      <c r="W579" s="31" t="s">
        <v>144</v>
      </c>
      <c r="X579" s="31" t="s">
        <v>144</v>
      </c>
      <c r="Y579" s="31"/>
      <c r="Z579" s="33">
        <v>0.91</v>
      </c>
      <c r="AA579" s="31" t="s">
        <v>144</v>
      </c>
      <c r="AB579" s="31" t="s">
        <v>144</v>
      </c>
      <c r="AC579" s="31" t="s">
        <v>144</v>
      </c>
      <c r="AD579" s="31" t="s">
        <v>144</v>
      </c>
      <c r="AE579" s="31" t="s">
        <v>144</v>
      </c>
      <c r="AF579" s="31" t="s">
        <v>144</v>
      </c>
      <c r="AG579" s="31" t="s">
        <v>144</v>
      </c>
      <c r="AH579" s="31" t="s">
        <v>190</v>
      </c>
      <c r="AI579" s="31" t="s">
        <v>144</v>
      </c>
      <c r="AJ579" s="31" t="s">
        <v>144</v>
      </c>
      <c r="AK579" s="31" t="s">
        <v>144</v>
      </c>
      <c r="AL579" s="31" t="s">
        <v>322</v>
      </c>
      <c r="AM579" s="31" t="s">
        <v>144</v>
      </c>
      <c r="AN579" s="31" t="s">
        <v>163</v>
      </c>
      <c r="AO579" s="31" t="s">
        <v>1325</v>
      </c>
      <c r="AP579" s="31" t="s">
        <v>144</v>
      </c>
      <c r="AQ579" s="31" t="s">
        <v>144</v>
      </c>
      <c r="AR579" s="31" t="s">
        <v>144</v>
      </c>
    </row>
    <row r="580" spans="5:44" ht="15" customHeight="1" x14ac:dyDescent="0.25">
      <c r="E580" s="31" t="s">
        <v>139</v>
      </c>
      <c r="F580" s="31" t="s">
        <v>140</v>
      </c>
      <c r="G580" s="31" t="s">
        <v>195</v>
      </c>
      <c r="H580" s="31" t="s">
        <v>154</v>
      </c>
      <c r="I580" s="31" t="s">
        <v>481</v>
      </c>
      <c r="J580" s="31" t="s">
        <v>877</v>
      </c>
      <c r="K580" s="31" t="s">
        <v>880</v>
      </c>
      <c r="L580" s="31" t="s">
        <v>1050</v>
      </c>
      <c r="M580" s="31" t="s">
        <v>144</v>
      </c>
      <c r="N580" s="31" t="s">
        <v>144</v>
      </c>
      <c r="O580" s="31" t="s">
        <v>144</v>
      </c>
      <c r="P580" s="31" t="s">
        <v>144</v>
      </c>
      <c r="Q580" s="31" t="s">
        <v>1071</v>
      </c>
      <c r="R580" s="31" t="s">
        <v>312</v>
      </c>
      <c r="S580" s="31" t="s">
        <v>144</v>
      </c>
      <c r="T580" s="31" t="s">
        <v>144</v>
      </c>
      <c r="U580" s="31" t="s">
        <v>144</v>
      </c>
      <c r="V580" s="31" t="s">
        <v>144</v>
      </c>
      <c r="W580" s="31" t="s">
        <v>144</v>
      </c>
      <c r="X580" s="31" t="s">
        <v>144</v>
      </c>
      <c r="Y580" s="31"/>
      <c r="Z580" s="33">
        <v>0.91</v>
      </c>
      <c r="AA580" s="31" t="s">
        <v>144</v>
      </c>
      <c r="AB580" s="31" t="s">
        <v>144</v>
      </c>
      <c r="AC580" s="31" t="s">
        <v>144</v>
      </c>
      <c r="AD580" s="31" t="s">
        <v>144</v>
      </c>
      <c r="AE580" s="31" t="s">
        <v>144</v>
      </c>
      <c r="AF580" s="31" t="s">
        <v>144</v>
      </c>
      <c r="AG580" s="31" t="s">
        <v>144</v>
      </c>
      <c r="AH580" s="31" t="s">
        <v>190</v>
      </c>
      <c r="AI580" s="31" t="s">
        <v>144</v>
      </c>
      <c r="AJ580" s="31" t="s">
        <v>144</v>
      </c>
      <c r="AK580" s="31" t="s">
        <v>144</v>
      </c>
      <c r="AL580" s="31" t="s">
        <v>322</v>
      </c>
      <c r="AM580" s="31" t="s">
        <v>144</v>
      </c>
      <c r="AN580" s="31" t="s">
        <v>163</v>
      </c>
      <c r="AO580" s="31" t="s">
        <v>1325</v>
      </c>
      <c r="AP580" s="31" t="s">
        <v>144</v>
      </c>
      <c r="AQ580" s="31" t="s">
        <v>144</v>
      </c>
      <c r="AR580" s="31" t="s">
        <v>144</v>
      </c>
    </row>
    <row r="581" spans="5:44" ht="15" customHeight="1" x14ac:dyDescent="0.25">
      <c r="E581" s="31" t="s">
        <v>139</v>
      </c>
      <c r="F581" s="31" t="s">
        <v>140</v>
      </c>
      <c r="G581" s="31" t="s">
        <v>195</v>
      </c>
      <c r="H581" s="31" t="s">
        <v>154</v>
      </c>
      <c r="I581" s="31" t="s">
        <v>481</v>
      </c>
      <c r="J581" s="31" t="s">
        <v>877</v>
      </c>
      <c r="K581" s="31" t="s">
        <v>881</v>
      </c>
      <c r="L581" s="31" t="s">
        <v>1050</v>
      </c>
      <c r="M581" s="31" t="s">
        <v>144</v>
      </c>
      <c r="N581" s="31" t="s">
        <v>144</v>
      </c>
      <c r="O581" s="31" t="s">
        <v>144</v>
      </c>
      <c r="P581" s="31" t="s">
        <v>144</v>
      </c>
      <c r="Q581" s="31" t="s">
        <v>1071</v>
      </c>
      <c r="R581" s="31" t="s">
        <v>312</v>
      </c>
      <c r="S581" s="31" t="s">
        <v>144</v>
      </c>
      <c r="T581" s="31" t="s">
        <v>144</v>
      </c>
      <c r="U581" s="31" t="s">
        <v>144</v>
      </c>
      <c r="V581" s="31" t="s">
        <v>144</v>
      </c>
      <c r="W581" s="31" t="s">
        <v>144</v>
      </c>
      <c r="X581" s="31" t="s">
        <v>144</v>
      </c>
      <c r="Y581" s="31"/>
      <c r="Z581" s="33">
        <v>0.91</v>
      </c>
      <c r="AA581" s="31" t="s">
        <v>144</v>
      </c>
      <c r="AB581" s="31" t="s">
        <v>144</v>
      </c>
      <c r="AC581" s="31" t="s">
        <v>144</v>
      </c>
      <c r="AD581" s="31" t="s">
        <v>144</v>
      </c>
      <c r="AE581" s="31" t="s">
        <v>144</v>
      </c>
      <c r="AF581" s="31" t="s">
        <v>144</v>
      </c>
      <c r="AG581" s="31" t="s">
        <v>144</v>
      </c>
      <c r="AH581" s="31" t="s">
        <v>190</v>
      </c>
      <c r="AI581" s="31" t="s">
        <v>144</v>
      </c>
      <c r="AJ581" s="31" t="s">
        <v>144</v>
      </c>
      <c r="AK581" s="31" t="s">
        <v>144</v>
      </c>
      <c r="AL581" s="31" t="s">
        <v>322</v>
      </c>
      <c r="AM581" s="31" t="s">
        <v>144</v>
      </c>
      <c r="AN581" s="31" t="s">
        <v>163</v>
      </c>
      <c r="AO581" s="31" t="s">
        <v>1325</v>
      </c>
      <c r="AP581" s="31" t="s">
        <v>144</v>
      </c>
      <c r="AQ581" s="31" t="s">
        <v>144</v>
      </c>
      <c r="AR581" s="31" t="s">
        <v>144</v>
      </c>
    </row>
    <row r="582" spans="5:44" ht="15" customHeight="1" x14ac:dyDescent="0.25">
      <c r="E582" s="31" t="s">
        <v>139</v>
      </c>
      <c r="F582" s="31" t="s">
        <v>140</v>
      </c>
      <c r="G582" s="31" t="s">
        <v>195</v>
      </c>
      <c r="H582" s="31" t="s">
        <v>154</v>
      </c>
      <c r="I582" s="31" t="s">
        <v>481</v>
      </c>
      <c r="J582" s="31" t="s">
        <v>877</v>
      </c>
      <c r="K582" s="31" t="s">
        <v>882</v>
      </c>
      <c r="L582" s="31" t="s">
        <v>1050</v>
      </c>
      <c r="M582" s="31" t="s">
        <v>144</v>
      </c>
      <c r="N582" s="31" t="s">
        <v>144</v>
      </c>
      <c r="O582" s="31" t="s">
        <v>144</v>
      </c>
      <c r="P582" s="31" t="s">
        <v>144</v>
      </c>
      <c r="Q582" s="31" t="s">
        <v>1071</v>
      </c>
      <c r="R582" s="31" t="s">
        <v>312</v>
      </c>
      <c r="S582" s="31" t="s">
        <v>144</v>
      </c>
      <c r="T582" s="31" t="s">
        <v>144</v>
      </c>
      <c r="U582" s="31" t="s">
        <v>144</v>
      </c>
      <c r="V582" s="31" t="s">
        <v>144</v>
      </c>
      <c r="W582" s="31" t="s">
        <v>144</v>
      </c>
      <c r="X582" s="31" t="s">
        <v>144</v>
      </c>
      <c r="Y582" s="31"/>
      <c r="Z582" s="33">
        <v>0.91</v>
      </c>
      <c r="AA582" s="31" t="s">
        <v>144</v>
      </c>
      <c r="AB582" s="31" t="s">
        <v>144</v>
      </c>
      <c r="AC582" s="31" t="s">
        <v>144</v>
      </c>
      <c r="AD582" s="31" t="s">
        <v>144</v>
      </c>
      <c r="AE582" s="31" t="s">
        <v>144</v>
      </c>
      <c r="AF582" s="31" t="s">
        <v>144</v>
      </c>
      <c r="AG582" s="31" t="s">
        <v>144</v>
      </c>
      <c r="AH582" s="31" t="s">
        <v>190</v>
      </c>
      <c r="AI582" s="31" t="s">
        <v>144</v>
      </c>
      <c r="AJ582" s="31" t="s">
        <v>144</v>
      </c>
      <c r="AK582" s="31" t="s">
        <v>144</v>
      </c>
      <c r="AL582" s="31" t="s">
        <v>322</v>
      </c>
      <c r="AM582" s="31" t="s">
        <v>144</v>
      </c>
      <c r="AN582" s="31" t="s">
        <v>163</v>
      </c>
      <c r="AO582" s="31" t="s">
        <v>1325</v>
      </c>
      <c r="AP582" s="31" t="s">
        <v>144</v>
      </c>
      <c r="AQ582" s="31" t="s">
        <v>144</v>
      </c>
      <c r="AR582" s="31" t="s">
        <v>144</v>
      </c>
    </row>
    <row r="583" spans="5:44" ht="15" customHeight="1" x14ac:dyDescent="0.25">
      <c r="E583" s="31" t="s">
        <v>139</v>
      </c>
      <c r="F583" s="31" t="s">
        <v>140</v>
      </c>
      <c r="G583" s="31" t="s">
        <v>195</v>
      </c>
      <c r="H583" s="31" t="s">
        <v>154</v>
      </c>
      <c r="I583" s="31" t="s">
        <v>481</v>
      </c>
      <c r="J583" s="31" t="s">
        <v>877</v>
      </c>
      <c r="K583" s="31" t="s">
        <v>883</v>
      </c>
      <c r="L583" s="31" t="s">
        <v>1050</v>
      </c>
      <c r="M583" s="31" t="s">
        <v>144</v>
      </c>
      <c r="N583" s="31" t="s">
        <v>144</v>
      </c>
      <c r="O583" s="31" t="s">
        <v>144</v>
      </c>
      <c r="P583" s="31" t="s">
        <v>144</v>
      </c>
      <c r="Q583" s="31" t="s">
        <v>1071</v>
      </c>
      <c r="R583" s="31" t="s">
        <v>312</v>
      </c>
      <c r="S583" s="31" t="s">
        <v>144</v>
      </c>
      <c r="T583" s="31" t="s">
        <v>144</v>
      </c>
      <c r="U583" s="31" t="s">
        <v>144</v>
      </c>
      <c r="V583" s="31" t="s">
        <v>144</v>
      </c>
      <c r="W583" s="31" t="s">
        <v>144</v>
      </c>
      <c r="X583" s="31" t="s">
        <v>144</v>
      </c>
      <c r="Y583" s="31"/>
      <c r="Z583" s="33">
        <v>0.91</v>
      </c>
      <c r="AA583" s="31" t="s">
        <v>144</v>
      </c>
      <c r="AB583" s="31" t="s">
        <v>144</v>
      </c>
      <c r="AC583" s="31" t="s">
        <v>144</v>
      </c>
      <c r="AD583" s="31" t="s">
        <v>144</v>
      </c>
      <c r="AE583" s="31" t="s">
        <v>144</v>
      </c>
      <c r="AF583" s="31" t="s">
        <v>144</v>
      </c>
      <c r="AG583" s="31" t="s">
        <v>144</v>
      </c>
      <c r="AH583" s="31" t="s">
        <v>190</v>
      </c>
      <c r="AI583" s="31" t="s">
        <v>144</v>
      </c>
      <c r="AJ583" s="31" t="s">
        <v>144</v>
      </c>
      <c r="AK583" s="31" t="s">
        <v>144</v>
      </c>
      <c r="AL583" s="31" t="s">
        <v>322</v>
      </c>
      <c r="AM583" s="31" t="s">
        <v>144</v>
      </c>
      <c r="AN583" s="31" t="s">
        <v>163</v>
      </c>
      <c r="AO583" s="31" t="s">
        <v>1325</v>
      </c>
      <c r="AP583" s="31" t="s">
        <v>144</v>
      </c>
      <c r="AQ583" s="31" t="s">
        <v>144</v>
      </c>
      <c r="AR583" s="31" t="s">
        <v>144</v>
      </c>
    </row>
    <row r="584" spans="5:44" ht="15" customHeight="1" x14ac:dyDescent="0.25">
      <c r="E584" s="31" t="s">
        <v>139</v>
      </c>
      <c r="F584" s="31" t="s">
        <v>140</v>
      </c>
      <c r="G584" s="31" t="s">
        <v>195</v>
      </c>
      <c r="H584" s="31" t="s">
        <v>154</v>
      </c>
      <c r="I584" s="31" t="s">
        <v>481</v>
      </c>
      <c r="J584" s="31" t="s">
        <v>877</v>
      </c>
      <c r="K584" s="31" t="s">
        <v>884</v>
      </c>
      <c r="L584" s="31" t="s">
        <v>1050</v>
      </c>
      <c r="M584" s="31" t="s">
        <v>144</v>
      </c>
      <c r="N584" s="31" t="s">
        <v>144</v>
      </c>
      <c r="O584" s="31" t="s">
        <v>144</v>
      </c>
      <c r="P584" s="31" t="s">
        <v>144</v>
      </c>
      <c r="Q584" s="31" t="s">
        <v>1071</v>
      </c>
      <c r="R584" s="31" t="s">
        <v>312</v>
      </c>
      <c r="S584" s="31" t="s">
        <v>144</v>
      </c>
      <c r="T584" s="31" t="s">
        <v>144</v>
      </c>
      <c r="U584" s="31" t="s">
        <v>144</v>
      </c>
      <c r="V584" s="31" t="s">
        <v>144</v>
      </c>
      <c r="W584" s="31" t="s">
        <v>144</v>
      </c>
      <c r="X584" s="31" t="s">
        <v>144</v>
      </c>
      <c r="Y584" s="31"/>
      <c r="Z584" s="33">
        <v>0.91</v>
      </c>
      <c r="AA584" s="31" t="s">
        <v>144</v>
      </c>
      <c r="AB584" s="31" t="s">
        <v>144</v>
      </c>
      <c r="AC584" s="31" t="s">
        <v>144</v>
      </c>
      <c r="AD584" s="31" t="s">
        <v>144</v>
      </c>
      <c r="AE584" s="31" t="s">
        <v>144</v>
      </c>
      <c r="AF584" s="31" t="s">
        <v>144</v>
      </c>
      <c r="AG584" s="31" t="s">
        <v>144</v>
      </c>
      <c r="AH584" s="31" t="s">
        <v>190</v>
      </c>
      <c r="AI584" s="31" t="s">
        <v>144</v>
      </c>
      <c r="AJ584" s="31" t="s">
        <v>144</v>
      </c>
      <c r="AK584" s="31" t="s">
        <v>144</v>
      </c>
      <c r="AL584" s="31" t="s">
        <v>322</v>
      </c>
      <c r="AM584" s="31" t="s">
        <v>144</v>
      </c>
      <c r="AN584" s="31" t="s">
        <v>163</v>
      </c>
      <c r="AO584" s="31" t="s">
        <v>1325</v>
      </c>
      <c r="AP584" s="31" t="s">
        <v>144</v>
      </c>
      <c r="AQ584" s="31" t="s">
        <v>144</v>
      </c>
      <c r="AR584" s="31" t="s">
        <v>144</v>
      </c>
    </row>
    <row r="585" spans="5:44" ht="15" customHeight="1" x14ac:dyDescent="0.25">
      <c r="E585" s="31" t="s">
        <v>139</v>
      </c>
      <c r="F585" s="31" t="s">
        <v>140</v>
      </c>
      <c r="G585" s="31" t="s">
        <v>195</v>
      </c>
      <c r="H585" s="31" t="s">
        <v>154</v>
      </c>
      <c r="I585" s="31" t="s">
        <v>481</v>
      </c>
      <c r="J585" s="31" t="s">
        <v>877</v>
      </c>
      <c r="K585" s="31" t="s">
        <v>887</v>
      </c>
      <c r="L585" s="31" t="s">
        <v>1050</v>
      </c>
      <c r="M585" s="31" t="s">
        <v>144</v>
      </c>
      <c r="N585" s="31" t="s">
        <v>144</v>
      </c>
      <c r="O585" s="31" t="s">
        <v>144</v>
      </c>
      <c r="P585" s="31" t="s">
        <v>144</v>
      </c>
      <c r="Q585" s="31" t="s">
        <v>1071</v>
      </c>
      <c r="R585" s="31" t="s">
        <v>312</v>
      </c>
      <c r="S585" s="31" t="s">
        <v>144</v>
      </c>
      <c r="T585" s="31" t="s">
        <v>144</v>
      </c>
      <c r="U585" s="31" t="s">
        <v>144</v>
      </c>
      <c r="V585" s="31" t="s">
        <v>144</v>
      </c>
      <c r="W585" s="31" t="s">
        <v>144</v>
      </c>
      <c r="X585" s="31" t="s">
        <v>144</v>
      </c>
      <c r="Y585" s="31"/>
      <c r="Z585" s="33">
        <v>0.91</v>
      </c>
      <c r="AA585" s="31" t="s">
        <v>144</v>
      </c>
      <c r="AB585" s="31" t="s">
        <v>144</v>
      </c>
      <c r="AC585" s="31" t="s">
        <v>144</v>
      </c>
      <c r="AD585" s="31" t="s">
        <v>144</v>
      </c>
      <c r="AE585" s="31" t="s">
        <v>144</v>
      </c>
      <c r="AF585" s="31" t="s">
        <v>144</v>
      </c>
      <c r="AG585" s="31" t="s">
        <v>144</v>
      </c>
      <c r="AH585" s="31" t="s">
        <v>190</v>
      </c>
      <c r="AI585" s="31" t="s">
        <v>144</v>
      </c>
      <c r="AJ585" s="31" t="s">
        <v>144</v>
      </c>
      <c r="AK585" s="31" t="s">
        <v>144</v>
      </c>
      <c r="AL585" s="31" t="s">
        <v>322</v>
      </c>
      <c r="AM585" s="31" t="s">
        <v>144</v>
      </c>
      <c r="AN585" s="31" t="s">
        <v>163</v>
      </c>
      <c r="AO585" s="31" t="s">
        <v>1325</v>
      </c>
      <c r="AP585" s="31" t="s">
        <v>144</v>
      </c>
      <c r="AQ585" s="31" t="s">
        <v>144</v>
      </c>
      <c r="AR585" s="31" t="s">
        <v>144</v>
      </c>
    </row>
    <row r="586" spans="5:44" ht="15" customHeight="1" x14ac:dyDescent="0.25">
      <c r="E586" s="31" t="s">
        <v>139</v>
      </c>
      <c r="F586" s="31" t="s">
        <v>140</v>
      </c>
      <c r="G586" s="31" t="s">
        <v>195</v>
      </c>
      <c r="H586" s="31" t="s">
        <v>154</v>
      </c>
      <c r="I586" s="31" t="s">
        <v>481</v>
      </c>
      <c r="J586" s="31" t="s">
        <v>877</v>
      </c>
      <c r="K586" s="31" t="s">
        <v>890</v>
      </c>
      <c r="L586" s="31" t="s">
        <v>1050</v>
      </c>
      <c r="M586" s="31" t="s">
        <v>144</v>
      </c>
      <c r="N586" s="31" t="s">
        <v>144</v>
      </c>
      <c r="O586" s="31" t="s">
        <v>144</v>
      </c>
      <c r="P586" s="31" t="s">
        <v>144</v>
      </c>
      <c r="Q586" s="31" t="s">
        <v>1071</v>
      </c>
      <c r="R586" s="31" t="s">
        <v>312</v>
      </c>
      <c r="S586" s="31" t="s">
        <v>144</v>
      </c>
      <c r="T586" s="31" t="s">
        <v>144</v>
      </c>
      <c r="U586" s="31" t="s">
        <v>144</v>
      </c>
      <c r="V586" s="31" t="s">
        <v>144</v>
      </c>
      <c r="W586" s="31" t="s">
        <v>144</v>
      </c>
      <c r="X586" s="31" t="s">
        <v>144</v>
      </c>
      <c r="Y586" s="31"/>
      <c r="Z586" s="33">
        <v>0.91</v>
      </c>
      <c r="AA586" s="31" t="s">
        <v>144</v>
      </c>
      <c r="AB586" s="31" t="s">
        <v>144</v>
      </c>
      <c r="AC586" s="31" t="s">
        <v>144</v>
      </c>
      <c r="AD586" s="31" t="s">
        <v>144</v>
      </c>
      <c r="AE586" s="31" t="s">
        <v>144</v>
      </c>
      <c r="AF586" s="31" t="s">
        <v>144</v>
      </c>
      <c r="AG586" s="31" t="s">
        <v>144</v>
      </c>
      <c r="AH586" s="31" t="s">
        <v>190</v>
      </c>
      <c r="AI586" s="31" t="s">
        <v>144</v>
      </c>
      <c r="AJ586" s="31" t="s">
        <v>144</v>
      </c>
      <c r="AK586" s="31" t="s">
        <v>144</v>
      </c>
      <c r="AL586" s="31" t="s">
        <v>322</v>
      </c>
      <c r="AM586" s="31" t="s">
        <v>144</v>
      </c>
      <c r="AN586" s="31" t="s">
        <v>163</v>
      </c>
      <c r="AO586" s="31" t="s">
        <v>1325</v>
      </c>
      <c r="AP586" s="31" t="s">
        <v>144</v>
      </c>
      <c r="AQ586" s="31" t="s">
        <v>144</v>
      </c>
      <c r="AR586" s="31" t="s">
        <v>144</v>
      </c>
    </row>
    <row r="587" spans="5:44" ht="15" customHeight="1" x14ac:dyDescent="0.25">
      <c r="E587" s="31" t="s">
        <v>139</v>
      </c>
      <c r="F587" s="31" t="s">
        <v>140</v>
      </c>
      <c r="G587" s="31" t="s">
        <v>195</v>
      </c>
      <c r="H587" s="31" t="s">
        <v>154</v>
      </c>
      <c r="I587" s="31" t="s">
        <v>481</v>
      </c>
      <c r="J587" s="31" t="s">
        <v>877</v>
      </c>
      <c r="K587" s="31" t="s">
        <v>893</v>
      </c>
      <c r="L587" s="31" t="s">
        <v>1050</v>
      </c>
      <c r="M587" s="31" t="s">
        <v>144</v>
      </c>
      <c r="N587" s="31" t="s">
        <v>144</v>
      </c>
      <c r="O587" s="31" t="s">
        <v>144</v>
      </c>
      <c r="P587" s="31" t="s">
        <v>144</v>
      </c>
      <c r="Q587" s="31" t="s">
        <v>1071</v>
      </c>
      <c r="R587" s="31" t="s">
        <v>312</v>
      </c>
      <c r="S587" s="31" t="s">
        <v>144</v>
      </c>
      <c r="T587" s="31" t="s">
        <v>144</v>
      </c>
      <c r="U587" s="31" t="s">
        <v>144</v>
      </c>
      <c r="V587" s="31" t="s">
        <v>144</v>
      </c>
      <c r="W587" s="31" t="s">
        <v>144</v>
      </c>
      <c r="X587" s="31" t="s">
        <v>144</v>
      </c>
      <c r="Y587" s="31"/>
      <c r="Z587" s="33">
        <v>0.91</v>
      </c>
      <c r="AA587" s="31" t="s">
        <v>144</v>
      </c>
      <c r="AB587" s="31" t="s">
        <v>144</v>
      </c>
      <c r="AC587" s="31" t="s">
        <v>144</v>
      </c>
      <c r="AD587" s="31" t="s">
        <v>144</v>
      </c>
      <c r="AE587" s="31" t="s">
        <v>144</v>
      </c>
      <c r="AF587" s="31" t="s">
        <v>144</v>
      </c>
      <c r="AG587" s="31" t="s">
        <v>144</v>
      </c>
      <c r="AH587" s="31" t="s">
        <v>190</v>
      </c>
      <c r="AI587" s="31" t="s">
        <v>144</v>
      </c>
      <c r="AJ587" s="31" t="s">
        <v>144</v>
      </c>
      <c r="AK587" s="31" t="s">
        <v>144</v>
      </c>
      <c r="AL587" s="31" t="s">
        <v>322</v>
      </c>
      <c r="AM587" s="31" t="s">
        <v>144</v>
      </c>
      <c r="AN587" s="31" t="s">
        <v>163</v>
      </c>
      <c r="AO587" s="31" t="s">
        <v>1325</v>
      </c>
      <c r="AP587" s="31" t="s">
        <v>144</v>
      </c>
      <c r="AQ587" s="31" t="s">
        <v>144</v>
      </c>
      <c r="AR587" s="31" t="s">
        <v>144</v>
      </c>
    </row>
    <row r="588" spans="5:44" ht="15" customHeight="1" x14ac:dyDescent="0.25">
      <c r="E588" s="31" t="s">
        <v>139</v>
      </c>
      <c r="F588" s="31" t="s">
        <v>140</v>
      </c>
      <c r="G588" s="31" t="s">
        <v>195</v>
      </c>
      <c r="H588" s="31" t="s">
        <v>154</v>
      </c>
      <c r="I588" s="31" t="s">
        <v>481</v>
      </c>
      <c r="J588" s="31" t="s">
        <v>877</v>
      </c>
      <c r="K588" s="31" t="s">
        <v>896</v>
      </c>
      <c r="L588" s="31" t="s">
        <v>1050</v>
      </c>
      <c r="M588" s="31" t="s">
        <v>144</v>
      </c>
      <c r="N588" s="31" t="s">
        <v>144</v>
      </c>
      <c r="O588" s="31" t="s">
        <v>144</v>
      </c>
      <c r="P588" s="31" t="s">
        <v>144</v>
      </c>
      <c r="Q588" s="31" t="s">
        <v>1071</v>
      </c>
      <c r="R588" s="31" t="s">
        <v>312</v>
      </c>
      <c r="S588" s="31" t="s">
        <v>144</v>
      </c>
      <c r="T588" s="31" t="s">
        <v>144</v>
      </c>
      <c r="U588" s="31" t="s">
        <v>144</v>
      </c>
      <c r="V588" s="31" t="s">
        <v>144</v>
      </c>
      <c r="W588" s="31" t="s">
        <v>144</v>
      </c>
      <c r="X588" s="31" t="s">
        <v>144</v>
      </c>
      <c r="Y588" s="31"/>
      <c r="Z588" s="33">
        <v>0.91</v>
      </c>
      <c r="AA588" s="31" t="s">
        <v>144</v>
      </c>
      <c r="AB588" s="31" t="s">
        <v>144</v>
      </c>
      <c r="AC588" s="31" t="s">
        <v>144</v>
      </c>
      <c r="AD588" s="31" t="s">
        <v>144</v>
      </c>
      <c r="AE588" s="31" t="s">
        <v>144</v>
      </c>
      <c r="AF588" s="31" t="s">
        <v>144</v>
      </c>
      <c r="AG588" s="31" t="s">
        <v>144</v>
      </c>
      <c r="AH588" s="31" t="s">
        <v>190</v>
      </c>
      <c r="AI588" s="31" t="s">
        <v>144</v>
      </c>
      <c r="AJ588" s="31" t="s">
        <v>144</v>
      </c>
      <c r="AK588" s="31" t="s">
        <v>144</v>
      </c>
      <c r="AL588" s="31" t="s">
        <v>322</v>
      </c>
      <c r="AM588" s="31" t="s">
        <v>144</v>
      </c>
      <c r="AN588" s="31" t="s">
        <v>163</v>
      </c>
      <c r="AO588" s="31" t="s">
        <v>1325</v>
      </c>
      <c r="AP588" s="31" t="s">
        <v>144</v>
      </c>
      <c r="AQ588" s="31" t="s">
        <v>144</v>
      </c>
      <c r="AR588" s="31" t="s">
        <v>144</v>
      </c>
    </row>
    <row r="589" spans="5:44" ht="15" customHeight="1" x14ac:dyDescent="0.25">
      <c r="E589" s="31" t="s">
        <v>139</v>
      </c>
      <c r="F589" s="31" t="s">
        <v>140</v>
      </c>
      <c r="G589" s="31" t="s">
        <v>195</v>
      </c>
      <c r="H589" s="31" t="s">
        <v>154</v>
      </c>
      <c r="I589" s="31" t="s">
        <v>481</v>
      </c>
      <c r="J589" s="31" t="s">
        <v>877</v>
      </c>
      <c r="K589" s="31" t="s">
        <v>899</v>
      </c>
      <c r="L589" s="31" t="s">
        <v>1050</v>
      </c>
      <c r="M589" s="31" t="s">
        <v>144</v>
      </c>
      <c r="N589" s="31" t="s">
        <v>144</v>
      </c>
      <c r="O589" s="31" t="s">
        <v>144</v>
      </c>
      <c r="P589" s="31" t="s">
        <v>144</v>
      </c>
      <c r="Q589" s="31" t="s">
        <v>1071</v>
      </c>
      <c r="R589" s="31" t="s">
        <v>312</v>
      </c>
      <c r="S589" s="31" t="s">
        <v>144</v>
      </c>
      <c r="T589" s="31" t="s">
        <v>144</v>
      </c>
      <c r="U589" s="31" t="s">
        <v>144</v>
      </c>
      <c r="V589" s="31" t="s">
        <v>144</v>
      </c>
      <c r="W589" s="31" t="s">
        <v>144</v>
      </c>
      <c r="X589" s="31" t="s">
        <v>144</v>
      </c>
      <c r="Y589" s="31"/>
      <c r="Z589" s="33">
        <v>0.91</v>
      </c>
      <c r="AA589" s="31" t="s">
        <v>144</v>
      </c>
      <c r="AB589" s="31" t="s">
        <v>144</v>
      </c>
      <c r="AC589" s="31" t="s">
        <v>144</v>
      </c>
      <c r="AD589" s="31" t="s">
        <v>144</v>
      </c>
      <c r="AE589" s="31" t="s">
        <v>144</v>
      </c>
      <c r="AF589" s="31" t="s">
        <v>144</v>
      </c>
      <c r="AG589" s="31" t="s">
        <v>144</v>
      </c>
      <c r="AH589" s="31" t="s">
        <v>190</v>
      </c>
      <c r="AI589" s="31" t="s">
        <v>144</v>
      </c>
      <c r="AJ589" s="31" t="s">
        <v>144</v>
      </c>
      <c r="AK589" s="31" t="s">
        <v>144</v>
      </c>
      <c r="AL589" s="31" t="s">
        <v>322</v>
      </c>
      <c r="AM589" s="31" t="s">
        <v>144</v>
      </c>
      <c r="AN589" s="31" t="s">
        <v>163</v>
      </c>
      <c r="AO589" s="31" t="s">
        <v>1325</v>
      </c>
      <c r="AP589" s="31" t="s">
        <v>144</v>
      </c>
      <c r="AQ589" s="31" t="s">
        <v>144</v>
      </c>
      <c r="AR589" s="31" t="s">
        <v>144</v>
      </c>
    </row>
    <row r="590" spans="5:44" ht="15" customHeight="1" x14ac:dyDescent="0.25">
      <c r="E590" s="31" t="s">
        <v>139</v>
      </c>
      <c r="F590" s="31" t="s">
        <v>140</v>
      </c>
      <c r="G590" s="31" t="s">
        <v>195</v>
      </c>
      <c r="H590" s="31" t="s">
        <v>154</v>
      </c>
      <c r="I590" s="31" t="s">
        <v>481</v>
      </c>
      <c r="J590" s="31" t="s">
        <v>877</v>
      </c>
      <c r="K590" s="31" t="s">
        <v>902</v>
      </c>
      <c r="L590" s="31" t="s">
        <v>1050</v>
      </c>
      <c r="M590" s="31" t="s">
        <v>144</v>
      </c>
      <c r="N590" s="31" t="s">
        <v>144</v>
      </c>
      <c r="O590" s="31" t="s">
        <v>144</v>
      </c>
      <c r="P590" s="31" t="s">
        <v>144</v>
      </c>
      <c r="Q590" s="31" t="s">
        <v>1071</v>
      </c>
      <c r="R590" s="31" t="s">
        <v>312</v>
      </c>
      <c r="S590" s="31" t="s">
        <v>144</v>
      </c>
      <c r="T590" s="31" t="s">
        <v>144</v>
      </c>
      <c r="U590" s="31" t="s">
        <v>144</v>
      </c>
      <c r="V590" s="31" t="s">
        <v>144</v>
      </c>
      <c r="W590" s="31" t="s">
        <v>144</v>
      </c>
      <c r="X590" s="31" t="s">
        <v>144</v>
      </c>
      <c r="Y590" s="31"/>
      <c r="Z590" s="33">
        <v>0.91</v>
      </c>
      <c r="AA590" s="31" t="s">
        <v>144</v>
      </c>
      <c r="AB590" s="31" t="s">
        <v>144</v>
      </c>
      <c r="AC590" s="31" t="s">
        <v>144</v>
      </c>
      <c r="AD590" s="31" t="s">
        <v>144</v>
      </c>
      <c r="AE590" s="31" t="s">
        <v>144</v>
      </c>
      <c r="AF590" s="31" t="s">
        <v>144</v>
      </c>
      <c r="AG590" s="31" t="s">
        <v>144</v>
      </c>
      <c r="AH590" s="31" t="s">
        <v>190</v>
      </c>
      <c r="AI590" s="31" t="s">
        <v>144</v>
      </c>
      <c r="AJ590" s="31" t="s">
        <v>144</v>
      </c>
      <c r="AK590" s="31" t="s">
        <v>144</v>
      </c>
      <c r="AL590" s="31" t="s">
        <v>322</v>
      </c>
      <c r="AM590" s="31" t="s">
        <v>144</v>
      </c>
      <c r="AN590" s="31" t="s">
        <v>163</v>
      </c>
      <c r="AO590" s="31" t="s">
        <v>1325</v>
      </c>
      <c r="AP590" s="31" t="s">
        <v>144</v>
      </c>
      <c r="AQ590" s="31" t="s">
        <v>144</v>
      </c>
      <c r="AR590" s="31" t="s">
        <v>144</v>
      </c>
    </row>
    <row r="591" spans="5:44" ht="15" customHeight="1" x14ac:dyDescent="0.25">
      <c r="E591" s="31" t="s">
        <v>139</v>
      </c>
      <c r="F591" s="31" t="s">
        <v>140</v>
      </c>
      <c r="G591" s="31" t="s">
        <v>195</v>
      </c>
      <c r="H591" s="31" t="s">
        <v>154</v>
      </c>
      <c r="I591" s="31" t="s">
        <v>481</v>
      </c>
      <c r="J591" s="31" t="s">
        <v>877</v>
      </c>
      <c r="K591" s="31" t="s">
        <v>905</v>
      </c>
      <c r="L591" s="31" t="s">
        <v>1050</v>
      </c>
      <c r="M591" s="31" t="s">
        <v>144</v>
      </c>
      <c r="N591" s="31" t="s">
        <v>144</v>
      </c>
      <c r="O591" s="31" t="s">
        <v>144</v>
      </c>
      <c r="P591" s="31" t="s">
        <v>144</v>
      </c>
      <c r="Q591" s="31" t="s">
        <v>1071</v>
      </c>
      <c r="R591" s="31" t="s">
        <v>312</v>
      </c>
      <c r="S591" s="31" t="s">
        <v>144</v>
      </c>
      <c r="T591" s="31" t="s">
        <v>144</v>
      </c>
      <c r="U591" s="31" t="s">
        <v>144</v>
      </c>
      <c r="V591" s="31" t="s">
        <v>144</v>
      </c>
      <c r="W591" s="31" t="s">
        <v>144</v>
      </c>
      <c r="X591" s="31" t="s">
        <v>144</v>
      </c>
      <c r="Y591" s="31"/>
      <c r="Z591" s="33">
        <v>0.91</v>
      </c>
      <c r="AA591" s="31" t="s">
        <v>144</v>
      </c>
      <c r="AB591" s="31" t="s">
        <v>144</v>
      </c>
      <c r="AC591" s="31" t="s">
        <v>144</v>
      </c>
      <c r="AD591" s="31" t="s">
        <v>144</v>
      </c>
      <c r="AE591" s="31" t="s">
        <v>144</v>
      </c>
      <c r="AF591" s="31" t="s">
        <v>144</v>
      </c>
      <c r="AG591" s="31" t="s">
        <v>144</v>
      </c>
      <c r="AH591" s="31" t="s">
        <v>190</v>
      </c>
      <c r="AI591" s="31" t="s">
        <v>144</v>
      </c>
      <c r="AJ591" s="31" t="s">
        <v>144</v>
      </c>
      <c r="AK591" s="31" t="s">
        <v>144</v>
      </c>
      <c r="AL591" s="31" t="s">
        <v>322</v>
      </c>
      <c r="AM591" s="31" t="s">
        <v>144</v>
      </c>
      <c r="AN591" s="31" t="s">
        <v>163</v>
      </c>
      <c r="AO591" s="31" t="s">
        <v>1325</v>
      </c>
      <c r="AP591" s="31" t="s">
        <v>144</v>
      </c>
      <c r="AQ591" s="31" t="s">
        <v>144</v>
      </c>
      <c r="AR591" s="31" t="s">
        <v>144</v>
      </c>
    </row>
    <row r="592" spans="5:44" ht="15" customHeight="1" x14ac:dyDescent="0.25">
      <c r="E592" s="31" t="s">
        <v>139</v>
      </c>
      <c r="F592" s="31" t="s">
        <v>140</v>
      </c>
      <c r="G592" s="31" t="s">
        <v>195</v>
      </c>
      <c r="H592" s="31" t="s">
        <v>154</v>
      </c>
      <c r="I592" s="31" t="s">
        <v>481</v>
      </c>
      <c r="J592" s="31" t="s">
        <v>877</v>
      </c>
      <c r="K592" s="31" t="s">
        <v>908</v>
      </c>
      <c r="L592" s="31" t="s">
        <v>1050</v>
      </c>
      <c r="M592" s="31" t="s">
        <v>144</v>
      </c>
      <c r="N592" s="31" t="s">
        <v>144</v>
      </c>
      <c r="O592" s="31" t="s">
        <v>144</v>
      </c>
      <c r="P592" s="31" t="s">
        <v>144</v>
      </c>
      <c r="Q592" s="31" t="s">
        <v>1071</v>
      </c>
      <c r="R592" s="31" t="s">
        <v>312</v>
      </c>
      <c r="S592" s="31" t="s">
        <v>144</v>
      </c>
      <c r="T592" s="31" t="s">
        <v>144</v>
      </c>
      <c r="U592" s="31" t="s">
        <v>144</v>
      </c>
      <c r="V592" s="31" t="s">
        <v>144</v>
      </c>
      <c r="W592" s="31" t="s">
        <v>144</v>
      </c>
      <c r="X592" s="31" t="s">
        <v>144</v>
      </c>
      <c r="Y592" s="31"/>
      <c r="Z592" s="33">
        <v>0.91</v>
      </c>
      <c r="AA592" s="31" t="s">
        <v>144</v>
      </c>
      <c r="AB592" s="31" t="s">
        <v>144</v>
      </c>
      <c r="AC592" s="31" t="s">
        <v>144</v>
      </c>
      <c r="AD592" s="31" t="s">
        <v>144</v>
      </c>
      <c r="AE592" s="31" t="s">
        <v>144</v>
      </c>
      <c r="AF592" s="31" t="s">
        <v>144</v>
      </c>
      <c r="AG592" s="31" t="s">
        <v>144</v>
      </c>
      <c r="AH592" s="31" t="s">
        <v>190</v>
      </c>
      <c r="AI592" s="31" t="s">
        <v>144</v>
      </c>
      <c r="AJ592" s="31" t="s">
        <v>144</v>
      </c>
      <c r="AK592" s="31" t="s">
        <v>144</v>
      </c>
      <c r="AL592" s="31" t="s">
        <v>322</v>
      </c>
      <c r="AM592" s="31" t="s">
        <v>144</v>
      </c>
      <c r="AN592" s="31" t="s">
        <v>163</v>
      </c>
      <c r="AO592" s="31" t="s">
        <v>1325</v>
      </c>
      <c r="AP592" s="31" t="s">
        <v>144</v>
      </c>
      <c r="AQ592" s="31" t="s">
        <v>144</v>
      </c>
      <c r="AR592" s="31" t="s">
        <v>144</v>
      </c>
    </row>
    <row r="593" spans="5:44" ht="15" customHeight="1" x14ac:dyDescent="0.25">
      <c r="E593" s="31" t="s">
        <v>139</v>
      </c>
      <c r="F593" s="31" t="s">
        <v>140</v>
      </c>
      <c r="G593" s="31" t="s">
        <v>195</v>
      </c>
      <c r="H593" s="31" t="s">
        <v>154</v>
      </c>
      <c r="I593" s="31" t="s">
        <v>481</v>
      </c>
      <c r="J593" s="31" t="s">
        <v>877</v>
      </c>
      <c r="K593" s="31" t="s">
        <v>911</v>
      </c>
      <c r="L593" s="31" t="s">
        <v>1050</v>
      </c>
      <c r="M593" s="31" t="s">
        <v>144</v>
      </c>
      <c r="N593" s="31" t="s">
        <v>144</v>
      </c>
      <c r="O593" s="31" t="s">
        <v>144</v>
      </c>
      <c r="P593" s="31" t="s">
        <v>144</v>
      </c>
      <c r="Q593" s="31" t="s">
        <v>1071</v>
      </c>
      <c r="R593" s="31" t="s">
        <v>312</v>
      </c>
      <c r="S593" s="31" t="s">
        <v>144</v>
      </c>
      <c r="T593" s="31" t="s">
        <v>144</v>
      </c>
      <c r="U593" s="31" t="s">
        <v>144</v>
      </c>
      <c r="V593" s="31" t="s">
        <v>144</v>
      </c>
      <c r="W593" s="31" t="s">
        <v>144</v>
      </c>
      <c r="X593" s="31" t="s">
        <v>144</v>
      </c>
      <c r="Y593" s="31"/>
      <c r="Z593" s="33">
        <v>0.91</v>
      </c>
      <c r="AA593" s="31" t="s">
        <v>144</v>
      </c>
      <c r="AB593" s="31" t="s">
        <v>144</v>
      </c>
      <c r="AC593" s="31" t="s">
        <v>144</v>
      </c>
      <c r="AD593" s="31" t="s">
        <v>144</v>
      </c>
      <c r="AE593" s="31" t="s">
        <v>144</v>
      </c>
      <c r="AF593" s="31" t="s">
        <v>144</v>
      </c>
      <c r="AG593" s="31" t="s">
        <v>144</v>
      </c>
      <c r="AH593" s="31" t="s">
        <v>190</v>
      </c>
      <c r="AI593" s="31" t="s">
        <v>144</v>
      </c>
      <c r="AJ593" s="31" t="s">
        <v>144</v>
      </c>
      <c r="AK593" s="31" t="s">
        <v>144</v>
      </c>
      <c r="AL593" s="31" t="s">
        <v>322</v>
      </c>
      <c r="AM593" s="31" t="s">
        <v>144</v>
      </c>
      <c r="AN593" s="31" t="s">
        <v>163</v>
      </c>
      <c r="AO593" s="31" t="s">
        <v>1325</v>
      </c>
      <c r="AP593" s="31" t="s">
        <v>144</v>
      </c>
      <c r="AQ593" s="31" t="s">
        <v>144</v>
      </c>
      <c r="AR593" s="31" t="s">
        <v>144</v>
      </c>
    </row>
    <row r="594" spans="5:44" ht="15" customHeight="1" x14ac:dyDescent="0.25">
      <c r="E594" s="31" t="s">
        <v>139</v>
      </c>
      <c r="F594" s="31" t="s">
        <v>140</v>
      </c>
      <c r="G594" s="31" t="s">
        <v>195</v>
      </c>
      <c r="H594" s="31" t="s">
        <v>154</v>
      </c>
      <c r="I594" s="31" t="s">
        <v>481</v>
      </c>
      <c r="J594" s="31" t="s">
        <v>877</v>
      </c>
      <c r="K594" s="31" t="s">
        <v>914</v>
      </c>
      <c r="L594" s="31" t="s">
        <v>1050</v>
      </c>
      <c r="M594" s="31" t="s">
        <v>144</v>
      </c>
      <c r="N594" s="31" t="s">
        <v>144</v>
      </c>
      <c r="O594" s="31" t="s">
        <v>144</v>
      </c>
      <c r="P594" s="31" t="s">
        <v>144</v>
      </c>
      <c r="Q594" s="31" t="s">
        <v>1071</v>
      </c>
      <c r="R594" s="31" t="s">
        <v>312</v>
      </c>
      <c r="S594" s="31" t="s">
        <v>144</v>
      </c>
      <c r="T594" s="31" t="s">
        <v>144</v>
      </c>
      <c r="U594" s="31" t="s">
        <v>144</v>
      </c>
      <c r="V594" s="31" t="s">
        <v>144</v>
      </c>
      <c r="W594" s="31" t="s">
        <v>144</v>
      </c>
      <c r="X594" s="31" t="s">
        <v>144</v>
      </c>
      <c r="Y594" s="31"/>
      <c r="Z594" s="33">
        <v>0.91</v>
      </c>
      <c r="AA594" s="31" t="s">
        <v>144</v>
      </c>
      <c r="AB594" s="31" t="s">
        <v>144</v>
      </c>
      <c r="AC594" s="31" t="s">
        <v>144</v>
      </c>
      <c r="AD594" s="31" t="s">
        <v>144</v>
      </c>
      <c r="AE594" s="31" t="s">
        <v>144</v>
      </c>
      <c r="AF594" s="31" t="s">
        <v>144</v>
      </c>
      <c r="AG594" s="31" t="s">
        <v>144</v>
      </c>
      <c r="AH594" s="31" t="s">
        <v>190</v>
      </c>
      <c r="AI594" s="31" t="s">
        <v>144</v>
      </c>
      <c r="AJ594" s="31" t="s">
        <v>144</v>
      </c>
      <c r="AK594" s="31" t="s">
        <v>144</v>
      </c>
      <c r="AL594" s="31" t="s">
        <v>322</v>
      </c>
      <c r="AM594" s="31" t="s">
        <v>144</v>
      </c>
      <c r="AN594" s="31" t="s">
        <v>163</v>
      </c>
      <c r="AO594" s="31" t="s">
        <v>1325</v>
      </c>
      <c r="AP594" s="31" t="s">
        <v>144</v>
      </c>
      <c r="AQ594" s="31" t="s">
        <v>144</v>
      </c>
      <c r="AR594" s="31" t="s">
        <v>144</v>
      </c>
    </row>
    <row r="595" spans="5:44" ht="15" customHeight="1" x14ac:dyDescent="0.25"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3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</row>
    <row r="596" spans="5:44" ht="15" customHeight="1" x14ac:dyDescent="0.25"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3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</row>
    <row r="597" spans="5:44" ht="15" customHeight="1" x14ac:dyDescent="0.25">
      <c r="E597" s="31" t="s">
        <v>139</v>
      </c>
      <c r="F597" s="31" t="s">
        <v>140</v>
      </c>
      <c r="G597" s="31" t="s">
        <v>195</v>
      </c>
      <c r="H597" s="31" t="s">
        <v>154</v>
      </c>
      <c r="I597" s="31" t="s">
        <v>481</v>
      </c>
      <c r="J597" s="31" t="s">
        <v>915</v>
      </c>
      <c r="K597" s="31" t="s">
        <v>916</v>
      </c>
      <c r="L597" s="31" t="s">
        <v>1050</v>
      </c>
      <c r="M597" s="31" t="s">
        <v>144</v>
      </c>
      <c r="N597" s="31" t="s">
        <v>144</v>
      </c>
      <c r="O597" s="31" t="s">
        <v>144</v>
      </c>
      <c r="P597" s="31" t="s">
        <v>144</v>
      </c>
      <c r="Q597" s="31" t="s">
        <v>1071</v>
      </c>
      <c r="R597" s="31" t="s">
        <v>312</v>
      </c>
      <c r="S597" s="31" t="s">
        <v>144</v>
      </c>
      <c r="T597" s="31" t="s">
        <v>144</v>
      </c>
      <c r="U597" s="31" t="s">
        <v>144</v>
      </c>
      <c r="V597" s="31" t="s">
        <v>144</v>
      </c>
      <c r="W597" s="31" t="s">
        <v>144</v>
      </c>
      <c r="X597" s="31" t="s">
        <v>144</v>
      </c>
      <c r="Y597" s="31"/>
      <c r="Z597" s="33">
        <v>0.91</v>
      </c>
      <c r="AA597" s="31" t="s">
        <v>144</v>
      </c>
      <c r="AB597" s="31" t="s">
        <v>144</v>
      </c>
      <c r="AC597" s="31" t="s">
        <v>144</v>
      </c>
      <c r="AD597" s="31" t="s">
        <v>144</v>
      </c>
      <c r="AE597" s="31" t="s">
        <v>144</v>
      </c>
      <c r="AF597" s="31" t="s">
        <v>144</v>
      </c>
      <c r="AG597" s="31" t="s">
        <v>144</v>
      </c>
      <c r="AH597" s="31" t="s">
        <v>190</v>
      </c>
      <c r="AI597" s="31" t="s">
        <v>144</v>
      </c>
      <c r="AJ597" s="31" t="s">
        <v>144</v>
      </c>
      <c r="AK597" s="31" t="s">
        <v>144</v>
      </c>
      <c r="AL597" s="31" t="s">
        <v>322</v>
      </c>
      <c r="AM597" s="31" t="s">
        <v>144</v>
      </c>
      <c r="AN597" s="31" t="s">
        <v>163</v>
      </c>
      <c r="AO597" s="31" t="s">
        <v>1325</v>
      </c>
      <c r="AP597" s="31" t="s">
        <v>144</v>
      </c>
      <c r="AQ597" s="31" t="s">
        <v>144</v>
      </c>
      <c r="AR597" s="31" t="s">
        <v>144</v>
      </c>
    </row>
    <row r="598" spans="5:44" ht="15" customHeight="1" x14ac:dyDescent="0.25">
      <c r="E598" s="31" t="s">
        <v>139</v>
      </c>
      <c r="F598" s="31" t="s">
        <v>140</v>
      </c>
      <c r="G598" s="31" t="s">
        <v>195</v>
      </c>
      <c r="H598" s="31" t="s">
        <v>154</v>
      </c>
      <c r="I598" s="31" t="s">
        <v>481</v>
      </c>
      <c r="J598" s="31" t="s">
        <v>915</v>
      </c>
      <c r="K598" s="31" t="s">
        <v>917</v>
      </c>
      <c r="L598" s="31" t="s">
        <v>1050</v>
      </c>
      <c r="M598" s="31" t="s">
        <v>144</v>
      </c>
      <c r="N598" s="31" t="s">
        <v>144</v>
      </c>
      <c r="O598" s="31" t="s">
        <v>144</v>
      </c>
      <c r="P598" s="31" t="s">
        <v>144</v>
      </c>
      <c r="Q598" s="31" t="s">
        <v>1071</v>
      </c>
      <c r="R598" s="31" t="s">
        <v>312</v>
      </c>
      <c r="S598" s="31" t="s">
        <v>144</v>
      </c>
      <c r="T598" s="31" t="s">
        <v>144</v>
      </c>
      <c r="U598" s="31" t="s">
        <v>144</v>
      </c>
      <c r="V598" s="31" t="s">
        <v>144</v>
      </c>
      <c r="W598" s="31" t="s">
        <v>144</v>
      </c>
      <c r="X598" s="31" t="s">
        <v>144</v>
      </c>
      <c r="Y598" s="31"/>
      <c r="Z598" s="33">
        <v>0.91</v>
      </c>
      <c r="AA598" s="31" t="s">
        <v>144</v>
      </c>
      <c r="AB598" s="31" t="s">
        <v>144</v>
      </c>
      <c r="AC598" s="31" t="s">
        <v>144</v>
      </c>
      <c r="AD598" s="31" t="s">
        <v>144</v>
      </c>
      <c r="AE598" s="31" t="s">
        <v>144</v>
      </c>
      <c r="AF598" s="31" t="s">
        <v>144</v>
      </c>
      <c r="AG598" s="31" t="s">
        <v>144</v>
      </c>
      <c r="AH598" s="31" t="s">
        <v>190</v>
      </c>
      <c r="AI598" s="31" t="s">
        <v>144</v>
      </c>
      <c r="AJ598" s="31" t="s">
        <v>144</v>
      </c>
      <c r="AK598" s="31" t="s">
        <v>144</v>
      </c>
      <c r="AL598" s="31" t="s">
        <v>322</v>
      </c>
      <c r="AM598" s="31" t="s">
        <v>144</v>
      </c>
      <c r="AN598" s="31" t="s">
        <v>163</v>
      </c>
      <c r="AO598" s="31" t="s">
        <v>1325</v>
      </c>
      <c r="AP598" s="31" t="s">
        <v>144</v>
      </c>
      <c r="AQ598" s="31" t="s">
        <v>144</v>
      </c>
      <c r="AR598" s="31" t="s">
        <v>144</v>
      </c>
    </row>
    <row r="599" spans="5:44" ht="15" customHeight="1" x14ac:dyDescent="0.25">
      <c r="E599" s="31" t="s">
        <v>139</v>
      </c>
      <c r="F599" s="31" t="s">
        <v>140</v>
      </c>
      <c r="G599" s="31" t="s">
        <v>195</v>
      </c>
      <c r="H599" s="31" t="s">
        <v>154</v>
      </c>
      <c r="I599" s="31" t="s">
        <v>481</v>
      </c>
      <c r="J599" s="31" t="s">
        <v>915</v>
      </c>
      <c r="K599" s="31" t="s">
        <v>918</v>
      </c>
      <c r="L599" s="31" t="s">
        <v>1050</v>
      </c>
      <c r="M599" s="31" t="s">
        <v>144</v>
      </c>
      <c r="N599" s="31" t="s">
        <v>144</v>
      </c>
      <c r="O599" s="31" t="s">
        <v>144</v>
      </c>
      <c r="P599" s="31" t="s">
        <v>144</v>
      </c>
      <c r="Q599" s="31" t="s">
        <v>1071</v>
      </c>
      <c r="R599" s="31" t="s">
        <v>312</v>
      </c>
      <c r="S599" s="31" t="s">
        <v>144</v>
      </c>
      <c r="T599" s="31" t="s">
        <v>144</v>
      </c>
      <c r="U599" s="31" t="s">
        <v>144</v>
      </c>
      <c r="V599" s="31" t="s">
        <v>144</v>
      </c>
      <c r="W599" s="31" t="s">
        <v>144</v>
      </c>
      <c r="X599" s="31" t="s">
        <v>144</v>
      </c>
      <c r="Y599" s="31"/>
      <c r="Z599" s="33">
        <v>0.91</v>
      </c>
      <c r="AA599" s="31" t="s">
        <v>144</v>
      </c>
      <c r="AB599" s="31" t="s">
        <v>144</v>
      </c>
      <c r="AC599" s="31" t="s">
        <v>144</v>
      </c>
      <c r="AD599" s="31" t="s">
        <v>144</v>
      </c>
      <c r="AE599" s="31" t="s">
        <v>144</v>
      </c>
      <c r="AF599" s="31" t="s">
        <v>144</v>
      </c>
      <c r="AG599" s="31" t="s">
        <v>144</v>
      </c>
      <c r="AH599" s="31" t="s">
        <v>190</v>
      </c>
      <c r="AI599" s="31" t="s">
        <v>144</v>
      </c>
      <c r="AJ599" s="31" t="s">
        <v>144</v>
      </c>
      <c r="AK599" s="31" t="s">
        <v>144</v>
      </c>
      <c r="AL599" s="31" t="s">
        <v>322</v>
      </c>
      <c r="AM599" s="31" t="s">
        <v>144</v>
      </c>
      <c r="AN599" s="31" t="s">
        <v>163</v>
      </c>
      <c r="AO599" s="31" t="s">
        <v>1325</v>
      </c>
      <c r="AP599" s="31" t="s">
        <v>144</v>
      </c>
      <c r="AQ599" s="31" t="s">
        <v>144</v>
      </c>
      <c r="AR599" s="31" t="s">
        <v>144</v>
      </c>
    </row>
    <row r="600" spans="5:44" ht="15" customHeight="1" x14ac:dyDescent="0.25">
      <c r="E600" s="31" t="s">
        <v>139</v>
      </c>
      <c r="F600" s="31" t="s">
        <v>140</v>
      </c>
      <c r="G600" s="31" t="s">
        <v>195</v>
      </c>
      <c r="H600" s="31" t="s">
        <v>154</v>
      </c>
      <c r="I600" s="31" t="s">
        <v>481</v>
      </c>
      <c r="J600" s="31" t="s">
        <v>915</v>
      </c>
      <c r="K600" s="31" t="s">
        <v>919</v>
      </c>
      <c r="L600" s="31" t="s">
        <v>1050</v>
      </c>
      <c r="M600" s="31" t="s">
        <v>144</v>
      </c>
      <c r="N600" s="31" t="s">
        <v>144</v>
      </c>
      <c r="O600" s="31" t="s">
        <v>144</v>
      </c>
      <c r="P600" s="31" t="s">
        <v>144</v>
      </c>
      <c r="Q600" s="31" t="s">
        <v>1071</v>
      </c>
      <c r="R600" s="31" t="s">
        <v>312</v>
      </c>
      <c r="S600" s="31" t="s">
        <v>144</v>
      </c>
      <c r="T600" s="31" t="s">
        <v>144</v>
      </c>
      <c r="U600" s="31" t="s">
        <v>144</v>
      </c>
      <c r="V600" s="31" t="s">
        <v>144</v>
      </c>
      <c r="W600" s="31" t="s">
        <v>144</v>
      </c>
      <c r="X600" s="31" t="s">
        <v>144</v>
      </c>
      <c r="Y600" s="31"/>
      <c r="Z600" s="33">
        <v>0.91</v>
      </c>
      <c r="AA600" s="31" t="s">
        <v>144</v>
      </c>
      <c r="AB600" s="31" t="s">
        <v>144</v>
      </c>
      <c r="AC600" s="31" t="s">
        <v>144</v>
      </c>
      <c r="AD600" s="31" t="s">
        <v>144</v>
      </c>
      <c r="AE600" s="31" t="s">
        <v>144</v>
      </c>
      <c r="AF600" s="31" t="s">
        <v>144</v>
      </c>
      <c r="AG600" s="31" t="s">
        <v>144</v>
      </c>
      <c r="AH600" s="31" t="s">
        <v>190</v>
      </c>
      <c r="AI600" s="31" t="s">
        <v>144</v>
      </c>
      <c r="AJ600" s="31" t="s">
        <v>144</v>
      </c>
      <c r="AK600" s="31" t="s">
        <v>144</v>
      </c>
      <c r="AL600" s="31" t="s">
        <v>322</v>
      </c>
      <c r="AM600" s="31" t="s">
        <v>144</v>
      </c>
      <c r="AN600" s="31" t="s">
        <v>163</v>
      </c>
      <c r="AO600" s="31" t="s">
        <v>1325</v>
      </c>
      <c r="AP600" s="31" t="s">
        <v>144</v>
      </c>
      <c r="AQ600" s="31" t="s">
        <v>144</v>
      </c>
      <c r="AR600" s="31" t="s">
        <v>144</v>
      </c>
    </row>
    <row r="601" spans="5:44" ht="15" customHeight="1" x14ac:dyDescent="0.25">
      <c r="E601" s="31" t="s">
        <v>139</v>
      </c>
      <c r="F601" s="31" t="s">
        <v>140</v>
      </c>
      <c r="G601" s="31" t="s">
        <v>195</v>
      </c>
      <c r="H601" s="31" t="s">
        <v>154</v>
      </c>
      <c r="I601" s="31" t="s">
        <v>481</v>
      </c>
      <c r="J601" s="31" t="s">
        <v>915</v>
      </c>
      <c r="K601" s="31" t="s">
        <v>920</v>
      </c>
      <c r="L601" s="31" t="s">
        <v>1050</v>
      </c>
      <c r="M601" s="31" t="s">
        <v>144</v>
      </c>
      <c r="N601" s="31" t="s">
        <v>144</v>
      </c>
      <c r="O601" s="31" t="s">
        <v>144</v>
      </c>
      <c r="P601" s="31" t="s">
        <v>144</v>
      </c>
      <c r="Q601" s="31" t="s">
        <v>1071</v>
      </c>
      <c r="R601" s="31" t="s">
        <v>312</v>
      </c>
      <c r="S601" s="31" t="s">
        <v>144</v>
      </c>
      <c r="T601" s="31" t="s">
        <v>144</v>
      </c>
      <c r="U601" s="31" t="s">
        <v>144</v>
      </c>
      <c r="V601" s="31" t="s">
        <v>144</v>
      </c>
      <c r="W601" s="31" t="s">
        <v>144</v>
      </c>
      <c r="X601" s="31" t="s">
        <v>144</v>
      </c>
      <c r="Y601" s="31"/>
      <c r="Z601" s="33">
        <v>0.91</v>
      </c>
      <c r="AA601" s="31" t="s">
        <v>144</v>
      </c>
      <c r="AB601" s="31" t="s">
        <v>144</v>
      </c>
      <c r="AC601" s="31" t="s">
        <v>144</v>
      </c>
      <c r="AD601" s="31" t="s">
        <v>144</v>
      </c>
      <c r="AE601" s="31" t="s">
        <v>144</v>
      </c>
      <c r="AF601" s="31" t="s">
        <v>144</v>
      </c>
      <c r="AG601" s="31" t="s">
        <v>144</v>
      </c>
      <c r="AH601" s="31" t="s">
        <v>190</v>
      </c>
      <c r="AI601" s="31" t="s">
        <v>144</v>
      </c>
      <c r="AJ601" s="31" t="s">
        <v>144</v>
      </c>
      <c r="AK601" s="31" t="s">
        <v>144</v>
      </c>
      <c r="AL601" s="31" t="s">
        <v>322</v>
      </c>
      <c r="AM601" s="31" t="s">
        <v>144</v>
      </c>
      <c r="AN601" s="31" t="s">
        <v>163</v>
      </c>
      <c r="AO601" s="31" t="s">
        <v>1325</v>
      </c>
      <c r="AP601" s="31" t="s">
        <v>144</v>
      </c>
      <c r="AQ601" s="31" t="s">
        <v>144</v>
      </c>
      <c r="AR601" s="31" t="s">
        <v>144</v>
      </c>
    </row>
    <row r="602" spans="5:44" ht="15" customHeight="1" x14ac:dyDescent="0.25">
      <c r="E602" s="31" t="s">
        <v>139</v>
      </c>
      <c r="F602" s="31" t="s">
        <v>140</v>
      </c>
      <c r="G602" s="31" t="s">
        <v>195</v>
      </c>
      <c r="H602" s="31" t="s">
        <v>154</v>
      </c>
      <c r="I602" s="31" t="s">
        <v>481</v>
      </c>
      <c r="J602" s="31" t="s">
        <v>915</v>
      </c>
      <c r="K602" s="31" t="s">
        <v>920</v>
      </c>
      <c r="L602" s="31" t="s">
        <v>1050</v>
      </c>
      <c r="M602" s="31" t="s">
        <v>144</v>
      </c>
      <c r="N602" s="31" t="s">
        <v>144</v>
      </c>
      <c r="O602" s="31" t="s">
        <v>144</v>
      </c>
      <c r="P602" s="31" t="s">
        <v>144</v>
      </c>
      <c r="Q602" s="31" t="s">
        <v>1071</v>
      </c>
      <c r="R602" s="31" t="s">
        <v>312</v>
      </c>
      <c r="S602" s="31" t="s">
        <v>144</v>
      </c>
      <c r="T602" s="31" t="s">
        <v>144</v>
      </c>
      <c r="U602" s="31" t="s">
        <v>144</v>
      </c>
      <c r="V602" s="31" t="s">
        <v>144</v>
      </c>
      <c r="W602" s="31" t="s">
        <v>144</v>
      </c>
      <c r="X602" s="31" t="s">
        <v>144</v>
      </c>
      <c r="Y602" s="31"/>
      <c r="Z602" s="33">
        <v>0.91</v>
      </c>
      <c r="AA602" s="31" t="s">
        <v>144</v>
      </c>
      <c r="AB602" s="31" t="s">
        <v>144</v>
      </c>
      <c r="AC602" s="31" t="s">
        <v>144</v>
      </c>
      <c r="AD602" s="31" t="s">
        <v>144</v>
      </c>
      <c r="AE602" s="31" t="s">
        <v>144</v>
      </c>
      <c r="AF602" s="31" t="s">
        <v>144</v>
      </c>
      <c r="AG602" s="31" t="s">
        <v>144</v>
      </c>
      <c r="AH602" s="31" t="s">
        <v>190</v>
      </c>
      <c r="AI602" s="31" t="s">
        <v>144</v>
      </c>
      <c r="AJ602" s="31" t="s">
        <v>144</v>
      </c>
      <c r="AK602" s="31" t="s">
        <v>144</v>
      </c>
      <c r="AL602" s="31" t="s">
        <v>322</v>
      </c>
      <c r="AM602" s="31" t="s">
        <v>144</v>
      </c>
      <c r="AN602" s="31" t="s">
        <v>163</v>
      </c>
      <c r="AO602" s="31" t="s">
        <v>1325</v>
      </c>
      <c r="AP602" s="31" t="s">
        <v>144</v>
      </c>
      <c r="AQ602" s="31" t="s">
        <v>144</v>
      </c>
      <c r="AR602" s="31" t="s">
        <v>144</v>
      </c>
    </row>
    <row r="603" spans="5:44" ht="15" customHeight="1" x14ac:dyDescent="0.25">
      <c r="E603" s="31" t="s">
        <v>139</v>
      </c>
      <c r="F603" s="31" t="s">
        <v>140</v>
      </c>
      <c r="G603" s="31" t="s">
        <v>195</v>
      </c>
      <c r="H603" s="31" t="s">
        <v>154</v>
      </c>
      <c r="I603" s="31" t="s">
        <v>481</v>
      </c>
      <c r="J603" s="31" t="s">
        <v>915</v>
      </c>
      <c r="K603" s="31" t="s">
        <v>921</v>
      </c>
      <c r="L603" s="31" t="s">
        <v>1050</v>
      </c>
      <c r="M603" s="31" t="s">
        <v>144</v>
      </c>
      <c r="N603" s="31" t="s">
        <v>144</v>
      </c>
      <c r="O603" s="31" t="s">
        <v>144</v>
      </c>
      <c r="P603" s="31" t="s">
        <v>144</v>
      </c>
      <c r="Q603" s="31" t="s">
        <v>1071</v>
      </c>
      <c r="R603" s="31" t="s">
        <v>312</v>
      </c>
      <c r="S603" s="31" t="s">
        <v>144</v>
      </c>
      <c r="T603" s="31" t="s">
        <v>144</v>
      </c>
      <c r="U603" s="31" t="s">
        <v>144</v>
      </c>
      <c r="V603" s="31" t="s">
        <v>144</v>
      </c>
      <c r="W603" s="31" t="s">
        <v>144</v>
      </c>
      <c r="X603" s="31" t="s">
        <v>144</v>
      </c>
      <c r="Y603" s="31"/>
      <c r="Z603" s="33">
        <v>0.91</v>
      </c>
      <c r="AA603" s="31" t="s">
        <v>144</v>
      </c>
      <c r="AB603" s="31" t="s">
        <v>144</v>
      </c>
      <c r="AC603" s="31" t="s">
        <v>144</v>
      </c>
      <c r="AD603" s="31" t="s">
        <v>144</v>
      </c>
      <c r="AE603" s="31" t="s">
        <v>144</v>
      </c>
      <c r="AF603" s="31" t="s">
        <v>144</v>
      </c>
      <c r="AG603" s="31" t="s">
        <v>144</v>
      </c>
      <c r="AH603" s="31" t="s">
        <v>190</v>
      </c>
      <c r="AI603" s="31" t="s">
        <v>144</v>
      </c>
      <c r="AJ603" s="31" t="s">
        <v>144</v>
      </c>
      <c r="AK603" s="31" t="s">
        <v>144</v>
      </c>
      <c r="AL603" s="31" t="s">
        <v>322</v>
      </c>
      <c r="AM603" s="31" t="s">
        <v>144</v>
      </c>
      <c r="AN603" s="31" t="s">
        <v>163</v>
      </c>
      <c r="AO603" s="31" t="s">
        <v>1325</v>
      </c>
      <c r="AP603" s="31" t="s">
        <v>144</v>
      </c>
      <c r="AQ603" s="31" t="s">
        <v>144</v>
      </c>
      <c r="AR603" s="31" t="s">
        <v>144</v>
      </c>
    </row>
    <row r="604" spans="5:44" ht="15" customHeight="1" x14ac:dyDescent="0.25">
      <c r="E604" s="31" t="s">
        <v>139</v>
      </c>
      <c r="F604" s="31" t="s">
        <v>140</v>
      </c>
      <c r="G604" s="31" t="s">
        <v>195</v>
      </c>
      <c r="H604" s="31" t="s">
        <v>154</v>
      </c>
      <c r="I604" s="31" t="s">
        <v>481</v>
      </c>
      <c r="J604" s="31" t="s">
        <v>915</v>
      </c>
      <c r="K604" s="31" t="s">
        <v>922</v>
      </c>
      <c r="L604" s="31" t="s">
        <v>1050</v>
      </c>
      <c r="M604" s="31" t="s">
        <v>144</v>
      </c>
      <c r="N604" s="31" t="s">
        <v>144</v>
      </c>
      <c r="O604" s="31" t="s">
        <v>144</v>
      </c>
      <c r="P604" s="31" t="s">
        <v>144</v>
      </c>
      <c r="Q604" s="31" t="s">
        <v>1071</v>
      </c>
      <c r="R604" s="31" t="s">
        <v>312</v>
      </c>
      <c r="S604" s="31" t="s">
        <v>144</v>
      </c>
      <c r="T604" s="31" t="s">
        <v>144</v>
      </c>
      <c r="U604" s="31" t="s">
        <v>144</v>
      </c>
      <c r="V604" s="31" t="s">
        <v>144</v>
      </c>
      <c r="W604" s="31" t="s">
        <v>144</v>
      </c>
      <c r="X604" s="31" t="s">
        <v>144</v>
      </c>
      <c r="Y604" s="31"/>
      <c r="Z604" s="33">
        <v>0.91</v>
      </c>
      <c r="AA604" s="31" t="s">
        <v>144</v>
      </c>
      <c r="AB604" s="31" t="s">
        <v>144</v>
      </c>
      <c r="AC604" s="31" t="s">
        <v>144</v>
      </c>
      <c r="AD604" s="31" t="s">
        <v>144</v>
      </c>
      <c r="AE604" s="31" t="s">
        <v>144</v>
      </c>
      <c r="AF604" s="31" t="s">
        <v>144</v>
      </c>
      <c r="AG604" s="31" t="s">
        <v>144</v>
      </c>
      <c r="AH604" s="31" t="s">
        <v>190</v>
      </c>
      <c r="AI604" s="31" t="s">
        <v>144</v>
      </c>
      <c r="AJ604" s="31" t="s">
        <v>144</v>
      </c>
      <c r="AK604" s="31" t="s">
        <v>144</v>
      </c>
      <c r="AL604" s="31" t="s">
        <v>322</v>
      </c>
      <c r="AM604" s="31" t="s">
        <v>144</v>
      </c>
      <c r="AN604" s="31" t="s">
        <v>163</v>
      </c>
      <c r="AO604" s="31" t="s">
        <v>1325</v>
      </c>
      <c r="AP604" s="31" t="s">
        <v>144</v>
      </c>
      <c r="AQ604" s="31" t="s">
        <v>144</v>
      </c>
      <c r="AR604" s="31" t="s">
        <v>144</v>
      </c>
    </row>
    <row r="605" spans="5:44" ht="15" customHeight="1" x14ac:dyDescent="0.25"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3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</row>
    <row r="606" spans="5:44" ht="15" customHeight="1" x14ac:dyDescent="0.25"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3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</row>
    <row r="607" spans="5:44" ht="15" customHeight="1" x14ac:dyDescent="0.25">
      <c r="E607" s="31" t="s">
        <v>139</v>
      </c>
      <c r="F607" s="31" t="s">
        <v>140</v>
      </c>
      <c r="G607" s="31" t="s">
        <v>195</v>
      </c>
      <c r="H607" s="31" t="s">
        <v>154</v>
      </c>
      <c r="I607" s="31" t="s">
        <v>481</v>
      </c>
      <c r="J607" s="31" t="s">
        <v>923</v>
      </c>
      <c r="K607" s="31" t="s">
        <v>924</v>
      </c>
      <c r="L607" s="31" t="s">
        <v>1050</v>
      </c>
      <c r="M607" s="31" t="s">
        <v>144</v>
      </c>
      <c r="N607" s="31" t="s">
        <v>144</v>
      </c>
      <c r="O607" s="31" t="s">
        <v>144</v>
      </c>
      <c r="P607" s="31" t="s">
        <v>144</v>
      </c>
      <c r="Q607" s="31" t="s">
        <v>1071</v>
      </c>
      <c r="R607" s="31" t="s">
        <v>312</v>
      </c>
      <c r="S607" s="31" t="s">
        <v>144</v>
      </c>
      <c r="T607" s="31" t="s">
        <v>144</v>
      </c>
      <c r="U607" s="31" t="s">
        <v>144</v>
      </c>
      <c r="V607" s="31" t="s">
        <v>144</v>
      </c>
      <c r="W607" s="31" t="s">
        <v>144</v>
      </c>
      <c r="X607" s="31" t="s">
        <v>144</v>
      </c>
      <c r="Y607" s="31"/>
      <c r="Z607" s="33">
        <v>0.91</v>
      </c>
      <c r="AA607" s="31" t="s">
        <v>144</v>
      </c>
      <c r="AB607" s="31" t="s">
        <v>144</v>
      </c>
      <c r="AC607" s="31" t="s">
        <v>144</v>
      </c>
      <c r="AD607" s="31" t="s">
        <v>144</v>
      </c>
      <c r="AE607" s="31" t="s">
        <v>144</v>
      </c>
      <c r="AF607" s="31" t="s">
        <v>144</v>
      </c>
      <c r="AG607" s="31" t="s">
        <v>144</v>
      </c>
      <c r="AH607" s="31" t="s">
        <v>190</v>
      </c>
      <c r="AI607" s="31" t="s">
        <v>144</v>
      </c>
      <c r="AJ607" s="31" t="s">
        <v>144</v>
      </c>
      <c r="AK607" s="31" t="s">
        <v>144</v>
      </c>
      <c r="AL607" s="31" t="s">
        <v>322</v>
      </c>
      <c r="AM607" s="31" t="s">
        <v>144</v>
      </c>
      <c r="AN607" s="31" t="s">
        <v>163</v>
      </c>
      <c r="AO607" s="31" t="s">
        <v>1325</v>
      </c>
      <c r="AP607" s="31" t="s">
        <v>144</v>
      </c>
      <c r="AQ607" s="31" t="s">
        <v>144</v>
      </c>
      <c r="AR607" s="31" t="s">
        <v>144</v>
      </c>
    </row>
    <row r="608" spans="5:44" ht="15" customHeight="1" x14ac:dyDescent="0.25">
      <c r="E608" s="31" t="s">
        <v>139</v>
      </c>
      <c r="F608" s="31" t="s">
        <v>140</v>
      </c>
      <c r="G608" s="31" t="s">
        <v>195</v>
      </c>
      <c r="H608" s="31" t="s">
        <v>154</v>
      </c>
      <c r="I608" s="31" t="s">
        <v>481</v>
      </c>
      <c r="J608" s="31" t="s">
        <v>923</v>
      </c>
      <c r="K608" s="31" t="s">
        <v>925</v>
      </c>
      <c r="L608" s="31" t="s">
        <v>1050</v>
      </c>
      <c r="M608" s="31" t="s">
        <v>144</v>
      </c>
      <c r="N608" s="31" t="s">
        <v>144</v>
      </c>
      <c r="O608" s="31" t="s">
        <v>144</v>
      </c>
      <c r="P608" s="31" t="s">
        <v>144</v>
      </c>
      <c r="Q608" s="31" t="s">
        <v>1071</v>
      </c>
      <c r="R608" s="31" t="s">
        <v>312</v>
      </c>
      <c r="S608" s="31" t="s">
        <v>144</v>
      </c>
      <c r="T608" s="31" t="s">
        <v>144</v>
      </c>
      <c r="U608" s="31" t="s">
        <v>144</v>
      </c>
      <c r="V608" s="31" t="s">
        <v>144</v>
      </c>
      <c r="W608" s="31" t="s">
        <v>144</v>
      </c>
      <c r="X608" s="31" t="s">
        <v>144</v>
      </c>
      <c r="Y608" s="31"/>
      <c r="Z608" s="33">
        <v>0.91</v>
      </c>
      <c r="AA608" s="31" t="s">
        <v>144</v>
      </c>
      <c r="AB608" s="31" t="s">
        <v>144</v>
      </c>
      <c r="AC608" s="31" t="s">
        <v>144</v>
      </c>
      <c r="AD608" s="31" t="s">
        <v>144</v>
      </c>
      <c r="AE608" s="31" t="s">
        <v>144</v>
      </c>
      <c r="AF608" s="31" t="s">
        <v>144</v>
      </c>
      <c r="AG608" s="31" t="s">
        <v>144</v>
      </c>
      <c r="AH608" s="31" t="s">
        <v>190</v>
      </c>
      <c r="AI608" s="31" t="s">
        <v>144</v>
      </c>
      <c r="AJ608" s="31" t="s">
        <v>144</v>
      </c>
      <c r="AK608" s="31" t="s">
        <v>144</v>
      </c>
      <c r="AL608" s="31" t="s">
        <v>322</v>
      </c>
      <c r="AM608" s="31" t="s">
        <v>144</v>
      </c>
      <c r="AN608" s="31" t="s">
        <v>163</v>
      </c>
      <c r="AO608" s="31" t="s">
        <v>1325</v>
      </c>
      <c r="AP608" s="31" t="s">
        <v>144</v>
      </c>
      <c r="AQ608" s="31" t="s">
        <v>144</v>
      </c>
      <c r="AR608" s="31" t="s">
        <v>144</v>
      </c>
    </row>
    <row r="609" spans="5:44" ht="15" customHeight="1" x14ac:dyDescent="0.25">
      <c r="E609" s="31" t="s">
        <v>139</v>
      </c>
      <c r="F609" s="31" t="s">
        <v>140</v>
      </c>
      <c r="G609" s="31" t="s">
        <v>195</v>
      </c>
      <c r="H609" s="31" t="s">
        <v>154</v>
      </c>
      <c r="I609" s="31" t="s">
        <v>481</v>
      </c>
      <c r="J609" s="31" t="s">
        <v>923</v>
      </c>
      <c r="K609" s="31" t="s">
        <v>926</v>
      </c>
      <c r="L609" s="31" t="s">
        <v>1050</v>
      </c>
      <c r="M609" s="31" t="s">
        <v>144</v>
      </c>
      <c r="N609" s="31" t="s">
        <v>144</v>
      </c>
      <c r="O609" s="31" t="s">
        <v>144</v>
      </c>
      <c r="P609" s="31" t="s">
        <v>144</v>
      </c>
      <c r="Q609" s="31" t="s">
        <v>1071</v>
      </c>
      <c r="R609" s="31" t="s">
        <v>312</v>
      </c>
      <c r="S609" s="31" t="s">
        <v>144</v>
      </c>
      <c r="T609" s="31" t="s">
        <v>144</v>
      </c>
      <c r="U609" s="31" t="s">
        <v>144</v>
      </c>
      <c r="V609" s="31" t="s">
        <v>144</v>
      </c>
      <c r="W609" s="31" t="s">
        <v>144</v>
      </c>
      <c r="X609" s="31" t="s">
        <v>144</v>
      </c>
      <c r="Y609" s="31"/>
      <c r="Z609" s="33">
        <v>0.91</v>
      </c>
      <c r="AA609" s="31" t="s">
        <v>144</v>
      </c>
      <c r="AB609" s="31" t="s">
        <v>144</v>
      </c>
      <c r="AC609" s="31" t="s">
        <v>144</v>
      </c>
      <c r="AD609" s="31" t="s">
        <v>144</v>
      </c>
      <c r="AE609" s="31" t="s">
        <v>144</v>
      </c>
      <c r="AF609" s="31" t="s">
        <v>144</v>
      </c>
      <c r="AG609" s="31" t="s">
        <v>144</v>
      </c>
      <c r="AH609" s="31" t="s">
        <v>190</v>
      </c>
      <c r="AI609" s="31" t="s">
        <v>144</v>
      </c>
      <c r="AJ609" s="31" t="s">
        <v>144</v>
      </c>
      <c r="AK609" s="31" t="s">
        <v>144</v>
      </c>
      <c r="AL609" s="31" t="s">
        <v>322</v>
      </c>
      <c r="AM609" s="31" t="s">
        <v>144</v>
      </c>
      <c r="AN609" s="31" t="s">
        <v>163</v>
      </c>
      <c r="AO609" s="31" t="s">
        <v>1325</v>
      </c>
      <c r="AP609" s="31" t="s">
        <v>144</v>
      </c>
      <c r="AQ609" s="31" t="s">
        <v>144</v>
      </c>
      <c r="AR609" s="31" t="s">
        <v>144</v>
      </c>
    </row>
    <row r="610" spans="5:44" ht="15" customHeight="1" x14ac:dyDescent="0.25">
      <c r="E610" s="31" t="s">
        <v>139</v>
      </c>
      <c r="F610" s="31" t="s">
        <v>140</v>
      </c>
      <c r="G610" s="31" t="s">
        <v>195</v>
      </c>
      <c r="H610" s="31" t="s">
        <v>154</v>
      </c>
      <c r="I610" s="31" t="s">
        <v>481</v>
      </c>
      <c r="J610" s="31" t="s">
        <v>923</v>
      </c>
      <c r="K610" s="31" t="s">
        <v>927</v>
      </c>
      <c r="L610" s="31" t="s">
        <v>1050</v>
      </c>
      <c r="M610" s="31" t="s">
        <v>144</v>
      </c>
      <c r="N610" s="31" t="s">
        <v>144</v>
      </c>
      <c r="O610" s="31" t="s">
        <v>144</v>
      </c>
      <c r="P610" s="31" t="s">
        <v>144</v>
      </c>
      <c r="Q610" s="31" t="s">
        <v>1071</v>
      </c>
      <c r="R610" s="31" t="s">
        <v>312</v>
      </c>
      <c r="S610" s="31" t="s">
        <v>144</v>
      </c>
      <c r="T610" s="31" t="s">
        <v>144</v>
      </c>
      <c r="U610" s="31" t="s">
        <v>144</v>
      </c>
      <c r="V610" s="31" t="s">
        <v>144</v>
      </c>
      <c r="W610" s="31" t="s">
        <v>144</v>
      </c>
      <c r="X610" s="31" t="s">
        <v>144</v>
      </c>
      <c r="Y610" s="31"/>
      <c r="Z610" s="33">
        <v>0.91</v>
      </c>
      <c r="AA610" s="31" t="s">
        <v>144</v>
      </c>
      <c r="AB610" s="31" t="s">
        <v>144</v>
      </c>
      <c r="AC610" s="31" t="s">
        <v>144</v>
      </c>
      <c r="AD610" s="31" t="s">
        <v>144</v>
      </c>
      <c r="AE610" s="31" t="s">
        <v>144</v>
      </c>
      <c r="AF610" s="31" t="s">
        <v>144</v>
      </c>
      <c r="AG610" s="31" t="s">
        <v>144</v>
      </c>
      <c r="AH610" s="31" t="s">
        <v>190</v>
      </c>
      <c r="AI610" s="31" t="s">
        <v>144</v>
      </c>
      <c r="AJ610" s="31" t="s">
        <v>144</v>
      </c>
      <c r="AK610" s="31" t="s">
        <v>144</v>
      </c>
      <c r="AL610" s="31" t="s">
        <v>322</v>
      </c>
      <c r="AM610" s="31" t="s">
        <v>144</v>
      </c>
      <c r="AN610" s="31" t="s">
        <v>163</v>
      </c>
      <c r="AO610" s="31" t="s">
        <v>1325</v>
      </c>
      <c r="AP610" s="31" t="s">
        <v>144</v>
      </c>
      <c r="AQ610" s="31" t="s">
        <v>144</v>
      </c>
      <c r="AR610" s="31" t="s">
        <v>144</v>
      </c>
    </row>
    <row r="611" spans="5:44" ht="15" customHeight="1" x14ac:dyDescent="0.25">
      <c r="E611" s="31" t="s">
        <v>139</v>
      </c>
      <c r="F611" s="31" t="s">
        <v>140</v>
      </c>
      <c r="G611" s="31" t="s">
        <v>195</v>
      </c>
      <c r="H611" s="31" t="s">
        <v>154</v>
      </c>
      <c r="I611" s="31" t="s">
        <v>481</v>
      </c>
      <c r="J611" s="31" t="s">
        <v>923</v>
      </c>
      <c r="K611" s="31" t="s">
        <v>928</v>
      </c>
      <c r="L611" s="31" t="s">
        <v>1050</v>
      </c>
      <c r="M611" s="31" t="s">
        <v>144</v>
      </c>
      <c r="N611" s="31" t="s">
        <v>144</v>
      </c>
      <c r="O611" s="31" t="s">
        <v>144</v>
      </c>
      <c r="P611" s="31" t="s">
        <v>144</v>
      </c>
      <c r="Q611" s="31" t="s">
        <v>1071</v>
      </c>
      <c r="R611" s="31" t="s">
        <v>312</v>
      </c>
      <c r="S611" s="31" t="s">
        <v>144</v>
      </c>
      <c r="T611" s="31" t="s">
        <v>144</v>
      </c>
      <c r="U611" s="31" t="s">
        <v>144</v>
      </c>
      <c r="V611" s="31" t="s">
        <v>144</v>
      </c>
      <c r="W611" s="31" t="s">
        <v>144</v>
      </c>
      <c r="X611" s="31" t="s">
        <v>144</v>
      </c>
      <c r="Y611" s="31"/>
      <c r="Z611" s="33">
        <v>0.91</v>
      </c>
      <c r="AA611" s="31" t="s">
        <v>144</v>
      </c>
      <c r="AB611" s="31" t="s">
        <v>144</v>
      </c>
      <c r="AC611" s="31" t="s">
        <v>144</v>
      </c>
      <c r="AD611" s="31" t="s">
        <v>144</v>
      </c>
      <c r="AE611" s="31" t="s">
        <v>144</v>
      </c>
      <c r="AF611" s="31" t="s">
        <v>144</v>
      </c>
      <c r="AG611" s="31" t="s">
        <v>144</v>
      </c>
      <c r="AH611" s="31" t="s">
        <v>190</v>
      </c>
      <c r="AI611" s="31" t="s">
        <v>144</v>
      </c>
      <c r="AJ611" s="31" t="s">
        <v>144</v>
      </c>
      <c r="AK611" s="31" t="s">
        <v>144</v>
      </c>
      <c r="AL611" s="31" t="s">
        <v>322</v>
      </c>
      <c r="AM611" s="31" t="s">
        <v>144</v>
      </c>
      <c r="AN611" s="31" t="s">
        <v>163</v>
      </c>
      <c r="AO611" s="31" t="s">
        <v>1325</v>
      </c>
      <c r="AP611" s="31" t="s">
        <v>144</v>
      </c>
      <c r="AQ611" s="31" t="s">
        <v>144</v>
      </c>
      <c r="AR611" s="31" t="s">
        <v>144</v>
      </c>
    </row>
    <row r="612" spans="5:44" ht="15" customHeight="1" x14ac:dyDescent="0.25">
      <c r="E612" s="31" t="s">
        <v>139</v>
      </c>
      <c r="F612" s="31" t="s">
        <v>140</v>
      </c>
      <c r="G612" s="31" t="s">
        <v>195</v>
      </c>
      <c r="H612" s="31" t="s">
        <v>154</v>
      </c>
      <c r="I612" s="31" t="s">
        <v>481</v>
      </c>
      <c r="J612" s="31" t="s">
        <v>923</v>
      </c>
      <c r="K612" s="31" t="s">
        <v>929</v>
      </c>
      <c r="L612" s="31" t="s">
        <v>1050</v>
      </c>
      <c r="M612" s="31" t="s">
        <v>144</v>
      </c>
      <c r="N612" s="31" t="s">
        <v>144</v>
      </c>
      <c r="O612" s="31" t="s">
        <v>144</v>
      </c>
      <c r="P612" s="31" t="s">
        <v>144</v>
      </c>
      <c r="Q612" s="31" t="s">
        <v>1071</v>
      </c>
      <c r="R612" s="31" t="s">
        <v>312</v>
      </c>
      <c r="S612" s="31" t="s">
        <v>144</v>
      </c>
      <c r="T612" s="31" t="s">
        <v>144</v>
      </c>
      <c r="U612" s="31" t="s">
        <v>144</v>
      </c>
      <c r="V612" s="31" t="s">
        <v>144</v>
      </c>
      <c r="W612" s="31" t="s">
        <v>144</v>
      </c>
      <c r="X612" s="31" t="s">
        <v>144</v>
      </c>
      <c r="Y612" s="31"/>
      <c r="Z612" s="33">
        <v>0.91</v>
      </c>
      <c r="AA612" s="31" t="s">
        <v>144</v>
      </c>
      <c r="AB612" s="31" t="s">
        <v>144</v>
      </c>
      <c r="AC612" s="31" t="s">
        <v>144</v>
      </c>
      <c r="AD612" s="31" t="s">
        <v>144</v>
      </c>
      <c r="AE612" s="31" t="s">
        <v>144</v>
      </c>
      <c r="AF612" s="31" t="s">
        <v>144</v>
      </c>
      <c r="AG612" s="31" t="s">
        <v>144</v>
      </c>
      <c r="AH612" s="31" t="s">
        <v>190</v>
      </c>
      <c r="AI612" s="31" t="s">
        <v>144</v>
      </c>
      <c r="AJ612" s="31" t="s">
        <v>144</v>
      </c>
      <c r="AK612" s="31" t="s">
        <v>144</v>
      </c>
      <c r="AL612" s="31" t="s">
        <v>322</v>
      </c>
      <c r="AM612" s="31" t="s">
        <v>144</v>
      </c>
      <c r="AN612" s="31" t="s">
        <v>163</v>
      </c>
      <c r="AO612" s="31" t="s">
        <v>1325</v>
      </c>
      <c r="AP612" s="31" t="s">
        <v>144</v>
      </c>
      <c r="AQ612" s="31" t="s">
        <v>144</v>
      </c>
      <c r="AR612" s="31" t="s">
        <v>144</v>
      </c>
    </row>
    <row r="613" spans="5:44" ht="15" customHeight="1" x14ac:dyDescent="0.25">
      <c r="E613" s="31" t="s">
        <v>139</v>
      </c>
      <c r="F613" s="31" t="s">
        <v>140</v>
      </c>
      <c r="G613" s="31" t="s">
        <v>195</v>
      </c>
      <c r="H613" s="31" t="s">
        <v>154</v>
      </c>
      <c r="I613" s="31" t="s">
        <v>481</v>
      </c>
      <c r="J613" s="31" t="s">
        <v>923</v>
      </c>
      <c r="K613" s="31" t="s">
        <v>930</v>
      </c>
      <c r="L613" s="31" t="s">
        <v>1050</v>
      </c>
      <c r="M613" s="31" t="s">
        <v>144</v>
      </c>
      <c r="N613" s="31" t="s">
        <v>144</v>
      </c>
      <c r="O613" s="31" t="s">
        <v>144</v>
      </c>
      <c r="P613" s="31" t="s">
        <v>144</v>
      </c>
      <c r="Q613" s="31" t="s">
        <v>1071</v>
      </c>
      <c r="R613" s="31" t="s">
        <v>312</v>
      </c>
      <c r="S613" s="31" t="s">
        <v>144</v>
      </c>
      <c r="T613" s="31" t="s">
        <v>144</v>
      </c>
      <c r="U613" s="31" t="s">
        <v>144</v>
      </c>
      <c r="V613" s="31" t="s">
        <v>144</v>
      </c>
      <c r="W613" s="31" t="s">
        <v>144</v>
      </c>
      <c r="X613" s="31" t="s">
        <v>144</v>
      </c>
      <c r="Y613" s="31"/>
      <c r="Z613" s="33">
        <v>0.91</v>
      </c>
      <c r="AA613" s="31" t="s">
        <v>144</v>
      </c>
      <c r="AB613" s="31" t="s">
        <v>144</v>
      </c>
      <c r="AC613" s="31" t="s">
        <v>144</v>
      </c>
      <c r="AD613" s="31" t="s">
        <v>144</v>
      </c>
      <c r="AE613" s="31" t="s">
        <v>144</v>
      </c>
      <c r="AF613" s="31" t="s">
        <v>144</v>
      </c>
      <c r="AG613" s="31" t="s">
        <v>144</v>
      </c>
      <c r="AH613" s="31" t="s">
        <v>190</v>
      </c>
      <c r="AI613" s="31" t="s">
        <v>144</v>
      </c>
      <c r="AJ613" s="31" t="s">
        <v>144</v>
      </c>
      <c r="AK613" s="31" t="s">
        <v>144</v>
      </c>
      <c r="AL613" s="31" t="s">
        <v>322</v>
      </c>
      <c r="AM613" s="31" t="s">
        <v>144</v>
      </c>
      <c r="AN613" s="31" t="s">
        <v>163</v>
      </c>
      <c r="AO613" s="31" t="s">
        <v>1325</v>
      </c>
      <c r="AP613" s="31" t="s">
        <v>144</v>
      </c>
      <c r="AQ613" s="31" t="s">
        <v>144</v>
      </c>
      <c r="AR613" s="31" t="s">
        <v>144</v>
      </c>
    </row>
    <row r="614" spans="5:44" ht="15" customHeight="1" x14ac:dyDescent="0.25">
      <c r="E614" s="31" t="s">
        <v>139</v>
      </c>
      <c r="F614" s="31" t="s">
        <v>140</v>
      </c>
      <c r="G614" s="31" t="s">
        <v>195</v>
      </c>
      <c r="H614" s="31" t="s">
        <v>154</v>
      </c>
      <c r="I614" s="31" t="s">
        <v>481</v>
      </c>
      <c r="J614" s="31" t="s">
        <v>923</v>
      </c>
      <c r="K614" s="31" t="s">
        <v>931</v>
      </c>
      <c r="L614" s="31" t="s">
        <v>1050</v>
      </c>
      <c r="M614" s="31" t="s">
        <v>144</v>
      </c>
      <c r="N614" s="31" t="s">
        <v>144</v>
      </c>
      <c r="O614" s="31" t="s">
        <v>144</v>
      </c>
      <c r="P614" s="31" t="s">
        <v>144</v>
      </c>
      <c r="Q614" s="31" t="s">
        <v>1071</v>
      </c>
      <c r="R614" s="31" t="s">
        <v>312</v>
      </c>
      <c r="S614" s="31" t="s">
        <v>144</v>
      </c>
      <c r="T614" s="31" t="s">
        <v>144</v>
      </c>
      <c r="U614" s="31" t="s">
        <v>144</v>
      </c>
      <c r="V614" s="31" t="s">
        <v>144</v>
      </c>
      <c r="W614" s="31" t="s">
        <v>144</v>
      </c>
      <c r="X614" s="31" t="s">
        <v>144</v>
      </c>
      <c r="Y614" s="31"/>
      <c r="Z614" s="33">
        <v>0.91</v>
      </c>
      <c r="AA614" s="31" t="s">
        <v>144</v>
      </c>
      <c r="AB614" s="31" t="s">
        <v>144</v>
      </c>
      <c r="AC614" s="31" t="s">
        <v>144</v>
      </c>
      <c r="AD614" s="31" t="s">
        <v>144</v>
      </c>
      <c r="AE614" s="31" t="s">
        <v>144</v>
      </c>
      <c r="AF614" s="31" t="s">
        <v>144</v>
      </c>
      <c r="AG614" s="31" t="s">
        <v>144</v>
      </c>
      <c r="AH614" s="31" t="s">
        <v>190</v>
      </c>
      <c r="AI614" s="31" t="s">
        <v>144</v>
      </c>
      <c r="AJ614" s="31" t="s">
        <v>144</v>
      </c>
      <c r="AK614" s="31" t="s">
        <v>144</v>
      </c>
      <c r="AL614" s="31" t="s">
        <v>322</v>
      </c>
      <c r="AM614" s="31" t="s">
        <v>144</v>
      </c>
      <c r="AN614" s="31" t="s">
        <v>163</v>
      </c>
      <c r="AO614" s="31" t="s">
        <v>1325</v>
      </c>
      <c r="AP614" s="31" t="s">
        <v>144</v>
      </c>
      <c r="AQ614" s="31" t="s">
        <v>144</v>
      </c>
      <c r="AR614" s="31" t="s">
        <v>144</v>
      </c>
    </row>
    <row r="615" spans="5:44" ht="15" customHeight="1" x14ac:dyDescent="0.25">
      <c r="E615" s="31" t="s">
        <v>139</v>
      </c>
      <c r="F615" s="31" t="s">
        <v>140</v>
      </c>
      <c r="G615" s="31" t="s">
        <v>195</v>
      </c>
      <c r="H615" s="31" t="s">
        <v>154</v>
      </c>
      <c r="I615" s="31" t="s">
        <v>481</v>
      </c>
      <c r="J615" s="31" t="s">
        <v>923</v>
      </c>
      <c r="K615" s="31" t="s">
        <v>932</v>
      </c>
      <c r="L615" s="31" t="s">
        <v>1050</v>
      </c>
      <c r="M615" s="31" t="s">
        <v>144</v>
      </c>
      <c r="N615" s="31" t="s">
        <v>144</v>
      </c>
      <c r="O615" s="31" t="s">
        <v>144</v>
      </c>
      <c r="P615" s="31" t="s">
        <v>144</v>
      </c>
      <c r="Q615" s="31" t="s">
        <v>1071</v>
      </c>
      <c r="R615" s="31" t="s">
        <v>312</v>
      </c>
      <c r="S615" s="31" t="s">
        <v>144</v>
      </c>
      <c r="T615" s="31" t="s">
        <v>144</v>
      </c>
      <c r="U615" s="31" t="s">
        <v>144</v>
      </c>
      <c r="V615" s="31" t="s">
        <v>144</v>
      </c>
      <c r="W615" s="31" t="s">
        <v>144</v>
      </c>
      <c r="X615" s="31" t="s">
        <v>144</v>
      </c>
      <c r="Y615" s="31"/>
      <c r="Z615" s="33">
        <v>0.91</v>
      </c>
      <c r="AA615" s="31" t="s">
        <v>144</v>
      </c>
      <c r="AB615" s="31" t="s">
        <v>144</v>
      </c>
      <c r="AC615" s="31" t="s">
        <v>144</v>
      </c>
      <c r="AD615" s="31" t="s">
        <v>144</v>
      </c>
      <c r="AE615" s="31" t="s">
        <v>144</v>
      </c>
      <c r="AF615" s="31" t="s">
        <v>144</v>
      </c>
      <c r="AG615" s="31" t="s">
        <v>144</v>
      </c>
      <c r="AH615" s="31" t="s">
        <v>190</v>
      </c>
      <c r="AI615" s="31" t="s">
        <v>144</v>
      </c>
      <c r="AJ615" s="31" t="s">
        <v>144</v>
      </c>
      <c r="AK615" s="31" t="s">
        <v>144</v>
      </c>
      <c r="AL615" s="31" t="s">
        <v>322</v>
      </c>
      <c r="AM615" s="31" t="s">
        <v>144</v>
      </c>
      <c r="AN615" s="31" t="s">
        <v>163</v>
      </c>
      <c r="AO615" s="31" t="s">
        <v>1325</v>
      </c>
      <c r="AP615" s="31" t="s">
        <v>144</v>
      </c>
      <c r="AQ615" s="31" t="s">
        <v>144</v>
      </c>
      <c r="AR615" s="31" t="s">
        <v>144</v>
      </c>
    </row>
    <row r="616" spans="5:44" ht="15" customHeight="1" x14ac:dyDescent="0.25">
      <c r="E616" s="31" t="s">
        <v>139</v>
      </c>
      <c r="F616" s="31" t="s">
        <v>140</v>
      </c>
      <c r="G616" s="31" t="s">
        <v>195</v>
      </c>
      <c r="H616" s="31" t="s">
        <v>154</v>
      </c>
      <c r="I616" s="31" t="s">
        <v>481</v>
      </c>
      <c r="J616" s="31" t="s">
        <v>923</v>
      </c>
      <c r="K616" s="31" t="s">
        <v>933</v>
      </c>
      <c r="L616" s="31" t="s">
        <v>1050</v>
      </c>
      <c r="M616" s="31" t="s">
        <v>144</v>
      </c>
      <c r="N616" s="31" t="s">
        <v>144</v>
      </c>
      <c r="O616" s="31" t="s">
        <v>144</v>
      </c>
      <c r="P616" s="31" t="s">
        <v>144</v>
      </c>
      <c r="Q616" s="31" t="s">
        <v>1071</v>
      </c>
      <c r="R616" s="31" t="s">
        <v>312</v>
      </c>
      <c r="S616" s="31" t="s">
        <v>144</v>
      </c>
      <c r="T616" s="31" t="s">
        <v>144</v>
      </c>
      <c r="U616" s="31" t="s">
        <v>144</v>
      </c>
      <c r="V616" s="31" t="s">
        <v>144</v>
      </c>
      <c r="W616" s="31" t="s">
        <v>144</v>
      </c>
      <c r="X616" s="31" t="s">
        <v>144</v>
      </c>
      <c r="Y616" s="31"/>
      <c r="Z616" s="33">
        <v>0.91</v>
      </c>
      <c r="AA616" s="31" t="s">
        <v>144</v>
      </c>
      <c r="AB616" s="31" t="s">
        <v>144</v>
      </c>
      <c r="AC616" s="31" t="s">
        <v>144</v>
      </c>
      <c r="AD616" s="31" t="s">
        <v>144</v>
      </c>
      <c r="AE616" s="31" t="s">
        <v>144</v>
      </c>
      <c r="AF616" s="31" t="s">
        <v>144</v>
      </c>
      <c r="AG616" s="31" t="s">
        <v>144</v>
      </c>
      <c r="AH616" s="31" t="s">
        <v>190</v>
      </c>
      <c r="AI616" s="31" t="s">
        <v>144</v>
      </c>
      <c r="AJ616" s="31" t="s">
        <v>144</v>
      </c>
      <c r="AK616" s="31" t="s">
        <v>144</v>
      </c>
      <c r="AL616" s="31" t="s">
        <v>322</v>
      </c>
      <c r="AM616" s="31" t="s">
        <v>144</v>
      </c>
      <c r="AN616" s="31" t="s">
        <v>163</v>
      </c>
      <c r="AO616" s="31" t="s">
        <v>1325</v>
      </c>
      <c r="AP616" s="31" t="s">
        <v>144</v>
      </c>
      <c r="AQ616" s="31" t="s">
        <v>144</v>
      </c>
      <c r="AR616" s="31" t="s">
        <v>144</v>
      </c>
    </row>
    <row r="617" spans="5:44" ht="15" customHeight="1" x14ac:dyDescent="0.25">
      <c r="E617" s="31" t="s">
        <v>139</v>
      </c>
      <c r="F617" s="31" t="s">
        <v>140</v>
      </c>
      <c r="G617" s="31" t="s">
        <v>195</v>
      </c>
      <c r="H617" s="31" t="s">
        <v>154</v>
      </c>
      <c r="I617" s="31" t="s">
        <v>481</v>
      </c>
      <c r="J617" s="31" t="s">
        <v>923</v>
      </c>
      <c r="K617" s="31" t="s">
        <v>934</v>
      </c>
      <c r="L617" s="31" t="s">
        <v>1050</v>
      </c>
      <c r="M617" s="31" t="s">
        <v>144</v>
      </c>
      <c r="N617" s="31" t="s">
        <v>144</v>
      </c>
      <c r="O617" s="31" t="s">
        <v>144</v>
      </c>
      <c r="P617" s="31" t="s">
        <v>144</v>
      </c>
      <c r="Q617" s="31" t="s">
        <v>1071</v>
      </c>
      <c r="R617" s="31" t="s">
        <v>312</v>
      </c>
      <c r="S617" s="31" t="s">
        <v>144</v>
      </c>
      <c r="T617" s="31" t="s">
        <v>144</v>
      </c>
      <c r="U617" s="31" t="s">
        <v>144</v>
      </c>
      <c r="V617" s="31" t="s">
        <v>144</v>
      </c>
      <c r="W617" s="31" t="s">
        <v>144</v>
      </c>
      <c r="X617" s="31" t="s">
        <v>144</v>
      </c>
      <c r="Y617" s="31"/>
      <c r="Z617" s="33">
        <v>0.91</v>
      </c>
      <c r="AA617" s="31" t="s">
        <v>144</v>
      </c>
      <c r="AB617" s="31" t="s">
        <v>144</v>
      </c>
      <c r="AC617" s="31" t="s">
        <v>144</v>
      </c>
      <c r="AD617" s="31" t="s">
        <v>144</v>
      </c>
      <c r="AE617" s="31" t="s">
        <v>144</v>
      </c>
      <c r="AF617" s="31" t="s">
        <v>144</v>
      </c>
      <c r="AG617" s="31" t="s">
        <v>144</v>
      </c>
      <c r="AH617" s="31" t="s">
        <v>190</v>
      </c>
      <c r="AI617" s="31" t="s">
        <v>144</v>
      </c>
      <c r="AJ617" s="31" t="s">
        <v>144</v>
      </c>
      <c r="AK617" s="31" t="s">
        <v>144</v>
      </c>
      <c r="AL617" s="31" t="s">
        <v>322</v>
      </c>
      <c r="AM617" s="31" t="s">
        <v>144</v>
      </c>
      <c r="AN617" s="31" t="s">
        <v>163</v>
      </c>
      <c r="AO617" s="31" t="s">
        <v>1325</v>
      </c>
      <c r="AP617" s="31" t="s">
        <v>144</v>
      </c>
      <c r="AQ617" s="31" t="s">
        <v>144</v>
      </c>
      <c r="AR617" s="31" t="s">
        <v>144</v>
      </c>
    </row>
    <row r="618" spans="5:44" ht="15" customHeight="1" x14ac:dyDescent="0.25">
      <c r="E618" s="31" t="s">
        <v>139</v>
      </c>
      <c r="F618" s="31" t="s">
        <v>140</v>
      </c>
      <c r="G618" s="31" t="s">
        <v>195</v>
      </c>
      <c r="H618" s="31" t="s">
        <v>154</v>
      </c>
      <c r="I618" s="31" t="s">
        <v>481</v>
      </c>
      <c r="J618" s="31" t="s">
        <v>923</v>
      </c>
      <c r="K618" s="31" t="s">
        <v>935</v>
      </c>
      <c r="L618" s="31" t="s">
        <v>1050</v>
      </c>
      <c r="M618" s="31" t="s">
        <v>144</v>
      </c>
      <c r="N618" s="31" t="s">
        <v>144</v>
      </c>
      <c r="O618" s="31" t="s">
        <v>144</v>
      </c>
      <c r="P618" s="31" t="s">
        <v>144</v>
      </c>
      <c r="Q618" s="31" t="s">
        <v>1071</v>
      </c>
      <c r="R618" s="31" t="s">
        <v>312</v>
      </c>
      <c r="S618" s="31" t="s">
        <v>144</v>
      </c>
      <c r="T618" s="31" t="s">
        <v>144</v>
      </c>
      <c r="U618" s="31" t="s">
        <v>144</v>
      </c>
      <c r="V618" s="31" t="s">
        <v>144</v>
      </c>
      <c r="W618" s="31" t="s">
        <v>144</v>
      </c>
      <c r="X618" s="31" t="s">
        <v>144</v>
      </c>
      <c r="Y618" s="31"/>
      <c r="Z618" s="33">
        <v>0.91</v>
      </c>
      <c r="AA618" s="31" t="s">
        <v>144</v>
      </c>
      <c r="AB618" s="31" t="s">
        <v>144</v>
      </c>
      <c r="AC618" s="31" t="s">
        <v>144</v>
      </c>
      <c r="AD618" s="31" t="s">
        <v>144</v>
      </c>
      <c r="AE618" s="31" t="s">
        <v>144</v>
      </c>
      <c r="AF618" s="31" t="s">
        <v>144</v>
      </c>
      <c r="AG618" s="31" t="s">
        <v>144</v>
      </c>
      <c r="AH618" s="31" t="s">
        <v>190</v>
      </c>
      <c r="AI618" s="31" t="s">
        <v>144</v>
      </c>
      <c r="AJ618" s="31" t="s">
        <v>144</v>
      </c>
      <c r="AK618" s="31" t="s">
        <v>144</v>
      </c>
      <c r="AL618" s="31" t="s">
        <v>322</v>
      </c>
      <c r="AM618" s="31" t="s">
        <v>144</v>
      </c>
      <c r="AN618" s="31" t="s">
        <v>163</v>
      </c>
      <c r="AO618" s="31" t="s">
        <v>1325</v>
      </c>
      <c r="AP618" s="31" t="s">
        <v>144</v>
      </c>
      <c r="AQ618" s="31" t="s">
        <v>144</v>
      </c>
      <c r="AR618" s="31" t="s">
        <v>144</v>
      </c>
    </row>
    <row r="619" spans="5:44" ht="15" customHeight="1" x14ac:dyDescent="0.25">
      <c r="E619" s="31" t="s">
        <v>139</v>
      </c>
      <c r="F619" s="31" t="s">
        <v>140</v>
      </c>
      <c r="G619" s="31" t="s">
        <v>195</v>
      </c>
      <c r="H619" s="31" t="s">
        <v>154</v>
      </c>
      <c r="I619" s="31" t="s">
        <v>481</v>
      </c>
      <c r="J619" s="31" t="s">
        <v>923</v>
      </c>
      <c r="K619" s="31" t="s">
        <v>936</v>
      </c>
      <c r="L619" s="31" t="s">
        <v>1050</v>
      </c>
      <c r="M619" s="31" t="s">
        <v>144</v>
      </c>
      <c r="N619" s="31" t="s">
        <v>144</v>
      </c>
      <c r="O619" s="31" t="s">
        <v>144</v>
      </c>
      <c r="P619" s="31" t="s">
        <v>144</v>
      </c>
      <c r="Q619" s="31" t="s">
        <v>1071</v>
      </c>
      <c r="R619" s="31" t="s">
        <v>312</v>
      </c>
      <c r="S619" s="31" t="s">
        <v>144</v>
      </c>
      <c r="T619" s="31" t="s">
        <v>144</v>
      </c>
      <c r="U619" s="31" t="s">
        <v>144</v>
      </c>
      <c r="V619" s="31" t="s">
        <v>144</v>
      </c>
      <c r="W619" s="31" t="s">
        <v>144</v>
      </c>
      <c r="X619" s="31" t="s">
        <v>144</v>
      </c>
      <c r="Y619" s="31"/>
      <c r="Z619" s="33">
        <v>0.91</v>
      </c>
      <c r="AA619" s="31" t="s">
        <v>144</v>
      </c>
      <c r="AB619" s="31" t="s">
        <v>144</v>
      </c>
      <c r="AC619" s="31" t="s">
        <v>144</v>
      </c>
      <c r="AD619" s="31" t="s">
        <v>144</v>
      </c>
      <c r="AE619" s="31" t="s">
        <v>144</v>
      </c>
      <c r="AF619" s="31" t="s">
        <v>144</v>
      </c>
      <c r="AG619" s="31" t="s">
        <v>144</v>
      </c>
      <c r="AH619" s="31" t="s">
        <v>190</v>
      </c>
      <c r="AI619" s="31" t="s">
        <v>144</v>
      </c>
      <c r="AJ619" s="31" t="s">
        <v>144</v>
      </c>
      <c r="AK619" s="31" t="s">
        <v>144</v>
      </c>
      <c r="AL619" s="31" t="s">
        <v>322</v>
      </c>
      <c r="AM619" s="31" t="s">
        <v>144</v>
      </c>
      <c r="AN619" s="31" t="s">
        <v>163</v>
      </c>
      <c r="AO619" s="31" t="s">
        <v>1325</v>
      </c>
      <c r="AP619" s="31" t="s">
        <v>144</v>
      </c>
      <c r="AQ619" s="31" t="s">
        <v>144</v>
      </c>
      <c r="AR619" s="31" t="s">
        <v>144</v>
      </c>
    </row>
    <row r="620" spans="5:44" ht="15" customHeight="1" x14ac:dyDescent="0.25"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3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</row>
    <row r="621" spans="5:44" ht="15" customHeight="1" x14ac:dyDescent="0.25"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3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</row>
    <row r="622" spans="5:44" ht="15" customHeight="1" x14ac:dyDescent="0.25">
      <c r="E622" s="31" t="s">
        <v>139</v>
      </c>
      <c r="F622" s="31" t="s">
        <v>140</v>
      </c>
      <c r="G622" s="31" t="s">
        <v>195</v>
      </c>
      <c r="H622" s="31" t="s">
        <v>154</v>
      </c>
      <c r="I622" s="31" t="s">
        <v>481</v>
      </c>
      <c r="J622" s="31" t="s">
        <v>937</v>
      </c>
      <c r="K622" s="31" t="s">
        <v>938</v>
      </c>
      <c r="L622" s="31" t="s">
        <v>1050</v>
      </c>
      <c r="M622" s="31" t="s">
        <v>144</v>
      </c>
      <c r="N622" s="31" t="s">
        <v>144</v>
      </c>
      <c r="O622" s="31" t="s">
        <v>144</v>
      </c>
      <c r="P622" s="31" t="s">
        <v>144</v>
      </c>
      <c r="Q622" s="31" t="s">
        <v>1071</v>
      </c>
      <c r="R622" s="31" t="s">
        <v>312</v>
      </c>
      <c r="S622" s="31" t="s">
        <v>144</v>
      </c>
      <c r="T622" s="31" t="s">
        <v>144</v>
      </c>
      <c r="U622" s="31" t="s">
        <v>144</v>
      </c>
      <c r="V622" s="31" t="s">
        <v>144</v>
      </c>
      <c r="W622" s="31" t="s">
        <v>144</v>
      </c>
      <c r="X622" s="31" t="s">
        <v>144</v>
      </c>
      <c r="Y622" s="31"/>
      <c r="Z622" s="33">
        <v>0.91</v>
      </c>
      <c r="AA622" s="31" t="s">
        <v>144</v>
      </c>
      <c r="AB622" s="31" t="s">
        <v>144</v>
      </c>
      <c r="AC622" s="31" t="s">
        <v>144</v>
      </c>
      <c r="AD622" s="31" t="s">
        <v>144</v>
      </c>
      <c r="AE622" s="31" t="s">
        <v>144</v>
      </c>
      <c r="AF622" s="31" t="s">
        <v>144</v>
      </c>
      <c r="AG622" s="31" t="s">
        <v>144</v>
      </c>
      <c r="AH622" s="31" t="s">
        <v>190</v>
      </c>
      <c r="AI622" s="31" t="s">
        <v>144</v>
      </c>
      <c r="AJ622" s="31" t="s">
        <v>144</v>
      </c>
      <c r="AK622" s="31" t="s">
        <v>144</v>
      </c>
      <c r="AL622" s="31" t="s">
        <v>322</v>
      </c>
      <c r="AM622" s="31" t="s">
        <v>144</v>
      </c>
      <c r="AN622" s="31" t="s">
        <v>163</v>
      </c>
      <c r="AO622" s="31" t="s">
        <v>1325</v>
      </c>
      <c r="AP622" s="31" t="s">
        <v>144</v>
      </c>
      <c r="AQ622" s="31" t="s">
        <v>144</v>
      </c>
      <c r="AR622" s="31" t="s">
        <v>144</v>
      </c>
    </row>
    <row r="623" spans="5:44" ht="15" customHeight="1" x14ac:dyDescent="0.25">
      <c r="E623" s="31" t="s">
        <v>139</v>
      </c>
      <c r="F623" s="31" t="s">
        <v>140</v>
      </c>
      <c r="G623" s="31" t="s">
        <v>195</v>
      </c>
      <c r="H623" s="31" t="s">
        <v>154</v>
      </c>
      <c r="I623" s="31" t="s">
        <v>481</v>
      </c>
      <c r="J623" s="31" t="s">
        <v>937</v>
      </c>
      <c r="K623" s="31" t="s">
        <v>939</v>
      </c>
      <c r="L623" s="31" t="s">
        <v>1050</v>
      </c>
      <c r="M623" s="31" t="s">
        <v>144</v>
      </c>
      <c r="N623" s="31" t="s">
        <v>144</v>
      </c>
      <c r="O623" s="31" t="s">
        <v>144</v>
      </c>
      <c r="P623" s="31" t="s">
        <v>144</v>
      </c>
      <c r="Q623" s="31" t="s">
        <v>1071</v>
      </c>
      <c r="R623" s="31" t="s">
        <v>312</v>
      </c>
      <c r="S623" s="31" t="s">
        <v>144</v>
      </c>
      <c r="T623" s="31" t="s">
        <v>144</v>
      </c>
      <c r="U623" s="31" t="s">
        <v>144</v>
      </c>
      <c r="V623" s="31" t="s">
        <v>144</v>
      </c>
      <c r="W623" s="31" t="s">
        <v>144</v>
      </c>
      <c r="X623" s="31" t="s">
        <v>144</v>
      </c>
      <c r="Y623" s="31"/>
      <c r="Z623" s="33">
        <v>0.91</v>
      </c>
      <c r="AA623" s="31" t="s">
        <v>144</v>
      </c>
      <c r="AB623" s="31" t="s">
        <v>144</v>
      </c>
      <c r="AC623" s="31" t="s">
        <v>144</v>
      </c>
      <c r="AD623" s="31" t="s">
        <v>144</v>
      </c>
      <c r="AE623" s="31" t="s">
        <v>144</v>
      </c>
      <c r="AF623" s="31" t="s">
        <v>144</v>
      </c>
      <c r="AG623" s="31" t="s">
        <v>144</v>
      </c>
      <c r="AH623" s="31" t="s">
        <v>190</v>
      </c>
      <c r="AI623" s="31" t="s">
        <v>144</v>
      </c>
      <c r="AJ623" s="31" t="s">
        <v>144</v>
      </c>
      <c r="AK623" s="31" t="s">
        <v>144</v>
      </c>
      <c r="AL623" s="31" t="s">
        <v>322</v>
      </c>
      <c r="AM623" s="31" t="s">
        <v>144</v>
      </c>
      <c r="AN623" s="31" t="s">
        <v>163</v>
      </c>
      <c r="AO623" s="31" t="s">
        <v>1325</v>
      </c>
      <c r="AP623" s="31" t="s">
        <v>144</v>
      </c>
      <c r="AQ623" s="31" t="s">
        <v>144</v>
      </c>
      <c r="AR623" s="31" t="s">
        <v>144</v>
      </c>
    </row>
    <row r="624" spans="5:44" ht="15" customHeight="1" x14ac:dyDescent="0.25">
      <c r="E624" s="31" t="s">
        <v>139</v>
      </c>
      <c r="F624" s="31" t="s">
        <v>140</v>
      </c>
      <c r="G624" s="31" t="s">
        <v>195</v>
      </c>
      <c r="H624" s="31" t="s">
        <v>154</v>
      </c>
      <c r="I624" s="31" t="s">
        <v>481</v>
      </c>
      <c r="J624" s="31" t="s">
        <v>937</v>
      </c>
      <c r="K624" s="31" t="s">
        <v>940</v>
      </c>
      <c r="L624" s="31" t="s">
        <v>1050</v>
      </c>
      <c r="M624" s="31" t="s">
        <v>144</v>
      </c>
      <c r="N624" s="31" t="s">
        <v>144</v>
      </c>
      <c r="O624" s="31" t="s">
        <v>144</v>
      </c>
      <c r="P624" s="31" t="s">
        <v>144</v>
      </c>
      <c r="Q624" s="31" t="s">
        <v>1071</v>
      </c>
      <c r="R624" s="31" t="s">
        <v>312</v>
      </c>
      <c r="S624" s="31" t="s">
        <v>144</v>
      </c>
      <c r="T624" s="31" t="s">
        <v>144</v>
      </c>
      <c r="U624" s="31" t="s">
        <v>144</v>
      </c>
      <c r="V624" s="31" t="s">
        <v>144</v>
      </c>
      <c r="W624" s="31" t="s">
        <v>144</v>
      </c>
      <c r="X624" s="31" t="s">
        <v>144</v>
      </c>
      <c r="Y624" s="31"/>
      <c r="Z624" s="33">
        <v>0.91</v>
      </c>
      <c r="AA624" s="31" t="s">
        <v>144</v>
      </c>
      <c r="AB624" s="31" t="s">
        <v>144</v>
      </c>
      <c r="AC624" s="31" t="s">
        <v>144</v>
      </c>
      <c r="AD624" s="31" t="s">
        <v>144</v>
      </c>
      <c r="AE624" s="31" t="s">
        <v>144</v>
      </c>
      <c r="AF624" s="31" t="s">
        <v>144</v>
      </c>
      <c r="AG624" s="31" t="s">
        <v>144</v>
      </c>
      <c r="AH624" s="31" t="s">
        <v>190</v>
      </c>
      <c r="AI624" s="31" t="s">
        <v>144</v>
      </c>
      <c r="AJ624" s="31" t="s">
        <v>144</v>
      </c>
      <c r="AK624" s="31" t="s">
        <v>144</v>
      </c>
      <c r="AL624" s="31" t="s">
        <v>322</v>
      </c>
      <c r="AM624" s="31" t="s">
        <v>144</v>
      </c>
      <c r="AN624" s="31" t="s">
        <v>163</v>
      </c>
      <c r="AO624" s="31" t="s">
        <v>1325</v>
      </c>
      <c r="AP624" s="31" t="s">
        <v>144</v>
      </c>
      <c r="AQ624" s="31" t="s">
        <v>144</v>
      </c>
      <c r="AR624" s="31" t="s">
        <v>144</v>
      </c>
    </row>
    <row r="625" spans="5:44" ht="15" customHeight="1" x14ac:dyDescent="0.25">
      <c r="E625" s="31" t="s">
        <v>139</v>
      </c>
      <c r="F625" s="31" t="s">
        <v>140</v>
      </c>
      <c r="G625" s="31" t="s">
        <v>195</v>
      </c>
      <c r="H625" s="31" t="s">
        <v>154</v>
      </c>
      <c r="I625" s="31" t="s">
        <v>481</v>
      </c>
      <c r="J625" s="31" t="s">
        <v>937</v>
      </c>
      <c r="K625" s="31" t="s">
        <v>941</v>
      </c>
      <c r="L625" s="31" t="s">
        <v>1050</v>
      </c>
      <c r="M625" s="31" t="s">
        <v>144</v>
      </c>
      <c r="N625" s="31" t="s">
        <v>144</v>
      </c>
      <c r="O625" s="31" t="s">
        <v>144</v>
      </c>
      <c r="P625" s="31" t="s">
        <v>144</v>
      </c>
      <c r="Q625" s="31" t="s">
        <v>1071</v>
      </c>
      <c r="R625" s="31" t="s">
        <v>312</v>
      </c>
      <c r="S625" s="31" t="s">
        <v>144</v>
      </c>
      <c r="T625" s="31" t="s">
        <v>144</v>
      </c>
      <c r="U625" s="31" t="s">
        <v>144</v>
      </c>
      <c r="V625" s="31" t="s">
        <v>144</v>
      </c>
      <c r="W625" s="31" t="s">
        <v>144</v>
      </c>
      <c r="X625" s="31" t="s">
        <v>144</v>
      </c>
      <c r="Y625" s="31"/>
      <c r="Z625" s="33">
        <v>0.91</v>
      </c>
      <c r="AA625" s="31" t="s">
        <v>144</v>
      </c>
      <c r="AB625" s="31" t="s">
        <v>144</v>
      </c>
      <c r="AC625" s="31" t="s">
        <v>144</v>
      </c>
      <c r="AD625" s="31" t="s">
        <v>144</v>
      </c>
      <c r="AE625" s="31" t="s">
        <v>144</v>
      </c>
      <c r="AF625" s="31" t="s">
        <v>144</v>
      </c>
      <c r="AG625" s="31" t="s">
        <v>144</v>
      </c>
      <c r="AH625" s="31" t="s">
        <v>190</v>
      </c>
      <c r="AI625" s="31" t="s">
        <v>144</v>
      </c>
      <c r="AJ625" s="31" t="s">
        <v>144</v>
      </c>
      <c r="AK625" s="31" t="s">
        <v>144</v>
      </c>
      <c r="AL625" s="31" t="s">
        <v>322</v>
      </c>
      <c r="AM625" s="31" t="s">
        <v>144</v>
      </c>
      <c r="AN625" s="31" t="s">
        <v>163</v>
      </c>
      <c r="AO625" s="31" t="s">
        <v>1325</v>
      </c>
      <c r="AP625" s="31" t="s">
        <v>144</v>
      </c>
      <c r="AQ625" s="31" t="s">
        <v>144</v>
      </c>
      <c r="AR625" s="31" t="s">
        <v>144</v>
      </c>
    </row>
    <row r="626" spans="5:44" ht="15" customHeight="1" x14ac:dyDescent="0.25">
      <c r="E626" s="31" t="s">
        <v>139</v>
      </c>
      <c r="F626" s="31" t="s">
        <v>140</v>
      </c>
      <c r="G626" s="31" t="s">
        <v>195</v>
      </c>
      <c r="H626" s="31" t="s">
        <v>154</v>
      </c>
      <c r="I626" s="31" t="s">
        <v>481</v>
      </c>
      <c r="J626" s="31" t="s">
        <v>937</v>
      </c>
      <c r="K626" s="31" t="s">
        <v>942</v>
      </c>
      <c r="L626" s="31" t="s">
        <v>1050</v>
      </c>
      <c r="M626" s="31" t="s">
        <v>144</v>
      </c>
      <c r="N626" s="31" t="s">
        <v>144</v>
      </c>
      <c r="O626" s="31" t="s">
        <v>144</v>
      </c>
      <c r="P626" s="31" t="s">
        <v>144</v>
      </c>
      <c r="Q626" s="31" t="s">
        <v>1071</v>
      </c>
      <c r="R626" s="31" t="s">
        <v>312</v>
      </c>
      <c r="S626" s="31" t="s">
        <v>144</v>
      </c>
      <c r="T626" s="31" t="s">
        <v>144</v>
      </c>
      <c r="U626" s="31" t="s">
        <v>144</v>
      </c>
      <c r="V626" s="31" t="s">
        <v>144</v>
      </c>
      <c r="W626" s="31" t="s">
        <v>144</v>
      </c>
      <c r="X626" s="31" t="s">
        <v>144</v>
      </c>
      <c r="Y626" s="31"/>
      <c r="Z626" s="33">
        <v>0.91</v>
      </c>
      <c r="AA626" s="31" t="s">
        <v>144</v>
      </c>
      <c r="AB626" s="31" t="s">
        <v>144</v>
      </c>
      <c r="AC626" s="31" t="s">
        <v>144</v>
      </c>
      <c r="AD626" s="31" t="s">
        <v>144</v>
      </c>
      <c r="AE626" s="31" t="s">
        <v>144</v>
      </c>
      <c r="AF626" s="31" t="s">
        <v>144</v>
      </c>
      <c r="AG626" s="31" t="s">
        <v>144</v>
      </c>
      <c r="AH626" s="31" t="s">
        <v>190</v>
      </c>
      <c r="AI626" s="31" t="s">
        <v>144</v>
      </c>
      <c r="AJ626" s="31" t="s">
        <v>144</v>
      </c>
      <c r="AK626" s="31" t="s">
        <v>144</v>
      </c>
      <c r="AL626" s="31" t="s">
        <v>322</v>
      </c>
      <c r="AM626" s="31" t="s">
        <v>144</v>
      </c>
      <c r="AN626" s="31" t="s">
        <v>163</v>
      </c>
      <c r="AO626" s="31" t="s">
        <v>1325</v>
      </c>
      <c r="AP626" s="31" t="s">
        <v>144</v>
      </c>
      <c r="AQ626" s="31" t="s">
        <v>144</v>
      </c>
      <c r="AR626" s="31" t="s">
        <v>144</v>
      </c>
    </row>
    <row r="627" spans="5:44" ht="15" customHeight="1" x14ac:dyDescent="0.25">
      <c r="E627" s="31" t="s">
        <v>139</v>
      </c>
      <c r="F627" s="31" t="s">
        <v>140</v>
      </c>
      <c r="G627" s="31" t="s">
        <v>195</v>
      </c>
      <c r="H627" s="31" t="s">
        <v>154</v>
      </c>
      <c r="I627" s="31" t="s">
        <v>481</v>
      </c>
      <c r="J627" s="31" t="s">
        <v>937</v>
      </c>
      <c r="K627" s="31" t="s">
        <v>943</v>
      </c>
      <c r="L627" s="31" t="s">
        <v>1050</v>
      </c>
      <c r="M627" s="31" t="s">
        <v>144</v>
      </c>
      <c r="N627" s="31" t="s">
        <v>144</v>
      </c>
      <c r="O627" s="31" t="s">
        <v>144</v>
      </c>
      <c r="P627" s="31" t="s">
        <v>144</v>
      </c>
      <c r="Q627" s="31" t="s">
        <v>1071</v>
      </c>
      <c r="R627" s="31" t="s">
        <v>312</v>
      </c>
      <c r="S627" s="31" t="s">
        <v>144</v>
      </c>
      <c r="T627" s="31" t="s">
        <v>144</v>
      </c>
      <c r="U627" s="31" t="s">
        <v>144</v>
      </c>
      <c r="V627" s="31" t="s">
        <v>144</v>
      </c>
      <c r="W627" s="31" t="s">
        <v>144</v>
      </c>
      <c r="X627" s="31" t="s">
        <v>144</v>
      </c>
      <c r="Y627" s="31"/>
      <c r="Z627" s="33">
        <v>0.91</v>
      </c>
      <c r="AA627" s="31" t="s">
        <v>144</v>
      </c>
      <c r="AB627" s="31" t="s">
        <v>144</v>
      </c>
      <c r="AC627" s="31" t="s">
        <v>144</v>
      </c>
      <c r="AD627" s="31" t="s">
        <v>144</v>
      </c>
      <c r="AE627" s="31" t="s">
        <v>144</v>
      </c>
      <c r="AF627" s="31" t="s">
        <v>144</v>
      </c>
      <c r="AG627" s="31" t="s">
        <v>144</v>
      </c>
      <c r="AH627" s="31" t="s">
        <v>190</v>
      </c>
      <c r="AI627" s="31" t="s">
        <v>144</v>
      </c>
      <c r="AJ627" s="31" t="s">
        <v>144</v>
      </c>
      <c r="AK627" s="31" t="s">
        <v>144</v>
      </c>
      <c r="AL627" s="31" t="s">
        <v>322</v>
      </c>
      <c r="AM627" s="31" t="s">
        <v>144</v>
      </c>
      <c r="AN627" s="31" t="s">
        <v>163</v>
      </c>
      <c r="AO627" s="31" t="s">
        <v>1325</v>
      </c>
      <c r="AP627" s="31" t="s">
        <v>144</v>
      </c>
      <c r="AQ627" s="31" t="s">
        <v>144</v>
      </c>
      <c r="AR627" s="31" t="s">
        <v>144</v>
      </c>
    </row>
    <row r="628" spans="5:44" ht="15" customHeight="1" x14ac:dyDescent="0.25"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3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</row>
    <row r="629" spans="5:44" ht="15" customHeight="1" x14ac:dyDescent="0.25"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3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</row>
    <row r="630" spans="5:44" ht="15" customHeight="1" x14ac:dyDescent="0.25">
      <c r="E630" s="31" t="s">
        <v>139</v>
      </c>
      <c r="F630" s="31" t="s">
        <v>140</v>
      </c>
      <c r="G630" s="31" t="s">
        <v>195</v>
      </c>
      <c r="H630" s="31" t="s">
        <v>154</v>
      </c>
      <c r="I630" s="31" t="s">
        <v>481</v>
      </c>
      <c r="J630" s="31" t="s">
        <v>944</v>
      </c>
      <c r="K630" s="31" t="s">
        <v>945</v>
      </c>
      <c r="L630" s="31" t="s">
        <v>1050</v>
      </c>
      <c r="M630" s="31" t="s">
        <v>144</v>
      </c>
      <c r="N630" s="31" t="s">
        <v>144</v>
      </c>
      <c r="O630" s="31" t="s">
        <v>144</v>
      </c>
      <c r="P630" s="31" t="s">
        <v>144</v>
      </c>
      <c r="Q630" s="31" t="s">
        <v>1071</v>
      </c>
      <c r="R630" s="31" t="s">
        <v>312</v>
      </c>
      <c r="S630" s="31" t="s">
        <v>144</v>
      </c>
      <c r="T630" s="31" t="s">
        <v>144</v>
      </c>
      <c r="U630" s="31" t="s">
        <v>144</v>
      </c>
      <c r="V630" s="31" t="s">
        <v>144</v>
      </c>
      <c r="W630" s="31" t="s">
        <v>144</v>
      </c>
      <c r="X630" s="31" t="s">
        <v>144</v>
      </c>
      <c r="Y630" s="31"/>
      <c r="Z630" s="33">
        <v>0.91</v>
      </c>
      <c r="AA630" s="31" t="s">
        <v>144</v>
      </c>
      <c r="AB630" s="31" t="s">
        <v>144</v>
      </c>
      <c r="AC630" s="31" t="s">
        <v>144</v>
      </c>
      <c r="AD630" s="31" t="s">
        <v>144</v>
      </c>
      <c r="AE630" s="31" t="s">
        <v>144</v>
      </c>
      <c r="AF630" s="31" t="s">
        <v>144</v>
      </c>
      <c r="AG630" s="31" t="s">
        <v>144</v>
      </c>
      <c r="AH630" s="31" t="s">
        <v>190</v>
      </c>
      <c r="AI630" s="31" t="s">
        <v>144</v>
      </c>
      <c r="AJ630" s="31" t="s">
        <v>144</v>
      </c>
      <c r="AK630" s="31" t="s">
        <v>144</v>
      </c>
      <c r="AL630" s="31" t="s">
        <v>322</v>
      </c>
      <c r="AM630" s="31" t="s">
        <v>144</v>
      </c>
      <c r="AN630" s="31" t="s">
        <v>163</v>
      </c>
      <c r="AO630" s="31" t="s">
        <v>1325</v>
      </c>
      <c r="AP630" s="31" t="s">
        <v>144</v>
      </c>
      <c r="AQ630" s="31" t="s">
        <v>144</v>
      </c>
      <c r="AR630" s="31" t="s">
        <v>144</v>
      </c>
    </row>
    <row r="631" spans="5:44" ht="15" customHeight="1" x14ac:dyDescent="0.25">
      <c r="E631" s="31" t="s">
        <v>139</v>
      </c>
      <c r="F631" s="31" t="s">
        <v>140</v>
      </c>
      <c r="G631" s="31" t="s">
        <v>195</v>
      </c>
      <c r="H631" s="31" t="s">
        <v>154</v>
      </c>
      <c r="I631" s="31" t="s">
        <v>481</v>
      </c>
      <c r="J631" s="31" t="s">
        <v>944</v>
      </c>
      <c r="K631" s="31" t="s">
        <v>946</v>
      </c>
      <c r="L631" s="31" t="s">
        <v>1050</v>
      </c>
      <c r="M631" s="31" t="s">
        <v>144</v>
      </c>
      <c r="N631" s="31" t="s">
        <v>144</v>
      </c>
      <c r="O631" s="31" t="s">
        <v>144</v>
      </c>
      <c r="P631" s="31" t="s">
        <v>144</v>
      </c>
      <c r="Q631" s="31" t="s">
        <v>1071</v>
      </c>
      <c r="R631" s="31" t="s">
        <v>312</v>
      </c>
      <c r="S631" s="31" t="s">
        <v>144</v>
      </c>
      <c r="T631" s="31" t="s">
        <v>144</v>
      </c>
      <c r="U631" s="31" t="s">
        <v>144</v>
      </c>
      <c r="V631" s="31" t="s">
        <v>144</v>
      </c>
      <c r="W631" s="31" t="s">
        <v>144</v>
      </c>
      <c r="X631" s="31" t="s">
        <v>144</v>
      </c>
      <c r="Y631" s="31"/>
      <c r="Z631" s="33">
        <v>0.91</v>
      </c>
      <c r="AA631" s="31" t="s">
        <v>144</v>
      </c>
      <c r="AB631" s="31" t="s">
        <v>144</v>
      </c>
      <c r="AC631" s="31" t="s">
        <v>144</v>
      </c>
      <c r="AD631" s="31" t="s">
        <v>144</v>
      </c>
      <c r="AE631" s="31" t="s">
        <v>144</v>
      </c>
      <c r="AF631" s="31" t="s">
        <v>144</v>
      </c>
      <c r="AG631" s="31" t="s">
        <v>144</v>
      </c>
      <c r="AH631" s="31" t="s">
        <v>190</v>
      </c>
      <c r="AI631" s="31" t="s">
        <v>144</v>
      </c>
      <c r="AJ631" s="31" t="s">
        <v>144</v>
      </c>
      <c r="AK631" s="31" t="s">
        <v>144</v>
      </c>
      <c r="AL631" s="31" t="s">
        <v>322</v>
      </c>
      <c r="AM631" s="31" t="s">
        <v>144</v>
      </c>
      <c r="AN631" s="31" t="s">
        <v>163</v>
      </c>
      <c r="AO631" s="31" t="s">
        <v>1325</v>
      </c>
      <c r="AP631" s="31" t="s">
        <v>144</v>
      </c>
      <c r="AQ631" s="31" t="s">
        <v>144</v>
      </c>
      <c r="AR631" s="31" t="s">
        <v>144</v>
      </c>
    </row>
    <row r="632" spans="5:44" ht="15" customHeight="1" x14ac:dyDescent="0.25">
      <c r="E632" s="31" t="s">
        <v>139</v>
      </c>
      <c r="F632" s="31" t="s">
        <v>140</v>
      </c>
      <c r="G632" s="31" t="s">
        <v>195</v>
      </c>
      <c r="H632" s="31" t="s">
        <v>154</v>
      </c>
      <c r="I632" s="31" t="s">
        <v>481</v>
      </c>
      <c r="J632" s="31" t="s">
        <v>944</v>
      </c>
      <c r="K632" s="31" t="s">
        <v>947</v>
      </c>
      <c r="L632" s="31" t="s">
        <v>1050</v>
      </c>
      <c r="M632" s="31" t="s">
        <v>144</v>
      </c>
      <c r="N632" s="31" t="s">
        <v>144</v>
      </c>
      <c r="O632" s="31" t="s">
        <v>144</v>
      </c>
      <c r="P632" s="31" t="s">
        <v>144</v>
      </c>
      <c r="Q632" s="31" t="s">
        <v>1071</v>
      </c>
      <c r="R632" s="31" t="s">
        <v>312</v>
      </c>
      <c r="S632" s="31" t="s">
        <v>144</v>
      </c>
      <c r="T632" s="31" t="s">
        <v>144</v>
      </c>
      <c r="U632" s="31" t="s">
        <v>144</v>
      </c>
      <c r="V632" s="31" t="s">
        <v>144</v>
      </c>
      <c r="W632" s="31" t="s">
        <v>144</v>
      </c>
      <c r="X632" s="31" t="s">
        <v>144</v>
      </c>
      <c r="Y632" s="31"/>
      <c r="Z632" s="33">
        <v>0.91</v>
      </c>
      <c r="AA632" s="31" t="s">
        <v>144</v>
      </c>
      <c r="AB632" s="31" t="s">
        <v>144</v>
      </c>
      <c r="AC632" s="31" t="s">
        <v>144</v>
      </c>
      <c r="AD632" s="31" t="s">
        <v>144</v>
      </c>
      <c r="AE632" s="31" t="s">
        <v>144</v>
      </c>
      <c r="AF632" s="31" t="s">
        <v>144</v>
      </c>
      <c r="AG632" s="31" t="s">
        <v>144</v>
      </c>
      <c r="AH632" s="31" t="s">
        <v>190</v>
      </c>
      <c r="AI632" s="31" t="s">
        <v>144</v>
      </c>
      <c r="AJ632" s="31" t="s">
        <v>144</v>
      </c>
      <c r="AK632" s="31" t="s">
        <v>144</v>
      </c>
      <c r="AL632" s="31" t="s">
        <v>322</v>
      </c>
      <c r="AM632" s="31" t="s">
        <v>144</v>
      </c>
      <c r="AN632" s="31" t="s">
        <v>163</v>
      </c>
      <c r="AO632" s="31" t="s">
        <v>1325</v>
      </c>
      <c r="AP632" s="31" t="s">
        <v>144</v>
      </c>
      <c r="AQ632" s="31" t="s">
        <v>144</v>
      </c>
      <c r="AR632" s="31" t="s">
        <v>144</v>
      </c>
    </row>
    <row r="633" spans="5:44" ht="15" customHeight="1" x14ac:dyDescent="0.25">
      <c r="E633" s="31" t="s">
        <v>139</v>
      </c>
      <c r="F633" s="31" t="s">
        <v>140</v>
      </c>
      <c r="G633" s="31" t="s">
        <v>195</v>
      </c>
      <c r="H633" s="31" t="s">
        <v>154</v>
      </c>
      <c r="I633" s="31" t="s">
        <v>481</v>
      </c>
      <c r="J633" s="31" t="s">
        <v>944</v>
      </c>
      <c r="K633" s="31" t="s">
        <v>948</v>
      </c>
      <c r="L633" s="31" t="s">
        <v>1050</v>
      </c>
      <c r="M633" s="31" t="s">
        <v>144</v>
      </c>
      <c r="N633" s="31" t="s">
        <v>144</v>
      </c>
      <c r="O633" s="31" t="s">
        <v>144</v>
      </c>
      <c r="P633" s="31" t="s">
        <v>144</v>
      </c>
      <c r="Q633" s="31" t="s">
        <v>1071</v>
      </c>
      <c r="R633" s="31" t="s">
        <v>312</v>
      </c>
      <c r="S633" s="31" t="s">
        <v>144</v>
      </c>
      <c r="T633" s="31" t="s">
        <v>144</v>
      </c>
      <c r="U633" s="31" t="s">
        <v>144</v>
      </c>
      <c r="V633" s="31" t="s">
        <v>144</v>
      </c>
      <c r="W633" s="31" t="s">
        <v>144</v>
      </c>
      <c r="X633" s="31" t="s">
        <v>144</v>
      </c>
      <c r="Y633" s="31"/>
      <c r="Z633" s="33">
        <v>0.91</v>
      </c>
      <c r="AA633" s="31" t="s">
        <v>144</v>
      </c>
      <c r="AB633" s="31" t="s">
        <v>144</v>
      </c>
      <c r="AC633" s="31" t="s">
        <v>144</v>
      </c>
      <c r="AD633" s="31" t="s">
        <v>144</v>
      </c>
      <c r="AE633" s="31" t="s">
        <v>144</v>
      </c>
      <c r="AF633" s="31" t="s">
        <v>144</v>
      </c>
      <c r="AG633" s="31" t="s">
        <v>144</v>
      </c>
      <c r="AH633" s="31" t="s">
        <v>190</v>
      </c>
      <c r="AI633" s="31" t="s">
        <v>144</v>
      </c>
      <c r="AJ633" s="31" t="s">
        <v>144</v>
      </c>
      <c r="AK633" s="31" t="s">
        <v>144</v>
      </c>
      <c r="AL633" s="31" t="s">
        <v>322</v>
      </c>
      <c r="AM633" s="31" t="s">
        <v>144</v>
      </c>
      <c r="AN633" s="31" t="s">
        <v>163</v>
      </c>
      <c r="AO633" s="31" t="s">
        <v>1325</v>
      </c>
      <c r="AP633" s="31" t="s">
        <v>144</v>
      </c>
      <c r="AQ633" s="31" t="s">
        <v>144</v>
      </c>
      <c r="AR633" s="31" t="s">
        <v>144</v>
      </c>
    </row>
    <row r="634" spans="5:44" ht="15" customHeight="1" x14ac:dyDescent="0.25"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3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</row>
    <row r="635" spans="5:44" ht="15" customHeight="1" x14ac:dyDescent="0.25"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3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</row>
    <row r="636" spans="5:44" ht="15" customHeight="1" x14ac:dyDescent="0.25">
      <c r="E636" s="31" t="s">
        <v>139</v>
      </c>
      <c r="F636" s="31" t="s">
        <v>140</v>
      </c>
      <c r="G636" s="31" t="s">
        <v>377</v>
      </c>
      <c r="H636" s="31" t="s">
        <v>324</v>
      </c>
      <c r="I636" s="31" t="s">
        <v>481</v>
      </c>
      <c r="J636" s="31" t="s">
        <v>647</v>
      </c>
      <c r="K636" s="31" t="s">
        <v>949</v>
      </c>
      <c r="L636" s="31" t="s">
        <v>162</v>
      </c>
      <c r="M636" s="31" t="s">
        <v>144</v>
      </c>
      <c r="N636" s="31" t="s">
        <v>144</v>
      </c>
      <c r="O636" s="31" t="s">
        <v>144</v>
      </c>
      <c r="P636" s="31" t="s">
        <v>144</v>
      </c>
      <c r="Q636" s="31" t="s">
        <v>1071</v>
      </c>
      <c r="R636" s="31" t="s">
        <v>312</v>
      </c>
      <c r="S636" s="31" t="s">
        <v>144</v>
      </c>
      <c r="T636" s="31" t="s">
        <v>144</v>
      </c>
      <c r="U636" s="31" t="s">
        <v>144</v>
      </c>
      <c r="V636" s="31" t="s">
        <v>144</v>
      </c>
      <c r="W636" s="31" t="s">
        <v>144</v>
      </c>
      <c r="X636" s="31" t="s">
        <v>144</v>
      </c>
      <c r="Y636" s="31"/>
      <c r="Z636" s="33">
        <v>0.91</v>
      </c>
      <c r="AA636" s="31" t="s">
        <v>144</v>
      </c>
      <c r="AB636" s="31" t="s">
        <v>144</v>
      </c>
      <c r="AC636" s="31" t="s">
        <v>144</v>
      </c>
      <c r="AD636" s="31" t="s">
        <v>144</v>
      </c>
      <c r="AE636" s="31" t="s">
        <v>144</v>
      </c>
      <c r="AF636" s="31" t="s">
        <v>144</v>
      </c>
      <c r="AG636" s="31" t="s">
        <v>144</v>
      </c>
      <c r="AH636" s="31" t="s">
        <v>190</v>
      </c>
      <c r="AI636" s="31" t="s">
        <v>144</v>
      </c>
      <c r="AJ636" s="31" t="s">
        <v>144</v>
      </c>
      <c r="AK636" s="31" t="s">
        <v>144</v>
      </c>
      <c r="AL636" s="31" t="s">
        <v>322</v>
      </c>
      <c r="AM636" s="31" t="s">
        <v>144</v>
      </c>
      <c r="AN636" s="31" t="s">
        <v>163</v>
      </c>
      <c r="AO636" s="31" t="s">
        <v>1325</v>
      </c>
      <c r="AP636" s="31" t="s">
        <v>144</v>
      </c>
      <c r="AQ636" s="31" t="s">
        <v>144</v>
      </c>
      <c r="AR636" s="31" t="s">
        <v>144</v>
      </c>
    </row>
    <row r="637" spans="5:44" ht="15" customHeight="1" x14ac:dyDescent="0.25">
      <c r="E637" s="31" t="s">
        <v>139</v>
      </c>
      <c r="F637" s="31" t="s">
        <v>140</v>
      </c>
      <c r="G637" s="31" t="s">
        <v>377</v>
      </c>
      <c r="H637" s="31" t="s">
        <v>324</v>
      </c>
      <c r="I637" s="31" t="s">
        <v>481</v>
      </c>
      <c r="J637" s="31" t="s">
        <v>647</v>
      </c>
      <c r="K637" s="31" t="s">
        <v>950</v>
      </c>
      <c r="L637" s="31" t="s">
        <v>162</v>
      </c>
      <c r="M637" s="31" t="s">
        <v>144</v>
      </c>
      <c r="N637" s="31" t="s">
        <v>144</v>
      </c>
      <c r="O637" s="31" t="s">
        <v>144</v>
      </c>
      <c r="P637" s="31" t="s">
        <v>144</v>
      </c>
      <c r="Q637" s="31" t="s">
        <v>1071</v>
      </c>
      <c r="R637" s="31" t="s">
        <v>312</v>
      </c>
      <c r="S637" s="31" t="s">
        <v>144</v>
      </c>
      <c r="T637" s="31" t="s">
        <v>144</v>
      </c>
      <c r="U637" s="31" t="s">
        <v>144</v>
      </c>
      <c r="V637" s="31" t="s">
        <v>144</v>
      </c>
      <c r="W637" s="31" t="s">
        <v>144</v>
      </c>
      <c r="X637" s="31" t="s">
        <v>144</v>
      </c>
      <c r="Y637" s="31"/>
      <c r="Z637" s="33">
        <v>0.91</v>
      </c>
      <c r="AA637" s="31" t="s">
        <v>144</v>
      </c>
      <c r="AB637" s="31" t="s">
        <v>144</v>
      </c>
      <c r="AC637" s="31" t="s">
        <v>144</v>
      </c>
      <c r="AD637" s="31" t="s">
        <v>144</v>
      </c>
      <c r="AE637" s="31" t="s">
        <v>144</v>
      </c>
      <c r="AF637" s="31" t="s">
        <v>144</v>
      </c>
      <c r="AG637" s="31" t="s">
        <v>144</v>
      </c>
      <c r="AH637" s="31" t="s">
        <v>190</v>
      </c>
      <c r="AI637" s="31" t="s">
        <v>144</v>
      </c>
      <c r="AJ637" s="31" t="s">
        <v>144</v>
      </c>
      <c r="AK637" s="31" t="s">
        <v>144</v>
      </c>
      <c r="AL637" s="31" t="s">
        <v>322</v>
      </c>
      <c r="AM637" s="31" t="s">
        <v>144</v>
      </c>
      <c r="AN637" s="31" t="s">
        <v>163</v>
      </c>
      <c r="AO637" s="31" t="s">
        <v>1325</v>
      </c>
      <c r="AP637" s="31" t="s">
        <v>144</v>
      </c>
      <c r="AQ637" s="31" t="s">
        <v>144</v>
      </c>
      <c r="AR637" s="31" t="s">
        <v>144</v>
      </c>
    </row>
    <row r="638" spans="5:44" ht="15" customHeight="1" x14ac:dyDescent="0.25">
      <c r="E638" s="31" t="s">
        <v>139</v>
      </c>
      <c r="F638" s="31" t="s">
        <v>140</v>
      </c>
      <c r="G638" s="31" t="s">
        <v>377</v>
      </c>
      <c r="H638" s="31" t="s">
        <v>324</v>
      </c>
      <c r="I638" s="31" t="s">
        <v>481</v>
      </c>
      <c r="J638" s="31" t="s">
        <v>647</v>
      </c>
      <c r="K638" s="31" t="s">
        <v>951</v>
      </c>
      <c r="L638" s="31" t="s">
        <v>162</v>
      </c>
      <c r="M638" s="31" t="s">
        <v>144</v>
      </c>
      <c r="N638" s="31" t="s">
        <v>144</v>
      </c>
      <c r="O638" s="31" t="s">
        <v>144</v>
      </c>
      <c r="P638" s="31" t="s">
        <v>144</v>
      </c>
      <c r="Q638" s="31" t="s">
        <v>1071</v>
      </c>
      <c r="R638" s="31" t="s">
        <v>312</v>
      </c>
      <c r="S638" s="31" t="s">
        <v>144</v>
      </c>
      <c r="T638" s="31" t="s">
        <v>144</v>
      </c>
      <c r="U638" s="31" t="s">
        <v>144</v>
      </c>
      <c r="V638" s="31" t="s">
        <v>144</v>
      </c>
      <c r="W638" s="31" t="s">
        <v>144</v>
      </c>
      <c r="X638" s="31" t="s">
        <v>144</v>
      </c>
      <c r="Y638" s="31"/>
      <c r="Z638" s="33">
        <v>0.91</v>
      </c>
      <c r="AA638" s="31" t="s">
        <v>144</v>
      </c>
      <c r="AB638" s="31" t="s">
        <v>144</v>
      </c>
      <c r="AC638" s="31" t="s">
        <v>144</v>
      </c>
      <c r="AD638" s="31" t="s">
        <v>144</v>
      </c>
      <c r="AE638" s="31" t="s">
        <v>144</v>
      </c>
      <c r="AF638" s="31" t="s">
        <v>144</v>
      </c>
      <c r="AG638" s="31" t="s">
        <v>144</v>
      </c>
      <c r="AH638" s="31" t="s">
        <v>190</v>
      </c>
      <c r="AI638" s="31" t="s">
        <v>144</v>
      </c>
      <c r="AJ638" s="31" t="s">
        <v>144</v>
      </c>
      <c r="AK638" s="31" t="s">
        <v>144</v>
      </c>
      <c r="AL638" s="31" t="s">
        <v>322</v>
      </c>
      <c r="AM638" s="31" t="s">
        <v>144</v>
      </c>
      <c r="AN638" s="31" t="s">
        <v>163</v>
      </c>
      <c r="AO638" s="31" t="s">
        <v>1325</v>
      </c>
      <c r="AP638" s="31" t="s">
        <v>144</v>
      </c>
      <c r="AQ638" s="31" t="s">
        <v>144</v>
      </c>
      <c r="AR638" s="31" t="s">
        <v>144</v>
      </c>
    </row>
    <row r="639" spans="5:44" ht="15" customHeight="1" x14ac:dyDescent="0.25">
      <c r="E639" s="31" t="s">
        <v>139</v>
      </c>
      <c r="F639" s="31" t="s">
        <v>140</v>
      </c>
      <c r="G639" s="31" t="s">
        <v>377</v>
      </c>
      <c r="H639" s="31" t="s">
        <v>324</v>
      </c>
      <c r="I639" s="31" t="s">
        <v>481</v>
      </c>
      <c r="J639" s="31" t="s">
        <v>647</v>
      </c>
      <c r="K639" s="31" t="s">
        <v>952</v>
      </c>
      <c r="L639" s="31" t="s">
        <v>162</v>
      </c>
      <c r="M639" s="31" t="s">
        <v>144</v>
      </c>
      <c r="N639" s="31" t="s">
        <v>144</v>
      </c>
      <c r="O639" s="31" t="s">
        <v>144</v>
      </c>
      <c r="P639" s="31" t="s">
        <v>144</v>
      </c>
      <c r="Q639" s="31" t="s">
        <v>1071</v>
      </c>
      <c r="R639" s="31" t="s">
        <v>312</v>
      </c>
      <c r="S639" s="31" t="s">
        <v>144</v>
      </c>
      <c r="T639" s="31" t="s">
        <v>144</v>
      </c>
      <c r="U639" s="31" t="s">
        <v>144</v>
      </c>
      <c r="V639" s="31" t="s">
        <v>144</v>
      </c>
      <c r="W639" s="31" t="s">
        <v>144</v>
      </c>
      <c r="X639" s="31" t="s">
        <v>144</v>
      </c>
      <c r="Y639" s="31"/>
      <c r="Z639" s="33">
        <v>0.91</v>
      </c>
      <c r="AA639" s="31" t="s">
        <v>144</v>
      </c>
      <c r="AB639" s="31" t="s">
        <v>144</v>
      </c>
      <c r="AC639" s="31" t="s">
        <v>144</v>
      </c>
      <c r="AD639" s="31" t="s">
        <v>144</v>
      </c>
      <c r="AE639" s="31" t="s">
        <v>144</v>
      </c>
      <c r="AF639" s="31" t="s">
        <v>144</v>
      </c>
      <c r="AG639" s="31" t="s">
        <v>144</v>
      </c>
      <c r="AH639" s="31" t="s">
        <v>190</v>
      </c>
      <c r="AI639" s="31" t="s">
        <v>144</v>
      </c>
      <c r="AJ639" s="31" t="s">
        <v>144</v>
      </c>
      <c r="AK639" s="31" t="s">
        <v>144</v>
      </c>
      <c r="AL639" s="31" t="s">
        <v>322</v>
      </c>
      <c r="AM639" s="31" t="s">
        <v>144</v>
      </c>
      <c r="AN639" s="31" t="s">
        <v>163</v>
      </c>
      <c r="AO639" s="31" t="s">
        <v>1325</v>
      </c>
      <c r="AP639" s="31" t="s">
        <v>144</v>
      </c>
      <c r="AQ639" s="31" t="s">
        <v>144</v>
      </c>
      <c r="AR639" s="31" t="s">
        <v>144</v>
      </c>
    </row>
    <row r="640" spans="5:44" ht="15" customHeight="1" x14ac:dyDescent="0.25">
      <c r="E640" s="31" t="s">
        <v>139</v>
      </c>
      <c r="F640" s="31" t="s">
        <v>140</v>
      </c>
      <c r="G640" s="31" t="s">
        <v>377</v>
      </c>
      <c r="H640" s="31" t="s">
        <v>324</v>
      </c>
      <c r="I640" s="31" t="s">
        <v>481</v>
      </c>
      <c r="J640" s="31" t="s">
        <v>647</v>
      </c>
      <c r="K640" s="31" t="s">
        <v>953</v>
      </c>
      <c r="L640" s="31" t="s">
        <v>162</v>
      </c>
      <c r="M640" s="31" t="s">
        <v>144</v>
      </c>
      <c r="N640" s="31" t="s">
        <v>144</v>
      </c>
      <c r="O640" s="31" t="s">
        <v>144</v>
      </c>
      <c r="P640" s="31" t="s">
        <v>144</v>
      </c>
      <c r="Q640" s="31" t="s">
        <v>1071</v>
      </c>
      <c r="R640" s="31" t="s">
        <v>312</v>
      </c>
      <c r="S640" s="31" t="s">
        <v>144</v>
      </c>
      <c r="T640" s="31" t="s">
        <v>144</v>
      </c>
      <c r="U640" s="31" t="s">
        <v>144</v>
      </c>
      <c r="V640" s="31" t="s">
        <v>144</v>
      </c>
      <c r="W640" s="31" t="s">
        <v>144</v>
      </c>
      <c r="X640" s="31" t="s">
        <v>144</v>
      </c>
      <c r="Y640" s="31"/>
      <c r="Z640" s="33">
        <v>0.91</v>
      </c>
      <c r="AA640" s="31" t="s">
        <v>144</v>
      </c>
      <c r="AB640" s="31" t="s">
        <v>144</v>
      </c>
      <c r="AC640" s="31" t="s">
        <v>144</v>
      </c>
      <c r="AD640" s="31" t="s">
        <v>144</v>
      </c>
      <c r="AE640" s="31" t="s">
        <v>144</v>
      </c>
      <c r="AF640" s="31" t="s">
        <v>144</v>
      </c>
      <c r="AG640" s="31" t="s">
        <v>144</v>
      </c>
      <c r="AH640" s="31" t="s">
        <v>190</v>
      </c>
      <c r="AI640" s="31" t="s">
        <v>144</v>
      </c>
      <c r="AJ640" s="31" t="s">
        <v>144</v>
      </c>
      <c r="AK640" s="31" t="s">
        <v>144</v>
      </c>
      <c r="AL640" s="31" t="s">
        <v>322</v>
      </c>
      <c r="AM640" s="31" t="s">
        <v>144</v>
      </c>
      <c r="AN640" s="31" t="s">
        <v>163</v>
      </c>
      <c r="AO640" s="31" t="s">
        <v>1325</v>
      </c>
      <c r="AP640" s="31" t="s">
        <v>144</v>
      </c>
      <c r="AQ640" s="31" t="s">
        <v>144</v>
      </c>
      <c r="AR640" s="31" t="s">
        <v>144</v>
      </c>
    </row>
    <row r="641" spans="5:44" ht="15" customHeight="1" x14ac:dyDescent="0.25">
      <c r="E641" s="31" t="s">
        <v>139</v>
      </c>
      <c r="F641" s="31" t="s">
        <v>140</v>
      </c>
      <c r="G641" s="31" t="s">
        <v>377</v>
      </c>
      <c r="H641" s="31" t="s">
        <v>324</v>
      </c>
      <c r="I641" s="31" t="s">
        <v>481</v>
      </c>
      <c r="J641" s="31" t="s">
        <v>647</v>
      </c>
      <c r="K641" s="31" t="s">
        <v>954</v>
      </c>
      <c r="L641" s="31" t="s">
        <v>162</v>
      </c>
      <c r="M641" s="31" t="s">
        <v>144</v>
      </c>
      <c r="N641" s="31" t="s">
        <v>144</v>
      </c>
      <c r="O641" s="31" t="s">
        <v>144</v>
      </c>
      <c r="P641" s="31" t="s">
        <v>144</v>
      </c>
      <c r="Q641" s="31" t="s">
        <v>1071</v>
      </c>
      <c r="R641" s="31" t="s">
        <v>312</v>
      </c>
      <c r="S641" s="31" t="s">
        <v>144</v>
      </c>
      <c r="T641" s="31" t="s">
        <v>144</v>
      </c>
      <c r="U641" s="31" t="s">
        <v>144</v>
      </c>
      <c r="V641" s="31" t="s">
        <v>144</v>
      </c>
      <c r="W641" s="31" t="s">
        <v>144</v>
      </c>
      <c r="X641" s="31" t="s">
        <v>144</v>
      </c>
      <c r="Y641" s="31"/>
      <c r="Z641" s="33">
        <v>0.91</v>
      </c>
      <c r="AA641" s="31" t="s">
        <v>144</v>
      </c>
      <c r="AB641" s="31" t="s">
        <v>144</v>
      </c>
      <c r="AC641" s="31" t="s">
        <v>144</v>
      </c>
      <c r="AD641" s="31" t="s">
        <v>144</v>
      </c>
      <c r="AE641" s="31" t="s">
        <v>144</v>
      </c>
      <c r="AF641" s="31" t="s">
        <v>144</v>
      </c>
      <c r="AG641" s="31" t="s">
        <v>144</v>
      </c>
      <c r="AH641" s="31" t="s">
        <v>190</v>
      </c>
      <c r="AI641" s="31" t="s">
        <v>144</v>
      </c>
      <c r="AJ641" s="31" t="s">
        <v>144</v>
      </c>
      <c r="AK641" s="31" t="s">
        <v>144</v>
      </c>
      <c r="AL641" s="31" t="s">
        <v>322</v>
      </c>
      <c r="AM641" s="31" t="s">
        <v>144</v>
      </c>
      <c r="AN641" s="31" t="s">
        <v>163</v>
      </c>
      <c r="AO641" s="31" t="s">
        <v>1325</v>
      </c>
      <c r="AP641" s="31" t="s">
        <v>144</v>
      </c>
      <c r="AQ641" s="31" t="s">
        <v>144</v>
      </c>
      <c r="AR641" s="31" t="s">
        <v>144</v>
      </c>
    </row>
    <row r="642" spans="5:44" ht="15" customHeight="1" x14ac:dyDescent="0.25">
      <c r="E642" s="31" t="s">
        <v>139</v>
      </c>
      <c r="F642" s="31" t="s">
        <v>140</v>
      </c>
      <c r="G642" s="31" t="s">
        <v>377</v>
      </c>
      <c r="H642" s="31" t="s">
        <v>324</v>
      </c>
      <c r="I642" s="31" t="s">
        <v>481</v>
      </c>
      <c r="J642" s="31" t="s">
        <v>647</v>
      </c>
      <c r="K642" s="31" t="s">
        <v>955</v>
      </c>
      <c r="L642" s="31" t="s">
        <v>162</v>
      </c>
      <c r="M642" s="31" t="s">
        <v>144</v>
      </c>
      <c r="N642" s="31" t="s">
        <v>144</v>
      </c>
      <c r="O642" s="31" t="s">
        <v>144</v>
      </c>
      <c r="P642" s="31" t="s">
        <v>144</v>
      </c>
      <c r="Q642" s="31" t="s">
        <v>1071</v>
      </c>
      <c r="R642" s="31" t="s">
        <v>312</v>
      </c>
      <c r="S642" s="31" t="s">
        <v>144</v>
      </c>
      <c r="T642" s="31" t="s">
        <v>144</v>
      </c>
      <c r="U642" s="31" t="s">
        <v>144</v>
      </c>
      <c r="V642" s="31" t="s">
        <v>144</v>
      </c>
      <c r="W642" s="31" t="s">
        <v>144</v>
      </c>
      <c r="X642" s="31" t="s">
        <v>144</v>
      </c>
      <c r="Y642" s="31"/>
      <c r="Z642" s="33">
        <v>0.91</v>
      </c>
      <c r="AA642" s="31" t="s">
        <v>144</v>
      </c>
      <c r="AB642" s="31" t="s">
        <v>144</v>
      </c>
      <c r="AC642" s="31" t="s">
        <v>144</v>
      </c>
      <c r="AD642" s="31" t="s">
        <v>144</v>
      </c>
      <c r="AE642" s="31" t="s">
        <v>144</v>
      </c>
      <c r="AF642" s="31" t="s">
        <v>144</v>
      </c>
      <c r="AG642" s="31" t="s">
        <v>144</v>
      </c>
      <c r="AH642" s="31" t="s">
        <v>190</v>
      </c>
      <c r="AI642" s="31" t="s">
        <v>144</v>
      </c>
      <c r="AJ642" s="31" t="s">
        <v>144</v>
      </c>
      <c r="AK642" s="31" t="s">
        <v>144</v>
      </c>
      <c r="AL642" s="31" t="s">
        <v>322</v>
      </c>
      <c r="AM642" s="31" t="s">
        <v>144</v>
      </c>
      <c r="AN642" s="31" t="s">
        <v>163</v>
      </c>
      <c r="AO642" s="31" t="s">
        <v>1325</v>
      </c>
      <c r="AP642" s="31" t="s">
        <v>144</v>
      </c>
      <c r="AQ642" s="31" t="s">
        <v>144</v>
      </c>
      <c r="AR642" s="31" t="s">
        <v>144</v>
      </c>
    </row>
    <row r="643" spans="5:44" ht="15" customHeight="1" x14ac:dyDescent="0.25">
      <c r="E643" s="31" t="s">
        <v>139</v>
      </c>
      <c r="F643" s="31" t="s">
        <v>140</v>
      </c>
      <c r="G643" s="31" t="s">
        <v>377</v>
      </c>
      <c r="H643" s="31" t="s">
        <v>324</v>
      </c>
      <c r="I643" s="31" t="s">
        <v>481</v>
      </c>
      <c r="J643" s="31" t="s">
        <v>647</v>
      </c>
      <c r="K643" s="31" t="s">
        <v>956</v>
      </c>
      <c r="L643" s="31" t="s">
        <v>162</v>
      </c>
      <c r="M643" s="31" t="s">
        <v>144</v>
      </c>
      <c r="N643" s="31" t="s">
        <v>144</v>
      </c>
      <c r="O643" s="31" t="s">
        <v>144</v>
      </c>
      <c r="P643" s="31" t="s">
        <v>144</v>
      </c>
      <c r="Q643" s="31" t="s">
        <v>1071</v>
      </c>
      <c r="R643" s="31" t="s">
        <v>312</v>
      </c>
      <c r="S643" s="31" t="s">
        <v>144</v>
      </c>
      <c r="T643" s="31" t="s">
        <v>144</v>
      </c>
      <c r="U643" s="31" t="s">
        <v>144</v>
      </c>
      <c r="V643" s="31" t="s">
        <v>144</v>
      </c>
      <c r="W643" s="31" t="s">
        <v>144</v>
      </c>
      <c r="X643" s="31" t="s">
        <v>144</v>
      </c>
      <c r="Y643" s="31"/>
      <c r="Z643" s="33">
        <v>0.91</v>
      </c>
      <c r="AA643" s="31" t="s">
        <v>144</v>
      </c>
      <c r="AB643" s="31" t="s">
        <v>144</v>
      </c>
      <c r="AC643" s="31" t="s">
        <v>144</v>
      </c>
      <c r="AD643" s="31" t="s">
        <v>144</v>
      </c>
      <c r="AE643" s="31" t="s">
        <v>144</v>
      </c>
      <c r="AF643" s="31" t="s">
        <v>144</v>
      </c>
      <c r="AG643" s="31" t="s">
        <v>144</v>
      </c>
      <c r="AH643" s="31" t="s">
        <v>190</v>
      </c>
      <c r="AI643" s="31" t="s">
        <v>144</v>
      </c>
      <c r="AJ643" s="31" t="s">
        <v>144</v>
      </c>
      <c r="AK643" s="31" t="s">
        <v>144</v>
      </c>
      <c r="AL643" s="31" t="s">
        <v>322</v>
      </c>
      <c r="AM643" s="31" t="s">
        <v>144</v>
      </c>
      <c r="AN643" s="31" t="s">
        <v>163</v>
      </c>
      <c r="AO643" s="31" t="s">
        <v>1325</v>
      </c>
      <c r="AP643" s="31" t="s">
        <v>144</v>
      </c>
      <c r="AQ643" s="31" t="s">
        <v>144</v>
      </c>
      <c r="AR643" s="31" t="s">
        <v>144</v>
      </c>
    </row>
    <row r="644" spans="5:44" ht="15" customHeight="1" x14ac:dyDescent="0.25">
      <c r="E644" s="31" t="s">
        <v>139</v>
      </c>
      <c r="F644" s="31" t="s">
        <v>140</v>
      </c>
      <c r="G644" s="31" t="s">
        <v>377</v>
      </c>
      <c r="H644" s="31" t="s">
        <v>324</v>
      </c>
      <c r="I644" s="31" t="s">
        <v>481</v>
      </c>
      <c r="J644" s="31" t="s">
        <v>647</v>
      </c>
      <c r="K644" s="31" t="s">
        <v>957</v>
      </c>
      <c r="L644" s="31" t="s">
        <v>162</v>
      </c>
      <c r="M644" s="31" t="s">
        <v>144</v>
      </c>
      <c r="N644" s="31" t="s">
        <v>144</v>
      </c>
      <c r="O644" s="31" t="s">
        <v>144</v>
      </c>
      <c r="P644" s="31" t="s">
        <v>144</v>
      </c>
      <c r="Q644" s="31" t="s">
        <v>1071</v>
      </c>
      <c r="R644" s="31" t="s">
        <v>312</v>
      </c>
      <c r="S644" s="31" t="s">
        <v>144</v>
      </c>
      <c r="T644" s="31" t="s">
        <v>144</v>
      </c>
      <c r="U644" s="31" t="s">
        <v>144</v>
      </c>
      <c r="V644" s="31" t="s">
        <v>144</v>
      </c>
      <c r="W644" s="31" t="s">
        <v>144</v>
      </c>
      <c r="X644" s="31" t="s">
        <v>144</v>
      </c>
      <c r="Y644" s="31"/>
      <c r="Z644" s="33">
        <v>0.91</v>
      </c>
      <c r="AA644" s="31" t="s">
        <v>144</v>
      </c>
      <c r="AB644" s="31" t="s">
        <v>144</v>
      </c>
      <c r="AC644" s="31" t="s">
        <v>144</v>
      </c>
      <c r="AD644" s="31" t="s">
        <v>144</v>
      </c>
      <c r="AE644" s="31" t="s">
        <v>144</v>
      </c>
      <c r="AF644" s="31" t="s">
        <v>144</v>
      </c>
      <c r="AG644" s="31" t="s">
        <v>144</v>
      </c>
      <c r="AH644" s="31" t="s">
        <v>190</v>
      </c>
      <c r="AI644" s="31" t="s">
        <v>144</v>
      </c>
      <c r="AJ644" s="31" t="s">
        <v>144</v>
      </c>
      <c r="AK644" s="31" t="s">
        <v>144</v>
      </c>
      <c r="AL644" s="31" t="s">
        <v>322</v>
      </c>
      <c r="AM644" s="31" t="s">
        <v>144</v>
      </c>
      <c r="AN644" s="31" t="s">
        <v>163</v>
      </c>
      <c r="AO644" s="31" t="s">
        <v>1325</v>
      </c>
      <c r="AP644" s="31" t="s">
        <v>144</v>
      </c>
      <c r="AQ644" s="31" t="s">
        <v>144</v>
      </c>
      <c r="AR644" s="31" t="s">
        <v>144</v>
      </c>
    </row>
    <row r="645" spans="5:44" ht="15" customHeight="1" x14ac:dyDescent="0.25">
      <c r="E645" s="31" t="s">
        <v>139</v>
      </c>
      <c r="F645" s="31" t="s">
        <v>140</v>
      </c>
      <c r="G645" s="31" t="s">
        <v>377</v>
      </c>
      <c r="H645" s="31" t="s">
        <v>324</v>
      </c>
      <c r="I645" s="31" t="s">
        <v>481</v>
      </c>
      <c r="J645" s="31" t="s">
        <v>647</v>
      </c>
      <c r="K645" s="31" t="s">
        <v>958</v>
      </c>
      <c r="L645" s="31" t="s">
        <v>162</v>
      </c>
      <c r="M645" s="31" t="s">
        <v>144</v>
      </c>
      <c r="N645" s="31" t="s">
        <v>144</v>
      </c>
      <c r="O645" s="31" t="s">
        <v>144</v>
      </c>
      <c r="P645" s="31" t="s">
        <v>144</v>
      </c>
      <c r="Q645" s="31" t="s">
        <v>1071</v>
      </c>
      <c r="R645" s="31" t="s">
        <v>312</v>
      </c>
      <c r="S645" s="31" t="s">
        <v>144</v>
      </c>
      <c r="T645" s="31" t="s">
        <v>144</v>
      </c>
      <c r="U645" s="31" t="s">
        <v>144</v>
      </c>
      <c r="V645" s="31" t="s">
        <v>144</v>
      </c>
      <c r="W645" s="31" t="s">
        <v>144</v>
      </c>
      <c r="X645" s="31" t="s">
        <v>144</v>
      </c>
      <c r="Y645" s="31"/>
      <c r="Z645" s="33">
        <v>0.91</v>
      </c>
      <c r="AA645" s="31" t="s">
        <v>144</v>
      </c>
      <c r="AB645" s="31" t="s">
        <v>144</v>
      </c>
      <c r="AC645" s="31" t="s">
        <v>144</v>
      </c>
      <c r="AD645" s="31" t="s">
        <v>144</v>
      </c>
      <c r="AE645" s="31" t="s">
        <v>144</v>
      </c>
      <c r="AF645" s="31" t="s">
        <v>144</v>
      </c>
      <c r="AG645" s="31" t="s">
        <v>144</v>
      </c>
      <c r="AH645" s="31" t="s">
        <v>190</v>
      </c>
      <c r="AI645" s="31" t="s">
        <v>144</v>
      </c>
      <c r="AJ645" s="31" t="s">
        <v>144</v>
      </c>
      <c r="AK645" s="31" t="s">
        <v>144</v>
      </c>
      <c r="AL645" s="31" t="s">
        <v>322</v>
      </c>
      <c r="AM645" s="31" t="s">
        <v>144</v>
      </c>
      <c r="AN645" s="31" t="s">
        <v>163</v>
      </c>
      <c r="AO645" s="31" t="s">
        <v>1325</v>
      </c>
      <c r="AP645" s="31" t="s">
        <v>144</v>
      </c>
      <c r="AQ645" s="31" t="s">
        <v>144</v>
      </c>
      <c r="AR645" s="31" t="s">
        <v>144</v>
      </c>
    </row>
    <row r="646" spans="5:44" ht="15" customHeight="1" x14ac:dyDescent="0.25">
      <c r="E646" s="31" t="s">
        <v>139</v>
      </c>
      <c r="F646" s="31" t="s">
        <v>140</v>
      </c>
      <c r="G646" s="31" t="s">
        <v>377</v>
      </c>
      <c r="H646" s="31" t="s">
        <v>324</v>
      </c>
      <c r="I646" s="31" t="s">
        <v>481</v>
      </c>
      <c r="J646" s="31" t="s">
        <v>647</v>
      </c>
      <c r="K646" s="31" t="s">
        <v>959</v>
      </c>
      <c r="L646" s="31" t="s">
        <v>162</v>
      </c>
      <c r="M646" s="31" t="s">
        <v>144</v>
      </c>
      <c r="N646" s="31" t="s">
        <v>144</v>
      </c>
      <c r="O646" s="31" t="s">
        <v>144</v>
      </c>
      <c r="P646" s="31" t="s">
        <v>144</v>
      </c>
      <c r="Q646" s="31" t="s">
        <v>1071</v>
      </c>
      <c r="R646" s="31" t="s">
        <v>312</v>
      </c>
      <c r="S646" s="31" t="s">
        <v>144</v>
      </c>
      <c r="T646" s="31" t="s">
        <v>144</v>
      </c>
      <c r="U646" s="31" t="s">
        <v>144</v>
      </c>
      <c r="V646" s="31" t="s">
        <v>144</v>
      </c>
      <c r="W646" s="31" t="s">
        <v>144</v>
      </c>
      <c r="X646" s="31" t="s">
        <v>144</v>
      </c>
      <c r="Y646" s="31"/>
      <c r="Z646" s="33">
        <v>0.91</v>
      </c>
      <c r="AA646" s="31" t="s">
        <v>144</v>
      </c>
      <c r="AB646" s="31" t="s">
        <v>144</v>
      </c>
      <c r="AC646" s="31" t="s">
        <v>144</v>
      </c>
      <c r="AD646" s="31" t="s">
        <v>144</v>
      </c>
      <c r="AE646" s="31" t="s">
        <v>144</v>
      </c>
      <c r="AF646" s="31" t="s">
        <v>144</v>
      </c>
      <c r="AG646" s="31" t="s">
        <v>144</v>
      </c>
      <c r="AH646" s="31" t="s">
        <v>190</v>
      </c>
      <c r="AI646" s="31" t="s">
        <v>144</v>
      </c>
      <c r="AJ646" s="31" t="s">
        <v>144</v>
      </c>
      <c r="AK646" s="31" t="s">
        <v>144</v>
      </c>
      <c r="AL646" s="31" t="s">
        <v>322</v>
      </c>
      <c r="AM646" s="31" t="s">
        <v>144</v>
      </c>
      <c r="AN646" s="31" t="s">
        <v>163</v>
      </c>
      <c r="AO646" s="31" t="s">
        <v>1325</v>
      </c>
      <c r="AP646" s="31" t="s">
        <v>144</v>
      </c>
      <c r="AQ646" s="31" t="s">
        <v>144</v>
      </c>
      <c r="AR646" s="31" t="s">
        <v>144</v>
      </c>
    </row>
    <row r="647" spans="5:44" ht="15" customHeight="1" x14ac:dyDescent="0.25">
      <c r="E647" s="31" t="s">
        <v>139</v>
      </c>
      <c r="F647" s="31" t="s">
        <v>140</v>
      </c>
      <c r="G647" s="31" t="s">
        <v>377</v>
      </c>
      <c r="H647" s="31" t="s">
        <v>324</v>
      </c>
      <c r="I647" s="31" t="s">
        <v>481</v>
      </c>
      <c r="J647" s="31" t="s">
        <v>647</v>
      </c>
      <c r="K647" s="31" t="s">
        <v>960</v>
      </c>
      <c r="L647" s="31" t="s">
        <v>162</v>
      </c>
      <c r="M647" s="31" t="s">
        <v>144</v>
      </c>
      <c r="N647" s="31" t="s">
        <v>144</v>
      </c>
      <c r="O647" s="31" t="s">
        <v>144</v>
      </c>
      <c r="P647" s="31" t="s">
        <v>144</v>
      </c>
      <c r="Q647" s="31" t="s">
        <v>1071</v>
      </c>
      <c r="R647" s="31" t="s">
        <v>312</v>
      </c>
      <c r="S647" s="31" t="s">
        <v>144</v>
      </c>
      <c r="T647" s="31" t="s">
        <v>144</v>
      </c>
      <c r="U647" s="31" t="s">
        <v>144</v>
      </c>
      <c r="V647" s="31" t="s">
        <v>144</v>
      </c>
      <c r="W647" s="31" t="s">
        <v>144</v>
      </c>
      <c r="X647" s="31" t="s">
        <v>144</v>
      </c>
      <c r="Y647" s="31"/>
      <c r="Z647" s="33">
        <v>0.91</v>
      </c>
      <c r="AA647" s="31" t="s">
        <v>144</v>
      </c>
      <c r="AB647" s="31" t="s">
        <v>144</v>
      </c>
      <c r="AC647" s="31" t="s">
        <v>144</v>
      </c>
      <c r="AD647" s="31" t="s">
        <v>144</v>
      </c>
      <c r="AE647" s="31" t="s">
        <v>144</v>
      </c>
      <c r="AF647" s="31" t="s">
        <v>144</v>
      </c>
      <c r="AG647" s="31" t="s">
        <v>144</v>
      </c>
      <c r="AH647" s="31" t="s">
        <v>190</v>
      </c>
      <c r="AI647" s="31" t="s">
        <v>144</v>
      </c>
      <c r="AJ647" s="31" t="s">
        <v>144</v>
      </c>
      <c r="AK647" s="31" t="s">
        <v>144</v>
      </c>
      <c r="AL647" s="31" t="s">
        <v>322</v>
      </c>
      <c r="AM647" s="31" t="s">
        <v>144</v>
      </c>
      <c r="AN647" s="31" t="s">
        <v>163</v>
      </c>
      <c r="AO647" s="31" t="s">
        <v>1325</v>
      </c>
      <c r="AP647" s="31" t="s">
        <v>144</v>
      </c>
      <c r="AQ647" s="31" t="s">
        <v>144</v>
      </c>
      <c r="AR647" s="31" t="s">
        <v>144</v>
      </c>
    </row>
    <row r="648" spans="5:44" ht="15" customHeight="1" x14ac:dyDescent="0.25">
      <c r="E648" s="31" t="s">
        <v>139</v>
      </c>
      <c r="F648" s="31" t="s">
        <v>140</v>
      </c>
      <c r="G648" s="31" t="s">
        <v>377</v>
      </c>
      <c r="H648" s="31" t="s">
        <v>324</v>
      </c>
      <c r="I648" s="31" t="s">
        <v>481</v>
      </c>
      <c r="J648" s="31" t="s">
        <v>647</v>
      </c>
      <c r="K648" s="31" t="s">
        <v>961</v>
      </c>
      <c r="L648" s="31" t="s">
        <v>162</v>
      </c>
      <c r="M648" s="31" t="s">
        <v>144</v>
      </c>
      <c r="N648" s="31" t="s">
        <v>144</v>
      </c>
      <c r="O648" s="31" t="s">
        <v>144</v>
      </c>
      <c r="P648" s="31" t="s">
        <v>144</v>
      </c>
      <c r="Q648" s="31" t="s">
        <v>1071</v>
      </c>
      <c r="R648" s="31" t="s">
        <v>312</v>
      </c>
      <c r="S648" s="31" t="s">
        <v>144</v>
      </c>
      <c r="T648" s="31" t="s">
        <v>144</v>
      </c>
      <c r="U648" s="31" t="s">
        <v>144</v>
      </c>
      <c r="V648" s="31" t="s">
        <v>144</v>
      </c>
      <c r="W648" s="31" t="s">
        <v>144</v>
      </c>
      <c r="X648" s="31" t="s">
        <v>144</v>
      </c>
      <c r="Y648" s="31"/>
      <c r="Z648" s="33">
        <v>0.91</v>
      </c>
      <c r="AA648" s="31" t="s">
        <v>144</v>
      </c>
      <c r="AB648" s="31" t="s">
        <v>144</v>
      </c>
      <c r="AC648" s="31" t="s">
        <v>144</v>
      </c>
      <c r="AD648" s="31" t="s">
        <v>144</v>
      </c>
      <c r="AE648" s="31" t="s">
        <v>144</v>
      </c>
      <c r="AF648" s="31" t="s">
        <v>144</v>
      </c>
      <c r="AG648" s="31" t="s">
        <v>144</v>
      </c>
      <c r="AH648" s="31" t="s">
        <v>190</v>
      </c>
      <c r="AI648" s="31" t="s">
        <v>144</v>
      </c>
      <c r="AJ648" s="31" t="s">
        <v>144</v>
      </c>
      <c r="AK648" s="31" t="s">
        <v>144</v>
      </c>
      <c r="AL648" s="31" t="s">
        <v>322</v>
      </c>
      <c r="AM648" s="31" t="s">
        <v>144</v>
      </c>
      <c r="AN648" s="31" t="s">
        <v>163</v>
      </c>
      <c r="AO648" s="31" t="s">
        <v>1325</v>
      </c>
      <c r="AP648" s="31" t="s">
        <v>144</v>
      </c>
      <c r="AQ648" s="31" t="s">
        <v>144</v>
      </c>
      <c r="AR648" s="31" t="s">
        <v>144</v>
      </c>
    </row>
    <row r="649" spans="5:44" ht="15" customHeight="1" x14ac:dyDescent="0.25">
      <c r="E649" s="31" t="s">
        <v>139</v>
      </c>
      <c r="F649" s="31" t="s">
        <v>140</v>
      </c>
      <c r="G649" s="31" t="s">
        <v>377</v>
      </c>
      <c r="H649" s="31" t="s">
        <v>324</v>
      </c>
      <c r="I649" s="31" t="s">
        <v>481</v>
      </c>
      <c r="J649" s="31" t="s">
        <v>647</v>
      </c>
      <c r="K649" s="31" t="s">
        <v>962</v>
      </c>
      <c r="L649" s="31" t="s">
        <v>162</v>
      </c>
      <c r="M649" s="31" t="s">
        <v>144</v>
      </c>
      <c r="N649" s="31" t="s">
        <v>144</v>
      </c>
      <c r="O649" s="31" t="s">
        <v>144</v>
      </c>
      <c r="P649" s="31" t="s">
        <v>144</v>
      </c>
      <c r="Q649" s="31" t="s">
        <v>1071</v>
      </c>
      <c r="R649" s="31" t="s">
        <v>312</v>
      </c>
      <c r="S649" s="31" t="s">
        <v>144</v>
      </c>
      <c r="T649" s="31" t="s">
        <v>144</v>
      </c>
      <c r="U649" s="31" t="s">
        <v>144</v>
      </c>
      <c r="V649" s="31" t="s">
        <v>144</v>
      </c>
      <c r="W649" s="31" t="s">
        <v>144</v>
      </c>
      <c r="X649" s="31" t="s">
        <v>144</v>
      </c>
      <c r="Y649" s="31"/>
      <c r="Z649" s="33">
        <v>0.91</v>
      </c>
      <c r="AA649" s="31" t="s">
        <v>144</v>
      </c>
      <c r="AB649" s="31" t="s">
        <v>144</v>
      </c>
      <c r="AC649" s="31" t="s">
        <v>144</v>
      </c>
      <c r="AD649" s="31" t="s">
        <v>144</v>
      </c>
      <c r="AE649" s="31" t="s">
        <v>144</v>
      </c>
      <c r="AF649" s="31" t="s">
        <v>144</v>
      </c>
      <c r="AG649" s="31" t="s">
        <v>144</v>
      </c>
      <c r="AH649" s="31" t="s">
        <v>190</v>
      </c>
      <c r="AI649" s="31" t="s">
        <v>144</v>
      </c>
      <c r="AJ649" s="31" t="s">
        <v>144</v>
      </c>
      <c r="AK649" s="31" t="s">
        <v>144</v>
      </c>
      <c r="AL649" s="31" t="s">
        <v>322</v>
      </c>
      <c r="AM649" s="31" t="s">
        <v>144</v>
      </c>
      <c r="AN649" s="31" t="s">
        <v>163</v>
      </c>
      <c r="AO649" s="31" t="s">
        <v>1325</v>
      </c>
      <c r="AP649" s="31" t="s">
        <v>144</v>
      </c>
      <c r="AQ649" s="31" t="s">
        <v>144</v>
      </c>
      <c r="AR649" s="31" t="s">
        <v>144</v>
      </c>
    </row>
    <row r="650" spans="5:44" ht="15" customHeight="1" x14ac:dyDescent="0.25">
      <c r="E650" s="31" t="s">
        <v>139</v>
      </c>
      <c r="F650" s="31" t="s">
        <v>140</v>
      </c>
      <c r="G650" s="31" t="s">
        <v>377</v>
      </c>
      <c r="H650" s="31" t="s">
        <v>324</v>
      </c>
      <c r="I650" s="31" t="s">
        <v>481</v>
      </c>
      <c r="J650" s="31" t="s">
        <v>647</v>
      </c>
      <c r="K650" s="31" t="s">
        <v>963</v>
      </c>
      <c r="L650" s="31" t="s">
        <v>162</v>
      </c>
      <c r="M650" s="31" t="s">
        <v>144</v>
      </c>
      <c r="N650" s="31" t="s">
        <v>144</v>
      </c>
      <c r="O650" s="31" t="s">
        <v>144</v>
      </c>
      <c r="P650" s="31" t="s">
        <v>144</v>
      </c>
      <c r="Q650" s="31" t="s">
        <v>1071</v>
      </c>
      <c r="R650" s="31" t="s">
        <v>312</v>
      </c>
      <c r="S650" s="31" t="s">
        <v>144</v>
      </c>
      <c r="T650" s="31" t="s">
        <v>144</v>
      </c>
      <c r="U650" s="31" t="s">
        <v>144</v>
      </c>
      <c r="V650" s="31" t="s">
        <v>144</v>
      </c>
      <c r="W650" s="31" t="s">
        <v>144</v>
      </c>
      <c r="X650" s="31" t="s">
        <v>144</v>
      </c>
      <c r="Y650" s="31"/>
      <c r="Z650" s="33">
        <v>0.91</v>
      </c>
      <c r="AA650" s="31" t="s">
        <v>144</v>
      </c>
      <c r="AB650" s="31" t="s">
        <v>144</v>
      </c>
      <c r="AC650" s="31" t="s">
        <v>144</v>
      </c>
      <c r="AD650" s="31" t="s">
        <v>144</v>
      </c>
      <c r="AE650" s="31" t="s">
        <v>144</v>
      </c>
      <c r="AF650" s="31" t="s">
        <v>144</v>
      </c>
      <c r="AG650" s="31" t="s">
        <v>144</v>
      </c>
      <c r="AH650" s="31" t="s">
        <v>190</v>
      </c>
      <c r="AI650" s="31" t="s">
        <v>144</v>
      </c>
      <c r="AJ650" s="31" t="s">
        <v>144</v>
      </c>
      <c r="AK650" s="31" t="s">
        <v>144</v>
      </c>
      <c r="AL650" s="31" t="s">
        <v>322</v>
      </c>
      <c r="AM650" s="31" t="s">
        <v>144</v>
      </c>
      <c r="AN650" s="31" t="s">
        <v>163</v>
      </c>
      <c r="AO650" s="31" t="s">
        <v>1325</v>
      </c>
      <c r="AP650" s="31" t="s">
        <v>144</v>
      </c>
      <c r="AQ650" s="31" t="s">
        <v>144</v>
      </c>
      <c r="AR650" s="31" t="s">
        <v>144</v>
      </c>
    </row>
    <row r="651" spans="5:44" ht="15" customHeight="1" x14ac:dyDescent="0.25">
      <c r="E651" s="31" t="s">
        <v>139</v>
      </c>
      <c r="F651" s="31" t="s">
        <v>140</v>
      </c>
      <c r="G651" s="31" t="s">
        <v>377</v>
      </c>
      <c r="H651" s="31" t="s">
        <v>324</v>
      </c>
      <c r="I651" s="31" t="s">
        <v>481</v>
      </c>
      <c r="J651" s="31" t="s">
        <v>647</v>
      </c>
      <c r="K651" s="31" t="s">
        <v>964</v>
      </c>
      <c r="L651" s="31" t="s">
        <v>162</v>
      </c>
      <c r="M651" s="31" t="s">
        <v>144</v>
      </c>
      <c r="N651" s="31" t="s">
        <v>144</v>
      </c>
      <c r="O651" s="31" t="s">
        <v>144</v>
      </c>
      <c r="P651" s="31" t="s">
        <v>144</v>
      </c>
      <c r="Q651" s="31" t="s">
        <v>1071</v>
      </c>
      <c r="R651" s="31" t="s">
        <v>312</v>
      </c>
      <c r="S651" s="31" t="s">
        <v>144</v>
      </c>
      <c r="T651" s="31" t="s">
        <v>144</v>
      </c>
      <c r="U651" s="31" t="s">
        <v>144</v>
      </c>
      <c r="V651" s="31" t="s">
        <v>144</v>
      </c>
      <c r="W651" s="31" t="s">
        <v>144</v>
      </c>
      <c r="X651" s="31" t="s">
        <v>144</v>
      </c>
      <c r="Y651" s="31"/>
      <c r="Z651" s="33">
        <v>0.91</v>
      </c>
      <c r="AA651" s="31" t="s">
        <v>144</v>
      </c>
      <c r="AB651" s="31" t="s">
        <v>144</v>
      </c>
      <c r="AC651" s="31" t="s">
        <v>144</v>
      </c>
      <c r="AD651" s="31" t="s">
        <v>144</v>
      </c>
      <c r="AE651" s="31" t="s">
        <v>144</v>
      </c>
      <c r="AF651" s="31" t="s">
        <v>144</v>
      </c>
      <c r="AG651" s="31" t="s">
        <v>144</v>
      </c>
      <c r="AH651" s="31" t="s">
        <v>190</v>
      </c>
      <c r="AI651" s="31" t="s">
        <v>144</v>
      </c>
      <c r="AJ651" s="31" t="s">
        <v>144</v>
      </c>
      <c r="AK651" s="31" t="s">
        <v>144</v>
      </c>
      <c r="AL651" s="31" t="s">
        <v>322</v>
      </c>
      <c r="AM651" s="31" t="s">
        <v>144</v>
      </c>
      <c r="AN651" s="31" t="s">
        <v>163</v>
      </c>
      <c r="AO651" s="31" t="s">
        <v>1325</v>
      </c>
      <c r="AP651" s="31" t="s">
        <v>144</v>
      </c>
      <c r="AQ651" s="31" t="s">
        <v>144</v>
      </c>
      <c r="AR651" s="31" t="s">
        <v>144</v>
      </c>
    </row>
    <row r="652" spans="5:44" ht="15" customHeight="1" x14ac:dyDescent="0.25">
      <c r="E652" s="31" t="s">
        <v>139</v>
      </c>
      <c r="F652" s="31" t="s">
        <v>140</v>
      </c>
      <c r="G652" s="31" t="s">
        <v>377</v>
      </c>
      <c r="H652" s="31" t="s">
        <v>324</v>
      </c>
      <c r="I652" s="31" t="s">
        <v>481</v>
      </c>
      <c r="J652" s="31" t="s">
        <v>647</v>
      </c>
      <c r="K652" s="31" t="s">
        <v>965</v>
      </c>
      <c r="L652" s="31" t="s">
        <v>162</v>
      </c>
      <c r="M652" s="31" t="s">
        <v>144</v>
      </c>
      <c r="N652" s="31" t="s">
        <v>144</v>
      </c>
      <c r="O652" s="31" t="s">
        <v>144</v>
      </c>
      <c r="P652" s="31" t="s">
        <v>144</v>
      </c>
      <c r="Q652" s="31" t="s">
        <v>1071</v>
      </c>
      <c r="R652" s="31" t="s">
        <v>312</v>
      </c>
      <c r="S652" s="31" t="s">
        <v>144</v>
      </c>
      <c r="T652" s="31" t="s">
        <v>144</v>
      </c>
      <c r="U652" s="31" t="s">
        <v>144</v>
      </c>
      <c r="V652" s="31" t="s">
        <v>144</v>
      </c>
      <c r="W652" s="31" t="s">
        <v>144</v>
      </c>
      <c r="X652" s="31" t="s">
        <v>144</v>
      </c>
      <c r="Y652" s="31"/>
      <c r="Z652" s="33">
        <v>0.91</v>
      </c>
      <c r="AA652" s="31" t="s">
        <v>144</v>
      </c>
      <c r="AB652" s="31" t="s">
        <v>144</v>
      </c>
      <c r="AC652" s="31" t="s">
        <v>144</v>
      </c>
      <c r="AD652" s="31" t="s">
        <v>144</v>
      </c>
      <c r="AE652" s="31" t="s">
        <v>144</v>
      </c>
      <c r="AF652" s="31" t="s">
        <v>144</v>
      </c>
      <c r="AG652" s="31" t="s">
        <v>144</v>
      </c>
      <c r="AH652" s="31" t="s">
        <v>190</v>
      </c>
      <c r="AI652" s="31" t="s">
        <v>144</v>
      </c>
      <c r="AJ652" s="31" t="s">
        <v>144</v>
      </c>
      <c r="AK652" s="31" t="s">
        <v>144</v>
      </c>
      <c r="AL652" s="31" t="s">
        <v>322</v>
      </c>
      <c r="AM652" s="31" t="s">
        <v>144</v>
      </c>
      <c r="AN652" s="31" t="s">
        <v>163</v>
      </c>
      <c r="AO652" s="31" t="s">
        <v>1325</v>
      </c>
      <c r="AP652" s="31" t="s">
        <v>144</v>
      </c>
      <c r="AQ652" s="31" t="s">
        <v>144</v>
      </c>
      <c r="AR652" s="31" t="s">
        <v>144</v>
      </c>
    </row>
    <row r="653" spans="5:44" ht="15" customHeight="1" x14ac:dyDescent="0.25">
      <c r="E653" s="31" t="s">
        <v>139</v>
      </c>
      <c r="F653" s="31" t="s">
        <v>140</v>
      </c>
      <c r="G653" s="31" t="s">
        <v>377</v>
      </c>
      <c r="H653" s="31" t="s">
        <v>324</v>
      </c>
      <c r="I653" s="31" t="s">
        <v>481</v>
      </c>
      <c r="J653" s="31" t="s">
        <v>647</v>
      </c>
      <c r="K653" s="31" t="s">
        <v>966</v>
      </c>
      <c r="L653" s="31" t="s">
        <v>162</v>
      </c>
      <c r="M653" s="31" t="s">
        <v>144</v>
      </c>
      <c r="N653" s="31" t="s">
        <v>144</v>
      </c>
      <c r="O653" s="31" t="s">
        <v>144</v>
      </c>
      <c r="P653" s="31" t="s">
        <v>144</v>
      </c>
      <c r="Q653" s="31" t="s">
        <v>1071</v>
      </c>
      <c r="R653" s="31" t="s">
        <v>312</v>
      </c>
      <c r="S653" s="31" t="s">
        <v>144</v>
      </c>
      <c r="T653" s="31" t="s">
        <v>144</v>
      </c>
      <c r="U653" s="31" t="s">
        <v>144</v>
      </c>
      <c r="V653" s="31" t="s">
        <v>144</v>
      </c>
      <c r="W653" s="31" t="s">
        <v>144</v>
      </c>
      <c r="X653" s="31" t="s">
        <v>144</v>
      </c>
      <c r="Y653" s="31"/>
      <c r="Z653" s="33">
        <v>0.91</v>
      </c>
      <c r="AA653" s="31" t="s">
        <v>144</v>
      </c>
      <c r="AB653" s="31" t="s">
        <v>144</v>
      </c>
      <c r="AC653" s="31" t="s">
        <v>144</v>
      </c>
      <c r="AD653" s="31" t="s">
        <v>144</v>
      </c>
      <c r="AE653" s="31" t="s">
        <v>144</v>
      </c>
      <c r="AF653" s="31" t="s">
        <v>144</v>
      </c>
      <c r="AG653" s="31" t="s">
        <v>144</v>
      </c>
      <c r="AH653" s="31" t="s">
        <v>190</v>
      </c>
      <c r="AI653" s="31" t="s">
        <v>144</v>
      </c>
      <c r="AJ653" s="31" t="s">
        <v>144</v>
      </c>
      <c r="AK653" s="31" t="s">
        <v>144</v>
      </c>
      <c r="AL653" s="31" t="s">
        <v>322</v>
      </c>
      <c r="AM653" s="31" t="s">
        <v>144</v>
      </c>
      <c r="AN653" s="31" t="s">
        <v>163</v>
      </c>
      <c r="AO653" s="31" t="s">
        <v>1325</v>
      </c>
      <c r="AP653" s="31" t="s">
        <v>144</v>
      </c>
      <c r="AQ653" s="31" t="s">
        <v>144</v>
      </c>
      <c r="AR653" s="31" t="s">
        <v>144</v>
      </c>
    </row>
    <row r="654" spans="5:44" ht="15" customHeight="1" x14ac:dyDescent="0.25">
      <c r="E654" s="31" t="s">
        <v>139</v>
      </c>
      <c r="F654" s="31" t="s">
        <v>140</v>
      </c>
      <c r="G654" s="31" t="s">
        <v>377</v>
      </c>
      <c r="H654" s="31" t="s">
        <v>324</v>
      </c>
      <c r="I654" s="31" t="s">
        <v>481</v>
      </c>
      <c r="J654" s="31" t="s">
        <v>647</v>
      </c>
      <c r="K654" s="31" t="s">
        <v>967</v>
      </c>
      <c r="L654" s="31" t="s">
        <v>162</v>
      </c>
      <c r="M654" s="31" t="s">
        <v>144</v>
      </c>
      <c r="N654" s="31" t="s">
        <v>144</v>
      </c>
      <c r="O654" s="31" t="s">
        <v>144</v>
      </c>
      <c r="P654" s="31" t="s">
        <v>144</v>
      </c>
      <c r="Q654" s="31" t="s">
        <v>1071</v>
      </c>
      <c r="R654" s="31" t="s">
        <v>312</v>
      </c>
      <c r="S654" s="31" t="s">
        <v>144</v>
      </c>
      <c r="T654" s="31" t="s">
        <v>144</v>
      </c>
      <c r="U654" s="31" t="s">
        <v>144</v>
      </c>
      <c r="V654" s="31" t="s">
        <v>144</v>
      </c>
      <c r="W654" s="31" t="s">
        <v>144</v>
      </c>
      <c r="X654" s="31" t="s">
        <v>144</v>
      </c>
      <c r="Y654" s="31"/>
      <c r="Z654" s="33">
        <v>0.91</v>
      </c>
      <c r="AA654" s="31" t="s">
        <v>144</v>
      </c>
      <c r="AB654" s="31" t="s">
        <v>144</v>
      </c>
      <c r="AC654" s="31" t="s">
        <v>144</v>
      </c>
      <c r="AD654" s="31" t="s">
        <v>144</v>
      </c>
      <c r="AE654" s="31" t="s">
        <v>144</v>
      </c>
      <c r="AF654" s="31" t="s">
        <v>144</v>
      </c>
      <c r="AG654" s="31" t="s">
        <v>144</v>
      </c>
      <c r="AH654" s="31" t="s">
        <v>190</v>
      </c>
      <c r="AI654" s="31" t="s">
        <v>144</v>
      </c>
      <c r="AJ654" s="31" t="s">
        <v>144</v>
      </c>
      <c r="AK654" s="31" t="s">
        <v>144</v>
      </c>
      <c r="AL654" s="31" t="s">
        <v>322</v>
      </c>
      <c r="AM654" s="31" t="s">
        <v>144</v>
      </c>
      <c r="AN654" s="31" t="s">
        <v>163</v>
      </c>
      <c r="AO654" s="31" t="s">
        <v>1325</v>
      </c>
      <c r="AP654" s="31" t="s">
        <v>144</v>
      </c>
      <c r="AQ654" s="31" t="s">
        <v>144</v>
      </c>
      <c r="AR654" s="31" t="s">
        <v>144</v>
      </c>
    </row>
    <row r="655" spans="5:44" ht="15" customHeight="1" x14ac:dyDescent="0.25">
      <c r="E655" s="31" t="s">
        <v>139</v>
      </c>
      <c r="F655" s="31" t="s">
        <v>140</v>
      </c>
      <c r="G655" s="31" t="s">
        <v>377</v>
      </c>
      <c r="H655" s="31" t="s">
        <v>324</v>
      </c>
      <c r="I655" s="31" t="s">
        <v>481</v>
      </c>
      <c r="J655" s="31" t="s">
        <v>647</v>
      </c>
      <c r="K655" s="31" t="s">
        <v>968</v>
      </c>
      <c r="L655" s="31" t="s">
        <v>162</v>
      </c>
      <c r="M655" s="31" t="s">
        <v>144</v>
      </c>
      <c r="N655" s="31" t="s">
        <v>144</v>
      </c>
      <c r="O655" s="31" t="s">
        <v>144</v>
      </c>
      <c r="P655" s="31" t="s">
        <v>144</v>
      </c>
      <c r="Q655" s="31" t="s">
        <v>1071</v>
      </c>
      <c r="R655" s="31" t="s">
        <v>312</v>
      </c>
      <c r="S655" s="31" t="s">
        <v>144</v>
      </c>
      <c r="T655" s="31" t="s">
        <v>144</v>
      </c>
      <c r="U655" s="31" t="s">
        <v>144</v>
      </c>
      <c r="V655" s="31" t="s">
        <v>144</v>
      </c>
      <c r="W655" s="31" t="s">
        <v>144</v>
      </c>
      <c r="X655" s="31" t="s">
        <v>144</v>
      </c>
      <c r="Y655" s="31"/>
      <c r="Z655" s="33">
        <v>0.91</v>
      </c>
      <c r="AA655" s="31" t="s">
        <v>144</v>
      </c>
      <c r="AB655" s="31" t="s">
        <v>144</v>
      </c>
      <c r="AC655" s="31" t="s">
        <v>144</v>
      </c>
      <c r="AD655" s="31" t="s">
        <v>144</v>
      </c>
      <c r="AE655" s="31" t="s">
        <v>144</v>
      </c>
      <c r="AF655" s="31" t="s">
        <v>144</v>
      </c>
      <c r="AG655" s="31" t="s">
        <v>144</v>
      </c>
      <c r="AH655" s="31" t="s">
        <v>190</v>
      </c>
      <c r="AI655" s="31" t="s">
        <v>144</v>
      </c>
      <c r="AJ655" s="31" t="s">
        <v>144</v>
      </c>
      <c r="AK655" s="31" t="s">
        <v>144</v>
      </c>
      <c r="AL655" s="31" t="s">
        <v>322</v>
      </c>
      <c r="AM655" s="31" t="s">
        <v>144</v>
      </c>
      <c r="AN655" s="31" t="s">
        <v>163</v>
      </c>
      <c r="AO655" s="31" t="s">
        <v>1325</v>
      </c>
      <c r="AP655" s="31" t="s">
        <v>144</v>
      </c>
      <c r="AQ655" s="31" t="s">
        <v>144</v>
      </c>
      <c r="AR655" s="31" t="s">
        <v>144</v>
      </c>
    </row>
    <row r="656" spans="5:44" ht="15" customHeight="1" x14ac:dyDescent="0.25">
      <c r="E656" s="31" t="s">
        <v>139</v>
      </c>
      <c r="F656" s="31" t="s">
        <v>140</v>
      </c>
      <c r="G656" s="31" t="s">
        <v>377</v>
      </c>
      <c r="H656" s="31" t="s">
        <v>324</v>
      </c>
      <c r="I656" s="31" t="s">
        <v>481</v>
      </c>
      <c r="J656" s="31" t="s">
        <v>647</v>
      </c>
      <c r="K656" s="31" t="s">
        <v>969</v>
      </c>
      <c r="L656" s="31" t="s">
        <v>162</v>
      </c>
      <c r="M656" s="31" t="s">
        <v>144</v>
      </c>
      <c r="N656" s="31" t="s">
        <v>144</v>
      </c>
      <c r="O656" s="31" t="s">
        <v>144</v>
      </c>
      <c r="P656" s="31" t="s">
        <v>144</v>
      </c>
      <c r="Q656" s="31" t="s">
        <v>1071</v>
      </c>
      <c r="R656" s="31" t="s">
        <v>312</v>
      </c>
      <c r="S656" s="31" t="s">
        <v>144</v>
      </c>
      <c r="T656" s="31" t="s">
        <v>144</v>
      </c>
      <c r="U656" s="31" t="s">
        <v>144</v>
      </c>
      <c r="V656" s="31" t="s">
        <v>144</v>
      </c>
      <c r="W656" s="31" t="s">
        <v>144</v>
      </c>
      <c r="X656" s="31" t="s">
        <v>144</v>
      </c>
      <c r="Y656" s="31"/>
      <c r="Z656" s="33">
        <v>0.91</v>
      </c>
      <c r="AA656" s="31" t="s">
        <v>144</v>
      </c>
      <c r="AB656" s="31" t="s">
        <v>144</v>
      </c>
      <c r="AC656" s="31" t="s">
        <v>144</v>
      </c>
      <c r="AD656" s="31" t="s">
        <v>144</v>
      </c>
      <c r="AE656" s="31" t="s">
        <v>144</v>
      </c>
      <c r="AF656" s="31" t="s">
        <v>144</v>
      </c>
      <c r="AG656" s="31" t="s">
        <v>144</v>
      </c>
      <c r="AH656" s="31" t="s">
        <v>190</v>
      </c>
      <c r="AI656" s="31" t="s">
        <v>144</v>
      </c>
      <c r="AJ656" s="31" t="s">
        <v>144</v>
      </c>
      <c r="AK656" s="31" t="s">
        <v>144</v>
      </c>
      <c r="AL656" s="31" t="s">
        <v>322</v>
      </c>
      <c r="AM656" s="31" t="s">
        <v>144</v>
      </c>
      <c r="AN656" s="31" t="s">
        <v>163</v>
      </c>
      <c r="AO656" s="31" t="s">
        <v>1325</v>
      </c>
      <c r="AP656" s="31" t="s">
        <v>144</v>
      </c>
      <c r="AQ656" s="31" t="s">
        <v>144</v>
      </c>
      <c r="AR656" s="31" t="s">
        <v>144</v>
      </c>
    </row>
    <row r="657" spans="5:44" ht="15" customHeight="1" x14ac:dyDescent="0.25">
      <c r="E657" s="31" t="s">
        <v>139</v>
      </c>
      <c r="F657" s="31" t="s">
        <v>140</v>
      </c>
      <c r="G657" s="31" t="s">
        <v>377</v>
      </c>
      <c r="H657" s="31" t="s">
        <v>324</v>
      </c>
      <c r="I657" s="31" t="s">
        <v>481</v>
      </c>
      <c r="J657" s="31" t="s">
        <v>647</v>
      </c>
      <c r="K657" s="31" t="s">
        <v>970</v>
      </c>
      <c r="L657" s="31" t="s">
        <v>162</v>
      </c>
      <c r="M657" s="31" t="s">
        <v>144</v>
      </c>
      <c r="N657" s="31" t="s">
        <v>144</v>
      </c>
      <c r="O657" s="31" t="s">
        <v>144</v>
      </c>
      <c r="P657" s="31" t="s">
        <v>144</v>
      </c>
      <c r="Q657" s="31" t="s">
        <v>1071</v>
      </c>
      <c r="R657" s="31" t="s">
        <v>312</v>
      </c>
      <c r="S657" s="31" t="s">
        <v>144</v>
      </c>
      <c r="T657" s="31" t="s">
        <v>144</v>
      </c>
      <c r="U657" s="31" t="s">
        <v>144</v>
      </c>
      <c r="V657" s="31" t="s">
        <v>144</v>
      </c>
      <c r="W657" s="31" t="s">
        <v>144</v>
      </c>
      <c r="X657" s="31" t="s">
        <v>144</v>
      </c>
      <c r="Y657" s="31"/>
      <c r="Z657" s="33">
        <v>0.91</v>
      </c>
      <c r="AA657" s="31" t="s">
        <v>144</v>
      </c>
      <c r="AB657" s="31" t="s">
        <v>144</v>
      </c>
      <c r="AC657" s="31" t="s">
        <v>144</v>
      </c>
      <c r="AD657" s="31" t="s">
        <v>144</v>
      </c>
      <c r="AE657" s="31" t="s">
        <v>144</v>
      </c>
      <c r="AF657" s="31" t="s">
        <v>144</v>
      </c>
      <c r="AG657" s="31" t="s">
        <v>144</v>
      </c>
      <c r="AH657" s="31" t="s">
        <v>190</v>
      </c>
      <c r="AI657" s="31" t="s">
        <v>144</v>
      </c>
      <c r="AJ657" s="31" t="s">
        <v>144</v>
      </c>
      <c r="AK657" s="31" t="s">
        <v>144</v>
      </c>
      <c r="AL657" s="31" t="s">
        <v>322</v>
      </c>
      <c r="AM657" s="31" t="s">
        <v>144</v>
      </c>
      <c r="AN657" s="31" t="s">
        <v>163</v>
      </c>
      <c r="AO657" s="31" t="s">
        <v>1325</v>
      </c>
      <c r="AP657" s="31" t="s">
        <v>144</v>
      </c>
      <c r="AQ657" s="31" t="s">
        <v>144</v>
      </c>
      <c r="AR657" s="31" t="s">
        <v>144</v>
      </c>
    </row>
    <row r="658" spans="5:44" ht="15" customHeight="1" x14ac:dyDescent="0.25">
      <c r="E658" s="31" t="s">
        <v>139</v>
      </c>
      <c r="F658" s="31" t="s">
        <v>140</v>
      </c>
      <c r="G658" s="31" t="s">
        <v>377</v>
      </c>
      <c r="H658" s="31" t="s">
        <v>324</v>
      </c>
      <c r="I658" s="31" t="s">
        <v>481</v>
      </c>
      <c r="J658" s="31" t="s">
        <v>647</v>
      </c>
      <c r="K658" s="31" t="s">
        <v>971</v>
      </c>
      <c r="L658" s="31" t="s">
        <v>162</v>
      </c>
      <c r="M658" s="31" t="s">
        <v>144</v>
      </c>
      <c r="N658" s="31" t="s">
        <v>144</v>
      </c>
      <c r="O658" s="31" t="s">
        <v>144</v>
      </c>
      <c r="P658" s="31" t="s">
        <v>144</v>
      </c>
      <c r="Q658" s="31" t="s">
        <v>1071</v>
      </c>
      <c r="R658" s="31" t="s">
        <v>312</v>
      </c>
      <c r="S658" s="31" t="s">
        <v>144</v>
      </c>
      <c r="T658" s="31" t="s">
        <v>144</v>
      </c>
      <c r="U658" s="31" t="s">
        <v>144</v>
      </c>
      <c r="V658" s="31" t="s">
        <v>144</v>
      </c>
      <c r="W658" s="31" t="s">
        <v>144</v>
      </c>
      <c r="X658" s="31" t="s">
        <v>144</v>
      </c>
      <c r="Y658" s="31"/>
      <c r="Z658" s="33">
        <v>0.91</v>
      </c>
      <c r="AA658" s="31" t="s">
        <v>144</v>
      </c>
      <c r="AB658" s="31" t="s">
        <v>144</v>
      </c>
      <c r="AC658" s="31" t="s">
        <v>144</v>
      </c>
      <c r="AD658" s="31" t="s">
        <v>144</v>
      </c>
      <c r="AE658" s="31" t="s">
        <v>144</v>
      </c>
      <c r="AF658" s="31" t="s">
        <v>144</v>
      </c>
      <c r="AG658" s="31" t="s">
        <v>144</v>
      </c>
      <c r="AH658" s="31" t="s">
        <v>190</v>
      </c>
      <c r="AI658" s="31" t="s">
        <v>144</v>
      </c>
      <c r="AJ658" s="31" t="s">
        <v>144</v>
      </c>
      <c r="AK658" s="31" t="s">
        <v>144</v>
      </c>
      <c r="AL658" s="31" t="s">
        <v>322</v>
      </c>
      <c r="AM658" s="31" t="s">
        <v>144</v>
      </c>
      <c r="AN658" s="31" t="s">
        <v>163</v>
      </c>
      <c r="AO658" s="31" t="s">
        <v>1325</v>
      </c>
      <c r="AP658" s="31" t="s">
        <v>144</v>
      </c>
      <c r="AQ658" s="31" t="s">
        <v>144</v>
      </c>
      <c r="AR658" s="31" t="s">
        <v>144</v>
      </c>
    </row>
    <row r="659" spans="5:44" ht="15" customHeight="1" x14ac:dyDescent="0.25">
      <c r="E659" s="31" t="s">
        <v>139</v>
      </c>
      <c r="F659" s="31" t="s">
        <v>140</v>
      </c>
      <c r="G659" s="31" t="s">
        <v>377</v>
      </c>
      <c r="H659" s="31" t="s">
        <v>324</v>
      </c>
      <c r="I659" s="31" t="s">
        <v>481</v>
      </c>
      <c r="J659" s="31" t="s">
        <v>647</v>
      </c>
      <c r="K659" s="31" t="s">
        <v>972</v>
      </c>
      <c r="L659" s="31" t="s">
        <v>162</v>
      </c>
      <c r="M659" s="31" t="s">
        <v>144</v>
      </c>
      <c r="N659" s="31" t="s">
        <v>144</v>
      </c>
      <c r="O659" s="31" t="s">
        <v>144</v>
      </c>
      <c r="P659" s="31" t="s">
        <v>144</v>
      </c>
      <c r="Q659" s="31" t="s">
        <v>1071</v>
      </c>
      <c r="R659" s="31" t="s">
        <v>312</v>
      </c>
      <c r="S659" s="31" t="s">
        <v>144</v>
      </c>
      <c r="T659" s="31" t="s">
        <v>144</v>
      </c>
      <c r="U659" s="31" t="s">
        <v>144</v>
      </c>
      <c r="V659" s="31" t="s">
        <v>144</v>
      </c>
      <c r="W659" s="31" t="s">
        <v>144</v>
      </c>
      <c r="X659" s="31" t="s">
        <v>144</v>
      </c>
      <c r="Y659" s="31"/>
      <c r="Z659" s="33">
        <v>0.91</v>
      </c>
      <c r="AA659" s="31" t="s">
        <v>144</v>
      </c>
      <c r="AB659" s="31" t="s">
        <v>144</v>
      </c>
      <c r="AC659" s="31" t="s">
        <v>144</v>
      </c>
      <c r="AD659" s="31" t="s">
        <v>144</v>
      </c>
      <c r="AE659" s="31" t="s">
        <v>144</v>
      </c>
      <c r="AF659" s="31" t="s">
        <v>144</v>
      </c>
      <c r="AG659" s="31" t="s">
        <v>144</v>
      </c>
      <c r="AH659" s="31" t="s">
        <v>190</v>
      </c>
      <c r="AI659" s="31" t="s">
        <v>144</v>
      </c>
      <c r="AJ659" s="31" t="s">
        <v>144</v>
      </c>
      <c r="AK659" s="31" t="s">
        <v>144</v>
      </c>
      <c r="AL659" s="31" t="s">
        <v>322</v>
      </c>
      <c r="AM659" s="31" t="s">
        <v>144</v>
      </c>
      <c r="AN659" s="31" t="s">
        <v>163</v>
      </c>
      <c r="AO659" s="31" t="s">
        <v>1325</v>
      </c>
      <c r="AP659" s="31" t="s">
        <v>144</v>
      </c>
      <c r="AQ659" s="31" t="s">
        <v>144</v>
      </c>
      <c r="AR659" s="31" t="s">
        <v>144</v>
      </c>
    </row>
    <row r="660" spans="5:44" ht="15" customHeight="1" x14ac:dyDescent="0.25">
      <c r="E660" s="31" t="s">
        <v>139</v>
      </c>
      <c r="F660" s="31" t="s">
        <v>140</v>
      </c>
      <c r="G660" s="31" t="s">
        <v>377</v>
      </c>
      <c r="H660" s="31" t="s">
        <v>324</v>
      </c>
      <c r="I660" s="31" t="s">
        <v>481</v>
      </c>
      <c r="J660" s="31" t="s">
        <v>647</v>
      </c>
      <c r="K660" s="31" t="s">
        <v>973</v>
      </c>
      <c r="L660" s="31" t="s">
        <v>162</v>
      </c>
      <c r="M660" s="31" t="s">
        <v>144</v>
      </c>
      <c r="N660" s="31" t="s">
        <v>144</v>
      </c>
      <c r="O660" s="31" t="s">
        <v>144</v>
      </c>
      <c r="P660" s="31" t="s">
        <v>144</v>
      </c>
      <c r="Q660" s="31" t="s">
        <v>1071</v>
      </c>
      <c r="R660" s="31" t="s">
        <v>312</v>
      </c>
      <c r="S660" s="31" t="s">
        <v>144</v>
      </c>
      <c r="T660" s="31" t="s">
        <v>144</v>
      </c>
      <c r="U660" s="31" t="s">
        <v>144</v>
      </c>
      <c r="V660" s="31" t="s">
        <v>144</v>
      </c>
      <c r="W660" s="31" t="s">
        <v>144</v>
      </c>
      <c r="X660" s="31" t="s">
        <v>144</v>
      </c>
      <c r="Y660" s="31"/>
      <c r="Z660" s="33">
        <v>0.91</v>
      </c>
      <c r="AA660" s="31" t="s">
        <v>144</v>
      </c>
      <c r="AB660" s="31" t="s">
        <v>144</v>
      </c>
      <c r="AC660" s="31" t="s">
        <v>144</v>
      </c>
      <c r="AD660" s="31" t="s">
        <v>144</v>
      </c>
      <c r="AE660" s="31" t="s">
        <v>144</v>
      </c>
      <c r="AF660" s="31" t="s">
        <v>144</v>
      </c>
      <c r="AG660" s="31" t="s">
        <v>144</v>
      </c>
      <c r="AH660" s="31" t="s">
        <v>190</v>
      </c>
      <c r="AI660" s="31" t="s">
        <v>144</v>
      </c>
      <c r="AJ660" s="31" t="s">
        <v>144</v>
      </c>
      <c r="AK660" s="31" t="s">
        <v>144</v>
      </c>
      <c r="AL660" s="31" t="s">
        <v>322</v>
      </c>
      <c r="AM660" s="31" t="s">
        <v>144</v>
      </c>
      <c r="AN660" s="31" t="s">
        <v>163</v>
      </c>
      <c r="AO660" s="31" t="s">
        <v>1325</v>
      </c>
      <c r="AP660" s="31" t="s">
        <v>144</v>
      </c>
      <c r="AQ660" s="31" t="s">
        <v>144</v>
      </c>
      <c r="AR660" s="31" t="s">
        <v>144</v>
      </c>
    </row>
    <row r="661" spans="5:44" ht="15" customHeight="1" x14ac:dyDescent="0.25">
      <c r="E661" s="31" t="s">
        <v>139</v>
      </c>
      <c r="F661" s="31" t="s">
        <v>140</v>
      </c>
      <c r="G661" s="31" t="s">
        <v>377</v>
      </c>
      <c r="H661" s="31" t="s">
        <v>324</v>
      </c>
      <c r="I661" s="31" t="s">
        <v>481</v>
      </c>
      <c r="J661" s="31" t="s">
        <v>647</v>
      </c>
      <c r="K661" s="31" t="s">
        <v>974</v>
      </c>
      <c r="L661" s="31" t="s">
        <v>162</v>
      </c>
      <c r="M661" s="31" t="s">
        <v>144</v>
      </c>
      <c r="N661" s="31" t="s">
        <v>144</v>
      </c>
      <c r="O661" s="31" t="s">
        <v>144</v>
      </c>
      <c r="P661" s="31" t="s">
        <v>144</v>
      </c>
      <c r="Q661" s="31" t="s">
        <v>1071</v>
      </c>
      <c r="R661" s="31" t="s">
        <v>312</v>
      </c>
      <c r="S661" s="31" t="s">
        <v>144</v>
      </c>
      <c r="T661" s="31" t="s">
        <v>144</v>
      </c>
      <c r="U661" s="31" t="s">
        <v>144</v>
      </c>
      <c r="V661" s="31" t="s">
        <v>144</v>
      </c>
      <c r="W661" s="31" t="s">
        <v>144</v>
      </c>
      <c r="X661" s="31" t="s">
        <v>144</v>
      </c>
      <c r="Y661" s="31"/>
      <c r="Z661" s="33">
        <v>0.91</v>
      </c>
      <c r="AA661" s="31" t="s">
        <v>144</v>
      </c>
      <c r="AB661" s="31" t="s">
        <v>144</v>
      </c>
      <c r="AC661" s="31" t="s">
        <v>144</v>
      </c>
      <c r="AD661" s="31" t="s">
        <v>144</v>
      </c>
      <c r="AE661" s="31" t="s">
        <v>144</v>
      </c>
      <c r="AF661" s="31" t="s">
        <v>144</v>
      </c>
      <c r="AG661" s="31" t="s">
        <v>144</v>
      </c>
      <c r="AH661" s="31" t="s">
        <v>190</v>
      </c>
      <c r="AI661" s="31" t="s">
        <v>144</v>
      </c>
      <c r="AJ661" s="31" t="s">
        <v>144</v>
      </c>
      <c r="AK661" s="31" t="s">
        <v>144</v>
      </c>
      <c r="AL661" s="31" t="s">
        <v>322</v>
      </c>
      <c r="AM661" s="31" t="s">
        <v>144</v>
      </c>
      <c r="AN661" s="31" t="s">
        <v>163</v>
      </c>
      <c r="AO661" s="31" t="s">
        <v>1325</v>
      </c>
      <c r="AP661" s="31" t="s">
        <v>144</v>
      </c>
      <c r="AQ661" s="31" t="s">
        <v>144</v>
      </c>
      <c r="AR661" s="31" t="s">
        <v>144</v>
      </c>
    </row>
    <row r="662" spans="5:44" ht="15" customHeight="1" x14ac:dyDescent="0.25">
      <c r="E662" s="31" t="s">
        <v>139</v>
      </c>
      <c r="F662" s="31" t="s">
        <v>140</v>
      </c>
      <c r="G662" s="31" t="s">
        <v>377</v>
      </c>
      <c r="H662" s="31" t="s">
        <v>324</v>
      </c>
      <c r="I662" s="31" t="s">
        <v>481</v>
      </c>
      <c r="J662" s="31" t="s">
        <v>647</v>
      </c>
      <c r="K662" s="31" t="s">
        <v>975</v>
      </c>
      <c r="L662" s="31" t="s">
        <v>162</v>
      </c>
      <c r="M662" s="31" t="s">
        <v>144</v>
      </c>
      <c r="N662" s="31" t="s">
        <v>144</v>
      </c>
      <c r="O662" s="31" t="s">
        <v>144</v>
      </c>
      <c r="P662" s="31" t="s">
        <v>144</v>
      </c>
      <c r="Q662" s="31" t="s">
        <v>1071</v>
      </c>
      <c r="R662" s="31" t="s">
        <v>312</v>
      </c>
      <c r="S662" s="31" t="s">
        <v>144</v>
      </c>
      <c r="T662" s="31" t="s">
        <v>144</v>
      </c>
      <c r="U662" s="31" t="s">
        <v>144</v>
      </c>
      <c r="V662" s="31" t="s">
        <v>144</v>
      </c>
      <c r="W662" s="31" t="s">
        <v>144</v>
      </c>
      <c r="X662" s="31" t="s">
        <v>144</v>
      </c>
      <c r="Y662" s="31"/>
      <c r="Z662" s="33">
        <v>0.91</v>
      </c>
      <c r="AA662" s="31" t="s">
        <v>144</v>
      </c>
      <c r="AB662" s="31" t="s">
        <v>144</v>
      </c>
      <c r="AC662" s="31" t="s">
        <v>144</v>
      </c>
      <c r="AD662" s="31" t="s">
        <v>144</v>
      </c>
      <c r="AE662" s="31" t="s">
        <v>144</v>
      </c>
      <c r="AF662" s="31" t="s">
        <v>144</v>
      </c>
      <c r="AG662" s="31" t="s">
        <v>144</v>
      </c>
      <c r="AH662" s="31" t="s">
        <v>190</v>
      </c>
      <c r="AI662" s="31" t="s">
        <v>144</v>
      </c>
      <c r="AJ662" s="31" t="s">
        <v>144</v>
      </c>
      <c r="AK662" s="31" t="s">
        <v>144</v>
      </c>
      <c r="AL662" s="31" t="s">
        <v>322</v>
      </c>
      <c r="AM662" s="31" t="s">
        <v>144</v>
      </c>
      <c r="AN662" s="31" t="s">
        <v>163</v>
      </c>
      <c r="AO662" s="31" t="s">
        <v>1325</v>
      </c>
      <c r="AP662" s="31" t="s">
        <v>144</v>
      </c>
      <c r="AQ662" s="31" t="s">
        <v>144</v>
      </c>
      <c r="AR662" s="31" t="s">
        <v>144</v>
      </c>
    </row>
    <row r="663" spans="5:44" ht="15" customHeight="1" x14ac:dyDescent="0.25">
      <c r="E663" s="31" t="s">
        <v>139</v>
      </c>
      <c r="F663" s="31" t="s">
        <v>140</v>
      </c>
      <c r="G663" s="31" t="s">
        <v>377</v>
      </c>
      <c r="H663" s="31" t="s">
        <v>324</v>
      </c>
      <c r="I663" s="31" t="s">
        <v>481</v>
      </c>
      <c r="J663" s="31" t="s">
        <v>647</v>
      </c>
      <c r="K663" s="31" t="s">
        <v>976</v>
      </c>
      <c r="L663" s="31" t="s">
        <v>162</v>
      </c>
      <c r="M663" s="31" t="s">
        <v>144</v>
      </c>
      <c r="N663" s="31" t="s">
        <v>144</v>
      </c>
      <c r="O663" s="31" t="s">
        <v>144</v>
      </c>
      <c r="P663" s="31" t="s">
        <v>144</v>
      </c>
      <c r="Q663" s="31" t="s">
        <v>1071</v>
      </c>
      <c r="R663" s="31" t="s">
        <v>312</v>
      </c>
      <c r="S663" s="31" t="s">
        <v>144</v>
      </c>
      <c r="T663" s="31" t="s">
        <v>144</v>
      </c>
      <c r="U663" s="31" t="s">
        <v>144</v>
      </c>
      <c r="V663" s="31" t="s">
        <v>144</v>
      </c>
      <c r="W663" s="31" t="s">
        <v>144</v>
      </c>
      <c r="X663" s="31" t="s">
        <v>144</v>
      </c>
      <c r="Y663" s="31"/>
      <c r="Z663" s="33">
        <v>0.91</v>
      </c>
      <c r="AA663" s="31" t="s">
        <v>144</v>
      </c>
      <c r="AB663" s="31" t="s">
        <v>144</v>
      </c>
      <c r="AC663" s="31" t="s">
        <v>144</v>
      </c>
      <c r="AD663" s="31" t="s">
        <v>144</v>
      </c>
      <c r="AE663" s="31" t="s">
        <v>144</v>
      </c>
      <c r="AF663" s="31" t="s">
        <v>144</v>
      </c>
      <c r="AG663" s="31" t="s">
        <v>144</v>
      </c>
      <c r="AH663" s="31" t="s">
        <v>190</v>
      </c>
      <c r="AI663" s="31" t="s">
        <v>144</v>
      </c>
      <c r="AJ663" s="31" t="s">
        <v>144</v>
      </c>
      <c r="AK663" s="31" t="s">
        <v>144</v>
      </c>
      <c r="AL663" s="31" t="s">
        <v>322</v>
      </c>
      <c r="AM663" s="31" t="s">
        <v>144</v>
      </c>
      <c r="AN663" s="31" t="s">
        <v>163</v>
      </c>
      <c r="AO663" s="31" t="s">
        <v>1325</v>
      </c>
      <c r="AP663" s="31" t="s">
        <v>144</v>
      </c>
      <c r="AQ663" s="31" t="s">
        <v>144</v>
      </c>
      <c r="AR663" s="31" t="s">
        <v>144</v>
      </c>
    </row>
    <row r="664" spans="5:44" ht="15" customHeight="1" x14ac:dyDescent="0.25">
      <c r="E664" s="31" t="s">
        <v>139</v>
      </c>
      <c r="F664" s="31" t="s">
        <v>140</v>
      </c>
      <c r="G664" s="31" t="s">
        <v>377</v>
      </c>
      <c r="H664" s="31" t="s">
        <v>324</v>
      </c>
      <c r="I664" s="31" t="s">
        <v>481</v>
      </c>
      <c r="J664" s="31" t="s">
        <v>647</v>
      </c>
      <c r="K664" s="31" t="s">
        <v>977</v>
      </c>
      <c r="L664" s="31" t="s">
        <v>162</v>
      </c>
      <c r="M664" s="31" t="s">
        <v>144</v>
      </c>
      <c r="N664" s="31" t="s">
        <v>144</v>
      </c>
      <c r="O664" s="31" t="s">
        <v>144</v>
      </c>
      <c r="P664" s="31" t="s">
        <v>144</v>
      </c>
      <c r="Q664" s="31" t="s">
        <v>1071</v>
      </c>
      <c r="R664" s="31" t="s">
        <v>312</v>
      </c>
      <c r="S664" s="31" t="s">
        <v>144</v>
      </c>
      <c r="T664" s="31" t="s">
        <v>144</v>
      </c>
      <c r="U664" s="31" t="s">
        <v>144</v>
      </c>
      <c r="V664" s="31" t="s">
        <v>144</v>
      </c>
      <c r="W664" s="31" t="s">
        <v>144</v>
      </c>
      <c r="X664" s="31" t="s">
        <v>144</v>
      </c>
      <c r="Y664" s="31"/>
      <c r="Z664" s="33">
        <v>0.91</v>
      </c>
      <c r="AA664" s="31" t="s">
        <v>144</v>
      </c>
      <c r="AB664" s="31" t="s">
        <v>144</v>
      </c>
      <c r="AC664" s="31" t="s">
        <v>144</v>
      </c>
      <c r="AD664" s="31" t="s">
        <v>144</v>
      </c>
      <c r="AE664" s="31" t="s">
        <v>144</v>
      </c>
      <c r="AF664" s="31" t="s">
        <v>144</v>
      </c>
      <c r="AG664" s="31" t="s">
        <v>144</v>
      </c>
      <c r="AH664" s="31" t="s">
        <v>190</v>
      </c>
      <c r="AI664" s="31" t="s">
        <v>144</v>
      </c>
      <c r="AJ664" s="31" t="s">
        <v>144</v>
      </c>
      <c r="AK664" s="31" t="s">
        <v>144</v>
      </c>
      <c r="AL664" s="31" t="s">
        <v>322</v>
      </c>
      <c r="AM664" s="31" t="s">
        <v>144</v>
      </c>
      <c r="AN664" s="31" t="s">
        <v>163</v>
      </c>
      <c r="AO664" s="31" t="s">
        <v>1325</v>
      </c>
      <c r="AP664" s="31" t="s">
        <v>144</v>
      </c>
      <c r="AQ664" s="31" t="s">
        <v>144</v>
      </c>
      <c r="AR664" s="31" t="s">
        <v>144</v>
      </c>
    </row>
    <row r="665" spans="5:44" ht="15" customHeight="1" x14ac:dyDescent="0.25">
      <c r="E665" s="31" t="s">
        <v>139</v>
      </c>
      <c r="F665" s="31" t="s">
        <v>140</v>
      </c>
      <c r="G665" s="31" t="s">
        <v>377</v>
      </c>
      <c r="H665" s="31" t="s">
        <v>324</v>
      </c>
      <c r="I665" s="31" t="s">
        <v>481</v>
      </c>
      <c r="J665" s="31" t="s">
        <v>647</v>
      </c>
      <c r="K665" s="31" t="s">
        <v>978</v>
      </c>
      <c r="L665" s="31" t="s">
        <v>162</v>
      </c>
      <c r="M665" s="31" t="s">
        <v>144</v>
      </c>
      <c r="N665" s="31" t="s">
        <v>144</v>
      </c>
      <c r="O665" s="31" t="s">
        <v>144</v>
      </c>
      <c r="P665" s="31" t="s">
        <v>144</v>
      </c>
      <c r="Q665" s="31" t="s">
        <v>1071</v>
      </c>
      <c r="R665" s="31" t="s">
        <v>312</v>
      </c>
      <c r="S665" s="31" t="s">
        <v>144</v>
      </c>
      <c r="T665" s="31" t="s">
        <v>144</v>
      </c>
      <c r="U665" s="31" t="s">
        <v>144</v>
      </c>
      <c r="V665" s="31" t="s">
        <v>144</v>
      </c>
      <c r="W665" s="31" t="s">
        <v>144</v>
      </c>
      <c r="X665" s="31" t="s">
        <v>144</v>
      </c>
      <c r="Y665" s="31"/>
      <c r="Z665" s="33">
        <v>0.91</v>
      </c>
      <c r="AA665" s="31" t="s">
        <v>144</v>
      </c>
      <c r="AB665" s="31" t="s">
        <v>144</v>
      </c>
      <c r="AC665" s="31" t="s">
        <v>144</v>
      </c>
      <c r="AD665" s="31" t="s">
        <v>144</v>
      </c>
      <c r="AE665" s="31" t="s">
        <v>144</v>
      </c>
      <c r="AF665" s="31" t="s">
        <v>144</v>
      </c>
      <c r="AG665" s="31" t="s">
        <v>144</v>
      </c>
      <c r="AH665" s="31" t="s">
        <v>190</v>
      </c>
      <c r="AI665" s="31" t="s">
        <v>144</v>
      </c>
      <c r="AJ665" s="31" t="s">
        <v>144</v>
      </c>
      <c r="AK665" s="31" t="s">
        <v>144</v>
      </c>
      <c r="AL665" s="31" t="s">
        <v>322</v>
      </c>
      <c r="AM665" s="31" t="s">
        <v>144</v>
      </c>
      <c r="AN665" s="31" t="s">
        <v>163</v>
      </c>
      <c r="AO665" s="31" t="s">
        <v>1325</v>
      </c>
      <c r="AP665" s="31" t="s">
        <v>144</v>
      </c>
      <c r="AQ665" s="31" t="s">
        <v>144</v>
      </c>
      <c r="AR665" s="31" t="s">
        <v>144</v>
      </c>
    </row>
    <row r="666" spans="5:44" ht="15" customHeight="1" x14ac:dyDescent="0.25">
      <c r="E666" s="31" t="s">
        <v>139</v>
      </c>
      <c r="F666" s="31" t="s">
        <v>140</v>
      </c>
      <c r="G666" s="31" t="s">
        <v>377</v>
      </c>
      <c r="H666" s="31" t="s">
        <v>324</v>
      </c>
      <c r="I666" s="31" t="s">
        <v>481</v>
      </c>
      <c r="J666" s="31" t="s">
        <v>647</v>
      </c>
      <c r="K666" s="31" t="s">
        <v>979</v>
      </c>
      <c r="L666" s="31" t="s">
        <v>162</v>
      </c>
      <c r="M666" s="31" t="s">
        <v>144</v>
      </c>
      <c r="N666" s="31" t="s">
        <v>144</v>
      </c>
      <c r="O666" s="31" t="s">
        <v>144</v>
      </c>
      <c r="P666" s="31" t="s">
        <v>144</v>
      </c>
      <c r="Q666" s="31" t="s">
        <v>1071</v>
      </c>
      <c r="R666" s="31" t="s">
        <v>312</v>
      </c>
      <c r="S666" s="31" t="s">
        <v>144</v>
      </c>
      <c r="T666" s="31" t="s">
        <v>144</v>
      </c>
      <c r="U666" s="31" t="s">
        <v>144</v>
      </c>
      <c r="V666" s="31" t="s">
        <v>144</v>
      </c>
      <c r="W666" s="31" t="s">
        <v>144</v>
      </c>
      <c r="X666" s="31" t="s">
        <v>144</v>
      </c>
      <c r="Y666" s="31"/>
      <c r="Z666" s="33">
        <v>0.91</v>
      </c>
      <c r="AA666" s="31" t="s">
        <v>144</v>
      </c>
      <c r="AB666" s="31" t="s">
        <v>144</v>
      </c>
      <c r="AC666" s="31" t="s">
        <v>144</v>
      </c>
      <c r="AD666" s="31" t="s">
        <v>144</v>
      </c>
      <c r="AE666" s="31" t="s">
        <v>144</v>
      </c>
      <c r="AF666" s="31" t="s">
        <v>144</v>
      </c>
      <c r="AG666" s="31" t="s">
        <v>144</v>
      </c>
      <c r="AH666" s="31" t="s">
        <v>190</v>
      </c>
      <c r="AI666" s="31" t="s">
        <v>144</v>
      </c>
      <c r="AJ666" s="31" t="s">
        <v>144</v>
      </c>
      <c r="AK666" s="31" t="s">
        <v>144</v>
      </c>
      <c r="AL666" s="31" t="s">
        <v>322</v>
      </c>
      <c r="AM666" s="31" t="s">
        <v>144</v>
      </c>
      <c r="AN666" s="31" t="s">
        <v>163</v>
      </c>
      <c r="AO666" s="31" t="s">
        <v>1325</v>
      </c>
      <c r="AP666" s="31" t="s">
        <v>144</v>
      </c>
      <c r="AQ666" s="31" t="s">
        <v>144</v>
      </c>
      <c r="AR666" s="31" t="s">
        <v>144</v>
      </c>
    </row>
    <row r="667" spans="5:44" ht="15" customHeight="1" x14ac:dyDescent="0.25">
      <c r="E667" s="31" t="s">
        <v>139</v>
      </c>
      <c r="F667" s="31" t="s">
        <v>140</v>
      </c>
      <c r="G667" s="31" t="s">
        <v>377</v>
      </c>
      <c r="H667" s="31" t="s">
        <v>324</v>
      </c>
      <c r="I667" s="31" t="s">
        <v>481</v>
      </c>
      <c r="J667" s="31" t="s">
        <v>647</v>
      </c>
      <c r="K667" s="31" t="s">
        <v>980</v>
      </c>
      <c r="L667" s="31" t="s">
        <v>162</v>
      </c>
      <c r="M667" s="31" t="s">
        <v>144</v>
      </c>
      <c r="N667" s="31" t="s">
        <v>144</v>
      </c>
      <c r="O667" s="31" t="s">
        <v>144</v>
      </c>
      <c r="P667" s="31" t="s">
        <v>144</v>
      </c>
      <c r="Q667" s="31" t="s">
        <v>1071</v>
      </c>
      <c r="R667" s="31" t="s">
        <v>312</v>
      </c>
      <c r="S667" s="31" t="s">
        <v>144</v>
      </c>
      <c r="T667" s="31" t="s">
        <v>144</v>
      </c>
      <c r="U667" s="31" t="s">
        <v>144</v>
      </c>
      <c r="V667" s="31" t="s">
        <v>144</v>
      </c>
      <c r="W667" s="31" t="s">
        <v>144</v>
      </c>
      <c r="X667" s="31" t="s">
        <v>144</v>
      </c>
      <c r="Y667" s="31"/>
      <c r="Z667" s="33">
        <v>0.91</v>
      </c>
      <c r="AA667" s="31" t="s">
        <v>144</v>
      </c>
      <c r="AB667" s="31" t="s">
        <v>144</v>
      </c>
      <c r="AC667" s="31" t="s">
        <v>144</v>
      </c>
      <c r="AD667" s="31" t="s">
        <v>144</v>
      </c>
      <c r="AE667" s="31" t="s">
        <v>144</v>
      </c>
      <c r="AF667" s="31" t="s">
        <v>144</v>
      </c>
      <c r="AG667" s="31" t="s">
        <v>144</v>
      </c>
      <c r="AH667" s="31" t="s">
        <v>190</v>
      </c>
      <c r="AI667" s="31" t="s">
        <v>144</v>
      </c>
      <c r="AJ667" s="31" t="s">
        <v>144</v>
      </c>
      <c r="AK667" s="31" t="s">
        <v>144</v>
      </c>
      <c r="AL667" s="31" t="s">
        <v>322</v>
      </c>
      <c r="AM667" s="31" t="s">
        <v>144</v>
      </c>
      <c r="AN667" s="31" t="s">
        <v>163</v>
      </c>
      <c r="AO667" s="31" t="s">
        <v>1325</v>
      </c>
      <c r="AP667" s="31" t="s">
        <v>144</v>
      </c>
      <c r="AQ667" s="31" t="s">
        <v>144</v>
      </c>
      <c r="AR667" s="31" t="s">
        <v>144</v>
      </c>
    </row>
    <row r="668" spans="5:44" ht="15" customHeight="1" x14ac:dyDescent="0.25">
      <c r="E668" s="31" t="s">
        <v>139</v>
      </c>
      <c r="F668" s="31" t="s">
        <v>140</v>
      </c>
      <c r="G668" s="31" t="s">
        <v>377</v>
      </c>
      <c r="H668" s="31" t="s">
        <v>324</v>
      </c>
      <c r="I668" s="31" t="s">
        <v>481</v>
      </c>
      <c r="J668" s="31" t="s">
        <v>647</v>
      </c>
      <c r="K668" s="31" t="s">
        <v>981</v>
      </c>
      <c r="L668" s="31" t="s">
        <v>162</v>
      </c>
      <c r="M668" s="31" t="s">
        <v>144</v>
      </c>
      <c r="N668" s="31" t="s">
        <v>144</v>
      </c>
      <c r="O668" s="31" t="s">
        <v>144</v>
      </c>
      <c r="P668" s="31" t="s">
        <v>144</v>
      </c>
      <c r="Q668" s="31" t="s">
        <v>1071</v>
      </c>
      <c r="R668" s="31" t="s">
        <v>312</v>
      </c>
      <c r="S668" s="31" t="s">
        <v>144</v>
      </c>
      <c r="T668" s="31" t="s">
        <v>144</v>
      </c>
      <c r="U668" s="31" t="s">
        <v>144</v>
      </c>
      <c r="V668" s="31" t="s">
        <v>144</v>
      </c>
      <c r="W668" s="31" t="s">
        <v>144</v>
      </c>
      <c r="X668" s="31" t="s">
        <v>144</v>
      </c>
      <c r="Y668" s="31"/>
      <c r="Z668" s="33">
        <v>0.91</v>
      </c>
      <c r="AA668" s="31" t="s">
        <v>144</v>
      </c>
      <c r="AB668" s="31" t="s">
        <v>144</v>
      </c>
      <c r="AC668" s="31" t="s">
        <v>144</v>
      </c>
      <c r="AD668" s="31" t="s">
        <v>144</v>
      </c>
      <c r="AE668" s="31" t="s">
        <v>144</v>
      </c>
      <c r="AF668" s="31" t="s">
        <v>144</v>
      </c>
      <c r="AG668" s="31" t="s">
        <v>144</v>
      </c>
      <c r="AH668" s="31" t="s">
        <v>190</v>
      </c>
      <c r="AI668" s="31" t="s">
        <v>144</v>
      </c>
      <c r="AJ668" s="31" t="s">
        <v>144</v>
      </c>
      <c r="AK668" s="31" t="s">
        <v>144</v>
      </c>
      <c r="AL668" s="31" t="s">
        <v>322</v>
      </c>
      <c r="AM668" s="31" t="s">
        <v>144</v>
      </c>
      <c r="AN668" s="31" t="s">
        <v>163</v>
      </c>
      <c r="AO668" s="31" t="s">
        <v>1325</v>
      </c>
      <c r="AP668" s="31" t="s">
        <v>144</v>
      </c>
      <c r="AQ668" s="31" t="s">
        <v>144</v>
      </c>
      <c r="AR668" s="31" t="s">
        <v>144</v>
      </c>
    </row>
    <row r="669" spans="5:44" ht="15" customHeight="1" x14ac:dyDescent="0.25">
      <c r="E669" s="31" t="s">
        <v>139</v>
      </c>
      <c r="F669" s="31" t="s">
        <v>140</v>
      </c>
      <c r="G669" s="31" t="s">
        <v>377</v>
      </c>
      <c r="H669" s="31" t="s">
        <v>324</v>
      </c>
      <c r="I669" s="31" t="s">
        <v>481</v>
      </c>
      <c r="J669" s="31" t="s">
        <v>647</v>
      </c>
      <c r="K669" s="31" t="s">
        <v>982</v>
      </c>
      <c r="L669" s="31" t="s">
        <v>162</v>
      </c>
      <c r="M669" s="31" t="s">
        <v>144</v>
      </c>
      <c r="N669" s="31" t="s">
        <v>144</v>
      </c>
      <c r="O669" s="31" t="s">
        <v>144</v>
      </c>
      <c r="P669" s="31" t="s">
        <v>144</v>
      </c>
      <c r="Q669" s="31" t="s">
        <v>1071</v>
      </c>
      <c r="R669" s="31" t="s">
        <v>312</v>
      </c>
      <c r="S669" s="31" t="s">
        <v>144</v>
      </c>
      <c r="T669" s="31" t="s">
        <v>144</v>
      </c>
      <c r="U669" s="31" t="s">
        <v>144</v>
      </c>
      <c r="V669" s="31" t="s">
        <v>144</v>
      </c>
      <c r="W669" s="31" t="s">
        <v>144</v>
      </c>
      <c r="X669" s="31" t="s">
        <v>144</v>
      </c>
      <c r="Y669" s="31"/>
      <c r="Z669" s="33">
        <v>0.91</v>
      </c>
      <c r="AA669" s="31" t="s">
        <v>144</v>
      </c>
      <c r="AB669" s="31" t="s">
        <v>144</v>
      </c>
      <c r="AC669" s="31" t="s">
        <v>144</v>
      </c>
      <c r="AD669" s="31" t="s">
        <v>144</v>
      </c>
      <c r="AE669" s="31" t="s">
        <v>144</v>
      </c>
      <c r="AF669" s="31" t="s">
        <v>144</v>
      </c>
      <c r="AG669" s="31" t="s">
        <v>144</v>
      </c>
      <c r="AH669" s="31" t="s">
        <v>190</v>
      </c>
      <c r="AI669" s="31" t="s">
        <v>144</v>
      </c>
      <c r="AJ669" s="31" t="s">
        <v>144</v>
      </c>
      <c r="AK669" s="31" t="s">
        <v>144</v>
      </c>
      <c r="AL669" s="31" t="s">
        <v>322</v>
      </c>
      <c r="AM669" s="31" t="s">
        <v>144</v>
      </c>
      <c r="AN669" s="31" t="s">
        <v>163</v>
      </c>
      <c r="AO669" s="31" t="s">
        <v>1325</v>
      </c>
      <c r="AP669" s="31" t="s">
        <v>144</v>
      </c>
      <c r="AQ669" s="31" t="s">
        <v>144</v>
      </c>
      <c r="AR669" s="31" t="s">
        <v>144</v>
      </c>
    </row>
    <row r="670" spans="5:44" ht="15" customHeight="1" x14ac:dyDescent="0.25">
      <c r="E670" s="31" t="s">
        <v>139</v>
      </c>
      <c r="F670" s="31" t="s">
        <v>140</v>
      </c>
      <c r="G670" s="31" t="s">
        <v>377</v>
      </c>
      <c r="H670" s="31" t="s">
        <v>324</v>
      </c>
      <c r="I670" s="31" t="s">
        <v>481</v>
      </c>
      <c r="J670" s="31" t="s">
        <v>647</v>
      </c>
      <c r="K670" s="31" t="s">
        <v>983</v>
      </c>
      <c r="L670" s="31" t="s">
        <v>162</v>
      </c>
      <c r="M670" s="31" t="s">
        <v>144</v>
      </c>
      <c r="N670" s="31" t="s">
        <v>144</v>
      </c>
      <c r="O670" s="31" t="s">
        <v>144</v>
      </c>
      <c r="P670" s="31" t="s">
        <v>144</v>
      </c>
      <c r="Q670" s="31" t="s">
        <v>1071</v>
      </c>
      <c r="R670" s="31" t="s">
        <v>312</v>
      </c>
      <c r="S670" s="31" t="s">
        <v>144</v>
      </c>
      <c r="T670" s="31" t="s">
        <v>144</v>
      </c>
      <c r="U670" s="31" t="s">
        <v>144</v>
      </c>
      <c r="V670" s="31" t="s">
        <v>144</v>
      </c>
      <c r="W670" s="31" t="s">
        <v>144</v>
      </c>
      <c r="X670" s="31" t="s">
        <v>144</v>
      </c>
      <c r="Y670" s="31"/>
      <c r="Z670" s="33">
        <v>0.91</v>
      </c>
      <c r="AA670" s="31" t="s">
        <v>144</v>
      </c>
      <c r="AB670" s="31" t="s">
        <v>144</v>
      </c>
      <c r="AC670" s="31" t="s">
        <v>144</v>
      </c>
      <c r="AD670" s="31" t="s">
        <v>144</v>
      </c>
      <c r="AE670" s="31" t="s">
        <v>144</v>
      </c>
      <c r="AF670" s="31" t="s">
        <v>144</v>
      </c>
      <c r="AG670" s="31" t="s">
        <v>144</v>
      </c>
      <c r="AH670" s="31" t="s">
        <v>190</v>
      </c>
      <c r="AI670" s="31" t="s">
        <v>144</v>
      </c>
      <c r="AJ670" s="31" t="s">
        <v>144</v>
      </c>
      <c r="AK670" s="31" t="s">
        <v>144</v>
      </c>
      <c r="AL670" s="31" t="s">
        <v>322</v>
      </c>
      <c r="AM670" s="31" t="s">
        <v>144</v>
      </c>
      <c r="AN670" s="31" t="s">
        <v>163</v>
      </c>
      <c r="AO670" s="31" t="s">
        <v>1325</v>
      </c>
      <c r="AP670" s="31" t="s">
        <v>144</v>
      </c>
      <c r="AQ670" s="31" t="s">
        <v>144</v>
      </c>
      <c r="AR670" s="31" t="s">
        <v>144</v>
      </c>
    </row>
    <row r="671" spans="5:44" ht="15" customHeight="1" x14ac:dyDescent="0.25">
      <c r="E671" s="31" t="s">
        <v>139</v>
      </c>
      <c r="F671" s="31" t="s">
        <v>140</v>
      </c>
      <c r="G671" s="31" t="s">
        <v>377</v>
      </c>
      <c r="H671" s="31" t="s">
        <v>324</v>
      </c>
      <c r="I671" s="31" t="s">
        <v>481</v>
      </c>
      <c r="J671" s="31" t="s">
        <v>647</v>
      </c>
      <c r="K671" s="31" t="s">
        <v>984</v>
      </c>
      <c r="L671" s="31" t="s">
        <v>162</v>
      </c>
      <c r="M671" s="31" t="s">
        <v>144</v>
      </c>
      <c r="N671" s="31" t="s">
        <v>144</v>
      </c>
      <c r="O671" s="31" t="s">
        <v>144</v>
      </c>
      <c r="P671" s="31" t="s">
        <v>144</v>
      </c>
      <c r="Q671" s="31" t="s">
        <v>1071</v>
      </c>
      <c r="R671" s="31" t="s">
        <v>312</v>
      </c>
      <c r="S671" s="31" t="s">
        <v>144</v>
      </c>
      <c r="T671" s="31" t="s">
        <v>144</v>
      </c>
      <c r="U671" s="31" t="s">
        <v>144</v>
      </c>
      <c r="V671" s="31" t="s">
        <v>144</v>
      </c>
      <c r="W671" s="31" t="s">
        <v>144</v>
      </c>
      <c r="X671" s="31" t="s">
        <v>144</v>
      </c>
      <c r="Y671" s="31"/>
      <c r="Z671" s="33">
        <v>0.91</v>
      </c>
      <c r="AA671" s="31" t="s">
        <v>144</v>
      </c>
      <c r="AB671" s="31" t="s">
        <v>144</v>
      </c>
      <c r="AC671" s="31" t="s">
        <v>144</v>
      </c>
      <c r="AD671" s="31" t="s">
        <v>144</v>
      </c>
      <c r="AE671" s="31" t="s">
        <v>144</v>
      </c>
      <c r="AF671" s="31" t="s">
        <v>144</v>
      </c>
      <c r="AG671" s="31" t="s">
        <v>144</v>
      </c>
      <c r="AH671" s="31" t="s">
        <v>190</v>
      </c>
      <c r="AI671" s="31" t="s">
        <v>144</v>
      </c>
      <c r="AJ671" s="31" t="s">
        <v>144</v>
      </c>
      <c r="AK671" s="31" t="s">
        <v>144</v>
      </c>
      <c r="AL671" s="31" t="s">
        <v>322</v>
      </c>
      <c r="AM671" s="31" t="s">
        <v>144</v>
      </c>
      <c r="AN671" s="31" t="s">
        <v>163</v>
      </c>
      <c r="AO671" s="31" t="s">
        <v>1325</v>
      </c>
      <c r="AP671" s="31" t="s">
        <v>144</v>
      </c>
      <c r="AQ671" s="31" t="s">
        <v>144</v>
      </c>
      <c r="AR671" s="31" t="s">
        <v>144</v>
      </c>
    </row>
    <row r="672" spans="5:44" ht="15" customHeight="1" x14ac:dyDescent="0.25">
      <c r="E672" s="31" t="s">
        <v>139</v>
      </c>
      <c r="F672" s="31" t="s">
        <v>140</v>
      </c>
      <c r="G672" s="31" t="s">
        <v>377</v>
      </c>
      <c r="H672" s="31" t="s">
        <v>324</v>
      </c>
      <c r="I672" s="31" t="s">
        <v>481</v>
      </c>
      <c r="J672" s="31" t="s">
        <v>647</v>
      </c>
      <c r="K672" s="31" t="s">
        <v>985</v>
      </c>
      <c r="L672" s="31" t="s">
        <v>162</v>
      </c>
      <c r="M672" s="31" t="s">
        <v>144</v>
      </c>
      <c r="N672" s="31" t="s">
        <v>144</v>
      </c>
      <c r="O672" s="31" t="s">
        <v>144</v>
      </c>
      <c r="P672" s="31" t="s">
        <v>144</v>
      </c>
      <c r="Q672" s="31" t="s">
        <v>1071</v>
      </c>
      <c r="R672" s="31" t="s">
        <v>312</v>
      </c>
      <c r="S672" s="31" t="s">
        <v>144</v>
      </c>
      <c r="T672" s="31" t="s">
        <v>144</v>
      </c>
      <c r="U672" s="31" t="s">
        <v>144</v>
      </c>
      <c r="V672" s="31" t="s">
        <v>144</v>
      </c>
      <c r="W672" s="31" t="s">
        <v>144</v>
      </c>
      <c r="X672" s="31" t="s">
        <v>144</v>
      </c>
      <c r="Y672" s="31"/>
      <c r="Z672" s="33">
        <v>0.91</v>
      </c>
      <c r="AA672" s="31" t="s">
        <v>144</v>
      </c>
      <c r="AB672" s="31" t="s">
        <v>144</v>
      </c>
      <c r="AC672" s="31" t="s">
        <v>144</v>
      </c>
      <c r="AD672" s="31" t="s">
        <v>144</v>
      </c>
      <c r="AE672" s="31" t="s">
        <v>144</v>
      </c>
      <c r="AF672" s="31" t="s">
        <v>144</v>
      </c>
      <c r="AG672" s="31" t="s">
        <v>144</v>
      </c>
      <c r="AH672" s="31" t="s">
        <v>190</v>
      </c>
      <c r="AI672" s="31" t="s">
        <v>144</v>
      </c>
      <c r="AJ672" s="31" t="s">
        <v>144</v>
      </c>
      <c r="AK672" s="31" t="s">
        <v>144</v>
      </c>
      <c r="AL672" s="31" t="s">
        <v>322</v>
      </c>
      <c r="AM672" s="31" t="s">
        <v>144</v>
      </c>
      <c r="AN672" s="31" t="s">
        <v>163</v>
      </c>
      <c r="AO672" s="31" t="s">
        <v>1325</v>
      </c>
      <c r="AP672" s="31" t="s">
        <v>144</v>
      </c>
      <c r="AQ672" s="31" t="s">
        <v>144</v>
      </c>
      <c r="AR672" s="31" t="s">
        <v>144</v>
      </c>
    </row>
    <row r="673" spans="5:44" ht="15" customHeight="1" x14ac:dyDescent="0.25">
      <c r="E673" s="31" t="s">
        <v>139</v>
      </c>
      <c r="F673" s="31" t="s">
        <v>140</v>
      </c>
      <c r="G673" s="31" t="s">
        <v>377</v>
      </c>
      <c r="H673" s="31" t="s">
        <v>324</v>
      </c>
      <c r="I673" s="31" t="s">
        <v>481</v>
      </c>
      <c r="J673" s="31" t="s">
        <v>647</v>
      </c>
      <c r="K673" s="31" t="s">
        <v>986</v>
      </c>
      <c r="L673" s="31" t="s">
        <v>162</v>
      </c>
      <c r="M673" s="31" t="s">
        <v>144</v>
      </c>
      <c r="N673" s="31" t="s">
        <v>144</v>
      </c>
      <c r="O673" s="31" t="s">
        <v>144</v>
      </c>
      <c r="P673" s="31" t="s">
        <v>144</v>
      </c>
      <c r="Q673" s="31" t="s">
        <v>1071</v>
      </c>
      <c r="R673" s="31" t="s">
        <v>312</v>
      </c>
      <c r="S673" s="31" t="s">
        <v>144</v>
      </c>
      <c r="T673" s="31" t="s">
        <v>144</v>
      </c>
      <c r="U673" s="31" t="s">
        <v>144</v>
      </c>
      <c r="V673" s="31" t="s">
        <v>144</v>
      </c>
      <c r="W673" s="31" t="s">
        <v>144</v>
      </c>
      <c r="X673" s="31" t="s">
        <v>144</v>
      </c>
      <c r="Y673" s="31"/>
      <c r="Z673" s="33">
        <v>0.91</v>
      </c>
      <c r="AA673" s="31" t="s">
        <v>144</v>
      </c>
      <c r="AB673" s="31" t="s">
        <v>144</v>
      </c>
      <c r="AC673" s="31" t="s">
        <v>144</v>
      </c>
      <c r="AD673" s="31" t="s">
        <v>144</v>
      </c>
      <c r="AE673" s="31" t="s">
        <v>144</v>
      </c>
      <c r="AF673" s="31" t="s">
        <v>144</v>
      </c>
      <c r="AG673" s="31" t="s">
        <v>144</v>
      </c>
      <c r="AH673" s="31" t="s">
        <v>190</v>
      </c>
      <c r="AI673" s="31" t="s">
        <v>144</v>
      </c>
      <c r="AJ673" s="31" t="s">
        <v>144</v>
      </c>
      <c r="AK673" s="31" t="s">
        <v>144</v>
      </c>
      <c r="AL673" s="31" t="s">
        <v>322</v>
      </c>
      <c r="AM673" s="31" t="s">
        <v>144</v>
      </c>
      <c r="AN673" s="31" t="s">
        <v>163</v>
      </c>
      <c r="AO673" s="31" t="s">
        <v>1325</v>
      </c>
      <c r="AP673" s="31" t="s">
        <v>144</v>
      </c>
      <c r="AQ673" s="31" t="s">
        <v>144</v>
      </c>
      <c r="AR673" s="31" t="s">
        <v>144</v>
      </c>
    </row>
    <row r="674" spans="5:44" ht="15" customHeight="1" x14ac:dyDescent="0.25">
      <c r="E674" s="31" t="s">
        <v>139</v>
      </c>
      <c r="F674" s="31" t="s">
        <v>140</v>
      </c>
      <c r="G674" s="31" t="s">
        <v>377</v>
      </c>
      <c r="H674" s="31" t="s">
        <v>324</v>
      </c>
      <c r="I674" s="31" t="s">
        <v>481</v>
      </c>
      <c r="J674" s="31" t="s">
        <v>647</v>
      </c>
      <c r="K674" s="31" t="s">
        <v>987</v>
      </c>
      <c r="L674" s="31" t="s">
        <v>162</v>
      </c>
      <c r="M674" s="31" t="s">
        <v>144</v>
      </c>
      <c r="N674" s="31" t="s">
        <v>144</v>
      </c>
      <c r="O674" s="31" t="s">
        <v>144</v>
      </c>
      <c r="P674" s="31" t="s">
        <v>144</v>
      </c>
      <c r="Q674" s="31" t="s">
        <v>1071</v>
      </c>
      <c r="R674" s="31" t="s">
        <v>312</v>
      </c>
      <c r="S674" s="31" t="s">
        <v>144</v>
      </c>
      <c r="T674" s="31" t="s">
        <v>144</v>
      </c>
      <c r="U674" s="31" t="s">
        <v>144</v>
      </c>
      <c r="V674" s="31" t="s">
        <v>144</v>
      </c>
      <c r="W674" s="31" t="s">
        <v>144</v>
      </c>
      <c r="X674" s="31" t="s">
        <v>144</v>
      </c>
      <c r="Y674" s="31"/>
      <c r="Z674" s="33">
        <v>0.91</v>
      </c>
      <c r="AA674" s="31" t="s">
        <v>144</v>
      </c>
      <c r="AB674" s="31" t="s">
        <v>144</v>
      </c>
      <c r="AC674" s="31" t="s">
        <v>144</v>
      </c>
      <c r="AD674" s="31" t="s">
        <v>144</v>
      </c>
      <c r="AE674" s="31" t="s">
        <v>144</v>
      </c>
      <c r="AF674" s="31" t="s">
        <v>144</v>
      </c>
      <c r="AG674" s="31" t="s">
        <v>144</v>
      </c>
      <c r="AH674" s="31" t="s">
        <v>190</v>
      </c>
      <c r="AI674" s="31" t="s">
        <v>144</v>
      </c>
      <c r="AJ674" s="31" t="s">
        <v>144</v>
      </c>
      <c r="AK674" s="31" t="s">
        <v>144</v>
      </c>
      <c r="AL674" s="31" t="s">
        <v>322</v>
      </c>
      <c r="AM674" s="31" t="s">
        <v>144</v>
      </c>
      <c r="AN674" s="31" t="s">
        <v>163</v>
      </c>
      <c r="AO674" s="31" t="s">
        <v>1325</v>
      </c>
      <c r="AP674" s="31" t="s">
        <v>144</v>
      </c>
      <c r="AQ674" s="31" t="s">
        <v>144</v>
      </c>
      <c r="AR674" s="31" t="s">
        <v>144</v>
      </c>
    </row>
    <row r="675" spans="5:44" ht="15" customHeight="1" x14ac:dyDescent="0.25">
      <c r="E675" s="31" t="s">
        <v>139</v>
      </c>
      <c r="F675" s="31" t="s">
        <v>140</v>
      </c>
      <c r="G675" s="31" t="s">
        <v>377</v>
      </c>
      <c r="H675" s="31" t="s">
        <v>324</v>
      </c>
      <c r="I675" s="31" t="s">
        <v>481</v>
      </c>
      <c r="J675" s="31" t="s">
        <v>647</v>
      </c>
      <c r="K675" s="31" t="s">
        <v>988</v>
      </c>
      <c r="L675" s="31" t="s">
        <v>162</v>
      </c>
      <c r="M675" s="31" t="s">
        <v>144</v>
      </c>
      <c r="N675" s="31" t="s">
        <v>144</v>
      </c>
      <c r="O675" s="31" t="s">
        <v>144</v>
      </c>
      <c r="P675" s="31" t="s">
        <v>144</v>
      </c>
      <c r="Q675" s="31" t="s">
        <v>1071</v>
      </c>
      <c r="R675" s="31" t="s">
        <v>312</v>
      </c>
      <c r="S675" s="31" t="s">
        <v>144</v>
      </c>
      <c r="T675" s="31" t="s">
        <v>144</v>
      </c>
      <c r="U675" s="31" t="s">
        <v>144</v>
      </c>
      <c r="V675" s="31" t="s">
        <v>144</v>
      </c>
      <c r="W675" s="31" t="s">
        <v>144</v>
      </c>
      <c r="X675" s="31" t="s">
        <v>144</v>
      </c>
      <c r="Y675" s="31"/>
      <c r="Z675" s="33">
        <v>0.91</v>
      </c>
      <c r="AA675" s="31" t="s">
        <v>144</v>
      </c>
      <c r="AB675" s="31" t="s">
        <v>144</v>
      </c>
      <c r="AC675" s="31" t="s">
        <v>144</v>
      </c>
      <c r="AD675" s="31" t="s">
        <v>144</v>
      </c>
      <c r="AE675" s="31" t="s">
        <v>144</v>
      </c>
      <c r="AF675" s="31" t="s">
        <v>144</v>
      </c>
      <c r="AG675" s="31" t="s">
        <v>144</v>
      </c>
      <c r="AH675" s="31" t="s">
        <v>190</v>
      </c>
      <c r="AI675" s="31" t="s">
        <v>144</v>
      </c>
      <c r="AJ675" s="31" t="s">
        <v>144</v>
      </c>
      <c r="AK675" s="31" t="s">
        <v>144</v>
      </c>
      <c r="AL675" s="31" t="s">
        <v>322</v>
      </c>
      <c r="AM675" s="31" t="s">
        <v>144</v>
      </c>
      <c r="AN675" s="31" t="s">
        <v>163</v>
      </c>
      <c r="AO675" s="31" t="s">
        <v>1325</v>
      </c>
      <c r="AP675" s="31" t="s">
        <v>144</v>
      </c>
      <c r="AQ675" s="31" t="s">
        <v>144</v>
      </c>
      <c r="AR675" s="31" t="s">
        <v>144</v>
      </c>
    </row>
    <row r="676" spans="5:44" ht="15" customHeight="1" x14ac:dyDescent="0.25">
      <c r="E676" s="31" t="s">
        <v>139</v>
      </c>
      <c r="F676" s="31" t="s">
        <v>140</v>
      </c>
      <c r="G676" s="31" t="s">
        <v>377</v>
      </c>
      <c r="H676" s="31" t="s">
        <v>324</v>
      </c>
      <c r="I676" s="31" t="s">
        <v>481</v>
      </c>
      <c r="J676" s="31" t="s">
        <v>647</v>
      </c>
      <c r="K676" s="31" t="s">
        <v>989</v>
      </c>
      <c r="L676" s="31" t="s">
        <v>162</v>
      </c>
      <c r="M676" s="31" t="s">
        <v>144</v>
      </c>
      <c r="N676" s="31" t="s">
        <v>144</v>
      </c>
      <c r="O676" s="31" t="s">
        <v>144</v>
      </c>
      <c r="P676" s="31" t="s">
        <v>144</v>
      </c>
      <c r="Q676" s="31" t="s">
        <v>1071</v>
      </c>
      <c r="R676" s="31" t="s">
        <v>312</v>
      </c>
      <c r="S676" s="31" t="s">
        <v>144</v>
      </c>
      <c r="T676" s="31" t="s">
        <v>144</v>
      </c>
      <c r="U676" s="31" t="s">
        <v>144</v>
      </c>
      <c r="V676" s="31" t="s">
        <v>144</v>
      </c>
      <c r="W676" s="31" t="s">
        <v>144</v>
      </c>
      <c r="X676" s="31" t="s">
        <v>144</v>
      </c>
      <c r="Y676" s="31"/>
      <c r="Z676" s="33">
        <v>0.91</v>
      </c>
      <c r="AA676" s="31" t="s">
        <v>144</v>
      </c>
      <c r="AB676" s="31" t="s">
        <v>144</v>
      </c>
      <c r="AC676" s="31" t="s">
        <v>144</v>
      </c>
      <c r="AD676" s="31" t="s">
        <v>144</v>
      </c>
      <c r="AE676" s="31" t="s">
        <v>144</v>
      </c>
      <c r="AF676" s="31" t="s">
        <v>144</v>
      </c>
      <c r="AG676" s="31" t="s">
        <v>144</v>
      </c>
      <c r="AH676" s="31" t="s">
        <v>190</v>
      </c>
      <c r="AI676" s="31" t="s">
        <v>144</v>
      </c>
      <c r="AJ676" s="31" t="s">
        <v>144</v>
      </c>
      <c r="AK676" s="31" t="s">
        <v>144</v>
      </c>
      <c r="AL676" s="31" t="s">
        <v>322</v>
      </c>
      <c r="AM676" s="31" t="s">
        <v>144</v>
      </c>
      <c r="AN676" s="31" t="s">
        <v>163</v>
      </c>
      <c r="AO676" s="31" t="s">
        <v>1325</v>
      </c>
      <c r="AP676" s="31" t="s">
        <v>144</v>
      </c>
      <c r="AQ676" s="31" t="s">
        <v>144</v>
      </c>
      <c r="AR676" s="31" t="s">
        <v>144</v>
      </c>
    </row>
    <row r="677" spans="5:44" ht="15" customHeight="1" x14ac:dyDescent="0.25">
      <c r="E677" s="31" t="s">
        <v>139</v>
      </c>
      <c r="F677" s="31" t="s">
        <v>140</v>
      </c>
      <c r="G677" s="31" t="s">
        <v>377</v>
      </c>
      <c r="H677" s="31" t="s">
        <v>324</v>
      </c>
      <c r="I677" s="31" t="s">
        <v>481</v>
      </c>
      <c r="J677" s="31" t="s">
        <v>647</v>
      </c>
      <c r="K677" s="31" t="s">
        <v>990</v>
      </c>
      <c r="L677" s="31" t="s">
        <v>162</v>
      </c>
      <c r="M677" s="31" t="s">
        <v>144</v>
      </c>
      <c r="N677" s="31" t="s">
        <v>144</v>
      </c>
      <c r="O677" s="31" t="s">
        <v>144</v>
      </c>
      <c r="P677" s="31" t="s">
        <v>144</v>
      </c>
      <c r="Q677" s="31" t="s">
        <v>1071</v>
      </c>
      <c r="R677" s="31" t="s">
        <v>312</v>
      </c>
      <c r="S677" s="31" t="s">
        <v>144</v>
      </c>
      <c r="T677" s="31" t="s">
        <v>144</v>
      </c>
      <c r="U677" s="31" t="s">
        <v>144</v>
      </c>
      <c r="V677" s="31" t="s">
        <v>144</v>
      </c>
      <c r="W677" s="31" t="s">
        <v>144</v>
      </c>
      <c r="X677" s="31" t="s">
        <v>144</v>
      </c>
      <c r="Y677" s="31"/>
      <c r="Z677" s="33">
        <v>0.91</v>
      </c>
      <c r="AA677" s="31" t="s">
        <v>144</v>
      </c>
      <c r="AB677" s="31" t="s">
        <v>144</v>
      </c>
      <c r="AC677" s="31" t="s">
        <v>144</v>
      </c>
      <c r="AD677" s="31" t="s">
        <v>144</v>
      </c>
      <c r="AE677" s="31" t="s">
        <v>144</v>
      </c>
      <c r="AF677" s="31" t="s">
        <v>144</v>
      </c>
      <c r="AG677" s="31" t="s">
        <v>144</v>
      </c>
      <c r="AH677" s="31" t="s">
        <v>190</v>
      </c>
      <c r="AI677" s="31" t="s">
        <v>144</v>
      </c>
      <c r="AJ677" s="31" t="s">
        <v>144</v>
      </c>
      <c r="AK677" s="31" t="s">
        <v>144</v>
      </c>
      <c r="AL677" s="31" t="s">
        <v>322</v>
      </c>
      <c r="AM677" s="31" t="s">
        <v>144</v>
      </c>
      <c r="AN677" s="31" t="s">
        <v>163</v>
      </c>
      <c r="AO677" s="31" t="s">
        <v>1325</v>
      </c>
      <c r="AP677" s="31" t="s">
        <v>144</v>
      </c>
      <c r="AQ677" s="31" t="s">
        <v>144</v>
      </c>
      <c r="AR677" s="31" t="s">
        <v>144</v>
      </c>
    </row>
    <row r="678" spans="5:44" ht="15" customHeight="1" x14ac:dyDescent="0.25">
      <c r="E678" s="31" t="s">
        <v>139</v>
      </c>
      <c r="F678" s="31" t="s">
        <v>140</v>
      </c>
      <c r="G678" s="31" t="s">
        <v>377</v>
      </c>
      <c r="H678" s="31" t="s">
        <v>324</v>
      </c>
      <c r="I678" s="31" t="s">
        <v>481</v>
      </c>
      <c r="J678" s="31" t="s">
        <v>647</v>
      </c>
      <c r="K678" s="31" t="s">
        <v>991</v>
      </c>
      <c r="L678" s="31" t="s">
        <v>162</v>
      </c>
      <c r="M678" s="31" t="s">
        <v>144</v>
      </c>
      <c r="N678" s="31" t="s">
        <v>144</v>
      </c>
      <c r="O678" s="31" t="s">
        <v>144</v>
      </c>
      <c r="P678" s="31" t="s">
        <v>144</v>
      </c>
      <c r="Q678" s="31" t="s">
        <v>1071</v>
      </c>
      <c r="R678" s="31" t="s">
        <v>312</v>
      </c>
      <c r="S678" s="31" t="s">
        <v>144</v>
      </c>
      <c r="T678" s="31" t="s">
        <v>144</v>
      </c>
      <c r="U678" s="31" t="s">
        <v>144</v>
      </c>
      <c r="V678" s="31" t="s">
        <v>144</v>
      </c>
      <c r="W678" s="31" t="s">
        <v>144</v>
      </c>
      <c r="X678" s="31" t="s">
        <v>144</v>
      </c>
      <c r="Y678" s="31"/>
      <c r="Z678" s="33">
        <v>0.91</v>
      </c>
      <c r="AA678" s="31" t="s">
        <v>144</v>
      </c>
      <c r="AB678" s="31" t="s">
        <v>144</v>
      </c>
      <c r="AC678" s="31" t="s">
        <v>144</v>
      </c>
      <c r="AD678" s="31" t="s">
        <v>144</v>
      </c>
      <c r="AE678" s="31" t="s">
        <v>144</v>
      </c>
      <c r="AF678" s="31" t="s">
        <v>144</v>
      </c>
      <c r="AG678" s="31" t="s">
        <v>144</v>
      </c>
      <c r="AH678" s="31" t="s">
        <v>190</v>
      </c>
      <c r="AI678" s="31" t="s">
        <v>144</v>
      </c>
      <c r="AJ678" s="31" t="s">
        <v>144</v>
      </c>
      <c r="AK678" s="31" t="s">
        <v>144</v>
      </c>
      <c r="AL678" s="31" t="s">
        <v>322</v>
      </c>
      <c r="AM678" s="31" t="s">
        <v>144</v>
      </c>
      <c r="AN678" s="31" t="s">
        <v>163</v>
      </c>
      <c r="AO678" s="31" t="s">
        <v>1325</v>
      </c>
      <c r="AP678" s="31" t="s">
        <v>144</v>
      </c>
      <c r="AQ678" s="31" t="s">
        <v>144</v>
      </c>
      <c r="AR678" s="31" t="s">
        <v>144</v>
      </c>
    </row>
    <row r="679" spans="5:44" ht="15" customHeight="1" x14ac:dyDescent="0.25">
      <c r="E679" s="31" t="s">
        <v>139</v>
      </c>
      <c r="F679" s="31" t="s">
        <v>140</v>
      </c>
      <c r="G679" s="31" t="s">
        <v>377</v>
      </c>
      <c r="H679" s="31" t="s">
        <v>324</v>
      </c>
      <c r="I679" s="31" t="s">
        <v>481</v>
      </c>
      <c r="J679" s="31" t="s">
        <v>647</v>
      </c>
      <c r="K679" s="31" t="s">
        <v>992</v>
      </c>
      <c r="L679" s="31" t="s">
        <v>162</v>
      </c>
      <c r="M679" s="31" t="s">
        <v>144</v>
      </c>
      <c r="N679" s="31" t="s">
        <v>144</v>
      </c>
      <c r="O679" s="31" t="s">
        <v>144</v>
      </c>
      <c r="P679" s="31" t="s">
        <v>144</v>
      </c>
      <c r="Q679" s="31" t="s">
        <v>1071</v>
      </c>
      <c r="R679" s="31" t="s">
        <v>312</v>
      </c>
      <c r="S679" s="31" t="s">
        <v>144</v>
      </c>
      <c r="T679" s="31" t="s">
        <v>144</v>
      </c>
      <c r="U679" s="31" t="s">
        <v>144</v>
      </c>
      <c r="V679" s="31" t="s">
        <v>144</v>
      </c>
      <c r="W679" s="31" t="s">
        <v>144</v>
      </c>
      <c r="X679" s="31" t="s">
        <v>144</v>
      </c>
      <c r="Y679" s="31"/>
      <c r="Z679" s="33">
        <v>0.91</v>
      </c>
      <c r="AA679" s="31" t="s">
        <v>144</v>
      </c>
      <c r="AB679" s="31" t="s">
        <v>144</v>
      </c>
      <c r="AC679" s="31" t="s">
        <v>144</v>
      </c>
      <c r="AD679" s="31" t="s">
        <v>144</v>
      </c>
      <c r="AE679" s="31" t="s">
        <v>144</v>
      </c>
      <c r="AF679" s="31" t="s">
        <v>144</v>
      </c>
      <c r="AG679" s="31" t="s">
        <v>144</v>
      </c>
      <c r="AH679" s="31" t="s">
        <v>190</v>
      </c>
      <c r="AI679" s="31" t="s">
        <v>144</v>
      </c>
      <c r="AJ679" s="31" t="s">
        <v>144</v>
      </c>
      <c r="AK679" s="31" t="s">
        <v>144</v>
      </c>
      <c r="AL679" s="31" t="s">
        <v>322</v>
      </c>
      <c r="AM679" s="31" t="s">
        <v>144</v>
      </c>
      <c r="AN679" s="31" t="s">
        <v>163</v>
      </c>
      <c r="AO679" s="31" t="s">
        <v>1325</v>
      </c>
      <c r="AP679" s="31" t="s">
        <v>144</v>
      </c>
      <c r="AQ679" s="31" t="s">
        <v>144</v>
      </c>
      <c r="AR679" s="31" t="s">
        <v>144</v>
      </c>
    </row>
    <row r="680" spans="5:44" ht="15" customHeight="1" x14ac:dyDescent="0.25">
      <c r="E680" s="31" t="s">
        <v>139</v>
      </c>
      <c r="F680" s="31" t="s">
        <v>140</v>
      </c>
      <c r="G680" s="31" t="s">
        <v>377</v>
      </c>
      <c r="H680" s="31" t="s">
        <v>324</v>
      </c>
      <c r="I680" s="31" t="s">
        <v>481</v>
      </c>
      <c r="J680" s="31" t="s">
        <v>647</v>
      </c>
      <c r="K680" s="31" t="s">
        <v>993</v>
      </c>
      <c r="L680" s="31" t="s">
        <v>162</v>
      </c>
      <c r="M680" s="31" t="s">
        <v>144</v>
      </c>
      <c r="N680" s="31" t="s">
        <v>144</v>
      </c>
      <c r="O680" s="31" t="s">
        <v>144</v>
      </c>
      <c r="P680" s="31" t="s">
        <v>144</v>
      </c>
      <c r="Q680" s="31" t="s">
        <v>1071</v>
      </c>
      <c r="R680" s="31" t="s">
        <v>312</v>
      </c>
      <c r="S680" s="31" t="s">
        <v>144</v>
      </c>
      <c r="T680" s="31" t="s">
        <v>144</v>
      </c>
      <c r="U680" s="31" t="s">
        <v>144</v>
      </c>
      <c r="V680" s="31" t="s">
        <v>144</v>
      </c>
      <c r="W680" s="31" t="s">
        <v>144</v>
      </c>
      <c r="X680" s="31" t="s">
        <v>144</v>
      </c>
      <c r="Y680" s="31"/>
      <c r="Z680" s="33">
        <v>0.91</v>
      </c>
      <c r="AA680" s="31" t="s">
        <v>144</v>
      </c>
      <c r="AB680" s="31" t="s">
        <v>144</v>
      </c>
      <c r="AC680" s="31" t="s">
        <v>144</v>
      </c>
      <c r="AD680" s="31" t="s">
        <v>144</v>
      </c>
      <c r="AE680" s="31" t="s">
        <v>144</v>
      </c>
      <c r="AF680" s="31" t="s">
        <v>144</v>
      </c>
      <c r="AG680" s="31" t="s">
        <v>144</v>
      </c>
      <c r="AH680" s="31" t="s">
        <v>190</v>
      </c>
      <c r="AI680" s="31" t="s">
        <v>144</v>
      </c>
      <c r="AJ680" s="31" t="s">
        <v>144</v>
      </c>
      <c r="AK680" s="31" t="s">
        <v>144</v>
      </c>
      <c r="AL680" s="31" t="s">
        <v>322</v>
      </c>
      <c r="AM680" s="31" t="s">
        <v>144</v>
      </c>
      <c r="AN680" s="31" t="s">
        <v>163</v>
      </c>
      <c r="AO680" s="31" t="s">
        <v>1325</v>
      </c>
      <c r="AP680" s="31" t="s">
        <v>144</v>
      </c>
      <c r="AQ680" s="31" t="s">
        <v>144</v>
      </c>
      <c r="AR680" s="31" t="s">
        <v>144</v>
      </c>
    </row>
    <row r="681" spans="5:44" ht="15" customHeight="1" x14ac:dyDescent="0.25">
      <c r="E681" s="31" t="s">
        <v>139</v>
      </c>
      <c r="F681" s="31" t="s">
        <v>140</v>
      </c>
      <c r="G681" s="31" t="s">
        <v>377</v>
      </c>
      <c r="H681" s="31" t="s">
        <v>324</v>
      </c>
      <c r="I681" s="31" t="s">
        <v>481</v>
      </c>
      <c r="J681" s="31" t="s">
        <v>647</v>
      </c>
      <c r="K681" s="31" t="s">
        <v>994</v>
      </c>
      <c r="L681" s="31" t="s">
        <v>162</v>
      </c>
      <c r="M681" s="31" t="s">
        <v>144</v>
      </c>
      <c r="N681" s="31" t="s">
        <v>144</v>
      </c>
      <c r="O681" s="31" t="s">
        <v>144</v>
      </c>
      <c r="P681" s="31" t="s">
        <v>144</v>
      </c>
      <c r="Q681" s="31" t="s">
        <v>1071</v>
      </c>
      <c r="R681" s="31" t="s">
        <v>312</v>
      </c>
      <c r="S681" s="31" t="s">
        <v>144</v>
      </c>
      <c r="T681" s="31" t="s">
        <v>144</v>
      </c>
      <c r="U681" s="31" t="s">
        <v>144</v>
      </c>
      <c r="V681" s="31" t="s">
        <v>144</v>
      </c>
      <c r="W681" s="31" t="s">
        <v>144</v>
      </c>
      <c r="X681" s="31" t="s">
        <v>144</v>
      </c>
      <c r="Y681" s="31"/>
      <c r="Z681" s="33">
        <v>0.91</v>
      </c>
      <c r="AA681" s="31" t="s">
        <v>144</v>
      </c>
      <c r="AB681" s="31" t="s">
        <v>144</v>
      </c>
      <c r="AC681" s="31" t="s">
        <v>144</v>
      </c>
      <c r="AD681" s="31" t="s">
        <v>144</v>
      </c>
      <c r="AE681" s="31" t="s">
        <v>144</v>
      </c>
      <c r="AF681" s="31" t="s">
        <v>144</v>
      </c>
      <c r="AG681" s="31" t="s">
        <v>144</v>
      </c>
      <c r="AH681" s="31" t="s">
        <v>190</v>
      </c>
      <c r="AI681" s="31" t="s">
        <v>144</v>
      </c>
      <c r="AJ681" s="31" t="s">
        <v>144</v>
      </c>
      <c r="AK681" s="31" t="s">
        <v>144</v>
      </c>
      <c r="AL681" s="31" t="s">
        <v>322</v>
      </c>
      <c r="AM681" s="31" t="s">
        <v>144</v>
      </c>
      <c r="AN681" s="31" t="s">
        <v>163</v>
      </c>
      <c r="AO681" s="31" t="s">
        <v>1325</v>
      </c>
      <c r="AP681" s="31" t="s">
        <v>144</v>
      </c>
      <c r="AQ681" s="31" t="s">
        <v>144</v>
      </c>
      <c r="AR681" s="31" t="s">
        <v>144</v>
      </c>
    </row>
    <row r="682" spans="5:44" ht="15" customHeight="1" x14ac:dyDescent="0.25">
      <c r="E682" s="31" t="s">
        <v>139</v>
      </c>
      <c r="F682" s="31" t="s">
        <v>140</v>
      </c>
      <c r="G682" s="31" t="s">
        <v>377</v>
      </c>
      <c r="H682" s="31" t="s">
        <v>324</v>
      </c>
      <c r="I682" s="31" t="s">
        <v>481</v>
      </c>
      <c r="J682" s="31" t="s">
        <v>647</v>
      </c>
      <c r="K682" s="31" t="s">
        <v>995</v>
      </c>
      <c r="L682" s="31" t="s">
        <v>162</v>
      </c>
      <c r="M682" s="31" t="s">
        <v>144</v>
      </c>
      <c r="N682" s="31" t="s">
        <v>144</v>
      </c>
      <c r="O682" s="31" t="s">
        <v>144</v>
      </c>
      <c r="P682" s="31" t="s">
        <v>144</v>
      </c>
      <c r="Q682" s="31" t="s">
        <v>1071</v>
      </c>
      <c r="R682" s="31" t="s">
        <v>312</v>
      </c>
      <c r="S682" s="31" t="s">
        <v>144</v>
      </c>
      <c r="T682" s="31" t="s">
        <v>144</v>
      </c>
      <c r="U682" s="31" t="s">
        <v>144</v>
      </c>
      <c r="V682" s="31" t="s">
        <v>144</v>
      </c>
      <c r="W682" s="31" t="s">
        <v>144</v>
      </c>
      <c r="X682" s="31" t="s">
        <v>144</v>
      </c>
      <c r="Y682" s="31"/>
      <c r="Z682" s="33">
        <v>0.91</v>
      </c>
      <c r="AA682" s="31" t="s">
        <v>144</v>
      </c>
      <c r="AB682" s="31" t="s">
        <v>144</v>
      </c>
      <c r="AC682" s="31" t="s">
        <v>144</v>
      </c>
      <c r="AD682" s="31" t="s">
        <v>144</v>
      </c>
      <c r="AE682" s="31" t="s">
        <v>144</v>
      </c>
      <c r="AF682" s="31" t="s">
        <v>144</v>
      </c>
      <c r="AG682" s="31" t="s">
        <v>144</v>
      </c>
      <c r="AH682" s="31" t="s">
        <v>190</v>
      </c>
      <c r="AI682" s="31" t="s">
        <v>144</v>
      </c>
      <c r="AJ682" s="31" t="s">
        <v>144</v>
      </c>
      <c r="AK682" s="31" t="s">
        <v>144</v>
      </c>
      <c r="AL682" s="31" t="s">
        <v>322</v>
      </c>
      <c r="AM682" s="31" t="s">
        <v>144</v>
      </c>
      <c r="AN682" s="31" t="s">
        <v>163</v>
      </c>
      <c r="AO682" s="31" t="s">
        <v>1325</v>
      </c>
      <c r="AP682" s="31" t="s">
        <v>144</v>
      </c>
      <c r="AQ682" s="31" t="s">
        <v>144</v>
      </c>
      <c r="AR682" s="31" t="s">
        <v>144</v>
      </c>
    </row>
    <row r="683" spans="5:44" ht="15" customHeight="1" x14ac:dyDescent="0.25">
      <c r="E683" s="31" t="s">
        <v>139</v>
      </c>
      <c r="F683" s="31" t="s">
        <v>140</v>
      </c>
      <c r="G683" s="31" t="s">
        <v>377</v>
      </c>
      <c r="H683" s="31" t="s">
        <v>324</v>
      </c>
      <c r="I683" s="31" t="s">
        <v>481</v>
      </c>
      <c r="J683" s="31" t="s">
        <v>647</v>
      </c>
      <c r="K683" s="31" t="s">
        <v>996</v>
      </c>
      <c r="L683" s="31" t="s">
        <v>162</v>
      </c>
      <c r="M683" s="31" t="s">
        <v>144</v>
      </c>
      <c r="N683" s="31" t="s">
        <v>144</v>
      </c>
      <c r="O683" s="31" t="s">
        <v>144</v>
      </c>
      <c r="P683" s="31" t="s">
        <v>144</v>
      </c>
      <c r="Q683" s="31" t="s">
        <v>1071</v>
      </c>
      <c r="R683" s="31" t="s">
        <v>312</v>
      </c>
      <c r="S683" s="31" t="s">
        <v>144</v>
      </c>
      <c r="T683" s="31" t="s">
        <v>144</v>
      </c>
      <c r="U683" s="31" t="s">
        <v>144</v>
      </c>
      <c r="V683" s="31" t="s">
        <v>144</v>
      </c>
      <c r="W683" s="31" t="s">
        <v>144</v>
      </c>
      <c r="X683" s="31" t="s">
        <v>144</v>
      </c>
      <c r="Y683" s="31"/>
      <c r="Z683" s="33">
        <v>0.91</v>
      </c>
      <c r="AA683" s="31" t="s">
        <v>144</v>
      </c>
      <c r="AB683" s="31" t="s">
        <v>144</v>
      </c>
      <c r="AC683" s="31" t="s">
        <v>144</v>
      </c>
      <c r="AD683" s="31" t="s">
        <v>144</v>
      </c>
      <c r="AE683" s="31" t="s">
        <v>144</v>
      </c>
      <c r="AF683" s="31" t="s">
        <v>144</v>
      </c>
      <c r="AG683" s="31" t="s">
        <v>144</v>
      </c>
      <c r="AH683" s="31" t="s">
        <v>190</v>
      </c>
      <c r="AI683" s="31" t="s">
        <v>144</v>
      </c>
      <c r="AJ683" s="31" t="s">
        <v>144</v>
      </c>
      <c r="AK683" s="31" t="s">
        <v>144</v>
      </c>
      <c r="AL683" s="31" t="s">
        <v>322</v>
      </c>
      <c r="AM683" s="31" t="s">
        <v>144</v>
      </c>
      <c r="AN683" s="31" t="s">
        <v>163</v>
      </c>
      <c r="AO683" s="31" t="s">
        <v>1325</v>
      </c>
      <c r="AP683" s="31" t="s">
        <v>144</v>
      </c>
      <c r="AQ683" s="31" t="s">
        <v>144</v>
      </c>
      <c r="AR683" s="31" t="s">
        <v>144</v>
      </c>
    </row>
    <row r="684" spans="5:44" ht="15" customHeight="1" x14ac:dyDescent="0.25">
      <c r="E684" s="31" t="s">
        <v>139</v>
      </c>
      <c r="F684" s="31" t="s">
        <v>140</v>
      </c>
      <c r="G684" s="31" t="s">
        <v>377</v>
      </c>
      <c r="H684" s="31" t="s">
        <v>324</v>
      </c>
      <c r="I684" s="31" t="s">
        <v>481</v>
      </c>
      <c r="J684" s="31" t="s">
        <v>647</v>
      </c>
      <c r="K684" s="31" t="s">
        <v>997</v>
      </c>
      <c r="L684" s="31" t="s">
        <v>162</v>
      </c>
      <c r="M684" s="31" t="s">
        <v>144</v>
      </c>
      <c r="N684" s="31" t="s">
        <v>144</v>
      </c>
      <c r="O684" s="31" t="s">
        <v>144</v>
      </c>
      <c r="P684" s="31" t="s">
        <v>144</v>
      </c>
      <c r="Q684" s="31" t="s">
        <v>1071</v>
      </c>
      <c r="R684" s="31" t="s">
        <v>312</v>
      </c>
      <c r="S684" s="31" t="s">
        <v>144</v>
      </c>
      <c r="T684" s="31" t="s">
        <v>144</v>
      </c>
      <c r="U684" s="31" t="s">
        <v>144</v>
      </c>
      <c r="V684" s="31" t="s">
        <v>144</v>
      </c>
      <c r="W684" s="31" t="s">
        <v>144</v>
      </c>
      <c r="X684" s="31" t="s">
        <v>144</v>
      </c>
      <c r="Y684" s="31"/>
      <c r="Z684" s="33">
        <v>0.91</v>
      </c>
      <c r="AA684" s="31" t="s">
        <v>144</v>
      </c>
      <c r="AB684" s="31" t="s">
        <v>144</v>
      </c>
      <c r="AC684" s="31" t="s">
        <v>144</v>
      </c>
      <c r="AD684" s="31" t="s">
        <v>144</v>
      </c>
      <c r="AE684" s="31" t="s">
        <v>144</v>
      </c>
      <c r="AF684" s="31" t="s">
        <v>144</v>
      </c>
      <c r="AG684" s="31" t="s">
        <v>144</v>
      </c>
      <c r="AH684" s="31" t="s">
        <v>190</v>
      </c>
      <c r="AI684" s="31" t="s">
        <v>144</v>
      </c>
      <c r="AJ684" s="31" t="s">
        <v>144</v>
      </c>
      <c r="AK684" s="31" t="s">
        <v>144</v>
      </c>
      <c r="AL684" s="31" t="s">
        <v>322</v>
      </c>
      <c r="AM684" s="31" t="s">
        <v>144</v>
      </c>
      <c r="AN684" s="31" t="s">
        <v>163</v>
      </c>
      <c r="AO684" s="31" t="s">
        <v>1325</v>
      </c>
      <c r="AP684" s="31" t="s">
        <v>144</v>
      </c>
      <c r="AQ684" s="31" t="s">
        <v>144</v>
      </c>
      <c r="AR684" s="31" t="s">
        <v>144</v>
      </c>
    </row>
    <row r="685" spans="5:44" ht="15" customHeight="1" x14ac:dyDescent="0.25">
      <c r="E685" s="31" t="s">
        <v>139</v>
      </c>
      <c r="F685" s="31" t="s">
        <v>140</v>
      </c>
      <c r="G685" s="31" t="s">
        <v>377</v>
      </c>
      <c r="H685" s="31" t="s">
        <v>324</v>
      </c>
      <c r="I685" s="31" t="s">
        <v>481</v>
      </c>
      <c r="J685" s="31" t="s">
        <v>647</v>
      </c>
      <c r="K685" s="31" t="s">
        <v>998</v>
      </c>
      <c r="L685" s="31" t="s">
        <v>162</v>
      </c>
      <c r="M685" s="31" t="s">
        <v>144</v>
      </c>
      <c r="N685" s="31" t="s">
        <v>144</v>
      </c>
      <c r="O685" s="31" t="s">
        <v>144</v>
      </c>
      <c r="P685" s="31" t="s">
        <v>144</v>
      </c>
      <c r="Q685" s="31" t="s">
        <v>1071</v>
      </c>
      <c r="R685" s="31" t="s">
        <v>312</v>
      </c>
      <c r="S685" s="31" t="s">
        <v>144</v>
      </c>
      <c r="T685" s="31" t="s">
        <v>144</v>
      </c>
      <c r="U685" s="31" t="s">
        <v>144</v>
      </c>
      <c r="V685" s="31" t="s">
        <v>144</v>
      </c>
      <c r="W685" s="31" t="s">
        <v>144</v>
      </c>
      <c r="X685" s="31" t="s">
        <v>144</v>
      </c>
      <c r="Y685" s="31"/>
      <c r="Z685" s="33">
        <v>0.91</v>
      </c>
      <c r="AA685" s="31" t="s">
        <v>144</v>
      </c>
      <c r="AB685" s="31" t="s">
        <v>144</v>
      </c>
      <c r="AC685" s="31" t="s">
        <v>144</v>
      </c>
      <c r="AD685" s="31" t="s">
        <v>144</v>
      </c>
      <c r="AE685" s="31" t="s">
        <v>144</v>
      </c>
      <c r="AF685" s="31" t="s">
        <v>144</v>
      </c>
      <c r="AG685" s="31" t="s">
        <v>144</v>
      </c>
      <c r="AH685" s="31" t="s">
        <v>190</v>
      </c>
      <c r="AI685" s="31" t="s">
        <v>144</v>
      </c>
      <c r="AJ685" s="31" t="s">
        <v>144</v>
      </c>
      <c r="AK685" s="31" t="s">
        <v>144</v>
      </c>
      <c r="AL685" s="31" t="s">
        <v>322</v>
      </c>
      <c r="AM685" s="31" t="s">
        <v>144</v>
      </c>
      <c r="AN685" s="31" t="s">
        <v>163</v>
      </c>
      <c r="AO685" s="31" t="s">
        <v>1325</v>
      </c>
      <c r="AP685" s="31" t="s">
        <v>144</v>
      </c>
      <c r="AQ685" s="31" t="s">
        <v>144</v>
      </c>
      <c r="AR685" s="31" t="s">
        <v>144</v>
      </c>
    </row>
    <row r="686" spans="5:44" ht="15" customHeight="1" x14ac:dyDescent="0.25"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3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</row>
    <row r="687" spans="5:44" ht="15" customHeight="1" x14ac:dyDescent="0.25"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3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</row>
    <row r="688" spans="5:44" ht="15" customHeight="1" x14ac:dyDescent="0.25">
      <c r="E688" s="31" t="s">
        <v>139</v>
      </c>
      <c r="F688" s="31" t="s">
        <v>140</v>
      </c>
      <c r="G688" s="31" t="s">
        <v>377</v>
      </c>
      <c r="H688" s="31" t="s">
        <v>324</v>
      </c>
      <c r="I688" s="31" t="s">
        <v>481</v>
      </c>
      <c r="J688" s="31" t="s">
        <v>699</v>
      </c>
      <c r="K688" s="31" t="s">
        <v>999</v>
      </c>
      <c r="L688" s="31" t="s">
        <v>162</v>
      </c>
      <c r="M688" s="31" t="s">
        <v>144</v>
      </c>
      <c r="N688" s="31" t="s">
        <v>144</v>
      </c>
      <c r="O688" s="31" t="s">
        <v>144</v>
      </c>
      <c r="P688" s="31" t="s">
        <v>144</v>
      </c>
      <c r="Q688" s="31" t="s">
        <v>1071</v>
      </c>
      <c r="R688" s="31" t="s">
        <v>312</v>
      </c>
      <c r="S688" s="31" t="s">
        <v>144</v>
      </c>
      <c r="T688" s="31" t="s">
        <v>144</v>
      </c>
      <c r="U688" s="31" t="s">
        <v>144</v>
      </c>
      <c r="V688" s="31" t="s">
        <v>144</v>
      </c>
      <c r="W688" s="31" t="s">
        <v>144</v>
      </c>
      <c r="X688" s="31" t="s">
        <v>144</v>
      </c>
      <c r="Y688" s="31"/>
      <c r="Z688" s="33">
        <v>0.91</v>
      </c>
      <c r="AA688" s="31" t="s">
        <v>144</v>
      </c>
      <c r="AB688" s="31" t="s">
        <v>144</v>
      </c>
      <c r="AC688" s="31" t="s">
        <v>144</v>
      </c>
      <c r="AD688" s="31" t="s">
        <v>144</v>
      </c>
      <c r="AE688" s="31" t="s">
        <v>144</v>
      </c>
      <c r="AF688" s="31" t="s">
        <v>144</v>
      </c>
      <c r="AG688" s="31" t="s">
        <v>144</v>
      </c>
      <c r="AH688" s="31" t="s">
        <v>190</v>
      </c>
      <c r="AI688" s="31" t="s">
        <v>144</v>
      </c>
      <c r="AJ688" s="31" t="s">
        <v>144</v>
      </c>
      <c r="AK688" s="31" t="s">
        <v>144</v>
      </c>
      <c r="AL688" s="31" t="s">
        <v>322</v>
      </c>
      <c r="AM688" s="31" t="s">
        <v>144</v>
      </c>
      <c r="AN688" s="31" t="s">
        <v>163</v>
      </c>
      <c r="AO688" s="31" t="s">
        <v>1325</v>
      </c>
      <c r="AP688" s="31" t="s">
        <v>144</v>
      </c>
      <c r="AQ688" s="31" t="s">
        <v>144</v>
      </c>
      <c r="AR688" s="31" t="s">
        <v>144</v>
      </c>
    </row>
    <row r="689" spans="5:44" ht="15" customHeight="1" x14ac:dyDescent="0.25">
      <c r="E689" s="31" t="s">
        <v>139</v>
      </c>
      <c r="F689" s="31" t="s">
        <v>140</v>
      </c>
      <c r="G689" s="31" t="s">
        <v>377</v>
      </c>
      <c r="H689" s="31" t="s">
        <v>324</v>
      </c>
      <c r="I689" s="31" t="s">
        <v>481</v>
      </c>
      <c r="J689" s="31" t="s">
        <v>699</v>
      </c>
      <c r="K689" s="31" t="s">
        <v>1000</v>
      </c>
      <c r="L689" s="31" t="s">
        <v>162</v>
      </c>
      <c r="M689" s="31" t="s">
        <v>144</v>
      </c>
      <c r="N689" s="31" t="s">
        <v>144</v>
      </c>
      <c r="O689" s="31" t="s">
        <v>144</v>
      </c>
      <c r="P689" s="31" t="s">
        <v>144</v>
      </c>
      <c r="Q689" s="31" t="s">
        <v>1071</v>
      </c>
      <c r="R689" s="31" t="s">
        <v>312</v>
      </c>
      <c r="S689" s="31" t="s">
        <v>144</v>
      </c>
      <c r="T689" s="31" t="s">
        <v>144</v>
      </c>
      <c r="U689" s="31" t="s">
        <v>144</v>
      </c>
      <c r="V689" s="31" t="s">
        <v>144</v>
      </c>
      <c r="W689" s="31" t="s">
        <v>144</v>
      </c>
      <c r="X689" s="31" t="s">
        <v>144</v>
      </c>
      <c r="Y689" s="31"/>
      <c r="Z689" s="33">
        <v>0.91</v>
      </c>
      <c r="AA689" s="31" t="s">
        <v>144</v>
      </c>
      <c r="AB689" s="31" t="s">
        <v>144</v>
      </c>
      <c r="AC689" s="31" t="s">
        <v>144</v>
      </c>
      <c r="AD689" s="31" t="s">
        <v>144</v>
      </c>
      <c r="AE689" s="31" t="s">
        <v>144</v>
      </c>
      <c r="AF689" s="31" t="s">
        <v>144</v>
      </c>
      <c r="AG689" s="31" t="s">
        <v>144</v>
      </c>
      <c r="AH689" s="31" t="s">
        <v>190</v>
      </c>
      <c r="AI689" s="31" t="s">
        <v>144</v>
      </c>
      <c r="AJ689" s="31" t="s">
        <v>144</v>
      </c>
      <c r="AK689" s="31" t="s">
        <v>144</v>
      </c>
      <c r="AL689" s="31" t="s">
        <v>322</v>
      </c>
      <c r="AM689" s="31" t="s">
        <v>144</v>
      </c>
      <c r="AN689" s="31" t="s">
        <v>163</v>
      </c>
      <c r="AO689" s="31" t="s">
        <v>1325</v>
      </c>
      <c r="AP689" s="31" t="s">
        <v>144</v>
      </c>
      <c r="AQ689" s="31" t="s">
        <v>144</v>
      </c>
      <c r="AR689" s="31" t="s">
        <v>144</v>
      </c>
    </row>
    <row r="690" spans="5:44" ht="15" customHeight="1" x14ac:dyDescent="0.25">
      <c r="E690" s="31" t="s">
        <v>139</v>
      </c>
      <c r="F690" s="31" t="s">
        <v>140</v>
      </c>
      <c r="G690" s="31" t="s">
        <v>377</v>
      </c>
      <c r="H690" s="31" t="s">
        <v>324</v>
      </c>
      <c r="I690" s="31" t="s">
        <v>481</v>
      </c>
      <c r="J690" s="31" t="s">
        <v>699</v>
      </c>
      <c r="K690" s="31" t="s">
        <v>1001</v>
      </c>
      <c r="L690" s="31" t="s">
        <v>162</v>
      </c>
      <c r="M690" s="31" t="s">
        <v>144</v>
      </c>
      <c r="N690" s="31" t="s">
        <v>144</v>
      </c>
      <c r="O690" s="31" t="s">
        <v>144</v>
      </c>
      <c r="P690" s="31" t="s">
        <v>144</v>
      </c>
      <c r="Q690" s="31" t="s">
        <v>1071</v>
      </c>
      <c r="R690" s="31" t="s">
        <v>312</v>
      </c>
      <c r="S690" s="31" t="s">
        <v>144</v>
      </c>
      <c r="T690" s="31" t="s">
        <v>144</v>
      </c>
      <c r="U690" s="31" t="s">
        <v>144</v>
      </c>
      <c r="V690" s="31" t="s">
        <v>144</v>
      </c>
      <c r="W690" s="31" t="s">
        <v>144</v>
      </c>
      <c r="X690" s="31" t="s">
        <v>144</v>
      </c>
      <c r="Y690" s="31"/>
      <c r="Z690" s="33">
        <v>0.91</v>
      </c>
      <c r="AA690" s="31" t="s">
        <v>144</v>
      </c>
      <c r="AB690" s="31" t="s">
        <v>144</v>
      </c>
      <c r="AC690" s="31" t="s">
        <v>144</v>
      </c>
      <c r="AD690" s="31" t="s">
        <v>144</v>
      </c>
      <c r="AE690" s="31" t="s">
        <v>144</v>
      </c>
      <c r="AF690" s="31" t="s">
        <v>144</v>
      </c>
      <c r="AG690" s="31" t="s">
        <v>144</v>
      </c>
      <c r="AH690" s="31" t="s">
        <v>190</v>
      </c>
      <c r="AI690" s="31" t="s">
        <v>144</v>
      </c>
      <c r="AJ690" s="31" t="s">
        <v>144</v>
      </c>
      <c r="AK690" s="31" t="s">
        <v>144</v>
      </c>
      <c r="AL690" s="31" t="s">
        <v>322</v>
      </c>
      <c r="AM690" s="31" t="s">
        <v>144</v>
      </c>
      <c r="AN690" s="31" t="s">
        <v>163</v>
      </c>
      <c r="AO690" s="31" t="s">
        <v>1325</v>
      </c>
      <c r="AP690" s="31" t="s">
        <v>144</v>
      </c>
      <c r="AQ690" s="31" t="s">
        <v>144</v>
      </c>
      <c r="AR690" s="31" t="s">
        <v>144</v>
      </c>
    </row>
    <row r="691" spans="5:44" ht="15" customHeight="1" x14ac:dyDescent="0.25">
      <c r="E691" s="31" t="s">
        <v>139</v>
      </c>
      <c r="F691" s="31" t="s">
        <v>140</v>
      </c>
      <c r="G691" s="31" t="s">
        <v>377</v>
      </c>
      <c r="H691" s="31" t="s">
        <v>324</v>
      </c>
      <c r="I691" s="31" t="s">
        <v>481</v>
      </c>
      <c r="J691" s="31" t="s">
        <v>699</v>
      </c>
      <c r="K691" s="31" t="s">
        <v>1002</v>
      </c>
      <c r="L691" s="31" t="s">
        <v>162</v>
      </c>
      <c r="M691" s="31" t="s">
        <v>144</v>
      </c>
      <c r="N691" s="31" t="s">
        <v>144</v>
      </c>
      <c r="O691" s="31" t="s">
        <v>144</v>
      </c>
      <c r="P691" s="31" t="s">
        <v>144</v>
      </c>
      <c r="Q691" s="31" t="s">
        <v>1071</v>
      </c>
      <c r="R691" s="31" t="s">
        <v>312</v>
      </c>
      <c r="S691" s="31" t="s">
        <v>144</v>
      </c>
      <c r="T691" s="31" t="s">
        <v>144</v>
      </c>
      <c r="U691" s="31" t="s">
        <v>144</v>
      </c>
      <c r="V691" s="31" t="s">
        <v>144</v>
      </c>
      <c r="W691" s="31" t="s">
        <v>144</v>
      </c>
      <c r="X691" s="31" t="s">
        <v>144</v>
      </c>
      <c r="Y691" s="31"/>
      <c r="Z691" s="33">
        <v>0.91</v>
      </c>
      <c r="AA691" s="31" t="s">
        <v>144</v>
      </c>
      <c r="AB691" s="31" t="s">
        <v>144</v>
      </c>
      <c r="AC691" s="31" t="s">
        <v>144</v>
      </c>
      <c r="AD691" s="31" t="s">
        <v>144</v>
      </c>
      <c r="AE691" s="31" t="s">
        <v>144</v>
      </c>
      <c r="AF691" s="31" t="s">
        <v>144</v>
      </c>
      <c r="AG691" s="31" t="s">
        <v>144</v>
      </c>
      <c r="AH691" s="31" t="s">
        <v>190</v>
      </c>
      <c r="AI691" s="31" t="s">
        <v>144</v>
      </c>
      <c r="AJ691" s="31" t="s">
        <v>144</v>
      </c>
      <c r="AK691" s="31" t="s">
        <v>144</v>
      </c>
      <c r="AL691" s="31" t="s">
        <v>322</v>
      </c>
      <c r="AM691" s="31" t="s">
        <v>144</v>
      </c>
      <c r="AN691" s="31" t="s">
        <v>163</v>
      </c>
      <c r="AO691" s="31" t="s">
        <v>1325</v>
      </c>
      <c r="AP691" s="31" t="s">
        <v>144</v>
      </c>
      <c r="AQ691" s="31" t="s">
        <v>144</v>
      </c>
      <c r="AR691" s="31" t="s">
        <v>144</v>
      </c>
    </row>
    <row r="692" spans="5:44" ht="15" customHeight="1" x14ac:dyDescent="0.25">
      <c r="E692" s="31" t="s">
        <v>139</v>
      </c>
      <c r="F692" s="31" t="s">
        <v>140</v>
      </c>
      <c r="G692" s="31" t="s">
        <v>377</v>
      </c>
      <c r="H692" s="31" t="s">
        <v>324</v>
      </c>
      <c r="I692" s="31" t="s">
        <v>481</v>
      </c>
      <c r="J692" s="31" t="s">
        <v>699</v>
      </c>
      <c r="K692" s="31" t="s">
        <v>1003</v>
      </c>
      <c r="L692" s="31" t="s">
        <v>162</v>
      </c>
      <c r="M692" s="31" t="s">
        <v>144</v>
      </c>
      <c r="N692" s="31" t="s">
        <v>144</v>
      </c>
      <c r="O692" s="31" t="s">
        <v>144</v>
      </c>
      <c r="P692" s="31" t="s">
        <v>144</v>
      </c>
      <c r="Q692" s="31" t="s">
        <v>1071</v>
      </c>
      <c r="R692" s="31" t="s">
        <v>312</v>
      </c>
      <c r="S692" s="31" t="s">
        <v>144</v>
      </c>
      <c r="T692" s="31" t="s">
        <v>144</v>
      </c>
      <c r="U692" s="31" t="s">
        <v>144</v>
      </c>
      <c r="V692" s="31" t="s">
        <v>144</v>
      </c>
      <c r="W692" s="31" t="s">
        <v>144</v>
      </c>
      <c r="X692" s="31" t="s">
        <v>144</v>
      </c>
      <c r="Y692" s="31"/>
      <c r="Z692" s="33">
        <v>0.91</v>
      </c>
      <c r="AA692" s="31" t="s">
        <v>144</v>
      </c>
      <c r="AB692" s="31" t="s">
        <v>144</v>
      </c>
      <c r="AC692" s="31" t="s">
        <v>144</v>
      </c>
      <c r="AD692" s="31" t="s">
        <v>144</v>
      </c>
      <c r="AE692" s="31" t="s">
        <v>144</v>
      </c>
      <c r="AF692" s="31" t="s">
        <v>144</v>
      </c>
      <c r="AG692" s="31" t="s">
        <v>144</v>
      </c>
      <c r="AH692" s="31" t="s">
        <v>190</v>
      </c>
      <c r="AI692" s="31" t="s">
        <v>144</v>
      </c>
      <c r="AJ692" s="31" t="s">
        <v>144</v>
      </c>
      <c r="AK692" s="31" t="s">
        <v>144</v>
      </c>
      <c r="AL692" s="31" t="s">
        <v>322</v>
      </c>
      <c r="AM692" s="31" t="s">
        <v>144</v>
      </c>
      <c r="AN692" s="31" t="s">
        <v>163</v>
      </c>
      <c r="AO692" s="31" t="s">
        <v>1325</v>
      </c>
      <c r="AP692" s="31" t="s">
        <v>144</v>
      </c>
      <c r="AQ692" s="31" t="s">
        <v>144</v>
      </c>
      <c r="AR692" s="31" t="s">
        <v>144</v>
      </c>
    </row>
    <row r="693" spans="5:44" ht="15" customHeight="1" x14ac:dyDescent="0.25">
      <c r="E693" s="31" t="s">
        <v>139</v>
      </c>
      <c r="F693" s="31" t="s">
        <v>140</v>
      </c>
      <c r="G693" s="31" t="s">
        <v>377</v>
      </c>
      <c r="H693" s="31" t="s">
        <v>324</v>
      </c>
      <c r="I693" s="31" t="s">
        <v>481</v>
      </c>
      <c r="J693" s="31" t="s">
        <v>699</v>
      </c>
      <c r="K693" s="31" t="s">
        <v>1004</v>
      </c>
      <c r="L693" s="31" t="s">
        <v>162</v>
      </c>
      <c r="M693" s="31" t="s">
        <v>144</v>
      </c>
      <c r="N693" s="31" t="s">
        <v>144</v>
      </c>
      <c r="O693" s="31" t="s">
        <v>144</v>
      </c>
      <c r="P693" s="31" t="s">
        <v>144</v>
      </c>
      <c r="Q693" s="31" t="s">
        <v>1071</v>
      </c>
      <c r="R693" s="31" t="s">
        <v>312</v>
      </c>
      <c r="S693" s="31" t="s">
        <v>144</v>
      </c>
      <c r="T693" s="31" t="s">
        <v>144</v>
      </c>
      <c r="U693" s="31" t="s">
        <v>144</v>
      </c>
      <c r="V693" s="31" t="s">
        <v>144</v>
      </c>
      <c r="W693" s="31" t="s">
        <v>144</v>
      </c>
      <c r="X693" s="31" t="s">
        <v>144</v>
      </c>
      <c r="Y693" s="31"/>
      <c r="Z693" s="33">
        <v>0.91</v>
      </c>
      <c r="AA693" s="31" t="s">
        <v>144</v>
      </c>
      <c r="AB693" s="31" t="s">
        <v>144</v>
      </c>
      <c r="AC693" s="31" t="s">
        <v>144</v>
      </c>
      <c r="AD693" s="31" t="s">
        <v>144</v>
      </c>
      <c r="AE693" s="31" t="s">
        <v>144</v>
      </c>
      <c r="AF693" s="31" t="s">
        <v>144</v>
      </c>
      <c r="AG693" s="31" t="s">
        <v>144</v>
      </c>
      <c r="AH693" s="31" t="s">
        <v>190</v>
      </c>
      <c r="AI693" s="31" t="s">
        <v>144</v>
      </c>
      <c r="AJ693" s="31" t="s">
        <v>144</v>
      </c>
      <c r="AK693" s="31" t="s">
        <v>144</v>
      </c>
      <c r="AL693" s="31" t="s">
        <v>322</v>
      </c>
      <c r="AM693" s="31" t="s">
        <v>144</v>
      </c>
      <c r="AN693" s="31" t="s">
        <v>163</v>
      </c>
      <c r="AO693" s="31" t="s">
        <v>1325</v>
      </c>
      <c r="AP693" s="31" t="s">
        <v>144</v>
      </c>
      <c r="AQ693" s="31" t="s">
        <v>144</v>
      </c>
      <c r="AR693" s="31" t="s">
        <v>144</v>
      </c>
    </row>
    <row r="694" spans="5:44" ht="15" customHeight="1" x14ac:dyDescent="0.25">
      <c r="E694" s="31" t="s">
        <v>139</v>
      </c>
      <c r="F694" s="31" t="s">
        <v>140</v>
      </c>
      <c r="G694" s="31" t="s">
        <v>377</v>
      </c>
      <c r="H694" s="31" t="s">
        <v>324</v>
      </c>
      <c r="I694" s="31" t="s">
        <v>481</v>
      </c>
      <c r="J694" s="31" t="s">
        <v>699</v>
      </c>
      <c r="K694" s="31" t="s">
        <v>1005</v>
      </c>
      <c r="L694" s="31" t="s">
        <v>162</v>
      </c>
      <c r="M694" s="31" t="s">
        <v>144</v>
      </c>
      <c r="N694" s="31" t="s">
        <v>144</v>
      </c>
      <c r="O694" s="31" t="s">
        <v>144</v>
      </c>
      <c r="P694" s="31" t="s">
        <v>144</v>
      </c>
      <c r="Q694" s="31" t="s">
        <v>1071</v>
      </c>
      <c r="R694" s="31" t="s">
        <v>312</v>
      </c>
      <c r="S694" s="31" t="s">
        <v>144</v>
      </c>
      <c r="T694" s="31" t="s">
        <v>144</v>
      </c>
      <c r="U694" s="31" t="s">
        <v>144</v>
      </c>
      <c r="V694" s="31" t="s">
        <v>144</v>
      </c>
      <c r="W694" s="31" t="s">
        <v>144</v>
      </c>
      <c r="X694" s="31" t="s">
        <v>144</v>
      </c>
      <c r="Y694" s="31"/>
      <c r="Z694" s="33">
        <v>0.91</v>
      </c>
      <c r="AA694" s="31" t="s">
        <v>144</v>
      </c>
      <c r="AB694" s="31" t="s">
        <v>144</v>
      </c>
      <c r="AC694" s="31" t="s">
        <v>144</v>
      </c>
      <c r="AD694" s="31" t="s">
        <v>144</v>
      </c>
      <c r="AE694" s="31" t="s">
        <v>144</v>
      </c>
      <c r="AF694" s="31" t="s">
        <v>144</v>
      </c>
      <c r="AG694" s="31" t="s">
        <v>144</v>
      </c>
      <c r="AH694" s="31" t="s">
        <v>190</v>
      </c>
      <c r="AI694" s="31" t="s">
        <v>144</v>
      </c>
      <c r="AJ694" s="31" t="s">
        <v>144</v>
      </c>
      <c r="AK694" s="31" t="s">
        <v>144</v>
      </c>
      <c r="AL694" s="31" t="s">
        <v>322</v>
      </c>
      <c r="AM694" s="31" t="s">
        <v>144</v>
      </c>
      <c r="AN694" s="31" t="s">
        <v>163</v>
      </c>
      <c r="AO694" s="31" t="s">
        <v>1325</v>
      </c>
      <c r="AP694" s="31" t="s">
        <v>144</v>
      </c>
      <c r="AQ694" s="31" t="s">
        <v>144</v>
      </c>
      <c r="AR694" s="31" t="s">
        <v>144</v>
      </c>
    </row>
    <row r="695" spans="5:44" ht="15" customHeight="1" x14ac:dyDescent="0.25">
      <c r="E695" s="31" t="s">
        <v>139</v>
      </c>
      <c r="F695" s="31" t="s">
        <v>140</v>
      </c>
      <c r="G695" s="31" t="s">
        <v>377</v>
      </c>
      <c r="H695" s="31" t="s">
        <v>324</v>
      </c>
      <c r="I695" s="31" t="s">
        <v>481</v>
      </c>
      <c r="J695" s="31" t="s">
        <v>699</v>
      </c>
      <c r="K695" s="31" t="s">
        <v>1006</v>
      </c>
      <c r="L695" s="31" t="s">
        <v>162</v>
      </c>
      <c r="M695" s="31" t="s">
        <v>144</v>
      </c>
      <c r="N695" s="31" t="s">
        <v>144</v>
      </c>
      <c r="O695" s="31" t="s">
        <v>144</v>
      </c>
      <c r="P695" s="31" t="s">
        <v>144</v>
      </c>
      <c r="Q695" s="31" t="s">
        <v>1071</v>
      </c>
      <c r="R695" s="31" t="s">
        <v>312</v>
      </c>
      <c r="S695" s="31" t="s">
        <v>144</v>
      </c>
      <c r="T695" s="31" t="s">
        <v>144</v>
      </c>
      <c r="U695" s="31" t="s">
        <v>144</v>
      </c>
      <c r="V695" s="31" t="s">
        <v>144</v>
      </c>
      <c r="W695" s="31" t="s">
        <v>144</v>
      </c>
      <c r="X695" s="31" t="s">
        <v>144</v>
      </c>
      <c r="Y695" s="31"/>
      <c r="Z695" s="33">
        <v>0.91</v>
      </c>
      <c r="AA695" s="31" t="s">
        <v>144</v>
      </c>
      <c r="AB695" s="31" t="s">
        <v>144</v>
      </c>
      <c r="AC695" s="31" t="s">
        <v>144</v>
      </c>
      <c r="AD695" s="31" t="s">
        <v>144</v>
      </c>
      <c r="AE695" s="31" t="s">
        <v>144</v>
      </c>
      <c r="AF695" s="31" t="s">
        <v>144</v>
      </c>
      <c r="AG695" s="31" t="s">
        <v>144</v>
      </c>
      <c r="AH695" s="31" t="s">
        <v>190</v>
      </c>
      <c r="AI695" s="31" t="s">
        <v>144</v>
      </c>
      <c r="AJ695" s="31" t="s">
        <v>144</v>
      </c>
      <c r="AK695" s="31" t="s">
        <v>144</v>
      </c>
      <c r="AL695" s="31" t="s">
        <v>322</v>
      </c>
      <c r="AM695" s="31" t="s">
        <v>144</v>
      </c>
      <c r="AN695" s="31" t="s">
        <v>163</v>
      </c>
      <c r="AO695" s="31" t="s">
        <v>1325</v>
      </c>
      <c r="AP695" s="31" t="s">
        <v>144</v>
      </c>
      <c r="AQ695" s="31" t="s">
        <v>144</v>
      </c>
      <c r="AR695" s="31" t="s">
        <v>144</v>
      </c>
    </row>
    <row r="696" spans="5:44" ht="15" customHeight="1" x14ac:dyDescent="0.25">
      <c r="E696" s="31" t="s">
        <v>139</v>
      </c>
      <c r="F696" s="31" t="s">
        <v>140</v>
      </c>
      <c r="G696" s="31" t="s">
        <v>377</v>
      </c>
      <c r="H696" s="31" t="s">
        <v>324</v>
      </c>
      <c r="I696" s="31" t="s">
        <v>481</v>
      </c>
      <c r="J696" s="31" t="s">
        <v>699</v>
      </c>
      <c r="K696" s="31" t="s">
        <v>1007</v>
      </c>
      <c r="L696" s="31" t="s">
        <v>162</v>
      </c>
      <c r="M696" s="31" t="s">
        <v>144</v>
      </c>
      <c r="N696" s="31" t="s">
        <v>144</v>
      </c>
      <c r="O696" s="31" t="s">
        <v>144</v>
      </c>
      <c r="P696" s="31" t="s">
        <v>144</v>
      </c>
      <c r="Q696" s="31" t="s">
        <v>1071</v>
      </c>
      <c r="R696" s="31" t="s">
        <v>312</v>
      </c>
      <c r="S696" s="31" t="s">
        <v>144</v>
      </c>
      <c r="T696" s="31" t="s">
        <v>144</v>
      </c>
      <c r="U696" s="31" t="s">
        <v>144</v>
      </c>
      <c r="V696" s="31" t="s">
        <v>144</v>
      </c>
      <c r="W696" s="31" t="s">
        <v>144</v>
      </c>
      <c r="X696" s="31" t="s">
        <v>144</v>
      </c>
      <c r="Y696" s="31"/>
      <c r="Z696" s="33">
        <v>0.91</v>
      </c>
      <c r="AA696" s="31" t="s">
        <v>144</v>
      </c>
      <c r="AB696" s="31" t="s">
        <v>144</v>
      </c>
      <c r="AC696" s="31" t="s">
        <v>144</v>
      </c>
      <c r="AD696" s="31" t="s">
        <v>144</v>
      </c>
      <c r="AE696" s="31" t="s">
        <v>144</v>
      </c>
      <c r="AF696" s="31" t="s">
        <v>144</v>
      </c>
      <c r="AG696" s="31" t="s">
        <v>144</v>
      </c>
      <c r="AH696" s="31" t="s">
        <v>190</v>
      </c>
      <c r="AI696" s="31" t="s">
        <v>144</v>
      </c>
      <c r="AJ696" s="31" t="s">
        <v>144</v>
      </c>
      <c r="AK696" s="31" t="s">
        <v>144</v>
      </c>
      <c r="AL696" s="31" t="s">
        <v>322</v>
      </c>
      <c r="AM696" s="31" t="s">
        <v>144</v>
      </c>
      <c r="AN696" s="31" t="s">
        <v>163</v>
      </c>
      <c r="AO696" s="31" t="s">
        <v>1325</v>
      </c>
      <c r="AP696" s="31" t="s">
        <v>144</v>
      </c>
      <c r="AQ696" s="31" t="s">
        <v>144</v>
      </c>
      <c r="AR696" s="31" t="s">
        <v>144</v>
      </c>
    </row>
    <row r="697" spans="5:44" ht="15" customHeight="1" x14ac:dyDescent="0.25">
      <c r="E697" s="31" t="s">
        <v>139</v>
      </c>
      <c r="F697" s="31" t="s">
        <v>140</v>
      </c>
      <c r="G697" s="31" t="s">
        <v>377</v>
      </c>
      <c r="H697" s="31" t="s">
        <v>324</v>
      </c>
      <c r="I697" s="31" t="s">
        <v>481</v>
      </c>
      <c r="J697" s="31" t="s">
        <v>699</v>
      </c>
      <c r="K697" s="31" t="s">
        <v>1008</v>
      </c>
      <c r="L697" s="31" t="s">
        <v>162</v>
      </c>
      <c r="M697" s="31" t="s">
        <v>144</v>
      </c>
      <c r="N697" s="31" t="s">
        <v>144</v>
      </c>
      <c r="O697" s="31" t="s">
        <v>144</v>
      </c>
      <c r="P697" s="31" t="s">
        <v>144</v>
      </c>
      <c r="Q697" s="31" t="s">
        <v>1071</v>
      </c>
      <c r="R697" s="31" t="s">
        <v>312</v>
      </c>
      <c r="S697" s="31" t="s">
        <v>144</v>
      </c>
      <c r="T697" s="31" t="s">
        <v>144</v>
      </c>
      <c r="U697" s="31" t="s">
        <v>144</v>
      </c>
      <c r="V697" s="31" t="s">
        <v>144</v>
      </c>
      <c r="W697" s="31" t="s">
        <v>144</v>
      </c>
      <c r="X697" s="31" t="s">
        <v>144</v>
      </c>
      <c r="Y697" s="31"/>
      <c r="Z697" s="33">
        <v>0.91</v>
      </c>
      <c r="AA697" s="31" t="s">
        <v>144</v>
      </c>
      <c r="AB697" s="31" t="s">
        <v>144</v>
      </c>
      <c r="AC697" s="31" t="s">
        <v>144</v>
      </c>
      <c r="AD697" s="31" t="s">
        <v>144</v>
      </c>
      <c r="AE697" s="31" t="s">
        <v>144</v>
      </c>
      <c r="AF697" s="31" t="s">
        <v>144</v>
      </c>
      <c r="AG697" s="31" t="s">
        <v>144</v>
      </c>
      <c r="AH697" s="31" t="s">
        <v>190</v>
      </c>
      <c r="AI697" s="31" t="s">
        <v>144</v>
      </c>
      <c r="AJ697" s="31" t="s">
        <v>144</v>
      </c>
      <c r="AK697" s="31" t="s">
        <v>144</v>
      </c>
      <c r="AL697" s="31" t="s">
        <v>322</v>
      </c>
      <c r="AM697" s="31" t="s">
        <v>144</v>
      </c>
      <c r="AN697" s="31" t="s">
        <v>163</v>
      </c>
      <c r="AO697" s="31" t="s">
        <v>1325</v>
      </c>
      <c r="AP697" s="31" t="s">
        <v>144</v>
      </c>
      <c r="AQ697" s="31" t="s">
        <v>144</v>
      </c>
      <c r="AR697" s="31" t="s">
        <v>144</v>
      </c>
    </row>
    <row r="698" spans="5:44" ht="15" customHeight="1" x14ac:dyDescent="0.25">
      <c r="E698" s="31" t="s">
        <v>139</v>
      </c>
      <c r="F698" s="31" t="s">
        <v>140</v>
      </c>
      <c r="G698" s="31" t="s">
        <v>377</v>
      </c>
      <c r="H698" s="31" t="s">
        <v>324</v>
      </c>
      <c r="I698" s="31" t="s">
        <v>481</v>
      </c>
      <c r="J698" s="31" t="s">
        <v>699</v>
      </c>
      <c r="K698" s="31" t="s">
        <v>1009</v>
      </c>
      <c r="L698" s="31" t="s">
        <v>162</v>
      </c>
      <c r="M698" s="31" t="s">
        <v>144</v>
      </c>
      <c r="N698" s="31" t="s">
        <v>144</v>
      </c>
      <c r="O698" s="31" t="s">
        <v>144</v>
      </c>
      <c r="P698" s="31" t="s">
        <v>144</v>
      </c>
      <c r="Q698" s="31" t="s">
        <v>1071</v>
      </c>
      <c r="R698" s="31" t="s">
        <v>312</v>
      </c>
      <c r="S698" s="31" t="s">
        <v>144</v>
      </c>
      <c r="T698" s="31" t="s">
        <v>144</v>
      </c>
      <c r="U698" s="31" t="s">
        <v>144</v>
      </c>
      <c r="V698" s="31" t="s">
        <v>144</v>
      </c>
      <c r="W698" s="31" t="s">
        <v>144</v>
      </c>
      <c r="X698" s="31" t="s">
        <v>144</v>
      </c>
      <c r="Y698" s="31"/>
      <c r="Z698" s="33">
        <v>0.91</v>
      </c>
      <c r="AA698" s="31" t="s">
        <v>144</v>
      </c>
      <c r="AB698" s="31" t="s">
        <v>144</v>
      </c>
      <c r="AC698" s="31" t="s">
        <v>144</v>
      </c>
      <c r="AD698" s="31" t="s">
        <v>144</v>
      </c>
      <c r="AE698" s="31" t="s">
        <v>144</v>
      </c>
      <c r="AF698" s="31" t="s">
        <v>144</v>
      </c>
      <c r="AG698" s="31" t="s">
        <v>144</v>
      </c>
      <c r="AH698" s="31" t="s">
        <v>190</v>
      </c>
      <c r="AI698" s="31" t="s">
        <v>144</v>
      </c>
      <c r="AJ698" s="31" t="s">
        <v>144</v>
      </c>
      <c r="AK698" s="31" t="s">
        <v>144</v>
      </c>
      <c r="AL698" s="31" t="s">
        <v>322</v>
      </c>
      <c r="AM698" s="31" t="s">
        <v>144</v>
      </c>
      <c r="AN698" s="31" t="s">
        <v>163</v>
      </c>
      <c r="AO698" s="31" t="s">
        <v>1325</v>
      </c>
      <c r="AP698" s="31" t="s">
        <v>144</v>
      </c>
      <c r="AQ698" s="31" t="s">
        <v>144</v>
      </c>
      <c r="AR698" s="31" t="s">
        <v>144</v>
      </c>
    </row>
    <row r="699" spans="5:44" ht="15" customHeight="1" x14ac:dyDescent="0.25">
      <c r="E699" s="31" t="s">
        <v>139</v>
      </c>
      <c r="F699" s="31" t="s">
        <v>140</v>
      </c>
      <c r="G699" s="31" t="s">
        <v>377</v>
      </c>
      <c r="H699" s="31" t="s">
        <v>324</v>
      </c>
      <c r="I699" s="31" t="s">
        <v>481</v>
      </c>
      <c r="J699" s="31" t="s">
        <v>699</v>
      </c>
      <c r="K699" s="31" t="s">
        <v>1010</v>
      </c>
      <c r="L699" s="31" t="s">
        <v>162</v>
      </c>
      <c r="M699" s="31" t="s">
        <v>144</v>
      </c>
      <c r="N699" s="31" t="s">
        <v>144</v>
      </c>
      <c r="O699" s="31" t="s">
        <v>144</v>
      </c>
      <c r="P699" s="31" t="s">
        <v>144</v>
      </c>
      <c r="Q699" s="31" t="s">
        <v>1071</v>
      </c>
      <c r="R699" s="31" t="s">
        <v>312</v>
      </c>
      <c r="S699" s="31" t="s">
        <v>144</v>
      </c>
      <c r="T699" s="31" t="s">
        <v>144</v>
      </c>
      <c r="U699" s="31" t="s">
        <v>144</v>
      </c>
      <c r="V699" s="31" t="s">
        <v>144</v>
      </c>
      <c r="W699" s="31" t="s">
        <v>144</v>
      </c>
      <c r="X699" s="31" t="s">
        <v>144</v>
      </c>
      <c r="Y699" s="31"/>
      <c r="Z699" s="33">
        <v>0.91</v>
      </c>
      <c r="AA699" s="31" t="s">
        <v>144</v>
      </c>
      <c r="AB699" s="31" t="s">
        <v>144</v>
      </c>
      <c r="AC699" s="31" t="s">
        <v>144</v>
      </c>
      <c r="AD699" s="31" t="s">
        <v>144</v>
      </c>
      <c r="AE699" s="31" t="s">
        <v>144</v>
      </c>
      <c r="AF699" s="31" t="s">
        <v>144</v>
      </c>
      <c r="AG699" s="31" t="s">
        <v>144</v>
      </c>
      <c r="AH699" s="31" t="s">
        <v>190</v>
      </c>
      <c r="AI699" s="31" t="s">
        <v>144</v>
      </c>
      <c r="AJ699" s="31" t="s">
        <v>144</v>
      </c>
      <c r="AK699" s="31" t="s">
        <v>144</v>
      </c>
      <c r="AL699" s="31" t="s">
        <v>322</v>
      </c>
      <c r="AM699" s="31" t="s">
        <v>144</v>
      </c>
      <c r="AN699" s="31" t="s">
        <v>163</v>
      </c>
      <c r="AO699" s="31" t="s">
        <v>1325</v>
      </c>
      <c r="AP699" s="31" t="s">
        <v>144</v>
      </c>
      <c r="AQ699" s="31" t="s">
        <v>144</v>
      </c>
      <c r="AR699" s="31" t="s">
        <v>144</v>
      </c>
    </row>
    <row r="700" spans="5:44" ht="15" customHeight="1" x14ac:dyDescent="0.25">
      <c r="E700" s="31" t="s">
        <v>139</v>
      </c>
      <c r="F700" s="31" t="s">
        <v>140</v>
      </c>
      <c r="G700" s="31" t="s">
        <v>377</v>
      </c>
      <c r="H700" s="31" t="s">
        <v>324</v>
      </c>
      <c r="I700" s="31" t="s">
        <v>481</v>
      </c>
      <c r="J700" s="31" t="s">
        <v>699</v>
      </c>
      <c r="K700" s="31" t="s">
        <v>1011</v>
      </c>
      <c r="L700" s="31" t="s">
        <v>162</v>
      </c>
      <c r="M700" s="31" t="s">
        <v>144</v>
      </c>
      <c r="N700" s="31" t="s">
        <v>144</v>
      </c>
      <c r="O700" s="31" t="s">
        <v>144</v>
      </c>
      <c r="P700" s="31" t="s">
        <v>144</v>
      </c>
      <c r="Q700" s="31" t="s">
        <v>1071</v>
      </c>
      <c r="R700" s="31" t="s">
        <v>312</v>
      </c>
      <c r="S700" s="31" t="s">
        <v>144</v>
      </c>
      <c r="T700" s="31" t="s">
        <v>144</v>
      </c>
      <c r="U700" s="31" t="s">
        <v>144</v>
      </c>
      <c r="V700" s="31" t="s">
        <v>144</v>
      </c>
      <c r="W700" s="31" t="s">
        <v>144</v>
      </c>
      <c r="X700" s="31" t="s">
        <v>144</v>
      </c>
      <c r="Y700" s="31"/>
      <c r="Z700" s="33">
        <v>0.91</v>
      </c>
      <c r="AA700" s="31" t="s">
        <v>144</v>
      </c>
      <c r="AB700" s="31" t="s">
        <v>144</v>
      </c>
      <c r="AC700" s="31" t="s">
        <v>144</v>
      </c>
      <c r="AD700" s="31" t="s">
        <v>144</v>
      </c>
      <c r="AE700" s="31" t="s">
        <v>144</v>
      </c>
      <c r="AF700" s="31" t="s">
        <v>144</v>
      </c>
      <c r="AG700" s="31" t="s">
        <v>144</v>
      </c>
      <c r="AH700" s="31" t="s">
        <v>190</v>
      </c>
      <c r="AI700" s="31" t="s">
        <v>144</v>
      </c>
      <c r="AJ700" s="31" t="s">
        <v>144</v>
      </c>
      <c r="AK700" s="31" t="s">
        <v>144</v>
      </c>
      <c r="AL700" s="31" t="s">
        <v>322</v>
      </c>
      <c r="AM700" s="31" t="s">
        <v>144</v>
      </c>
      <c r="AN700" s="31" t="s">
        <v>163</v>
      </c>
      <c r="AO700" s="31" t="s">
        <v>1325</v>
      </c>
      <c r="AP700" s="31" t="s">
        <v>144</v>
      </c>
      <c r="AQ700" s="31" t="s">
        <v>144</v>
      </c>
      <c r="AR700" s="31" t="s">
        <v>144</v>
      </c>
    </row>
    <row r="701" spans="5:44" ht="15" customHeight="1" x14ac:dyDescent="0.25">
      <c r="E701" s="31" t="s">
        <v>139</v>
      </c>
      <c r="F701" s="31" t="s">
        <v>140</v>
      </c>
      <c r="G701" s="31" t="s">
        <v>377</v>
      </c>
      <c r="H701" s="31" t="s">
        <v>324</v>
      </c>
      <c r="I701" s="31" t="s">
        <v>481</v>
      </c>
      <c r="J701" s="31" t="s">
        <v>699</v>
      </c>
      <c r="K701" s="31" t="s">
        <v>1012</v>
      </c>
      <c r="L701" s="31" t="s">
        <v>162</v>
      </c>
      <c r="M701" s="31" t="s">
        <v>144</v>
      </c>
      <c r="N701" s="31" t="s">
        <v>144</v>
      </c>
      <c r="O701" s="31" t="s">
        <v>144</v>
      </c>
      <c r="P701" s="31" t="s">
        <v>144</v>
      </c>
      <c r="Q701" s="31" t="s">
        <v>1071</v>
      </c>
      <c r="R701" s="31" t="s">
        <v>312</v>
      </c>
      <c r="S701" s="31" t="s">
        <v>144</v>
      </c>
      <c r="T701" s="31" t="s">
        <v>144</v>
      </c>
      <c r="U701" s="31" t="s">
        <v>144</v>
      </c>
      <c r="V701" s="31" t="s">
        <v>144</v>
      </c>
      <c r="W701" s="31" t="s">
        <v>144</v>
      </c>
      <c r="X701" s="31" t="s">
        <v>144</v>
      </c>
      <c r="Y701" s="31"/>
      <c r="Z701" s="33">
        <v>0.91</v>
      </c>
      <c r="AA701" s="31" t="s">
        <v>144</v>
      </c>
      <c r="AB701" s="31" t="s">
        <v>144</v>
      </c>
      <c r="AC701" s="31" t="s">
        <v>144</v>
      </c>
      <c r="AD701" s="31" t="s">
        <v>144</v>
      </c>
      <c r="AE701" s="31" t="s">
        <v>144</v>
      </c>
      <c r="AF701" s="31" t="s">
        <v>144</v>
      </c>
      <c r="AG701" s="31" t="s">
        <v>144</v>
      </c>
      <c r="AH701" s="31" t="s">
        <v>190</v>
      </c>
      <c r="AI701" s="31" t="s">
        <v>144</v>
      </c>
      <c r="AJ701" s="31" t="s">
        <v>144</v>
      </c>
      <c r="AK701" s="31" t="s">
        <v>144</v>
      </c>
      <c r="AL701" s="31" t="s">
        <v>322</v>
      </c>
      <c r="AM701" s="31" t="s">
        <v>144</v>
      </c>
      <c r="AN701" s="31" t="s">
        <v>163</v>
      </c>
      <c r="AO701" s="31" t="s">
        <v>1325</v>
      </c>
      <c r="AP701" s="31" t="s">
        <v>144</v>
      </c>
      <c r="AQ701" s="31" t="s">
        <v>144</v>
      </c>
      <c r="AR701" s="31" t="s">
        <v>144</v>
      </c>
    </row>
    <row r="702" spans="5:44" ht="15" customHeight="1" x14ac:dyDescent="0.25">
      <c r="E702" s="31" t="s">
        <v>139</v>
      </c>
      <c r="F702" s="31" t="s">
        <v>140</v>
      </c>
      <c r="G702" s="31" t="s">
        <v>377</v>
      </c>
      <c r="H702" s="31" t="s">
        <v>324</v>
      </c>
      <c r="I702" s="31" t="s">
        <v>481</v>
      </c>
      <c r="J702" s="31" t="s">
        <v>699</v>
      </c>
      <c r="K702" s="31" t="s">
        <v>1013</v>
      </c>
      <c r="L702" s="31" t="s">
        <v>162</v>
      </c>
      <c r="M702" s="31" t="s">
        <v>144</v>
      </c>
      <c r="N702" s="31" t="s">
        <v>144</v>
      </c>
      <c r="O702" s="31" t="s">
        <v>144</v>
      </c>
      <c r="P702" s="31" t="s">
        <v>144</v>
      </c>
      <c r="Q702" s="31" t="s">
        <v>1071</v>
      </c>
      <c r="R702" s="31" t="s">
        <v>312</v>
      </c>
      <c r="S702" s="31" t="s">
        <v>144</v>
      </c>
      <c r="T702" s="31" t="s">
        <v>144</v>
      </c>
      <c r="U702" s="31" t="s">
        <v>144</v>
      </c>
      <c r="V702" s="31" t="s">
        <v>144</v>
      </c>
      <c r="W702" s="31" t="s">
        <v>144</v>
      </c>
      <c r="X702" s="31" t="s">
        <v>144</v>
      </c>
      <c r="Y702" s="31"/>
      <c r="Z702" s="33">
        <v>0.91</v>
      </c>
      <c r="AA702" s="31" t="s">
        <v>144</v>
      </c>
      <c r="AB702" s="31" t="s">
        <v>144</v>
      </c>
      <c r="AC702" s="31" t="s">
        <v>144</v>
      </c>
      <c r="AD702" s="31" t="s">
        <v>144</v>
      </c>
      <c r="AE702" s="31" t="s">
        <v>144</v>
      </c>
      <c r="AF702" s="31" t="s">
        <v>144</v>
      </c>
      <c r="AG702" s="31" t="s">
        <v>144</v>
      </c>
      <c r="AH702" s="31" t="s">
        <v>190</v>
      </c>
      <c r="AI702" s="31" t="s">
        <v>144</v>
      </c>
      <c r="AJ702" s="31" t="s">
        <v>144</v>
      </c>
      <c r="AK702" s="31" t="s">
        <v>144</v>
      </c>
      <c r="AL702" s="31" t="s">
        <v>322</v>
      </c>
      <c r="AM702" s="31" t="s">
        <v>144</v>
      </c>
      <c r="AN702" s="31" t="s">
        <v>163</v>
      </c>
      <c r="AO702" s="31" t="s">
        <v>1325</v>
      </c>
      <c r="AP702" s="31" t="s">
        <v>144</v>
      </c>
      <c r="AQ702" s="31" t="s">
        <v>144</v>
      </c>
      <c r="AR702" s="31" t="s">
        <v>144</v>
      </c>
    </row>
    <row r="703" spans="5:44" ht="15" customHeight="1" x14ac:dyDescent="0.25">
      <c r="E703" s="31" t="s">
        <v>139</v>
      </c>
      <c r="F703" s="31" t="s">
        <v>140</v>
      </c>
      <c r="G703" s="31" t="s">
        <v>377</v>
      </c>
      <c r="H703" s="31" t="s">
        <v>324</v>
      </c>
      <c r="I703" s="31" t="s">
        <v>481</v>
      </c>
      <c r="J703" s="31" t="s">
        <v>699</v>
      </c>
      <c r="K703" s="31" t="s">
        <v>1014</v>
      </c>
      <c r="L703" s="31" t="s">
        <v>162</v>
      </c>
      <c r="M703" s="31" t="s">
        <v>144</v>
      </c>
      <c r="N703" s="31" t="s">
        <v>144</v>
      </c>
      <c r="O703" s="31" t="s">
        <v>144</v>
      </c>
      <c r="P703" s="31" t="s">
        <v>144</v>
      </c>
      <c r="Q703" s="31" t="s">
        <v>1071</v>
      </c>
      <c r="R703" s="31" t="s">
        <v>312</v>
      </c>
      <c r="S703" s="31" t="s">
        <v>144</v>
      </c>
      <c r="T703" s="31" t="s">
        <v>144</v>
      </c>
      <c r="U703" s="31" t="s">
        <v>144</v>
      </c>
      <c r="V703" s="31" t="s">
        <v>144</v>
      </c>
      <c r="W703" s="31" t="s">
        <v>144</v>
      </c>
      <c r="X703" s="31" t="s">
        <v>144</v>
      </c>
      <c r="Y703" s="31"/>
      <c r="Z703" s="33">
        <v>0.91</v>
      </c>
      <c r="AA703" s="31" t="s">
        <v>144</v>
      </c>
      <c r="AB703" s="31" t="s">
        <v>144</v>
      </c>
      <c r="AC703" s="31" t="s">
        <v>144</v>
      </c>
      <c r="AD703" s="31" t="s">
        <v>144</v>
      </c>
      <c r="AE703" s="31" t="s">
        <v>144</v>
      </c>
      <c r="AF703" s="31" t="s">
        <v>144</v>
      </c>
      <c r="AG703" s="31" t="s">
        <v>144</v>
      </c>
      <c r="AH703" s="31" t="s">
        <v>190</v>
      </c>
      <c r="AI703" s="31" t="s">
        <v>144</v>
      </c>
      <c r="AJ703" s="31" t="s">
        <v>144</v>
      </c>
      <c r="AK703" s="31" t="s">
        <v>144</v>
      </c>
      <c r="AL703" s="31" t="s">
        <v>322</v>
      </c>
      <c r="AM703" s="31" t="s">
        <v>144</v>
      </c>
      <c r="AN703" s="31" t="s">
        <v>163</v>
      </c>
      <c r="AO703" s="31" t="s">
        <v>1325</v>
      </c>
      <c r="AP703" s="31" t="s">
        <v>144</v>
      </c>
      <c r="AQ703" s="31" t="s">
        <v>144</v>
      </c>
      <c r="AR703" s="31" t="s">
        <v>144</v>
      </c>
    </row>
    <row r="704" spans="5:44" ht="15" customHeight="1" x14ac:dyDescent="0.25">
      <c r="E704" s="31" t="s">
        <v>139</v>
      </c>
      <c r="F704" s="31" t="s">
        <v>140</v>
      </c>
      <c r="G704" s="31" t="s">
        <v>377</v>
      </c>
      <c r="H704" s="31" t="s">
        <v>324</v>
      </c>
      <c r="I704" s="31" t="s">
        <v>481</v>
      </c>
      <c r="J704" s="31" t="s">
        <v>699</v>
      </c>
      <c r="K704" s="31" t="s">
        <v>1015</v>
      </c>
      <c r="L704" s="31" t="s">
        <v>162</v>
      </c>
      <c r="M704" s="31" t="s">
        <v>144</v>
      </c>
      <c r="N704" s="31" t="s">
        <v>144</v>
      </c>
      <c r="O704" s="31" t="s">
        <v>144</v>
      </c>
      <c r="P704" s="31" t="s">
        <v>144</v>
      </c>
      <c r="Q704" s="31" t="s">
        <v>1071</v>
      </c>
      <c r="R704" s="31" t="s">
        <v>312</v>
      </c>
      <c r="S704" s="31" t="s">
        <v>144</v>
      </c>
      <c r="T704" s="31" t="s">
        <v>144</v>
      </c>
      <c r="U704" s="31" t="s">
        <v>144</v>
      </c>
      <c r="V704" s="31" t="s">
        <v>144</v>
      </c>
      <c r="W704" s="31" t="s">
        <v>144</v>
      </c>
      <c r="X704" s="31" t="s">
        <v>144</v>
      </c>
      <c r="Y704" s="31"/>
      <c r="Z704" s="33">
        <v>0.91</v>
      </c>
      <c r="AA704" s="31" t="s">
        <v>144</v>
      </c>
      <c r="AB704" s="31" t="s">
        <v>144</v>
      </c>
      <c r="AC704" s="31" t="s">
        <v>144</v>
      </c>
      <c r="AD704" s="31" t="s">
        <v>144</v>
      </c>
      <c r="AE704" s="31" t="s">
        <v>144</v>
      </c>
      <c r="AF704" s="31" t="s">
        <v>144</v>
      </c>
      <c r="AG704" s="31" t="s">
        <v>144</v>
      </c>
      <c r="AH704" s="31" t="s">
        <v>190</v>
      </c>
      <c r="AI704" s="31" t="s">
        <v>144</v>
      </c>
      <c r="AJ704" s="31" t="s">
        <v>144</v>
      </c>
      <c r="AK704" s="31" t="s">
        <v>144</v>
      </c>
      <c r="AL704" s="31" t="s">
        <v>322</v>
      </c>
      <c r="AM704" s="31" t="s">
        <v>144</v>
      </c>
      <c r="AN704" s="31" t="s">
        <v>163</v>
      </c>
      <c r="AO704" s="31" t="s">
        <v>1325</v>
      </c>
      <c r="AP704" s="31" t="s">
        <v>144</v>
      </c>
      <c r="AQ704" s="31" t="s">
        <v>144</v>
      </c>
      <c r="AR704" s="31" t="s">
        <v>144</v>
      </c>
    </row>
    <row r="705" spans="5:44" ht="15" customHeight="1" x14ac:dyDescent="0.25">
      <c r="E705" s="31" t="s">
        <v>139</v>
      </c>
      <c r="F705" s="31" t="s">
        <v>140</v>
      </c>
      <c r="G705" s="31" t="s">
        <v>377</v>
      </c>
      <c r="H705" s="31" t="s">
        <v>324</v>
      </c>
      <c r="I705" s="31" t="s">
        <v>481</v>
      </c>
      <c r="J705" s="31" t="s">
        <v>699</v>
      </c>
      <c r="K705" s="31" t="s">
        <v>1016</v>
      </c>
      <c r="L705" s="31" t="s">
        <v>162</v>
      </c>
      <c r="M705" s="31" t="s">
        <v>144</v>
      </c>
      <c r="N705" s="31" t="s">
        <v>144</v>
      </c>
      <c r="O705" s="31" t="s">
        <v>144</v>
      </c>
      <c r="P705" s="31" t="s">
        <v>144</v>
      </c>
      <c r="Q705" s="31" t="s">
        <v>1071</v>
      </c>
      <c r="R705" s="31" t="s">
        <v>312</v>
      </c>
      <c r="S705" s="31" t="s">
        <v>144</v>
      </c>
      <c r="T705" s="31" t="s">
        <v>144</v>
      </c>
      <c r="U705" s="31" t="s">
        <v>144</v>
      </c>
      <c r="V705" s="31" t="s">
        <v>144</v>
      </c>
      <c r="W705" s="31" t="s">
        <v>144</v>
      </c>
      <c r="X705" s="31" t="s">
        <v>144</v>
      </c>
      <c r="Y705" s="31"/>
      <c r="Z705" s="33">
        <v>0.91</v>
      </c>
      <c r="AA705" s="31" t="s">
        <v>144</v>
      </c>
      <c r="AB705" s="31" t="s">
        <v>144</v>
      </c>
      <c r="AC705" s="31" t="s">
        <v>144</v>
      </c>
      <c r="AD705" s="31" t="s">
        <v>144</v>
      </c>
      <c r="AE705" s="31" t="s">
        <v>144</v>
      </c>
      <c r="AF705" s="31" t="s">
        <v>144</v>
      </c>
      <c r="AG705" s="31" t="s">
        <v>144</v>
      </c>
      <c r="AH705" s="31" t="s">
        <v>190</v>
      </c>
      <c r="AI705" s="31" t="s">
        <v>144</v>
      </c>
      <c r="AJ705" s="31" t="s">
        <v>144</v>
      </c>
      <c r="AK705" s="31" t="s">
        <v>144</v>
      </c>
      <c r="AL705" s="31" t="s">
        <v>322</v>
      </c>
      <c r="AM705" s="31" t="s">
        <v>144</v>
      </c>
      <c r="AN705" s="31" t="s">
        <v>163</v>
      </c>
      <c r="AO705" s="31" t="s">
        <v>1325</v>
      </c>
      <c r="AP705" s="31" t="s">
        <v>144</v>
      </c>
      <c r="AQ705" s="31" t="s">
        <v>144</v>
      </c>
      <c r="AR705" s="31" t="s">
        <v>144</v>
      </c>
    </row>
    <row r="706" spans="5:44" ht="15" customHeight="1" x14ac:dyDescent="0.25">
      <c r="E706" s="31" t="s">
        <v>139</v>
      </c>
      <c r="F706" s="31" t="s">
        <v>140</v>
      </c>
      <c r="G706" s="31" t="s">
        <v>377</v>
      </c>
      <c r="H706" s="31" t="s">
        <v>324</v>
      </c>
      <c r="I706" s="31" t="s">
        <v>481</v>
      </c>
      <c r="J706" s="31" t="s">
        <v>699</v>
      </c>
      <c r="K706" s="31" t="s">
        <v>1017</v>
      </c>
      <c r="L706" s="31" t="s">
        <v>162</v>
      </c>
      <c r="M706" s="31" t="s">
        <v>144</v>
      </c>
      <c r="N706" s="31" t="s">
        <v>144</v>
      </c>
      <c r="O706" s="31" t="s">
        <v>144</v>
      </c>
      <c r="P706" s="31" t="s">
        <v>144</v>
      </c>
      <c r="Q706" s="31" t="s">
        <v>1071</v>
      </c>
      <c r="R706" s="31" t="s">
        <v>312</v>
      </c>
      <c r="S706" s="31" t="s">
        <v>144</v>
      </c>
      <c r="T706" s="31" t="s">
        <v>144</v>
      </c>
      <c r="U706" s="31" t="s">
        <v>144</v>
      </c>
      <c r="V706" s="31" t="s">
        <v>144</v>
      </c>
      <c r="W706" s="31" t="s">
        <v>144</v>
      </c>
      <c r="X706" s="31" t="s">
        <v>144</v>
      </c>
      <c r="Y706" s="31"/>
      <c r="Z706" s="33">
        <v>0.91</v>
      </c>
      <c r="AA706" s="31" t="s">
        <v>144</v>
      </c>
      <c r="AB706" s="31" t="s">
        <v>144</v>
      </c>
      <c r="AC706" s="31" t="s">
        <v>144</v>
      </c>
      <c r="AD706" s="31" t="s">
        <v>144</v>
      </c>
      <c r="AE706" s="31" t="s">
        <v>144</v>
      </c>
      <c r="AF706" s="31" t="s">
        <v>144</v>
      </c>
      <c r="AG706" s="31" t="s">
        <v>144</v>
      </c>
      <c r="AH706" s="31" t="s">
        <v>190</v>
      </c>
      <c r="AI706" s="31" t="s">
        <v>144</v>
      </c>
      <c r="AJ706" s="31" t="s">
        <v>144</v>
      </c>
      <c r="AK706" s="31" t="s">
        <v>144</v>
      </c>
      <c r="AL706" s="31" t="s">
        <v>322</v>
      </c>
      <c r="AM706" s="31" t="s">
        <v>144</v>
      </c>
      <c r="AN706" s="31" t="s">
        <v>163</v>
      </c>
      <c r="AO706" s="31" t="s">
        <v>1325</v>
      </c>
      <c r="AP706" s="31" t="s">
        <v>144</v>
      </c>
      <c r="AQ706" s="31" t="s">
        <v>144</v>
      </c>
      <c r="AR706" s="31" t="s">
        <v>144</v>
      </c>
    </row>
    <row r="707" spans="5:44" ht="15" customHeight="1" x14ac:dyDescent="0.25">
      <c r="E707" s="31" t="s">
        <v>139</v>
      </c>
      <c r="F707" s="31" t="s">
        <v>140</v>
      </c>
      <c r="G707" s="31" t="s">
        <v>377</v>
      </c>
      <c r="H707" s="31" t="s">
        <v>324</v>
      </c>
      <c r="I707" s="31" t="s">
        <v>481</v>
      </c>
      <c r="J707" s="31" t="s">
        <v>699</v>
      </c>
      <c r="K707" s="31" t="s">
        <v>1018</v>
      </c>
      <c r="L707" s="31" t="s">
        <v>162</v>
      </c>
      <c r="M707" s="31" t="s">
        <v>144</v>
      </c>
      <c r="N707" s="31" t="s">
        <v>144</v>
      </c>
      <c r="O707" s="31" t="s">
        <v>144</v>
      </c>
      <c r="P707" s="31" t="s">
        <v>144</v>
      </c>
      <c r="Q707" s="31" t="s">
        <v>1071</v>
      </c>
      <c r="R707" s="31" t="s">
        <v>312</v>
      </c>
      <c r="S707" s="31" t="s">
        <v>144</v>
      </c>
      <c r="T707" s="31" t="s">
        <v>144</v>
      </c>
      <c r="U707" s="31" t="s">
        <v>144</v>
      </c>
      <c r="V707" s="31" t="s">
        <v>144</v>
      </c>
      <c r="W707" s="31" t="s">
        <v>144</v>
      </c>
      <c r="X707" s="31" t="s">
        <v>144</v>
      </c>
      <c r="Y707" s="31"/>
      <c r="Z707" s="33">
        <v>0.91</v>
      </c>
      <c r="AA707" s="31" t="s">
        <v>144</v>
      </c>
      <c r="AB707" s="31" t="s">
        <v>144</v>
      </c>
      <c r="AC707" s="31" t="s">
        <v>144</v>
      </c>
      <c r="AD707" s="31" t="s">
        <v>144</v>
      </c>
      <c r="AE707" s="31" t="s">
        <v>144</v>
      </c>
      <c r="AF707" s="31" t="s">
        <v>144</v>
      </c>
      <c r="AG707" s="31" t="s">
        <v>144</v>
      </c>
      <c r="AH707" s="31" t="s">
        <v>190</v>
      </c>
      <c r="AI707" s="31" t="s">
        <v>144</v>
      </c>
      <c r="AJ707" s="31" t="s">
        <v>144</v>
      </c>
      <c r="AK707" s="31" t="s">
        <v>144</v>
      </c>
      <c r="AL707" s="31" t="s">
        <v>322</v>
      </c>
      <c r="AM707" s="31" t="s">
        <v>144</v>
      </c>
      <c r="AN707" s="31" t="s">
        <v>163</v>
      </c>
      <c r="AO707" s="31" t="s">
        <v>1325</v>
      </c>
      <c r="AP707" s="31" t="s">
        <v>144</v>
      </c>
      <c r="AQ707" s="31" t="s">
        <v>144</v>
      </c>
      <c r="AR707" s="31" t="s">
        <v>144</v>
      </c>
    </row>
    <row r="708" spans="5:44" ht="15" customHeight="1" x14ac:dyDescent="0.25">
      <c r="E708" s="31" t="s">
        <v>139</v>
      </c>
      <c r="F708" s="31" t="s">
        <v>140</v>
      </c>
      <c r="G708" s="31" t="s">
        <v>377</v>
      </c>
      <c r="H708" s="31" t="s">
        <v>324</v>
      </c>
      <c r="I708" s="31" t="s">
        <v>481</v>
      </c>
      <c r="J708" s="31" t="s">
        <v>699</v>
      </c>
      <c r="K708" s="31" t="s">
        <v>1019</v>
      </c>
      <c r="L708" s="31" t="s">
        <v>162</v>
      </c>
      <c r="M708" s="31" t="s">
        <v>144</v>
      </c>
      <c r="N708" s="31" t="s">
        <v>144</v>
      </c>
      <c r="O708" s="31" t="s">
        <v>144</v>
      </c>
      <c r="P708" s="31" t="s">
        <v>144</v>
      </c>
      <c r="Q708" s="31" t="s">
        <v>1071</v>
      </c>
      <c r="R708" s="31" t="s">
        <v>312</v>
      </c>
      <c r="S708" s="31" t="s">
        <v>144</v>
      </c>
      <c r="T708" s="31" t="s">
        <v>144</v>
      </c>
      <c r="U708" s="31" t="s">
        <v>144</v>
      </c>
      <c r="V708" s="31" t="s">
        <v>144</v>
      </c>
      <c r="W708" s="31" t="s">
        <v>144</v>
      </c>
      <c r="X708" s="31" t="s">
        <v>144</v>
      </c>
      <c r="Y708" s="31"/>
      <c r="Z708" s="33">
        <v>0.91</v>
      </c>
      <c r="AA708" s="31" t="s">
        <v>144</v>
      </c>
      <c r="AB708" s="31" t="s">
        <v>144</v>
      </c>
      <c r="AC708" s="31" t="s">
        <v>144</v>
      </c>
      <c r="AD708" s="31" t="s">
        <v>144</v>
      </c>
      <c r="AE708" s="31" t="s">
        <v>144</v>
      </c>
      <c r="AF708" s="31" t="s">
        <v>144</v>
      </c>
      <c r="AG708" s="31" t="s">
        <v>144</v>
      </c>
      <c r="AH708" s="31" t="s">
        <v>190</v>
      </c>
      <c r="AI708" s="31" t="s">
        <v>144</v>
      </c>
      <c r="AJ708" s="31" t="s">
        <v>144</v>
      </c>
      <c r="AK708" s="31" t="s">
        <v>144</v>
      </c>
      <c r="AL708" s="31" t="s">
        <v>322</v>
      </c>
      <c r="AM708" s="31" t="s">
        <v>144</v>
      </c>
      <c r="AN708" s="31" t="s">
        <v>163</v>
      </c>
      <c r="AO708" s="31" t="s">
        <v>1325</v>
      </c>
      <c r="AP708" s="31" t="s">
        <v>144</v>
      </c>
      <c r="AQ708" s="31" t="s">
        <v>144</v>
      </c>
      <c r="AR708" s="31" t="s">
        <v>144</v>
      </c>
    </row>
    <row r="709" spans="5:44" ht="15" customHeight="1" x14ac:dyDescent="0.25">
      <c r="E709" s="31" t="s">
        <v>139</v>
      </c>
      <c r="F709" s="31" t="s">
        <v>140</v>
      </c>
      <c r="G709" s="31" t="s">
        <v>377</v>
      </c>
      <c r="H709" s="31" t="s">
        <v>324</v>
      </c>
      <c r="I709" s="31" t="s">
        <v>481</v>
      </c>
      <c r="J709" s="31" t="s">
        <v>699</v>
      </c>
      <c r="K709" s="31" t="s">
        <v>1020</v>
      </c>
      <c r="L709" s="31" t="s">
        <v>162</v>
      </c>
      <c r="M709" s="31" t="s">
        <v>144</v>
      </c>
      <c r="N709" s="31" t="s">
        <v>144</v>
      </c>
      <c r="O709" s="31" t="s">
        <v>144</v>
      </c>
      <c r="P709" s="31" t="s">
        <v>144</v>
      </c>
      <c r="Q709" s="31" t="s">
        <v>1071</v>
      </c>
      <c r="R709" s="31" t="s">
        <v>312</v>
      </c>
      <c r="S709" s="31" t="s">
        <v>144</v>
      </c>
      <c r="T709" s="31" t="s">
        <v>144</v>
      </c>
      <c r="U709" s="31" t="s">
        <v>144</v>
      </c>
      <c r="V709" s="31" t="s">
        <v>144</v>
      </c>
      <c r="W709" s="31" t="s">
        <v>144</v>
      </c>
      <c r="X709" s="31" t="s">
        <v>144</v>
      </c>
      <c r="Y709" s="31"/>
      <c r="Z709" s="33">
        <v>0.91</v>
      </c>
      <c r="AA709" s="31" t="s">
        <v>144</v>
      </c>
      <c r="AB709" s="31" t="s">
        <v>144</v>
      </c>
      <c r="AC709" s="31" t="s">
        <v>144</v>
      </c>
      <c r="AD709" s="31" t="s">
        <v>144</v>
      </c>
      <c r="AE709" s="31" t="s">
        <v>144</v>
      </c>
      <c r="AF709" s="31" t="s">
        <v>144</v>
      </c>
      <c r="AG709" s="31" t="s">
        <v>144</v>
      </c>
      <c r="AH709" s="31" t="s">
        <v>190</v>
      </c>
      <c r="AI709" s="31" t="s">
        <v>144</v>
      </c>
      <c r="AJ709" s="31" t="s">
        <v>144</v>
      </c>
      <c r="AK709" s="31" t="s">
        <v>144</v>
      </c>
      <c r="AL709" s="31" t="s">
        <v>322</v>
      </c>
      <c r="AM709" s="31" t="s">
        <v>144</v>
      </c>
      <c r="AN709" s="31" t="s">
        <v>163</v>
      </c>
      <c r="AO709" s="31" t="s">
        <v>1325</v>
      </c>
      <c r="AP709" s="31" t="s">
        <v>144</v>
      </c>
      <c r="AQ709" s="31" t="s">
        <v>144</v>
      </c>
      <c r="AR709" s="31" t="s">
        <v>144</v>
      </c>
    </row>
    <row r="710" spans="5:44" ht="15" customHeight="1" x14ac:dyDescent="0.25">
      <c r="E710" s="31" t="s">
        <v>139</v>
      </c>
      <c r="F710" s="31" t="s">
        <v>140</v>
      </c>
      <c r="G710" s="31" t="s">
        <v>377</v>
      </c>
      <c r="H710" s="31" t="s">
        <v>324</v>
      </c>
      <c r="I710" s="31" t="s">
        <v>481</v>
      </c>
      <c r="J710" s="31" t="s">
        <v>699</v>
      </c>
      <c r="K710" s="31" t="s">
        <v>1021</v>
      </c>
      <c r="L710" s="31" t="s">
        <v>162</v>
      </c>
      <c r="M710" s="31" t="s">
        <v>144</v>
      </c>
      <c r="N710" s="31" t="s">
        <v>144</v>
      </c>
      <c r="O710" s="31" t="s">
        <v>144</v>
      </c>
      <c r="P710" s="31" t="s">
        <v>144</v>
      </c>
      <c r="Q710" s="31" t="s">
        <v>1071</v>
      </c>
      <c r="R710" s="31" t="s">
        <v>312</v>
      </c>
      <c r="S710" s="31" t="s">
        <v>144</v>
      </c>
      <c r="T710" s="31" t="s">
        <v>144</v>
      </c>
      <c r="U710" s="31" t="s">
        <v>144</v>
      </c>
      <c r="V710" s="31" t="s">
        <v>144</v>
      </c>
      <c r="W710" s="31" t="s">
        <v>144</v>
      </c>
      <c r="X710" s="31" t="s">
        <v>144</v>
      </c>
      <c r="Y710" s="31"/>
      <c r="Z710" s="33">
        <v>0.91</v>
      </c>
      <c r="AA710" s="31" t="s">
        <v>144</v>
      </c>
      <c r="AB710" s="31" t="s">
        <v>144</v>
      </c>
      <c r="AC710" s="31" t="s">
        <v>144</v>
      </c>
      <c r="AD710" s="31" t="s">
        <v>144</v>
      </c>
      <c r="AE710" s="31" t="s">
        <v>144</v>
      </c>
      <c r="AF710" s="31" t="s">
        <v>144</v>
      </c>
      <c r="AG710" s="31" t="s">
        <v>144</v>
      </c>
      <c r="AH710" s="31" t="s">
        <v>190</v>
      </c>
      <c r="AI710" s="31" t="s">
        <v>144</v>
      </c>
      <c r="AJ710" s="31" t="s">
        <v>144</v>
      </c>
      <c r="AK710" s="31" t="s">
        <v>144</v>
      </c>
      <c r="AL710" s="31" t="s">
        <v>322</v>
      </c>
      <c r="AM710" s="31" t="s">
        <v>144</v>
      </c>
      <c r="AN710" s="31" t="s">
        <v>163</v>
      </c>
      <c r="AO710" s="31" t="s">
        <v>1325</v>
      </c>
      <c r="AP710" s="31" t="s">
        <v>144</v>
      </c>
      <c r="AQ710" s="31" t="s">
        <v>144</v>
      </c>
      <c r="AR710" s="31" t="s">
        <v>144</v>
      </c>
    </row>
    <row r="711" spans="5:44" ht="15" customHeight="1" x14ac:dyDescent="0.25">
      <c r="E711" s="31" t="s">
        <v>139</v>
      </c>
      <c r="F711" s="31" t="s">
        <v>140</v>
      </c>
      <c r="G711" s="31" t="s">
        <v>377</v>
      </c>
      <c r="H711" s="31" t="s">
        <v>324</v>
      </c>
      <c r="I711" s="31" t="s">
        <v>481</v>
      </c>
      <c r="J711" s="31" t="s">
        <v>699</v>
      </c>
      <c r="K711" s="31" t="s">
        <v>1022</v>
      </c>
      <c r="L711" s="31" t="s">
        <v>162</v>
      </c>
      <c r="M711" s="31" t="s">
        <v>144</v>
      </c>
      <c r="N711" s="31" t="s">
        <v>144</v>
      </c>
      <c r="O711" s="31" t="s">
        <v>144</v>
      </c>
      <c r="P711" s="31" t="s">
        <v>144</v>
      </c>
      <c r="Q711" s="31" t="s">
        <v>1071</v>
      </c>
      <c r="R711" s="31" t="s">
        <v>312</v>
      </c>
      <c r="S711" s="31" t="s">
        <v>144</v>
      </c>
      <c r="T711" s="31" t="s">
        <v>144</v>
      </c>
      <c r="U711" s="31" t="s">
        <v>144</v>
      </c>
      <c r="V711" s="31" t="s">
        <v>144</v>
      </c>
      <c r="W711" s="31" t="s">
        <v>144</v>
      </c>
      <c r="X711" s="31" t="s">
        <v>144</v>
      </c>
      <c r="Y711" s="31"/>
      <c r="Z711" s="33">
        <v>0.91</v>
      </c>
      <c r="AA711" s="31" t="s">
        <v>144</v>
      </c>
      <c r="AB711" s="31" t="s">
        <v>144</v>
      </c>
      <c r="AC711" s="31" t="s">
        <v>144</v>
      </c>
      <c r="AD711" s="31" t="s">
        <v>144</v>
      </c>
      <c r="AE711" s="31" t="s">
        <v>144</v>
      </c>
      <c r="AF711" s="31" t="s">
        <v>144</v>
      </c>
      <c r="AG711" s="31" t="s">
        <v>144</v>
      </c>
      <c r="AH711" s="31" t="s">
        <v>190</v>
      </c>
      <c r="AI711" s="31" t="s">
        <v>144</v>
      </c>
      <c r="AJ711" s="31" t="s">
        <v>144</v>
      </c>
      <c r="AK711" s="31" t="s">
        <v>144</v>
      </c>
      <c r="AL711" s="31" t="s">
        <v>322</v>
      </c>
      <c r="AM711" s="31" t="s">
        <v>144</v>
      </c>
      <c r="AN711" s="31" t="s">
        <v>163</v>
      </c>
      <c r="AO711" s="31" t="s">
        <v>1325</v>
      </c>
      <c r="AP711" s="31" t="s">
        <v>144</v>
      </c>
      <c r="AQ711" s="31" t="s">
        <v>144</v>
      </c>
      <c r="AR711" s="31" t="s">
        <v>144</v>
      </c>
    </row>
    <row r="712" spans="5:44" ht="15" customHeight="1" x14ac:dyDescent="0.25">
      <c r="E712" s="31" t="s">
        <v>139</v>
      </c>
      <c r="F712" s="31" t="s">
        <v>140</v>
      </c>
      <c r="G712" s="31" t="s">
        <v>377</v>
      </c>
      <c r="H712" s="31" t="s">
        <v>324</v>
      </c>
      <c r="I712" s="31" t="s">
        <v>481</v>
      </c>
      <c r="J712" s="31" t="s">
        <v>699</v>
      </c>
      <c r="K712" s="31" t="s">
        <v>1023</v>
      </c>
      <c r="L712" s="31" t="s">
        <v>162</v>
      </c>
      <c r="M712" s="31" t="s">
        <v>144</v>
      </c>
      <c r="N712" s="31" t="s">
        <v>144</v>
      </c>
      <c r="O712" s="31" t="s">
        <v>144</v>
      </c>
      <c r="P712" s="31" t="s">
        <v>144</v>
      </c>
      <c r="Q712" s="31" t="s">
        <v>1071</v>
      </c>
      <c r="R712" s="31" t="s">
        <v>312</v>
      </c>
      <c r="S712" s="31" t="s">
        <v>144</v>
      </c>
      <c r="T712" s="31" t="s">
        <v>144</v>
      </c>
      <c r="U712" s="31" t="s">
        <v>144</v>
      </c>
      <c r="V712" s="31" t="s">
        <v>144</v>
      </c>
      <c r="W712" s="31" t="s">
        <v>144</v>
      </c>
      <c r="X712" s="31" t="s">
        <v>144</v>
      </c>
      <c r="Y712" s="31"/>
      <c r="Z712" s="33">
        <v>0.91</v>
      </c>
      <c r="AA712" s="31" t="s">
        <v>144</v>
      </c>
      <c r="AB712" s="31" t="s">
        <v>144</v>
      </c>
      <c r="AC712" s="31" t="s">
        <v>144</v>
      </c>
      <c r="AD712" s="31" t="s">
        <v>144</v>
      </c>
      <c r="AE712" s="31" t="s">
        <v>144</v>
      </c>
      <c r="AF712" s="31" t="s">
        <v>144</v>
      </c>
      <c r="AG712" s="31" t="s">
        <v>144</v>
      </c>
      <c r="AH712" s="31" t="s">
        <v>190</v>
      </c>
      <c r="AI712" s="31" t="s">
        <v>144</v>
      </c>
      <c r="AJ712" s="31" t="s">
        <v>144</v>
      </c>
      <c r="AK712" s="31" t="s">
        <v>144</v>
      </c>
      <c r="AL712" s="31" t="s">
        <v>322</v>
      </c>
      <c r="AM712" s="31" t="s">
        <v>144</v>
      </c>
      <c r="AN712" s="31" t="s">
        <v>163</v>
      </c>
      <c r="AO712" s="31" t="s">
        <v>1325</v>
      </c>
      <c r="AP712" s="31" t="s">
        <v>144</v>
      </c>
      <c r="AQ712" s="31" t="s">
        <v>144</v>
      </c>
      <c r="AR712" s="31" t="s">
        <v>144</v>
      </c>
    </row>
    <row r="713" spans="5:44" ht="15" customHeight="1" x14ac:dyDescent="0.25">
      <c r="E713" s="31" t="s">
        <v>139</v>
      </c>
      <c r="F713" s="31" t="s">
        <v>140</v>
      </c>
      <c r="G713" s="31" t="s">
        <v>377</v>
      </c>
      <c r="H713" s="31" t="s">
        <v>324</v>
      </c>
      <c r="I713" s="31" t="s">
        <v>481</v>
      </c>
      <c r="J713" s="31" t="s">
        <v>699</v>
      </c>
      <c r="K713" s="31" t="s">
        <v>1024</v>
      </c>
      <c r="L713" s="31" t="s">
        <v>162</v>
      </c>
      <c r="M713" s="31" t="s">
        <v>144</v>
      </c>
      <c r="N713" s="31" t="s">
        <v>144</v>
      </c>
      <c r="O713" s="31" t="s">
        <v>144</v>
      </c>
      <c r="P713" s="31" t="s">
        <v>144</v>
      </c>
      <c r="Q713" s="31" t="s">
        <v>1071</v>
      </c>
      <c r="R713" s="31" t="s">
        <v>312</v>
      </c>
      <c r="S713" s="31" t="s">
        <v>144</v>
      </c>
      <c r="T713" s="31" t="s">
        <v>144</v>
      </c>
      <c r="U713" s="31" t="s">
        <v>144</v>
      </c>
      <c r="V713" s="31" t="s">
        <v>144</v>
      </c>
      <c r="W713" s="31" t="s">
        <v>144</v>
      </c>
      <c r="X713" s="31" t="s">
        <v>144</v>
      </c>
      <c r="Y713" s="31"/>
      <c r="Z713" s="33">
        <v>0.91</v>
      </c>
      <c r="AA713" s="31" t="s">
        <v>144</v>
      </c>
      <c r="AB713" s="31" t="s">
        <v>144</v>
      </c>
      <c r="AC713" s="31" t="s">
        <v>144</v>
      </c>
      <c r="AD713" s="31" t="s">
        <v>144</v>
      </c>
      <c r="AE713" s="31" t="s">
        <v>144</v>
      </c>
      <c r="AF713" s="31" t="s">
        <v>144</v>
      </c>
      <c r="AG713" s="31" t="s">
        <v>144</v>
      </c>
      <c r="AH713" s="31" t="s">
        <v>190</v>
      </c>
      <c r="AI713" s="31" t="s">
        <v>144</v>
      </c>
      <c r="AJ713" s="31" t="s">
        <v>144</v>
      </c>
      <c r="AK713" s="31" t="s">
        <v>144</v>
      </c>
      <c r="AL713" s="31" t="s">
        <v>322</v>
      </c>
      <c r="AM713" s="31" t="s">
        <v>144</v>
      </c>
      <c r="AN713" s="31" t="s">
        <v>163</v>
      </c>
      <c r="AO713" s="31" t="s">
        <v>1325</v>
      </c>
      <c r="AP713" s="31" t="s">
        <v>144</v>
      </c>
      <c r="AQ713" s="31" t="s">
        <v>144</v>
      </c>
      <c r="AR713" s="31" t="s">
        <v>144</v>
      </c>
    </row>
    <row r="714" spans="5:44" ht="15" customHeight="1" x14ac:dyDescent="0.25">
      <c r="E714" s="31" t="s">
        <v>139</v>
      </c>
      <c r="F714" s="31" t="s">
        <v>140</v>
      </c>
      <c r="G714" s="31" t="s">
        <v>377</v>
      </c>
      <c r="H714" s="31" t="s">
        <v>324</v>
      </c>
      <c r="I714" s="31" t="s">
        <v>481</v>
      </c>
      <c r="J714" s="31" t="s">
        <v>699</v>
      </c>
      <c r="K714" s="31" t="s">
        <v>1025</v>
      </c>
      <c r="L714" s="31" t="s">
        <v>162</v>
      </c>
      <c r="M714" s="31" t="s">
        <v>144</v>
      </c>
      <c r="N714" s="31" t="s">
        <v>144</v>
      </c>
      <c r="O714" s="31" t="s">
        <v>144</v>
      </c>
      <c r="P714" s="31" t="s">
        <v>144</v>
      </c>
      <c r="Q714" s="31" t="s">
        <v>1071</v>
      </c>
      <c r="R714" s="31" t="s">
        <v>312</v>
      </c>
      <c r="S714" s="31" t="s">
        <v>144</v>
      </c>
      <c r="T714" s="31" t="s">
        <v>144</v>
      </c>
      <c r="U714" s="31" t="s">
        <v>144</v>
      </c>
      <c r="V714" s="31" t="s">
        <v>144</v>
      </c>
      <c r="W714" s="31" t="s">
        <v>144</v>
      </c>
      <c r="X714" s="31" t="s">
        <v>144</v>
      </c>
      <c r="Y714" s="31"/>
      <c r="Z714" s="33">
        <v>0.91</v>
      </c>
      <c r="AA714" s="31" t="s">
        <v>144</v>
      </c>
      <c r="AB714" s="31" t="s">
        <v>144</v>
      </c>
      <c r="AC714" s="31" t="s">
        <v>144</v>
      </c>
      <c r="AD714" s="31" t="s">
        <v>144</v>
      </c>
      <c r="AE714" s="31" t="s">
        <v>144</v>
      </c>
      <c r="AF714" s="31" t="s">
        <v>144</v>
      </c>
      <c r="AG714" s="31" t="s">
        <v>144</v>
      </c>
      <c r="AH714" s="31" t="s">
        <v>190</v>
      </c>
      <c r="AI714" s="31" t="s">
        <v>144</v>
      </c>
      <c r="AJ714" s="31" t="s">
        <v>144</v>
      </c>
      <c r="AK714" s="31" t="s">
        <v>144</v>
      </c>
      <c r="AL714" s="31" t="s">
        <v>322</v>
      </c>
      <c r="AM714" s="31" t="s">
        <v>144</v>
      </c>
      <c r="AN714" s="31" t="s">
        <v>163</v>
      </c>
      <c r="AO714" s="31" t="s">
        <v>1325</v>
      </c>
      <c r="AP714" s="31" t="s">
        <v>144</v>
      </c>
      <c r="AQ714" s="31" t="s">
        <v>144</v>
      </c>
      <c r="AR714" s="31" t="s">
        <v>144</v>
      </c>
    </row>
    <row r="715" spans="5:44" ht="15" customHeight="1" x14ac:dyDescent="0.25">
      <c r="E715" s="31" t="s">
        <v>139</v>
      </c>
      <c r="F715" s="31" t="s">
        <v>140</v>
      </c>
      <c r="G715" s="31" t="s">
        <v>377</v>
      </c>
      <c r="H715" s="31" t="s">
        <v>324</v>
      </c>
      <c r="I715" s="31" t="s">
        <v>481</v>
      </c>
      <c r="J715" s="31" t="s">
        <v>699</v>
      </c>
      <c r="K715" s="31" t="s">
        <v>1026</v>
      </c>
      <c r="L715" s="31" t="s">
        <v>162</v>
      </c>
      <c r="M715" s="31" t="s">
        <v>144</v>
      </c>
      <c r="N715" s="31" t="s">
        <v>144</v>
      </c>
      <c r="O715" s="31" t="s">
        <v>144</v>
      </c>
      <c r="P715" s="31" t="s">
        <v>144</v>
      </c>
      <c r="Q715" s="31" t="s">
        <v>1071</v>
      </c>
      <c r="R715" s="31" t="s">
        <v>312</v>
      </c>
      <c r="S715" s="31" t="s">
        <v>144</v>
      </c>
      <c r="T715" s="31" t="s">
        <v>144</v>
      </c>
      <c r="U715" s="31" t="s">
        <v>144</v>
      </c>
      <c r="V715" s="31" t="s">
        <v>144</v>
      </c>
      <c r="W715" s="31" t="s">
        <v>144</v>
      </c>
      <c r="X715" s="31" t="s">
        <v>144</v>
      </c>
      <c r="Y715" s="31"/>
      <c r="Z715" s="33">
        <v>0.91</v>
      </c>
      <c r="AA715" s="31" t="s">
        <v>144</v>
      </c>
      <c r="AB715" s="31" t="s">
        <v>144</v>
      </c>
      <c r="AC715" s="31" t="s">
        <v>144</v>
      </c>
      <c r="AD715" s="31" t="s">
        <v>144</v>
      </c>
      <c r="AE715" s="31" t="s">
        <v>144</v>
      </c>
      <c r="AF715" s="31" t="s">
        <v>144</v>
      </c>
      <c r="AG715" s="31" t="s">
        <v>144</v>
      </c>
      <c r="AH715" s="31" t="s">
        <v>190</v>
      </c>
      <c r="AI715" s="31" t="s">
        <v>144</v>
      </c>
      <c r="AJ715" s="31" t="s">
        <v>144</v>
      </c>
      <c r="AK715" s="31" t="s">
        <v>144</v>
      </c>
      <c r="AL715" s="31" t="s">
        <v>322</v>
      </c>
      <c r="AM715" s="31" t="s">
        <v>144</v>
      </c>
      <c r="AN715" s="31" t="s">
        <v>163</v>
      </c>
      <c r="AO715" s="31" t="s">
        <v>1325</v>
      </c>
      <c r="AP715" s="31" t="s">
        <v>144</v>
      </c>
      <c r="AQ715" s="31" t="s">
        <v>144</v>
      </c>
      <c r="AR715" s="31" t="s">
        <v>144</v>
      </c>
    </row>
    <row r="716" spans="5:44" ht="15" customHeight="1" x14ac:dyDescent="0.25">
      <c r="E716" s="31" t="s">
        <v>139</v>
      </c>
      <c r="F716" s="31" t="s">
        <v>140</v>
      </c>
      <c r="G716" s="31" t="s">
        <v>377</v>
      </c>
      <c r="H716" s="31" t="s">
        <v>324</v>
      </c>
      <c r="I716" s="31" t="s">
        <v>481</v>
      </c>
      <c r="J716" s="31" t="s">
        <v>699</v>
      </c>
      <c r="K716" s="31" t="s">
        <v>1027</v>
      </c>
      <c r="L716" s="31" t="s">
        <v>162</v>
      </c>
      <c r="M716" s="31" t="s">
        <v>144</v>
      </c>
      <c r="N716" s="31" t="s">
        <v>144</v>
      </c>
      <c r="O716" s="31" t="s">
        <v>144</v>
      </c>
      <c r="P716" s="31" t="s">
        <v>144</v>
      </c>
      <c r="Q716" s="31" t="s">
        <v>1071</v>
      </c>
      <c r="R716" s="31" t="s">
        <v>312</v>
      </c>
      <c r="S716" s="31" t="s">
        <v>144</v>
      </c>
      <c r="T716" s="31" t="s">
        <v>144</v>
      </c>
      <c r="U716" s="31" t="s">
        <v>144</v>
      </c>
      <c r="V716" s="31" t="s">
        <v>144</v>
      </c>
      <c r="W716" s="31" t="s">
        <v>144</v>
      </c>
      <c r="X716" s="31" t="s">
        <v>144</v>
      </c>
      <c r="Y716" s="31"/>
      <c r="Z716" s="33">
        <v>0.91</v>
      </c>
      <c r="AA716" s="31" t="s">
        <v>144</v>
      </c>
      <c r="AB716" s="31" t="s">
        <v>144</v>
      </c>
      <c r="AC716" s="31" t="s">
        <v>144</v>
      </c>
      <c r="AD716" s="31" t="s">
        <v>144</v>
      </c>
      <c r="AE716" s="31" t="s">
        <v>144</v>
      </c>
      <c r="AF716" s="31" t="s">
        <v>144</v>
      </c>
      <c r="AG716" s="31" t="s">
        <v>144</v>
      </c>
      <c r="AH716" s="31" t="s">
        <v>190</v>
      </c>
      <c r="AI716" s="31" t="s">
        <v>144</v>
      </c>
      <c r="AJ716" s="31" t="s">
        <v>144</v>
      </c>
      <c r="AK716" s="31" t="s">
        <v>144</v>
      </c>
      <c r="AL716" s="31" t="s">
        <v>322</v>
      </c>
      <c r="AM716" s="31" t="s">
        <v>144</v>
      </c>
      <c r="AN716" s="31" t="s">
        <v>163</v>
      </c>
      <c r="AO716" s="31" t="s">
        <v>1325</v>
      </c>
      <c r="AP716" s="31" t="s">
        <v>144</v>
      </c>
      <c r="AQ716" s="31" t="s">
        <v>144</v>
      </c>
      <c r="AR716" s="31" t="s">
        <v>144</v>
      </c>
    </row>
    <row r="717" spans="5:44" ht="15" customHeight="1" x14ac:dyDescent="0.25">
      <c r="E717" s="31" t="s">
        <v>139</v>
      </c>
      <c r="F717" s="31" t="s">
        <v>140</v>
      </c>
      <c r="G717" s="31" t="s">
        <v>377</v>
      </c>
      <c r="H717" s="31" t="s">
        <v>324</v>
      </c>
      <c r="I717" s="31" t="s">
        <v>481</v>
      </c>
      <c r="J717" s="31" t="s">
        <v>699</v>
      </c>
      <c r="K717" s="31" t="s">
        <v>1028</v>
      </c>
      <c r="L717" s="31" t="s">
        <v>162</v>
      </c>
      <c r="M717" s="31" t="s">
        <v>144</v>
      </c>
      <c r="N717" s="31" t="s">
        <v>144</v>
      </c>
      <c r="O717" s="31" t="s">
        <v>144</v>
      </c>
      <c r="P717" s="31" t="s">
        <v>144</v>
      </c>
      <c r="Q717" s="31" t="s">
        <v>1071</v>
      </c>
      <c r="R717" s="31" t="s">
        <v>312</v>
      </c>
      <c r="S717" s="31" t="s">
        <v>144</v>
      </c>
      <c r="T717" s="31" t="s">
        <v>144</v>
      </c>
      <c r="U717" s="31" t="s">
        <v>144</v>
      </c>
      <c r="V717" s="31" t="s">
        <v>144</v>
      </c>
      <c r="W717" s="31" t="s">
        <v>144</v>
      </c>
      <c r="X717" s="31" t="s">
        <v>144</v>
      </c>
      <c r="Y717" s="31"/>
      <c r="Z717" s="33">
        <v>0.91</v>
      </c>
      <c r="AA717" s="31" t="s">
        <v>144</v>
      </c>
      <c r="AB717" s="31" t="s">
        <v>144</v>
      </c>
      <c r="AC717" s="31" t="s">
        <v>144</v>
      </c>
      <c r="AD717" s="31" t="s">
        <v>144</v>
      </c>
      <c r="AE717" s="31" t="s">
        <v>144</v>
      </c>
      <c r="AF717" s="31" t="s">
        <v>144</v>
      </c>
      <c r="AG717" s="31" t="s">
        <v>144</v>
      </c>
      <c r="AH717" s="31" t="s">
        <v>190</v>
      </c>
      <c r="AI717" s="31" t="s">
        <v>144</v>
      </c>
      <c r="AJ717" s="31" t="s">
        <v>144</v>
      </c>
      <c r="AK717" s="31" t="s">
        <v>144</v>
      </c>
      <c r="AL717" s="31" t="s">
        <v>322</v>
      </c>
      <c r="AM717" s="31" t="s">
        <v>144</v>
      </c>
      <c r="AN717" s="31" t="s">
        <v>163</v>
      </c>
      <c r="AO717" s="31" t="s">
        <v>1325</v>
      </c>
      <c r="AP717" s="31" t="s">
        <v>144</v>
      </c>
      <c r="AQ717" s="31" t="s">
        <v>144</v>
      </c>
      <c r="AR717" s="31" t="s">
        <v>144</v>
      </c>
    </row>
    <row r="718" spans="5:44" ht="15" customHeight="1" x14ac:dyDescent="0.25">
      <c r="E718" s="31" t="s">
        <v>139</v>
      </c>
      <c r="F718" s="31" t="s">
        <v>140</v>
      </c>
      <c r="G718" s="31" t="s">
        <v>377</v>
      </c>
      <c r="H718" s="31" t="s">
        <v>324</v>
      </c>
      <c r="I718" s="31" t="s">
        <v>481</v>
      </c>
      <c r="J718" s="31" t="s">
        <v>699</v>
      </c>
      <c r="K718" s="31" t="s">
        <v>1029</v>
      </c>
      <c r="L718" s="31" t="s">
        <v>162</v>
      </c>
      <c r="M718" s="31" t="s">
        <v>144</v>
      </c>
      <c r="N718" s="31" t="s">
        <v>144</v>
      </c>
      <c r="O718" s="31" t="s">
        <v>144</v>
      </c>
      <c r="P718" s="31" t="s">
        <v>144</v>
      </c>
      <c r="Q718" s="31" t="s">
        <v>1071</v>
      </c>
      <c r="R718" s="31" t="s">
        <v>312</v>
      </c>
      <c r="S718" s="31" t="s">
        <v>144</v>
      </c>
      <c r="T718" s="31" t="s">
        <v>144</v>
      </c>
      <c r="U718" s="31" t="s">
        <v>144</v>
      </c>
      <c r="V718" s="31" t="s">
        <v>144</v>
      </c>
      <c r="W718" s="31" t="s">
        <v>144</v>
      </c>
      <c r="X718" s="31" t="s">
        <v>144</v>
      </c>
      <c r="Y718" s="31"/>
      <c r="Z718" s="33">
        <v>0.91</v>
      </c>
      <c r="AA718" s="31" t="s">
        <v>144</v>
      </c>
      <c r="AB718" s="31" t="s">
        <v>144</v>
      </c>
      <c r="AC718" s="31" t="s">
        <v>144</v>
      </c>
      <c r="AD718" s="31" t="s">
        <v>144</v>
      </c>
      <c r="AE718" s="31" t="s">
        <v>144</v>
      </c>
      <c r="AF718" s="31" t="s">
        <v>144</v>
      </c>
      <c r="AG718" s="31" t="s">
        <v>144</v>
      </c>
      <c r="AH718" s="31" t="s">
        <v>190</v>
      </c>
      <c r="AI718" s="31" t="s">
        <v>144</v>
      </c>
      <c r="AJ718" s="31" t="s">
        <v>144</v>
      </c>
      <c r="AK718" s="31" t="s">
        <v>144</v>
      </c>
      <c r="AL718" s="31" t="s">
        <v>322</v>
      </c>
      <c r="AM718" s="31" t="s">
        <v>144</v>
      </c>
      <c r="AN718" s="31" t="s">
        <v>163</v>
      </c>
      <c r="AO718" s="31" t="s">
        <v>1325</v>
      </c>
      <c r="AP718" s="31" t="s">
        <v>144</v>
      </c>
      <c r="AQ718" s="31" t="s">
        <v>144</v>
      </c>
      <c r="AR718" s="31" t="s">
        <v>144</v>
      </c>
    </row>
    <row r="719" spans="5:44" ht="15" customHeight="1" x14ac:dyDescent="0.25">
      <c r="E719" s="31" t="s">
        <v>139</v>
      </c>
      <c r="F719" s="31" t="s">
        <v>140</v>
      </c>
      <c r="G719" s="31" t="s">
        <v>377</v>
      </c>
      <c r="H719" s="31" t="s">
        <v>324</v>
      </c>
      <c r="I719" s="31" t="s">
        <v>481</v>
      </c>
      <c r="J719" s="31" t="s">
        <v>699</v>
      </c>
      <c r="K719" s="31" t="s">
        <v>1030</v>
      </c>
      <c r="L719" s="31" t="s">
        <v>162</v>
      </c>
      <c r="M719" s="31" t="s">
        <v>144</v>
      </c>
      <c r="N719" s="31" t="s">
        <v>144</v>
      </c>
      <c r="O719" s="31" t="s">
        <v>144</v>
      </c>
      <c r="P719" s="31" t="s">
        <v>144</v>
      </c>
      <c r="Q719" s="31" t="s">
        <v>1071</v>
      </c>
      <c r="R719" s="31" t="s">
        <v>312</v>
      </c>
      <c r="S719" s="31" t="s">
        <v>144</v>
      </c>
      <c r="T719" s="31" t="s">
        <v>144</v>
      </c>
      <c r="U719" s="31" t="s">
        <v>144</v>
      </c>
      <c r="V719" s="31" t="s">
        <v>144</v>
      </c>
      <c r="W719" s="31" t="s">
        <v>144</v>
      </c>
      <c r="X719" s="31" t="s">
        <v>144</v>
      </c>
      <c r="Y719" s="31"/>
      <c r="Z719" s="33">
        <v>0.91</v>
      </c>
      <c r="AA719" s="31" t="s">
        <v>144</v>
      </c>
      <c r="AB719" s="31" t="s">
        <v>144</v>
      </c>
      <c r="AC719" s="31" t="s">
        <v>144</v>
      </c>
      <c r="AD719" s="31" t="s">
        <v>144</v>
      </c>
      <c r="AE719" s="31" t="s">
        <v>144</v>
      </c>
      <c r="AF719" s="31" t="s">
        <v>144</v>
      </c>
      <c r="AG719" s="31" t="s">
        <v>144</v>
      </c>
      <c r="AH719" s="31" t="s">
        <v>190</v>
      </c>
      <c r="AI719" s="31" t="s">
        <v>144</v>
      </c>
      <c r="AJ719" s="31" t="s">
        <v>144</v>
      </c>
      <c r="AK719" s="31" t="s">
        <v>144</v>
      </c>
      <c r="AL719" s="31" t="s">
        <v>322</v>
      </c>
      <c r="AM719" s="31" t="s">
        <v>144</v>
      </c>
      <c r="AN719" s="31" t="s">
        <v>163</v>
      </c>
      <c r="AO719" s="31" t="s">
        <v>1325</v>
      </c>
      <c r="AP719" s="31" t="s">
        <v>144</v>
      </c>
      <c r="AQ719" s="31" t="s">
        <v>144</v>
      </c>
      <c r="AR719" s="31" t="s">
        <v>144</v>
      </c>
    </row>
    <row r="720" spans="5:44" ht="15" customHeight="1" x14ac:dyDescent="0.25">
      <c r="E720" s="31" t="s">
        <v>139</v>
      </c>
      <c r="F720" s="31" t="s">
        <v>140</v>
      </c>
      <c r="G720" s="31" t="s">
        <v>377</v>
      </c>
      <c r="H720" s="31" t="s">
        <v>324</v>
      </c>
      <c r="I720" s="31" t="s">
        <v>481</v>
      </c>
      <c r="J720" s="31" t="s">
        <v>699</v>
      </c>
      <c r="K720" s="31" t="s">
        <v>1031</v>
      </c>
      <c r="L720" s="31" t="s">
        <v>162</v>
      </c>
      <c r="M720" s="31" t="s">
        <v>144</v>
      </c>
      <c r="N720" s="31" t="s">
        <v>144</v>
      </c>
      <c r="O720" s="31" t="s">
        <v>144</v>
      </c>
      <c r="P720" s="31" t="s">
        <v>144</v>
      </c>
      <c r="Q720" s="31" t="s">
        <v>1071</v>
      </c>
      <c r="R720" s="31" t="s">
        <v>312</v>
      </c>
      <c r="S720" s="31" t="s">
        <v>144</v>
      </c>
      <c r="T720" s="31" t="s">
        <v>144</v>
      </c>
      <c r="U720" s="31" t="s">
        <v>144</v>
      </c>
      <c r="V720" s="31" t="s">
        <v>144</v>
      </c>
      <c r="W720" s="31" t="s">
        <v>144</v>
      </c>
      <c r="X720" s="31" t="s">
        <v>144</v>
      </c>
      <c r="Y720" s="31"/>
      <c r="Z720" s="33">
        <v>0.91</v>
      </c>
      <c r="AA720" s="31" t="s">
        <v>144</v>
      </c>
      <c r="AB720" s="31" t="s">
        <v>144</v>
      </c>
      <c r="AC720" s="31" t="s">
        <v>144</v>
      </c>
      <c r="AD720" s="31" t="s">
        <v>144</v>
      </c>
      <c r="AE720" s="31" t="s">
        <v>144</v>
      </c>
      <c r="AF720" s="31" t="s">
        <v>144</v>
      </c>
      <c r="AG720" s="31" t="s">
        <v>144</v>
      </c>
      <c r="AH720" s="31" t="s">
        <v>190</v>
      </c>
      <c r="AI720" s="31" t="s">
        <v>144</v>
      </c>
      <c r="AJ720" s="31" t="s">
        <v>144</v>
      </c>
      <c r="AK720" s="31" t="s">
        <v>144</v>
      </c>
      <c r="AL720" s="31" t="s">
        <v>322</v>
      </c>
      <c r="AM720" s="31" t="s">
        <v>144</v>
      </c>
      <c r="AN720" s="31" t="s">
        <v>163</v>
      </c>
      <c r="AO720" s="31" t="s">
        <v>1325</v>
      </c>
      <c r="AP720" s="31" t="s">
        <v>144</v>
      </c>
      <c r="AQ720" s="31" t="s">
        <v>144</v>
      </c>
      <c r="AR720" s="31" t="s">
        <v>144</v>
      </c>
    </row>
    <row r="721" spans="5:44" ht="15" customHeight="1" x14ac:dyDescent="0.25">
      <c r="E721" s="31" t="s">
        <v>139</v>
      </c>
      <c r="F721" s="31" t="s">
        <v>140</v>
      </c>
      <c r="G721" s="31" t="s">
        <v>377</v>
      </c>
      <c r="H721" s="31" t="s">
        <v>324</v>
      </c>
      <c r="I721" s="31" t="s">
        <v>481</v>
      </c>
      <c r="J721" s="31" t="s">
        <v>699</v>
      </c>
      <c r="K721" s="31" t="s">
        <v>1032</v>
      </c>
      <c r="L721" s="31" t="s">
        <v>162</v>
      </c>
      <c r="M721" s="31" t="s">
        <v>144</v>
      </c>
      <c r="N721" s="31" t="s">
        <v>144</v>
      </c>
      <c r="O721" s="31" t="s">
        <v>144</v>
      </c>
      <c r="P721" s="31" t="s">
        <v>144</v>
      </c>
      <c r="Q721" s="31" t="s">
        <v>1071</v>
      </c>
      <c r="R721" s="31" t="s">
        <v>312</v>
      </c>
      <c r="S721" s="31" t="s">
        <v>144</v>
      </c>
      <c r="T721" s="31" t="s">
        <v>144</v>
      </c>
      <c r="U721" s="31" t="s">
        <v>144</v>
      </c>
      <c r="V721" s="31" t="s">
        <v>144</v>
      </c>
      <c r="W721" s="31" t="s">
        <v>144</v>
      </c>
      <c r="X721" s="31" t="s">
        <v>144</v>
      </c>
      <c r="Y721" s="31"/>
      <c r="Z721" s="33">
        <v>0.91</v>
      </c>
      <c r="AA721" s="31" t="s">
        <v>144</v>
      </c>
      <c r="AB721" s="31" t="s">
        <v>144</v>
      </c>
      <c r="AC721" s="31" t="s">
        <v>144</v>
      </c>
      <c r="AD721" s="31" t="s">
        <v>144</v>
      </c>
      <c r="AE721" s="31" t="s">
        <v>144</v>
      </c>
      <c r="AF721" s="31" t="s">
        <v>144</v>
      </c>
      <c r="AG721" s="31" t="s">
        <v>144</v>
      </c>
      <c r="AH721" s="31" t="s">
        <v>190</v>
      </c>
      <c r="AI721" s="31" t="s">
        <v>144</v>
      </c>
      <c r="AJ721" s="31" t="s">
        <v>144</v>
      </c>
      <c r="AK721" s="31" t="s">
        <v>144</v>
      </c>
      <c r="AL721" s="31" t="s">
        <v>322</v>
      </c>
      <c r="AM721" s="31" t="s">
        <v>144</v>
      </c>
      <c r="AN721" s="31" t="s">
        <v>163</v>
      </c>
      <c r="AO721" s="31" t="s">
        <v>1325</v>
      </c>
      <c r="AP721" s="31" t="s">
        <v>144</v>
      </c>
      <c r="AQ721" s="31" t="s">
        <v>144</v>
      </c>
      <c r="AR721" s="31" t="s">
        <v>144</v>
      </c>
    </row>
    <row r="722" spans="5:44" ht="15" customHeight="1" x14ac:dyDescent="0.25">
      <c r="E722" s="31" t="s">
        <v>139</v>
      </c>
      <c r="F722" s="31" t="s">
        <v>140</v>
      </c>
      <c r="G722" s="31" t="s">
        <v>377</v>
      </c>
      <c r="H722" s="31" t="s">
        <v>324</v>
      </c>
      <c r="I722" s="31" t="s">
        <v>481</v>
      </c>
      <c r="J722" s="31" t="s">
        <v>699</v>
      </c>
      <c r="K722" s="31" t="s">
        <v>1033</v>
      </c>
      <c r="L722" s="31" t="s">
        <v>162</v>
      </c>
      <c r="M722" s="31" t="s">
        <v>144</v>
      </c>
      <c r="N722" s="31" t="s">
        <v>144</v>
      </c>
      <c r="O722" s="31" t="s">
        <v>144</v>
      </c>
      <c r="P722" s="31" t="s">
        <v>144</v>
      </c>
      <c r="Q722" s="31" t="s">
        <v>1071</v>
      </c>
      <c r="R722" s="31" t="s">
        <v>312</v>
      </c>
      <c r="S722" s="31" t="s">
        <v>144</v>
      </c>
      <c r="T722" s="31" t="s">
        <v>144</v>
      </c>
      <c r="U722" s="31" t="s">
        <v>144</v>
      </c>
      <c r="V722" s="31" t="s">
        <v>144</v>
      </c>
      <c r="W722" s="31" t="s">
        <v>144</v>
      </c>
      <c r="X722" s="31" t="s">
        <v>144</v>
      </c>
      <c r="Y722" s="31"/>
      <c r="Z722" s="33">
        <v>0.91</v>
      </c>
      <c r="AA722" s="31" t="s">
        <v>144</v>
      </c>
      <c r="AB722" s="31" t="s">
        <v>144</v>
      </c>
      <c r="AC722" s="31" t="s">
        <v>144</v>
      </c>
      <c r="AD722" s="31" t="s">
        <v>144</v>
      </c>
      <c r="AE722" s="31" t="s">
        <v>144</v>
      </c>
      <c r="AF722" s="31" t="s">
        <v>144</v>
      </c>
      <c r="AG722" s="31" t="s">
        <v>144</v>
      </c>
      <c r="AH722" s="31" t="s">
        <v>190</v>
      </c>
      <c r="AI722" s="31" t="s">
        <v>144</v>
      </c>
      <c r="AJ722" s="31" t="s">
        <v>144</v>
      </c>
      <c r="AK722" s="31" t="s">
        <v>144</v>
      </c>
      <c r="AL722" s="31" t="s">
        <v>322</v>
      </c>
      <c r="AM722" s="31" t="s">
        <v>144</v>
      </c>
      <c r="AN722" s="31" t="s">
        <v>163</v>
      </c>
      <c r="AO722" s="31" t="s">
        <v>1325</v>
      </c>
      <c r="AP722" s="31" t="s">
        <v>144</v>
      </c>
      <c r="AQ722" s="31" t="s">
        <v>144</v>
      </c>
      <c r="AR722" s="31" t="s">
        <v>144</v>
      </c>
    </row>
    <row r="723" spans="5:44" ht="15" customHeight="1" x14ac:dyDescent="0.25">
      <c r="E723" s="31" t="s">
        <v>139</v>
      </c>
      <c r="F723" s="31" t="s">
        <v>140</v>
      </c>
      <c r="G723" s="31" t="s">
        <v>377</v>
      </c>
      <c r="H723" s="31" t="s">
        <v>324</v>
      </c>
      <c r="I723" s="31" t="s">
        <v>481</v>
      </c>
      <c r="J723" s="31" t="s">
        <v>699</v>
      </c>
      <c r="K723" s="31" t="s">
        <v>1034</v>
      </c>
      <c r="L723" s="31" t="s">
        <v>162</v>
      </c>
      <c r="M723" s="31" t="s">
        <v>144</v>
      </c>
      <c r="N723" s="31" t="s">
        <v>144</v>
      </c>
      <c r="O723" s="31" t="s">
        <v>144</v>
      </c>
      <c r="P723" s="31" t="s">
        <v>144</v>
      </c>
      <c r="Q723" s="31" t="s">
        <v>1071</v>
      </c>
      <c r="R723" s="31" t="s">
        <v>312</v>
      </c>
      <c r="S723" s="31" t="s">
        <v>144</v>
      </c>
      <c r="T723" s="31" t="s">
        <v>144</v>
      </c>
      <c r="U723" s="31" t="s">
        <v>144</v>
      </c>
      <c r="V723" s="31" t="s">
        <v>144</v>
      </c>
      <c r="W723" s="31" t="s">
        <v>144</v>
      </c>
      <c r="X723" s="31" t="s">
        <v>144</v>
      </c>
      <c r="Y723" s="31"/>
      <c r="Z723" s="33">
        <v>0.91</v>
      </c>
      <c r="AA723" s="31" t="s">
        <v>144</v>
      </c>
      <c r="AB723" s="31" t="s">
        <v>144</v>
      </c>
      <c r="AC723" s="31" t="s">
        <v>144</v>
      </c>
      <c r="AD723" s="31" t="s">
        <v>144</v>
      </c>
      <c r="AE723" s="31" t="s">
        <v>144</v>
      </c>
      <c r="AF723" s="31" t="s">
        <v>144</v>
      </c>
      <c r="AG723" s="31" t="s">
        <v>144</v>
      </c>
      <c r="AH723" s="31" t="s">
        <v>190</v>
      </c>
      <c r="AI723" s="31" t="s">
        <v>144</v>
      </c>
      <c r="AJ723" s="31" t="s">
        <v>144</v>
      </c>
      <c r="AK723" s="31" t="s">
        <v>144</v>
      </c>
      <c r="AL723" s="31" t="s">
        <v>322</v>
      </c>
      <c r="AM723" s="31" t="s">
        <v>144</v>
      </c>
      <c r="AN723" s="31" t="s">
        <v>163</v>
      </c>
      <c r="AO723" s="31" t="s">
        <v>1325</v>
      </c>
      <c r="AP723" s="31" t="s">
        <v>144</v>
      </c>
      <c r="AQ723" s="31" t="s">
        <v>144</v>
      </c>
      <c r="AR723" s="31" t="s">
        <v>144</v>
      </c>
    </row>
    <row r="724" spans="5:44" ht="15" customHeight="1" x14ac:dyDescent="0.25">
      <c r="E724" s="31" t="s">
        <v>139</v>
      </c>
      <c r="F724" s="31" t="s">
        <v>140</v>
      </c>
      <c r="G724" s="31" t="s">
        <v>377</v>
      </c>
      <c r="H724" s="31" t="s">
        <v>324</v>
      </c>
      <c r="I724" s="31" t="s">
        <v>481</v>
      </c>
      <c r="J724" s="31" t="s">
        <v>699</v>
      </c>
      <c r="K724" s="31" t="s">
        <v>1035</v>
      </c>
      <c r="L724" s="31" t="s">
        <v>162</v>
      </c>
      <c r="M724" s="31" t="s">
        <v>144</v>
      </c>
      <c r="N724" s="31" t="s">
        <v>144</v>
      </c>
      <c r="O724" s="31" t="s">
        <v>144</v>
      </c>
      <c r="P724" s="31" t="s">
        <v>144</v>
      </c>
      <c r="Q724" s="31" t="s">
        <v>1071</v>
      </c>
      <c r="R724" s="31" t="s">
        <v>312</v>
      </c>
      <c r="S724" s="31" t="s">
        <v>144</v>
      </c>
      <c r="T724" s="31" t="s">
        <v>144</v>
      </c>
      <c r="U724" s="31" t="s">
        <v>144</v>
      </c>
      <c r="V724" s="31" t="s">
        <v>144</v>
      </c>
      <c r="W724" s="31" t="s">
        <v>144</v>
      </c>
      <c r="X724" s="31" t="s">
        <v>144</v>
      </c>
      <c r="Y724" s="31"/>
      <c r="Z724" s="33">
        <v>0.91</v>
      </c>
      <c r="AA724" s="31" t="s">
        <v>144</v>
      </c>
      <c r="AB724" s="31" t="s">
        <v>144</v>
      </c>
      <c r="AC724" s="31" t="s">
        <v>144</v>
      </c>
      <c r="AD724" s="31" t="s">
        <v>144</v>
      </c>
      <c r="AE724" s="31" t="s">
        <v>144</v>
      </c>
      <c r="AF724" s="31" t="s">
        <v>144</v>
      </c>
      <c r="AG724" s="31" t="s">
        <v>144</v>
      </c>
      <c r="AH724" s="31" t="s">
        <v>190</v>
      </c>
      <c r="AI724" s="31" t="s">
        <v>144</v>
      </c>
      <c r="AJ724" s="31" t="s">
        <v>144</v>
      </c>
      <c r="AK724" s="31" t="s">
        <v>144</v>
      </c>
      <c r="AL724" s="31" t="s">
        <v>322</v>
      </c>
      <c r="AM724" s="31" t="s">
        <v>144</v>
      </c>
      <c r="AN724" s="31" t="s">
        <v>163</v>
      </c>
      <c r="AO724" s="31" t="s">
        <v>1325</v>
      </c>
      <c r="AP724" s="31" t="s">
        <v>144</v>
      </c>
      <c r="AQ724" s="31" t="s">
        <v>144</v>
      </c>
      <c r="AR724" s="31" t="s">
        <v>144</v>
      </c>
    </row>
    <row r="725" spans="5:44" ht="15" customHeight="1" x14ac:dyDescent="0.25">
      <c r="E725" s="31" t="s">
        <v>139</v>
      </c>
      <c r="F725" s="31" t="s">
        <v>140</v>
      </c>
      <c r="G725" s="31" t="s">
        <v>377</v>
      </c>
      <c r="H725" s="31" t="s">
        <v>324</v>
      </c>
      <c r="I725" s="31" t="s">
        <v>481</v>
      </c>
      <c r="J725" s="31" t="s">
        <v>699</v>
      </c>
      <c r="K725" s="31" t="s">
        <v>1036</v>
      </c>
      <c r="L725" s="31" t="s">
        <v>162</v>
      </c>
      <c r="M725" s="31" t="s">
        <v>144</v>
      </c>
      <c r="N725" s="31" t="s">
        <v>144</v>
      </c>
      <c r="O725" s="31" t="s">
        <v>144</v>
      </c>
      <c r="P725" s="31" t="s">
        <v>144</v>
      </c>
      <c r="Q725" s="31" t="s">
        <v>1071</v>
      </c>
      <c r="R725" s="31" t="s">
        <v>312</v>
      </c>
      <c r="S725" s="31" t="s">
        <v>144</v>
      </c>
      <c r="T725" s="31" t="s">
        <v>144</v>
      </c>
      <c r="U725" s="31" t="s">
        <v>144</v>
      </c>
      <c r="V725" s="31" t="s">
        <v>144</v>
      </c>
      <c r="W725" s="31" t="s">
        <v>144</v>
      </c>
      <c r="X725" s="31" t="s">
        <v>144</v>
      </c>
      <c r="Y725" s="31"/>
      <c r="Z725" s="33">
        <v>0.91</v>
      </c>
      <c r="AA725" s="31" t="s">
        <v>144</v>
      </c>
      <c r="AB725" s="31" t="s">
        <v>144</v>
      </c>
      <c r="AC725" s="31" t="s">
        <v>144</v>
      </c>
      <c r="AD725" s="31" t="s">
        <v>144</v>
      </c>
      <c r="AE725" s="31" t="s">
        <v>144</v>
      </c>
      <c r="AF725" s="31" t="s">
        <v>144</v>
      </c>
      <c r="AG725" s="31" t="s">
        <v>144</v>
      </c>
      <c r="AH725" s="31" t="s">
        <v>190</v>
      </c>
      <c r="AI725" s="31" t="s">
        <v>144</v>
      </c>
      <c r="AJ725" s="31" t="s">
        <v>144</v>
      </c>
      <c r="AK725" s="31" t="s">
        <v>144</v>
      </c>
      <c r="AL725" s="31" t="s">
        <v>322</v>
      </c>
      <c r="AM725" s="31" t="s">
        <v>144</v>
      </c>
      <c r="AN725" s="31" t="s">
        <v>163</v>
      </c>
      <c r="AO725" s="31" t="s">
        <v>1325</v>
      </c>
      <c r="AP725" s="31" t="s">
        <v>144</v>
      </c>
      <c r="AQ725" s="31" t="s">
        <v>144</v>
      </c>
      <c r="AR725" s="31" t="s">
        <v>144</v>
      </c>
    </row>
    <row r="726" spans="5:44" ht="15" customHeight="1" x14ac:dyDescent="0.25">
      <c r="E726" s="31" t="s">
        <v>139</v>
      </c>
      <c r="F726" s="31" t="s">
        <v>140</v>
      </c>
      <c r="G726" s="31" t="s">
        <v>377</v>
      </c>
      <c r="H726" s="31" t="s">
        <v>324</v>
      </c>
      <c r="I726" s="31" t="s">
        <v>481</v>
      </c>
      <c r="J726" s="31" t="s">
        <v>699</v>
      </c>
      <c r="K726" s="31" t="s">
        <v>1037</v>
      </c>
      <c r="L726" s="31" t="s">
        <v>162</v>
      </c>
      <c r="M726" s="31" t="s">
        <v>144</v>
      </c>
      <c r="N726" s="31" t="s">
        <v>144</v>
      </c>
      <c r="O726" s="31" t="s">
        <v>144</v>
      </c>
      <c r="P726" s="31" t="s">
        <v>144</v>
      </c>
      <c r="Q726" s="31" t="s">
        <v>1071</v>
      </c>
      <c r="R726" s="31" t="s">
        <v>312</v>
      </c>
      <c r="S726" s="31" t="s">
        <v>144</v>
      </c>
      <c r="T726" s="31" t="s">
        <v>144</v>
      </c>
      <c r="U726" s="31" t="s">
        <v>144</v>
      </c>
      <c r="V726" s="31" t="s">
        <v>144</v>
      </c>
      <c r="W726" s="31" t="s">
        <v>144</v>
      </c>
      <c r="X726" s="31" t="s">
        <v>144</v>
      </c>
      <c r="Y726" s="31"/>
      <c r="Z726" s="33">
        <v>0.91</v>
      </c>
      <c r="AA726" s="31" t="s">
        <v>144</v>
      </c>
      <c r="AB726" s="31" t="s">
        <v>144</v>
      </c>
      <c r="AC726" s="31" t="s">
        <v>144</v>
      </c>
      <c r="AD726" s="31" t="s">
        <v>144</v>
      </c>
      <c r="AE726" s="31" t="s">
        <v>144</v>
      </c>
      <c r="AF726" s="31" t="s">
        <v>144</v>
      </c>
      <c r="AG726" s="31" t="s">
        <v>144</v>
      </c>
      <c r="AH726" s="31" t="s">
        <v>190</v>
      </c>
      <c r="AI726" s="31" t="s">
        <v>144</v>
      </c>
      <c r="AJ726" s="31" t="s">
        <v>144</v>
      </c>
      <c r="AK726" s="31" t="s">
        <v>144</v>
      </c>
      <c r="AL726" s="31" t="s">
        <v>322</v>
      </c>
      <c r="AM726" s="31" t="s">
        <v>144</v>
      </c>
      <c r="AN726" s="31" t="s">
        <v>163</v>
      </c>
      <c r="AO726" s="31" t="s">
        <v>1325</v>
      </c>
      <c r="AP726" s="31" t="s">
        <v>144</v>
      </c>
      <c r="AQ726" s="31" t="s">
        <v>144</v>
      </c>
      <c r="AR726" s="31" t="s">
        <v>144</v>
      </c>
    </row>
    <row r="727" spans="5:44" ht="15" customHeight="1" x14ac:dyDescent="0.25">
      <c r="E727" s="31" t="s">
        <v>139</v>
      </c>
      <c r="F727" s="31" t="s">
        <v>140</v>
      </c>
      <c r="G727" s="31" t="s">
        <v>377</v>
      </c>
      <c r="H727" s="31" t="s">
        <v>324</v>
      </c>
      <c r="I727" s="31" t="s">
        <v>481</v>
      </c>
      <c r="J727" s="31" t="s">
        <v>699</v>
      </c>
      <c r="K727" s="31" t="s">
        <v>1038</v>
      </c>
      <c r="L727" s="31" t="s">
        <v>162</v>
      </c>
      <c r="M727" s="31" t="s">
        <v>144</v>
      </c>
      <c r="N727" s="31" t="s">
        <v>144</v>
      </c>
      <c r="O727" s="31" t="s">
        <v>144</v>
      </c>
      <c r="P727" s="31" t="s">
        <v>144</v>
      </c>
      <c r="Q727" s="31" t="s">
        <v>1071</v>
      </c>
      <c r="R727" s="31" t="s">
        <v>312</v>
      </c>
      <c r="S727" s="31" t="s">
        <v>144</v>
      </c>
      <c r="T727" s="31" t="s">
        <v>144</v>
      </c>
      <c r="U727" s="31" t="s">
        <v>144</v>
      </c>
      <c r="V727" s="31" t="s">
        <v>144</v>
      </c>
      <c r="W727" s="31" t="s">
        <v>144</v>
      </c>
      <c r="X727" s="31" t="s">
        <v>144</v>
      </c>
      <c r="Y727" s="31"/>
      <c r="Z727" s="33">
        <v>0.91</v>
      </c>
      <c r="AA727" s="31" t="s">
        <v>144</v>
      </c>
      <c r="AB727" s="31" t="s">
        <v>144</v>
      </c>
      <c r="AC727" s="31" t="s">
        <v>144</v>
      </c>
      <c r="AD727" s="31" t="s">
        <v>144</v>
      </c>
      <c r="AE727" s="31" t="s">
        <v>144</v>
      </c>
      <c r="AF727" s="31" t="s">
        <v>144</v>
      </c>
      <c r="AG727" s="31" t="s">
        <v>144</v>
      </c>
      <c r="AH727" s="31" t="s">
        <v>190</v>
      </c>
      <c r="AI727" s="31" t="s">
        <v>144</v>
      </c>
      <c r="AJ727" s="31" t="s">
        <v>144</v>
      </c>
      <c r="AK727" s="31" t="s">
        <v>144</v>
      </c>
      <c r="AL727" s="31" t="s">
        <v>322</v>
      </c>
      <c r="AM727" s="31" t="s">
        <v>144</v>
      </c>
      <c r="AN727" s="31" t="s">
        <v>163</v>
      </c>
      <c r="AO727" s="31" t="s">
        <v>1325</v>
      </c>
      <c r="AP727" s="31" t="s">
        <v>144</v>
      </c>
      <c r="AQ727" s="31" t="s">
        <v>144</v>
      </c>
      <c r="AR727" s="31" t="s">
        <v>144</v>
      </c>
    </row>
    <row r="728" spans="5:44" ht="15" customHeight="1" x14ac:dyDescent="0.25">
      <c r="E728" s="31" t="s">
        <v>139</v>
      </c>
      <c r="F728" s="31" t="s">
        <v>140</v>
      </c>
      <c r="G728" s="31" t="s">
        <v>377</v>
      </c>
      <c r="H728" s="31" t="s">
        <v>324</v>
      </c>
      <c r="I728" s="31" t="s">
        <v>481</v>
      </c>
      <c r="J728" s="31" t="s">
        <v>699</v>
      </c>
      <c r="K728" s="31" t="s">
        <v>1039</v>
      </c>
      <c r="L728" s="31" t="s">
        <v>162</v>
      </c>
      <c r="M728" s="31" t="s">
        <v>144</v>
      </c>
      <c r="N728" s="31" t="s">
        <v>144</v>
      </c>
      <c r="O728" s="31" t="s">
        <v>144</v>
      </c>
      <c r="P728" s="31" t="s">
        <v>144</v>
      </c>
      <c r="Q728" s="31" t="s">
        <v>1071</v>
      </c>
      <c r="R728" s="31" t="s">
        <v>312</v>
      </c>
      <c r="S728" s="31" t="s">
        <v>144</v>
      </c>
      <c r="T728" s="31" t="s">
        <v>144</v>
      </c>
      <c r="U728" s="31" t="s">
        <v>144</v>
      </c>
      <c r="V728" s="31" t="s">
        <v>144</v>
      </c>
      <c r="W728" s="31" t="s">
        <v>144</v>
      </c>
      <c r="X728" s="31" t="s">
        <v>144</v>
      </c>
      <c r="Y728" s="31"/>
      <c r="Z728" s="33">
        <v>0.91</v>
      </c>
      <c r="AA728" s="31" t="s">
        <v>144</v>
      </c>
      <c r="AB728" s="31" t="s">
        <v>144</v>
      </c>
      <c r="AC728" s="31" t="s">
        <v>144</v>
      </c>
      <c r="AD728" s="31" t="s">
        <v>144</v>
      </c>
      <c r="AE728" s="31" t="s">
        <v>144</v>
      </c>
      <c r="AF728" s="31" t="s">
        <v>144</v>
      </c>
      <c r="AG728" s="31" t="s">
        <v>144</v>
      </c>
      <c r="AH728" s="31" t="s">
        <v>190</v>
      </c>
      <c r="AI728" s="31" t="s">
        <v>144</v>
      </c>
      <c r="AJ728" s="31" t="s">
        <v>144</v>
      </c>
      <c r="AK728" s="31" t="s">
        <v>144</v>
      </c>
      <c r="AL728" s="31" t="s">
        <v>322</v>
      </c>
      <c r="AM728" s="31" t="s">
        <v>144</v>
      </c>
      <c r="AN728" s="31" t="s">
        <v>163</v>
      </c>
      <c r="AO728" s="31" t="s">
        <v>1325</v>
      </c>
      <c r="AP728" s="31" t="s">
        <v>144</v>
      </c>
      <c r="AQ728" s="31" t="s">
        <v>144</v>
      </c>
      <c r="AR728" s="31" t="s">
        <v>144</v>
      </c>
    </row>
    <row r="729" spans="5:44" ht="15" customHeight="1" x14ac:dyDescent="0.25">
      <c r="E729" s="31" t="s">
        <v>139</v>
      </c>
      <c r="F729" s="31" t="s">
        <v>140</v>
      </c>
      <c r="G729" s="31" t="s">
        <v>377</v>
      </c>
      <c r="H729" s="31" t="s">
        <v>324</v>
      </c>
      <c r="I729" s="31" t="s">
        <v>481</v>
      </c>
      <c r="J729" s="31" t="s">
        <v>699</v>
      </c>
      <c r="K729" s="31" t="s">
        <v>1040</v>
      </c>
      <c r="L729" s="31" t="s">
        <v>162</v>
      </c>
      <c r="M729" s="31" t="s">
        <v>144</v>
      </c>
      <c r="N729" s="31" t="s">
        <v>144</v>
      </c>
      <c r="O729" s="31" t="s">
        <v>144</v>
      </c>
      <c r="P729" s="31" t="s">
        <v>144</v>
      </c>
      <c r="Q729" s="31" t="s">
        <v>1071</v>
      </c>
      <c r="R729" s="31" t="s">
        <v>312</v>
      </c>
      <c r="S729" s="31" t="s">
        <v>144</v>
      </c>
      <c r="T729" s="31" t="s">
        <v>144</v>
      </c>
      <c r="U729" s="31" t="s">
        <v>144</v>
      </c>
      <c r="V729" s="31" t="s">
        <v>144</v>
      </c>
      <c r="W729" s="31" t="s">
        <v>144</v>
      </c>
      <c r="X729" s="31" t="s">
        <v>144</v>
      </c>
      <c r="Y729" s="31"/>
      <c r="Z729" s="33">
        <v>0.91</v>
      </c>
      <c r="AA729" s="31" t="s">
        <v>144</v>
      </c>
      <c r="AB729" s="31" t="s">
        <v>144</v>
      </c>
      <c r="AC729" s="31" t="s">
        <v>144</v>
      </c>
      <c r="AD729" s="31" t="s">
        <v>144</v>
      </c>
      <c r="AE729" s="31" t="s">
        <v>144</v>
      </c>
      <c r="AF729" s="31" t="s">
        <v>144</v>
      </c>
      <c r="AG729" s="31" t="s">
        <v>144</v>
      </c>
      <c r="AH729" s="31" t="s">
        <v>190</v>
      </c>
      <c r="AI729" s="31" t="s">
        <v>144</v>
      </c>
      <c r="AJ729" s="31" t="s">
        <v>144</v>
      </c>
      <c r="AK729" s="31" t="s">
        <v>144</v>
      </c>
      <c r="AL729" s="31" t="s">
        <v>322</v>
      </c>
      <c r="AM729" s="31" t="s">
        <v>144</v>
      </c>
      <c r="AN729" s="31" t="s">
        <v>163</v>
      </c>
      <c r="AO729" s="31" t="s">
        <v>1325</v>
      </c>
      <c r="AP729" s="31" t="s">
        <v>144</v>
      </c>
      <c r="AQ729" s="31" t="s">
        <v>144</v>
      </c>
      <c r="AR729" s="31" t="s">
        <v>144</v>
      </c>
    </row>
    <row r="730" spans="5:44" ht="15" customHeight="1" x14ac:dyDescent="0.25">
      <c r="E730" s="31" t="s">
        <v>139</v>
      </c>
      <c r="F730" s="31" t="s">
        <v>140</v>
      </c>
      <c r="G730" s="31" t="s">
        <v>377</v>
      </c>
      <c r="H730" s="31" t="s">
        <v>324</v>
      </c>
      <c r="I730" s="31" t="s">
        <v>481</v>
      </c>
      <c r="J730" s="31" t="s">
        <v>699</v>
      </c>
      <c r="K730" s="31" t="s">
        <v>1041</v>
      </c>
      <c r="L730" s="31" t="s">
        <v>162</v>
      </c>
      <c r="M730" s="31" t="s">
        <v>144</v>
      </c>
      <c r="N730" s="31" t="s">
        <v>144</v>
      </c>
      <c r="O730" s="31" t="s">
        <v>144</v>
      </c>
      <c r="P730" s="31" t="s">
        <v>144</v>
      </c>
      <c r="Q730" s="31" t="s">
        <v>1071</v>
      </c>
      <c r="R730" s="31" t="s">
        <v>312</v>
      </c>
      <c r="S730" s="31" t="s">
        <v>144</v>
      </c>
      <c r="T730" s="31" t="s">
        <v>144</v>
      </c>
      <c r="U730" s="31" t="s">
        <v>144</v>
      </c>
      <c r="V730" s="31" t="s">
        <v>144</v>
      </c>
      <c r="W730" s="31" t="s">
        <v>144</v>
      </c>
      <c r="X730" s="31" t="s">
        <v>144</v>
      </c>
      <c r="Y730" s="31"/>
      <c r="Z730" s="33">
        <v>0.91</v>
      </c>
      <c r="AA730" s="31" t="s">
        <v>144</v>
      </c>
      <c r="AB730" s="31" t="s">
        <v>144</v>
      </c>
      <c r="AC730" s="31" t="s">
        <v>144</v>
      </c>
      <c r="AD730" s="31" t="s">
        <v>144</v>
      </c>
      <c r="AE730" s="31" t="s">
        <v>144</v>
      </c>
      <c r="AF730" s="31" t="s">
        <v>144</v>
      </c>
      <c r="AG730" s="31" t="s">
        <v>144</v>
      </c>
      <c r="AH730" s="31" t="s">
        <v>190</v>
      </c>
      <c r="AI730" s="31" t="s">
        <v>144</v>
      </c>
      <c r="AJ730" s="31" t="s">
        <v>144</v>
      </c>
      <c r="AK730" s="31" t="s">
        <v>144</v>
      </c>
      <c r="AL730" s="31" t="s">
        <v>322</v>
      </c>
      <c r="AM730" s="31" t="s">
        <v>144</v>
      </c>
      <c r="AN730" s="31" t="s">
        <v>163</v>
      </c>
      <c r="AO730" s="31" t="s">
        <v>1325</v>
      </c>
      <c r="AP730" s="31" t="s">
        <v>144</v>
      </c>
      <c r="AQ730" s="31" t="s">
        <v>144</v>
      </c>
      <c r="AR730" s="31" t="s">
        <v>144</v>
      </c>
    </row>
    <row r="731" spans="5:44" ht="15" customHeight="1" x14ac:dyDescent="0.25">
      <c r="E731" s="31" t="s">
        <v>139</v>
      </c>
      <c r="F731" s="31" t="s">
        <v>140</v>
      </c>
      <c r="G731" s="31" t="s">
        <v>377</v>
      </c>
      <c r="H731" s="31" t="s">
        <v>324</v>
      </c>
      <c r="I731" s="31" t="s">
        <v>481</v>
      </c>
      <c r="J731" s="31" t="s">
        <v>699</v>
      </c>
      <c r="K731" s="31" t="s">
        <v>1042</v>
      </c>
      <c r="L731" s="31" t="s">
        <v>162</v>
      </c>
      <c r="M731" s="31" t="s">
        <v>144</v>
      </c>
      <c r="N731" s="31" t="s">
        <v>144</v>
      </c>
      <c r="O731" s="31" t="s">
        <v>144</v>
      </c>
      <c r="P731" s="31" t="s">
        <v>144</v>
      </c>
      <c r="Q731" s="31" t="s">
        <v>1071</v>
      </c>
      <c r="R731" s="31" t="s">
        <v>312</v>
      </c>
      <c r="S731" s="31" t="s">
        <v>144</v>
      </c>
      <c r="T731" s="31" t="s">
        <v>144</v>
      </c>
      <c r="U731" s="31" t="s">
        <v>144</v>
      </c>
      <c r="V731" s="31" t="s">
        <v>144</v>
      </c>
      <c r="W731" s="31" t="s">
        <v>144</v>
      </c>
      <c r="X731" s="31" t="s">
        <v>144</v>
      </c>
      <c r="Y731" s="31"/>
      <c r="Z731" s="33">
        <v>0.91</v>
      </c>
      <c r="AA731" s="31" t="s">
        <v>144</v>
      </c>
      <c r="AB731" s="31" t="s">
        <v>144</v>
      </c>
      <c r="AC731" s="31" t="s">
        <v>144</v>
      </c>
      <c r="AD731" s="31" t="s">
        <v>144</v>
      </c>
      <c r="AE731" s="31" t="s">
        <v>144</v>
      </c>
      <c r="AF731" s="31" t="s">
        <v>144</v>
      </c>
      <c r="AG731" s="31" t="s">
        <v>144</v>
      </c>
      <c r="AH731" s="31" t="s">
        <v>190</v>
      </c>
      <c r="AI731" s="31" t="s">
        <v>144</v>
      </c>
      <c r="AJ731" s="31" t="s">
        <v>144</v>
      </c>
      <c r="AK731" s="31" t="s">
        <v>144</v>
      </c>
      <c r="AL731" s="31" t="s">
        <v>322</v>
      </c>
      <c r="AM731" s="31" t="s">
        <v>144</v>
      </c>
      <c r="AN731" s="31" t="s">
        <v>163</v>
      </c>
      <c r="AO731" s="31" t="s">
        <v>1325</v>
      </c>
      <c r="AP731" s="31" t="s">
        <v>144</v>
      </c>
      <c r="AQ731" s="31" t="s">
        <v>144</v>
      </c>
      <c r="AR731" s="31" t="s">
        <v>144</v>
      </c>
    </row>
    <row r="732" spans="5:44" ht="15" customHeight="1" x14ac:dyDescent="0.25">
      <c r="E732" s="31" t="s">
        <v>139</v>
      </c>
      <c r="F732" s="31" t="s">
        <v>140</v>
      </c>
      <c r="G732" s="31" t="s">
        <v>377</v>
      </c>
      <c r="H732" s="31" t="s">
        <v>324</v>
      </c>
      <c r="I732" s="31" t="s">
        <v>481</v>
      </c>
      <c r="J732" s="31" t="s">
        <v>699</v>
      </c>
      <c r="K732" s="31" t="s">
        <v>1043</v>
      </c>
      <c r="L732" s="31" t="s">
        <v>162</v>
      </c>
      <c r="M732" s="31" t="s">
        <v>144</v>
      </c>
      <c r="N732" s="31" t="s">
        <v>144</v>
      </c>
      <c r="O732" s="31" t="s">
        <v>144</v>
      </c>
      <c r="P732" s="31" t="s">
        <v>144</v>
      </c>
      <c r="Q732" s="31" t="s">
        <v>1071</v>
      </c>
      <c r="R732" s="31" t="s">
        <v>312</v>
      </c>
      <c r="S732" s="31" t="s">
        <v>144</v>
      </c>
      <c r="T732" s="31" t="s">
        <v>144</v>
      </c>
      <c r="U732" s="31" t="s">
        <v>144</v>
      </c>
      <c r="V732" s="31" t="s">
        <v>144</v>
      </c>
      <c r="W732" s="31" t="s">
        <v>144</v>
      </c>
      <c r="X732" s="31" t="s">
        <v>144</v>
      </c>
      <c r="Y732" s="31"/>
      <c r="Z732" s="33">
        <v>0.91</v>
      </c>
      <c r="AA732" s="31" t="s">
        <v>144</v>
      </c>
      <c r="AB732" s="31" t="s">
        <v>144</v>
      </c>
      <c r="AC732" s="31" t="s">
        <v>144</v>
      </c>
      <c r="AD732" s="31" t="s">
        <v>144</v>
      </c>
      <c r="AE732" s="31" t="s">
        <v>144</v>
      </c>
      <c r="AF732" s="31" t="s">
        <v>144</v>
      </c>
      <c r="AG732" s="31" t="s">
        <v>144</v>
      </c>
      <c r="AH732" s="31" t="s">
        <v>190</v>
      </c>
      <c r="AI732" s="31" t="s">
        <v>144</v>
      </c>
      <c r="AJ732" s="31" t="s">
        <v>144</v>
      </c>
      <c r="AK732" s="31" t="s">
        <v>144</v>
      </c>
      <c r="AL732" s="31" t="s">
        <v>322</v>
      </c>
      <c r="AM732" s="31" t="s">
        <v>144</v>
      </c>
      <c r="AN732" s="31" t="s">
        <v>163</v>
      </c>
      <c r="AO732" s="31" t="s">
        <v>1325</v>
      </c>
      <c r="AP732" s="31" t="s">
        <v>144</v>
      </c>
      <c r="AQ732" s="31" t="s">
        <v>144</v>
      </c>
      <c r="AR732" s="31" t="s">
        <v>144</v>
      </c>
    </row>
    <row r="733" spans="5:44" ht="15" customHeight="1" x14ac:dyDescent="0.25">
      <c r="E733" s="31" t="s">
        <v>139</v>
      </c>
      <c r="F733" s="31" t="s">
        <v>140</v>
      </c>
      <c r="G733" s="31" t="s">
        <v>377</v>
      </c>
      <c r="H733" s="31" t="s">
        <v>324</v>
      </c>
      <c r="I733" s="31" t="s">
        <v>481</v>
      </c>
      <c r="J733" s="31" t="s">
        <v>699</v>
      </c>
      <c r="K733" s="31" t="s">
        <v>1044</v>
      </c>
      <c r="L733" s="31" t="s">
        <v>162</v>
      </c>
      <c r="M733" s="31" t="s">
        <v>144</v>
      </c>
      <c r="N733" s="31" t="s">
        <v>144</v>
      </c>
      <c r="O733" s="31" t="s">
        <v>144</v>
      </c>
      <c r="P733" s="31" t="s">
        <v>144</v>
      </c>
      <c r="Q733" s="31" t="s">
        <v>1071</v>
      </c>
      <c r="R733" s="31" t="s">
        <v>312</v>
      </c>
      <c r="S733" s="31" t="s">
        <v>144</v>
      </c>
      <c r="T733" s="31" t="s">
        <v>144</v>
      </c>
      <c r="U733" s="31" t="s">
        <v>144</v>
      </c>
      <c r="V733" s="31" t="s">
        <v>144</v>
      </c>
      <c r="W733" s="31" t="s">
        <v>144</v>
      </c>
      <c r="X733" s="31" t="s">
        <v>144</v>
      </c>
      <c r="Y733" s="31"/>
      <c r="Z733" s="33">
        <v>0.91</v>
      </c>
      <c r="AA733" s="31" t="s">
        <v>144</v>
      </c>
      <c r="AB733" s="31" t="s">
        <v>144</v>
      </c>
      <c r="AC733" s="31" t="s">
        <v>144</v>
      </c>
      <c r="AD733" s="31" t="s">
        <v>144</v>
      </c>
      <c r="AE733" s="31" t="s">
        <v>144</v>
      </c>
      <c r="AF733" s="31" t="s">
        <v>144</v>
      </c>
      <c r="AG733" s="31" t="s">
        <v>144</v>
      </c>
      <c r="AH733" s="31" t="s">
        <v>190</v>
      </c>
      <c r="AI733" s="31" t="s">
        <v>144</v>
      </c>
      <c r="AJ733" s="31" t="s">
        <v>144</v>
      </c>
      <c r="AK733" s="31" t="s">
        <v>144</v>
      </c>
      <c r="AL733" s="31" t="s">
        <v>322</v>
      </c>
      <c r="AM733" s="31" t="s">
        <v>144</v>
      </c>
      <c r="AN733" s="31" t="s">
        <v>163</v>
      </c>
      <c r="AO733" s="31" t="s">
        <v>1325</v>
      </c>
      <c r="AP733" s="31" t="s">
        <v>144</v>
      </c>
      <c r="AQ733" s="31" t="s">
        <v>144</v>
      </c>
      <c r="AR733" s="31" t="s">
        <v>144</v>
      </c>
    </row>
    <row r="734" spans="5:44" ht="15" customHeight="1" x14ac:dyDescent="0.25">
      <c r="E734" s="31" t="s">
        <v>139</v>
      </c>
      <c r="F734" s="31" t="s">
        <v>140</v>
      </c>
      <c r="G734" s="31" t="s">
        <v>377</v>
      </c>
      <c r="H734" s="31" t="s">
        <v>324</v>
      </c>
      <c r="I734" s="31" t="s">
        <v>481</v>
      </c>
      <c r="J734" s="31" t="s">
        <v>699</v>
      </c>
      <c r="K734" s="31" t="s">
        <v>1045</v>
      </c>
      <c r="L734" s="31" t="s">
        <v>162</v>
      </c>
      <c r="M734" s="31" t="s">
        <v>144</v>
      </c>
      <c r="N734" s="31" t="s">
        <v>144</v>
      </c>
      <c r="O734" s="31" t="s">
        <v>144</v>
      </c>
      <c r="P734" s="31" t="s">
        <v>144</v>
      </c>
      <c r="Q734" s="31" t="s">
        <v>1071</v>
      </c>
      <c r="R734" s="31" t="s">
        <v>312</v>
      </c>
      <c r="S734" s="31" t="s">
        <v>144</v>
      </c>
      <c r="T734" s="31" t="s">
        <v>144</v>
      </c>
      <c r="U734" s="31" t="s">
        <v>144</v>
      </c>
      <c r="V734" s="31" t="s">
        <v>144</v>
      </c>
      <c r="W734" s="31" t="s">
        <v>144</v>
      </c>
      <c r="X734" s="31" t="s">
        <v>144</v>
      </c>
      <c r="Y734" s="31"/>
      <c r="Z734" s="33">
        <v>0.91</v>
      </c>
      <c r="AA734" s="31" t="s">
        <v>144</v>
      </c>
      <c r="AB734" s="31" t="s">
        <v>144</v>
      </c>
      <c r="AC734" s="31" t="s">
        <v>144</v>
      </c>
      <c r="AD734" s="31" t="s">
        <v>144</v>
      </c>
      <c r="AE734" s="31" t="s">
        <v>144</v>
      </c>
      <c r="AF734" s="31" t="s">
        <v>144</v>
      </c>
      <c r="AG734" s="31" t="s">
        <v>144</v>
      </c>
      <c r="AH734" s="31" t="s">
        <v>190</v>
      </c>
      <c r="AI734" s="31" t="s">
        <v>144</v>
      </c>
      <c r="AJ734" s="31" t="s">
        <v>144</v>
      </c>
      <c r="AK734" s="31" t="s">
        <v>144</v>
      </c>
      <c r="AL734" s="31" t="s">
        <v>322</v>
      </c>
      <c r="AM734" s="31" t="s">
        <v>144</v>
      </c>
      <c r="AN734" s="31" t="s">
        <v>163</v>
      </c>
      <c r="AO734" s="31" t="s">
        <v>1325</v>
      </c>
      <c r="AP734" s="31" t="s">
        <v>144</v>
      </c>
      <c r="AQ734" s="31" t="s">
        <v>144</v>
      </c>
      <c r="AR734" s="31" t="s">
        <v>144</v>
      </c>
    </row>
    <row r="735" spans="5:44" ht="15" customHeight="1" x14ac:dyDescent="0.25">
      <c r="E735" s="31" t="s">
        <v>139</v>
      </c>
      <c r="F735" s="31" t="s">
        <v>140</v>
      </c>
      <c r="G735" s="31" t="s">
        <v>377</v>
      </c>
      <c r="H735" s="31" t="s">
        <v>324</v>
      </c>
      <c r="I735" s="31" t="s">
        <v>481</v>
      </c>
      <c r="J735" s="31" t="s">
        <v>699</v>
      </c>
      <c r="K735" s="31" t="s">
        <v>1046</v>
      </c>
      <c r="L735" s="31" t="s">
        <v>162</v>
      </c>
      <c r="M735" s="31" t="s">
        <v>144</v>
      </c>
      <c r="N735" s="31" t="s">
        <v>144</v>
      </c>
      <c r="O735" s="31" t="s">
        <v>144</v>
      </c>
      <c r="P735" s="31" t="s">
        <v>144</v>
      </c>
      <c r="Q735" s="31" t="s">
        <v>1071</v>
      </c>
      <c r="R735" s="31" t="s">
        <v>312</v>
      </c>
      <c r="S735" s="31" t="s">
        <v>144</v>
      </c>
      <c r="T735" s="31" t="s">
        <v>144</v>
      </c>
      <c r="U735" s="31" t="s">
        <v>144</v>
      </c>
      <c r="V735" s="31" t="s">
        <v>144</v>
      </c>
      <c r="W735" s="31" t="s">
        <v>144</v>
      </c>
      <c r="X735" s="31" t="s">
        <v>144</v>
      </c>
      <c r="Y735" s="31"/>
      <c r="Z735" s="33">
        <v>0.91</v>
      </c>
      <c r="AA735" s="31" t="s">
        <v>144</v>
      </c>
      <c r="AB735" s="31" t="s">
        <v>144</v>
      </c>
      <c r="AC735" s="31" t="s">
        <v>144</v>
      </c>
      <c r="AD735" s="31" t="s">
        <v>144</v>
      </c>
      <c r="AE735" s="31" t="s">
        <v>144</v>
      </c>
      <c r="AF735" s="31" t="s">
        <v>144</v>
      </c>
      <c r="AG735" s="31" t="s">
        <v>144</v>
      </c>
      <c r="AH735" s="31" t="s">
        <v>190</v>
      </c>
      <c r="AI735" s="31" t="s">
        <v>144</v>
      </c>
      <c r="AJ735" s="31" t="s">
        <v>144</v>
      </c>
      <c r="AK735" s="31" t="s">
        <v>144</v>
      </c>
      <c r="AL735" s="31" t="s">
        <v>322</v>
      </c>
      <c r="AM735" s="31" t="s">
        <v>144</v>
      </c>
      <c r="AN735" s="31" t="s">
        <v>163</v>
      </c>
      <c r="AO735" s="31" t="s">
        <v>1325</v>
      </c>
      <c r="AP735" s="31" t="s">
        <v>144</v>
      </c>
      <c r="AQ735" s="31" t="s">
        <v>144</v>
      </c>
      <c r="AR735" s="31" t="s">
        <v>144</v>
      </c>
    </row>
    <row r="736" spans="5:44" ht="15" customHeight="1" x14ac:dyDescent="0.25">
      <c r="E736" s="31" t="s">
        <v>139</v>
      </c>
      <c r="F736" s="31" t="s">
        <v>140</v>
      </c>
      <c r="G736" s="31" t="s">
        <v>377</v>
      </c>
      <c r="H736" s="31" t="s">
        <v>324</v>
      </c>
      <c r="I736" s="31" t="s">
        <v>481</v>
      </c>
      <c r="J736" s="31" t="s">
        <v>699</v>
      </c>
      <c r="K736" s="31" t="s">
        <v>1047</v>
      </c>
      <c r="L736" s="31" t="s">
        <v>162</v>
      </c>
      <c r="M736" s="31" t="s">
        <v>144</v>
      </c>
      <c r="N736" s="31" t="s">
        <v>144</v>
      </c>
      <c r="O736" s="31" t="s">
        <v>144</v>
      </c>
      <c r="P736" s="31" t="s">
        <v>144</v>
      </c>
      <c r="Q736" s="31" t="s">
        <v>1071</v>
      </c>
      <c r="R736" s="31" t="s">
        <v>312</v>
      </c>
      <c r="S736" s="31" t="s">
        <v>144</v>
      </c>
      <c r="T736" s="31" t="s">
        <v>144</v>
      </c>
      <c r="U736" s="31" t="s">
        <v>144</v>
      </c>
      <c r="V736" s="31" t="s">
        <v>144</v>
      </c>
      <c r="W736" s="31" t="s">
        <v>144</v>
      </c>
      <c r="X736" s="31" t="s">
        <v>144</v>
      </c>
      <c r="Y736" s="31"/>
      <c r="Z736" s="33">
        <v>0.91</v>
      </c>
      <c r="AA736" s="31" t="s">
        <v>144</v>
      </c>
      <c r="AB736" s="31" t="s">
        <v>144</v>
      </c>
      <c r="AC736" s="31" t="s">
        <v>144</v>
      </c>
      <c r="AD736" s="31" t="s">
        <v>144</v>
      </c>
      <c r="AE736" s="31" t="s">
        <v>144</v>
      </c>
      <c r="AF736" s="31" t="s">
        <v>144</v>
      </c>
      <c r="AG736" s="31" t="s">
        <v>144</v>
      </c>
      <c r="AH736" s="31" t="s">
        <v>190</v>
      </c>
      <c r="AI736" s="31" t="s">
        <v>144</v>
      </c>
      <c r="AJ736" s="31" t="s">
        <v>144</v>
      </c>
      <c r="AK736" s="31" t="s">
        <v>144</v>
      </c>
      <c r="AL736" s="31" t="s">
        <v>322</v>
      </c>
      <c r="AM736" s="31" t="s">
        <v>144</v>
      </c>
      <c r="AN736" s="31" t="s">
        <v>163</v>
      </c>
      <c r="AO736" s="31" t="s">
        <v>1325</v>
      </c>
      <c r="AP736" s="31" t="s">
        <v>144</v>
      </c>
      <c r="AQ736" s="31" t="s">
        <v>144</v>
      </c>
      <c r="AR736" s="31" t="s">
        <v>144</v>
      </c>
    </row>
    <row r="737" spans="5:47" ht="15" customHeight="1" x14ac:dyDescent="0.25">
      <c r="E737" s="31" t="s">
        <v>139</v>
      </c>
      <c r="F737" s="31" t="s">
        <v>140</v>
      </c>
      <c r="G737" s="31" t="s">
        <v>377</v>
      </c>
      <c r="H737" s="31" t="s">
        <v>324</v>
      </c>
      <c r="I737" s="31" t="s">
        <v>481</v>
      </c>
      <c r="J737" s="31" t="s">
        <v>699</v>
      </c>
      <c r="K737" s="31" t="s">
        <v>1048</v>
      </c>
      <c r="L737" s="31" t="s">
        <v>162</v>
      </c>
      <c r="M737" s="31" t="s">
        <v>144</v>
      </c>
      <c r="N737" s="31" t="s">
        <v>144</v>
      </c>
      <c r="O737" s="31" t="s">
        <v>144</v>
      </c>
      <c r="P737" s="31" t="s">
        <v>144</v>
      </c>
      <c r="Q737" s="31" t="s">
        <v>1071</v>
      </c>
      <c r="R737" s="31" t="s">
        <v>312</v>
      </c>
      <c r="S737" s="31" t="s">
        <v>144</v>
      </c>
      <c r="T737" s="31" t="s">
        <v>144</v>
      </c>
      <c r="U737" s="31" t="s">
        <v>144</v>
      </c>
      <c r="V737" s="31" t="s">
        <v>144</v>
      </c>
      <c r="W737" s="31" t="s">
        <v>144</v>
      </c>
      <c r="X737" s="31" t="s">
        <v>144</v>
      </c>
      <c r="Y737" s="31"/>
      <c r="Z737" s="33">
        <v>0.91</v>
      </c>
      <c r="AA737" s="31" t="s">
        <v>144</v>
      </c>
      <c r="AB737" s="31" t="s">
        <v>144</v>
      </c>
      <c r="AC737" s="31" t="s">
        <v>144</v>
      </c>
      <c r="AD737" s="31" t="s">
        <v>144</v>
      </c>
      <c r="AE737" s="31" t="s">
        <v>144</v>
      </c>
      <c r="AF737" s="31" t="s">
        <v>144</v>
      </c>
      <c r="AG737" s="31" t="s">
        <v>144</v>
      </c>
      <c r="AH737" s="31" t="s">
        <v>190</v>
      </c>
      <c r="AI737" s="31" t="s">
        <v>144</v>
      </c>
      <c r="AJ737" s="31" t="s">
        <v>144</v>
      </c>
      <c r="AK737" s="31" t="s">
        <v>144</v>
      </c>
      <c r="AL737" s="31" t="s">
        <v>322</v>
      </c>
      <c r="AM737" s="31" t="s">
        <v>144</v>
      </c>
      <c r="AN737" s="31" t="s">
        <v>163</v>
      </c>
      <c r="AO737" s="31" t="s">
        <v>1325</v>
      </c>
      <c r="AP737" s="31" t="s">
        <v>144</v>
      </c>
      <c r="AQ737" s="31" t="s">
        <v>144</v>
      </c>
      <c r="AR737" s="31" t="s">
        <v>144</v>
      </c>
    </row>
    <row r="738" spans="5:47" ht="15" customHeight="1" x14ac:dyDescent="0.25"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3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90"/>
    </row>
    <row r="739" spans="5:47" ht="15" customHeight="1" x14ac:dyDescent="0.25"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3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90"/>
    </row>
    <row r="740" spans="5:47" ht="15" customHeight="1" x14ac:dyDescent="0.25">
      <c r="E740" s="31" t="s">
        <v>1072</v>
      </c>
      <c r="F740" s="31" t="s">
        <v>1073</v>
      </c>
      <c r="G740" s="31" t="s">
        <v>315</v>
      </c>
      <c r="H740" s="31" t="s">
        <v>1074</v>
      </c>
      <c r="I740" s="31" t="s">
        <v>481</v>
      </c>
      <c r="J740" s="31" t="s">
        <v>1075</v>
      </c>
      <c r="K740" s="31" t="s">
        <v>1076</v>
      </c>
      <c r="L740" s="31" t="s">
        <v>472</v>
      </c>
      <c r="M740" s="31" t="s">
        <v>144</v>
      </c>
      <c r="N740" s="31" t="s">
        <v>144</v>
      </c>
      <c r="O740" s="31" t="s">
        <v>144</v>
      </c>
      <c r="P740" s="31" t="s">
        <v>144</v>
      </c>
      <c r="Q740" s="31" t="s">
        <v>1077</v>
      </c>
      <c r="R740" s="31">
        <v>2.5</v>
      </c>
      <c r="S740" s="31" t="s">
        <v>144</v>
      </c>
      <c r="T740" s="31" t="s">
        <v>144</v>
      </c>
      <c r="U740" s="31" t="s">
        <v>144</v>
      </c>
      <c r="V740" s="31" t="s">
        <v>144</v>
      </c>
      <c r="W740" s="31" t="s">
        <v>144</v>
      </c>
      <c r="X740" s="31" t="s">
        <v>144</v>
      </c>
      <c r="Y740" s="31" t="s">
        <v>144</v>
      </c>
      <c r="Z740" s="31" t="s">
        <v>144</v>
      </c>
      <c r="AA740" s="31" t="s">
        <v>144</v>
      </c>
      <c r="AB740" s="31" t="s">
        <v>144</v>
      </c>
      <c r="AC740" s="31" t="s">
        <v>144</v>
      </c>
      <c r="AD740" s="31" t="s">
        <v>144</v>
      </c>
      <c r="AE740" s="31" t="s">
        <v>144</v>
      </c>
      <c r="AF740" s="31" t="s">
        <v>144</v>
      </c>
      <c r="AG740" s="31" t="s">
        <v>144</v>
      </c>
      <c r="AH740" s="31" t="s">
        <v>144</v>
      </c>
      <c r="AI740" s="31" t="s">
        <v>144</v>
      </c>
      <c r="AJ740" s="31" t="s">
        <v>144</v>
      </c>
      <c r="AK740" s="31" t="s">
        <v>144</v>
      </c>
      <c r="AL740" s="390" t="s">
        <v>144</v>
      </c>
      <c r="AM740" s="31" t="s">
        <v>144</v>
      </c>
      <c r="AN740" s="31" t="s">
        <v>163</v>
      </c>
      <c r="AO740" s="31" t="s">
        <v>1326</v>
      </c>
      <c r="AP740" s="31" t="s">
        <v>144</v>
      </c>
      <c r="AQ740" s="31" t="s">
        <v>144</v>
      </c>
      <c r="AR740" s="31" t="s">
        <v>144</v>
      </c>
    </row>
    <row r="741" spans="5:47" ht="15" customHeight="1" x14ac:dyDescent="0.25">
      <c r="E741" s="31" t="s">
        <v>1072</v>
      </c>
      <c r="F741" s="31" t="s">
        <v>1073</v>
      </c>
      <c r="G741" s="31" t="s">
        <v>315</v>
      </c>
      <c r="H741" s="31" t="s">
        <v>1074</v>
      </c>
      <c r="I741" s="31" t="s">
        <v>481</v>
      </c>
      <c r="J741" s="31" t="s">
        <v>1075</v>
      </c>
      <c r="K741" s="31" t="s">
        <v>1076</v>
      </c>
      <c r="L741" s="31" t="s">
        <v>472</v>
      </c>
      <c r="M741" s="31" t="s">
        <v>144</v>
      </c>
      <c r="N741" s="31" t="s">
        <v>144</v>
      </c>
      <c r="O741" s="31" t="s">
        <v>144</v>
      </c>
      <c r="P741" s="31" t="s">
        <v>144</v>
      </c>
      <c r="Q741" s="31" t="s">
        <v>1077</v>
      </c>
      <c r="R741" s="31">
        <v>2.5</v>
      </c>
      <c r="S741" s="31" t="s">
        <v>144</v>
      </c>
      <c r="T741" s="31" t="s">
        <v>144</v>
      </c>
      <c r="U741" s="31" t="s">
        <v>144</v>
      </c>
      <c r="V741" s="31" t="s">
        <v>144</v>
      </c>
      <c r="W741" s="31" t="s">
        <v>144</v>
      </c>
      <c r="X741" s="31" t="s">
        <v>144</v>
      </c>
      <c r="Y741" s="31" t="s">
        <v>144</v>
      </c>
      <c r="Z741" s="31" t="s">
        <v>144</v>
      </c>
      <c r="AA741" s="31" t="s">
        <v>144</v>
      </c>
      <c r="AB741" s="31" t="s">
        <v>144</v>
      </c>
      <c r="AC741" s="31" t="s">
        <v>144</v>
      </c>
      <c r="AD741" s="31" t="s">
        <v>144</v>
      </c>
      <c r="AE741" s="31" t="s">
        <v>144</v>
      </c>
      <c r="AF741" s="31" t="s">
        <v>144</v>
      </c>
      <c r="AG741" s="31" t="s">
        <v>144</v>
      </c>
      <c r="AH741" s="31" t="s">
        <v>144</v>
      </c>
      <c r="AI741" s="31" t="s">
        <v>144</v>
      </c>
      <c r="AJ741" s="31" t="s">
        <v>144</v>
      </c>
      <c r="AK741" s="31" t="s">
        <v>144</v>
      </c>
      <c r="AL741" s="390" t="s">
        <v>144</v>
      </c>
      <c r="AM741" s="31" t="s">
        <v>144</v>
      </c>
      <c r="AN741" s="31" t="s">
        <v>163</v>
      </c>
      <c r="AO741" s="31" t="s">
        <v>1326</v>
      </c>
      <c r="AP741" s="31" t="s">
        <v>144</v>
      </c>
      <c r="AQ741" s="31" t="s">
        <v>144</v>
      </c>
      <c r="AR741" s="31" t="s">
        <v>144</v>
      </c>
    </row>
    <row r="742" spans="5:47" ht="15" customHeight="1" x14ac:dyDescent="0.25">
      <c r="E742" s="31" t="s">
        <v>1072</v>
      </c>
      <c r="F742" s="31" t="s">
        <v>1073</v>
      </c>
      <c r="G742" s="31" t="s">
        <v>315</v>
      </c>
      <c r="H742" s="31" t="s">
        <v>1074</v>
      </c>
      <c r="I742" s="31" t="s">
        <v>481</v>
      </c>
      <c r="J742" s="31" t="s">
        <v>1075</v>
      </c>
      <c r="K742" s="31" t="s">
        <v>1076</v>
      </c>
      <c r="L742" s="31" t="s">
        <v>472</v>
      </c>
      <c r="M742" s="31" t="s">
        <v>144</v>
      </c>
      <c r="N742" s="31" t="s">
        <v>144</v>
      </c>
      <c r="O742" s="31" t="s">
        <v>144</v>
      </c>
      <c r="P742" s="31" t="s">
        <v>144</v>
      </c>
      <c r="Q742" s="31" t="s">
        <v>1077</v>
      </c>
      <c r="R742" s="31">
        <v>2.5</v>
      </c>
      <c r="S742" s="31" t="s">
        <v>144</v>
      </c>
      <c r="T742" s="31" t="s">
        <v>144</v>
      </c>
      <c r="U742" s="31" t="s">
        <v>144</v>
      </c>
      <c r="V742" s="31" t="s">
        <v>144</v>
      </c>
      <c r="W742" s="31" t="s">
        <v>144</v>
      </c>
      <c r="X742" s="31" t="s">
        <v>144</v>
      </c>
      <c r="Y742" s="31" t="s">
        <v>144</v>
      </c>
      <c r="Z742" s="31" t="s">
        <v>144</v>
      </c>
      <c r="AA742" s="31" t="s">
        <v>144</v>
      </c>
      <c r="AB742" s="31" t="s">
        <v>144</v>
      </c>
      <c r="AC742" s="31" t="s">
        <v>144</v>
      </c>
      <c r="AD742" s="31" t="s">
        <v>144</v>
      </c>
      <c r="AE742" s="31" t="s">
        <v>144</v>
      </c>
      <c r="AF742" s="31" t="s">
        <v>144</v>
      </c>
      <c r="AG742" s="31" t="s">
        <v>144</v>
      </c>
      <c r="AH742" s="31" t="s">
        <v>144</v>
      </c>
      <c r="AI742" s="31" t="s">
        <v>144</v>
      </c>
      <c r="AJ742" s="31" t="s">
        <v>144</v>
      </c>
      <c r="AK742" s="31" t="s">
        <v>144</v>
      </c>
      <c r="AL742" s="390" t="s">
        <v>144</v>
      </c>
      <c r="AM742" s="31" t="s">
        <v>144</v>
      </c>
      <c r="AN742" s="31" t="s">
        <v>163</v>
      </c>
      <c r="AO742" s="31" t="s">
        <v>1326</v>
      </c>
      <c r="AP742" s="31" t="s">
        <v>144</v>
      </c>
      <c r="AQ742" s="31" t="s">
        <v>144</v>
      </c>
      <c r="AR742" s="31" t="s">
        <v>144</v>
      </c>
    </row>
    <row r="744" spans="5:47" ht="15" customHeight="1" x14ac:dyDescent="0.25">
      <c r="E744" s="31" t="s">
        <v>1328</v>
      </c>
      <c r="F744" s="31" t="s">
        <v>140</v>
      </c>
      <c r="G744" s="31" t="s">
        <v>374</v>
      </c>
      <c r="H744" s="31" t="s">
        <v>144</v>
      </c>
      <c r="I744" s="31" t="s">
        <v>481</v>
      </c>
      <c r="J744" s="31" t="s">
        <v>647</v>
      </c>
      <c r="K744" s="31" t="s">
        <v>750</v>
      </c>
      <c r="L744" s="31" t="s">
        <v>162</v>
      </c>
      <c r="M744" s="31" t="s">
        <v>144</v>
      </c>
      <c r="N744" s="31" t="s">
        <v>144</v>
      </c>
      <c r="O744" s="31">
        <v>16</v>
      </c>
      <c r="P744" s="31" t="s">
        <v>144</v>
      </c>
      <c r="Q744" s="31" t="s">
        <v>256</v>
      </c>
      <c r="R744" s="31" t="s">
        <v>477</v>
      </c>
      <c r="S744" s="31" t="s">
        <v>144</v>
      </c>
      <c r="T744" s="31" t="s">
        <v>144</v>
      </c>
      <c r="U744" s="31" t="s">
        <v>144</v>
      </c>
      <c r="V744" s="31" t="s">
        <v>144</v>
      </c>
      <c r="W744" s="31" t="s">
        <v>144</v>
      </c>
      <c r="X744" s="31" t="s">
        <v>144</v>
      </c>
      <c r="Y744" s="31" t="s">
        <v>144</v>
      </c>
      <c r="Z744" s="31" t="s">
        <v>144</v>
      </c>
      <c r="AA744" s="31" t="s">
        <v>144</v>
      </c>
      <c r="AB744" s="31" t="s">
        <v>144</v>
      </c>
      <c r="AC744" s="31" t="s">
        <v>144</v>
      </c>
      <c r="AD744" s="31" t="s">
        <v>144</v>
      </c>
      <c r="AE744" s="31" t="s">
        <v>144</v>
      </c>
      <c r="AF744" s="31" t="s">
        <v>144</v>
      </c>
      <c r="AG744" s="31" t="s">
        <v>144</v>
      </c>
      <c r="AH744" s="31" t="s">
        <v>473</v>
      </c>
      <c r="AI744" s="31" t="s">
        <v>476</v>
      </c>
      <c r="AJ744" s="31" t="s">
        <v>144</v>
      </c>
      <c r="AK744" s="31" t="s">
        <v>144</v>
      </c>
      <c r="AL744" s="31" t="s">
        <v>194</v>
      </c>
      <c r="AM744" s="31" t="s">
        <v>144</v>
      </c>
      <c r="AN744" s="31" t="s">
        <v>163</v>
      </c>
      <c r="AO744" s="31" t="s">
        <v>144</v>
      </c>
      <c r="AP744" s="31"/>
      <c r="AQ744" s="31"/>
      <c r="AR744" s="31"/>
      <c r="AS744" s="31"/>
      <c r="AT744" s="31"/>
      <c r="AU744" s="31"/>
    </row>
    <row r="745" spans="5:47" ht="15" customHeight="1" x14ac:dyDescent="0.25">
      <c r="E745" s="31" t="s">
        <v>1328</v>
      </c>
      <c r="F745" s="31" t="s">
        <v>140</v>
      </c>
      <c r="G745" s="31" t="s">
        <v>374</v>
      </c>
      <c r="H745" s="31" t="s">
        <v>144</v>
      </c>
      <c r="I745" s="31" t="s">
        <v>481</v>
      </c>
      <c r="J745" s="31" t="s">
        <v>647</v>
      </c>
      <c r="K745" s="31" t="s">
        <v>751</v>
      </c>
      <c r="L745" s="31" t="s">
        <v>162</v>
      </c>
      <c r="M745" s="31" t="s">
        <v>144</v>
      </c>
      <c r="N745" s="31" t="s">
        <v>144</v>
      </c>
      <c r="O745" s="31">
        <v>16</v>
      </c>
      <c r="P745" s="31" t="s">
        <v>144</v>
      </c>
      <c r="Q745" s="31" t="s">
        <v>256</v>
      </c>
      <c r="R745" s="31" t="s">
        <v>477</v>
      </c>
      <c r="S745" s="31" t="s">
        <v>144</v>
      </c>
      <c r="T745" s="31" t="s">
        <v>144</v>
      </c>
      <c r="U745" s="31" t="s">
        <v>144</v>
      </c>
      <c r="V745" s="31" t="s">
        <v>144</v>
      </c>
      <c r="W745" s="31" t="s">
        <v>144</v>
      </c>
      <c r="X745" s="31" t="s">
        <v>144</v>
      </c>
      <c r="Y745" s="31" t="s">
        <v>144</v>
      </c>
      <c r="Z745" s="31" t="s">
        <v>144</v>
      </c>
      <c r="AA745" s="31" t="s">
        <v>144</v>
      </c>
      <c r="AB745" s="31" t="s">
        <v>144</v>
      </c>
      <c r="AC745" s="31" t="s">
        <v>144</v>
      </c>
      <c r="AD745" s="31" t="s">
        <v>144</v>
      </c>
      <c r="AE745" s="31" t="s">
        <v>144</v>
      </c>
      <c r="AF745" s="31" t="s">
        <v>144</v>
      </c>
      <c r="AG745" s="31" t="s">
        <v>144</v>
      </c>
      <c r="AH745" s="31" t="s">
        <v>473</v>
      </c>
      <c r="AI745" s="31" t="s">
        <v>476</v>
      </c>
      <c r="AJ745" s="31" t="s">
        <v>144</v>
      </c>
      <c r="AK745" s="31" t="s">
        <v>144</v>
      </c>
      <c r="AL745" s="31" t="s">
        <v>194</v>
      </c>
      <c r="AM745" s="31" t="s">
        <v>144</v>
      </c>
      <c r="AN745" s="31" t="s">
        <v>163</v>
      </c>
      <c r="AO745" s="31" t="s">
        <v>144</v>
      </c>
      <c r="AP745" s="31"/>
      <c r="AQ745" s="31"/>
      <c r="AR745" s="31"/>
    </row>
    <row r="746" spans="5:47" ht="15" customHeight="1" x14ac:dyDescent="0.25">
      <c r="E746" s="31" t="s">
        <v>1328</v>
      </c>
      <c r="F746" s="31" t="s">
        <v>140</v>
      </c>
      <c r="G746" s="31" t="s">
        <v>374</v>
      </c>
      <c r="H746" s="31" t="s">
        <v>144</v>
      </c>
      <c r="I746" s="31" t="s">
        <v>481</v>
      </c>
      <c r="J746" s="31" t="s">
        <v>647</v>
      </c>
      <c r="K746" s="31" t="s">
        <v>752</v>
      </c>
      <c r="L746" s="31" t="s">
        <v>162</v>
      </c>
      <c r="M746" s="31" t="s">
        <v>144</v>
      </c>
      <c r="N746" s="31" t="s">
        <v>144</v>
      </c>
      <c r="O746" s="31">
        <v>16</v>
      </c>
      <c r="P746" s="31" t="s">
        <v>144</v>
      </c>
      <c r="Q746" s="31" t="s">
        <v>256</v>
      </c>
      <c r="R746" s="31" t="s">
        <v>477</v>
      </c>
      <c r="S746" s="31" t="s">
        <v>144</v>
      </c>
      <c r="T746" s="31" t="s">
        <v>144</v>
      </c>
      <c r="U746" s="31" t="s">
        <v>144</v>
      </c>
      <c r="V746" s="31" t="s">
        <v>144</v>
      </c>
      <c r="W746" s="31" t="s">
        <v>144</v>
      </c>
      <c r="X746" s="31" t="s">
        <v>144</v>
      </c>
      <c r="Y746" s="31" t="s">
        <v>144</v>
      </c>
      <c r="Z746" s="31" t="s">
        <v>144</v>
      </c>
      <c r="AA746" s="31" t="s">
        <v>144</v>
      </c>
      <c r="AB746" s="31" t="s">
        <v>144</v>
      </c>
      <c r="AC746" s="31" t="s">
        <v>144</v>
      </c>
      <c r="AD746" s="31" t="s">
        <v>144</v>
      </c>
      <c r="AE746" s="31" t="s">
        <v>144</v>
      </c>
      <c r="AF746" s="31" t="s">
        <v>144</v>
      </c>
      <c r="AG746" s="31" t="s">
        <v>144</v>
      </c>
      <c r="AH746" s="31" t="s">
        <v>473</v>
      </c>
      <c r="AI746" s="31" t="s">
        <v>476</v>
      </c>
      <c r="AJ746" s="31" t="s">
        <v>144</v>
      </c>
      <c r="AK746" s="31" t="s">
        <v>144</v>
      </c>
      <c r="AL746" s="31" t="s">
        <v>194</v>
      </c>
      <c r="AM746" s="31" t="s">
        <v>144</v>
      </c>
      <c r="AN746" s="31" t="s">
        <v>163</v>
      </c>
      <c r="AO746" s="31" t="s">
        <v>144</v>
      </c>
      <c r="AP746" s="31"/>
      <c r="AQ746" s="31"/>
      <c r="AR746" s="31"/>
    </row>
    <row r="747" spans="5:47" ht="15" customHeight="1" x14ac:dyDescent="0.25">
      <c r="E747" s="31" t="s">
        <v>1328</v>
      </c>
      <c r="F747" s="31" t="s">
        <v>140</v>
      </c>
      <c r="G747" s="31" t="s">
        <v>374</v>
      </c>
      <c r="H747" s="31" t="s">
        <v>144</v>
      </c>
      <c r="I747" s="31" t="s">
        <v>481</v>
      </c>
      <c r="J747" s="31" t="s">
        <v>647</v>
      </c>
      <c r="K747" s="31" t="s">
        <v>753</v>
      </c>
      <c r="L747" s="31" t="s">
        <v>162</v>
      </c>
      <c r="M747" s="31" t="s">
        <v>144</v>
      </c>
      <c r="N747" s="31" t="s">
        <v>144</v>
      </c>
      <c r="O747" s="31">
        <v>16</v>
      </c>
      <c r="P747" s="31" t="s">
        <v>144</v>
      </c>
      <c r="Q747" s="31" t="s">
        <v>256</v>
      </c>
      <c r="R747" s="31" t="s">
        <v>477</v>
      </c>
      <c r="S747" s="31" t="s">
        <v>144</v>
      </c>
      <c r="T747" s="31" t="s">
        <v>144</v>
      </c>
      <c r="U747" s="31" t="s">
        <v>144</v>
      </c>
      <c r="V747" s="31" t="s">
        <v>144</v>
      </c>
      <c r="W747" s="31" t="s">
        <v>144</v>
      </c>
      <c r="X747" s="31" t="s">
        <v>144</v>
      </c>
      <c r="Y747" s="31" t="s">
        <v>144</v>
      </c>
      <c r="Z747" s="31" t="s">
        <v>144</v>
      </c>
      <c r="AA747" s="31" t="s">
        <v>144</v>
      </c>
      <c r="AB747" s="31" t="s">
        <v>144</v>
      </c>
      <c r="AC747" s="31" t="s">
        <v>144</v>
      </c>
      <c r="AD747" s="31" t="s">
        <v>144</v>
      </c>
      <c r="AE747" s="31" t="s">
        <v>144</v>
      </c>
      <c r="AF747" s="31" t="s">
        <v>144</v>
      </c>
      <c r="AG747" s="31" t="s">
        <v>144</v>
      </c>
      <c r="AH747" s="31" t="s">
        <v>473</v>
      </c>
      <c r="AI747" s="31" t="s">
        <v>476</v>
      </c>
      <c r="AJ747" s="31" t="s">
        <v>144</v>
      </c>
      <c r="AK747" s="31" t="s">
        <v>144</v>
      </c>
      <c r="AL747" s="31" t="s">
        <v>194</v>
      </c>
      <c r="AM747" s="31" t="s">
        <v>144</v>
      </c>
      <c r="AN747" s="31" t="s">
        <v>163</v>
      </c>
      <c r="AO747" s="31" t="s">
        <v>144</v>
      </c>
      <c r="AP747" s="31"/>
      <c r="AQ747" s="31"/>
      <c r="AR747" s="31"/>
    </row>
    <row r="748" spans="5:47" ht="15" customHeight="1" x14ac:dyDescent="0.25">
      <c r="E748" s="31" t="s">
        <v>1328</v>
      </c>
      <c r="F748" s="31" t="s">
        <v>140</v>
      </c>
      <c r="G748" s="31" t="s">
        <v>374</v>
      </c>
      <c r="H748" s="31" t="s">
        <v>144</v>
      </c>
      <c r="I748" s="31" t="s">
        <v>481</v>
      </c>
      <c r="J748" s="31" t="s">
        <v>647</v>
      </c>
      <c r="K748" s="31" t="s">
        <v>754</v>
      </c>
      <c r="L748" s="31" t="s">
        <v>162</v>
      </c>
      <c r="M748" s="31" t="s">
        <v>144</v>
      </c>
      <c r="N748" s="31" t="s">
        <v>144</v>
      </c>
      <c r="O748" s="31">
        <v>16</v>
      </c>
      <c r="P748" s="31" t="s">
        <v>144</v>
      </c>
      <c r="Q748" s="31" t="s">
        <v>256</v>
      </c>
      <c r="R748" s="31" t="s">
        <v>477</v>
      </c>
      <c r="S748" s="31" t="s">
        <v>144</v>
      </c>
      <c r="T748" s="31" t="s">
        <v>144</v>
      </c>
      <c r="U748" s="31" t="s">
        <v>144</v>
      </c>
      <c r="V748" s="31" t="s">
        <v>144</v>
      </c>
      <c r="W748" s="31" t="s">
        <v>144</v>
      </c>
      <c r="X748" s="31" t="s">
        <v>144</v>
      </c>
      <c r="Y748" s="31" t="s">
        <v>144</v>
      </c>
      <c r="Z748" s="31" t="s">
        <v>144</v>
      </c>
      <c r="AA748" s="31" t="s">
        <v>144</v>
      </c>
      <c r="AB748" s="31" t="s">
        <v>144</v>
      </c>
      <c r="AC748" s="31" t="s">
        <v>144</v>
      </c>
      <c r="AD748" s="31" t="s">
        <v>144</v>
      </c>
      <c r="AE748" s="31" t="s">
        <v>144</v>
      </c>
      <c r="AF748" s="31" t="s">
        <v>144</v>
      </c>
      <c r="AG748" s="31" t="s">
        <v>144</v>
      </c>
      <c r="AH748" s="31" t="s">
        <v>473</v>
      </c>
      <c r="AI748" s="31" t="s">
        <v>476</v>
      </c>
      <c r="AJ748" s="31" t="s">
        <v>144</v>
      </c>
      <c r="AK748" s="31" t="s">
        <v>144</v>
      </c>
      <c r="AL748" s="31" t="s">
        <v>194</v>
      </c>
      <c r="AM748" s="31" t="s">
        <v>144</v>
      </c>
      <c r="AN748" s="31" t="s">
        <v>163</v>
      </c>
      <c r="AO748" s="31" t="s">
        <v>144</v>
      </c>
      <c r="AP748" s="31"/>
      <c r="AQ748" s="31"/>
      <c r="AR748" s="31"/>
    </row>
    <row r="749" spans="5:47" ht="15" customHeight="1" x14ac:dyDescent="0.25">
      <c r="E749" s="31" t="s">
        <v>1328</v>
      </c>
      <c r="F749" s="31" t="s">
        <v>140</v>
      </c>
      <c r="G749" s="31" t="s">
        <v>374</v>
      </c>
      <c r="H749" s="31" t="s">
        <v>144</v>
      </c>
      <c r="I749" s="31" t="s">
        <v>481</v>
      </c>
      <c r="J749" s="31" t="s">
        <v>647</v>
      </c>
      <c r="K749" s="31" t="s">
        <v>755</v>
      </c>
      <c r="L749" s="31" t="s">
        <v>162</v>
      </c>
      <c r="M749" s="31" t="s">
        <v>144</v>
      </c>
      <c r="N749" s="31" t="s">
        <v>144</v>
      </c>
      <c r="O749" s="31">
        <v>16</v>
      </c>
      <c r="P749" s="31" t="s">
        <v>144</v>
      </c>
      <c r="Q749" s="31" t="s">
        <v>256</v>
      </c>
      <c r="R749" s="31" t="s">
        <v>477</v>
      </c>
      <c r="S749" s="31" t="s">
        <v>144</v>
      </c>
      <c r="T749" s="31" t="s">
        <v>144</v>
      </c>
      <c r="U749" s="31" t="s">
        <v>144</v>
      </c>
      <c r="V749" s="31" t="s">
        <v>144</v>
      </c>
      <c r="W749" s="31" t="s">
        <v>144</v>
      </c>
      <c r="X749" s="31" t="s">
        <v>144</v>
      </c>
      <c r="Y749" s="31" t="s">
        <v>144</v>
      </c>
      <c r="Z749" s="31" t="s">
        <v>144</v>
      </c>
      <c r="AA749" s="31" t="s">
        <v>144</v>
      </c>
      <c r="AB749" s="31" t="s">
        <v>144</v>
      </c>
      <c r="AC749" s="31" t="s">
        <v>144</v>
      </c>
      <c r="AD749" s="31" t="s">
        <v>144</v>
      </c>
      <c r="AE749" s="31" t="s">
        <v>144</v>
      </c>
      <c r="AF749" s="31" t="s">
        <v>144</v>
      </c>
      <c r="AG749" s="31" t="s">
        <v>144</v>
      </c>
      <c r="AH749" s="31" t="s">
        <v>473</v>
      </c>
      <c r="AI749" s="31" t="s">
        <v>476</v>
      </c>
      <c r="AJ749" s="31" t="s">
        <v>144</v>
      </c>
      <c r="AK749" s="31" t="s">
        <v>144</v>
      </c>
      <c r="AL749" s="31" t="s">
        <v>194</v>
      </c>
      <c r="AM749" s="31" t="s">
        <v>144</v>
      </c>
      <c r="AN749" s="31" t="s">
        <v>163</v>
      </c>
      <c r="AO749" s="31" t="s">
        <v>144</v>
      </c>
      <c r="AP749" s="31"/>
      <c r="AQ749" s="31"/>
      <c r="AR749" s="31"/>
    </row>
    <row r="750" spans="5:47" ht="15" customHeight="1" x14ac:dyDescent="0.25">
      <c r="E750" s="31" t="s">
        <v>1328</v>
      </c>
      <c r="F750" s="31" t="s">
        <v>140</v>
      </c>
      <c r="G750" s="31" t="s">
        <v>374</v>
      </c>
      <c r="H750" s="31" t="s">
        <v>144</v>
      </c>
      <c r="I750" s="31" t="s">
        <v>481</v>
      </c>
      <c r="J750" s="31" t="s">
        <v>647</v>
      </c>
      <c r="K750" s="31" t="s">
        <v>756</v>
      </c>
      <c r="L750" s="31" t="s">
        <v>162</v>
      </c>
      <c r="M750" s="31" t="s">
        <v>144</v>
      </c>
      <c r="N750" s="31" t="s">
        <v>144</v>
      </c>
      <c r="O750" s="31">
        <v>16</v>
      </c>
      <c r="P750" s="31" t="s">
        <v>144</v>
      </c>
      <c r="Q750" s="31" t="s">
        <v>256</v>
      </c>
      <c r="R750" s="31" t="s">
        <v>477</v>
      </c>
      <c r="S750" s="31" t="s">
        <v>144</v>
      </c>
      <c r="T750" s="31" t="s">
        <v>144</v>
      </c>
      <c r="U750" s="31" t="s">
        <v>144</v>
      </c>
      <c r="V750" s="31" t="s">
        <v>144</v>
      </c>
      <c r="W750" s="31" t="s">
        <v>144</v>
      </c>
      <c r="X750" s="31" t="s">
        <v>144</v>
      </c>
      <c r="Y750" s="31" t="s">
        <v>144</v>
      </c>
      <c r="Z750" s="31" t="s">
        <v>144</v>
      </c>
      <c r="AA750" s="31" t="s">
        <v>144</v>
      </c>
      <c r="AB750" s="31" t="s">
        <v>144</v>
      </c>
      <c r="AC750" s="31" t="s">
        <v>144</v>
      </c>
      <c r="AD750" s="31" t="s">
        <v>144</v>
      </c>
      <c r="AE750" s="31" t="s">
        <v>144</v>
      </c>
      <c r="AF750" s="31" t="s">
        <v>144</v>
      </c>
      <c r="AG750" s="31" t="s">
        <v>144</v>
      </c>
      <c r="AH750" s="31" t="s">
        <v>473</v>
      </c>
      <c r="AI750" s="31" t="s">
        <v>476</v>
      </c>
      <c r="AJ750" s="31" t="s">
        <v>144</v>
      </c>
      <c r="AK750" s="31" t="s">
        <v>144</v>
      </c>
      <c r="AL750" s="31" t="s">
        <v>194</v>
      </c>
      <c r="AM750" s="31" t="s">
        <v>144</v>
      </c>
      <c r="AN750" s="31" t="s">
        <v>163</v>
      </c>
      <c r="AO750" s="31" t="s">
        <v>144</v>
      </c>
      <c r="AP750" s="31"/>
      <c r="AQ750" s="31"/>
      <c r="AR750" s="31"/>
    </row>
    <row r="751" spans="5:47" ht="15" customHeight="1" x14ac:dyDescent="0.25">
      <c r="E751" s="31" t="s">
        <v>1328</v>
      </c>
      <c r="F751" s="31" t="s">
        <v>140</v>
      </c>
      <c r="G751" s="31" t="s">
        <v>374</v>
      </c>
      <c r="H751" s="31" t="s">
        <v>144</v>
      </c>
      <c r="I751" s="31" t="s">
        <v>481</v>
      </c>
      <c r="J751" s="31" t="s">
        <v>647</v>
      </c>
      <c r="K751" s="31" t="s">
        <v>757</v>
      </c>
      <c r="L751" s="31" t="s">
        <v>162</v>
      </c>
      <c r="M751" s="31" t="s">
        <v>144</v>
      </c>
      <c r="N751" s="31" t="s">
        <v>144</v>
      </c>
      <c r="O751" s="31">
        <v>16</v>
      </c>
      <c r="P751" s="31" t="s">
        <v>144</v>
      </c>
      <c r="Q751" s="31" t="s">
        <v>256</v>
      </c>
      <c r="R751" s="31" t="s">
        <v>477</v>
      </c>
      <c r="S751" s="31" t="s">
        <v>144</v>
      </c>
      <c r="T751" s="31" t="s">
        <v>144</v>
      </c>
      <c r="U751" s="31" t="s">
        <v>144</v>
      </c>
      <c r="V751" s="31" t="s">
        <v>144</v>
      </c>
      <c r="W751" s="31" t="s">
        <v>144</v>
      </c>
      <c r="X751" s="31" t="s">
        <v>144</v>
      </c>
      <c r="Y751" s="31" t="s">
        <v>144</v>
      </c>
      <c r="Z751" s="31" t="s">
        <v>144</v>
      </c>
      <c r="AA751" s="31" t="s">
        <v>144</v>
      </c>
      <c r="AB751" s="31" t="s">
        <v>144</v>
      </c>
      <c r="AC751" s="31" t="s">
        <v>144</v>
      </c>
      <c r="AD751" s="31" t="s">
        <v>144</v>
      </c>
      <c r="AE751" s="31" t="s">
        <v>144</v>
      </c>
      <c r="AF751" s="31" t="s">
        <v>144</v>
      </c>
      <c r="AG751" s="31" t="s">
        <v>144</v>
      </c>
      <c r="AH751" s="31" t="s">
        <v>473</v>
      </c>
      <c r="AI751" s="31" t="s">
        <v>476</v>
      </c>
      <c r="AJ751" s="31" t="s">
        <v>144</v>
      </c>
      <c r="AK751" s="31" t="s">
        <v>144</v>
      </c>
      <c r="AL751" s="31" t="s">
        <v>194</v>
      </c>
      <c r="AM751" s="31" t="s">
        <v>144</v>
      </c>
      <c r="AN751" s="31" t="s">
        <v>163</v>
      </c>
      <c r="AO751" s="31" t="s">
        <v>144</v>
      </c>
      <c r="AP751" s="31"/>
      <c r="AQ751" s="31"/>
      <c r="AR751" s="31"/>
    </row>
    <row r="752" spans="5:47" ht="15" customHeight="1" x14ac:dyDescent="0.25">
      <c r="E752" s="31" t="s">
        <v>1328</v>
      </c>
      <c r="F752" s="31" t="s">
        <v>140</v>
      </c>
      <c r="G752" s="31" t="s">
        <v>374</v>
      </c>
      <c r="H752" s="31" t="s">
        <v>144</v>
      </c>
      <c r="I752" s="31" t="s">
        <v>481</v>
      </c>
      <c r="J752" s="31" t="s">
        <v>647</v>
      </c>
      <c r="K752" s="31" t="s">
        <v>758</v>
      </c>
      <c r="L752" s="31" t="s">
        <v>162</v>
      </c>
      <c r="M752" s="31" t="s">
        <v>144</v>
      </c>
      <c r="N752" s="31" t="s">
        <v>144</v>
      </c>
      <c r="O752" s="31">
        <v>16</v>
      </c>
      <c r="P752" s="31" t="s">
        <v>144</v>
      </c>
      <c r="Q752" s="31" t="s">
        <v>256</v>
      </c>
      <c r="R752" s="31" t="s">
        <v>477</v>
      </c>
      <c r="S752" s="31" t="s">
        <v>144</v>
      </c>
      <c r="T752" s="31" t="s">
        <v>144</v>
      </c>
      <c r="U752" s="31" t="s">
        <v>144</v>
      </c>
      <c r="V752" s="31" t="s">
        <v>144</v>
      </c>
      <c r="W752" s="31" t="s">
        <v>144</v>
      </c>
      <c r="X752" s="31" t="s">
        <v>144</v>
      </c>
      <c r="Y752" s="31" t="s">
        <v>144</v>
      </c>
      <c r="Z752" s="31" t="s">
        <v>144</v>
      </c>
      <c r="AA752" s="31" t="s">
        <v>144</v>
      </c>
      <c r="AB752" s="31" t="s">
        <v>144</v>
      </c>
      <c r="AC752" s="31" t="s">
        <v>144</v>
      </c>
      <c r="AD752" s="31" t="s">
        <v>144</v>
      </c>
      <c r="AE752" s="31" t="s">
        <v>144</v>
      </c>
      <c r="AF752" s="31" t="s">
        <v>144</v>
      </c>
      <c r="AG752" s="31" t="s">
        <v>144</v>
      </c>
      <c r="AH752" s="31" t="s">
        <v>473</v>
      </c>
      <c r="AI752" s="31" t="s">
        <v>476</v>
      </c>
      <c r="AJ752" s="31" t="s">
        <v>144</v>
      </c>
      <c r="AK752" s="31" t="s">
        <v>144</v>
      </c>
      <c r="AL752" s="31" t="s">
        <v>194</v>
      </c>
      <c r="AM752" s="31" t="s">
        <v>144</v>
      </c>
      <c r="AN752" s="31" t="s">
        <v>163</v>
      </c>
      <c r="AO752" s="31" t="s">
        <v>144</v>
      </c>
      <c r="AP752" s="31"/>
      <c r="AQ752" s="31"/>
      <c r="AR752" s="31"/>
    </row>
    <row r="753" spans="5:44" ht="15" customHeight="1" x14ac:dyDescent="0.25">
      <c r="E753" s="31" t="s">
        <v>1328</v>
      </c>
      <c r="F753" s="31" t="s">
        <v>140</v>
      </c>
      <c r="G753" s="31" t="s">
        <v>374</v>
      </c>
      <c r="H753" s="31" t="s">
        <v>144</v>
      </c>
      <c r="I753" s="31" t="s">
        <v>481</v>
      </c>
      <c r="J753" s="31" t="s">
        <v>647</v>
      </c>
      <c r="K753" s="31" t="s">
        <v>759</v>
      </c>
      <c r="L753" s="31" t="s">
        <v>162</v>
      </c>
      <c r="M753" s="31" t="s">
        <v>144</v>
      </c>
      <c r="N753" s="31" t="s">
        <v>144</v>
      </c>
      <c r="O753" s="31">
        <v>16</v>
      </c>
      <c r="P753" s="31" t="s">
        <v>144</v>
      </c>
      <c r="Q753" s="31" t="s">
        <v>256</v>
      </c>
      <c r="R753" s="31" t="s">
        <v>477</v>
      </c>
      <c r="S753" s="31" t="s">
        <v>144</v>
      </c>
      <c r="T753" s="31" t="s">
        <v>144</v>
      </c>
      <c r="U753" s="31" t="s">
        <v>144</v>
      </c>
      <c r="V753" s="31" t="s">
        <v>144</v>
      </c>
      <c r="W753" s="31" t="s">
        <v>144</v>
      </c>
      <c r="X753" s="31" t="s">
        <v>144</v>
      </c>
      <c r="Y753" s="31" t="s">
        <v>144</v>
      </c>
      <c r="Z753" s="31" t="s">
        <v>144</v>
      </c>
      <c r="AA753" s="31" t="s">
        <v>144</v>
      </c>
      <c r="AB753" s="31" t="s">
        <v>144</v>
      </c>
      <c r="AC753" s="31" t="s">
        <v>144</v>
      </c>
      <c r="AD753" s="31" t="s">
        <v>144</v>
      </c>
      <c r="AE753" s="31" t="s">
        <v>144</v>
      </c>
      <c r="AF753" s="31" t="s">
        <v>144</v>
      </c>
      <c r="AG753" s="31" t="s">
        <v>144</v>
      </c>
      <c r="AH753" s="31" t="s">
        <v>473</v>
      </c>
      <c r="AI753" s="31" t="s">
        <v>476</v>
      </c>
      <c r="AJ753" s="31" t="s">
        <v>144</v>
      </c>
      <c r="AK753" s="31" t="s">
        <v>144</v>
      </c>
      <c r="AL753" s="31" t="s">
        <v>194</v>
      </c>
      <c r="AM753" s="31" t="s">
        <v>144</v>
      </c>
      <c r="AN753" s="31" t="s">
        <v>163</v>
      </c>
      <c r="AO753" s="31" t="s">
        <v>144</v>
      </c>
      <c r="AP753" s="31"/>
      <c r="AQ753" s="31"/>
      <c r="AR753" s="31"/>
    </row>
    <row r="754" spans="5:44" ht="15" customHeight="1" x14ac:dyDescent="0.25">
      <c r="E754" s="31" t="s">
        <v>1328</v>
      </c>
      <c r="F754" s="31" t="s">
        <v>140</v>
      </c>
      <c r="G754" s="31" t="s">
        <v>374</v>
      </c>
      <c r="H754" s="31" t="s">
        <v>144</v>
      </c>
      <c r="I754" s="31" t="s">
        <v>481</v>
      </c>
      <c r="J754" s="31" t="s">
        <v>647</v>
      </c>
      <c r="K754" s="31" t="s">
        <v>760</v>
      </c>
      <c r="L754" s="31" t="s">
        <v>162</v>
      </c>
      <c r="M754" s="31" t="s">
        <v>144</v>
      </c>
      <c r="N754" s="31" t="s">
        <v>144</v>
      </c>
      <c r="O754" s="31">
        <v>16</v>
      </c>
      <c r="P754" s="31" t="s">
        <v>144</v>
      </c>
      <c r="Q754" s="31" t="s">
        <v>256</v>
      </c>
      <c r="R754" s="31" t="s">
        <v>477</v>
      </c>
      <c r="S754" s="31" t="s">
        <v>144</v>
      </c>
      <c r="T754" s="31" t="s">
        <v>144</v>
      </c>
      <c r="U754" s="31" t="s">
        <v>144</v>
      </c>
      <c r="V754" s="31" t="s">
        <v>144</v>
      </c>
      <c r="W754" s="31" t="s">
        <v>144</v>
      </c>
      <c r="X754" s="31" t="s">
        <v>144</v>
      </c>
      <c r="Y754" s="31" t="s">
        <v>144</v>
      </c>
      <c r="Z754" s="31" t="s">
        <v>144</v>
      </c>
      <c r="AA754" s="31" t="s">
        <v>144</v>
      </c>
      <c r="AB754" s="31" t="s">
        <v>144</v>
      </c>
      <c r="AC754" s="31" t="s">
        <v>144</v>
      </c>
      <c r="AD754" s="31" t="s">
        <v>144</v>
      </c>
      <c r="AE754" s="31" t="s">
        <v>144</v>
      </c>
      <c r="AF754" s="31" t="s">
        <v>144</v>
      </c>
      <c r="AG754" s="31" t="s">
        <v>144</v>
      </c>
      <c r="AH754" s="31" t="s">
        <v>473</v>
      </c>
      <c r="AI754" s="31" t="s">
        <v>476</v>
      </c>
      <c r="AJ754" s="31" t="s">
        <v>144</v>
      </c>
      <c r="AK754" s="31" t="s">
        <v>144</v>
      </c>
      <c r="AL754" s="31" t="s">
        <v>194</v>
      </c>
      <c r="AM754" s="31" t="s">
        <v>144</v>
      </c>
      <c r="AN754" s="31" t="s">
        <v>163</v>
      </c>
      <c r="AO754" s="31" t="s">
        <v>144</v>
      </c>
      <c r="AP754" s="31"/>
      <c r="AQ754" s="31"/>
      <c r="AR754" s="31"/>
    </row>
    <row r="755" spans="5:44" ht="15" customHeight="1" x14ac:dyDescent="0.25">
      <c r="E755" s="31" t="s">
        <v>1328</v>
      </c>
      <c r="F755" s="31" t="s">
        <v>140</v>
      </c>
      <c r="G755" s="31" t="s">
        <v>374</v>
      </c>
      <c r="H755" s="31" t="s">
        <v>144</v>
      </c>
      <c r="I755" s="31" t="s">
        <v>481</v>
      </c>
      <c r="J755" s="31" t="s">
        <v>647</v>
      </c>
      <c r="K755" s="31" t="s">
        <v>761</v>
      </c>
      <c r="L755" s="31" t="s">
        <v>162</v>
      </c>
      <c r="M755" s="31" t="s">
        <v>144</v>
      </c>
      <c r="N755" s="31" t="s">
        <v>144</v>
      </c>
      <c r="O755" s="31">
        <v>16</v>
      </c>
      <c r="P755" s="31" t="s">
        <v>144</v>
      </c>
      <c r="Q755" s="31" t="s">
        <v>256</v>
      </c>
      <c r="R755" s="31" t="s">
        <v>477</v>
      </c>
      <c r="S755" s="31" t="s">
        <v>144</v>
      </c>
      <c r="T755" s="31" t="s">
        <v>144</v>
      </c>
      <c r="U755" s="31" t="s">
        <v>144</v>
      </c>
      <c r="V755" s="31" t="s">
        <v>144</v>
      </c>
      <c r="W755" s="31" t="s">
        <v>144</v>
      </c>
      <c r="X755" s="31" t="s">
        <v>144</v>
      </c>
      <c r="Y755" s="31" t="s">
        <v>144</v>
      </c>
      <c r="Z755" s="31" t="s">
        <v>144</v>
      </c>
      <c r="AA755" s="31" t="s">
        <v>144</v>
      </c>
      <c r="AB755" s="31" t="s">
        <v>144</v>
      </c>
      <c r="AC755" s="31" t="s">
        <v>144</v>
      </c>
      <c r="AD755" s="31" t="s">
        <v>144</v>
      </c>
      <c r="AE755" s="31" t="s">
        <v>144</v>
      </c>
      <c r="AF755" s="31" t="s">
        <v>144</v>
      </c>
      <c r="AG755" s="31" t="s">
        <v>144</v>
      </c>
      <c r="AH755" s="31" t="s">
        <v>473</v>
      </c>
      <c r="AI755" s="31" t="s">
        <v>476</v>
      </c>
      <c r="AJ755" s="31" t="s">
        <v>144</v>
      </c>
      <c r="AK755" s="31" t="s">
        <v>144</v>
      </c>
      <c r="AL755" s="31" t="s">
        <v>194</v>
      </c>
      <c r="AM755" s="31" t="s">
        <v>144</v>
      </c>
      <c r="AN755" s="31" t="s">
        <v>163</v>
      </c>
      <c r="AO755" s="31" t="s">
        <v>144</v>
      </c>
      <c r="AP755" s="31"/>
      <c r="AQ755" s="31"/>
      <c r="AR755" s="31"/>
    </row>
    <row r="756" spans="5:44" ht="15" customHeight="1" x14ac:dyDescent="0.25">
      <c r="E756" s="31" t="s">
        <v>1328</v>
      </c>
      <c r="F756" s="31" t="s">
        <v>140</v>
      </c>
      <c r="G756" s="31" t="s">
        <v>374</v>
      </c>
      <c r="H756" s="31" t="s">
        <v>144</v>
      </c>
      <c r="I756" s="31" t="s">
        <v>481</v>
      </c>
      <c r="J756" s="31" t="s">
        <v>647</v>
      </c>
      <c r="K756" s="31" t="s">
        <v>762</v>
      </c>
      <c r="L756" s="31" t="s">
        <v>162</v>
      </c>
      <c r="M756" s="31" t="s">
        <v>144</v>
      </c>
      <c r="N756" s="31" t="s">
        <v>144</v>
      </c>
      <c r="O756" s="31">
        <v>16</v>
      </c>
      <c r="P756" s="31" t="s">
        <v>144</v>
      </c>
      <c r="Q756" s="31" t="s">
        <v>256</v>
      </c>
      <c r="R756" s="31" t="s">
        <v>477</v>
      </c>
      <c r="S756" s="31" t="s">
        <v>144</v>
      </c>
      <c r="T756" s="31" t="s">
        <v>144</v>
      </c>
      <c r="U756" s="31" t="s">
        <v>144</v>
      </c>
      <c r="V756" s="31" t="s">
        <v>144</v>
      </c>
      <c r="W756" s="31" t="s">
        <v>144</v>
      </c>
      <c r="X756" s="31" t="s">
        <v>144</v>
      </c>
      <c r="Y756" s="31" t="s">
        <v>144</v>
      </c>
      <c r="Z756" s="31" t="s">
        <v>144</v>
      </c>
      <c r="AA756" s="31" t="s">
        <v>144</v>
      </c>
      <c r="AB756" s="31" t="s">
        <v>144</v>
      </c>
      <c r="AC756" s="31" t="s">
        <v>144</v>
      </c>
      <c r="AD756" s="31" t="s">
        <v>144</v>
      </c>
      <c r="AE756" s="31" t="s">
        <v>144</v>
      </c>
      <c r="AF756" s="31" t="s">
        <v>144</v>
      </c>
      <c r="AG756" s="31" t="s">
        <v>144</v>
      </c>
      <c r="AH756" s="31" t="s">
        <v>473</v>
      </c>
      <c r="AI756" s="31" t="s">
        <v>476</v>
      </c>
      <c r="AJ756" s="31" t="s">
        <v>144</v>
      </c>
      <c r="AK756" s="31" t="s">
        <v>144</v>
      </c>
      <c r="AL756" s="31" t="s">
        <v>194</v>
      </c>
      <c r="AM756" s="31" t="s">
        <v>144</v>
      </c>
      <c r="AN756" s="31" t="s">
        <v>163</v>
      </c>
      <c r="AO756" s="31" t="s">
        <v>144</v>
      </c>
      <c r="AP756" s="31"/>
      <c r="AQ756" s="31"/>
      <c r="AR756" s="31"/>
    </row>
    <row r="757" spans="5:44" ht="15" customHeight="1" x14ac:dyDescent="0.25">
      <c r="E757" s="31" t="s">
        <v>1328</v>
      </c>
      <c r="F757" s="31" t="s">
        <v>140</v>
      </c>
      <c r="G757" s="31" t="s">
        <v>374</v>
      </c>
      <c r="H757" s="31" t="s">
        <v>144</v>
      </c>
      <c r="I757" s="31" t="s">
        <v>481</v>
      </c>
      <c r="J757" s="31" t="s">
        <v>647</v>
      </c>
      <c r="K757" s="31" t="s">
        <v>763</v>
      </c>
      <c r="L757" s="31" t="s">
        <v>162</v>
      </c>
      <c r="M757" s="31" t="s">
        <v>144</v>
      </c>
      <c r="N757" s="31" t="s">
        <v>144</v>
      </c>
      <c r="O757" s="31">
        <v>16</v>
      </c>
      <c r="P757" s="31" t="s">
        <v>144</v>
      </c>
      <c r="Q757" s="31" t="s">
        <v>256</v>
      </c>
      <c r="R757" s="31" t="s">
        <v>477</v>
      </c>
      <c r="S757" s="31" t="s">
        <v>144</v>
      </c>
      <c r="T757" s="31" t="s">
        <v>144</v>
      </c>
      <c r="U757" s="31" t="s">
        <v>144</v>
      </c>
      <c r="V757" s="31" t="s">
        <v>144</v>
      </c>
      <c r="W757" s="31" t="s">
        <v>144</v>
      </c>
      <c r="X757" s="31" t="s">
        <v>144</v>
      </c>
      <c r="Y757" s="31" t="s">
        <v>144</v>
      </c>
      <c r="Z757" s="31" t="s">
        <v>144</v>
      </c>
      <c r="AA757" s="31" t="s">
        <v>144</v>
      </c>
      <c r="AB757" s="31" t="s">
        <v>144</v>
      </c>
      <c r="AC757" s="31" t="s">
        <v>144</v>
      </c>
      <c r="AD757" s="31" t="s">
        <v>144</v>
      </c>
      <c r="AE757" s="31" t="s">
        <v>144</v>
      </c>
      <c r="AF757" s="31" t="s">
        <v>144</v>
      </c>
      <c r="AG757" s="31" t="s">
        <v>144</v>
      </c>
      <c r="AH757" s="31" t="s">
        <v>473</v>
      </c>
      <c r="AI757" s="31" t="s">
        <v>476</v>
      </c>
      <c r="AJ757" s="31" t="s">
        <v>144</v>
      </c>
      <c r="AK757" s="31" t="s">
        <v>144</v>
      </c>
      <c r="AL757" s="31" t="s">
        <v>194</v>
      </c>
      <c r="AM757" s="31" t="s">
        <v>144</v>
      </c>
      <c r="AN757" s="31" t="s">
        <v>163</v>
      </c>
      <c r="AO757" s="31" t="s">
        <v>144</v>
      </c>
      <c r="AP757" s="31"/>
      <c r="AQ757" s="31"/>
      <c r="AR757" s="31"/>
    </row>
    <row r="758" spans="5:44" ht="15" customHeight="1" x14ac:dyDescent="0.25">
      <c r="E758" s="31" t="s">
        <v>1328</v>
      </c>
      <c r="F758" s="31" t="s">
        <v>140</v>
      </c>
      <c r="G758" s="31" t="s">
        <v>374</v>
      </c>
      <c r="H758" s="31" t="s">
        <v>144</v>
      </c>
      <c r="I758" s="31" t="s">
        <v>481</v>
      </c>
      <c r="J758" s="31" t="s">
        <v>647</v>
      </c>
      <c r="K758" s="31" t="s">
        <v>764</v>
      </c>
      <c r="L758" s="31" t="s">
        <v>162</v>
      </c>
      <c r="M758" s="31" t="s">
        <v>144</v>
      </c>
      <c r="N758" s="31" t="s">
        <v>144</v>
      </c>
      <c r="O758" s="31">
        <v>16</v>
      </c>
      <c r="P758" s="31" t="s">
        <v>144</v>
      </c>
      <c r="Q758" s="31" t="s">
        <v>256</v>
      </c>
      <c r="R758" s="31" t="s">
        <v>477</v>
      </c>
      <c r="S758" s="31" t="s">
        <v>144</v>
      </c>
      <c r="T758" s="31" t="s">
        <v>144</v>
      </c>
      <c r="U758" s="31" t="s">
        <v>144</v>
      </c>
      <c r="V758" s="31" t="s">
        <v>144</v>
      </c>
      <c r="W758" s="31" t="s">
        <v>144</v>
      </c>
      <c r="X758" s="31" t="s">
        <v>144</v>
      </c>
      <c r="Y758" s="31" t="s">
        <v>144</v>
      </c>
      <c r="Z758" s="31" t="s">
        <v>144</v>
      </c>
      <c r="AA758" s="31" t="s">
        <v>144</v>
      </c>
      <c r="AB758" s="31" t="s">
        <v>144</v>
      </c>
      <c r="AC758" s="31" t="s">
        <v>144</v>
      </c>
      <c r="AD758" s="31" t="s">
        <v>144</v>
      </c>
      <c r="AE758" s="31" t="s">
        <v>144</v>
      </c>
      <c r="AF758" s="31" t="s">
        <v>144</v>
      </c>
      <c r="AG758" s="31" t="s">
        <v>144</v>
      </c>
      <c r="AH758" s="31" t="s">
        <v>473</v>
      </c>
      <c r="AI758" s="31" t="s">
        <v>476</v>
      </c>
      <c r="AJ758" s="31" t="s">
        <v>144</v>
      </c>
      <c r="AK758" s="31" t="s">
        <v>144</v>
      </c>
      <c r="AL758" s="31" t="s">
        <v>194</v>
      </c>
      <c r="AM758" s="31" t="s">
        <v>144</v>
      </c>
      <c r="AN758" s="31" t="s">
        <v>163</v>
      </c>
      <c r="AO758" s="31" t="s">
        <v>144</v>
      </c>
      <c r="AP758" s="31"/>
      <c r="AQ758" s="31"/>
      <c r="AR758" s="31"/>
    </row>
    <row r="759" spans="5:44" ht="15" customHeight="1" x14ac:dyDescent="0.25">
      <c r="E759" s="31" t="s">
        <v>1328</v>
      </c>
      <c r="F759" s="31" t="s">
        <v>140</v>
      </c>
      <c r="G759" s="31" t="s">
        <v>374</v>
      </c>
      <c r="H759" s="31" t="s">
        <v>144</v>
      </c>
      <c r="I759" s="31" t="s">
        <v>481</v>
      </c>
      <c r="J759" s="31" t="s">
        <v>647</v>
      </c>
      <c r="K759" s="31" t="s">
        <v>765</v>
      </c>
      <c r="L759" s="31" t="s">
        <v>162</v>
      </c>
      <c r="M759" s="31" t="s">
        <v>144</v>
      </c>
      <c r="N759" s="31" t="s">
        <v>144</v>
      </c>
      <c r="O759" s="31">
        <v>16</v>
      </c>
      <c r="P759" s="31" t="s">
        <v>144</v>
      </c>
      <c r="Q759" s="31" t="s">
        <v>256</v>
      </c>
      <c r="R759" s="31" t="s">
        <v>477</v>
      </c>
      <c r="S759" s="31" t="s">
        <v>144</v>
      </c>
      <c r="T759" s="31" t="s">
        <v>144</v>
      </c>
      <c r="U759" s="31" t="s">
        <v>144</v>
      </c>
      <c r="V759" s="31" t="s">
        <v>144</v>
      </c>
      <c r="W759" s="31" t="s">
        <v>144</v>
      </c>
      <c r="X759" s="31" t="s">
        <v>144</v>
      </c>
      <c r="Y759" s="31" t="s">
        <v>144</v>
      </c>
      <c r="Z759" s="31" t="s">
        <v>144</v>
      </c>
      <c r="AA759" s="31" t="s">
        <v>144</v>
      </c>
      <c r="AB759" s="31" t="s">
        <v>144</v>
      </c>
      <c r="AC759" s="31" t="s">
        <v>144</v>
      </c>
      <c r="AD759" s="31" t="s">
        <v>144</v>
      </c>
      <c r="AE759" s="31" t="s">
        <v>144</v>
      </c>
      <c r="AF759" s="31" t="s">
        <v>144</v>
      </c>
      <c r="AG759" s="31" t="s">
        <v>144</v>
      </c>
      <c r="AH759" s="31" t="s">
        <v>473</v>
      </c>
      <c r="AI759" s="31" t="s">
        <v>476</v>
      </c>
      <c r="AJ759" s="31" t="s">
        <v>144</v>
      </c>
      <c r="AK759" s="31" t="s">
        <v>144</v>
      </c>
      <c r="AL759" s="31" t="s">
        <v>194</v>
      </c>
      <c r="AM759" s="31" t="s">
        <v>144</v>
      </c>
      <c r="AN759" s="31" t="s">
        <v>163</v>
      </c>
      <c r="AO759" s="31" t="s">
        <v>144</v>
      </c>
      <c r="AP759" s="31"/>
      <c r="AQ759" s="31"/>
      <c r="AR759" s="31"/>
    </row>
    <row r="760" spans="5:44" ht="15" customHeight="1" x14ac:dyDescent="0.25">
      <c r="E760" s="31" t="s">
        <v>1328</v>
      </c>
      <c r="F760" s="31" t="s">
        <v>140</v>
      </c>
      <c r="G760" s="31" t="s">
        <v>374</v>
      </c>
      <c r="H760" s="31" t="s">
        <v>144</v>
      </c>
      <c r="I760" s="31" t="s">
        <v>481</v>
      </c>
      <c r="J760" s="31" t="s">
        <v>647</v>
      </c>
      <c r="K760" s="31" t="s">
        <v>766</v>
      </c>
      <c r="L760" s="31" t="s">
        <v>162</v>
      </c>
      <c r="M760" s="31" t="s">
        <v>144</v>
      </c>
      <c r="N760" s="31" t="s">
        <v>144</v>
      </c>
      <c r="O760" s="31">
        <v>16</v>
      </c>
      <c r="P760" s="31" t="s">
        <v>144</v>
      </c>
      <c r="Q760" s="31" t="s">
        <v>256</v>
      </c>
      <c r="R760" s="31" t="s">
        <v>477</v>
      </c>
      <c r="S760" s="31" t="s">
        <v>144</v>
      </c>
      <c r="T760" s="31" t="s">
        <v>144</v>
      </c>
      <c r="U760" s="31" t="s">
        <v>144</v>
      </c>
      <c r="V760" s="31" t="s">
        <v>144</v>
      </c>
      <c r="W760" s="31" t="s">
        <v>144</v>
      </c>
      <c r="X760" s="31" t="s">
        <v>144</v>
      </c>
      <c r="Y760" s="31" t="s">
        <v>144</v>
      </c>
      <c r="Z760" s="31" t="s">
        <v>144</v>
      </c>
      <c r="AA760" s="31" t="s">
        <v>144</v>
      </c>
      <c r="AB760" s="31" t="s">
        <v>144</v>
      </c>
      <c r="AC760" s="31" t="s">
        <v>144</v>
      </c>
      <c r="AD760" s="31" t="s">
        <v>144</v>
      </c>
      <c r="AE760" s="31" t="s">
        <v>144</v>
      </c>
      <c r="AF760" s="31" t="s">
        <v>144</v>
      </c>
      <c r="AG760" s="31" t="s">
        <v>144</v>
      </c>
      <c r="AH760" s="31" t="s">
        <v>473</v>
      </c>
      <c r="AI760" s="31" t="s">
        <v>476</v>
      </c>
      <c r="AJ760" s="31" t="s">
        <v>144</v>
      </c>
      <c r="AK760" s="31" t="s">
        <v>144</v>
      </c>
      <c r="AL760" s="31" t="s">
        <v>194</v>
      </c>
      <c r="AM760" s="31" t="s">
        <v>144</v>
      </c>
      <c r="AN760" s="31" t="s">
        <v>163</v>
      </c>
      <c r="AO760" s="31" t="s">
        <v>144</v>
      </c>
      <c r="AP760" s="31"/>
      <c r="AQ760" s="31"/>
      <c r="AR760" s="31"/>
    </row>
    <row r="761" spans="5:44" ht="15" customHeight="1" x14ac:dyDescent="0.25">
      <c r="E761" s="31" t="s">
        <v>1328</v>
      </c>
      <c r="F761" s="31" t="s">
        <v>140</v>
      </c>
      <c r="G761" s="31" t="s">
        <v>374</v>
      </c>
      <c r="H761" s="31" t="s">
        <v>144</v>
      </c>
      <c r="I761" s="31" t="s">
        <v>481</v>
      </c>
      <c r="J761" s="31" t="s">
        <v>647</v>
      </c>
      <c r="K761" s="31" t="s">
        <v>767</v>
      </c>
      <c r="L761" s="31" t="s">
        <v>162</v>
      </c>
      <c r="M761" s="31" t="s">
        <v>144</v>
      </c>
      <c r="N761" s="31" t="s">
        <v>144</v>
      </c>
      <c r="O761" s="31">
        <v>16</v>
      </c>
      <c r="P761" s="31" t="s">
        <v>144</v>
      </c>
      <c r="Q761" s="31" t="s">
        <v>256</v>
      </c>
      <c r="R761" s="31" t="s">
        <v>477</v>
      </c>
      <c r="S761" s="31" t="s">
        <v>144</v>
      </c>
      <c r="T761" s="31" t="s">
        <v>144</v>
      </c>
      <c r="U761" s="31" t="s">
        <v>144</v>
      </c>
      <c r="V761" s="31" t="s">
        <v>144</v>
      </c>
      <c r="W761" s="31" t="s">
        <v>144</v>
      </c>
      <c r="X761" s="31" t="s">
        <v>144</v>
      </c>
      <c r="Y761" s="31" t="s">
        <v>144</v>
      </c>
      <c r="Z761" s="31" t="s">
        <v>144</v>
      </c>
      <c r="AA761" s="31" t="s">
        <v>144</v>
      </c>
      <c r="AB761" s="31" t="s">
        <v>144</v>
      </c>
      <c r="AC761" s="31" t="s">
        <v>144</v>
      </c>
      <c r="AD761" s="31" t="s">
        <v>144</v>
      </c>
      <c r="AE761" s="31" t="s">
        <v>144</v>
      </c>
      <c r="AF761" s="31" t="s">
        <v>144</v>
      </c>
      <c r="AG761" s="31" t="s">
        <v>144</v>
      </c>
      <c r="AH761" s="31" t="s">
        <v>473</v>
      </c>
      <c r="AI761" s="31" t="s">
        <v>476</v>
      </c>
      <c r="AJ761" s="31" t="s">
        <v>144</v>
      </c>
      <c r="AK761" s="31" t="s">
        <v>144</v>
      </c>
      <c r="AL761" s="31" t="s">
        <v>194</v>
      </c>
      <c r="AM761" s="31" t="s">
        <v>144</v>
      </c>
      <c r="AN761" s="31" t="s">
        <v>163</v>
      </c>
      <c r="AO761" s="31" t="s">
        <v>144</v>
      </c>
      <c r="AP761" s="31"/>
      <c r="AQ761" s="31"/>
      <c r="AR761" s="31"/>
    </row>
    <row r="762" spans="5:44" ht="15" customHeight="1" x14ac:dyDescent="0.25">
      <c r="E762" s="31" t="s">
        <v>1328</v>
      </c>
      <c r="F762" s="31" t="s">
        <v>140</v>
      </c>
      <c r="G762" s="31" t="s">
        <v>374</v>
      </c>
      <c r="H762" s="31" t="s">
        <v>144</v>
      </c>
      <c r="I762" s="31" t="s">
        <v>481</v>
      </c>
      <c r="J762" s="31" t="s">
        <v>647</v>
      </c>
      <c r="K762" s="31" t="s">
        <v>768</v>
      </c>
      <c r="L762" s="31" t="s">
        <v>162</v>
      </c>
      <c r="M762" s="31" t="s">
        <v>144</v>
      </c>
      <c r="N762" s="31" t="s">
        <v>144</v>
      </c>
      <c r="O762" s="31">
        <v>16</v>
      </c>
      <c r="P762" s="31" t="s">
        <v>144</v>
      </c>
      <c r="Q762" s="31" t="s">
        <v>256</v>
      </c>
      <c r="R762" s="31" t="s">
        <v>477</v>
      </c>
      <c r="S762" s="31" t="s">
        <v>144</v>
      </c>
      <c r="T762" s="31" t="s">
        <v>144</v>
      </c>
      <c r="U762" s="31" t="s">
        <v>144</v>
      </c>
      <c r="V762" s="31" t="s">
        <v>144</v>
      </c>
      <c r="W762" s="31" t="s">
        <v>144</v>
      </c>
      <c r="X762" s="31" t="s">
        <v>144</v>
      </c>
      <c r="Y762" s="31" t="s">
        <v>144</v>
      </c>
      <c r="Z762" s="31" t="s">
        <v>144</v>
      </c>
      <c r="AA762" s="31" t="s">
        <v>144</v>
      </c>
      <c r="AB762" s="31" t="s">
        <v>144</v>
      </c>
      <c r="AC762" s="31" t="s">
        <v>144</v>
      </c>
      <c r="AD762" s="31" t="s">
        <v>144</v>
      </c>
      <c r="AE762" s="31" t="s">
        <v>144</v>
      </c>
      <c r="AF762" s="31" t="s">
        <v>144</v>
      </c>
      <c r="AG762" s="31" t="s">
        <v>144</v>
      </c>
      <c r="AH762" s="31" t="s">
        <v>473</v>
      </c>
      <c r="AI762" s="31" t="s">
        <v>476</v>
      </c>
      <c r="AJ762" s="31" t="s">
        <v>144</v>
      </c>
      <c r="AK762" s="31" t="s">
        <v>144</v>
      </c>
      <c r="AL762" s="31" t="s">
        <v>194</v>
      </c>
      <c r="AM762" s="31" t="s">
        <v>144</v>
      </c>
      <c r="AN762" s="31" t="s">
        <v>163</v>
      </c>
      <c r="AO762" s="31" t="s">
        <v>144</v>
      </c>
      <c r="AP762" s="31"/>
      <c r="AQ762" s="31"/>
      <c r="AR762" s="31"/>
    </row>
    <row r="763" spans="5:44" ht="15" customHeight="1" x14ac:dyDescent="0.25">
      <c r="E763" s="31" t="s">
        <v>1328</v>
      </c>
      <c r="F763" s="31" t="s">
        <v>140</v>
      </c>
      <c r="G763" s="31" t="s">
        <v>374</v>
      </c>
      <c r="H763" s="31" t="s">
        <v>144</v>
      </c>
      <c r="I763" s="31" t="s">
        <v>481</v>
      </c>
      <c r="J763" s="31" t="s">
        <v>647</v>
      </c>
      <c r="K763" s="31" t="s">
        <v>769</v>
      </c>
      <c r="L763" s="31" t="s">
        <v>162</v>
      </c>
      <c r="M763" s="31" t="s">
        <v>144</v>
      </c>
      <c r="N763" s="31" t="s">
        <v>144</v>
      </c>
      <c r="O763" s="31">
        <v>16</v>
      </c>
      <c r="P763" s="31" t="s">
        <v>144</v>
      </c>
      <c r="Q763" s="31" t="s">
        <v>256</v>
      </c>
      <c r="R763" s="31" t="s">
        <v>477</v>
      </c>
      <c r="S763" s="31" t="s">
        <v>144</v>
      </c>
      <c r="T763" s="31" t="s">
        <v>144</v>
      </c>
      <c r="U763" s="31" t="s">
        <v>144</v>
      </c>
      <c r="V763" s="31" t="s">
        <v>144</v>
      </c>
      <c r="W763" s="31" t="s">
        <v>144</v>
      </c>
      <c r="X763" s="31" t="s">
        <v>144</v>
      </c>
      <c r="Y763" s="31" t="s">
        <v>144</v>
      </c>
      <c r="Z763" s="31" t="s">
        <v>144</v>
      </c>
      <c r="AA763" s="31" t="s">
        <v>144</v>
      </c>
      <c r="AB763" s="31" t="s">
        <v>144</v>
      </c>
      <c r="AC763" s="31" t="s">
        <v>144</v>
      </c>
      <c r="AD763" s="31" t="s">
        <v>144</v>
      </c>
      <c r="AE763" s="31" t="s">
        <v>144</v>
      </c>
      <c r="AF763" s="31" t="s">
        <v>144</v>
      </c>
      <c r="AG763" s="31" t="s">
        <v>144</v>
      </c>
      <c r="AH763" s="31" t="s">
        <v>473</v>
      </c>
      <c r="AI763" s="31" t="s">
        <v>476</v>
      </c>
      <c r="AJ763" s="31" t="s">
        <v>144</v>
      </c>
      <c r="AK763" s="31" t="s">
        <v>144</v>
      </c>
      <c r="AL763" s="31" t="s">
        <v>194</v>
      </c>
      <c r="AM763" s="31" t="s">
        <v>144</v>
      </c>
      <c r="AN763" s="31" t="s">
        <v>163</v>
      </c>
      <c r="AO763" s="31" t="s">
        <v>144</v>
      </c>
      <c r="AP763" s="31"/>
      <c r="AQ763" s="31"/>
      <c r="AR763" s="31"/>
    </row>
    <row r="764" spans="5:44" ht="15" customHeight="1" x14ac:dyDescent="0.25">
      <c r="E764" s="31" t="s">
        <v>1328</v>
      </c>
      <c r="F764" s="31" t="s">
        <v>140</v>
      </c>
      <c r="G764" s="31" t="s">
        <v>374</v>
      </c>
      <c r="H764" s="31" t="s">
        <v>144</v>
      </c>
      <c r="I764" s="31" t="s">
        <v>481</v>
      </c>
      <c r="J764" s="31" t="s">
        <v>647</v>
      </c>
      <c r="K764" s="31" t="s">
        <v>770</v>
      </c>
      <c r="L764" s="31" t="s">
        <v>162</v>
      </c>
      <c r="M764" s="31" t="s">
        <v>144</v>
      </c>
      <c r="N764" s="31" t="s">
        <v>144</v>
      </c>
      <c r="O764" s="31">
        <v>16</v>
      </c>
      <c r="P764" s="31" t="s">
        <v>144</v>
      </c>
      <c r="Q764" s="31" t="s">
        <v>256</v>
      </c>
      <c r="R764" s="31" t="s">
        <v>477</v>
      </c>
      <c r="S764" s="31" t="s">
        <v>144</v>
      </c>
      <c r="T764" s="31" t="s">
        <v>144</v>
      </c>
      <c r="U764" s="31" t="s">
        <v>144</v>
      </c>
      <c r="V764" s="31" t="s">
        <v>144</v>
      </c>
      <c r="W764" s="31" t="s">
        <v>144</v>
      </c>
      <c r="X764" s="31" t="s">
        <v>144</v>
      </c>
      <c r="Y764" s="31" t="s">
        <v>144</v>
      </c>
      <c r="Z764" s="31" t="s">
        <v>144</v>
      </c>
      <c r="AA764" s="31" t="s">
        <v>144</v>
      </c>
      <c r="AB764" s="31" t="s">
        <v>144</v>
      </c>
      <c r="AC764" s="31" t="s">
        <v>144</v>
      </c>
      <c r="AD764" s="31" t="s">
        <v>144</v>
      </c>
      <c r="AE764" s="31" t="s">
        <v>144</v>
      </c>
      <c r="AF764" s="31" t="s">
        <v>144</v>
      </c>
      <c r="AG764" s="31" t="s">
        <v>144</v>
      </c>
      <c r="AH764" s="31" t="s">
        <v>473</v>
      </c>
      <c r="AI764" s="31" t="s">
        <v>476</v>
      </c>
      <c r="AJ764" s="31" t="s">
        <v>144</v>
      </c>
      <c r="AK764" s="31" t="s">
        <v>144</v>
      </c>
      <c r="AL764" s="31" t="s">
        <v>194</v>
      </c>
      <c r="AM764" s="31" t="s">
        <v>144</v>
      </c>
      <c r="AN764" s="31" t="s">
        <v>163</v>
      </c>
      <c r="AO764" s="31" t="s">
        <v>144</v>
      </c>
      <c r="AP764" s="31"/>
      <c r="AQ764" s="31"/>
      <c r="AR764" s="31"/>
    </row>
    <row r="765" spans="5:44" ht="15" customHeight="1" x14ac:dyDescent="0.25">
      <c r="E765" s="31" t="s">
        <v>1328</v>
      </c>
      <c r="F765" s="31" t="s">
        <v>140</v>
      </c>
      <c r="G765" s="31" t="s">
        <v>374</v>
      </c>
      <c r="H765" s="31" t="s">
        <v>144</v>
      </c>
      <c r="I765" s="31" t="s">
        <v>481</v>
      </c>
      <c r="J765" s="31" t="s">
        <v>647</v>
      </c>
      <c r="K765" s="31" t="s">
        <v>771</v>
      </c>
      <c r="L765" s="31" t="s">
        <v>162</v>
      </c>
      <c r="M765" s="31" t="s">
        <v>144</v>
      </c>
      <c r="N765" s="31" t="s">
        <v>144</v>
      </c>
      <c r="O765" s="31">
        <v>16</v>
      </c>
      <c r="P765" s="31" t="s">
        <v>144</v>
      </c>
      <c r="Q765" s="31" t="s">
        <v>256</v>
      </c>
      <c r="R765" s="31" t="s">
        <v>477</v>
      </c>
      <c r="S765" s="31" t="s">
        <v>144</v>
      </c>
      <c r="T765" s="31" t="s">
        <v>144</v>
      </c>
      <c r="U765" s="31" t="s">
        <v>144</v>
      </c>
      <c r="V765" s="31" t="s">
        <v>144</v>
      </c>
      <c r="W765" s="31" t="s">
        <v>144</v>
      </c>
      <c r="X765" s="31" t="s">
        <v>144</v>
      </c>
      <c r="Y765" s="31" t="s">
        <v>144</v>
      </c>
      <c r="Z765" s="31" t="s">
        <v>144</v>
      </c>
      <c r="AA765" s="31" t="s">
        <v>144</v>
      </c>
      <c r="AB765" s="31" t="s">
        <v>144</v>
      </c>
      <c r="AC765" s="31" t="s">
        <v>144</v>
      </c>
      <c r="AD765" s="31" t="s">
        <v>144</v>
      </c>
      <c r="AE765" s="31" t="s">
        <v>144</v>
      </c>
      <c r="AF765" s="31" t="s">
        <v>144</v>
      </c>
      <c r="AG765" s="31" t="s">
        <v>144</v>
      </c>
      <c r="AH765" s="31" t="s">
        <v>473</v>
      </c>
      <c r="AI765" s="31" t="s">
        <v>476</v>
      </c>
      <c r="AJ765" s="31" t="s">
        <v>144</v>
      </c>
      <c r="AK765" s="31" t="s">
        <v>144</v>
      </c>
      <c r="AL765" s="31" t="s">
        <v>194</v>
      </c>
      <c r="AM765" s="31" t="s">
        <v>144</v>
      </c>
      <c r="AN765" s="31" t="s">
        <v>163</v>
      </c>
      <c r="AO765" s="31" t="s">
        <v>144</v>
      </c>
      <c r="AP765" s="31"/>
      <c r="AQ765" s="31"/>
      <c r="AR765" s="31"/>
    </row>
    <row r="766" spans="5:44" ht="15" customHeight="1" x14ac:dyDescent="0.25">
      <c r="E766" s="31" t="s">
        <v>1328</v>
      </c>
      <c r="F766" s="31" t="s">
        <v>140</v>
      </c>
      <c r="G766" s="31" t="s">
        <v>374</v>
      </c>
      <c r="H766" s="31" t="s">
        <v>144</v>
      </c>
      <c r="I766" s="31" t="s">
        <v>481</v>
      </c>
      <c r="J766" s="31" t="s">
        <v>647</v>
      </c>
      <c r="K766" s="31" t="s">
        <v>772</v>
      </c>
      <c r="L766" s="31" t="s">
        <v>162</v>
      </c>
      <c r="M766" s="31" t="s">
        <v>144</v>
      </c>
      <c r="N766" s="31" t="s">
        <v>144</v>
      </c>
      <c r="O766" s="31">
        <v>16</v>
      </c>
      <c r="P766" s="31" t="s">
        <v>144</v>
      </c>
      <c r="Q766" s="31" t="s">
        <v>256</v>
      </c>
      <c r="R766" s="31" t="s">
        <v>477</v>
      </c>
      <c r="S766" s="31" t="s">
        <v>144</v>
      </c>
      <c r="T766" s="31" t="s">
        <v>144</v>
      </c>
      <c r="U766" s="31" t="s">
        <v>144</v>
      </c>
      <c r="V766" s="31" t="s">
        <v>144</v>
      </c>
      <c r="W766" s="31" t="s">
        <v>144</v>
      </c>
      <c r="X766" s="31" t="s">
        <v>144</v>
      </c>
      <c r="Y766" s="31" t="s">
        <v>144</v>
      </c>
      <c r="Z766" s="31" t="s">
        <v>144</v>
      </c>
      <c r="AA766" s="31" t="s">
        <v>144</v>
      </c>
      <c r="AB766" s="31" t="s">
        <v>144</v>
      </c>
      <c r="AC766" s="31" t="s">
        <v>144</v>
      </c>
      <c r="AD766" s="31" t="s">
        <v>144</v>
      </c>
      <c r="AE766" s="31" t="s">
        <v>144</v>
      </c>
      <c r="AF766" s="31" t="s">
        <v>144</v>
      </c>
      <c r="AG766" s="31" t="s">
        <v>144</v>
      </c>
      <c r="AH766" s="31" t="s">
        <v>473</v>
      </c>
      <c r="AI766" s="31" t="s">
        <v>476</v>
      </c>
      <c r="AJ766" s="31" t="s">
        <v>144</v>
      </c>
      <c r="AK766" s="31" t="s">
        <v>144</v>
      </c>
      <c r="AL766" s="31" t="s">
        <v>194</v>
      </c>
      <c r="AM766" s="31" t="s">
        <v>144</v>
      </c>
      <c r="AN766" s="31" t="s">
        <v>163</v>
      </c>
      <c r="AO766" s="31" t="s">
        <v>144</v>
      </c>
      <c r="AP766" s="31"/>
      <c r="AQ766" s="31"/>
      <c r="AR766" s="31"/>
    </row>
    <row r="767" spans="5:44" ht="15" customHeight="1" x14ac:dyDescent="0.25">
      <c r="E767" s="31" t="s">
        <v>1328</v>
      </c>
      <c r="F767" s="31" t="s">
        <v>140</v>
      </c>
      <c r="G767" s="31" t="s">
        <v>374</v>
      </c>
      <c r="H767" s="31" t="s">
        <v>144</v>
      </c>
      <c r="I767" s="31" t="s">
        <v>481</v>
      </c>
      <c r="J767" s="31" t="s">
        <v>647</v>
      </c>
      <c r="K767" s="31" t="s">
        <v>773</v>
      </c>
      <c r="L767" s="31" t="s">
        <v>162</v>
      </c>
      <c r="M767" s="31" t="s">
        <v>144</v>
      </c>
      <c r="N767" s="31" t="s">
        <v>144</v>
      </c>
      <c r="O767" s="31">
        <v>16</v>
      </c>
      <c r="P767" s="31" t="s">
        <v>144</v>
      </c>
      <c r="Q767" s="31" t="s">
        <v>256</v>
      </c>
      <c r="R767" s="31" t="s">
        <v>477</v>
      </c>
      <c r="S767" s="31" t="s">
        <v>144</v>
      </c>
      <c r="T767" s="31" t="s">
        <v>144</v>
      </c>
      <c r="U767" s="31" t="s">
        <v>144</v>
      </c>
      <c r="V767" s="31" t="s">
        <v>144</v>
      </c>
      <c r="W767" s="31" t="s">
        <v>144</v>
      </c>
      <c r="X767" s="31" t="s">
        <v>144</v>
      </c>
      <c r="Y767" s="31" t="s">
        <v>144</v>
      </c>
      <c r="Z767" s="31" t="s">
        <v>144</v>
      </c>
      <c r="AA767" s="31" t="s">
        <v>144</v>
      </c>
      <c r="AB767" s="31" t="s">
        <v>144</v>
      </c>
      <c r="AC767" s="31" t="s">
        <v>144</v>
      </c>
      <c r="AD767" s="31" t="s">
        <v>144</v>
      </c>
      <c r="AE767" s="31" t="s">
        <v>144</v>
      </c>
      <c r="AF767" s="31" t="s">
        <v>144</v>
      </c>
      <c r="AG767" s="31" t="s">
        <v>144</v>
      </c>
      <c r="AH767" s="31" t="s">
        <v>473</v>
      </c>
      <c r="AI767" s="31" t="s">
        <v>476</v>
      </c>
      <c r="AJ767" s="31" t="s">
        <v>144</v>
      </c>
      <c r="AK767" s="31" t="s">
        <v>144</v>
      </c>
      <c r="AL767" s="31" t="s">
        <v>194</v>
      </c>
      <c r="AM767" s="31" t="s">
        <v>144</v>
      </c>
      <c r="AN767" s="31" t="s">
        <v>163</v>
      </c>
      <c r="AO767" s="31" t="s">
        <v>144</v>
      </c>
      <c r="AP767" s="31"/>
      <c r="AQ767" s="31"/>
      <c r="AR767" s="31"/>
    </row>
    <row r="768" spans="5:44" ht="15" customHeight="1" x14ac:dyDescent="0.25">
      <c r="E768" s="31" t="s">
        <v>1328</v>
      </c>
      <c r="F768" s="31" t="s">
        <v>140</v>
      </c>
      <c r="G768" s="31" t="s">
        <v>374</v>
      </c>
      <c r="H768" s="31" t="s">
        <v>144</v>
      </c>
      <c r="I768" s="31" t="s">
        <v>481</v>
      </c>
      <c r="J768" s="31" t="s">
        <v>647</v>
      </c>
      <c r="K768" s="31" t="s">
        <v>774</v>
      </c>
      <c r="L768" s="31" t="s">
        <v>162</v>
      </c>
      <c r="M768" s="31" t="s">
        <v>144</v>
      </c>
      <c r="N768" s="31" t="s">
        <v>144</v>
      </c>
      <c r="O768" s="31">
        <v>16</v>
      </c>
      <c r="P768" s="31" t="s">
        <v>144</v>
      </c>
      <c r="Q768" s="31" t="s">
        <v>256</v>
      </c>
      <c r="R768" s="31" t="s">
        <v>477</v>
      </c>
      <c r="S768" s="31" t="s">
        <v>144</v>
      </c>
      <c r="T768" s="31" t="s">
        <v>144</v>
      </c>
      <c r="U768" s="31" t="s">
        <v>144</v>
      </c>
      <c r="V768" s="31" t="s">
        <v>144</v>
      </c>
      <c r="W768" s="31" t="s">
        <v>144</v>
      </c>
      <c r="X768" s="31" t="s">
        <v>144</v>
      </c>
      <c r="Y768" s="31" t="s">
        <v>144</v>
      </c>
      <c r="Z768" s="31" t="s">
        <v>144</v>
      </c>
      <c r="AA768" s="31" t="s">
        <v>144</v>
      </c>
      <c r="AB768" s="31" t="s">
        <v>144</v>
      </c>
      <c r="AC768" s="31" t="s">
        <v>144</v>
      </c>
      <c r="AD768" s="31" t="s">
        <v>144</v>
      </c>
      <c r="AE768" s="31" t="s">
        <v>144</v>
      </c>
      <c r="AF768" s="31" t="s">
        <v>144</v>
      </c>
      <c r="AG768" s="31" t="s">
        <v>144</v>
      </c>
      <c r="AH768" s="31" t="s">
        <v>473</v>
      </c>
      <c r="AI768" s="31" t="s">
        <v>476</v>
      </c>
      <c r="AJ768" s="31" t="s">
        <v>144</v>
      </c>
      <c r="AK768" s="31" t="s">
        <v>144</v>
      </c>
      <c r="AL768" s="31" t="s">
        <v>194</v>
      </c>
      <c r="AM768" s="31" t="s">
        <v>144</v>
      </c>
      <c r="AN768" s="31" t="s">
        <v>163</v>
      </c>
      <c r="AO768" s="31" t="s">
        <v>144</v>
      </c>
      <c r="AP768" s="31"/>
      <c r="AQ768" s="31"/>
      <c r="AR768" s="31"/>
    </row>
    <row r="769" spans="5:44" ht="15" customHeight="1" x14ac:dyDescent="0.25">
      <c r="E769" s="31" t="s">
        <v>1328</v>
      </c>
      <c r="F769" s="31" t="s">
        <v>140</v>
      </c>
      <c r="G769" s="31" t="s">
        <v>374</v>
      </c>
      <c r="H769" s="31" t="s">
        <v>144</v>
      </c>
      <c r="I769" s="31" t="s">
        <v>481</v>
      </c>
      <c r="J769" s="31" t="s">
        <v>647</v>
      </c>
      <c r="K769" s="31" t="s">
        <v>775</v>
      </c>
      <c r="L769" s="31" t="s">
        <v>162</v>
      </c>
      <c r="M769" s="31" t="s">
        <v>144</v>
      </c>
      <c r="N769" s="31" t="s">
        <v>144</v>
      </c>
      <c r="O769" s="31">
        <v>16</v>
      </c>
      <c r="P769" s="31" t="s">
        <v>144</v>
      </c>
      <c r="Q769" s="31" t="s">
        <v>256</v>
      </c>
      <c r="R769" s="31" t="s">
        <v>477</v>
      </c>
      <c r="S769" s="31" t="s">
        <v>144</v>
      </c>
      <c r="T769" s="31" t="s">
        <v>144</v>
      </c>
      <c r="U769" s="31" t="s">
        <v>144</v>
      </c>
      <c r="V769" s="31" t="s">
        <v>144</v>
      </c>
      <c r="W769" s="31" t="s">
        <v>144</v>
      </c>
      <c r="X769" s="31" t="s">
        <v>144</v>
      </c>
      <c r="Y769" s="31" t="s">
        <v>144</v>
      </c>
      <c r="Z769" s="31" t="s">
        <v>144</v>
      </c>
      <c r="AA769" s="31" t="s">
        <v>144</v>
      </c>
      <c r="AB769" s="31" t="s">
        <v>144</v>
      </c>
      <c r="AC769" s="31" t="s">
        <v>144</v>
      </c>
      <c r="AD769" s="31" t="s">
        <v>144</v>
      </c>
      <c r="AE769" s="31" t="s">
        <v>144</v>
      </c>
      <c r="AF769" s="31" t="s">
        <v>144</v>
      </c>
      <c r="AG769" s="31" t="s">
        <v>144</v>
      </c>
      <c r="AH769" s="31" t="s">
        <v>473</v>
      </c>
      <c r="AI769" s="31" t="s">
        <v>476</v>
      </c>
      <c r="AJ769" s="31" t="s">
        <v>144</v>
      </c>
      <c r="AK769" s="31" t="s">
        <v>144</v>
      </c>
      <c r="AL769" s="31" t="s">
        <v>194</v>
      </c>
      <c r="AM769" s="31" t="s">
        <v>144</v>
      </c>
      <c r="AN769" s="31" t="s">
        <v>163</v>
      </c>
      <c r="AO769" s="31" t="s">
        <v>144</v>
      </c>
      <c r="AP769" s="31"/>
      <c r="AQ769" s="31"/>
      <c r="AR769" s="31"/>
    </row>
    <row r="770" spans="5:44" ht="15" customHeight="1" x14ac:dyDescent="0.25">
      <c r="E770" s="31" t="s">
        <v>1328</v>
      </c>
      <c r="F770" s="31" t="s">
        <v>140</v>
      </c>
      <c r="G770" s="31" t="s">
        <v>374</v>
      </c>
      <c r="H770" s="31" t="s">
        <v>144</v>
      </c>
      <c r="I770" s="31" t="s">
        <v>481</v>
      </c>
      <c r="J770" s="31" t="s">
        <v>647</v>
      </c>
      <c r="K770" s="31" t="s">
        <v>776</v>
      </c>
      <c r="L770" s="31" t="s">
        <v>162</v>
      </c>
      <c r="M770" s="31" t="s">
        <v>144</v>
      </c>
      <c r="N770" s="31" t="s">
        <v>144</v>
      </c>
      <c r="O770" s="31">
        <v>16</v>
      </c>
      <c r="P770" s="31" t="s">
        <v>144</v>
      </c>
      <c r="Q770" s="31" t="s">
        <v>256</v>
      </c>
      <c r="R770" s="31" t="s">
        <v>477</v>
      </c>
      <c r="S770" s="31" t="s">
        <v>144</v>
      </c>
      <c r="T770" s="31" t="s">
        <v>144</v>
      </c>
      <c r="U770" s="31" t="s">
        <v>144</v>
      </c>
      <c r="V770" s="31" t="s">
        <v>144</v>
      </c>
      <c r="W770" s="31" t="s">
        <v>144</v>
      </c>
      <c r="X770" s="31" t="s">
        <v>144</v>
      </c>
      <c r="Y770" s="31" t="s">
        <v>144</v>
      </c>
      <c r="Z770" s="31" t="s">
        <v>144</v>
      </c>
      <c r="AA770" s="31" t="s">
        <v>144</v>
      </c>
      <c r="AB770" s="31" t="s">
        <v>144</v>
      </c>
      <c r="AC770" s="31" t="s">
        <v>144</v>
      </c>
      <c r="AD770" s="31" t="s">
        <v>144</v>
      </c>
      <c r="AE770" s="31" t="s">
        <v>144</v>
      </c>
      <c r="AF770" s="31" t="s">
        <v>144</v>
      </c>
      <c r="AG770" s="31" t="s">
        <v>144</v>
      </c>
      <c r="AH770" s="31" t="s">
        <v>473</v>
      </c>
      <c r="AI770" s="31" t="s">
        <v>476</v>
      </c>
      <c r="AJ770" s="31" t="s">
        <v>144</v>
      </c>
      <c r="AK770" s="31" t="s">
        <v>144</v>
      </c>
      <c r="AL770" s="31" t="s">
        <v>194</v>
      </c>
      <c r="AM770" s="31" t="s">
        <v>144</v>
      </c>
      <c r="AN770" s="31" t="s">
        <v>163</v>
      </c>
      <c r="AO770" s="31" t="s">
        <v>144</v>
      </c>
      <c r="AP770" s="31"/>
      <c r="AQ770" s="31"/>
      <c r="AR770" s="31"/>
    </row>
    <row r="771" spans="5:44" ht="15" customHeight="1" x14ac:dyDescent="0.25">
      <c r="E771" s="31" t="s">
        <v>1328</v>
      </c>
      <c r="F771" s="31" t="s">
        <v>140</v>
      </c>
      <c r="G771" s="31" t="s">
        <v>374</v>
      </c>
      <c r="H771" s="31" t="s">
        <v>144</v>
      </c>
      <c r="I771" s="31" t="s">
        <v>481</v>
      </c>
      <c r="J771" s="31" t="s">
        <v>647</v>
      </c>
      <c r="K771" s="31" t="s">
        <v>777</v>
      </c>
      <c r="L771" s="31" t="s">
        <v>162</v>
      </c>
      <c r="M771" s="31" t="s">
        <v>144</v>
      </c>
      <c r="N771" s="31" t="s">
        <v>144</v>
      </c>
      <c r="O771" s="31">
        <v>16</v>
      </c>
      <c r="P771" s="31" t="s">
        <v>144</v>
      </c>
      <c r="Q771" s="31" t="s">
        <v>256</v>
      </c>
      <c r="R771" s="31" t="s">
        <v>477</v>
      </c>
      <c r="S771" s="31" t="s">
        <v>144</v>
      </c>
      <c r="T771" s="31" t="s">
        <v>144</v>
      </c>
      <c r="U771" s="31" t="s">
        <v>144</v>
      </c>
      <c r="V771" s="31" t="s">
        <v>144</v>
      </c>
      <c r="W771" s="31" t="s">
        <v>144</v>
      </c>
      <c r="X771" s="31" t="s">
        <v>144</v>
      </c>
      <c r="Y771" s="31" t="s">
        <v>144</v>
      </c>
      <c r="Z771" s="31" t="s">
        <v>144</v>
      </c>
      <c r="AA771" s="31" t="s">
        <v>144</v>
      </c>
      <c r="AB771" s="31" t="s">
        <v>144</v>
      </c>
      <c r="AC771" s="31" t="s">
        <v>144</v>
      </c>
      <c r="AD771" s="31" t="s">
        <v>144</v>
      </c>
      <c r="AE771" s="31" t="s">
        <v>144</v>
      </c>
      <c r="AF771" s="31" t="s">
        <v>144</v>
      </c>
      <c r="AG771" s="31" t="s">
        <v>144</v>
      </c>
      <c r="AH771" s="31" t="s">
        <v>473</v>
      </c>
      <c r="AI771" s="31" t="s">
        <v>476</v>
      </c>
      <c r="AJ771" s="31" t="s">
        <v>144</v>
      </c>
      <c r="AK771" s="31" t="s">
        <v>144</v>
      </c>
      <c r="AL771" s="31" t="s">
        <v>194</v>
      </c>
      <c r="AM771" s="31" t="s">
        <v>144</v>
      </c>
      <c r="AN771" s="31" t="s">
        <v>163</v>
      </c>
      <c r="AO771" s="31" t="s">
        <v>144</v>
      </c>
      <c r="AP771" s="31"/>
      <c r="AQ771" s="31"/>
      <c r="AR771" s="31"/>
    </row>
    <row r="772" spans="5:44" ht="15" customHeight="1" x14ac:dyDescent="0.25">
      <c r="E772" s="31" t="s">
        <v>1328</v>
      </c>
      <c r="F772" s="31" t="s">
        <v>140</v>
      </c>
      <c r="G772" s="31" t="s">
        <v>374</v>
      </c>
      <c r="H772" s="31" t="s">
        <v>144</v>
      </c>
      <c r="I772" s="31" t="s">
        <v>481</v>
      </c>
      <c r="J772" s="31" t="s">
        <v>647</v>
      </c>
      <c r="K772" s="31" t="s">
        <v>778</v>
      </c>
      <c r="L772" s="31" t="s">
        <v>162</v>
      </c>
      <c r="M772" s="31" t="s">
        <v>144</v>
      </c>
      <c r="N772" s="31" t="s">
        <v>144</v>
      </c>
      <c r="O772" s="31">
        <v>16</v>
      </c>
      <c r="P772" s="31" t="s">
        <v>144</v>
      </c>
      <c r="Q772" s="31" t="s">
        <v>256</v>
      </c>
      <c r="R772" s="31" t="s">
        <v>477</v>
      </c>
      <c r="S772" s="31" t="s">
        <v>144</v>
      </c>
      <c r="T772" s="31" t="s">
        <v>144</v>
      </c>
      <c r="U772" s="31" t="s">
        <v>144</v>
      </c>
      <c r="V772" s="31" t="s">
        <v>144</v>
      </c>
      <c r="W772" s="31" t="s">
        <v>144</v>
      </c>
      <c r="X772" s="31" t="s">
        <v>144</v>
      </c>
      <c r="Y772" s="31" t="s">
        <v>144</v>
      </c>
      <c r="Z772" s="31" t="s">
        <v>144</v>
      </c>
      <c r="AA772" s="31" t="s">
        <v>144</v>
      </c>
      <c r="AB772" s="31" t="s">
        <v>144</v>
      </c>
      <c r="AC772" s="31" t="s">
        <v>144</v>
      </c>
      <c r="AD772" s="31" t="s">
        <v>144</v>
      </c>
      <c r="AE772" s="31" t="s">
        <v>144</v>
      </c>
      <c r="AF772" s="31" t="s">
        <v>144</v>
      </c>
      <c r="AG772" s="31" t="s">
        <v>144</v>
      </c>
      <c r="AH772" s="31" t="s">
        <v>473</v>
      </c>
      <c r="AI772" s="31" t="s">
        <v>476</v>
      </c>
      <c r="AJ772" s="31" t="s">
        <v>144</v>
      </c>
      <c r="AK772" s="31" t="s">
        <v>144</v>
      </c>
      <c r="AL772" s="31" t="s">
        <v>194</v>
      </c>
      <c r="AM772" s="31" t="s">
        <v>144</v>
      </c>
      <c r="AN772" s="31" t="s">
        <v>163</v>
      </c>
      <c r="AO772" s="31" t="s">
        <v>144</v>
      </c>
      <c r="AP772" s="31"/>
      <c r="AQ772" s="31"/>
      <c r="AR772" s="31"/>
    </row>
    <row r="773" spans="5:44" ht="15" customHeight="1" x14ac:dyDescent="0.25">
      <c r="E773" s="31" t="s">
        <v>1328</v>
      </c>
      <c r="F773" s="31" t="s">
        <v>140</v>
      </c>
      <c r="G773" s="31" t="s">
        <v>374</v>
      </c>
      <c r="H773" s="31" t="s">
        <v>144</v>
      </c>
      <c r="I773" s="31" t="s">
        <v>481</v>
      </c>
      <c r="J773" s="31" t="s">
        <v>647</v>
      </c>
      <c r="K773" s="31" t="s">
        <v>779</v>
      </c>
      <c r="L773" s="31" t="s">
        <v>162</v>
      </c>
      <c r="M773" s="31" t="s">
        <v>144</v>
      </c>
      <c r="N773" s="31" t="s">
        <v>144</v>
      </c>
      <c r="O773" s="31">
        <v>16</v>
      </c>
      <c r="P773" s="31" t="s">
        <v>144</v>
      </c>
      <c r="Q773" s="31" t="s">
        <v>256</v>
      </c>
      <c r="R773" s="31" t="s">
        <v>477</v>
      </c>
      <c r="S773" s="31" t="s">
        <v>144</v>
      </c>
      <c r="T773" s="31" t="s">
        <v>144</v>
      </c>
      <c r="U773" s="31" t="s">
        <v>144</v>
      </c>
      <c r="V773" s="31" t="s">
        <v>144</v>
      </c>
      <c r="W773" s="31" t="s">
        <v>144</v>
      </c>
      <c r="X773" s="31" t="s">
        <v>144</v>
      </c>
      <c r="Y773" s="31" t="s">
        <v>144</v>
      </c>
      <c r="Z773" s="31" t="s">
        <v>144</v>
      </c>
      <c r="AA773" s="31" t="s">
        <v>144</v>
      </c>
      <c r="AB773" s="31" t="s">
        <v>144</v>
      </c>
      <c r="AC773" s="31" t="s">
        <v>144</v>
      </c>
      <c r="AD773" s="31" t="s">
        <v>144</v>
      </c>
      <c r="AE773" s="31" t="s">
        <v>144</v>
      </c>
      <c r="AF773" s="31" t="s">
        <v>144</v>
      </c>
      <c r="AG773" s="31" t="s">
        <v>144</v>
      </c>
      <c r="AH773" s="31" t="s">
        <v>473</v>
      </c>
      <c r="AI773" s="31" t="s">
        <v>476</v>
      </c>
      <c r="AJ773" s="31" t="s">
        <v>144</v>
      </c>
      <c r="AK773" s="31" t="s">
        <v>144</v>
      </c>
      <c r="AL773" s="31" t="s">
        <v>194</v>
      </c>
      <c r="AM773" s="31" t="s">
        <v>144</v>
      </c>
      <c r="AN773" s="31" t="s">
        <v>163</v>
      </c>
      <c r="AO773" s="31" t="s">
        <v>144</v>
      </c>
      <c r="AP773" s="31"/>
      <c r="AQ773" s="31"/>
      <c r="AR773" s="31"/>
    </row>
    <row r="774" spans="5:44" ht="15" customHeight="1" x14ac:dyDescent="0.25">
      <c r="E774" s="31" t="s">
        <v>1328</v>
      </c>
      <c r="F774" s="31" t="s">
        <v>140</v>
      </c>
      <c r="G774" s="31" t="s">
        <v>374</v>
      </c>
      <c r="H774" s="31" t="s">
        <v>144</v>
      </c>
      <c r="I774" s="31" t="s">
        <v>481</v>
      </c>
      <c r="J774" s="31" t="s">
        <v>647</v>
      </c>
      <c r="K774" s="31" t="s">
        <v>780</v>
      </c>
      <c r="L774" s="31" t="s">
        <v>162</v>
      </c>
      <c r="M774" s="31" t="s">
        <v>144</v>
      </c>
      <c r="N774" s="31" t="s">
        <v>144</v>
      </c>
      <c r="O774" s="31">
        <v>16</v>
      </c>
      <c r="P774" s="31" t="s">
        <v>144</v>
      </c>
      <c r="Q774" s="31" t="s">
        <v>256</v>
      </c>
      <c r="R774" s="31" t="s">
        <v>477</v>
      </c>
      <c r="S774" s="31" t="s">
        <v>144</v>
      </c>
      <c r="T774" s="31" t="s">
        <v>144</v>
      </c>
      <c r="U774" s="31" t="s">
        <v>144</v>
      </c>
      <c r="V774" s="31" t="s">
        <v>144</v>
      </c>
      <c r="W774" s="31" t="s">
        <v>144</v>
      </c>
      <c r="X774" s="31" t="s">
        <v>144</v>
      </c>
      <c r="Y774" s="31" t="s">
        <v>144</v>
      </c>
      <c r="Z774" s="31" t="s">
        <v>144</v>
      </c>
      <c r="AA774" s="31" t="s">
        <v>144</v>
      </c>
      <c r="AB774" s="31" t="s">
        <v>144</v>
      </c>
      <c r="AC774" s="31" t="s">
        <v>144</v>
      </c>
      <c r="AD774" s="31" t="s">
        <v>144</v>
      </c>
      <c r="AE774" s="31" t="s">
        <v>144</v>
      </c>
      <c r="AF774" s="31" t="s">
        <v>144</v>
      </c>
      <c r="AG774" s="31" t="s">
        <v>144</v>
      </c>
      <c r="AH774" s="31" t="s">
        <v>473</v>
      </c>
      <c r="AI774" s="31" t="s">
        <v>476</v>
      </c>
      <c r="AJ774" s="31" t="s">
        <v>144</v>
      </c>
      <c r="AK774" s="31" t="s">
        <v>144</v>
      </c>
      <c r="AL774" s="31" t="s">
        <v>194</v>
      </c>
      <c r="AM774" s="31" t="s">
        <v>144</v>
      </c>
      <c r="AN774" s="31" t="s">
        <v>163</v>
      </c>
      <c r="AO774" s="31" t="s">
        <v>144</v>
      </c>
      <c r="AP774" s="31"/>
      <c r="AQ774" s="31"/>
      <c r="AR774" s="31"/>
    </row>
    <row r="775" spans="5:44" ht="15" customHeight="1" x14ac:dyDescent="0.25">
      <c r="E775" s="31" t="s">
        <v>1328</v>
      </c>
      <c r="F775" s="31" t="s">
        <v>140</v>
      </c>
      <c r="G775" s="31" t="s">
        <v>374</v>
      </c>
      <c r="H775" s="31" t="s">
        <v>144</v>
      </c>
      <c r="I775" s="31" t="s">
        <v>481</v>
      </c>
      <c r="J775" s="31" t="s">
        <v>647</v>
      </c>
      <c r="K775" s="31" t="s">
        <v>781</v>
      </c>
      <c r="L775" s="31" t="s">
        <v>162</v>
      </c>
      <c r="M775" s="31" t="s">
        <v>144</v>
      </c>
      <c r="N775" s="31" t="s">
        <v>144</v>
      </c>
      <c r="O775" s="31">
        <v>16</v>
      </c>
      <c r="P775" s="31" t="s">
        <v>144</v>
      </c>
      <c r="Q775" s="31" t="s">
        <v>256</v>
      </c>
      <c r="R775" s="31" t="s">
        <v>477</v>
      </c>
      <c r="S775" s="31" t="s">
        <v>144</v>
      </c>
      <c r="T775" s="31" t="s">
        <v>144</v>
      </c>
      <c r="U775" s="31" t="s">
        <v>144</v>
      </c>
      <c r="V775" s="31" t="s">
        <v>144</v>
      </c>
      <c r="W775" s="31" t="s">
        <v>144</v>
      </c>
      <c r="X775" s="31" t="s">
        <v>144</v>
      </c>
      <c r="Y775" s="31" t="s">
        <v>144</v>
      </c>
      <c r="Z775" s="31" t="s">
        <v>144</v>
      </c>
      <c r="AA775" s="31" t="s">
        <v>144</v>
      </c>
      <c r="AB775" s="31" t="s">
        <v>144</v>
      </c>
      <c r="AC775" s="31" t="s">
        <v>144</v>
      </c>
      <c r="AD775" s="31" t="s">
        <v>144</v>
      </c>
      <c r="AE775" s="31" t="s">
        <v>144</v>
      </c>
      <c r="AF775" s="31" t="s">
        <v>144</v>
      </c>
      <c r="AG775" s="31" t="s">
        <v>144</v>
      </c>
      <c r="AH775" s="31" t="s">
        <v>473</v>
      </c>
      <c r="AI775" s="31" t="s">
        <v>476</v>
      </c>
      <c r="AJ775" s="31" t="s">
        <v>144</v>
      </c>
      <c r="AK775" s="31" t="s">
        <v>144</v>
      </c>
      <c r="AL775" s="31" t="s">
        <v>194</v>
      </c>
      <c r="AM775" s="31" t="s">
        <v>144</v>
      </c>
      <c r="AN775" s="31" t="s">
        <v>163</v>
      </c>
      <c r="AO775" s="31" t="s">
        <v>144</v>
      </c>
      <c r="AP775" s="31"/>
      <c r="AQ775" s="31"/>
      <c r="AR775" s="31"/>
    </row>
    <row r="776" spans="5:44" ht="15" customHeight="1" x14ac:dyDescent="0.25">
      <c r="E776" s="31" t="s">
        <v>1328</v>
      </c>
      <c r="F776" s="31" t="s">
        <v>140</v>
      </c>
      <c r="G776" s="31" t="s">
        <v>374</v>
      </c>
      <c r="H776" s="31" t="s">
        <v>144</v>
      </c>
      <c r="I776" s="31" t="s">
        <v>481</v>
      </c>
      <c r="J776" s="31" t="s">
        <v>647</v>
      </c>
      <c r="K776" s="31" t="s">
        <v>782</v>
      </c>
      <c r="L776" s="31" t="s">
        <v>162</v>
      </c>
      <c r="M776" s="31" t="s">
        <v>144</v>
      </c>
      <c r="N776" s="31" t="s">
        <v>144</v>
      </c>
      <c r="O776" s="31">
        <v>16</v>
      </c>
      <c r="P776" s="31" t="s">
        <v>144</v>
      </c>
      <c r="Q776" s="31" t="s">
        <v>256</v>
      </c>
      <c r="R776" s="31" t="s">
        <v>477</v>
      </c>
      <c r="S776" s="31" t="s">
        <v>144</v>
      </c>
      <c r="T776" s="31" t="s">
        <v>144</v>
      </c>
      <c r="U776" s="31" t="s">
        <v>144</v>
      </c>
      <c r="V776" s="31" t="s">
        <v>144</v>
      </c>
      <c r="W776" s="31" t="s">
        <v>144</v>
      </c>
      <c r="X776" s="31" t="s">
        <v>144</v>
      </c>
      <c r="Y776" s="31" t="s">
        <v>144</v>
      </c>
      <c r="Z776" s="31" t="s">
        <v>144</v>
      </c>
      <c r="AA776" s="31" t="s">
        <v>144</v>
      </c>
      <c r="AB776" s="31" t="s">
        <v>144</v>
      </c>
      <c r="AC776" s="31" t="s">
        <v>144</v>
      </c>
      <c r="AD776" s="31" t="s">
        <v>144</v>
      </c>
      <c r="AE776" s="31" t="s">
        <v>144</v>
      </c>
      <c r="AF776" s="31" t="s">
        <v>144</v>
      </c>
      <c r="AG776" s="31" t="s">
        <v>144</v>
      </c>
      <c r="AH776" s="31" t="s">
        <v>473</v>
      </c>
      <c r="AI776" s="31" t="s">
        <v>476</v>
      </c>
      <c r="AJ776" s="31" t="s">
        <v>144</v>
      </c>
      <c r="AK776" s="31" t="s">
        <v>144</v>
      </c>
      <c r="AL776" s="31" t="s">
        <v>194</v>
      </c>
      <c r="AM776" s="31" t="s">
        <v>144</v>
      </c>
      <c r="AN776" s="31" t="s">
        <v>163</v>
      </c>
      <c r="AO776" s="31" t="s">
        <v>144</v>
      </c>
      <c r="AP776" s="31"/>
      <c r="AQ776" s="31"/>
      <c r="AR776" s="31"/>
    </row>
    <row r="777" spans="5:44" ht="15" customHeight="1" x14ac:dyDescent="0.25">
      <c r="E777" s="31" t="s">
        <v>1328</v>
      </c>
      <c r="F777" s="31" t="s">
        <v>140</v>
      </c>
      <c r="G777" s="31" t="s">
        <v>374</v>
      </c>
      <c r="H777" s="31" t="s">
        <v>144</v>
      </c>
      <c r="I777" s="31" t="s">
        <v>481</v>
      </c>
      <c r="J777" s="31" t="s">
        <v>647</v>
      </c>
      <c r="K777" s="31" t="s">
        <v>783</v>
      </c>
      <c r="L777" s="31" t="s">
        <v>162</v>
      </c>
      <c r="M777" s="31" t="s">
        <v>144</v>
      </c>
      <c r="N777" s="31" t="s">
        <v>144</v>
      </c>
      <c r="O777" s="31">
        <v>16</v>
      </c>
      <c r="P777" s="31" t="s">
        <v>144</v>
      </c>
      <c r="Q777" s="31" t="s">
        <v>256</v>
      </c>
      <c r="R777" s="31" t="s">
        <v>477</v>
      </c>
      <c r="S777" s="31" t="s">
        <v>144</v>
      </c>
      <c r="T777" s="31" t="s">
        <v>144</v>
      </c>
      <c r="U777" s="31" t="s">
        <v>144</v>
      </c>
      <c r="V777" s="31" t="s">
        <v>144</v>
      </c>
      <c r="W777" s="31" t="s">
        <v>144</v>
      </c>
      <c r="X777" s="31" t="s">
        <v>144</v>
      </c>
      <c r="Y777" s="31" t="s">
        <v>144</v>
      </c>
      <c r="Z777" s="31" t="s">
        <v>144</v>
      </c>
      <c r="AA777" s="31" t="s">
        <v>144</v>
      </c>
      <c r="AB777" s="31" t="s">
        <v>144</v>
      </c>
      <c r="AC777" s="31" t="s">
        <v>144</v>
      </c>
      <c r="AD777" s="31" t="s">
        <v>144</v>
      </c>
      <c r="AE777" s="31" t="s">
        <v>144</v>
      </c>
      <c r="AF777" s="31" t="s">
        <v>144</v>
      </c>
      <c r="AG777" s="31" t="s">
        <v>144</v>
      </c>
      <c r="AH777" s="31" t="s">
        <v>473</v>
      </c>
      <c r="AI777" s="31" t="s">
        <v>476</v>
      </c>
      <c r="AJ777" s="31" t="s">
        <v>144</v>
      </c>
      <c r="AK777" s="31" t="s">
        <v>144</v>
      </c>
      <c r="AL777" s="31" t="s">
        <v>194</v>
      </c>
      <c r="AM777" s="31" t="s">
        <v>144</v>
      </c>
      <c r="AN777" s="31" t="s">
        <v>163</v>
      </c>
      <c r="AO777" s="31" t="s">
        <v>144</v>
      </c>
      <c r="AP777" s="31"/>
      <c r="AQ777" s="31"/>
      <c r="AR777" s="31"/>
    </row>
    <row r="778" spans="5:44" ht="15" customHeight="1" x14ac:dyDescent="0.25">
      <c r="E778" s="31" t="s">
        <v>1328</v>
      </c>
      <c r="F778" s="31" t="s">
        <v>140</v>
      </c>
      <c r="G778" s="31" t="s">
        <v>374</v>
      </c>
      <c r="H778" s="31" t="s">
        <v>144</v>
      </c>
      <c r="I778" s="31" t="s">
        <v>481</v>
      </c>
      <c r="J778" s="31" t="s">
        <v>647</v>
      </c>
      <c r="K778" s="31" t="s">
        <v>784</v>
      </c>
      <c r="L778" s="31" t="s">
        <v>162</v>
      </c>
      <c r="M778" s="31" t="s">
        <v>144</v>
      </c>
      <c r="N778" s="31" t="s">
        <v>144</v>
      </c>
      <c r="O778" s="31">
        <v>16</v>
      </c>
      <c r="P778" s="31" t="s">
        <v>144</v>
      </c>
      <c r="Q778" s="31" t="s">
        <v>256</v>
      </c>
      <c r="R778" s="31" t="s">
        <v>477</v>
      </c>
      <c r="S778" s="31" t="s">
        <v>144</v>
      </c>
      <c r="T778" s="31" t="s">
        <v>144</v>
      </c>
      <c r="U778" s="31" t="s">
        <v>144</v>
      </c>
      <c r="V778" s="31" t="s">
        <v>144</v>
      </c>
      <c r="W778" s="31" t="s">
        <v>144</v>
      </c>
      <c r="X778" s="31" t="s">
        <v>144</v>
      </c>
      <c r="Y778" s="31" t="s">
        <v>144</v>
      </c>
      <c r="Z778" s="31" t="s">
        <v>144</v>
      </c>
      <c r="AA778" s="31" t="s">
        <v>144</v>
      </c>
      <c r="AB778" s="31" t="s">
        <v>144</v>
      </c>
      <c r="AC778" s="31" t="s">
        <v>144</v>
      </c>
      <c r="AD778" s="31" t="s">
        <v>144</v>
      </c>
      <c r="AE778" s="31" t="s">
        <v>144</v>
      </c>
      <c r="AF778" s="31" t="s">
        <v>144</v>
      </c>
      <c r="AG778" s="31" t="s">
        <v>144</v>
      </c>
      <c r="AH778" s="31" t="s">
        <v>473</v>
      </c>
      <c r="AI778" s="31" t="s">
        <v>476</v>
      </c>
      <c r="AJ778" s="31" t="s">
        <v>144</v>
      </c>
      <c r="AK778" s="31" t="s">
        <v>144</v>
      </c>
      <c r="AL778" s="31" t="s">
        <v>194</v>
      </c>
      <c r="AM778" s="31" t="s">
        <v>144</v>
      </c>
      <c r="AN778" s="31" t="s">
        <v>163</v>
      </c>
      <c r="AO778" s="31" t="s">
        <v>144</v>
      </c>
      <c r="AP778" s="31"/>
      <c r="AQ778" s="31"/>
      <c r="AR778" s="31"/>
    </row>
    <row r="779" spans="5:44" ht="15" customHeight="1" x14ac:dyDescent="0.25">
      <c r="E779" s="31" t="s">
        <v>1328</v>
      </c>
      <c r="F779" s="31" t="s">
        <v>140</v>
      </c>
      <c r="G779" s="31" t="s">
        <v>374</v>
      </c>
      <c r="H779" s="31" t="s">
        <v>144</v>
      </c>
      <c r="I779" s="31" t="s">
        <v>481</v>
      </c>
      <c r="J779" s="31" t="s">
        <v>647</v>
      </c>
      <c r="K779" s="31" t="s">
        <v>785</v>
      </c>
      <c r="L779" s="31" t="s">
        <v>162</v>
      </c>
      <c r="M779" s="31" t="s">
        <v>144</v>
      </c>
      <c r="N779" s="31" t="s">
        <v>144</v>
      </c>
      <c r="O779" s="31">
        <v>16</v>
      </c>
      <c r="P779" s="31" t="s">
        <v>144</v>
      </c>
      <c r="Q779" s="31" t="s">
        <v>256</v>
      </c>
      <c r="R779" s="31" t="s">
        <v>477</v>
      </c>
      <c r="S779" s="31" t="s">
        <v>144</v>
      </c>
      <c r="T779" s="31" t="s">
        <v>144</v>
      </c>
      <c r="U779" s="31" t="s">
        <v>144</v>
      </c>
      <c r="V779" s="31" t="s">
        <v>144</v>
      </c>
      <c r="W779" s="31" t="s">
        <v>144</v>
      </c>
      <c r="X779" s="31" t="s">
        <v>144</v>
      </c>
      <c r="Y779" s="31" t="s">
        <v>144</v>
      </c>
      <c r="Z779" s="31" t="s">
        <v>144</v>
      </c>
      <c r="AA779" s="31" t="s">
        <v>144</v>
      </c>
      <c r="AB779" s="31" t="s">
        <v>144</v>
      </c>
      <c r="AC779" s="31" t="s">
        <v>144</v>
      </c>
      <c r="AD779" s="31" t="s">
        <v>144</v>
      </c>
      <c r="AE779" s="31" t="s">
        <v>144</v>
      </c>
      <c r="AF779" s="31" t="s">
        <v>144</v>
      </c>
      <c r="AG779" s="31" t="s">
        <v>144</v>
      </c>
      <c r="AH779" s="31" t="s">
        <v>473</v>
      </c>
      <c r="AI779" s="31" t="s">
        <v>476</v>
      </c>
      <c r="AJ779" s="31" t="s">
        <v>144</v>
      </c>
      <c r="AK779" s="31" t="s">
        <v>144</v>
      </c>
      <c r="AL779" s="31" t="s">
        <v>194</v>
      </c>
      <c r="AM779" s="31" t="s">
        <v>144</v>
      </c>
      <c r="AN779" s="31" t="s">
        <v>163</v>
      </c>
      <c r="AO779" s="31" t="s">
        <v>144</v>
      </c>
      <c r="AP779" s="31"/>
      <c r="AQ779" s="31"/>
      <c r="AR779" s="31"/>
    </row>
    <row r="780" spans="5:44" ht="15" customHeight="1" x14ac:dyDescent="0.25">
      <c r="E780" s="31" t="s">
        <v>1328</v>
      </c>
      <c r="F780" s="31" t="s">
        <v>140</v>
      </c>
      <c r="G780" s="31" t="s">
        <v>374</v>
      </c>
      <c r="H780" s="31" t="s">
        <v>144</v>
      </c>
      <c r="I780" s="31" t="s">
        <v>481</v>
      </c>
      <c r="J780" s="31" t="s">
        <v>647</v>
      </c>
      <c r="K780" s="31" t="s">
        <v>786</v>
      </c>
      <c r="L780" s="31" t="s">
        <v>162</v>
      </c>
      <c r="M780" s="31" t="s">
        <v>144</v>
      </c>
      <c r="N780" s="31" t="s">
        <v>144</v>
      </c>
      <c r="O780" s="31">
        <v>16</v>
      </c>
      <c r="P780" s="31" t="s">
        <v>144</v>
      </c>
      <c r="Q780" s="31" t="s">
        <v>256</v>
      </c>
      <c r="R780" s="31" t="s">
        <v>477</v>
      </c>
      <c r="S780" s="31" t="s">
        <v>144</v>
      </c>
      <c r="T780" s="31" t="s">
        <v>144</v>
      </c>
      <c r="U780" s="31" t="s">
        <v>144</v>
      </c>
      <c r="V780" s="31" t="s">
        <v>144</v>
      </c>
      <c r="W780" s="31" t="s">
        <v>144</v>
      </c>
      <c r="X780" s="31" t="s">
        <v>144</v>
      </c>
      <c r="Y780" s="31" t="s">
        <v>144</v>
      </c>
      <c r="Z780" s="31" t="s">
        <v>144</v>
      </c>
      <c r="AA780" s="31" t="s">
        <v>144</v>
      </c>
      <c r="AB780" s="31" t="s">
        <v>144</v>
      </c>
      <c r="AC780" s="31" t="s">
        <v>144</v>
      </c>
      <c r="AD780" s="31" t="s">
        <v>144</v>
      </c>
      <c r="AE780" s="31" t="s">
        <v>144</v>
      </c>
      <c r="AF780" s="31" t="s">
        <v>144</v>
      </c>
      <c r="AG780" s="31" t="s">
        <v>144</v>
      </c>
      <c r="AH780" s="31" t="s">
        <v>473</v>
      </c>
      <c r="AI780" s="31" t="s">
        <v>476</v>
      </c>
      <c r="AJ780" s="31" t="s">
        <v>144</v>
      </c>
      <c r="AK780" s="31" t="s">
        <v>144</v>
      </c>
      <c r="AL780" s="31" t="s">
        <v>194</v>
      </c>
      <c r="AM780" s="31" t="s">
        <v>144</v>
      </c>
      <c r="AN780" s="31" t="s">
        <v>163</v>
      </c>
      <c r="AO780" s="31" t="s">
        <v>144</v>
      </c>
      <c r="AP780" s="31"/>
      <c r="AQ780" s="31"/>
      <c r="AR780" s="31"/>
    </row>
    <row r="781" spans="5:44" ht="15" customHeight="1" x14ac:dyDescent="0.25">
      <c r="E781" s="31" t="s">
        <v>1328</v>
      </c>
      <c r="F781" s="31" t="s">
        <v>140</v>
      </c>
      <c r="G781" s="31" t="s">
        <v>374</v>
      </c>
      <c r="H781" s="31" t="s">
        <v>144</v>
      </c>
      <c r="I781" s="31" t="s">
        <v>481</v>
      </c>
      <c r="J781" s="31" t="s">
        <v>647</v>
      </c>
      <c r="K781" s="31" t="s">
        <v>787</v>
      </c>
      <c r="L781" s="31" t="s">
        <v>162</v>
      </c>
      <c r="M781" s="31" t="s">
        <v>144</v>
      </c>
      <c r="N781" s="31" t="s">
        <v>144</v>
      </c>
      <c r="O781" s="31">
        <v>16</v>
      </c>
      <c r="P781" s="31" t="s">
        <v>144</v>
      </c>
      <c r="Q781" s="31" t="s">
        <v>256</v>
      </c>
      <c r="R781" s="31" t="s">
        <v>477</v>
      </c>
      <c r="S781" s="31" t="s">
        <v>144</v>
      </c>
      <c r="T781" s="31" t="s">
        <v>144</v>
      </c>
      <c r="U781" s="31" t="s">
        <v>144</v>
      </c>
      <c r="V781" s="31" t="s">
        <v>144</v>
      </c>
      <c r="W781" s="31" t="s">
        <v>144</v>
      </c>
      <c r="X781" s="31" t="s">
        <v>144</v>
      </c>
      <c r="Y781" s="31" t="s">
        <v>144</v>
      </c>
      <c r="Z781" s="31" t="s">
        <v>144</v>
      </c>
      <c r="AA781" s="31" t="s">
        <v>144</v>
      </c>
      <c r="AB781" s="31" t="s">
        <v>144</v>
      </c>
      <c r="AC781" s="31" t="s">
        <v>144</v>
      </c>
      <c r="AD781" s="31" t="s">
        <v>144</v>
      </c>
      <c r="AE781" s="31" t="s">
        <v>144</v>
      </c>
      <c r="AF781" s="31" t="s">
        <v>144</v>
      </c>
      <c r="AG781" s="31" t="s">
        <v>144</v>
      </c>
      <c r="AH781" s="31" t="s">
        <v>473</v>
      </c>
      <c r="AI781" s="31" t="s">
        <v>476</v>
      </c>
      <c r="AJ781" s="31" t="s">
        <v>144</v>
      </c>
      <c r="AK781" s="31" t="s">
        <v>144</v>
      </c>
      <c r="AL781" s="31" t="s">
        <v>194</v>
      </c>
      <c r="AM781" s="31" t="s">
        <v>144</v>
      </c>
      <c r="AN781" s="31" t="s">
        <v>163</v>
      </c>
      <c r="AO781" s="31" t="s">
        <v>144</v>
      </c>
      <c r="AP781" s="31"/>
      <c r="AQ781" s="31"/>
      <c r="AR781" s="31"/>
    </row>
    <row r="782" spans="5:44" ht="15" customHeight="1" x14ac:dyDescent="0.25">
      <c r="E782" s="31" t="s">
        <v>1328</v>
      </c>
      <c r="F782" s="31" t="s">
        <v>140</v>
      </c>
      <c r="G782" s="31" t="s">
        <v>374</v>
      </c>
      <c r="H782" s="31" t="s">
        <v>144</v>
      </c>
      <c r="I782" s="31" t="s">
        <v>481</v>
      </c>
      <c r="J782" s="31" t="s">
        <v>647</v>
      </c>
      <c r="K782" s="31" t="s">
        <v>788</v>
      </c>
      <c r="L782" s="31" t="s">
        <v>162</v>
      </c>
      <c r="M782" s="31" t="s">
        <v>144</v>
      </c>
      <c r="N782" s="31" t="s">
        <v>144</v>
      </c>
      <c r="O782" s="31">
        <v>16</v>
      </c>
      <c r="P782" s="31" t="s">
        <v>144</v>
      </c>
      <c r="Q782" s="31" t="s">
        <v>256</v>
      </c>
      <c r="R782" s="31" t="s">
        <v>477</v>
      </c>
      <c r="S782" s="31" t="s">
        <v>144</v>
      </c>
      <c r="T782" s="31" t="s">
        <v>144</v>
      </c>
      <c r="U782" s="31" t="s">
        <v>144</v>
      </c>
      <c r="V782" s="31" t="s">
        <v>144</v>
      </c>
      <c r="W782" s="31" t="s">
        <v>144</v>
      </c>
      <c r="X782" s="31" t="s">
        <v>144</v>
      </c>
      <c r="Y782" s="31" t="s">
        <v>144</v>
      </c>
      <c r="Z782" s="31" t="s">
        <v>144</v>
      </c>
      <c r="AA782" s="31" t="s">
        <v>144</v>
      </c>
      <c r="AB782" s="31" t="s">
        <v>144</v>
      </c>
      <c r="AC782" s="31" t="s">
        <v>144</v>
      </c>
      <c r="AD782" s="31" t="s">
        <v>144</v>
      </c>
      <c r="AE782" s="31" t="s">
        <v>144</v>
      </c>
      <c r="AF782" s="31" t="s">
        <v>144</v>
      </c>
      <c r="AG782" s="31" t="s">
        <v>144</v>
      </c>
      <c r="AH782" s="31" t="s">
        <v>473</v>
      </c>
      <c r="AI782" s="31" t="s">
        <v>476</v>
      </c>
      <c r="AJ782" s="31" t="s">
        <v>144</v>
      </c>
      <c r="AK782" s="31" t="s">
        <v>144</v>
      </c>
      <c r="AL782" s="31" t="s">
        <v>194</v>
      </c>
      <c r="AM782" s="31" t="s">
        <v>144</v>
      </c>
      <c r="AN782" s="31" t="s">
        <v>163</v>
      </c>
      <c r="AO782" s="31" t="s">
        <v>144</v>
      </c>
      <c r="AP782" s="31"/>
      <c r="AQ782" s="31"/>
      <c r="AR782" s="31"/>
    </row>
    <row r="783" spans="5:44" ht="15" customHeight="1" x14ac:dyDescent="0.25">
      <c r="E783" s="31" t="s">
        <v>1328</v>
      </c>
      <c r="F783" s="31" t="s">
        <v>140</v>
      </c>
      <c r="G783" s="31" t="s">
        <v>374</v>
      </c>
      <c r="H783" s="31" t="s">
        <v>144</v>
      </c>
      <c r="I783" s="31" t="s">
        <v>481</v>
      </c>
      <c r="J783" s="31" t="s">
        <v>647</v>
      </c>
      <c r="K783" s="31" t="s">
        <v>789</v>
      </c>
      <c r="L783" s="31" t="s">
        <v>162</v>
      </c>
      <c r="M783" s="31" t="s">
        <v>144</v>
      </c>
      <c r="N783" s="31" t="s">
        <v>144</v>
      </c>
      <c r="O783" s="31">
        <v>16</v>
      </c>
      <c r="P783" s="31" t="s">
        <v>144</v>
      </c>
      <c r="Q783" s="31" t="s">
        <v>256</v>
      </c>
      <c r="R783" s="31" t="s">
        <v>477</v>
      </c>
      <c r="S783" s="31" t="s">
        <v>144</v>
      </c>
      <c r="T783" s="31" t="s">
        <v>144</v>
      </c>
      <c r="U783" s="31" t="s">
        <v>144</v>
      </c>
      <c r="V783" s="31" t="s">
        <v>144</v>
      </c>
      <c r="W783" s="31" t="s">
        <v>144</v>
      </c>
      <c r="X783" s="31" t="s">
        <v>144</v>
      </c>
      <c r="Y783" s="31" t="s">
        <v>144</v>
      </c>
      <c r="Z783" s="31" t="s">
        <v>144</v>
      </c>
      <c r="AA783" s="31" t="s">
        <v>144</v>
      </c>
      <c r="AB783" s="31" t="s">
        <v>144</v>
      </c>
      <c r="AC783" s="31" t="s">
        <v>144</v>
      </c>
      <c r="AD783" s="31" t="s">
        <v>144</v>
      </c>
      <c r="AE783" s="31" t="s">
        <v>144</v>
      </c>
      <c r="AF783" s="31" t="s">
        <v>144</v>
      </c>
      <c r="AG783" s="31" t="s">
        <v>144</v>
      </c>
      <c r="AH783" s="31" t="s">
        <v>473</v>
      </c>
      <c r="AI783" s="31" t="s">
        <v>476</v>
      </c>
      <c r="AJ783" s="31" t="s">
        <v>144</v>
      </c>
      <c r="AK783" s="31" t="s">
        <v>144</v>
      </c>
      <c r="AL783" s="31" t="s">
        <v>194</v>
      </c>
      <c r="AM783" s="31" t="s">
        <v>144</v>
      </c>
      <c r="AN783" s="31" t="s">
        <v>163</v>
      </c>
      <c r="AO783" s="31" t="s">
        <v>144</v>
      </c>
      <c r="AP783" s="31"/>
      <c r="AQ783" s="31"/>
      <c r="AR783" s="31"/>
    </row>
    <row r="784" spans="5:44" ht="15" customHeight="1" x14ac:dyDescent="0.25">
      <c r="E784" s="31" t="s">
        <v>1328</v>
      </c>
      <c r="F784" s="31" t="s">
        <v>140</v>
      </c>
      <c r="G784" s="31" t="s">
        <v>374</v>
      </c>
      <c r="H784" s="31" t="s">
        <v>144</v>
      </c>
      <c r="I784" s="31" t="s">
        <v>481</v>
      </c>
      <c r="J784" s="31" t="s">
        <v>647</v>
      </c>
      <c r="K784" s="31" t="s">
        <v>790</v>
      </c>
      <c r="L784" s="31" t="s">
        <v>162</v>
      </c>
      <c r="M784" s="31" t="s">
        <v>144</v>
      </c>
      <c r="N784" s="31" t="s">
        <v>144</v>
      </c>
      <c r="O784" s="31">
        <v>16</v>
      </c>
      <c r="P784" s="31" t="s">
        <v>144</v>
      </c>
      <c r="Q784" s="31" t="s">
        <v>256</v>
      </c>
      <c r="R784" s="31" t="s">
        <v>477</v>
      </c>
      <c r="S784" s="31" t="s">
        <v>144</v>
      </c>
      <c r="T784" s="31" t="s">
        <v>144</v>
      </c>
      <c r="U784" s="31" t="s">
        <v>144</v>
      </c>
      <c r="V784" s="31" t="s">
        <v>144</v>
      </c>
      <c r="W784" s="31" t="s">
        <v>144</v>
      </c>
      <c r="X784" s="31" t="s">
        <v>144</v>
      </c>
      <c r="Y784" s="31" t="s">
        <v>144</v>
      </c>
      <c r="Z784" s="31" t="s">
        <v>144</v>
      </c>
      <c r="AA784" s="31" t="s">
        <v>144</v>
      </c>
      <c r="AB784" s="31" t="s">
        <v>144</v>
      </c>
      <c r="AC784" s="31" t="s">
        <v>144</v>
      </c>
      <c r="AD784" s="31" t="s">
        <v>144</v>
      </c>
      <c r="AE784" s="31" t="s">
        <v>144</v>
      </c>
      <c r="AF784" s="31" t="s">
        <v>144</v>
      </c>
      <c r="AG784" s="31" t="s">
        <v>144</v>
      </c>
      <c r="AH784" s="31" t="s">
        <v>473</v>
      </c>
      <c r="AI784" s="31" t="s">
        <v>476</v>
      </c>
      <c r="AJ784" s="31" t="s">
        <v>144</v>
      </c>
      <c r="AK784" s="31" t="s">
        <v>144</v>
      </c>
      <c r="AL784" s="31" t="s">
        <v>194</v>
      </c>
      <c r="AM784" s="31" t="s">
        <v>144</v>
      </c>
      <c r="AN784" s="31" t="s">
        <v>163</v>
      </c>
      <c r="AO784" s="31" t="s">
        <v>144</v>
      </c>
      <c r="AP784" s="31"/>
      <c r="AQ784" s="31"/>
      <c r="AR784" s="31"/>
    </row>
    <row r="785" spans="5:47" ht="15" customHeight="1" x14ac:dyDescent="0.25">
      <c r="E785" s="31" t="s">
        <v>1328</v>
      </c>
      <c r="F785" s="31" t="s">
        <v>140</v>
      </c>
      <c r="G785" s="31" t="s">
        <v>374</v>
      </c>
      <c r="H785" s="31" t="s">
        <v>144</v>
      </c>
      <c r="I785" s="31" t="s">
        <v>481</v>
      </c>
      <c r="J785" s="31" t="s">
        <v>647</v>
      </c>
      <c r="K785" s="31" t="s">
        <v>791</v>
      </c>
      <c r="L785" s="31" t="s">
        <v>162</v>
      </c>
      <c r="M785" s="31" t="s">
        <v>144</v>
      </c>
      <c r="N785" s="31" t="s">
        <v>144</v>
      </c>
      <c r="O785" s="31">
        <v>16</v>
      </c>
      <c r="P785" s="31" t="s">
        <v>144</v>
      </c>
      <c r="Q785" s="31" t="s">
        <v>256</v>
      </c>
      <c r="R785" s="31" t="s">
        <v>477</v>
      </c>
      <c r="S785" s="31" t="s">
        <v>144</v>
      </c>
      <c r="T785" s="31" t="s">
        <v>144</v>
      </c>
      <c r="U785" s="31" t="s">
        <v>144</v>
      </c>
      <c r="V785" s="31" t="s">
        <v>144</v>
      </c>
      <c r="W785" s="31" t="s">
        <v>144</v>
      </c>
      <c r="X785" s="31" t="s">
        <v>144</v>
      </c>
      <c r="Y785" s="31" t="s">
        <v>144</v>
      </c>
      <c r="Z785" s="31" t="s">
        <v>144</v>
      </c>
      <c r="AA785" s="31" t="s">
        <v>144</v>
      </c>
      <c r="AB785" s="31" t="s">
        <v>144</v>
      </c>
      <c r="AC785" s="31" t="s">
        <v>144</v>
      </c>
      <c r="AD785" s="31" t="s">
        <v>144</v>
      </c>
      <c r="AE785" s="31" t="s">
        <v>144</v>
      </c>
      <c r="AF785" s="31" t="s">
        <v>144</v>
      </c>
      <c r="AG785" s="31" t="s">
        <v>144</v>
      </c>
      <c r="AH785" s="31" t="s">
        <v>473</v>
      </c>
      <c r="AI785" s="31" t="s">
        <v>476</v>
      </c>
      <c r="AJ785" s="31" t="s">
        <v>144</v>
      </c>
      <c r="AK785" s="31" t="s">
        <v>144</v>
      </c>
      <c r="AL785" s="31" t="s">
        <v>194</v>
      </c>
      <c r="AM785" s="31" t="s">
        <v>144</v>
      </c>
      <c r="AN785" s="31" t="s">
        <v>163</v>
      </c>
      <c r="AO785" s="31" t="s">
        <v>144</v>
      </c>
      <c r="AP785" s="31"/>
      <c r="AQ785" s="31"/>
      <c r="AR785" s="31"/>
    </row>
    <row r="786" spans="5:47" ht="15" customHeight="1" x14ac:dyDescent="0.25">
      <c r="E786" s="31" t="s">
        <v>1328</v>
      </c>
      <c r="F786" s="31" t="s">
        <v>140</v>
      </c>
      <c r="G786" s="31" t="s">
        <v>374</v>
      </c>
      <c r="H786" s="31" t="s">
        <v>144</v>
      </c>
      <c r="I786" s="31" t="s">
        <v>481</v>
      </c>
      <c r="J786" s="31" t="s">
        <v>647</v>
      </c>
      <c r="K786" s="31" t="s">
        <v>792</v>
      </c>
      <c r="L786" s="31" t="s">
        <v>162</v>
      </c>
      <c r="M786" s="31" t="s">
        <v>144</v>
      </c>
      <c r="N786" s="31" t="s">
        <v>144</v>
      </c>
      <c r="O786" s="31">
        <v>16</v>
      </c>
      <c r="P786" s="31" t="s">
        <v>144</v>
      </c>
      <c r="Q786" s="31" t="s">
        <v>256</v>
      </c>
      <c r="R786" s="31" t="s">
        <v>477</v>
      </c>
      <c r="S786" s="31" t="s">
        <v>144</v>
      </c>
      <c r="T786" s="31" t="s">
        <v>144</v>
      </c>
      <c r="U786" s="31" t="s">
        <v>144</v>
      </c>
      <c r="V786" s="31" t="s">
        <v>144</v>
      </c>
      <c r="W786" s="31" t="s">
        <v>144</v>
      </c>
      <c r="X786" s="31" t="s">
        <v>144</v>
      </c>
      <c r="Y786" s="31" t="s">
        <v>144</v>
      </c>
      <c r="Z786" s="31" t="s">
        <v>144</v>
      </c>
      <c r="AA786" s="31" t="s">
        <v>144</v>
      </c>
      <c r="AB786" s="31" t="s">
        <v>144</v>
      </c>
      <c r="AC786" s="31" t="s">
        <v>144</v>
      </c>
      <c r="AD786" s="31" t="s">
        <v>144</v>
      </c>
      <c r="AE786" s="31" t="s">
        <v>144</v>
      </c>
      <c r="AF786" s="31" t="s">
        <v>144</v>
      </c>
      <c r="AG786" s="31" t="s">
        <v>144</v>
      </c>
      <c r="AH786" s="31" t="s">
        <v>473</v>
      </c>
      <c r="AI786" s="31" t="s">
        <v>476</v>
      </c>
      <c r="AJ786" s="31" t="s">
        <v>144</v>
      </c>
      <c r="AK786" s="31" t="s">
        <v>144</v>
      </c>
      <c r="AL786" s="31" t="s">
        <v>194</v>
      </c>
      <c r="AM786" s="31" t="s">
        <v>144</v>
      </c>
      <c r="AN786" s="31" t="s">
        <v>163</v>
      </c>
      <c r="AO786" s="31" t="s">
        <v>144</v>
      </c>
      <c r="AP786" s="31"/>
      <c r="AQ786" s="31"/>
      <c r="AR786" s="31"/>
    </row>
    <row r="787" spans="5:47" ht="15" customHeight="1" x14ac:dyDescent="0.25">
      <c r="E787" s="31" t="s">
        <v>1328</v>
      </c>
      <c r="F787" s="31" t="s">
        <v>140</v>
      </c>
      <c r="G787" s="31" t="s">
        <v>374</v>
      </c>
      <c r="H787" s="31" t="s">
        <v>144</v>
      </c>
      <c r="I787" s="31" t="s">
        <v>481</v>
      </c>
      <c r="J787" s="31" t="s">
        <v>647</v>
      </c>
      <c r="K787" s="31" t="s">
        <v>793</v>
      </c>
      <c r="L787" s="31" t="s">
        <v>162</v>
      </c>
      <c r="M787" s="31" t="s">
        <v>144</v>
      </c>
      <c r="N787" s="31" t="s">
        <v>144</v>
      </c>
      <c r="O787" s="31">
        <v>16</v>
      </c>
      <c r="P787" s="31" t="s">
        <v>144</v>
      </c>
      <c r="Q787" s="31" t="s">
        <v>256</v>
      </c>
      <c r="R787" s="31" t="s">
        <v>477</v>
      </c>
      <c r="S787" s="31" t="s">
        <v>144</v>
      </c>
      <c r="T787" s="31" t="s">
        <v>144</v>
      </c>
      <c r="U787" s="31" t="s">
        <v>144</v>
      </c>
      <c r="V787" s="31" t="s">
        <v>144</v>
      </c>
      <c r="W787" s="31" t="s">
        <v>144</v>
      </c>
      <c r="X787" s="31" t="s">
        <v>144</v>
      </c>
      <c r="Y787" s="31" t="s">
        <v>144</v>
      </c>
      <c r="Z787" s="31" t="s">
        <v>144</v>
      </c>
      <c r="AA787" s="31" t="s">
        <v>144</v>
      </c>
      <c r="AB787" s="31" t="s">
        <v>144</v>
      </c>
      <c r="AC787" s="31" t="s">
        <v>144</v>
      </c>
      <c r="AD787" s="31" t="s">
        <v>144</v>
      </c>
      <c r="AE787" s="31" t="s">
        <v>144</v>
      </c>
      <c r="AF787" s="31" t="s">
        <v>144</v>
      </c>
      <c r="AG787" s="31" t="s">
        <v>144</v>
      </c>
      <c r="AH787" s="31" t="s">
        <v>473</v>
      </c>
      <c r="AI787" s="31" t="s">
        <v>476</v>
      </c>
      <c r="AJ787" s="31" t="s">
        <v>144</v>
      </c>
      <c r="AK787" s="31" t="s">
        <v>144</v>
      </c>
      <c r="AL787" s="31" t="s">
        <v>194</v>
      </c>
      <c r="AM787" s="31" t="s">
        <v>144</v>
      </c>
      <c r="AN787" s="31" t="s">
        <v>163</v>
      </c>
      <c r="AO787" s="31" t="s">
        <v>144</v>
      </c>
      <c r="AP787" s="31"/>
      <c r="AQ787" s="31"/>
      <c r="AR787" s="31"/>
    </row>
    <row r="788" spans="5:47" ht="15" customHeight="1" x14ac:dyDescent="0.25">
      <c r="E788" s="31" t="s">
        <v>1328</v>
      </c>
      <c r="F788" s="31" t="s">
        <v>140</v>
      </c>
      <c r="G788" s="31" t="s">
        <v>374</v>
      </c>
      <c r="H788" s="31" t="s">
        <v>144</v>
      </c>
      <c r="I788" s="31" t="s">
        <v>481</v>
      </c>
      <c r="J788" s="31" t="s">
        <v>647</v>
      </c>
      <c r="K788" s="31" t="s">
        <v>794</v>
      </c>
      <c r="L788" s="31" t="s">
        <v>162</v>
      </c>
      <c r="M788" s="31" t="s">
        <v>144</v>
      </c>
      <c r="N788" s="31" t="s">
        <v>144</v>
      </c>
      <c r="O788" s="31">
        <v>16</v>
      </c>
      <c r="P788" s="31" t="s">
        <v>144</v>
      </c>
      <c r="Q788" s="31" t="s">
        <v>256</v>
      </c>
      <c r="R788" s="31" t="s">
        <v>477</v>
      </c>
      <c r="S788" s="31" t="s">
        <v>144</v>
      </c>
      <c r="T788" s="31" t="s">
        <v>144</v>
      </c>
      <c r="U788" s="31" t="s">
        <v>144</v>
      </c>
      <c r="V788" s="31" t="s">
        <v>144</v>
      </c>
      <c r="W788" s="31" t="s">
        <v>144</v>
      </c>
      <c r="X788" s="31" t="s">
        <v>144</v>
      </c>
      <c r="Y788" s="31" t="s">
        <v>144</v>
      </c>
      <c r="Z788" s="31" t="s">
        <v>144</v>
      </c>
      <c r="AA788" s="31" t="s">
        <v>144</v>
      </c>
      <c r="AB788" s="31" t="s">
        <v>144</v>
      </c>
      <c r="AC788" s="31" t="s">
        <v>144</v>
      </c>
      <c r="AD788" s="31" t="s">
        <v>144</v>
      </c>
      <c r="AE788" s="31" t="s">
        <v>144</v>
      </c>
      <c r="AF788" s="31" t="s">
        <v>144</v>
      </c>
      <c r="AG788" s="31" t="s">
        <v>144</v>
      </c>
      <c r="AH788" s="31" t="s">
        <v>473</v>
      </c>
      <c r="AI788" s="31" t="s">
        <v>476</v>
      </c>
      <c r="AJ788" s="31" t="s">
        <v>144</v>
      </c>
      <c r="AK788" s="31" t="s">
        <v>144</v>
      </c>
      <c r="AL788" s="31" t="s">
        <v>194</v>
      </c>
      <c r="AM788" s="31" t="s">
        <v>144</v>
      </c>
      <c r="AN788" s="31" t="s">
        <v>163</v>
      </c>
      <c r="AO788" s="31" t="s">
        <v>144</v>
      </c>
      <c r="AP788" s="31"/>
      <c r="AQ788" s="31"/>
      <c r="AR788" s="31"/>
    </row>
    <row r="789" spans="5:47" ht="15" customHeight="1" x14ac:dyDescent="0.25">
      <c r="E789" s="31" t="s">
        <v>1328</v>
      </c>
      <c r="F789" s="31" t="s">
        <v>140</v>
      </c>
      <c r="G789" s="31" t="s">
        <v>374</v>
      </c>
      <c r="H789" s="31" t="s">
        <v>144</v>
      </c>
      <c r="I789" s="31" t="s">
        <v>481</v>
      </c>
      <c r="J789" s="31" t="s">
        <v>647</v>
      </c>
      <c r="K789" s="31" t="s">
        <v>795</v>
      </c>
      <c r="L789" s="31" t="s">
        <v>162</v>
      </c>
      <c r="M789" s="31" t="s">
        <v>144</v>
      </c>
      <c r="N789" s="31" t="s">
        <v>144</v>
      </c>
      <c r="O789" s="31">
        <v>16</v>
      </c>
      <c r="P789" s="31" t="s">
        <v>144</v>
      </c>
      <c r="Q789" s="31" t="s">
        <v>256</v>
      </c>
      <c r="R789" s="31" t="s">
        <v>477</v>
      </c>
      <c r="S789" s="31" t="s">
        <v>144</v>
      </c>
      <c r="T789" s="31" t="s">
        <v>144</v>
      </c>
      <c r="U789" s="31" t="s">
        <v>144</v>
      </c>
      <c r="V789" s="31" t="s">
        <v>144</v>
      </c>
      <c r="W789" s="31" t="s">
        <v>144</v>
      </c>
      <c r="X789" s="31" t="s">
        <v>144</v>
      </c>
      <c r="Y789" s="31" t="s">
        <v>144</v>
      </c>
      <c r="Z789" s="31" t="s">
        <v>144</v>
      </c>
      <c r="AA789" s="31" t="s">
        <v>144</v>
      </c>
      <c r="AB789" s="31" t="s">
        <v>144</v>
      </c>
      <c r="AC789" s="31" t="s">
        <v>144</v>
      </c>
      <c r="AD789" s="31" t="s">
        <v>144</v>
      </c>
      <c r="AE789" s="31" t="s">
        <v>144</v>
      </c>
      <c r="AF789" s="31" t="s">
        <v>144</v>
      </c>
      <c r="AG789" s="31" t="s">
        <v>144</v>
      </c>
      <c r="AH789" s="31" t="s">
        <v>473</v>
      </c>
      <c r="AI789" s="31" t="s">
        <v>476</v>
      </c>
      <c r="AJ789" s="31" t="s">
        <v>144</v>
      </c>
      <c r="AK789" s="31" t="s">
        <v>144</v>
      </c>
      <c r="AL789" s="31" t="s">
        <v>194</v>
      </c>
      <c r="AM789" s="31" t="s">
        <v>144</v>
      </c>
      <c r="AN789" s="31" t="s">
        <v>163</v>
      </c>
      <c r="AO789" s="31" t="s">
        <v>144</v>
      </c>
      <c r="AP789" s="31"/>
      <c r="AQ789" s="31"/>
      <c r="AR789" s="31"/>
    </row>
    <row r="790" spans="5:47" ht="15" customHeight="1" x14ac:dyDescent="0.25">
      <c r="E790" s="31" t="s">
        <v>1328</v>
      </c>
      <c r="F790" s="31" t="s">
        <v>140</v>
      </c>
      <c r="G790" s="31" t="s">
        <v>374</v>
      </c>
      <c r="H790" s="31" t="s">
        <v>144</v>
      </c>
      <c r="I790" s="31" t="s">
        <v>481</v>
      </c>
      <c r="J790" s="31" t="s">
        <v>647</v>
      </c>
      <c r="K790" s="31" t="s">
        <v>796</v>
      </c>
      <c r="L790" s="31" t="s">
        <v>162</v>
      </c>
      <c r="M790" s="31" t="s">
        <v>144</v>
      </c>
      <c r="N790" s="31" t="s">
        <v>144</v>
      </c>
      <c r="O790" s="31">
        <v>16</v>
      </c>
      <c r="P790" s="31" t="s">
        <v>144</v>
      </c>
      <c r="Q790" s="31" t="s">
        <v>256</v>
      </c>
      <c r="R790" s="31" t="s">
        <v>477</v>
      </c>
      <c r="S790" s="31" t="s">
        <v>144</v>
      </c>
      <c r="T790" s="31" t="s">
        <v>144</v>
      </c>
      <c r="U790" s="31" t="s">
        <v>144</v>
      </c>
      <c r="V790" s="31" t="s">
        <v>144</v>
      </c>
      <c r="W790" s="31" t="s">
        <v>144</v>
      </c>
      <c r="X790" s="31" t="s">
        <v>144</v>
      </c>
      <c r="Y790" s="31" t="s">
        <v>144</v>
      </c>
      <c r="Z790" s="31" t="s">
        <v>144</v>
      </c>
      <c r="AA790" s="31" t="s">
        <v>144</v>
      </c>
      <c r="AB790" s="31" t="s">
        <v>144</v>
      </c>
      <c r="AC790" s="31" t="s">
        <v>144</v>
      </c>
      <c r="AD790" s="31" t="s">
        <v>144</v>
      </c>
      <c r="AE790" s="31" t="s">
        <v>144</v>
      </c>
      <c r="AF790" s="31" t="s">
        <v>144</v>
      </c>
      <c r="AG790" s="31" t="s">
        <v>144</v>
      </c>
      <c r="AH790" s="31" t="s">
        <v>473</v>
      </c>
      <c r="AI790" s="31" t="s">
        <v>476</v>
      </c>
      <c r="AJ790" s="31" t="s">
        <v>144</v>
      </c>
      <c r="AK790" s="31" t="s">
        <v>144</v>
      </c>
      <c r="AL790" s="31" t="s">
        <v>194</v>
      </c>
      <c r="AM790" s="31" t="s">
        <v>144</v>
      </c>
      <c r="AN790" s="31" t="s">
        <v>163</v>
      </c>
      <c r="AO790" s="31" t="s">
        <v>144</v>
      </c>
      <c r="AP790" s="31"/>
      <c r="AQ790" s="31"/>
      <c r="AR790" s="31"/>
    </row>
    <row r="791" spans="5:47" ht="15" customHeight="1" x14ac:dyDescent="0.25">
      <c r="E791" s="31" t="s">
        <v>1328</v>
      </c>
      <c r="F791" s="31" t="s">
        <v>140</v>
      </c>
      <c r="G791" s="31" t="s">
        <v>374</v>
      </c>
      <c r="H791" s="31" t="s">
        <v>144</v>
      </c>
      <c r="I791" s="31" t="s">
        <v>481</v>
      </c>
      <c r="J791" s="31" t="s">
        <v>647</v>
      </c>
      <c r="K791" s="31" t="s">
        <v>797</v>
      </c>
      <c r="L791" s="31" t="s">
        <v>162</v>
      </c>
      <c r="M791" s="31" t="s">
        <v>144</v>
      </c>
      <c r="N791" s="31" t="s">
        <v>144</v>
      </c>
      <c r="O791" s="31">
        <v>16</v>
      </c>
      <c r="P791" s="31" t="s">
        <v>144</v>
      </c>
      <c r="Q791" s="31" t="s">
        <v>256</v>
      </c>
      <c r="R791" s="31" t="s">
        <v>477</v>
      </c>
      <c r="S791" s="31" t="s">
        <v>144</v>
      </c>
      <c r="T791" s="31" t="s">
        <v>144</v>
      </c>
      <c r="U791" s="31" t="s">
        <v>144</v>
      </c>
      <c r="V791" s="31" t="s">
        <v>144</v>
      </c>
      <c r="W791" s="31" t="s">
        <v>144</v>
      </c>
      <c r="X791" s="31" t="s">
        <v>144</v>
      </c>
      <c r="Y791" s="31" t="s">
        <v>144</v>
      </c>
      <c r="Z791" s="31" t="s">
        <v>144</v>
      </c>
      <c r="AA791" s="31" t="s">
        <v>144</v>
      </c>
      <c r="AB791" s="31" t="s">
        <v>144</v>
      </c>
      <c r="AC791" s="31" t="s">
        <v>144</v>
      </c>
      <c r="AD791" s="31" t="s">
        <v>144</v>
      </c>
      <c r="AE791" s="31" t="s">
        <v>144</v>
      </c>
      <c r="AF791" s="31" t="s">
        <v>144</v>
      </c>
      <c r="AG791" s="31" t="s">
        <v>144</v>
      </c>
      <c r="AH791" s="31" t="s">
        <v>473</v>
      </c>
      <c r="AI791" s="31" t="s">
        <v>476</v>
      </c>
      <c r="AJ791" s="31" t="s">
        <v>144</v>
      </c>
      <c r="AK791" s="31" t="s">
        <v>144</v>
      </c>
      <c r="AL791" s="31" t="s">
        <v>194</v>
      </c>
      <c r="AM791" s="31" t="s">
        <v>144</v>
      </c>
      <c r="AN791" s="31" t="s">
        <v>163</v>
      </c>
      <c r="AO791" s="31" t="s">
        <v>144</v>
      </c>
      <c r="AP791" s="31"/>
      <c r="AQ791" s="31"/>
      <c r="AR791" s="31"/>
    </row>
    <row r="792" spans="5:47" ht="15" customHeight="1" x14ac:dyDescent="0.25">
      <c r="E792" s="31" t="s">
        <v>1328</v>
      </c>
      <c r="F792" s="31" t="s">
        <v>140</v>
      </c>
      <c r="G792" s="31" t="s">
        <v>374</v>
      </c>
      <c r="H792" s="31" t="s">
        <v>144</v>
      </c>
      <c r="I792" s="31" t="s">
        <v>481</v>
      </c>
      <c r="J792" s="31" t="s">
        <v>647</v>
      </c>
      <c r="K792" s="31" t="s">
        <v>798</v>
      </c>
      <c r="L792" s="31" t="s">
        <v>162</v>
      </c>
      <c r="M792" s="31" t="s">
        <v>144</v>
      </c>
      <c r="N792" s="31" t="s">
        <v>144</v>
      </c>
      <c r="O792" s="31">
        <v>16</v>
      </c>
      <c r="P792" s="31" t="s">
        <v>144</v>
      </c>
      <c r="Q792" s="31" t="s">
        <v>256</v>
      </c>
      <c r="R792" s="31" t="s">
        <v>477</v>
      </c>
      <c r="S792" s="31" t="s">
        <v>144</v>
      </c>
      <c r="T792" s="31" t="s">
        <v>144</v>
      </c>
      <c r="U792" s="31" t="s">
        <v>144</v>
      </c>
      <c r="V792" s="31" t="s">
        <v>144</v>
      </c>
      <c r="W792" s="31" t="s">
        <v>144</v>
      </c>
      <c r="X792" s="31" t="s">
        <v>144</v>
      </c>
      <c r="Y792" s="31" t="s">
        <v>144</v>
      </c>
      <c r="Z792" s="31" t="s">
        <v>144</v>
      </c>
      <c r="AA792" s="31" t="s">
        <v>144</v>
      </c>
      <c r="AB792" s="31" t="s">
        <v>144</v>
      </c>
      <c r="AC792" s="31" t="s">
        <v>144</v>
      </c>
      <c r="AD792" s="31" t="s">
        <v>144</v>
      </c>
      <c r="AE792" s="31" t="s">
        <v>144</v>
      </c>
      <c r="AF792" s="31" t="s">
        <v>144</v>
      </c>
      <c r="AG792" s="31" t="s">
        <v>144</v>
      </c>
      <c r="AH792" s="31" t="s">
        <v>473</v>
      </c>
      <c r="AI792" s="31" t="s">
        <v>476</v>
      </c>
      <c r="AJ792" s="31" t="s">
        <v>144</v>
      </c>
      <c r="AK792" s="31" t="s">
        <v>144</v>
      </c>
      <c r="AL792" s="31" t="s">
        <v>194</v>
      </c>
      <c r="AM792" s="31" t="s">
        <v>144</v>
      </c>
      <c r="AN792" s="31" t="s">
        <v>163</v>
      </c>
      <c r="AO792" s="31" t="s">
        <v>144</v>
      </c>
      <c r="AP792" s="31"/>
      <c r="AQ792" s="31"/>
      <c r="AR792" s="31"/>
    </row>
    <row r="793" spans="5:47" ht="15" customHeight="1" x14ac:dyDescent="0.25">
      <c r="E793" s="31" t="s">
        <v>1328</v>
      </c>
      <c r="F793" s="31" t="s">
        <v>140</v>
      </c>
      <c r="G793" s="31" t="s">
        <v>374</v>
      </c>
      <c r="H793" s="31" t="s">
        <v>144</v>
      </c>
      <c r="I793" s="31" t="s">
        <v>481</v>
      </c>
      <c r="J793" s="31" t="s">
        <v>647</v>
      </c>
      <c r="K793" s="31" t="s">
        <v>799</v>
      </c>
      <c r="L793" s="31" t="s">
        <v>162</v>
      </c>
      <c r="M793" s="31" t="s">
        <v>144</v>
      </c>
      <c r="N793" s="31" t="s">
        <v>144</v>
      </c>
      <c r="O793" s="31">
        <v>16</v>
      </c>
      <c r="P793" s="31" t="s">
        <v>144</v>
      </c>
      <c r="Q793" s="31" t="s">
        <v>256</v>
      </c>
      <c r="R793" s="31" t="s">
        <v>477</v>
      </c>
      <c r="S793" s="31" t="s">
        <v>144</v>
      </c>
      <c r="T793" s="31" t="s">
        <v>144</v>
      </c>
      <c r="U793" s="31" t="s">
        <v>144</v>
      </c>
      <c r="V793" s="31" t="s">
        <v>144</v>
      </c>
      <c r="W793" s="31" t="s">
        <v>144</v>
      </c>
      <c r="X793" s="31" t="s">
        <v>144</v>
      </c>
      <c r="Y793" s="31" t="s">
        <v>144</v>
      </c>
      <c r="Z793" s="31" t="s">
        <v>144</v>
      </c>
      <c r="AA793" s="31" t="s">
        <v>144</v>
      </c>
      <c r="AB793" s="31" t="s">
        <v>144</v>
      </c>
      <c r="AC793" s="31" t="s">
        <v>144</v>
      </c>
      <c r="AD793" s="31" t="s">
        <v>144</v>
      </c>
      <c r="AE793" s="31" t="s">
        <v>144</v>
      </c>
      <c r="AF793" s="31" t="s">
        <v>144</v>
      </c>
      <c r="AG793" s="31" t="s">
        <v>144</v>
      </c>
      <c r="AH793" s="31" t="s">
        <v>473</v>
      </c>
      <c r="AI793" s="31" t="s">
        <v>476</v>
      </c>
      <c r="AJ793" s="31" t="s">
        <v>144</v>
      </c>
      <c r="AK793" s="31" t="s">
        <v>144</v>
      </c>
      <c r="AL793" s="31" t="s">
        <v>194</v>
      </c>
      <c r="AM793" s="31" t="s">
        <v>144</v>
      </c>
      <c r="AN793" s="31" t="s">
        <v>163</v>
      </c>
      <c r="AO793" s="31" t="s">
        <v>144</v>
      </c>
      <c r="AP793" s="31"/>
      <c r="AQ793" s="31"/>
      <c r="AR793" s="31"/>
    </row>
    <row r="796" spans="5:47" ht="15" customHeight="1" x14ac:dyDescent="0.25">
      <c r="E796" s="31" t="s">
        <v>1328</v>
      </c>
      <c r="F796" s="31" t="s">
        <v>140</v>
      </c>
      <c r="G796" s="31" t="s">
        <v>374</v>
      </c>
      <c r="H796" s="31" t="s">
        <v>144</v>
      </c>
      <c r="I796" s="31" t="s">
        <v>481</v>
      </c>
      <c r="J796" s="31" t="s">
        <v>699</v>
      </c>
      <c r="K796" s="31" t="s">
        <v>700</v>
      </c>
      <c r="L796" s="31" t="s">
        <v>162</v>
      </c>
      <c r="M796" s="31" t="s">
        <v>144</v>
      </c>
      <c r="N796" s="31" t="s">
        <v>144</v>
      </c>
      <c r="O796" s="31">
        <v>16</v>
      </c>
      <c r="P796" s="31" t="s">
        <v>144</v>
      </c>
      <c r="Q796" s="31" t="s">
        <v>256</v>
      </c>
      <c r="R796" s="31" t="s">
        <v>477</v>
      </c>
      <c r="S796" s="31" t="s">
        <v>144</v>
      </c>
      <c r="T796" s="31" t="s">
        <v>144</v>
      </c>
      <c r="U796" s="31" t="s">
        <v>144</v>
      </c>
      <c r="V796" s="31" t="s">
        <v>144</v>
      </c>
      <c r="W796" s="31" t="s">
        <v>144</v>
      </c>
      <c r="X796" s="31" t="s">
        <v>144</v>
      </c>
      <c r="Y796" s="31" t="s">
        <v>144</v>
      </c>
      <c r="Z796" s="31" t="s">
        <v>144</v>
      </c>
      <c r="AA796" s="31" t="s">
        <v>144</v>
      </c>
      <c r="AB796" s="31" t="s">
        <v>144</v>
      </c>
      <c r="AC796" s="31" t="s">
        <v>144</v>
      </c>
      <c r="AD796" s="31" t="s">
        <v>144</v>
      </c>
      <c r="AE796" s="31" t="s">
        <v>144</v>
      </c>
      <c r="AF796" s="31" t="s">
        <v>144</v>
      </c>
      <c r="AG796" s="31" t="s">
        <v>144</v>
      </c>
      <c r="AH796" s="31" t="s">
        <v>473</v>
      </c>
      <c r="AI796" s="31" t="s">
        <v>476</v>
      </c>
      <c r="AJ796" s="31" t="s">
        <v>144</v>
      </c>
      <c r="AK796" s="31" t="s">
        <v>144</v>
      </c>
      <c r="AL796" s="31" t="s">
        <v>194</v>
      </c>
      <c r="AM796" s="31" t="s">
        <v>144</v>
      </c>
      <c r="AN796" s="31" t="s">
        <v>163</v>
      </c>
      <c r="AO796" s="31" t="s">
        <v>144</v>
      </c>
      <c r="AP796" s="31"/>
      <c r="AQ796" s="31"/>
      <c r="AR796" s="31"/>
      <c r="AS796" s="31"/>
      <c r="AT796" s="31"/>
      <c r="AU796" s="31"/>
    </row>
    <row r="797" spans="5:47" ht="15" customHeight="1" x14ac:dyDescent="0.25">
      <c r="E797" s="31" t="s">
        <v>1328</v>
      </c>
      <c r="F797" s="31" t="s">
        <v>140</v>
      </c>
      <c r="G797" s="31" t="s">
        <v>374</v>
      </c>
      <c r="H797" s="31" t="s">
        <v>144</v>
      </c>
      <c r="I797" s="31" t="s">
        <v>481</v>
      </c>
      <c r="J797" s="31" t="s">
        <v>699</v>
      </c>
      <c r="K797" s="31" t="s">
        <v>701</v>
      </c>
      <c r="L797" s="31" t="s">
        <v>162</v>
      </c>
      <c r="M797" s="31" t="s">
        <v>144</v>
      </c>
      <c r="N797" s="31" t="s">
        <v>144</v>
      </c>
      <c r="O797" s="31">
        <v>16</v>
      </c>
      <c r="P797" s="31" t="s">
        <v>144</v>
      </c>
      <c r="Q797" s="31" t="s">
        <v>256</v>
      </c>
      <c r="R797" s="31" t="s">
        <v>477</v>
      </c>
      <c r="S797" s="31" t="s">
        <v>144</v>
      </c>
      <c r="T797" s="31" t="s">
        <v>144</v>
      </c>
      <c r="U797" s="31" t="s">
        <v>144</v>
      </c>
      <c r="V797" s="31" t="s">
        <v>144</v>
      </c>
      <c r="W797" s="31" t="s">
        <v>144</v>
      </c>
      <c r="X797" s="31" t="s">
        <v>144</v>
      </c>
      <c r="Y797" s="31" t="s">
        <v>144</v>
      </c>
      <c r="Z797" s="31" t="s">
        <v>144</v>
      </c>
      <c r="AA797" s="31" t="s">
        <v>144</v>
      </c>
      <c r="AB797" s="31" t="s">
        <v>144</v>
      </c>
      <c r="AC797" s="31" t="s">
        <v>144</v>
      </c>
      <c r="AD797" s="31" t="s">
        <v>144</v>
      </c>
      <c r="AE797" s="31" t="s">
        <v>144</v>
      </c>
      <c r="AF797" s="31" t="s">
        <v>144</v>
      </c>
      <c r="AG797" s="31" t="s">
        <v>144</v>
      </c>
      <c r="AH797" s="31" t="s">
        <v>473</v>
      </c>
      <c r="AI797" s="31" t="s">
        <v>476</v>
      </c>
      <c r="AJ797" s="31" t="s">
        <v>144</v>
      </c>
      <c r="AK797" s="31" t="s">
        <v>144</v>
      </c>
      <c r="AL797" s="31" t="s">
        <v>194</v>
      </c>
      <c r="AM797" s="31" t="s">
        <v>144</v>
      </c>
      <c r="AN797" s="31" t="s">
        <v>163</v>
      </c>
      <c r="AO797" s="31" t="s">
        <v>144</v>
      </c>
      <c r="AP797" s="31"/>
      <c r="AQ797" s="31"/>
      <c r="AR797" s="31"/>
      <c r="AS797" s="31"/>
      <c r="AT797" s="31"/>
      <c r="AU797" s="31"/>
    </row>
    <row r="798" spans="5:47" ht="15" customHeight="1" x14ac:dyDescent="0.25">
      <c r="E798" s="31" t="s">
        <v>1328</v>
      </c>
      <c r="F798" s="31" t="s">
        <v>140</v>
      </c>
      <c r="G798" s="31" t="s">
        <v>374</v>
      </c>
      <c r="H798" s="31" t="s">
        <v>144</v>
      </c>
      <c r="I798" s="31" t="s">
        <v>481</v>
      </c>
      <c r="J798" s="31" t="s">
        <v>699</v>
      </c>
      <c r="K798" s="31" t="s">
        <v>702</v>
      </c>
      <c r="L798" s="31" t="s">
        <v>162</v>
      </c>
      <c r="M798" s="31" t="s">
        <v>144</v>
      </c>
      <c r="N798" s="31" t="s">
        <v>144</v>
      </c>
      <c r="O798" s="31">
        <v>16</v>
      </c>
      <c r="P798" s="31" t="s">
        <v>144</v>
      </c>
      <c r="Q798" s="31" t="s">
        <v>256</v>
      </c>
      <c r="R798" s="31" t="s">
        <v>477</v>
      </c>
      <c r="S798" s="31" t="s">
        <v>144</v>
      </c>
      <c r="T798" s="31" t="s">
        <v>144</v>
      </c>
      <c r="U798" s="31" t="s">
        <v>144</v>
      </c>
      <c r="V798" s="31" t="s">
        <v>144</v>
      </c>
      <c r="W798" s="31" t="s">
        <v>144</v>
      </c>
      <c r="X798" s="31" t="s">
        <v>144</v>
      </c>
      <c r="Y798" s="31" t="s">
        <v>144</v>
      </c>
      <c r="Z798" s="31" t="s">
        <v>144</v>
      </c>
      <c r="AA798" s="31" t="s">
        <v>144</v>
      </c>
      <c r="AB798" s="31" t="s">
        <v>144</v>
      </c>
      <c r="AC798" s="31" t="s">
        <v>144</v>
      </c>
      <c r="AD798" s="31" t="s">
        <v>144</v>
      </c>
      <c r="AE798" s="31" t="s">
        <v>144</v>
      </c>
      <c r="AF798" s="31" t="s">
        <v>144</v>
      </c>
      <c r="AG798" s="31" t="s">
        <v>144</v>
      </c>
      <c r="AH798" s="31" t="s">
        <v>473</v>
      </c>
      <c r="AI798" s="31" t="s">
        <v>476</v>
      </c>
      <c r="AJ798" s="31" t="s">
        <v>144</v>
      </c>
      <c r="AK798" s="31" t="s">
        <v>144</v>
      </c>
      <c r="AL798" s="31" t="s">
        <v>194</v>
      </c>
      <c r="AM798" s="31" t="s">
        <v>144</v>
      </c>
      <c r="AN798" s="31" t="s">
        <v>163</v>
      </c>
      <c r="AO798" s="31" t="s">
        <v>144</v>
      </c>
      <c r="AP798" s="31"/>
      <c r="AQ798" s="31"/>
      <c r="AR798" s="31"/>
      <c r="AS798" s="31"/>
      <c r="AT798" s="31"/>
      <c r="AU798" s="31"/>
    </row>
    <row r="799" spans="5:47" ht="15" customHeight="1" x14ac:dyDescent="0.25">
      <c r="E799" s="31" t="s">
        <v>1328</v>
      </c>
      <c r="F799" s="31" t="s">
        <v>140</v>
      </c>
      <c r="G799" s="31" t="s">
        <v>374</v>
      </c>
      <c r="H799" s="31" t="s">
        <v>144</v>
      </c>
      <c r="I799" s="31" t="s">
        <v>481</v>
      </c>
      <c r="J799" s="31" t="s">
        <v>699</v>
      </c>
      <c r="K799" s="31" t="s">
        <v>703</v>
      </c>
      <c r="L799" s="31" t="s">
        <v>162</v>
      </c>
      <c r="M799" s="31" t="s">
        <v>144</v>
      </c>
      <c r="N799" s="31" t="s">
        <v>144</v>
      </c>
      <c r="O799" s="31">
        <v>16</v>
      </c>
      <c r="P799" s="31" t="s">
        <v>144</v>
      </c>
      <c r="Q799" s="31" t="s">
        <v>256</v>
      </c>
      <c r="R799" s="31" t="s">
        <v>477</v>
      </c>
      <c r="S799" s="31" t="s">
        <v>144</v>
      </c>
      <c r="T799" s="31" t="s">
        <v>144</v>
      </c>
      <c r="U799" s="31" t="s">
        <v>144</v>
      </c>
      <c r="V799" s="31" t="s">
        <v>144</v>
      </c>
      <c r="W799" s="31" t="s">
        <v>144</v>
      </c>
      <c r="X799" s="31" t="s">
        <v>144</v>
      </c>
      <c r="Y799" s="31" t="s">
        <v>144</v>
      </c>
      <c r="Z799" s="31" t="s">
        <v>144</v>
      </c>
      <c r="AA799" s="31" t="s">
        <v>144</v>
      </c>
      <c r="AB799" s="31" t="s">
        <v>144</v>
      </c>
      <c r="AC799" s="31" t="s">
        <v>144</v>
      </c>
      <c r="AD799" s="31" t="s">
        <v>144</v>
      </c>
      <c r="AE799" s="31" t="s">
        <v>144</v>
      </c>
      <c r="AF799" s="31" t="s">
        <v>144</v>
      </c>
      <c r="AG799" s="31" t="s">
        <v>144</v>
      </c>
      <c r="AH799" s="31" t="s">
        <v>473</v>
      </c>
      <c r="AI799" s="31" t="s">
        <v>476</v>
      </c>
      <c r="AJ799" s="31" t="s">
        <v>144</v>
      </c>
      <c r="AK799" s="31" t="s">
        <v>144</v>
      </c>
      <c r="AL799" s="31" t="s">
        <v>194</v>
      </c>
      <c r="AM799" s="31" t="s">
        <v>144</v>
      </c>
      <c r="AN799" s="31" t="s">
        <v>163</v>
      </c>
      <c r="AO799" s="31" t="s">
        <v>144</v>
      </c>
      <c r="AP799" s="31"/>
      <c r="AQ799" s="31"/>
      <c r="AR799" s="31"/>
      <c r="AS799" s="31"/>
      <c r="AT799" s="31"/>
      <c r="AU799" s="31"/>
    </row>
    <row r="800" spans="5:47" ht="15" customHeight="1" x14ac:dyDescent="0.25">
      <c r="E800" s="31" t="s">
        <v>1328</v>
      </c>
      <c r="F800" s="31" t="s">
        <v>140</v>
      </c>
      <c r="G800" s="31" t="s">
        <v>374</v>
      </c>
      <c r="H800" s="31" t="s">
        <v>144</v>
      </c>
      <c r="I800" s="31" t="s">
        <v>481</v>
      </c>
      <c r="J800" s="31" t="s">
        <v>699</v>
      </c>
      <c r="K800" s="31" t="s">
        <v>704</v>
      </c>
      <c r="L800" s="31" t="s">
        <v>162</v>
      </c>
      <c r="M800" s="31" t="s">
        <v>144</v>
      </c>
      <c r="N800" s="31" t="s">
        <v>144</v>
      </c>
      <c r="O800" s="31">
        <v>16</v>
      </c>
      <c r="P800" s="31" t="s">
        <v>144</v>
      </c>
      <c r="Q800" s="31" t="s">
        <v>256</v>
      </c>
      <c r="R800" s="31" t="s">
        <v>477</v>
      </c>
      <c r="S800" s="31" t="s">
        <v>144</v>
      </c>
      <c r="T800" s="31" t="s">
        <v>144</v>
      </c>
      <c r="U800" s="31" t="s">
        <v>144</v>
      </c>
      <c r="V800" s="31" t="s">
        <v>144</v>
      </c>
      <c r="W800" s="31" t="s">
        <v>144</v>
      </c>
      <c r="X800" s="31" t="s">
        <v>144</v>
      </c>
      <c r="Y800" s="31" t="s">
        <v>144</v>
      </c>
      <c r="Z800" s="31" t="s">
        <v>144</v>
      </c>
      <c r="AA800" s="31" t="s">
        <v>144</v>
      </c>
      <c r="AB800" s="31" t="s">
        <v>144</v>
      </c>
      <c r="AC800" s="31" t="s">
        <v>144</v>
      </c>
      <c r="AD800" s="31" t="s">
        <v>144</v>
      </c>
      <c r="AE800" s="31" t="s">
        <v>144</v>
      </c>
      <c r="AF800" s="31" t="s">
        <v>144</v>
      </c>
      <c r="AG800" s="31" t="s">
        <v>144</v>
      </c>
      <c r="AH800" s="31" t="s">
        <v>473</v>
      </c>
      <c r="AI800" s="31" t="s">
        <v>476</v>
      </c>
      <c r="AJ800" s="31" t="s">
        <v>144</v>
      </c>
      <c r="AK800" s="31" t="s">
        <v>144</v>
      </c>
      <c r="AL800" s="31" t="s">
        <v>194</v>
      </c>
      <c r="AM800" s="31" t="s">
        <v>144</v>
      </c>
      <c r="AN800" s="31" t="s">
        <v>163</v>
      </c>
      <c r="AO800" s="31" t="s">
        <v>144</v>
      </c>
      <c r="AP800" s="31"/>
      <c r="AQ800" s="31"/>
      <c r="AR800" s="31"/>
      <c r="AS800" s="31"/>
      <c r="AT800" s="31"/>
      <c r="AU800" s="31"/>
    </row>
    <row r="801" spans="5:47" ht="15" customHeight="1" x14ac:dyDescent="0.25">
      <c r="E801" s="31" t="s">
        <v>1328</v>
      </c>
      <c r="F801" s="31" t="s">
        <v>140</v>
      </c>
      <c r="G801" s="31" t="s">
        <v>374</v>
      </c>
      <c r="H801" s="31" t="s">
        <v>144</v>
      </c>
      <c r="I801" s="31" t="s">
        <v>481</v>
      </c>
      <c r="J801" s="31" t="s">
        <v>699</v>
      </c>
      <c r="K801" s="31" t="s">
        <v>705</v>
      </c>
      <c r="L801" s="31" t="s">
        <v>162</v>
      </c>
      <c r="M801" s="31" t="s">
        <v>144</v>
      </c>
      <c r="N801" s="31" t="s">
        <v>144</v>
      </c>
      <c r="O801" s="31">
        <v>16</v>
      </c>
      <c r="P801" s="31" t="s">
        <v>144</v>
      </c>
      <c r="Q801" s="31" t="s">
        <v>256</v>
      </c>
      <c r="R801" s="31" t="s">
        <v>477</v>
      </c>
      <c r="S801" s="31" t="s">
        <v>144</v>
      </c>
      <c r="T801" s="31" t="s">
        <v>144</v>
      </c>
      <c r="U801" s="31" t="s">
        <v>144</v>
      </c>
      <c r="V801" s="31" t="s">
        <v>144</v>
      </c>
      <c r="W801" s="31" t="s">
        <v>144</v>
      </c>
      <c r="X801" s="31" t="s">
        <v>144</v>
      </c>
      <c r="Y801" s="31" t="s">
        <v>144</v>
      </c>
      <c r="Z801" s="31" t="s">
        <v>144</v>
      </c>
      <c r="AA801" s="31" t="s">
        <v>144</v>
      </c>
      <c r="AB801" s="31" t="s">
        <v>144</v>
      </c>
      <c r="AC801" s="31" t="s">
        <v>144</v>
      </c>
      <c r="AD801" s="31" t="s">
        <v>144</v>
      </c>
      <c r="AE801" s="31" t="s">
        <v>144</v>
      </c>
      <c r="AF801" s="31" t="s">
        <v>144</v>
      </c>
      <c r="AG801" s="31" t="s">
        <v>144</v>
      </c>
      <c r="AH801" s="31" t="s">
        <v>473</v>
      </c>
      <c r="AI801" s="31" t="s">
        <v>476</v>
      </c>
      <c r="AJ801" s="31" t="s">
        <v>144</v>
      </c>
      <c r="AK801" s="31" t="s">
        <v>144</v>
      </c>
      <c r="AL801" s="31" t="s">
        <v>194</v>
      </c>
      <c r="AM801" s="31" t="s">
        <v>144</v>
      </c>
      <c r="AN801" s="31" t="s">
        <v>163</v>
      </c>
      <c r="AO801" s="31" t="s">
        <v>144</v>
      </c>
      <c r="AP801" s="31"/>
      <c r="AQ801" s="31"/>
      <c r="AR801" s="31"/>
      <c r="AS801" s="31"/>
      <c r="AT801" s="31"/>
      <c r="AU801" s="31"/>
    </row>
    <row r="802" spans="5:47" ht="15" customHeight="1" x14ac:dyDescent="0.25">
      <c r="E802" s="31" t="s">
        <v>1328</v>
      </c>
      <c r="F802" s="31" t="s">
        <v>140</v>
      </c>
      <c r="G802" s="31" t="s">
        <v>374</v>
      </c>
      <c r="H802" s="31" t="s">
        <v>144</v>
      </c>
      <c r="I802" s="31" t="s">
        <v>481</v>
      </c>
      <c r="J802" s="31" t="s">
        <v>699</v>
      </c>
      <c r="K802" s="31" t="s">
        <v>706</v>
      </c>
      <c r="L802" s="31" t="s">
        <v>162</v>
      </c>
      <c r="M802" s="31" t="s">
        <v>144</v>
      </c>
      <c r="N802" s="31" t="s">
        <v>144</v>
      </c>
      <c r="O802" s="31">
        <v>16</v>
      </c>
      <c r="P802" s="31" t="s">
        <v>144</v>
      </c>
      <c r="Q802" s="31" t="s">
        <v>256</v>
      </c>
      <c r="R802" s="31" t="s">
        <v>477</v>
      </c>
      <c r="S802" s="31" t="s">
        <v>144</v>
      </c>
      <c r="T802" s="31" t="s">
        <v>144</v>
      </c>
      <c r="U802" s="31" t="s">
        <v>144</v>
      </c>
      <c r="V802" s="31" t="s">
        <v>144</v>
      </c>
      <c r="W802" s="31" t="s">
        <v>144</v>
      </c>
      <c r="X802" s="31" t="s">
        <v>144</v>
      </c>
      <c r="Y802" s="31" t="s">
        <v>144</v>
      </c>
      <c r="Z802" s="31" t="s">
        <v>144</v>
      </c>
      <c r="AA802" s="31" t="s">
        <v>144</v>
      </c>
      <c r="AB802" s="31" t="s">
        <v>144</v>
      </c>
      <c r="AC802" s="31" t="s">
        <v>144</v>
      </c>
      <c r="AD802" s="31" t="s">
        <v>144</v>
      </c>
      <c r="AE802" s="31" t="s">
        <v>144</v>
      </c>
      <c r="AF802" s="31" t="s">
        <v>144</v>
      </c>
      <c r="AG802" s="31" t="s">
        <v>144</v>
      </c>
      <c r="AH802" s="31" t="s">
        <v>473</v>
      </c>
      <c r="AI802" s="31" t="s">
        <v>476</v>
      </c>
      <c r="AJ802" s="31" t="s">
        <v>144</v>
      </c>
      <c r="AK802" s="31" t="s">
        <v>144</v>
      </c>
      <c r="AL802" s="31" t="s">
        <v>194</v>
      </c>
      <c r="AM802" s="31" t="s">
        <v>144</v>
      </c>
      <c r="AN802" s="31" t="s">
        <v>163</v>
      </c>
      <c r="AO802" s="31" t="s">
        <v>144</v>
      </c>
      <c r="AP802" s="31"/>
      <c r="AQ802" s="31"/>
      <c r="AR802" s="31"/>
      <c r="AS802" s="31"/>
      <c r="AT802" s="31"/>
      <c r="AU802" s="31"/>
    </row>
    <row r="803" spans="5:47" ht="15" customHeight="1" x14ac:dyDescent="0.25">
      <c r="E803" s="31" t="s">
        <v>1328</v>
      </c>
      <c r="F803" s="31" t="s">
        <v>140</v>
      </c>
      <c r="G803" s="31" t="s">
        <v>374</v>
      </c>
      <c r="H803" s="31" t="s">
        <v>144</v>
      </c>
      <c r="I803" s="31" t="s">
        <v>481</v>
      </c>
      <c r="J803" s="31" t="s">
        <v>699</v>
      </c>
      <c r="K803" s="31" t="s">
        <v>707</v>
      </c>
      <c r="L803" s="31" t="s">
        <v>162</v>
      </c>
      <c r="M803" s="31" t="s">
        <v>144</v>
      </c>
      <c r="N803" s="31" t="s">
        <v>144</v>
      </c>
      <c r="O803" s="31">
        <v>16</v>
      </c>
      <c r="P803" s="31" t="s">
        <v>144</v>
      </c>
      <c r="Q803" s="31" t="s">
        <v>256</v>
      </c>
      <c r="R803" s="31" t="s">
        <v>477</v>
      </c>
      <c r="S803" s="31" t="s">
        <v>144</v>
      </c>
      <c r="T803" s="31" t="s">
        <v>144</v>
      </c>
      <c r="U803" s="31" t="s">
        <v>144</v>
      </c>
      <c r="V803" s="31" t="s">
        <v>144</v>
      </c>
      <c r="W803" s="31" t="s">
        <v>144</v>
      </c>
      <c r="X803" s="31" t="s">
        <v>144</v>
      </c>
      <c r="Y803" s="31" t="s">
        <v>144</v>
      </c>
      <c r="Z803" s="31" t="s">
        <v>144</v>
      </c>
      <c r="AA803" s="31" t="s">
        <v>144</v>
      </c>
      <c r="AB803" s="31" t="s">
        <v>144</v>
      </c>
      <c r="AC803" s="31" t="s">
        <v>144</v>
      </c>
      <c r="AD803" s="31" t="s">
        <v>144</v>
      </c>
      <c r="AE803" s="31" t="s">
        <v>144</v>
      </c>
      <c r="AF803" s="31" t="s">
        <v>144</v>
      </c>
      <c r="AG803" s="31" t="s">
        <v>144</v>
      </c>
      <c r="AH803" s="31" t="s">
        <v>473</v>
      </c>
      <c r="AI803" s="31" t="s">
        <v>476</v>
      </c>
      <c r="AJ803" s="31" t="s">
        <v>144</v>
      </c>
      <c r="AK803" s="31" t="s">
        <v>144</v>
      </c>
      <c r="AL803" s="31" t="s">
        <v>194</v>
      </c>
      <c r="AM803" s="31" t="s">
        <v>144</v>
      </c>
      <c r="AN803" s="31" t="s">
        <v>163</v>
      </c>
      <c r="AO803" s="31" t="s">
        <v>144</v>
      </c>
      <c r="AP803" s="31"/>
      <c r="AQ803" s="31"/>
      <c r="AR803" s="31"/>
      <c r="AS803" s="31"/>
      <c r="AT803" s="31"/>
      <c r="AU803" s="31"/>
    </row>
    <row r="804" spans="5:47" ht="15" customHeight="1" x14ac:dyDescent="0.25">
      <c r="E804" s="31" t="s">
        <v>1328</v>
      </c>
      <c r="F804" s="31" t="s">
        <v>140</v>
      </c>
      <c r="G804" s="31" t="s">
        <v>374</v>
      </c>
      <c r="H804" s="31" t="s">
        <v>144</v>
      </c>
      <c r="I804" s="31" t="s">
        <v>481</v>
      </c>
      <c r="J804" s="31" t="s">
        <v>699</v>
      </c>
      <c r="K804" s="31" t="s">
        <v>708</v>
      </c>
      <c r="L804" s="31" t="s">
        <v>162</v>
      </c>
      <c r="M804" s="31" t="s">
        <v>144</v>
      </c>
      <c r="N804" s="31" t="s">
        <v>144</v>
      </c>
      <c r="O804" s="31">
        <v>16</v>
      </c>
      <c r="P804" s="31" t="s">
        <v>144</v>
      </c>
      <c r="Q804" s="31" t="s">
        <v>256</v>
      </c>
      <c r="R804" s="31" t="s">
        <v>477</v>
      </c>
      <c r="S804" s="31" t="s">
        <v>144</v>
      </c>
      <c r="T804" s="31" t="s">
        <v>144</v>
      </c>
      <c r="U804" s="31" t="s">
        <v>144</v>
      </c>
      <c r="V804" s="31" t="s">
        <v>144</v>
      </c>
      <c r="W804" s="31" t="s">
        <v>144</v>
      </c>
      <c r="X804" s="31" t="s">
        <v>144</v>
      </c>
      <c r="Y804" s="31" t="s">
        <v>144</v>
      </c>
      <c r="Z804" s="31" t="s">
        <v>144</v>
      </c>
      <c r="AA804" s="31" t="s">
        <v>144</v>
      </c>
      <c r="AB804" s="31" t="s">
        <v>144</v>
      </c>
      <c r="AC804" s="31" t="s">
        <v>144</v>
      </c>
      <c r="AD804" s="31" t="s">
        <v>144</v>
      </c>
      <c r="AE804" s="31" t="s">
        <v>144</v>
      </c>
      <c r="AF804" s="31" t="s">
        <v>144</v>
      </c>
      <c r="AG804" s="31" t="s">
        <v>144</v>
      </c>
      <c r="AH804" s="31" t="s">
        <v>473</v>
      </c>
      <c r="AI804" s="31" t="s">
        <v>476</v>
      </c>
      <c r="AJ804" s="31" t="s">
        <v>144</v>
      </c>
      <c r="AK804" s="31" t="s">
        <v>144</v>
      </c>
      <c r="AL804" s="31" t="s">
        <v>194</v>
      </c>
      <c r="AM804" s="31" t="s">
        <v>144</v>
      </c>
      <c r="AN804" s="31" t="s">
        <v>163</v>
      </c>
      <c r="AO804" s="31" t="s">
        <v>144</v>
      </c>
      <c r="AP804" s="31"/>
      <c r="AQ804" s="31"/>
      <c r="AR804" s="31"/>
      <c r="AS804" s="31"/>
      <c r="AT804" s="31"/>
      <c r="AU804" s="31"/>
    </row>
    <row r="805" spans="5:47" ht="15" customHeight="1" x14ac:dyDescent="0.25">
      <c r="E805" s="31" t="s">
        <v>1328</v>
      </c>
      <c r="F805" s="31" t="s">
        <v>140</v>
      </c>
      <c r="G805" s="31" t="s">
        <v>374</v>
      </c>
      <c r="H805" s="31" t="s">
        <v>144</v>
      </c>
      <c r="I805" s="31" t="s">
        <v>481</v>
      </c>
      <c r="J805" s="31" t="s">
        <v>699</v>
      </c>
      <c r="K805" s="31" t="s">
        <v>709</v>
      </c>
      <c r="L805" s="31" t="s">
        <v>162</v>
      </c>
      <c r="M805" s="31" t="s">
        <v>144</v>
      </c>
      <c r="N805" s="31" t="s">
        <v>144</v>
      </c>
      <c r="O805" s="31">
        <v>16</v>
      </c>
      <c r="P805" s="31" t="s">
        <v>144</v>
      </c>
      <c r="Q805" s="31" t="s">
        <v>256</v>
      </c>
      <c r="R805" s="31" t="s">
        <v>477</v>
      </c>
      <c r="S805" s="31" t="s">
        <v>144</v>
      </c>
      <c r="T805" s="31" t="s">
        <v>144</v>
      </c>
      <c r="U805" s="31" t="s">
        <v>144</v>
      </c>
      <c r="V805" s="31" t="s">
        <v>144</v>
      </c>
      <c r="W805" s="31" t="s">
        <v>144</v>
      </c>
      <c r="X805" s="31" t="s">
        <v>144</v>
      </c>
      <c r="Y805" s="31" t="s">
        <v>144</v>
      </c>
      <c r="Z805" s="31" t="s">
        <v>144</v>
      </c>
      <c r="AA805" s="31" t="s">
        <v>144</v>
      </c>
      <c r="AB805" s="31" t="s">
        <v>144</v>
      </c>
      <c r="AC805" s="31" t="s">
        <v>144</v>
      </c>
      <c r="AD805" s="31" t="s">
        <v>144</v>
      </c>
      <c r="AE805" s="31" t="s">
        <v>144</v>
      </c>
      <c r="AF805" s="31" t="s">
        <v>144</v>
      </c>
      <c r="AG805" s="31" t="s">
        <v>144</v>
      </c>
      <c r="AH805" s="31" t="s">
        <v>473</v>
      </c>
      <c r="AI805" s="31" t="s">
        <v>476</v>
      </c>
      <c r="AJ805" s="31" t="s">
        <v>144</v>
      </c>
      <c r="AK805" s="31" t="s">
        <v>144</v>
      </c>
      <c r="AL805" s="31" t="s">
        <v>194</v>
      </c>
      <c r="AM805" s="31" t="s">
        <v>144</v>
      </c>
      <c r="AN805" s="31" t="s">
        <v>163</v>
      </c>
      <c r="AO805" s="31" t="s">
        <v>144</v>
      </c>
      <c r="AP805" s="31"/>
      <c r="AQ805" s="31"/>
      <c r="AR805" s="31"/>
      <c r="AS805" s="31"/>
      <c r="AT805" s="31"/>
      <c r="AU805" s="31"/>
    </row>
    <row r="806" spans="5:47" ht="15" customHeight="1" x14ac:dyDescent="0.25">
      <c r="E806" s="31" t="s">
        <v>1328</v>
      </c>
      <c r="F806" s="31" t="s">
        <v>140</v>
      </c>
      <c r="G806" s="31" t="s">
        <v>374</v>
      </c>
      <c r="H806" s="31" t="s">
        <v>144</v>
      </c>
      <c r="I806" s="31" t="s">
        <v>481</v>
      </c>
      <c r="J806" s="31" t="s">
        <v>699</v>
      </c>
      <c r="K806" s="31" t="s">
        <v>710</v>
      </c>
      <c r="L806" s="31" t="s">
        <v>162</v>
      </c>
      <c r="M806" s="31" t="s">
        <v>144</v>
      </c>
      <c r="N806" s="31" t="s">
        <v>144</v>
      </c>
      <c r="O806" s="31">
        <v>16</v>
      </c>
      <c r="P806" s="31" t="s">
        <v>144</v>
      </c>
      <c r="Q806" s="31" t="s">
        <v>256</v>
      </c>
      <c r="R806" s="31" t="s">
        <v>477</v>
      </c>
      <c r="S806" s="31" t="s">
        <v>144</v>
      </c>
      <c r="T806" s="31" t="s">
        <v>144</v>
      </c>
      <c r="U806" s="31" t="s">
        <v>144</v>
      </c>
      <c r="V806" s="31" t="s">
        <v>144</v>
      </c>
      <c r="W806" s="31" t="s">
        <v>144</v>
      </c>
      <c r="X806" s="31" t="s">
        <v>144</v>
      </c>
      <c r="Y806" s="31" t="s">
        <v>144</v>
      </c>
      <c r="Z806" s="31" t="s">
        <v>144</v>
      </c>
      <c r="AA806" s="31" t="s">
        <v>144</v>
      </c>
      <c r="AB806" s="31" t="s">
        <v>144</v>
      </c>
      <c r="AC806" s="31" t="s">
        <v>144</v>
      </c>
      <c r="AD806" s="31" t="s">
        <v>144</v>
      </c>
      <c r="AE806" s="31" t="s">
        <v>144</v>
      </c>
      <c r="AF806" s="31" t="s">
        <v>144</v>
      </c>
      <c r="AG806" s="31" t="s">
        <v>144</v>
      </c>
      <c r="AH806" s="31" t="s">
        <v>473</v>
      </c>
      <c r="AI806" s="31" t="s">
        <v>476</v>
      </c>
      <c r="AJ806" s="31" t="s">
        <v>144</v>
      </c>
      <c r="AK806" s="31" t="s">
        <v>144</v>
      </c>
      <c r="AL806" s="31" t="s">
        <v>194</v>
      </c>
      <c r="AM806" s="31" t="s">
        <v>144</v>
      </c>
      <c r="AN806" s="31" t="s">
        <v>163</v>
      </c>
      <c r="AO806" s="31" t="s">
        <v>144</v>
      </c>
      <c r="AP806" s="31"/>
      <c r="AQ806" s="31"/>
      <c r="AR806" s="31"/>
      <c r="AS806" s="31"/>
      <c r="AT806" s="31"/>
      <c r="AU806" s="31"/>
    </row>
    <row r="807" spans="5:47" ht="15" customHeight="1" x14ac:dyDescent="0.25">
      <c r="E807" s="31" t="s">
        <v>1328</v>
      </c>
      <c r="F807" s="31" t="s">
        <v>140</v>
      </c>
      <c r="G807" s="31" t="s">
        <v>374</v>
      </c>
      <c r="H807" s="31" t="s">
        <v>144</v>
      </c>
      <c r="I807" s="31" t="s">
        <v>481</v>
      </c>
      <c r="J807" s="31" t="s">
        <v>699</v>
      </c>
      <c r="K807" s="31" t="s">
        <v>711</v>
      </c>
      <c r="L807" s="31" t="s">
        <v>162</v>
      </c>
      <c r="M807" s="31" t="s">
        <v>144</v>
      </c>
      <c r="N807" s="31" t="s">
        <v>144</v>
      </c>
      <c r="O807" s="31">
        <v>16</v>
      </c>
      <c r="P807" s="31" t="s">
        <v>144</v>
      </c>
      <c r="Q807" s="31" t="s">
        <v>256</v>
      </c>
      <c r="R807" s="31" t="s">
        <v>477</v>
      </c>
      <c r="S807" s="31" t="s">
        <v>144</v>
      </c>
      <c r="T807" s="31" t="s">
        <v>144</v>
      </c>
      <c r="U807" s="31" t="s">
        <v>144</v>
      </c>
      <c r="V807" s="31" t="s">
        <v>144</v>
      </c>
      <c r="W807" s="31" t="s">
        <v>144</v>
      </c>
      <c r="X807" s="31" t="s">
        <v>144</v>
      </c>
      <c r="Y807" s="31" t="s">
        <v>144</v>
      </c>
      <c r="Z807" s="31" t="s">
        <v>144</v>
      </c>
      <c r="AA807" s="31" t="s">
        <v>144</v>
      </c>
      <c r="AB807" s="31" t="s">
        <v>144</v>
      </c>
      <c r="AC807" s="31" t="s">
        <v>144</v>
      </c>
      <c r="AD807" s="31" t="s">
        <v>144</v>
      </c>
      <c r="AE807" s="31" t="s">
        <v>144</v>
      </c>
      <c r="AF807" s="31" t="s">
        <v>144</v>
      </c>
      <c r="AG807" s="31" t="s">
        <v>144</v>
      </c>
      <c r="AH807" s="31" t="s">
        <v>473</v>
      </c>
      <c r="AI807" s="31" t="s">
        <v>476</v>
      </c>
      <c r="AJ807" s="31" t="s">
        <v>144</v>
      </c>
      <c r="AK807" s="31" t="s">
        <v>144</v>
      </c>
      <c r="AL807" s="31" t="s">
        <v>194</v>
      </c>
      <c r="AM807" s="31" t="s">
        <v>144</v>
      </c>
      <c r="AN807" s="31" t="s">
        <v>163</v>
      </c>
      <c r="AO807" s="31" t="s">
        <v>144</v>
      </c>
      <c r="AP807" s="31"/>
      <c r="AQ807" s="31"/>
      <c r="AR807" s="31"/>
      <c r="AS807" s="31"/>
      <c r="AT807" s="31"/>
      <c r="AU807" s="31"/>
    </row>
    <row r="808" spans="5:47" ht="15" customHeight="1" x14ac:dyDescent="0.25">
      <c r="E808" s="31" t="s">
        <v>1328</v>
      </c>
      <c r="F808" s="31" t="s">
        <v>140</v>
      </c>
      <c r="G808" s="31" t="s">
        <v>374</v>
      </c>
      <c r="H808" s="31" t="s">
        <v>144</v>
      </c>
      <c r="I808" s="31" t="s">
        <v>481</v>
      </c>
      <c r="J808" s="31" t="s">
        <v>699</v>
      </c>
      <c r="K808" s="31" t="s">
        <v>712</v>
      </c>
      <c r="L808" s="31" t="s">
        <v>162</v>
      </c>
      <c r="M808" s="31" t="s">
        <v>144</v>
      </c>
      <c r="N808" s="31" t="s">
        <v>144</v>
      </c>
      <c r="O808" s="31">
        <v>16</v>
      </c>
      <c r="P808" s="31" t="s">
        <v>144</v>
      </c>
      <c r="Q808" s="31" t="s">
        <v>256</v>
      </c>
      <c r="R808" s="31" t="s">
        <v>477</v>
      </c>
      <c r="S808" s="31" t="s">
        <v>144</v>
      </c>
      <c r="T808" s="31" t="s">
        <v>144</v>
      </c>
      <c r="U808" s="31" t="s">
        <v>144</v>
      </c>
      <c r="V808" s="31" t="s">
        <v>144</v>
      </c>
      <c r="W808" s="31" t="s">
        <v>144</v>
      </c>
      <c r="X808" s="31" t="s">
        <v>144</v>
      </c>
      <c r="Y808" s="31" t="s">
        <v>144</v>
      </c>
      <c r="Z808" s="31" t="s">
        <v>144</v>
      </c>
      <c r="AA808" s="31" t="s">
        <v>144</v>
      </c>
      <c r="AB808" s="31" t="s">
        <v>144</v>
      </c>
      <c r="AC808" s="31" t="s">
        <v>144</v>
      </c>
      <c r="AD808" s="31" t="s">
        <v>144</v>
      </c>
      <c r="AE808" s="31" t="s">
        <v>144</v>
      </c>
      <c r="AF808" s="31" t="s">
        <v>144</v>
      </c>
      <c r="AG808" s="31" t="s">
        <v>144</v>
      </c>
      <c r="AH808" s="31" t="s">
        <v>473</v>
      </c>
      <c r="AI808" s="31" t="s">
        <v>476</v>
      </c>
      <c r="AJ808" s="31" t="s">
        <v>144</v>
      </c>
      <c r="AK808" s="31" t="s">
        <v>144</v>
      </c>
      <c r="AL808" s="31" t="s">
        <v>194</v>
      </c>
      <c r="AM808" s="31" t="s">
        <v>144</v>
      </c>
      <c r="AN808" s="31" t="s">
        <v>163</v>
      </c>
      <c r="AO808" s="31" t="s">
        <v>144</v>
      </c>
      <c r="AP808" s="31"/>
      <c r="AQ808" s="31"/>
      <c r="AR808" s="31"/>
      <c r="AS808" s="31"/>
      <c r="AT808" s="31"/>
      <c r="AU808" s="31"/>
    </row>
    <row r="809" spans="5:47" ht="15" customHeight="1" x14ac:dyDescent="0.25">
      <c r="E809" s="31" t="s">
        <v>1328</v>
      </c>
      <c r="F809" s="31" t="s">
        <v>140</v>
      </c>
      <c r="G809" s="31" t="s">
        <v>374</v>
      </c>
      <c r="H809" s="31" t="s">
        <v>144</v>
      </c>
      <c r="I809" s="31" t="s">
        <v>481</v>
      </c>
      <c r="J809" s="31" t="s">
        <v>699</v>
      </c>
      <c r="K809" s="31" t="s">
        <v>713</v>
      </c>
      <c r="L809" s="31" t="s">
        <v>162</v>
      </c>
      <c r="M809" s="31" t="s">
        <v>144</v>
      </c>
      <c r="N809" s="31" t="s">
        <v>144</v>
      </c>
      <c r="O809" s="31">
        <v>16</v>
      </c>
      <c r="P809" s="31" t="s">
        <v>144</v>
      </c>
      <c r="Q809" s="31" t="s">
        <v>256</v>
      </c>
      <c r="R809" s="31" t="s">
        <v>477</v>
      </c>
      <c r="S809" s="31" t="s">
        <v>144</v>
      </c>
      <c r="T809" s="31" t="s">
        <v>144</v>
      </c>
      <c r="U809" s="31" t="s">
        <v>144</v>
      </c>
      <c r="V809" s="31" t="s">
        <v>144</v>
      </c>
      <c r="W809" s="31" t="s">
        <v>144</v>
      </c>
      <c r="X809" s="31" t="s">
        <v>144</v>
      </c>
      <c r="Y809" s="31" t="s">
        <v>144</v>
      </c>
      <c r="Z809" s="31" t="s">
        <v>144</v>
      </c>
      <c r="AA809" s="31" t="s">
        <v>144</v>
      </c>
      <c r="AB809" s="31" t="s">
        <v>144</v>
      </c>
      <c r="AC809" s="31" t="s">
        <v>144</v>
      </c>
      <c r="AD809" s="31" t="s">
        <v>144</v>
      </c>
      <c r="AE809" s="31" t="s">
        <v>144</v>
      </c>
      <c r="AF809" s="31" t="s">
        <v>144</v>
      </c>
      <c r="AG809" s="31" t="s">
        <v>144</v>
      </c>
      <c r="AH809" s="31" t="s">
        <v>473</v>
      </c>
      <c r="AI809" s="31" t="s">
        <v>476</v>
      </c>
      <c r="AJ809" s="31" t="s">
        <v>144</v>
      </c>
      <c r="AK809" s="31" t="s">
        <v>144</v>
      </c>
      <c r="AL809" s="31" t="s">
        <v>194</v>
      </c>
      <c r="AM809" s="31" t="s">
        <v>144</v>
      </c>
      <c r="AN809" s="31" t="s">
        <v>163</v>
      </c>
      <c r="AO809" s="31" t="s">
        <v>144</v>
      </c>
      <c r="AP809" s="31"/>
      <c r="AQ809" s="31"/>
      <c r="AR809" s="31"/>
      <c r="AS809" s="31"/>
      <c r="AT809" s="31"/>
      <c r="AU809" s="31"/>
    </row>
    <row r="810" spans="5:47" ht="15" customHeight="1" x14ac:dyDescent="0.25">
      <c r="E810" s="31" t="s">
        <v>1328</v>
      </c>
      <c r="F810" s="31" t="s">
        <v>140</v>
      </c>
      <c r="G810" s="31" t="s">
        <v>374</v>
      </c>
      <c r="H810" s="31" t="s">
        <v>144</v>
      </c>
      <c r="I810" s="31" t="s">
        <v>481</v>
      </c>
      <c r="J810" s="31" t="s">
        <v>699</v>
      </c>
      <c r="K810" s="31" t="s">
        <v>714</v>
      </c>
      <c r="L810" s="31" t="s">
        <v>162</v>
      </c>
      <c r="M810" s="31" t="s">
        <v>144</v>
      </c>
      <c r="N810" s="31" t="s">
        <v>144</v>
      </c>
      <c r="O810" s="31">
        <v>16</v>
      </c>
      <c r="P810" s="31" t="s">
        <v>144</v>
      </c>
      <c r="Q810" s="31" t="s">
        <v>256</v>
      </c>
      <c r="R810" s="31" t="s">
        <v>477</v>
      </c>
      <c r="S810" s="31" t="s">
        <v>144</v>
      </c>
      <c r="T810" s="31" t="s">
        <v>144</v>
      </c>
      <c r="U810" s="31" t="s">
        <v>144</v>
      </c>
      <c r="V810" s="31" t="s">
        <v>144</v>
      </c>
      <c r="W810" s="31" t="s">
        <v>144</v>
      </c>
      <c r="X810" s="31" t="s">
        <v>144</v>
      </c>
      <c r="Y810" s="31" t="s">
        <v>144</v>
      </c>
      <c r="Z810" s="31" t="s">
        <v>144</v>
      </c>
      <c r="AA810" s="31" t="s">
        <v>144</v>
      </c>
      <c r="AB810" s="31" t="s">
        <v>144</v>
      </c>
      <c r="AC810" s="31" t="s">
        <v>144</v>
      </c>
      <c r="AD810" s="31" t="s">
        <v>144</v>
      </c>
      <c r="AE810" s="31" t="s">
        <v>144</v>
      </c>
      <c r="AF810" s="31" t="s">
        <v>144</v>
      </c>
      <c r="AG810" s="31" t="s">
        <v>144</v>
      </c>
      <c r="AH810" s="31" t="s">
        <v>473</v>
      </c>
      <c r="AI810" s="31" t="s">
        <v>476</v>
      </c>
      <c r="AJ810" s="31" t="s">
        <v>144</v>
      </c>
      <c r="AK810" s="31" t="s">
        <v>144</v>
      </c>
      <c r="AL810" s="31" t="s">
        <v>194</v>
      </c>
      <c r="AM810" s="31" t="s">
        <v>144</v>
      </c>
      <c r="AN810" s="31" t="s">
        <v>163</v>
      </c>
      <c r="AO810" s="31" t="s">
        <v>144</v>
      </c>
      <c r="AP810" s="31"/>
      <c r="AQ810" s="31"/>
      <c r="AR810" s="31"/>
      <c r="AS810" s="31"/>
      <c r="AT810" s="31"/>
      <c r="AU810" s="31"/>
    </row>
    <row r="811" spans="5:47" ht="15" customHeight="1" x14ac:dyDescent="0.25">
      <c r="E811" s="31" t="s">
        <v>1328</v>
      </c>
      <c r="F811" s="31" t="s">
        <v>140</v>
      </c>
      <c r="G811" s="31" t="s">
        <v>374</v>
      </c>
      <c r="H811" s="31" t="s">
        <v>144</v>
      </c>
      <c r="I811" s="31" t="s">
        <v>481</v>
      </c>
      <c r="J811" s="31" t="s">
        <v>699</v>
      </c>
      <c r="K811" s="31" t="s">
        <v>715</v>
      </c>
      <c r="L811" s="31" t="s">
        <v>162</v>
      </c>
      <c r="M811" s="31" t="s">
        <v>144</v>
      </c>
      <c r="N811" s="31" t="s">
        <v>144</v>
      </c>
      <c r="O811" s="31">
        <v>16</v>
      </c>
      <c r="P811" s="31" t="s">
        <v>144</v>
      </c>
      <c r="Q811" s="31" t="s">
        <v>256</v>
      </c>
      <c r="R811" s="31" t="s">
        <v>477</v>
      </c>
      <c r="S811" s="31" t="s">
        <v>144</v>
      </c>
      <c r="T811" s="31" t="s">
        <v>144</v>
      </c>
      <c r="U811" s="31" t="s">
        <v>144</v>
      </c>
      <c r="V811" s="31" t="s">
        <v>144</v>
      </c>
      <c r="W811" s="31" t="s">
        <v>144</v>
      </c>
      <c r="X811" s="31" t="s">
        <v>144</v>
      </c>
      <c r="Y811" s="31" t="s">
        <v>144</v>
      </c>
      <c r="Z811" s="31" t="s">
        <v>144</v>
      </c>
      <c r="AA811" s="31" t="s">
        <v>144</v>
      </c>
      <c r="AB811" s="31" t="s">
        <v>144</v>
      </c>
      <c r="AC811" s="31" t="s">
        <v>144</v>
      </c>
      <c r="AD811" s="31" t="s">
        <v>144</v>
      </c>
      <c r="AE811" s="31" t="s">
        <v>144</v>
      </c>
      <c r="AF811" s="31" t="s">
        <v>144</v>
      </c>
      <c r="AG811" s="31" t="s">
        <v>144</v>
      </c>
      <c r="AH811" s="31" t="s">
        <v>473</v>
      </c>
      <c r="AI811" s="31" t="s">
        <v>476</v>
      </c>
      <c r="AJ811" s="31" t="s">
        <v>144</v>
      </c>
      <c r="AK811" s="31" t="s">
        <v>144</v>
      </c>
      <c r="AL811" s="31" t="s">
        <v>194</v>
      </c>
      <c r="AM811" s="31" t="s">
        <v>144</v>
      </c>
      <c r="AN811" s="31" t="s">
        <v>163</v>
      </c>
      <c r="AO811" s="31" t="s">
        <v>144</v>
      </c>
      <c r="AP811" s="31"/>
      <c r="AQ811" s="31"/>
      <c r="AR811" s="31"/>
      <c r="AS811" s="31"/>
      <c r="AT811" s="31"/>
      <c r="AU811" s="31"/>
    </row>
    <row r="812" spans="5:47" ht="15" customHeight="1" x14ac:dyDescent="0.25">
      <c r="E812" s="31" t="s">
        <v>1328</v>
      </c>
      <c r="F812" s="31" t="s">
        <v>140</v>
      </c>
      <c r="G812" s="31" t="s">
        <v>374</v>
      </c>
      <c r="H812" s="31" t="s">
        <v>144</v>
      </c>
      <c r="I812" s="31" t="s">
        <v>481</v>
      </c>
      <c r="J812" s="31" t="s">
        <v>699</v>
      </c>
      <c r="K812" s="31" t="s">
        <v>716</v>
      </c>
      <c r="L812" s="31" t="s">
        <v>162</v>
      </c>
      <c r="M812" s="31" t="s">
        <v>144</v>
      </c>
      <c r="N812" s="31" t="s">
        <v>144</v>
      </c>
      <c r="O812" s="31">
        <v>16</v>
      </c>
      <c r="P812" s="31" t="s">
        <v>144</v>
      </c>
      <c r="Q812" s="31" t="s">
        <v>256</v>
      </c>
      <c r="R812" s="31" t="s">
        <v>477</v>
      </c>
      <c r="S812" s="31" t="s">
        <v>144</v>
      </c>
      <c r="T812" s="31" t="s">
        <v>144</v>
      </c>
      <c r="U812" s="31" t="s">
        <v>144</v>
      </c>
      <c r="V812" s="31" t="s">
        <v>144</v>
      </c>
      <c r="W812" s="31" t="s">
        <v>144</v>
      </c>
      <c r="X812" s="31" t="s">
        <v>144</v>
      </c>
      <c r="Y812" s="31" t="s">
        <v>144</v>
      </c>
      <c r="Z812" s="31" t="s">
        <v>144</v>
      </c>
      <c r="AA812" s="31" t="s">
        <v>144</v>
      </c>
      <c r="AB812" s="31" t="s">
        <v>144</v>
      </c>
      <c r="AC812" s="31" t="s">
        <v>144</v>
      </c>
      <c r="AD812" s="31" t="s">
        <v>144</v>
      </c>
      <c r="AE812" s="31" t="s">
        <v>144</v>
      </c>
      <c r="AF812" s="31" t="s">
        <v>144</v>
      </c>
      <c r="AG812" s="31" t="s">
        <v>144</v>
      </c>
      <c r="AH812" s="31" t="s">
        <v>473</v>
      </c>
      <c r="AI812" s="31" t="s">
        <v>476</v>
      </c>
      <c r="AJ812" s="31" t="s">
        <v>144</v>
      </c>
      <c r="AK812" s="31" t="s">
        <v>144</v>
      </c>
      <c r="AL812" s="31" t="s">
        <v>194</v>
      </c>
      <c r="AM812" s="31" t="s">
        <v>144</v>
      </c>
      <c r="AN812" s="31" t="s">
        <v>163</v>
      </c>
      <c r="AO812" s="31" t="s">
        <v>144</v>
      </c>
      <c r="AP812" s="31"/>
      <c r="AQ812" s="31"/>
      <c r="AR812" s="31"/>
      <c r="AS812" s="31"/>
      <c r="AT812" s="31"/>
      <c r="AU812" s="31"/>
    </row>
    <row r="813" spans="5:47" ht="15" customHeight="1" x14ac:dyDescent="0.25">
      <c r="E813" s="31" t="s">
        <v>1328</v>
      </c>
      <c r="F813" s="31" t="s">
        <v>140</v>
      </c>
      <c r="G813" s="31" t="s">
        <v>374</v>
      </c>
      <c r="H813" s="31" t="s">
        <v>144</v>
      </c>
      <c r="I813" s="31" t="s">
        <v>481</v>
      </c>
      <c r="J813" s="31" t="s">
        <v>699</v>
      </c>
      <c r="K813" s="31" t="s">
        <v>717</v>
      </c>
      <c r="L813" s="31" t="s">
        <v>162</v>
      </c>
      <c r="M813" s="31" t="s">
        <v>144</v>
      </c>
      <c r="N813" s="31" t="s">
        <v>144</v>
      </c>
      <c r="O813" s="31">
        <v>16</v>
      </c>
      <c r="P813" s="31" t="s">
        <v>144</v>
      </c>
      <c r="Q813" s="31" t="s">
        <v>256</v>
      </c>
      <c r="R813" s="31" t="s">
        <v>477</v>
      </c>
      <c r="S813" s="31" t="s">
        <v>144</v>
      </c>
      <c r="T813" s="31" t="s">
        <v>144</v>
      </c>
      <c r="U813" s="31" t="s">
        <v>144</v>
      </c>
      <c r="V813" s="31" t="s">
        <v>144</v>
      </c>
      <c r="W813" s="31" t="s">
        <v>144</v>
      </c>
      <c r="X813" s="31" t="s">
        <v>144</v>
      </c>
      <c r="Y813" s="31" t="s">
        <v>144</v>
      </c>
      <c r="Z813" s="31" t="s">
        <v>144</v>
      </c>
      <c r="AA813" s="31" t="s">
        <v>144</v>
      </c>
      <c r="AB813" s="31" t="s">
        <v>144</v>
      </c>
      <c r="AC813" s="31" t="s">
        <v>144</v>
      </c>
      <c r="AD813" s="31" t="s">
        <v>144</v>
      </c>
      <c r="AE813" s="31" t="s">
        <v>144</v>
      </c>
      <c r="AF813" s="31" t="s">
        <v>144</v>
      </c>
      <c r="AG813" s="31" t="s">
        <v>144</v>
      </c>
      <c r="AH813" s="31" t="s">
        <v>473</v>
      </c>
      <c r="AI813" s="31" t="s">
        <v>476</v>
      </c>
      <c r="AJ813" s="31" t="s">
        <v>144</v>
      </c>
      <c r="AK813" s="31" t="s">
        <v>144</v>
      </c>
      <c r="AL813" s="31" t="s">
        <v>194</v>
      </c>
      <c r="AM813" s="31" t="s">
        <v>144</v>
      </c>
      <c r="AN813" s="31" t="s">
        <v>163</v>
      </c>
      <c r="AO813" s="31" t="s">
        <v>144</v>
      </c>
      <c r="AP813" s="31"/>
      <c r="AQ813" s="31"/>
      <c r="AR813" s="31"/>
      <c r="AS813" s="31"/>
      <c r="AT813" s="31"/>
      <c r="AU813" s="31"/>
    </row>
    <row r="814" spans="5:47" ht="15" customHeight="1" x14ac:dyDescent="0.25">
      <c r="E814" s="31" t="s">
        <v>1328</v>
      </c>
      <c r="F814" s="31" t="s">
        <v>140</v>
      </c>
      <c r="G814" s="31" t="s">
        <v>374</v>
      </c>
      <c r="H814" s="31" t="s">
        <v>144</v>
      </c>
      <c r="I814" s="31" t="s">
        <v>481</v>
      </c>
      <c r="J814" s="31" t="s">
        <v>699</v>
      </c>
      <c r="K814" s="31" t="s">
        <v>718</v>
      </c>
      <c r="L814" s="31" t="s">
        <v>162</v>
      </c>
      <c r="M814" s="31" t="s">
        <v>144</v>
      </c>
      <c r="N814" s="31" t="s">
        <v>144</v>
      </c>
      <c r="O814" s="31">
        <v>16</v>
      </c>
      <c r="P814" s="31" t="s">
        <v>144</v>
      </c>
      <c r="Q814" s="31" t="s">
        <v>256</v>
      </c>
      <c r="R814" s="31" t="s">
        <v>477</v>
      </c>
      <c r="S814" s="31" t="s">
        <v>144</v>
      </c>
      <c r="T814" s="31" t="s">
        <v>144</v>
      </c>
      <c r="U814" s="31" t="s">
        <v>144</v>
      </c>
      <c r="V814" s="31" t="s">
        <v>144</v>
      </c>
      <c r="W814" s="31" t="s">
        <v>144</v>
      </c>
      <c r="X814" s="31" t="s">
        <v>144</v>
      </c>
      <c r="Y814" s="31" t="s">
        <v>144</v>
      </c>
      <c r="Z814" s="31" t="s">
        <v>144</v>
      </c>
      <c r="AA814" s="31" t="s">
        <v>144</v>
      </c>
      <c r="AB814" s="31" t="s">
        <v>144</v>
      </c>
      <c r="AC814" s="31" t="s">
        <v>144</v>
      </c>
      <c r="AD814" s="31" t="s">
        <v>144</v>
      </c>
      <c r="AE814" s="31" t="s">
        <v>144</v>
      </c>
      <c r="AF814" s="31" t="s">
        <v>144</v>
      </c>
      <c r="AG814" s="31" t="s">
        <v>144</v>
      </c>
      <c r="AH814" s="31" t="s">
        <v>473</v>
      </c>
      <c r="AI814" s="31" t="s">
        <v>476</v>
      </c>
      <c r="AJ814" s="31" t="s">
        <v>144</v>
      </c>
      <c r="AK814" s="31" t="s">
        <v>144</v>
      </c>
      <c r="AL814" s="31" t="s">
        <v>194</v>
      </c>
      <c r="AM814" s="31" t="s">
        <v>144</v>
      </c>
      <c r="AN814" s="31" t="s">
        <v>163</v>
      </c>
      <c r="AO814" s="31" t="s">
        <v>144</v>
      </c>
      <c r="AP814" s="31"/>
      <c r="AQ814" s="31"/>
      <c r="AR814" s="31"/>
      <c r="AS814" s="31"/>
      <c r="AT814" s="31"/>
      <c r="AU814" s="31"/>
    </row>
    <row r="815" spans="5:47" ht="15" customHeight="1" x14ac:dyDescent="0.25">
      <c r="E815" s="31" t="s">
        <v>1328</v>
      </c>
      <c r="F815" s="31" t="s">
        <v>140</v>
      </c>
      <c r="G815" s="31" t="s">
        <v>374</v>
      </c>
      <c r="H815" s="31" t="s">
        <v>144</v>
      </c>
      <c r="I815" s="31" t="s">
        <v>481</v>
      </c>
      <c r="J815" s="31" t="s">
        <v>699</v>
      </c>
      <c r="K815" s="31" t="s">
        <v>719</v>
      </c>
      <c r="L815" s="31" t="s">
        <v>162</v>
      </c>
      <c r="M815" s="31" t="s">
        <v>144</v>
      </c>
      <c r="N815" s="31" t="s">
        <v>144</v>
      </c>
      <c r="O815" s="31">
        <v>16</v>
      </c>
      <c r="P815" s="31" t="s">
        <v>144</v>
      </c>
      <c r="Q815" s="31" t="s">
        <v>256</v>
      </c>
      <c r="R815" s="31" t="s">
        <v>477</v>
      </c>
      <c r="S815" s="31" t="s">
        <v>144</v>
      </c>
      <c r="T815" s="31" t="s">
        <v>144</v>
      </c>
      <c r="U815" s="31" t="s">
        <v>144</v>
      </c>
      <c r="V815" s="31" t="s">
        <v>144</v>
      </c>
      <c r="W815" s="31" t="s">
        <v>144</v>
      </c>
      <c r="X815" s="31" t="s">
        <v>144</v>
      </c>
      <c r="Y815" s="31" t="s">
        <v>144</v>
      </c>
      <c r="Z815" s="31" t="s">
        <v>144</v>
      </c>
      <c r="AA815" s="31" t="s">
        <v>144</v>
      </c>
      <c r="AB815" s="31" t="s">
        <v>144</v>
      </c>
      <c r="AC815" s="31" t="s">
        <v>144</v>
      </c>
      <c r="AD815" s="31" t="s">
        <v>144</v>
      </c>
      <c r="AE815" s="31" t="s">
        <v>144</v>
      </c>
      <c r="AF815" s="31" t="s">
        <v>144</v>
      </c>
      <c r="AG815" s="31" t="s">
        <v>144</v>
      </c>
      <c r="AH815" s="31" t="s">
        <v>473</v>
      </c>
      <c r="AI815" s="31" t="s">
        <v>476</v>
      </c>
      <c r="AJ815" s="31" t="s">
        <v>144</v>
      </c>
      <c r="AK815" s="31" t="s">
        <v>144</v>
      </c>
      <c r="AL815" s="31" t="s">
        <v>194</v>
      </c>
      <c r="AM815" s="31" t="s">
        <v>144</v>
      </c>
      <c r="AN815" s="31" t="s">
        <v>163</v>
      </c>
      <c r="AO815" s="31" t="s">
        <v>144</v>
      </c>
      <c r="AP815" s="31"/>
      <c r="AQ815" s="31"/>
      <c r="AR815" s="31"/>
      <c r="AS815" s="31"/>
      <c r="AT815" s="31"/>
      <c r="AU815" s="31"/>
    </row>
    <row r="816" spans="5:47" ht="15" customHeight="1" x14ac:dyDescent="0.25">
      <c r="E816" s="31" t="s">
        <v>1328</v>
      </c>
      <c r="F816" s="31" t="s">
        <v>140</v>
      </c>
      <c r="G816" s="31" t="s">
        <v>374</v>
      </c>
      <c r="H816" s="31" t="s">
        <v>144</v>
      </c>
      <c r="I816" s="31" t="s">
        <v>481</v>
      </c>
      <c r="J816" s="31" t="s">
        <v>699</v>
      </c>
      <c r="K816" s="31" t="s">
        <v>720</v>
      </c>
      <c r="L816" s="31" t="s">
        <v>162</v>
      </c>
      <c r="M816" s="31" t="s">
        <v>144</v>
      </c>
      <c r="N816" s="31" t="s">
        <v>144</v>
      </c>
      <c r="O816" s="31">
        <v>16</v>
      </c>
      <c r="P816" s="31" t="s">
        <v>144</v>
      </c>
      <c r="Q816" s="31" t="s">
        <v>256</v>
      </c>
      <c r="R816" s="31" t="s">
        <v>477</v>
      </c>
      <c r="S816" s="31" t="s">
        <v>144</v>
      </c>
      <c r="T816" s="31" t="s">
        <v>144</v>
      </c>
      <c r="U816" s="31" t="s">
        <v>144</v>
      </c>
      <c r="V816" s="31" t="s">
        <v>144</v>
      </c>
      <c r="W816" s="31" t="s">
        <v>144</v>
      </c>
      <c r="X816" s="31" t="s">
        <v>144</v>
      </c>
      <c r="Y816" s="31" t="s">
        <v>144</v>
      </c>
      <c r="Z816" s="31" t="s">
        <v>144</v>
      </c>
      <c r="AA816" s="31" t="s">
        <v>144</v>
      </c>
      <c r="AB816" s="31" t="s">
        <v>144</v>
      </c>
      <c r="AC816" s="31" t="s">
        <v>144</v>
      </c>
      <c r="AD816" s="31" t="s">
        <v>144</v>
      </c>
      <c r="AE816" s="31" t="s">
        <v>144</v>
      </c>
      <c r="AF816" s="31" t="s">
        <v>144</v>
      </c>
      <c r="AG816" s="31" t="s">
        <v>144</v>
      </c>
      <c r="AH816" s="31" t="s">
        <v>473</v>
      </c>
      <c r="AI816" s="31" t="s">
        <v>476</v>
      </c>
      <c r="AJ816" s="31" t="s">
        <v>144</v>
      </c>
      <c r="AK816" s="31" t="s">
        <v>144</v>
      </c>
      <c r="AL816" s="31" t="s">
        <v>194</v>
      </c>
      <c r="AM816" s="31" t="s">
        <v>144</v>
      </c>
      <c r="AN816" s="31" t="s">
        <v>163</v>
      </c>
      <c r="AO816" s="31" t="s">
        <v>144</v>
      </c>
      <c r="AP816" s="31"/>
      <c r="AQ816" s="31"/>
      <c r="AR816" s="31"/>
      <c r="AS816" s="31"/>
      <c r="AT816" s="31"/>
      <c r="AU816" s="31"/>
    </row>
    <row r="817" spans="5:47" ht="15" customHeight="1" x14ac:dyDescent="0.25">
      <c r="E817" s="31" t="s">
        <v>1328</v>
      </c>
      <c r="F817" s="31" t="s">
        <v>140</v>
      </c>
      <c r="G817" s="31" t="s">
        <v>374</v>
      </c>
      <c r="H817" s="31" t="s">
        <v>144</v>
      </c>
      <c r="I817" s="31" t="s">
        <v>481</v>
      </c>
      <c r="J817" s="31" t="s">
        <v>699</v>
      </c>
      <c r="K817" s="31" t="s">
        <v>721</v>
      </c>
      <c r="L817" s="31" t="s">
        <v>162</v>
      </c>
      <c r="M817" s="31" t="s">
        <v>144</v>
      </c>
      <c r="N817" s="31" t="s">
        <v>144</v>
      </c>
      <c r="O817" s="31">
        <v>16</v>
      </c>
      <c r="P817" s="31" t="s">
        <v>144</v>
      </c>
      <c r="Q817" s="31" t="s">
        <v>256</v>
      </c>
      <c r="R817" s="31" t="s">
        <v>477</v>
      </c>
      <c r="S817" s="31" t="s">
        <v>144</v>
      </c>
      <c r="T817" s="31" t="s">
        <v>144</v>
      </c>
      <c r="U817" s="31" t="s">
        <v>144</v>
      </c>
      <c r="V817" s="31" t="s">
        <v>144</v>
      </c>
      <c r="W817" s="31" t="s">
        <v>144</v>
      </c>
      <c r="X817" s="31" t="s">
        <v>144</v>
      </c>
      <c r="Y817" s="31" t="s">
        <v>144</v>
      </c>
      <c r="Z817" s="31" t="s">
        <v>144</v>
      </c>
      <c r="AA817" s="31" t="s">
        <v>144</v>
      </c>
      <c r="AB817" s="31" t="s">
        <v>144</v>
      </c>
      <c r="AC817" s="31" t="s">
        <v>144</v>
      </c>
      <c r="AD817" s="31" t="s">
        <v>144</v>
      </c>
      <c r="AE817" s="31" t="s">
        <v>144</v>
      </c>
      <c r="AF817" s="31" t="s">
        <v>144</v>
      </c>
      <c r="AG817" s="31" t="s">
        <v>144</v>
      </c>
      <c r="AH817" s="31" t="s">
        <v>473</v>
      </c>
      <c r="AI817" s="31" t="s">
        <v>476</v>
      </c>
      <c r="AJ817" s="31" t="s">
        <v>144</v>
      </c>
      <c r="AK817" s="31" t="s">
        <v>144</v>
      </c>
      <c r="AL817" s="31" t="s">
        <v>194</v>
      </c>
      <c r="AM817" s="31" t="s">
        <v>144</v>
      </c>
      <c r="AN817" s="31" t="s">
        <v>163</v>
      </c>
      <c r="AO817" s="31" t="s">
        <v>144</v>
      </c>
      <c r="AP817" s="31"/>
      <c r="AQ817" s="31"/>
      <c r="AR817" s="31"/>
      <c r="AS817" s="31"/>
      <c r="AT817" s="31"/>
      <c r="AU817" s="31"/>
    </row>
    <row r="818" spans="5:47" ht="15" customHeight="1" x14ac:dyDescent="0.25">
      <c r="E818" s="31" t="s">
        <v>1328</v>
      </c>
      <c r="F818" s="31" t="s">
        <v>140</v>
      </c>
      <c r="G818" s="31" t="s">
        <v>374</v>
      </c>
      <c r="H818" s="31" t="s">
        <v>144</v>
      </c>
      <c r="I818" s="31" t="s">
        <v>481</v>
      </c>
      <c r="J818" s="31" t="s">
        <v>699</v>
      </c>
      <c r="K818" s="31" t="s">
        <v>722</v>
      </c>
      <c r="L818" s="31" t="s">
        <v>162</v>
      </c>
      <c r="M818" s="31" t="s">
        <v>144</v>
      </c>
      <c r="N818" s="31" t="s">
        <v>144</v>
      </c>
      <c r="O818" s="31">
        <v>16</v>
      </c>
      <c r="P818" s="31" t="s">
        <v>144</v>
      </c>
      <c r="Q818" s="31" t="s">
        <v>256</v>
      </c>
      <c r="R818" s="31" t="s">
        <v>477</v>
      </c>
      <c r="S818" s="31" t="s">
        <v>144</v>
      </c>
      <c r="T818" s="31" t="s">
        <v>144</v>
      </c>
      <c r="U818" s="31" t="s">
        <v>144</v>
      </c>
      <c r="V818" s="31" t="s">
        <v>144</v>
      </c>
      <c r="W818" s="31" t="s">
        <v>144</v>
      </c>
      <c r="X818" s="31" t="s">
        <v>144</v>
      </c>
      <c r="Y818" s="31" t="s">
        <v>144</v>
      </c>
      <c r="Z818" s="31" t="s">
        <v>144</v>
      </c>
      <c r="AA818" s="31" t="s">
        <v>144</v>
      </c>
      <c r="AB818" s="31" t="s">
        <v>144</v>
      </c>
      <c r="AC818" s="31" t="s">
        <v>144</v>
      </c>
      <c r="AD818" s="31" t="s">
        <v>144</v>
      </c>
      <c r="AE818" s="31" t="s">
        <v>144</v>
      </c>
      <c r="AF818" s="31" t="s">
        <v>144</v>
      </c>
      <c r="AG818" s="31" t="s">
        <v>144</v>
      </c>
      <c r="AH818" s="31" t="s">
        <v>473</v>
      </c>
      <c r="AI818" s="31" t="s">
        <v>476</v>
      </c>
      <c r="AJ818" s="31" t="s">
        <v>144</v>
      </c>
      <c r="AK818" s="31" t="s">
        <v>144</v>
      </c>
      <c r="AL818" s="31" t="s">
        <v>194</v>
      </c>
      <c r="AM818" s="31" t="s">
        <v>144</v>
      </c>
      <c r="AN818" s="31" t="s">
        <v>163</v>
      </c>
      <c r="AO818" s="31" t="s">
        <v>144</v>
      </c>
      <c r="AP818" s="31"/>
      <c r="AQ818" s="31"/>
      <c r="AR818" s="31"/>
      <c r="AS818" s="31"/>
      <c r="AT818" s="31"/>
      <c r="AU818" s="31"/>
    </row>
    <row r="819" spans="5:47" ht="15" customHeight="1" x14ac:dyDescent="0.25">
      <c r="E819" s="31" t="s">
        <v>1328</v>
      </c>
      <c r="F819" s="31" t="s">
        <v>140</v>
      </c>
      <c r="G819" s="31" t="s">
        <v>374</v>
      </c>
      <c r="H819" s="31" t="s">
        <v>144</v>
      </c>
      <c r="I819" s="31" t="s">
        <v>481</v>
      </c>
      <c r="J819" s="31" t="s">
        <v>699</v>
      </c>
      <c r="K819" s="31" t="s">
        <v>723</v>
      </c>
      <c r="L819" s="31" t="s">
        <v>162</v>
      </c>
      <c r="M819" s="31" t="s">
        <v>144</v>
      </c>
      <c r="N819" s="31" t="s">
        <v>144</v>
      </c>
      <c r="O819" s="31">
        <v>16</v>
      </c>
      <c r="P819" s="31" t="s">
        <v>144</v>
      </c>
      <c r="Q819" s="31" t="s">
        <v>256</v>
      </c>
      <c r="R819" s="31" t="s">
        <v>477</v>
      </c>
      <c r="S819" s="31" t="s">
        <v>144</v>
      </c>
      <c r="T819" s="31" t="s">
        <v>144</v>
      </c>
      <c r="U819" s="31" t="s">
        <v>144</v>
      </c>
      <c r="V819" s="31" t="s">
        <v>144</v>
      </c>
      <c r="W819" s="31" t="s">
        <v>144</v>
      </c>
      <c r="X819" s="31" t="s">
        <v>144</v>
      </c>
      <c r="Y819" s="31" t="s">
        <v>144</v>
      </c>
      <c r="Z819" s="31" t="s">
        <v>144</v>
      </c>
      <c r="AA819" s="31" t="s">
        <v>144</v>
      </c>
      <c r="AB819" s="31" t="s">
        <v>144</v>
      </c>
      <c r="AC819" s="31" t="s">
        <v>144</v>
      </c>
      <c r="AD819" s="31" t="s">
        <v>144</v>
      </c>
      <c r="AE819" s="31" t="s">
        <v>144</v>
      </c>
      <c r="AF819" s="31" t="s">
        <v>144</v>
      </c>
      <c r="AG819" s="31" t="s">
        <v>144</v>
      </c>
      <c r="AH819" s="31" t="s">
        <v>473</v>
      </c>
      <c r="AI819" s="31" t="s">
        <v>476</v>
      </c>
      <c r="AJ819" s="31" t="s">
        <v>144</v>
      </c>
      <c r="AK819" s="31" t="s">
        <v>144</v>
      </c>
      <c r="AL819" s="31" t="s">
        <v>194</v>
      </c>
      <c r="AM819" s="31" t="s">
        <v>144</v>
      </c>
      <c r="AN819" s="31" t="s">
        <v>163</v>
      </c>
      <c r="AO819" s="31" t="s">
        <v>144</v>
      </c>
      <c r="AP819" s="31"/>
      <c r="AQ819" s="31"/>
      <c r="AR819" s="31"/>
      <c r="AS819" s="31"/>
      <c r="AT819" s="31"/>
      <c r="AU819" s="31"/>
    </row>
    <row r="820" spans="5:47" ht="15" customHeight="1" x14ac:dyDescent="0.25">
      <c r="E820" s="31" t="s">
        <v>1328</v>
      </c>
      <c r="F820" s="31" t="s">
        <v>140</v>
      </c>
      <c r="G820" s="31" t="s">
        <v>374</v>
      </c>
      <c r="H820" s="31" t="s">
        <v>144</v>
      </c>
      <c r="I820" s="31" t="s">
        <v>481</v>
      </c>
      <c r="J820" s="31" t="s">
        <v>699</v>
      </c>
      <c r="K820" s="31" t="s">
        <v>724</v>
      </c>
      <c r="L820" s="31" t="s">
        <v>162</v>
      </c>
      <c r="M820" s="31" t="s">
        <v>144</v>
      </c>
      <c r="N820" s="31" t="s">
        <v>144</v>
      </c>
      <c r="O820" s="31">
        <v>16</v>
      </c>
      <c r="P820" s="31" t="s">
        <v>144</v>
      </c>
      <c r="Q820" s="31" t="s">
        <v>256</v>
      </c>
      <c r="R820" s="31" t="s">
        <v>477</v>
      </c>
      <c r="S820" s="31" t="s">
        <v>144</v>
      </c>
      <c r="T820" s="31" t="s">
        <v>144</v>
      </c>
      <c r="U820" s="31" t="s">
        <v>144</v>
      </c>
      <c r="V820" s="31" t="s">
        <v>144</v>
      </c>
      <c r="W820" s="31" t="s">
        <v>144</v>
      </c>
      <c r="X820" s="31" t="s">
        <v>144</v>
      </c>
      <c r="Y820" s="31" t="s">
        <v>144</v>
      </c>
      <c r="Z820" s="31" t="s">
        <v>144</v>
      </c>
      <c r="AA820" s="31" t="s">
        <v>144</v>
      </c>
      <c r="AB820" s="31" t="s">
        <v>144</v>
      </c>
      <c r="AC820" s="31" t="s">
        <v>144</v>
      </c>
      <c r="AD820" s="31" t="s">
        <v>144</v>
      </c>
      <c r="AE820" s="31" t="s">
        <v>144</v>
      </c>
      <c r="AF820" s="31" t="s">
        <v>144</v>
      </c>
      <c r="AG820" s="31" t="s">
        <v>144</v>
      </c>
      <c r="AH820" s="31" t="s">
        <v>473</v>
      </c>
      <c r="AI820" s="31" t="s">
        <v>476</v>
      </c>
      <c r="AJ820" s="31" t="s">
        <v>144</v>
      </c>
      <c r="AK820" s="31" t="s">
        <v>144</v>
      </c>
      <c r="AL820" s="31" t="s">
        <v>194</v>
      </c>
      <c r="AM820" s="31" t="s">
        <v>144</v>
      </c>
      <c r="AN820" s="31" t="s">
        <v>163</v>
      </c>
      <c r="AO820" s="31" t="s">
        <v>144</v>
      </c>
      <c r="AP820" s="31"/>
      <c r="AQ820" s="31"/>
      <c r="AR820" s="31"/>
      <c r="AS820" s="31"/>
      <c r="AT820" s="31"/>
      <c r="AU820" s="31"/>
    </row>
    <row r="821" spans="5:47" ht="15" customHeight="1" x14ac:dyDescent="0.25">
      <c r="E821" s="31" t="s">
        <v>1328</v>
      </c>
      <c r="F821" s="31" t="s">
        <v>140</v>
      </c>
      <c r="G821" s="31" t="s">
        <v>374</v>
      </c>
      <c r="H821" s="31" t="s">
        <v>144</v>
      </c>
      <c r="I821" s="31" t="s">
        <v>481</v>
      </c>
      <c r="J821" s="31" t="s">
        <v>699</v>
      </c>
      <c r="K821" s="31" t="s">
        <v>725</v>
      </c>
      <c r="L821" s="31" t="s">
        <v>162</v>
      </c>
      <c r="M821" s="31" t="s">
        <v>144</v>
      </c>
      <c r="N821" s="31" t="s">
        <v>144</v>
      </c>
      <c r="O821" s="31">
        <v>16</v>
      </c>
      <c r="P821" s="31" t="s">
        <v>144</v>
      </c>
      <c r="Q821" s="31" t="s">
        <v>256</v>
      </c>
      <c r="R821" s="31" t="s">
        <v>477</v>
      </c>
      <c r="S821" s="31" t="s">
        <v>144</v>
      </c>
      <c r="T821" s="31" t="s">
        <v>144</v>
      </c>
      <c r="U821" s="31" t="s">
        <v>144</v>
      </c>
      <c r="V821" s="31" t="s">
        <v>144</v>
      </c>
      <c r="W821" s="31" t="s">
        <v>144</v>
      </c>
      <c r="X821" s="31" t="s">
        <v>144</v>
      </c>
      <c r="Y821" s="31" t="s">
        <v>144</v>
      </c>
      <c r="Z821" s="31" t="s">
        <v>144</v>
      </c>
      <c r="AA821" s="31" t="s">
        <v>144</v>
      </c>
      <c r="AB821" s="31" t="s">
        <v>144</v>
      </c>
      <c r="AC821" s="31" t="s">
        <v>144</v>
      </c>
      <c r="AD821" s="31" t="s">
        <v>144</v>
      </c>
      <c r="AE821" s="31" t="s">
        <v>144</v>
      </c>
      <c r="AF821" s="31" t="s">
        <v>144</v>
      </c>
      <c r="AG821" s="31" t="s">
        <v>144</v>
      </c>
      <c r="AH821" s="31" t="s">
        <v>473</v>
      </c>
      <c r="AI821" s="31" t="s">
        <v>476</v>
      </c>
      <c r="AJ821" s="31" t="s">
        <v>144</v>
      </c>
      <c r="AK821" s="31" t="s">
        <v>144</v>
      </c>
      <c r="AL821" s="31" t="s">
        <v>194</v>
      </c>
      <c r="AM821" s="31" t="s">
        <v>144</v>
      </c>
      <c r="AN821" s="31" t="s">
        <v>163</v>
      </c>
      <c r="AO821" s="31" t="s">
        <v>144</v>
      </c>
      <c r="AP821" s="31"/>
      <c r="AQ821" s="31"/>
      <c r="AR821" s="31"/>
      <c r="AS821" s="31"/>
      <c r="AT821" s="31"/>
      <c r="AU821" s="31"/>
    </row>
    <row r="822" spans="5:47" ht="15" customHeight="1" x14ac:dyDescent="0.25">
      <c r="E822" s="31" t="s">
        <v>1328</v>
      </c>
      <c r="F822" s="31" t="s">
        <v>140</v>
      </c>
      <c r="G822" s="31" t="s">
        <v>374</v>
      </c>
      <c r="H822" s="31" t="s">
        <v>144</v>
      </c>
      <c r="I822" s="31" t="s">
        <v>481</v>
      </c>
      <c r="J822" s="31" t="s">
        <v>699</v>
      </c>
      <c r="K822" s="31" t="s">
        <v>726</v>
      </c>
      <c r="L822" s="31" t="s">
        <v>162</v>
      </c>
      <c r="M822" s="31" t="s">
        <v>144</v>
      </c>
      <c r="N822" s="31" t="s">
        <v>144</v>
      </c>
      <c r="O822" s="31">
        <v>16</v>
      </c>
      <c r="P822" s="31" t="s">
        <v>144</v>
      </c>
      <c r="Q822" s="31" t="s">
        <v>256</v>
      </c>
      <c r="R822" s="31" t="s">
        <v>477</v>
      </c>
      <c r="S822" s="31" t="s">
        <v>144</v>
      </c>
      <c r="T822" s="31" t="s">
        <v>144</v>
      </c>
      <c r="U822" s="31" t="s">
        <v>144</v>
      </c>
      <c r="V822" s="31" t="s">
        <v>144</v>
      </c>
      <c r="W822" s="31" t="s">
        <v>144</v>
      </c>
      <c r="X822" s="31" t="s">
        <v>144</v>
      </c>
      <c r="Y822" s="31" t="s">
        <v>144</v>
      </c>
      <c r="Z822" s="31" t="s">
        <v>144</v>
      </c>
      <c r="AA822" s="31" t="s">
        <v>144</v>
      </c>
      <c r="AB822" s="31" t="s">
        <v>144</v>
      </c>
      <c r="AC822" s="31" t="s">
        <v>144</v>
      </c>
      <c r="AD822" s="31" t="s">
        <v>144</v>
      </c>
      <c r="AE822" s="31" t="s">
        <v>144</v>
      </c>
      <c r="AF822" s="31" t="s">
        <v>144</v>
      </c>
      <c r="AG822" s="31" t="s">
        <v>144</v>
      </c>
      <c r="AH822" s="31" t="s">
        <v>473</v>
      </c>
      <c r="AI822" s="31" t="s">
        <v>476</v>
      </c>
      <c r="AJ822" s="31" t="s">
        <v>144</v>
      </c>
      <c r="AK822" s="31" t="s">
        <v>144</v>
      </c>
      <c r="AL822" s="31" t="s">
        <v>194</v>
      </c>
      <c r="AM822" s="31" t="s">
        <v>144</v>
      </c>
      <c r="AN822" s="31" t="s">
        <v>163</v>
      </c>
      <c r="AO822" s="31" t="s">
        <v>144</v>
      </c>
      <c r="AP822" s="31"/>
      <c r="AQ822" s="31"/>
      <c r="AR822" s="31"/>
      <c r="AS822" s="31"/>
      <c r="AT822" s="31"/>
      <c r="AU822" s="31"/>
    </row>
    <row r="823" spans="5:47" ht="15" customHeight="1" x14ac:dyDescent="0.25">
      <c r="E823" s="31" t="s">
        <v>1328</v>
      </c>
      <c r="F823" s="31" t="s">
        <v>140</v>
      </c>
      <c r="G823" s="31" t="s">
        <v>374</v>
      </c>
      <c r="H823" s="31" t="s">
        <v>144</v>
      </c>
      <c r="I823" s="31" t="s">
        <v>481</v>
      </c>
      <c r="J823" s="31" t="s">
        <v>699</v>
      </c>
      <c r="K823" s="31" t="s">
        <v>727</v>
      </c>
      <c r="L823" s="31" t="s">
        <v>162</v>
      </c>
      <c r="M823" s="31" t="s">
        <v>144</v>
      </c>
      <c r="N823" s="31" t="s">
        <v>144</v>
      </c>
      <c r="O823" s="31">
        <v>16</v>
      </c>
      <c r="P823" s="31" t="s">
        <v>144</v>
      </c>
      <c r="Q823" s="31" t="s">
        <v>256</v>
      </c>
      <c r="R823" s="31" t="s">
        <v>477</v>
      </c>
      <c r="S823" s="31" t="s">
        <v>144</v>
      </c>
      <c r="T823" s="31" t="s">
        <v>144</v>
      </c>
      <c r="U823" s="31" t="s">
        <v>144</v>
      </c>
      <c r="V823" s="31" t="s">
        <v>144</v>
      </c>
      <c r="W823" s="31" t="s">
        <v>144</v>
      </c>
      <c r="X823" s="31" t="s">
        <v>144</v>
      </c>
      <c r="Y823" s="31" t="s">
        <v>144</v>
      </c>
      <c r="Z823" s="31" t="s">
        <v>144</v>
      </c>
      <c r="AA823" s="31" t="s">
        <v>144</v>
      </c>
      <c r="AB823" s="31" t="s">
        <v>144</v>
      </c>
      <c r="AC823" s="31" t="s">
        <v>144</v>
      </c>
      <c r="AD823" s="31" t="s">
        <v>144</v>
      </c>
      <c r="AE823" s="31" t="s">
        <v>144</v>
      </c>
      <c r="AF823" s="31" t="s">
        <v>144</v>
      </c>
      <c r="AG823" s="31" t="s">
        <v>144</v>
      </c>
      <c r="AH823" s="31" t="s">
        <v>473</v>
      </c>
      <c r="AI823" s="31" t="s">
        <v>476</v>
      </c>
      <c r="AJ823" s="31" t="s">
        <v>144</v>
      </c>
      <c r="AK823" s="31" t="s">
        <v>144</v>
      </c>
      <c r="AL823" s="31" t="s">
        <v>194</v>
      </c>
      <c r="AM823" s="31" t="s">
        <v>144</v>
      </c>
      <c r="AN823" s="31" t="s">
        <v>163</v>
      </c>
      <c r="AO823" s="31" t="s">
        <v>144</v>
      </c>
      <c r="AP823" s="31"/>
      <c r="AQ823" s="31"/>
      <c r="AR823" s="31"/>
      <c r="AS823" s="31"/>
      <c r="AT823" s="31"/>
      <c r="AU823" s="31"/>
    </row>
    <row r="824" spans="5:47" ht="15" customHeight="1" x14ac:dyDescent="0.25">
      <c r="E824" s="31" t="s">
        <v>1328</v>
      </c>
      <c r="F824" s="31" t="s">
        <v>140</v>
      </c>
      <c r="G824" s="31" t="s">
        <v>374</v>
      </c>
      <c r="H824" s="31" t="s">
        <v>144</v>
      </c>
      <c r="I824" s="31" t="s">
        <v>481</v>
      </c>
      <c r="J824" s="31" t="s">
        <v>699</v>
      </c>
      <c r="K824" s="31" t="s">
        <v>728</v>
      </c>
      <c r="L824" s="31" t="s">
        <v>162</v>
      </c>
      <c r="M824" s="31" t="s">
        <v>144</v>
      </c>
      <c r="N824" s="31" t="s">
        <v>144</v>
      </c>
      <c r="O824" s="31">
        <v>16</v>
      </c>
      <c r="P824" s="31" t="s">
        <v>144</v>
      </c>
      <c r="Q824" s="31" t="s">
        <v>256</v>
      </c>
      <c r="R824" s="31" t="s">
        <v>477</v>
      </c>
      <c r="S824" s="31" t="s">
        <v>144</v>
      </c>
      <c r="T824" s="31" t="s">
        <v>144</v>
      </c>
      <c r="U824" s="31" t="s">
        <v>144</v>
      </c>
      <c r="V824" s="31" t="s">
        <v>144</v>
      </c>
      <c r="W824" s="31" t="s">
        <v>144</v>
      </c>
      <c r="X824" s="31" t="s">
        <v>144</v>
      </c>
      <c r="Y824" s="31" t="s">
        <v>144</v>
      </c>
      <c r="Z824" s="31" t="s">
        <v>144</v>
      </c>
      <c r="AA824" s="31" t="s">
        <v>144</v>
      </c>
      <c r="AB824" s="31" t="s">
        <v>144</v>
      </c>
      <c r="AC824" s="31" t="s">
        <v>144</v>
      </c>
      <c r="AD824" s="31" t="s">
        <v>144</v>
      </c>
      <c r="AE824" s="31" t="s">
        <v>144</v>
      </c>
      <c r="AF824" s="31" t="s">
        <v>144</v>
      </c>
      <c r="AG824" s="31" t="s">
        <v>144</v>
      </c>
      <c r="AH824" s="31" t="s">
        <v>473</v>
      </c>
      <c r="AI824" s="31" t="s">
        <v>476</v>
      </c>
      <c r="AJ824" s="31" t="s">
        <v>144</v>
      </c>
      <c r="AK824" s="31" t="s">
        <v>144</v>
      </c>
      <c r="AL824" s="31" t="s">
        <v>194</v>
      </c>
      <c r="AM824" s="31" t="s">
        <v>144</v>
      </c>
      <c r="AN824" s="31" t="s">
        <v>163</v>
      </c>
      <c r="AO824" s="31" t="s">
        <v>144</v>
      </c>
      <c r="AP824" s="31"/>
      <c r="AQ824" s="31"/>
      <c r="AR824" s="31"/>
      <c r="AS824" s="31"/>
      <c r="AT824" s="31"/>
      <c r="AU824" s="31"/>
    </row>
    <row r="825" spans="5:47" ht="15" customHeight="1" x14ac:dyDescent="0.25">
      <c r="E825" s="31" t="s">
        <v>1328</v>
      </c>
      <c r="F825" s="31" t="s">
        <v>140</v>
      </c>
      <c r="G825" s="31" t="s">
        <v>374</v>
      </c>
      <c r="H825" s="31" t="s">
        <v>144</v>
      </c>
      <c r="I825" s="31" t="s">
        <v>481</v>
      </c>
      <c r="J825" s="31" t="s">
        <v>699</v>
      </c>
      <c r="K825" s="31" t="s">
        <v>729</v>
      </c>
      <c r="L825" s="31" t="s">
        <v>162</v>
      </c>
      <c r="M825" s="31" t="s">
        <v>144</v>
      </c>
      <c r="N825" s="31" t="s">
        <v>144</v>
      </c>
      <c r="O825" s="31">
        <v>16</v>
      </c>
      <c r="P825" s="31" t="s">
        <v>144</v>
      </c>
      <c r="Q825" s="31" t="s">
        <v>256</v>
      </c>
      <c r="R825" s="31" t="s">
        <v>477</v>
      </c>
      <c r="S825" s="31" t="s">
        <v>144</v>
      </c>
      <c r="T825" s="31" t="s">
        <v>144</v>
      </c>
      <c r="U825" s="31" t="s">
        <v>144</v>
      </c>
      <c r="V825" s="31" t="s">
        <v>144</v>
      </c>
      <c r="W825" s="31" t="s">
        <v>144</v>
      </c>
      <c r="X825" s="31" t="s">
        <v>144</v>
      </c>
      <c r="Y825" s="31" t="s">
        <v>144</v>
      </c>
      <c r="Z825" s="31" t="s">
        <v>144</v>
      </c>
      <c r="AA825" s="31" t="s">
        <v>144</v>
      </c>
      <c r="AB825" s="31" t="s">
        <v>144</v>
      </c>
      <c r="AC825" s="31" t="s">
        <v>144</v>
      </c>
      <c r="AD825" s="31" t="s">
        <v>144</v>
      </c>
      <c r="AE825" s="31" t="s">
        <v>144</v>
      </c>
      <c r="AF825" s="31" t="s">
        <v>144</v>
      </c>
      <c r="AG825" s="31" t="s">
        <v>144</v>
      </c>
      <c r="AH825" s="31" t="s">
        <v>473</v>
      </c>
      <c r="AI825" s="31" t="s">
        <v>476</v>
      </c>
      <c r="AJ825" s="31" t="s">
        <v>144</v>
      </c>
      <c r="AK825" s="31" t="s">
        <v>144</v>
      </c>
      <c r="AL825" s="31" t="s">
        <v>194</v>
      </c>
      <c r="AM825" s="31" t="s">
        <v>144</v>
      </c>
      <c r="AN825" s="31" t="s">
        <v>163</v>
      </c>
      <c r="AO825" s="31" t="s">
        <v>144</v>
      </c>
      <c r="AP825" s="31"/>
      <c r="AQ825" s="31"/>
      <c r="AR825" s="31"/>
      <c r="AS825" s="31"/>
      <c r="AT825" s="31"/>
      <c r="AU825" s="31"/>
    </row>
    <row r="826" spans="5:47" ht="15" customHeight="1" x14ac:dyDescent="0.25">
      <c r="E826" s="31" t="s">
        <v>1328</v>
      </c>
      <c r="F826" s="31" t="s">
        <v>140</v>
      </c>
      <c r="G826" s="31" t="s">
        <v>374</v>
      </c>
      <c r="H826" s="31" t="s">
        <v>144</v>
      </c>
      <c r="I826" s="31" t="s">
        <v>481</v>
      </c>
      <c r="J826" s="31" t="s">
        <v>699</v>
      </c>
      <c r="K826" s="31" t="s">
        <v>730</v>
      </c>
      <c r="L826" s="31" t="s">
        <v>162</v>
      </c>
      <c r="M826" s="31" t="s">
        <v>144</v>
      </c>
      <c r="N826" s="31" t="s">
        <v>144</v>
      </c>
      <c r="O826" s="31">
        <v>16</v>
      </c>
      <c r="P826" s="31" t="s">
        <v>144</v>
      </c>
      <c r="Q826" s="31" t="s">
        <v>256</v>
      </c>
      <c r="R826" s="31" t="s">
        <v>477</v>
      </c>
      <c r="S826" s="31" t="s">
        <v>144</v>
      </c>
      <c r="T826" s="31" t="s">
        <v>144</v>
      </c>
      <c r="U826" s="31" t="s">
        <v>144</v>
      </c>
      <c r="V826" s="31" t="s">
        <v>144</v>
      </c>
      <c r="W826" s="31" t="s">
        <v>144</v>
      </c>
      <c r="X826" s="31" t="s">
        <v>144</v>
      </c>
      <c r="Y826" s="31" t="s">
        <v>144</v>
      </c>
      <c r="Z826" s="31" t="s">
        <v>144</v>
      </c>
      <c r="AA826" s="31" t="s">
        <v>144</v>
      </c>
      <c r="AB826" s="31" t="s">
        <v>144</v>
      </c>
      <c r="AC826" s="31" t="s">
        <v>144</v>
      </c>
      <c r="AD826" s="31" t="s">
        <v>144</v>
      </c>
      <c r="AE826" s="31" t="s">
        <v>144</v>
      </c>
      <c r="AF826" s="31" t="s">
        <v>144</v>
      </c>
      <c r="AG826" s="31" t="s">
        <v>144</v>
      </c>
      <c r="AH826" s="31" t="s">
        <v>473</v>
      </c>
      <c r="AI826" s="31" t="s">
        <v>476</v>
      </c>
      <c r="AJ826" s="31" t="s">
        <v>144</v>
      </c>
      <c r="AK826" s="31" t="s">
        <v>144</v>
      </c>
      <c r="AL826" s="31" t="s">
        <v>194</v>
      </c>
      <c r="AM826" s="31" t="s">
        <v>144</v>
      </c>
      <c r="AN826" s="31" t="s">
        <v>163</v>
      </c>
      <c r="AO826" s="31" t="s">
        <v>144</v>
      </c>
      <c r="AP826" s="31"/>
      <c r="AQ826" s="31"/>
      <c r="AR826" s="31"/>
      <c r="AS826" s="31"/>
      <c r="AT826" s="31"/>
      <c r="AU826" s="31"/>
    </row>
    <row r="827" spans="5:47" ht="15" customHeight="1" x14ac:dyDescent="0.25">
      <c r="E827" s="31" t="s">
        <v>1328</v>
      </c>
      <c r="F827" s="31" t="s">
        <v>140</v>
      </c>
      <c r="G827" s="31" t="s">
        <v>374</v>
      </c>
      <c r="H827" s="31" t="s">
        <v>144</v>
      </c>
      <c r="I827" s="31" t="s">
        <v>481</v>
      </c>
      <c r="J827" s="31" t="s">
        <v>699</v>
      </c>
      <c r="K827" s="31" t="s">
        <v>731</v>
      </c>
      <c r="L827" s="31" t="s">
        <v>162</v>
      </c>
      <c r="M827" s="31" t="s">
        <v>144</v>
      </c>
      <c r="N827" s="31" t="s">
        <v>144</v>
      </c>
      <c r="O827" s="31">
        <v>16</v>
      </c>
      <c r="P827" s="31" t="s">
        <v>144</v>
      </c>
      <c r="Q827" s="31" t="s">
        <v>256</v>
      </c>
      <c r="R827" s="31" t="s">
        <v>477</v>
      </c>
      <c r="S827" s="31" t="s">
        <v>144</v>
      </c>
      <c r="T827" s="31" t="s">
        <v>144</v>
      </c>
      <c r="U827" s="31" t="s">
        <v>144</v>
      </c>
      <c r="V827" s="31" t="s">
        <v>144</v>
      </c>
      <c r="W827" s="31" t="s">
        <v>144</v>
      </c>
      <c r="X827" s="31" t="s">
        <v>144</v>
      </c>
      <c r="Y827" s="31" t="s">
        <v>144</v>
      </c>
      <c r="Z827" s="31" t="s">
        <v>144</v>
      </c>
      <c r="AA827" s="31" t="s">
        <v>144</v>
      </c>
      <c r="AB827" s="31" t="s">
        <v>144</v>
      </c>
      <c r="AC827" s="31" t="s">
        <v>144</v>
      </c>
      <c r="AD827" s="31" t="s">
        <v>144</v>
      </c>
      <c r="AE827" s="31" t="s">
        <v>144</v>
      </c>
      <c r="AF827" s="31" t="s">
        <v>144</v>
      </c>
      <c r="AG827" s="31" t="s">
        <v>144</v>
      </c>
      <c r="AH827" s="31" t="s">
        <v>473</v>
      </c>
      <c r="AI827" s="31" t="s">
        <v>476</v>
      </c>
      <c r="AJ827" s="31" t="s">
        <v>144</v>
      </c>
      <c r="AK827" s="31" t="s">
        <v>144</v>
      </c>
      <c r="AL827" s="31" t="s">
        <v>194</v>
      </c>
      <c r="AM827" s="31" t="s">
        <v>144</v>
      </c>
      <c r="AN827" s="31" t="s">
        <v>163</v>
      </c>
      <c r="AO827" s="31" t="s">
        <v>144</v>
      </c>
      <c r="AP827" s="31"/>
      <c r="AQ827" s="31"/>
      <c r="AR827" s="31"/>
      <c r="AS827" s="31"/>
      <c r="AT827" s="31"/>
      <c r="AU827" s="31"/>
    </row>
    <row r="828" spans="5:47" ht="15" customHeight="1" x14ac:dyDescent="0.25">
      <c r="E828" s="31" t="s">
        <v>1328</v>
      </c>
      <c r="F828" s="31" t="s">
        <v>140</v>
      </c>
      <c r="G828" s="31" t="s">
        <v>374</v>
      </c>
      <c r="H828" s="31" t="s">
        <v>144</v>
      </c>
      <c r="I828" s="31" t="s">
        <v>481</v>
      </c>
      <c r="J828" s="31" t="s">
        <v>699</v>
      </c>
      <c r="K828" s="31" t="s">
        <v>732</v>
      </c>
      <c r="L828" s="31" t="s">
        <v>162</v>
      </c>
      <c r="M828" s="31" t="s">
        <v>144</v>
      </c>
      <c r="N828" s="31" t="s">
        <v>144</v>
      </c>
      <c r="O828" s="31">
        <v>16</v>
      </c>
      <c r="P828" s="31" t="s">
        <v>144</v>
      </c>
      <c r="Q828" s="31" t="s">
        <v>256</v>
      </c>
      <c r="R828" s="31" t="s">
        <v>477</v>
      </c>
      <c r="S828" s="31" t="s">
        <v>144</v>
      </c>
      <c r="T828" s="31" t="s">
        <v>144</v>
      </c>
      <c r="U828" s="31" t="s">
        <v>144</v>
      </c>
      <c r="V828" s="31" t="s">
        <v>144</v>
      </c>
      <c r="W828" s="31" t="s">
        <v>144</v>
      </c>
      <c r="X828" s="31" t="s">
        <v>144</v>
      </c>
      <c r="Y828" s="31" t="s">
        <v>144</v>
      </c>
      <c r="Z828" s="31" t="s">
        <v>144</v>
      </c>
      <c r="AA828" s="31" t="s">
        <v>144</v>
      </c>
      <c r="AB828" s="31" t="s">
        <v>144</v>
      </c>
      <c r="AC828" s="31" t="s">
        <v>144</v>
      </c>
      <c r="AD828" s="31" t="s">
        <v>144</v>
      </c>
      <c r="AE828" s="31" t="s">
        <v>144</v>
      </c>
      <c r="AF828" s="31" t="s">
        <v>144</v>
      </c>
      <c r="AG828" s="31" t="s">
        <v>144</v>
      </c>
      <c r="AH828" s="31" t="s">
        <v>473</v>
      </c>
      <c r="AI828" s="31" t="s">
        <v>476</v>
      </c>
      <c r="AJ828" s="31" t="s">
        <v>144</v>
      </c>
      <c r="AK828" s="31" t="s">
        <v>144</v>
      </c>
      <c r="AL828" s="31" t="s">
        <v>194</v>
      </c>
      <c r="AM828" s="31" t="s">
        <v>144</v>
      </c>
      <c r="AN828" s="31" t="s">
        <v>163</v>
      </c>
      <c r="AO828" s="31" t="s">
        <v>144</v>
      </c>
      <c r="AP828" s="31"/>
      <c r="AQ828" s="31"/>
      <c r="AR828" s="31"/>
      <c r="AS828" s="31"/>
      <c r="AT828" s="31"/>
      <c r="AU828" s="31"/>
    </row>
    <row r="829" spans="5:47" ht="15" customHeight="1" x14ac:dyDescent="0.25">
      <c r="E829" s="31" t="s">
        <v>1328</v>
      </c>
      <c r="F829" s="31" t="s">
        <v>140</v>
      </c>
      <c r="G829" s="31" t="s">
        <v>374</v>
      </c>
      <c r="H829" s="31" t="s">
        <v>144</v>
      </c>
      <c r="I829" s="31" t="s">
        <v>481</v>
      </c>
      <c r="J829" s="31" t="s">
        <v>699</v>
      </c>
      <c r="K829" s="31" t="s">
        <v>733</v>
      </c>
      <c r="L829" s="31" t="s">
        <v>162</v>
      </c>
      <c r="M829" s="31" t="s">
        <v>144</v>
      </c>
      <c r="N829" s="31" t="s">
        <v>144</v>
      </c>
      <c r="O829" s="31">
        <v>16</v>
      </c>
      <c r="P829" s="31" t="s">
        <v>144</v>
      </c>
      <c r="Q829" s="31" t="s">
        <v>256</v>
      </c>
      <c r="R829" s="31" t="s">
        <v>477</v>
      </c>
      <c r="S829" s="31" t="s">
        <v>144</v>
      </c>
      <c r="T829" s="31" t="s">
        <v>144</v>
      </c>
      <c r="U829" s="31" t="s">
        <v>144</v>
      </c>
      <c r="V829" s="31" t="s">
        <v>144</v>
      </c>
      <c r="W829" s="31" t="s">
        <v>144</v>
      </c>
      <c r="X829" s="31" t="s">
        <v>144</v>
      </c>
      <c r="Y829" s="31" t="s">
        <v>144</v>
      </c>
      <c r="Z829" s="31" t="s">
        <v>144</v>
      </c>
      <c r="AA829" s="31" t="s">
        <v>144</v>
      </c>
      <c r="AB829" s="31" t="s">
        <v>144</v>
      </c>
      <c r="AC829" s="31" t="s">
        <v>144</v>
      </c>
      <c r="AD829" s="31" t="s">
        <v>144</v>
      </c>
      <c r="AE829" s="31" t="s">
        <v>144</v>
      </c>
      <c r="AF829" s="31" t="s">
        <v>144</v>
      </c>
      <c r="AG829" s="31" t="s">
        <v>144</v>
      </c>
      <c r="AH829" s="31" t="s">
        <v>473</v>
      </c>
      <c r="AI829" s="31" t="s">
        <v>476</v>
      </c>
      <c r="AJ829" s="31" t="s">
        <v>144</v>
      </c>
      <c r="AK829" s="31" t="s">
        <v>144</v>
      </c>
      <c r="AL829" s="31" t="s">
        <v>194</v>
      </c>
      <c r="AM829" s="31" t="s">
        <v>144</v>
      </c>
      <c r="AN829" s="31" t="s">
        <v>163</v>
      </c>
      <c r="AO829" s="31" t="s">
        <v>144</v>
      </c>
      <c r="AP829" s="31"/>
      <c r="AQ829" s="31"/>
      <c r="AR829" s="31"/>
      <c r="AS829" s="31"/>
      <c r="AT829" s="31"/>
      <c r="AU829" s="31"/>
    </row>
    <row r="830" spans="5:47" ht="15" customHeight="1" x14ac:dyDescent="0.25">
      <c r="E830" s="31" t="s">
        <v>1328</v>
      </c>
      <c r="F830" s="31" t="s">
        <v>140</v>
      </c>
      <c r="G830" s="31" t="s">
        <v>374</v>
      </c>
      <c r="H830" s="31" t="s">
        <v>144</v>
      </c>
      <c r="I830" s="31" t="s">
        <v>481</v>
      </c>
      <c r="J830" s="31" t="s">
        <v>699</v>
      </c>
      <c r="K830" s="31" t="s">
        <v>734</v>
      </c>
      <c r="L830" s="31" t="s">
        <v>162</v>
      </c>
      <c r="M830" s="31" t="s">
        <v>144</v>
      </c>
      <c r="N830" s="31" t="s">
        <v>144</v>
      </c>
      <c r="O830" s="31">
        <v>16</v>
      </c>
      <c r="P830" s="31" t="s">
        <v>144</v>
      </c>
      <c r="Q830" s="31" t="s">
        <v>256</v>
      </c>
      <c r="R830" s="31" t="s">
        <v>477</v>
      </c>
      <c r="S830" s="31" t="s">
        <v>144</v>
      </c>
      <c r="T830" s="31" t="s">
        <v>144</v>
      </c>
      <c r="U830" s="31" t="s">
        <v>144</v>
      </c>
      <c r="V830" s="31" t="s">
        <v>144</v>
      </c>
      <c r="W830" s="31" t="s">
        <v>144</v>
      </c>
      <c r="X830" s="31" t="s">
        <v>144</v>
      </c>
      <c r="Y830" s="31" t="s">
        <v>144</v>
      </c>
      <c r="Z830" s="31" t="s">
        <v>144</v>
      </c>
      <c r="AA830" s="31" t="s">
        <v>144</v>
      </c>
      <c r="AB830" s="31" t="s">
        <v>144</v>
      </c>
      <c r="AC830" s="31" t="s">
        <v>144</v>
      </c>
      <c r="AD830" s="31" t="s">
        <v>144</v>
      </c>
      <c r="AE830" s="31" t="s">
        <v>144</v>
      </c>
      <c r="AF830" s="31" t="s">
        <v>144</v>
      </c>
      <c r="AG830" s="31" t="s">
        <v>144</v>
      </c>
      <c r="AH830" s="31" t="s">
        <v>473</v>
      </c>
      <c r="AI830" s="31" t="s">
        <v>476</v>
      </c>
      <c r="AJ830" s="31" t="s">
        <v>144</v>
      </c>
      <c r="AK830" s="31" t="s">
        <v>144</v>
      </c>
      <c r="AL830" s="31" t="s">
        <v>194</v>
      </c>
      <c r="AM830" s="31" t="s">
        <v>144</v>
      </c>
      <c r="AN830" s="31" t="s">
        <v>163</v>
      </c>
      <c r="AO830" s="31" t="s">
        <v>144</v>
      </c>
      <c r="AP830" s="31"/>
      <c r="AQ830" s="31"/>
      <c r="AR830" s="31"/>
      <c r="AS830" s="31"/>
      <c r="AT830" s="31"/>
      <c r="AU830" s="31"/>
    </row>
    <row r="831" spans="5:47" ht="15" customHeight="1" x14ac:dyDescent="0.25">
      <c r="E831" s="31" t="s">
        <v>1328</v>
      </c>
      <c r="F831" s="31" t="s">
        <v>140</v>
      </c>
      <c r="G831" s="31" t="s">
        <v>374</v>
      </c>
      <c r="H831" s="31" t="s">
        <v>144</v>
      </c>
      <c r="I831" s="31" t="s">
        <v>481</v>
      </c>
      <c r="J831" s="31" t="s">
        <v>699</v>
      </c>
      <c r="K831" s="31" t="s">
        <v>735</v>
      </c>
      <c r="L831" s="31" t="s">
        <v>162</v>
      </c>
      <c r="M831" s="31" t="s">
        <v>144</v>
      </c>
      <c r="N831" s="31" t="s">
        <v>144</v>
      </c>
      <c r="O831" s="31">
        <v>16</v>
      </c>
      <c r="P831" s="31" t="s">
        <v>144</v>
      </c>
      <c r="Q831" s="31" t="s">
        <v>256</v>
      </c>
      <c r="R831" s="31" t="s">
        <v>477</v>
      </c>
      <c r="S831" s="31" t="s">
        <v>144</v>
      </c>
      <c r="T831" s="31" t="s">
        <v>144</v>
      </c>
      <c r="U831" s="31" t="s">
        <v>144</v>
      </c>
      <c r="V831" s="31" t="s">
        <v>144</v>
      </c>
      <c r="W831" s="31" t="s">
        <v>144</v>
      </c>
      <c r="X831" s="31" t="s">
        <v>144</v>
      </c>
      <c r="Y831" s="31" t="s">
        <v>144</v>
      </c>
      <c r="Z831" s="31" t="s">
        <v>144</v>
      </c>
      <c r="AA831" s="31" t="s">
        <v>144</v>
      </c>
      <c r="AB831" s="31" t="s">
        <v>144</v>
      </c>
      <c r="AC831" s="31" t="s">
        <v>144</v>
      </c>
      <c r="AD831" s="31" t="s">
        <v>144</v>
      </c>
      <c r="AE831" s="31" t="s">
        <v>144</v>
      </c>
      <c r="AF831" s="31" t="s">
        <v>144</v>
      </c>
      <c r="AG831" s="31" t="s">
        <v>144</v>
      </c>
      <c r="AH831" s="31" t="s">
        <v>473</v>
      </c>
      <c r="AI831" s="31" t="s">
        <v>476</v>
      </c>
      <c r="AJ831" s="31" t="s">
        <v>144</v>
      </c>
      <c r="AK831" s="31" t="s">
        <v>144</v>
      </c>
      <c r="AL831" s="31" t="s">
        <v>194</v>
      </c>
      <c r="AM831" s="31" t="s">
        <v>144</v>
      </c>
      <c r="AN831" s="31" t="s">
        <v>163</v>
      </c>
      <c r="AO831" s="31" t="s">
        <v>144</v>
      </c>
      <c r="AP831" s="31"/>
      <c r="AQ831" s="31"/>
      <c r="AR831" s="31"/>
      <c r="AS831" s="31"/>
      <c r="AT831" s="31"/>
      <c r="AU831" s="31"/>
    </row>
    <row r="832" spans="5:47" ht="15" customHeight="1" x14ac:dyDescent="0.25">
      <c r="E832" s="31" t="s">
        <v>1328</v>
      </c>
      <c r="F832" s="31" t="s">
        <v>140</v>
      </c>
      <c r="G832" s="31" t="s">
        <v>374</v>
      </c>
      <c r="H832" s="31" t="s">
        <v>144</v>
      </c>
      <c r="I832" s="31" t="s">
        <v>481</v>
      </c>
      <c r="J832" s="31" t="s">
        <v>699</v>
      </c>
      <c r="K832" s="31" t="s">
        <v>736</v>
      </c>
      <c r="L832" s="31" t="s">
        <v>162</v>
      </c>
      <c r="M832" s="31" t="s">
        <v>144</v>
      </c>
      <c r="N832" s="31" t="s">
        <v>144</v>
      </c>
      <c r="O832" s="31">
        <v>16</v>
      </c>
      <c r="P832" s="31" t="s">
        <v>144</v>
      </c>
      <c r="Q832" s="31" t="s">
        <v>256</v>
      </c>
      <c r="R832" s="31" t="s">
        <v>477</v>
      </c>
      <c r="S832" s="31" t="s">
        <v>144</v>
      </c>
      <c r="T832" s="31" t="s">
        <v>144</v>
      </c>
      <c r="U832" s="31" t="s">
        <v>144</v>
      </c>
      <c r="V832" s="31" t="s">
        <v>144</v>
      </c>
      <c r="W832" s="31" t="s">
        <v>144</v>
      </c>
      <c r="X832" s="31" t="s">
        <v>144</v>
      </c>
      <c r="Y832" s="31" t="s">
        <v>144</v>
      </c>
      <c r="Z832" s="31" t="s">
        <v>144</v>
      </c>
      <c r="AA832" s="31" t="s">
        <v>144</v>
      </c>
      <c r="AB832" s="31" t="s">
        <v>144</v>
      </c>
      <c r="AC832" s="31" t="s">
        <v>144</v>
      </c>
      <c r="AD832" s="31" t="s">
        <v>144</v>
      </c>
      <c r="AE832" s="31" t="s">
        <v>144</v>
      </c>
      <c r="AF832" s="31" t="s">
        <v>144</v>
      </c>
      <c r="AG832" s="31" t="s">
        <v>144</v>
      </c>
      <c r="AH832" s="31" t="s">
        <v>473</v>
      </c>
      <c r="AI832" s="31" t="s">
        <v>476</v>
      </c>
      <c r="AJ832" s="31" t="s">
        <v>144</v>
      </c>
      <c r="AK832" s="31" t="s">
        <v>144</v>
      </c>
      <c r="AL832" s="31" t="s">
        <v>194</v>
      </c>
      <c r="AM832" s="31" t="s">
        <v>144</v>
      </c>
      <c r="AN832" s="31" t="s">
        <v>163</v>
      </c>
      <c r="AO832" s="31" t="s">
        <v>144</v>
      </c>
      <c r="AP832" s="31"/>
      <c r="AQ832" s="31"/>
      <c r="AR832" s="31"/>
      <c r="AS832" s="31"/>
      <c r="AT832" s="31"/>
      <c r="AU832" s="31"/>
    </row>
    <row r="833" spans="5:47" ht="15" customHeight="1" x14ac:dyDescent="0.25">
      <c r="E833" s="31" t="s">
        <v>1328</v>
      </c>
      <c r="F833" s="31" t="s">
        <v>140</v>
      </c>
      <c r="G833" s="31" t="s">
        <v>374</v>
      </c>
      <c r="H833" s="31" t="s">
        <v>144</v>
      </c>
      <c r="I833" s="31" t="s">
        <v>481</v>
      </c>
      <c r="J833" s="31" t="s">
        <v>699</v>
      </c>
      <c r="K833" s="31" t="s">
        <v>737</v>
      </c>
      <c r="L833" s="31" t="s">
        <v>162</v>
      </c>
      <c r="M833" s="31" t="s">
        <v>144</v>
      </c>
      <c r="N833" s="31" t="s">
        <v>144</v>
      </c>
      <c r="O833" s="31">
        <v>16</v>
      </c>
      <c r="P833" s="31" t="s">
        <v>144</v>
      </c>
      <c r="Q833" s="31" t="s">
        <v>256</v>
      </c>
      <c r="R833" s="31" t="s">
        <v>477</v>
      </c>
      <c r="S833" s="31" t="s">
        <v>144</v>
      </c>
      <c r="T833" s="31" t="s">
        <v>144</v>
      </c>
      <c r="U833" s="31" t="s">
        <v>144</v>
      </c>
      <c r="V833" s="31" t="s">
        <v>144</v>
      </c>
      <c r="W833" s="31" t="s">
        <v>144</v>
      </c>
      <c r="X833" s="31" t="s">
        <v>144</v>
      </c>
      <c r="Y833" s="31" t="s">
        <v>144</v>
      </c>
      <c r="Z833" s="31" t="s">
        <v>144</v>
      </c>
      <c r="AA833" s="31" t="s">
        <v>144</v>
      </c>
      <c r="AB833" s="31" t="s">
        <v>144</v>
      </c>
      <c r="AC833" s="31" t="s">
        <v>144</v>
      </c>
      <c r="AD833" s="31" t="s">
        <v>144</v>
      </c>
      <c r="AE833" s="31" t="s">
        <v>144</v>
      </c>
      <c r="AF833" s="31" t="s">
        <v>144</v>
      </c>
      <c r="AG833" s="31" t="s">
        <v>144</v>
      </c>
      <c r="AH833" s="31" t="s">
        <v>473</v>
      </c>
      <c r="AI833" s="31" t="s">
        <v>476</v>
      </c>
      <c r="AJ833" s="31" t="s">
        <v>144</v>
      </c>
      <c r="AK833" s="31" t="s">
        <v>144</v>
      </c>
      <c r="AL833" s="31" t="s">
        <v>194</v>
      </c>
      <c r="AM833" s="31" t="s">
        <v>144</v>
      </c>
      <c r="AN833" s="31" t="s">
        <v>163</v>
      </c>
      <c r="AO833" s="31" t="s">
        <v>144</v>
      </c>
      <c r="AP833" s="31"/>
      <c r="AQ833" s="31"/>
      <c r="AR833" s="31"/>
      <c r="AS833" s="31"/>
      <c r="AT833" s="31"/>
      <c r="AU833" s="31"/>
    </row>
    <row r="834" spans="5:47" ht="15" customHeight="1" x14ac:dyDescent="0.25">
      <c r="E834" s="31" t="s">
        <v>1328</v>
      </c>
      <c r="F834" s="31" t="s">
        <v>140</v>
      </c>
      <c r="G834" s="31" t="s">
        <v>374</v>
      </c>
      <c r="H834" s="31" t="s">
        <v>144</v>
      </c>
      <c r="I834" s="31" t="s">
        <v>481</v>
      </c>
      <c r="J834" s="31" t="s">
        <v>699</v>
      </c>
      <c r="K834" s="31" t="s">
        <v>738</v>
      </c>
      <c r="L834" s="31" t="s">
        <v>162</v>
      </c>
      <c r="M834" s="31" t="s">
        <v>144</v>
      </c>
      <c r="N834" s="31" t="s">
        <v>144</v>
      </c>
      <c r="O834" s="31">
        <v>16</v>
      </c>
      <c r="P834" s="31" t="s">
        <v>144</v>
      </c>
      <c r="Q834" s="31" t="s">
        <v>256</v>
      </c>
      <c r="R834" s="31" t="s">
        <v>477</v>
      </c>
      <c r="S834" s="31" t="s">
        <v>144</v>
      </c>
      <c r="T834" s="31" t="s">
        <v>144</v>
      </c>
      <c r="U834" s="31" t="s">
        <v>144</v>
      </c>
      <c r="V834" s="31" t="s">
        <v>144</v>
      </c>
      <c r="W834" s="31" t="s">
        <v>144</v>
      </c>
      <c r="X834" s="31" t="s">
        <v>144</v>
      </c>
      <c r="Y834" s="31" t="s">
        <v>144</v>
      </c>
      <c r="Z834" s="31" t="s">
        <v>144</v>
      </c>
      <c r="AA834" s="31" t="s">
        <v>144</v>
      </c>
      <c r="AB834" s="31" t="s">
        <v>144</v>
      </c>
      <c r="AC834" s="31" t="s">
        <v>144</v>
      </c>
      <c r="AD834" s="31" t="s">
        <v>144</v>
      </c>
      <c r="AE834" s="31" t="s">
        <v>144</v>
      </c>
      <c r="AF834" s="31" t="s">
        <v>144</v>
      </c>
      <c r="AG834" s="31" t="s">
        <v>144</v>
      </c>
      <c r="AH834" s="31" t="s">
        <v>473</v>
      </c>
      <c r="AI834" s="31" t="s">
        <v>476</v>
      </c>
      <c r="AJ834" s="31" t="s">
        <v>144</v>
      </c>
      <c r="AK834" s="31" t="s">
        <v>144</v>
      </c>
      <c r="AL834" s="31" t="s">
        <v>194</v>
      </c>
      <c r="AM834" s="31" t="s">
        <v>144</v>
      </c>
      <c r="AN834" s="31" t="s">
        <v>163</v>
      </c>
      <c r="AO834" s="31" t="s">
        <v>144</v>
      </c>
      <c r="AP834" s="31"/>
      <c r="AQ834" s="31"/>
      <c r="AR834" s="31"/>
      <c r="AS834" s="31"/>
      <c r="AT834" s="31"/>
      <c r="AU834" s="31"/>
    </row>
    <row r="835" spans="5:47" ht="15" customHeight="1" x14ac:dyDescent="0.25">
      <c r="E835" s="31" t="s">
        <v>1328</v>
      </c>
      <c r="F835" s="31" t="s">
        <v>140</v>
      </c>
      <c r="G835" s="31" t="s">
        <v>374</v>
      </c>
      <c r="H835" s="31" t="s">
        <v>144</v>
      </c>
      <c r="I835" s="31" t="s">
        <v>481</v>
      </c>
      <c r="J835" s="31" t="s">
        <v>699</v>
      </c>
      <c r="K835" s="31" t="s">
        <v>739</v>
      </c>
      <c r="L835" s="31" t="s">
        <v>162</v>
      </c>
      <c r="M835" s="31" t="s">
        <v>144</v>
      </c>
      <c r="N835" s="31" t="s">
        <v>144</v>
      </c>
      <c r="O835" s="31">
        <v>16</v>
      </c>
      <c r="P835" s="31" t="s">
        <v>144</v>
      </c>
      <c r="Q835" s="31" t="s">
        <v>256</v>
      </c>
      <c r="R835" s="31" t="s">
        <v>477</v>
      </c>
      <c r="S835" s="31" t="s">
        <v>144</v>
      </c>
      <c r="T835" s="31" t="s">
        <v>144</v>
      </c>
      <c r="U835" s="31" t="s">
        <v>144</v>
      </c>
      <c r="V835" s="31" t="s">
        <v>144</v>
      </c>
      <c r="W835" s="31" t="s">
        <v>144</v>
      </c>
      <c r="X835" s="31" t="s">
        <v>144</v>
      </c>
      <c r="Y835" s="31" t="s">
        <v>144</v>
      </c>
      <c r="Z835" s="31" t="s">
        <v>144</v>
      </c>
      <c r="AA835" s="31" t="s">
        <v>144</v>
      </c>
      <c r="AB835" s="31" t="s">
        <v>144</v>
      </c>
      <c r="AC835" s="31" t="s">
        <v>144</v>
      </c>
      <c r="AD835" s="31" t="s">
        <v>144</v>
      </c>
      <c r="AE835" s="31" t="s">
        <v>144</v>
      </c>
      <c r="AF835" s="31" t="s">
        <v>144</v>
      </c>
      <c r="AG835" s="31" t="s">
        <v>144</v>
      </c>
      <c r="AH835" s="31" t="s">
        <v>473</v>
      </c>
      <c r="AI835" s="31" t="s">
        <v>476</v>
      </c>
      <c r="AJ835" s="31" t="s">
        <v>144</v>
      </c>
      <c r="AK835" s="31" t="s">
        <v>144</v>
      </c>
      <c r="AL835" s="31" t="s">
        <v>194</v>
      </c>
      <c r="AM835" s="31" t="s">
        <v>144</v>
      </c>
      <c r="AN835" s="31" t="s">
        <v>163</v>
      </c>
      <c r="AO835" s="31" t="s">
        <v>144</v>
      </c>
      <c r="AP835" s="31"/>
      <c r="AQ835" s="31"/>
      <c r="AR835" s="31"/>
      <c r="AS835" s="31"/>
      <c r="AT835" s="31"/>
      <c r="AU835" s="31"/>
    </row>
    <row r="836" spans="5:47" ht="15" customHeight="1" x14ac:dyDescent="0.25">
      <c r="E836" s="31" t="s">
        <v>1328</v>
      </c>
      <c r="F836" s="31" t="s">
        <v>140</v>
      </c>
      <c r="G836" s="31" t="s">
        <v>374</v>
      </c>
      <c r="H836" s="31" t="s">
        <v>144</v>
      </c>
      <c r="I836" s="31" t="s">
        <v>481</v>
      </c>
      <c r="J836" s="31" t="s">
        <v>699</v>
      </c>
      <c r="K836" s="31" t="s">
        <v>740</v>
      </c>
      <c r="L836" s="31" t="s">
        <v>162</v>
      </c>
      <c r="M836" s="31" t="s">
        <v>144</v>
      </c>
      <c r="N836" s="31" t="s">
        <v>144</v>
      </c>
      <c r="O836" s="31">
        <v>16</v>
      </c>
      <c r="P836" s="31" t="s">
        <v>144</v>
      </c>
      <c r="Q836" s="31" t="s">
        <v>256</v>
      </c>
      <c r="R836" s="31" t="s">
        <v>477</v>
      </c>
      <c r="S836" s="31" t="s">
        <v>144</v>
      </c>
      <c r="T836" s="31" t="s">
        <v>144</v>
      </c>
      <c r="U836" s="31" t="s">
        <v>144</v>
      </c>
      <c r="V836" s="31" t="s">
        <v>144</v>
      </c>
      <c r="W836" s="31" t="s">
        <v>144</v>
      </c>
      <c r="X836" s="31" t="s">
        <v>144</v>
      </c>
      <c r="Y836" s="31" t="s">
        <v>144</v>
      </c>
      <c r="Z836" s="31" t="s">
        <v>144</v>
      </c>
      <c r="AA836" s="31" t="s">
        <v>144</v>
      </c>
      <c r="AB836" s="31" t="s">
        <v>144</v>
      </c>
      <c r="AC836" s="31" t="s">
        <v>144</v>
      </c>
      <c r="AD836" s="31" t="s">
        <v>144</v>
      </c>
      <c r="AE836" s="31" t="s">
        <v>144</v>
      </c>
      <c r="AF836" s="31" t="s">
        <v>144</v>
      </c>
      <c r="AG836" s="31" t="s">
        <v>144</v>
      </c>
      <c r="AH836" s="31" t="s">
        <v>473</v>
      </c>
      <c r="AI836" s="31" t="s">
        <v>476</v>
      </c>
      <c r="AJ836" s="31" t="s">
        <v>144</v>
      </c>
      <c r="AK836" s="31" t="s">
        <v>144</v>
      </c>
      <c r="AL836" s="31" t="s">
        <v>194</v>
      </c>
      <c r="AM836" s="31" t="s">
        <v>144</v>
      </c>
      <c r="AN836" s="31" t="s">
        <v>163</v>
      </c>
      <c r="AO836" s="31" t="s">
        <v>144</v>
      </c>
      <c r="AP836" s="31"/>
      <c r="AQ836" s="31"/>
      <c r="AR836" s="31"/>
      <c r="AS836" s="31"/>
      <c r="AT836" s="31"/>
      <c r="AU836" s="31"/>
    </row>
    <row r="837" spans="5:47" ht="15" customHeight="1" x14ac:dyDescent="0.25">
      <c r="E837" s="31" t="s">
        <v>1328</v>
      </c>
      <c r="F837" s="31" t="s">
        <v>140</v>
      </c>
      <c r="G837" s="31" t="s">
        <v>374</v>
      </c>
      <c r="H837" s="31" t="s">
        <v>144</v>
      </c>
      <c r="I837" s="31" t="s">
        <v>481</v>
      </c>
      <c r="J837" s="31" t="s">
        <v>699</v>
      </c>
      <c r="K837" s="31" t="s">
        <v>741</v>
      </c>
      <c r="L837" s="31" t="s">
        <v>162</v>
      </c>
      <c r="M837" s="31" t="s">
        <v>144</v>
      </c>
      <c r="N837" s="31" t="s">
        <v>144</v>
      </c>
      <c r="O837" s="31">
        <v>16</v>
      </c>
      <c r="P837" s="31" t="s">
        <v>144</v>
      </c>
      <c r="Q837" s="31" t="s">
        <v>256</v>
      </c>
      <c r="R837" s="31" t="s">
        <v>477</v>
      </c>
      <c r="S837" s="31" t="s">
        <v>144</v>
      </c>
      <c r="T837" s="31" t="s">
        <v>144</v>
      </c>
      <c r="U837" s="31" t="s">
        <v>144</v>
      </c>
      <c r="V837" s="31" t="s">
        <v>144</v>
      </c>
      <c r="W837" s="31" t="s">
        <v>144</v>
      </c>
      <c r="X837" s="31" t="s">
        <v>144</v>
      </c>
      <c r="Y837" s="31" t="s">
        <v>144</v>
      </c>
      <c r="Z837" s="31" t="s">
        <v>144</v>
      </c>
      <c r="AA837" s="31" t="s">
        <v>144</v>
      </c>
      <c r="AB837" s="31" t="s">
        <v>144</v>
      </c>
      <c r="AC837" s="31" t="s">
        <v>144</v>
      </c>
      <c r="AD837" s="31" t="s">
        <v>144</v>
      </c>
      <c r="AE837" s="31" t="s">
        <v>144</v>
      </c>
      <c r="AF837" s="31" t="s">
        <v>144</v>
      </c>
      <c r="AG837" s="31" t="s">
        <v>144</v>
      </c>
      <c r="AH837" s="31" t="s">
        <v>473</v>
      </c>
      <c r="AI837" s="31" t="s">
        <v>476</v>
      </c>
      <c r="AJ837" s="31" t="s">
        <v>144</v>
      </c>
      <c r="AK837" s="31" t="s">
        <v>144</v>
      </c>
      <c r="AL837" s="31" t="s">
        <v>194</v>
      </c>
      <c r="AM837" s="31" t="s">
        <v>144</v>
      </c>
      <c r="AN837" s="31" t="s">
        <v>163</v>
      </c>
      <c r="AO837" s="31" t="s">
        <v>144</v>
      </c>
      <c r="AP837" s="31"/>
      <c r="AQ837" s="31"/>
      <c r="AR837" s="31"/>
      <c r="AS837" s="31"/>
      <c r="AT837" s="31"/>
      <c r="AU837" s="31"/>
    </row>
    <row r="838" spans="5:47" ht="15" customHeight="1" x14ac:dyDescent="0.25">
      <c r="E838" s="31" t="s">
        <v>1328</v>
      </c>
      <c r="F838" s="31" t="s">
        <v>140</v>
      </c>
      <c r="G838" s="31" t="s">
        <v>374</v>
      </c>
      <c r="H838" s="31" t="s">
        <v>144</v>
      </c>
      <c r="I838" s="31" t="s">
        <v>481</v>
      </c>
      <c r="J838" s="31" t="s">
        <v>699</v>
      </c>
      <c r="K838" s="31" t="s">
        <v>742</v>
      </c>
      <c r="L838" s="31" t="s">
        <v>162</v>
      </c>
      <c r="M838" s="31" t="s">
        <v>144</v>
      </c>
      <c r="N838" s="31" t="s">
        <v>144</v>
      </c>
      <c r="O838" s="31">
        <v>16</v>
      </c>
      <c r="P838" s="31" t="s">
        <v>144</v>
      </c>
      <c r="Q838" s="31" t="s">
        <v>256</v>
      </c>
      <c r="R838" s="31" t="s">
        <v>477</v>
      </c>
      <c r="S838" s="31" t="s">
        <v>144</v>
      </c>
      <c r="T838" s="31" t="s">
        <v>144</v>
      </c>
      <c r="U838" s="31" t="s">
        <v>144</v>
      </c>
      <c r="V838" s="31" t="s">
        <v>144</v>
      </c>
      <c r="W838" s="31" t="s">
        <v>144</v>
      </c>
      <c r="X838" s="31" t="s">
        <v>144</v>
      </c>
      <c r="Y838" s="31" t="s">
        <v>144</v>
      </c>
      <c r="Z838" s="31" t="s">
        <v>144</v>
      </c>
      <c r="AA838" s="31" t="s">
        <v>144</v>
      </c>
      <c r="AB838" s="31" t="s">
        <v>144</v>
      </c>
      <c r="AC838" s="31" t="s">
        <v>144</v>
      </c>
      <c r="AD838" s="31" t="s">
        <v>144</v>
      </c>
      <c r="AE838" s="31" t="s">
        <v>144</v>
      </c>
      <c r="AF838" s="31" t="s">
        <v>144</v>
      </c>
      <c r="AG838" s="31" t="s">
        <v>144</v>
      </c>
      <c r="AH838" s="31" t="s">
        <v>473</v>
      </c>
      <c r="AI838" s="31" t="s">
        <v>476</v>
      </c>
      <c r="AJ838" s="31" t="s">
        <v>144</v>
      </c>
      <c r="AK838" s="31" t="s">
        <v>144</v>
      </c>
      <c r="AL838" s="31" t="s">
        <v>194</v>
      </c>
      <c r="AM838" s="31" t="s">
        <v>144</v>
      </c>
      <c r="AN838" s="31" t="s">
        <v>163</v>
      </c>
      <c r="AO838" s="31" t="s">
        <v>144</v>
      </c>
      <c r="AP838" s="31"/>
      <c r="AQ838" s="31"/>
      <c r="AR838" s="31"/>
      <c r="AS838" s="31"/>
      <c r="AT838" s="31"/>
      <c r="AU838" s="31"/>
    </row>
    <row r="839" spans="5:47" ht="15" customHeight="1" x14ac:dyDescent="0.25">
      <c r="E839" s="31" t="s">
        <v>1328</v>
      </c>
      <c r="F839" s="31" t="s">
        <v>140</v>
      </c>
      <c r="G839" s="31" t="s">
        <v>374</v>
      </c>
      <c r="H839" s="31" t="s">
        <v>144</v>
      </c>
      <c r="I839" s="31" t="s">
        <v>481</v>
      </c>
      <c r="J839" s="31" t="s">
        <v>699</v>
      </c>
      <c r="K839" s="31" t="s">
        <v>743</v>
      </c>
      <c r="L839" s="31" t="s">
        <v>162</v>
      </c>
      <c r="M839" s="31" t="s">
        <v>144</v>
      </c>
      <c r="N839" s="31" t="s">
        <v>144</v>
      </c>
      <c r="O839" s="31">
        <v>16</v>
      </c>
      <c r="P839" s="31" t="s">
        <v>144</v>
      </c>
      <c r="Q839" s="31" t="s">
        <v>256</v>
      </c>
      <c r="R839" s="31" t="s">
        <v>477</v>
      </c>
      <c r="S839" s="31" t="s">
        <v>144</v>
      </c>
      <c r="T839" s="31" t="s">
        <v>144</v>
      </c>
      <c r="U839" s="31" t="s">
        <v>144</v>
      </c>
      <c r="V839" s="31" t="s">
        <v>144</v>
      </c>
      <c r="W839" s="31" t="s">
        <v>144</v>
      </c>
      <c r="X839" s="31" t="s">
        <v>144</v>
      </c>
      <c r="Y839" s="31" t="s">
        <v>144</v>
      </c>
      <c r="Z839" s="31" t="s">
        <v>144</v>
      </c>
      <c r="AA839" s="31" t="s">
        <v>144</v>
      </c>
      <c r="AB839" s="31" t="s">
        <v>144</v>
      </c>
      <c r="AC839" s="31" t="s">
        <v>144</v>
      </c>
      <c r="AD839" s="31" t="s">
        <v>144</v>
      </c>
      <c r="AE839" s="31" t="s">
        <v>144</v>
      </c>
      <c r="AF839" s="31" t="s">
        <v>144</v>
      </c>
      <c r="AG839" s="31" t="s">
        <v>144</v>
      </c>
      <c r="AH839" s="31" t="s">
        <v>473</v>
      </c>
      <c r="AI839" s="31" t="s">
        <v>476</v>
      </c>
      <c r="AJ839" s="31" t="s">
        <v>144</v>
      </c>
      <c r="AK839" s="31" t="s">
        <v>144</v>
      </c>
      <c r="AL839" s="31" t="s">
        <v>194</v>
      </c>
      <c r="AM839" s="31" t="s">
        <v>144</v>
      </c>
      <c r="AN839" s="31" t="s">
        <v>163</v>
      </c>
      <c r="AO839" s="31" t="s">
        <v>144</v>
      </c>
      <c r="AP839" s="31"/>
      <c r="AQ839" s="31"/>
      <c r="AR839" s="31"/>
      <c r="AS839" s="31"/>
      <c r="AT839" s="31"/>
      <c r="AU839" s="31"/>
    </row>
    <row r="840" spans="5:47" ht="15" customHeight="1" x14ac:dyDescent="0.25">
      <c r="E840" s="31" t="s">
        <v>1328</v>
      </c>
      <c r="F840" s="31" t="s">
        <v>140</v>
      </c>
      <c r="G840" s="31" t="s">
        <v>374</v>
      </c>
      <c r="H840" s="31" t="s">
        <v>144</v>
      </c>
      <c r="I840" s="31" t="s">
        <v>481</v>
      </c>
      <c r="J840" s="31" t="s">
        <v>699</v>
      </c>
      <c r="K840" s="31" t="s">
        <v>744</v>
      </c>
      <c r="L840" s="31" t="s">
        <v>162</v>
      </c>
      <c r="M840" s="31" t="s">
        <v>144</v>
      </c>
      <c r="N840" s="31" t="s">
        <v>144</v>
      </c>
      <c r="O840" s="31">
        <v>16</v>
      </c>
      <c r="P840" s="31" t="s">
        <v>144</v>
      </c>
      <c r="Q840" s="31" t="s">
        <v>256</v>
      </c>
      <c r="R840" s="31" t="s">
        <v>477</v>
      </c>
      <c r="S840" s="31" t="s">
        <v>144</v>
      </c>
      <c r="T840" s="31" t="s">
        <v>144</v>
      </c>
      <c r="U840" s="31" t="s">
        <v>144</v>
      </c>
      <c r="V840" s="31" t="s">
        <v>144</v>
      </c>
      <c r="W840" s="31" t="s">
        <v>144</v>
      </c>
      <c r="X840" s="31" t="s">
        <v>144</v>
      </c>
      <c r="Y840" s="31" t="s">
        <v>144</v>
      </c>
      <c r="Z840" s="31" t="s">
        <v>144</v>
      </c>
      <c r="AA840" s="31" t="s">
        <v>144</v>
      </c>
      <c r="AB840" s="31" t="s">
        <v>144</v>
      </c>
      <c r="AC840" s="31" t="s">
        <v>144</v>
      </c>
      <c r="AD840" s="31" t="s">
        <v>144</v>
      </c>
      <c r="AE840" s="31" t="s">
        <v>144</v>
      </c>
      <c r="AF840" s="31" t="s">
        <v>144</v>
      </c>
      <c r="AG840" s="31" t="s">
        <v>144</v>
      </c>
      <c r="AH840" s="31" t="s">
        <v>473</v>
      </c>
      <c r="AI840" s="31" t="s">
        <v>476</v>
      </c>
      <c r="AJ840" s="31" t="s">
        <v>144</v>
      </c>
      <c r="AK840" s="31" t="s">
        <v>144</v>
      </c>
      <c r="AL840" s="31" t="s">
        <v>194</v>
      </c>
      <c r="AM840" s="31" t="s">
        <v>144</v>
      </c>
      <c r="AN840" s="31" t="s">
        <v>163</v>
      </c>
      <c r="AO840" s="31" t="s">
        <v>144</v>
      </c>
      <c r="AP840" s="31"/>
      <c r="AQ840" s="31"/>
      <c r="AR840" s="31"/>
      <c r="AS840" s="31"/>
      <c r="AT840" s="31"/>
      <c r="AU840" s="31"/>
    </row>
    <row r="841" spans="5:47" ht="15" customHeight="1" x14ac:dyDescent="0.25">
      <c r="E841" s="31" t="s">
        <v>1328</v>
      </c>
      <c r="F841" s="31" t="s">
        <v>140</v>
      </c>
      <c r="G841" s="31" t="s">
        <v>374</v>
      </c>
      <c r="H841" s="31" t="s">
        <v>144</v>
      </c>
      <c r="I841" s="31" t="s">
        <v>481</v>
      </c>
      <c r="J841" s="31" t="s">
        <v>699</v>
      </c>
      <c r="K841" s="31" t="s">
        <v>745</v>
      </c>
      <c r="L841" s="31" t="s">
        <v>162</v>
      </c>
      <c r="M841" s="31" t="s">
        <v>144</v>
      </c>
      <c r="N841" s="31" t="s">
        <v>144</v>
      </c>
      <c r="O841" s="31">
        <v>16</v>
      </c>
      <c r="P841" s="31" t="s">
        <v>144</v>
      </c>
      <c r="Q841" s="31" t="s">
        <v>256</v>
      </c>
      <c r="R841" s="31" t="s">
        <v>477</v>
      </c>
      <c r="S841" s="31" t="s">
        <v>144</v>
      </c>
      <c r="T841" s="31" t="s">
        <v>144</v>
      </c>
      <c r="U841" s="31" t="s">
        <v>144</v>
      </c>
      <c r="V841" s="31" t="s">
        <v>144</v>
      </c>
      <c r="W841" s="31" t="s">
        <v>144</v>
      </c>
      <c r="X841" s="31" t="s">
        <v>144</v>
      </c>
      <c r="Y841" s="31" t="s">
        <v>144</v>
      </c>
      <c r="Z841" s="31" t="s">
        <v>144</v>
      </c>
      <c r="AA841" s="31" t="s">
        <v>144</v>
      </c>
      <c r="AB841" s="31" t="s">
        <v>144</v>
      </c>
      <c r="AC841" s="31" t="s">
        <v>144</v>
      </c>
      <c r="AD841" s="31" t="s">
        <v>144</v>
      </c>
      <c r="AE841" s="31" t="s">
        <v>144</v>
      </c>
      <c r="AF841" s="31" t="s">
        <v>144</v>
      </c>
      <c r="AG841" s="31" t="s">
        <v>144</v>
      </c>
      <c r="AH841" s="31" t="s">
        <v>473</v>
      </c>
      <c r="AI841" s="31" t="s">
        <v>476</v>
      </c>
      <c r="AJ841" s="31" t="s">
        <v>144</v>
      </c>
      <c r="AK841" s="31" t="s">
        <v>144</v>
      </c>
      <c r="AL841" s="31" t="s">
        <v>194</v>
      </c>
      <c r="AM841" s="31" t="s">
        <v>144</v>
      </c>
      <c r="AN841" s="31" t="s">
        <v>163</v>
      </c>
      <c r="AO841" s="31" t="s">
        <v>144</v>
      </c>
      <c r="AP841" s="31"/>
      <c r="AQ841" s="31"/>
      <c r="AR841" s="31"/>
      <c r="AS841" s="31"/>
      <c r="AT841" s="31"/>
      <c r="AU841" s="31"/>
    </row>
    <row r="842" spans="5:47" ht="15" customHeight="1" x14ac:dyDescent="0.25">
      <c r="E842" s="31" t="s">
        <v>1328</v>
      </c>
      <c r="F842" s="31" t="s">
        <v>140</v>
      </c>
      <c r="G842" s="31" t="s">
        <v>374</v>
      </c>
      <c r="H842" s="31" t="s">
        <v>144</v>
      </c>
      <c r="I842" s="31" t="s">
        <v>481</v>
      </c>
      <c r="J842" s="31" t="s">
        <v>699</v>
      </c>
      <c r="K842" s="31" t="s">
        <v>746</v>
      </c>
      <c r="L842" s="31" t="s">
        <v>162</v>
      </c>
      <c r="M842" s="31" t="s">
        <v>144</v>
      </c>
      <c r="N842" s="31" t="s">
        <v>144</v>
      </c>
      <c r="O842" s="31">
        <v>16</v>
      </c>
      <c r="P842" s="31" t="s">
        <v>144</v>
      </c>
      <c r="Q842" s="31" t="s">
        <v>256</v>
      </c>
      <c r="R842" s="31" t="s">
        <v>477</v>
      </c>
      <c r="S842" s="31" t="s">
        <v>144</v>
      </c>
      <c r="T842" s="31" t="s">
        <v>144</v>
      </c>
      <c r="U842" s="31" t="s">
        <v>144</v>
      </c>
      <c r="V842" s="31" t="s">
        <v>144</v>
      </c>
      <c r="W842" s="31" t="s">
        <v>144</v>
      </c>
      <c r="X842" s="31" t="s">
        <v>144</v>
      </c>
      <c r="Y842" s="31" t="s">
        <v>144</v>
      </c>
      <c r="Z842" s="31" t="s">
        <v>144</v>
      </c>
      <c r="AA842" s="31" t="s">
        <v>144</v>
      </c>
      <c r="AB842" s="31" t="s">
        <v>144</v>
      </c>
      <c r="AC842" s="31" t="s">
        <v>144</v>
      </c>
      <c r="AD842" s="31" t="s">
        <v>144</v>
      </c>
      <c r="AE842" s="31" t="s">
        <v>144</v>
      </c>
      <c r="AF842" s="31" t="s">
        <v>144</v>
      </c>
      <c r="AG842" s="31" t="s">
        <v>144</v>
      </c>
      <c r="AH842" s="31" t="s">
        <v>473</v>
      </c>
      <c r="AI842" s="31" t="s">
        <v>476</v>
      </c>
      <c r="AJ842" s="31" t="s">
        <v>144</v>
      </c>
      <c r="AK842" s="31" t="s">
        <v>144</v>
      </c>
      <c r="AL842" s="31" t="s">
        <v>194</v>
      </c>
      <c r="AM842" s="31" t="s">
        <v>144</v>
      </c>
      <c r="AN842" s="31" t="s">
        <v>163</v>
      </c>
      <c r="AO842" s="31" t="s">
        <v>144</v>
      </c>
      <c r="AP842" s="31"/>
      <c r="AQ842" s="31"/>
      <c r="AR842" s="31"/>
      <c r="AS842" s="31"/>
      <c r="AT842" s="31"/>
      <c r="AU842" s="31"/>
    </row>
    <row r="843" spans="5:47" ht="15" customHeight="1" x14ac:dyDescent="0.25">
      <c r="E843" s="31" t="s">
        <v>1328</v>
      </c>
      <c r="F843" s="31" t="s">
        <v>140</v>
      </c>
      <c r="G843" s="31" t="s">
        <v>374</v>
      </c>
      <c r="H843" s="31" t="s">
        <v>144</v>
      </c>
      <c r="I843" s="31" t="s">
        <v>481</v>
      </c>
      <c r="J843" s="31" t="s">
        <v>699</v>
      </c>
      <c r="K843" s="31" t="s">
        <v>747</v>
      </c>
      <c r="L843" s="31" t="s">
        <v>162</v>
      </c>
      <c r="M843" s="31" t="s">
        <v>144</v>
      </c>
      <c r="N843" s="31" t="s">
        <v>144</v>
      </c>
      <c r="O843" s="31">
        <v>16</v>
      </c>
      <c r="P843" s="31" t="s">
        <v>144</v>
      </c>
      <c r="Q843" s="31" t="s">
        <v>256</v>
      </c>
      <c r="R843" s="31" t="s">
        <v>477</v>
      </c>
      <c r="S843" s="31" t="s">
        <v>144</v>
      </c>
      <c r="T843" s="31" t="s">
        <v>144</v>
      </c>
      <c r="U843" s="31" t="s">
        <v>144</v>
      </c>
      <c r="V843" s="31" t="s">
        <v>144</v>
      </c>
      <c r="W843" s="31" t="s">
        <v>144</v>
      </c>
      <c r="X843" s="31" t="s">
        <v>144</v>
      </c>
      <c r="Y843" s="31" t="s">
        <v>144</v>
      </c>
      <c r="Z843" s="31" t="s">
        <v>144</v>
      </c>
      <c r="AA843" s="31" t="s">
        <v>144</v>
      </c>
      <c r="AB843" s="31" t="s">
        <v>144</v>
      </c>
      <c r="AC843" s="31" t="s">
        <v>144</v>
      </c>
      <c r="AD843" s="31" t="s">
        <v>144</v>
      </c>
      <c r="AE843" s="31" t="s">
        <v>144</v>
      </c>
      <c r="AF843" s="31" t="s">
        <v>144</v>
      </c>
      <c r="AG843" s="31" t="s">
        <v>144</v>
      </c>
      <c r="AH843" s="31" t="s">
        <v>473</v>
      </c>
      <c r="AI843" s="31" t="s">
        <v>476</v>
      </c>
      <c r="AJ843" s="31" t="s">
        <v>144</v>
      </c>
      <c r="AK843" s="31" t="s">
        <v>144</v>
      </c>
      <c r="AL843" s="31" t="s">
        <v>194</v>
      </c>
      <c r="AM843" s="31" t="s">
        <v>144</v>
      </c>
      <c r="AN843" s="31" t="s">
        <v>163</v>
      </c>
      <c r="AO843" s="31" t="s">
        <v>144</v>
      </c>
      <c r="AP843" s="31"/>
      <c r="AQ843" s="31"/>
      <c r="AR843" s="31"/>
      <c r="AS843" s="31"/>
      <c r="AT843" s="31"/>
      <c r="AU843" s="31"/>
    </row>
    <row r="844" spans="5:47" ht="15" customHeight="1" x14ac:dyDescent="0.25">
      <c r="E844" s="31" t="s">
        <v>1328</v>
      </c>
      <c r="F844" s="31" t="s">
        <v>140</v>
      </c>
      <c r="G844" s="31" t="s">
        <v>374</v>
      </c>
      <c r="H844" s="31" t="s">
        <v>144</v>
      </c>
      <c r="I844" s="31" t="s">
        <v>481</v>
      </c>
      <c r="J844" s="31" t="s">
        <v>699</v>
      </c>
      <c r="K844" s="31" t="s">
        <v>748</v>
      </c>
      <c r="L844" s="31" t="s">
        <v>162</v>
      </c>
      <c r="M844" s="31" t="s">
        <v>144</v>
      </c>
      <c r="N844" s="31" t="s">
        <v>144</v>
      </c>
      <c r="O844" s="31">
        <v>16</v>
      </c>
      <c r="P844" s="31" t="s">
        <v>144</v>
      </c>
      <c r="Q844" s="31" t="s">
        <v>256</v>
      </c>
      <c r="R844" s="31" t="s">
        <v>477</v>
      </c>
      <c r="S844" s="31" t="s">
        <v>144</v>
      </c>
      <c r="T844" s="31" t="s">
        <v>144</v>
      </c>
      <c r="U844" s="31" t="s">
        <v>144</v>
      </c>
      <c r="V844" s="31" t="s">
        <v>144</v>
      </c>
      <c r="W844" s="31" t="s">
        <v>144</v>
      </c>
      <c r="X844" s="31" t="s">
        <v>144</v>
      </c>
      <c r="Y844" s="31" t="s">
        <v>144</v>
      </c>
      <c r="Z844" s="31" t="s">
        <v>144</v>
      </c>
      <c r="AA844" s="31" t="s">
        <v>144</v>
      </c>
      <c r="AB844" s="31" t="s">
        <v>144</v>
      </c>
      <c r="AC844" s="31" t="s">
        <v>144</v>
      </c>
      <c r="AD844" s="31" t="s">
        <v>144</v>
      </c>
      <c r="AE844" s="31" t="s">
        <v>144</v>
      </c>
      <c r="AF844" s="31" t="s">
        <v>144</v>
      </c>
      <c r="AG844" s="31" t="s">
        <v>144</v>
      </c>
      <c r="AH844" s="31" t="s">
        <v>473</v>
      </c>
      <c r="AI844" s="31" t="s">
        <v>476</v>
      </c>
      <c r="AJ844" s="31" t="s">
        <v>144</v>
      </c>
      <c r="AK844" s="31" t="s">
        <v>144</v>
      </c>
      <c r="AL844" s="31" t="s">
        <v>194</v>
      </c>
      <c r="AM844" s="31" t="s">
        <v>144</v>
      </c>
      <c r="AN844" s="31" t="s">
        <v>163</v>
      </c>
      <c r="AO844" s="31" t="s">
        <v>144</v>
      </c>
      <c r="AP844" s="31"/>
      <c r="AQ844" s="31"/>
      <c r="AR844" s="31"/>
      <c r="AS844" s="31"/>
      <c r="AT844" s="31"/>
      <c r="AU844" s="31"/>
    </row>
    <row r="845" spans="5:47" ht="15" customHeight="1" x14ac:dyDescent="0.25">
      <c r="E845" s="31" t="s">
        <v>1328</v>
      </c>
      <c r="F845" s="31" t="s">
        <v>140</v>
      </c>
      <c r="G845" s="31" t="s">
        <v>374</v>
      </c>
      <c r="H845" s="31" t="s">
        <v>144</v>
      </c>
      <c r="I845" s="31" t="s">
        <v>481</v>
      </c>
      <c r="J845" s="31" t="s">
        <v>699</v>
      </c>
      <c r="K845" s="31" t="s">
        <v>749</v>
      </c>
      <c r="L845" s="31" t="s">
        <v>162</v>
      </c>
      <c r="M845" s="31" t="s">
        <v>144</v>
      </c>
      <c r="N845" s="31" t="s">
        <v>144</v>
      </c>
      <c r="O845" s="31">
        <v>16</v>
      </c>
      <c r="P845" s="31" t="s">
        <v>144</v>
      </c>
      <c r="Q845" s="31" t="s">
        <v>256</v>
      </c>
      <c r="R845" s="31" t="s">
        <v>477</v>
      </c>
      <c r="S845" s="31" t="s">
        <v>144</v>
      </c>
      <c r="T845" s="31" t="s">
        <v>144</v>
      </c>
      <c r="U845" s="31" t="s">
        <v>144</v>
      </c>
      <c r="V845" s="31" t="s">
        <v>144</v>
      </c>
      <c r="W845" s="31" t="s">
        <v>144</v>
      </c>
      <c r="X845" s="31" t="s">
        <v>144</v>
      </c>
      <c r="Y845" s="31" t="s">
        <v>144</v>
      </c>
      <c r="Z845" s="31" t="s">
        <v>144</v>
      </c>
      <c r="AA845" s="31" t="s">
        <v>144</v>
      </c>
      <c r="AB845" s="31" t="s">
        <v>144</v>
      </c>
      <c r="AC845" s="31" t="s">
        <v>144</v>
      </c>
      <c r="AD845" s="31" t="s">
        <v>144</v>
      </c>
      <c r="AE845" s="31" t="s">
        <v>144</v>
      </c>
      <c r="AF845" s="31" t="s">
        <v>144</v>
      </c>
      <c r="AG845" s="31" t="s">
        <v>144</v>
      </c>
      <c r="AH845" s="31" t="s">
        <v>473</v>
      </c>
      <c r="AI845" s="31" t="s">
        <v>476</v>
      </c>
      <c r="AJ845" s="31" t="s">
        <v>144</v>
      </c>
      <c r="AK845" s="31" t="s">
        <v>144</v>
      </c>
      <c r="AL845" s="31" t="s">
        <v>194</v>
      </c>
      <c r="AM845" s="31" t="s">
        <v>144</v>
      </c>
      <c r="AN845" s="31" t="s">
        <v>163</v>
      </c>
      <c r="AO845" s="31" t="s">
        <v>144</v>
      </c>
      <c r="AP845" s="31"/>
      <c r="AQ845" s="31"/>
      <c r="AR845" s="31"/>
      <c r="AS845" s="31"/>
      <c r="AT845" s="31"/>
      <c r="AU845" s="31"/>
    </row>
    <row r="846" spans="5:47" ht="15" customHeight="1" x14ac:dyDescent="0.25"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</row>
    <row r="847" spans="5:47" ht="15" customHeight="1" x14ac:dyDescent="0.25"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CFAA-410A-41C6-AACD-A3C0E1178919}">
  <dimension ref="A1:AA268"/>
  <sheetViews>
    <sheetView topLeftCell="D1" zoomScale="80" zoomScaleNormal="80" workbookViewId="0">
      <pane xSplit="2" ySplit="4" topLeftCell="J35" activePane="bottomRight" state="frozen"/>
      <selection activeCell="D1" sqref="D1"/>
      <selection pane="topRight" activeCell="F1" sqref="F1"/>
      <selection pane="bottomLeft" activeCell="D5" sqref="D5"/>
      <selection pane="bottomRight" activeCell="P248" sqref="P248"/>
    </sheetView>
  </sheetViews>
  <sheetFormatPr defaultRowHeight="15" x14ac:dyDescent="0.25"/>
  <cols>
    <col min="5" max="5" width="35.7109375" bestFit="1" customWidth="1"/>
    <col min="6" max="6" width="23.5703125" bestFit="1" customWidth="1"/>
    <col min="7" max="7" width="15.7109375" bestFit="1" customWidth="1"/>
    <col min="8" max="8" width="14.7109375" bestFit="1" customWidth="1"/>
    <col min="9" max="9" width="10.5703125" customWidth="1"/>
    <col min="10" max="10" width="11.28515625" customWidth="1"/>
    <col min="11" max="11" width="11.42578125" customWidth="1"/>
    <col min="12" max="12" width="18.140625" customWidth="1"/>
    <col min="13" max="13" width="20.5703125" customWidth="1"/>
    <col min="14" max="14" width="16.85546875" customWidth="1"/>
    <col min="15" max="15" width="28.5703125" customWidth="1"/>
    <col min="16" max="16" width="22.28515625" customWidth="1"/>
    <col min="17" max="17" width="23" customWidth="1"/>
    <col min="18" max="18" width="24.28515625" customWidth="1"/>
    <col min="19" max="19" width="24.28515625" bestFit="1" customWidth="1"/>
    <col min="20" max="20" width="22" bestFit="1" customWidth="1"/>
    <col min="21" max="21" width="18.140625" bestFit="1" customWidth="1"/>
    <col min="22" max="22" width="31.5703125" bestFit="1" customWidth="1"/>
    <col min="23" max="23" width="31.5703125" customWidth="1"/>
    <col min="24" max="24" width="29.42578125" bestFit="1" customWidth="1"/>
    <col min="25" max="25" width="17.7109375" bestFit="1" customWidth="1"/>
    <col min="26" max="26" width="34.28515625" bestFit="1" customWidth="1"/>
    <col min="27" max="27" width="22.140625" customWidth="1"/>
  </cols>
  <sheetData>
    <row r="1" spans="1:27" ht="28.5" customHeight="1" x14ac:dyDescent="0.25">
      <c r="A1" s="19" t="s">
        <v>0</v>
      </c>
      <c r="B1" s="16" t="s">
        <v>52</v>
      </c>
      <c r="C1" s="17" t="s">
        <v>53</v>
      </c>
      <c r="D1" s="17" t="s">
        <v>54</v>
      </c>
      <c r="E1" s="12" t="s">
        <v>55</v>
      </c>
      <c r="F1" s="13" t="s">
        <v>56</v>
      </c>
      <c r="G1" s="12" t="s">
        <v>57</v>
      </c>
      <c r="H1" s="13" t="s">
        <v>58</v>
      </c>
      <c r="I1" s="24" t="s">
        <v>157</v>
      </c>
      <c r="J1" s="24" t="s">
        <v>161</v>
      </c>
      <c r="K1" s="24" t="s">
        <v>158</v>
      </c>
      <c r="L1" s="24" t="s">
        <v>159</v>
      </c>
      <c r="M1" s="24" t="s">
        <v>160</v>
      </c>
      <c r="N1" s="24" t="s">
        <v>160</v>
      </c>
      <c r="O1" s="17" t="s">
        <v>61</v>
      </c>
      <c r="P1" s="13" t="s">
        <v>62</v>
      </c>
      <c r="Q1" s="24" t="s">
        <v>63</v>
      </c>
      <c r="R1" s="13" t="s">
        <v>63</v>
      </c>
      <c r="S1" s="12" t="s">
        <v>64</v>
      </c>
      <c r="T1" s="13" t="s">
        <v>65</v>
      </c>
      <c r="U1" s="12" t="s">
        <v>66</v>
      </c>
      <c r="V1" s="17" t="s">
        <v>67</v>
      </c>
      <c r="W1" s="380" t="s">
        <v>461</v>
      </c>
      <c r="X1" s="13" t="s">
        <v>69</v>
      </c>
      <c r="Y1" s="24" t="s">
        <v>69</v>
      </c>
      <c r="Z1" s="12" t="s">
        <v>70</v>
      </c>
      <c r="AA1" s="12" t="s">
        <v>462</v>
      </c>
    </row>
    <row r="2" spans="1:27" ht="38.25" customHeight="1" x14ac:dyDescent="0.25">
      <c r="A2" s="19" t="s">
        <v>17</v>
      </c>
      <c r="B2" s="1" t="s">
        <v>78</v>
      </c>
      <c r="C2" s="2" t="s">
        <v>79</v>
      </c>
      <c r="D2" s="2"/>
      <c r="E2" s="3" t="s">
        <v>80</v>
      </c>
      <c r="F2" s="4" t="s">
        <v>81</v>
      </c>
      <c r="G2" s="3" t="s">
        <v>82</v>
      </c>
      <c r="H2" s="4" t="s">
        <v>83</v>
      </c>
      <c r="I2" s="25"/>
      <c r="J2" s="25"/>
      <c r="K2" s="25"/>
      <c r="L2" s="25"/>
      <c r="M2" s="25"/>
      <c r="N2" s="25"/>
      <c r="O2" s="2" t="s">
        <v>86</v>
      </c>
      <c r="P2" s="4" t="s">
        <v>87</v>
      </c>
      <c r="Q2" s="25" t="s">
        <v>145</v>
      </c>
      <c r="R2" s="4" t="s">
        <v>88</v>
      </c>
      <c r="S2" s="3" t="s">
        <v>89</v>
      </c>
      <c r="T2" s="4" t="s">
        <v>90</v>
      </c>
      <c r="U2" s="3" t="s">
        <v>91</v>
      </c>
      <c r="V2" s="2" t="s">
        <v>92</v>
      </c>
      <c r="W2" s="2"/>
      <c r="X2" s="4" t="s">
        <v>94</v>
      </c>
      <c r="Y2" s="25" t="s">
        <v>94</v>
      </c>
      <c r="Z2" s="3" t="s">
        <v>95</v>
      </c>
      <c r="AA2" s="3"/>
    </row>
    <row r="3" spans="1:27" ht="39" customHeight="1" x14ac:dyDescent="0.25">
      <c r="A3" s="19" t="s">
        <v>34</v>
      </c>
      <c r="B3" s="1" t="s">
        <v>102</v>
      </c>
      <c r="C3" s="2" t="s">
        <v>103</v>
      </c>
      <c r="D3" s="2"/>
      <c r="E3" s="3" t="s">
        <v>104</v>
      </c>
      <c r="F3" s="4" t="s">
        <v>105</v>
      </c>
      <c r="G3" s="3" t="s">
        <v>106</v>
      </c>
      <c r="H3" s="4" t="s">
        <v>107</v>
      </c>
      <c r="I3" s="25"/>
      <c r="J3" s="25"/>
      <c r="K3" s="25"/>
      <c r="L3" s="25"/>
      <c r="M3" s="25"/>
      <c r="N3" s="25"/>
      <c r="O3" s="2" t="s">
        <v>109</v>
      </c>
      <c r="P3" s="4" t="s">
        <v>110</v>
      </c>
      <c r="Q3" s="25">
        <v>7.5</v>
      </c>
      <c r="R3" s="4" t="s">
        <v>111</v>
      </c>
      <c r="S3" s="3" t="s">
        <v>112</v>
      </c>
      <c r="T3" s="4" t="s">
        <v>113</v>
      </c>
      <c r="U3" s="3" t="s">
        <v>114</v>
      </c>
      <c r="V3" s="2" t="s">
        <v>115</v>
      </c>
      <c r="W3" s="2"/>
      <c r="X3" s="4" t="s">
        <v>440</v>
      </c>
      <c r="Y3" s="25" t="s">
        <v>441</v>
      </c>
      <c r="Z3" s="3" t="s">
        <v>118</v>
      </c>
      <c r="AA3" s="3"/>
    </row>
    <row r="4" spans="1:27" ht="13.5" customHeight="1" x14ac:dyDescent="0.25">
      <c r="A4" s="19" t="s">
        <v>48</v>
      </c>
      <c r="B4" s="5" t="s">
        <v>49</v>
      </c>
      <c r="C4" s="6" t="s">
        <v>49</v>
      </c>
      <c r="D4" s="6"/>
      <c r="E4" s="8" t="s">
        <v>49</v>
      </c>
      <c r="F4" s="9" t="s">
        <v>49</v>
      </c>
      <c r="G4" s="8" t="s">
        <v>49</v>
      </c>
      <c r="H4" s="9" t="s">
        <v>49</v>
      </c>
      <c r="I4" s="30"/>
      <c r="J4" s="30"/>
      <c r="K4" s="30"/>
      <c r="L4" s="30"/>
      <c r="M4" s="30"/>
      <c r="N4" s="30"/>
      <c r="O4" s="7" t="s">
        <v>50</v>
      </c>
      <c r="P4" s="10" t="s">
        <v>50</v>
      </c>
      <c r="Q4" s="26" t="s">
        <v>50</v>
      </c>
      <c r="R4" s="10" t="s">
        <v>50</v>
      </c>
      <c r="S4" s="11" t="s">
        <v>50</v>
      </c>
      <c r="T4" s="10" t="s">
        <v>50</v>
      </c>
      <c r="U4" s="11" t="s">
        <v>50</v>
      </c>
      <c r="V4" s="7" t="s">
        <v>50</v>
      </c>
      <c r="W4" s="7"/>
      <c r="X4" s="10" t="s">
        <v>50</v>
      </c>
      <c r="Y4" s="26" t="s">
        <v>50</v>
      </c>
      <c r="Z4" s="11" t="s">
        <v>50</v>
      </c>
      <c r="AA4" s="11"/>
    </row>
    <row r="5" spans="1:27" s="31" customFormat="1" ht="15" customHeight="1" x14ac:dyDescent="0.25">
      <c r="E5" s="31" t="s">
        <v>200</v>
      </c>
      <c r="F5" s="31" t="s">
        <v>140</v>
      </c>
      <c r="G5" s="31" t="s">
        <v>197</v>
      </c>
      <c r="H5" s="31" t="s">
        <v>198</v>
      </c>
      <c r="I5" s="31" t="s">
        <v>481</v>
      </c>
      <c r="J5" s="31" t="s">
        <v>1078</v>
      </c>
      <c r="K5" s="31" t="s">
        <v>1079</v>
      </c>
      <c r="L5" s="31" t="s">
        <v>162</v>
      </c>
      <c r="M5" s="31" t="s">
        <v>144</v>
      </c>
      <c r="N5" s="31" t="s">
        <v>1080</v>
      </c>
      <c r="O5" s="31" t="s">
        <v>378</v>
      </c>
      <c r="P5" s="31" t="s">
        <v>378</v>
      </c>
      <c r="Q5" s="31">
        <v>7.5</v>
      </c>
      <c r="R5" s="31">
        <v>28.8</v>
      </c>
      <c r="S5" s="31">
        <v>0.56000000000000005</v>
      </c>
      <c r="T5" s="31">
        <v>1.5</v>
      </c>
      <c r="U5" s="397">
        <v>0.01</v>
      </c>
      <c r="V5" s="31" t="s">
        <v>144</v>
      </c>
      <c r="W5" s="31" t="s">
        <v>144</v>
      </c>
      <c r="X5" s="31">
        <v>21.3</v>
      </c>
      <c r="Y5" s="31">
        <v>173</v>
      </c>
      <c r="Z5" s="31" t="s">
        <v>379</v>
      </c>
      <c r="AA5" s="31" t="s">
        <v>144</v>
      </c>
    </row>
    <row r="6" spans="1:27" s="31" customFormat="1" ht="15" customHeight="1" x14ac:dyDescent="0.25">
      <c r="E6" s="31" t="s">
        <v>200</v>
      </c>
      <c r="F6" s="31" t="s">
        <v>140</v>
      </c>
      <c r="G6" s="31" t="s">
        <v>197</v>
      </c>
      <c r="H6" s="31" t="s">
        <v>198</v>
      </c>
      <c r="I6" s="31" t="s">
        <v>481</v>
      </c>
      <c r="J6" s="31" t="s">
        <v>1078</v>
      </c>
      <c r="K6" s="31" t="s">
        <v>1082</v>
      </c>
      <c r="L6" s="31" t="s">
        <v>162</v>
      </c>
      <c r="M6" s="31" t="s">
        <v>144</v>
      </c>
      <c r="N6" s="31" t="s">
        <v>1080</v>
      </c>
      <c r="O6" s="31" t="s">
        <v>378</v>
      </c>
      <c r="P6" s="31" t="s">
        <v>378</v>
      </c>
      <c r="Q6" s="31">
        <v>7.5</v>
      </c>
      <c r="R6" s="31">
        <v>28.8</v>
      </c>
      <c r="S6" s="31">
        <v>0.56000000000000005</v>
      </c>
      <c r="T6" s="31">
        <v>1.5</v>
      </c>
      <c r="U6" s="397">
        <v>0.01</v>
      </c>
      <c r="V6" s="31" t="s">
        <v>144</v>
      </c>
      <c r="W6" s="31" t="s">
        <v>144</v>
      </c>
      <c r="X6" s="31">
        <v>21.3</v>
      </c>
      <c r="Y6" s="31">
        <v>173</v>
      </c>
      <c r="Z6" s="31" t="s">
        <v>379</v>
      </c>
      <c r="AA6" s="31" t="s">
        <v>144</v>
      </c>
    </row>
    <row r="7" spans="1:27" s="31" customFormat="1" ht="15" customHeight="1" x14ac:dyDescent="0.25">
      <c r="E7" s="31" t="s">
        <v>200</v>
      </c>
      <c r="F7" s="31" t="s">
        <v>140</v>
      </c>
      <c r="G7" s="31" t="s">
        <v>197</v>
      </c>
      <c r="H7" s="31" t="s">
        <v>198</v>
      </c>
      <c r="I7" s="31" t="s">
        <v>481</v>
      </c>
      <c r="J7" s="31" t="s">
        <v>1078</v>
      </c>
      <c r="K7" s="31" t="s">
        <v>1083</v>
      </c>
      <c r="L7" s="31" t="s">
        <v>162</v>
      </c>
      <c r="M7" s="31" t="s">
        <v>144</v>
      </c>
      <c r="N7" s="31" t="s">
        <v>1080</v>
      </c>
      <c r="O7" s="31" t="s">
        <v>378</v>
      </c>
      <c r="P7" s="31" t="s">
        <v>378</v>
      </c>
      <c r="Q7" s="31">
        <v>7.5</v>
      </c>
      <c r="R7" s="31">
        <v>28.8</v>
      </c>
      <c r="S7" s="31">
        <v>0.56000000000000005</v>
      </c>
      <c r="T7" s="31">
        <v>1.5</v>
      </c>
      <c r="U7" s="397">
        <v>0.01</v>
      </c>
      <c r="V7" s="31" t="s">
        <v>144</v>
      </c>
      <c r="W7" s="31" t="s">
        <v>144</v>
      </c>
      <c r="X7" s="31">
        <v>21.3</v>
      </c>
      <c r="Y7" s="31">
        <v>173</v>
      </c>
      <c r="Z7" s="31" t="s">
        <v>379</v>
      </c>
      <c r="AA7" s="31" t="s">
        <v>144</v>
      </c>
    </row>
    <row r="8" spans="1:27" s="31" customFormat="1" ht="15" customHeight="1" x14ac:dyDescent="0.25">
      <c r="E8" s="31" t="s">
        <v>200</v>
      </c>
      <c r="F8" s="31" t="s">
        <v>140</v>
      </c>
      <c r="G8" s="31" t="s">
        <v>197</v>
      </c>
      <c r="H8" s="31" t="s">
        <v>198</v>
      </c>
      <c r="I8" s="31" t="s">
        <v>481</v>
      </c>
      <c r="J8" s="31" t="s">
        <v>1078</v>
      </c>
      <c r="K8" s="31" t="s">
        <v>1084</v>
      </c>
      <c r="L8" s="31" t="s">
        <v>162</v>
      </c>
      <c r="M8" s="31" t="s">
        <v>144</v>
      </c>
      <c r="N8" s="31" t="s">
        <v>1080</v>
      </c>
      <c r="O8" s="31" t="s">
        <v>378</v>
      </c>
      <c r="P8" s="31" t="s">
        <v>378</v>
      </c>
      <c r="Q8" s="31">
        <v>7.5</v>
      </c>
      <c r="R8" s="31">
        <v>28.8</v>
      </c>
      <c r="S8" s="31">
        <v>0.56000000000000005</v>
      </c>
      <c r="T8" s="31">
        <v>1.5</v>
      </c>
      <c r="U8" s="397">
        <v>0.01</v>
      </c>
      <c r="V8" s="31" t="s">
        <v>144</v>
      </c>
      <c r="W8" s="31" t="s">
        <v>144</v>
      </c>
      <c r="X8" s="31">
        <v>21.3</v>
      </c>
      <c r="Y8" s="31">
        <v>173</v>
      </c>
      <c r="Z8" s="31" t="s">
        <v>379</v>
      </c>
      <c r="AA8" s="31" t="s">
        <v>144</v>
      </c>
    </row>
    <row r="9" spans="1:27" s="31" customFormat="1" ht="15" customHeight="1" x14ac:dyDescent="0.25">
      <c r="E9" s="31" t="s">
        <v>200</v>
      </c>
      <c r="F9" s="31" t="s">
        <v>140</v>
      </c>
      <c r="G9" s="31" t="s">
        <v>197</v>
      </c>
      <c r="H9" s="31" t="s">
        <v>198</v>
      </c>
      <c r="I9" s="31" t="s">
        <v>481</v>
      </c>
      <c r="J9" s="31" t="s">
        <v>1078</v>
      </c>
      <c r="K9" s="31" t="s">
        <v>1085</v>
      </c>
      <c r="L9" s="31" t="s">
        <v>162</v>
      </c>
      <c r="M9" s="31" t="s">
        <v>144</v>
      </c>
      <c r="N9" s="31" t="s">
        <v>1080</v>
      </c>
      <c r="O9" s="31" t="s">
        <v>378</v>
      </c>
      <c r="P9" s="31" t="s">
        <v>378</v>
      </c>
      <c r="Q9" s="31">
        <v>7.5</v>
      </c>
      <c r="R9" s="31">
        <v>28.8</v>
      </c>
      <c r="S9" s="31">
        <v>0.56000000000000005</v>
      </c>
      <c r="T9" s="31">
        <v>1.5</v>
      </c>
      <c r="U9" s="397">
        <v>0.01</v>
      </c>
      <c r="V9" s="31" t="s">
        <v>144</v>
      </c>
      <c r="W9" s="31" t="s">
        <v>144</v>
      </c>
      <c r="X9" s="31">
        <v>21.3</v>
      </c>
      <c r="Y9" s="31">
        <v>173</v>
      </c>
      <c r="Z9" s="31" t="s">
        <v>379</v>
      </c>
      <c r="AA9" s="31" t="s">
        <v>144</v>
      </c>
    </row>
    <row r="10" spans="1:27" s="31" customFormat="1" ht="15" customHeight="1" x14ac:dyDescent="0.25">
      <c r="E10" s="31" t="s">
        <v>200</v>
      </c>
      <c r="F10" s="31" t="s">
        <v>140</v>
      </c>
      <c r="G10" s="31" t="s">
        <v>197</v>
      </c>
      <c r="H10" s="31" t="s">
        <v>198</v>
      </c>
      <c r="I10" s="31" t="s">
        <v>481</v>
      </c>
      <c r="J10" s="31" t="s">
        <v>1078</v>
      </c>
      <c r="K10" s="31" t="s">
        <v>1086</v>
      </c>
      <c r="L10" s="31" t="s">
        <v>162</v>
      </c>
      <c r="M10" s="31" t="s">
        <v>144</v>
      </c>
      <c r="N10" s="31" t="s">
        <v>1080</v>
      </c>
      <c r="O10" s="31" t="s">
        <v>378</v>
      </c>
      <c r="P10" s="31" t="s">
        <v>378</v>
      </c>
      <c r="Q10" s="31">
        <v>7.5</v>
      </c>
      <c r="R10" s="31">
        <v>28.8</v>
      </c>
      <c r="S10" s="31">
        <v>0.56000000000000005</v>
      </c>
      <c r="T10" s="31">
        <v>1.5</v>
      </c>
      <c r="U10" s="397">
        <v>0.01</v>
      </c>
      <c r="V10" s="31" t="s">
        <v>144</v>
      </c>
      <c r="W10" s="31" t="s">
        <v>144</v>
      </c>
      <c r="X10" s="31">
        <v>21.3</v>
      </c>
      <c r="Y10" s="31">
        <v>173</v>
      </c>
      <c r="Z10" s="31" t="s">
        <v>379</v>
      </c>
      <c r="AA10" s="31" t="s">
        <v>144</v>
      </c>
    </row>
    <row r="11" spans="1:27" s="31" customFormat="1" ht="15" customHeight="1" x14ac:dyDescent="0.25">
      <c r="E11" s="31" t="s">
        <v>200</v>
      </c>
      <c r="F11" s="31" t="s">
        <v>140</v>
      </c>
      <c r="G11" s="31" t="s">
        <v>197</v>
      </c>
      <c r="H11" s="31" t="s">
        <v>198</v>
      </c>
      <c r="I11" s="31" t="s">
        <v>481</v>
      </c>
      <c r="J11" s="31" t="s">
        <v>1078</v>
      </c>
      <c r="K11" s="31" t="s">
        <v>1087</v>
      </c>
      <c r="L11" s="31" t="s">
        <v>162</v>
      </c>
      <c r="M11" s="31" t="s">
        <v>144</v>
      </c>
      <c r="N11" s="31" t="s">
        <v>1080</v>
      </c>
      <c r="O11" s="31" t="s">
        <v>378</v>
      </c>
      <c r="P11" s="31" t="s">
        <v>378</v>
      </c>
      <c r="Q11" s="31">
        <v>7.5</v>
      </c>
      <c r="R11" s="31">
        <v>28.8</v>
      </c>
      <c r="S11" s="31">
        <v>0.56000000000000005</v>
      </c>
      <c r="T11" s="31">
        <v>1.5</v>
      </c>
      <c r="U11" s="397">
        <v>0.01</v>
      </c>
      <c r="V11" s="31" t="s">
        <v>144</v>
      </c>
      <c r="W11" s="31" t="s">
        <v>144</v>
      </c>
      <c r="X11" s="31">
        <v>21.3</v>
      </c>
      <c r="Y11" s="31">
        <v>173</v>
      </c>
      <c r="Z11" s="31" t="s">
        <v>379</v>
      </c>
      <c r="AA11" s="31" t="s">
        <v>144</v>
      </c>
    </row>
    <row r="12" spans="1:27" s="31" customFormat="1" ht="15" customHeight="1" x14ac:dyDescent="0.25">
      <c r="E12" s="31" t="s">
        <v>200</v>
      </c>
      <c r="F12" s="31" t="s">
        <v>140</v>
      </c>
      <c r="G12" s="31" t="s">
        <v>197</v>
      </c>
      <c r="H12" s="31" t="s">
        <v>198</v>
      </c>
      <c r="I12" s="31" t="s">
        <v>481</v>
      </c>
      <c r="J12" s="31" t="s">
        <v>1078</v>
      </c>
      <c r="K12" s="31" t="s">
        <v>1088</v>
      </c>
      <c r="L12" s="31" t="s">
        <v>162</v>
      </c>
      <c r="M12" s="31" t="s">
        <v>144</v>
      </c>
      <c r="N12" s="31" t="s">
        <v>1080</v>
      </c>
      <c r="O12" s="31" t="s">
        <v>378</v>
      </c>
      <c r="P12" s="31" t="s">
        <v>378</v>
      </c>
      <c r="Q12" s="31">
        <v>7.5</v>
      </c>
      <c r="R12" s="31">
        <v>28.8</v>
      </c>
      <c r="S12" s="31">
        <v>0.56000000000000005</v>
      </c>
      <c r="T12" s="31">
        <v>1.5</v>
      </c>
      <c r="U12" s="397">
        <v>0.01</v>
      </c>
      <c r="V12" s="31" t="s">
        <v>144</v>
      </c>
      <c r="W12" s="31" t="s">
        <v>144</v>
      </c>
      <c r="X12" s="31">
        <v>21.3</v>
      </c>
      <c r="Y12" s="31">
        <v>173</v>
      </c>
      <c r="Z12" s="31" t="s">
        <v>379</v>
      </c>
      <c r="AA12" s="31" t="s">
        <v>144</v>
      </c>
    </row>
    <row r="13" spans="1:27" s="31" customFormat="1" ht="15" customHeight="1" x14ac:dyDescent="0.25">
      <c r="E13" s="31" t="s">
        <v>200</v>
      </c>
      <c r="F13" s="31" t="s">
        <v>140</v>
      </c>
      <c r="G13" s="31" t="s">
        <v>197</v>
      </c>
      <c r="H13" s="31" t="s">
        <v>198</v>
      </c>
      <c r="I13" s="31" t="s">
        <v>481</v>
      </c>
      <c r="J13" s="31" t="s">
        <v>1078</v>
      </c>
      <c r="K13" s="31" t="s">
        <v>1089</v>
      </c>
      <c r="L13" s="31" t="s">
        <v>162</v>
      </c>
      <c r="M13" s="31" t="s">
        <v>144</v>
      </c>
      <c r="N13" s="31" t="s">
        <v>1080</v>
      </c>
      <c r="O13" s="31" t="s">
        <v>378</v>
      </c>
      <c r="P13" s="31" t="s">
        <v>378</v>
      </c>
      <c r="Q13" s="31">
        <v>7.5</v>
      </c>
      <c r="R13" s="31">
        <v>28.8</v>
      </c>
      <c r="S13" s="31">
        <v>0.56000000000000005</v>
      </c>
      <c r="T13" s="31">
        <v>1.5</v>
      </c>
      <c r="U13" s="397">
        <v>0.01</v>
      </c>
      <c r="V13" s="31" t="s">
        <v>144</v>
      </c>
      <c r="W13" s="31" t="s">
        <v>144</v>
      </c>
      <c r="X13" s="31">
        <v>21.3</v>
      </c>
      <c r="Y13" s="31">
        <v>173</v>
      </c>
      <c r="Z13" s="31" t="s">
        <v>379</v>
      </c>
      <c r="AA13" s="31" t="s">
        <v>144</v>
      </c>
    </row>
    <row r="14" spans="1:27" s="31" customFormat="1" ht="15" customHeight="1" x14ac:dyDescent="0.25">
      <c r="E14" s="31" t="s">
        <v>200</v>
      </c>
      <c r="F14" s="31" t="s">
        <v>140</v>
      </c>
      <c r="G14" s="31" t="s">
        <v>197</v>
      </c>
      <c r="H14" s="31" t="s">
        <v>198</v>
      </c>
      <c r="I14" s="31" t="s">
        <v>481</v>
      </c>
      <c r="J14" s="31" t="s">
        <v>1078</v>
      </c>
      <c r="K14" s="31" t="s">
        <v>1090</v>
      </c>
      <c r="L14" s="31" t="s">
        <v>162</v>
      </c>
      <c r="M14" s="31" t="s">
        <v>144</v>
      </c>
      <c r="N14" s="31" t="s">
        <v>1080</v>
      </c>
      <c r="O14" s="31" t="s">
        <v>378</v>
      </c>
      <c r="P14" s="31" t="s">
        <v>378</v>
      </c>
      <c r="Q14" s="31">
        <v>7.5</v>
      </c>
      <c r="R14" s="31">
        <v>28.8</v>
      </c>
      <c r="S14" s="31">
        <v>0.56000000000000005</v>
      </c>
      <c r="T14" s="31">
        <v>1.5</v>
      </c>
      <c r="U14" s="397">
        <v>0.01</v>
      </c>
      <c r="V14" s="31" t="s">
        <v>144</v>
      </c>
      <c r="W14" s="31" t="s">
        <v>144</v>
      </c>
      <c r="X14" s="31">
        <v>21.3</v>
      </c>
      <c r="Y14" s="31">
        <v>173</v>
      </c>
      <c r="Z14" s="31" t="s">
        <v>379</v>
      </c>
      <c r="AA14" s="31" t="s">
        <v>144</v>
      </c>
    </row>
    <row r="15" spans="1:27" s="31" customFormat="1" ht="15" customHeight="1" x14ac:dyDescent="0.25">
      <c r="E15" s="31" t="s">
        <v>200</v>
      </c>
      <c r="F15" s="31" t="s">
        <v>140</v>
      </c>
      <c r="G15" s="31" t="s">
        <v>197</v>
      </c>
      <c r="H15" s="31" t="s">
        <v>198</v>
      </c>
      <c r="I15" s="31" t="s">
        <v>481</v>
      </c>
      <c r="J15" s="31" t="s">
        <v>1078</v>
      </c>
      <c r="K15" s="31" t="s">
        <v>1091</v>
      </c>
      <c r="L15" s="31" t="s">
        <v>162</v>
      </c>
      <c r="M15" s="31" t="s">
        <v>144</v>
      </c>
      <c r="N15" s="31" t="s">
        <v>1080</v>
      </c>
      <c r="O15" s="31" t="s">
        <v>378</v>
      </c>
      <c r="P15" s="31" t="s">
        <v>378</v>
      </c>
      <c r="Q15" s="31">
        <v>7.5</v>
      </c>
      <c r="R15" s="31">
        <v>28.8</v>
      </c>
      <c r="S15" s="31">
        <v>0.56000000000000005</v>
      </c>
      <c r="T15" s="31">
        <v>1.5</v>
      </c>
      <c r="U15" s="397">
        <v>0.01</v>
      </c>
      <c r="V15" s="31" t="s">
        <v>144</v>
      </c>
      <c r="W15" s="31" t="s">
        <v>144</v>
      </c>
      <c r="X15" s="31">
        <v>21.3</v>
      </c>
      <c r="Y15" s="31">
        <v>173</v>
      </c>
      <c r="Z15" s="31" t="s">
        <v>379</v>
      </c>
      <c r="AA15" s="31" t="s">
        <v>144</v>
      </c>
    </row>
    <row r="16" spans="1:27" s="31" customFormat="1" ht="15" customHeight="1" x14ac:dyDescent="0.25">
      <c r="E16" s="31" t="s">
        <v>200</v>
      </c>
      <c r="F16" s="31" t="s">
        <v>140</v>
      </c>
      <c r="G16" s="31" t="s">
        <v>197</v>
      </c>
      <c r="H16" s="31" t="s">
        <v>198</v>
      </c>
      <c r="I16" s="31" t="s">
        <v>481</v>
      </c>
      <c r="J16" s="31" t="s">
        <v>1078</v>
      </c>
      <c r="K16" s="31" t="s">
        <v>1092</v>
      </c>
      <c r="L16" s="31" t="s">
        <v>162</v>
      </c>
      <c r="M16" s="31" t="s">
        <v>144</v>
      </c>
      <c r="N16" s="31" t="s">
        <v>1080</v>
      </c>
      <c r="O16" s="31" t="s">
        <v>378</v>
      </c>
      <c r="P16" s="31" t="s">
        <v>378</v>
      </c>
      <c r="Q16" s="31">
        <v>7.5</v>
      </c>
      <c r="R16" s="31">
        <v>28.8</v>
      </c>
      <c r="S16" s="31">
        <v>0.56000000000000005</v>
      </c>
      <c r="T16" s="31">
        <v>1.5</v>
      </c>
      <c r="U16" s="397">
        <v>0.01</v>
      </c>
      <c r="V16" s="31" t="s">
        <v>144</v>
      </c>
      <c r="W16" s="31" t="s">
        <v>144</v>
      </c>
      <c r="X16" s="31">
        <v>21.3</v>
      </c>
      <c r="Y16" s="31">
        <v>173</v>
      </c>
      <c r="Z16" s="31" t="s">
        <v>379</v>
      </c>
      <c r="AA16" s="31" t="s">
        <v>144</v>
      </c>
    </row>
    <row r="17" spans="5:27" s="31" customFormat="1" ht="15" customHeight="1" x14ac:dyDescent="0.25">
      <c r="E17" s="31" t="s">
        <v>200</v>
      </c>
      <c r="F17" s="31" t="s">
        <v>140</v>
      </c>
      <c r="G17" s="31" t="s">
        <v>197</v>
      </c>
      <c r="H17" s="31" t="s">
        <v>198</v>
      </c>
      <c r="I17" s="31" t="s">
        <v>481</v>
      </c>
      <c r="J17" s="31" t="s">
        <v>1078</v>
      </c>
      <c r="K17" s="31" t="s">
        <v>1093</v>
      </c>
      <c r="L17" s="31" t="s">
        <v>162</v>
      </c>
      <c r="M17" s="31" t="s">
        <v>144</v>
      </c>
      <c r="N17" s="31" t="s">
        <v>1080</v>
      </c>
      <c r="O17" s="31" t="s">
        <v>378</v>
      </c>
      <c r="P17" s="31" t="s">
        <v>378</v>
      </c>
      <c r="Q17" s="31">
        <v>7.5</v>
      </c>
      <c r="R17" s="31">
        <v>28.8</v>
      </c>
      <c r="S17" s="31">
        <v>0.56000000000000005</v>
      </c>
      <c r="T17" s="31">
        <v>1.5</v>
      </c>
      <c r="U17" s="397">
        <v>0.01</v>
      </c>
      <c r="V17" s="31" t="s">
        <v>144</v>
      </c>
      <c r="W17" s="31" t="s">
        <v>144</v>
      </c>
      <c r="X17" s="31">
        <v>21.3</v>
      </c>
      <c r="Y17" s="31">
        <v>173</v>
      </c>
      <c r="Z17" s="31" t="s">
        <v>379</v>
      </c>
      <c r="AA17" s="31" t="s">
        <v>144</v>
      </c>
    </row>
    <row r="18" spans="5:27" s="31" customFormat="1" ht="15" customHeight="1" x14ac:dyDescent="0.25">
      <c r="E18" s="31" t="s">
        <v>200</v>
      </c>
      <c r="F18" s="31" t="s">
        <v>140</v>
      </c>
      <c r="G18" s="31" t="s">
        <v>197</v>
      </c>
      <c r="H18" s="31" t="s">
        <v>198</v>
      </c>
      <c r="I18" s="31" t="s">
        <v>481</v>
      </c>
      <c r="J18" s="31" t="s">
        <v>1078</v>
      </c>
      <c r="K18" s="31" t="s">
        <v>1094</v>
      </c>
      <c r="L18" s="31" t="s">
        <v>162</v>
      </c>
      <c r="M18" s="31" t="s">
        <v>144</v>
      </c>
      <c r="N18" s="31" t="s">
        <v>1080</v>
      </c>
      <c r="O18" s="31" t="s">
        <v>378</v>
      </c>
      <c r="P18" s="31" t="s">
        <v>378</v>
      </c>
      <c r="Q18" s="31">
        <v>7.5</v>
      </c>
      <c r="R18" s="31">
        <v>28.8</v>
      </c>
      <c r="S18" s="31">
        <v>0.56000000000000005</v>
      </c>
      <c r="T18" s="31">
        <v>1.5</v>
      </c>
      <c r="U18" s="397">
        <v>0.01</v>
      </c>
      <c r="V18" s="31" t="s">
        <v>144</v>
      </c>
      <c r="W18" s="31" t="s">
        <v>144</v>
      </c>
      <c r="X18" s="31">
        <v>21.3</v>
      </c>
      <c r="Y18" s="31">
        <v>173</v>
      </c>
      <c r="Z18" s="31" t="s">
        <v>379</v>
      </c>
      <c r="AA18" s="31" t="s">
        <v>144</v>
      </c>
    </row>
    <row r="19" spans="5:27" s="31" customFormat="1" ht="15" customHeight="1" x14ac:dyDescent="0.25">
      <c r="E19" s="31" t="s">
        <v>200</v>
      </c>
      <c r="F19" s="31" t="s">
        <v>140</v>
      </c>
      <c r="G19" s="31" t="s">
        <v>197</v>
      </c>
      <c r="H19" s="31" t="s">
        <v>198</v>
      </c>
      <c r="I19" s="31" t="s">
        <v>481</v>
      </c>
      <c r="J19" s="31" t="s">
        <v>1078</v>
      </c>
      <c r="K19" s="31" t="s">
        <v>1095</v>
      </c>
      <c r="L19" s="31" t="s">
        <v>162</v>
      </c>
      <c r="M19" s="31" t="s">
        <v>144</v>
      </c>
      <c r="N19" s="31" t="s">
        <v>1080</v>
      </c>
      <c r="O19" s="31" t="s">
        <v>378</v>
      </c>
      <c r="P19" s="31" t="s">
        <v>378</v>
      </c>
      <c r="Q19" s="31">
        <v>7.5</v>
      </c>
      <c r="R19" s="31">
        <v>28.8</v>
      </c>
      <c r="S19" s="31">
        <v>0.56000000000000005</v>
      </c>
      <c r="T19" s="31">
        <v>1.5</v>
      </c>
      <c r="U19" s="397">
        <v>0.01</v>
      </c>
      <c r="V19" s="31" t="s">
        <v>144</v>
      </c>
      <c r="W19" s="31" t="s">
        <v>144</v>
      </c>
      <c r="X19" s="31">
        <v>21.3</v>
      </c>
      <c r="Y19" s="31">
        <v>173</v>
      </c>
      <c r="Z19" s="31" t="s">
        <v>379</v>
      </c>
      <c r="AA19" s="31" t="s">
        <v>144</v>
      </c>
    </row>
    <row r="20" spans="5:27" s="31" customFormat="1" ht="15" customHeight="1" x14ac:dyDescent="0.25">
      <c r="E20" s="31" t="s">
        <v>200</v>
      </c>
      <c r="F20" s="31" t="s">
        <v>140</v>
      </c>
      <c r="G20" s="31" t="s">
        <v>197</v>
      </c>
      <c r="H20" s="31" t="s">
        <v>198</v>
      </c>
      <c r="I20" s="31" t="s">
        <v>481</v>
      </c>
      <c r="J20" s="31" t="s">
        <v>1078</v>
      </c>
      <c r="K20" s="31" t="s">
        <v>1096</v>
      </c>
      <c r="L20" s="31" t="s">
        <v>162</v>
      </c>
      <c r="M20" s="31" t="s">
        <v>144</v>
      </c>
      <c r="N20" s="31" t="s">
        <v>1080</v>
      </c>
      <c r="O20" s="31" t="s">
        <v>378</v>
      </c>
      <c r="P20" s="31" t="s">
        <v>378</v>
      </c>
      <c r="Q20" s="31">
        <v>7.5</v>
      </c>
      <c r="R20" s="31">
        <v>28.8</v>
      </c>
      <c r="S20" s="31">
        <v>0.56000000000000005</v>
      </c>
      <c r="T20" s="31">
        <v>1.5</v>
      </c>
      <c r="U20" s="397">
        <v>0.01</v>
      </c>
      <c r="V20" s="31" t="s">
        <v>144</v>
      </c>
      <c r="W20" s="31" t="s">
        <v>144</v>
      </c>
      <c r="X20" s="31">
        <v>21.3</v>
      </c>
      <c r="Y20" s="31">
        <v>173</v>
      </c>
      <c r="Z20" s="31" t="s">
        <v>379</v>
      </c>
      <c r="AA20" s="31" t="s">
        <v>144</v>
      </c>
    </row>
    <row r="21" spans="5:27" s="31" customFormat="1" ht="15" customHeight="1" x14ac:dyDescent="0.25">
      <c r="E21" s="31" t="s">
        <v>200</v>
      </c>
      <c r="F21" s="31" t="s">
        <v>140</v>
      </c>
      <c r="G21" s="31" t="s">
        <v>197</v>
      </c>
      <c r="H21" s="31" t="s">
        <v>198</v>
      </c>
      <c r="I21" s="31" t="s">
        <v>481</v>
      </c>
      <c r="J21" s="31" t="s">
        <v>1078</v>
      </c>
      <c r="K21" s="31" t="s">
        <v>1097</v>
      </c>
      <c r="L21" s="31" t="s">
        <v>162</v>
      </c>
      <c r="M21" s="31" t="s">
        <v>144</v>
      </c>
      <c r="N21" s="31" t="s">
        <v>1080</v>
      </c>
      <c r="O21" s="31" t="s">
        <v>378</v>
      </c>
      <c r="P21" s="31" t="s">
        <v>378</v>
      </c>
      <c r="Q21" s="31">
        <v>7.5</v>
      </c>
      <c r="R21" s="31">
        <v>28.8</v>
      </c>
      <c r="S21" s="31">
        <v>0.56000000000000005</v>
      </c>
      <c r="T21" s="31">
        <v>1.5</v>
      </c>
      <c r="U21" s="397">
        <v>0.01</v>
      </c>
      <c r="V21" s="31" t="s">
        <v>144</v>
      </c>
      <c r="W21" s="31" t="s">
        <v>144</v>
      </c>
      <c r="X21" s="31">
        <v>21.3</v>
      </c>
      <c r="Y21" s="31">
        <v>173</v>
      </c>
      <c r="Z21" s="31" t="s">
        <v>379</v>
      </c>
      <c r="AA21" s="31" t="s">
        <v>144</v>
      </c>
    </row>
    <row r="22" spans="5:27" s="31" customFormat="1" ht="15" customHeight="1" x14ac:dyDescent="0.25">
      <c r="E22" s="31" t="s">
        <v>200</v>
      </c>
      <c r="F22" s="31" t="s">
        <v>140</v>
      </c>
      <c r="G22" s="31" t="s">
        <v>197</v>
      </c>
      <c r="H22" s="31" t="s">
        <v>198</v>
      </c>
      <c r="I22" s="31" t="s">
        <v>481</v>
      </c>
      <c r="J22" s="31" t="s">
        <v>1078</v>
      </c>
      <c r="K22" s="31" t="s">
        <v>1098</v>
      </c>
      <c r="L22" s="31" t="s">
        <v>162</v>
      </c>
      <c r="M22" s="31" t="s">
        <v>144</v>
      </c>
      <c r="N22" s="31" t="s">
        <v>1080</v>
      </c>
      <c r="O22" s="31" t="s">
        <v>378</v>
      </c>
      <c r="P22" s="31" t="s">
        <v>378</v>
      </c>
      <c r="Q22" s="31">
        <v>7.5</v>
      </c>
      <c r="R22" s="31">
        <v>28.8</v>
      </c>
      <c r="S22" s="31">
        <v>0.56000000000000005</v>
      </c>
      <c r="T22" s="31">
        <v>1.5</v>
      </c>
      <c r="U22" s="397">
        <v>0.01</v>
      </c>
      <c r="V22" s="31" t="s">
        <v>144</v>
      </c>
      <c r="W22" s="31" t="s">
        <v>144</v>
      </c>
      <c r="X22" s="31">
        <v>21.3</v>
      </c>
      <c r="Y22" s="31">
        <v>173</v>
      </c>
      <c r="Z22" s="31" t="s">
        <v>379</v>
      </c>
      <c r="AA22" s="31" t="s">
        <v>144</v>
      </c>
    </row>
    <row r="23" spans="5:27" s="31" customFormat="1" ht="15" customHeight="1" x14ac:dyDescent="0.25">
      <c r="E23" s="31" t="s">
        <v>200</v>
      </c>
      <c r="F23" s="31" t="s">
        <v>140</v>
      </c>
      <c r="G23" s="31" t="s">
        <v>197</v>
      </c>
      <c r="H23" s="31" t="s">
        <v>198</v>
      </c>
      <c r="I23" s="31" t="s">
        <v>481</v>
      </c>
      <c r="J23" s="31" t="s">
        <v>1078</v>
      </c>
      <c r="K23" s="31" t="s">
        <v>1099</v>
      </c>
      <c r="L23" s="31" t="s">
        <v>162</v>
      </c>
      <c r="M23" s="31" t="s">
        <v>144</v>
      </c>
      <c r="N23" s="31" t="s">
        <v>1080</v>
      </c>
      <c r="O23" s="31" t="s">
        <v>378</v>
      </c>
      <c r="P23" s="31" t="s">
        <v>378</v>
      </c>
      <c r="Q23" s="31">
        <v>7.5</v>
      </c>
      <c r="R23" s="31">
        <v>28.8</v>
      </c>
      <c r="S23" s="31">
        <v>0.56000000000000005</v>
      </c>
      <c r="T23" s="31">
        <v>1.5</v>
      </c>
      <c r="U23" s="397">
        <v>0.01</v>
      </c>
      <c r="V23" s="31" t="s">
        <v>144</v>
      </c>
      <c r="W23" s="31" t="s">
        <v>144</v>
      </c>
      <c r="X23" s="31">
        <v>21.3</v>
      </c>
      <c r="Y23" s="31">
        <v>173</v>
      </c>
      <c r="Z23" s="31" t="s">
        <v>379</v>
      </c>
      <c r="AA23" s="31" t="s">
        <v>144</v>
      </c>
    </row>
    <row r="24" spans="5:27" s="31" customFormat="1" ht="15" customHeight="1" x14ac:dyDescent="0.25">
      <c r="E24" s="31" t="s">
        <v>200</v>
      </c>
      <c r="F24" s="31" t="s">
        <v>140</v>
      </c>
      <c r="G24" s="31" t="s">
        <v>197</v>
      </c>
      <c r="H24" s="31" t="s">
        <v>198</v>
      </c>
      <c r="I24" s="31" t="s">
        <v>481</v>
      </c>
      <c r="J24" s="31" t="s">
        <v>1078</v>
      </c>
      <c r="K24" s="31" t="s">
        <v>1100</v>
      </c>
      <c r="L24" s="31" t="s">
        <v>162</v>
      </c>
      <c r="M24" s="31" t="s">
        <v>144</v>
      </c>
      <c r="N24" s="31" t="s">
        <v>1080</v>
      </c>
      <c r="O24" s="31" t="s">
        <v>378</v>
      </c>
      <c r="P24" s="31" t="s">
        <v>378</v>
      </c>
      <c r="Q24" s="31">
        <v>7.5</v>
      </c>
      <c r="R24" s="31">
        <v>28.8</v>
      </c>
      <c r="S24" s="31">
        <v>0.56000000000000005</v>
      </c>
      <c r="T24" s="31">
        <v>1.5</v>
      </c>
      <c r="U24" s="397">
        <v>0.01</v>
      </c>
      <c r="V24" s="31" t="s">
        <v>144</v>
      </c>
      <c r="W24" s="31" t="s">
        <v>144</v>
      </c>
      <c r="X24" s="31">
        <v>21.3</v>
      </c>
      <c r="Y24" s="31">
        <v>173</v>
      </c>
      <c r="Z24" s="31" t="s">
        <v>379</v>
      </c>
      <c r="AA24" s="31" t="s">
        <v>144</v>
      </c>
    </row>
    <row r="25" spans="5:27" s="31" customFormat="1" ht="15" customHeight="1" x14ac:dyDescent="0.25">
      <c r="E25" s="31" t="s">
        <v>200</v>
      </c>
      <c r="F25" s="31" t="s">
        <v>140</v>
      </c>
      <c r="G25" s="31" t="s">
        <v>197</v>
      </c>
      <c r="H25" s="31" t="s">
        <v>198</v>
      </c>
      <c r="I25" s="31" t="s">
        <v>481</v>
      </c>
      <c r="J25" s="31" t="s">
        <v>1078</v>
      </c>
      <c r="K25" s="31" t="s">
        <v>1101</v>
      </c>
      <c r="L25" s="31" t="s">
        <v>162</v>
      </c>
      <c r="M25" s="31" t="s">
        <v>144</v>
      </c>
      <c r="N25" s="31" t="s">
        <v>1080</v>
      </c>
      <c r="O25" s="31" t="s">
        <v>378</v>
      </c>
      <c r="P25" s="31" t="s">
        <v>378</v>
      </c>
      <c r="Q25" s="31">
        <v>7.5</v>
      </c>
      <c r="R25" s="31">
        <v>28.8</v>
      </c>
      <c r="S25" s="31">
        <v>0.56000000000000005</v>
      </c>
      <c r="T25" s="31">
        <v>1.5</v>
      </c>
      <c r="U25" s="397">
        <v>0.01</v>
      </c>
      <c r="V25" s="31" t="s">
        <v>144</v>
      </c>
      <c r="W25" s="31" t="s">
        <v>144</v>
      </c>
      <c r="X25" s="31">
        <v>21.3</v>
      </c>
      <c r="Y25" s="31">
        <v>173</v>
      </c>
      <c r="Z25" s="31" t="s">
        <v>379</v>
      </c>
      <c r="AA25" s="31" t="s">
        <v>144</v>
      </c>
    </row>
    <row r="26" spans="5:27" s="31" customFormat="1" ht="15" customHeight="1" x14ac:dyDescent="0.25">
      <c r="E26" s="31" t="s">
        <v>200</v>
      </c>
      <c r="F26" s="31" t="s">
        <v>140</v>
      </c>
      <c r="G26" s="31" t="s">
        <v>197</v>
      </c>
      <c r="H26" s="31" t="s">
        <v>198</v>
      </c>
      <c r="I26" s="31" t="s">
        <v>481</v>
      </c>
      <c r="J26" s="31" t="s">
        <v>1078</v>
      </c>
      <c r="K26" s="31" t="s">
        <v>1102</v>
      </c>
      <c r="L26" s="31" t="s">
        <v>162</v>
      </c>
      <c r="M26" s="31" t="s">
        <v>144</v>
      </c>
      <c r="N26" s="31" t="s">
        <v>1080</v>
      </c>
      <c r="O26" s="31" t="s">
        <v>378</v>
      </c>
      <c r="P26" s="31" t="s">
        <v>378</v>
      </c>
      <c r="Q26" s="31">
        <v>7.5</v>
      </c>
      <c r="R26" s="31">
        <v>28.8</v>
      </c>
      <c r="S26" s="31">
        <v>0.56000000000000005</v>
      </c>
      <c r="T26" s="31">
        <v>1.5</v>
      </c>
      <c r="U26" s="397">
        <v>0.01</v>
      </c>
      <c r="V26" s="31" t="s">
        <v>144</v>
      </c>
      <c r="W26" s="31" t="s">
        <v>144</v>
      </c>
      <c r="X26" s="31">
        <v>21.3</v>
      </c>
      <c r="Y26" s="31">
        <v>173</v>
      </c>
      <c r="Z26" s="31" t="s">
        <v>379</v>
      </c>
      <c r="AA26" s="31" t="s">
        <v>144</v>
      </c>
    </row>
    <row r="27" spans="5:27" s="31" customFormat="1" ht="15" customHeight="1" x14ac:dyDescent="0.25">
      <c r="U27" s="396"/>
    </row>
    <row r="28" spans="5:27" s="31" customFormat="1" ht="15" customHeight="1" x14ac:dyDescent="0.25">
      <c r="U28" s="396"/>
    </row>
    <row r="29" spans="5:27" s="31" customFormat="1" ht="15" customHeight="1" x14ac:dyDescent="0.25">
      <c r="E29" s="31" t="s">
        <v>200</v>
      </c>
      <c r="F29" s="31" t="s">
        <v>140</v>
      </c>
      <c r="G29" s="31" t="s">
        <v>197</v>
      </c>
      <c r="H29" s="31" t="s">
        <v>198</v>
      </c>
      <c r="I29" s="31" t="s">
        <v>481</v>
      </c>
      <c r="J29" s="31" t="s">
        <v>1103</v>
      </c>
      <c r="K29" s="31" t="s">
        <v>1104</v>
      </c>
      <c r="L29" s="31" t="s">
        <v>162</v>
      </c>
      <c r="M29" s="31" t="s">
        <v>144</v>
      </c>
      <c r="N29" s="31" t="s">
        <v>1105</v>
      </c>
      <c r="O29" s="31" t="s">
        <v>378</v>
      </c>
      <c r="P29" s="31" t="s">
        <v>378</v>
      </c>
      <c r="Q29" s="31">
        <v>7.5</v>
      </c>
      <c r="R29" s="31">
        <v>28.8</v>
      </c>
      <c r="S29" s="31">
        <v>0.56000000000000005</v>
      </c>
      <c r="T29" s="31">
        <v>1.5</v>
      </c>
      <c r="U29" s="397">
        <v>0.01</v>
      </c>
      <c r="V29" s="31" t="s">
        <v>144</v>
      </c>
      <c r="W29" s="31" t="s">
        <v>144</v>
      </c>
      <c r="X29" s="31">
        <v>21.3</v>
      </c>
      <c r="Y29" s="31">
        <v>173</v>
      </c>
      <c r="Z29" s="31" t="s">
        <v>379</v>
      </c>
      <c r="AA29" s="31" t="s">
        <v>144</v>
      </c>
    </row>
    <row r="30" spans="5:27" s="31" customFormat="1" ht="15" customHeight="1" x14ac:dyDescent="0.25">
      <c r="E30" s="31" t="s">
        <v>200</v>
      </c>
      <c r="F30" s="31" t="s">
        <v>140</v>
      </c>
      <c r="G30" s="31" t="s">
        <v>197</v>
      </c>
      <c r="H30" s="31" t="s">
        <v>198</v>
      </c>
      <c r="I30" s="31" t="s">
        <v>481</v>
      </c>
      <c r="J30" s="31" t="s">
        <v>1103</v>
      </c>
      <c r="K30" s="31" t="s">
        <v>1106</v>
      </c>
      <c r="L30" s="31" t="s">
        <v>162</v>
      </c>
      <c r="M30" s="31" t="s">
        <v>144</v>
      </c>
      <c r="N30" s="31" t="s">
        <v>1105</v>
      </c>
      <c r="O30" s="31" t="s">
        <v>378</v>
      </c>
      <c r="P30" s="31" t="s">
        <v>378</v>
      </c>
      <c r="Q30" s="31">
        <v>7.5</v>
      </c>
      <c r="R30" s="31">
        <v>28.8</v>
      </c>
      <c r="S30" s="31">
        <v>0.56000000000000005</v>
      </c>
      <c r="T30" s="31">
        <v>1.5</v>
      </c>
      <c r="U30" s="397">
        <v>0.01</v>
      </c>
      <c r="V30" s="31" t="s">
        <v>144</v>
      </c>
      <c r="W30" s="31" t="s">
        <v>144</v>
      </c>
      <c r="X30" s="31">
        <v>21.3</v>
      </c>
      <c r="Y30" s="31">
        <v>173</v>
      </c>
      <c r="Z30" s="31" t="s">
        <v>379</v>
      </c>
      <c r="AA30" s="31" t="s">
        <v>144</v>
      </c>
    </row>
    <row r="31" spans="5:27" s="31" customFormat="1" ht="15" customHeight="1" x14ac:dyDescent="0.25">
      <c r="E31" s="31" t="s">
        <v>200</v>
      </c>
      <c r="F31" s="31" t="s">
        <v>140</v>
      </c>
      <c r="G31" s="31" t="s">
        <v>197</v>
      </c>
      <c r="H31" s="31" t="s">
        <v>198</v>
      </c>
      <c r="I31" s="31" t="s">
        <v>481</v>
      </c>
      <c r="J31" s="31" t="s">
        <v>1103</v>
      </c>
      <c r="K31" s="31" t="s">
        <v>1107</v>
      </c>
      <c r="L31" s="31" t="s">
        <v>162</v>
      </c>
      <c r="M31" s="31" t="s">
        <v>144</v>
      </c>
      <c r="N31" s="31" t="s">
        <v>1105</v>
      </c>
      <c r="O31" s="31" t="s">
        <v>378</v>
      </c>
      <c r="P31" s="31" t="s">
        <v>378</v>
      </c>
      <c r="Q31" s="31">
        <v>7.5</v>
      </c>
      <c r="R31" s="31">
        <v>28.8</v>
      </c>
      <c r="S31" s="31">
        <v>0.56000000000000005</v>
      </c>
      <c r="T31" s="31">
        <v>1.5</v>
      </c>
      <c r="U31" s="397">
        <v>0.01</v>
      </c>
      <c r="V31" s="31" t="s">
        <v>144</v>
      </c>
      <c r="W31" s="31" t="s">
        <v>144</v>
      </c>
      <c r="X31" s="31">
        <v>21.3</v>
      </c>
      <c r="Y31" s="31">
        <v>173</v>
      </c>
      <c r="Z31" s="31" t="s">
        <v>379</v>
      </c>
      <c r="AA31" s="31" t="s">
        <v>144</v>
      </c>
    </row>
    <row r="32" spans="5:27" s="31" customFormat="1" ht="15" customHeight="1" x14ac:dyDescent="0.25">
      <c r="E32" s="31" t="s">
        <v>200</v>
      </c>
      <c r="F32" s="31" t="s">
        <v>140</v>
      </c>
      <c r="G32" s="31" t="s">
        <v>197</v>
      </c>
      <c r="H32" s="31" t="s">
        <v>198</v>
      </c>
      <c r="I32" s="31" t="s">
        <v>481</v>
      </c>
      <c r="J32" s="31" t="s">
        <v>1103</v>
      </c>
      <c r="K32" s="31" t="s">
        <v>1108</v>
      </c>
      <c r="L32" s="31" t="s">
        <v>162</v>
      </c>
      <c r="M32" s="31" t="s">
        <v>144</v>
      </c>
      <c r="N32" s="31" t="s">
        <v>1105</v>
      </c>
      <c r="O32" s="31" t="s">
        <v>378</v>
      </c>
      <c r="P32" s="31" t="s">
        <v>378</v>
      </c>
      <c r="Q32" s="31">
        <v>7.5</v>
      </c>
      <c r="R32" s="31">
        <v>28.8</v>
      </c>
      <c r="S32" s="31">
        <v>0.56000000000000005</v>
      </c>
      <c r="T32" s="31">
        <v>1.5</v>
      </c>
      <c r="U32" s="397">
        <v>0.01</v>
      </c>
      <c r="V32" s="31" t="s">
        <v>144</v>
      </c>
      <c r="W32" s="31" t="s">
        <v>144</v>
      </c>
      <c r="X32" s="31">
        <v>21.3</v>
      </c>
      <c r="Y32" s="31">
        <v>173</v>
      </c>
      <c r="Z32" s="31" t="s">
        <v>379</v>
      </c>
      <c r="AA32" s="31" t="s">
        <v>144</v>
      </c>
    </row>
    <row r="33" spans="5:27" s="31" customFormat="1" ht="15" customHeight="1" x14ac:dyDescent="0.25">
      <c r="E33" s="31" t="s">
        <v>200</v>
      </c>
      <c r="F33" s="31" t="s">
        <v>140</v>
      </c>
      <c r="G33" s="31" t="s">
        <v>197</v>
      </c>
      <c r="H33" s="31" t="s">
        <v>198</v>
      </c>
      <c r="I33" s="31" t="s">
        <v>481</v>
      </c>
      <c r="J33" s="31" t="s">
        <v>1103</v>
      </c>
      <c r="K33" s="31" t="s">
        <v>1109</v>
      </c>
      <c r="L33" s="31" t="s">
        <v>162</v>
      </c>
      <c r="M33" s="31" t="s">
        <v>144</v>
      </c>
      <c r="N33" s="31" t="s">
        <v>1105</v>
      </c>
      <c r="O33" s="31" t="s">
        <v>378</v>
      </c>
      <c r="P33" s="31" t="s">
        <v>378</v>
      </c>
      <c r="Q33" s="31">
        <v>7.5</v>
      </c>
      <c r="R33" s="31">
        <v>28.8</v>
      </c>
      <c r="S33" s="31">
        <v>0.56000000000000005</v>
      </c>
      <c r="T33" s="31">
        <v>1.5</v>
      </c>
      <c r="U33" s="397">
        <v>0.01</v>
      </c>
      <c r="V33" s="31" t="s">
        <v>144</v>
      </c>
      <c r="W33" s="31" t="s">
        <v>144</v>
      </c>
      <c r="X33" s="31">
        <v>21.3</v>
      </c>
      <c r="Y33" s="31">
        <v>173</v>
      </c>
      <c r="Z33" s="31" t="s">
        <v>379</v>
      </c>
      <c r="AA33" s="31" t="s">
        <v>144</v>
      </c>
    </row>
    <row r="34" spans="5:27" s="31" customFormat="1" ht="15" customHeight="1" x14ac:dyDescent="0.25">
      <c r="E34" s="31" t="s">
        <v>200</v>
      </c>
      <c r="F34" s="31" t="s">
        <v>140</v>
      </c>
      <c r="G34" s="31" t="s">
        <v>197</v>
      </c>
      <c r="H34" s="31" t="s">
        <v>198</v>
      </c>
      <c r="I34" s="31" t="s">
        <v>481</v>
      </c>
      <c r="J34" s="31" t="s">
        <v>1103</v>
      </c>
      <c r="K34" s="31" t="s">
        <v>1110</v>
      </c>
      <c r="L34" s="31" t="s">
        <v>162</v>
      </c>
      <c r="M34" s="31" t="s">
        <v>144</v>
      </c>
      <c r="N34" s="31" t="s">
        <v>1105</v>
      </c>
      <c r="O34" s="31" t="s">
        <v>378</v>
      </c>
      <c r="P34" s="31" t="s">
        <v>378</v>
      </c>
      <c r="Q34" s="31">
        <v>7.5</v>
      </c>
      <c r="R34" s="31">
        <v>28.8</v>
      </c>
      <c r="S34" s="31">
        <v>0.56000000000000005</v>
      </c>
      <c r="T34" s="31">
        <v>1.5</v>
      </c>
      <c r="U34" s="397">
        <v>0.01</v>
      </c>
      <c r="V34" s="31" t="s">
        <v>144</v>
      </c>
      <c r="W34" s="31" t="s">
        <v>144</v>
      </c>
      <c r="X34" s="31">
        <v>21.3</v>
      </c>
      <c r="Y34" s="31">
        <v>173</v>
      </c>
      <c r="Z34" s="31" t="s">
        <v>379</v>
      </c>
      <c r="AA34" s="31" t="s">
        <v>144</v>
      </c>
    </row>
    <row r="35" spans="5:27" s="31" customFormat="1" ht="15" customHeight="1" x14ac:dyDescent="0.25">
      <c r="E35" s="31" t="s">
        <v>200</v>
      </c>
      <c r="F35" s="31" t="s">
        <v>140</v>
      </c>
      <c r="G35" s="31" t="s">
        <v>197</v>
      </c>
      <c r="H35" s="31" t="s">
        <v>198</v>
      </c>
      <c r="I35" s="31" t="s">
        <v>481</v>
      </c>
      <c r="J35" s="31" t="s">
        <v>1103</v>
      </c>
      <c r="K35" s="31" t="s">
        <v>1111</v>
      </c>
      <c r="L35" s="31" t="s">
        <v>162</v>
      </c>
      <c r="M35" s="31" t="s">
        <v>144</v>
      </c>
      <c r="N35" s="31" t="s">
        <v>1105</v>
      </c>
      <c r="O35" s="31" t="s">
        <v>378</v>
      </c>
      <c r="P35" s="31" t="s">
        <v>378</v>
      </c>
      <c r="Q35" s="31">
        <v>7.5</v>
      </c>
      <c r="R35" s="31">
        <v>28.8</v>
      </c>
      <c r="S35" s="31">
        <v>0.56000000000000005</v>
      </c>
      <c r="T35" s="31">
        <v>1.5</v>
      </c>
      <c r="U35" s="397">
        <v>0.01</v>
      </c>
      <c r="V35" s="31" t="s">
        <v>144</v>
      </c>
      <c r="W35" s="31" t="s">
        <v>144</v>
      </c>
      <c r="X35" s="31">
        <v>21.3</v>
      </c>
      <c r="Y35" s="31">
        <v>173</v>
      </c>
      <c r="Z35" s="31" t="s">
        <v>379</v>
      </c>
      <c r="AA35" s="31" t="s">
        <v>144</v>
      </c>
    </row>
    <row r="36" spans="5:27" s="31" customFormat="1" ht="15" customHeight="1" x14ac:dyDescent="0.25">
      <c r="E36" s="31" t="s">
        <v>200</v>
      </c>
      <c r="F36" s="31" t="s">
        <v>140</v>
      </c>
      <c r="G36" s="31" t="s">
        <v>197</v>
      </c>
      <c r="H36" s="31" t="s">
        <v>198</v>
      </c>
      <c r="I36" s="31" t="s">
        <v>481</v>
      </c>
      <c r="J36" s="31" t="s">
        <v>1103</v>
      </c>
      <c r="K36" s="31" t="s">
        <v>1112</v>
      </c>
      <c r="L36" s="31" t="s">
        <v>162</v>
      </c>
      <c r="M36" s="31" t="s">
        <v>144</v>
      </c>
      <c r="N36" s="31" t="s">
        <v>1105</v>
      </c>
      <c r="O36" s="31" t="s">
        <v>378</v>
      </c>
      <c r="P36" s="31" t="s">
        <v>378</v>
      </c>
      <c r="Q36" s="31">
        <v>7.5</v>
      </c>
      <c r="R36" s="31">
        <v>28.8</v>
      </c>
      <c r="S36" s="31">
        <v>0.56000000000000005</v>
      </c>
      <c r="T36" s="31">
        <v>1.5</v>
      </c>
      <c r="U36" s="397">
        <v>0.01</v>
      </c>
      <c r="V36" s="31" t="s">
        <v>144</v>
      </c>
      <c r="W36" s="31" t="s">
        <v>144</v>
      </c>
      <c r="X36" s="31">
        <v>21.3</v>
      </c>
      <c r="Y36" s="31">
        <v>173</v>
      </c>
      <c r="Z36" s="31" t="s">
        <v>379</v>
      </c>
      <c r="AA36" s="31" t="s">
        <v>144</v>
      </c>
    </row>
    <row r="37" spans="5:27" s="31" customFormat="1" ht="15" customHeight="1" x14ac:dyDescent="0.25">
      <c r="E37" s="31" t="s">
        <v>200</v>
      </c>
      <c r="F37" s="31" t="s">
        <v>140</v>
      </c>
      <c r="G37" s="31" t="s">
        <v>197</v>
      </c>
      <c r="H37" s="31" t="s">
        <v>198</v>
      </c>
      <c r="I37" s="31" t="s">
        <v>481</v>
      </c>
      <c r="J37" s="31" t="s">
        <v>1103</v>
      </c>
      <c r="K37" s="31" t="s">
        <v>1113</v>
      </c>
      <c r="L37" s="31" t="s">
        <v>162</v>
      </c>
      <c r="M37" s="31" t="s">
        <v>144</v>
      </c>
      <c r="N37" s="31" t="s">
        <v>1105</v>
      </c>
      <c r="O37" s="31" t="s">
        <v>378</v>
      </c>
      <c r="P37" s="31" t="s">
        <v>378</v>
      </c>
      <c r="Q37" s="31">
        <v>7.5</v>
      </c>
      <c r="R37" s="31">
        <v>28.8</v>
      </c>
      <c r="S37" s="31">
        <v>0.56000000000000005</v>
      </c>
      <c r="T37" s="31">
        <v>1.5</v>
      </c>
      <c r="U37" s="397">
        <v>0.01</v>
      </c>
      <c r="V37" s="31" t="s">
        <v>144</v>
      </c>
      <c r="W37" s="31" t="s">
        <v>144</v>
      </c>
      <c r="X37" s="31">
        <v>21.3</v>
      </c>
      <c r="Y37" s="31">
        <v>173</v>
      </c>
      <c r="Z37" s="31" t="s">
        <v>379</v>
      </c>
      <c r="AA37" s="31" t="s">
        <v>144</v>
      </c>
    </row>
    <row r="38" spans="5:27" s="31" customFormat="1" ht="15" customHeight="1" x14ac:dyDescent="0.25">
      <c r="E38" s="31" t="s">
        <v>200</v>
      </c>
      <c r="F38" s="31" t="s">
        <v>140</v>
      </c>
      <c r="G38" s="31" t="s">
        <v>197</v>
      </c>
      <c r="H38" s="31" t="s">
        <v>198</v>
      </c>
      <c r="I38" s="31" t="s">
        <v>481</v>
      </c>
      <c r="J38" s="31" t="s">
        <v>1103</v>
      </c>
      <c r="K38" s="31" t="s">
        <v>1114</v>
      </c>
      <c r="L38" s="31" t="s">
        <v>162</v>
      </c>
      <c r="M38" s="31" t="s">
        <v>144</v>
      </c>
      <c r="N38" s="31" t="s">
        <v>1105</v>
      </c>
      <c r="O38" s="31" t="s">
        <v>378</v>
      </c>
      <c r="P38" s="31" t="s">
        <v>378</v>
      </c>
      <c r="Q38" s="31">
        <v>7.5</v>
      </c>
      <c r="R38" s="31">
        <v>28.8</v>
      </c>
      <c r="S38" s="31">
        <v>0.56000000000000005</v>
      </c>
      <c r="T38" s="31">
        <v>1.5</v>
      </c>
      <c r="U38" s="397">
        <v>0.01</v>
      </c>
      <c r="V38" s="31" t="s">
        <v>144</v>
      </c>
      <c r="W38" s="31" t="s">
        <v>144</v>
      </c>
      <c r="X38" s="31">
        <v>21.3</v>
      </c>
      <c r="Y38" s="31">
        <v>173</v>
      </c>
      <c r="Z38" s="31" t="s">
        <v>379</v>
      </c>
      <c r="AA38" s="31" t="s">
        <v>144</v>
      </c>
    </row>
    <row r="39" spans="5:27" s="31" customFormat="1" ht="15" customHeight="1" x14ac:dyDescent="0.25">
      <c r="E39" s="31" t="s">
        <v>200</v>
      </c>
      <c r="F39" s="31" t="s">
        <v>140</v>
      </c>
      <c r="G39" s="31" t="s">
        <v>197</v>
      </c>
      <c r="H39" s="31" t="s">
        <v>198</v>
      </c>
      <c r="I39" s="31" t="s">
        <v>481</v>
      </c>
      <c r="J39" s="31" t="s">
        <v>1103</v>
      </c>
      <c r="K39" s="31" t="s">
        <v>1115</v>
      </c>
      <c r="L39" s="31" t="s">
        <v>162</v>
      </c>
      <c r="M39" s="31" t="s">
        <v>144</v>
      </c>
      <c r="N39" s="31" t="s">
        <v>1105</v>
      </c>
      <c r="O39" s="31" t="s">
        <v>378</v>
      </c>
      <c r="P39" s="31" t="s">
        <v>378</v>
      </c>
      <c r="Q39" s="31">
        <v>7.5</v>
      </c>
      <c r="R39" s="31">
        <v>28.8</v>
      </c>
      <c r="S39" s="31">
        <v>0.56000000000000005</v>
      </c>
      <c r="T39" s="31">
        <v>1.5</v>
      </c>
      <c r="U39" s="397">
        <v>0.01</v>
      </c>
      <c r="V39" s="31" t="s">
        <v>144</v>
      </c>
      <c r="W39" s="31" t="s">
        <v>144</v>
      </c>
      <c r="X39" s="31">
        <v>21.3</v>
      </c>
      <c r="Y39" s="31">
        <v>173</v>
      </c>
      <c r="Z39" s="31" t="s">
        <v>379</v>
      </c>
      <c r="AA39" s="31" t="s">
        <v>144</v>
      </c>
    </row>
    <row r="40" spans="5:27" s="31" customFormat="1" ht="15" customHeight="1" x14ac:dyDescent="0.25">
      <c r="E40" s="31" t="s">
        <v>200</v>
      </c>
      <c r="F40" s="31" t="s">
        <v>140</v>
      </c>
      <c r="G40" s="31" t="s">
        <v>197</v>
      </c>
      <c r="H40" s="31" t="s">
        <v>198</v>
      </c>
      <c r="I40" s="31" t="s">
        <v>481</v>
      </c>
      <c r="J40" s="31" t="s">
        <v>1103</v>
      </c>
      <c r="K40" s="31" t="s">
        <v>1116</v>
      </c>
      <c r="L40" s="31" t="s">
        <v>162</v>
      </c>
      <c r="M40" s="31" t="s">
        <v>144</v>
      </c>
      <c r="N40" s="31" t="s">
        <v>1105</v>
      </c>
      <c r="O40" s="31" t="s">
        <v>378</v>
      </c>
      <c r="P40" s="31" t="s">
        <v>378</v>
      </c>
      <c r="Q40" s="31">
        <v>7.5</v>
      </c>
      <c r="R40" s="31">
        <v>28.8</v>
      </c>
      <c r="S40" s="31">
        <v>0.56000000000000005</v>
      </c>
      <c r="T40" s="31">
        <v>1.5</v>
      </c>
      <c r="U40" s="397">
        <v>0.01</v>
      </c>
      <c r="V40" s="31" t="s">
        <v>144</v>
      </c>
      <c r="W40" s="31" t="s">
        <v>144</v>
      </c>
      <c r="X40" s="31">
        <v>21.3</v>
      </c>
      <c r="Y40" s="31">
        <v>173</v>
      </c>
      <c r="Z40" s="31" t="s">
        <v>379</v>
      </c>
      <c r="AA40" s="31" t="s">
        <v>144</v>
      </c>
    </row>
    <row r="41" spans="5:27" s="31" customFormat="1" ht="15" customHeight="1" x14ac:dyDescent="0.25">
      <c r="U41" s="396"/>
    </row>
    <row r="42" spans="5:27" s="31" customFormat="1" ht="15" customHeight="1" x14ac:dyDescent="0.25">
      <c r="U42" s="396"/>
    </row>
    <row r="43" spans="5:27" s="31" customFormat="1" ht="15" customHeight="1" x14ac:dyDescent="0.25">
      <c r="E43" s="31" t="s">
        <v>200</v>
      </c>
      <c r="F43" s="31" t="s">
        <v>140</v>
      </c>
      <c r="G43" s="31" t="s">
        <v>197</v>
      </c>
      <c r="H43" s="31" t="s">
        <v>198</v>
      </c>
      <c r="I43" s="31" t="s">
        <v>481</v>
      </c>
      <c r="J43" s="31" t="s">
        <v>1117</v>
      </c>
      <c r="K43" s="31" t="s">
        <v>1118</v>
      </c>
      <c r="L43" s="31" t="s">
        <v>162</v>
      </c>
      <c r="M43" s="31" t="s">
        <v>144</v>
      </c>
      <c r="N43" s="31" t="s">
        <v>1119</v>
      </c>
      <c r="O43" s="31" t="s">
        <v>378</v>
      </c>
      <c r="P43" s="31" t="s">
        <v>378</v>
      </c>
      <c r="Q43" s="31">
        <v>7.5</v>
      </c>
      <c r="R43" s="31">
        <v>28.8</v>
      </c>
      <c r="S43" s="31">
        <v>0.56000000000000005</v>
      </c>
      <c r="T43" s="31">
        <v>1.5</v>
      </c>
      <c r="U43" s="397">
        <v>0.01</v>
      </c>
      <c r="V43" s="31" t="s">
        <v>144</v>
      </c>
      <c r="W43" s="31" t="s">
        <v>144</v>
      </c>
      <c r="X43" s="31">
        <v>21.3</v>
      </c>
      <c r="Y43" s="31">
        <v>173</v>
      </c>
      <c r="Z43" s="31" t="s">
        <v>379</v>
      </c>
      <c r="AA43" s="31" t="s">
        <v>144</v>
      </c>
    </row>
    <row r="44" spans="5:27" s="31" customFormat="1" ht="15" customHeight="1" x14ac:dyDescent="0.25">
      <c r="E44" s="31" t="s">
        <v>200</v>
      </c>
      <c r="F44" s="31" t="s">
        <v>140</v>
      </c>
      <c r="G44" s="31" t="s">
        <v>197</v>
      </c>
      <c r="H44" s="31" t="s">
        <v>198</v>
      </c>
      <c r="I44" s="31" t="s">
        <v>481</v>
      </c>
      <c r="J44" s="31" t="s">
        <v>1117</v>
      </c>
      <c r="K44" s="31" t="s">
        <v>1120</v>
      </c>
      <c r="L44" s="31" t="s">
        <v>162</v>
      </c>
      <c r="M44" s="31" t="s">
        <v>144</v>
      </c>
      <c r="N44" s="31" t="s">
        <v>1119</v>
      </c>
      <c r="O44" s="31" t="s">
        <v>378</v>
      </c>
      <c r="P44" s="31" t="s">
        <v>378</v>
      </c>
      <c r="Q44" s="31">
        <v>7.5</v>
      </c>
      <c r="R44" s="31">
        <v>28.8</v>
      </c>
      <c r="S44" s="31">
        <v>0.56000000000000005</v>
      </c>
      <c r="T44" s="31">
        <v>1.5</v>
      </c>
      <c r="U44" s="397">
        <v>0.01</v>
      </c>
      <c r="V44" s="31" t="s">
        <v>144</v>
      </c>
      <c r="W44" s="31" t="s">
        <v>144</v>
      </c>
      <c r="X44" s="31">
        <v>21.3</v>
      </c>
      <c r="Y44" s="31">
        <v>173</v>
      </c>
      <c r="Z44" s="31" t="s">
        <v>379</v>
      </c>
      <c r="AA44" s="31" t="s">
        <v>144</v>
      </c>
    </row>
    <row r="45" spans="5:27" s="31" customFormat="1" ht="15" customHeight="1" x14ac:dyDescent="0.25">
      <c r="E45" s="31" t="s">
        <v>200</v>
      </c>
      <c r="F45" s="31" t="s">
        <v>140</v>
      </c>
      <c r="G45" s="31" t="s">
        <v>197</v>
      </c>
      <c r="H45" s="31" t="s">
        <v>198</v>
      </c>
      <c r="I45" s="31" t="s">
        <v>481</v>
      </c>
      <c r="J45" s="31" t="s">
        <v>1117</v>
      </c>
      <c r="K45" s="31" t="s">
        <v>1121</v>
      </c>
      <c r="L45" s="31" t="s">
        <v>162</v>
      </c>
      <c r="M45" s="31" t="s">
        <v>144</v>
      </c>
      <c r="N45" s="31" t="s">
        <v>1119</v>
      </c>
      <c r="O45" s="31" t="s">
        <v>378</v>
      </c>
      <c r="P45" s="31" t="s">
        <v>378</v>
      </c>
      <c r="Q45" s="31">
        <v>7.5</v>
      </c>
      <c r="R45" s="31">
        <v>28.8</v>
      </c>
      <c r="S45" s="31">
        <v>0.56000000000000005</v>
      </c>
      <c r="T45" s="31">
        <v>1.5</v>
      </c>
      <c r="U45" s="397">
        <v>0.01</v>
      </c>
      <c r="V45" s="31" t="s">
        <v>144</v>
      </c>
      <c r="W45" s="31" t="s">
        <v>144</v>
      </c>
      <c r="X45" s="31">
        <v>21.3</v>
      </c>
      <c r="Y45" s="31">
        <v>173</v>
      </c>
      <c r="Z45" s="31" t="s">
        <v>379</v>
      </c>
      <c r="AA45" s="31" t="s">
        <v>144</v>
      </c>
    </row>
    <row r="46" spans="5:27" s="31" customFormat="1" ht="15" customHeight="1" x14ac:dyDescent="0.25">
      <c r="E46" s="31" t="s">
        <v>200</v>
      </c>
      <c r="F46" s="31" t="s">
        <v>140</v>
      </c>
      <c r="G46" s="31" t="s">
        <v>197</v>
      </c>
      <c r="H46" s="31" t="s">
        <v>198</v>
      </c>
      <c r="I46" s="31" t="s">
        <v>481</v>
      </c>
      <c r="J46" s="31" t="s">
        <v>1117</v>
      </c>
      <c r="K46" s="31" t="s">
        <v>1122</v>
      </c>
      <c r="L46" s="31" t="s">
        <v>162</v>
      </c>
      <c r="M46" s="31" t="s">
        <v>144</v>
      </c>
      <c r="N46" s="31" t="s">
        <v>1119</v>
      </c>
      <c r="O46" s="31" t="s">
        <v>378</v>
      </c>
      <c r="P46" s="31" t="s">
        <v>378</v>
      </c>
      <c r="Q46" s="31">
        <v>7.5</v>
      </c>
      <c r="R46" s="31">
        <v>28.8</v>
      </c>
      <c r="S46" s="31">
        <v>0.56000000000000005</v>
      </c>
      <c r="T46" s="31">
        <v>1.5</v>
      </c>
      <c r="U46" s="397">
        <v>0.01</v>
      </c>
      <c r="V46" s="31" t="s">
        <v>144</v>
      </c>
      <c r="W46" s="31" t="s">
        <v>144</v>
      </c>
      <c r="X46" s="31">
        <v>21.3</v>
      </c>
      <c r="Y46" s="31">
        <v>173</v>
      </c>
      <c r="Z46" s="31" t="s">
        <v>379</v>
      </c>
      <c r="AA46" s="31" t="s">
        <v>144</v>
      </c>
    </row>
    <row r="47" spans="5:27" s="31" customFormat="1" ht="15" customHeight="1" x14ac:dyDescent="0.25">
      <c r="E47" s="31" t="s">
        <v>200</v>
      </c>
      <c r="F47" s="31" t="s">
        <v>140</v>
      </c>
      <c r="G47" s="31" t="s">
        <v>197</v>
      </c>
      <c r="H47" s="31" t="s">
        <v>198</v>
      </c>
      <c r="I47" s="31" t="s">
        <v>481</v>
      </c>
      <c r="J47" s="31" t="s">
        <v>1117</v>
      </c>
      <c r="K47" s="31" t="s">
        <v>1123</v>
      </c>
      <c r="L47" s="31" t="s">
        <v>162</v>
      </c>
      <c r="M47" s="31" t="s">
        <v>144</v>
      </c>
      <c r="N47" s="31" t="s">
        <v>1119</v>
      </c>
      <c r="O47" s="31" t="s">
        <v>378</v>
      </c>
      <c r="P47" s="31" t="s">
        <v>378</v>
      </c>
      <c r="Q47" s="31">
        <v>7.5</v>
      </c>
      <c r="R47" s="31">
        <v>28.8</v>
      </c>
      <c r="S47" s="31">
        <v>0.56000000000000005</v>
      </c>
      <c r="T47" s="31">
        <v>1.5</v>
      </c>
      <c r="U47" s="397">
        <v>0.01</v>
      </c>
      <c r="V47" s="31" t="s">
        <v>144</v>
      </c>
      <c r="W47" s="31" t="s">
        <v>144</v>
      </c>
      <c r="X47" s="31">
        <v>21.3</v>
      </c>
      <c r="Y47" s="31">
        <v>173</v>
      </c>
      <c r="Z47" s="31" t="s">
        <v>379</v>
      </c>
      <c r="AA47" s="31" t="s">
        <v>144</v>
      </c>
    </row>
    <row r="48" spans="5:27" s="31" customFormat="1" ht="15" customHeight="1" x14ac:dyDescent="0.25">
      <c r="E48" s="31" t="s">
        <v>200</v>
      </c>
      <c r="F48" s="31" t="s">
        <v>140</v>
      </c>
      <c r="G48" s="31" t="s">
        <v>197</v>
      </c>
      <c r="H48" s="31" t="s">
        <v>198</v>
      </c>
      <c r="I48" s="31" t="s">
        <v>481</v>
      </c>
      <c r="J48" s="31" t="s">
        <v>1117</v>
      </c>
      <c r="K48" s="31" t="s">
        <v>1124</v>
      </c>
      <c r="L48" s="31" t="s">
        <v>162</v>
      </c>
      <c r="M48" s="31" t="s">
        <v>144</v>
      </c>
      <c r="N48" s="31" t="s">
        <v>1119</v>
      </c>
      <c r="O48" s="31" t="s">
        <v>378</v>
      </c>
      <c r="P48" s="31" t="s">
        <v>378</v>
      </c>
      <c r="Q48" s="31">
        <v>7.5</v>
      </c>
      <c r="R48" s="31">
        <v>28.8</v>
      </c>
      <c r="S48" s="31">
        <v>0.56000000000000005</v>
      </c>
      <c r="T48" s="31">
        <v>1.5</v>
      </c>
      <c r="U48" s="397">
        <v>0.01</v>
      </c>
      <c r="V48" s="31" t="s">
        <v>144</v>
      </c>
      <c r="W48" s="31" t="s">
        <v>144</v>
      </c>
      <c r="X48" s="31">
        <v>21.3</v>
      </c>
      <c r="Y48" s="31">
        <v>173</v>
      </c>
      <c r="Z48" s="31" t="s">
        <v>379</v>
      </c>
      <c r="AA48" s="31" t="s">
        <v>144</v>
      </c>
    </row>
    <row r="49" spans="5:27" s="31" customFormat="1" ht="15" customHeight="1" x14ac:dyDescent="0.25">
      <c r="E49" s="31" t="s">
        <v>200</v>
      </c>
      <c r="F49" s="31" t="s">
        <v>140</v>
      </c>
      <c r="G49" s="31" t="s">
        <v>197</v>
      </c>
      <c r="H49" s="31" t="s">
        <v>198</v>
      </c>
      <c r="I49" s="31" t="s">
        <v>481</v>
      </c>
      <c r="J49" s="31" t="s">
        <v>1117</v>
      </c>
      <c r="K49" s="31" t="s">
        <v>1125</v>
      </c>
      <c r="L49" s="31" t="s">
        <v>162</v>
      </c>
      <c r="M49" s="31" t="s">
        <v>144</v>
      </c>
      <c r="N49" s="31" t="s">
        <v>1119</v>
      </c>
      <c r="O49" s="31" t="s">
        <v>378</v>
      </c>
      <c r="P49" s="31" t="s">
        <v>378</v>
      </c>
      <c r="Q49" s="31">
        <v>7.5</v>
      </c>
      <c r="R49" s="31">
        <v>28.8</v>
      </c>
      <c r="S49" s="31">
        <v>0.56000000000000005</v>
      </c>
      <c r="T49" s="31">
        <v>1.5</v>
      </c>
      <c r="U49" s="397">
        <v>0.01</v>
      </c>
      <c r="V49" s="31" t="s">
        <v>144</v>
      </c>
      <c r="W49" s="31" t="s">
        <v>144</v>
      </c>
      <c r="X49" s="31">
        <v>21.3</v>
      </c>
      <c r="Y49" s="31">
        <v>173</v>
      </c>
      <c r="Z49" s="31" t="s">
        <v>379</v>
      </c>
      <c r="AA49" s="31" t="s">
        <v>144</v>
      </c>
    </row>
    <row r="50" spans="5:27" s="31" customFormat="1" ht="15" customHeight="1" x14ac:dyDescent="0.25">
      <c r="E50" s="31" t="s">
        <v>200</v>
      </c>
      <c r="F50" s="31" t="s">
        <v>140</v>
      </c>
      <c r="G50" s="31" t="s">
        <v>197</v>
      </c>
      <c r="H50" s="31" t="s">
        <v>198</v>
      </c>
      <c r="I50" s="31" t="s">
        <v>481</v>
      </c>
      <c r="J50" s="31" t="s">
        <v>1117</v>
      </c>
      <c r="K50" s="31" t="s">
        <v>1126</v>
      </c>
      <c r="L50" s="31" t="s">
        <v>162</v>
      </c>
      <c r="M50" s="31" t="s">
        <v>144</v>
      </c>
      <c r="N50" s="31" t="s">
        <v>1119</v>
      </c>
      <c r="O50" s="31" t="s">
        <v>378</v>
      </c>
      <c r="P50" s="31" t="s">
        <v>378</v>
      </c>
      <c r="Q50" s="31">
        <v>7.5</v>
      </c>
      <c r="R50" s="31">
        <v>28.8</v>
      </c>
      <c r="S50" s="31">
        <v>0.56000000000000005</v>
      </c>
      <c r="T50" s="31">
        <v>1.5</v>
      </c>
      <c r="U50" s="397">
        <v>0.01</v>
      </c>
      <c r="V50" s="31" t="s">
        <v>144</v>
      </c>
      <c r="W50" s="31" t="s">
        <v>144</v>
      </c>
      <c r="X50" s="31">
        <v>21.3</v>
      </c>
      <c r="Y50" s="31">
        <v>173</v>
      </c>
      <c r="Z50" s="31" t="s">
        <v>379</v>
      </c>
      <c r="AA50" s="31" t="s">
        <v>144</v>
      </c>
    </row>
    <row r="51" spans="5:27" s="31" customFormat="1" ht="15" customHeight="1" x14ac:dyDescent="0.25">
      <c r="E51" s="31" t="s">
        <v>200</v>
      </c>
      <c r="F51" s="31" t="s">
        <v>140</v>
      </c>
      <c r="G51" s="31" t="s">
        <v>197</v>
      </c>
      <c r="H51" s="31" t="s">
        <v>198</v>
      </c>
      <c r="I51" s="31" t="s">
        <v>481</v>
      </c>
      <c r="J51" s="31" t="s">
        <v>1117</v>
      </c>
      <c r="K51" s="31" t="s">
        <v>1127</v>
      </c>
      <c r="L51" s="31" t="s">
        <v>162</v>
      </c>
      <c r="M51" s="31" t="s">
        <v>144</v>
      </c>
      <c r="N51" s="31" t="s">
        <v>1119</v>
      </c>
      <c r="O51" s="31" t="s">
        <v>378</v>
      </c>
      <c r="P51" s="31" t="s">
        <v>378</v>
      </c>
      <c r="Q51" s="31">
        <v>7.5</v>
      </c>
      <c r="R51" s="31">
        <v>28.8</v>
      </c>
      <c r="S51" s="31">
        <v>0.56000000000000005</v>
      </c>
      <c r="T51" s="31">
        <v>1.5</v>
      </c>
      <c r="U51" s="397">
        <v>0.01</v>
      </c>
      <c r="V51" s="31" t="s">
        <v>144</v>
      </c>
      <c r="W51" s="31" t="s">
        <v>144</v>
      </c>
      <c r="X51" s="31">
        <v>21.3</v>
      </c>
      <c r="Y51" s="31">
        <v>173</v>
      </c>
      <c r="Z51" s="31" t="s">
        <v>379</v>
      </c>
      <c r="AA51" s="31" t="s">
        <v>144</v>
      </c>
    </row>
    <row r="52" spans="5:27" s="31" customFormat="1" ht="15" customHeight="1" x14ac:dyDescent="0.25">
      <c r="E52" s="31" t="s">
        <v>200</v>
      </c>
      <c r="F52" s="31" t="s">
        <v>140</v>
      </c>
      <c r="G52" s="31" t="s">
        <v>197</v>
      </c>
      <c r="H52" s="31" t="s">
        <v>198</v>
      </c>
      <c r="I52" s="31" t="s">
        <v>481</v>
      </c>
      <c r="J52" s="31" t="s">
        <v>1117</v>
      </c>
      <c r="K52" s="31" t="s">
        <v>1128</v>
      </c>
      <c r="L52" s="31" t="s">
        <v>162</v>
      </c>
      <c r="M52" s="31" t="s">
        <v>144</v>
      </c>
      <c r="N52" s="31" t="s">
        <v>1119</v>
      </c>
      <c r="O52" s="31" t="s">
        <v>378</v>
      </c>
      <c r="P52" s="31" t="s">
        <v>378</v>
      </c>
      <c r="Q52" s="31">
        <v>7.5</v>
      </c>
      <c r="R52" s="31">
        <v>28.8</v>
      </c>
      <c r="S52" s="31">
        <v>0.56000000000000005</v>
      </c>
      <c r="T52" s="31">
        <v>1.5</v>
      </c>
      <c r="U52" s="397">
        <v>0.01</v>
      </c>
      <c r="V52" s="31" t="s">
        <v>144</v>
      </c>
      <c r="W52" s="31" t="s">
        <v>144</v>
      </c>
      <c r="X52" s="31">
        <v>21.3</v>
      </c>
      <c r="Y52" s="31">
        <v>173</v>
      </c>
      <c r="Z52" s="31" t="s">
        <v>379</v>
      </c>
      <c r="AA52" s="31" t="s">
        <v>144</v>
      </c>
    </row>
    <row r="53" spans="5:27" s="31" customFormat="1" ht="15" customHeight="1" x14ac:dyDescent="0.25">
      <c r="E53" s="31" t="s">
        <v>200</v>
      </c>
      <c r="F53" s="31" t="s">
        <v>140</v>
      </c>
      <c r="G53" s="31" t="s">
        <v>197</v>
      </c>
      <c r="H53" s="31" t="s">
        <v>198</v>
      </c>
      <c r="I53" s="31" t="s">
        <v>481</v>
      </c>
      <c r="J53" s="31" t="s">
        <v>1117</v>
      </c>
      <c r="K53" s="31" t="s">
        <v>1129</v>
      </c>
      <c r="L53" s="31" t="s">
        <v>162</v>
      </c>
      <c r="M53" s="31" t="s">
        <v>144</v>
      </c>
      <c r="N53" s="31" t="s">
        <v>1119</v>
      </c>
      <c r="O53" s="31" t="s">
        <v>378</v>
      </c>
      <c r="P53" s="31" t="s">
        <v>378</v>
      </c>
      <c r="Q53" s="31">
        <v>7.5</v>
      </c>
      <c r="R53" s="31">
        <v>28.8</v>
      </c>
      <c r="S53" s="31">
        <v>0.56000000000000005</v>
      </c>
      <c r="T53" s="31">
        <v>1.5</v>
      </c>
      <c r="U53" s="397">
        <v>0.01</v>
      </c>
      <c r="V53" s="31" t="s">
        <v>144</v>
      </c>
      <c r="W53" s="31" t="s">
        <v>144</v>
      </c>
      <c r="X53" s="31">
        <v>21.3</v>
      </c>
      <c r="Y53" s="31">
        <v>173</v>
      </c>
      <c r="Z53" s="31" t="s">
        <v>379</v>
      </c>
      <c r="AA53" s="31" t="s">
        <v>144</v>
      </c>
    </row>
    <row r="54" spans="5:27" s="31" customFormat="1" ht="15" customHeight="1" x14ac:dyDescent="0.25">
      <c r="E54" s="31" t="s">
        <v>200</v>
      </c>
      <c r="F54" s="31" t="s">
        <v>140</v>
      </c>
      <c r="G54" s="31" t="s">
        <v>197</v>
      </c>
      <c r="H54" s="31" t="s">
        <v>198</v>
      </c>
      <c r="I54" s="31" t="s">
        <v>481</v>
      </c>
      <c r="J54" s="31" t="s">
        <v>1117</v>
      </c>
      <c r="K54" s="31" t="s">
        <v>1130</v>
      </c>
      <c r="L54" s="31" t="s">
        <v>162</v>
      </c>
      <c r="M54" s="31" t="s">
        <v>144</v>
      </c>
      <c r="N54" s="31" t="s">
        <v>1119</v>
      </c>
      <c r="O54" s="31" t="s">
        <v>378</v>
      </c>
      <c r="P54" s="31" t="s">
        <v>378</v>
      </c>
      <c r="Q54" s="31">
        <v>7.5</v>
      </c>
      <c r="R54" s="31">
        <v>28.8</v>
      </c>
      <c r="S54" s="31">
        <v>0.56000000000000005</v>
      </c>
      <c r="T54" s="31">
        <v>1.5</v>
      </c>
      <c r="U54" s="397">
        <v>0.01</v>
      </c>
      <c r="V54" s="31" t="s">
        <v>144</v>
      </c>
      <c r="W54" s="31" t="s">
        <v>144</v>
      </c>
      <c r="X54" s="31">
        <v>21.3</v>
      </c>
      <c r="Y54" s="31">
        <v>173</v>
      </c>
      <c r="Z54" s="31" t="s">
        <v>379</v>
      </c>
      <c r="AA54" s="31" t="s">
        <v>144</v>
      </c>
    </row>
    <row r="55" spans="5:27" s="31" customFormat="1" ht="15" customHeight="1" x14ac:dyDescent="0.25">
      <c r="E55" s="31" t="s">
        <v>200</v>
      </c>
      <c r="F55" s="31" t="s">
        <v>140</v>
      </c>
      <c r="G55" s="31" t="s">
        <v>197</v>
      </c>
      <c r="H55" s="31" t="s">
        <v>198</v>
      </c>
      <c r="I55" s="31" t="s">
        <v>481</v>
      </c>
      <c r="J55" s="31" t="s">
        <v>1117</v>
      </c>
      <c r="K55" s="31" t="s">
        <v>1131</v>
      </c>
      <c r="L55" s="31" t="s">
        <v>162</v>
      </c>
      <c r="M55" s="31" t="s">
        <v>144</v>
      </c>
      <c r="N55" s="31" t="s">
        <v>1119</v>
      </c>
      <c r="O55" s="31" t="s">
        <v>378</v>
      </c>
      <c r="P55" s="31" t="s">
        <v>378</v>
      </c>
      <c r="Q55" s="31">
        <v>7.5</v>
      </c>
      <c r="R55" s="31">
        <v>28.8</v>
      </c>
      <c r="S55" s="31">
        <v>0.56000000000000005</v>
      </c>
      <c r="T55" s="31">
        <v>1.5</v>
      </c>
      <c r="U55" s="397">
        <v>0.01</v>
      </c>
      <c r="V55" s="31" t="s">
        <v>144</v>
      </c>
      <c r="W55" s="31" t="s">
        <v>144</v>
      </c>
      <c r="X55" s="31">
        <v>21.3</v>
      </c>
      <c r="Y55" s="31">
        <v>173</v>
      </c>
      <c r="Z55" s="31" t="s">
        <v>379</v>
      </c>
      <c r="AA55" s="31" t="s">
        <v>144</v>
      </c>
    </row>
    <row r="56" spans="5:27" s="31" customFormat="1" ht="15" customHeight="1" x14ac:dyDescent="0.25">
      <c r="E56" s="31" t="s">
        <v>200</v>
      </c>
      <c r="F56" s="31" t="s">
        <v>140</v>
      </c>
      <c r="G56" s="31" t="s">
        <v>197</v>
      </c>
      <c r="H56" s="31" t="s">
        <v>198</v>
      </c>
      <c r="I56" s="31" t="s">
        <v>481</v>
      </c>
      <c r="J56" s="31" t="s">
        <v>1117</v>
      </c>
      <c r="K56" s="31" t="s">
        <v>1132</v>
      </c>
      <c r="L56" s="31" t="s">
        <v>162</v>
      </c>
      <c r="M56" s="31" t="s">
        <v>144</v>
      </c>
      <c r="N56" s="31" t="s">
        <v>1119</v>
      </c>
      <c r="O56" s="31" t="s">
        <v>378</v>
      </c>
      <c r="P56" s="31" t="s">
        <v>378</v>
      </c>
      <c r="Q56" s="31">
        <v>7.5</v>
      </c>
      <c r="R56" s="31">
        <v>28.8</v>
      </c>
      <c r="S56" s="31">
        <v>0.56000000000000005</v>
      </c>
      <c r="T56" s="31">
        <v>1.5</v>
      </c>
      <c r="U56" s="397">
        <v>0.01</v>
      </c>
      <c r="V56" s="31" t="s">
        <v>144</v>
      </c>
      <c r="W56" s="31" t="s">
        <v>144</v>
      </c>
      <c r="X56" s="31">
        <v>21.3</v>
      </c>
      <c r="Y56" s="31">
        <v>173</v>
      </c>
      <c r="Z56" s="31" t="s">
        <v>379</v>
      </c>
      <c r="AA56" s="31" t="s">
        <v>144</v>
      </c>
    </row>
    <row r="57" spans="5:27" s="31" customFormat="1" ht="15" customHeight="1" x14ac:dyDescent="0.25">
      <c r="U57" s="396"/>
    </row>
    <row r="58" spans="5:27" s="31" customFormat="1" ht="15" customHeight="1" x14ac:dyDescent="0.25">
      <c r="U58" s="396"/>
    </row>
    <row r="59" spans="5:27" s="31" customFormat="1" ht="15" customHeight="1" x14ac:dyDescent="0.25">
      <c r="E59" s="31" t="s">
        <v>200</v>
      </c>
      <c r="F59" s="31" t="s">
        <v>140</v>
      </c>
      <c r="G59" s="31" t="s">
        <v>197</v>
      </c>
      <c r="H59" s="31" t="s">
        <v>198</v>
      </c>
      <c r="I59" s="31" t="s">
        <v>481</v>
      </c>
      <c r="J59" s="31" t="s">
        <v>1133</v>
      </c>
      <c r="K59" s="31" t="s">
        <v>1134</v>
      </c>
      <c r="L59" s="31" t="s">
        <v>162</v>
      </c>
      <c r="M59" s="31" t="s">
        <v>144</v>
      </c>
      <c r="N59" s="31" t="s">
        <v>1119</v>
      </c>
      <c r="O59" s="31" t="s">
        <v>378</v>
      </c>
      <c r="P59" s="31" t="s">
        <v>378</v>
      </c>
      <c r="Q59" s="31">
        <v>7.5</v>
      </c>
      <c r="R59" s="31">
        <v>28.8</v>
      </c>
      <c r="S59" s="31">
        <v>0.56000000000000005</v>
      </c>
      <c r="T59" s="31">
        <v>1.5</v>
      </c>
      <c r="U59" s="397">
        <v>0.01</v>
      </c>
      <c r="V59" s="31" t="s">
        <v>144</v>
      </c>
      <c r="W59" s="31" t="s">
        <v>144</v>
      </c>
      <c r="X59" s="31">
        <v>21.3</v>
      </c>
      <c r="Y59" s="31">
        <v>173</v>
      </c>
      <c r="Z59" s="31" t="s">
        <v>379</v>
      </c>
      <c r="AA59" s="31" t="s">
        <v>144</v>
      </c>
    </row>
    <row r="60" spans="5:27" s="31" customFormat="1" ht="15" customHeight="1" x14ac:dyDescent="0.25">
      <c r="E60" s="31" t="s">
        <v>200</v>
      </c>
      <c r="F60" s="31" t="s">
        <v>140</v>
      </c>
      <c r="G60" s="31" t="s">
        <v>197</v>
      </c>
      <c r="H60" s="31" t="s">
        <v>198</v>
      </c>
      <c r="I60" s="31" t="s">
        <v>481</v>
      </c>
      <c r="J60" s="31" t="s">
        <v>1133</v>
      </c>
      <c r="K60" s="31" t="s">
        <v>1135</v>
      </c>
      <c r="L60" s="31" t="s">
        <v>162</v>
      </c>
      <c r="M60" s="31" t="s">
        <v>144</v>
      </c>
      <c r="N60" s="31" t="s">
        <v>1119</v>
      </c>
      <c r="O60" s="31" t="s">
        <v>378</v>
      </c>
      <c r="P60" s="31" t="s">
        <v>378</v>
      </c>
      <c r="Q60" s="31">
        <v>7.5</v>
      </c>
      <c r="R60" s="31">
        <v>28.8</v>
      </c>
      <c r="S60" s="31">
        <v>0.56000000000000005</v>
      </c>
      <c r="T60" s="31">
        <v>1.5</v>
      </c>
      <c r="U60" s="397">
        <v>0.01</v>
      </c>
      <c r="V60" s="31" t="s">
        <v>144</v>
      </c>
      <c r="W60" s="31" t="s">
        <v>144</v>
      </c>
      <c r="X60" s="31">
        <v>21.3</v>
      </c>
      <c r="Y60" s="31">
        <v>173</v>
      </c>
      <c r="Z60" s="31" t="s">
        <v>379</v>
      </c>
      <c r="AA60" s="31" t="s">
        <v>144</v>
      </c>
    </row>
    <row r="61" spans="5:27" s="31" customFormat="1" ht="15" customHeight="1" x14ac:dyDescent="0.25">
      <c r="E61" s="31" t="s">
        <v>200</v>
      </c>
      <c r="F61" s="31" t="s">
        <v>140</v>
      </c>
      <c r="G61" s="31" t="s">
        <v>197</v>
      </c>
      <c r="H61" s="31" t="s">
        <v>198</v>
      </c>
      <c r="I61" s="31" t="s">
        <v>481</v>
      </c>
      <c r="J61" s="31" t="s">
        <v>1133</v>
      </c>
      <c r="K61" s="31" t="s">
        <v>1136</v>
      </c>
      <c r="L61" s="31" t="s">
        <v>162</v>
      </c>
      <c r="M61" s="31" t="s">
        <v>144</v>
      </c>
      <c r="N61" s="31" t="s">
        <v>1119</v>
      </c>
      <c r="O61" s="31" t="s">
        <v>378</v>
      </c>
      <c r="P61" s="31" t="s">
        <v>378</v>
      </c>
      <c r="Q61" s="31">
        <v>7.5</v>
      </c>
      <c r="R61" s="31">
        <v>28.8</v>
      </c>
      <c r="S61" s="31">
        <v>0.56000000000000005</v>
      </c>
      <c r="T61" s="31">
        <v>1.5</v>
      </c>
      <c r="U61" s="397">
        <v>0.01</v>
      </c>
      <c r="V61" s="31" t="s">
        <v>144</v>
      </c>
      <c r="W61" s="31" t="s">
        <v>144</v>
      </c>
      <c r="X61" s="31">
        <v>21.3</v>
      </c>
      <c r="Y61" s="31">
        <v>173</v>
      </c>
      <c r="Z61" s="31" t="s">
        <v>379</v>
      </c>
      <c r="AA61" s="31" t="s">
        <v>144</v>
      </c>
    </row>
    <row r="62" spans="5:27" s="31" customFormat="1" ht="15" customHeight="1" x14ac:dyDescent="0.25">
      <c r="E62" s="31" t="s">
        <v>200</v>
      </c>
      <c r="F62" s="31" t="s">
        <v>140</v>
      </c>
      <c r="G62" s="31" t="s">
        <v>197</v>
      </c>
      <c r="H62" s="31" t="s">
        <v>198</v>
      </c>
      <c r="I62" s="31" t="s">
        <v>481</v>
      </c>
      <c r="J62" s="31" t="s">
        <v>1133</v>
      </c>
      <c r="K62" s="31" t="s">
        <v>1137</v>
      </c>
      <c r="L62" s="31" t="s">
        <v>162</v>
      </c>
      <c r="M62" s="31" t="s">
        <v>144</v>
      </c>
      <c r="N62" s="31" t="s">
        <v>1119</v>
      </c>
      <c r="O62" s="31" t="s">
        <v>378</v>
      </c>
      <c r="P62" s="31" t="s">
        <v>378</v>
      </c>
      <c r="Q62" s="31">
        <v>7.5</v>
      </c>
      <c r="R62" s="31">
        <v>28.8</v>
      </c>
      <c r="S62" s="31">
        <v>0.56000000000000005</v>
      </c>
      <c r="T62" s="31">
        <v>1.5</v>
      </c>
      <c r="U62" s="397">
        <v>0.01</v>
      </c>
      <c r="V62" s="31" t="s">
        <v>144</v>
      </c>
      <c r="W62" s="31" t="s">
        <v>144</v>
      </c>
      <c r="X62" s="31">
        <v>21.3</v>
      </c>
      <c r="Y62" s="31">
        <v>173</v>
      </c>
      <c r="Z62" s="31" t="s">
        <v>379</v>
      </c>
      <c r="AA62" s="31" t="s">
        <v>144</v>
      </c>
    </row>
    <row r="63" spans="5:27" s="31" customFormat="1" ht="15" customHeight="1" x14ac:dyDescent="0.25">
      <c r="E63" s="31" t="s">
        <v>200</v>
      </c>
      <c r="F63" s="31" t="s">
        <v>140</v>
      </c>
      <c r="G63" s="31" t="s">
        <v>197</v>
      </c>
      <c r="H63" s="31" t="s">
        <v>198</v>
      </c>
      <c r="I63" s="31" t="s">
        <v>481</v>
      </c>
      <c r="J63" s="31" t="s">
        <v>1133</v>
      </c>
      <c r="K63" s="31" t="s">
        <v>1138</v>
      </c>
      <c r="L63" s="31" t="s">
        <v>162</v>
      </c>
      <c r="M63" s="31" t="s">
        <v>144</v>
      </c>
      <c r="N63" s="31" t="s">
        <v>1119</v>
      </c>
      <c r="O63" s="31" t="s">
        <v>378</v>
      </c>
      <c r="P63" s="31" t="s">
        <v>378</v>
      </c>
      <c r="Q63" s="31">
        <v>7.5</v>
      </c>
      <c r="R63" s="31">
        <v>28.8</v>
      </c>
      <c r="S63" s="31">
        <v>0.56000000000000005</v>
      </c>
      <c r="T63" s="31">
        <v>1.5</v>
      </c>
      <c r="U63" s="397">
        <v>0.01</v>
      </c>
      <c r="V63" s="31" t="s">
        <v>144</v>
      </c>
      <c r="W63" s="31" t="s">
        <v>144</v>
      </c>
      <c r="X63" s="31">
        <v>21.3</v>
      </c>
      <c r="Y63" s="31">
        <v>173</v>
      </c>
      <c r="Z63" s="31" t="s">
        <v>379</v>
      </c>
      <c r="AA63" s="31" t="s">
        <v>144</v>
      </c>
    </row>
    <row r="64" spans="5:27" s="31" customFormat="1" ht="15" customHeight="1" x14ac:dyDescent="0.25">
      <c r="E64" s="31" t="s">
        <v>200</v>
      </c>
      <c r="F64" s="31" t="s">
        <v>140</v>
      </c>
      <c r="G64" s="31" t="s">
        <v>197</v>
      </c>
      <c r="H64" s="31" t="s">
        <v>198</v>
      </c>
      <c r="I64" s="31" t="s">
        <v>481</v>
      </c>
      <c r="J64" s="31" t="s">
        <v>1133</v>
      </c>
      <c r="K64" s="31" t="s">
        <v>1139</v>
      </c>
      <c r="L64" s="31" t="s">
        <v>162</v>
      </c>
      <c r="M64" s="31" t="s">
        <v>144</v>
      </c>
      <c r="N64" s="31" t="s">
        <v>1119</v>
      </c>
      <c r="O64" s="31" t="s">
        <v>378</v>
      </c>
      <c r="P64" s="31" t="s">
        <v>378</v>
      </c>
      <c r="Q64" s="31">
        <v>7.5</v>
      </c>
      <c r="R64" s="31">
        <v>28.8</v>
      </c>
      <c r="S64" s="31">
        <v>0.56000000000000005</v>
      </c>
      <c r="T64" s="31">
        <v>1.5</v>
      </c>
      <c r="U64" s="397">
        <v>0.01</v>
      </c>
      <c r="V64" s="31" t="s">
        <v>144</v>
      </c>
      <c r="W64" s="31" t="s">
        <v>144</v>
      </c>
      <c r="X64" s="31">
        <v>21.3</v>
      </c>
      <c r="Y64" s="31">
        <v>173</v>
      </c>
      <c r="Z64" s="31" t="s">
        <v>379</v>
      </c>
      <c r="AA64" s="31" t="s">
        <v>144</v>
      </c>
    </row>
    <row r="65" spans="5:27" s="31" customFormat="1" ht="15" customHeight="1" x14ac:dyDescent="0.25">
      <c r="E65" s="31" t="s">
        <v>200</v>
      </c>
      <c r="F65" s="31" t="s">
        <v>140</v>
      </c>
      <c r="G65" s="31" t="s">
        <v>197</v>
      </c>
      <c r="H65" s="31" t="s">
        <v>198</v>
      </c>
      <c r="I65" s="31" t="s">
        <v>481</v>
      </c>
      <c r="J65" s="31" t="s">
        <v>1133</v>
      </c>
      <c r="K65" s="31" t="s">
        <v>1140</v>
      </c>
      <c r="L65" s="31" t="s">
        <v>162</v>
      </c>
      <c r="M65" s="31" t="s">
        <v>144</v>
      </c>
      <c r="N65" s="31" t="s">
        <v>1119</v>
      </c>
      <c r="O65" s="31" t="s">
        <v>378</v>
      </c>
      <c r="P65" s="31" t="s">
        <v>378</v>
      </c>
      <c r="Q65" s="31">
        <v>7.5</v>
      </c>
      <c r="R65" s="31">
        <v>28.8</v>
      </c>
      <c r="S65" s="31">
        <v>0.56000000000000005</v>
      </c>
      <c r="T65" s="31">
        <v>1.5</v>
      </c>
      <c r="U65" s="397">
        <v>0.01</v>
      </c>
      <c r="V65" s="31" t="s">
        <v>144</v>
      </c>
      <c r="W65" s="31" t="s">
        <v>144</v>
      </c>
      <c r="X65" s="31">
        <v>21.3</v>
      </c>
      <c r="Y65" s="31">
        <v>173</v>
      </c>
      <c r="Z65" s="31" t="s">
        <v>379</v>
      </c>
      <c r="AA65" s="31" t="s">
        <v>144</v>
      </c>
    </row>
    <row r="66" spans="5:27" s="31" customFormat="1" ht="15" customHeight="1" x14ac:dyDescent="0.25">
      <c r="E66" s="31" t="s">
        <v>200</v>
      </c>
      <c r="F66" s="31" t="s">
        <v>140</v>
      </c>
      <c r="G66" s="31" t="s">
        <v>197</v>
      </c>
      <c r="H66" s="31" t="s">
        <v>198</v>
      </c>
      <c r="I66" s="31" t="s">
        <v>481</v>
      </c>
      <c r="J66" s="31" t="s">
        <v>1133</v>
      </c>
      <c r="K66" s="31" t="s">
        <v>1141</v>
      </c>
      <c r="L66" s="31" t="s">
        <v>162</v>
      </c>
      <c r="M66" s="31" t="s">
        <v>144</v>
      </c>
      <c r="N66" s="31" t="s">
        <v>1119</v>
      </c>
      <c r="O66" s="31" t="s">
        <v>378</v>
      </c>
      <c r="P66" s="31" t="s">
        <v>378</v>
      </c>
      <c r="Q66" s="31">
        <v>7.5</v>
      </c>
      <c r="R66" s="31">
        <v>28.8</v>
      </c>
      <c r="S66" s="31">
        <v>0.56000000000000005</v>
      </c>
      <c r="T66" s="31">
        <v>1.5</v>
      </c>
      <c r="U66" s="397">
        <v>0.01</v>
      </c>
      <c r="V66" s="31" t="s">
        <v>144</v>
      </c>
      <c r="W66" s="31" t="s">
        <v>144</v>
      </c>
      <c r="X66" s="31">
        <v>21.3</v>
      </c>
      <c r="Y66" s="31">
        <v>173</v>
      </c>
      <c r="Z66" s="31" t="s">
        <v>379</v>
      </c>
      <c r="AA66" s="31" t="s">
        <v>144</v>
      </c>
    </row>
    <row r="67" spans="5:27" s="31" customFormat="1" ht="15" customHeight="1" x14ac:dyDescent="0.25">
      <c r="E67" s="31" t="s">
        <v>200</v>
      </c>
      <c r="F67" s="31" t="s">
        <v>140</v>
      </c>
      <c r="G67" s="31" t="s">
        <v>197</v>
      </c>
      <c r="H67" s="31" t="s">
        <v>198</v>
      </c>
      <c r="I67" s="31" t="s">
        <v>481</v>
      </c>
      <c r="J67" s="31" t="s">
        <v>1133</v>
      </c>
      <c r="K67" s="31" t="s">
        <v>1142</v>
      </c>
      <c r="L67" s="31" t="s">
        <v>162</v>
      </c>
      <c r="M67" s="31" t="s">
        <v>144</v>
      </c>
      <c r="N67" s="31" t="s">
        <v>1119</v>
      </c>
      <c r="O67" s="31" t="s">
        <v>378</v>
      </c>
      <c r="P67" s="31" t="s">
        <v>378</v>
      </c>
      <c r="Q67" s="31">
        <v>7.5</v>
      </c>
      <c r="R67" s="31">
        <v>28.8</v>
      </c>
      <c r="S67" s="31">
        <v>0.56000000000000005</v>
      </c>
      <c r="T67" s="31">
        <v>1.5</v>
      </c>
      <c r="U67" s="397">
        <v>0.01</v>
      </c>
      <c r="V67" s="31" t="s">
        <v>144</v>
      </c>
      <c r="W67" s="31" t="s">
        <v>144</v>
      </c>
      <c r="X67" s="31">
        <v>21.3</v>
      </c>
      <c r="Y67" s="31">
        <v>173</v>
      </c>
      <c r="Z67" s="31" t="s">
        <v>379</v>
      </c>
      <c r="AA67" s="31" t="s">
        <v>144</v>
      </c>
    </row>
    <row r="68" spans="5:27" s="31" customFormat="1" ht="15" customHeight="1" x14ac:dyDescent="0.25">
      <c r="E68" s="31" t="s">
        <v>200</v>
      </c>
      <c r="F68" s="31" t="s">
        <v>140</v>
      </c>
      <c r="G68" s="31" t="s">
        <v>197</v>
      </c>
      <c r="H68" s="31" t="s">
        <v>198</v>
      </c>
      <c r="I68" s="31" t="s">
        <v>481</v>
      </c>
      <c r="J68" s="31" t="s">
        <v>1133</v>
      </c>
      <c r="K68" s="31" t="s">
        <v>1143</v>
      </c>
      <c r="L68" s="31" t="s">
        <v>162</v>
      </c>
      <c r="M68" s="31" t="s">
        <v>144</v>
      </c>
      <c r="N68" s="31" t="s">
        <v>1119</v>
      </c>
      <c r="O68" s="31" t="s">
        <v>378</v>
      </c>
      <c r="P68" s="31" t="s">
        <v>378</v>
      </c>
      <c r="Q68" s="31">
        <v>7.5</v>
      </c>
      <c r="R68" s="31">
        <v>28.8</v>
      </c>
      <c r="S68" s="31">
        <v>0.56000000000000005</v>
      </c>
      <c r="T68" s="31">
        <v>1.5</v>
      </c>
      <c r="U68" s="397">
        <v>0.01</v>
      </c>
      <c r="V68" s="31" t="s">
        <v>144</v>
      </c>
      <c r="W68" s="31" t="s">
        <v>144</v>
      </c>
      <c r="X68" s="31">
        <v>21.3</v>
      </c>
      <c r="Y68" s="31">
        <v>173</v>
      </c>
      <c r="Z68" s="31" t="s">
        <v>379</v>
      </c>
      <c r="AA68" s="31" t="s">
        <v>144</v>
      </c>
    </row>
    <row r="69" spans="5:27" s="31" customFormat="1" ht="15" customHeight="1" x14ac:dyDescent="0.25">
      <c r="E69" s="31" t="s">
        <v>200</v>
      </c>
      <c r="F69" s="31" t="s">
        <v>140</v>
      </c>
      <c r="G69" s="31" t="s">
        <v>197</v>
      </c>
      <c r="H69" s="31" t="s">
        <v>198</v>
      </c>
      <c r="I69" s="31" t="s">
        <v>481</v>
      </c>
      <c r="J69" s="31" t="s">
        <v>1133</v>
      </c>
      <c r="K69" s="31" t="s">
        <v>1144</v>
      </c>
      <c r="L69" s="31" t="s">
        <v>162</v>
      </c>
      <c r="M69" s="31" t="s">
        <v>144</v>
      </c>
      <c r="N69" s="31" t="s">
        <v>1119</v>
      </c>
      <c r="O69" s="31" t="s">
        <v>378</v>
      </c>
      <c r="P69" s="31" t="s">
        <v>378</v>
      </c>
      <c r="Q69" s="31">
        <v>7.5</v>
      </c>
      <c r="R69" s="31">
        <v>28.8</v>
      </c>
      <c r="S69" s="31">
        <v>0.56000000000000005</v>
      </c>
      <c r="T69" s="31">
        <v>1.5</v>
      </c>
      <c r="U69" s="397">
        <v>0.01</v>
      </c>
      <c r="V69" s="31" t="s">
        <v>144</v>
      </c>
      <c r="W69" s="31" t="s">
        <v>144</v>
      </c>
      <c r="X69" s="31">
        <v>21.3</v>
      </c>
      <c r="Y69" s="31">
        <v>173</v>
      </c>
      <c r="Z69" s="31" t="s">
        <v>379</v>
      </c>
      <c r="AA69" s="31" t="s">
        <v>144</v>
      </c>
    </row>
    <row r="70" spans="5:27" s="31" customFormat="1" ht="15" customHeight="1" x14ac:dyDescent="0.25">
      <c r="E70" s="31" t="s">
        <v>200</v>
      </c>
      <c r="F70" s="31" t="s">
        <v>140</v>
      </c>
      <c r="G70" s="31" t="s">
        <v>197</v>
      </c>
      <c r="H70" s="31" t="s">
        <v>198</v>
      </c>
      <c r="I70" s="31" t="s">
        <v>481</v>
      </c>
      <c r="J70" s="31" t="s">
        <v>1133</v>
      </c>
      <c r="K70" s="31" t="s">
        <v>1145</v>
      </c>
      <c r="L70" s="31" t="s">
        <v>162</v>
      </c>
      <c r="M70" s="31" t="s">
        <v>144</v>
      </c>
      <c r="N70" s="31" t="s">
        <v>1119</v>
      </c>
      <c r="O70" s="31" t="s">
        <v>378</v>
      </c>
      <c r="P70" s="31" t="s">
        <v>378</v>
      </c>
      <c r="Q70" s="31">
        <v>7.5</v>
      </c>
      <c r="R70" s="31">
        <v>28.8</v>
      </c>
      <c r="S70" s="31">
        <v>0.56000000000000005</v>
      </c>
      <c r="T70" s="31">
        <v>1.5</v>
      </c>
      <c r="U70" s="397">
        <v>0.01</v>
      </c>
      <c r="V70" s="31" t="s">
        <v>144</v>
      </c>
      <c r="W70" s="31" t="s">
        <v>144</v>
      </c>
      <c r="X70" s="31">
        <v>21.3</v>
      </c>
      <c r="Y70" s="31">
        <v>173</v>
      </c>
      <c r="Z70" s="31" t="s">
        <v>379</v>
      </c>
      <c r="AA70" s="31" t="s">
        <v>144</v>
      </c>
    </row>
    <row r="71" spans="5:27" s="31" customFormat="1" ht="15" customHeight="1" x14ac:dyDescent="0.25">
      <c r="U71" s="396"/>
    </row>
    <row r="72" spans="5:27" s="31" customFormat="1" ht="15" customHeight="1" x14ac:dyDescent="0.25">
      <c r="U72" s="396"/>
    </row>
    <row r="73" spans="5:27" s="31" customFormat="1" ht="15" customHeight="1" x14ac:dyDescent="0.25">
      <c r="E73" s="31" t="s">
        <v>200</v>
      </c>
      <c r="F73" s="31" t="s">
        <v>140</v>
      </c>
      <c r="G73" s="31" t="s">
        <v>197</v>
      </c>
      <c r="H73" s="31" t="s">
        <v>198</v>
      </c>
      <c r="I73" s="31" t="s">
        <v>481</v>
      </c>
      <c r="J73" s="31" t="s">
        <v>1146</v>
      </c>
      <c r="K73" s="31" t="s">
        <v>1147</v>
      </c>
      <c r="L73" s="31" t="s">
        <v>162</v>
      </c>
      <c r="M73" s="31" t="s">
        <v>144</v>
      </c>
      <c r="N73" s="31" t="s">
        <v>1146</v>
      </c>
      <c r="O73" s="31" t="s">
        <v>378</v>
      </c>
      <c r="P73" s="31" t="s">
        <v>378</v>
      </c>
      <c r="Q73" s="31">
        <v>7.5</v>
      </c>
      <c r="R73" s="31">
        <v>28.8</v>
      </c>
      <c r="S73" s="31">
        <v>0.56000000000000005</v>
      </c>
      <c r="T73" s="31">
        <v>1.5</v>
      </c>
      <c r="U73" s="397">
        <v>0.01</v>
      </c>
      <c r="V73" s="31" t="s">
        <v>144</v>
      </c>
      <c r="W73" s="31" t="s">
        <v>144</v>
      </c>
      <c r="X73" s="31">
        <v>21.3</v>
      </c>
      <c r="Y73" s="31">
        <v>173</v>
      </c>
      <c r="Z73" s="31" t="s">
        <v>379</v>
      </c>
      <c r="AA73" s="31" t="s">
        <v>144</v>
      </c>
    </row>
    <row r="74" spans="5:27" s="31" customFormat="1" ht="15" customHeight="1" x14ac:dyDescent="0.25">
      <c r="E74" s="31" t="s">
        <v>200</v>
      </c>
      <c r="F74" s="31" t="s">
        <v>140</v>
      </c>
      <c r="G74" s="31" t="s">
        <v>197</v>
      </c>
      <c r="H74" s="31" t="s">
        <v>198</v>
      </c>
      <c r="I74" s="31" t="s">
        <v>481</v>
      </c>
      <c r="J74" s="31" t="s">
        <v>1146</v>
      </c>
      <c r="K74" s="31" t="s">
        <v>1148</v>
      </c>
      <c r="L74" s="31" t="s">
        <v>162</v>
      </c>
      <c r="M74" s="31" t="s">
        <v>144</v>
      </c>
      <c r="N74" s="31" t="s">
        <v>1146</v>
      </c>
      <c r="O74" s="31" t="s">
        <v>378</v>
      </c>
      <c r="P74" s="31" t="s">
        <v>378</v>
      </c>
      <c r="Q74" s="31">
        <v>7.5</v>
      </c>
      <c r="R74" s="31">
        <v>28.8</v>
      </c>
      <c r="S74" s="31">
        <v>0.56000000000000005</v>
      </c>
      <c r="T74" s="31">
        <v>1.5</v>
      </c>
      <c r="U74" s="397">
        <v>0.01</v>
      </c>
      <c r="V74" s="31" t="s">
        <v>144</v>
      </c>
      <c r="W74" s="31" t="s">
        <v>144</v>
      </c>
      <c r="X74" s="31">
        <v>21.3</v>
      </c>
      <c r="Y74" s="31">
        <v>173</v>
      </c>
      <c r="Z74" s="31" t="s">
        <v>379</v>
      </c>
      <c r="AA74" s="31" t="s">
        <v>144</v>
      </c>
    </row>
    <row r="75" spans="5:27" s="31" customFormat="1" ht="15" customHeight="1" x14ac:dyDescent="0.25">
      <c r="E75" s="31" t="s">
        <v>200</v>
      </c>
      <c r="F75" s="31" t="s">
        <v>140</v>
      </c>
      <c r="G75" s="31" t="s">
        <v>197</v>
      </c>
      <c r="H75" s="31" t="s">
        <v>198</v>
      </c>
      <c r="I75" s="31" t="s">
        <v>481</v>
      </c>
      <c r="J75" s="31" t="s">
        <v>1146</v>
      </c>
      <c r="K75" s="31" t="s">
        <v>1149</v>
      </c>
      <c r="L75" s="31" t="s">
        <v>162</v>
      </c>
      <c r="M75" s="31" t="s">
        <v>144</v>
      </c>
      <c r="N75" s="31" t="s">
        <v>1146</v>
      </c>
      <c r="O75" s="31" t="s">
        <v>378</v>
      </c>
      <c r="P75" s="31" t="s">
        <v>378</v>
      </c>
      <c r="Q75" s="31">
        <v>7.5</v>
      </c>
      <c r="R75" s="31">
        <v>28.8</v>
      </c>
      <c r="S75" s="31">
        <v>0.56000000000000005</v>
      </c>
      <c r="T75" s="31">
        <v>1.5</v>
      </c>
      <c r="U75" s="397">
        <v>0.01</v>
      </c>
      <c r="V75" s="31" t="s">
        <v>144</v>
      </c>
      <c r="W75" s="31" t="s">
        <v>144</v>
      </c>
      <c r="X75" s="31">
        <v>21.3</v>
      </c>
      <c r="Y75" s="31">
        <v>173</v>
      </c>
      <c r="Z75" s="31" t="s">
        <v>379</v>
      </c>
      <c r="AA75" s="31" t="s">
        <v>144</v>
      </c>
    </row>
    <row r="76" spans="5:27" s="31" customFormat="1" ht="15" customHeight="1" x14ac:dyDescent="0.25">
      <c r="E76" s="31" t="s">
        <v>200</v>
      </c>
      <c r="F76" s="31" t="s">
        <v>140</v>
      </c>
      <c r="G76" s="31" t="s">
        <v>197</v>
      </c>
      <c r="H76" s="31" t="s">
        <v>198</v>
      </c>
      <c r="I76" s="31" t="s">
        <v>481</v>
      </c>
      <c r="J76" s="31" t="s">
        <v>1146</v>
      </c>
      <c r="K76" s="31" t="s">
        <v>1150</v>
      </c>
      <c r="L76" s="31" t="s">
        <v>162</v>
      </c>
      <c r="M76" s="31" t="s">
        <v>144</v>
      </c>
      <c r="N76" s="31" t="s">
        <v>1146</v>
      </c>
      <c r="O76" s="31" t="s">
        <v>378</v>
      </c>
      <c r="P76" s="31" t="s">
        <v>378</v>
      </c>
      <c r="Q76" s="31">
        <v>7.5</v>
      </c>
      <c r="R76" s="31">
        <v>28.8</v>
      </c>
      <c r="S76" s="31">
        <v>0.56000000000000005</v>
      </c>
      <c r="T76" s="31">
        <v>1.5</v>
      </c>
      <c r="U76" s="397">
        <v>0.01</v>
      </c>
      <c r="V76" s="31" t="s">
        <v>144</v>
      </c>
      <c r="W76" s="31" t="s">
        <v>144</v>
      </c>
      <c r="X76" s="31">
        <v>21.3</v>
      </c>
      <c r="Y76" s="31">
        <v>173</v>
      </c>
      <c r="Z76" s="31" t="s">
        <v>379</v>
      </c>
      <c r="AA76" s="31" t="s">
        <v>144</v>
      </c>
    </row>
    <row r="77" spans="5:27" s="31" customFormat="1" ht="15" customHeight="1" x14ac:dyDescent="0.25">
      <c r="E77" s="31" t="s">
        <v>200</v>
      </c>
      <c r="F77" s="31" t="s">
        <v>140</v>
      </c>
      <c r="G77" s="31" t="s">
        <v>197</v>
      </c>
      <c r="H77" s="31" t="s">
        <v>198</v>
      </c>
      <c r="I77" s="31" t="s">
        <v>481</v>
      </c>
      <c r="J77" s="31" t="s">
        <v>1146</v>
      </c>
      <c r="K77" s="31" t="s">
        <v>1151</v>
      </c>
      <c r="L77" s="31" t="s">
        <v>162</v>
      </c>
      <c r="M77" s="31" t="s">
        <v>144</v>
      </c>
      <c r="N77" s="31" t="s">
        <v>1146</v>
      </c>
      <c r="O77" s="31" t="s">
        <v>378</v>
      </c>
      <c r="P77" s="31" t="s">
        <v>378</v>
      </c>
      <c r="Q77" s="31">
        <v>7.5</v>
      </c>
      <c r="R77" s="31">
        <v>28.8</v>
      </c>
      <c r="S77" s="31">
        <v>0.56000000000000005</v>
      </c>
      <c r="T77" s="31">
        <v>1.5</v>
      </c>
      <c r="U77" s="397">
        <v>0.01</v>
      </c>
      <c r="V77" s="31" t="s">
        <v>144</v>
      </c>
      <c r="W77" s="31" t="s">
        <v>144</v>
      </c>
      <c r="X77" s="31">
        <v>21.3</v>
      </c>
      <c r="Y77" s="31">
        <v>173</v>
      </c>
      <c r="Z77" s="31" t="s">
        <v>379</v>
      </c>
      <c r="AA77" s="31" t="s">
        <v>144</v>
      </c>
    </row>
    <row r="78" spans="5:27" s="31" customFormat="1" ht="15" customHeight="1" x14ac:dyDescent="0.25">
      <c r="E78" s="31" t="s">
        <v>200</v>
      </c>
      <c r="F78" s="31" t="s">
        <v>140</v>
      </c>
      <c r="G78" s="31" t="s">
        <v>197</v>
      </c>
      <c r="H78" s="31" t="s">
        <v>198</v>
      </c>
      <c r="I78" s="31" t="s">
        <v>481</v>
      </c>
      <c r="J78" s="31" t="s">
        <v>1146</v>
      </c>
      <c r="K78" s="31" t="s">
        <v>1152</v>
      </c>
      <c r="L78" s="31" t="s">
        <v>162</v>
      </c>
      <c r="M78" s="31" t="s">
        <v>144</v>
      </c>
      <c r="N78" s="31" t="s">
        <v>1146</v>
      </c>
      <c r="O78" s="31" t="s">
        <v>378</v>
      </c>
      <c r="P78" s="31" t="s">
        <v>378</v>
      </c>
      <c r="Q78" s="31">
        <v>7.5</v>
      </c>
      <c r="R78" s="31">
        <v>28.8</v>
      </c>
      <c r="S78" s="31">
        <v>0.56000000000000005</v>
      </c>
      <c r="T78" s="31">
        <v>1.5</v>
      </c>
      <c r="U78" s="397">
        <v>0.01</v>
      </c>
      <c r="V78" s="31" t="s">
        <v>144</v>
      </c>
      <c r="W78" s="31" t="s">
        <v>144</v>
      </c>
      <c r="X78" s="31">
        <v>21.3</v>
      </c>
      <c r="Y78" s="31">
        <v>173</v>
      </c>
      <c r="Z78" s="31" t="s">
        <v>379</v>
      </c>
      <c r="AA78" s="31" t="s">
        <v>144</v>
      </c>
    </row>
    <row r="79" spans="5:27" s="31" customFormat="1" ht="15" customHeight="1" x14ac:dyDescent="0.25">
      <c r="E79" s="31" t="s">
        <v>200</v>
      </c>
      <c r="F79" s="31" t="s">
        <v>140</v>
      </c>
      <c r="G79" s="31" t="s">
        <v>197</v>
      </c>
      <c r="H79" s="31" t="s">
        <v>198</v>
      </c>
      <c r="I79" s="31" t="s">
        <v>481</v>
      </c>
      <c r="J79" s="31" t="s">
        <v>1146</v>
      </c>
      <c r="K79" s="31" t="s">
        <v>1153</v>
      </c>
      <c r="L79" s="31" t="s">
        <v>162</v>
      </c>
      <c r="M79" s="31" t="s">
        <v>144</v>
      </c>
      <c r="N79" s="31" t="s">
        <v>1146</v>
      </c>
      <c r="O79" s="31" t="s">
        <v>378</v>
      </c>
      <c r="P79" s="31" t="s">
        <v>378</v>
      </c>
      <c r="Q79" s="31">
        <v>7.5</v>
      </c>
      <c r="R79" s="31">
        <v>28.8</v>
      </c>
      <c r="S79" s="31">
        <v>0.56000000000000005</v>
      </c>
      <c r="T79" s="31">
        <v>1.5</v>
      </c>
      <c r="U79" s="397">
        <v>0.01</v>
      </c>
      <c r="V79" s="31" t="s">
        <v>144</v>
      </c>
      <c r="W79" s="31" t="s">
        <v>144</v>
      </c>
      <c r="X79" s="31">
        <v>21.3</v>
      </c>
      <c r="Y79" s="31">
        <v>173</v>
      </c>
      <c r="Z79" s="31" t="s">
        <v>379</v>
      </c>
      <c r="AA79" s="31" t="s">
        <v>144</v>
      </c>
    </row>
    <row r="80" spans="5:27" s="31" customFormat="1" ht="15" customHeight="1" x14ac:dyDescent="0.25">
      <c r="E80" s="31" t="s">
        <v>200</v>
      </c>
      <c r="F80" s="31" t="s">
        <v>140</v>
      </c>
      <c r="G80" s="31" t="s">
        <v>197</v>
      </c>
      <c r="H80" s="31" t="s">
        <v>198</v>
      </c>
      <c r="I80" s="31" t="s">
        <v>481</v>
      </c>
      <c r="J80" s="31" t="s">
        <v>1146</v>
      </c>
      <c r="K80" s="31" t="s">
        <v>1154</v>
      </c>
      <c r="L80" s="31" t="s">
        <v>162</v>
      </c>
      <c r="M80" s="31" t="s">
        <v>144</v>
      </c>
      <c r="N80" s="31" t="s">
        <v>1146</v>
      </c>
      <c r="O80" s="31" t="s">
        <v>378</v>
      </c>
      <c r="P80" s="31" t="s">
        <v>378</v>
      </c>
      <c r="Q80" s="31">
        <v>7.5</v>
      </c>
      <c r="R80" s="31">
        <v>28.8</v>
      </c>
      <c r="S80" s="31">
        <v>0.56000000000000005</v>
      </c>
      <c r="T80" s="31">
        <v>1.5</v>
      </c>
      <c r="U80" s="397">
        <v>0.01</v>
      </c>
      <c r="V80" s="31" t="s">
        <v>144</v>
      </c>
      <c r="W80" s="31" t="s">
        <v>144</v>
      </c>
      <c r="X80" s="31">
        <v>21.3</v>
      </c>
      <c r="Y80" s="31">
        <v>173</v>
      </c>
      <c r="Z80" s="31" t="s">
        <v>379</v>
      </c>
      <c r="AA80" s="31" t="s">
        <v>144</v>
      </c>
    </row>
    <row r="81" spans="5:27" s="31" customFormat="1" ht="15" customHeight="1" x14ac:dyDescent="0.25">
      <c r="E81" s="31" t="s">
        <v>200</v>
      </c>
      <c r="F81" s="31" t="s">
        <v>140</v>
      </c>
      <c r="G81" s="31" t="s">
        <v>197</v>
      </c>
      <c r="H81" s="31" t="s">
        <v>198</v>
      </c>
      <c r="I81" s="31" t="s">
        <v>481</v>
      </c>
      <c r="J81" s="31" t="s">
        <v>1146</v>
      </c>
      <c r="K81" s="31" t="s">
        <v>1155</v>
      </c>
      <c r="L81" s="31" t="s">
        <v>162</v>
      </c>
      <c r="M81" s="31" t="s">
        <v>144</v>
      </c>
      <c r="N81" s="31" t="s">
        <v>1146</v>
      </c>
      <c r="O81" s="31" t="s">
        <v>378</v>
      </c>
      <c r="P81" s="31" t="s">
        <v>378</v>
      </c>
      <c r="Q81" s="31">
        <v>7.5</v>
      </c>
      <c r="R81" s="31">
        <v>28.8</v>
      </c>
      <c r="S81" s="31">
        <v>0.56000000000000005</v>
      </c>
      <c r="T81" s="31">
        <v>1.5</v>
      </c>
      <c r="U81" s="397">
        <v>0.01</v>
      </c>
      <c r="V81" s="31" t="s">
        <v>144</v>
      </c>
      <c r="W81" s="31" t="s">
        <v>144</v>
      </c>
      <c r="X81" s="31">
        <v>21.3</v>
      </c>
      <c r="Y81" s="31">
        <v>173</v>
      </c>
      <c r="Z81" s="31" t="s">
        <v>379</v>
      </c>
      <c r="AA81" s="31" t="s">
        <v>144</v>
      </c>
    </row>
    <row r="82" spans="5:27" s="31" customFormat="1" ht="15" customHeight="1" x14ac:dyDescent="0.25">
      <c r="E82" s="31" t="s">
        <v>200</v>
      </c>
      <c r="F82" s="31" t="s">
        <v>140</v>
      </c>
      <c r="G82" s="31" t="s">
        <v>197</v>
      </c>
      <c r="H82" s="31" t="s">
        <v>198</v>
      </c>
      <c r="I82" s="31" t="s">
        <v>481</v>
      </c>
      <c r="J82" s="31" t="s">
        <v>1146</v>
      </c>
      <c r="K82" s="31" t="s">
        <v>1156</v>
      </c>
      <c r="L82" s="31" t="s">
        <v>162</v>
      </c>
      <c r="M82" s="31" t="s">
        <v>144</v>
      </c>
      <c r="N82" s="31" t="s">
        <v>1146</v>
      </c>
      <c r="O82" s="31" t="s">
        <v>378</v>
      </c>
      <c r="P82" s="31" t="s">
        <v>378</v>
      </c>
      <c r="Q82" s="31">
        <v>7.5</v>
      </c>
      <c r="R82" s="31">
        <v>28.8</v>
      </c>
      <c r="S82" s="31">
        <v>0.56000000000000005</v>
      </c>
      <c r="T82" s="31">
        <v>1.5</v>
      </c>
      <c r="U82" s="397">
        <v>0.01</v>
      </c>
      <c r="V82" s="31" t="s">
        <v>144</v>
      </c>
      <c r="W82" s="31" t="s">
        <v>144</v>
      </c>
      <c r="X82" s="31">
        <v>21.3</v>
      </c>
      <c r="Y82" s="31">
        <v>173</v>
      </c>
      <c r="Z82" s="31" t="s">
        <v>379</v>
      </c>
      <c r="AA82" s="31" t="s">
        <v>144</v>
      </c>
    </row>
    <row r="83" spans="5:27" s="31" customFormat="1" ht="15" customHeight="1" x14ac:dyDescent="0.25">
      <c r="E83" s="31" t="s">
        <v>200</v>
      </c>
      <c r="F83" s="31" t="s">
        <v>140</v>
      </c>
      <c r="G83" s="31" t="s">
        <v>197</v>
      </c>
      <c r="H83" s="31" t="s">
        <v>198</v>
      </c>
      <c r="I83" s="31" t="s">
        <v>481</v>
      </c>
      <c r="J83" s="31" t="s">
        <v>1146</v>
      </c>
      <c r="K83" s="31" t="s">
        <v>1157</v>
      </c>
      <c r="L83" s="31" t="s">
        <v>162</v>
      </c>
      <c r="M83" s="31" t="s">
        <v>144</v>
      </c>
      <c r="N83" s="31" t="s">
        <v>1146</v>
      </c>
      <c r="O83" s="31" t="s">
        <v>378</v>
      </c>
      <c r="P83" s="31" t="s">
        <v>378</v>
      </c>
      <c r="Q83" s="31">
        <v>7.5</v>
      </c>
      <c r="R83" s="31">
        <v>28.8</v>
      </c>
      <c r="S83" s="31">
        <v>0.56000000000000005</v>
      </c>
      <c r="T83" s="31">
        <v>1.5</v>
      </c>
      <c r="U83" s="397">
        <v>0.01</v>
      </c>
      <c r="V83" s="31" t="s">
        <v>144</v>
      </c>
      <c r="W83" s="31" t="s">
        <v>144</v>
      </c>
      <c r="X83" s="31">
        <v>21.3</v>
      </c>
      <c r="Y83" s="31">
        <v>173</v>
      </c>
      <c r="Z83" s="31" t="s">
        <v>379</v>
      </c>
      <c r="AA83" s="31" t="s">
        <v>144</v>
      </c>
    </row>
    <row r="84" spans="5:27" s="31" customFormat="1" ht="15" customHeight="1" x14ac:dyDescent="0.25">
      <c r="E84" s="31" t="s">
        <v>200</v>
      </c>
      <c r="F84" s="31" t="s">
        <v>140</v>
      </c>
      <c r="G84" s="31" t="s">
        <v>197</v>
      </c>
      <c r="H84" s="31" t="s">
        <v>198</v>
      </c>
      <c r="I84" s="31" t="s">
        <v>481</v>
      </c>
      <c r="J84" s="31" t="s">
        <v>1146</v>
      </c>
      <c r="K84" s="31" t="s">
        <v>1158</v>
      </c>
      <c r="L84" s="31" t="s">
        <v>162</v>
      </c>
      <c r="M84" s="31" t="s">
        <v>144</v>
      </c>
      <c r="N84" s="31" t="s">
        <v>1146</v>
      </c>
      <c r="O84" s="31" t="s">
        <v>378</v>
      </c>
      <c r="P84" s="31" t="s">
        <v>378</v>
      </c>
      <c r="Q84" s="31">
        <v>7.5</v>
      </c>
      <c r="R84" s="31">
        <v>28.8</v>
      </c>
      <c r="S84" s="31">
        <v>0.56000000000000005</v>
      </c>
      <c r="T84" s="31">
        <v>1.5</v>
      </c>
      <c r="U84" s="397">
        <v>0.01</v>
      </c>
      <c r="V84" s="31" t="s">
        <v>144</v>
      </c>
      <c r="W84" s="31" t="s">
        <v>144</v>
      </c>
      <c r="X84" s="31">
        <v>21.3</v>
      </c>
      <c r="Y84" s="31">
        <v>173</v>
      </c>
      <c r="Z84" s="31" t="s">
        <v>379</v>
      </c>
      <c r="AA84" s="31" t="s">
        <v>144</v>
      </c>
    </row>
    <row r="85" spans="5:27" s="31" customFormat="1" ht="15" customHeight="1" x14ac:dyDescent="0.25">
      <c r="E85" s="31" t="s">
        <v>200</v>
      </c>
      <c r="F85" s="31" t="s">
        <v>140</v>
      </c>
      <c r="G85" s="31" t="s">
        <v>197</v>
      </c>
      <c r="H85" s="31" t="s">
        <v>198</v>
      </c>
      <c r="I85" s="31" t="s">
        <v>481</v>
      </c>
      <c r="J85" s="31" t="s">
        <v>1146</v>
      </c>
      <c r="K85" s="31" t="s">
        <v>1159</v>
      </c>
      <c r="L85" s="31" t="s">
        <v>162</v>
      </c>
      <c r="M85" s="31" t="s">
        <v>144</v>
      </c>
      <c r="N85" s="31" t="s">
        <v>1146</v>
      </c>
      <c r="O85" s="31" t="s">
        <v>378</v>
      </c>
      <c r="P85" s="31" t="s">
        <v>378</v>
      </c>
      <c r="Q85" s="31">
        <v>7.5</v>
      </c>
      <c r="R85" s="31">
        <v>28.8</v>
      </c>
      <c r="S85" s="31">
        <v>0.56000000000000005</v>
      </c>
      <c r="T85" s="31">
        <v>1.5</v>
      </c>
      <c r="U85" s="397">
        <v>0.01</v>
      </c>
      <c r="V85" s="31" t="s">
        <v>144</v>
      </c>
      <c r="W85" s="31" t="s">
        <v>144</v>
      </c>
      <c r="X85" s="31">
        <v>21.3</v>
      </c>
      <c r="Y85" s="31">
        <v>173</v>
      </c>
      <c r="Z85" s="31" t="s">
        <v>379</v>
      </c>
      <c r="AA85" s="31" t="s">
        <v>144</v>
      </c>
    </row>
    <row r="86" spans="5:27" s="31" customFormat="1" ht="15" customHeight="1" x14ac:dyDescent="0.25">
      <c r="E86" s="31" t="s">
        <v>200</v>
      </c>
      <c r="F86" s="31" t="s">
        <v>140</v>
      </c>
      <c r="G86" s="31" t="s">
        <v>197</v>
      </c>
      <c r="H86" s="31" t="s">
        <v>198</v>
      </c>
      <c r="I86" s="31" t="s">
        <v>481</v>
      </c>
      <c r="J86" s="31" t="s">
        <v>1146</v>
      </c>
      <c r="K86" s="31" t="s">
        <v>1160</v>
      </c>
      <c r="L86" s="31" t="s">
        <v>162</v>
      </c>
      <c r="M86" s="31" t="s">
        <v>144</v>
      </c>
      <c r="N86" s="31" t="s">
        <v>1146</v>
      </c>
      <c r="O86" s="31" t="s">
        <v>378</v>
      </c>
      <c r="P86" s="31" t="s">
        <v>378</v>
      </c>
      <c r="Q86" s="31">
        <v>7.5</v>
      </c>
      <c r="R86" s="31">
        <v>28.8</v>
      </c>
      <c r="S86" s="31">
        <v>0.56000000000000005</v>
      </c>
      <c r="T86" s="31">
        <v>1.5</v>
      </c>
      <c r="U86" s="397">
        <v>0.01</v>
      </c>
      <c r="V86" s="31" t="s">
        <v>144</v>
      </c>
      <c r="W86" s="31" t="s">
        <v>144</v>
      </c>
      <c r="X86" s="31">
        <v>21.3</v>
      </c>
      <c r="Y86" s="31">
        <v>173</v>
      </c>
      <c r="Z86" s="31" t="s">
        <v>379</v>
      </c>
      <c r="AA86" s="31" t="s">
        <v>144</v>
      </c>
    </row>
    <row r="87" spans="5:27" s="31" customFormat="1" ht="15" customHeight="1" x14ac:dyDescent="0.25">
      <c r="E87" s="31" t="s">
        <v>200</v>
      </c>
      <c r="F87" s="31" t="s">
        <v>140</v>
      </c>
      <c r="G87" s="31" t="s">
        <v>197</v>
      </c>
      <c r="H87" s="31" t="s">
        <v>198</v>
      </c>
      <c r="I87" s="31" t="s">
        <v>481</v>
      </c>
      <c r="J87" s="31" t="s">
        <v>1146</v>
      </c>
      <c r="K87" s="31" t="s">
        <v>1161</v>
      </c>
      <c r="L87" s="31" t="s">
        <v>162</v>
      </c>
      <c r="M87" s="31" t="s">
        <v>144</v>
      </c>
      <c r="N87" s="31" t="s">
        <v>1146</v>
      </c>
      <c r="O87" s="31" t="s">
        <v>378</v>
      </c>
      <c r="P87" s="31" t="s">
        <v>378</v>
      </c>
      <c r="Q87" s="31">
        <v>7.5</v>
      </c>
      <c r="R87" s="31">
        <v>28.8</v>
      </c>
      <c r="S87" s="31">
        <v>0.56000000000000005</v>
      </c>
      <c r="T87" s="31">
        <v>1.5</v>
      </c>
      <c r="U87" s="397">
        <v>0.01</v>
      </c>
      <c r="V87" s="31" t="s">
        <v>144</v>
      </c>
      <c r="W87" s="31" t="s">
        <v>144</v>
      </c>
      <c r="X87" s="31">
        <v>21.3</v>
      </c>
      <c r="Y87" s="31">
        <v>173</v>
      </c>
      <c r="Z87" s="31" t="s">
        <v>379</v>
      </c>
      <c r="AA87" s="31" t="s">
        <v>144</v>
      </c>
    </row>
    <row r="88" spans="5:27" s="31" customFormat="1" ht="15" customHeight="1" x14ac:dyDescent="0.25">
      <c r="E88" s="31" t="s">
        <v>200</v>
      </c>
      <c r="F88" s="31" t="s">
        <v>140</v>
      </c>
      <c r="G88" s="31" t="s">
        <v>197</v>
      </c>
      <c r="H88" s="31" t="s">
        <v>198</v>
      </c>
      <c r="I88" s="31" t="s">
        <v>481</v>
      </c>
      <c r="J88" s="31" t="s">
        <v>1146</v>
      </c>
      <c r="K88" s="31" t="s">
        <v>1162</v>
      </c>
      <c r="L88" s="31" t="s">
        <v>162</v>
      </c>
      <c r="M88" s="31" t="s">
        <v>144</v>
      </c>
      <c r="N88" s="31" t="s">
        <v>1146</v>
      </c>
      <c r="O88" s="31" t="s">
        <v>378</v>
      </c>
      <c r="P88" s="31" t="s">
        <v>378</v>
      </c>
      <c r="Q88" s="31">
        <v>7.5</v>
      </c>
      <c r="R88" s="31">
        <v>28.8</v>
      </c>
      <c r="S88" s="31">
        <v>0.56000000000000005</v>
      </c>
      <c r="T88" s="31">
        <v>1.5</v>
      </c>
      <c r="U88" s="397">
        <v>0.01</v>
      </c>
      <c r="V88" s="31" t="s">
        <v>144</v>
      </c>
      <c r="W88" s="31" t="s">
        <v>144</v>
      </c>
      <c r="X88" s="31">
        <v>21.3</v>
      </c>
      <c r="Y88" s="31">
        <v>173</v>
      </c>
      <c r="Z88" s="31" t="s">
        <v>379</v>
      </c>
      <c r="AA88" s="31" t="s">
        <v>144</v>
      </c>
    </row>
    <row r="89" spans="5:27" s="31" customFormat="1" ht="15" customHeight="1" x14ac:dyDescent="0.25">
      <c r="E89" s="31" t="s">
        <v>200</v>
      </c>
      <c r="F89" s="31" t="s">
        <v>140</v>
      </c>
      <c r="G89" s="31" t="s">
        <v>197</v>
      </c>
      <c r="H89" s="31" t="s">
        <v>198</v>
      </c>
      <c r="I89" s="31" t="s">
        <v>481</v>
      </c>
      <c r="J89" s="31" t="s">
        <v>1146</v>
      </c>
      <c r="K89" s="31" t="s">
        <v>1163</v>
      </c>
      <c r="L89" s="31" t="s">
        <v>162</v>
      </c>
      <c r="M89" s="31" t="s">
        <v>144</v>
      </c>
      <c r="N89" s="31" t="s">
        <v>1146</v>
      </c>
      <c r="O89" s="31" t="s">
        <v>378</v>
      </c>
      <c r="P89" s="31" t="s">
        <v>378</v>
      </c>
      <c r="Q89" s="31">
        <v>7.5</v>
      </c>
      <c r="R89" s="31">
        <v>28.8</v>
      </c>
      <c r="S89" s="31">
        <v>0.56000000000000005</v>
      </c>
      <c r="T89" s="31">
        <v>1.5</v>
      </c>
      <c r="U89" s="397">
        <v>0.01</v>
      </c>
      <c r="V89" s="31" t="s">
        <v>144</v>
      </c>
      <c r="W89" s="31" t="s">
        <v>144</v>
      </c>
      <c r="X89" s="31">
        <v>21.3</v>
      </c>
      <c r="Y89" s="31">
        <v>173</v>
      </c>
      <c r="Z89" s="31" t="s">
        <v>379</v>
      </c>
      <c r="AA89" s="31" t="s">
        <v>144</v>
      </c>
    </row>
    <row r="90" spans="5:27" s="31" customFormat="1" ht="15" customHeight="1" x14ac:dyDescent="0.25">
      <c r="E90" s="31" t="s">
        <v>200</v>
      </c>
      <c r="F90" s="31" t="s">
        <v>140</v>
      </c>
      <c r="G90" s="31" t="s">
        <v>197</v>
      </c>
      <c r="H90" s="31" t="s">
        <v>198</v>
      </c>
      <c r="I90" s="31" t="s">
        <v>481</v>
      </c>
      <c r="J90" s="31" t="s">
        <v>1146</v>
      </c>
      <c r="K90" s="31" t="s">
        <v>1164</v>
      </c>
      <c r="L90" s="31" t="s">
        <v>162</v>
      </c>
      <c r="M90" s="31" t="s">
        <v>144</v>
      </c>
      <c r="N90" s="31" t="s">
        <v>1146</v>
      </c>
      <c r="O90" s="31" t="s">
        <v>378</v>
      </c>
      <c r="P90" s="31" t="s">
        <v>378</v>
      </c>
      <c r="Q90" s="31">
        <v>7.5</v>
      </c>
      <c r="R90" s="31">
        <v>28.8</v>
      </c>
      <c r="S90" s="31">
        <v>0.56000000000000005</v>
      </c>
      <c r="T90" s="31">
        <v>1.5</v>
      </c>
      <c r="U90" s="397">
        <v>0.01</v>
      </c>
      <c r="V90" s="31" t="s">
        <v>144</v>
      </c>
      <c r="W90" s="31" t="s">
        <v>144</v>
      </c>
      <c r="X90" s="31">
        <v>21.3</v>
      </c>
      <c r="Y90" s="31">
        <v>173</v>
      </c>
      <c r="Z90" s="31" t="s">
        <v>379</v>
      </c>
      <c r="AA90" s="31" t="s">
        <v>144</v>
      </c>
    </row>
    <row r="93" spans="5:27" s="31" customFormat="1" ht="15" customHeight="1" x14ac:dyDescent="0.25">
      <c r="E93" s="31" t="s">
        <v>201</v>
      </c>
      <c r="F93" s="31" t="s">
        <v>140</v>
      </c>
      <c r="G93" s="31" t="s">
        <v>198</v>
      </c>
      <c r="H93" s="31" t="s">
        <v>237</v>
      </c>
      <c r="I93" s="31" t="s">
        <v>481</v>
      </c>
      <c r="J93" s="31" t="s">
        <v>1165</v>
      </c>
      <c r="K93" s="31" t="s">
        <v>1166</v>
      </c>
      <c r="L93" s="31" t="s">
        <v>162</v>
      </c>
      <c r="M93" s="31" t="s">
        <v>144</v>
      </c>
      <c r="N93" s="31" t="s">
        <v>1167</v>
      </c>
      <c r="O93" s="31" t="s">
        <v>422</v>
      </c>
      <c r="P93" s="31" t="s">
        <v>423</v>
      </c>
      <c r="Q93" s="31">
        <v>28.8</v>
      </c>
      <c r="R93" s="31" t="s">
        <v>1168</v>
      </c>
      <c r="S93" s="31" t="s">
        <v>1169</v>
      </c>
      <c r="T93" s="31">
        <v>2.4300000000000002</v>
      </c>
      <c r="U93" s="33">
        <v>0.02</v>
      </c>
      <c r="V93" s="31" t="s">
        <v>1081</v>
      </c>
      <c r="W93" s="31">
        <v>97</v>
      </c>
      <c r="X93" s="374">
        <v>0.02</v>
      </c>
      <c r="Y93" s="31">
        <v>170</v>
      </c>
      <c r="Z93" s="31" t="s">
        <v>424</v>
      </c>
      <c r="AA93" s="31" t="s">
        <v>144</v>
      </c>
    </row>
    <row r="94" spans="5:27" s="31" customFormat="1" ht="15" customHeight="1" x14ac:dyDescent="0.25">
      <c r="E94" s="31" t="s">
        <v>201</v>
      </c>
      <c r="F94" s="31" t="s">
        <v>140</v>
      </c>
      <c r="G94" s="31" t="s">
        <v>198</v>
      </c>
      <c r="H94" s="31" t="s">
        <v>237</v>
      </c>
      <c r="I94" s="31" t="s">
        <v>481</v>
      </c>
      <c r="J94" s="31" t="s">
        <v>1165</v>
      </c>
      <c r="K94" s="31" t="s">
        <v>1170</v>
      </c>
      <c r="L94" s="31" t="s">
        <v>162</v>
      </c>
      <c r="M94" s="31" t="s">
        <v>144</v>
      </c>
      <c r="N94" s="31" t="s">
        <v>1167</v>
      </c>
      <c r="O94" s="31" t="s">
        <v>422</v>
      </c>
      <c r="P94" s="31" t="s">
        <v>423</v>
      </c>
      <c r="Q94" s="31">
        <v>28.8</v>
      </c>
      <c r="R94" s="31" t="s">
        <v>1168</v>
      </c>
      <c r="S94" s="31" t="s">
        <v>1169</v>
      </c>
      <c r="T94" s="31">
        <v>2.4300000000000002</v>
      </c>
      <c r="U94" s="33">
        <v>0.02</v>
      </c>
      <c r="V94" s="31" t="s">
        <v>1081</v>
      </c>
      <c r="W94" s="31">
        <v>97</v>
      </c>
      <c r="X94" s="374">
        <v>0.02</v>
      </c>
      <c r="Y94" s="31">
        <v>170</v>
      </c>
      <c r="Z94" s="31" t="s">
        <v>424</v>
      </c>
      <c r="AA94" s="31" t="s">
        <v>144</v>
      </c>
    </row>
    <row r="95" spans="5:27" s="31" customFormat="1" ht="15" customHeight="1" x14ac:dyDescent="0.25">
      <c r="E95" s="31" t="s">
        <v>201</v>
      </c>
      <c r="F95" s="31" t="s">
        <v>140</v>
      </c>
      <c r="G95" s="31" t="s">
        <v>198</v>
      </c>
      <c r="H95" s="31" t="s">
        <v>237</v>
      </c>
      <c r="I95" s="31" t="s">
        <v>481</v>
      </c>
      <c r="J95" s="31" t="s">
        <v>1165</v>
      </c>
      <c r="K95" s="31" t="s">
        <v>1171</v>
      </c>
      <c r="L95" s="31" t="s">
        <v>162</v>
      </c>
      <c r="M95" s="31" t="s">
        <v>144</v>
      </c>
      <c r="N95" s="31" t="s">
        <v>1167</v>
      </c>
      <c r="O95" s="31" t="s">
        <v>422</v>
      </c>
      <c r="P95" s="31" t="s">
        <v>423</v>
      </c>
      <c r="Q95" s="31">
        <v>28.8</v>
      </c>
      <c r="R95" s="31" t="s">
        <v>1168</v>
      </c>
      <c r="S95" s="31" t="s">
        <v>1169</v>
      </c>
      <c r="T95" s="31">
        <v>2.4300000000000002</v>
      </c>
      <c r="U95" s="33">
        <v>0.02</v>
      </c>
      <c r="V95" s="31" t="s">
        <v>1081</v>
      </c>
      <c r="W95" s="31">
        <v>97</v>
      </c>
      <c r="X95" s="374">
        <v>0.02</v>
      </c>
      <c r="Y95" s="31">
        <v>170</v>
      </c>
      <c r="Z95" s="31" t="s">
        <v>424</v>
      </c>
      <c r="AA95" s="31" t="s">
        <v>144</v>
      </c>
    </row>
    <row r="96" spans="5:27" s="31" customFormat="1" ht="15" customHeight="1" x14ac:dyDescent="0.25">
      <c r="E96" s="31" t="s">
        <v>201</v>
      </c>
      <c r="F96" s="31" t="s">
        <v>140</v>
      </c>
      <c r="G96" s="31" t="s">
        <v>198</v>
      </c>
      <c r="H96" s="31" t="s">
        <v>237</v>
      </c>
      <c r="I96" s="31" t="s">
        <v>481</v>
      </c>
      <c r="J96" s="31" t="s">
        <v>1165</v>
      </c>
      <c r="K96" s="31" t="s">
        <v>1172</v>
      </c>
      <c r="L96" s="31" t="s">
        <v>162</v>
      </c>
      <c r="M96" s="31" t="s">
        <v>144</v>
      </c>
      <c r="N96" s="31" t="s">
        <v>1167</v>
      </c>
      <c r="O96" s="31" t="s">
        <v>422</v>
      </c>
      <c r="P96" s="31" t="s">
        <v>423</v>
      </c>
      <c r="Q96" s="31">
        <v>28.8</v>
      </c>
      <c r="R96" s="31" t="s">
        <v>1168</v>
      </c>
      <c r="S96" s="31" t="s">
        <v>1169</v>
      </c>
      <c r="T96" s="31">
        <v>2.4300000000000002</v>
      </c>
      <c r="U96" s="33">
        <v>0.02</v>
      </c>
      <c r="V96" s="31" t="s">
        <v>1081</v>
      </c>
      <c r="W96" s="31">
        <v>97</v>
      </c>
      <c r="X96" s="374">
        <v>0.02</v>
      </c>
      <c r="Y96" s="31">
        <v>170</v>
      </c>
      <c r="Z96" s="31" t="s">
        <v>424</v>
      </c>
      <c r="AA96" s="31" t="s">
        <v>144</v>
      </c>
    </row>
    <row r="97" spans="5:27" s="31" customFormat="1" ht="15" customHeight="1" x14ac:dyDescent="0.25">
      <c r="E97" s="31" t="s">
        <v>201</v>
      </c>
      <c r="F97" s="31" t="s">
        <v>140</v>
      </c>
      <c r="G97" s="31" t="s">
        <v>198</v>
      </c>
      <c r="H97" s="31" t="s">
        <v>237</v>
      </c>
      <c r="I97" s="31" t="s">
        <v>481</v>
      </c>
      <c r="J97" s="31" t="s">
        <v>1165</v>
      </c>
      <c r="K97" s="31" t="s">
        <v>1173</v>
      </c>
      <c r="L97" s="31" t="s">
        <v>162</v>
      </c>
      <c r="M97" s="31" t="s">
        <v>144</v>
      </c>
      <c r="N97" s="31" t="s">
        <v>1167</v>
      </c>
      <c r="O97" s="31" t="s">
        <v>422</v>
      </c>
      <c r="P97" s="31" t="s">
        <v>423</v>
      </c>
      <c r="Q97" s="31">
        <v>28.8</v>
      </c>
      <c r="R97" s="31" t="s">
        <v>1168</v>
      </c>
      <c r="S97" s="31" t="s">
        <v>1169</v>
      </c>
      <c r="T97" s="31">
        <v>2.4300000000000002</v>
      </c>
      <c r="U97" s="33">
        <v>0.02</v>
      </c>
      <c r="V97" s="31" t="s">
        <v>1081</v>
      </c>
      <c r="W97" s="31">
        <v>97</v>
      </c>
      <c r="X97" s="374">
        <v>0.02</v>
      </c>
      <c r="Y97" s="31">
        <v>170</v>
      </c>
      <c r="Z97" s="31" t="s">
        <v>424</v>
      </c>
      <c r="AA97" s="31" t="s">
        <v>144</v>
      </c>
    </row>
    <row r="98" spans="5:27" s="31" customFormat="1" ht="15" customHeight="1" x14ac:dyDescent="0.25">
      <c r="E98" s="31" t="s">
        <v>201</v>
      </c>
      <c r="F98" s="31" t="s">
        <v>140</v>
      </c>
      <c r="G98" s="31" t="s">
        <v>198</v>
      </c>
      <c r="H98" s="31" t="s">
        <v>237</v>
      </c>
      <c r="I98" s="31" t="s">
        <v>481</v>
      </c>
      <c r="J98" s="31" t="s">
        <v>1165</v>
      </c>
      <c r="K98" s="31" t="s">
        <v>1174</v>
      </c>
      <c r="L98" s="31" t="s">
        <v>162</v>
      </c>
      <c r="M98" s="31" t="s">
        <v>144</v>
      </c>
      <c r="N98" s="31" t="s">
        <v>1167</v>
      </c>
      <c r="O98" s="31" t="s">
        <v>422</v>
      </c>
      <c r="P98" s="31" t="s">
        <v>423</v>
      </c>
      <c r="Q98" s="31">
        <v>28.8</v>
      </c>
      <c r="R98" s="31" t="s">
        <v>1168</v>
      </c>
      <c r="S98" s="31" t="s">
        <v>1169</v>
      </c>
      <c r="T98" s="31">
        <v>2.4300000000000002</v>
      </c>
      <c r="U98" s="33">
        <v>0.02</v>
      </c>
      <c r="V98" s="31" t="s">
        <v>1081</v>
      </c>
      <c r="W98" s="31">
        <v>97</v>
      </c>
      <c r="X98" s="374">
        <v>0.02</v>
      </c>
      <c r="Y98" s="31">
        <v>170</v>
      </c>
      <c r="Z98" s="31" t="s">
        <v>424</v>
      </c>
      <c r="AA98" s="31" t="s">
        <v>144</v>
      </c>
    </row>
    <row r="99" spans="5:27" s="31" customFormat="1" ht="15" customHeight="1" x14ac:dyDescent="0.25">
      <c r="E99" s="31" t="s">
        <v>201</v>
      </c>
      <c r="F99" s="31" t="s">
        <v>140</v>
      </c>
      <c r="G99" s="31" t="s">
        <v>198</v>
      </c>
      <c r="H99" s="31" t="s">
        <v>237</v>
      </c>
      <c r="I99" s="31" t="s">
        <v>481</v>
      </c>
      <c r="J99" s="31" t="s">
        <v>1165</v>
      </c>
      <c r="K99" s="31" t="s">
        <v>1175</v>
      </c>
      <c r="L99" s="31" t="s">
        <v>162</v>
      </c>
      <c r="M99" s="31" t="s">
        <v>144</v>
      </c>
      <c r="N99" s="31" t="s">
        <v>1167</v>
      </c>
      <c r="O99" s="31" t="s">
        <v>422</v>
      </c>
      <c r="P99" s="31" t="s">
        <v>423</v>
      </c>
      <c r="Q99" s="31">
        <v>28.8</v>
      </c>
      <c r="R99" s="31" t="s">
        <v>1168</v>
      </c>
      <c r="S99" s="31" t="s">
        <v>1169</v>
      </c>
      <c r="T99" s="31">
        <v>2.4300000000000002</v>
      </c>
      <c r="U99" s="33">
        <v>0.02</v>
      </c>
      <c r="V99" s="31" t="s">
        <v>1081</v>
      </c>
      <c r="W99" s="31">
        <v>97</v>
      </c>
      <c r="X99" s="374">
        <v>0.02</v>
      </c>
      <c r="Y99" s="31">
        <v>170</v>
      </c>
      <c r="Z99" s="31" t="s">
        <v>424</v>
      </c>
      <c r="AA99" s="31" t="s">
        <v>144</v>
      </c>
    </row>
    <row r="100" spans="5:27" s="31" customFormat="1" ht="15" customHeight="1" x14ac:dyDescent="0.25">
      <c r="E100" s="31" t="s">
        <v>201</v>
      </c>
      <c r="F100" s="31" t="s">
        <v>140</v>
      </c>
      <c r="G100" s="31" t="s">
        <v>198</v>
      </c>
      <c r="H100" s="31" t="s">
        <v>237</v>
      </c>
      <c r="I100" s="31" t="s">
        <v>481</v>
      </c>
      <c r="J100" s="31" t="s">
        <v>1165</v>
      </c>
      <c r="K100" s="31" t="s">
        <v>1176</v>
      </c>
      <c r="L100" s="31" t="s">
        <v>162</v>
      </c>
      <c r="M100" s="31" t="s">
        <v>144</v>
      </c>
      <c r="N100" s="31" t="s">
        <v>1167</v>
      </c>
      <c r="O100" s="31" t="s">
        <v>422</v>
      </c>
      <c r="P100" s="31" t="s">
        <v>423</v>
      </c>
      <c r="Q100" s="31">
        <v>28.8</v>
      </c>
      <c r="R100" s="31" t="s">
        <v>1168</v>
      </c>
      <c r="S100" s="31" t="s">
        <v>1169</v>
      </c>
      <c r="T100" s="31">
        <v>2.4300000000000002</v>
      </c>
      <c r="U100" s="33">
        <v>0.02</v>
      </c>
      <c r="V100" s="31" t="s">
        <v>1081</v>
      </c>
      <c r="W100" s="31">
        <v>97</v>
      </c>
      <c r="X100" s="374">
        <v>0.02</v>
      </c>
      <c r="Y100" s="31">
        <v>170</v>
      </c>
      <c r="Z100" s="31" t="s">
        <v>424</v>
      </c>
      <c r="AA100" s="31" t="s">
        <v>144</v>
      </c>
    </row>
    <row r="101" spans="5:27" s="31" customFormat="1" ht="15" customHeight="1" x14ac:dyDescent="0.25">
      <c r="E101" s="31" t="s">
        <v>201</v>
      </c>
      <c r="F101" s="31" t="s">
        <v>140</v>
      </c>
      <c r="G101" s="31" t="s">
        <v>198</v>
      </c>
      <c r="H101" s="31" t="s">
        <v>237</v>
      </c>
      <c r="I101" s="31" t="s">
        <v>481</v>
      </c>
      <c r="J101" s="31" t="s">
        <v>1165</v>
      </c>
      <c r="K101" s="31" t="s">
        <v>1177</v>
      </c>
      <c r="L101" s="31" t="s">
        <v>162</v>
      </c>
      <c r="M101" s="31" t="s">
        <v>144</v>
      </c>
      <c r="N101" s="31" t="s">
        <v>1167</v>
      </c>
      <c r="O101" s="31" t="s">
        <v>422</v>
      </c>
      <c r="P101" s="31" t="s">
        <v>423</v>
      </c>
      <c r="Q101" s="31">
        <v>28.8</v>
      </c>
      <c r="R101" s="31" t="s">
        <v>1168</v>
      </c>
      <c r="S101" s="31" t="s">
        <v>1169</v>
      </c>
      <c r="T101" s="31">
        <v>2.4300000000000002</v>
      </c>
      <c r="U101" s="33">
        <v>0.02</v>
      </c>
      <c r="V101" s="31" t="s">
        <v>1081</v>
      </c>
      <c r="W101" s="31">
        <v>97</v>
      </c>
      <c r="X101" s="374">
        <v>0.02</v>
      </c>
      <c r="Y101" s="31">
        <v>170</v>
      </c>
      <c r="Z101" s="31" t="s">
        <v>424</v>
      </c>
      <c r="AA101" s="31" t="s">
        <v>144</v>
      </c>
    </row>
    <row r="102" spans="5:27" s="31" customFormat="1" ht="15" customHeight="1" x14ac:dyDescent="0.25">
      <c r="E102" s="31" t="s">
        <v>201</v>
      </c>
      <c r="F102" s="31" t="s">
        <v>140</v>
      </c>
      <c r="G102" s="31" t="s">
        <v>198</v>
      </c>
      <c r="H102" s="31" t="s">
        <v>237</v>
      </c>
      <c r="I102" s="31" t="s">
        <v>481</v>
      </c>
      <c r="J102" s="31" t="s">
        <v>1165</v>
      </c>
      <c r="K102" s="31" t="s">
        <v>1178</v>
      </c>
      <c r="L102" s="31" t="s">
        <v>162</v>
      </c>
      <c r="M102" s="31" t="s">
        <v>144</v>
      </c>
      <c r="N102" s="31" t="s">
        <v>1167</v>
      </c>
      <c r="O102" s="31" t="s">
        <v>422</v>
      </c>
      <c r="P102" s="31" t="s">
        <v>423</v>
      </c>
      <c r="Q102" s="31">
        <v>28.8</v>
      </c>
      <c r="R102" s="31" t="s">
        <v>1168</v>
      </c>
      <c r="S102" s="31" t="s">
        <v>1169</v>
      </c>
      <c r="T102" s="31">
        <v>2.4300000000000002</v>
      </c>
      <c r="U102" s="33">
        <v>0.02</v>
      </c>
      <c r="V102" s="31" t="s">
        <v>1081</v>
      </c>
      <c r="W102" s="31">
        <v>97</v>
      </c>
      <c r="X102" s="374">
        <v>0.02</v>
      </c>
      <c r="Y102" s="31">
        <v>170</v>
      </c>
      <c r="Z102" s="31" t="s">
        <v>424</v>
      </c>
      <c r="AA102" s="31" t="s">
        <v>144</v>
      </c>
    </row>
    <row r="103" spans="5:27" s="31" customFormat="1" ht="15" customHeight="1" x14ac:dyDescent="0.25">
      <c r="E103" s="31" t="s">
        <v>201</v>
      </c>
      <c r="F103" s="31" t="s">
        <v>140</v>
      </c>
      <c r="G103" s="31" t="s">
        <v>198</v>
      </c>
      <c r="H103" s="31" t="s">
        <v>237</v>
      </c>
      <c r="I103" s="31" t="s">
        <v>481</v>
      </c>
      <c r="J103" s="31" t="s">
        <v>1165</v>
      </c>
      <c r="K103" s="31" t="s">
        <v>1179</v>
      </c>
      <c r="L103" s="31" t="s">
        <v>162</v>
      </c>
      <c r="M103" s="31" t="s">
        <v>144</v>
      </c>
      <c r="N103" s="31" t="s">
        <v>1167</v>
      </c>
      <c r="O103" s="31" t="s">
        <v>422</v>
      </c>
      <c r="P103" s="31" t="s">
        <v>423</v>
      </c>
      <c r="Q103" s="31">
        <v>28.8</v>
      </c>
      <c r="R103" s="31" t="s">
        <v>1168</v>
      </c>
      <c r="S103" s="31" t="s">
        <v>1169</v>
      </c>
      <c r="T103" s="31">
        <v>2.4300000000000002</v>
      </c>
      <c r="U103" s="33">
        <v>0.02</v>
      </c>
      <c r="V103" s="31" t="s">
        <v>1081</v>
      </c>
      <c r="W103" s="31">
        <v>97</v>
      </c>
      <c r="X103" s="374">
        <v>0.02</v>
      </c>
      <c r="Y103" s="31">
        <v>170</v>
      </c>
      <c r="Z103" s="31" t="s">
        <v>424</v>
      </c>
      <c r="AA103" s="31" t="s">
        <v>144</v>
      </c>
    </row>
    <row r="104" spans="5:27" s="31" customFormat="1" ht="15" customHeight="1" x14ac:dyDescent="0.25">
      <c r="E104" s="31" t="s">
        <v>201</v>
      </c>
      <c r="F104" s="31" t="s">
        <v>140</v>
      </c>
      <c r="G104" s="31" t="s">
        <v>198</v>
      </c>
      <c r="H104" s="31" t="s">
        <v>237</v>
      </c>
      <c r="I104" s="31" t="s">
        <v>481</v>
      </c>
      <c r="J104" s="31" t="s">
        <v>1165</v>
      </c>
      <c r="K104" s="31" t="s">
        <v>1180</v>
      </c>
      <c r="L104" s="31" t="s">
        <v>162</v>
      </c>
      <c r="M104" s="31" t="s">
        <v>144</v>
      </c>
      <c r="N104" s="31" t="s">
        <v>1167</v>
      </c>
      <c r="O104" s="31" t="s">
        <v>422</v>
      </c>
      <c r="P104" s="31" t="s">
        <v>423</v>
      </c>
      <c r="Q104" s="31">
        <v>28.8</v>
      </c>
      <c r="R104" s="31" t="s">
        <v>1168</v>
      </c>
      <c r="S104" s="31" t="s">
        <v>1169</v>
      </c>
      <c r="T104" s="31">
        <v>2.4300000000000002</v>
      </c>
      <c r="U104" s="33">
        <v>0.02</v>
      </c>
      <c r="V104" s="31" t="s">
        <v>1081</v>
      </c>
      <c r="W104" s="31">
        <v>97</v>
      </c>
      <c r="X104" s="374">
        <v>0.02</v>
      </c>
      <c r="Y104" s="31">
        <v>170</v>
      </c>
      <c r="Z104" s="31" t="s">
        <v>424</v>
      </c>
      <c r="AA104" s="31" t="s">
        <v>144</v>
      </c>
    </row>
    <row r="105" spans="5:27" s="31" customFormat="1" ht="15" customHeight="1" x14ac:dyDescent="0.25">
      <c r="E105" s="31" t="s">
        <v>201</v>
      </c>
      <c r="F105" s="31" t="s">
        <v>140</v>
      </c>
      <c r="G105" s="31" t="s">
        <v>198</v>
      </c>
      <c r="H105" s="31" t="s">
        <v>237</v>
      </c>
      <c r="I105" s="31" t="s">
        <v>481</v>
      </c>
      <c r="J105" s="31" t="s">
        <v>1165</v>
      </c>
      <c r="K105" s="31" t="s">
        <v>1181</v>
      </c>
      <c r="L105" s="31" t="s">
        <v>162</v>
      </c>
      <c r="M105" s="31" t="s">
        <v>144</v>
      </c>
      <c r="N105" s="31" t="s">
        <v>1167</v>
      </c>
      <c r="O105" s="31" t="s">
        <v>422</v>
      </c>
      <c r="P105" s="31" t="s">
        <v>423</v>
      </c>
      <c r="Q105" s="31">
        <v>28.8</v>
      </c>
      <c r="R105" s="31" t="s">
        <v>1168</v>
      </c>
      <c r="S105" s="31" t="s">
        <v>1169</v>
      </c>
      <c r="T105" s="31">
        <v>2.4300000000000002</v>
      </c>
      <c r="U105" s="33">
        <v>0.02</v>
      </c>
      <c r="V105" s="31" t="s">
        <v>1081</v>
      </c>
      <c r="W105" s="31">
        <v>97</v>
      </c>
      <c r="X105" s="374">
        <v>0.02</v>
      </c>
      <c r="Y105" s="31">
        <v>170</v>
      </c>
      <c r="Z105" s="31" t="s">
        <v>424</v>
      </c>
      <c r="AA105" s="31" t="s">
        <v>144</v>
      </c>
    </row>
    <row r="106" spans="5:27" s="31" customFormat="1" ht="15" customHeight="1" x14ac:dyDescent="0.25">
      <c r="E106" s="31" t="s">
        <v>201</v>
      </c>
      <c r="F106" s="31" t="s">
        <v>140</v>
      </c>
      <c r="G106" s="31" t="s">
        <v>198</v>
      </c>
      <c r="H106" s="31" t="s">
        <v>237</v>
      </c>
      <c r="I106" s="31" t="s">
        <v>481</v>
      </c>
      <c r="J106" s="31" t="s">
        <v>1165</v>
      </c>
      <c r="K106" s="31" t="s">
        <v>1182</v>
      </c>
      <c r="L106" s="31" t="s">
        <v>162</v>
      </c>
      <c r="M106" s="31" t="s">
        <v>144</v>
      </c>
      <c r="N106" s="31" t="s">
        <v>1167</v>
      </c>
      <c r="O106" s="31" t="s">
        <v>422</v>
      </c>
      <c r="P106" s="31" t="s">
        <v>423</v>
      </c>
      <c r="Q106" s="31">
        <v>28.8</v>
      </c>
      <c r="R106" s="31" t="s">
        <v>1168</v>
      </c>
      <c r="S106" s="31" t="s">
        <v>1169</v>
      </c>
      <c r="T106" s="31">
        <v>2.4300000000000002</v>
      </c>
      <c r="U106" s="33">
        <v>0.02</v>
      </c>
      <c r="V106" s="31" t="s">
        <v>1081</v>
      </c>
      <c r="W106" s="31">
        <v>97</v>
      </c>
      <c r="X106" s="374">
        <v>0.02</v>
      </c>
      <c r="Y106" s="31">
        <v>170</v>
      </c>
      <c r="Z106" s="31" t="s">
        <v>424</v>
      </c>
      <c r="AA106" s="31" t="s">
        <v>144</v>
      </c>
    </row>
    <row r="107" spans="5:27" s="31" customFormat="1" ht="15" customHeight="1" x14ac:dyDescent="0.25">
      <c r="E107" s="31" t="s">
        <v>201</v>
      </c>
      <c r="F107" s="31" t="s">
        <v>140</v>
      </c>
      <c r="G107" s="31" t="s">
        <v>198</v>
      </c>
      <c r="H107" s="31" t="s">
        <v>237</v>
      </c>
      <c r="I107" s="31" t="s">
        <v>481</v>
      </c>
      <c r="J107" s="31" t="s">
        <v>1165</v>
      </c>
      <c r="K107" s="31" t="s">
        <v>1183</v>
      </c>
      <c r="L107" s="31" t="s">
        <v>162</v>
      </c>
      <c r="M107" s="31" t="s">
        <v>144</v>
      </c>
      <c r="N107" s="31" t="s">
        <v>1167</v>
      </c>
      <c r="O107" s="31" t="s">
        <v>422</v>
      </c>
      <c r="P107" s="31" t="s">
        <v>423</v>
      </c>
      <c r="Q107" s="31">
        <v>28.8</v>
      </c>
      <c r="R107" s="31" t="s">
        <v>1168</v>
      </c>
      <c r="S107" s="31" t="s">
        <v>1169</v>
      </c>
      <c r="T107" s="31">
        <v>2.4300000000000002</v>
      </c>
      <c r="U107" s="33">
        <v>0.02</v>
      </c>
      <c r="V107" s="31" t="s">
        <v>1081</v>
      </c>
      <c r="W107" s="31">
        <v>97</v>
      </c>
      <c r="X107" s="374">
        <v>0.02</v>
      </c>
      <c r="Y107" s="31">
        <v>170</v>
      </c>
      <c r="Z107" s="31" t="s">
        <v>424</v>
      </c>
      <c r="AA107" s="31" t="s">
        <v>144</v>
      </c>
    </row>
    <row r="108" spans="5:27" s="31" customFormat="1" ht="15" customHeight="1" x14ac:dyDescent="0.25">
      <c r="E108" s="31" t="s">
        <v>201</v>
      </c>
      <c r="F108" s="31" t="s">
        <v>140</v>
      </c>
      <c r="G108" s="31" t="s">
        <v>198</v>
      </c>
      <c r="H108" s="31" t="s">
        <v>237</v>
      </c>
      <c r="I108" s="31" t="s">
        <v>481</v>
      </c>
      <c r="J108" s="31" t="s">
        <v>1165</v>
      </c>
      <c r="K108" s="31" t="s">
        <v>1184</v>
      </c>
      <c r="L108" s="31" t="s">
        <v>162</v>
      </c>
      <c r="M108" s="31" t="s">
        <v>144</v>
      </c>
      <c r="N108" s="31" t="s">
        <v>1167</v>
      </c>
      <c r="O108" s="31" t="s">
        <v>422</v>
      </c>
      <c r="P108" s="31" t="s">
        <v>423</v>
      </c>
      <c r="Q108" s="31">
        <v>28.8</v>
      </c>
      <c r="R108" s="31" t="s">
        <v>1168</v>
      </c>
      <c r="S108" s="31" t="s">
        <v>1169</v>
      </c>
      <c r="T108" s="31">
        <v>2.4300000000000002</v>
      </c>
      <c r="U108" s="33">
        <v>0.02</v>
      </c>
      <c r="V108" s="31" t="s">
        <v>1081</v>
      </c>
      <c r="W108" s="31">
        <v>97</v>
      </c>
      <c r="X108" s="374">
        <v>0.02</v>
      </c>
      <c r="Y108" s="31">
        <v>170</v>
      </c>
      <c r="Z108" s="31" t="s">
        <v>424</v>
      </c>
      <c r="AA108" s="31" t="s">
        <v>144</v>
      </c>
    </row>
    <row r="109" spans="5:27" s="31" customFormat="1" ht="15" customHeight="1" x14ac:dyDescent="0.25">
      <c r="E109" s="31" t="s">
        <v>201</v>
      </c>
      <c r="F109" s="31" t="s">
        <v>140</v>
      </c>
      <c r="G109" s="31" t="s">
        <v>198</v>
      </c>
      <c r="H109" s="31" t="s">
        <v>237</v>
      </c>
      <c r="I109" s="31" t="s">
        <v>481</v>
      </c>
      <c r="J109" s="31" t="s">
        <v>1165</v>
      </c>
      <c r="K109" s="31" t="s">
        <v>1185</v>
      </c>
      <c r="L109" s="31" t="s">
        <v>162</v>
      </c>
      <c r="M109" s="31" t="s">
        <v>144</v>
      </c>
      <c r="N109" s="31" t="s">
        <v>1167</v>
      </c>
      <c r="O109" s="31" t="s">
        <v>422</v>
      </c>
      <c r="P109" s="31" t="s">
        <v>423</v>
      </c>
      <c r="Q109" s="31">
        <v>28.8</v>
      </c>
      <c r="R109" s="31" t="s">
        <v>1168</v>
      </c>
      <c r="S109" s="31" t="s">
        <v>1169</v>
      </c>
      <c r="T109" s="31">
        <v>2.4300000000000002</v>
      </c>
      <c r="U109" s="33">
        <v>0.02</v>
      </c>
      <c r="V109" s="31" t="s">
        <v>1081</v>
      </c>
      <c r="W109" s="31">
        <v>97</v>
      </c>
      <c r="X109" s="374">
        <v>0.02</v>
      </c>
      <c r="Y109" s="31">
        <v>170</v>
      </c>
      <c r="Z109" s="31" t="s">
        <v>424</v>
      </c>
      <c r="AA109" s="31" t="s">
        <v>144</v>
      </c>
    </row>
    <row r="110" spans="5:27" s="31" customFormat="1" ht="15" customHeight="1" x14ac:dyDescent="0.25">
      <c r="E110" s="31" t="s">
        <v>201</v>
      </c>
      <c r="F110" s="31" t="s">
        <v>140</v>
      </c>
      <c r="G110" s="31" t="s">
        <v>198</v>
      </c>
      <c r="H110" s="31" t="s">
        <v>237</v>
      </c>
      <c r="I110" s="31" t="s">
        <v>481</v>
      </c>
      <c r="J110" s="31" t="s">
        <v>1165</v>
      </c>
      <c r="K110" s="31" t="s">
        <v>1186</v>
      </c>
      <c r="L110" s="31" t="s">
        <v>162</v>
      </c>
      <c r="M110" s="31" t="s">
        <v>144</v>
      </c>
      <c r="N110" s="31" t="s">
        <v>1167</v>
      </c>
      <c r="O110" s="31" t="s">
        <v>422</v>
      </c>
      <c r="P110" s="31" t="s">
        <v>423</v>
      </c>
      <c r="Q110" s="31">
        <v>28.8</v>
      </c>
      <c r="R110" s="31" t="s">
        <v>1168</v>
      </c>
      <c r="S110" s="31" t="s">
        <v>1169</v>
      </c>
      <c r="T110" s="31">
        <v>2.4300000000000002</v>
      </c>
      <c r="U110" s="33">
        <v>0.02</v>
      </c>
      <c r="V110" s="31" t="s">
        <v>1081</v>
      </c>
      <c r="W110" s="31">
        <v>97</v>
      </c>
      <c r="X110" s="374">
        <v>0.02</v>
      </c>
      <c r="Y110" s="31">
        <v>170</v>
      </c>
      <c r="Z110" s="31" t="s">
        <v>424</v>
      </c>
      <c r="AA110" s="31" t="s">
        <v>144</v>
      </c>
    </row>
    <row r="111" spans="5:27" s="31" customFormat="1" ht="15" customHeight="1" x14ac:dyDescent="0.25">
      <c r="E111" s="31" t="s">
        <v>201</v>
      </c>
      <c r="F111" s="31" t="s">
        <v>140</v>
      </c>
      <c r="G111" s="31" t="s">
        <v>198</v>
      </c>
      <c r="H111" s="31" t="s">
        <v>237</v>
      </c>
      <c r="I111" s="31" t="s">
        <v>481</v>
      </c>
      <c r="J111" s="31" t="s">
        <v>1165</v>
      </c>
      <c r="K111" s="31" t="s">
        <v>1187</v>
      </c>
      <c r="L111" s="31" t="s">
        <v>162</v>
      </c>
      <c r="M111" s="31" t="s">
        <v>144</v>
      </c>
      <c r="N111" s="31" t="s">
        <v>1167</v>
      </c>
      <c r="O111" s="31" t="s">
        <v>422</v>
      </c>
      <c r="P111" s="31" t="s">
        <v>423</v>
      </c>
      <c r="Q111" s="31">
        <v>28.8</v>
      </c>
      <c r="R111" s="31" t="s">
        <v>1168</v>
      </c>
      <c r="S111" s="31" t="s">
        <v>1169</v>
      </c>
      <c r="T111" s="31">
        <v>2.4300000000000002</v>
      </c>
      <c r="U111" s="33">
        <v>0.02</v>
      </c>
      <c r="V111" s="31" t="s">
        <v>1081</v>
      </c>
      <c r="W111" s="31">
        <v>97</v>
      </c>
      <c r="X111" s="374">
        <v>0.02</v>
      </c>
      <c r="Y111" s="31">
        <v>170</v>
      </c>
      <c r="Z111" s="31" t="s">
        <v>424</v>
      </c>
      <c r="AA111" s="31" t="s">
        <v>144</v>
      </c>
    </row>
    <row r="112" spans="5:27" s="31" customFormat="1" ht="15" customHeight="1" x14ac:dyDescent="0.25">
      <c r="E112" s="31" t="s">
        <v>201</v>
      </c>
      <c r="F112" s="31" t="s">
        <v>140</v>
      </c>
      <c r="G112" s="31" t="s">
        <v>198</v>
      </c>
      <c r="H112" s="31" t="s">
        <v>237</v>
      </c>
      <c r="I112" s="31" t="s">
        <v>481</v>
      </c>
      <c r="J112" s="31" t="s">
        <v>1165</v>
      </c>
      <c r="K112" s="31" t="s">
        <v>1188</v>
      </c>
      <c r="L112" s="31" t="s">
        <v>162</v>
      </c>
      <c r="M112" s="31" t="s">
        <v>144</v>
      </c>
      <c r="N112" s="31" t="s">
        <v>1167</v>
      </c>
      <c r="O112" s="31" t="s">
        <v>422</v>
      </c>
      <c r="P112" s="31" t="s">
        <v>423</v>
      </c>
      <c r="Q112" s="31">
        <v>28.8</v>
      </c>
      <c r="R112" s="31" t="s">
        <v>1168</v>
      </c>
      <c r="S112" s="31" t="s">
        <v>1169</v>
      </c>
      <c r="T112" s="31">
        <v>2.4300000000000002</v>
      </c>
      <c r="U112" s="33">
        <v>0.02</v>
      </c>
      <c r="V112" s="31" t="s">
        <v>1081</v>
      </c>
      <c r="W112" s="31">
        <v>97</v>
      </c>
      <c r="X112" s="374">
        <v>0.02</v>
      </c>
      <c r="Y112" s="31">
        <v>170</v>
      </c>
      <c r="Z112" s="31" t="s">
        <v>424</v>
      </c>
      <c r="AA112" s="31" t="s">
        <v>144</v>
      </c>
    </row>
    <row r="113" spans="5:27" s="31" customFormat="1" ht="15" customHeight="1" x14ac:dyDescent="0.25">
      <c r="E113" s="31" t="s">
        <v>201</v>
      </c>
      <c r="F113" s="31" t="s">
        <v>140</v>
      </c>
      <c r="G113" s="31" t="s">
        <v>198</v>
      </c>
      <c r="H113" s="31" t="s">
        <v>237</v>
      </c>
      <c r="I113" s="31" t="s">
        <v>481</v>
      </c>
      <c r="J113" s="31" t="s">
        <v>1165</v>
      </c>
      <c r="K113" s="31" t="s">
        <v>1189</v>
      </c>
      <c r="L113" s="31" t="s">
        <v>162</v>
      </c>
      <c r="M113" s="31" t="s">
        <v>144</v>
      </c>
      <c r="N113" s="31" t="s">
        <v>1167</v>
      </c>
      <c r="O113" s="31" t="s">
        <v>422</v>
      </c>
      <c r="P113" s="31" t="s">
        <v>423</v>
      </c>
      <c r="Q113" s="31">
        <v>28.8</v>
      </c>
      <c r="R113" s="31" t="s">
        <v>1168</v>
      </c>
      <c r="S113" s="31" t="s">
        <v>1169</v>
      </c>
      <c r="T113" s="31">
        <v>2.4300000000000002</v>
      </c>
      <c r="U113" s="33">
        <v>0.02</v>
      </c>
      <c r="V113" s="31" t="s">
        <v>1081</v>
      </c>
      <c r="W113" s="31">
        <v>97</v>
      </c>
      <c r="X113" s="374">
        <v>0.02</v>
      </c>
      <c r="Y113" s="31">
        <v>170</v>
      </c>
      <c r="Z113" s="31" t="s">
        <v>424</v>
      </c>
      <c r="AA113" s="31" t="s">
        <v>144</v>
      </c>
    </row>
    <row r="114" spans="5:27" s="31" customFormat="1" ht="15" customHeight="1" x14ac:dyDescent="0.25">
      <c r="E114" s="31" t="s">
        <v>201</v>
      </c>
      <c r="F114" s="31" t="s">
        <v>140</v>
      </c>
      <c r="G114" s="31" t="s">
        <v>198</v>
      </c>
      <c r="H114" s="31" t="s">
        <v>237</v>
      </c>
      <c r="I114" s="31" t="s">
        <v>481</v>
      </c>
      <c r="J114" s="31" t="s">
        <v>1165</v>
      </c>
      <c r="K114" s="31" t="s">
        <v>1190</v>
      </c>
      <c r="L114" s="31" t="s">
        <v>162</v>
      </c>
      <c r="M114" s="31" t="s">
        <v>144</v>
      </c>
      <c r="N114" s="31" t="s">
        <v>1167</v>
      </c>
      <c r="O114" s="31" t="s">
        <v>422</v>
      </c>
      <c r="P114" s="31" t="s">
        <v>423</v>
      </c>
      <c r="Q114" s="31">
        <v>28.8</v>
      </c>
      <c r="R114" s="31" t="s">
        <v>1168</v>
      </c>
      <c r="S114" s="31" t="s">
        <v>1169</v>
      </c>
      <c r="T114" s="31">
        <v>2.4300000000000002</v>
      </c>
      <c r="U114" s="33">
        <v>0.02</v>
      </c>
      <c r="V114" s="31" t="s">
        <v>1081</v>
      </c>
      <c r="W114" s="31">
        <v>97</v>
      </c>
      <c r="X114" s="374">
        <v>0.02</v>
      </c>
      <c r="Y114" s="31">
        <v>170</v>
      </c>
      <c r="Z114" s="31" t="s">
        <v>424</v>
      </c>
      <c r="AA114" s="31" t="s">
        <v>144</v>
      </c>
    </row>
    <row r="115" spans="5:27" s="31" customFormat="1" ht="15" customHeight="1" x14ac:dyDescent="0.25">
      <c r="X115" s="374"/>
    </row>
    <row r="116" spans="5:27" s="31" customFormat="1" ht="15" customHeight="1" x14ac:dyDescent="0.25">
      <c r="X116" s="374"/>
    </row>
    <row r="117" spans="5:27" s="31" customFormat="1" ht="15" customHeight="1" x14ac:dyDescent="0.25">
      <c r="E117" s="31" t="s">
        <v>201</v>
      </c>
      <c r="F117" s="31" t="s">
        <v>140</v>
      </c>
      <c r="G117" s="31" t="s">
        <v>198</v>
      </c>
      <c r="H117" s="31" t="s">
        <v>237</v>
      </c>
      <c r="I117" s="31" t="s">
        <v>481</v>
      </c>
      <c r="J117" s="31" t="s">
        <v>1191</v>
      </c>
      <c r="K117" s="31" t="s">
        <v>1192</v>
      </c>
      <c r="L117" s="31" t="s">
        <v>162</v>
      </c>
      <c r="M117" s="31" t="s">
        <v>144</v>
      </c>
      <c r="N117" s="31" t="s">
        <v>1191</v>
      </c>
      <c r="O117" s="31" t="s">
        <v>422</v>
      </c>
      <c r="P117" s="31" t="s">
        <v>423</v>
      </c>
      <c r="Q117" s="31">
        <v>28.8</v>
      </c>
      <c r="R117" s="31" t="s">
        <v>1168</v>
      </c>
      <c r="S117" s="31" t="s">
        <v>1169</v>
      </c>
      <c r="T117" s="31">
        <v>2.4300000000000002</v>
      </c>
      <c r="U117" s="33">
        <v>0.02</v>
      </c>
      <c r="V117" s="31" t="s">
        <v>1081</v>
      </c>
      <c r="W117" s="31">
        <v>97</v>
      </c>
      <c r="X117" s="374">
        <v>0.02</v>
      </c>
      <c r="Y117" s="31">
        <v>170</v>
      </c>
      <c r="Z117" s="31" t="s">
        <v>424</v>
      </c>
      <c r="AA117" s="31" t="s">
        <v>144</v>
      </c>
    </row>
    <row r="118" spans="5:27" s="31" customFormat="1" ht="15" customHeight="1" x14ac:dyDescent="0.25">
      <c r="E118" s="31" t="s">
        <v>201</v>
      </c>
      <c r="F118" s="31" t="s">
        <v>140</v>
      </c>
      <c r="G118" s="31" t="s">
        <v>198</v>
      </c>
      <c r="H118" s="31" t="s">
        <v>237</v>
      </c>
      <c r="I118" s="31" t="s">
        <v>481</v>
      </c>
      <c r="J118" s="31" t="s">
        <v>1191</v>
      </c>
      <c r="K118" s="31" t="s">
        <v>1193</v>
      </c>
      <c r="L118" s="31" t="s">
        <v>162</v>
      </c>
      <c r="M118" s="31" t="s">
        <v>144</v>
      </c>
      <c r="N118" s="31" t="s">
        <v>1191</v>
      </c>
      <c r="O118" s="31" t="s">
        <v>422</v>
      </c>
      <c r="P118" s="31" t="s">
        <v>423</v>
      </c>
      <c r="Q118" s="31">
        <v>28.8</v>
      </c>
      <c r="R118" s="31" t="s">
        <v>1168</v>
      </c>
      <c r="S118" s="31" t="s">
        <v>1169</v>
      </c>
      <c r="T118" s="31">
        <v>2.4300000000000002</v>
      </c>
      <c r="U118" s="33">
        <v>0.02</v>
      </c>
      <c r="V118" s="31" t="s">
        <v>1081</v>
      </c>
      <c r="W118" s="31">
        <v>97</v>
      </c>
      <c r="X118" s="374">
        <v>0.02</v>
      </c>
      <c r="Y118" s="31">
        <v>170</v>
      </c>
      <c r="Z118" s="31" t="s">
        <v>424</v>
      </c>
      <c r="AA118" s="31" t="s">
        <v>144</v>
      </c>
    </row>
    <row r="119" spans="5:27" s="31" customFormat="1" ht="15" customHeight="1" x14ac:dyDescent="0.25">
      <c r="E119" s="31" t="s">
        <v>201</v>
      </c>
      <c r="F119" s="31" t="s">
        <v>140</v>
      </c>
      <c r="G119" s="31" t="s">
        <v>198</v>
      </c>
      <c r="H119" s="31" t="s">
        <v>237</v>
      </c>
      <c r="I119" s="31" t="s">
        <v>481</v>
      </c>
      <c r="J119" s="31" t="s">
        <v>1191</v>
      </c>
      <c r="K119" s="31" t="s">
        <v>1194</v>
      </c>
      <c r="L119" s="31" t="s">
        <v>162</v>
      </c>
      <c r="M119" s="31" t="s">
        <v>144</v>
      </c>
      <c r="N119" s="31" t="s">
        <v>1191</v>
      </c>
      <c r="O119" s="31" t="s">
        <v>422</v>
      </c>
      <c r="P119" s="31" t="s">
        <v>423</v>
      </c>
      <c r="Q119" s="31">
        <v>28.8</v>
      </c>
      <c r="R119" s="31" t="s">
        <v>1168</v>
      </c>
      <c r="S119" s="31" t="s">
        <v>1169</v>
      </c>
      <c r="T119" s="31">
        <v>2.4300000000000002</v>
      </c>
      <c r="U119" s="33">
        <v>0.02</v>
      </c>
      <c r="V119" s="31" t="s">
        <v>1081</v>
      </c>
      <c r="W119" s="31">
        <v>97</v>
      </c>
      <c r="X119" s="374">
        <v>0.02</v>
      </c>
      <c r="Y119" s="31">
        <v>170</v>
      </c>
      <c r="Z119" s="31" t="s">
        <v>424</v>
      </c>
      <c r="AA119" s="31" t="s">
        <v>144</v>
      </c>
    </row>
    <row r="120" spans="5:27" s="31" customFormat="1" ht="15" customHeight="1" x14ac:dyDescent="0.25">
      <c r="E120" s="31" t="s">
        <v>201</v>
      </c>
      <c r="F120" s="31" t="s">
        <v>140</v>
      </c>
      <c r="G120" s="31" t="s">
        <v>198</v>
      </c>
      <c r="H120" s="31" t="s">
        <v>237</v>
      </c>
      <c r="I120" s="31" t="s">
        <v>481</v>
      </c>
      <c r="J120" s="31" t="s">
        <v>1191</v>
      </c>
      <c r="K120" s="31" t="s">
        <v>1195</v>
      </c>
      <c r="L120" s="31" t="s">
        <v>162</v>
      </c>
      <c r="M120" s="31" t="s">
        <v>144</v>
      </c>
      <c r="N120" s="31" t="s">
        <v>1191</v>
      </c>
      <c r="O120" s="31" t="s">
        <v>422</v>
      </c>
      <c r="P120" s="31" t="s">
        <v>423</v>
      </c>
      <c r="Q120" s="31">
        <v>28.8</v>
      </c>
      <c r="R120" s="31" t="s">
        <v>1168</v>
      </c>
      <c r="S120" s="31" t="s">
        <v>1169</v>
      </c>
      <c r="T120" s="31">
        <v>2.4300000000000002</v>
      </c>
      <c r="U120" s="33">
        <v>0.02</v>
      </c>
      <c r="V120" s="31" t="s">
        <v>1081</v>
      </c>
      <c r="W120" s="31">
        <v>97</v>
      </c>
      <c r="X120" s="374">
        <v>0.02</v>
      </c>
      <c r="Y120" s="31">
        <v>170</v>
      </c>
      <c r="Z120" s="31" t="s">
        <v>424</v>
      </c>
      <c r="AA120" s="31" t="s">
        <v>144</v>
      </c>
    </row>
    <row r="121" spans="5:27" s="31" customFormat="1" ht="15" customHeight="1" x14ac:dyDescent="0.25">
      <c r="E121" s="31" t="s">
        <v>201</v>
      </c>
      <c r="F121" s="31" t="s">
        <v>140</v>
      </c>
      <c r="G121" s="31" t="s">
        <v>198</v>
      </c>
      <c r="H121" s="31" t="s">
        <v>237</v>
      </c>
      <c r="I121" s="31" t="s">
        <v>481</v>
      </c>
      <c r="J121" s="31" t="s">
        <v>1191</v>
      </c>
      <c r="K121" s="31" t="s">
        <v>1196</v>
      </c>
      <c r="L121" s="31" t="s">
        <v>162</v>
      </c>
      <c r="M121" s="31" t="s">
        <v>144</v>
      </c>
      <c r="N121" s="31" t="s">
        <v>1191</v>
      </c>
      <c r="O121" s="31" t="s">
        <v>422</v>
      </c>
      <c r="P121" s="31" t="s">
        <v>423</v>
      </c>
      <c r="Q121" s="31">
        <v>28.8</v>
      </c>
      <c r="R121" s="31" t="s">
        <v>1168</v>
      </c>
      <c r="S121" s="31" t="s">
        <v>1169</v>
      </c>
      <c r="T121" s="31">
        <v>2.4300000000000002</v>
      </c>
      <c r="U121" s="33">
        <v>0.02</v>
      </c>
      <c r="V121" s="31" t="s">
        <v>1081</v>
      </c>
      <c r="W121" s="31">
        <v>97</v>
      </c>
      <c r="X121" s="374">
        <v>0.02</v>
      </c>
      <c r="Y121" s="31">
        <v>170</v>
      </c>
      <c r="Z121" s="31" t="s">
        <v>424</v>
      </c>
      <c r="AA121" s="31" t="s">
        <v>144</v>
      </c>
    </row>
    <row r="122" spans="5:27" s="31" customFormat="1" ht="15" customHeight="1" x14ac:dyDescent="0.25">
      <c r="E122" s="31" t="s">
        <v>201</v>
      </c>
      <c r="F122" s="31" t="s">
        <v>140</v>
      </c>
      <c r="G122" s="31" t="s">
        <v>198</v>
      </c>
      <c r="H122" s="31" t="s">
        <v>237</v>
      </c>
      <c r="I122" s="31" t="s">
        <v>481</v>
      </c>
      <c r="J122" s="31" t="s">
        <v>1191</v>
      </c>
      <c r="K122" s="31" t="s">
        <v>1197</v>
      </c>
      <c r="L122" s="31" t="s">
        <v>162</v>
      </c>
      <c r="M122" s="31" t="s">
        <v>144</v>
      </c>
      <c r="N122" s="31" t="s">
        <v>1191</v>
      </c>
      <c r="O122" s="31" t="s">
        <v>422</v>
      </c>
      <c r="P122" s="31" t="s">
        <v>423</v>
      </c>
      <c r="Q122" s="31">
        <v>28.8</v>
      </c>
      <c r="R122" s="31" t="s">
        <v>1168</v>
      </c>
      <c r="S122" s="31" t="s">
        <v>1169</v>
      </c>
      <c r="T122" s="31">
        <v>2.4300000000000002</v>
      </c>
      <c r="U122" s="33">
        <v>0.02</v>
      </c>
      <c r="V122" s="31" t="s">
        <v>1081</v>
      </c>
      <c r="W122" s="31">
        <v>97</v>
      </c>
      <c r="X122" s="374">
        <v>0.02</v>
      </c>
      <c r="Y122" s="31">
        <v>170</v>
      </c>
      <c r="Z122" s="31" t="s">
        <v>424</v>
      </c>
      <c r="AA122" s="31" t="s">
        <v>144</v>
      </c>
    </row>
    <row r="123" spans="5:27" s="31" customFormat="1" ht="15" customHeight="1" x14ac:dyDescent="0.25">
      <c r="E123" s="31" t="s">
        <v>201</v>
      </c>
      <c r="F123" s="31" t="s">
        <v>140</v>
      </c>
      <c r="G123" s="31" t="s">
        <v>198</v>
      </c>
      <c r="H123" s="31" t="s">
        <v>237</v>
      </c>
      <c r="I123" s="31" t="s">
        <v>481</v>
      </c>
      <c r="J123" s="31" t="s">
        <v>1191</v>
      </c>
      <c r="K123" s="31" t="s">
        <v>1198</v>
      </c>
      <c r="L123" s="31" t="s">
        <v>162</v>
      </c>
      <c r="M123" s="31" t="s">
        <v>144</v>
      </c>
      <c r="N123" s="31" t="s">
        <v>1191</v>
      </c>
      <c r="O123" s="31" t="s">
        <v>422</v>
      </c>
      <c r="P123" s="31" t="s">
        <v>423</v>
      </c>
      <c r="Q123" s="31">
        <v>28.8</v>
      </c>
      <c r="R123" s="31" t="s">
        <v>1168</v>
      </c>
      <c r="S123" s="31" t="s">
        <v>1169</v>
      </c>
      <c r="T123" s="31">
        <v>2.4300000000000002</v>
      </c>
      <c r="U123" s="33">
        <v>0.02</v>
      </c>
      <c r="V123" s="31" t="s">
        <v>1081</v>
      </c>
      <c r="W123" s="31">
        <v>97</v>
      </c>
      <c r="X123" s="374">
        <v>0.02</v>
      </c>
      <c r="Y123" s="31">
        <v>170</v>
      </c>
      <c r="Z123" s="31" t="s">
        <v>424</v>
      </c>
      <c r="AA123" s="31" t="s">
        <v>144</v>
      </c>
    </row>
    <row r="124" spans="5:27" s="31" customFormat="1" ht="15" customHeight="1" x14ac:dyDescent="0.25">
      <c r="E124" s="31" t="s">
        <v>201</v>
      </c>
      <c r="F124" s="31" t="s">
        <v>140</v>
      </c>
      <c r="G124" s="31" t="s">
        <v>198</v>
      </c>
      <c r="H124" s="31" t="s">
        <v>237</v>
      </c>
      <c r="I124" s="31" t="s">
        <v>481</v>
      </c>
      <c r="J124" s="31" t="s">
        <v>1191</v>
      </c>
      <c r="K124" s="31" t="s">
        <v>1199</v>
      </c>
      <c r="L124" s="31" t="s">
        <v>162</v>
      </c>
      <c r="M124" s="31" t="s">
        <v>144</v>
      </c>
      <c r="N124" s="31" t="s">
        <v>1191</v>
      </c>
      <c r="O124" s="31" t="s">
        <v>422</v>
      </c>
      <c r="P124" s="31" t="s">
        <v>423</v>
      </c>
      <c r="Q124" s="31">
        <v>28.8</v>
      </c>
      <c r="R124" s="31" t="s">
        <v>1168</v>
      </c>
      <c r="S124" s="31" t="s">
        <v>1169</v>
      </c>
      <c r="T124" s="31">
        <v>2.4300000000000002</v>
      </c>
      <c r="U124" s="33">
        <v>0.02</v>
      </c>
      <c r="V124" s="31" t="s">
        <v>1081</v>
      </c>
      <c r="W124" s="31">
        <v>97</v>
      </c>
      <c r="X124" s="374">
        <v>0.02</v>
      </c>
      <c r="Y124" s="31">
        <v>170</v>
      </c>
      <c r="Z124" s="31" t="s">
        <v>424</v>
      </c>
      <c r="AA124" s="31" t="s">
        <v>144</v>
      </c>
    </row>
    <row r="125" spans="5:27" s="31" customFormat="1" ht="15" customHeight="1" x14ac:dyDescent="0.25">
      <c r="E125" s="31" t="s">
        <v>201</v>
      </c>
      <c r="F125" s="31" t="s">
        <v>140</v>
      </c>
      <c r="G125" s="31" t="s">
        <v>198</v>
      </c>
      <c r="H125" s="31" t="s">
        <v>237</v>
      </c>
      <c r="I125" s="31" t="s">
        <v>481</v>
      </c>
      <c r="J125" s="31" t="s">
        <v>1191</v>
      </c>
      <c r="K125" s="31" t="s">
        <v>1200</v>
      </c>
      <c r="L125" s="31" t="s">
        <v>162</v>
      </c>
      <c r="M125" s="31" t="s">
        <v>144</v>
      </c>
      <c r="N125" s="31" t="s">
        <v>1191</v>
      </c>
      <c r="O125" s="31" t="s">
        <v>422</v>
      </c>
      <c r="P125" s="31" t="s">
        <v>423</v>
      </c>
      <c r="Q125" s="31">
        <v>28.8</v>
      </c>
      <c r="R125" s="31" t="s">
        <v>1168</v>
      </c>
      <c r="S125" s="31" t="s">
        <v>1169</v>
      </c>
      <c r="T125" s="31">
        <v>2.4300000000000002</v>
      </c>
      <c r="U125" s="33">
        <v>0.02</v>
      </c>
      <c r="V125" s="31" t="s">
        <v>1081</v>
      </c>
      <c r="W125" s="31">
        <v>97</v>
      </c>
      <c r="X125" s="374">
        <v>0.02</v>
      </c>
      <c r="Y125" s="31">
        <v>170</v>
      </c>
      <c r="Z125" s="31" t="s">
        <v>424</v>
      </c>
      <c r="AA125" s="31" t="s">
        <v>144</v>
      </c>
    </row>
    <row r="126" spans="5:27" s="31" customFormat="1" ht="15" customHeight="1" x14ac:dyDescent="0.25">
      <c r="E126" s="31" t="s">
        <v>201</v>
      </c>
      <c r="F126" s="31" t="s">
        <v>140</v>
      </c>
      <c r="G126" s="31" t="s">
        <v>198</v>
      </c>
      <c r="H126" s="31" t="s">
        <v>237</v>
      </c>
      <c r="I126" s="31" t="s">
        <v>481</v>
      </c>
      <c r="J126" s="31" t="s">
        <v>1191</v>
      </c>
      <c r="K126" s="31" t="s">
        <v>1201</v>
      </c>
      <c r="L126" s="31" t="s">
        <v>162</v>
      </c>
      <c r="M126" s="31" t="s">
        <v>144</v>
      </c>
      <c r="N126" s="31" t="s">
        <v>1191</v>
      </c>
      <c r="O126" s="31" t="s">
        <v>422</v>
      </c>
      <c r="P126" s="31" t="s">
        <v>423</v>
      </c>
      <c r="Q126" s="31">
        <v>28.8</v>
      </c>
      <c r="R126" s="31" t="s">
        <v>1168</v>
      </c>
      <c r="S126" s="31" t="s">
        <v>1169</v>
      </c>
      <c r="T126" s="31">
        <v>2.4300000000000002</v>
      </c>
      <c r="U126" s="33">
        <v>0.02</v>
      </c>
      <c r="V126" s="31" t="s">
        <v>1081</v>
      </c>
      <c r="W126" s="31">
        <v>97</v>
      </c>
      <c r="X126" s="374">
        <v>0.02</v>
      </c>
      <c r="Y126" s="31">
        <v>170</v>
      </c>
      <c r="Z126" s="31" t="s">
        <v>424</v>
      </c>
      <c r="AA126" s="31" t="s">
        <v>144</v>
      </c>
    </row>
    <row r="127" spans="5:27" s="31" customFormat="1" ht="15" customHeight="1" x14ac:dyDescent="0.25">
      <c r="E127" s="31" t="s">
        <v>201</v>
      </c>
      <c r="F127" s="31" t="s">
        <v>140</v>
      </c>
      <c r="G127" s="31" t="s">
        <v>198</v>
      </c>
      <c r="H127" s="31" t="s">
        <v>237</v>
      </c>
      <c r="I127" s="31" t="s">
        <v>481</v>
      </c>
      <c r="J127" s="31" t="s">
        <v>1191</v>
      </c>
      <c r="K127" s="31" t="s">
        <v>1202</v>
      </c>
      <c r="L127" s="31" t="s">
        <v>162</v>
      </c>
      <c r="M127" s="31" t="s">
        <v>144</v>
      </c>
      <c r="N127" s="31" t="s">
        <v>1191</v>
      </c>
      <c r="O127" s="31" t="s">
        <v>422</v>
      </c>
      <c r="P127" s="31" t="s">
        <v>423</v>
      </c>
      <c r="Q127" s="31">
        <v>28.8</v>
      </c>
      <c r="R127" s="31" t="s">
        <v>1168</v>
      </c>
      <c r="S127" s="31" t="s">
        <v>1169</v>
      </c>
      <c r="T127" s="31">
        <v>2.4300000000000002</v>
      </c>
      <c r="U127" s="33">
        <v>0.02</v>
      </c>
      <c r="V127" s="31" t="s">
        <v>1081</v>
      </c>
      <c r="W127" s="31">
        <v>97</v>
      </c>
      <c r="X127" s="374">
        <v>0.02</v>
      </c>
      <c r="Y127" s="31">
        <v>170</v>
      </c>
      <c r="Z127" s="31" t="s">
        <v>424</v>
      </c>
      <c r="AA127" s="31" t="s">
        <v>144</v>
      </c>
    </row>
    <row r="128" spans="5:27" s="31" customFormat="1" ht="15" customHeight="1" x14ac:dyDescent="0.25">
      <c r="E128" s="31" t="s">
        <v>201</v>
      </c>
      <c r="F128" s="31" t="s">
        <v>140</v>
      </c>
      <c r="G128" s="31" t="s">
        <v>198</v>
      </c>
      <c r="H128" s="31" t="s">
        <v>237</v>
      </c>
      <c r="I128" s="31" t="s">
        <v>481</v>
      </c>
      <c r="J128" s="31" t="s">
        <v>1191</v>
      </c>
      <c r="K128" s="31" t="s">
        <v>1203</v>
      </c>
      <c r="L128" s="31" t="s">
        <v>162</v>
      </c>
      <c r="M128" s="31" t="s">
        <v>144</v>
      </c>
      <c r="N128" s="31" t="s">
        <v>1191</v>
      </c>
      <c r="O128" s="31" t="s">
        <v>422</v>
      </c>
      <c r="P128" s="31" t="s">
        <v>423</v>
      </c>
      <c r="Q128" s="31">
        <v>28.8</v>
      </c>
      <c r="R128" s="31" t="s">
        <v>1168</v>
      </c>
      <c r="S128" s="31" t="s">
        <v>1169</v>
      </c>
      <c r="T128" s="31">
        <v>2.4300000000000002</v>
      </c>
      <c r="U128" s="33">
        <v>0.02</v>
      </c>
      <c r="V128" s="31" t="s">
        <v>1081</v>
      </c>
      <c r="W128" s="31">
        <v>97</v>
      </c>
      <c r="X128" s="374">
        <v>0.02</v>
      </c>
      <c r="Y128" s="31">
        <v>170</v>
      </c>
      <c r="Z128" s="31" t="s">
        <v>424</v>
      </c>
      <c r="AA128" s="31" t="s">
        <v>144</v>
      </c>
    </row>
    <row r="129" spans="5:27" s="31" customFormat="1" ht="15" customHeight="1" x14ac:dyDescent="0.25">
      <c r="E129" s="31" t="s">
        <v>201</v>
      </c>
      <c r="F129" s="31" t="s">
        <v>140</v>
      </c>
      <c r="G129" s="31" t="s">
        <v>198</v>
      </c>
      <c r="H129" s="31" t="s">
        <v>237</v>
      </c>
      <c r="I129" s="31" t="s">
        <v>481</v>
      </c>
      <c r="J129" s="31" t="s">
        <v>1191</v>
      </c>
      <c r="K129" s="31" t="s">
        <v>1204</v>
      </c>
      <c r="L129" s="31" t="s">
        <v>162</v>
      </c>
      <c r="M129" s="31" t="s">
        <v>144</v>
      </c>
      <c r="N129" s="31" t="s">
        <v>1191</v>
      </c>
      <c r="O129" s="31" t="s">
        <v>422</v>
      </c>
      <c r="P129" s="31" t="s">
        <v>423</v>
      </c>
      <c r="Q129" s="31">
        <v>28.8</v>
      </c>
      <c r="R129" s="31" t="s">
        <v>1168</v>
      </c>
      <c r="S129" s="31" t="s">
        <v>1169</v>
      </c>
      <c r="T129" s="31">
        <v>2.4300000000000002</v>
      </c>
      <c r="U129" s="33">
        <v>0.02</v>
      </c>
      <c r="V129" s="31" t="s">
        <v>1081</v>
      </c>
      <c r="W129" s="31">
        <v>97</v>
      </c>
      <c r="X129" s="374">
        <v>0.02</v>
      </c>
      <c r="Y129" s="31">
        <v>170</v>
      </c>
      <c r="Z129" s="31" t="s">
        <v>424</v>
      </c>
      <c r="AA129" s="31" t="s">
        <v>144</v>
      </c>
    </row>
    <row r="130" spans="5:27" s="31" customFormat="1" ht="15" customHeight="1" x14ac:dyDescent="0.25">
      <c r="E130" s="31" t="s">
        <v>201</v>
      </c>
      <c r="F130" s="31" t="s">
        <v>140</v>
      </c>
      <c r="G130" s="31" t="s">
        <v>198</v>
      </c>
      <c r="H130" s="31" t="s">
        <v>237</v>
      </c>
      <c r="I130" s="31" t="s">
        <v>481</v>
      </c>
      <c r="J130" s="31" t="s">
        <v>1191</v>
      </c>
      <c r="K130" s="31" t="s">
        <v>1205</v>
      </c>
      <c r="L130" s="31" t="s">
        <v>162</v>
      </c>
      <c r="M130" s="31" t="s">
        <v>144</v>
      </c>
      <c r="N130" s="31" t="s">
        <v>1191</v>
      </c>
      <c r="O130" s="31" t="s">
        <v>422</v>
      </c>
      <c r="P130" s="31" t="s">
        <v>423</v>
      </c>
      <c r="Q130" s="31">
        <v>28.8</v>
      </c>
      <c r="R130" s="31" t="s">
        <v>1168</v>
      </c>
      <c r="S130" s="31" t="s">
        <v>1169</v>
      </c>
      <c r="T130" s="31">
        <v>2.4300000000000002</v>
      </c>
      <c r="U130" s="33">
        <v>0.02</v>
      </c>
      <c r="V130" s="31" t="s">
        <v>1081</v>
      </c>
      <c r="W130" s="31">
        <v>97</v>
      </c>
      <c r="X130" s="374">
        <v>0.02</v>
      </c>
      <c r="Y130" s="31">
        <v>170</v>
      </c>
      <c r="Z130" s="31" t="s">
        <v>424</v>
      </c>
      <c r="AA130" s="31" t="s">
        <v>144</v>
      </c>
    </row>
    <row r="131" spans="5:27" s="31" customFormat="1" ht="15" customHeight="1" x14ac:dyDescent="0.25">
      <c r="E131" s="31" t="s">
        <v>201</v>
      </c>
      <c r="F131" s="31" t="s">
        <v>140</v>
      </c>
      <c r="G131" s="31" t="s">
        <v>198</v>
      </c>
      <c r="H131" s="31" t="s">
        <v>237</v>
      </c>
      <c r="I131" s="31" t="s">
        <v>481</v>
      </c>
      <c r="J131" s="31" t="s">
        <v>1191</v>
      </c>
      <c r="K131" s="31" t="s">
        <v>1206</v>
      </c>
      <c r="L131" s="31" t="s">
        <v>162</v>
      </c>
      <c r="M131" s="31" t="s">
        <v>144</v>
      </c>
      <c r="N131" s="31" t="s">
        <v>1191</v>
      </c>
      <c r="O131" s="31" t="s">
        <v>422</v>
      </c>
      <c r="P131" s="31" t="s">
        <v>423</v>
      </c>
      <c r="Q131" s="31">
        <v>28.8</v>
      </c>
      <c r="R131" s="31" t="s">
        <v>1168</v>
      </c>
      <c r="S131" s="31" t="s">
        <v>1169</v>
      </c>
      <c r="T131" s="31">
        <v>2.4300000000000002</v>
      </c>
      <c r="U131" s="33">
        <v>0.02</v>
      </c>
      <c r="V131" s="31" t="s">
        <v>1081</v>
      </c>
      <c r="W131" s="31">
        <v>97</v>
      </c>
      <c r="X131" s="374">
        <v>0.02</v>
      </c>
      <c r="Y131" s="31">
        <v>170</v>
      </c>
      <c r="Z131" s="31" t="s">
        <v>424</v>
      </c>
      <c r="AA131" s="31" t="s">
        <v>144</v>
      </c>
    </row>
    <row r="132" spans="5:27" s="31" customFormat="1" ht="15" customHeight="1" x14ac:dyDescent="0.25">
      <c r="E132" s="31" t="s">
        <v>201</v>
      </c>
      <c r="F132" s="31" t="s">
        <v>140</v>
      </c>
      <c r="G132" s="31" t="s">
        <v>198</v>
      </c>
      <c r="H132" s="31" t="s">
        <v>237</v>
      </c>
      <c r="I132" s="31" t="s">
        <v>481</v>
      </c>
      <c r="J132" s="31" t="s">
        <v>1191</v>
      </c>
      <c r="K132" s="31" t="s">
        <v>1207</v>
      </c>
      <c r="L132" s="31" t="s">
        <v>162</v>
      </c>
      <c r="M132" s="31" t="s">
        <v>144</v>
      </c>
      <c r="N132" s="31" t="s">
        <v>1191</v>
      </c>
      <c r="O132" s="31" t="s">
        <v>422</v>
      </c>
      <c r="P132" s="31" t="s">
        <v>423</v>
      </c>
      <c r="Q132" s="31">
        <v>28.8</v>
      </c>
      <c r="R132" s="31" t="s">
        <v>1168</v>
      </c>
      <c r="S132" s="31" t="s">
        <v>1169</v>
      </c>
      <c r="T132" s="31">
        <v>2.4300000000000002</v>
      </c>
      <c r="U132" s="33">
        <v>0.02</v>
      </c>
      <c r="V132" s="31" t="s">
        <v>1081</v>
      </c>
      <c r="W132" s="31">
        <v>97</v>
      </c>
      <c r="X132" s="374">
        <v>0.02</v>
      </c>
      <c r="Y132" s="31">
        <v>170</v>
      </c>
      <c r="Z132" s="31" t="s">
        <v>424</v>
      </c>
      <c r="AA132" s="31" t="s">
        <v>144</v>
      </c>
    </row>
    <row r="133" spans="5:27" s="31" customFormat="1" ht="15" customHeight="1" x14ac:dyDescent="0.25">
      <c r="E133" s="31" t="s">
        <v>201</v>
      </c>
      <c r="F133" s="31" t="s">
        <v>140</v>
      </c>
      <c r="G133" s="31" t="s">
        <v>198</v>
      </c>
      <c r="H133" s="31" t="s">
        <v>237</v>
      </c>
      <c r="I133" s="31" t="s">
        <v>481</v>
      </c>
      <c r="J133" s="31" t="s">
        <v>1191</v>
      </c>
      <c r="K133" s="31" t="s">
        <v>1208</v>
      </c>
      <c r="L133" s="31" t="s">
        <v>162</v>
      </c>
      <c r="M133" s="31" t="s">
        <v>144</v>
      </c>
      <c r="N133" s="31" t="s">
        <v>1191</v>
      </c>
      <c r="O133" s="31" t="s">
        <v>422</v>
      </c>
      <c r="P133" s="31" t="s">
        <v>423</v>
      </c>
      <c r="Q133" s="31">
        <v>28.8</v>
      </c>
      <c r="R133" s="31" t="s">
        <v>1168</v>
      </c>
      <c r="S133" s="31" t="s">
        <v>1169</v>
      </c>
      <c r="T133" s="31">
        <v>2.4300000000000002</v>
      </c>
      <c r="U133" s="33">
        <v>0.02</v>
      </c>
      <c r="V133" s="31" t="s">
        <v>1081</v>
      </c>
      <c r="W133" s="31">
        <v>97</v>
      </c>
      <c r="X133" s="374">
        <v>0.02</v>
      </c>
      <c r="Y133" s="31">
        <v>170</v>
      </c>
      <c r="Z133" s="31" t="s">
        <v>424</v>
      </c>
      <c r="AA133" s="31" t="s">
        <v>144</v>
      </c>
    </row>
    <row r="134" spans="5:27" s="31" customFormat="1" ht="15" customHeight="1" x14ac:dyDescent="0.25">
      <c r="E134" s="31" t="s">
        <v>201</v>
      </c>
      <c r="F134" s="31" t="s">
        <v>140</v>
      </c>
      <c r="G134" s="31" t="s">
        <v>198</v>
      </c>
      <c r="H134" s="31" t="s">
        <v>237</v>
      </c>
      <c r="I134" s="31" t="s">
        <v>481</v>
      </c>
      <c r="J134" s="31" t="s">
        <v>1191</v>
      </c>
      <c r="K134" s="31" t="s">
        <v>1209</v>
      </c>
      <c r="L134" s="31" t="s">
        <v>162</v>
      </c>
      <c r="M134" s="31" t="s">
        <v>144</v>
      </c>
      <c r="N134" s="31" t="s">
        <v>1191</v>
      </c>
      <c r="O134" s="31" t="s">
        <v>422</v>
      </c>
      <c r="P134" s="31" t="s">
        <v>423</v>
      </c>
      <c r="Q134" s="31">
        <v>28.8</v>
      </c>
      <c r="R134" s="31" t="s">
        <v>1168</v>
      </c>
      <c r="S134" s="31" t="s">
        <v>1169</v>
      </c>
      <c r="T134" s="31">
        <v>2.4300000000000002</v>
      </c>
      <c r="U134" s="33">
        <v>0.02</v>
      </c>
      <c r="V134" s="31" t="s">
        <v>1081</v>
      </c>
      <c r="W134" s="31">
        <v>97</v>
      </c>
      <c r="X134" s="374">
        <v>0.02</v>
      </c>
      <c r="Y134" s="31">
        <v>170</v>
      </c>
      <c r="Z134" s="31" t="s">
        <v>424</v>
      </c>
      <c r="AA134" s="31" t="s">
        <v>144</v>
      </c>
    </row>
    <row r="135" spans="5:27" s="31" customFormat="1" ht="15" customHeight="1" x14ac:dyDescent="0.25">
      <c r="E135" s="31" t="s">
        <v>201</v>
      </c>
      <c r="F135" s="31" t="s">
        <v>140</v>
      </c>
      <c r="G135" s="31" t="s">
        <v>198</v>
      </c>
      <c r="H135" s="31" t="s">
        <v>237</v>
      </c>
      <c r="I135" s="31" t="s">
        <v>481</v>
      </c>
      <c r="J135" s="31" t="s">
        <v>1191</v>
      </c>
      <c r="K135" s="31" t="s">
        <v>1210</v>
      </c>
      <c r="L135" s="31" t="s">
        <v>162</v>
      </c>
      <c r="M135" s="31" t="s">
        <v>144</v>
      </c>
      <c r="N135" s="31" t="s">
        <v>1191</v>
      </c>
      <c r="O135" s="31" t="s">
        <v>422</v>
      </c>
      <c r="P135" s="31" t="s">
        <v>423</v>
      </c>
      <c r="Q135" s="31">
        <v>28.8</v>
      </c>
      <c r="R135" s="31" t="s">
        <v>1168</v>
      </c>
      <c r="S135" s="31" t="s">
        <v>1169</v>
      </c>
      <c r="T135" s="31">
        <v>2.4300000000000002</v>
      </c>
      <c r="U135" s="33">
        <v>0.02</v>
      </c>
      <c r="V135" s="31" t="s">
        <v>1081</v>
      </c>
      <c r="W135" s="31">
        <v>97</v>
      </c>
      <c r="X135" s="374">
        <v>0.02</v>
      </c>
      <c r="Y135" s="31">
        <v>170</v>
      </c>
      <c r="Z135" s="31" t="s">
        <v>424</v>
      </c>
      <c r="AA135" s="31" t="s">
        <v>144</v>
      </c>
    </row>
    <row r="136" spans="5:27" s="31" customFormat="1" ht="15" customHeight="1" x14ac:dyDescent="0.25">
      <c r="E136" s="31" t="s">
        <v>201</v>
      </c>
      <c r="F136" s="31" t="s">
        <v>140</v>
      </c>
      <c r="G136" s="31" t="s">
        <v>198</v>
      </c>
      <c r="H136" s="31" t="s">
        <v>237</v>
      </c>
      <c r="I136" s="31" t="s">
        <v>481</v>
      </c>
      <c r="J136" s="31" t="s">
        <v>1191</v>
      </c>
      <c r="K136" s="31" t="s">
        <v>1211</v>
      </c>
      <c r="L136" s="31" t="s">
        <v>162</v>
      </c>
      <c r="M136" s="31" t="s">
        <v>144</v>
      </c>
      <c r="N136" s="31" t="s">
        <v>1191</v>
      </c>
      <c r="O136" s="31" t="s">
        <v>422</v>
      </c>
      <c r="P136" s="31" t="s">
        <v>423</v>
      </c>
      <c r="Q136" s="31">
        <v>28.8</v>
      </c>
      <c r="R136" s="31" t="s">
        <v>1168</v>
      </c>
      <c r="S136" s="31" t="s">
        <v>1169</v>
      </c>
      <c r="T136" s="31">
        <v>2.4300000000000002</v>
      </c>
      <c r="U136" s="33">
        <v>0.02</v>
      </c>
      <c r="V136" s="31" t="s">
        <v>1081</v>
      </c>
      <c r="W136" s="31">
        <v>97</v>
      </c>
      <c r="X136" s="374">
        <v>0.02</v>
      </c>
      <c r="Y136" s="31">
        <v>170</v>
      </c>
      <c r="Z136" s="31" t="s">
        <v>424</v>
      </c>
      <c r="AA136" s="31" t="s">
        <v>144</v>
      </c>
    </row>
    <row r="137" spans="5:27" s="31" customFormat="1" ht="15" customHeight="1" x14ac:dyDescent="0.25">
      <c r="E137" s="31" t="s">
        <v>201</v>
      </c>
      <c r="F137" s="31" t="s">
        <v>140</v>
      </c>
      <c r="G137" s="31" t="s">
        <v>198</v>
      </c>
      <c r="H137" s="31" t="s">
        <v>237</v>
      </c>
      <c r="I137" s="31" t="s">
        <v>481</v>
      </c>
      <c r="J137" s="31" t="s">
        <v>1191</v>
      </c>
      <c r="K137" s="31" t="s">
        <v>1212</v>
      </c>
      <c r="L137" s="31" t="s">
        <v>162</v>
      </c>
      <c r="M137" s="31" t="s">
        <v>144</v>
      </c>
      <c r="N137" s="31" t="s">
        <v>1191</v>
      </c>
      <c r="O137" s="31" t="s">
        <v>422</v>
      </c>
      <c r="P137" s="31" t="s">
        <v>423</v>
      </c>
      <c r="Q137" s="31">
        <v>28.8</v>
      </c>
      <c r="R137" s="31" t="s">
        <v>1168</v>
      </c>
      <c r="S137" s="31" t="s">
        <v>1169</v>
      </c>
      <c r="T137" s="31">
        <v>2.4300000000000002</v>
      </c>
      <c r="U137" s="33">
        <v>0.02</v>
      </c>
      <c r="V137" s="31" t="s">
        <v>1081</v>
      </c>
      <c r="W137" s="31">
        <v>97</v>
      </c>
      <c r="X137" s="374">
        <v>0.02</v>
      </c>
      <c r="Y137" s="31">
        <v>170</v>
      </c>
      <c r="Z137" s="31" t="s">
        <v>424</v>
      </c>
      <c r="AA137" s="31" t="s">
        <v>144</v>
      </c>
    </row>
    <row r="138" spans="5:27" s="31" customFormat="1" ht="15" customHeight="1" x14ac:dyDescent="0.25">
      <c r="E138" s="31" t="s">
        <v>201</v>
      </c>
      <c r="F138" s="31" t="s">
        <v>140</v>
      </c>
      <c r="G138" s="31" t="s">
        <v>198</v>
      </c>
      <c r="H138" s="31" t="s">
        <v>237</v>
      </c>
      <c r="I138" s="31" t="s">
        <v>481</v>
      </c>
      <c r="J138" s="31" t="s">
        <v>1191</v>
      </c>
      <c r="K138" s="31" t="s">
        <v>1213</v>
      </c>
      <c r="L138" s="31" t="s">
        <v>162</v>
      </c>
      <c r="M138" s="31" t="s">
        <v>144</v>
      </c>
      <c r="N138" s="31" t="s">
        <v>1191</v>
      </c>
      <c r="O138" s="31" t="s">
        <v>422</v>
      </c>
      <c r="P138" s="31" t="s">
        <v>423</v>
      </c>
      <c r="Q138" s="31">
        <v>28.8</v>
      </c>
      <c r="R138" s="31" t="s">
        <v>1168</v>
      </c>
      <c r="S138" s="31" t="s">
        <v>1169</v>
      </c>
      <c r="T138" s="31">
        <v>2.4300000000000002</v>
      </c>
      <c r="U138" s="33">
        <v>0.02</v>
      </c>
      <c r="V138" s="31" t="s">
        <v>1081</v>
      </c>
      <c r="W138" s="31">
        <v>97</v>
      </c>
      <c r="X138" s="374">
        <v>0.02</v>
      </c>
      <c r="Y138" s="31">
        <v>170</v>
      </c>
      <c r="Z138" s="31" t="s">
        <v>424</v>
      </c>
      <c r="AA138" s="31" t="s">
        <v>144</v>
      </c>
    </row>
    <row r="139" spans="5:27" s="31" customFormat="1" ht="15" customHeight="1" x14ac:dyDescent="0.25">
      <c r="U139" s="33"/>
      <c r="X139" s="374"/>
    </row>
    <row r="140" spans="5:27" s="31" customFormat="1" ht="15" customHeight="1" x14ac:dyDescent="0.25">
      <c r="U140" s="33"/>
      <c r="X140" s="374"/>
    </row>
    <row r="141" spans="5:27" s="31" customFormat="1" ht="15" customHeight="1" x14ac:dyDescent="0.25">
      <c r="E141" s="31" t="s">
        <v>201</v>
      </c>
      <c r="F141" s="31" t="s">
        <v>140</v>
      </c>
      <c r="G141" s="31" t="s">
        <v>198</v>
      </c>
      <c r="H141" s="31" t="s">
        <v>237</v>
      </c>
      <c r="I141" s="31" t="s">
        <v>481</v>
      </c>
      <c r="J141" s="31" t="s">
        <v>1214</v>
      </c>
      <c r="K141" s="31" t="s">
        <v>1215</v>
      </c>
      <c r="L141" s="31" t="s">
        <v>162</v>
      </c>
      <c r="M141" s="31" t="s">
        <v>144</v>
      </c>
      <c r="N141" s="31" t="s">
        <v>1214</v>
      </c>
      <c r="O141" s="31" t="s">
        <v>422</v>
      </c>
      <c r="P141" s="31" t="s">
        <v>423</v>
      </c>
      <c r="Q141" s="31">
        <v>28.8</v>
      </c>
      <c r="R141" s="31" t="s">
        <v>1168</v>
      </c>
      <c r="S141" s="31" t="s">
        <v>1169</v>
      </c>
      <c r="T141" s="31">
        <v>2.4300000000000002</v>
      </c>
      <c r="U141" s="33">
        <v>0.02</v>
      </c>
      <c r="V141" s="31" t="s">
        <v>1081</v>
      </c>
      <c r="W141" s="31">
        <v>97</v>
      </c>
      <c r="X141" s="374">
        <v>0.02</v>
      </c>
      <c r="Y141" s="31">
        <v>170</v>
      </c>
      <c r="Z141" s="31" t="s">
        <v>424</v>
      </c>
      <c r="AA141" s="31" t="s">
        <v>144</v>
      </c>
    </row>
    <row r="142" spans="5:27" s="31" customFormat="1" ht="15" customHeight="1" x14ac:dyDescent="0.25">
      <c r="E142" s="31" t="s">
        <v>201</v>
      </c>
      <c r="F142" s="31" t="s">
        <v>140</v>
      </c>
      <c r="G142" s="31" t="s">
        <v>198</v>
      </c>
      <c r="H142" s="31" t="s">
        <v>237</v>
      </c>
      <c r="I142" s="31" t="s">
        <v>481</v>
      </c>
      <c r="J142" s="31" t="s">
        <v>1214</v>
      </c>
      <c r="K142" s="31" t="s">
        <v>1216</v>
      </c>
      <c r="L142" s="31" t="s">
        <v>162</v>
      </c>
      <c r="M142" s="31" t="s">
        <v>144</v>
      </c>
      <c r="N142" s="31" t="s">
        <v>1214</v>
      </c>
      <c r="O142" s="31" t="s">
        <v>422</v>
      </c>
      <c r="P142" s="31" t="s">
        <v>423</v>
      </c>
      <c r="Q142" s="31">
        <v>28.8</v>
      </c>
      <c r="R142" s="31" t="s">
        <v>1168</v>
      </c>
      <c r="S142" s="31" t="s">
        <v>1169</v>
      </c>
      <c r="T142" s="31">
        <v>2.4300000000000002</v>
      </c>
      <c r="U142" s="33">
        <v>0.02</v>
      </c>
      <c r="V142" s="31" t="s">
        <v>1081</v>
      </c>
      <c r="W142" s="31">
        <v>97</v>
      </c>
      <c r="X142" s="374">
        <v>0.02</v>
      </c>
      <c r="Y142" s="31">
        <v>170</v>
      </c>
      <c r="Z142" s="31" t="s">
        <v>424</v>
      </c>
      <c r="AA142" s="31" t="s">
        <v>144</v>
      </c>
    </row>
    <row r="143" spans="5:27" s="31" customFormat="1" ht="15" customHeight="1" x14ac:dyDescent="0.25">
      <c r="E143" s="31" t="s">
        <v>201</v>
      </c>
      <c r="F143" s="31" t="s">
        <v>140</v>
      </c>
      <c r="G143" s="31" t="s">
        <v>198</v>
      </c>
      <c r="H143" s="31" t="s">
        <v>237</v>
      </c>
      <c r="I143" s="31" t="s">
        <v>481</v>
      </c>
      <c r="J143" s="31" t="s">
        <v>1214</v>
      </c>
      <c r="K143" s="31" t="s">
        <v>1217</v>
      </c>
      <c r="L143" s="31" t="s">
        <v>162</v>
      </c>
      <c r="M143" s="31" t="s">
        <v>144</v>
      </c>
      <c r="N143" s="31" t="s">
        <v>1214</v>
      </c>
      <c r="O143" s="31" t="s">
        <v>422</v>
      </c>
      <c r="P143" s="31" t="s">
        <v>423</v>
      </c>
      <c r="Q143" s="31">
        <v>28.8</v>
      </c>
      <c r="R143" s="31" t="s">
        <v>1168</v>
      </c>
      <c r="S143" s="31" t="s">
        <v>1169</v>
      </c>
      <c r="T143" s="31">
        <v>2.4300000000000002</v>
      </c>
      <c r="U143" s="33">
        <v>0.02</v>
      </c>
      <c r="V143" s="31" t="s">
        <v>1081</v>
      </c>
      <c r="W143" s="31">
        <v>97</v>
      </c>
      <c r="X143" s="374">
        <v>0.02</v>
      </c>
      <c r="Y143" s="31">
        <v>170</v>
      </c>
      <c r="Z143" s="31" t="s">
        <v>424</v>
      </c>
      <c r="AA143" s="31" t="s">
        <v>144</v>
      </c>
    </row>
    <row r="144" spans="5:27" s="31" customFormat="1" ht="15" customHeight="1" x14ac:dyDescent="0.25">
      <c r="E144" s="31" t="s">
        <v>201</v>
      </c>
      <c r="F144" s="31" t="s">
        <v>140</v>
      </c>
      <c r="G144" s="31" t="s">
        <v>198</v>
      </c>
      <c r="H144" s="31" t="s">
        <v>237</v>
      </c>
      <c r="I144" s="31" t="s">
        <v>481</v>
      </c>
      <c r="J144" s="31" t="s">
        <v>1214</v>
      </c>
      <c r="K144" s="31" t="s">
        <v>1218</v>
      </c>
      <c r="L144" s="31" t="s">
        <v>162</v>
      </c>
      <c r="M144" s="31" t="s">
        <v>144</v>
      </c>
      <c r="N144" s="31" t="s">
        <v>1214</v>
      </c>
      <c r="O144" s="31" t="s">
        <v>422</v>
      </c>
      <c r="P144" s="31" t="s">
        <v>423</v>
      </c>
      <c r="Q144" s="31">
        <v>28.8</v>
      </c>
      <c r="R144" s="31" t="s">
        <v>1168</v>
      </c>
      <c r="S144" s="31" t="s">
        <v>1169</v>
      </c>
      <c r="T144" s="31">
        <v>2.4300000000000002</v>
      </c>
      <c r="U144" s="33">
        <v>0.02</v>
      </c>
      <c r="V144" s="31" t="s">
        <v>1081</v>
      </c>
      <c r="W144" s="31">
        <v>97</v>
      </c>
      <c r="X144" s="374">
        <v>0.02</v>
      </c>
      <c r="Y144" s="31">
        <v>170</v>
      </c>
      <c r="Z144" s="31" t="s">
        <v>424</v>
      </c>
      <c r="AA144" s="31" t="s">
        <v>144</v>
      </c>
    </row>
    <row r="145" spans="5:27" s="31" customFormat="1" ht="15" customHeight="1" x14ac:dyDescent="0.25">
      <c r="E145" s="31" t="s">
        <v>201</v>
      </c>
      <c r="F145" s="31" t="s">
        <v>140</v>
      </c>
      <c r="G145" s="31" t="s">
        <v>198</v>
      </c>
      <c r="H145" s="31" t="s">
        <v>237</v>
      </c>
      <c r="I145" s="31" t="s">
        <v>481</v>
      </c>
      <c r="J145" s="31" t="s">
        <v>1214</v>
      </c>
      <c r="K145" s="31" t="s">
        <v>1219</v>
      </c>
      <c r="L145" s="31" t="s">
        <v>162</v>
      </c>
      <c r="M145" s="31" t="s">
        <v>144</v>
      </c>
      <c r="N145" s="31" t="s">
        <v>1214</v>
      </c>
      <c r="O145" s="31" t="s">
        <v>422</v>
      </c>
      <c r="P145" s="31" t="s">
        <v>423</v>
      </c>
      <c r="Q145" s="31">
        <v>28.8</v>
      </c>
      <c r="R145" s="31" t="s">
        <v>1168</v>
      </c>
      <c r="S145" s="31" t="s">
        <v>1169</v>
      </c>
      <c r="T145" s="31">
        <v>2.4300000000000002</v>
      </c>
      <c r="U145" s="33">
        <v>0.02</v>
      </c>
      <c r="V145" s="31" t="s">
        <v>1081</v>
      </c>
      <c r="W145" s="31">
        <v>97</v>
      </c>
      <c r="X145" s="374">
        <v>0.02</v>
      </c>
      <c r="Y145" s="31">
        <v>170</v>
      </c>
      <c r="Z145" s="31" t="s">
        <v>424</v>
      </c>
      <c r="AA145" s="31" t="s">
        <v>144</v>
      </c>
    </row>
    <row r="146" spans="5:27" s="31" customFormat="1" ht="15" customHeight="1" x14ac:dyDescent="0.25">
      <c r="E146" s="31" t="s">
        <v>201</v>
      </c>
      <c r="F146" s="31" t="s">
        <v>140</v>
      </c>
      <c r="G146" s="31" t="s">
        <v>198</v>
      </c>
      <c r="H146" s="31" t="s">
        <v>237</v>
      </c>
      <c r="I146" s="31" t="s">
        <v>481</v>
      </c>
      <c r="J146" s="31" t="s">
        <v>1214</v>
      </c>
      <c r="K146" s="31" t="s">
        <v>1220</v>
      </c>
      <c r="L146" s="31" t="s">
        <v>162</v>
      </c>
      <c r="M146" s="31" t="s">
        <v>144</v>
      </c>
      <c r="N146" s="31" t="s">
        <v>1214</v>
      </c>
      <c r="O146" s="31" t="s">
        <v>422</v>
      </c>
      <c r="P146" s="31" t="s">
        <v>423</v>
      </c>
      <c r="Q146" s="31">
        <v>28.8</v>
      </c>
      <c r="R146" s="31" t="s">
        <v>1168</v>
      </c>
      <c r="S146" s="31" t="s">
        <v>1169</v>
      </c>
      <c r="T146" s="31">
        <v>2.4300000000000002</v>
      </c>
      <c r="U146" s="33">
        <v>0.02</v>
      </c>
      <c r="V146" s="31" t="s">
        <v>1081</v>
      </c>
      <c r="W146" s="31">
        <v>97</v>
      </c>
      <c r="X146" s="374">
        <v>0.02</v>
      </c>
      <c r="Y146" s="31">
        <v>170</v>
      </c>
      <c r="Z146" s="31" t="s">
        <v>424</v>
      </c>
      <c r="AA146" s="31" t="s">
        <v>144</v>
      </c>
    </row>
    <row r="147" spans="5:27" s="31" customFormat="1" ht="15" customHeight="1" x14ac:dyDescent="0.25">
      <c r="E147" s="31" t="s">
        <v>201</v>
      </c>
      <c r="F147" s="31" t="s">
        <v>140</v>
      </c>
      <c r="G147" s="31" t="s">
        <v>198</v>
      </c>
      <c r="H147" s="31" t="s">
        <v>237</v>
      </c>
      <c r="I147" s="31" t="s">
        <v>481</v>
      </c>
      <c r="J147" s="31" t="s">
        <v>1214</v>
      </c>
      <c r="K147" s="31" t="s">
        <v>1221</v>
      </c>
      <c r="L147" s="31" t="s">
        <v>162</v>
      </c>
      <c r="M147" s="31" t="s">
        <v>144</v>
      </c>
      <c r="N147" s="31" t="s">
        <v>1214</v>
      </c>
      <c r="O147" s="31" t="s">
        <v>422</v>
      </c>
      <c r="P147" s="31" t="s">
        <v>423</v>
      </c>
      <c r="Q147" s="31">
        <v>28.8</v>
      </c>
      <c r="R147" s="31" t="s">
        <v>1168</v>
      </c>
      <c r="S147" s="31" t="s">
        <v>1169</v>
      </c>
      <c r="T147" s="31">
        <v>2.4300000000000002</v>
      </c>
      <c r="U147" s="33">
        <v>0.02</v>
      </c>
      <c r="V147" s="31" t="s">
        <v>1081</v>
      </c>
      <c r="W147" s="31">
        <v>97</v>
      </c>
      <c r="X147" s="374">
        <v>0.02</v>
      </c>
      <c r="Y147" s="31">
        <v>170</v>
      </c>
      <c r="Z147" s="31" t="s">
        <v>424</v>
      </c>
      <c r="AA147" s="31" t="s">
        <v>144</v>
      </c>
    </row>
    <row r="148" spans="5:27" s="31" customFormat="1" ht="15" customHeight="1" x14ac:dyDescent="0.25">
      <c r="E148" s="31" t="s">
        <v>201</v>
      </c>
      <c r="F148" s="31" t="s">
        <v>140</v>
      </c>
      <c r="G148" s="31" t="s">
        <v>198</v>
      </c>
      <c r="H148" s="31" t="s">
        <v>237</v>
      </c>
      <c r="I148" s="31" t="s">
        <v>481</v>
      </c>
      <c r="J148" s="31" t="s">
        <v>1214</v>
      </c>
      <c r="K148" s="31" t="s">
        <v>1222</v>
      </c>
      <c r="L148" s="31" t="s">
        <v>162</v>
      </c>
      <c r="M148" s="31" t="s">
        <v>144</v>
      </c>
      <c r="N148" s="31" t="s">
        <v>1214</v>
      </c>
      <c r="O148" s="31" t="s">
        <v>422</v>
      </c>
      <c r="P148" s="31" t="s">
        <v>423</v>
      </c>
      <c r="Q148" s="31">
        <v>28.8</v>
      </c>
      <c r="R148" s="31" t="s">
        <v>1168</v>
      </c>
      <c r="S148" s="31" t="s">
        <v>1169</v>
      </c>
      <c r="T148" s="31">
        <v>2.4300000000000002</v>
      </c>
      <c r="U148" s="33">
        <v>0.02</v>
      </c>
      <c r="V148" s="31" t="s">
        <v>1081</v>
      </c>
      <c r="W148" s="31">
        <v>97</v>
      </c>
      <c r="X148" s="374">
        <v>0.02</v>
      </c>
      <c r="Y148" s="31">
        <v>170</v>
      </c>
      <c r="Z148" s="31" t="s">
        <v>424</v>
      </c>
      <c r="AA148" s="31" t="s">
        <v>144</v>
      </c>
    </row>
    <row r="149" spans="5:27" s="31" customFormat="1" ht="15" customHeight="1" x14ac:dyDescent="0.25">
      <c r="E149" s="31" t="s">
        <v>201</v>
      </c>
      <c r="F149" s="31" t="s">
        <v>140</v>
      </c>
      <c r="G149" s="31" t="s">
        <v>198</v>
      </c>
      <c r="H149" s="31" t="s">
        <v>237</v>
      </c>
      <c r="I149" s="31" t="s">
        <v>481</v>
      </c>
      <c r="J149" s="31" t="s">
        <v>1214</v>
      </c>
      <c r="K149" s="31" t="s">
        <v>1223</v>
      </c>
      <c r="L149" s="31" t="s">
        <v>162</v>
      </c>
      <c r="M149" s="31" t="s">
        <v>144</v>
      </c>
      <c r="N149" s="31" t="s">
        <v>1214</v>
      </c>
      <c r="O149" s="31" t="s">
        <v>422</v>
      </c>
      <c r="P149" s="31" t="s">
        <v>423</v>
      </c>
      <c r="Q149" s="31">
        <v>28.8</v>
      </c>
      <c r="R149" s="31" t="s">
        <v>1168</v>
      </c>
      <c r="S149" s="31" t="s">
        <v>1169</v>
      </c>
      <c r="T149" s="31">
        <v>2.4300000000000002</v>
      </c>
      <c r="U149" s="33">
        <v>0.02</v>
      </c>
      <c r="V149" s="31" t="s">
        <v>1081</v>
      </c>
      <c r="W149" s="31">
        <v>97</v>
      </c>
      <c r="X149" s="374">
        <v>0.02</v>
      </c>
      <c r="Y149" s="31">
        <v>170</v>
      </c>
      <c r="Z149" s="31" t="s">
        <v>424</v>
      </c>
      <c r="AA149" s="31" t="s">
        <v>144</v>
      </c>
    </row>
    <row r="150" spans="5:27" s="31" customFormat="1" ht="15" customHeight="1" x14ac:dyDescent="0.25">
      <c r="E150" s="31" t="s">
        <v>201</v>
      </c>
      <c r="F150" s="31" t="s">
        <v>140</v>
      </c>
      <c r="G150" s="31" t="s">
        <v>198</v>
      </c>
      <c r="H150" s="31" t="s">
        <v>237</v>
      </c>
      <c r="I150" s="31" t="s">
        <v>481</v>
      </c>
      <c r="J150" s="31" t="s">
        <v>1214</v>
      </c>
      <c r="K150" s="31" t="s">
        <v>1224</v>
      </c>
      <c r="L150" s="31" t="s">
        <v>162</v>
      </c>
      <c r="M150" s="31" t="s">
        <v>144</v>
      </c>
      <c r="N150" s="31" t="s">
        <v>1214</v>
      </c>
      <c r="O150" s="31" t="s">
        <v>422</v>
      </c>
      <c r="P150" s="31" t="s">
        <v>423</v>
      </c>
      <c r="Q150" s="31">
        <v>28.8</v>
      </c>
      <c r="R150" s="31" t="s">
        <v>1168</v>
      </c>
      <c r="S150" s="31" t="s">
        <v>1169</v>
      </c>
      <c r="T150" s="31">
        <v>2.4300000000000002</v>
      </c>
      <c r="U150" s="33">
        <v>0.02</v>
      </c>
      <c r="V150" s="31" t="s">
        <v>1081</v>
      </c>
      <c r="W150" s="31">
        <v>97</v>
      </c>
      <c r="X150" s="374">
        <v>0.02</v>
      </c>
      <c r="Y150" s="31">
        <v>170</v>
      </c>
      <c r="Z150" s="31" t="s">
        <v>424</v>
      </c>
      <c r="AA150" s="31" t="s">
        <v>144</v>
      </c>
    </row>
    <row r="151" spans="5:27" s="31" customFormat="1" ht="15" customHeight="1" x14ac:dyDescent="0.25">
      <c r="E151" s="31" t="s">
        <v>201</v>
      </c>
      <c r="F151" s="31" t="s">
        <v>140</v>
      </c>
      <c r="G151" s="31" t="s">
        <v>198</v>
      </c>
      <c r="H151" s="31" t="s">
        <v>237</v>
      </c>
      <c r="I151" s="31" t="s">
        <v>481</v>
      </c>
      <c r="J151" s="31" t="s">
        <v>1214</v>
      </c>
      <c r="K151" s="31" t="s">
        <v>1225</v>
      </c>
      <c r="L151" s="31" t="s">
        <v>162</v>
      </c>
      <c r="M151" s="31" t="s">
        <v>144</v>
      </c>
      <c r="N151" s="31" t="s">
        <v>1214</v>
      </c>
      <c r="O151" s="31" t="s">
        <v>422</v>
      </c>
      <c r="P151" s="31" t="s">
        <v>423</v>
      </c>
      <c r="Q151" s="31">
        <v>28.8</v>
      </c>
      <c r="R151" s="31" t="s">
        <v>1168</v>
      </c>
      <c r="S151" s="31" t="s">
        <v>1169</v>
      </c>
      <c r="T151" s="31">
        <v>2.4300000000000002</v>
      </c>
      <c r="U151" s="33">
        <v>0.02</v>
      </c>
      <c r="V151" s="31" t="s">
        <v>1081</v>
      </c>
      <c r="W151" s="31">
        <v>97</v>
      </c>
      <c r="X151" s="374">
        <v>0.02</v>
      </c>
      <c r="Y151" s="31">
        <v>170</v>
      </c>
      <c r="Z151" s="31" t="s">
        <v>424</v>
      </c>
      <c r="AA151" s="31" t="s">
        <v>144</v>
      </c>
    </row>
    <row r="152" spans="5:27" s="31" customFormat="1" ht="15" customHeight="1" x14ac:dyDescent="0.25">
      <c r="E152" s="31" t="s">
        <v>201</v>
      </c>
      <c r="F152" s="31" t="s">
        <v>140</v>
      </c>
      <c r="G152" s="31" t="s">
        <v>198</v>
      </c>
      <c r="H152" s="31" t="s">
        <v>237</v>
      </c>
      <c r="I152" s="31" t="s">
        <v>481</v>
      </c>
      <c r="J152" s="31" t="s">
        <v>1214</v>
      </c>
      <c r="K152" s="31" t="s">
        <v>1226</v>
      </c>
      <c r="L152" s="31" t="s">
        <v>162</v>
      </c>
      <c r="M152" s="31" t="s">
        <v>144</v>
      </c>
      <c r="N152" s="31" t="s">
        <v>1214</v>
      </c>
      <c r="O152" s="31" t="s">
        <v>422</v>
      </c>
      <c r="P152" s="31" t="s">
        <v>423</v>
      </c>
      <c r="Q152" s="31">
        <v>28.8</v>
      </c>
      <c r="R152" s="31" t="s">
        <v>1168</v>
      </c>
      <c r="S152" s="31" t="s">
        <v>1169</v>
      </c>
      <c r="T152" s="31">
        <v>2.4300000000000002</v>
      </c>
      <c r="U152" s="33">
        <v>0.02</v>
      </c>
      <c r="V152" s="31" t="s">
        <v>1081</v>
      </c>
      <c r="W152" s="31">
        <v>97</v>
      </c>
      <c r="X152" s="374">
        <v>0.02</v>
      </c>
      <c r="Y152" s="31">
        <v>170</v>
      </c>
      <c r="Z152" s="31" t="s">
        <v>424</v>
      </c>
      <c r="AA152" s="31" t="s">
        <v>144</v>
      </c>
    </row>
    <row r="153" spans="5:27" s="31" customFormat="1" ht="15" customHeight="1" x14ac:dyDescent="0.25">
      <c r="E153" s="31" t="s">
        <v>201</v>
      </c>
      <c r="F153" s="31" t="s">
        <v>140</v>
      </c>
      <c r="G153" s="31" t="s">
        <v>198</v>
      </c>
      <c r="H153" s="31" t="s">
        <v>237</v>
      </c>
      <c r="I153" s="31" t="s">
        <v>481</v>
      </c>
      <c r="J153" s="31" t="s">
        <v>1214</v>
      </c>
      <c r="K153" s="31" t="s">
        <v>1227</v>
      </c>
      <c r="L153" s="31" t="s">
        <v>162</v>
      </c>
      <c r="M153" s="31" t="s">
        <v>144</v>
      </c>
      <c r="N153" s="31" t="s">
        <v>1214</v>
      </c>
      <c r="O153" s="31" t="s">
        <v>422</v>
      </c>
      <c r="P153" s="31" t="s">
        <v>423</v>
      </c>
      <c r="Q153" s="31">
        <v>28.8</v>
      </c>
      <c r="R153" s="31" t="s">
        <v>1168</v>
      </c>
      <c r="S153" s="31" t="s">
        <v>1169</v>
      </c>
      <c r="T153" s="31">
        <v>2.4300000000000002</v>
      </c>
      <c r="U153" s="33">
        <v>0.02</v>
      </c>
      <c r="V153" s="31" t="s">
        <v>1081</v>
      </c>
      <c r="W153" s="31">
        <v>97</v>
      </c>
      <c r="X153" s="374">
        <v>0.02</v>
      </c>
      <c r="Y153" s="31">
        <v>170</v>
      </c>
      <c r="Z153" s="31" t="s">
        <v>424</v>
      </c>
      <c r="AA153" s="31" t="s">
        <v>144</v>
      </c>
    </row>
    <row r="154" spans="5:27" s="31" customFormat="1" ht="15" customHeight="1" x14ac:dyDescent="0.25">
      <c r="E154" s="31" t="s">
        <v>201</v>
      </c>
      <c r="F154" s="31" t="s">
        <v>140</v>
      </c>
      <c r="G154" s="31" t="s">
        <v>198</v>
      </c>
      <c r="H154" s="31" t="s">
        <v>237</v>
      </c>
      <c r="I154" s="31" t="s">
        <v>481</v>
      </c>
      <c r="J154" s="31" t="s">
        <v>1214</v>
      </c>
      <c r="K154" s="31" t="s">
        <v>1228</v>
      </c>
      <c r="L154" s="31" t="s">
        <v>162</v>
      </c>
      <c r="M154" s="31" t="s">
        <v>144</v>
      </c>
      <c r="N154" s="31" t="s">
        <v>1214</v>
      </c>
      <c r="O154" s="31" t="s">
        <v>422</v>
      </c>
      <c r="P154" s="31" t="s">
        <v>423</v>
      </c>
      <c r="Q154" s="31">
        <v>28.8</v>
      </c>
      <c r="R154" s="31" t="s">
        <v>1168</v>
      </c>
      <c r="S154" s="31" t="s">
        <v>1169</v>
      </c>
      <c r="T154" s="31">
        <v>2.4300000000000002</v>
      </c>
      <c r="U154" s="33">
        <v>0.02</v>
      </c>
      <c r="V154" s="31" t="s">
        <v>1081</v>
      </c>
      <c r="W154" s="31">
        <v>97</v>
      </c>
      <c r="X154" s="374">
        <v>0.02</v>
      </c>
      <c r="Y154" s="31">
        <v>170</v>
      </c>
      <c r="Z154" s="31" t="s">
        <v>424</v>
      </c>
      <c r="AA154" s="31" t="s">
        <v>144</v>
      </c>
    </row>
    <row r="155" spans="5:27" s="31" customFormat="1" ht="15" customHeight="1" x14ac:dyDescent="0.25">
      <c r="E155" s="31" t="s">
        <v>201</v>
      </c>
      <c r="F155" s="31" t="s">
        <v>140</v>
      </c>
      <c r="G155" s="31" t="s">
        <v>198</v>
      </c>
      <c r="H155" s="31" t="s">
        <v>237</v>
      </c>
      <c r="I155" s="31" t="s">
        <v>481</v>
      </c>
      <c r="J155" s="31" t="s">
        <v>1214</v>
      </c>
      <c r="K155" s="31" t="s">
        <v>1229</v>
      </c>
      <c r="L155" s="31" t="s">
        <v>162</v>
      </c>
      <c r="M155" s="31" t="s">
        <v>144</v>
      </c>
      <c r="N155" s="31" t="s">
        <v>1214</v>
      </c>
      <c r="O155" s="31" t="s">
        <v>422</v>
      </c>
      <c r="P155" s="31" t="s">
        <v>423</v>
      </c>
      <c r="Q155" s="31">
        <v>28.8</v>
      </c>
      <c r="R155" s="31" t="s">
        <v>1168</v>
      </c>
      <c r="S155" s="31" t="s">
        <v>1169</v>
      </c>
      <c r="T155" s="31">
        <v>2.4300000000000002</v>
      </c>
      <c r="U155" s="33">
        <v>0.02</v>
      </c>
      <c r="V155" s="31" t="s">
        <v>1081</v>
      </c>
      <c r="W155" s="31">
        <v>97</v>
      </c>
      <c r="X155" s="374">
        <v>0.02</v>
      </c>
      <c r="Y155" s="31">
        <v>170</v>
      </c>
      <c r="Z155" s="31" t="s">
        <v>424</v>
      </c>
      <c r="AA155" s="31" t="s">
        <v>144</v>
      </c>
    </row>
    <row r="156" spans="5:27" s="31" customFormat="1" ht="15" customHeight="1" x14ac:dyDescent="0.25">
      <c r="E156" s="31" t="s">
        <v>201</v>
      </c>
      <c r="F156" s="31" t="s">
        <v>140</v>
      </c>
      <c r="G156" s="31" t="s">
        <v>198</v>
      </c>
      <c r="H156" s="31" t="s">
        <v>237</v>
      </c>
      <c r="I156" s="31" t="s">
        <v>481</v>
      </c>
      <c r="J156" s="31" t="s">
        <v>1214</v>
      </c>
      <c r="K156" s="31" t="s">
        <v>1230</v>
      </c>
      <c r="L156" s="31" t="s">
        <v>162</v>
      </c>
      <c r="M156" s="31" t="s">
        <v>144</v>
      </c>
      <c r="N156" s="31" t="s">
        <v>1214</v>
      </c>
      <c r="O156" s="31" t="s">
        <v>422</v>
      </c>
      <c r="P156" s="31" t="s">
        <v>423</v>
      </c>
      <c r="Q156" s="31">
        <v>28.8</v>
      </c>
      <c r="R156" s="31" t="s">
        <v>1168</v>
      </c>
      <c r="S156" s="31" t="s">
        <v>1169</v>
      </c>
      <c r="T156" s="31">
        <v>2.4300000000000002</v>
      </c>
      <c r="U156" s="33">
        <v>0.02</v>
      </c>
      <c r="V156" s="31" t="s">
        <v>1081</v>
      </c>
      <c r="W156" s="31">
        <v>97</v>
      </c>
      <c r="X156" s="374">
        <v>0.02</v>
      </c>
      <c r="Y156" s="31">
        <v>170</v>
      </c>
      <c r="Z156" s="31" t="s">
        <v>424</v>
      </c>
      <c r="AA156" s="31" t="s">
        <v>144</v>
      </c>
    </row>
    <row r="157" spans="5:27" s="31" customFormat="1" ht="15" customHeight="1" x14ac:dyDescent="0.25">
      <c r="E157" s="31" t="s">
        <v>201</v>
      </c>
      <c r="F157" s="31" t="s">
        <v>140</v>
      </c>
      <c r="G157" s="31" t="s">
        <v>198</v>
      </c>
      <c r="H157" s="31" t="s">
        <v>237</v>
      </c>
      <c r="I157" s="31" t="s">
        <v>481</v>
      </c>
      <c r="J157" s="31" t="s">
        <v>1214</v>
      </c>
      <c r="K157" s="31" t="s">
        <v>1231</v>
      </c>
      <c r="L157" s="31" t="s">
        <v>162</v>
      </c>
      <c r="M157" s="31" t="s">
        <v>144</v>
      </c>
      <c r="N157" s="31" t="s">
        <v>1214</v>
      </c>
      <c r="O157" s="31" t="s">
        <v>422</v>
      </c>
      <c r="P157" s="31" t="s">
        <v>423</v>
      </c>
      <c r="Q157" s="31">
        <v>28.8</v>
      </c>
      <c r="R157" s="31" t="s">
        <v>1168</v>
      </c>
      <c r="S157" s="31" t="s">
        <v>1169</v>
      </c>
      <c r="T157" s="31">
        <v>2.4300000000000002</v>
      </c>
      <c r="U157" s="33">
        <v>0.02</v>
      </c>
      <c r="V157" s="31" t="s">
        <v>1081</v>
      </c>
      <c r="W157" s="31">
        <v>97</v>
      </c>
      <c r="X157" s="374">
        <v>0.02</v>
      </c>
      <c r="Y157" s="31">
        <v>170</v>
      </c>
      <c r="Z157" s="31" t="s">
        <v>424</v>
      </c>
      <c r="AA157" s="31" t="s">
        <v>144</v>
      </c>
    </row>
    <row r="158" spans="5:27" s="31" customFormat="1" ht="15" customHeight="1" x14ac:dyDescent="0.25">
      <c r="E158" s="31" t="s">
        <v>201</v>
      </c>
      <c r="F158" s="31" t="s">
        <v>140</v>
      </c>
      <c r="G158" s="31" t="s">
        <v>198</v>
      </c>
      <c r="H158" s="31" t="s">
        <v>237</v>
      </c>
      <c r="I158" s="31" t="s">
        <v>481</v>
      </c>
      <c r="J158" s="31" t="s">
        <v>1214</v>
      </c>
      <c r="K158" s="31" t="s">
        <v>1232</v>
      </c>
      <c r="L158" s="31" t="s">
        <v>162</v>
      </c>
      <c r="M158" s="31" t="s">
        <v>144</v>
      </c>
      <c r="N158" s="31" t="s">
        <v>1214</v>
      </c>
      <c r="O158" s="31" t="s">
        <v>422</v>
      </c>
      <c r="P158" s="31" t="s">
        <v>423</v>
      </c>
      <c r="Q158" s="31">
        <v>28.8</v>
      </c>
      <c r="R158" s="31" t="s">
        <v>1168</v>
      </c>
      <c r="S158" s="31" t="s">
        <v>1169</v>
      </c>
      <c r="T158" s="31">
        <v>2.4300000000000002</v>
      </c>
      <c r="U158" s="33">
        <v>0.02</v>
      </c>
      <c r="V158" s="31" t="s">
        <v>1081</v>
      </c>
      <c r="W158" s="31">
        <v>97</v>
      </c>
      <c r="X158" s="374">
        <v>0.02</v>
      </c>
      <c r="Y158" s="31">
        <v>170</v>
      </c>
      <c r="Z158" s="31" t="s">
        <v>424</v>
      </c>
      <c r="AA158" s="31" t="s">
        <v>144</v>
      </c>
    </row>
    <row r="159" spans="5:27" s="31" customFormat="1" ht="15" customHeight="1" x14ac:dyDescent="0.25">
      <c r="E159" s="31" t="s">
        <v>201</v>
      </c>
      <c r="F159" s="31" t="s">
        <v>140</v>
      </c>
      <c r="G159" s="31" t="s">
        <v>198</v>
      </c>
      <c r="H159" s="31" t="s">
        <v>237</v>
      </c>
      <c r="I159" s="31" t="s">
        <v>481</v>
      </c>
      <c r="J159" s="31" t="s">
        <v>1214</v>
      </c>
      <c r="K159" s="31" t="s">
        <v>1233</v>
      </c>
      <c r="L159" s="31" t="s">
        <v>162</v>
      </c>
      <c r="M159" s="31" t="s">
        <v>144</v>
      </c>
      <c r="N159" s="31" t="s">
        <v>1214</v>
      </c>
      <c r="O159" s="31" t="s">
        <v>422</v>
      </c>
      <c r="P159" s="31" t="s">
        <v>423</v>
      </c>
      <c r="Q159" s="31">
        <v>28.8</v>
      </c>
      <c r="R159" s="31" t="s">
        <v>1168</v>
      </c>
      <c r="S159" s="31" t="s">
        <v>1169</v>
      </c>
      <c r="T159" s="31">
        <v>2.4300000000000002</v>
      </c>
      <c r="U159" s="33">
        <v>0.02</v>
      </c>
      <c r="V159" s="31" t="s">
        <v>1081</v>
      </c>
      <c r="W159" s="31">
        <v>97</v>
      </c>
      <c r="X159" s="374">
        <v>0.02</v>
      </c>
      <c r="Y159" s="31">
        <v>170</v>
      </c>
      <c r="Z159" s="31" t="s">
        <v>424</v>
      </c>
      <c r="AA159" s="31" t="s">
        <v>144</v>
      </c>
    </row>
    <row r="160" spans="5:27" s="31" customFormat="1" ht="15" customHeight="1" x14ac:dyDescent="0.25">
      <c r="E160" s="31" t="s">
        <v>201</v>
      </c>
      <c r="F160" s="31" t="s">
        <v>140</v>
      </c>
      <c r="G160" s="31" t="s">
        <v>198</v>
      </c>
      <c r="H160" s="31" t="s">
        <v>237</v>
      </c>
      <c r="I160" s="31" t="s">
        <v>481</v>
      </c>
      <c r="J160" s="31" t="s">
        <v>1214</v>
      </c>
      <c r="K160" s="31" t="s">
        <v>1234</v>
      </c>
      <c r="L160" s="31" t="s">
        <v>162</v>
      </c>
      <c r="M160" s="31" t="s">
        <v>144</v>
      </c>
      <c r="N160" s="31" t="s">
        <v>1214</v>
      </c>
      <c r="O160" s="31" t="s">
        <v>422</v>
      </c>
      <c r="P160" s="31" t="s">
        <v>423</v>
      </c>
      <c r="Q160" s="31">
        <v>28.8</v>
      </c>
      <c r="R160" s="31" t="s">
        <v>1168</v>
      </c>
      <c r="S160" s="31" t="s">
        <v>1169</v>
      </c>
      <c r="T160" s="31">
        <v>2.4300000000000002</v>
      </c>
      <c r="U160" s="33">
        <v>0.02</v>
      </c>
      <c r="V160" s="31" t="s">
        <v>1081</v>
      </c>
      <c r="W160" s="31">
        <v>97</v>
      </c>
      <c r="X160" s="374">
        <v>0.02</v>
      </c>
      <c r="Y160" s="31">
        <v>170</v>
      </c>
      <c r="Z160" s="31" t="s">
        <v>424</v>
      </c>
      <c r="AA160" s="31" t="s">
        <v>144</v>
      </c>
    </row>
    <row r="161" spans="5:27" s="31" customFormat="1" ht="15" customHeight="1" x14ac:dyDescent="0.25">
      <c r="E161" s="31" t="s">
        <v>201</v>
      </c>
      <c r="F161" s="31" t="s">
        <v>140</v>
      </c>
      <c r="G161" s="31" t="s">
        <v>198</v>
      </c>
      <c r="H161" s="31" t="s">
        <v>237</v>
      </c>
      <c r="I161" s="31" t="s">
        <v>481</v>
      </c>
      <c r="J161" s="31" t="s">
        <v>1214</v>
      </c>
      <c r="K161" s="31" t="s">
        <v>1235</v>
      </c>
      <c r="L161" s="31" t="s">
        <v>162</v>
      </c>
      <c r="M161" s="31" t="s">
        <v>144</v>
      </c>
      <c r="N161" s="31" t="s">
        <v>1214</v>
      </c>
      <c r="O161" s="31" t="s">
        <v>422</v>
      </c>
      <c r="P161" s="31" t="s">
        <v>423</v>
      </c>
      <c r="Q161" s="31">
        <v>28.8</v>
      </c>
      <c r="R161" s="31" t="s">
        <v>1168</v>
      </c>
      <c r="S161" s="31" t="s">
        <v>1169</v>
      </c>
      <c r="T161" s="31">
        <v>2.4300000000000002</v>
      </c>
      <c r="U161" s="33">
        <v>0.02</v>
      </c>
      <c r="V161" s="31" t="s">
        <v>1081</v>
      </c>
      <c r="W161" s="31">
        <v>97</v>
      </c>
      <c r="X161" s="374">
        <v>0.02</v>
      </c>
      <c r="Y161" s="31">
        <v>170</v>
      </c>
      <c r="Z161" s="31" t="s">
        <v>424</v>
      </c>
      <c r="AA161" s="31" t="s">
        <v>144</v>
      </c>
    </row>
    <row r="162" spans="5:27" s="31" customFormat="1" ht="15" customHeight="1" x14ac:dyDescent="0.25">
      <c r="E162" s="31" t="s">
        <v>201</v>
      </c>
      <c r="F162" s="31" t="s">
        <v>140</v>
      </c>
      <c r="G162" s="31" t="s">
        <v>198</v>
      </c>
      <c r="H162" s="31" t="s">
        <v>237</v>
      </c>
      <c r="I162" s="31" t="s">
        <v>481</v>
      </c>
      <c r="J162" s="31" t="s">
        <v>1214</v>
      </c>
      <c r="K162" s="31" t="s">
        <v>1236</v>
      </c>
      <c r="L162" s="31" t="s">
        <v>162</v>
      </c>
      <c r="M162" s="31" t="s">
        <v>144</v>
      </c>
      <c r="N162" s="31" t="s">
        <v>1214</v>
      </c>
      <c r="O162" s="31" t="s">
        <v>422</v>
      </c>
      <c r="P162" s="31" t="s">
        <v>423</v>
      </c>
      <c r="Q162" s="31">
        <v>28.8</v>
      </c>
      <c r="R162" s="31" t="s">
        <v>1168</v>
      </c>
      <c r="S162" s="31" t="s">
        <v>1169</v>
      </c>
      <c r="T162" s="31">
        <v>2.4300000000000002</v>
      </c>
      <c r="U162" s="33">
        <v>0.02</v>
      </c>
      <c r="V162" s="31" t="s">
        <v>1081</v>
      </c>
      <c r="W162" s="31">
        <v>97</v>
      </c>
      <c r="X162" s="374">
        <v>0.02</v>
      </c>
      <c r="Y162" s="31">
        <v>170</v>
      </c>
      <c r="Z162" s="31" t="s">
        <v>424</v>
      </c>
      <c r="AA162" s="31" t="s">
        <v>144</v>
      </c>
    </row>
    <row r="163" spans="5:27" s="31" customFormat="1" ht="15" customHeight="1" x14ac:dyDescent="0.25">
      <c r="E163" s="31" t="s">
        <v>201</v>
      </c>
      <c r="F163" s="31" t="s">
        <v>140</v>
      </c>
      <c r="G163" s="31" t="s">
        <v>198</v>
      </c>
      <c r="H163" s="31" t="s">
        <v>237</v>
      </c>
      <c r="I163" s="31" t="s">
        <v>481</v>
      </c>
      <c r="J163" s="31" t="s">
        <v>1214</v>
      </c>
      <c r="K163" s="31" t="s">
        <v>1237</v>
      </c>
      <c r="L163" s="31" t="s">
        <v>162</v>
      </c>
      <c r="M163" s="31" t="s">
        <v>144</v>
      </c>
      <c r="N163" s="31" t="s">
        <v>1214</v>
      </c>
      <c r="O163" s="31" t="s">
        <v>422</v>
      </c>
      <c r="P163" s="31" t="s">
        <v>423</v>
      </c>
      <c r="Q163" s="31">
        <v>28.8</v>
      </c>
      <c r="R163" s="31" t="s">
        <v>1168</v>
      </c>
      <c r="S163" s="31" t="s">
        <v>1169</v>
      </c>
      <c r="T163" s="31">
        <v>2.4300000000000002</v>
      </c>
      <c r="U163" s="33">
        <v>0.02</v>
      </c>
      <c r="V163" s="31" t="s">
        <v>1081</v>
      </c>
      <c r="W163" s="31">
        <v>97</v>
      </c>
      <c r="X163" s="374">
        <v>0.02</v>
      </c>
      <c r="Y163" s="31">
        <v>170</v>
      </c>
      <c r="Z163" s="31" t="s">
        <v>424</v>
      </c>
      <c r="AA163" s="31" t="s">
        <v>144</v>
      </c>
    </row>
    <row r="164" spans="5:27" s="31" customFormat="1" ht="15" customHeight="1" x14ac:dyDescent="0.25">
      <c r="E164" s="31" t="s">
        <v>201</v>
      </c>
      <c r="F164" s="31" t="s">
        <v>140</v>
      </c>
      <c r="G164" s="31" t="s">
        <v>198</v>
      </c>
      <c r="H164" s="31" t="s">
        <v>237</v>
      </c>
      <c r="I164" s="31" t="s">
        <v>481</v>
      </c>
      <c r="J164" s="31" t="s">
        <v>1214</v>
      </c>
      <c r="K164" s="31" t="s">
        <v>1238</v>
      </c>
      <c r="L164" s="31" t="s">
        <v>162</v>
      </c>
      <c r="M164" s="31" t="s">
        <v>144</v>
      </c>
      <c r="N164" s="31" t="s">
        <v>1214</v>
      </c>
      <c r="O164" s="31" t="s">
        <v>422</v>
      </c>
      <c r="P164" s="31" t="s">
        <v>423</v>
      </c>
      <c r="Q164" s="31">
        <v>28.8</v>
      </c>
      <c r="R164" s="31" t="s">
        <v>1168</v>
      </c>
      <c r="S164" s="31" t="s">
        <v>1169</v>
      </c>
      <c r="T164" s="31">
        <v>2.4300000000000002</v>
      </c>
      <c r="U164" s="33">
        <v>0.02</v>
      </c>
      <c r="V164" s="31" t="s">
        <v>1081</v>
      </c>
      <c r="W164" s="31">
        <v>97</v>
      </c>
      <c r="X164" s="374">
        <v>0.02</v>
      </c>
      <c r="Y164" s="31">
        <v>170</v>
      </c>
      <c r="Z164" s="31" t="s">
        <v>424</v>
      </c>
      <c r="AA164" s="31" t="s">
        <v>144</v>
      </c>
    </row>
    <row r="165" spans="5:27" s="31" customFormat="1" ht="15" customHeight="1" x14ac:dyDescent="0.25">
      <c r="E165" s="31" t="s">
        <v>201</v>
      </c>
      <c r="F165" s="31" t="s">
        <v>140</v>
      </c>
      <c r="G165" s="31" t="s">
        <v>198</v>
      </c>
      <c r="H165" s="31" t="s">
        <v>237</v>
      </c>
      <c r="I165" s="31" t="s">
        <v>481</v>
      </c>
      <c r="J165" s="31" t="s">
        <v>1214</v>
      </c>
      <c r="K165" s="31" t="s">
        <v>1239</v>
      </c>
      <c r="L165" s="31" t="s">
        <v>162</v>
      </c>
      <c r="M165" s="31" t="s">
        <v>144</v>
      </c>
      <c r="N165" s="31" t="s">
        <v>1214</v>
      </c>
      <c r="O165" s="31" t="s">
        <v>422</v>
      </c>
      <c r="P165" s="31" t="s">
        <v>423</v>
      </c>
      <c r="Q165" s="31">
        <v>28.8</v>
      </c>
      <c r="R165" s="31" t="s">
        <v>1168</v>
      </c>
      <c r="S165" s="31" t="s">
        <v>1169</v>
      </c>
      <c r="T165" s="31">
        <v>2.4300000000000002</v>
      </c>
      <c r="U165" s="33">
        <v>0.02</v>
      </c>
      <c r="V165" s="31" t="s">
        <v>1081</v>
      </c>
      <c r="W165" s="31">
        <v>97</v>
      </c>
      <c r="X165" s="374">
        <v>0.02</v>
      </c>
      <c r="Y165" s="31">
        <v>170</v>
      </c>
      <c r="Z165" s="31" t="s">
        <v>424</v>
      </c>
      <c r="AA165" s="31" t="s">
        <v>144</v>
      </c>
    </row>
    <row r="166" spans="5:27" s="31" customFormat="1" ht="15" customHeight="1" x14ac:dyDescent="0.25">
      <c r="E166" s="31" t="s">
        <v>201</v>
      </c>
      <c r="F166" s="31" t="s">
        <v>140</v>
      </c>
      <c r="G166" s="31" t="s">
        <v>198</v>
      </c>
      <c r="H166" s="31" t="s">
        <v>237</v>
      </c>
      <c r="I166" s="31" t="s">
        <v>481</v>
      </c>
      <c r="J166" s="31" t="s">
        <v>1214</v>
      </c>
      <c r="K166" s="31" t="s">
        <v>1240</v>
      </c>
      <c r="L166" s="31" t="s">
        <v>162</v>
      </c>
      <c r="M166" s="31" t="s">
        <v>144</v>
      </c>
      <c r="N166" s="31" t="s">
        <v>1214</v>
      </c>
      <c r="O166" s="31" t="s">
        <v>422</v>
      </c>
      <c r="P166" s="31" t="s">
        <v>423</v>
      </c>
      <c r="Q166" s="31">
        <v>28.8</v>
      </c>
      <c r="R166" s="31" t="s">
        <v>1168</v>
      </c>
      <c r="S166" s="31" t="s">
        <v>1169</v>
      </c>
      <c r="T166" s="31">
        <v>2.4300000000000002</v>
      </c>
      <c r="U166" s="33">
        <v>0.02</v>
      </c>
      <c r="V166" s="31" t="s">
        <v>1081</v>
      </c>
      <c r="W166" s="31">
        <v>97</v>
      </c>
      <c r="X166" s="374">
        <v>0.02</v>
      </c>
      <c r="Y166" s="31">
        <v>170</v>
      </c>
      <c r="Z166" s="31" t="s">
        <v>424</v>
      </c>
      <c r="AA166" s="31" t="s">
        <v>144</v>
      </c>
    </row>
    <row r="167" spans="5:27" s="31" customFormat="1" ht="15" customHeight="1" x14ac:dyDescent="0.25">
      <c r="U167" s="33"/>
      <c r="X167" s="374"/>
    </row>
    <row r="168" spans="5:27" s="31" customFormat="1" ht="15" customHeight="1" x14ac:dyDescent="0.25">
      <c r="U168" s="33"/>
      <c r="X168" s="374"/>
    </row>
    <row r="169" spans="5:27" s="31" customFormat="1" ht="15" customHeight="1" x14ac:dyDescent="0.25">
      <c r="E169" s="31" t="s">
        <v>201</v>
      </c>
      <c r="F169" s="31" t="s">
        <v>140</v>
      </c>
      <c r="G169" s="31" t="s">
        <v>198</v>
      </c>
      <c r="H169" s="31" t="s">
        <v>237</v>
      </c>
      <c r="I169" s="31" t="s">
        <v>481</v>
      </c>
      <c r="J169" s="31" t="s">
        <v>1241</v>
      </c>
      <c r="K169" s="31" t="s">
        <v>1242</v>
      </c>
      <c r="L169" s="31" t="s">
        <v>162</v>
      </c>
      <c r="M169" s="31" t="s">
        <v>144</v>
      </c>
      <c r="N169" s="31" t="s">
        <v>1243</v>
      </c>
      <c r="O169" s="31" t="s">
        <v>422</v>
      </c>
      <c r="P169" s="31" t="s">
        <v>423</v>
      </c>
      <c r="Q169" s="31">
        <v>28.8</v>
      </c>
      <c r="R169" s="31" t="s">
        <v>1168</v>
      </c>
      <c r="S169" s="31" t="s">
        <v>1169</v>
      </c>
      <c r="T169" s="31">
        <v>2.4300000000000002</v>
      </c>
      <c r="U169" s="33">
        <v>0.02</v>
      </c>
      <c r="V169" s="31" t="s">
        <v>1081</v>
      </c>
      <c r="W169" s="31">
        <v>97</v>
      </c>
      <c r="X169" s="374">
        <v>0.02</v>
      </c>
      <c r="Y169" s="31">
        <v>170</v>
      </c>
      <c r="Z169" s="31" t="s">
        <v>424</v>
      </c>
      <c r="AA169" s="31" t="s">
        <v>144</v>
      </c>
    </row>
    <row r="170" spans="5:27" s="31" customFormat="1" ht="15" customHeight="1" x14ac:dyDescent="0.25">
      <c r="E170" s="31" t="s">
        <v>201</v>
      </c>
      <c r="F170" s="31" t="s">
        <v>140</v>
      </c>
      <c r="G170" s="31" t="s">
        <v>198</v>
      </c>
      <c r="H170" s="31" t="s">
        <v>237</v>
      </c>
      <c r="I170" s="31" t="s">
        <v>481</v>
      </c>
      <c r="J170" s="31" t="s">
        <v>1241</v>
      </c>
      <c r="K170" s="31" t="s">
        <v>1244</v>
      </c>
      <c r="L170" s="31" t="s">
        <v>162</v>
      </c>
      <c r="M170" s="31" t="s">
        <v>144</v>
      </c>
      <c r="N170" s="31" t="s">
        <v>1243</v>
      </c>
      <c r="O170" s="31" t="s">
        <v>422</v>
      </c>
      <c r="P170" s="31" t="s">
        <v>423</v>
      </c>
      <c r="Q170" s="31">
        <v>28.8</v>
      </c>
      <c r="R170" s="31" t="s">
        <v>1168</v>
      </c>
      <c r="S170" s="31" t="s">
        <v>1169</v>
      </c>
      <c r="T170" s="31">
        <v>2.4300000000000002</v>
      </c>
      <c r="U170" s="33">
        <v>0.02</v>
      </c>
      <c r="V170" s="31" t="s">
        <v>1081</v>
      </c>
      <c r="W170" s="31">
        <v>97</v>
      </c>
      <c r="X170" s="374">
        <v>0.02</v>
      </c>
      <c r="Y170" s="31">
        <v>170</v>
      </c>
      <c r="Z170" s="31" t="s">
        <v>424</v>
      </c>
      <c r="AA170" s="31" t="s">
        <v>144</v>
      </c>
    </row>
    <row r="171" spans="5:27" s="31" customFormat="1" ht="15" customHeight="1" x14ac:dyDescent="0.25">
      <c r="E171" s="31" t="s">
        <v>201</v>
      </c>
      <c r="F171" s="31" t="s">
        <v>140</v>
      </c>
      <c r="G171" s="31" t="s">
        <v>198</v>
      </c>
      <c r="H171" s="31" t="s">
        <v>237</v>
      </c>
      <c r="I171" s="31" t="s">
        <v>481</v>
      </c>
      <c r="J171" s="31" t="s">
        <v>1241</v>
      </c>
      <c r="K171" s="31" t="s">
        <v>1245</v>
      </c>
      <c r="L171" s="31" t="s">
        <v>162</v>
      </c>
      <c r="M171" s="31" t="s">
        <v>144</v>
      </c>
      <c r="N171" s="31" t="s">
        <v>1243</v>
      </c>
      <c r="O171" s="31" t="s">
        <v>422</v>
      </c>
      <c r="P171" s="31" t="s">
        <v>423</v>
      </c>
      <c r="Q171" s="31">
        <v>28.8</v>
      </c>
      <c r="R171" s="31" t="s">
        <v>1168</v>
      </c>
      <c r="S171" s="31" t="s">
        <v>1169</v>
      </c>
      <c r="T171" s="31">
        <v>2.4300000000000002</v>
      </c>
      <c r="U171" s="33">
        <v>0.02</v>
      </c>
      <c r="V171" s="31" t="s">
        <v>1081</v>
      </c>
      <c r="W171" s="31">
        <v>97</v>
      </c>
      <c r="X171" s="374">
        <v>0.02</v>
      </c>
      <c r="Y171" s="31">
        <v>170</v>
      </c>
      <c r="Z171" s="31" t="s">
        <v>424</v>
      </c>
      <c r="AA171" s="31" t="s">
        <v>144</v>
      </c>
    </row>
    <row r="172" spans="5:27" s="31" customFormat="1" ht="15" customHeight="1" x14ac:dyDescent="0.25">
      <c r="E172" s="31" t="s">
        <v>201</v>
      </c>
      <c r="F172" s="31" t="s">
        <v>140</v>
      </c>
      <c r="G172" s="31" t="s">
        <v>198</v>
      </c>
      <c r="H172" s="31" t="s">
        <v>237</v>
      </c>
      <c r="I172" s="31" t="s">
        <v>481</v>
      </c>
      <c r="J172" s="31" t="s">
        <v>1241</v>
      </c>
      <c r="K172" s="31" t="s">
        <v>1246</v>
      </c>
      <c r="L172" s="31" t="s">
        <v>162</v>
      </c>
      <c r="M172" s="31" t="s">
        <v>144</v>
      </c>
      <c r="N172" s="31" t="s">
        <v>1243</v>
      </c>
      <c r="O172" s="31" t="s">
        <v>422</v>
      </c>
      <c r="P172" s="31" t="s">
        <v>423</v>
      </c>
      <c r="Q172" s="31">
        <v>28.8</v>
      </c>
      <c r="R172" s="31" t="s">
        <v>1168</v>
      </c>
      <c r="S172" s="31" t="s">
        <v>1169</v>
      </c>
      <c r="T172" s="31">
        <v>2.4300000000000002</v>
      </c>
      <c r="U172" s="33">
        <v>0.02</v>
      </c>
      <c r="V172" s="31" t="s">
        <v>1081</v>
      </c>
      <c r="W172" s="31">
        <v>97</v>
      </c>
      <c r="X172" s="374">
        <v>0.02</v>
      </c>
      <c r="Y172" s="31">
        <v>170</v>
      </c>
      <c r="Z172" s="31" t="s">
        <v>424</v>
      </c>
      <c r="AA172" s="31" t="s">
        <v>144</v>
      </c>
    </row>
    <row r="173" spans="5:27" s="31" customFormat="1" ht="15" customHeight="1" x14ac:dyDescent="0.25">
      <c r="E173" s="31" t="s">
        <v>201</v>
      </c>
      <c r="F173" s="31" t="s">
        <v>140</v>
      </c>
      <c r="G173" s="31" t="s">
        <v>198</v>
      </c>
      <c r="H173" s="31" t="s">
        <v>237</v>
      </c>
      <c r="I173" s="31" t="s">
        <v>481</v>
      </c>
      <c r="J173" s="31" t="s">
        <v>1241</v>
      </c>
      <c r="K173" s="31" t="s">
        <v>1247</v>
      </c>
      <c r="L173" s="31" t="s">
        <v>162</v>
      </c>
      <c r="M173" s="31" t="s">
        <v>144</v>
      </c>
      <c r="N173" s="31" t="s">
        <v>1243</v>
      </c>
      <c r="O173" s="31" t="s">
        <v>422</v>
      </c>
      <c r="P173" s="31" t="s">
        <v>423</v>
      </c>
      <c r="Q173" s="31">
        <v>28.8</v>
      </c>
      <c r="R173" s="31" t="s">
        <v>1168</v>
      </c>
      <c r="S173" s="31" t="s">
        <v>1169</v>
      </c>
      <c r="T173" s="31">
        <v>2.4300000000000002</v>
      </c>
      <c r="U173" s="33">
        <v>0.02</v>
      </c>
      <c r="V173" s="31" t="s">
        <v>1081</v>
      </c>
      <c r="W173" s="31">
        <v>97</v>
      </c>
      <c r="X173" s="374">
        <v>0.02</v>
      </c>
      <c r="Y173" s="31">
        <v>170</v>
      </c>
      <c r="Z173" s="31" t="s">
        <v>424</v>
      </c>
      <c r="AA173" s="31" t="s">
        <v>144</v>
      </c>
    </row>
    <row r="174" spans="5:27" s="31" customFormat="1" ht="15" customHeight="1" x14ac:dyDescent="0.25">
      <c r="E174" s="31" t="s">
        <v>201</v>
      </c>
      <c r="F174" s="31" t="s">
        <v>140</v>
      </c>
      <c r="G174" s="31" t="s">
        <v>198</v>
      </c>
      <c r="H174" s="31" t="s">
        <v>237</v>
      </c>
      <c r="I174" s="31" t="s">
        <v>481</v>
      </c>
      <c r="J174" s="31" t="s">
        <v>1241</v>
      </c>
      <c r="K174" s="31" t="s">
        <v>1248</v>
      </c>
      <c r="L174" s="31" t="s">
        <v>162</v>
      </c>
      <c r="M174" s="31" t="s">
        <v>144</v>
      </c>
      <c r="N174" s="31" t="s">
        <v>1243</v>
      </c>
      <c r="O174" s="31" t="s">
        <v>422</v>
      </c>
      <c r="P174" s="31" t="s">
        <v>423</v>
      </c>
      <c r="Q174" s="31">
        <v>28.8</v>
      </c>
      <c r="R174" s="31" t="s">
        <v>1168</v>
      </c>
      <c r="S174" s="31" t="s">
        <v>1169</v>
      </c>
      <c r="T174" s="31">
        <v>2.4300000000000002</v>
      </c>
      <c r="U174" s="33">
        <v>0.02</v>
      </c>
      <c r="V174" s="31" t="s">
        <v>1081</v>
      </c>
      <c r="W174" s="31">
        <v>97</v>
      </c>
      <c r="X174" s="374">
        <v>0.02</v>
      </c>
      <c r="Y174" s="31">
        <v>170</v>
      </c>
      <c r="Z174" s="31" t="s">
        <v>424</v>
      </c>
      <c r="AA174" s="31" t="s">
        <v>144</v>
      </c>
    </row>
    <row r="175" spans="5:27" s="31" customFormat="1" ht="15" customHeight="1" x14ac:dyDescent="0.25">
      <c r="E175" s="31" t="s">
        <v>201</v>
      </c>
      <c r="F175" s="31" t="s">
        <v>140</v>
      </c>
      <c r="G175" s="31" t="s">
        <v>198</v>
      </c>
      <c r="H175" s="31" t="s">
        <v>237</v>
      </c>
      <c r="I175" s="31" t="s">
        <v>481</v>
      </c>
      <c r="J175" s="31" t="s">
        <v>1241</v>
      </c>
      <c r="K175" s="31" t="s">
        <v>1249</v>
      </c>
      <c r="L175" s="31" t="s">
        <v>162</v>
      </c>
      <c r="M175" s="31" t="s">
        <v>144</v>
      </c>
      <c r="N175" s="31" t="s">
        <v>1243</v>
      </c>
      <c r="O175" s="31" t="s">
        <v>422</v>
      </c>
      <c r="P175" s="31" t="s">
        <v>423</v>
      </c>
      <c r="Q175" s="31">
        <v>28.8</v>
      </c>
      <c r="R175" s="31" t="s">
        <v>1168</v>
      </c>
      <c r="S175" s="31" t="s">
        <v>1169</v>
      </c>
      <c r="T175" s="31">
        <v>2.4300000000000002</v>
      </c>
      <c r="U175" s="33">
        <v>0.02</v>
      </c>
      <c r="V175" s="31" t="s">
        <v>1081</v>
      </c>
      <c r="W175" s="31">
        <v>97</v>
      </c>
      <c r="X175" s="374">
        <v>0.02</v>
      </c>
      <c r="Y175" s="31">
        <v>170</v>
      </c>
      <c r="Z175" s="31" t="s">
        <v>424</v>
      </c>
      <c r="AA175" s="31" t="s">
        <v>144</v>
      </c>
    </row>
    <row r="176" spans="5:27" s="31" customFormat="1" ht="15" customHeight="1" x14ac:dyDescent="0.25">
      <c r="E176" s="31" t="s">
        <v>201</v>
      </c>
      <c r="F176" s="31" t="s">
        <v>140</v>
      </c>
      <c r="G176" s="31" t="s">
        <v>198</v>
      </c>
      <c r="H176" s="31" t="s">
        <v>237</v>
      </c>
      <c r="I176" s="31" t="s">
        <v>481</v>
      </c>
      <c r="J176" s="31" t="s">
        <v>1241</v>
      </c>
      <c r="K176" s="31" t="s">
        <v>1250</v>
      </c>
      <c r="L176" s="31" t="s">
        <v>162</v>
      </c>
      <c r="M176" s="31" t="s">
        <v>144</v>
      </c>
      <c r="N176" s="31" t="s">
        <v>1243</v>
      </c>
      <c r="O176" s="31" t="s">
        <v>422</v>
      </c>
      <c r="P176" s="31" t="s">
        <v>423</v>
      </c>
      <c r="Q176" s="31">
        <v>28.8</v>
      </c>
      <c r="R176" s="31" t="s">
        <v>1168</v>
      </c>
      <c r="S176" s="31" t="s">
        <v>1169</v>
      </c>
      <c r="T176" s="31">
        <v>2.4300000000000002</v>
      </c>
      <c r="U176" s="33">
        <v>0.02</v>
      </c>
      <c r="V176" s="31" t="s">
        <v>1081</v>
      </c>
      <c r="W176" s="31">
        <v>97</v>
      </c>
      <c r="X176" s="374">
        <v>0.02</v>
      </c>
      <c r="Y176" s="31">
        <v>170</v>
      </c>
      <c r="Z176" s="31" t="s">
        <v>424</v>
      </c>
      <c r="AA176" s="31" t="s">
        <v>144</v>
      </c>
    </row>
    <row r="177" spans="5:27" s="31" customFormat="1" ht="15" customHeight="1" x14ac:dyDescent="0.25">
      <c r="E177" s="31" t="s">
        <v>201</v>
      </c>
      <c r="F177" s="31" t="s">
        <v>140</v>
      </c>
      <c r="G177" s="31" t="s">
        <v>198</v>
      </c>
      <c r="H177" s="31" t="s">
        <v>237</v>
      </c>
      <c r="I177" s="31" t="s">
        <v>481</v>
      </c>
      <c r="J177" s="31" t="s">
        <v>1241</v>
      </c>
      <c r="K177" s="31" t="s">
        <v>1251</v>
      </c>
      <c r="L177" s="31" t="s">
        <v>162</v>
      </c>
      <c r="M177" s="31" t="s">
        <v>144</v>
      </c>
      <c r="N177" s="31" t="s">
        <v>1243</v>
      </c>
      <c r="O177" s="31" t="s">
        <v>422</v>
      </c>
      <c r="P177" s="31" t="s">
        <v>423</v>
      </c>
      <c r="Q177" s="31">
        <v>28.8</v>
      </c>
      <c r="R177" s="31" t="s">
        <v>1168</v>
      </c>
      <c r="S177" s="31" t="s">
        <v>1169</v>
      </c>
      <c r="T177" s="31">
        <v>2.4300000000000002</v>
      </c>
      <c r="U177" s="33">
        <v>0.02</v>
      </c>
      <c r="V177" s="31" t="s">
        <v>1081</v>
      </c>
      <c r="W177" s="31">
        <v>97</v>
      </c>
      <c r="X177" s="374">
        <v>0.02</v>
      </c>
      <c r="Y177" s="31">
        <v>170</v>
      </c>
      <c r="Z177" s="31" t="s">
        <v>424</v>
      </c>
      <c r="AA177" s="31" t="s">
        <v>144</v>
      </c>
    </row>
    <row r="178" spans="5:27" s="31" customFormat="1" ht="15" customHeight="1" x14ac:dyDescent="0.25">
      <c r="E178" s="31" t="s">
        <v>201</v>
      </c>
      <c r="F178" s="31" t="s">
        <v>140</v>
      </c>
      <c r="G178" s="31" t="s">
        <v>198</v>
      </c>
      <c r="H178" s="31" t="s">
        <v>237</v>
      </c>
      <c r="I178" s="31" t="s">
        <v>481</v>
      </c>
      <c r="J178" s="31" t="s">
        <v>1241</v>
      </c>
      <c r="K178" s="31" t="s">
        <v>1252</v>
      </c>
      <c r="L178" s="31" t="s">
        <v>162</v>
      </c>
      <c r="M178" s="31" t="s">
        <v>144</v>
      </c>
      <c r="N178" s="31" t="s">
        <v>1243</v>
      </c>
      <c r="O178" s="31" t="s">
        <v>422</v>
      </c>
      <c r="P178" s="31" t="s">
        <v>423</v>
      </c>
      <c r="Q178" s="31">
        <v>28.8</v>
      </c>
      <c r="R178" s="31" t="s">
        <v>1168</v>
      </c>
      <c r="S178" s="31" t="s">
        <v>1169</v>
      </c>
      <c r="T178" s="31">
        <v>2.4300000000000002</v>
      </c>
      <c r="U178" s="33">
        <v>0.02</v>
      </c>
      <c r="V178" s="31" t="s">
        <v>1081</v>
      </c>
      <c r="W178" s="31">
        <v>97</v>
      </c>
      <c r="X178" s="374">
        <v>0.02</v>
      </c>
      <c r="Y178" s="31">
        <v>170</v>
      </c>
      <c r="Z178" s="31" t="s">
        <v>424</v>
      </c>
      <c r="AA178" s="31" t="s">
        <v>144</v>
      </c>
    </row>
    <row r="179" spans="5:27" s="31" customFormat="1" ht="15" customHeight="1" x14ac:dyDescent="0.25">
      <c r="E179" s="31" t="s">
        <v>201</v>
      </c>
      <c r="F179" s="31" t="s">
        <v>140</v>
      </c>
      <c r="G179" s="31" t="s">
        <v>198</v>
      </c>
      <c r="H179" s="31" t="s">
        <v>237</v>
      </c>
      <c r="I179" s="31" t="s">
        <v>481</v>
      </c>
      <c r="J179" s="31" t="s">
        <v>1241</v>
      </c>
      <c r="K179" s="31" t="s">
        <v>1253</v>
      </c>
      <c r="L179" s="31" t="s">
        <v>162</v>
      </c>
      <c r="M179" s="31" t="s">
        <v>144</v>
      </c>
      <c r="N179" s="31" t="s">
        <v>1243</v>
      </c>
      <c r="O179" s="31" t="s">
        <v>422</v>
      </c>
      <c r="P179" s="31" t="s">
        <v>423</v>
      </c>
      <c r="Q179" s="31">
        <v>28.8</v>
      </c>
      <c r="R179" s="31" t="s">
        <v>1168</v>
      </c>
      <c r="S179" s="31" t="s">
        <v>1169</v>
      </c>
      <c r="T179" s="31">
        <v>2.4300000000000002</v>
      </c>
      <c r="U179" s="33">
        <v>0.02</v>
      </c>
      <c r="V179" s="31" t="s">
        <v>1081</v>
      </c>
      <c r="W179" s="31">
        <v>97</v>
      </c>
      <c r="X179" s="374">
        <v>0.02</v>
      </c>
      <c r="Y179" s="31">
        <v>170</v>
      </c>
      <c r="Z179" s="31" t="s">
        <v>424</v>
      </c>
      <c r="AA179" s="31" t="s">
        <v>144</v>
      </c>
    </row>
    <row r="180" spans="5:27" s="31" customFormat="1" ht="15" customHeight="1" x14ac:dyDescent="0.25">
      <c r="E180" s="31" t="s">
        <v>201</v>
      </c>
      <c r="F180" s="31" t="s">
        <v>140</v>
      </c>
      <c r="G180" s="31" t="s">
        <v>198</v>
      </c>
      <c r="H180" s="31" t="s">
        <v>237</v>
      </c>
      <c r="I180" s="31" t="s">
        <v>481</v>
      </c>
      <c r="J180" s="31" t="s">
        <v>1241</v>
      </c>
      <c r="K180" s="31" t="s">
        <v>1254</v>
      </c>
      <c r="L180" s="31" t="s">
        <v>162</v>
      </c>
      <c r="M180" s="31" t="s">
        <v>144</v>
      </c>
      <c r="N180" s="31" t="s">
        <v>1243</v>
      </c>
      <c r="O180" s="31" t="s">
        <v>422</v>
      </c>
      <c r="P180" s="31" t="s">
        <v>423</v>
      </c>
      <c r="Q180" s="31">
        <v>28.8</v>
      </c>
      <c r="R180" s="31" t="s">
        <v>1168</v>
      </c>
      <c r="S180" s="31" t="s">
        <v>1169</v>
      </c>
      <c r="T180" s="31">
        <v>2.4300000000000002</v>
      </c>
      <c r="U180" s="33">
        <v>0.02</v>
      </c>
      <c r="V180" s="31" t="s">
        <v>1081</v>
      </c>
      <c r="W180" s="31">
        <v>97</v>
      </c>
      <c r="X180" s="374">
        <v>0.02</v>
      </c>
      <c r="Y180" s="31">
        <v>170</v>
      </c>
      <c r="Z180" s="31" t="s">
        <v>424</v>
      </c>
      <c r="AA180" s="31" t="s">
        <v>144</v>
      </c>
    </row>
    <row r="181" spans="5:27" s="31" customFormat="1" ht="15" customHeight="1" x14ac:dyDescent="0.25">
      <c r="E181" s="31" t="s">
        <v>201</v>
      </c>
      <c r="F181" s="31" t="s">
        <v>140</v>
      </c>
      <c r="G181" s="31" t="s">
        <v>198</v>
      </c>
      <c r="H181" s="31" t="s">
        <v>237</v>
      </c>
      <c r="I181" s="31" t="s">
        <v>481</v>
      </c>
      <c r="J181" s="31" t="s">
        <v>1241</v>
      </c>
      <c r="K181" s="31" t="s">
        <v>1255</v>
      </c>
      <c r="L181" s="31" t="s">
        <v>162</v>
      </c>
      <c r="M181" s="31" t="s">
        <v>144</v>
      </c>
      <c r="N181" s="31" t="s">
        <v>1243</v>
      </c>
      <c r="O181" s="31" t="s">
        <v>422</v>
      </c>
      <c r="P181" s="31" t="s">
        <v>423</v>
      </c>
      <c r="Q181" s="31">
        <v>28.8</v>
      </c>
      <c r="R181" s="31" t="s">
        <v>1168</v>
      </c>
      <c r="S181" s="31" t="s">
        <v>1169</v>
      </c>
      <c r="T181" s="31">
        <v>2.4300000000000002</v>
      </c>
      <c r="U181" s="33">
        <v>0.02</v>
      </c>
      <c r="V181" s="31" t="s">
        <v>1081</v>
      </c>
      <c r="W181" s="31">
        <v>97</v>
      </c>
      <c r="X181" s="374">
        <v>0.02</v>
      </c>
      <c r="Y181" s="31">
        <v>170</v>
      </c>
      <c r="Z181" s="31" t="s">
        <v>424</v>
      </c>
      <c r="AA181" s="31" t="s">
        <v>144</v>
      </c>
    </row>
    <row r="182" spans="5:27" s="31" customFormat="1" ht="15" customHeight="1" x14ac:dyDescent="0.25">
      <c r="E182" s="31" t="s">
        <v>201</v>
      </c>
      <c r="F182" s="31" t="s">
        <v>140</v>
      </c>
      <c r="G182" s="31" t="s">
        <v>198</v>
      </c>
      <c r="H182" s="31" t="s">
        <v>237</v>
      </c>
      <c r="I182" s="31" t="s">
        <v>481</v>
      </c>
      <c r="J182" s="31" t="s">
        <v>1241</v>
      </c>
      <c r="K182" s="31" t="s">
        <v>1256</v>
      </c>
      <c r="L182" s="31" t="s">
        <v>162</v>
      </c>
      <c r="M182" s="31" t="s">
        <v>144</v>
      </c>
      <c r="N182" s="31" t="s">
        <v>1243</v>
      </c>
      <c r="O182" s="31" t="s">
        <v>422</v>
      </c>
      <c r="P182" s="31" t="s">
        <v>423</v>
      </c>
      <c r="Q182" s="31">
        <v>28.8</v>
      </c>
      <c r="R182" s="31" t="s">
        <v>1168</v>
      </c>
      <c r="S182" s="31" t="s">
        <v>1169</v>
      </c>
      <c r="T182" s="31">
        <v>2.4300000000000002</v>
      </c>
      <c r="U182" s="33">
        <v>0.02</v>
      </c>
      <c r="V182" s="31" t="s">
        <v>1081</v>
      </c>
      <c r="W182" s="31">
        <v>97</v>
      </c>
      <c r="X182" s="374">
        <v>0.02</v>
      </c>
      <c r="Y182" s="31">
        <v>170</v>
      </c>
      <c r="Z182" s="31" t="s">
        <v>424</v>
      </c>
      <c r="AA182" s="31" t="s">
        <v>144</v>
      </c>
    </row>
    <row r="183" spans="5:27" s="31" customFormat="1" ht="15" customHeight="1" x14ac:dyDescent="0.25">
      <c r="E183" s="31" t="s">
        <v>201</v>
      </c>
      <c r="F183" s="31" t="s">
        <v>140</v>
      </c>
      <c r="G183" s="31" t="s">
        <v>198</v>
      </c>
      <c r="H183" s="31" t="s">
        <v>237</v>
      </c>
      <c r="I183" s="31" t="s">
        <v>481</v>
      </c>
      <c r="J183" s="31" t="s">
        <v>1241</v>
      </c>
      <c r="K183" s="31" t="s">
        <v>1257</v>
      </c>
      <c r="L183" s="31" t="s">
        <v>162</v>
      </c>
      <c r="M183" s="31" t="s">
        <v>144</v>
      </c>
      <c r="N183" s="31" t="s">
        <v>1243</v>
      </c>
      <c r="O183" s="31" t="s">
        <v>422</v>
      </c>
      <c r="P183" s="31" t="s">
        <v>423</v>
      </c>
      <c r="Q183" s="31">
        <v>28.8</v>
      </c>
      <c r="R183" s="31" t="s">
        <v>1168</v>
      </c>
      <c r="S183" s="31" t="s">
        <v>1169</v>
      </c>
      <c r="T183" s="31">
        <v>2.4300000000000002</v>
      </c>
      <c r="U183" s="33">
        <v>0.02</v>
      </c>
      <c r="V183" s="31" t="s">
        <v>1081</v>
      </c>
      <c r="W183" s="31">
        <v>97</v>
      </c>
      <c r="X183" s="374">
        <v>0.02</v>
      </c>
      <c r="Y183" s="31">
        <v>170</v>
      </c>
      <c r="Z183" s="31" t="s">
        <v>424</v>
      </c>
      <c r="AA183" s="31" t="s">
        <v>144</v>
      </c>
    </row>
    <row r="184" spans="5:27" s="31" customFormat="1" ht="15" customHeight="1" x14ac:dyDescent="0.25">
      <c r="E184" s="31" t="s">
        <v>201</v>
      </c>
      <c r="F184" s="31" t="s">
        <v>140</v>
      </c>
      <c r="G184" s="31" t="s">
        <v>198</v>
      </c>
      <c r="H184" s="31" t="s">
        <v>237</v>
      </c>
      <c r="I184" s="31" t="s">
        <v>481</v>
      </c>
      <c r="J184" s="31" t="s">
        <v>1241</v>
      </c>
      <c r="K184" s="31" t="s">
        <v>1258</v>
      </c>
      <c r="L184" s="31" t="s">
        <v>162</v>
      </c>
      <c r="M184" s="31" t="s">
        <v>144</v>
      </c>
      <c r="N184" s="31" t="s">
        <v>1243</v>
      </c>
      <c r="O184" s="31" t="s">
        <v>422</v>
      </c>
      <c r="P184" s="31" t="s">
        <v>423</v>
      </c>
      <c r="Q184" s="31">
        <v>28.8</v>
      </c>
      <c r="R184" s="31" t="s">
        <v>1168</v>
      </c>
      <c r="S184" s="31" t="s">
        <v>1169</v>
      </c>
      <c r="T184" s="31">
        <v>2.4300000000000002</v>
      </c>
      <c r="U184" s="33">
        <v>0.02</v>
      </c>
      <c r="V184" s="31" t="s">
        <v>1081</v>
      </c>
      <c r="W184" s="31">
        <v>97</v>
      </c>
      <c r="X184" s="374">
        <v>0.02</v>
      </c>
      <c r="Y184" s="31">
        <v>170</v>
      </c>
      <c r="Z184" s="31" t="s">
        <v>424</v>
      </c>
      <c r="AA184" s="31" t="s">
        <v>144</v>
      </c>
    </row>
    <row r="185" spans="5:27" s="31" customFormat="1" ht="15" customHeight="1" x14ac:dyDescent="0.25">
      <c r="E185" s="31" t="s">
        <v>201</v>
      </c>
      <c r="F185" s="31" t="s">
        <v>140</v>
      </c>
      <c r="G185" s="31" t="s">
        <v>198</v>
      </c>
      <c r="H185" s="31" t="s">
        <v>237</v>
      </c>
      <c r="I185" s="31" t="s">
        <v>481</v>
      </c>
      <c r="J185" s="31" t="s">
        <v>1241</v>
      </c>
      <c r="K185" s="31" t="s">
        <v>1259</v>
      </c>
      <c r="L185" s="31" t="s">
        <v>162</v>
      </c>
      <c r="M185" s="31" t="s">
        <v>144</v>
      </c>
      <c r="N185" s="31" t="s">
        <v>1243</v>
      </c>
      <c r="O185" s="31" t="s">
        <v>422</v>
      </c>
      <c r="P185" s="31" t="s">
        <v>423</v>
      </c>
      <c r="Q185" s="31">
        <v>28.8</v>
      </c>
      <c r="R185" s="31" t="s">
        <v>1168</v>
      </c>
      <c r="S185" s="31" t="s">
        <v>1169</v>
      </c>
      <c r="T185" s="31">
        <v>2.4300000000000002</v>
      </c>
      <c r="U185" s="33">
        <v>0.02</v>
      </c>
      <c r="V185" s="31" t="s">
        <v>1081</v>
      </c>
      <c r="W185" s="31">
        <v>97</v>
      </c>
      <c r="X185" s="374">
        <v>0.02</v>
      </c>
      <c r="Y185" s="31">
        <v>170</v>
      </c>
      <c r="Z185" s="31" t="s">
        <v>424</v>
      </c>
      <c r="AA185" s="31" t="s">
        <v>144</v>
      </c>
    </row>
    <row r="186" spans="5:27" s="31" customFormat="1" ht="15" customHeight="1" x14ac:dyDescent="0.25">
      <c r="E186" s="31" t="s">
        <v>201</v>
      </c>
      <c r="F186" s="31" t="s">
        <v>140</v>
      </c>
      <c r="G186" s="31" t="s">
        <v>198</v>
      </c>
      <c r="H186" s="31" t="s">
        <v>237</v>
      </c>
      <c r="I186" s="31" t="s">
        <v>481</v>
      </c>
      <c r="J186" s="31" t="s">
        <v>1241</v>
      </c>
      <c r="K186" s="31" t="s">
        <v>1260</v>
      </c>
      <c r="L186" s="31" t="s">
        <v>162</v>
      </c>
      <c r="M186" s="31" t="s">
        <v>144</v>
      </c>
      <c r="N186" s="31" t="s">
        <v>1243</v>
      </c>
      <c r="O186" s="31" t="s">
        <v>422</v>
      </c>
      <c r="P186" s="31" t="s">
        <v>423</v>
      </c>
      <c r="Q186" s="31">
        <v>28.8</v>
      </c>
      <c r="R186" s="31" t="s">
        <v>1168</v>
      </c>
      <c r="S186" s="31" t="s">
        <v>1169</v>
      </c>
      <c r="T186" s="31">
        <v>2.4300000000000002</v>
      </c>
      <c r="U186" s="33">
        <v>0.02</v>
      </c>
      <c r="V186" s="31" t="s">
        <v>1081</v>
      </c>
      <c r="W186" s="31">
        <v>97</v>
      </c>
      <c r="X186" s="374">
        <v>0.02</v>
      </c>
      <c r="Y186" s="31">
        <v>170</v>
      </c>
      <c r="Z186" s="31" t="s">
        <v>424</v>
      </c>
      <c r="AA186" s="31" t="s">
        <v>144</v>
      </c>
    </row>
    <row r="187" spans="5:27" s="31" customFormat="1" ht="15" customHeight="1" x14ac:dyDescent="0.25">
      <c r="E187" s="31" t="s">
        <v>201</v>
      </c>
      <c r="F187" s="31" t="s">
        <v>140</v>
      </c>
      <c r="G187" s="31" t="s">
        <v>198</v>
      </c>
      <c r="H187" s="31" t="s">
        <v>237</v>
      </c>
      <c r="I187" s="31" t="s">
        <v>481</v>
      </c>
      <c r="J187" s="31" t="s">
        <v>1241</v>
      </c>
      <c r="K187" s="31" t="s">
        <v>1261</v>
      </c>
      <c r="L187" s="31" t="s">
        <v>162</v>
      </c>
      <c r="M187" s="31" t="s">
        <v>144</v>
      </c>
      <c r="N187" s="31" t="s">
        <v>1243</v>
      </c>
      <c r="O187" s="31" t="s">
        <v>422</v>
      </c>
      <c r="P187" s="31" t="s">
        <v>423</v>
      </c>
      <c r="Q187" s="31">
        <v>28.8</v>
      </c>
      <c r="R187" s="31" t="s">
        <v>1168</v>
      </c>
      <c r="S187" s="31" t="s">
        <v>1169</v>
      </c>
      <c r="T187" s="31">
        <v>2.4300000000000002</v>
      </c>
      <c r="U187" s="33">
        <v>0.02</v>
      </c>
      <c r="V187" s="31" t="s">
        <v>1081</v>
      </c>
      <c r="W187" s="31">
        <v>97</v>
      </c>
      <c r="X187" s="374">
        <v>0.02</v>
      </c>
      <c r="Y187" s="31">
        <v>170</v>
      </c>
      <c r="Z187" s="31" t="s">
        <v>424</v>
      </c>
      <c r="AA187" s="31" t="s">
        <v>144</v>
      </c>
    </row>
    <row r="188" spans="5:27" s="31" customFormat="1" ht="15" customHeight="1" x14ac:dyDescent="0.25">
      <c r="E188" s="31" t="s">
        <v>201</v>
      </c>
      <c r="F188" s="31" t="s">
        <v>140</v>
      </c>
      <c r="G188" s="31" t="s">
        <v>198</v>
      </c>
      <c r="H188" s="31" t="s">
        <v>237</v>
      </c>
      <c r="I188" s="31" t="s">
        <v>481</v>
      </c>
      <c r="J188" s="31" t="s">
        <v>1241</v>
      </c>
      <c r="K188" s="31" t="s">
        <v>1262</v>
      </c>
      <c r="L188" s="31" t="s">
        <v>162</v>
      </c>
      <c r="M188" s="31" t="s">
        <v>144</v>
      </c>
      <c r="N188" s="31" t="s">
        <v>1243</v>
      </c>
      <c r="O188" s="31" t="s">
        <v>422</v>
      </c>
      <c r="P188" s="31" t="s">
        <v>423</v>
      </c>
      <c r="Q188" s="31">
        <v>28.8</v>
      </c>
      <c r="R188" s="31" t="s">
        <v>1168</v>
      </c>
      <c r="S188" s="31" t="s">
        <v>1169</v>
      </c>
      <c r="T188" s="31">
        <v>2.4300000000000002</v>
      </c>
      <c r="U188" s="33">
        <v>0.02</v>
      </c>
      <c r="V188" s="31" t="s">
        <v>1081</v>
      </c>
      <c r="W188" s="31">
        <v>97</v>
      </c>
      <c r="X188" s="374">
        <v>0.02</v>
      </c>
      <c r="Y188" s="31">
        <v>170</v>
      </c>
      <c r="Z188" s="31" t="s">
        <v>424</v>
      </c>
      <c r="AA188" s="31" t="s">
        <v>144</v>
      </c>
    </row>
    <row r="189" spans="5:27" s="31" customFormat="1" ht="15" customHeight="1" x14ac:dyDescent="0.25">
      <c r="E189" s="31" t="s">
        <v>201</v>
      </c>
      <c r="F189" s="31" t="s">
        <v>140</v>
      </c>
      <c r="G189" s="31" t="s">
        <v>198</v>
      </c>
      <c r="H189" s="31" t="s">
        <v>237</v>
      </c>
      <c r="I189" s="31" t="s">
        <v>481</v>
      </c>
      <c r="J189" s="31" t="s">
        <v>1241</v>
      </c>
      <c r="K189" s="31" t="s">
        <v>1263</v>
      </c>
      <c r="L189" s="31" t="s">
        <v>162</v>
      </c>
      <c r="M189" s="31" t="s">
        <v>144</v>
      </c>
      <c r="N189" s="31" t="s">
        <v>1243</v>
      </c>
      <c r="O189" s="31" t="s">
        <v>422</v>
      </c>
      <c r="P189" s="31" t="s">
        <v>423</v>
      </c>
      <c r="Q189" s="31">
        <v>28.8</v>
      </c>
      <c r="R189" s="31" t="s">
        <v>1168</v>
      </c>
      <c r="S189" s="31" t="s">
        <v>1169</v>
      </c>
      <c r="T189" s="31">
        <v>2.4300000000000002</v>
      </c>
      <c r="U189" s="33">
        <v>0.02</v>
      </c>
      <c r="V189" s="31" t="s">
        <v>1081</v>
      </c>
      <c r="W189" s="31">
        <v>97</v>
      </c>
      <c r="X189" s="374">
        <v>0.02</v>
      </c>
      <c r="Y189" s="31">
        <v>170</v>
      </c>
      <c r="Z189" s="31" t="s">
        <v>424</v>
      </c>
      <c r="AA189" s="31" t="s">
        <v>144</v>
      </c>
    </row>
    <row r="190" spans="5:27" s="31" customFormat="1" ht="15" customHeight="1" x14ac:dyDescent="0.25">
      <c r="E190" s="31" t="s">
        <v>201</v>
      </c>
      <c r="F190" s="31" t="s">
        <v>140</v>
      </c>
      <c r="G190" s="31" t="s">
        <v>198</v>
      </c>
      <c r="H190" s="31" t="s">
        <v>237</v>
      </c>
      <c r="I190" s="31" t="s">
        <v>481</v>
      </c>
      <c r="J190" s="31" t="s">
        <v>1241</v>
      </c>
      <c r="K190" s="31" t="s">
        <v>1264</v>
      </c>
      <c r="L190" s="31" t="s">
        <v>162</v>
      </c>
      <c r="M190" s="31" t="s">
        <v>144</v>
      </c>
      <c r="N190" s="31" t="s">
        <v>1243</v>
      </c>
      <c r="O190" s="31" t="s">
        <v>422</v>
      </c>
      <c r="P190" s="31" t="s">
        <v>423</v>
      </c>
      <c r="Q190" s="31">
        <v>28.8</v>
      </c>
      <c r="R190" s="31" t="s">
        <v>1168</v>
      </c>
      <c r="S190" s="31" t="s">
        <v>1169</v>
      </c>
      <c r="T190" s="31">
        <v>2.4300000000000002</v>
      </c>
      <c r="U190" s="33">
        <v>0.02</v>
      </c>
      <c r="V190" s="31" t="s">
        <v>1081</v>
      </c>
      <c r="W190" s="31">
        <v>97</v>
      </c>
      <c r="X190" s="374">
        <v>0.02</v>
      </c>
      <c r="Y190" s="31">
        <v>170</v>
      </c>
      <c r="Z190" s="31" t="s">
        <v>424</v>
      </c>
      <c r="AA190" s="31" t="s">
        <v>144</v>
      </c>
    </row>
    <row r="191" spans="5:27" s="31" customFormat="1" ht="15" customHeight="1" x14ac:dyDescent="0.25">
      <c r="E191" s="31" t="s">
        <v>201</v>
      </c>
      <c r="F191" s="31" t="s">
        <v>140</v>
      </c>
      <c r="G191" s="31" t="s">
        <v>198</v>
      </c>
      <c r="H191" s="31" t="s">
        <v>237</v>
      </c>
      <c r="I191" s="31" t="s">
        <v>481</v>
      </c>
      <c r="J191" s="31" t="s">
        <v>1241</v>
      </c>
      <c r="K191" s="31" t="s">
        <v>1265</v>
      </c>
      <c r="L191" s="31" t="s">
        <v>162</v>
      </c>
      <c r="M191" s="31" t="s">
        <v>144</v>
      </c>
      <c r="N191" s="31" t="s">
        <v>1243</v>
      </c>
      <c r="O191" s="31" t="s">
        <v>422</v>
      </c>
      <c r="P191" s="31" t="s">
        <v>423</v>
      </c>
      <c r="Q191" s="31">
        <v>28.8</v>
      </c>
      <c r="R191" s="31" t="s">
        <v>1168</v>
      </c>
      <c r="S191" s="31" t="s">
        <v>1169</v>
      </c>
      <c r="T191" s="31">
        <v>2.4300000000000002</v>
      </c>
      <c r="U191" s="33">
        <v>0.02</v>
      </c>
      <c r="V191" s="31" t="s">
        <v>1081</v>
      </c>
      <c r="W191" s="31">
        <v>97</v>
      </c>
      <c r="X191" s="374">
        <v>0.02</v>
      </c>
      <c r="Y191" s="31">
        <v>170</v>
      </c>
      <c r="Z191" s="31" t="s">
        <v>424</v>
      </c>
      <c r="AA191" s="31" t="s">
        <v>144</v>
      </c>
    </row>
    <row r="192" spans="5:27" s="31" customFormat="1" ht="15" customHeight="1" x14ac:dyDescent="0.25">
      <c r="E192" s="31" t="s">
        <v>201</v>
      </c>
      <c r="F192" s="31" t="s">
        <v>140</v>
      </c>
      <c r="G192" s="31" t="s">
        <v>198</v>
      </c>
      <c r="H192" s="31" t="s">
        <v>237</v>
      </c>
      <c r="I192" s="31" t="s">
        <v>481</v>
      </c>
      <c r="J192" s="31" t="s">
        <v>1241</v>
      </c>
      <c r="K192" s="31" t="s">
        <v>1266</v>
      </c>
      <c r="L192" s="31" t="s">
        <v>162</v>
      </c>
      <c r="M192" s="31" t="s">
        <v>144</v>
      </c>
      <c r="N192" s="31" t="s">
        <v>1243</v>
      </c>
      <c r="O192" s="31" t="s">
        <v>422</v>
      </c>
      <c r="P192" s="31" t="s">
        <v>423</v>
      </c>
      <c r="Q192" s="31">
        <v>28.8</v>
      </c>
      <c r="R192" s="31" t="s">
        <v>1168</v>
      </c>
      <c r="S192" s="31" t="s">
        <v>1169</v>
      </c>
      <c r="T192" s="31">
        <v>2.4300000000000002</v>
      </c>
      <c r="U192" s="33">
        <v>0.02</v>
      </c>
      <c r="V192" s="31" t="s">
        <v>1081</v>
      </c>
      <c r="W192" s="31">
        <v>97</v>
      </c>
      <c r="X192" s="374">
        <v>0.02</v>
      </c>
      <c r="Y192" s="31">
        <v>170</v>
      </c>
      <c r="Z192" s="31" t="s">
        <v>424</v>
      </c>
      <c r="AA192" s="31" t="s">
        <v>144</v>
      </c>
    </row>
    <row r="193" spans="5:27" s="31" customFormat="1" ht="15" customHeight="1" x14ac:dyDescent="0.25">
      <c r="E193" s="31" t="s">
        <v>201</v>
      </c>
      <c r="F193" s="31" t="s">
        <v>140</v>
      </c>
      <c r="G193" s="31" t="s">
        <v>198</v>
      </c>
      <c r="H193" s="31" t="s">
        <v>237</v>
      </c>
      <c r="I193" s="31" t="s">
        <v>481</v>
      </c>
      <c r="J193" s="31" t="s">
        <v>1241</v>
      </c>
      <c r="K193" s="31" t="s">
        <v>1267</v>
      </c>
      <c r="L193" s="31" t="s">
        <v>162</v>
      </c>
      <c r="M193" s="31" t="s">
        <v>144</v>
      </c>
      <c r="N193" s="31" t="s">
        <v>1243</v>
      </c>
      <c r="O193" s="31" t="s">
        <v>422</v>
      </c>
      <c r="P193" s="31" t="s">
        <v>423</v>
      </c>
      <c r="Q193" s="31">
        <v>28.8</v>
      </c>
      <c r="R193" s="31" t="s">
        <v>1168</v>
      </c>
      <c r="S193" s="31" t="s">
        <v>1169</v>
      </c>
      <c r="T193" s="31">
        <v>2.4300000000000002</v>
      </c>
      <c r="U193" s="33">
        <v>0.02</v>
      </c>
      <c r="V193" s="31" t="s">
        <v>1081</v>
      </c>
      <c r="W193" s="31">
        <v>97</v>
      </c>
      <c r="X193" s="374">
        <v>0.02</v>
      </c>
      <c r="Y193" s="31">
        <v>170</v>
      </c>
      <c r="Z193" s="31" t="s">
        <v>424</v>
      </c>
      <c r="AA193" s="31" t="s">
        <v>144</v>
      </c>
    </row>
    <row r="194" spans="5:27" s="31" customFormat="1" ht="15" customHeight="1" x14ac:dyDescent="0.25">
      <c r="E194" s="31" t="s">
        <v>201</v>
      </c>
      <c r="F194" s="31" t="s">
        <v>140</v>
      </c>
      <c r="G194" s="31" t="s">
        <v>198</v>
      </c>
      <c r="H194" s="31" t="s">
        <v>237</v>
      </c>
      <c r="I194" s="31" t="s">
        <v>481</v>
      </c>
      <c r="J194" s="31" t="s">
        <v>1241</v>
      </c>
      <c r="K194" s="31" t="s">
        <v>1268</v>
      </c>
      <c r="L194" s="31" t="s">
        <v>162</v>
      </c>
      <c r="M194" s="31" t="s">
        <v>144</v>
      </c>
      <c r="N194" s="31" t="s">
        <v>1243</v>
      </c>
      <c r="O194" s="31" t="s">
        <v>422</v>
      </c>
      <c r="P194" s="31" t="s">
        <v>423</v>
      </c>
      <c r="Q194" s="31">
        <v>28.8</v>
      </c>
      <c r="R194" s="31" t="s">
        <v>1168</v>
      </c>
      <c r="S194" s="31" t="s">
        <v>1169</v>
      </c>
      <c r="T194" s="31">
        <v>2.4300000000000002</v>
      </c>
      <c r="U194" s="33">
        <v>0.02</v>
      </c>
      <c r="V194" s="31" t="s">
        <v>1081</v>
      </c>
      <c r="W194" s="31">
        <v>97</v>
      </c>
      <c r="X194" s="374">
        <v>0.02</v>
      </c>
      <c r="Y194" s="31">
        <v>170</v>
      </c>
      <c r="Z194" s="31" t="s">
        <v>424</v>
      </c>
      <c r="AA194" s="31" t="s">
        <v>144</v>
      </c>
    </row>
    <row r="195" spans="5:27" s="31" customFormat="1" ht="15" customHeight="1" x14ac:dyDescent="0.25">
      <c r="U195" s="33"/>
      <c r="X195" s="374"/>
    </row>
    <row r="196" spans="5:27" s="31" customFormat="1" ht="15" customHeight="1" x14ac:dyDescent="0.25">
      <c r="U196" s="33"/>
      <c r="X196" s="374"/>
    </row>
    <row r="197" spans="5:27" s="31" customFormat="1" ht="15" customHeight="1" x14ac:dyDescent="0.25">
      <c r="E197" s="31" t="s">
        <v>201</v>
      </c>
      <c r="F197" s="31" t="s">
        <v>140</v>
      </c>
      <c r="G197" s="31" t="s">
        <v>198</v>
      </c>
      <c r="H197" s="31" t="s">
        <v>237</v>
      </c>
      <c r="I197" s="31" t="s">
        <v>481</v>
      </c>
      <c r="J197" s="31" t="s">
        <v>1269</v>
      </c>
      <c r="K197" s="31" t="s">
        <v>1242</v>
      </c>
      <c r="L197" s="31" t="s">
        <v>162</v>
      </c>
      <c r="M197" s="31" t="s">
        <v>144</v>
      </c>
      <c r="N197" s="31" t="s">
        <v>1243</v>
      </c>
      <c r="O197" s="31" t="s">
        <v>422</v>
      </c>
      <c r="P197" s="31" t="s">
        <v>423</v>
      </c>
      <c r="Q197" s="31">
        <v>28.8</v>
      </c>
      <c r="R197" s="31" t="s">
        <v>1168</v>
      </c>
      <c r="S197" s="31" t="s">
        <v>1169</v>
      </c>
      <c r="T197" s="31">
        <v>2.4300000000000002</v>
      </c>
      <c r="U197" s="33">
        <v>0.02</v>
      </c>
      <c r="V197" s="31" t="s">
        <v>1081</v>
      </c>
      <c r="W197" s="31">
        <v>97</v>
      </c>
      <c r="X197" s="374">
        <v>0.02</v>
      </c>
      <c r="Y197" s="31">
        <v>170</v>
      </c>
      <c r="Z197" s="31" t="s">
        <v>424</v>
      </c>
      <c r="AA197" s="31" t="s">
        <v>144</v>
      </c>
    </row>
    <row r="198" spans="5:27" s="31" customFormat="1" ht="15" customHeight="1" x14ac:dyDescent="0.25">
      <c r="E198" s="31" t="s">
        <v>201</v>
      </c>
      <c r="F198" s="31" t="s">
        <v>140</v>
      </c>
      <c r="G198" s="31" t="s">
        <v>198</v>
      </c>
      <c r="H198" s="31" t="s">
        <v>237</v>
      </c>
      <c r="I198" s="31" t="s">
        <v>481</v>
      </c>
      <c r="J198" s="31" t="s">
        <v>1269</v>
      </c>
      <c r="K198" s="31" t="s">
        <v>1244</v>
      </c>
      <c r="L198" s="31" t="s">
        <v>162</v>
      </c>
      <c r="M198" s="31" t="s">
        <v>144</v>
      </c>
      <c r="N198" s="31" t="s">
        <v>1243</v>
      </c>
      <c r="O198" s="31" t="s">
        <v>422</v>
      </c>
      <c r="P198" s="31" t="s">
        <v>423</v>
      </c>
      <c r="Q198" s="31">
        <v>28.8</v>
      </c>
      <c r="R198" s="31" t="s">
        <v>1168</v>
      </c>
      <c r="S198" s="31" t="s">
        <v>1169</v>
      </c>
      <c r="T198" s="31">
        <v>2.4300000000000002</v>
      </c>
      <c r="U198" s="33">
        <v>0.02</v>
      </c>
      <c r="V198" s="31" t="s">
        <v>1081</v>
      </c>
      <c r="W198" s="31">
        <v>97</v>
      </c>
      <c r="X198" s="374">
        <v>0.02</v>
      </c>
      <c r="Y198" s="31">
        <v>170</v>
      </c>
      <c r="Z198" s="31" t="s">
        <v>424</v>
      </c>
      <c r="AA198" s="31" t="s">
        <v>144</v>
      </c>
    </row>
    <row r="199" spans="5:27" s="31" customFormat="1" ht="15" customHeight="1" x14ac:dyDescent="0.25">
      <c r="E199" s="31" t="s">
        <v>201</v>
      </c>
      <c r="F199" s="31" t="s">
        <v>140</v>
      </c>
      <c r="G199" s="31" t="s">
        <v>198</v>
      </c>
      <c r="H199" s="31" t="s">
        <v>237</v>
      </c>
      <c r="I199" s="31" t="s">
        <v>481</v>
      </c>
      <c r="J199" s="31" t="s">
        <v>1269</v>
      </c>
      <c r="K199" s="31" t="s">
        <v>1245</v>
      </c>
      <c r="L199" s="31" t="s">
        <v>162</v>
      </c>
      <c r="M199" s="31" t="s">
        <v>144</v>
      </c>
      <c r="N199" s="31" t="s">
        <v>1243</v>
      </c>
      <c r="O199" s="31" t="s">
        <v>422</v>
      </c>
      <c r="P199" s="31" t="s">
        <v>423</v>
      </c>
      <c r="Q199" s="31">
        <v>28.8</v>
      </c>
      <c r="R199" s="31" t="s">
        <v>1168</v>
      </c>
      <c r="S199" s="31" t="s">
        <v>1169</v>
      </c>
      <c r="T199" s="31">
        <v>2.4300000000000002</v>
      </c>
      <c r="U199" s="33">
        <v>0.02</v>
      </c>
      <c r="V199" s="31" t="s">
        <v>1081</v>
      </c>
      <c r="W199" s="31">
        <v>97</v>
      </c>
      <c r="X199" s="374">
        <v>0.02</v>
      </c>
      <c r="Y199" s="31">
        <v>170</v>
      </c>
      <c r="Z199" s="31" t="s">
        <v>424</v>
      </c>
      <c r="AA199" s="31" t="s">
        <v>144</v>
      </c>
    </row>
    <row r="200" spans="5:27" s="31" customFormat="1" ht="15" customHeight="1" x14ac:dyDescent="0.25">
      <c r="E200" s="31" t="s">
        <v>201</v>
      </c>
      <c r="F200" s="31" t="s">
        <v>140</v>
      </c>
      <c r="G200" s="31" t="s">
        <v>198</v>
      </c>
      <c r="H200" s="31" t="s">
        <v>237</v>
      </c>
      <c r="I200" s="31" t="s">
        <v>481</v>
      </c>
      <c r="J200" s="31" t="s">
        <v>1269</v>
      </c>
      <c r="K200" s="31" t="s">
        <v>1246</v>
      </c>
      <c r="L200" s="31" t="s">
        <v>162</v>
      </c>
      <c r="M200" s="31" t="s">
        <v>144</v>
      </c>
      <c r="N200" s="31" t="s">
        <v>1243</v>
      </c>
      <c r="O200" s="31" t="s">
        <v>422</v>
      </c>
      <c r="P200" s="31" t="s">
        <v>423</v>
      </c>
      <c r="Q200" s="31">
        <v>28.8</v>
      </c>
      <c r="R200" s="31" t="s">
        <v>1168</v>
      </c>
      <c r="S200" s="31" t="s">
        <v>1169</v>
      </c>
      <c r="T200" s="31">
        <v>2.4300000000000002</v>
      </c>
      <c r="U200" s="33">
        <v>0.02</v>
      </c>
      <c r="V200" s="31" t="s">
        <v>1081</v>
      </c>
      <c r="W200" s="31">
        <v>97</v>
      </c>
      <c r="X200" s="374">
        <v>0.02</v>
      </c>
      <c r="Y200" s="31">
        <v>170</v>
      </c>
      <c r="Z200" s="31" t="s">
        <v>424</v>
      </c>
      <c r="AA200" s="31" t="s">
        <v>144</v>
      </c>
    </row>
    <row r="201" spans="5:27" s="31" customFormat="1" ht="15" customHeight="1" x14ac:dyDescent="0.25">
      <c r="E201" s="31" t="s">
        <v>201</v>
      </c>
      <c r="F201" s="31" t="s">
        <v>140</v>
      </c>
      <c r="G201" s="31" t="s">
        <v>198</v>
      </c>
      <c r="H201" s="31" t="s">
        <v>237</v>
      </c>
      <c r="I201" s="31" t="s">
        <v>481</v>
      </c>
      <c r="J201" s="31" t="s">
        <v>1269</v>
      </c>
      <c r="K201" s="31" t="s">
        <v>1247</v>
      </c>
      <c r="L201" s="31" t="s">
        <v>162</v>
      </c>
      <c r="M201" s="31" t="s">
        <v>144</v>
      </c>
      <c r="N201" s="31" t="s">
        <v>1243</v>
      </c>
      <c r="O201" s="31" t="s">
        <v>422</v>
      </c>
      <c r="P201" s="31" t="s">
        <v>423</v>
      </c>
      <c r="Q201" s="31">
        <v>28.8</v>
      </c>
      <c r="R201" s="31" t="s">
        <v>1168</v>
      </c>
      <c r="S201" s="31" t="s">
        <v>1169</v>
      </c>
      <c r="T201" s="31">
        <v>2.4300000000000002</v>
      </c>
      <c r="U201" s="33">
        <v>0.02</v>
      </c>
      <c r="V201" s="31" t="s">
        <v>1081</v>
      </c>
      <c r="W201" s="31">
        <v>97</v>
      </c>
      <c r="X201" s="374">
        <v>0.02</v>
      </c>
      <c r="Y201" s="31">
        <v>170</v>
      </c>
      <c r="Z201" s="31" t="s">
        <v>424</v>
      </c>
      <c r="AA201" s="31" t="s">
        <v>144</v>
      </c>
    </row>
    <row r="202" spans="5:27" s="31" customFormat="1" ht="15" customHeight="1" x14ac:dyDescent="0.25">
      <c r="E202" s="31" t="s">
        <v>201</v>
      </c>
      <c r="F202" s="31" t="s">
        <v>140</v>
      </c>
      <c r="G202" s="31" t="s">
        <v>198</v>
      </c>
      <c r="H202" s="31" t="s">
        <v>237</v>
      </c>
      <c r="I202" s="31" t="s">
        <v>481</v>
      </c>
      <c r="J202" s="31" t="s">
        <v>1269</v>
      </c>
      <c r="K202" s="31" t="s">
        <v>1248</v>
      </c>
      <c r="L202" s="31" t="s">
        <v>162</v>
      </c>
      <c r="M202" s="31" t="s">
        <v>144</v>
      </c>
      <c r="N202" s="31" t="s">
        <v>1243</v>
      </c>
      <c r="O202" s="31" t="s">
        <v>422</v>
      </c>
      <c r="P202" s="31" t="s">
        <v>423</v>
      </c>
      <c r="Q202" s="31">
        <v>28.8</v>
      </c>
      <c r="R202" s="31" t="s">
        <v>1168</v>
      </c>
      <c r="S202" s="31" t="s">
        <v>1169</v>
      </c>
      <c r="T202" s="31">
        <v>2.4300000000000002</v>
      </c>
      <c r="U202" s="33">
        <v>0.02</v>
      </c>
      <c r="V202" s="31" t="s">
        <v>1081</v>
      </c>
      <c r="W202" s="31">
        <v>97</v>
      </c>
      <c r="X202" s="374">
        <v>0.02</v>
      </c>
      <c r="Y202" s="31">
        <v>170</v>
      </c>
      <c r="Z202" s="31" t="s">
        <v>424</v>
      </c>
      <c r="AA202" s="31" t="s">
        <v>144</v>
      </c>
    </row>
    <row r="203" spans="5:27" s="31" customFormat="1" ht="15" customHeight="1" x14ac:dyDescent="0.25">
      <c r="E203" s="31" t="s">
        <v>201</v>
      </c>
      <c r="F203" s="31" t="s">
        <v>140</v>
      </c>
      <c r="G203" s="31" t="s">
        <v>198</v>
      </c>
      <c r="H203" s="31" t="s">
        <v>237</v>
      </c>
      <c r="I203" s="31" t="s">
        <v>481</v>
      </c>
      <c r="J203" s="31" t="s">
        <v>1269</v>
      </c>
      <c r="K203" s="31" t="s">
        <v>1249</v>
      </c>
      <c r="L203" s="31" t="s">
        <v>162</v>
      </c>
      <c r="M203" s="31" t="s">
        <v>144</v>
      </c>
      <c r="N203" s="31" t="s">
        <v>1243</v>
      </c>
      <c r="O203" s="31" t="s">
        <v>422</v>
      </c>
      <c r="P203" s="31" t="s">
        <v>423</v>
      </c>
      <c r="Q203" s="31">
        <v>28.8</v>
      </c>
      <c r="R203" s="31" t="s">
        <v>1168</v>
      </c>
      <c r="S203" s="31" t="s">
        <v>1169</v>
      </c>
      <c r="T203" s="31">
        <v>2.4300000000000002</v>
      </c>
      <c r="U203" s="33">
        <v>0.02</v>
      </c>
      <c r="V203" s="31" t="s">
        <v>1081</v>
      </c>
      <c r="W203" s="31">
        <v>97</v>
      </c>
      <c r="X203" s="374">
        <v>0.02</v>
      </c>
      <c r="Y203" s="31">
        <v>170</v>
      </c>
      <c r="Z203" s="31" t="s">
        <v>424</v>
      </c>
      <c r="AA203" s="31" t="s">
        <v>144</v>
      </c>
    </row>
    <row r="204" spans="5:27" s="31" customFormat="1" ht="15" customHeight="1" x14ac:dyDescent="0.25">
      <c r="E204" s="31" t="s">
        <v>201</v>
      </c>
      <c r="F204" s="31" t="s">
        <v>140</v>
      </c>
      <c r="G204" s="31" t="s">
        <v>198</v>
      </c>
      <c r="H204" s="31" t="s">
        <v>237</v>
      </c>
      <c r="I204" s="31" t="s">
        <v>481</v>
      </c>
      <c r="J204" s="31" t="s">
        <v>1269</v>
      </c>
      <c r="K204" s="31" t="s">
        <v>1250</v>
      </c>
      <c r="L204" s="31" t="s">
        <v>162</v>
      </c>
      <c r="M204" s="31" t="s">
        <v>144</v>
      </c>
      <c r="N204" s="31" t="s">
        <v>1243</v>
      </c>
      <c r="O204" s="31" t="s">
        <v>422</v>
      </c>
      <c r="P204" s="31" t="s">
        <v>423</v>
      </c>
      <c r="Q204" s="31">
        <v>28.8</v>
      </c>
      <c r="R204" s="31" t="s">
        <v>1168</v>
      </c>
      <c r="S204" s="31" t="s">
        <v>1169</v>
      </c>
      <c r="T204" s="31">
        <v>2.4300000000000002</v>
      </c>
      <c r="U204" s="33">
        <v>0.02</v>
      </c>
      <c r="V204" s="31" t="s">
        <v>1081</v>
      </c>
      <c r="W204" s="31">
        <v>97</v>
      </c>
      <c r="X204" s="374">
        <v>0.02</v>
      </c>
      <c r="Y204" s="31">
        <v>170</v>
      </c>
      <c r="Z204" s="31" t="s">
        <v>424</v>
      </c>
      <c r="AA204" s="31" t="s">
        <v>144</v>
      </c>
    </row>
    <row r="205" spans="5:27" s="31" customFormat="1" ht="15" customHeight="1" x14ac:dyDescent="0.25">
      <c r="E205" s="31" t="s">
        <v>201</v>
      </c>
      <c r="F205" s="31" t="s">
        <v>140</v>
      </c>
      <c r="G205" s="31" t="s">
        <v>198</v>
      </c>
      <c r="H205" s="31" t="s">
        <v>237</v>
      </c>
      <c r="I205" s="31" t="s">
        <v>481</v>
      </c>
      <c r="J205" s="31" t="s">
        <v>1269</v>
      </c>
      <c r="K205" s="31" t="s">
        <v>1251</v>
      </c>
      <c r="L205" s="31" t="s">
        <v>162</v>
      </c>
      <c r="M205" s="31" t="s">
        <v>144</v>
      </c>
      <c r="N205" s="31" t="s">
        <v>1243</v>
      </c>
      <c r="O205" s="31" t="s">
        <v>422</v>
      </c>
      <c r="P205" s="31" t="s">
        <v>423</v>
      </c>
      <c r="Q205" s="31">
        <v>28.8</v>
      </c>
      <c r="R205" s="31" t="s">
        <v>1168</v>
      </c>
      <c r="S205" s="31" t="s">
        <v>1169</v>
      </c>
      <c r="T205" s="31">
        <v>2.4300000000000002</v>
      </c>
      <c r="U205" s="33">
        <v>0.02</v>
      </c>
      <c r="V205" s="31" t="s">
        <v>1081</v>
      </c>
      <c r="W205" s="31">
        <v>97</v>
      </c>
      <c r="X205" s="374">
        <v>0.02</v>
      </c>
      <c r="Y205" s="31">
        <v>170</v>
      </c>
      <c r="Z205" s="31" t="s">
        <v>424</v>
      </c>
      <c r="AA205" s="31" t="s">
        <v>144</v>
      </c>
    </row>
    <row r="206" spans="5:27" s="31" customFormat="1" ht="15" customHeight="1" x14ac:dyDescent="0.25">
      <c r="E206" s="31" t="s">
        <v>201</v>
      </c>
      <c r="F206" s="31" t="s">
        <v>140</v>
      </c>
      <c r="G206" s="31" t="s">
        <v>198</v>
      </c>
      <c r="H206" s="31" t="s">
        <v>237</v>
      </c>
      <c r="I206" s="31" t="s">
        <v>481</v>
      </c>
      <c r="J206" s="31" t="s">
        <v>1269</v>
      </c>
      <c r="K206" s="31" t="s">
        <v>1252</v>
      </c>
      <c r="L206" s="31" t="s">
        <v>162</v>
      </c>
      <c r="M206" s="31" t="s">
        <v>144</v>
      </c>
      <c r="N206" s="31" t="s">
        <v>1243</v>
      </c>
      <c r="O206" s="31" t="s">
        <v>422</v>
      </c>
      <c r="P206" s="31" t="s">
        <v>423</v>
      </c>
      <c r="Q206" s="31">
        <v>28.8</v>
      </c>
      <c r="R206" s="31" t="s">
        <v>1168</v>
      </c>
      <c r="S206" s="31" t="s">
        <v>1169</v>
      </c>
      <c r="T206" s="31">
        <v>2.4300000000000002</v>
      </c>
      <c r="U206" s="33">
        <v>0.02</v>
      </c>
      <c r="V206" s="31" t="s">
        <v>1081</v>
      </c>
      <c r="W206" s="31">
        <v>97</v>
      </c>
      <c r="X206" s="374">
        <v>0.02</v>
      </c>
      <c r="Y206" s="31">
        <v>170</v>
      </c>
      <c r="Z206" s="31" t="s">
        <v>424</v>
      </c>
      <c r="AA206" s="31" t="s">
        <v>144</v>
      </c>
    </row>
    <row r="207" spans="5:27" s="31" customFormat="1" ht="15" customHeight="1" x14ac:dyDescent="0.25">
      <c r="E207" s="31" t="s">
        <v>201</v>
      </c>
      <c r="F207" s="31" t="s">
        <v>140</v>
      </c>
      <c r="G207" s="31" t="s">
        <v>198</v>
      </c>
      <c r="H207" s="31" t="s">
        <v>237</v>
      </c>
      <c r="I207" s="31" t="s">
        <v>481</v>
      </c>
      <c r="J207" s="31" t="s">
        <v>1269</v>
      </c>
      <c r="K207" s="31" t="s">
        <v>1253</v>
      </c>
      <c r="L207" s="31" t="s">
        <v>162</v>
      </c>
      <c r="M207" s="31" t="s">
        <v>144</v>
      </c>
      <c r="N207" s="31" t="s">
        <v>1243</v>
      </c>
      <c r="O207" s="31" t="s">
        <v>422</v>
      </c>
      <c r="P207" s="31" t="s">
        <v>423</v>
      </c>
      <c r="Q207" s="31">
        <v>28.8</v>
      </c>
      <c r="R207" s="31" t="s">
        <v>1168</v>
      </c>
      <c r="S207" s="31" t="s">
        <v>1169</v>
      </c>
      <c r="T207" s="31">
        <v>2.4300000000000002</v>
      </c>
      <c r="U207" s="33">
        <v>0.02</v>
      </c>
      <c r="V207" s="31" t="s">
        <v>1081</v>
      </c>
      <c r="W207" s="31">
        <v>97</v>
      </c>
      <c r="X207" s="374">
        <v>0.02</v>
      </c>
      <c r="Y207" s="31">
        <v>170</v>
      </c>
      <c r="Z207" s="31" t="s">
        <v>424</v>
      </c>
      <c r="AA207" s="31" t="s">
        <v>144</v>
      </c>
    </row>
    <row r="208" spans="5:27" s="31" customFormat="1" ht="15" customHeight="1" x14ac:dyDescent="0.25">
      <c r="E208" s="31" t="s">
        <v>201</v>
      </c>
      <c r="F208" s="31" t="s">
        <v>140</v>
      </c>
      <c r="G208" s="31" t="s">
        <v>198</v>
      </c>
      <c r="H208" s="31" t="s">
        <v>237</v>
      </c>
      <c r="I208" s="31" t="s">
        <v>481</v>
      </c>
      <c r="J208" s="31" t="s">
        <v>1269</v>
      </c>
      <c r="K208" s="31" t="s">
        <v>1254</v>
      </c>
      <c r="L208" s="31" t="s">
        <v>162</v>
      </c>
      <c r="M208" s="31" t="s">
        <v>144</v>
      </c>
      <c r="N208" s="31" t="s">
        <v>1243</v>
      </c>
      <c r="O208" s="31" t="s">
        <v>422</v>
      </c>
      <c r="P208" s="31" t="s">
        <v>423</v>
      </c>
      <c r="Q208" s="31">
        <v>28.8</v>
      </c>
      <c r="R208" s="31" t="s">
        <v>1168</v>
      </c>
      <c r="S208" s="31" t="s">
        <v>1169</v>
      </c>
      <c r="T208" s="31">
        <v>2.4300000000000002</v>
      </c>
      <c r="U208" s="33">
        <v>0.02</v>
      </c>
      <c r="V208" s="31" t="s">
        <v>1081</v>
      </c>
      <c r="W208" s="31">
        <v>97</v>
      </c>
      <c r="X208" s="374">
        <v>0.02</v>
      </c>
      <c r="Y208" s="31">
        <v>170</v>
      </c>
      <c r="Z208" s="31" t="s">
        <v>424</v>
      </c>
      <c r="AA208" s="31" t="s">
        <v>144</v>
      </c>
    </row>
    <row r="209" spans="5:27" s="31" customFormat="1" ht="15" customHeight="1" x14ac:dyDescent="0.25">
      <c r="E209" s="31" t="s">
        <v>201</v>
      </c>
      <c r="F209" s="31" t="s">
        <v>140</v>
      </c>
      <c r="G209" s="31" t="s">
        <v>198</v>
      </c>
      <c r="H209" s="31" t="s">
        <v>237</v>
      </c>
      <c r="I209" s="31" t="s">
        <v>481</v>
      </c>
      <c r="J209" s="31" t="s">
        <v>1269</v>
      </c>
      <c r="K209" s="31" t="s">
        <v>1255</v>
      </c>
      <c r="L209" s="31" t="s">
        <v>162</v>
      </c>
      <c r="M209" s="31" t="s">
        <v>144</v>
      </c>
      <c r="N209" s="31" t="s">
        <v>1243</v>
      </c>
      <c r="O209" s="31" t="s">
        <v>422</v>
      </c>
      <c r="P209" s="31" t="s">
        <v>423</v>
      </c>
      <c r="Q209" s="31">
        <v>28.8</v>
      </c>
      <c r="R209" s="31" t="s">
        <v>1168</v>
      </c>
      <c r="S209" s="31" t="s">
        <v>1169</v>
      </c>
      <c r="T209" s="31">
        <v>2.4300000000000002</v>
      </c>
      <c r="U209" s="33">
        <v>0.02</v>
      </c>
      <c r="V209" s="31" t="s">
        <v>1081</v>
      </c>
      <c r="W209" s="31">
        <v>97</v>
      </c>
      <c r="X209" s="374">
        <v>0.02</v>
      </c>
      <c r="Y209" s="31">
        <v>170</v>
      </c>
      <c r="Z209" s="31" t="s">
        <v>424</v>
      </c>
      <c r="AA209" s="31" t="s">
        <v>144</v>
      </c>
    </row>
    <row r="210" spans="5:27" s="31" customFormat="1" ht="15" customHeight="1" x14ac:dyDescent="0.25">
      <c r="E210" s="31" t="s">
        <v>201</v>
      </c>
      <c r="F210" s="31" t="s">
        <v>140</v>
      </c>
      <c r="G210" s="31" t="s">
        <v>198</v>
      </c>
      <c r="H210" s="31" t="s">
        <v>237</v>
      </c>
      <c r="I210" s="31" t="s">
        <v>481</v>
      </c>
      <c r="J210" s="31" t="s">
        <v>1269</v>
      </c>
      <c r="K210" s="31" t="s">
        <v>1256</v>
      </c>
      <c r="L210" s="31" t="s">
        <v>162</v>
      </c>
      <c r="M210" s="31" t="s">
        <v>144</v>
      </c>
      <c r="N210" s="31" t="s">
        <v>1243</v>
      </c>
      <c r="O210" s="31" t="s">
        <v>422</v>
      </c>
      <c r="P210" s="31" t="s">
        <v>423</v>
      </c>
      <c r="Q210" s="31">
        <v>28.8</v>
      </c>
      <c r="R210" s="31" t="s">
        <v>1168</v>
      </c>
      <c r="S210" s="31" t="s">
        <v>1169</v>
      </c>
      <c r="T210" s="31">
        <v>2.4300000000000002</v>
      </c>
      <c r="U210" s="33">
        <v>0.02</v>
      </c>
      <c r="V210" s="31" t="s">
        <v>1081</v>
      </c>
      <c r="W210" s="31">
        <v>97</v>
      </c>
      <c r="X210" s="374">
        <v>0.02</v>
      </c>
      <c r="Y210" s="31">
        <v>170</v>
      </c>
      <c r="Z210" s="31" t="s">
        <v>424</v>
      </c>
      <c r="AA210" s="31" t="s">
        <v>144</v>
      </c>
    </row>
    <row r="211" spans="5:27" s="31" customFormat="1" ht="15" customHeight="1" x14ac:dyDescent="0.25">
      <c r="E211" s="31" t="s">
        <v>201</v>
      </c>
      <c r="F211" s="31" t="s">
        <v>140</v>
      </c>
      <c r="G211" s="31" t="s">
        <v>198</v>
      </c>
      <c r="H211" s="31" t="s">
        <v>237</v>
      </c>
      <c r="I211" s="31" t="s">
        <v>481</v>
      </c>
      <c r="J211" s="31" t="s">
        <v>1269</v>
      </c>
      <c r="K211" s="31" t="s">
        <v>1257</v>
      </c>
      <c r="L211" s="31" t="s">
        <v>162</v>
      </c>
      <c r="M211" s="31" t="s">
        <v>144</v>
      </c>
      <c r="N211" s="31" t="s">
        <v>1243</v>
      </c>
      <c r="O211" s="31" t="s">
        <v>422</v>
      </c>
      <c r="P211" s="31" t="s">
        <v>423</v>
      </c>
      <c r="Q211" s="31">
        <v>28.8</v>
      </c>
      <c r="R211" s="31" t="s">
        <v>1168</v>
      </c>
      <c r="S211" s="31" t="s">
        <v>1169</v>
      </c>
      <c r="T211" s="31">
        <v>2.4300000000000002</v>
      </c>
      <c r="U211" s="33">
        <v>0.02</v>
      </c>
      <c r="V211" s="31" t="s">
        <v>1081</v>
      </c>
      <c r="W211" s="31">
        <v>97</v>
      </c>
      <c r="X211" s="374">
        <v>0.02</v>
      </c>
      <c r="Y211" s="31">
        <v>170</v>
      </c>
      <c r="Z211" s="31" t="s">
        <v>424</v>
      </c>
      <c r="AA211" s="31" t="s">
        <v>144</v>
      </c>
    </row>
    <row r="212" spans="5:27" s="31" customFormat="1" ht="15" customHeight="1" x14ac:dyDescent="0.25">
      <c r="E212" s="31" t="s">
        <v>201</v>
      </c>
      <c r="F212" s="31" t="s">
        <v>140</v>
      </c>
      <c r="G212" s="31" t="s">
        <v>198</v>
      </c>
      <c r="H212" s="31" t="s">
        <v>237</v>
      </c>
      <c r="I212" s="31" t="s">
        <v>481</v>
      </c>
      <c r="J212" s="31" t="s">
        <v>1269</v>
      </c>
      <c r="K212" s="31" t="s">
        <v>1258</v>
      </c>
      <c r="L212" s="31" t="s">
        <v>162</v>
      </c>
      <c r="M212" s="31" t="s">
        <v>144</v>
      </c>
      <c r="N212" s="31" t="s">
        <v>1243</v>
      </c>
      <c r="O212" s="31" t="s">
        <v>422</v>
      </c>
      <c r="P212" s="31" t="s">
        <v>423</v>
      </c>
      <c r="Q212" s="31">
        <v>28.8</v>
      </c>
      <c r="R212" s="31" t="s">
        <v>1168</v>
      </c>
      <c r="S212" s="31" t="s">
        <v>1169</v>
      </c>
      <c r="T212" s="31">
        <v>2.4300000000000002</v>
      </c>
      <c r="U212" s="33">
        <v>0.02</v>
      </c>
      <c r="V212" s="31" t="s">
        <v>1081</v>
      </c>
      <c r="W212" s="31">
        <v>97</v>
      </c>
      <c r="X212" s="374">
        <v>0.02</v>
      </c>
      <c r="Y212" s="31">
        <v>170</v>
      </c>
      <c r="Z212" s="31" t="s">
        <v>424</v>
      </c>
      <c r="AA212" s="31" t="s">
        <v>144</v>
      </c>
    </row>
    <row r="213" spans="5:27" s="31" customFormat="1" ht="15" customHeight="1" x14ac:dyDescent="0.25">
      <c r="E213" s="31" t="s">
        <v>201</v>
      </c>
      <c r="F213" s="31" t="s">
        <v>140</v>
      </c>
      <c r="G213" s="31" t="s">
        <v>198</v>
      </c>
      <c r="H213" s="31" t="s">
        <v>237</v>
      </c>
      <c r="I213" s="31" t="s">
        <v>481</v>
      </c>
      <c r="J213" s="31" t="s">
        <v>1269</v>
      </c>
      <c r="K213" s="31" t="s">
        <v>1259</v>
      </c>
      <c r="L213" s="31" t="s">
        <v>162</v>
      </c>
      <c r="M213" s="31" t="s">
        <v>144</v>
      </c>
      <c r="N213" s="31" t="s">
        <v>1243</v>
      </c>
      <c r="O213" s="31" t="s">
        <v>422</v>
      </c>
      <c r="P213" s="31" t="s">
        <v>423</v>
      </c>
      <c r="Q213" s="31">
        <v>28.8</v>
      </c>
      <c r="R213" s="31" t="s">
        <v>1168</v>
      </c>
      <c r="S213" s="31" t="s">
        <v>1169</v>
      </c>
      <c r="T213" s="31">
        <v>2.4300000000000002</v>
      </c>
      <c r="U213" s="33">
        <v>0.02</v>
      </c>
      <c r="V213" s="31" t="s">
        <v>1081</v>
      </c>
      <c r="W213" s="31">
        <v>97</v>
      </c>
      <c r="X213" s="374">
        <v>0.02</v>
      </c>
      <c r="Y213" s="31">
        <v>170</v>
      </c>
      <c r="Z213" s="31" t="s">
        <v>424</v>
      </c>
      <c r="AA213" s="31" t="s">
        <v>144</v>
      </c>
    </row>
    <row r="214" spans="5:27" s="31" customFormat="1" ht="15" customHeight="1" x14ac:dyDescent="0.25">
      <c r="E214" s="31" t="s">
        <v>201</v>
      </c>
      <c r="F214" s="31" t="s">
        <v>140</v>
      </c>
      <c r="G214" s="31" t="s">
        <v>198</v>
      </c>
      <c r="H214" s="31" t="s">
        <v>237</v>
      </c>
      <c r="I214" s="31" t="s">
        <v>481</v>
      </c>
      <c r="J214" s="31" t="s">
        <v>1269</v>
      </c>
      <c r="K214" s="31" t="s">
        <v>1260</v>
      </c>
      <c r="L214" s="31" t="s">
        <v>162</v>
      </c>
      <c r="M214" s="31" t="s">
        <v>144</v>
      </c>
      <c r="N214" s="31" t="s">
        <v>1243</v>
      </c>
      <c r="O214" s="31" t="s">
        <v>422</v>
      </c>
      <c r="P214" s="31" t="s">
        <v>423</v>
      </c>
      <c r="Q214" s="31">
        <v>28.8</v>
      </c>
      <c r="R214" s="31" t="s">
        <v>1168</v>
      </c>
      <c r="S214" s="31" t="s">
        <v>1169</v>
      </c>
      <c r="T214" s="31">
        <v>2.4300000000000002</v>
      </c>
      <c r="U214" s="33">
        <v>0.02</v>
      </c>
      <c r="V214" s="31" t="s">
        <v>1081</v>
      </c>
      <c r="W214" s="31">
        <v>97</v>
      </c>
      <c r="X214" s="374">
        <v>0.02</v>
      </c>
      <c r="Y214" s="31">
        <v>170</v>
      </c>
      <c r="Z214" s="31" t="s">
        <v>424</v>
      </c>
      <c r="AA214" s="31" t="s">
        <v>144</v>
      </c>
    </row>
    <row r="215" spans="5:27" s="31" customFormat="1" ht="15" customHeight="1" x14ac:dyDescent="0.25">
      <c r="E215" s="31" t="s">
        <v>201</v>
      </c>
      <c r="F215" s="31" t="s">
        <v>140</v>
      </c>
      <c r="G215" s="31" t="s">
        <v>198</v>
      </c>
      <c r="H215" s="31" t="s">
        <v>237</v>
      </c>
      <c r="I215" s="31" t="s">
        <v>481</v>
      </c>
      <c r="J215" s="31" t="s">
        <v>1269</v>
      </c>
      <c r="K215" s="31" t="s">
        <v>1261</v>
      </c>
      <c r="L215" s="31" t="s">
        <v>162</v>
      </c>
      <c r="M215" s="31" t="s">
        <v>144</v>
      </c>
      <c r="N215" s="31" t="s">
        <v>1243</v>
      </c>
      <c r="O215" s="31" t="s">
        <v>422</v>
      </c>
      <c r="P215" s="31" t="s">
        <v>423</v>
      </c>
      <c r="Q215" s="31">
        <v>28.8</v>
      </c>
      <c r="R215" s="31" t="s">
        <v>1168</v>
      </c>
      <c r="S215" s="31" t="s">
        <v>1169</v>
      </c>
      <c r="T215" s="31">
        <v>2.4300000000000002</v>
      </c>
      <c r="U215" s="33">
        <v>0.02</v>
      </c>
      <c r="V215" s="31" t="s">
        <v>1081</v>
      </c>
      <c r="W215" s="31">
        <v>97</v>
      </c>
      <c r="X215" s="374">
        <v>0.02</v>
      </c>
      <c r="Y215" s="31">
        <v>170</v>
      </c>
      <c r="Z215" s="31" t="s">
        <v>424</v>
      </c>
      <c r="AA215" s="31" t="s">
        <v>144</v>
      </c>
    </row>
    <row r="216" spans="5:27" s="31" customFormat="1" ht="15" customHeight="1" x14ac:dyDescent="0.25">
      <c r="E216" s="31" t="s">
        <v>201</v>
      </c>
      <c r="F216" s="31" t="s">
        <v>140</v>
      </c>
      <c r="G216" s="31" t="s">
        <v>198</v>
      </c>
      <c r="H216" s="31" t="s">
        <v>237</v>
      </c>
      <c r="I216" s="31" t="s">
        <v>481</v>
      </c>
      <c r="J216" s="31" t="s">
        <v>1269</v>
      </c>
      <c r="K216" s="31" t="s">
        <v>1262</v>
      </c>
      <c r="L216" s="31" t="s">
        <v>162</v>
      </c>
      <c r="M216" s="31" t="s">
        <v>144</v>
      </c>
      <c r="N216" s="31" t="s">
        <v>1243</v>
      </c>
      <c r="O216" s="31" t="s">
        <v>422</v>
      </c>
      <c r="P216" s="31" t="s">
        <v>423</v>
      </c>
      <c r="Q216" s="31">
        <v>28.8</v>
      </c>
      <c r="R216" s="31" t="s">
        <v>1168</v>
      </c>
      <c r="S216" s="31" t="s">
        <v>1169</v>
      </c>
      <c r="T216" s="31">
        <v>2.4300000000000002</v>
      </c>
      <c r="U216" s="33">
        <v>0.02</v>
      </c>
      <c r="V216" s="31" t="s">
        <v>1081</v>
      </c>
      <c r="W216" s="31">
        <v>97</v>
      </c>
      <c r="X216" s="374">
        <v>0.02</v>
      </c>
      <c r="Y216" s="31">
        <v>170</v>
      </c>
      <c r="Z216" s="31" t="s">
        <v>424</v>
      </c>
      <c r="AA216" s="31" t="s">
        <v>144</v>
      </c>
    </row>
    <row r="217" spans="5:27" s="31" customFormat="1" ht="15" customHeight="1" x14ac:dyDescent="0.25">
      <c r="E217" s="31" t="s">
        <v>201</v>
      </c>
      <c r="F217" s="31" t="s">
        <v>140</v>
      </c>
      <c r="G217" s="31" t="s">
        <v>198</v>
      </c>
      <c r="H217" s="31" t="s">
        <v>237</v>
      </c>
      <c r="I217" s="31" t="s">
        <v>481</v>
      </c>
      <c r="J217" s="31" t="s">
        <v>1269</v>
      </c>
      <c r="K217" s="31" t="s">
        <v>1263</v>
      </c>
      <c r="L217" s="31" t="s">
        <v>162</v>
      </c>
      <c r="M217" s="31" t="s">
        <v>144</v>
      </c>
      <c r="N217" s="31" t="s">
        <v>1243</v>
      </c>
      <c r="O217" s="31" t="s">
        <v>422</v>
      </c>
      <c r="P217" s="31" t="s">
        <v>423</v>
      </c>
      <c r="Q217" s="31">
        <v>28.8</v>
      </c>
      <c r="R217" s="31" t="s">
        <v>1168</v>
      </c>
      <c r="S217" s="31" t="s">
        <v>1169</v>
      </c>
      <c r="T217" s="31">
        <v>2.4300000000000002</v>
      </c>
      <c r="U217" s="33">
        <v>0.02</v>
      </c>
      <c r="V217" s="31" t="s">
        <v>1081</v>
      </c>
      <c r="W217" s="31">
        <v>97</v>
      </c>
      <c r="X217" s="374">
        <v>0.02</v>
      </c>
      <c r="Y217" s="31">
        <v>170</v>
      </c>
      <c r="Z217" s="31" t="s">
        <v>424</v>
      </c>
      <c r="AA217" s="31" t="s">
        <v>144</v>
      </c>
    </row>
    <row r="218" spans="5:27" s="31" customFormat="1" ht="15" customHeight="1" x14ac:dyDescent="0.25">
      <c r="E218" s="31" t="s">
        <v>201</v>
      </c>
      <c r="F218" s="31" t="s">
        <v>140</v>
      </c>
      <c r="G218" s="31" t="s">
        <v>198</v>
      </c>
      <c r="H218" s="31" t="s">
        <v>237</v>
      </c>
      <c r="I218" s="31" t="s">
        <v>481</v>
      </c>
      <c r="J218" s="31" t="s">
        <v>1269</v>
      </c>
      <c r="K218" s="31" t="s">
        <v>1264</v>
      </c>
      <c r="L218" s="31" t="s">
        <v>162</v>
      </c>
      <c r="M218" s="31" t="s">
        <v>144</v>
      </c>
      <c r="N218" s="31" t="s">
        <v>1243</v>
      </c>
      <c r="O218" s="31" t="s">
        <v>422</v>
      </c>
      <c r="P218" s="31" t="s">
        <v>423</v>
      </c>
      <c r="Q218" s="31">
        <v>28.8</v>
      </c>
      <c r="R218" s="31" t="s">
        <v>1168</v>
      </c>
      <c r="S218" s="31" t="s">
        <v>1169</v>
      </c>
      <c r="T218" s="31">
        <v>2.4300000000000002</v>
      </c>
      <c r="U218" s="33">
        <v>0.02</v>
      </c>
      <c r="V218" s="31" t="s">
        <v>1081</v>
      </c>
      <c r="W218" s="31">
        <v>97</v>
      </c>
      <c r="X218" s="374">
        <v>0.02</v>
      </c>
      <c r="Y218" s="31">
        <v>170</v>
      </c>
      <c r="Z218" s="31" t="s">
        <v>424</v>
      </c>
      <c r="AA218" s="31" t="s">
        <v>144</v>
      </c>
    </row>
    <row r="219" spans="5:27" s="31" customFormat="1" ht="15" customHeight="1" x14ac:dyDescent="0.25">
      <c r="E219" s="31" t="s">
        <v>201</v>
      </c>
      <c r="F219" s="31" t="s">
        <v>140</v>
      </c>
      <c r="G219" s="31" t="s">
        <v>198</v>
      </c>
      <c r="H219" s="31" t="s">
        <v>237</v>
      </c>
      <c r="I219" s="31" t="s">
        <v>481</v>
      </c>
      <c r="J219" s="31" t="s">
        <v>1269</v>
      </c>
      <c r="K219" s="31" t="s">
        <v>1265</v>
      </c>
      <c r="L219" s="31" t="s">
        <v>162</v>
      </c>
      <c r="M219" s="31" t="s">
        <v>144</v>
      </c>
      <c r="N219" s="31" t="s">
        <v>1243</v>
      </c>
      <c r="O219" s="31" t="s">
        <v>422</v>
      </c>
      <c r="P219" s="31" t="s">
        <v>423</v>
      </c>
      <c r="Q219" s="31">
        <v>28.8</v>
      </c>
      <c r="R219" s="31" t="s">
        <v>1168</v>
      </c>
      <c r="S219" s="31" t="s">
        <v>1169</v>
      </c>
      <c r="T219" s="31">
        <v>2.4300000000000002</v>
      </c>
      <c r="U219" s="33">
        <v>0.02</v>
      </c>
      <c r="V219" s="31" t="s">
        <v>1081</v>
      </c>
      <c r="W219" s="31">
        <v>97</v>
      </c>
      <c r="X219" s="374">
        <v>0.02</v>
      </c>
      <c r="Y219" s="31">
        <v>170</v>
      </c>
      <c r="Z219" s="31" t="s">
        <v>424</v>
      </c>
      <c r="AA219" s="31" t="s">
        <v>144</v>
      </c>
    </row>
    <row r="220" spans="5:27" s="31" customFormat="1" ht="15" customHeight="1" x14ac:dyDescent="0.25">
      <c r="E220" s="31" t="s">
        <v>201</v>
      </c>
      <c r="F220" s="31" t="s">
        <v>140</v>
      </c>
      <c r="G220" s="31" t="s">
        <v>198</v>
      </c>
      <c r="H220" s="31" t="s">
        <v>237</v>
      </c>
      <c r="I220" s="31" t="s">
        <v>481</v>
      </c>
      <c r="J220" s="31" t="s">
        <v>1269</v>
      </c>
      <c r="K220" s="31" t="s">
        <v>1266</v>
      </c>
      <c r="L220" s="31" t="s">
        <v>162</v>
      </c>
      <c r="M220" s="31" t="s">
        <v>144</v>
      </c>
      <c r="N220" s="31" t="s">
        <v>1243</v>
      </c>
      <c r="O220" s="31" t="s">
        <v>422</v>
      </c>
      <c r="P220" s="31" t="s">
        <v>423</v>
      </c>
      <c r="Q220" s="31">
        <v>28.8</v>
      </c>
      <c r="R220" s="31" t="s">
        <v>1168</v>
      </c>
      <c r="S220" s="31" t="s">
        <v>1169</v>
      </c>
      <c r="T220" s="31">
        <v>2.4300000000000002</v>
      </c>
      <c r="U220" s="33">
        <v>0.02</v>
      </c>
      <c r="V220" s="31" t="s">
        <v>1081</v>
      </c>
      <c r="W220" s="31">
        <v>97</v>
      </c>
      <c r="X220" s="374">
        <v>0.02</v>
      </c>
      <c r="Y220" s="31">
        <v>170</v>
      </c>
      <c r="Z220" s="31" t="s">
        <v>424</v>
      </c>
      <c r="AA220" s="31" t="s">
        <v>144</v>
      </c>
    </row>
    <row r="221" spans="5:27" s="31" customFormat="1" ht="15" customHeight="1" x14ac:dyDescent="0.25">
      <c r="E221" s="31" t="s">
        <v>201</v>
      </c>
      <c r="F221" s="31" t="s">
        <v>140</v>
      </c>
      <c r="G221" s="31" t="s">
        <v>198</v>
      </c>
      <c r="H221" s="31" t="s">
        <v>237</v>
      </c>
      <c r="I221" s="31" t="s">
        <v>481</v>
      </c>
      <c r="J221" s="31" t="s">
        <v>1269</v>
      </c>
      <c r="K221" s="31" t="s">
        <v>1267</v>
      </c>
      <c r="L221" s="31" t="s">
        <v>162</v>
      </c>
      <c r="M221" s="31" t="s">
        <v>144</v>
      </c>
      <c r="N221" s="31" t="s">
        <v>1243</v>
      </c>
      <c r="O221" s="31" t="s">
        <v>422</v>
      </c>
      <c r="P221" s="31" t="s">
        <v>423</v>
      </c>
      <c r="Q221" s="31">
        <v>28.8</v>
      </c>
      <c r="R221" s="31" t="s">
        <v>1168</v>
      </c>
      <c r="S221" s="31" t="s">
        <v>1169</v>
      </c>
      <c r="T221" s="31">
        <v>2.4300000000000002</v>
      </c>
      <c r="U221" s="33">
        <v>0.02</v>
      </c>
      <c r="V221" s="31" t="s">
        <v>1081</v>
      </c>
      <c r="W221" s="31">
        <v>97</v>
      </c>
      <c r="X221" s="374">
        <v>0.02</v>
      </c>
      <c r="Y221" s="31">
        <v>170</v>
      </c>
      <c r="Z221" s="31" t="s">
        <v>424</v>
      </c>
      <c r="AA221" s="31" t="s">
        <v>144</v>
      </c>
    </row>
    <row r="222" spans="5:27" s="31" customFormat="1" ht="15" customHeight="1" x14ac:dyDescent="0.25">
      <c r="E222" s="31" t="s">
        <v>201</v>
      </c>
      <c r="F222" s="31" t="s">
        <v>140</v>
      </c>
      <c r="G222" s="31" t="s">
        <v>198</v>
      </c>
      <c r="H222" s="31" t="s">
        <v>237</v>
      </c>
      <c r="I222" s="31" t="s">
        <v>481</v>
      </c>
      <c r="J222" s="31" t="s">
        <v>1269</v>
      </c>
      <c r="K222" s="31" t="s">
        <v>1268</v>
      </c>
      <c r="L222" s="31" t="s">
        <v>162</v>
      </c>
      <c r="M222" s="31" t="s">
        <v>144</v>
      </c>
      <c r="N222" s="31" t="s">
        <v>1243</v>
      </c>
      <c r="O222" s="31" t="s">
        <v>422</v>
      </c>
      <c r="P222" s="31" t="s">
        <v>423</v>
      </c>
      <c r="Q222" s="31">
        <v>28.8</v>
      </c>
      <c r="R222" s="31" t="s">
        <v>1168</v>
      </c>
      <c r="S222" s="31" t="s">
        <v>1169</v>
      </c>
      <c r="T222" s="31">
        <v>2.4300000000000002</v>
      </c>
      <c r="U222" s="33">
        <v>0.02</v>
      </c>
      <c r="V222" s="31" t="s">
        <v>1081</v>
      </c>
      <c r="W222" s="31">
        <v>97</v>
      </c>
      <c r="X222" s="374">
        <v>0.02</v>
      </c>
      <c r="Y222" s="31">
        <v>170</v>
      </c>
      <c r="Z222" s="31" t="s">
        <v>424</v>
      </c>
      <c r="AA222" s="31" t="s">
        <v>144</v>
      </c>
    </row>
    <row r="223" spans="5:27" s="31" customFormat="1" ht="15" customHeight="1" x14ac:dyDescent="0.25">
      <c r="U223" s="33"/>
      <c r="X223" s="374"/>
    </row>
    <row r="224" spans="5:27" s="31" customFormat="1" ht="15" customHeight="1" x14ac:dyDescent="0.25">
      <c r="U224" s="33"/>
      <c r="X224" s="374"/>
    </row>
    <row r="225" spans="5:27" s="31" customFormat="1" ht="15" customHeight="1" x14ac:dyDescent="0.25">
      <c r="E225" s="31" t="s">
        <v>201</v>
      </c>
      <c r="F225" s="31" t="s">
        <v>140</v>
      </c>
      <c r="G225" s="31" t="s">
        <v>198</v>
      </c>
      <c r="H225" s="31" t="s">
        <v>237</v>
      </c>
      <c r="I225" s="31" t="s">
        <v>481</v>
      </c>
      <c r="J225" s="31" t="s">
        <v>1270</v>
      </c>
      <c r="K225" s="31" t="s">
        <v>1271</v>
      </c>
      <c r="L225" s="31" t="s">
        <v>162</v>
      </c>
      <c r="M225" s="31" t="s">
        <v>144</v>
      </c>
      <c r="N225" s="31" t="s">
        <v>1272</v>
      </c>
      <c r="O225" s="31" t="s">
        <v>422</v>
      </c>
      <c r="P225" s="31" t="s">
        <v>423</v>
      </c>
      <c r="Q225" s="31">
        <v>28.8</v>
      </c>
      <c r="R225" s="31" t="s">
        <v>1168</v>
      </c>
      <c r="S225" s="31" t="s">
        <v>1169</v>
      </c>
      <c r="T225" s="31">
        <v>2.4300000000000002</v>
      </c>
      <c r="U225" s="33">
        <v>0.02</v>
      </c>
      <c r="V225" s="31" t="s">
        <v>1081</v>
      </c>
      <c r="W225" s="31">
        <v>97</v>
      </c>
      <c r="X225" s="374">
        <v>0.02</v>
      </c>
      <c r="Y225" s="31">
        <v>170</v>
      </c>
      <c r="Z225" s="31" t="s">
        <v>424</v>
      </c>
      <c r="AA225" s="31" t="s">
        <v>144</v>
      </c>
    </row>
    <row r="226" spans="5:27" s="31" customFormat="1" ht="15" customHeight="1" x14ac:dyDescent="0.25">
      <c r="E226" s="31" t="s">
        <v>201</v>
      </c>
      <c r="F226" s="31" t="s">
        <v>140</v>
      </c>
      <c r="G226" s="31" t="s">
        <v>198</v>
      </c>
      <c r="H226" s="31" t="s">
        <v>237</v>
      </c>
      <c r="I226" s="31" t="s">
        <v>481</v>
      </c>
      <c r="J226" s="31" t="s">
        <v>1270</v>
      </c>
      <c r="K226" s="31" t="s">
        <v>1273</v>
      </c>
      <c r="L226" s="31" t="s">
        <v>162</v>
      </c>
      <c r="M226" s="31" t="s">
        <v>144</v>
      </c>
      <c r="N226" s="31" t="s">
        <v>1272</v>
      </c>
      <c r="O226" s="31" t="s">
        <v>422</v>
      </c>
      <c r="P226" s="31" t="s">
        <v>423</v>
      </c>
      <c r="Q226" s="31">
        <v>28.8</v>
      </c>
      <c r="R226" s="31" t="s">
        <v>1168</v>
      </c>
      <c r="S226" s="31" t="s">
        <v>1169</v>
      </c>
      <c r="T226" s="31">
        <v>2.4300000000000002</v>
      </c>
      <c r="U226" s="33">
        <v>0.02</v>
      </c>
      <c r="V226" s="31" t="s">
        <v>1081</v>
      </c>
      <c r="W226" s="31">
        <v>97</v>
      </c>
      <c r="X226" s="374">
        <v>0.02</v>
      </c>
      <c r="Y226" s="31">
        <v>170</v>
      </c>
      <c r="Z226" s="31" t="s">
        <v>424</v>
      </c>
      <c r="AA226" s="31" t="s">
        <v>144</v>
      </c>
    </row>
    <row r="227" spans="5:27" s="31" customFormat="1" ht="15" customHeight="1" x14ac:dyDescent="0.25">
      <c r="E227" s="31" t="s">
        <v>201</v>
      </c>
      <c r="F227" s="31" t="s">
        <v>140</v>
      </c>
      <c r="G227" s="31" t="s">
        <v>198</v>
      </c>
      <c r="H227" s="31" t="s">
        <v>237</v>
      </c>
      <c r="I227" s="31" t="s">
        <v>481</v>
      </c>
      <c r="J227" s="31" t="s">
        <v>1270</v>
      </c>
      <c r="K227" s="31" t="s">
        <v>1274</v>
      </c>
      <c r="L227" s="31" t="s">
        <v>162</v>
      </c>
      <c r="M227" s="31" t="s">
        <v>144</v>
      </c>
      <c r="N227" s="31" t="s">
        <v>1272</v>
      </c>
      <c r="O227" s="31" t="s">
        <v>422</v>
      </c>
      <c r="P227" s="31" t="s">
        <v>423</v>
      </c>
      <c r="Q227" s="31">
        <v>28.8</v>
      </c>
      <c r="R227" s="31" t="s">
        <v>1168</v>
      </c>
      <c r="S227" s="31" t="s">
        <v>1169</v>
      </c>
      <c r="T227" s="31">
        <v>2.4300000000000002</v>
      </c>
      <c r="U227" s="33">
        <v>0.02</v>
      </c>
      <c r="V227" s="31" t="s">
        <v>1081</v>
      </c>
      <c r="W227" s="31">
        <v>97</v>
      </c>
      <c r="X227" s="374">
        <v>0.02</v>
      </c>
      <c r="Y227" s="31">
        <v>170</v>
      </c>
      <c r="Z227" s="31" t="s">
        <v>424</v>
      </c>
      <c r="AA227" s="31" t="s">
        <v>144</v>
      </c>
    </row>
    <row r="228" spans="5:27" s="31" customFormat="1" ht="15" customHeight="1" x14ac:dyDescent="0.25">
      <c r="E228" s="31" t="s">
        <v>201</v>
      </c>
      <c r="F228" s="31" t="s">
        <v>140</v>
      </c>
      <c r="G228" s="31" t="s">
        <v>198</v>
      </c>
      <c r="H228" s="31" t="s">
        <v>237</v>
      </c>
      <c r="I228" s="31" t="s">
        <v>481</v>
      </c>
      <c r="J228" s="31" t="s">
        <v>1270</v>
      </c>
      <c r="K228" s="31" t="s">
        <v>1275</v>
      </c>
      <c r="L228" s="31" t="s">
        <v>162</v>
      </c>
      <c r="M228" s="31" t="s">
        <v>144</v>
      </c>
      <c r="N228" s="31" t="s">
        <v>1272</v>
      </c>
      <c r="O228" s="31" t="s">
        <v>422</v>
      </c>
      <c r="P228" s="31" t="s">
        <v>423</v>
      </c>
      <c r="Q228" s="31">
        <v>28.8</v>
      </c>
      <c r="R228" s="31" t="s">
        <v>1168</v>
      </c>
      <c r="S228" s="31" t="s">
        <v>1169</v>
      </c>
      <c r="T228" s="31">
        <v>2.4300000000000002</v>
      </c>
      <c r="U228" s="33">
        <v>0.02</v>
      </c>
      <c r="V228" s="31" t="s">
        <v>1081</v>
      </c>
      <c r="W228" s="31">
        <v>97</v>
      </c>
      <c r="X228" s="374">
        <v>0.02</v>
      </c>
      <c r="Y228" s="31">
        <v>170</v>
      </c>
      <c r="Z228" s="31" t="s">
        <v>424</v>
      </c>
      <c r="AA228" s="31" t="s">
        <v>144</v>
      </c>
    </row>
    <row r="229" spans="5:27" s="31" customFormat="1" ht="15" customHeight="1" x14ac:dyDescent="0.25">
      <c r="E229" s="31" t="s">
        <v>201</v>
      </c>
      <c r="F229" s="31" t="s">
        <v>140</v>
      </c>
      <c r="G229" s="31" t="s">
        <v>198</v>
      </c>
      <c r="H229" s="31" t="s">
        <v>237</v>
      </c>
      <c r="I229" s="31" t="s">
        <v>481</v>
      </c>
      <c r="J229" s="31" t="s">
        <v>1270</v>
      </c>
      <c r="K229" s="31" t="s">
        <v>1276</v>
      </c>
      <c r="L229" s="31" t="s">
        <v>162</v>
      </c>
      <c r="M229" s="31" t="s">
        <v>144</v>
      </c>
      <c r="N229" s="31" t="s">
        <v>1272</v>
      </c>
      <c r="O229" s="31" t="s">
        <v>422</v>
      </c>
      <c r="P229" s="31" t="s">
        <v>423</v>
      </c>
      <c r="Q229" s="31">
        <v>28.8</v>
      </c>
      <c r="R229" s="31" t="s">
        <v>1168</v>
      </c>
      <c r="S229" s="31" t="s">
        <v>1169</v>
      </c>
      <c r="T229" s="31">
        <v>2.4300000000000002</v>
      </c>
      <c r="U229" s="33">
        <v>0.02</v>
      </c>
      <c r="V229" s="31" t="s">
        <v>1081</v>
      </c>
      <c r="W229" s="31">
        <v>97</v>
      </c>
      <c r="X229" s="374">
        <v>0.02</v>
      </c>
      <c r="Y229" s="31">
        <v>170</v>
      </c>
      <c r="Z229" s="31" t="s">
        <v>424</v>
      </c>
      <c r="AA229" s="31" t="s">
        <v>144</v>
      </c>
    </row>
    <row r="230" spans="5:27" s="31" customFormat="1" ht="15" customHeight="1" x14ac:dyDescent="0.25">
      <c r="E230" s="31" t="s">
        <v>201</v>
      </c>
      <c r="F230" s="31" t="s">
        <v>140</v>
      </c>
      <c r="G230" s="31" t="s">
        <v>198</v>
      </c>
      <c r="H230" s="31" t="s">
        <v>237</v>
      </c>
      <c r="I230" s="31" t="s">
        <v>481</v>
      </c>
      <c r="J230" s="31" t="s">
        <v>1270</v>
      </c>
      <c r="K230" s="31" t="s">
        <v>1277</v>
      </c>
      <c r="L230" s="31" t="s">
        <v>162</v>
      </c>
      <c r="M230" s="31" t="s">
        <v>144</v>
      </c>
      <c r="N230" s="31" t="s">
        <v>1272</v>
      </c>
      <c r="O230" s="31" t="s">
        <v>422</v>
      </c>
      <c r="P230" s="31" t="s">
        <v>423</v>
      </c>
      <c r="Q230" s="31">
        <v>28.8</v>
      </c>
      <c r="R230" s="31" t="s">
        <v>1168</v>
      </c>
      <c r="S230" s="31" t="s">
        <v>1169</v>
      </c>
      <c r="T230" s="31">
        <v>2.4300000000000002</v>
      </c>
      <c r="U230" s="33">
        <v>0.02</v>
      </c>
      <c r="V230" s="31" t="s">
        <v>1081</v>
      </c>
      <c r="W230" s="31">
        <v>97</v>
      </c>
      <c r="X230" s="374">
        <v>0.02</v>
      </c>
      <c r="Y230" s="31">
        <v>170</v>
      </c>
      <c r="Z230" s="31" t="s">
        <v>424</v>
      </c>
      <c r="AA230" s="31" t="s">
        <v>144</v>
      </c>
    </row>
    <row r="231" spans="5:27" s="31" customFormat="1" ht="15" customHeight="1" x14ac:dyDescent="0.25">
      <c r="E231" s="31" t="s">
        <v>201</v>
      </c>
      <c r="F231" s="31" t="s">
        <v>140</v>
      </c>
      <c r="G231" s="31" t="s">
        <v>198</v>
      </c>
      <c r="H231" s="31" t="s">
        <v>237</v>
      </c>
      <c r="I231" s="31" t="s">
        <v>481</v>
      </c>
      <c r="J231" s="31" t="s">
        <v>1270</v>
      </c>
      <c r="K231" s="31" t="s">
        <v>1278</v>
      </c>
      <c r="L231" s="31" t="s">
        <v>162</v>
      </c>
      <c r="M231" s="31" t="s">
        <v>144</v>
      </c>
      <c r="N231" s="31" t="s">
        <v>1272</v>
      </c>
      <c r="O231" s="31" t="s">
        <v>422</v>
      </c>
      <c r="P231" s="31" t="s">
        <v>423</v>
      </c>
      <c r="Q231" s="31">
        <v>28.8</v>
      </c>
      <c r="R231" s="31" t="s">
        <v>1168</v>
      </c>
      <c r="S231" s="31" t="s">
        <v>1169</v>
      </c>
      <c r="T231" s="31">
        <v>2.4300000000000002</v>
      </c>
      <c r="U231" s="33">
        <v>0.02</v>
      </c>
      <c r="V231" s="31" t="s">
        <v>1081</v>
      </c>
      <c r="W231" s="31">
        <v>97</v>
      </c>
      <c r="X231" s="374">
        <v>0.02</v>
      </c>
      <c r="Y231" s="31">
        <v>170</v>
      </c>
      <c r="Z231" s="31" t="s">
        <v>424</v>
      </c>
      <c r="AA231" s="31" t="s">
        <v>144</v>
      </c>
    </row>
    <row r="232" spans="5:27" s="31" customFormat="1" ht="15" customHeight="1" x14ac:dyDescent="0.25">
      <c r="E232" s="31" t="s">
        <v>201</v>
      </c>
      <c r="F232" s="31" t="s">
        <v>140</v>
      </c>
      <c r="G232" s="31" t="s">
        <v>198</v>
      </c>
      <c r="H232" s="31" t="s">
        <v>237</v>
      </c>
      <c r="I232" s="31" t="s">
        <v>481</v>
      </c>
      <c r="J232" s="31" t="s">
        <v>1270</v>
      </c>
      <c r="K232" s="31" t="s">
        <v>1279</v>
      </c>
      <c r="L232" s="31" t="s">
        <v>162</v>
      </c>
      <c r="M232" s="31" t="s">
        <v>144</v>
      </c>
      <c r="N232" s="31" t="s">
        <v>1272</v>
      </c>
      <c r="O232" s="31" t="s">
        <v>422</v>
      </c>
      <c r="P232" s="31" t="s">
        <v>423</v>
      </c>
      <c r="Q232" s="31">
        <v>28.8</v>
      </c>
      <c r="R232" s="31" t="s">
        <v>1168</v>
      </c>
      <c r="S232" s="31" t="s">
        <v>1169</v>
      </c>
      <c r="T232" s="31">
        <v>2.4300000000000002</v>
      </c>
      <c r="U232" s="33">
        <v>0.02</v>
      </c>
      <c r="V232" s="31" t="s">
        <v>1081</v>
      </c>
      <c r="W232" s="31">
        <v>97</v>
      </c>
      <c r="X232" s="374">
        <v>0.02</v>
      </c>
      <c r="Y232" s="31">
        <v>170</v>
      </c>
      <c r="Z232" s="31" t="s">
        <v>424</v>
      </c>
      <c r="AA232" s="31" t="s">
        <v>144</v>
      </c>
    </row>
    <row r="233" spans="5:27" s="31" customFormat="1" ht="15" customHeight="1" x14ac:dyDescent="0.25">
      <c r="E233" s="31" t="s">
        <v>201</v>
      </c>
      <c r="F233" s="31" t="s">
        <v>140</v>
      </c>
      <c r="G233" s="31" t="s">
        <v>198</v>
      </c>
      <c r="H233" s="31" t="s">
        <v>237</v>
      </c>
      <c r="I233" s="31" t="s">
        <v>481</v>
      </c>
      <c r="J233" s="31" t="s">
        <v>1270</v>
      </c>
      <c r="K233" s="31" t="s">
        <v>1280</v>
      </c>
      <c r="L233" s="31" t="s">
        <v>162</v>
      </c>
      <c r="M233" s="31" t="s">
        <v>144</v>
      </c>
      <c r="N233" s="31" t="s">
        <v>1272</v>
      </c>
      <c r="O233" s="31" t="s">
        <v>422</v>
      </c>
      <c r="P233" s="31" t="s">
        <v>423</v>
      </c>
      <c r="Q233" s="31">
        <v>28.8</v>
      </c>
      <c r="R233" s="31" t="s">
        <v>1168</v>
      </c>
      <c r="S233" s="31" t="s">
        <v>1169</v>
      </c>
      <c r="T233" s="31">
        <v>2.4300000000000002</v>
      </c>
      <c r="U233" s="33">
        <v>0.02</v>
      </c>
      <c r="V233" s="31" t="s">
        <v>1081</v>
      </c>
      <c r="W233" s="31">
        <v>97</v>
      </c>
      <c r="X233" s="374">
        <v>0.02</v>
      </c>
      <c r="Y233" s="31">
        <v>170</v>
      </c>
      <c r="Z233" s="31" t="s">
        <v>424</v>
      </c>
      <c r="AA233" s="31" t="s">
        <v>144</v>
      </c>
    </row>
    <row r="234" spans="5:27" s="31" customFormat="1" ht="15" customHeight="1" x14ac:dyDescent="0.25">
      <c r="E234" s="31" t="s">
        <v>201</v>
      </c>
      <c r="F234" s="31" t="s">
        <v>140</v>
      </c>
      <c r="G234" s="31" t="s">
        <v>198</v>
      </c>
      <c r="H234" s="31" t="s">
        <v>237</v>
      </c>
      <c r="I234" s="31" t="s">
        <v>481</v>
      </c>
      <c r="J234" s="31" t="s">
        <v>1270</v>
      </c>
      <c r="K234" s="31" t="s">
        <v>1281</v>
      </c>
      <c r="L234" s="31" t="s">
        <v>162</v>
      </c>
      <c r="M234" s="31" t="s">
        <v>144</v>
      </c>
      <c r="N234" s="31" t="s">
        <v>1272</v>
      </c>
      <c r="O234" s="31" t="s">
        <v>422</v>
      </c>
      <c r="P234" s="31" t="s">
        <v>423</v>
      </c>
      <c r="Q234" s="31">
        <v>28.8</v>
      </c>
      <c r="R234" s="31" t="s">
        <v>1168</v>
      </c>
      <c r="S234" s="31" t="s">
        <v>1169</v>
      </c>
      <c r="T234" s="31">
        <v>2.4300000000000002</v>
      </c>
      <c r="U234" s="33">
        <v>0.02</v>
      </c>
      <c r="V234" s="31" t="s">
        <v>1081</v>
      </c>
      <c r="W234" s="31">
        <v>97</v>
      </c>
      <c r="X234" s="374">
        <v>0.02</v>
      </c>
      <c r="Y234" s="31">
        <v>170</v>
      </c>
      <c r="Z234" s="31" t="s">
        <v>424</v>
      </c>
      <c r="AA234" s="31" t="s">
        <v>144</v>
      </c>
    </row>
    <row r="235" spans="5:27" s="31" customFormat="1" ht="15" customHeight="1" x14ac:dyDescent="0.25">
      <c r="E235" s="31" t="s">
        <v>201</v>
      </c>
      <c r="F235" s="31" t="s">
        <v>140</v>
      </c>
      <c r="G235" s="31" t="s">
        <v>198</v>
      </c>
      <c r="H235" s="31" t="s">
        <v>237</v>
      </c>
      <c r="I235" s="31" t="s">
        <v>481</v>
      </c>
      <c r="J235" s="31" t="s">
        <v>1270</v>
      </c>
      <c r="K235" s="31" t="s">
        <v>1282</v>
      </c>
      <c r="L235" s="31" t="s">
        <v>162</v>
      </c>
      <c r="M235" s="31" t="s">
        <v>144</v>
      </c>
      <c r="N235" s="31" t="s">
        <v>1272</v>
      </c>
      <c r="O235" s="31" t="s">
        <v>422</v>
      </c>
      <c r="P235" s="31" t="s">
        <v>423</v>
      </c>
      <c r="Q235" s="31">
        <v>28.8</v>
      </c>
      <c r="R235" s="31" t="s">
        <v>1168</v>
      </c>
      <c r="S235" s="31" t="s">
        <v>1169</v>
      </c>
      <c r="T235" s="31">
        <v>2.4300000000000002</v>
      </c>
      <c r="U235" s="33">
        <v>0.02</v>
      </c>
      <c r="V235" s="31" t="s">
        <v>1081</v>
      </c>
      <c r="W235" s="31">
        <v>97</v>
      </c>
      <c r="X235" s="374">
        <v>0.02</v>
      </c>
      <c r="Y235" s="31">
        <v>170</v>
      </c>
      <c r="Z235" s="31" t="s">
        <v>424</v>
      </c>
      <c r="AA235" s="31" t="s">
        <v>144</v>
      </c>
    </row>
    <row r="236" spans="5:27" s="31" customFormat="1" ht="15" customHeight="1" x14ac:dyDescent="0.25">
      <c r="E236" s="31" t="s">
        <v>201</v>
      </c>
      <c r="F236" s="31" t="s">
        <v>140</v>
      </c>
      <c r="G236" s="31" t="s">
        <v>198</v>
      </c>
      <c r="H236" s="31" t="s">
        <v>237</v>
      </c>
      <c r="I236" s="31" t="s">
        <v>481</v>
      </c>
      <c r="J236" s="31" t="s">
        <v>1270</v>
      </c>
      <c r="K236" s="31" t="s">
        <v>1283</v>
      </c>
      <c r="L236" s="31" t="s">
        <v>162</v>
      </c>
      <c r="M236" s="31" t="s">
        <v>144</v>
      </c>
      <c r="N236" s="31" t="s">
        <v>1272</v>
      </c>
      <c r="O236" s="31" t="s">
        <v>422</v>
      </c>
      <c r="P236" s="31" t="s">
        <v>423</v>
      </c>
      <c r="Q236" s="31">
        <v>28.8</v>
      </c>
      <c r="R236" s="31" t="s">
        <v>1168</v>
      </c>
      <c r="S236" s="31" t="s">
        <v>1169</v>
      </c>
      <c r="T236" s="31">
        <v>2.4300000000000002</v>
      </c>
      <c r="U236" s="33">
        <v>0.02</v>
      </c>
      <c r="V236" s="31" t="s">
        <v>1081</v>
      </c>
      <c r="W236" s="31">
        <v>97</v>
      </c>
      <c r="X236" s="374">
        <v>0.02</v>
      </c>
      <c r="Y236" s="31">
        <v>170</v>
      </c>
      <c r="Z236" s="31" t="s">
        <v>424</v>
      </c>
      <c r="AA236" s="31" t="s">
        <v>144</v>
      </c>
    </row>
    <row r="237" spans="5:27" s="31" customFormat="1" ht="15" customHeight="1" x14ac:dyDescent="0.25">
      <c r="E237" s="31" t="s">
        <v>201</v>
      </c>
      <c r="F237" s="31" t="s">
        <v>140</v>
      </c>
      <c r="G237" s="31" t="s">
        <v>198</v>
      </c>
      <c r="H237" s="31" t="s">
        <v>237</v>
      </c>
      <c r="I237" s="31" t="s">
        <v>481</v>
      </c>
      <c r="J237" s="31" t="s">
        <v>1270</v>
      </c>
      <c r="K237" s="31" t="s">
        <v>1284</v>
      </c>
      <c r="L237" s="31" t="s">
        <v>162</v>
      </c>
      <c r="M237" s="31" t="s">
        <v>144</v>
      </c>
      <c r="N237" s="31" t="s">
        <v>1272</v>
      </c>
      <c r="O237" s="31" t="s">
        <v>422</v>
      </c>
      <c r="P237" s="31" t="s">
        <v>423</v>
      </c>
      <c r="Q237" s="31">
        <v>28.8</v>
      </c>
      <c r="R237" s="31" t="s">
        <v>1168</v>
      </c>
      <c r="S237" s="31" t="s">
        <v>1169</v>
      </c>
      <c r="T237" s="31">
        <v>2.4300000000000002</v>
      </c>
      <c r="U237" s="33">
        <v>0.02</v>
      </c>
      <c r="V237" s="31" t="s">
        <v>1081</v>
      </c>
      <c r="W237" s="31">
        <v>97</v>
      </c>
      <c r="X237" s="374">
        <v>0.02</v>
      </c>
      <c r="Y237" s="31">
        <v>170</v>
      </c>
      <c r="Z237" s="31" t="s">
        <v>424</v>
      </c>
      <c r="AA237" s="31" t="s">
        <v>144</v>
      </c>
    </row>
    <row r="238" spans="5:27" s="31" customFormat="1" ht="15" customHeight="1" x14ac:dyDescent="0.25">
      <c r="E238" s="31" t="s">
        <v>201</v>
      </c>
      <c r="F238" s="31" t="s">
        <v>140</v>
      </c>
      <c r="G238" s="31" t="s">
        <v>198</v>
      </c>
      <c r="H238" s="31" t="s">
        <v>237</v>
      </c>
      <c r="I238" s="31" t="s">
        <v>481</v>
      </c>
      <c r="J238" s="31" t="s">
        <v>1270</v>
      </c>
      <c r="K238" s="31" t="s">
        <v>1285</v>
      </c>
      <c r="L238" s="31" t="s">
        <v>162</v>
      </c>
      <c r="M238" s="31" t="s">
        <v>144</v>
      </c>
      <c r="N238" s="31" t="s">
        <v>1272</v>
      </c>
      <c r="O238" s="31" t="s">
        <v>422</v>
      </c>
      <c r="P238" s="31" t="s">
        <v>423</v>
      </c>
      <c r="Q238" s="31">
        <v>28.8</v>
      </c>
      <c r="R238" s="31" t="s">
        <v>1168</v>
      </c>
      <c r="S238" s="31" t="s">
        <v>1169</v>
      </c>
      <c r="T238" s="31">
        <v>2.4300000000000002</v>
      </c>
      <c r="U238" s="33">
        <v>0.02</v>
      </c>
      <c r="V238" s="31" t="s">
        <v>1081</v>
      </c>
      <c r="W238" s="31">
        <v>97</v>
      </c>
      <c r="X238" s="374">
        <v>0.02</v>
      </c>
      <c r="Y238" s="31">
        <v>170</v>
      </c>
      <c r="Z238" s="31" t="s">
        <v>424</v>
      </c>
      <c r="AA238" s="31" t="s">
        <v>144</v>
      </c>
    </row>
    <row r="239" spans="5:27" s="31" customFormat="1" ht="15" customHeight="1" x14ac:dyDescent="0.25">
      <c r="E239" s="31" t="s">
        <v>201</v>
      </c>
      <c r="F239" s="31" t="s">
        <v>140</v>
      </c>
      <c r="G239" s="31" t="s">
        <v>198</v>
      </c>
      <c r="H239" s="31" t="s">
        <v>237</v>
      </c>
      <c r="I239" s="31" t="s">
        <v>481</v>
      </c>
      <c r="J239" s="31" t="s">
        <v>1270</v>
      </c>
      <c r="K239" s="31" t="s">
        <v>1286</v>
      </c>
      <c r="L239" s="31" t="s">
        <v>162</v>
      </c>
      <c r="M239" s="31" t="s">
        <v>144</v>
      </c>
      <c r="N239" s="31" t="s">
        <v>1272</v>
      </c>
      <c r="O239" s="31" t="s">
        <v>422</v>
      </c>
      <c r="P239" s="31" t="s">
        <v>423</v>
      </c>
      <c r="Q239" s="31">
        <v>28.8</v>
      </c>
      <c r="R239" s="31" t="s">
        <v>1168</v>
      </c>
      <c r="S239" s="31" t="s">
        <v>1169</v>
      </c>
      <c r="T239" s="31">
        <v>2.4300000000000002</v>
      </c>
      <c r="U239" s="33">
        <v>0.02</v>
      </c>
      <c r="V239" s="31" t="s">
        <v>1081</v>
      </c>
      <c r="W239" s="31">
        <v>97</v>
      </c>
      <c r="X239" s="374">
        <v>0.02</v>
      </c>
      <c r="Y239" s="31">
        <v>170</v>
      </c>
      <c r="Z239" s="31" t="s">
        <v>424</v>
      </c>
      <c r="AA239" s="31" t="s">
        <v>144</v>
      </c>
    </row>
    <row r="240" spans="5:27" s="31" customFormat="1" ht="15" customHeight="1" x14ac:dyDescent="0.25">
      <c r="E240" s="31" t="s">
        <v>201</v>
      </c>
      <c r="F240" s="31" t="s">
        <v>140</v>
      </c>
      <c r="G240" s="31" t="s">
        <v>198</v>
      </c>
      <c r="H240" s="31" t="s">
        <v>237</v>
      </c>
      <c r="I240" s="31" t="s">
        <v>481</v>
      </c>
      <c r="J240" s="31" t="s">
        <v>1270</v>
      </c>
      <c r="K240" s="31" t="s">
        <v>1287</v>
      </c>
      <c r="L240" s="31" t="s">
        <v>162</v>
      </c>
      <c r="M240" s="31" t="s">
        <v>144</v>
      </c>
      <c r="N240" s="31" t="s">
        <v>1272</v>
      </c>
      <c r="O240" s="31" t="s">
        <v>422</v>
      </c>
      <c r="P240" s="31" t="s">
        <v>423</v>
      </c>
      <c r="Q240" s="31">
        <v>28.8</v>
      </c>
      <c r="R240" s="31" t="s">
        <v>1168</v>
      </c>
      <c r="S240" s="31" t="s">
        <v>1169</v>
      </c>
      <c r="T240" s="31">
        <v>2.4300000000000002</v>
      </c>
      <c r="U240" s="33">
        <v>0.02</v>
      </c>
      <c r="V240" s="31" t="s">
        <v>1081</v>
      </c>
      <c r="W240" s="31">
        <v>97</v>
      </c>
      <c r="X240" s="374">
        <v>0.02</v>
      </c>
      <c r="Y240" s="31">
        <v>170</v>
      </c>
      <c r="Z240" s="31" t="s">
        <v>424</v>
      </c>
      <c r="AA240" s="31" t="s">
        <v>144</v>
      </c>
    </row>
    <row r="241" spans="5:27" s="31" customFormat="1" ht="15" customHeight="1" x14ac:dyDescent="0.25">
      <c r="E241" s="31" t="s">
        <v>201</v>
      </c>
      <c r="F241" s="31" t="s">
        <v>140</v>
      </c>
      <c r="G241" s="31" t="s">
        <v>198</v>
      </c>
      <c r="H241" s="31" t="s">
        <v>237</v>
      </c>
      <c r="I241" s="31" t="s">
        <v>481</v>
      </c>
      <c r="J241" s="31" t="s">
        <v>1270</v>
      </c>
      <c r="K241" s="31" t="s">
        <v>1288</v>
      </c>
      <c r="L241" s="31" t="s">
        <v>162</v>
      </c>
      <c r="M241" s="31" t="s">
        <v>144</v>
      </c>
      <c r="N241" s="31" t="s">
        <v>1272</v>
      </c>
      <c r="O241" s="31" t="s">
        <v>422</v>
      </c>
      <c r="P241" s="31" t="s">
        <v>423</v>
      </c>
      <c r="Q241" s="31">
        <v>28.8</v>
      </c>
      <c r="R241" s="31" t="s">
        <v>1168</v>
      </c>
      <c r="S241" s="31" t="s">
        <v>1169</v>
      </c>
      <c r="T241" s="31">
        <v>2.4300000000000002</v>
      </c>
      <c r="U241" s="33">
        <v>0.02</v>
      </c>
      <c r="V241" s="31" t="s">
        <v>1081</v>
      </c>
      <c r="W241" s="31">
        <v>97</v>
      </c>
      <c r="X241" s="374">
        <v>0.02</v>
      </c>
      <c r="Y241" s="31">
        <v>170</v>
      </c>
      <c r="Z241" s="31" t="s">
        <v>424</v>
      </c>
      <c r="AA241" s="31" t="s">
        <v>144</v>
      </c>
    </row>
    <row r="242" spans="5:27" s="31" customFormat="1" ht="15" customHeight="1" x14ac:dyDescent="0.25">
      <c r="E242" s="31" t="s">
        <v>201</v>
      </c>
      <c r="F242" s="31" t="s">
        <v>140</v>
      </c>
      <c r="G242" s="31" t="s">
        <v>198</v>
      </c>
      <c r="H242" s="31" t="s">
        <v>237</v>
      </c>
      <c r="I242" s="31" t="s">
        <v>481</v>
      </c>
      <c r="J242" s="31" t="s">
        <v>1270</v>
      </c>
      <c r="K242" s="31" t="s">
        <v>1289</v>
      </c>
      <c r="L242" s="31" t="s">
        <v>162</v>
      </c>
      <c r="M242" s="31" t="s">
        <v>144</v>
      </c>
      <c r="N242" s="31" t="s">
        <v>1272</v>
      </c>
      <c r="O242" s="31" t="s">
        <v>422</v>
      </c>
      <c r="P242" s="31" t="s">
        <v>423</v>
      </c>
      <c r="Q242" s="31">
        <v>28.8</v>
      </c>
      <c r="R242" s="31" t="s">
        <v>1168</v>
      </c>
      <c r="S242" s="31" t="s">
        <v>1169</v>
      </c>
      <c r="T242" s="31">
        <v>2.4300000000000002</v>
      </c>
      <c r="U242" s="33">
        <v>0.02</v>
      </c>
      <c r="V242" s="31" t="s">
        <v>1081</v>
      </c>
      <c r="W242" s="31">
        <v>97</v>
      </c>
      <c r="X242" s="374">
        <v>0.02</v>
      </c>
      <c r="Y242" s="31">
        <v>170</v>
      </c>
      <c r="Z242" s="31" t="s">
        <v>424</v>
      </c>
      <c r="AA242" s="31" t="s">
        <v>144</v>
      </c>
    </row>
    <row r="243" spans="5:27" s="31" customFormat="1" ht="15" customHeight="1" x14ac:dyDescent="0.25">
      <c r="E243" s="31" t="s">
        <v>201</v>
      </c>
      <c r="F243" s="31" t="s">
        <v>140</v>
      </c>
      <c r="G243" s="31" t="s">
        <v>198</v>
      </c>
      <c r="H243" s="31" t="s">
        <v>237</v>
      </c>
      <c r="I243" s="31" t="s">
        <v>481</v>
      </c>
      <c r="J243" s="31" t="s">
        <v>1270</v>
      </c>
      <c r="K243" s="31" t="s">
        <v>1290</v>
      </c>
      <c r="L243" s="31" t="s">
        <v>162</v>
      </c>
      <c r="M243" s="31" t="s">
        <v>144</v>
      </c>
      <c r="N243" s="31" t="s">
        <v>1272</v>
      </c>
      <c r="O243" s="31" t="s">
        <v>422</v>
      </c>
      <c r="P243" s="31" t="s">
        <v>423</v>
      </c>
      <c r="Q243" s="31">
        <v>28.8</v>
      </c>
      <c r="R243" s="31" t="s">
        <v>1168</v>
      </c>
      <c r="S243" s="31" t="s">
        <v>1169</v>
      </c>
      <c r="T243" s="31">
        <v>2.4300000000000002</v>
      </c>
      <c r="U243" s="33">
        <v>0.02</v>
      </c>
      <c r="V243" s="31" t="s">
        <v>1081</v>
      </c>
      <c r="W243" s="31">
        <v>97</v>
      </c>
      <c r="X243" s="374">
        <v>0.02</v>
      </c>
      <c r="Y243" s="31">
        <v>170</v>
      </c>
      <c r="Z243" s="31" t="s">
        <v>424</v>
      </c>
      <c r="AA243" s="31" t="s">
        <v>144</v>
      </c>
    </row>
    <row r="244" spans="5:27" s="31" customFormat="1" ht="15" customHeight="1" x14ac:dyDescent="0.25">
      <c r="E244" s="31" t="s">
        <v>201</v>
      </c>
      <c r="F244" s="31" t="s">
        <v>140</v>
      </c>
      <c r="G244" s="31" t="s">
        <v>198</v>
      </c>
      <c r="H244" s="31" t="s">
        <v>237</v>
      </c>
      <c r="I244" s="31" t="s">
        <v>481</v>
      </c>
      <c r="J244" s="31" t="s">
        <v>1270</v>
      </c>
      <c r="K244" s="31" t="s">
        <v>1291</v>
      </c>
      <c r="L244" s="31" t="s">
        <v>162</v>
      </c>
      <c r="M244" s="31" t="s">
        <v>144</v>
      </c>
      <c r="N244" s="31" t="s">
        <v>1272</v>
      </c>
      <c r="O244" s="31" t="s">
        <v>422</v>
      </c>
      <c r="P244" s="31" t="s">
        <v>423</v>
      </c>
      <c r="Q244" s="31">
        <v>28.8</v>
      </c>
      <c r="R244" s="31" t="s">
        <v>1168</v>
      </c>
      <c r="S244" s="31" t="s">
        <v>1169</v>
      </c>
      <c r="T244" s="31">
        <v>2.4300000000000002</v>
      </c>
      <c r="U244" s="33">
        <v>0.02</v>
      </c>
      <c r="V244" s="31" t="s">
        <v>1081</v>
      </c>
      <c r="W244" s="31">
        <v>97</v>
      </c>
      <c r="X244" s="374">
        <v>0.02</v>
      </c>
      <c r="Y244" s="31">
        <v>170</v>
      </c>
      <c r="Z244" s="31" t="s">
        <v>424</v>
      </c>
      <c r="AA244" s="31" t="s">
        <v>144</v>
      </c>
    </row>
    <row r="245" spans="5:27" s="31" customFormat="1" ht="15" customHeight="1" x14ac:dyDescent="0.25">
      <c r="E245" s="31" t="s">
        <v>201</v>
      </c>
      <c r="F245" s="31" t="s">
        <v>140</v>
      </c>
      <c r="G245" s="31" t="s">
        <v>198</v>
      </c>
      <c r="H245" s="31" t="s">
        <v>237</v>
      </c>
      <c r="I245" s="31" t="s">
        <v>481</v>
      </c>
      <c r="J245" s="31" t="s">
        <v>1270</v>
      </c>
      <c r="K245" s="31" t="s">
        <v>1292</v>
      </c>
      <c r="L245" s="31" t="s">
        <v>162</v>
      </c>
      <c r="M245" s="31" t="s">
        <v>144</v>
      </c>
      <c r="N245" s="31" t="s">
        <v>1272</v>
      </c>
      <c r="O245" s="31" t="s">
        <v>422</v>
      </c>
      <c r="P245" s="31" t="s">
        <v>423</v>
      </c>
      <c r="Q245" s="31">
        <v>28.8</v>
      </c>
      <c r="R245" s="31" t="s">
        <v>1168</v>
      </c>
      <c r="S245" s="31" t="s">
        <v>1169</v>
      </c>
      <c r="T245" s="31">
        <v>2.4300000000000002</v>
      </c>
      <c r="U245" s="33">
        <v>0.02</v>
      </c>
      <c r="V245" s="31" t="s">
        <v>1081</v>
      </c>
      <c r="W245" s="31">
        <v>97</v>
      </c>
      <c r="X245" s="374">
        <v>0.02</v>
      </c>
      <c r="Y245" s="31">
        <v>170</v>
      </c>
      <c r="Z245" s="31" t="s">
        <v>424</v>
      </c>
      <c r="AA245" s="31" t="s">
        <v>144</v>
      </c>
    </row>
    <row r="246" spans="5:27" s="31" customFormat="1" ht="15" customHeight="1" x14ac:dyDescent="0.25">
      <c r="U246" s="33"/>
      <c r="X246" s="374"/>
      <c r="Y246" s="31">
        <v>170</v>
      </c>
    </row>
    <row r="247" spans="5:27" s="31" customFormat="1" ht="15" customHeight="1" x14ac:dyDescent="0.25">
      <c r="U247" s="33"/>
      <c r="X247" s="374"/>
      <c r="Y247" s="31">
        <v>170</v>
      </c>
    </row>
    <row r="248" spans="5:27" s="31" customFormat="1" ht="15" customHeight="1" x14ac:dyDescent="0.25">
      <c r="E248" s="31" t="s">
        <v>201</v>
      </c>
      <c r="F248" s="31" t="s">
        <v>140</v>
      </c>
      <c r="G248" s="31" t="s">
        <v>198</v>
      </c>
      <c r="H248" s="31" t="s">
        <v>237</v>
      </c>
      <c r="I248" s="31" t="s">
        <v>481</v>
      </c>
      <c r="J248" s="31" t="s">
        <v>1293</v>
      </c>
      <c r="K248" s="31" t="s">
        <v>1294</v>
      </c>
      <c r="L248" s="31" t="s">
        <v>162</v>
      </c>
      <c r="M248" s="31" t="s">
        <v>144</v>
      </c>
      <c r="N248" s="31" t="s">
        <v>1295</v>
      </c>
      <c r="O248" s="31" t="s">
        <v>422</v>
      </c>
      <c r="P248" s="31" t="s">
        <v>423</v>
      </c>
      <c r="Q248" s="31">
        <v>28.8</v>
      </c>
      <c r="R248" s="31" t="s">
        <v>1168</v>
      </c>
      <c r="S248" s="31" t="s">
        <v>1169</v>
      </c>
      <c r="T248" s="31">
        <v>2.4300000000000002</v>
      </c>
      <c r="U248" s="33">
        <v>0.02</v>
      </c>
      <c r="V248" s="31" t="s">
        <v>1081</v>
      </c>
      <c r="W248" s="31">
        <v>97</v>
      </c>
      <c r="X248" s="374">
        <v>0.02</v>
      </c>
      <c r="Y248" s="31">
        <v>170</v>
      </c>
      <c r="Z248" s="31" t="s">
        <v>424</v>
      </c>
      <c r="AA248" s="31" t="s">
        <v>144</v>
      </c>
    </row>
    <row r="249" spans="5:27" s="31" customFormat="1" ht="15" customHeight="1" x14ac:dyDescent="0.25">
      <c r="E249" s="31" t="s">
        <v>201</v>
      </c>
      <c r="F249" s="31" t="s">
        <v>140</v>
      </c>
      <c r="G249" s="31" t="s">
        <v>198</v>
      </c>
      <c r="H249" s="31" t="s">
        <v>237</v>
      </c>
      <c r="I249" s="31" t="s">
        <v>481</v>
      </c>
      <c r="J249" s="31" t="s">
        <v>1293</v>
      </c>
      <c r="K249" s="31" t="s">
        <v>1296</v>
      </c>
      <c r="L249" s="31" t="s">
        <v>162</v>
      </c>
      <c r="M249" s="31" t="s">
        <v>144</v>
      </c>
      <c r="N249" s="31" t="s">
        <v>1295</v>
      </c>
      <c r="O249" s="31" t="s">
        <v>422</v>
      </c>
      <c r="P249" s="31" t="s">
        <v>423</v>
      </c>
      <c r="Q249" s="31">
        <v>28.8</v>
      </c>
      <c r="R249" s="31" t="s">
        <v>1168</v>
      </c>
      <c r="S249" s="31" t="s">
        <v>1169</v>
      </c>
      <c r="T249" s="31">
        <v>2.4300000000000002</v>
      </c>
      <c r="U249" s="33">
        <v>0.02</v>
      </c>
      <c r="V249" s="31" t="s">
        <v>1081</v>
      </c>
      <c r="W249" s="31">
        <v>97</v>
      </c>
      <c r="X249" s="374">
        <v>0.02</v>
      </c>
      <c r="Y249" s="31">
        <v>170</v>
      </c>
      <c r="Z249" s="31" t="s">
        <v>424</v>
      </c>
      <c r="AA249" s="31" t="s">
        <v>144</v>
      </c>
    </row>
    <row r="250" spans="5:27" s="31" customFormat="1" ht="15" customHeight="1" x14ac:dyDescent="0.25">
      <c r="E250" s="31" t="s">
        <v>201</v>
      </c>
      <c r="F250" s="31" t="s">
        <v>140</v>
      </c>
      <c r="G250" s="31" t="s">
        <v>198</v>
      </c>
      <c r="H250" s="31" t="s">
        <v>237</v>
      </c>
      <c r="I250" s="31" t="s">
        <v>481</v>
      </c>
      <c r="J250" s="31" t="s">
        <v>1293</v>
      </c>
      <c r="K250" s="31" t="s">
        <v>1297</v>
      </c>
      <c r="L250" s="31" t="s">
        <v>162</v>
      </c>
      <c r="M250" s="31" t="s">
        <v>144</v>
      </c>
      <c r="N250" s="31" t="s">
        <v>1295</v>
      </c>
      <c r="O250" s="31" t="s">
        <v>422</v>
      </c>
      <c r="P250" s="31" t="s">
        <v>423</v>
      </c>
      <c r="Q250" s="31">
        <v>28.8</v>
      </c>
      <c r="R250" s="31" t="s">
        <v>1168</v>
      </c>
      <c r="S250" s="31" t="s">
        <v>1169</v>
      </c>
      <c r="T250" s="31">
        <v>2.4300000000000002</v>
      </c>
      <c r="U250" s="33">
        <v>0.02</v>
      </c>
      <c r="V250" s="31" t="s">
        <v>1081</v>
      </c>
      <c r="W250" s="31">
        <v>97</v>
      </c>
      <c r="X250" s="374">
        <v>0.02</v>
      </c>
      <c r="Y250" s="31">
        <v>170</v>
      </c>
      <c r="Z250" s="31" t="s">
        <v>424</v>
      </c>
      <c r="AA250" s="31" t="s">
        <v>144</v>
      </c>
    </row>
    <row r="251" spans="5:27" s="31" customFormat="1" ht="15" customHeight="1" x14ac:dyDescent="0.25">
      <c r="E251" s="31" t="s">
        <v>201</v>
      </c>
      <c r="F251" s="31" t="s">
        <v>140</v>
      </c>
      <c r="G251" s="31" t="s">
        <v>198</v>
      </c>
      <c r="H251" s="31" t="s">
        <v>237</v>
      </c>
      <c r="I251" s="31" t="s">
        <v>481</v>
      </c>
      <c r="J251" s="31" t="s">
        <v>1293</v>
      </c>
      <c r="K251" s="31" t="s">
        <v>1298</v>
      </c>
      <c r="L251" s="31" t="s">
        <v>162</v>
      </c>
      <c r="M251" s="31" t="s">
        <v>144</v>
      </c>
      <c r="N251" s="31" t="s">
        <v>1295</v>
      </c>
      <c r="O251" s="31" t="s">
        <v>422</v>
      </c>
      <c r="P251" s="31" t="s">
        <v>423</v>
      </c>
      <c r="Q251" s="31">
        <v>28.8</v>
      </c>
      <c r="R251" s="31" t="s">
        <v>1168</v>
      </c>
      <c r="S251" s="31" t="s">
        <v>1169</v>
      </c>
      <c r="T251" s="31">
        <v>2.4300000000000002</v>
      </c>
      <c r="U251" s="33">
        <v>0.02</v>
      </c>
      <c r="V251" s="31" t="s">
        <v>1081</v>
      </c>
      <c r="W251" s="31">
        <v>97</v>
      </c>
      <c r="X251" s="374">
        <v>0.02</v>
      </c>
      <c r="Y251" s="31">
        <v>170</v>
      </c>
      <c r="Z251" s="31" t="s">
        <v>424</v>
      </c>
      <c r="AA251" s="31" t="s">
        <v>144</v>
      </c>
    </row>
    <row r="252" spans="5:27" s="31" customFormat="1" ht="15" customHeight="1" x14ac:dyDescent="0.25">
      <c r="E252" s="31" t="s">
        <v>201</v>
      </c>
      <c r="F252" s="31" t="s">
        <v>140</v>
      </c>
      <c r="G252" s="31" t="s">
        <v>198</v>
      </c>
      <c r="H252" s="31" t="s">
        <v>237</v>
      </c>
      <c r="I252" s="31" t="s">
        <v>481</v>
      </c>
      <c r="J252" s="31" t="s">
        <v>1293</v>
      </c>
      <c r="K252" s="31" t="s">
        <v>1299</v>
      </c>
      <c r="L252" s="31" t="s">
        <v>162</v>
      </c>
      <c r="M252" s="31" t="s">
        <v>144</v>
      </c>
      <c r="N252" s="31" t="s">
        <v>1295</v>
      </c>
      <c r="O252" s="31" t="s">
        <v>422</v>
      </c>
      <c r="P252" s="31" t="s">
        <v>423</v>
      </c>
      <c r="Q252" s="31">
        <v>28.8</v>
      </c>
      <c r="R252" s="31" t="s">
        <v>1168</v>
      </c>
      <c r="S252" s="31" t="s">
        <v>1169</v>
      </c>
      <c r="T252" s="31">
        <v>2.4300000000000002</v>
      </c>
      <c r="U252" s="33">
        <v>0.02</v>
      </c>
      <c r="V252" s="31" t="s">
        <v>1081</v>
      </c>
      <c r="W252" s="31">
        <v>97</v>
      </c>
      <c r="X252" s="374">
        <v>0.02</v>
      </c>
      <c r="Y252" s="31">
        <v>170</v>
      </c>
      <c r="Z252" s="31" t="s">
        <v>424</v>
      </c>
      <c r="AA252" s="31" t="s">
        <v>144</v>
      </c>
    </row>
    <row r="253" spans="5:27" s="31" customFormat="1" ht="15" customHeight="1" x14ac:dyDescent="0.25">
      <c r="E253" s="31" t="s">
        <v>201</v>
      </c>
      <c r="F253" s="31" t="s">
        <v>140</v>
      </c>
      <c r="G253" s="31" t="s">
        <v>198</v>
      </c>
      <c r="H253" s="31" t="s">
        <v>237</v>
      </c>
      <c r="I253" s="31" t="s">
        <v>481</v>
      </c>
      <c r="J253" s="31" t="s">
        <v>1293</v>
      </c>
      <c r="K253" s="31" t="s">
        <v>1300</v>
      </c>
      <c r="L253" s="31" t="s">
        <v>162</v>
      </c>
      <c r="M253" s="31" t="s">
        <v>144</v>
      </c>
      <c r="N253" s="31" t="s">
        <v>1295</v>
      </c>
      <c r="O253" s="31" t="s">
        <v>422</v>
      </c>
      <c r="P253" s="31" t="s">
        <v>423</v>
      </c>
      <c r="Q253" s="31">
        <v>28.8</v>
      </c>
      <c r="R253" s="31" t="s">
        <v>1168</v>
      </c>
      <c r="S253" s="31" t="s">
        <v>1169</v>
      </c>
      <c r="T253" s="31">
        <v>2.4300000000000002</v>
      </c>
      <c r="U253" s="33">
        <v>0.02</v>
      </c>
      <c r="V253" s="31" t="s">
        <v>1081</v>
      </c>
      <c r="W253" s="31">
        <v>97</v>
      </c>
      <c r="X253" s="374">
        <v>0.02</v>
      </c>
      <c r="Y253" s="31">
        <v>170</v>
      </c>
      <c r="Z253" s="31" t="s">
        <v>424</v>
      </c>
      <c r="AA253" s="31" t="s">
        <v>144</v>
      </c>
    </row>
    <row r="254" spans="5:27" s="31" customFormat="1" ht="15" customHeight="1" x14ac:dyDescent="0.25">
      <c r="E254" s="31" t="s">
        <v>201</v>
      </c>
      <c r="F254" s="31" t="s">
        <v>140</v>
      </c>
      <c r="G254" s="31" t="s">
        <v>198</v>
      </c>
      <c r="H254" s="31" t="s">
        <v>237</v>
      </c>
      <c r="I254" s="31" t="s">
        <v>481</v>
      </c>
      <c r="J254" s="31" t="s">
        <v>1293</v>
      </c>
      <c r="K254" s="31" t="s">
        <v>1301</v>
      </c>
      <c r="L254" s="31" t="s">
        <v>162</v>
      </c>
      <c r="M254" s="31" t="s">
        <v>144</v>
      </c>
      <c r="N254" s="31" t="s">
        <v>1295</v>
      </c>
      <c r="O254" s="31" t="s">
        <v>422</v>
      </c>
      <c r="P254" s="31" t="s">
        <v>423</v>
      </c>
      <c r="Q254" s="31">
        <v>28.8</v>
      </c>
      <c r="R254" s="31" t="s">
        <v>1168</v>
      </c>
      <c r="S254" s="31" t="s">
        <v>1169</v>
      </c>
      <c r="T254" s="31">
        <v>2.4300000000000002</v>
      </c>
      <c r="U254" s="33">
        <v>0.02</v>
      </c>
      <c r="V254" s="31" t="s">
        <v>1081</v>
      </c>
      <c r="W254" s="31">
        <v>97</v>
      </c>
      <c r="X254" s="374">
        <v>0.02</v>
      </c>
      <c r="Y254" s="31">
        <v>170</v>
      </c>
      <c r="Z254" s="31" t="s">
        <v>424</v>
      </c>
      <c r="AA254" s="31" t="s">
        <v>144</v>
      </c>
    </row>
    <row r="255" spans="5:27" s="31" customFormat="1" ht="15" customHeight="1" x14ac:dyDescent="0.25">
      <c r="E255" s="31" t="s">
        <v>201</v>
      </c>
      <c r="F255" s="31" t="s">
        <v>140</v>
      </c>
      <c r="G255" s="31" t="s">
        <v>198</v>
      </c>
      <c r="H255" s="31" t="s">
        <v>237</v>
      </c>
      <c r="I255" s="31" t="s">
        <v>481</v>
      </c>
      <c r="J255" s="31" t="s">
        <v>1293</v>
      </c>
      <c r="K255" s="31" t="s">
        <v>1302</v>
      </c>
      <c r="L255" s="31" t="s">
        <v>162</v>
      </c>
      <c r="M255" s="31" t="s">
        <v>144</v>
      </c>
      <c r="N255" s="31" t="s">
        <v>1295</v>
      </c>
      <c r="O255" s="31" t="s">
        <v>422</v>
      </c>
      <c r="P255" s="31" t="s">
        <v>423</v>
      </c>
      <c r="Q255" s="31">
        <v>28.8</v>
      </c>
      <c r="R255" s="31" t="s">
        <v>1168</v>
      </c>
      <c r="S255" s="31" t="s">
        <v>1169</v>
      </c>
      <c r="T255" s="31">
        <v>2.4300000000000002</v>
      </c>
      <c r="U255" s="33">
        <v>0.02</v>
      </c>
      <c r="V255" s="31" t="s">
        <v>1081</v>
      </c>
      <c r="W255" s="31">
        <v>97</v>
      </c>
      <c r="X255" s="374">
        <v>0.02</v>
      </c>
      <c r="Y255" s="31">
        <v>170</v>
      </c>
      <c r="Z255" s="31" t="s">
        <v>424</v>
      </c>
      <c r="AA255" s="31" t="s">
        <v>144</v>
      </c>
    </row>
    <row r="256" spans="5:27" s="31" customFormat="1" ht="15" customHeight="1" x14ac:dyDescent="0.25">
      <c r="E256" s="31" t="s">
        <v>201</v>
      </c>
      <c r="F256" s="31" t="s">
        <v>140</v>
      </c>
      <c r="G256" s="31" t="s">
        <v>198</v>
      </c>
      <c r="H256" s="31" t="s">
        <v>237</v>
      </c>
      <c r="I256" s="31" t="s">
        <v>481</v>
      </c>
      <c r="J256" s="31" t="s">
        <v>1293</v>
      </c>
      <c r="K256" s="31" t="s">
        <v>1303</v>
      </c>
      <c r="L256" s="31" t="s">
        <v>162</v>
      </c>
      <c r="M256" s="31" t="s">
        <v>144</v>
      </c>
      <c r="N256" s="31" t="s">
        <v>1295</v>
      </c>
      <c r="O256" s="31" t="s">
        <v>422</v>
      </c>
      <c r="P256" s="31" t="s">
        <v>423</v>
      </c>
      <c r="Q256" s="31">
        <v>28.8</v>
      </c>
      <c r="R256" s="31" t="s">
        <v>1168</v>
      </c>
      <c r="S256" s="31" t="s">
        <v>1169</v>
      </c>
      <c r="T256" s="31">
        <v>2.4300000000000002</v>
      </c>
      <c r="U256" s="33">
        <v>0.02</v>
      </c>
      <c r="V256" s="31" t="s">
        <v>1081</v>
      </c>
      <c r="W256" s="31">
        <v>97</v>
      </c>
      <c r="X256" s="374">
        <v>0.02</v>
      </c>
      <c r="Y256" s="31">
        <v>170</v>
      </c>
      <c r="Z256" s="31" t="s">
        <v>424</v>
      </c>
      <c r="AA256" s="31" t="s">
        <v>144</v>
      </c>
    </row>
    <row r="257" spans="5:27" s="31" customFormat="1" ht="15" customHeight="1" x14ac:dyDescent="0.25">
      <c r="E257" s="31" t="s">
        <v>201</v>
      </c>
      <c r="F257" s="31" t="s">
        <v>140</v>
      </c>
      <c r="G257" s="31" t="s">
        <v>198</v>
      </c>
      <c r="H257" s="31" t="s">
        <v>237</v>
      </c>
      <c r="I257" s="31" t="s">
        <v>481</v>
      </c>
      <c r="J257" s="31" t="s">
        <v>1293</v>
      </c>
      <c r="K257" s="31" t="s">
        <v>1304</v>
      </c>
      <c r="L257" s="31" t="s">
        <v>162</v>
      </c>
      <c r="M257" s="31" t="s">
        <v>144</v>
      </c>
      <c r="N257" s="31" t="s">
        <v>1295</v>
      </c>
      <c r="O257" s="31" t="s">
        <v>422</v>
      </c>
      <c r="P257" s="31" t="s">
        <v>423</v>
      </c>
      <c r="Q257" s="31">
        <v>28.8</v>
      </c>
      <c r="R257" s="31" t="s">
        <v>1168</v>
      </c>
      <c r="S257" s="31" t="s">
        <v>1169</v>
      </c>
      <c r="T257" s="31">
        <v>2.4300000000000002</v>
      </c>
      <c r="U257" s="33">
        <v>0.02</v>
      </c>
      <c r="V257" s="31" t="s">
        <v>1081</v>
      </c>
      <c r="W257" s="31">
        <v>97</v>
      </c>
      <c r="X257" s="374">
        <v>0.02</v>
      </c>
      <c r="Y257" s="31">
        <v>170</v>
      </c>
      <c r="Z257" s="31" t="s">
        <v>424</v>
      </c>
      <c r="AA257" s="31" t="s">
        <v>144</v>
      </c>
    </row>
    <row r="258" spans="5:27" s="31" customFormat="1" ht="15" customHeight="1" x14ac:dyDescent="0.25">
      <c r="E258" s="31" t="s">
        <v>201</v>
      </c>
      <c r="F258" s="31" t="s">
        <v>140</v>
      </c>
      <c r="G258" s="31" t="s">
        <v>198</v>
      </c>
      <c r="H258" s="31" t="s">
        <v>237</v>
      </c>
      <c r="I258" s="31" t="s">
        <v>481</v>
      </c>
      <c r="J258" s="31" t="s">
        <v>1293</v>
      </c>
      <c r="K258" s="31" t="s">
        <v>1305</v>
      </c>
      <c r="L258" s="31" t="s">
        <v>162</v>
      </c>
      <c r="M258" s="31" t="s">
        <v>144</v>
      </c>
      <c r="N258" s="31" t="s">
        <v>1295</v>
      </c>
      <c r="O258" s="31" t="s">
        <v>422</v>
      </c>
      <c r="P258" s="31" t="s">
        <v>423</v>
      </c>
      <c r="Q258" s="31">
        <v>28.8</v>
      </c>
      <c r="R258" s="31" t="s">
        <v>1168</v>
      </c>
      <c r="S258" s="31" t="s">
        <v>1169</v>
      </c>
      <c r="T258" s="31">
        <v>2.4300000000000002</v>
      </c>
      <c r="U258" s="33">
        <v>0.02</v>
      </c>
      <c r="V258" s="31" t="s">
        <v>1081</v>
      </c>
      <c r="W258" s="31">
        <v>97</v>
      </c>
      <c r="X258" s="374">
        <v>0.02</v>
      </c>
      <c r="Y258" s="31">
        <v>170</v>
      </c>
      <c r="Z258" s="31" t="s">
        <v>424</v>
      </c>
      <c r="AA258" s="31" t="s">
        <v>144</v>
      </c>
    </row>
    <row r="259" spans="5:27" s="31" customFormat="1" ht="15" customHeight="1" x14ac:dyDescent="0.25">
      <c r="E259" s="31" t="s">
        <v>201</v>
      </c>
      <c r="F259" s="31" t="s">
        <v>140</v>
      </c>
      <c r="G259" s="31" t="s">
        <v>198</v>
      </c>
      <c r="H259" s="31" t="s">
        <v>237</v>
      </c>
      <c r="I259" s="31" t="s">
        <v>481</v>
      </c>
      <c r="J259" s="31" t="s">
        <v>1293</v>
      </c>
      <c r="K259" s="31" t="s">
        <v>1306</v>
      </c>
      <c r="L259" s="31" t="s">
        <v>162</v>
      </c>
      <c r="M259" s="31" t="s">
        <v>144</v>
      </c>
      <c r="N259" s="31" t="s">
        <v>1295</v>
      </c>
      <c r="O259" s="31" t="s">
        <v>422</v>
      </c>
      <c r="P259" s="31" t="s">
        <v>423</v>
      </c>
      <c r="Q259" s="31">
        <v>28.8</v>
      </c>
      <c r="R259" s="31" t="s">
        <v>1168</v>
      </c>
      <c r="S259" s="31" t="s">
        <v>1169</v>
      </c>
      <c r="T259" s="31">
        <v>2.4300000000000002</v>
      </c>
      <c r="U259" s="33">
        <v>0.02</v>
      </c>
      <c r="V259" s="31" t="s">
        <v>1081</v>
      </c>
      <c r="W259" s="31">
        <v>97</v>
      </c>
      <c r="X259" s="374">
        <v>0.02</v>
      </c>
      <c r="Y259" s="31">
        <v>170</v>
      </c>
      <c r="Z259" s="31" t="s">
        <v>424</v>
      </c>
      <c r="AA259" s="31" t="s">
        <v>144</v>
      </c>
    </row>
    <row r="260" spans="5:27" s="31" customFormat="1" ht="15" customHeight="1" x14ac:dyDescent="0.25">
      <c r="E260" s="31" t="s">
        <v>201</v>
      </c>
      <c r="F260" s="31" t="s">
        <v>140</v>
      </c>
      <c r="G260" s="31" t="s">
        <v>198</v>
      </c>
      <c r="H260" s="31" t="s">
        <v>237</v>
      </c>
      <c r="I260" s="31" t="s">
        <v>481</v>
      </c>
      <c r="J260" s="31" t="s">
        <v>1293</v>
      </c>
      <c r="K260" s="31" t="s">
        <v>1307</v>
      </c>
      <c r="L260" s="31" t="s">
        <v>162</v>
      </c>
      <c r="M260" s="31" t="s">
        <v>144</v>
      </c>
      <c r="N260" s="31" t="s">
        <v>1295</v>
      </c>
      <c r="O260" s="31" t="s">
        <v>422</v>
      </c>
      <c r="P260" s="31" t="s">
        <v>423</v>
      </c>
      <c r="Q260" s="31">
        <v>28.8</v>
      </c>
      <c r="R260" s="31" t="s">
        <v>1168</v>
      </c>
      <c r="S260" s="31" t="s">
        <v>1169</v>
      </c>
      <c r="T260" s="31">
        <v>2.4300000000000002</v>
      </c>
      <c r="U260" s="33">
        <v>0.02</v>
      </c>
      <c r="V260" s="31" t="s">
        <v>1081</v>
      </c>
      <c r="W260" s="31">
        <v>97</v>
      </c>
      <c r="X260" s="374">
        <v>0.02</v>
      </c>
      <c r="Y260" s="31">
        <v>170</v>
      </c>
      <c r="Z260" s="31" t="s">
        <v>424</v>
      </c>
      <c r="AA260" s="31" t="s">
        <v>144</v>
      </c>
    </row>
    <row r="261" spans="5:27" s="31" customFormat="1" ht="15" customHeight="1" x14ac:dyDescent="0.25">
      <c r="E261" s="31" t="s">
        <v>201</v>
      </c>
      <c r="F261" s="31" t="s">
        <v>140</v>
      </c>
      <c r="G261" s="31" t="s">
        <v>198</v>
      </c>
      <c r="H261" s="31" t="s">
        <v>237</v>
      </c>
      <c r="I261" s="31" t="s">
        <v>481</v>
      </c>
      <c r="J261" s="31" t="s">
        <v>1293</v>
      </c>
      <c r="K261" s="31" t="s">
        <v>1308</v>
      </c>
      <c r="L261" s="31" t="s">
        <v>162</v>
      </c>
      <c r="M261" s="31" t="s">
        <v>144</v>
      </c>
      <c r="N261" s="31" t="s">
        <v>1295</v>
      </c>
      <c r="O261" s="31" t="s">
        <v>422</v>
      </c>
      <c r="P261" s="31" t="s">
        <v>423</v>
      </c>
      <c r="Q261" s="31">
        <v>28.8</v>
      </c>
      <c r="R261" s="31" t="s">
        <v>1168</v>
      </c>
      <c r="S261" s="31" t="s">
        <v>1169</v>
      </c>
      <c r="T261" s="31">
        <v>2.4300000000000002</v>
      </c>
      <c r="U261" s="33">
        <v>0.02</v>
      </c>
      <c r="V261" s="31" t="s">
        <v>1081</v>
      </c>
      <c r="W261" s="31">
        <v>97</v>
      </c>
      <c r="X261" s="374">
        <v>0.02</v>
      </c>
      <c r="Y261" s="31">
        <v>170</v>
      </c>
      <c r="Z261" s="31" t="s">
        <v>424</v>
      </c>
      <c r="AA261" s="31" t="s">
        <v>144</v>
      </c>
    </row>
    <row r="262" spans="5:27" s="31" customFormat="1" ht="15" customHeight="1" x14ac:dyDescent="0.25">
      <c r="E262" s="31" t="s">
        <v>201</v>
      </c>
      <c r="F262" s="31" t="s">
        <v>140</v>
      </c>
      <c r="G262" s="31" t="s">
        <v>198</v>
      </c>
      <c r="H262" s="31" t="s">
        <v>237</v>
      </c>
      <c r="I262" s="31" t="s">
        <v>481</v>
      </c>
      <c r="J262" s="31" t="s">
        <v>1293</v>
      </c>
      <c r="K262" s="31" t="s">
        <v>1309</v>
      </c>
      <c r="L262" s="31" t="s">
        <v>162</v>
      </c>
      <c r="M262" s="31" t="s">
        <v>144</v>
      </c>
      <c r="N262" s="31" t="s">
        <v>1295</v>
      </c>
      <c r="O262" s="31" t="s">
        <v>422</v>
      </c>
      <c r="P262" s="31" t="s">
        <v>423</v>
      </c>
      <c r="Q262" s="31">
        <v>28.8</v>
      </c>
      <c r="R262" s="31" t="s">
        <v>1168</v>
      </c>
      <c r="S262" s="31" t="s">
        <v>1169</v>
      </c>
      <c r="T262" s="31">
        <v>2.4300000000000002</v>
      </c>
      <c r="U262" s="33">
        <v>0.02</v>
      </c>
      <c r="V262" s="31" t="s">
        <v>1081</v>
      </c>
      <c r="W262" s="31">
        <v>97</v>
      </c>
      <c r="X262" s="374">
        <v>0.02</v>
      </c>
      <c r="Y262" s="31">
        <v>170</v>
      </c>
      <c r="Z262" s="31" t="s">
        <v>424</v>
      </c>
      <c r="AA262" s="31" t="s">
        <v>144</v>
      </c>
    </row>
    <row r="263" spans="5:27" s="31" customFormat="1" ht="15" customHeight="1" x14ac:dyDescent="0.25">
      <c r="E263" s="31" t="s">
        <v>201</v>
      </c>
      <c r="F263" s="31" t="s">
        <v>140</v>
      </c>
      <c r="G263" s="31" t="s">
        <v>198</v>
      </c>
      <c r="H263" s="31" t="s">
        <v>237</v>
      </c>
      <c r="I263" s="31" t="s">
        <v>481</v>
      </c>
      <c r="J263" s="31" t="s">
        <v>1293</v>
      </c>
      <c r="K263" s="31" t="s">
        <v>1310</v>
      </c>
      <c r="L263" s="31" t="s">
        <v>162</v>
      </c>
      <c r="M263" s="31" t="s">
        <v>144</v>
      </c>
      <c r="N263" s="31" t="s">
        <v>1295</v>
      </c>
      <c r="O263" s="31" t="s">
        <v>422</v>
      </c>
      <c r="P263" s="31" t="s">
        <v>423</v>
      </c>
      <c r="Q263" s="31">
        <v>28.8</v>
      </c>
      <c r="R263" s="31" t="s">
        <v>1168</v>
      </c>
      <c r="S263" s="31" t="s">
        <v>1169</v>
      </c>
      <c r="T263" s="31">
        <v>2.4300000000000002</v>
      </c>
      <c r="U263" s="33">
        <v>0.02</v>
      </c>
      <c r="V263" s="31" t="s">
        <v>1081</v>
      </c>
      <c r="W263" s="31">
        <v>97</v>
      </c>
      <c r="X263" s="374">
        <v>0.02</v>
      </c>
      <c r="Y263" s="31">
        <v>170</v>
      </c>
      <c r="Z263" s="31" t="s">
        <v>424</v>
      </c>
      <c r="AA263" s="31" t="s">
        <v>144</v>
      </c>
    </row>
    <row r="264" spans="5:27" s="31" customFormat="1" ht="15" customHeight="1" x14ac:dyDescent="0.25">
      <c r="E264" s="31" t="s">
        <v>201</v>
      </c>
      <c r="F264" s="31" t="s">
        <v>140</v>
      </c>
      <c r="G264" s="31" t="s">
        <v>198</v>
      </c>
      <c r="H264" s="31" t="s">
        <v>237</v>
      </c>
      <c r="I264" s="31" t="s">
        <v>481</v>
      </c>
      <c r="J264" s="31" t="s">
        <v>1293</v>
      </c>
      <c r="K264" s="31" t="s">
        <v>1311</v>
      </c>
      <c r="L264" s="31" t="s">
        <v>162</v>
      </c>
      <c r="M264" s="31" t="s">
        <v>144</v>
      </c>
      <c r="N264" s="31" t="s">
        <v>1295</v>
      </c>
      <c r="O264" s="31" t="s">
        <v>422</v>
      </c>
      <c r="P264" s="31" t="s">
        <v>423</v>
      </c>
      <c r="Q264" s="31">
        <v>28.8</v>
      </c>
      <c r="R264" s="31" t="s">
        <v>1168</v>
      </c>
      <c r="S264" s="31" t="s">
        <v>1169</v>
      </c>
      <c r="T264" s="31">
        <v>2.4300000000000002</v>
      </c>
      <c r="U264" s="33">
        <v>0.02</v>
      </c>
      <c r="V264" s="31" t="s">
        <v>1081</v>
      </c>
      <c r="W264" s="31">
        <v>97</v>
      </c>
      <c r="X264" s="374">
        <v>0.02</v>
      </c>
      <c r="Y264" s="31">
        <v>170</v>
      </c>
      <c r="Z264" s="31" t="s">
        <v>424</v>
      </c>
      <c r="AA264" s="31" t="s">
        <v>144</v>
      </c>
    </row>
    <row r="265" spans="5:27" s="31" customFormat="1" ht="15" customHeight="1" x14ac:dyDescent="0.25">
      <c r="E265" s="31" t="s">
        <v>201</v>
      </c>
      <c r="F265" s="31" t="s">
        <v>140</v>
      </c>
      <c r="G265" s="31" t="s">
        <v>198</v>
      </c>
      <c r="H265" s="31" t="s">
        <v>237</v>
      </c>
      <c r="I265" s="31" t="s">
        <v>481</v>
      </c>
      <c r="J265" s="31" t="s">
        <v>1293</v>
      </c>
      <c r="K265" s="31" t="s">
        <v>1312</v>
      </c>
      <c r="L265" s="31" t="s">
        <v>162</v>
      </c>
      <c r="M265" s="31" t="s">
        <v>144</v>
      </c>
      <c r="N265" s="31" t="s">
        <v>1295</v>
      </c>
      <c r="O265" s="31" t="s">
        <v>422</v>
      </c>
      <c r="P265" s="31" t="s">
        <v>423</v>
      </c>
      <c r="Q265" s="31">
        <v>28.8</v>
      </c>
      <c r="R265" s="31" t="s">
        <v>1168</v>
      </c>
      <c r="S265" s="31" t="s">
        <v>1169</v>
      </c>
      <c r="T265" s="31">
        <v>2.4300000000000002</v>
      </c>
      <c r="U265" s="33">
        <v>0.02</v>
      </c>
      <c r="V265" s="31" t="s">
        <v>1081</v>
      </c>
      <c r="W265" s="31">
        <v>97</v>
      </c>
      <c r="X265" s="374">
        <v>0.02</v>
      </c>
      <c r="Y265" s="31">
        <v>170</v>
      </c>
      <c r="Z265" s="31" t="s">
        <v>424</v>
      </c>
      <c r="AA265" s="31" t="s">
        <v>144</v>
      </c>
    </row>
    <row r="266" spans="5:27" s="31" customFormat="1" ht="15" customHeight="1" x14ac:dyDescent="0.25">
      <c r="E266" s="31" t="s">
        <v>201</v>
      </c>
      <c r="F266" s="31" t="s">
        <v>140</v>
      </c>
      <c r="G266" s="31" t="s">
        <v>198</v>
      </c>
      <c r="H266" s="31" t="s">
        <v>237</v>
      </c>
      <c r="I266" s="31" t="s">
        <v>481</v>
      </c>
      <c r="J266" s="31" t="s">
        <v>1293</v>
      </c>
      <c r="K266" s="31" t="s">
        <v>1313</v>
      </c>
      <c r="L266" s="31" t="s">
        <v>162</v>
      </c>
      <c r="M266" s="31" t="s">
        <v>144</v>
      </c>
      <c r="N266" s="31" t="s">
        <v>1295</v>
      </c>
      <c r="O266" s="31" t="s">
        <v>422</v>
      </c>
      <c r="P266" s="31" t="s">
        <v>423</v>
      </c>
      <c r="Q266" s="31">
        <v>28.8</v>
      </c>
      <c r="R266" s="31" t="s">
        <v>1168</v>
      </c>
      <c r="S266" s="31" t="s">
        <v>1169</v>
      </c>
      <c r="T266" s="31">
        <v>2.4300000000000002</v>
      </c>
      <c r="U266" s="33">
        <v>0.02</v>
      </c>
      <c r="V266" s="31" t="s">
        <v>1081</v>
      </c>
      <c r="W266" s="31">
        <v>97</v>
      </c>
      <c r="X266" s="374">
        <v>0.02</v>
      </c>
      <c r="Y266" s="31">
        <v>170</v>
      </c>
      <c r="Z266" s="31" t="s">
        <v>424</v>
      </c>
      <c r="AA266" s="31" t="s">
        <v>144</v>
      </c>
    </row>
    <row r="267" spans="5:27" s="31" customFormat="1" ht="15" customHeight="1" x14ac:dyDescent="0.25">
      <c r="E267" s="31" t="s">
        <v>201</v>
      </c>
      <c r="F267" s="31" t="s">
        <v>140</v>
      </c>
      <c r="G267" s="31" t="s">
        <v>198</v>
      </c>
      <c r="H267" s="31" t="s">
        <v>237</v>
      </c>
      <c r="I267" s="31" t="s">
        <v>481</v>
      </c>
      <c r="J267" s="31" t="s">
        <v>1293</v>
      </c>
      <c r="K267" s="31" t="s">
        <v>1314</v>
      </c>
      <c r="L267" s="31" t="s">
        <v>162</v>
      </c>
      <c r="M267" s="31" t="s">
        <v>144</v>
      </c>
      <c r="N267" s="31" t="s">
        <v>1295</v>
      </c>
      <c r="O267" s="31" t="s">
        <v>422</v>
      </c>
      <c r="P267" s="31" t="s">
        <v>423</v>
      </c>
      <c r="Q267" s="31">
        <v>28.8</v>
      </c>
      <c r="R267" s="31" t="s">
        <v>1168</v>
      </c>
      <c r="S267" s="31" t="s">
        <v>1169</v>
      </c>
      <c r="T267" s="31">
        <v>2.4300000000000002</v>
      </c>
      <c r="U267" s="33">
        <v>0.02</v>
      </c>
      <c r="V267" s="31" t="s">
        <v>1081</v>
      </c>
      <c r="W267" s="31">
        <v>97</v>
      </c>
      <c r="X267" s="374">
        <v>0.02</v>
      </c>
      <c r="Y267" s="31">
        <v>170</v>
      </c>
      <c r="Z267" s="31" t="s">
        <v>424</v>
      </c>
      <c r="AA267" s="31" t="s">
        <v>144</v>
      </c>
    </row>
    <row r="268" spans="5:27" s="31" customFormat="1" ht="15" customHeight="1" x14ac:dyDescent="0.25">
      <c r="E268" s="31" t="s">
        <v>201</v>
      </c>
      <c r="F268" s="31" t="s">
        <v>140</v>
      </c>
      <c r="G268" s="31" t="s">
        <v>198</v>
      </c>
      <c r="H268" s="31" t="s">
        <v>237</v>
      </c>
      <c r="I268" s="31" t="s">
        <v>481</v>
      </c>
      <c r="J268" s="31" t="s">
        <v>1293</v>
      </c>
      <c r="K268" s="31" t="s">
        <v>1315</v>
      </c>
      <c r="L268" s="31" t="s">
        <v>162</v>
      </c>
      <c r="M268" s="31" t="s">
        <v>144</v>
      </c>
      <c r="N268" s="31" t="s">
        <v>1295</v>
      </c>
      <c r="O268" s="31" t="s">
        <v>422</v>
      </c>
      <c r="P268" s="31" t="s">
        <v>423</v>
      </c>
      <c r="Q268" s="31">
        <v>28.8</v>
      </c>
      <c r="R268" s="31" t="s">
        <v>1168</v>
      </c>
      <c r="S268" s="31" t="s">
        <v>1169</v>
      </c>
      <c r="T268" s="31">
        <v>2.4300000000000002</v>
      </c>
      <c r="U268" s="33">
        <v>0.02</v>
      </c>
      <c r="V268" s="31" t="s">
        <v>1081</v>
      </c>
      <c r="W268" s="31">
        <v>97</v>
      </c>
      <c r="X268" s="374">
        <v>0.02</v>
      </c>
      <c r="Y268" s="31">
        <v>170</v>
      </c>
      <c r="Z268" s="31" t="s">
        <v>424</v>
      </c>
      <c r="AA268" s="31" t="s">
        <v>144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4CD9-38B3-4BF4-8030-3DA03655342D}">
  <dimension ref="A1"/>
  <sheetViews>
    <sheetView topLeftCell="A7" workbookViewId="0">
      <selection activeCell="M30" sqref="M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CC39-5250-4D25-AD1F-C513EF818794}">
  <dimension ref="B1:G81"/>
  <sheetViews>
    <sheetView topLeftCell="A41" workbookViewId="0">
      <selection activeCell="G15" sqref="G15"/>
    </sheetView>
  </sheetViews>
  <sheetFormatPr defaultRowHeight="15" x14ac:dyDescent="0.25"/>
  <cols>
    <col min="1" max="1" width="5" customWidth="1"/>
    <col min="2" max="2" width="15.7109375" customWidth="1"/>
    <col min="3" max="3" width="22.140625" customWidth="1"/>
    <col min="4" max="4" width="13.28515625" customWidth="1"/>
    <col min="5" max="5" width="12.140625" customWidth="1"/>
    <col min="6" max="6" width="30" customWidth="1"/>
    <col min="7" max="7" width="27.42578125" bestFit="1" customWidth="1"/>
  </cols>
  <sheetData>
    <row r="1" spans="2:6" x14ac:dyDescent="0.25">
      <c r="B1" s="273" t="s">
        <v>380</v>
      </c>
    </row>
    <row r="2" spans="2:6" ht="15.75" thickBot="1" x14ac:dyDescent="0.3">
      <c r="B2" s="273"/>
    </row>
    <row r="3" spans="2:6" x14ac:dyDescent="0.25">
      <c r="B3" s="274" t="s">
        <v>203</v>
      </c>
      <c r="C3" s="275" t="s">
        <v>332</v>
      </c>
      <c r="D3" s="275" t="s">
        <v>204</v>
      </c>
      <c r="E3" s="275" t="s">
        <v>333</v>
      </c>
      <c r="F3" s="276" t="s">
        <v>208</v>
      </c>
    </row>
    <row r="4" spans="2:6" x14ac:dyDescent="0.25">
      <c r="B4" s="277" t="s">
        <v>339</v>
      </c>
      <c r="C4" s="278" t="s">
        <v>340</v>
      </c>
      <c r="D4" s="278" t="s">
        <v>381</v>
      </c>
      <c r="E4" s="278" t="s">
        <v>342</v>
      </c>
      <c r="F4" s="279" t="s">
        <v>221</v>
      </c>
    </row>
    <row r="5" spans="2:6" x14ac:dyDescent="0.25">
      <c r="B5" s="280"/>
      <c r="C5" s="281"/>
      <c r="D5" s="281" t="s">
        <v>222</v>
      </c>
      <c r="E5" s="281" t="s">
        <v>345</v>
      </c>
      <c r="F5" s="282" t="s">
        <v>382</v>
      </c>
    </row>
    <row r="6" spans="2:6" x14ac:dyDescent="0.25">
      <c r="B6" s="41" t="s">
        <v>383</v>
      </c>
      <c r="C6" s="42" t="s">
        <v>384</v>
      </c>
      <c r="D6" s="42" t="s">
        <v>227</v>
      </c>
      <c r="E6" s="42" t="s">
        <v>342</v>
      </c>
      <c r="F6" s="283" t="s">
        <v>228</v>
      </c>
    </row>
    <row r="7" spans="2:6" x14ac:dyDescent="0.25">
      <c r="B7" s="41"/>
      <c r="C7" s="42" t="s">
        <v>385</v>
      </c>
      <c r="D7" s="42" t="s">
        <v>222</v>
      </c>
      <c r="E7" s="42" t="s">
        <v>345</v>
      </c>
      <c r="F7" s="283" t="s">
        <v>382</v>
      </c>
    </row>
    <row r="8" spans="2:6" x14ac:dyDescent="0.25">
      <c r="B8" s="284" t="s">
        <v>358</v>
      </c>
      <c r="C8" s="285" t="s">
        <v>359</v>
      </c>
      <c r="D8" s="285" t="s">
        <v>381</v>
      </c>
      <c r="E8" s="285" t="s">
        <v>342</v>
      </c>
      <c r="F8" s="286" t="s">
        <v>221</v>
      </c>
    </row>
    <row r="9" spans="2:6" x14ac:dyDescent="0.25">
      <c r="B9" s="287" t="s">
        <v>386</v>
      </c>
      <c r="C9" s="288" t="s">
        <v>387</v>
      </c>
      <c r="D9" s="288" t="s">
        <v>220</v>
      </c>
      <c r="E9" s="288" t="s">
        <v>342</v>
      </c>
      <c r="F9" s="289" t="s">
        <v>221</v>
      </c>
    </row>
    <row r="10" spans="2:6" x14ac:dyDescent="0.25">
      <c r="B10" s="41"/>
      <c r="C10" s="42" t="s">
        <v>385</v>
      </c>
      <c r="D10" s="42" t="s">
        <v>222</v>
      </c>
      <c r="E10" s="42" t="s">
        <v>345</v>
      </c>
      <c r="F10" s="283" t="s">
        <v>382</v>
      </c>
    </row>
    <row r="11" spans="2:6" x14ac:dyDescent="0.25">
      <c r="B11" s="277" t="s">
        <v>388</v>
      </c>
      <c r="C11" s="278" t="s">
        <v>389</v>
      </c>
      <c r="D11" s="290" t="s">
        <v>220</v>
      </c>
      <c r="E11" s="290" t="s">
        <v>342</v>
      </c>
      <c r="F11" s="291" t="s">
        <v>221</v>
      </c>
    </row>
    <row r="12" spans="2:6" x14ac:dyDescent="0.25">
      <c r="B12" s="292"/>
      <c r="C12" s="293" t="s">
        <v>385</v>
      </c>
      <c r="D12" s="293" t="s">
        <v>222</v>
      </c>
      <c r="E12" s="293" t="s">
        <v>345</v>
      </c>
      <c r="F12" s="294" t="s">
        <v>382</v>
      </c>
    </row>
    <row r="13" spans="2:6" ht="15.75" thickBot="1" x14ac:dyDescent="0.3">
      <c r="B13" s="295" t="s">
        <v>366</v>
      </c>
      <c r="C13" s="296" t="s">
        <v>367</v>
      </c>
      <c r="D13" s="297" t="s">
        <v>368</v>
      </c>
      <c r="E13" s="296" t="s">
        <v>342</v>
      </c>
      <c r="F13" s="298" t="s">
        <v>221</v>
      </c>
    </row>
    <row r="16" spans="2:6" ht="23.25" x14ac:dyDescent="0.35">
      <c r="B16" s="299" t="s">
        <v>390</v>
      </c>
      <c r="C16" s="299"/>
    </row>
    <row r="17" spans="2:6" ht="23.25" x14ac:dyDescent="0.35">
      <c r="B17" s="299"/>
      <c r="C17" s="299"/>
    </row>
    <row r="18" spans="2:6" ht="15.75" thickBot="1" x14ac:dyDescent="0.3">
      <c r="B18" s="273" t="s">
        <v>330</v>
      </c>
    </row>
    <row r="19" spans="2:6" x14ac:dyDescent="0.25">
      <c r="B19" s="300" t="s">
        <v>203</v>
      </c>
      <c r="C19" s="301" t="s">
        <v>332</v>
      </c>
      <c r="D19" s="301" t="s">
        <v>204</v>
      </c>
      <c r="E19" s="301" t="s">
        <v>333</v>
      </c>
      <c r="F19" s="302" t="s">
        <v>208</v>
      </c>
    </row>
    <row r="20" spans="2:6" x14ac:dyDescent="0.25">
      <c r="B20" s="303" t="s">
        <v>334</v>
      </c>
      <c r="C20" s="304" t="s">
        <v>209</v>
      </c>
      <c r="D20" s="305" t="s">
        <v>391</v>
      </c>
      <c r="E20" s="305" t="s">
        <v>211</v>
      </c>
      <c r="F20" s="306" t="s">
        <v>214</v>
      </c>
    </row>
    <row r="21" spans="2:6" x14ac:dyDescent="0.25">
      <c r="B21" s="307"/>
      <c r="C21" s="308" t="s">
        <v>392</v>
      </c>
      <c r="D21" s="305" t="s">
        <v>210</v>
      </c>
      <c r="E21" s="305" t="s">
        <v>344</v>
      </c>
      <c r="F21" s="306" t="s">
        <v>214</v>
      </c>
    </row>
    <row r="22" spans="2:6" x14ac:dyDescent="0.25">
      <c r="B22" s="287" t="s">
        <v>347</v>
      </c>
      <c r="C22" s="288" t="s">
        <v>215</v>
      </c>
      <c r="D22" s="288" t="s">
        <v>216</v>
      </c>
      <c r="E22" s="288" t="s">
        <v>211</v>
      </c>
      <c r="F22" s="289" t="s">
        <v>214</v>
      </c>
    </row>
    <row r="23" spans="2:6" x14ac:dyDescent="0.25">
      <c r="B23" s="41"/>
      <c r="C23" s="42" t="s">
        <v>393</v>
      </c>
      <c r="D23" s="42" t="s">
        <v>220</v>
      </c>
      <c r="E23" s="42" t="s">
        <v>211</v>
      </c>
      <c r="F23" s="283" t="s">
        <v>221</v>
      </c>
    </row>
    <row r="24" spans="2:6" x14ac:dyDescent="0.25">
      <c r="B24" s="309"/>
      <c r="C24" s="310" t="s">
        <v>394</v>
      </c>
      <c r="D24" s="310" t="s">
        <v>222</v>
      </c>
      <c r="E24" s="310" t="s">
        <v>354</v>
      </c>
      <c r="F24" s="311" t="s">
        <v>225</v>
      </c>
    </row>
    <row r="25" spans="2:6" x14ac:dyDescent="0.25">
      <c r="B25" s="312" t="s">
        <v>356</v>
      </c>
      <c r="C25" s="313"/>
      <c r="D25" s="313" t="s">
        <v>227</v>
      </c>
      <c r="E25" s="313" t="s">
        <v>211</v>
      </c>
      <c r="F25" s="314" t="s">
        <v>228</v>
      </c>
    </row>
    <row r="26" spans="2:6" x14ac:dyDescent="0.25">
      <c r="B26" s="315" t="s">
        <v>395</v>
      </c>
      <c r="C26" s="308" t="s">
        <v>394</v>
      </c>
      <c r="D26" s="316" t="s">
        <v>222</v>
      </c>
      <c r="E26" s="316" t="s">
        <v>354</v>
      </c>
      <c r="F26" s="317" t="s">
        <v>225</v>
      </c>
    </row>
    <row r="27" spans="2:6" x14ac:dyDescent="0.25">
      <c r="B27" s="41" t="s">
        <v>363</v>
      </c>
      <c r="C27" s="42" t="s">
        <v>364</v>
      </c>
      <c r="D27" s="42" t="s">
        <v>227</v>
      </c>
      <c r="E27" s="42" t="s">
        <v>211</v>
      </c>
      <c r="F27" s="283" t="s">
        <v>228</v>
      </c>
    </row>
    <row r="28" spans="2:6" x14ac:dyDescent="0.25">
      <c r="B28" s="303" t="s">
        <v>234</v>
      </c>
      <c r="C28" s="304" t="s">
        <v>369</v>
      </c>
      <c r="D28" s="304" t="s">
        <v>227</v>
      </c>
      <c r="E28" s="304" t="s">
        <v>211</v>
      </c>
      <c r="F28" s="318" t="s">
        <v>228</v>
      </c>
    </row>
    <row r="29" spans="2:6" ht="15.75" thickBot="1" x14ac:dyDescent="0.3">
      <c r="B29" s="319"/>
      <c r="C29" s="320"/>
      <c r="D29" s="320" t="s">
        <v>222</v>
      </c>
      <c r="E29" s="320" t="s">
        <v>354</v>
      </c>
      <c r="F29" s="321" t="s">
        <v>225</v>
      </c>
    </row>
    <row r="32" spans="2:6" ht="15.75" thickBot="1" x14ac:dyDescent="0.3">
      <c r="B32" s="273" t="s">
        <v>331</v>
      </c>
    </row>
    <row r="33" spans="2:7" x14ac:dyDescent="0.25">
      <c r="B33" s="322" t="s">
        <v>203</v>
      </c>
      <c r="C33" s="323" t="s">
        <v>332</v>
      </c>
      <c r="D33" s="323" t="s">
        <v>204</v>
      </c>
      <c r="E33" s="323" t="s">
        <v>333</v>
      </c>
      <c r="F33" s="276" t="s">
        <v>208</v>
      </c>
    </row>
    <row r="34" spans="2:7" x14ac:dyDescent="0.25">
      <c r="B34" s="324" t="s">
        <v>339</v>
      </c>
      <c r="C34" s="325" t="s">
        <v>340</v>
      </c>
      <c r="D34" s="325" t="s">
        <v>368</v>
      </c>
      <c r="E34" s="325" t="s">
        <v>342</v>
      </c>
      <c r="F34" s="326" t="s">
        <v>221</v>
      </c>
    </row>
    <row r="35" spans="2:7" x14ac:dyDescent="0.25">
      <c r="B35" s="327"/>
      <c r="C35" s="328"/>
      <c r="D35" s="328" t="s">
        <v>222</v>
      </c>
      <c r="E35" s="328" t="s">
        <v>345</v>
      </c>
      <c r="F35" s="329" t="s">
        <v>346</v>
      </c>
    </row>
    <row r="36" spans="2:7" x14ac:dyDescent="0.25">
      <c r="B36" s="330" t="s">
        <v>348</v>
      </c>
      <c r="C36" s="331" t="s">
        <v>349</v>
      </c>
      <c r="D36" s="331" t="s">
        <v>220</v>
      </c>
      <c r="E36" s="331" t="s">
        <v>342</v>
      </c>
      <c r="F36" s="289" t="s">
        <v>350</v>
      </c>
    </row>
    <row r="37" spans="2:7" x14ac:dyDescent="0.25">
      <c r="B37" s="332"/>
      <c r="D37" t="s">
        <v>222</v>
      </c>
      <c r="E37" t="s">
        <v>345</v>
      </c>
      <c r="F37" s="283" t="s">
        <v>350</v>
      </c>
    </row>
    <row r="38" spans="2:7" x14ac:dyDescent="0.25">
      <c r="B38" s="333"/>
      <c r="C38" s="334"/>
      <c r="D38" s="334" t="s">
        <v>355</v>
      </c>
      <c r="E38" s="334" t="s">
        <v>213</v>
      </c>
      <c r="F38" s="311" t="s">
        <v>350</v>
      </c>
    </row>
    <row r="39" spans="2:7" x14ac:dyDescent="0.25">
      <c r="B39" s="335" t="s">
        <v>358</v>
      </c>
      <c r="C39" s="336" t="s">
        <v>359</v>
      </c>
      <c r="D39" s="336" t="s">
        <v>368</v>
      </c>
      <c r="E39" s="336" t="s">
        <v>342</v>
      </c>
      <c r="F39" s="337" t="s">
        <v>221</v>
      </c>
    </row>
    <row r="40" spans="2:7" x14ac:dyDescent="0.25">
      <c r="B40" s="330" t="s">
        <v>386</v>
      </c>
      <c r="C40" s="331" t="s">
        <v>387</v>
      </c>
      <c r="D40" s="331" t="s">
        <v>220</v>
      </c>
      <c r="E40" s="331" t="s">
        <v>342</v>
      </c>
      <c r="F40" s="289" t="s">
        <v>221</v>
      </c>
    </row>
    <row r="41" spans="2:7" x14ac:dyDescent="0.25">
      <c r="B41" s="333"/>
      <c r="C41" s="334" t="s">
        <v>385</v>
      </c>
      <c r="D41" s="334" t="s">
        <v>222</v>
      </c>
      <c r="E41" s="334" t="s">
        <v>345</v>
      </c>
      <c r="F41" s="311" t="s">
        <v>346</v>
      </c>
    </row>
    <row r="42" spans="2:7" ht="15.75" thickBot="1" x14ac:dyDescent="0.3">
      <c r="B42" s="338" t="s">
        <v>366</v>
      </c>
      <c r="C42" s="339" t="s">
        <v>367</v>
      </c>
      <c r="D42" s="339" t="s">
        <v>368</v>
      </c>
      <c r="E42" s="339" t="s">
        <v>342</v>
      </c>
      <c r="F42" s="340" t="s">
        <v>221</v>
      </c>
    </row>
    <row r="45" spans="2:7" ht="23.25" x14ac:dyDescent="0.35">
      <c r="B45" s="299" t="s">
        <v>396</v>
      </c>
    </row>
    <row r="46" spans="2:7" ht="15.75" thickBot="1" x14ac:dyDescent="0.3">
      <c r="B46" s="273" t="s">
        <v>395</v>
      </c>
    </row>
    <row r="47" spans="2:7" ht="15.75" thickBot="1" x14ac:dyDescent="0.3">
      <c r="B47" s="35" t="s">
        <v>203</v>
      </c>
      <c r="C47" s="36" t="s">
        <v>204</v>
      </c>
      <c r="D47" s="36" t="s">
        <v>205</v>
      </c>
      <c r="E47" s="36" t="s">
        <v>206</v>
      </c>
      <c r="F47" s="36" t="s">
        <v>207</v>
      </c>
      <c r="G47" s="37" t="s">
        <v>208</v>
      </c>
    </row>
    <row r="48" spans="2:7" x14ac:dyDescent="0.25">
      <c r="B48" s="38" t="s">
        <v>209</v>
      </c>
      <c r="C48" s="39" t="s">
        <v>210</v>
      </c>
      <c r="D48" s="39" t="s">
        <v>211</v>
      </c>
      <c r="E48" s="39" t="s">
        <v>212</v>
      </c>
      <c r="F48" s="39" t="s">
        <v>213</v>
      </c>
      <c r="G48" s="40" t="s">
        <v>214</v>
      </c>
    </row>
    <row r="49" spans="2:7" x14ac:dyDescent="0.25">
      <c r="B49" s="341" t="s">
        <v>215</v>
      </c>
      <c r="C49" s="342" t="s">
        <v>216</v>
      </c>
      <c r="D49" s="342" t="s">
        <v>213</v>
      </c>
      <c r="E49" s="342" t="s">
        <v>217</v>
      </c>
      <c r="F49" s="342" t="s">
        <v>218</v>
      </c>
      <c r="G49" s="343" t="s">
        <v>214</v>
      </c>
    </row>
    <row r="50" spans="2:7" x14ac:dyDescent="0.25">
      <c r="B50" s="41" t="s">
        <v>219</v>
      </c>
      <c r="C50" s="42" t="s">
        <v>220</v>
      </c>
      <c r="D50" s="342" t="s">
        <v>213</v>
      </c>
      <c r="E50" s="342" t="s">
        <v>217</v>
      </c>
      <c r="F50" s="342" t="s">
        <v>218</v>
      </c>
      <c r="G50" s="43" t="s">
        <v>221</v>
      </c>
    </row>
    <row r="51" spans="2:7" x14ac:dyDescent="0.25">
      <c r="B51" s="344"/>
      <c r="C51" s="345" t="s">
        <v>222</v>
      </c>
      <c r="D51" s="345" t="s">
        <v>223</v>
      </c>
      <c r="E51" s="345" t="s">
        <v>224</v>
      </c>
      <c r="F51" s="345" t="s">
        <v>211</v>
      </c>
      <c r="G51" s="346" t="s">
        <v>225</v>
      </c>
    </row>
    <row r="52" spans="2:7" x14ac:dyDescent="0.25">
      <c r="B52" s="38" t="s">
        <v>226</v>
      </c>
      <c r="C52" s="39" t="s">
        <v>227</v>
      </c>
      <c r="D52" s="39" t="s">
        <v>213</v>
      </c>
      <c r="E52" s="39" t="s">
        <v>217</v>
      </c>
      <c r="F52" s="39" t="s">
        <v>218</v>
      </c>
      <c r="G52" s="40" t="s">
        <v>228</v>
      </c>
    </row>
    <row r="53" spans="2:7" x14ac:dyDescent="0.25">
      <c r="B53" s="341" t="s">
        <v>229</v>
      </c>
      <c r="C53" s="342" t="s">
        <v>227</v>
      </c>
      <c r="D53" s="342" t="s">
        <v>213</v>
      </c>
      <c r="E53" s="342" t="s">
        <v>217</v>
      </c>
      <c r="F53" s="342" t="s">
        <v>218</v>
      </c>
      <c r="G53" s="343" t="s">
        <v>228</v>
      </c>
    </row>
    <row r="54" spans="2:7" x14ac:dyDescent="0.25">
      <c r="B54" s="344" t="s">
        <v>230</v>
      </c>
      <c r="C54" s="345" t="s">
        <v>222</v>
      </c>
      <c r="D54" s="345" t="s">
        <v>223</v>
      </c>
      <c r="E54" s="345" t="s">
        <v>224</v>
      </c>
      <c r="F54" s="345" t="s">
        <v>211</v>
      </c>
      <c r="G54" s="346" t="s">
        <v>225</v>
      </c>
    </row>
    <row r="55" spans="2:7" x14ac:dyDescent="0.25">
      <c r="B55" s="38" t="s">
        <v>231</v>
      </c>
      <c r="C55" s="39" t="s">
        <v>227</v>
      </c>
      <c r="D55" s="39" t="s">
        <v>213</v>
      </c>
      <c r="E55" s="39" t="s">
        <v>217</v>
      </c>
      <c r="F55" s="39" t="s">
        <v>218</v>
      </c>
      <c r="G55" s="40" t="s">
        <v>228</v>
      </c>
    </row>
    <row r="56" spans="2:7" x14ac:dyDescent="0.25">
      <c r="B56" s="38"/>
      <c r="C56" s="39" t="s">
        <v>232</v>
      </c>
      <c r="D56" s="39"/>
      <c r="E56" s="39"/>
      <c r="F56" s="39"/>
      <c r="G56" s="40" t="s">
        <v>233</v>
      </c>
    </row>
    <row r="57" spans="2:7" x14ac:dyDescent="0.25">
      <c r="B57" s="341" t="s">
        <v>234</v>
      </c>
      <c r="C57" s="342" t="s">
        <v>227</v>
      </c>
      <c r="D57" s="342" t="s">
        <v>213</v>
      </c>
      <c r="E57" s="342" t="s">
        <v>217</v>
      </c>
      <c r="F57" s="342" t="s">
        <v>218</v>
      </c>
      <c r="G57" s="343" t="s">
        <v>228</v>
      </c>
    </row>
    <row r="58" spans="2:7" ht="15.75" thickBot="1" x14ac:dyDescent="0.3">
      <c r="B58" s="44"/>
      <c r="C58" s="45" t="s">
        <v>222</v>
      </c>
      <c r="D58" s="45" t="s">
        <v>223</v>
      </c>
      <c r="E58" s="45" t="s">
        <v>224</v>
      </c>
      <c r="F58" s="45" t="s">
        <v>211</v>
      </c>
      <c r="G58" s="46" t="s">
        <v>225</v>
      </c>
    </row>
    <row r="61" spans="2:7" ht="24" x14ac:dyDescent="0.4">
      <c r="B61" s="347" t="s">
        <v>397</v>
      </c>
    </row>
    <row r="62" spans="2:7" x14ac:dyDescent="0.25">
      <c r="B62" s="178"/>
    </row>
    <row r="63" spans="2:7" ht="15.75" thickBot="1" x14ac:dyDescent="0.3">
      <c r="B63" t="s">
        <v>398</v>
      </c>
    </row>
    <row r="64" spans="2:7" x14ac:dyDescent="0.25">
      <c r="B64" s="348" t="s">
        <v>203</v>
      </c>
      <c r="C64" s="349" t="s">
        <v>204</v>
      </c>
      <c r="D64" s="349" t="s">
        <v>399</v>
      </c>
      <c r="E64" s="349" t="s">
        <v>400</v>
      </c>
      <c r="F64" s="349" t="s">
        <v>207</v>
      </c>
      <c r="G64" s="350" t="s">
        <v>208</v>
      </c>
    </row>
    <row r="65" spans="2:7" x14ac:dyDescent="0.25">
      <c r="B65" s="351" t="s">
        <v>401</v>
      </c>
      <c r="C65" s="290" t="s">
        <v>368</v>
      </c>
      <c r="D65" s="290" t="s">
        <v>402</v>
      </c>
      <c r="E65" s="290" t="s">
        <v>345</v>
      </c>
      <c r="F65" s="290" t="s">
        <v>403</v>
      </c>
      <c r="G65" s="291" t="s">
        <v>221</v>
      </c>
    </row>
    <row r="66" spans="2:7" x14ac:dyDescent="0.25">
      <c r="B66" s="352" t="s">
        <v>404</v>
      </c>
      <c r="C66" s="353" t="s">
        <v>405</v>
      </c>
      <c r="D66" s="353" t="s">
        <v>406</v>
      </c>
      <c r="E66" s="353"/>
      <c r="F66" s="353"/>
      <c r="G66" s="354" t="s">
        <v>407</v>
      </c>
    </row>
    <row r="67" spans="2:7" x14ac:dyDescent="0.25">
      <c r="B67" s="287" t="s">
        <v>215</v>
      </c>
      <c r="C67" s="288" t="s">
        <v>216</v>
      </c>
      <c r="D67" s="288" t="s">
        <v>402</v>
      </c>
      <c r="E67" s="288" t="s">
        <v>345</v>
      </c>
      <c r="F67" s="288" t="s">
        <v>403</v>
      </c>
      <c r="G67" s="289" t="s">
        <v>214</v>
      </c>
    </row>
    <row r="68" spans="2:7" x14ac:dyDescent="0.25">
      <c r="B68" s="41" t="s">
        <v>408</v>
      </c>
      <c r="C68" s="42" t="s">
        <v>220</v>
      </c>
      <c r="D68" s="42" t="s">
        <v>402</v>
      </c>
      <c r="E68" s="42" t="s">
        <v>345</v>
      </c>
      <c r="F68" s="42" t="s">
        <v>403</v>
      </c>
      <c r="G68" s="283" t="s">
        <v>221</v>
      </c>
    </row>
    <row r="69" spans="2:7" x14ac:dyDescent="0.25">
      <c r="B69" s="309"/>
      <c r="C69" s="355" t="s">
        <v>222</v>
      </c>
      <c r="D69" s="355" t="s">
        <v>409</v>
      </c>
      <c r="E69" s="355" t="s">
        <v>213</v>
      </c>
      <c r="F69" s="355" t="s">
        <v>410</v>
      </c>
      <c r="G69" s="356" t="s">
        <v>225</v>
      </c>
    </row>
    <row r="70" spans="2:7" x14ac:dyDescent="0.25">
      <c r="B70" s="357" t="s">
        <v>226</v>
      </c>
      <c r="C70" s="358" t="s">
        <v>227</v>
      </c>
      <c r="D70" s="358" t="s">
        <v>402</v>
      </c>
      <c r="E70" s="358" t="s">
        <v>345</v>
      </c>
      <c r="F70" s="358" t="s">
        <v>403</v>
      </c>
      <c r="G70" s="359" t="s">
        <v>228</v>
      </c>
    </row>
    <row r="71" spans="2:7" x14ac:dyDescent="0.25">
      <c r="B71" s="287" t="s">
        <v>411</v>
      </c>
      <c r="C71" s="288" t="s">
        <v>227</v>
      </c>
      <c r="D71" s="288" t="s">
        <v>402</v>
      </c>
      <c r="E71" s="288" t="s">
        <v>345</v>
      </c>
      <c r="F71" s="288" t="s">
        <v>403</v>
      </c>
      <c r="G71" s="289" t="s">
        <v>228</v>
      </c>
    </row>
    <row r="72" spans="2:7" x14ac:dyDescent="0.25">
      <c r="B72" s="309" t="s">
        <v>230</v>
      </c>
      <c r="C72" s="355" t="s">
        <v>222</v>
      </c>
      <c r="D72" s="355" t="s">
        <v>409</v>
      </c>
      <c r="E72" s="355" t="s">
        <v>213</v>
      </c>
      <c r="F72" s="355" t="s">
        <v>410</v>
      </c>
      <c r="G72" s="356" t="s">
        <v>225</v>
      </c>
    </row>
    <row r="73" spans="2:7" x14ac:dyDescent="0.25">
      <c r="B73" s="360" t="s">
        <v>231</v>
      </c>
      <c r="C73" s="361" t="s">
        <v>227</v>
      </c>
      <c r="D73" s="361" t="s">
        <v>402</v>
      </c>
      <c r="E73" s="361" t="s">
        <v>345</v>
      </c>
      <c r="F73" s="361" t="s">
        <v>403</v>
      </c>
      <c r="G73" s="354" t="s">
        <v>228</v>
      </c>
    </row>
    <row r="74" spans="2:7" x14ac:dyDescent="0.25">
      <c r="B74" s="352"/>
      <c r="C74" s="353" t="s">
        <v>232</v>
      </c>
      <c r="D74" s="353"/>
      <c r="E74" s="353"/>
      <c r="F74" s="353"/>
      <c r="G74" s="354" t="s">
        <v>412</v>
      </c>
    </row>
    <row r="75" spans="2:7" x14ac:dyDescent="0.25">
      <c r="B75" s="41" t="s">
        <v>234</v>
      </c>
      <c r="C75" s="42" t="s">
        <v>227</v>
      </c>
      <c r="D75" s="42" t="s">
        <v>402</v>
      </c>
      <c r="E75" s="42" t="s">
        <v>345</v>
      </c>
      <c r="F75" s="42" t="s">
        <v>403</v>
      </c>
      <c r="G75" s="283" t="s">
        <v>228</v>
      </c>
    </row>
    <row r="76" spans="2:7" ht="15.75" thickBot="1" x14ac:dyDescent="0.3">
      <c r="B76" s="44"/>
      <c r="C76" s="45" t="s">
        <v>222</v>
      </c>
      <c r="D76" s="45" t="s">
        <v>409</v>
      </c>
      <c r="E76" s="45" t="s">
        <v>213</v>
      </c>
      <c r="F76" s="45" t="s">
        <v>410</v>
      </c>
      <c r="G76" s="362" t="s">
        <v>225</v>
      </c>
    </row>
    <row r="78" spans="2:7" ht="15.75" thickBot="1" x14ac:dyDescent="0.3">
      <c r="B78" t="s">
        <v>413</v>
      </c>
      <c r="C78" t="s">
        <v>395</v>
      </c>
    </row>
    <row r="79" spans="2:7" x14ac:dyDescent="0.25">
      <c r="B79" s="363" t="s">
        <v>203</v>
      </c>
      <c r="C79" s="364" t="s">
        <v>204</v>
      </c>
      <c r="D79" s="364" t="s">
        <v>207</v>
      </c>
      <c r="E79" s="364" t="s">
        <v>414</v>
      </c>
      <c r="F79" s="364" t="s">
        <v>415</v>
      </c>
      <c r="G79" s="350" t="s">
        <v>208</v>
      </c>
    </row>
    <row r="80" spans="2:7" x14ac:dyDescent="0.25">
      <c r="B80" s="365" t="s">
        <v>416</v>
      </c>
      <c r="C80" s="366" t="s">
        <v>417</v>
      </c>
      <c r="D80" s="366" t="s">
        <v>418</v>
      </c>
      <c r="E80" s="366" t="s">
        <v>345</v>
      </c>
      <c r="F80" s="366" t="s">
        <v>419</v>
      </c>
      <c r="G80" s="367" t="s">
        <v>214</v>
      </c>
    </row>
    <row r="81" spans="2:7" ht="15.75" thickBot="1" x14ac:dyDescent="0.3">
      <c r="B81" s="368" t="s">
        <v>420</v>
      </c>
      <c r="C81" s="369" t="s">
        <v>421</v>
      </c>
      <c r="D81" s="369" t="s">
        <v>402</v>
      </c>
      <c r="E81" s="369" t="s">
        <v>418</v>
      </c>
      <c r="F81" s="369" t="s">
        <v>419</v>
      </c>
      <c r="G81" s="370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0F45-74D5-4C39-9642-5B73C07F11DE}">
  <sheetPr>
    <pageSetUpPr fitToPage="1"/>
  </sheetPr>
  <dimension ref="A2:AD46"/>
  <sheetViews>
    <sheetView zoomScale="90" zoomScaleNormal="90" workbookViewId="0">
      <selection activeCell="S22" sqref="S22"/>
    </sheetView>
  </sheetViews>
  <sheetFormatPr defaultColWidth="9.140625" defaultRowHeight="15" x14ac:dyDescent="0.25"/>
  <cols>
    <col min="1" max="1" width="11" style="50" customWidth="1"/>
    <col min="2" max="5" width="7.140625" style="49" customWidth="1"/>
    <col min="6" max="6" width="2.7109375" style="49" customWidth="1"/>
    <col min="7" max="29" width="7.140625" style="49" customWidth="1"/>
    <col min="30" max="31" width="7.140625" style="50" customWidth="1"/>
    <col min="32" max="16384" width="9.140625" style="50"/>
  </cols>
  <sheetData>
    <row r="2" spans="1:30" ht="15.75" thickBot="1" x14ac:dyDescent="0.3">
      <c r="A2" s="48" t="s">
        <v>238</v>
      </c>
    </row>
    <row r="3" spans="1:30" ht="15.75" thickBot="1" x14ac:dyDescent="0.3">
      <c r="B3" s="414" t="s">
        <v>239</v>
      </c>
      <c r="C3" s="415"/>
      <c r="D3" s="415"/>
      <c r="E3" s="415"/>
      <c r="F3" s="415"/>
      <c r="G3" s="415"/>
      <c r="H3" s="415"/>
      <c r="I3" s="416"/>
      <c r="J3" s="414" t="s">
        <v>240</v>
      </c>
      <c r="K3" s="415"/>
      <c r="L3" s="415"/>
      <c r="M3" s="415"/>
      <c r="N3" s="415"/>
      <c r="O3" s="416"/>
      <c r="P3" s="414" t="s">
        <v>241</v>
      </c>
      <c r="Q3" s="415"/>
      <c r="R3" s="415"/>
      <c r="S3" s="415"/>
      <c r="T3" s="415"/>
      <c r="U3" s="415"/>
      <c r="V3" s="415" t="s">
        <v>242</v>
      </c>
      <c r="W3" s="415"/>
      <c r="X3" s="415"/>
      <c r="Y3" s="415"/>
      <c r="Z3" s="415"/>
      <c r="AA3" s="415"/>
      <c r="AB3" s="415"/>
      <c r="AC3" s="416"/>
    </row>
    <row r="4" spans="1:30" ht="15.75" thickBot="1" x14ac:dyDescent="0.3">
      <c r="A4" s="51" t="s">
        <v>243</v>
      </c>
      <c r="B4" s="52">
        <v>1</v>
      </c>
      <c r="C4" s="53">
        <f>+B4+1</f>
        <v>2</v>
      </c>
      <c r="D4" s="53">
        <f t="shared" ref="D4:E4" si="0">+C4+1</f>
        <v>3</v>
      </c>
      <c r="E4" s="53">
        <f t="shared" si="0"/>
        <v>4</v>
      </c>
      <c r="F4" s="53"/>
      <c r="G4" s="54">
        <v>5</v>
      </c>
      <c r="H4" s="54">
        <f>+G4+1</f>
        <v>6</v>
      </c>
      <c r="I4" s="54">
        <f t="shared" ref="I4:AC4" si="1">+H4+1</f>
        <v>7</v>
      </c>
      <c r="J4" s="54">
        <f t="shared" si="1"/>
        <v>8</v>
      </c>
      <c r="K4" s="54">
        <f t="shared" si="1"/>
        <v>9</v>
      </c>
      <c r="L4" s="54">
        <f t="shared" si="1"/>
        <v>10</v>
      </c>
      <c r="M4" s="54">
        <f t="shared" si="1"/>
        <v>11</v>
      </c>
      <c r="N4" s="54">
        <f t="shared" si="1"/>
        <v>12</v>
      </c>
      <c r="O4" s="54">
        <f t="shared" si="1"/>
        <v>13</v>
      </c>
      <c r="P4" s="54">
        <f t="shared" si="1"/>
        <v>14</v>
      </c>
      <c r="Q4" s="54">
        <f t="shared" si="1"/>
        <v>15</v>
      </c>
      <c r="R4" s="54">
        <f t="shared" si="1"/>
        <v>16</v>
      </c>
      <c r="S4" s="54">
        <f t="shared" si="1"/>
        <v>17</v>
      </c>
      <c r="T4" s="54">
        <f t="shared" si="1"/>
        <v>18</v>
      </c>
      <c r="U4" s="54">
        <f t="shared" si="1"/>
        <v>19</v>
      </c>
      <c r="V4" s="54">
        <f t="shared" si="1"/>
        <v>20</v>
      </c>
      <c r="W4" s="54">
        <f t="shared" si="1"/>
        <v>21</v>
      </c>
      <c r="X4" s="54">
        <f t="shared" si="1"/>
        <v>22</v>
      </c>
      <c r="Y4" s="54">
        <f t="shared" si="1"/>
        <v>23</v>
      </c>
      <c r="Z4" s="54">
        <f t="shared" si="1"/>
        <v>24</v>
      </c>
      <c r="AA4" s="54">
        <f t="shared" si="1"/>
        <v>25</v>
      </c>
      <c r="AB4" s="54">
        <f t="shared" si="1"/>
        <v>26</v>
      </c>
      <c r="AC4" s="53">
        <f t="shared" si="1"/>
        <v>27</v>
      </c>
    </row>
    <row r="5" spans="1:30" ht="15.75" thickBot="1" x14ac:dyDescent="0.3">
      <c r="A5" s="55"/>
      <c r="B5" s="56" t="s">
        <v>244</v>
      </c>
      <c r="C5" s="56" t="s">
        <v>244</v>
      </c>
      <c r="D5" s="56" t="s">
        <v>244</v>
      </c>
      <c r="E5" s="56" t="s">
        <v>244</v>
      </c>
      <c r="F5" s="57"/>
      <c r="G5" s="411" t="s">
        <v>245</v>
      </c>
      <c r="H5" s="412"/>
      <c r="I5" s="412"/>
      <c r="J5" s="412"/>
      <c r="K5" s="412"/>
      <c r="L5" s="412"/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12"/>
      <c r="Z5" s="412"/>
      <c r="AA5" s="412"/>
      <c r="AB5" s="412"/>
      <c r="AC5" s="413"/>
    </row>
    <row r="6" spans="1:30" s="67" customFormat="1" ht="19.5" thickBot="1" x14ac:dyDescent="0.3">
      <c r="A6" s="58" t="s">
        <v>246</v>
      </c>
      <c r="B6" s="59">
        <v>8.5</v>
      </c>
      <c r="C6" s="59">
        <v>11</v>
      </c>
      <c r="D6" s="59">
        <v>11</v>
      </c>
      <c r="E6" s="60">
        <v>14</v>
      </c>
      <c r="F6" s="61"/>
      <c r="G6" s="62">
        <v>14</v>
      </c>
      <c r="H6" s="63">
        <v>17</v>
      </c>
      <c r="I6" s="63">
        <v>20</v>
      </c>
      <c r="J6" s="64">
        <v>10</v>
      </c>
      <c r="K6" s="65">
        <v>12</v>
      </c>
      <c r="L6" s="65">
        <v>14</v>
      </c>
      <c r="M6" s="64">
        <v>16</v>
      </c>
      <c r="N6" s="60">
        <v>18</v>
      </c>
      <c r="O6" s="60">
        <v>20</v>
      </c>
      <c r="P6" s="64">
        <v>9</v>
      </c>
      <c r="Q6" s="60">
        <v>11</v>
      </c>
      <c r="R6" s="64">
        <v>12</v>
      </c>
      <c r="S6" s="60">
        <v>14</v>
      </c>
      <c r="T6" s="60">
        <v>16</v>
      </c>
      <c r="U6" s="60">
        <v>17</v>
      </c>
      <c r="V6" s="66">
        <v>12</v>
      </c>
      <c r="W6" s="66">
        <v>13</v>
      </c>
      <c r="X6" s="66">
        <v>14</v>
      </c>
      <c r="Y6" s="66">
        <v>15</v>
      </c>
      <c r="Z6" s="66">
        <v>16</v>
      </c>
      <c r="AA6" s="66">
        <v>17</v>
      </c>
      <c r="AB6" s="66">
        <v>18</v>
      </c>
      <c r="AC6" s="66">
        <v>19</v>
      </c>
    </row>
    <row r="7" spans="1:30" ht="15.75" thickBot="1" x14ac:dyDescent="0.3">
      <c r="A7" s="68" t="s">
        <v>247</v>
      </c>
      <c r="B7" s="69">
        <f>+B30</f>
        <v>1.125</v>
      </c>
      <c r="C7" s="69">
        <f t="shared" ref="C7:AC7" si="2">+C30</f>
        <v>1.35</v>
      </c>
      <c r="D7" s="69">
        <f t="shared" si="2"/>
        <v>1.6</v>
      </c>
      <c r="E7" s="69">
        <f t="shared" si="2"/>
        <v>2</v>
      </c>
      <c r="F7" s="70"/>
      <c r="G7" s="69">
        <f t="shared" si="2"/>
        <v>2</v>
      </c>
      <c r="H7" s="69">
        <f t="shared" si="2"/>
        <v>2.5</v>
      </c>
      <c r="I7" s="69">
        <f t="shared" si="2"/>
        <v>3</v>
      </c>
      <c r="J7" s="69">
        <f t="shared" si="2"/>
        <v>1.35</v>
      </c>
      <c r="K7" s="69">
        <f t="shared" si="2"/>
        <v>1.7</v>
      </c>
      <c r="L7" s="69">
        <f t="shared" si="2"/>
        <v>2</v>
      </c>
      <c r="M7" s="69">
        <f t="shared" si="2"/>
        <v>2.2999999999999998</v>
      </c>
      <c r="N7" s="69">
        <f t="shared" si="2"/>
        <v>2.7</v>
      </c>
      <c r="O7" s="69">
        <f t="shared" si="2"/>
        <v>3</v>
      </c>
      <c r="P7" s="69">
        <f t="shared" si="2"/>
        <v>1.25</v>
      </c>
      <c r="Q7" s="69">
        <f t="shared" si="2"/>
        <v>1.5</v>
      </c>
      <c r="R7" s="69">
        <f t="shared" si="2"/>
        <v>1.7</v>
      </c>
      <c r="S7" s="69">
        <f t="shared" si="2"/>
        <v>2</v>
      </c>
      <c r="T7" s="69">
        <f t="shared" si="2"/>
        <v>2.2999999999999998</v>
      </c>
      <c r="U7" s="69">
        <f t="shared" si="2"/>
        <v>2.5</v>
      </c>
      <c r="V7" s="69">
        <f t="shared" si="2"/>
        <v>1.7</v>
      </c>
      <c r="W7" s="69">
        <f t="shared" si="2"/>
        <v>1.9</v>
      </c>
      <c r="X7" s="69">
        <f t="shared" si="2"/>
        <v>2</v>
      </c>
      <c r="Y7" s="69">
        <f t="shared" si="2"/>
        <v>2.2000000000000002</v>
      </c>
      <c r="Z7" s="69">
        <f t="shared" si="2"/>
        <v>2.2999999999999998</v>
      </c>
      <c r="AA7" s="69">
        <f t="shared" si="2"/>
        <v>2.5</v>
      </c>
      <c r="AB7" s="69">
        <f t="shared" si="2"/>
        <v>2.7</v>
      </c>
      <c r="AC7" s="69">
        <f t="shared" si="2"/>
        <v>2.9</v>
      </c>
      <c r="AD7" s="71">
        <v>0.25</v>
      </c>
    </row>
    <row r="8" spans="1:30" ht="15.75" thickBot="1" x14ac:dyDescent="0.3">
      <c r="A8" s="51" t="s">
        <v>248</v>
      </c>
      <c r="B8" s="72"/>
      <c r="C8" s="72"/>
      <c r="D8" s="73"/>
      <c r="E8" s="74"/>
      <c r="F8" s="57"/>
      <c r="G8" s="75"/>
      <c r="H8" s="76"/>
      <c r="I8" s="76"/>
      <c r="J8" s="77"/>
      <c r="K8" s="73"/>
      <c r="L8" s="73"/>
      <c r="M8" s="78"/>
      <c r="N8" s="73"/>
      <c r="O8" s="73"/>
      <c r="P8" s="73"/>
      <c r="Q8" s="73"/>
      <c r="R8" s="73"/>
      <c r="S8" s="73"/>
      <c r="T8" s="73"/>
      <c r="U8" s="73"/>
      <c r="V8" s="68">
        <f>+V7</f>
        <v>1.7</v>
      </c>
      <c r="W8" s="68">
        <f t="shared" ref="W8:AB8" si="3">+W7</f>
        <v>1.9</v>
      </c>
      <c r="X8" s="68">
        <f t="shared" si="3"/>
        <v>2</v>
      </c>
      <c r="Y8" s="68">
        <f t="shared" si="3"/>
        <v>2.2000000000000002</v>
      </c>
      <c r="Z8" s="68">
        <f t="shared" si="3"/>
        <v>2.2999999999999998</v>
      </c>
      <c r="AA8" s="68">
        <f t="shared" si="3"/>
        <v>2.5</v>
      </c>
      <c r="AB8" s="68">
        <f t="shared" si="3"/>
        <v>2.7</v>
      </c>
      <c r="AC8" s="68">
        <f>+AC7</f>
        <v>2.9</v>
      </c>
      <c r="AD8" s="71">
        <v>0.27083333333333331</v>
      </c>
    </row>
    <row r="9" spans="1:30" ht="15.75" thickBot="1" x14ac:dyDescent="0.3">
      <c r="A9" s="79"/>
      <c r="B9" s="76"/>
      <c r="C9" s="76"/>
      <c r="D9" s="76"/>
      <c r="E9" s="74"/>
      <c r="F9" s="80"/>
      <c r="G9" s="80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</row>
    <row r="10" spans="1:30" ht="15.75" thickBot="1" x14ac:dyDescent="0.3">
      <c r="A10" s="79"/>
      <c r="B10" s="76"/>
      <c r="C10" s="76"/>
      <c r="D10" s="76"/>
      <c r="E10" s="82"/>
      <c r="F10" s="80"/>
      <c r="G10" s="83"/>
      <c r="H10" s="81"/>
      <c r="I10" s="81"/>
      <c r="J10" s="84">
        <f t="shared" ref="J10:U10" si="4">+J7</f>
        <v>1.35</v>
      </c>
      <c r="K10" s="68">
        <f t="shared" si="4"/>
        <v>1.7</v>
      </c>
      <c r="L10" s="68">
        <f t="shared" si="4"/>
        <v>2</v>
      </c>
      <c r="M10" s="85">
        <f t="shared" si="4"/>
        <v>2.2999999999999998</v>
      </c>
      <c r="N10" s="68">
        <f t="shared" si="4"/>
        <v>2.7</v>
      </c>
      <c r="O10" s="68">
        <f t="shared" si="4"/>
        <v>3</v>
      </c>
      <c r="P10" s="68">
        <f t="shared" si="4"/>
        <v>1.25</v>
      </c>
      <c r="Q10" s="68">
        <f t="shared" si="4"/>
        <v>1.5</v>
      </c>
      <c r="R10" s="68">
        <f t="shared" si="4"/>
        <v>1.7</v>
      </c>
      <c r="S10" s="68">
        <f t="shared" si="4"/>
        <v>2</v>
      </c>
      <c r="T10" s="68">
        <f t="shared" si="4"/>
        <v>2.2999999999999998</v>
      </c>
      <c r="U10" s="68">
        <f t="shared" si="4"/>
        <v>2.5</v>
      </c>
      <c r="V10" s="81"/>
      <c r="W10" s="81"/>
      <c r="X10" s="81"/>
      <c r="Y10" s="81"/>
      <c r="Z10" s="81"/>
      <c r="AA10" s="81"/>
      <c r="AB10" s="81"/>
      <c r="AC10" s="81"/>
      <c r="AD10" s="71">
        <v>0.33333333333333331</v>
      </c>
    </row>
    <row r="11" spans="1:30" ht="15.75" thickBot="1" x14ac:dyDescent="0.3">
      <c r="A11" s="76"/>
      <c r="B11" s="76"/>
      <c r="C11" s="76"/>
      <c r="D11" s="76"/>
      <c r="E11" s="82"/>
      <c r="F11" s="80"/>
      <c r="G11" s="83"/>
      <c r="H11" s="81"/>
      <c r="I11" s="81"/>
      <c r="J11" s="86"/>
      <c r="K11" s="81"/>
      <c r="L11" s="81"/>
      <c r="M11" s="74"/>
      <c r="N11" s="81"/>
      <c r="O11" s="81"/>
      <c r="P11" s="76"/>
      <c r="Q11" s="76"/>
      <c r="R11" s="76"/>
      <c r="S11" s="76"/>
      <c r="T11" s="76"/>
      <c r="U11" s="76"/>
      <c r="V11" s="68">
        <f>+V8</f>
        <v>1.7</v>
      </c>
      <c r="W11" s="68">
        <f t="shared" ref="W11:AB11" si="5">+W8</f>
        <v>1.9</v>
      </c>
      <c r="X11" s="68">
        <f t="shared" si="5"/>
        <v>2</v>
      </c>
      <c r="Y11" s="68">
        <f t="shared" si="5"/>
        <v>2.2000000000000002</v>
      </c>
      <c r="Z11" s="68">
        <f t="shared" si="5"/>
        <v>2.2999999999999998</v>
      </c>
      <c r="AA11" s="68">
        <f t="shared" si="5"/>
        <v>2.5</v>
      </c>
      <c r="AB11" s="68">
        <f t="shared" si="5"/>
        <v>2.7</v>
      </c>
      <c r="AC11" s="68">
        <f>+AC8</f>
        <v>2.9</v>
      </c>
      <c r="AD11" s="71">
        <v>0.375</v>
      </c>
    </row>
    <row r="12" spans="1:30" ht="15.75" thickBot="1" x14ac:dyDescent="0.3">
      <c r="A12" s="87"/>
      <c r="B12" s="76"/>
      <c r="C12" s="76"/>
      <c r="D12" s="76"/>
      <c r="E12" s="82"/>
      <c r="F12" s="80"/>
      <c r="G12" s="83"/>
      <c r="H12" s="81"/>
      <c r="I12" s="81"/>
      <c r="J12" s="86"/>
      <c r="K12" s="81"/>
      <c r="L12" s="81"/>
      <c r="M12" s="74"/>
      <c r="N12" s="81"/>
      <c r="O12" s="81"/>
      <c r="P12" s="76"/>
      <c r="Q12" s="76"/>
      <c r="R12" s="76"/>
      <c r="S12" s="76"/>
      <c r="T12" s="76"/>
      <c r="U12" s="76"/>
      <c r="V12" s="81"/>
      <c r="W12" s="81"/>
      <c r="X12" s="81"/>
      <c r="Y12" s="81"/>
      <c r="Z12" s="81"/>
      <c r="AA12" s="81"/>
      <c r="AB12" s="81"/>
      <c r="AC12" s="81"/>
    </row>
    <row r="13" spans="1:30" ht="15.75" thickBot="1" x14ac:dyDescent="0.3">
      <c r="A13" s="68" t="s">
        <v>249</v>
      </c>
      <c r="B13" s="88">
        <f>+B7</f>
        <v>1.125</v>
      </c>
      <c r="C13" s="88">
        <f t="shared" ref="C13:E13" si="6">+C7</f>
        <v>1.35</v>
      </c>
      <c r="D13" s="88">
        <f t="shared" si="6"/>
        <v>1.6</v>
      </c>
      <c r="E13" s="88">
        <f t="shared" si="6"/>
        <v>2</v>
      </c>
      <c r="F13" s="80"/>
      <c r="G13" s="89">
        <f t="shared" ref="G13:I13" si="7">+G7</f>
        <v>2</v>
      </c>
      <c r="H13" s="89">
        <f t="shared" si="7"/>
        <v>2.5</v>
      </c>
      <c r="I13" s="89">
        <f t="shared" si="7"/>
        <v>3</v>
      </c>
      <c r="J13" s="84">
        <f t="shared" ref="J13:U13" si="8">+J10</f>
        <v>1.35</v>
      </c>
      <c r="K13" s="68">
        <f t="shared" si="8"/>
        <v>1.7</v>
      </c>
      <c r="L13" s="68">
        <f t="shared" si="8"/>
        <v>2</v>
      </c>
      <c r="M13" s="85">
        <f t="shared" si="8"/>
        <v>2.2999999999999998</v>
      </c>
      <c r="N13" s="68">
        <f t="shared" si="8"/>
        <v>2.7</v>
      </c>
      <c r="O13" s="68">
        <f t="shared" si="8"/>
        <v>3</v>
      </c>
      <c r="P13" s="68">
        <f t="shared" si="8"/>
        <v>1.25</v>
      </c>
      <c r="Q13" s="68">
        <f t="shared" si="8"/>
        <v>1.5</v>
      </c>
      <c r="R13" s="68">
        <f t="shared" si="8"/>
        <v>1.7</v>
      </c>
      <c r="S13" s="68">
        <f t="shared" si="8"/>
        <v>2</v>
      </c>
      <c r="T13" s="68">
        <f t="shared" si="8"/>
        <v>2.2999999999999998</v>
      </c>
      <c r="U13" s="68">
        <f t="shared" si="8"/>
        <v>2.5</v>
      </c>
      <c r="V13" s="68">
        <f>+V11</f>
        <v>1.7</v>
      </c>
      <c r="W13" s="68">
        <f t="shared" ref="W13:AB13" si="9">+W11</f>
        <v>1.9</v>
      </c>
      <c r="X13" s="68">
        <f t="shared" si="9"/>
        <v>2</v>
      </c>
      <c r="Y13" s="68">
        <f t="shared" si="9"/>
        <v>2.2000000000000002</v>
      </c>
      <c r="Z13" s="68">
        <f t="shared" si="9"/>
        <v>2.2999999999999998</v>
      </c>
      <c r="AA13" s="68">
        <f t="shared" si="9"/>
        <v>2.5</v>
      </c>
      <c r="AB13" s="68">
        <f t="shared" si="9"/>
        <v>2.7</v>
      </c>
      <c r="AC13" s="68">
        <f>+AC11</f>
        <v>2.9</v>
      </c>
      <c r="AD13" s="71">
        <v>0.58333333333333337</v>
      </c>
    </row>
    <row r="14" spans="1:30" ht="15.75" thickBot="1" x14ac:dyDescent="0.3">
      <c r="A14" s="87"/>
      <c r="B14" s="75"/>
      <c r="C14" s="75"/>
      <c r="D14" s="76"/>
      <c r="E14" s="82"/>
      <c r="F14" s="80"/>
      <c r="G14" s="75"/>
      <c r="H14" s="76"/>
      <c r="I14" s="76"/>
      <c r="J14" s="86"/>
      <c r="K14" s="81"/>
      <c r="L14" s="81"/>
      <c r="M14" s="74"/>
      <c r="N14" s="81"/>
      <c r="O14" s="81"/>
      <c r="P14" s="76"/>
      <c r="Q14" s="76"/>
      <c r="R14" s="76"/>
      <c r="S14" s="76"/>
      <c r="T14" s="76"/>
      <c r="U14" s="76"/>
      <c r="V14" s="81"/>
      <c r="W14" s="81"/>
      <c r="X14" s="81"/>
      <c r="Y14" s="81"/>
      <c r="Z14" s="81"/>
      <c r="AA14" s="81"/>
      <c r="AB14" s="81"/>
      <c r="AC14" s="81"/>
    </row>
    <row r="15" spans="1:30" ht="15.75" thickBot="1" x14ac:dyDescent="0.3">
      <c r="A15" s="87"/>
      <c r="B15" s="75"/>
      <c r="C15" s="75"/>
      <c r="D15" s="76"/>
      <c r="E15" s="82"/>
      <c r="F15" s="80"/>
      <c r="G15" s="75"/>
      <c r="H15" s="81"/>
      <c r="I15" s="81"/>
      <c r="J15" s="86"/>
      <c r="K15" s="81"/>
      <c r="L15" s="81"/>
      <c r="M15" s="74"/>
      <c r="N15" s="81"/>
      <c r="O15" s="81"/>
      <c r="P15" s="68">
        <f>+P13</f>
        <v>1.25</v>
      </c>
      <c r="Q15" s="68">
        <f t="shared" ref="Q15:R15" si="10">+Q13</f>
        <v>1.5</v>
      </c>
      <c r="R15" s="68">
        <f t="shared" si="10"/>
        <v>1.7</v>
      </c>
      <c r="S15" s="68">
        <f>+S13</f>
        <v>2</v>
      </c>
      <c r="T15" s="68">
        <f t="shared" ref="T15:U15" si="11">+T13</f>
        <v>2.2999999999999998</v>
      </c>
      <c r="U15" s="68">
        <f t="shared" si="11"/>
        <v>2.5</v>
      </c>
      <c r="V15" s="68">
        <f>+V13</f>
        <v>1.7</v>
      </c>
      <c r="W15" s="68">
        <f t="shared" ref="W15:AB15" si="12">+W13</f>
        <v>1.9</v>
      </c>
      <c r="X15" s="68">
        <f t="shared" si="12"/>
        <v>2</v>
      </c>
      <c r="Y15" s="68">
        <f t="shared" si="12"/>
        <v>2.2000000000000002</v>
      </c>
      <c r="Z15" s="68">
        <f t="shared" si="12"/>
        <v>2.2999999999999998</v>
      </c>
      <c r="AA15" s="68">
        <f t="shared" si="12"/>
        <v>2.5</v>
      </c>
      <c r="AB15" s="68">
        <f t="shared" si="12"/>
        <v>2.7</v>
      </c>
      <c r="AC15" s="68">
        <f>+AC13</f>
        <v>2.9</v>
      </c>
      <c r="AD15" s="71">
        <v>0.625</v>
      </c>
    </row>
    <row r="16" spans="1:30" ht="15.75" thickBot="1" x14ac:dyDescent="0.3">
      <c r="A16" s="90"/>
      <c r="B16" s="91"/>
      <c r="C16" s="91"/>
      <c r="D16" s="92"/>
      <c r="E16" s="93"/>
      <c r="F16" s="94"/>
      <c r="G16" s="94"/>
      <c r="H16" s="95"/>
      <c r="I16" s="95"/>
      <c r="J16" s="96"/>
      <c r="K16" s="97"/>
      <c r="L16" s="97"/>
      <c r="M16" s="98"/>
      <c r="N16" s="97"/>
      <c r="O16" s="97"/>
      <c r="P16" s="99"/>
      <c r="Q16" s="99"/>
      <c r="R16" s="99"/>
      <c r="S16" s="99"/>
      <c r="T16" s="99"/>
      <c r="U16" s="99"/>
      <c r="V16" s="95"/>
      <c r="W16" s="95"/>
      <c r="X16" s="95"/>
      <c r="Y16" s="95"/>
      <c r="Z16" s="95"/>
      <c r="AA16" s="95"/>
      <c r="AB16" s="95"/>
      <c r="AC16" s="95"/>
    </row>
    <row r="17" spans="1:30" ht="15.75" thickBot="1" x14ac:dyDescent="0.3">
      <c r="A17" s="100" t="s">
        <v>250</v>
      </c>
      <c r="B17" s="101">
        <f>SUM(B7:B16)</f>
        <v>2.25</v>
      </c>
      <c r="C17" s="101">
        <f t="shared" ref="C17:E17" si="13">SUM(C7:C16)</f>
        <v>2.7</v>
      </c>
      <c r="D17" s="101">
        <f t="shared" si="13"/>
        <v>3.2</v>
      </c>
      <c r="E17" s="102">
        <f t="shared" si="13"/>
        <v>4</v>
      </c>
      <c r="F17" s="103"/>
      <c r="G17" s="101">
        <f t="shared" ref="G17:AC17" si="14">SUM(G7:G16)</f>
        <v>4</v>
      </c>
      <c r="H17" s="101">
        <f t="shared" si="14"/>
        <v>5</v>
      </c>
      <c r="I17" s="101">
        <f t="shared" si="14"/>
        <v>6</v>
      </c>
      <c r="J17" s="101">
        <f t="shared" si="14"/>
        <v>4.0500000000000007</v>
      </c>
      <c r="K17" s="101">
        <f t="shared" si="14"/>
        <v>5.0999999999999996</v>
      </c>
      <c r="L17" s="101">
        <f t="shared" si="14"/>
        <v>6</v>
      </c>
      <c r="M17" s="101">
        <f t="shared" si="14"/>
        <v>6.8999999999999995</v>
      </c>
      <c r="N17" s="101">
        <f t="shared" si="14"/>
        <v>8.1000000000000014</v>
      </c>
      <c r="O17" s="101">
        <f t="shared" si="14"/>
        <v>9</v>
      </c>
      <c r="P17" s="101">
        <f t="shared" si="14"/>
        <v>5</v>
      </c>
      <c r="Q17" s="101">
        <f t="shared" si="14"/>
        <v>6</v>
      </c>
      <c r="R17" s="101">
        <f t="shared" si="14"/>
        <v>6.8</v>
      </c>
      <c r="S17" s="101">
        <f t="shared" si="14"/>
        <v>8</v>
      </c>
      <c r="T17" s="101">
        <f t="shared" si="14"/>
        <v>9.1999999999999993</v>
      </c>
      <c r="U17" s="101">
        <f t="shared" si="14"/>
        <v>10</v>
      </c>
      <c r="V17" s="101">
        <f t="shared" si="14"/>
        <v>8.5</v>
      </c>
      <c r="W17" s="101">
        <f t="shared" si="14"/>
        <v>9.5</v>
      </c>
      <c r="X17" s="101">
        <f t="shared" si="14"/>
        <v>10</v>
      </c>
      <c r="Y17" s="101">
        <f t="shared" si="14"/>
        <v>11</v>
      </c>
      <c r="Z17" s="101">
        <f t="shared" si="14"/>
        <v>11.5</v>
      </c>
      <c r="AA17" s="101">
        <f t="shared" si="14"/>
        <v>12.5</v>
      </c>
      <c r="AB17" s="101">
        <f t="shared" si="14"/>
        <v>13.5</v>
      </c>
      <c r="AC17" s="102">
        <f t="shared" si="14"/>
        <v>14.5</v>
      </c>
    </row>
    <row r="18" spans="1:30" ht="15.75" hidden="1" thickBot="1" x14ac:dyDescent="0.3">
      <c r="A18" s="104" t="s">
        <v>250</v>
      </c>
      <c r="B18" s="105">
        <v>2.2999999999999998</v>
      </c>
      <c r="C18" s="105"/>
      <c r="D18" s="106">
        <v>3</v>
      </c>
      <c r="E18" s="107">
        <v>4</v>
      </c>
      <c r="F18" s="108"/>
      <c r="G18" s="105">
        <v>4</v>
      </c>
      <c r="H18" s="105"/>
      <c r="I18" s="106">
        <v>5</v>
      </c>
      <c r="J18" s="105">
        <v>6</v>
      </c>
      <c r="K18" s="105">
        <v>7</v>
      </c>
      <c r="L18" s="105"/>
      <c r="M18" s="105">
        <v>8</v>
      </c>
      <c r="N18" s="106">
        <v>9</v>
      </c>
      <c r="O18" s="106">
        <v>9</v>
      </c>
      <c r="P18" s="109">
        <v>10</v>
      </c>
      <c r="Q18" s="109"/>
      <c r="R18" s="109"/>
      <c r="S18" s="106">
        <v>11</v>
      </c>
      <c r="T18" s="106"/>
      <c r="U18" s="106"/>
      <c r="V18" s="106">
        <v>13</v>
      </c>
      <c r="W18" s="106"/>
      <c r="X18" s="106"/>
      <c r="Y18" s="106"/>
      <c r="Z18" s="106"/>
      <c r="AA18" s="106"/>
      <c r="AB18" s="106"/>
      <c r="AC18" s="106">
        <v>14</v>
      </c>
    </row>
    <row r="19" spans="1:30" s="111" customFormat="1" x14ac:dyDescent="0.25">
      <c r="A19" s="50"/>
      <c r="B19" s="110" t="s">
        <v>251</v>
      </c>
      <c r="C19" s="110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30" s="112" customFormat="1" x14ac:dyDescent="0.25">
      <c r="A20" s="50"/>
      <c r="B20" s="110" t="s">
        <v>252</v>
      </c>
      <c r="C20" s="110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30" x14ac:dyDescent="0.25">
      <c r="B21" s="110" t="s">
        <v>253</v>
      </c>
      <c r="C21" s="110"/>
    </row>
    <row r="22" spans="1:30" x14ac:dyDescent="0.25">
      <c r="B22" s="110" t="s">
        <v>254</v>
      </c>
      <c r="C22" s="110"/>
    </row>
    <row r="23" spans="1:30" x14ac:dyDescent="0.25">
      <c r="B23" s="110" t="s">
        <v>255</v>
      </c>
      <c r="C23" s="110"/>
    </row>
    <row r="24" spans="1:30" ht="111.75" customHeight="1" x14ac:dyDescent="0.25">
      <c r="B24" s="110"/>
      <c r="C24" s="110"/>
    </row>
    <row r="25" spans="1:30" ht="15.75" thickBot="1" x14ac:dyDescent="0.3">
      <c r="A25" s="48" t="s">
        <v>238</v>
      </c>
    </row>
    <row r="26" spans="1:30" ht="15.75" thickBot="1" x14ac:dyDescent="0.3">
      <c r="B26" s="414" t="s">
        <v>239</v>
      </c>
      <c r="C26" s="415"/>
      <c r="D26" s="415"/>
      <c r="E26" s="415"/>
      <c r="F26" s="415"/>
      <c r="G26" s="415"/>
      <c r="H26" s="415"/>
      <c r="I26" s="416"/>
      <c r="J26" s="414" t="s">
        <v>240</v>
      </c>
      <c r="K26" s="415"/>
      <c r="L26" s="415"/>
      <c r="M26" s="415"/>
      <c r="N26" s="415"/>
      <c r="O26" s="416"/>
      <c r="P26" s="414" t="s">
        <v>241</v>
      </c>
      <c r="Q26" s="415"/>
      <c r="R26" s="415"/>
      <c r="S26" s="415"/>
      <c r="T26" s="415"/>
      <c r="U26" s="415"/>
      <c r="V26" s="415" t="s">
        <v>242</v>
      </c>
      <c r="W26" s="415"/>
      <c r="X26" s="415"/>
      <c r="Y26" s="415"/>
      <c r="Z26" s="415"/>
      <c r="AA26" s="415"/>
      <c r="AB26" s="415"/>
      <c r="AC26" s="416"/>
    </row>
    <row r="27" spans="1:30" ht="15.75" thickBot="1" x14ac:dyDescent="0.3">
      <c r="A27" s="51" t="s">
        <v>243</v>
      </c>
      <c r="B27" s="52">
        <v>1</v>
      </c>
      <c r="C27" s="53">
        <f>+B27+1</f>
        <v>2</v>
      </c>
      <c r="D27" s="53">
        <f t="shared" ref="D27:E27" si="15">+C27+1</f>
        <v>3</v>
      </c>
      <c r="E27" s="53">
        <f t="shared" si="15"/>
        <v>4</v>
      </c>
      <c r="F27" s="53"/>
      <c r="G27" s="54">
        <v>5</v>
      </c>
      <c r="H27" s="54">
        <f>+G27+1</f>
        <v>6</v>
      </c>
      <c r="I27" s="54">
        <f t="shared" ref="I27:AC27" si="16">+H27+1</f>
        <v>7</v>
      </c>
      <c r="J27" s="54">
        <f t="shared" si="16"/>
        <v>8</v>
      </c>
      <c r="K27" s="54">
        <f t="shared" si="16"/>
        <v>9</v>
      </c>
      <c r="L27" s="54">
        <f t="shared" si="16"/>
        <v>10</v>
      </c>
      <c r="M27" s="54">
        <f t="shared" si="16"/>
        <v>11</v>
      </c>
      <c r="N27" s="54">
        <f t="shared" si="16"/>
        <v>12</v>
      </c>
      <c r="O27" s="54">
        <f t="shared" si="16"/>
        <v>13</v>
      </c>
      <c r="P27" s="54">
        <f t="shared" si="16"/>
        <v>14</v>
      </c>
      <c r="Q27" s="54">
        <f t="shared" si="16"/>
        <v>15</v>
      </c>
      <c r="R27" s="54">
        <f t="shared" si="16"/>
        <v>16</v>
      </c>
      <c r="S27" s="54">
        <f t="shared" si="16"/>
        <v>17</v>
      </c>
      <c r="T27" s="54">
        <f t="shared" si="16"/>
        <v>18</v>
      </c>
      <c r="U27" s="54">
        <f t="shared" si="16"/>
        <v>19</v>
      </c>
      <c r="V27" s="54">
        <f t="shared" si="16"/>
        <v>20</v>
      </c>
      <c r="W27" s="54">
        <f t="shared" si="16"/>
        <v>21</v>
      </c>
      <c r="X27" s="54">
        <f t="shared" si="16"/>
        <v>22</v>
      </c>
      <c r="Y27" s="54">
        <f t="shared" si="16"/>
        <v>23</v>
      </c>
      <c r="Z27" s="54">
        <f t="shared" si="16"/>
        <v>24</v>
      </c>
      <c r="AA27" s="54">
        <f t="shared" si="16"/>
        <v>25</v>
      </c>
      <c r="AB27" s="54">
        <f t="shared" si="16"/>
        <v>26</v>
      </c>
      <c r="AC27" s="53">
        <f t="shared" si="16"/>
        <v>27</v>
      </c>
    </row>
    <row r="28" spans="1:30" ht="15.75" thickBot="1" x14ac:dyDescent="0.3">
      <c r="A28" s="55"/>
      <c r="B28" s="56" t="s">
        <v>244</v>
      </c>
      <c r="C28" s="56" t="s">
        <v>244</v>
      </c>
      <c r="D28" s="56" t="s">
        <v>244</v>
      </c>
      <c r="E28" s="56" t="s">
        <v>244</v>
      </c>
      <c r="F28" s="57"/>
      <c r="G28" s="411" t="s">
        <v>245</v>
      </c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3"/>
    </row>
    <row r="29" spans="1:30" s="67" customFormat="1" ht="19.5" thickBot="1" x14ac:dyDescent="0.3">
      <c r="A29" s="58" t="s">
        <v>246</v>
      </c>
      <c r="B29" s="59">
        <v>8.5</v>
      </c>
      <c r="C29" s="59">
        <v>11</v>
      </c>
      <c r="D29" s="59">
        <v>11</v>
      </c>
      <c r="E29" s="60">
        <v>14</v>
      </c>
      <c r="F29" s="61"/>
      <c r="G29" s="62">
        <v>14</v>
      </c>
      <c r="H29" s="63">
        <v>17</v>
      </c>
      <c r="I29" s="63">
        <v>20</v>
      </c>
      <c r="J29" s="64">
        <v>10</v>
      </c>
      <c r="K29" s="65">
        <v>12</v>
      </c>
      <c r="L29" s="65">
        <v>14</v>
      </c>
      <c r="M29" s="64">
        <v>16</v>
      </c>
      <c r="N29" s="60">
        <v>18</v>
      </c>
      <c r="O29" s="60">
        <v>20</v>
      </c>
      <c r="P29" s="64">
        <v>9</v>
      </c>
      <c r="Q29" s="60">
        <v>11</v>
      </c>
      <c r="R29" s="64">
        <v>12</v>
      </c>
      <c r="S29" s="60">
        <v>14</v>
      </c>
      <c r="T29" s="60">
        <v>16</v>
      </c>
      <c r="U29" s="60">
        <v>17</v>
      </c>
      <c r="V29" s="66">
        <v>12</v>
      </c>
      <c r="W29" s="66">
        <v>13</v>
      </c>
      <c r="X29" s="66">
        <v>14</v>
      </c>
      <c r="Y29" s="66">
        <v>15</v>
      </c>
      <c r="Z29" s="66">
        <v>16</v>
      </c>
      <c r="AA29" s="66">
        <v>17</v>
      </c>
      <c r="AB29" s="66">
        <v>18</v>
      </c>
      <c r="AC29" s="66">
        <v>19</v>
      </c>
    </row>
    <row r="30" spans="1:30" ht="15.75" thickBot="1" x14ac:dyDescent="0.3">
      <c r="A30" s="68" t="s">
        <v>247</v>
      </c>
      <c r="B30" s="69">
        <f>+[3]Calibration!J7</f>
        <v>1.125</v>
      </c>
      <c r="C30" s="69">
        <f>+[3]Calibration!J9</f>
        <v>1.35</v>
      </c>
      <c r="D30" s="69">
        <f>+[3]Calibration!J10</f>
        <v>1.6</v>
      </c>
      <c r="E30" s="89">
        <v>2</v>
      </c>
      <c r="F30" s="70"/>
      <c r="G30" s="84">
        <v>2</v>
      </c>
      <c r="H30" s="68">
        <v>2.5</v>
      </c>
      <c r="I30" s="113">
        <f>+[3]Calibration!C19</f>
        <v>3</v>
      </c>
      <c r="J30" s="114">
        <f>+[3]Calibration!C9</f>
        <v>1.35</v>
      </c>
      <c r="K30" s="115">
        <f>+[3]Calibration!C11</f>
        <v>1.7</v>
      </c>
      <c r="L30" s="115">
        <f>+[3]Calibration!C13</f>
        <v>2</v>
      </c>
      <c r="M30" s="116">
        <f>+[3]Calibration!C15</f>
        <v>2.2999999999999998</v>
      </c>
      <c r="N30" s="115">
        <f>+[3]Calibration!C17</f>
        <v>2.7</v>
      </c>
      <c r="O30" s="115">
        <f>+[3]Calibration!C19</f>
        <v>3</v>
      </c>
      <c r="P30" s="115">
        <f>+[3]Calibration!C8</f>
        <v>1.25</v>
      </c>
      <c r="Q30" s="115">
        <f>+[3]Calibration!C10</f>
        <v>1.5</v>
      </c>
      <c r="R30" s="115">
        <f>+[3]Calibration!C11</f>
        <v>1.7</v>
      </c>
      <c r="S30" s="115">
        <f>+[3]Calibration!C13</f>
        <v>2</v>
      </c>
      <c r="T30" s="115">
        <f>+[3]Calibration!C15</f>
        <v>2.2999999999999998</v>
      </c>
      <c r="U30" s="115">
        <f>+[3]Calibration!C16</f>
        <v>2.5</v>
      </c>
      <c r="V30" s="115">
        <f>+[3]Calibration!C11</f>
        <v>1.7</v>
      </c>
      <c r="W30" s="115">
        <f>+[3]Calibration!C12</f>
        <v>1.9</v>
      </c>
      <c r="X30" s="115">
        <f>+[3]Calibration!C13</f>
        <v>2</v>
      </c>
      <c r="Y30" s="115">
        <f>+[3]Calibration!C14</f>
        <v>2.2000000000000002</v>
      </c>
      <c r="Z30" s="115">
        <f>+[3]Calibration!C15</f>
        <v>2.2999999999999998</v>
      </c>
      <c r="AA30" s="115">
        <f>+[3]Calibration!C16</f>
        <v>2.5</v>
      </c>
      <c r="AB30" s="115">
        <f>+[3]Calibration!C17</f>
        <v>2.7</v>
      </c>
      <c r="AC30" s="115">
        <f>+[3]Calibration!C18</f>
        <v>2.9</v>
      </c>
      <c r="AD30" s="71">
        <v>0.25</v>
      </c>
    </row>
    <row r="31" spans="1:30" ht="15.75" thickBot="1" x14ac:dyDescent="0.3">
      <c r="A31" s="51" t="s">
        <v>248</v>
      </c>
      <c r="B31" s="72"/>
      <c r="C31" s="72"/>
      <c r="D31" s="73"/>
      <c r="E31" s="74"/>
      <c r="F31" s="57"/>
      <c r="G31" s="75"/>
      <c r="H31" s="76"/>
      <c r="I31" s="76"/>
      <c r="J31" s="77"/>
      <c r="K31" s="73"/>
      <c r="L31" s="73"/>
      <c r="M31" s="78"/>
      <c r="N31" s="73"/>
      <c r="O31" s="73"/>
      <c r="P31" s="73"/>
      <c r="Q31" s="73"/>
      <c r="R31" s="73"/>
      <c r="S31" s="73"/>
      <c r="T31" s="73"/>
      <c r="U31" s="73"/>
      <c r="V31" s="68">
        <f>+V30</f>
        <v>1.7</v>
      </c>
      <c r="W31" s="68">
        <f t="shared" ref="W31:AB31" si="17">+W30</f>
        <v>1.9</v>
      </c>
      <c r="X31" s="68">
        <f t="shared" si="17"/>
        <v>2</v>
      </c>
      <c r="Y31" s="68">
        <f t="shared" si="17"/>
        <v>2.2000000000000002</v>
      </c>
      <c r="Z31" s="68">
        <f t="shared" si="17"/>
        <v>2.2999999999999998</v>
      </c>
      <c r="AA31" s="68">
        <f t="shared" si="17"/>
        <v>2.5</v>
      </c>
      <c r="AB31" s="68">
        <f t="shared" si="17"/>
        <v>2.7</v>
      </c>
      <c r="AC31" s="68">
        <f>+AC30</f>
        <v>2.9</v>
      </c>
      <c r="AD31" s="71">
        <v>0.27083333333333331</v>
      </c>
    </row>
    <row r="32" spans="1:30" ht="15.75" thickBot="1" x14ac:dyDescent="0.3">
      <c r="A32" s="79"/>
      <c r="B32" s="76"/>
      <c r="C32" s="76"/>
      <c r="D32" s="76"/>
      <c r="E32" s="74"/>
      <c r="F32" s="80"/>
      <c r="G32" s="80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</row>
    <row r="33" spans="1:30" ht="15.75" thickBot="1" x14ac:dyDescent="0.3">
      <c r="A33" s="79"/>
      <c r="B33" s="76"/>
      <c r="C33" s="76"/>
      <c r="D33" s="76"/>
      <c r="E33" s="82"/>
      <c r="F33" s="80"/>
      <c r="G33" s="83"/>
      <c r="H33" s="81"/>
      <c r="I33" s="81"/>
      <c r="J33" s="84">
        <f t="shared" ref="J33:U33" si="18">+J30</f>
        <v>1.35</v>
      </c>
      <c r="K33" s="68">
        <f t="shared" si="18"/>
        <v>1.7</v>
      </c>
      <c r="L33" s="68">
        <f t="shared" si="18"/>
        <v>2</v>
      </c>
      <c r="M33" s="85">
        <f t="shared" si="18"/>
        <v>2.2999999999999998</v>
      </c>
      <c r="N33" s="68">
        <f t="shared" si="18"/>
        <v>2.7</v>
      </c>
      <c r="O33" s="68">
        <f t="shared" si="18"/>
        <v>3</v>
      </c>
      <c r="P33" s="68">
        <f t="shared" si="18"/>
        <v>1.25</v>
      </c>
      <c r="Q33" s="68">
        <f t="shared" si="18"/>
        <v>1.5</v>
      </c>
      <c r="R33" s="68">
        <f t="shared" si="18"/>
        <v>1.7</v>
      </c>
      <c r="S33" s="68">
        <f t="shared" si="18"/>
        <v>2</v>
      </c>
      <c r="T33" s="68">
        <f t="shared" si="18"/>
        <v>2.2999999999999998</v>
      </c>
      <c r="U33" s="68">
        <f t="shared" si="18"/>
        <v>2.5</v>
      </c>
      <c r="V33" s="81"/>
      <c r="W33" s="81"/>
      <c r="X33" s="81"/>
      <c r="Y33" s="81"/>
      <c r="Z33" s="81"/>
      <c r="AA33" s="81"/>
      <c r="AB33" s="81"/>
      <c r="AC33" s="81"/>
      <c r="AD33" s="71">
        <v>0.33333333333333331</v>
      </c>
    </row>
    <row r="34" spans="1:30" ht="15.75" thickBot="1" x14ac:dyDescent="0.3">
      <c r="A34" s="76"/>
      <c r="B34" s="76"/>
      <c r="C34" s="76"/>
      <c r="D34" s="76"/>
      <c r="E34" s="82"/>
      <c r="F34" s="80"/>
      <c r="G34" s="83"/>
      <c r="H34" s="81"/>
      <c r="I34" s="81"/>
      <c r="J34" s="86"/>
      <c r="K34" s="81"/>
      <c r="L34" s="81"/>
      <c r="M34" s="74"/>
      <c r="N34" s="81"/>
      <c r="O34" s="81"/>
      <c r="P34" s="76"/>
      <c r="Q34" s="76"/>
      <c r="R34" s="76"/>
      <c r="S34" s="76"/>
      <c r="T34" s="76"/>
      <c r="U34" s="76"/>
      <c r="V34" s="68">
        <f>+V31</f>
        <v>1.7</v>
      </c>
      <c r="W34" s="68">
        <f t="shared" ref="W34:AB34" si="19">+W31</f>
        <v>1.9</v>
      </c>
      <c r="X34" s="68">
        <f t="shared" si="19"/>
        <v>2</v>
      </c>
      <c r="Y34" s="68">
        <f t="shared" si="19"/>
        <v>2.2000000000000002</v>
      </c>
      <c r="Z34" s="68">
        <f t="shared" si="19"/>
        <v>2.2999999999999998</v>
      </c>
      <c r="AA34" s="68">
        <f t="shared" si="19"/>
        <v>2.5</v>
      </c>
      <c r="AB34" s="68">
        <f t="shared" si="19"/>
        <v>2.7</v>
      </c>
      <c r="AC34" s="68">
        <f>+AC31</f>
        <v>2.9</v>
      </c>
      <c r="AD34" s="71">
        <v>0.375</v>
      </c>
    </row>
    <row r="35" spans="1:30" ht="15.75" thickBot="1" x14ac:dyDescent="0.3">
      <c r="A35" s="87"/>
      <c r="B35" s="76"/>
      <c r="C35" s="76"/>
      <c r="D35" s="76"/>
      <c r="E35" s="82"/>
      <c r="F35" s="80"/>
      <c r="G35" s="83"/>
      <c r="H35" s="81"/>
      <c r="I35" s="81"/>
      <c r="J35" s="86"/>
      <c r="K35" s="81"/>
      <c r="L35" s="81"/>
      <c r="M35" s="74"/>
      <c r="N35" s="81"/>
      <c r="O35" s="81"/>
      <c r="P35" s="76"/>
      <c r="Q35" s="76"/>
      <c r="R35" s="76"/>
      <c r="S35" s="76"/>
      <c r="T35" s="76"/>
      <c r="U35" s="76"/>
      <c r="V35" s="81"/>
      <c r="W35" s="81"/>
      <c r="X35" s="81"/>
      <c r="Y35" s="81"/>
      <c r="Z35" s="81"/>
      <c r="AA35" s="81"/>
      <c r="AB35" s="81"/>
      <c r="AC35" s="81"/>
    </row>
    <row r="36" spans="1:30" ht="15.75" thickBot="1" x14ac:dyDescent="0.3">
      <c r="A36" s="68" t="s">
        <v>249</v>
      </c>
      <c r="B36" s="88">
        <f>+B30</f>
        <v>1.125</v>
      </c>
      <c r="C36" s="88">
        <f t="shared" ref="C36:E36" si="20">+C30</f>
        <v>1.35</v>
      </c>
      <c r="D36" s="88">
        <f t="shared" si="20"/>
        <v>1.6</v>
      </c>
      <c r="E36" s="88">
        <f t="shared" si="20"/>
        <v>2</v>
      </c>
      <c r="F36" s="80"/>
      <c r="G36" s="89">
        <f t="shared" ref="G36:I36" si="21">+G30</f>
        <v>2</v>
      </c>
      <c r="H36" s="89">
        <f t="shared" si="21"/>
        <v>2.5</v>
      </c>
      <c r="I36" s="89">
        <f t="shared" si="21"/>
        <v>3</v>
      </c>
      <c r="J36" s="84">
        <f t="shared" ref="J36:U36" si="22">+J33</f>
        <v>1.35</v>
      </c>
      <c r="K36" s="68">
        <f t="shared" si="22"/>
        <v>1.7</v>
      </c>
      <c r="L36" s="68">
        <f t="shared" si="22"/>
        <v>2</v>
      </c>
      <c r="M36" s="85">
        <f t="shared" si="22"/>
        <v>2.2999999999999998</v>
      </c>
      <c r="N36" s="68">
        <f t="shared" si="22"/>
        <v>2.7</v>
      </c>
      <c r="O36" s="68">
        <f t="shared" si="22"/>
        <v>3</v>
      </c>
      <c r="P36" s="68">
        <f t="shared" si="22"/>
        <v>1.25</v>
      </c>
      <c r="Q36" s="68">
        <f t="shared" si="22"/>
        <v>1.5</v>
      </c>
      <c r="R36" s="68">
        <f t="shared" si="22"/>
        <v>1.7</v>
      </c>
      <c r="S36" s="68">
        <f t="shared" si="22"/>
        <v>2</v>
      </c>
      <c r="T36" s="68">
        <f t="shared" si="22"/>
        <v>2.2999999999999998</v>
      </c>
      <c r="U36" s="68">
        <f t="shared" si="22"/>
        <v>2.5</v>
      </c>
      <c r="V36" s="68">
        <f>+V34</f>
        <v>1.7</v>
      </c>
      <c r="W36" s="68">
        <f t="shared" ref="W36:AB36" si="23">+W34</f>
        <v>1.9</v>
      </c>
      <c r="X36" s="68">
        <f t="shared" si="23"/>
        <v>2</v>
      </c>
      <c r="Y36" s="68">
        <f t="shared" si="23"/>
        <v>2.2000000000000002</v>
      </c>
      <c r="Z36" s="68">
        <f t="shared" si="23"/>
        <v>2.2999999999999998</v>
      </c>
      <c r="AA36" s="68">
        <f t="shared" si="23"/>
        <v>2.5</v>
      </c>
      <c r="AB36" s="68">
        <f t="shared" si="23"/>
        <v>2.7</v>
      </c>
      <c r="AC36" s="68">
        <f>+AC34</f>
        <v>2.9</v>
      </c>
      <c r="AD36" s="71">
        <v>0.58333333333333337</v>
      </c>
    </row>
    <row r="37" spans="1:30" ht="15.75" thickBot="1" x14ac:dyDescent="0.3">
      <c r="A37" s="87"/>
      <c r="B37" s="75"/>
      <c r="C37" s="75"/>
      <c r="D37" s="76"/>
      <c r="E37" s="82"/>
      <c r="F37" s="80"/>
      <c r="G37" s="75"/>
      <c r="H37" s="76"/>
      <c r="I37" s="76"/>
      <c r="J37" s="86"/>
      <c r="K37" s="81"/>
      <c r="L37" s="81"/>
      <c r="M37" s="74"/>
      <c r="N37" s="81"/>
      <c r="O37" s="81"/>
      <c r="P37" s="76"/>
      <c r="Q37" s="76"/>
      <c r="R37" s="76"/>
      <c r="S37" s="76"/>
      <c r="T37" s="76"/>
      <c r="U37" s="76"/>
      <c r="V37" s="81"/>
      <c r="W37" s="81"/>
      <c r="X37" s="81"/>
      <c r="Y37" s="81"/>
      <c r="Z37" s="81"/>
      <c r="AA37" s="81"/>
      <c r="AB37" s="81"/>
      <c r="AC37" s="81"/>
    </row>
    <row r="38" spans="1:30" ht="15.75" thickBot="1" x14ac:dyDescent="0.3">
      <c r="A38" s="87"/>
      <c r="B38" s="75"/>
      <c r="C38" s="75"/>
      <c r="D38" s="76"/>
      <c r="E38" s="82"/>
      <c r="F38" s="80"/>
      <c r="G38" s="75"/>
      <c r="H38" s="81"/>
      <c r="I38" s="81"/>
      <c r="J38" s="86"/>
      <c r="K38" s="81"/>
      <c r="L38" s="81"/>
      <c r="M38" s="74"/>
      <c r="N38" s="81"/>
      <c r="O38" s="81"/>
      <c r="P38" s="68">
        <f>+P36</f>
        <v>1.25</v>
      </c>
      <c r="Q38" s="68">
        <f t="shared" ref="Q38:R38" si="24">+Q36</f>
        <v>1.5</v>
      </c>
      <c r="R38" s="68">
        <f t="shared" si="24"/>
        <v>1.7</v>
      </c>
      <c r="S38" s="68">
        <f>+S36</f>
        <v>2</v>
      </c>
      <c r="T38" s="68">
        <f t="shared" ref="T38:U38" si="25">+T36</f>
        <v>2.2999999999999998</v>
      </c>
      <c r="U38" s="68">
        <f t="shared" si="25"/>
        <v>2.5</v>
      </c>
      <c r="V38" s="68">
        <f>+V36</f>
        <v>1.7</v>
      </c>
      <c r="W38" s="68">
        <f t="shared" ref="W38:AB38" si="26">+W36</f>
        <v>1.9</v>
      </c>
      <c r="X38" s="68">
        <f t="shared" si="26"/>
        <v>2</v>
      </c>
      <c r="Y38" s="68">
        <f t="shared" si="26"/>
        <v>2.2000000000000002</v>
      </c>
      <c r="Z38" s="68">
        <f t="shared" si="26"/>
        <v>2.2999999999999998</v>
      </c>
      <c r="AA38" s="68">
        <f t="shared" si="26"/>
        <v>2.5</v>
      </c>
      <c r="AB38" s="68">
        <f t="shared" si="26"/>
        <v>2.7</v>
      </c>
      <c r="AC38" s="68">
        <f>+AC36</f>
        <v>2.9</v>
      </c>
      <c r="AD38" s="71">
        <v>0.625</v>
      </c>
    </row>
    <row r="39" spans="1:30" ht="15.75" thickBot="1" x14ac:dyDescent="0.3">
      <c r="A39" s="90"/>
      <c r="B39" s="91"/>
      <c r="C39" s="91"/>
      <c r="D39" s="92"/>
      <c r="E39" s="93"/>
      <c r="F39" s="94"/>
      <c r="G39" s="94"/>
      <c r="H39" s="95"/>
      <c r="I39" s="95"/>
      <c r="J39" s="96"/>
      <c r="K39" s="97"/>
      <c r="L39" s="97"/>
      <c r="M39" s="98"/>
      <c r="N39" s="97"/>
      <c r="O39" s="97"/>
      <c r="P39" s="99"/>
      <c r="Q39" s="99"/>
      <c r="R39" s="99"/>
      <c r="S39" s="99"/>
      <c r="T39" s="99"/>
      <c r="U39" s="99"/>
      <c r="V39" s="95"/>
      <c r="W39" s="95"/>
      <c r="X39" s="95"/>
      <c r="Y39" s="95"/>
      <c r="Z39" s="95"/>
      <c r="AA39" s="95"/>
      <c r="AB39" s="95"/>
      <c r="AC39" s="95"/>
    </row>
    <row r="40" spans="1:30" ht="15.75" thickBot="1" x14ac:dyDescent="0.3">
      <c r="A40" s="100" t="s">
        <v>250</v>
      </c>
      <c r="B40" s="101">
        <f>SUM(B30:B39)</f>
        <v>2.25</v>
      </c>
      <c r="C40" s="101">
        <f t="shared" ref="C40:E40" si="27">SUM(C30:C39)</f>
        <v>2.7</v>
      </c>
      <c r="D40" s="101">
        <f t="shared" si="27"/>
        <v>3.2</v>
      </c>
      <c r="E40" s="102">
        <f t="shared" si="27"/>
        <v>4</v>
      </c>
      <c r="F40" s="103"/>
      <c r="G40" s="101">
        <f t="shared" ref="G40:AC40" si="28">SUM(G30:G39)</f>
        <v>4</v>
      </c>
      <c r="H40" s="101">
        <f t="shared" si="28"/>
        <v>5</v>
      </c>
      <c r="I40" s="101">
        <f t="shared" si="28"/>
        <v>6</v>
      </c>
      <c r="J40" s="101">
        <f t="shared" si="28"/>
        <v>4.0500000000000007</v>
      </c>
      <c r="K40" s="101">
        <f t="shared" si="28"/>
        <v>5.0999999999999996</v>
      </c>
      <c r="L40" s="101">
        <f t="shared" si="28"/>
        <v>6</v>
      </c>
      <c r="M40" s="101">
        <f t="shared" si="28"/>
        <v>6.8999999999999995</v>
      </c>
      <c r="N40" s="101">
        <f t="shared" si="28"/>
        <v>8.1000000000000014</v>
      </c>
      <c r="O40" s="101">
        <f t="shared" si="28"/>
        <v>9</v>
      </c>
      <c r="P40" s="101">
        <f t="shared" si="28"/>
        <v>5</v>
      </c>
      <c r="Q40" s="101">
        <f t="shared" si="28"/>
        <v>6</v>
      </c>
      <c r="R40" s="101">
        <f t="shared" si="28"/>
        <v>6.8</v>
      </c>
      <c r="S40" s="101">
        <f t="shared" si="28"/>
        <v>8</v>
      </c>
      <c r="T40" s="101">
        <f t="shared" si="28"/>
        <v>9.1999999999999993</v>
      </c>
      <c r="U40" s="101">
        <f t="shared" si="28"/>
        <v>10</v>
      </c>
      <c r="V40" s="101">
        <f t="shared" si="28"/>
        <v>8.5</v>
      </c>
      <c r="W40" s="101">
        <f t="shared" si="28"/>
        <v>9.5</v>
      </c>
      <c r="X40" s="101">
        <f t="shared" si="28"/>
        <v>10</v>
      </c>
      <c r="Y40" s="101">
        <f t="shared" si="28"/>
        <v>11</v>
      </c>
      <c r="Z40" s="101">
        <f t="shared" si="28"/>
        <v>11.5</v>
      </c>
      <c r="AA40" s="101">
        <f t="shared" si="28"/>
        <v>12.5</v>
      </c>
      <c r="AB40" s="101">
        <f t="shared" si="28"/>
        <v>13.5</v>
      </c>
      <c r="AC40" s="102">
        <f t="shared" si="28"/>
        <v>14.5</v>
      </c>
    </row>
    <row r="41" spans="1:30" ht="15.75" hidden="1" thickBot="1" x14ac:dyDescent="0.3">
      <c r="A41" s="104" t="s">
        <v>250</v>
      </c>
      <c r="B41" s="105">
        <v>2.2999999999999998</v>
      </c>
      <c r="C41" s="105"/>
      <c r="D41" s="106">
        <v>3</v>
      </c>
      <c r="E41" s="107">
        <v>4</v>
      </c>
      <c r="F41" s="108"/>
      <c r="G41" s="105">
        <v>4</v>
      </c>
      <c r="H41" s="105"/>
      <c r="I41" s="106">
        <v>5</v>
      </c>
      <c r="J41" s="105">
        <v>6</v>
      </c>
      <c r="K41" s="105">
        <v>7</v>
      </c>
      <c r="L41" s="105">
        <v>7</v>
      </c>
      <c r="M41" s="105">
        <v>8</v>
      </c>
      <c r="N41" s="106">
        <v>9</v>
      </c>
      <c r="O41" s="106">
        <v>9</v>
      </c>
      <c r="P41" s="109">
        <v>10</v>
      </c>
      <c r="Q41" s="109"/>
      <c r="R41" s="109"/>
      <c r="S41" s="106">
        <v>11</v>
      </c>
      <c r="T41" s="106"/>
      <c r="U41" s="106"/>
      <c r="V41" s="106">
        <v>13</v>
      </c>
      <c r="W41" s="106"/>
      <c r="X41" s="106"/>
      <c r="Y41" s="106"/>
      <c r="Z41" s="106"/>
      <c r="AA41" s="106"/>
      <c r="AB41" s="106"/>
      <c r="AC41" s="106">
        <v>14</v>
      </c>
    </row>
    <row r="42" spans="1:30" s="111" customFormat="1" x14ac:dyDescent="0.25">
      <c r="A42" s="50"/>
      <c r="B42" s="110" t="s">
        <v>251</v>
      </c>
      <c r="C42" s="11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30" s="112" customFormat="1" x14ac:dyDescent="0.25">
      <c r="A43" s="50"/>
      <c r="B43" s="110" t="s">
        <v>252</v>
      </c>
      <c r="C43" s="110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30" x14ac:dyDescent="0.25">
      <c r="B44" s="110" t="s">
        <v>253</v>
      </c>
      <c r="C44" s="110"/>
    </row>
    <row r="45" spans="1:30" x14ac:dyDescent="0.25">
      <c r="B45" s="110" t="s">
        <v>254</v>
      </c>
      <c r="C45" s="110"/>
    </row>
    <row r="46" spans="1:30" x14ac:dyDescent="0.25">
      <c r="B46" s="110" t="s">
        <v>255</v>
      </c>
      <c r="C46" s="110"/>
    </row>
  </sheetData>
  <mergeCells count="10">
    <mergeCell ref="G28:AC28"/>
    <mergeCell ref="B3:I3"/>
    <mergeCell ref="J3:O3"/>
    <mergeCell ref="P3:U3"/>
    <mergeCell ref="V3:AC3"/>
    <mergeCell ref="G5:AC5"/>
    <mergeCell ref="B26:I26"/>
    <mergeCell ref="J26:O26"/>
    <mergeCell ref="P26:U26"/>
    <mergeCell ref="V26:AC26"/>
  </mergeCells>
  <pageMargins left="0.2" right="0" top="0.75" bottom="0.25" header="0.3" footer="0.3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9CD0-B2F4-413B-8C86-8BB5242ED71C}">
  <sheetPr>
    <pageSetUpPr fitToPage="1"/>
  </sheetPr>
  <dimension ref="A1:AA46"/>
  <sheetViews>
    <sheetView topLeftCell="A24" zoomScale="90" zoomScaleNormal="90" workbookViewId="0">
      <selection activeCell="N24" sqref="N24"/>
    </sheetView>
  </sheetViews>
  <sheetFormatPr defaultColWidth="10.7109375" defaultRowHeight="15.75" x14ac:dyDescent="0.25"/>
  <cols>
    <col min="1" max="1" width="10.7109375" style="47"/>
    <col min="2" max="4" width="8.140625" style="118" customWidth="1"/>
    <col min="5" max="5" width="3" style="118" customWidth="1"/>
    <col min="6" max="26" width="8.140625" style="118" customWidth="1"/>
    <col min="27" max="27" width="8.140625" style="119" customWidth="1"/>
    <col min="28" max="16384" width="10.7109375" style="47"/>
  </cols>
  <sheetData>
    <row r="1" spans="1:27" ht="21.75" thickBot="1" x14ac:dyDescent="0.4">
      <c r="A1" s="117" t="s">
        <v>238</v>
      </c>
    </row>
    <row r="2" spans="1:27" ht="16.5" thickBot="1" x14ac:dyDescent="0.3">
      <c r="B2" s="420" t="s">
        <v>239</v>
      </c>
      <c r="C2" s="421"/>
      <c r="D2" s="422"/>
      <c r="F2" s="420" t="s">
        <v>239</v>
      </c>
      <c r="G2" s="421"/>
      <c r="H2" s="422"/>
      <c r="I2" s="420" t="s">
        <v>240</v>
      </c>
      <c r="J2" s="421"/>
      <c r="K2" s="421"/>
      <c r="L2" s="421"/>
      <c r="M2" s="421"/>
      <c r="N2" s="422"/>
      <c r="O2" s="420" t="s">
        <v>241</v>
      </c>
      <c r="P2" s="421"/>
      <c r="Q2" s="421"/>
      <c r="R2" s="421"/>
      <c r="S2" s="421"/>
      <c r="T2" s="420" t="s">
        <v>242</v>
      </c>
      <c r="U2" s="421"/>
      <c r="V2" s="421"/>
      <c r="W2" s="421"/>
      <c r="X2" s="421"/>
      <c r="Y2" s="421"/>
      <c r="Z2" s="422"/>
    </row>
    <row r="3" spans="1:27" ht="16.5" thickBot="1" x14ac:dyDescent="0.3">
      <c r="A3" s="120" t="s">
        <v>243</v>
      </c>
      <c r="B3" s="121">
        <v>1</v>
      </c>
      <c r="C3" s="122">
        <v>2</v>
      </c>
      <c r="D3" s="121">
        <v>3</v>
      </c>
      <c r="E3" s="122"/>
      <c r="F3" s="123">
        <v>4</v>
      </c>
      <c r="G3" s="123">
        <v>5</v>
      </c>
      <c r="H3" s="123">
        <v>6</v>
      </c>
      <c r="I3" s="123">
        <f>+H3+1</f>
        <v>7</v>
      </c>
      <c r="J3" s="123">
        <f t="shared" ref="J3:Z3" si="0">+I3+1</f>
        <v>8</v>
      </c>
      <c r="K3" s="123">
        <f t="shared" si="0"/>
        <v>9</v>
      </c>
      <c r="L3" s="123">
        <f t="shared" si="0"/>
        <v>10</v>
      </c>
      <c r="M3" s="123">
        <f t="shared" si="0"/>
        <v>11</v>
      </c>
      <c r="N3" s="121">
        <f t="shared" si="0"/>
        <v>12</v>
      </c>
      <c r="O3" s="121">
        <f t="shared" si="0"/>
        <v>13</v>
      </c>
      <c r="P3" s="121">
        <f t="shared" si="0"/>
        <v>14</v>
      </c>
      <c r="Q3" s="121">
        <f t="shared" si="0"/>
        <v>15</v>
      </c>
      <c r="R3" s="121">
        <f t="shared" si="0"/>
        <v>16</v>
      </c>
      <c r="S3" s="121">
        <f t="shared" si="0"/>
        <v>17</v>
      </c>
      <c r="T3" s="121">
        <f t="shared" si="0"/>
        <v>18</v>
      </c>
      <c r="U3" s="121">
        <f t="shared" si="0"/>
        <v>19</v>
      </c>
      <c r="V3" s="121">
        <f t="shared" si="0"/>
        <v>20</v>
      </c>
      <c r="W3" s="121">
        <f t="shared" si="0"/>
        <v>21</v>
      </c>
      <c r="X3" s="121">
        <f t="shared" si="0"/>
        <v>22</v>
      </c>
      <c r="Y3" s="121">
        <f t="shared" si="0"/>
        <v>23</v>
      </c>
      <c r="Z3" s="121">
        <f t="shared" si="0"/>
        <v>24</v>
      </c>
    </row>
    <row r="4" spans="1:27" ht="16.5" thickBot="1" x14ac:dyDescent="0.3">
      <c r="A4" s="124"/>
      <c r="B4" s="125" t="s">
        <v>244</v>
      </c>
      <c r="C4" s="125" t="s">
        <v>244</v>
      </c>
      <c r="D4" s="125" t="s">
        <v>244</v>
      </c>
      <c r="E4" s="123"/>
      <c r="F4" s="417" t="s">
        <v>260</v>
      </c>
      <c r="G4" s="418"/>
      <c r="H4" s="418"/>
      <c r="I4" s="418"/>
      <c r="J4" s="418"/>
      <c r="K4" s="418"/>
      <c r="L4" s="418"/>
      <c r="M4" s="418"/>
      <c r="N4" s="418"/>
      <c r="O4" s="418"/>
      <c r="P4" s="418"/>
      <c r="Q4" s="418"/>
      <c r="R4" s="418"/>
      <c r="S4" s="418"/>
      <c r="T4" s="418"/>
      <c r="U4" s="418"/>
      <c r="V4" s="418"/>
      <c r="W4" s="418"/>
      <c r="X4" s="418"/>
      <c r="Y4" s="418"/>
      <c r="Z4" s="419"/>
    </row>
    <row r="5" spans="1:27" s="134" customFormat="1" ht="19.5" thickBot="1" x14ac:dyDescent="0.35">
      <c r="A5" s="126" t="s">
        <v>261</v>
      </c>
      <c r="B5" s="127">
        <v>9</v>
      </c>
      <c r="C5" s="128">
        <v>13</v>
      </c>
      <c r="D5" s="129">
        <v>13</v>
      </c>
      <c r="E5" s="130"/>
      <c r="F5" s="128">
        <v>13</v>
      </c>
      <c r="G5" s="131">
        <v>15</v>
      </c>
      <c r="H5" s="131">
        <v>18</v>
      </c>
      <c r="I5" s="131">
        <v>9</v>
      </c>
      <c r="J5" s="131">
        <v>11</v>
      </c>
      <c r="K5" s="131">
        <v>13</v>
      </c>
      <c r="L5" s="131">
        <v>16</v>
      </c>
      <c r="M5" s="131">
        <v>18</v>
      </c>
      <c r="N5" s="131">
        <v>20</v>
      </c>
      <c r="O5" s="128">
        <v>11</v>
      </c>
      <c r="P5" s="128">
        <v>13</v>
      </c>
      <c r="Q5" s="128">
        <v>15</v>
      </c>
      <c r="R5" s="128">
        <v>17</v>
      </c>
      <c r="S5" s="128">
        <v>19</v>
      </c>
      <c r="T5" s="132">
        <v>12</v>
      </c>
      <c r="U5" s="132">
        <v>13</v>
      </c>
      <c r="V5" s="132">
        <v>15</v>
      </c>
      <c r="W5" s="132">
        <v>17</v>
      </c>
      <c r="X5" s="132">
        <v>18</v>
      </c>
      <c r="Y5" s="132">
        <v>19</v>
      </c>
      <c r="Z5" s="132">
        <v>20</v>
      </c>
      <c r="AA5" s="133"/>
    </row>
    <row r="6" spans="1:27" ht="16.5" thickBot="1" x14ac:dyDescent="0.3">
      <c r="A6" s="135" t="s">
        <v>247</v>
      </c>
      <c r="B6" s="136">
        <f>+[3]Calibration!J8</f>
        <v>1.25</v>
      </c>
      <c r="C6" s="137">
        <v>1.75</v>
      </c>
      <c r="D6" s="137">
        <v>1.75</v>
      </c>
      <c r="E6" s="137"/>
      <c r="F6" s="138">
        <v>1.75</v>
      </c>
      <c r="G6" s="136">
        <f>+[3]Calibration!C14</f>
        <v>2.2000000000000002</v>
      </c>
      <c r="H6" s="136">
        <f>+[3]Calibration!C17</f>
        <v>2.7</v>
      </c>
      <c r="I6" s="136">
        <f>+[3]Calibration!C8</f>
        <v>1.25</v>
      </c>
      <c r="J6" s="136">
        <f>+[3]Calibration!C10</f>
        <v>1.5</v>
      </c>
      <c r="K6" s="137">
        <v>1.9</v>
      </c>
      <c r="L6" s="136">
        <f>+[3]Calibration!C15</f>
        <v>2.2999999999999998</v>
      </c>
      <c r="M6" s="136">
        <f>+[3]Calibration!C17</f>
        <v>2.7</v>
      </c>
      <c r="N6" s="136">
        <f>+[3]Calibration!C19</f>
        <v>3</v>
      </c>
      <c r="O6" s="139">
        <f>+[3]Calibration!C10</f>
        <v>1.5</v>
      </c>
      <c r="P6" s="139">
        <f>+[3]Calibration!C12</f>
        <v>1.9</v>
      </c>
      <c r="Q6" s="139">
        <f>+[3]Calibration!C14</f>
        <v>2.2000000000000002</v>
      </c>
      <c r="R6" s="139">
        <f>+[3]Calibration!C16</f>
        <v>2.5</v>
      </c>
      <c r="S6" s="139">
        <f>+[3]Calibration!C18</f>
        <v>2.9</v>
      </c>
      <c r="T6" s="136">
        <f>+[3]Calibration!C11</f>
        <v>1.7</v>
      </c>
      <c r="U6" s="139">
        <f>+[3]Calibration!C12</f>
        <v>1.9</v>
      </c>
      <c r="V6" s="139">
        <f>+[3]Calibration!C14</f>
        <v>2.2000000000000002</v>
      </c>
      <c r="W6" s="139">
        <f>+[3]Calibration!C16</f>
        <v>2.5</v>
      </c>
      <c r="X6" s="139">
        <f>+[3]Calibration!C17</f>
        <v>2.7</v>
      </c>
      <c r="Y6" s="140">
        <f>+[3]Calibration!C18</f>
        <v>2.9</v>
      </c>
      <c r="Z6" s="137">
        <v>3</v>
      </c>
      <c r="AA6" s="141">
        <v>0.25</v>
      </c>
    </row>
    <row r="7" spans="1:27" ht="16.5" thickBot="1" x14ac:dyDescent="0.3">
      <c r="A7" s="120" t="s">
        <v>248</v>
      </c>
      <c r="B7" s="142"/>
      <c r="C7" s="143"/>
      <c r="D7" s="144"/>
      <c r="E7" s="145"/>
      <c r="F7" s="144"/>
      <c r="G7" s="146"/>
      <c r="H7" s="146"/>
      <c r="I7" s="146"/>
      <c r="J7" s="146"/>
      <c r="K7" s="146"/>
      <c r="L7" s="146"/>
      <c r="M7" s="146"/>
      <c r="N7" s="146"/>
      <c r="O7" s="147"/>
      <c r="P7" s="147"/>
      <c r="Q7" s="147"/>
      <c r="R7" s="147"/>
      <c r="S7" s="147"/>
      <c r="T7" s="148"/>
      <c r="U7" s="147"/>
      <c r="V7" s="147"/>
      <c r="W7" s="147"/>
      <c r="X7" s="147"/>
      <c r="Y7" s="149"/>
      <c r="Z7" s="143"/>
    </row>
    <row r="8" spans="1:27" ht="16.5" thickBot="1" x14ac:dyDescent="0.3">
      <c r="A8" s="150"/>
      <c r="B8" s="151"/>
      <c r="C8" s="148"/>
      <c r="D8" s="144"/>
      <c r="E8" s="152"/>
      <c r="F8" s="144"/>
      <c r="G8" s="148"/>
      <c r="H8" s="148"/>
      <c r="I8" s="148"/>
      <c r="J8" s="148"/>
      <c r="K8" s="148"/>
      <c r="L8" s="148"/>
      <c r="M8" s="148"/>
      <c r="N8" s="148"/>
      <c r="O8" s="137">
        <f t="shared" ref="O8:Z8" si="1">+O6</f>
        <v>1.5</v>
      </c>
      <c r="P8" s="137">
        <f t="shared" si="1"/>
        <v>1.9</v>
      </c>
      <c r="Q8" s="137">
        <f t="shared" si="1"/>
        <v>2.2000000000000002</v>
      </c>
      <c r="R8" s="137">
        <f t="shared" si="1"/>
        <v>2.5</v>
      </c>
      <c r="S8" s="137">
        <f t="shared" si="1"/>
        <v>2.9</v>
      </c>
      <c r="T8" s="137">
        <f t="shared" si="1"/>
        <v>1.7</v>
      </c>
      <c r="U8" s="153">
        <f t="shared" si="1"/>
        <v>1.9</v>
      </c>
      <c r="V8" s="153">
        <f t="shared" si="1"/>
        <v>2.2000000000000002</v>
      </c>
      <c r="W8" s="153">
        <f t="shared" si="1"/>
        <v>2.5</v>
      </c>
      <c r="X8" s="153">
        <f t="shared" si="1"/>
        <v>2.7</v>
      </c>
      <c r="Y8" s="154">
        <f t="shared" si="1"/>
        <v>2.9</v>
      </c>
      <c r="Z8" s="137">
        <f t="shared" si="1"/>
        <v>3</v>
      </c>
      <c r="AA8" s="141">
        <v>0.27083333333333331</v>
      </c>
    </row>
    <row r="9" spans="1:27" ht="16.5" thickBot="1" x14ac:dyDescent="0.3">
      <c r="A9" s="150"/>
      <c r="B9" s="155"/>
      <c r="C9" s="146"/>
      <c r="D9" s="156"/>
      <c r="E9" s="152"/>
      <c r="F9" s="156"/>
      <c r="G9" s="146"/>
      <c r="H9" s="146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57"/>
      <c r="V9" s="157"/>
      <c r="W9" s="157"/>
      <c r="X9" s="157"/>
      <c r="Y9" s="144"/>
      <c r="Z9" s="148"/>
    </row>
    <row r="10" spans="1:27" ht="16.5" thickBot="1" x14ac:dyDescent="0.3">
      <c r="A10" s="150"/>
      <c r="B10" s="155"/>
      <c r="C10" s="146"/>
      <c r="D10" s="144"/>
      <c r="E10" s="152"/>
      <c r="F10" s="144"/>
      <c r="G10" s="148"/>
      <c r="H10" s="148"/>
      <c r="I10" s="158">
        <f t="shared" ref="I10:M10" si="2">+I6</f>
        <v>1.25</v>
      </c>
      <c r="J10" s="158">
        <f t="shared" si="2"/>
        <v>1.5</v>
      </c>
      <c r="K10" s="158">
        <f t="shared" si="2"/>
        <v>1.9</v>
      </c>
      <c r="L10" s="158">
        <f t="shared" si="2"/>
        <v>2.2999999999999998</v>
      </c>
      <c r="M10" s="158">
        <f t="shared" si="2"/>
        <v>2.7</v>
      </c>
      <c r="N10" s="158">
        <f>+N6</f>
        <v>3</v>
      </c>
      <c r="O10" s="148"/>
      <c r="P10" s="148"/>
      <c r="Q10" s="148"/>
      <c r="R10" s="148"/>
      <c r="S10" s="148"/>
      <c r="T10" s="148"/>
      <c r="U10" s="157"/>
      <c r="V10" s="157"/>
      <c r="W10" s="157"/>
      <c r="X10" s="157"/>
      <c r="Y10" s="144"/>
      <c r="Z10" s="148"/>
      <c r="AA10" s="141">
        <v>0.33333333333333331</v>
      </c>
    </row>
    <row r="11" spans="1:27" ht="16.5" thickBot="1" x14ac:dyDescent="0.3">
      <c r="A11" s="150"/>
      <c r="B11" s="155"/>
      <c r="C11" s="146"/>
      <c r="D11" s="156"/>
      <c r="E11" s="152"/>
      <c r="F11" s="156"/>
      <c r="G11" s="146"/>
      <c r="H11" s="146"/>
      <c r="I11" s="143"/>
      <c r="J11" s="143"/>
      <c r="K11" s="143"/>
      <c r="L11" s="143"/>
      <c r="M11" s="143"/>
      <c r="N11" s="143"/>
      <c r="O11" s="153">
        <f t="shared" ref="O11:Z11" si="3">+O8</f>
        <v>1.5</v>
      </c>
      <c r="P11" s="153">
        <f t="shared" si="3"/>
        <v>1.9</v>
      </c>
      <c r="Q11" s="153">
        <f t="shared" si="3"/>
        <v>2.2000000000000002</v>
      </c>
      <c r="R11" s="153">
        <f t="shared" si="3"/>
        <v>2.5</v>
      </c>
      <c r="S11" s="153">
        <f t="shared" si="3"/>
        <v>2.9</v>
      </c>
      <c r="T11" s="137">
        <f t="shared" si="3"/>
        <v>1.7</v>
      </c>
      <c r="U11" s="153">
        <f t="shared" si="3"/>
        <v>1.9</v>
      </c>
      <c r="V11" s="153">
        <f t="shared" si="3"/>
        <v>2.2000000000000002</v>
      </c>
      <c r="W11" s="153">
        <f t="shared" si="3"/>
        <v>2.5</v>
      </c>
      <c r="X11" s="153">
        <f t="shared" si="3"/>
        <v>2.7</v>
      </c>
      <c r="Y11" s="154">
        <f t="shared" si="3"/>
        <v>2.9</v>
      </c>
      <c r="Z11" s="137">
        <f t="shared" si="3"/>
        <v>3</v>
      </c>
      <c r="AA11" s="141">
        <v>0.375</v>
      </c>
    </row>
    <row r="12" spans="1:27" ht="16.5" thickBot="1" x14ac:dyDescent="0.3">
      <c r="A12" s="159"/>
      <c r="B12" s="160"/>
      <c r="C12" s="152"/>
      <c r="E12" s="152"/>
      <c r="G12" s="152"/>
      <c r="H12" s="152"/>
      <c r="I12" s="161"/>
      <c r="J12" s="161"/>
      <c r="K12" s="161"/>
      <c r="L12" s="161"/>
      <c r="M12" s="161"/>
      <c r="N12" s="161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spans="1:27" ht="16.5" thickBot="1" x14ac:dyDescent="0.3">
      <c r="A13" s="135" t="s">
        <v>249</v>
      </c>
      <c r="B13" s="139">
        <f>+B6</f>
        <v>1.25</v>
      </c>
      <c r="C13" s="153">
        <f t="shared" ref="C13:D13" si="4">+C6</f>
        <v>1.75</v>
      </c>
      <c r="D13" s="153">
        <f t="shared" si="4"/>
        <v>1.75</v>
      </c>
      <c r="E13" s="152"/>
      <c r="F13" s="154">
        <f t="shared" ref="F13" si="5">+F6</f>
        <v>1.75</v>
      </c>
      <c r="G13" s="136">
        <f>+G6</f>
        <v>2.2000000000000002</v>
      </c>
      <c r="H13" s="136">
        <f>+H6</f>
        <v>2.7</v>
      </c>
      <c r="I13" s="137">
        <f t="shared" ref="I13:M13" si="6">+I10</f>
        <v>1.25</v>
      </c>
      <c r="J13" s="137">
        <f t="shared" si="6"/>
        <v>1.5</v>
      </c>
      <c r="K13" s="137">
        <f t="shared" si="6"/>
        <v>1.9</v>
      </c>
      <c r="L13" s="137">
        <f t="shared" si="6"/>
        <v>2.2999999999999998</v>
      </c>
      <c r="M13" s="137">
        <f t="shared" si="6"/>
        <v>2.7</v>
      </c>
      <c r="N13" s="137">
        <f>+N10</f>
        <v>3</v>
      </c>
      <c r="O13" s="148"/>
      <c r="P13" s="148"/>
      <c r="Q13" s="148"/>
      <c r="R13" s="148"/>
      <c r="S13" s="148"/>
      <c r="T13" s="137">
        <f t="shared" ref="T13:Z13" si="7">+T11</f>
        <v>1.7</v>
      </c>
      <c r="U13" s="153">
        <f t="shared" si="7"/>
        <v>1.9</v>
      </c>
      <c r="V13" s="153">
        <f t="shared" si="7"/>
        <v>2.2000000000000002</v>
      </c>
      <c r="W13" s="153">
        <f t="shared" si="7"/>
        <v>2.5</v>
      </c>
      <c r="X13" s="153">
        <f t="shared" si="7"/>
        <v>2.7</v>
      </c>
      <c r="Y13" s="154">
        <f t="shared" si="7"/>
        <v>2.9</v>
      </c>
      <c r="Z13" s="137">
        <f t="shared" si="7"/>
        <v>3</v>
      </c>
      <c r="AA13" s="141">
        <v>0.58333333333333337</v>
      </c>
    </row>
    <row r="14" spans="1:27" ht="16.5" thickBot="1" x14ac:dyDescent="0.3">
      <c r="A14" s="162"/>
      <c r="B14" s="142"/>
      <c r="C14" s="143"/>
      <c r="D14" s="149"/>
      <c r="E14" s="152"/>
      <c r="F14" s="149"/>
      <c r="G14" s="146"/>
      <c r="H14" s="146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spans="1:27" ht="16.5" thickBot="1" x14ac:dyDescent="0.3">
      <c r="A15" s="162"/>
      <c r="B15" s="155"/>
      <c r="C15" s="146"/>
      <c r="D15" s="156"/>
      <c r="E15" s="152"/>
      <c r="F15" s="156"/>
      <c r="G15" s="146"/>
      <c r="H15" s="146"/>
      <c r="I15" s="148"/>
      <c r="J15" s="148"/>
      <c r="K15" s="148"/>
      <c r="L15" s="148"/>
      <c r="M15" s="148"/>
      <c r="N15" s="148"/>
      <c r="O15" s="153">
        <f>+O11</f>
        <v>1.5</v>
      </c>
      <c r="P15" s="153">
        <f t="shared" ref="P15:S15" si="8">+P11</f>
        <v>1.9</v>
      </c>
      <c r="Q15" s="153">
        <f t="shared" si="8"/>
        <v>2.2000000000000002</v>
      </c>
      <c r="R15" s="153">
        <f t="shared" si="8"/>
        <v>2.5</v>
      </c>
      <c r="S15" s="153">
        <f t="shared" si="8"/>
        <v>2.9</v>
      </c>
      <c r="T15" s="137">
        <f t="shared" ref="T15:Z15" si="9">+T13</f>
        <v>1.7</v>
      </c>
      <c r="U15" s="153">
        <f t="shared" si="9"/>
        <v>1.9</v>
      </c>
      <c r="V15" s="153">
        <f t="shared" si="9"/>
        <v>2.2000000000000002</v>
      </c>
      <c r="W15" s="153">
        <f t="shared" si="9"/>
        <v>2.5</v>
      </c>
      <c r="X15" s="153">
        <f t="shared" si="9"/>
        <v>2.7</v>
      </c>
      <c r="Y15" s="154">
        <f t="shared" si="9"/>
        <v>2.9</v>
      </c>
      <c r="Z15" s="137">
        <f t="shared" si="9"/>
        <v>3</v>
      </c>
      <c r="AA15" s="141">
        <v>0.625</v>
      </c>
    </row>
    <row r="16" spans="1:27" s="168" customFormat="1" ht="16.5" thickBot="1" x14ac:dyDescent="0.3">
      <c r="A16" s="163" t="s">
        <v>250</v>
      </c>
      <c r="B16" s="164">
        <f>SUM(B6:B15)</f>
        <v>2.5</v>
      </c>
      <c r="C16" s="164">
        <f>SUM(C6:C15)</f>
        <v>3.5</v>
      </c>
      <c r="D16" s="165">
        <f>SUM(D6:D15)</f>
        <v>3.5</v>
      </c>
      <c r="E16" s="166"/>
      <c r="F16" s="164">
        <f t="shared" ref="F16:Z16" si="10">SUM(F6:F15)</f>
        <v>3.5</v>
      </c>
      <c r="G16" s="165">
        <f t="shared" si="10"/>
        <v>4.4000000000000004</v>
      </c>
      <c r="H16" s="165">
        <f t="shared" si="10"/>
        <v>5.4</v>
      </c>
      <c r="I16" s="164">
        <f t="shared" si="10"/>
        <v>3.75</v>
      </c>
      <c r="J16" s="164">
        <f t="shared" si="10"/>
        <v>4.5</v>
      </c>
      <c r="K16" s="164">
        <f t="shared" si="10"/>
        <v>5.6999999999999993</v>
      </c>
      <c r="L16" s="164">
        <f t="shared" si="10"/>
        <v>6.8999999999999995</v>
      </c>
      <c r="M16" s="164">
        <f t="shared" si="10"/>
        <v>8.1000000000000014</v>
      </c>
      <c r="N16" s="164">
        <f t="shared" si="10"/>
        <v>9</v>
      </c>
      <c r="O16" s="164">
        <f t="shared" si="10"/>
        <v>6</v>
      </c>
      <c r="P16" s="164">
        <f t="shared" si="10"/>
        <v>7.6</v>
      </c>
      <c r="Q16" s="164">
        <f t="shared" si="10"/>
        <v>8.8000000000000007</v>
      </c>
      <c r="R16" s="164">
        <f t="shared" si="10"/>
        <v>10</v>
      </c>
      <c r="S16" s="164">
        <f t="shared" si="10"/>
        <v>11.6</v>
      </c>
      <c r="T16" s="164">
        <f t="shared" si="10"/>
        <v>8.5</v>
      </c>
      <c r="U16" s="164">
        <f t="shared" si="10"/>
        <v>9.5</v>
      </c>
      <c r="V16" s="167">
        <f t="shared" si="10"/>
        <v>11</v>
      </c>
      <c r="W16" s="167">
        <f t="shared" si="10"/>
        <v>12.5</v>
      </c>
      <c r="X16" s="167">
        <f t="shared" si="10"/>
        <v>13.5</v>
      </c>
      <c r="Y16" s="164">
        <f t="shared" si="10"/>
        <v>14.5</v>
      </c>
      <c r="Z16" s="165">
        <f t="shared" si="10"/>
        <v>15</v>
      </c>
      <c r="AA16" s="119"/>
    </row>
    <row r="17" spans="1:27" s="168" customFormat="1" ht="16.5" hidden="1" thickBot="1" x14ac:dyDescent="0.3">
      <c r="A17" s="169" t="s">
        <v>250</v>
      </c>
      <c r="B17" s="170">
        <v>2.5</v>
      </c>
      <c r="C17" s="171">
        <v>3.5</v>
      </c>
      <c r="D17" s="172">
        <v>3.5</v>
      </c>
      <c r="E17" s="173"/>
      <c r="F17" s="170">
        <v>4.5</v>
      </c>
      <c r="G17" s="170"/>
      <c r="H17" s="170"/>
      <c r="I17" s="170"/>
      <c r="J17" s="170"/>
      <c r="K17" s="170"/>
      <c r="L17" s="170"/>
      <c r="M17" s="170"/>
      <c r="N17" s="171">
        <v>5.5</v>
      </c>
      <c r="O17" s="172">
        <v>9.5</v>
      </c>
      <c r="P17" s="174"/>
      <c r="Q17" s="174"/>
      <c r="R17" s="174"/>
      <c r="S17" s="174"/>
      <c r="T17" s="171">
        <v>12.5</v>
      </c>
      <c r="U17" s="172">
        <v>13.5</v>
      </c>
      <c r="V17" s="172">
        <v>13.5</v>
      </c>
      <c r="W17" s="172">
        <v>13.5</v>
      </c>
      <c r="X17" s="174">
        <v>14.5</v>
      </c>
      <c r="Y17" s="174">
        <v>14.5</v>
      </c>
      <c r="Z17" s="171">
        <v>15.5</v>
      </c>
      <c r="AA17" s="119"/>
    </row>
    <row r="18" spans="1:27" x14ac:dyDescent="0.25">
      <c r="B18" s="175" t="s">
        <v>262</v>
      </c>
      <c r="D18" s="176"/>
    </row>
    <row r="19" spans="1:27" x14ac:dyDescent="0.25">
      <c r="B19" s="175" t="s">
        <v>263</v>
      </c>
    </row>
    <row r="20" spans="1:27" x14ac:dyDescent="0.25">
      <c r="B20" s="175" t="s">
        <v>264</v>
      </c>
    </row>
    <row r="21" spans="1:27" x14ac:dyDescent="0.25">
      <c r="B21" s="175" t="s">
        <v>253</v>
      </c>
    </row>
    <row r="22" spans="1:27" x14ac:dyDescent="0.25">
      <c r="B22" s="175" t="s">
        <v>265</v>
      </c>
    </row>
    <row r="23" spans="1:27" ht="50.25" customHeight="1" x14ac:dyDescent="0.25">
      <c r="B23" s="175"/>
    </row>
    <row r="24" spans="1:27" s="177" customFormat="1" ht="50.25" customHeight="1" x14ac:dyDescent="0.25"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9"/>
    </row>
    <row r="25" spans="1:27" ht="21.75" thickBot="1" x14ac:dyDescent="0.4">
      <c r="A25" s="117" t="s">
        <v>238</v>
      </c>
    </row>
    <row r="26" spans="1:27" ht="16.5" thickBot="1" x14ac:dyDescent="0.3">
      <c r="B26" s="420" t="s">
        <v>239</v>
      </c>
      <c r="C26" s="421"/>
      <c r="D26" s="422"/>
      <c r="F26" s="420" t="s">
        <v>239</v>
      </c>
      <c r="G26" s="421"/>
      <c r="H26" s="422"/>
      <c r="I26" s="420" t="s">
        <v>240</v>
      </c>
      <c r="J26" s="421"/>
      <c r="K26" s="421"/>
      <c r="L26" s="421"/>
      <c r="M26" s="421"/>
      <c r="N26" s="422"/>
      <c r="O26" s="420" t="s">
        <v>241</v>
      </c>
      <c r="P26" s="421"/>
      <c r="Q26" s="421"/>
      <c r="R26" s="421"/>
      <c r="S26" s="421"/>
      <c r="T26" s="420" t="s">
        <v>242</v>
      </c>
      <c r="U26" s="421"/>
      <c r="V26" s="421"/>
      <c r="W26" s="421"/>
      <c r="X26" s="421"/>
      <c r="Y26" s="421"/>
      <c r="Z26" s="422"/>
    </row>
    <row r="27" spans="1:27" ht="16.5" thickBot="1" x14ac:dyDescent="0.3">
      <c r="A27" s="120" t="s">
        <v>243</v>
      </c>
      <c r="B27" s="121">
        <v>1</v>
      </c>
      <c r="C27" s="122">
        <v>2</v>
      </c>
      <c r="D27" s="121">
        <v>3</v>
      </c>
      <c r="E27" s="122"/>
      <c r="F27" s="123">
        <v>4</v>
      </c>
      <c r="G27" s="123">
        <v>5</v>
      </c>
      <c r="H27" s="123">
        <v>6</v>
      </c>
      <c r="I27" s="123">
        <f>+H27+1</f>
        <v>7</v>
      </c>
      <c r="J27" s="123">
        <f t="shared" ref="J27:Z27" si="11">+I27+1</f>
        <v>8</v>
      </c>
      <c r="K27" s="123">
        <f t="shared" si="11"/>
        <v>9</v>
      </c>
      <c r="L27" s="123">
        <f t="shared" si="11"/>
        <v>10</v>
      </c>
      <c r="M27" s="123">
        <f t="shared" si="11"/>
        <v>11</v>
      </c>
      <c r="N27" s="121">
        <f t="shared" si="11"/>
        <v>12</v>
      </c>
      <c r="O27" s="121">
        <f t="shared" si="11"/>
        <v>13</v>
      </c>
      <c r="P27" s="121">
        <f t="shared" si="11"/>
        <v>14</v>
      </c>
      <c r="Q27" s="121">
        <f t="shared" si="11"/>
        <v>15</v>
      </c>
      <c r="R27" s="121">
        <f t="shared" si="11"/>
        <v>16</v>
      </c>
      <c r="S27" s="121">
        <f t="shared" si="11"/>
        <v>17</v>
      </c>
      <c r="T27" s="121">
        <f t="shared" si="11"/>
        <v>18</v>
      </c>
      <c r="U27" s="121">
        <f t="shared" si="11"/>
        <v>19</v>
      </c>
      <c r="V27" s="121">
        <f t="shared" si="11"/>
        <v>20</v>
      </c>
      <c r="W27" s="121">
        <f t="shared" si="11"/>
        <v>21</v>
      </c>
      <c r="X27" s="121">
        <f t="shared" si="11"/>
        <v>22</v>
      </c>
      <c r="Y27" s="121">
        <f t="shared" si="11"/>
        <v>23</v>
      </c>
      <c r="Z27" s="121">
        <f t="shared" si="11"/>
        <v>24</v>
      </c>
    </row>
    <row r="28" spans="1:27" ht="16.5" thickBot="1" x14ac:dyDescent="0.3">
      <c r="A28" s="124"/>
      <c r="B28" s="125" t="s">
        <v>244</v>
      </c>
      <c r="C28" s="125" t="s">
        <v>244</v>
      </c>
      <c r="D28" s="125" t="s">
        <v>244</v>
      </c>
      <c r="E28" s="123"/>
      <c r="F28" s="417" t="s">
        <v>260</v>
      </c>
      <c r="G28" s="418"/>
      <c r="H28" s="418"/>
      <c r="I28" s="418"/>
      <c r="J28" s="418"/>
      <c r="K28" s="418"/>
      <c r="L28" s="418"/>
      <c r="M28" s="418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9"/>
    </row>
    <row r="29" spans="1:27" s="134" customFormat="1" ht="19.5" thickBot="1" x14ac:dyDescent="0.35">
      <c r="A29" s="126" t="s">
        <v>261</v>
      </c>
      <c r="B29" s="127">
        <v>9</v>
      </c>
      <c r="C29" s="128">
        <v>13</v>
      </c>
      <c r="D29" s="129">
        <v>13</v>
      </c>
      <c r="E29" s="130"/>
      <c r="F29" s="128">
        <v>13</v>
      </c>
      <c r="G29" s="131">
        <v>15</v>
      </c>
      <c r="H29" s="131">
        <v>18</v>
      </c>
      <c r="I29" s="131">
        <v>9</v>
      </c>
      <c r="J29" s="131">
        <v>11</v>
      </c>
      <c r="K29" s="131">
        <v>13</v>
      </c>
      <c r="L29" s="131">
        <v>16</v>
      </c>
      <c r="M29" s="131">
        <v>18</v>
      </c>
      <c r="N29" s="131">
        <v>20</v>
      </c>
      <c r="O29" s="128">
        <v>11</v>
      </c>
      <c r="P29" s="128">
        <v>13</v>
      </c>
      <c r="Q29" s="128">
        <v>15</v>
      </c>
      <c r="R29" s="128">
        <v>17</v>
      </c>
      <c r="S29" s="128">
        <v>19</v>
      </c>
      <c r="T29" s="132">
        <v>12</v>
      </c>
      <c r="U29" s="132">
        <v>13</v>
      </c>
      <c r="V29" s="132">
        <v>15</v>
      </c>
      <c r="W29" s="132">
        <v>17</v>
      </c>
      <c r="X29" s="132">
        <v>18</v>
      </c>
      <c r="Y29" s="132">
        <v>19</v>
      </c>
      <c r="Z29" s="132">
        <v>20</v>
      </c>
      <c r="AA29" s="133"/>
    </row>
    <row r="30" spans="1:27" ht="16.5" thickBot="1" x14ac:dyDescent="0.3">
      <c r="A30" s="135" t="s">
        <v>247</v>
      </c>
      <c r="B30" s="136">
        <f>+B6</f>
        <v>1.25</v>
      </c>
      <c r="C30" s="136">
        <f t="shared" ref="C30:Z30" si="12">+C6</f>
        <v>1.75</v>
      </c>
      <c r="D30" s="136">
        <f t="shared" si="12"/>
        <v>1.75</v>
      </c>
      <c r="E30" s="137"/>
      <c r="F30" s="138">
        <f t="shared" si="12"/>
        <v>1.75</v>
      </c>
      <c r="G30" s="136">
        <f t="shared" si="12"/>
        <v>2.2000000000000002</v>
      </c>
      <c r="H30" s="136">
        <f t="shared" si="12"/>
        <v>2.7</v>
      </c>
      <c r="I30" s="136">
        <f t="shared" si="12"/>
        <v>1.25</v>
      </c>
      <c r="J30" s="136">
        <f t="shared" si="12"/>
        <v>1.5</v>
      </c>
      <c r="K30" s="137">
        <f t="shared" si="12"/>
        <v>1.9</v>
      </c>
      <c r="L30" s="136">
        <f t="shared" si="12"/>
        <v>2.2999999999999998</v>
      </c>
      <c r="M30" s="136">
        <f t="shared" si="12"/>
        <v>2.7</v>
      </c>
      <c r="N30" s="136">
        <f t="shared" si="12"/>
        <v>3</v>
      </c>
      <c r="O30" s="139">
        <f t="shared" si="12"/>
        <v>1.5</v>
      </c>
      <c r="P30" s="139">
        <f t="shared" si="12"/>
        <v>1.9</v>
      </c>
      <c r="Q30" s="139">
        <f t="shared" si="12"/>
        <v>2.2000000000000002</v>
      </c>
      <c r="R30" s="139">
        <f t="shared" si="12"/>
        <v>2.5</v>
      </c>
      <c r="S30" s="139">
        <f t="shared" si="12"/>
        <v>2.9</v>
      </c>
      <c r="T30" s="136">
        <f t="shared" si="12"/>
        <v>1.7</v>
      </c>
      <c r="U30" s="139">
        <f t="shared" si="12"/>
        <v>1.9</v>
      </c>
      <c r="V30" s="139">
        <f t="shared" si="12"/>
        <v>2.2000000000000002</v>
      </c>
      <c r="W30" s="139">
        <f t="shared" si="12"/>
        <v>2.5</v>
      </c>
      <c r="X30" s="139">
        <f t="shared" si="12"/>
        <v>2.7</v>
      </c>
      <c r="Y30" s="140">
        <f t="shared" si="12"/>
        <v>2.9</v>
      </c>
      <c r="Z30" s="137">
        <f t="shared" si="12"/>
        <v>3</v>
      </c>
      <c r="AA30" s="141">
        <v>0.25</v>
      </c>
    </row>
    <row r="31" spans="1:27" ht="16.5" thickBot="1" x14ac:dyDescent="0.3">
      <c r="A31" s="120" t="s">
        <v>248</v>
      </c>
      <c r="B31" s="142"/>
      <c r="C31" s="143"/>
      <c r="D31" s="144"/>
      <c r="E31" s="145"/>
      <c r="F31" s="144"/>
      <c r="G31" s="146"/>
      <c r="H31" s="146"/>
      <c r="I31" s="146"/>
      <c r="J31" s="146"/>
      <c r="K31" s="146"/>
      <c r="L31" s="146"/>
      <c r="M31" s="146"/>
      <c r="N31" s="146"/>
      <c r="O31" s="147"/>
      <c r="P31" s="147"/>
      <c r="Q31" s="147"/>
      <c r="R31" s="147"/>
      <c r="S31" s="147"/>
      <c r="T31" s="148"/>
      <c r="U31" s="147"/>
      <c r="V31" s="147"/>
      <c r="W31" s="147"/>
      <c r="X31" s="147"/>
      <c r="Y31" s="149"/>
      <c r="Z31" s="143"/>
    </row>
    <row r="32" spans="1:27" ht="16.5" thickBot="1" x14ac:dyDescent="0.3">
      <c r="A32" s="150"/>
      <c r="B32" s="151"/>
      <c r="C32" s="148"/>
      <c r="D32" s="144"/>
      <c r="E32" s="152"/>
      <c r="F32" s="144"/>
      <c r="G32" s="148"/>
      <c r="H32" s="148"/>
      <c r="I32" s="148"/>
      <c r="J32" s="148"/>
      <c r="K32" s="148"/>
      <c r="L32" s="148"/>
      <c r="M32" s="148"/>
      <c r="N32" s="148"/>
      <c r="O32" s="137">
        <f t="shared" ref="O32:Z32" si="13">+O30</f>
        <v>1.5</v>
      </c>
      <c r="P32" s="137">
        <f t="shared" si="13"/>
        <v>1.9</v>
      </c>
      <c r="Q32" s="137">
        <f t="shared" si="13"/>
        <v>2.2000000000000002</v>
      </c>
      <c r="R32" s="137">
        <f t="shared" si="13"/>
        <v>2.5</v>
      </c>
      <c r="S32" s="137">
        <f t="shared" si="13"/>
        <v>2.9</v>
      </c>
      <c r="T32" s="137">
        <f t="shared" si="13"/>
        <v>1.7</v>
      </c>
      <c r="U32" s="153">
        <f t="shared" si="13"/>
        <v>1.9</v>
      </c>
      <c r="V32" s="153">
        <f t="shared" si="13"/>
        <v>2.2000000000000002</v>
      </c>
      <c r="W32" s="153">
        <f t="shared" si="13"/>
        <v>2.5</v>
      </c>
      <c r="X32" s="153">
        <f t="shared" si="13"/>
        <v>2.7</v>
      </c>
      <c r="Y32" s="154">
        <f t="shared" si="13"/>
        <v>2.9</v>
      </c>
      <c r="Z32" s="137">
        <f t="shared" si="13"/>
        <v>3</v>
      </c>
      <c r="AA32" s="141">
        <v>0.27083333333333331</v>
      </c>
    </row>
    <row r="33" spans="1:27" ht="16.5" thickBot="1" x14ac:dyDescent="0.3">
      <c r="A33" s="150"/>
      <c r="B33" s="155"/>
      <c r="C33" s="146"/>
      <c r="D33" s="156"/>
      <c r="E33" s="152"/>
      <c r="F33" s="156"/>
      <c r="G33" s="146"/>
      <c r="H33" s="146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57"/>
      <c r="V33" s="157"/>
      <c r="W33" s="157"/>
      <c r="X33" s="157"/>
      <c r="Y33" s="144"/>
      <c r="Z33" s="148"/>
    </row>
    <row r="34" spans="1:27" ht="16.5" thickBot="1" x14ac:dyDescent="0.3">
      <c r="A34" s="150"/>
      <c r="B34" s="155"/>
      <c r="C34" s="146"/>
      <c r="D34" s="144"/>
      <c r="E34" s="152"/>
      <c r="F34" s="144"/>
      <c r="G34" s="148"/>
      <c r="H34" s="148"/>
      <c r="I34" s="158">
        <f t="shared" ref="I34:M34" si="14">+I30</f>
        <v>1.25</v>
      </c>
      <c r="J34" s="158">
        <f t="shared" si="14"/>
        <v>1.5</v>
      </c>
      <c r="K34" s="158">
        <f t="shared" si="14"/>
        <v>1.9</v>
      </c>
      <c r="L34" s="158">
        <f t="shared" si="14"/>
        <v>2.2999999999999998</v>
      </c>
      <c r="M34" s="158">
        <f t="shared" si="14"/>
        <v>2.7</v>
      </c>
      <c r="N34" s="158">
        <f>+N30</f>
        <v>3</v>
      </c>
      <c r="O34" s="148"/>
      <c r="P34" s="148"/>
      <c r="Q34" s="148"/>
      <c r="R34" s="148"/>
      <c r="S34" s="148"/>
      <c r="T34" s="148"/>
      <c r="U34" s="157"/>
      <c r="V34" s="157"/>
      <c r="W34" s="157"/>
      <c r="X34" s="157"/>
      <c r="Y34" s="144"/>
      <c r="Z34" s="148"/>
      <c r="AA34" s="141">
        <v>0.33333333333333331</v>
      </c>
    </row>
    <row r="35" spans="1:27" ht="16.5" thickBot="1" x14ac:dyDescent="0.3">
      <c r="A35" s="150"/>
      <c r="B35" s="155"/>
      <c r="C35" s="146"/>
      <c r="D35" s="156"/>
      <c r="E35" s="152"/>
      <c r="F35" s="156"/>
      <c r="G35" s="146"/>
      <c r="H35" s="146"/>
      <c r="I35" s="143"/>
      <c r="J35" s="143"/>
      <c r="K35" s="143"/>
      <c r="L35" s="143"/>
      <c r="M35" s="143"/>
      <c r="N35" s="143"/>
      <c r="O35" s="153">
        <f t="shared" ref="O35:Z35" si="15">+O32</f>
        <v>1.5</v>
      </c>
      <c r="P35" s="153">
        <f t="shared" si="15"/>
        <v>1.9</v>
      </c>
      <c r="Q35" s="153">
        <f t="shared" si="15"/>
        <v>2.2000000000000002</v>
      </c>
      <c r="R35" s="153">
        <f t="shared" si="15"/>
        <v>2.5</v>
      </c>
      <c r="S35" s="153">
        <f t="shared" si="15"/>
        <v>2.9</v>
      </c>
      <c r="T35" s="137">
        <f t="shared" si="15"/>
        <v>1.7</v>
      </c>
      <c r="U35" s="153">
        <f t="shared" si="15"/>
        <v>1.9</v>
      </c>
      <c r="V35" s="153">
        <f t="shared" si="15"/>
        <v>2.2000000000000002</v>
      </c>
      <c r="W35" s="153">
        <f t="shared" si="15"/>
        <v>2.5</v>
      </c>
      <c r="X35" s="153">
        <f t="shared" si="15"/>
        <v>2.7</v>
      </c>
      <c r="Y35" s="154">
        <f t="shared" si="15"/>
        <v>2.9</v>
      </c>
      <c r="Z35" s="137">
        <f t="shared" si="15"/>
        <v>3</v>
      </c>
      <c r="AA35" s="141">
        <v>0.375</v>
      </c>
    </row>
    <row r="36" spans="1:27" ht="16.5" thickBot="1" x14ac:dyDescent="0.3">
      <c r="A36" s="159"/>
      <c r="B36" s="160"/>
      <c r="C36" s="152"/>
      <c r="E36" s="152"/>
      <c r="G36" s="152"/>
      <c r="H36" s="152"/>
      <c r="I36" s="161"/>
      <c r="J36" s="161"/>
      <c r="K36" s="161"/>
      <c r="L36" s="161"/>
      <c r="M36" s="161"/>
      <c r="N36" s="161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spans="1:27" ht="16.5" thickBot="1" x14ac:dyDescent="0.3">
      <c r="A37" s="135" t="s">
        <v>249</v>
      </c>
      <c r="B37" s="139">
        <f>+B30</f>
        <v>1.25</v>
      </c>
      <c r="C37" s="153">
        <f t="shared" ref="C37:D37" si="16">+C30</f>
        <v>1.75</v>
      </c>
      <c r="D37" s="153">
        <f t="shared" si="16"/>
        <v>1.75</v>
      </c>
      <c r="E37" s="152"/>
      <c r="F37" s="154">
        <f t="shared" ref="F37" si="17">+F30</f>
        <v>1.75</v>
      </c>
      <c r="G37" s="136">
        <f>+G30</f>
        <v>2.2000000000000002</v>
      </c>
      <c r="H37" s="136">
        <f>+H30</f>
        <v>2.7</v>
      </c>
      <c r="I37" s="137">
        <f t="shared" ref="I37:M37" si="18">+I34</f>
        <v>1.25</v>
      </c>
      <c r="J37" s="137">
        <f t="shared" si="18"/>
        <v>1.5</v>
      </c>
      <c r="K37" s="137">
        <f t="shared" si="18"/>
        <v>1.9</v>
      </c>
      <c r="L37" s="137">
        <f t="shared" si="18"/>
        <v>2.2999999999999998</v>
      </c>
      <c r="M37" s="137">
        <f t="shared" si="18"/>
        <v>2.7</v>
      </c>
      <c r="N37" s="137">
        <f>+N34</f>
        <v>3</v>
      </c>
      <c r="O37" s="148"/>
      <c r="P37" s="148"/>
      <c r="Q37" s="148"/>
      <c r="R37" s="148"/>
      <c r="S37" s="148"/>
      <c r="T37" s="137">
        <f t="shared" ref="T37:Z37" si="19">+T35</f>
        <v>1.7</v>
      </c>
      <c r="U37" s="153">
        <f t="shared" si="19"/>
        <v>1.9</v>
      </c>
      <c r="V37" s="153">
        <f t="shared" si="19"/>
        <v>2.2000000000000002</v>
      </c>
      <c r="W37" s="153">
        <f t="shared" si="19"/>
        <v>2.5</v>
      </c>
      <c r="X37" s="153">
        <f t="shared" si="19"/>
        <v>2.7</v>
      </c>
      <c r="Y37" s="154">
        <f t="shared" si="19"/>
        <v>2.9</v>
      </c>
      <c r="Z37" s="137">
        <f t="shared" si="19"/>
        <v>3</v>
      </c>
      <c r="AA37" s="141">
        <v>0.58333333333333337</v>
      </c>
    </row>
    <row r="38" spans="1:27" ht="16.5" thickBot="1" x14ac:dyDescent="0.3">
      <c r="A38" s="162"/>
      <c r="B38" s="142"/>
      <c r="C38" s="143"/>
      <c r="D38" s="149"/>
      <c r="E38" s="152"/>
      <c r="F38" s="149"/>
      <c r="G38" s="146"/>
      <c r="H38" s="146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spans="1:27" ht="16.5" thickBot="1" x14ac:dyDescent="0.3">
      <c r="A39" s="162"/>
      <c r="B39" s="155"/>
      <c r="C39" s="146"/>
      <c r="D39" s="156"/>
      <c r="E39" s="152"/>
      <c r="F39" s="156"/>
      <c r="G39" s="146"/>
      <c r="H39" s="146"/>
      <c r="I39" s="148"/>
      <c r="J39" s="148"/>
      <c r="K39" s="148"/>
      <c r="L39" s="148"/>
      <c r="M39" s="148"/>
      <c r="N39" s="148"/>
      <c r="O39" s="153">
        <f>+O35</f>
        <v>1.5</v>
      </c>
      <c r="P39" s="153">
        <f t="shared" ref="P39:S39" si="20">+P35</f>
        <v>1.9</v>
      </c>
      <c r="Q39" s="153">
        <f t="shared" si="20"/>
        <v>2.2000000000000002</v>
      </c>
      <c r="R39" s="153">
        <f t="shared" si="20"/>
        <v>2.5</v>
      </c>
      <c r="S39" s="153">
        <f t="shared" si="20"/>
        <v>2.9</v>
      </c>
      <c r="T39" s="137">
        <f t="shared" ref="T39:Z39" si="21">+T37</f>
        <v>1.7</v>
      </c>
      <c r="U39" s="153">
        <f t="shared" si="21"/>
        <v>1.9</v>
      </c>
      <c r="V39" s="153">
        <f t="shared" si="21"/>
        <v>2.2000000000000002</v>
      </c>
      <c r="W39" s="153">
        <f t="shared" si="21"/>
        <v>2.5</v>
      </c>
      <c r="X39" s="153">
        <f t="shared" si="21"/>
        <v>2.7</v>
      </c>
      <c r="Y39" s="154">
        <f t="shared" si="21"/>
        <v>2.9</v>
      </c>
      <c r="Z39" s="137">
        <f t="shared" si="21"/>
        <v>3</v>
      </c>
      <c r="AA39" s="141">
        <v>0.625</v>
      </c>
    </row>
    <row r="40" spans="1:27" s="168" customFormat="1" ht="16.5" thickBot="1" x14ac:dyDescent="0.3">
      <c r="A40" s="163" t="s">
        <v>250</v>
      </c>
      <c r="B40" s="164">
        <f>SUM(B30:B39)</f>
        <v>2.5</v>
      </c>
      <c r="C40" s="164">
        <f>SUM(C30:C39)</f>
        <v>3.5</v>
      </c>
      <c r="D40" s="165">
        <f>SUM(D30:D39)</f>
        <v>3.5</v>
      </c>
      <c r="E40" s="166"/>
      <c r="F40" s="164">
        <f t="shared" ref="F40:Z40" si="22">SUM(F30:F39)</f>
        <v>3.5</v>
      </c>
      <c r="G40" s="165">
        <f t="shared" si="22"/>
        <v>4.4000000000000004</v>
      </c>
      <c r="H40" s="165">
        <f t="shared" si="22"/>
        <v>5.4</v>
      </c>
      <c r="I40" s="164">
        <f t="shared" si="22"/>
        <v>3.75</v>
      </c>
      <c r="J40" s="164">
        <f t="shared" si="22"/>
        <v>4.5</v>
      </c>
      <c r="K40" s="164">
        <f t="shared" si="22"/>
        <v>5.6999999999999993</v>
      </c>
      <c r="L40" s="164">
        <f t="shared" si="22"/>
        <v>6.8999999999999995</v>
      </c>
      <c r="M40" s="164">
        <f t="shared" si="22"/>
        <v>8.1000000000000014</v>
      </c>
      <c r="N40" s="164">
        <f t="shared" si="22"/>
        <v>9</v>
      </c>
      <c r="O40" s="164">
        <f t="shared" si="22"/>
        <v>6</v>
      </c>
      <c r="P40" s="164">
        <f t="shared" si="22"/>
        <v>7.6</v>
      </c>
      <c r="Q40" s="164">
        <f t="shared" si="22"/>
        <v>8.8000000000000007</v>
      </c>
      <c r="R40" s="164">
        <f t="shared" si="22"/>
        <v>10</v>
      </c>
      <c r="S40" s="164">
        <f t="shared" si="22"/>
        <v>11.6</v>
      </c>
      <c r="T40" s="164">
        <f t="shared" si="22"/>
        <v>8.5</v>
      </c>
      <c r="U40" s="164">
        <f t="shared" si="22"/>
        <v>9.5</v>
      </c>
      <c r="V40" s="167">
        <f t="shared" si="22"/>
        <v>11</v>
      </c>
      <c r="W40" s="167">
        <f t="shared" si="22"/>
        <v>12.5</v>
      </c>
      <c r="X40" s="167">
        <f t="shared" si="22"/>
        <v>13.5</v>
      </c>
      <c r="Y40" s="164">
        <f t="shared" si="22"/>
        <v>14.5</v>
      </c>
      <c r="Z40" s="165">
        <f t="shared" si="22"/>
        <v>15</v>
      </c>
      <c r="AA40" s="119"/>
    </row>
    <row r="41" spans="1:27" s="168" customFormat="1" ht="16.5" hidden="1" thickBot="1" x14ac:dyDescent="0.3">
      <c r="A41" s="169" t="s">
        <v>250</v>
      </c>
      <c r="B41" s="170">
        <v>2.5</v>
      </c>
      <c r="C41" s="171">
        <v>3.5</v>
      </c>
      <c r="D41" s="172">
        <v>3.5</v>
      </c>
      <c r="E41" s="173"/>
      <c r="F41" s="170">
        <v>4.5</v>
      </c>
      <c r="G41" s="170"/>
      <c r="H41" s="170"/>
      <c r="I41" s="170"/>
      <c r="J41" s="170"/>
      <c r="K41" s="170"/>
      <c r="L41" s="170"/>
      <c r="M41" s="170"/>
      <c r="N41" s="171">
        <v>5.5</v>
      </c>
      <c r="O41" s="172">
        <v>9.5</v>
      </c>
      <c r="P41" s="174"/>
      <c r="Q41" s="174"/>
      <c r="R41" s="174"/>
      <c r="S41" s="174"/>
      <c r="T41" s="171">
        <v>12.5</v>
      </c>
      <c r="U41" s="172">
        <v>13.5</v>
      </c>
      <c r="V41" s="172">
        <v>13.5</v>
      </c>
      <c r="W41" s="172">
        <v>13.5</v>
      </c>
      <c r="X41" s="174">
        <v>14.5</v>
      </c>
      <c r="Y41" s="174">
        <v>14.5</v>
      </c>
      <c r="Z41" s="171">
        <v>15.5</v>
      </c>
      <c r="AA41" s="119"/>
    </row>
    <row r="42" spans="1:27" x14ac:dyDescent="0.25">
      <c r="B42" s="175" t="s">
        <v>262</v>
      </c>
      <c r="D42" s="176"/>
    </row>
    <row r="43" spans="1:27" x14ac:dyDescent="0.25">
      <c r="B43" s="175" t="s">
        <v>263</v>
      </c>
    </row>
    <row r="44" spans="1:27" x14ac:dyDescent="0.25">
      <c r="B44" s="175" t="s">
        <v>264</v>
      </c>
    </row>
    <row r="45" spans="1:27" x14ac:dyDescent="0.25">
      <c r="B45" s="175" t="s">
        <v>253</v>
      </c>
    </row>
    <row r="46" spans="1:27" x14ac:dyDescent="0.25">
      <c r="B46" s="175" t="s">
        <v>265</v>
      </c>
    </row>
  </sheetData>
  <mergeCells count="12">
    <mergeCell ref="F28:Z28"/>
    <mergeCell ref="B2:D2"/>
    <mergeCell ref="F2:H2"/>
    <mergeCell ref="I2:N2"/>
    <mergeCell ref="O2:S2"/>
    <mergeCell ref="T2:Z2"/>
    <mergeCell ref="F4:Z4"/>
    <mergeCell ref="B26:D26"/>
    <mergeCell ref="F26:H26"/>
    <mergeCell ref="I26:N26"/>
    <mergeCell ref="O26:S26"/>
    <mergeCell ref="T26:Z26"/>
  </mergeCells>
  <pageMargins left="0.45" right="0.45" top="0.75" bottom="0.25" header="0.3" footer="0.3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F8E7-8CF3-4D24-8A7C-F559929C431B}">
  <sheetPr>
    <pageSetUpPr fitToPage="1"/>
  </sheetPr>
  <dimension ref="B2:P15"/>
  <sheetViews>
    <sheetView zoomScaleNormal="100" workbookViewId="0">
      <selection activeCell="K18" sqref="K18"/>
    </sheetView>
  </sheetViews>
  <sheetFormatPr defaultColWidth="9.140625" defaultRowHeight="15" x14ac:dyDescent="0.25"/>
  <cols>
    <col min="1" max="1" width="3.7109375" style="179" customWidth="1"/>
    <col min="2" max="2" width="19.140625" style="188" customWidth="1"/>
    <col min="3" max="4" width="12.85546875" style="188" customWidth="1"/>
    <col min="5" max="5" width="3.28515625" style="179" customWidth="1"/>
    <col min="6" max="6" width="19.140625" style="188" customWidth="1"/>
    <col min="7" max="7" width="11.7109375" style="188" customWidth="1"/>
    <col min="8" max="8" width="12.42578125" style="188" customWidth="1"/>
    <col min="9" max="16384" width="9.140625" style="179"/>
  </cols>
  <sheetData>
    <row r="2" spans="2:16" x14ac:dyDescent="0.25">
      <c r="B2" s="180" t="s">
        <v>266</v>
      </c>
    </row>
    <row r="3" spans="2:16" ht="15.75" thickBot="1" x14ac:dyDescent="0.3"/>
    <row r="4" spans="2:16" s="180" customFormat="1" ht="15.75" thickBot="1" x14ac:dyDescent="0.3">
      <c r="B4" s="192" t="s">
        <v>291</v>
      </c>
      <c r="C4" s="189" t="s">
        <v>292</v>
      </c>
      <c r="D4" s="189" t="s">
        <v>293</v>
      </c>
      <c r="F4" s="192" t="s">
        <v>294</v>
      </c>
      <c r="G4" s="189" t="s">
        <v>292</v>
      </c>
      <c r="H4" s="189" t="s">
        <v>293</v>
      </c>
    </row>
    <row r="5" spans="2:16" ht="15" customHeight="1" x14ac:dyDescent="0.25">
      <c r="B5" s="430" t="s">
        <v>311</v>
      </c>
      <c r="C5" s="423" t="s">
        <v>301</v>
      </c>
      <c r="D5" s="423" t="s">
        <v>267</v>
      </c>
      <c r="F5" s="430" t="s">
        <v>310</v>
      </c>
      <c r="G5" s="423" t="s">
        <v>306</v>
      </c>
      <c r="H5" s="423" t="s">
        <v>290</v>
      </c>
    </row>
    <row r="6" spans="2:16" ht="15.75" customHeight="1" thickBot="1" x14ac:dyDescent="0.3">
      <c r="B6" s="431"/>
      <c r="C6" s="424"/>
      <c r="D6" s="424"/>
      <c r="F6" s="431"/>
      <c r="G6" s="424"/>
      <c r="H6" s="424"/>
      <c r="K6" s="186"/>
      <c r="P6" s="186"/>
    </row>
    <row r="7" spans="2:16" x14ac:dyDescent="0.25">
      <c r="B7" s="423" t="s">
        <v>295</v>
      </c>
      <c r="C7" s="190" t="s">
        <v>302</v>
      </c>
      <c r="D7" s="190" t="s">
        <v>268</v>
      </c>
      <c r="F7" s="423" t="s">
        <v>295</v>
      </c>
      <c r="G7" s="190" t="s">
        <v>308</v>
      </c>
      <c r="H7" s="190" t="s">
        <v>269</v>
      </c>
    </row>
    <row r="8" spans="2:16" x14ac:dyDescent="0.25">
      <c r="B8" s="429"/>
      <c r="C8" s="194" t="s">
        <v>303</v>
      </c>
      <c r="D8" s="195" t="s">
        <v>304</v>
      </c>
      <c r="F8" s="429"/>
      <c r="G8" s="190" t="s">
        <v>309</v>
      </c>
      <c r="H8" s="190" t="s">
        <v>267</v>
      </c>
    </row>
    <row r="9" spans="2:16" ht="15.75" thickBot="1" x14ac:dyDescent="0.3">
      <c r="B9" s="424"/>
      <c r="C9" s="191"/>
      <c r="D9" s="191"/>
      <c r="F9" s="424"/>
      <c r="G9" s="191" t="s">
        <v>307</v>
      </c>
      <c r="H9" s="191" t="s">
        <v>268</v>
      </c>
    </row>
    <row r="10" spans="2:16" x14ac:dyDescent="0.25">
      <c r="B10" s="423" t="s">
        <v>296</v>
      </c>
      <c r="C10" s="427"/>
      <c r="D10" s="193" t="s">
        <v>268</v>
      </c>
      <c r="F10" s="423" t="s">
        <v>296</v>
      </c>
      <c r="G10" s="427"/>
      <c r="H10" s="425" t="s">
        <v>152</v>
      </c>
    </row>
    <row r="11" spans="2:16" ht="15.75" thickBot="1" x14ac:dyDescent="0.3">
      <c r="B11" s="424"/>
      <c r="C11" s="428"/>
      <c r="D11" s="196" t="s">
        <v>304</v>
      </c>
      <c r="F11" s="424"/>
      <c r="G11" s="428"/>
      <c r="H11" s="426"/>
    </row>
    <row r="12" spans="2:16" x14ac:dyDescent="0.25">
      <c r="B12" s="423" t="s">
        <v>297</v>
      </c>
      <c r="C12" s="423" t="s">
        <v>298</v>
      </c>
      <c r="D12" s="423" t="s">
        <v>269</v>
      </c>
      <c r="E12" s="186"/>
      <c r="F12" s="423" t="s">
        <v>297</v>
      </c>
      <c r="G12" s="423" t="s">
        <v>299</v>
      </c>
      <c r="H12" s="423" t="s">
        <v>269</v>
      </c>
      <c r="J12" s="186"/>
    </row>
    <row r="13" spans="2:16" ht="15.75" thickBot="1" x14ac:dyDescent="0.3">
      <c r="B13" s="424"/>
      <c r="C13" s="424"/>
      <c r="D13" s="424"/>
      <c r="F13" s="424"/>
      <c r="G13" s="424"/>
      <c r="H13" s="424"/>
    </row>
    <row r="14" spans="2:16" ht="15" customHeight="1" x14ac:dyDescent="0.25">
      <c r="B14" s="423" t="s">
        <v>300</v>
      </c>
      <c r="C14" s="423"/>
      <c r="D14" s="423" t="s">
        <v>269</v>
      </c>
      <c r="F14" s="423" t="s">
        <v>300</v>
      </c>
      <c r="G14" s="423"/>
      <c r="H14" s="423" t="s">
        <v>269</v>
      </c>
    </row>
    <row r="15" spans="2:16" ht="15.75" customHeight="1" thickBot="1" x14ac:dyDescent="0.3">
      <c r="B15" s="424"/>
      <c r="C15" s="424"/>
      <c r="D15" s="424"/>
      <c r="F15" s="424"/>
      <c r="G15" s="424"/>
      <c r="H15" s="424"/>
    </row>
  </sheetData>
  <mergeCells count="25">
    <mergeCell ref="H10:H11"/>
    <mergeCell ref="G10:G11"/>
    <mergeCell ref="G5:G6"/>
    <mergeCell ref="F7:F9"/>
    <mergeCell ref="B5:B6"/>
    <mergeCell ref="C5:C6"/>
    <mergeCell ref="D5:D6"/>
    <mergeCell ref="F5:F6"/>
    <mergeCell ref="H5:H6"/>
    <mergeCell ref="B7:B9"/>
    <mergeCell ref="B10:B11"/>
    <mergeCell ref="C10:C11"/>
    <mergeCell ref="F10:F11"/>
    <mergeCell ref="H14:H15"/>
    <mergeCell ref="B12:B13"/>
    <mergeCell ref="C12:C13"/>
    <mergeCell ref="D12:D13"/>
    <mergeCell ref="F12:F13"/>
    <mergeCell ref="H12:H13"/>
    <mergeCell ref="G12:G13"/>
    <mergeCell ref="G14:G15"/>
    <mergeCell ref="B14:B15"/>
    <mergeCell ref="C14:C15"/>
    <mergeCell ref="D14:D15"/>
    <mergeCell ref="F14:F15"/>
  </mergeCells>
  <pageMargins left="0.45" right="0.4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F91A-0507-4CE5-BE05-7CCFAFAE3D02}">
  <sheetPr>
    <pageSetUpPr fitToPage="1"/>
  </sheetPr>
  <dimension ref="B2:G23"/>
  <sheetViews>
    <sheetView topLeftCell="A10" zoomScaleNormal="100" workbookViewId="0">
      <selection activeCell="G23" sqref="G23"/>
    </sheetView>
  </sheetViews>
  <sheetFormatPr defaultRowHeight="15" x14ac:dyDescent="0.25"/>
  <cols>
    <col min="2" max="2" width="19.140625" customWidth="1"/>
    <col min="3" max="3" width="20.140625" customWidth="1"/>
    <col min="4" max="6" width="12.7109375" customWidth="1"/>
  </cols>
  <sheetData>
    <row r="2" spans="2:7" x14ac:dyDescent="0.25">
      <c r="B2" s="178" t="s">
        <v>283</v>
      </c>
      <c r="C2" s="178"/>
      <c r="D2" s="178"/>
      <c r="E2" s="178"/>
      <c r="F2" s="178"/>
    </row>
    <row r="3" spans="2:7" x14ac:dyDescent="0.25">
      <c r="B3" s="178"/>
      <c r="C3" s="178"/>
      <c r="D3" s="178"/>
      <c r="E3" s="178"/>
      <c r="F3" s="178"/>
    </row>
    <row r="4" spans="2:7" x14ac:dyDescent="0.25">
      <c r="B4" s="434" t="s">
        <v>270</v>
      </c>
      <c r="C4" s="434" t="s">
        <v>271</v>
      </c>
      <c r="D4" s="434" t="s">
        <v>274</v>
      </c>
      <c r="E4" s="434"/>
      <c r="F4" s="434"/>
      <c r="G4" s="433" t="s">
        <v>305</v>
      </c>
    </row>
    <row r="5" spans="2:7" x14ac:dyDescent="0.25">
      <c r="B5" s="434"/>
      <c r="C5" s="434"/>
      <c r="D5" s="184" t="s">
        <v>282</v>
      </c>
      <c r="E5" s="182" t="s">
        <v>272</v>
      </c>
      <c r="F5" s="182" t="s">
        <v>273</v>
      </c>
      <c r="G5" s="433"/>
    </row>
    <row r="6" spans="2:7" x14ac:dyDescent="0.25">
      <c r="B6" s="182">
        <v>1</v>
      </c>
      <c r="C6" s="181" t="s">
        <v>275</v>
      </c>
      <c r="D6" s="183">
        <v>2.4</v>
      </c>
      <c r="E6" s="183">
        <v>2.4</v>
      </c>
      <c r="F6" s="183">
        <v>2.4</v>
      </c>
      <c r="G6" s="187">
        <f>SUM(D6:F6)</f>
        <v>7.1999999999999993</v>
      </c>
    </row>
    <row r="7" spans="2:7" x14ac:dyDescent="0.25">
      <c r="B7" s="182">
        <f>+B6+1</f>
        <v>2</v>
      </c>
      <c r="C7" s="181" t="s">
        <v>276</v>
      </c>
      <c r="D7" s="183">
        <v>2.4</v>
      </c>
      <c r="E7" s="183">
        <v>2.4</v>
      </c>
      <c r="F7" s="183">
        <v>2.4</v>
      </c>
      <c r="G7" s="187">
        <f t="shared" ref="G7:G12" si="0">SUM(D7:F7)</f>
        <v>7.1999999999999993</v>
      </c>
    </row>
    <row r="8" spans="2:7" x14ac:dyDescent="0.25">
      <c r="B8" s="182">
        <f t="shared" ref="B8:B12" si="1">+B7+1</f>
        <v>3</v>
      </c>
      <c r="C8" s="181" t="s">
        <v>277</v>
      </c>
      <c r="D8" s="183">
        <v>2</v>
      </c>
      <c r="E8" s="183">
        <v>2</v>
      </c>
      <c r="F8" s="183">
        <v>2</v>
      </c>
      <c r="G8" s="187">
        <f t="shared" si="0"/>
        <v>6</v>
      </c>
    </row>
    <row r="9" spans="2:7" x14ac:dyDescent="0.25">
      <c r="B9" s="182">
        <f t="shared" si="1"/>
        <v>4</v>
      </c>
      <c r="C9" s="181" t="s">
        <v>278</v>
      </c>
      <c r="D9" s="183">
        <v>2</v>
      </c>
      <c r="E9" s="183">
        <v>2</v>
      </c>
      <c r="F9" s="183">
        <v>2</v>
      </c>
      <c r="G9" s="187">
        <f t="shared" si="0"/>
        <v>6</v>
      </c>
    </row>
    <row r="10" spans="2:7" x14ac:dyDescent="0.25">
      <c r="B10" s="182">
        <f t="shared" si="1"/>
        <v>5</v>
      </c>
      <c r="C10" s="181" t="s">
        <v>279</v>
      </c>
      <c r="D10" s="183">
        <v>1.5</v>
      </c>
      <c r="E10" s="183">
        <v>1.5</v>
      </c>
      <c r="F10" s="183">
        <v>1.5</v>
      </c>
      <c r="G10" s="187">
        <f t="shared" si="0"/>
        <v>4.5</v>
      </c>
    </row>
    <row r="11" spans="2:7" x14ac:dyDescent="0.25">
      <c r="B11" s="182">
        <f t="shared" si="1"/>
        <v>6</v>
      </c>
      <c r="C11" s="181" t="s">
        <v>280</v>
      </c>
      <c r="D11" s="183">
        <v>1.3</v>
      </c>
      <c r="E11" s="183">
        <v>1.3</v>
      </c>
      <c r="F11" s="183">
        <v>1.3</v>
      </c>
      <c r="G11" s="187">
        <f t="shared" si="0"/>
        <v>3.9000000000000004</v>
      </c>
    </row>
    <row r="12" spans="2:7" x14ac:dyDescent="0.25">
      <c r="B12" s="182">
        <f t="shared" si="1"/>
        <v>7</v>
      </c>
      <c r="C12" s="181" t="s">
        <v>281</v>
      </c>
      <c r="D12" s="183">
        <v>1</v>
      </c>
      <c r="E12" s="183">
        <v>1</v>
      </c>
      <c r="F12" s="183">
        <v>1</v>
      </c>
      <c r="G12" s="187">
        <f t="shared" si="0"/>
        <v>3</v>
      </c>
    </row>
    <row r="15" spans="2:7" x14ac:dyDescent="0.25">
      <c r="B15" s="178" t="s">
        <v>284</v>
      </c>
    </row>
    <row r="16" spans="2:7" x14ac:dyDescent="0.25">
      <c r="B16" s="178"/>
    </row>
    <row r="17" spans="2:7" x14ac:dyDescent="0.25">
      <c r="B17" s="178" t="s">
        <v>285</v>
      </c>
      <c r="D17" s="434" t="s">
        <v>274</v>
      </c>
      <c r="E17" s="434"/>
      <c r="F17" s="434"/>
    </row>
    <row r="18" spans="2:7" x14ac:dyDescent="0.25">
      <c r="D18" s="184" t="s">
        <v>282</v>
      </c>
      <c r="E18" s="182" t="s">
        <v>286</v>
      </c>
      <c r="F18" s="182" t="s">
        <v>287</v>
      </c>
    </row>
    <row r="19" spans="2:7" x14ac:dyDescent="0.25">
      <c r="B19" s="435" t="s">
        <v>288</v>
      </c>
      <c r="C19" s="435"/>
      <c r="D19" s="183">
        <v>1.5</v>
      </c>
      <c r="E19" s="183">
        <v>1.5</v>
      </c>
      <c r="F19" s="185">
        <f>SUM(D19:E19)</f>
        <v>3</v>
      </c>
    </row>
    <row r="20" spans="2:7" x14ac:dyDescent="0.25">
      <c r="B20" s="178"/>
      <c r="C20" s="178"/>
    </row>
    <row r="21" spans="2:7" x14ac:dyDescent="0.25">
      <c r="B21" s="178"/>
      <c r="C21" s="178"/>
      <c r="D21" s="434" t="s">
        <v>274</v>
      </c>
      <c r="E21" s="434"/>
      <c r="F21" s="434"/>
      <c r="G21" s="433" t="s">
        <v>305</v>
      </c>
    </row>
    <row r="22" spans="2:7" x14ac:dyDescent="0.25">
      <c r="B22" s="178"/>
      <c r="C22" s="178"/>
      <c r="D22" s="184" t="s">
        <v>282</v>
      </c>
      <c r="E22" s="182" t="s">
        <v>272</v>
      </c>
      <c r="F22" s="182" t="s">
        <v>273</v>
      </c>
      <c r="G22" s="433"/>
    </row>
    <row r="23" spans="2:7" x14ac:dyDescent="0.25">
      <c r="B23" s="432" t="s">
        <v>289</v>
      </c>
      <c r="C23" s="432"/>
      <c r="D23" s="183">
        <v>1.5</v>
      </c>
      <c r="E23" s="183">
        <v>1.5</v>
      </c>
      <c r="F23" s="183">
        <v>1.5</v>
      </c>
      <c r="G23" s="187">
        <f>SUM(D23:F23)</f>
        <v>4.5</v>
      </c>
    </row>
  </sheetData>
  <mergeCells count="9">
    <mergeCell ref="B23:C23"/>
    <mergeCell ref="G4:G5"/>
    <mergeCell ref="G21:G22"/>
    <mergeCell ref="D4:F4"/>
    <mergeCell ref="B4:B5"/>
    <mergeCell ref="C4:C5"/>
    <mergeCell ref="D17:F17"/>
    <mergeCell ref="D21:F21"/>
    <mergeCell ref="B19:C19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40E6-3B24-4B6B-BD5E-757F83CCCF0F}">
  <sheetPr>
    <pageSetUpPr fitToPage="1"/>
  </sheetPr>
  <dimension ref="B1:L48"/>
  <sheetViews>
    <sheetView topLeftCell="A31" workbookViewId="0">
      <selection activeCell="B1" sqref="B1:L1"/>
    </sheetView>
  </sheetViews>
  <sheetFormatPr defaultColWidth="9.140625" defaultRowHeight="15" x14ac:dyDescent="0.25"/>
  <cols>
    <col min="1" max="1" width="3.28515625" style="179" customWidth="1"/>
    <col min="2" max="2" width="10.7109375" style="179" customWidth="1"/>
    <col min="3" max="3" width="14.140625" style="179" customWidth="1"/>
    <col min="4" max="4" width="11.85546875" style="179" bestFit="1" customWidth="1"/>
    <col min="5" max="5" width="5.7109375" style="179" bestFit="1" customWidth="1"/>
    <col min="6" max="6" width="16" style="179" bestFit="1" customWidth="1"/>
    <col min="7" max="7" width="0.85546875" style="179" customWidth="1"/>
    <col min="8" max="8" width="10.7109375" style="179" customWidth="1"/>
    <col min="9" max="9" width="11.85546875" style="179" customWidth="1"/>
    <col min="10" max="10" width="11.85546875" style="179" bestFit="1" customWidth="1"/>
    <col min="11" max="11" width="4.5703125" style="179" bestFit="1" customWidth="1"/>
    <col min="12" max="12" width="16" style="179" bestFit="1" customWidth="1"/>
    <col min="13" max="13" width="10" style="179" customWidth="1"/>
    <col min="14" max="16384" width="9.140625" style="179"/>
  </cols>
  <sheetData>
    <row r="1" spans="2:12" ht="15.75" x14ac:dyDescent="0.25">
      <c r="B1" s="453" t="s">
        <v>326</v>
      </c>
      <c r="C1" s="453"/>
      <c r="D1" s="453"/>
      <c r="E1" s="453"/>
      <c r="F1" s="453"/>
      <c r="G1" s="453"/>
      <c r="H1" s="453"/>
      <c r="I1" s="453"/>
      <c r="J1" s="453"/>
      <c r="K1" s="453"/>
      <c r="L1" s="453"/>
    </row>
    <row r="2" spans="2:12" ht="15.75" thickBot="1" x14ac:dyDescent="0.3"/>
    <row r="3" spans="2:12" s="180" customFormat="1" ht="15.75" thickBot="1" x14ac:dyDescent="0.3">
      <c r="B3" s="198" t="s">
        <v>327</v>
      </c>
      <c r="C3" s="454" t="s">
        <v>328</v>
      </c>
      <c r="D3" s="454"/>
      <c r="E3" s="454"/>
      <c r="F3" s="454"/>
      <c r="H3" s="198" t="s">
        <v>327</v>
      </c>
      <c r="I3" s="454" t="s">
        <v>329</v>
      </c>
      <c r="J3" s="454"/>
      <c r="K3" s="454"/>
      <c r="L3" s="454"/>
    </row>
    <row r="4" spans="2:12" ht="17.25" customHeight="1" thickBot="1" x14ac:dyDescent="0.3">
      <c r="B4" s="199"/>
      <c r="C4" s="439"/>
      <c r="D4" s="439"/>
      <c r="E4" s="439"/>
      <c r="F4" s="439"/>
      <c r="H4" s="199"/>
      <c r="I4" s="439"/>
      <c r="J4" s="439"/>
      <c r="K4" s="439"/>
      <c r="L4" s="439"/>
    </row>
    <row r="5" spans="2:12" ht="17.25" customHeight="1" thickBot="1" x14ac:dyDescent="0.3">
      <c r="B5" s="199"/>
      <c r="C5" s="439"/>
      <c r="D5" s="439"/>
      <c r="E5" s="439"/>
      <c r="F5" s="439"/>
      <c r="H5" s="199"/>
      <c r="I5" s="439"/>
      <c r="J5" s="439"/>
      <c r="K5" s="439"/>
      <c r="L5" s="439"/>
    </row>
    <row r="6" spans="2:12" ht="17.25" customHeight="1" thickBot="1" x14ac:dyDescent="0.3">
      <c r="B6" s="199"/>
      <c r="C6" s="439"/>
      <c r="D6" s="439"/>
      <c r="E6" s="439"/>
      <c r="F6" s="439"/>
      <c r="H6" s="199"/>
      <c r="I6" s="439"/>
      <c r="J6" s="439"/>
      <c r="K6" s="439"/>
      <c r="L6" s="439"/>
    </row>
    <row r="7" spans="2:12" ht="17.25" customHeight="1" thickBot="1" x14ac:dyDescent="0.3">
      <c r="B7" s="199"/>
      <c r="C7" s="439"/>
      <c r="D7" s="439"/>
      <c r="E7" s="439"/>
      <c r="F7" s="439"/>
      <c r="H7" s="199"/>
      <c r="I7" s="439"/>
      <c r="J7" s="439"/>
      <c r="K7" s="439"/>
      <c r="L7" s="439"/>
    </row>
    <row r="8" spans="2:12" ht="17.25" customHeight="1" thickBot="1" x14ac:dyDescent="0.3">
      <c r="B8" s="199"/>
      <c r="C8" s="439"/>
      <c r="D8" s="439"/>
      <c r="E8" s="439"/>
      <c r="F8" s="439"/>
      <c r="H8" s="199"/>
      <c r="I8" s="439"/>
      <c r="J8" s="439"/>
      <c r="K8" s="439"/>
      <c r="L8" s="439"/>
    </row>
    <row r="9" spans="2:12" ht="17.25" customHeight="1" thickBot="1" x14ac:dyDescent="0.3">
      <c r="B9" s="199"/>
      <c r="C9" s="439"/>
      <c r="D9" s="439"/>
      <c r="E9" s="439"/>
      <c r="F9" s="439"/>
      <c r="H9" s="199"/>
      <c r="I9" s="439"/>
      <c r="J9" s="439"/>
      <c r="K9" s="439"/>
      <c r="L9" s="439"/>
    </row>
    <row r="10" spans="2:12" ht="17.25" customHeight="1" thickBot="1" x14ac:dyDescent="0.3">
      <c r="B10" s="199"/>
      <c r="C10" s="439"/>
      <c r="D10" s="439"/>
      <c r="E10" s="439"/>
      <c r="F10" s="439"/>
      <c r="H10" s="199"/>
      <c r="I10" s="439"/>
      <c r="J10" s="439"/>
      <c r="K10" s="439"/>
      <c r="L10" s="439"/>
    </row>
    <row r="11" spans="2:12" ht="17.25" customHeight="1" thickBot="1" x14ac:dyDescent="0.3">
      <c r="B11" s="199"/>
      <c r="C11" s="439"/>
      <c r="D11" s="439"/>
      <c r="E11" s="439"/>
      <c r="F11" s="439"/>
      <c r="H11" s="199"/>
      <c r="I11" s="439"/>
      <c r="J11" s="439"/>
      <c r="K11" s="439"/>
      <c r="L11" s="439"/>
    </row>
    <row r="12" spans="2:12" ht="17.25" customHeight="1" thickBot="1" x14ac:dyDescent="0.3">
      <c r="B12" s="199"/>
      <c r="C12" s="439"/>
      <c r="D12" s="439"/>
      <c r="E12" s="439"/>
      <c r="F12" s="439"/>
      <c r="H12" s="199"/>
      <c r="I12" s="439"/>
      <c r="J12" s="439"/>
      <c r="K12" s="439"/>
      <c r="L12" s="439"/>
    </row>
    <row r="13" spans="2:12" ht="17.25" customHeight="1" thickBot="1" x14ac:dyDescent="0.3">
      <c r="B13" s="199"/>
      <c r="C13" s="439"/>
      <c r="D13" s="439"/>
      <c r="E13" s="439"/>
      <c r="F13" s="439"/>
      <c r="H13" s="199"/>
      <c r="I13" s="439"/>
      <c r="J13" s="439"/>
      <c r="K13" s="439"/>
      <c r="L13" s="439"/>
    </row>
    <row r="14" spans="2:12" ht="17.25" customHeight="1" thickBot="1" x14ac:dyDescent="0.3">
      <c r="B14" s="199"/>
      <c r="C14" s="439"/>
      <c r="D14" s="439"/>
      <c r="E14" s="439"/>
      <c r="F14" s="439"/>
      <c r="H14" s="199"/>
      <c r="I14" s="439"/>
      <c r="J14" s="439"/>
      <c r="K14" s="439"/>
      <c r="L14" s="439"/>
    </row>
    <row r="15" spans="2:12" ht="17.25" customHeight="1" thickBot="1" x14ac:dyDescent="0.3">
      <c r="B15" s="199"/>
      <c r="C15" s="439"/>
      <c r="D15" s="439"/>
      <c r="E15" s="439"/>
      <c r="F15" s="439"/>
      <c r="H15" s="199"/>
      <c r="I15" s="439"/>
      <c r="J15" s="439"/>
      <c r="K15" s="439"/>
      <c r="L15" s="439"/>
    </row>
    <row r="16" spans="2:12" ht="17.25" customHeight="1" thickBot="1" x14ac:dyDescent="0.3">
      <c r="B16" s="199"/>
      <c r="C16" s="439"/>
      <c r="D16" s="439"/>
      <c r="E16" s="439"/>
      <c r="F16" s="439"/>
      <c r="H16" s="199"/>
      <c r="I16" s="439"/>
      <c r="J16" s="439"/>
      <c r="K16" s="439"/>
      <c r="L16" s="439"/>
    </row>
    <row r="17" spans="2:12" ht="17.25" customHeight="1" thickBot="1" x14ac:dyDescent="0.3">
      <c r="B17" s="199"/>
      <c r="C17" s="439"/>
      <c r="D17" s="439"/>
      <c r="E17" s="439"/>
      <c r="F17" s="439"/>
      <c r="H17" s="199"/>
      <c r="I17" s="439"/>
      <c r="J17" s="439"/>
      <c r="K17" s="439"/>
      <c r="L17" s="439"/>
    </row>
    <row r="18" spans="2:12" ht="17.25" customHeight="1" thickBot="1" x14ac:dyDescent="0.3">
      <c r="B18" s="199"/>
      <c r="C18" s="439"/>
      <c r="D18" s="439"/>
      <c r="E18" s="439"/>
      <c r="F18" s="439"/>
      <c r="H18" s="199"/>
      <c r="I18" s="439"/>
      <c r="J18" s="439"/>
      <c r="K18" s="439"/>
      <c r="L18" s="439"/>
    </row>
    <row r="19" spans="2:12" ht="17.25" customHeight="1" thickBot="1" x14ac:dyDescent="0.3">
      <c r="B19" s="199"/>
      <c r="C19" s="439"/>
      <c r="D19" s="439"/>
      <c r="E19" s="439"/>
      <c r="F19" s="439"/>
      <c r="H19" s="199"/>
      <c r="I19" s="439"/>
      <c r="J19" s="439"/>
      <c r="K19" s="439"/>
      <c r="L19" s="439"/>
    </row>
    <row r="20" spans="2:12" ht="17.25" customHeight="1" thickBot="1" x14ac:dyDescent="0.3">
      <c r="B20" s="199"/>
      <c r="C20" s="439"/>
      <c r="D20" s="439"/>
      <c r="E20" s="439"/>
      <c r="F20" s="439"/>
      <c r="H20" s="199"/>
      <c r="I20" s="439"/>
      <c r="J20" s="439"/>
      <c r="K20" s="439"/>
      <c r="L20" s="439"/>
    </row>
    <row r="21" spans="2:12" ht="17.25" customHeight="1" thickBot="1" x14ac:dyDescent="0.3">
      <c r="B21" s="199"/>
      <c r="C21" s="439"/>
      <c r="D21" s="439"/>
      <c r="E21" s="439"/>
      <c r="F21" s="439"/>
      <c r="H21" s="199"/>
      <c r="I21" s="439"/>
      <c r="J21" s="439"/>
      <c r="K21" s="439"/>
      <c r="L21" s="439"/>
    </row>
    <row r="22" spans="2:12" ht="17.25" customHeight="1" thickBot="1" x14ac:dyDescent="0.3">
      <c r="B22" s="199"/>
      <c r="C22" s="439"/>
      <c r="D22" s="439"/>
      <c r="E22" s="439"/>
      <c r="F22" s="439"/>
      <c r="H22" s="199"/>
      <c r="I22" s="439"/>
      <c r="J22" s="439"/>
      <c r="K22" s="439"/>
      <c r="L22" s="439"/>
    </row>
    <row r="23" spans="2:12" ht="17.25" customHeight="1" thickBot="1" x14ac:dyDescent="0.3">
      <c r="B23" s="199"/>
      <c r="C23" s="439"/>
      <c r="D23" s="439"/>
      <c r="E23" s="439"/>
      <c r="F23" s="439"/>
      <c r="H23" s="199"/>
      <c r="I23" s="439"/>
      <c r="J23" s="439"/>
      <c r="K23" s="439"/>
      <c r="L23" s="439"/>
    </row>
    <row r="24" spans="2:12" ht="17.25" customHeight="1" thickBot="1" x14ac:dyDescent="0.3">
      <c r="B24" s="199"/>
      <c r="C24" s="439"/>
      <c r="D24" s="439"/>
      <c r="E24" s="439"/>
      <c r="F24" s="439"/>
      <c r="H24" s="199"/>
      <c r="I24" s="439"/>
      <c r="J24" s="439"/>
      <c r="K24" s="439"/>
      <c r="L24" s="439"/>
    </row>
    <row r="25" spans="2:12" ht="17.25" customHeight="1" thickBot="1" x14ac:dyDescent="0.3">
      <c r="B25" s="199"/>
      <c r="C25" s="439"/>
      <c r="D25" s="439"/>
      <c r="E25" s="439"/>
      <c r="F25" s="439"/>
      <c r="H25" s="199"/>
      <c r="I25" s="439"/>
      <c r="J25" s="439"/>
      <c r="K25" s="439"/>
      <c r="L25" s="439"/>
    </row>
    <row r="26" spans="2:12" ht="17.25" customHeight="1" thickBot="1" x14ac:dyDescent="0.3">
      <c r="B26" s="199"/>
      <c r="C26" s="439"/>
      <c r="D26" s="439"/>
      <c r="E26" s="439"/>
      <c r="F26" s="439"/>
      <c r="H26" s="199"/>
      <c r="I26" s="439"/>
      <c r="J26" s="439"/>
      <c r="K26" s="439"/>
      <c r="L26" s="439"/>
    </row>
    <row r="27" spans="2:12" ht="17.25" customHeight="1" thickBot="1" x14ac:dyDescent="0.3">
      <c r="B27" s="199"/>
      <c r="C27" s="439"/>
      <c r="D27" s="439"/>
      <c r="E27" s="439"/>
      <c r="F27" s="439"/>
      <c r="H27" s="199"/>
      <c r="I27" s="439"/>
      <c r="J27" s="439"/>
      <c r="K27" s="439"/>
      <c r="L27" s="439"/>
    </row>
    <row r="28" spans="2:12" ht="17.25" customHeight="1" thickBot="1" x14ac:dyDescent="0.3">
      <c r="B28" s="199"/>
      <c r="C28" s="439"/>
      <c r="D28" s="439"/>
      <c r="E28" s="439"/>
      <c r="F28" s="439"/>
      <c r="H28" s="199"/>
      <c r="I28" s="439"/>
      <c r="J28" s="439"/>
      <c r="K28" s="439"/>
      <c r="L28" s="439"/>
    </row>
    <row r="29" spans="2:12" ht="17.25" customHeight="1" thickBot="1" x14ac:dyDescent="0.3">
      <c r="B29" s="199"/>
      <c r="C29" s="439"/>
      <c r="D29" s="439"/>
      <c r="E29" s="439"/>
      <c r="F29" s="439"/>
      <c r="H29" s="199"/>
      <c r="I29" s="439"/>
      <c r="J29" s="439"/>
      <c r="K29" s="439"/>
      <c r="L29" s="439"/>
    </row>
    <row r="30" spans="2:12" ht="17.25" customHeight="1" thickBot="1" x14ac:dyDescent="0.3">
      <c r="B30" s="199"/>
      <c r="C30" s="439"/>
      <c r="D30" s="439"/>
      <c r="E30" s="439"/>
      <c r="F30" s="439"/>
      <c r="H30" s="199"/>
      <c r="I30" s="439"/>
      <c r="J30" s="439"/>
      <c r="K30" s="439"/>
      <c r="L30" s="439"/>
    </row>
    <row r="31" spans="2:12" ht="17.25" customHeight="1" thickBot="1" x14ac:dyDescent="0.3">
      <c r="B31" s="199"/>
      <c r="C31" s="439"/>
      <c r="D31" s="439"/>
      <c r="E31" s="439"/>
      <c r="F31" s="439"/>
      <c r="H31" s="199"/>
      <c r="I31" s="439"/>
      <c r="J31" s="439"/>
      <c r="K31" s="439"/>
      <c r="L31" s="439"/>
    </row>
    <row r="32" spans="2:12" ht="17.25" customHeight="1" thickBot="1" x14ac:dyDescent="0.3">
      <c r="B32" s="199"/>
      <c r="C32" s="439"/>
      <c r="D32" s="439"/>
      <c r="E32" s="439"/>
      <c r="F32" s="439"/>
      <c r="H32" s="199"/>
      <c r="I32" s="439"/>
      <c r="J32" s="439"/>
      <c r="K32" s="439"/>
      <c r="L32" s="439"/>
    </row>
    <row r="33" spans="2:12" ht="17.25" customHeight="1" thickBot="1" x14ac:dyDescent="0.3">
      <c r="B33" s="199"/>
      <c r="C33" s="439"/>
      <c r="D33" s="439"/>
      <c r="E33" s="439"/>
      <c r="F33" s="439"/>
      <c r="H33" s="199"/>
      <c r="I33" s="439"/>
      <c r="J33" s="439"/>
      <c r="K33" s="439"/>
      <c r="L33" s="439"/>
    </row>
    <row r="34" spans="2:12" ht="17.25" customHeight="1" thickBot="1" x14ac:dyDescent="0.3">
      <c r="B34" s="199"/>
      <c r="C34" s="439"/>
      <c r="D34" s="439"/>
      <c r="E34" s="439"/>
      <c r="F34" s="439"/>
      <c r="H34" s="199"/>
      <c r="I34" s="439"/>
      <c r="J34" s="439"/>
      <c r="K34" s="439"/>
      <c r="L34" s="439"/>
    </row>
    <row r="35" spans="2:12" ht="15.75" thickBot="1" x14ac:dyDescent="0.25">
      <c r="B35" s="200" t="s">
        <v>330</v>
      </c>
      <c r="C35" s="201"/>
      <c r="D35" s="201"/>
      <c r="E35" s="201"/>
      <c r="F35" s="201"/>
      <c r="H35" s="202" t="s">
        <v>331</v>
      </c>
      <c r="I35" s="203"/>
      <c r="J35" s="203"/>
      <c r="K35" s="203"/>
      <c r="L35" s="203"/>
    </row>
    <row r="36" spans="2:12" x14ac:dyDescent="0.2">
      <c r="B36" s="204" t="s">
        <v>203</v>
      </c>
      <c r="C36" s="205" t="s">
        <v>332</v>
      </c>
      <c r="D36" s="205" t="s">
        <v>204</v>
      </c>
      <c r="E36" s="205" t="s">
        <v>333</v>
      </c>
      <c r="F36" s="206" t="s">
        <v>208</v>
      </c>
      <c r="H36" s="207" t="s">
        <v>203</v>
      </c>
      <c r="I36" s="208" t="s">
        <v>332</v>
      </c>
      <c r="J36" s="209" t="s">
        <v>204</v>
      </c>
      <c r="K36" s="208" t="s">
        <v>333</v>
      </c>
      <c r="L36" s="210" t="s">
        <v>208</v>
      </c>
    </row>
    <row r="37" spans="2:12" x14ac:dyDescent="0.2">
      <c r="B37" s="211" t="s">
        <v>334</v>
      </c>
      <c r="C37" s="212" t="s">
        <v>335</v>
      </c>
      <c r="D37" s="213" t="s">
        <v>336</v>
      </c>
      <c r="E37" s="213" t="s">
        <v>337</v>
      </c>
      <c r="F37" s="214" t="s">
        <v>338</v>
      </c>
      <c r="H37" s="215" t="s">
        <v>339</v>
      </c>
      <c r="I37" s="216" t="s">
        <v>340</v>
      </c>
      <c r="J37" s="217" t="s">
        <v>341</v>
      </c>
      <c r="K37" s="216" t="s">
        <v>342</v>
      </c>
      <c r="L37" s="218" t="s">
        <v>221</v>
      </c>
    </row>
    <row r="38" spans="2:12" x14ac:dyDescent="0.2">
      <c r="B38" s="219"/>
      <c r="C38" s="213" t="s">
        <v>343</v>
      </c>
      <c r="D38" s="213" t="s">
        <v>210</v>
      </c>
      <c r="E38" s="213" t="s">
        <v>344</v>
      </c>
      <c r="F38" s="214" t="s">
        <v>338</v>
      </c>
      <c r="H38" s="220"/>
      <c r="I38" s="221"/>
      <c r="J38" s="222" t="s">
        <v>222</v>
      </c>
      <c r="K38" s="221" t="s">
        <v>345</v>
      </c>
      <c r="L38" s="223" t="s">
        <v>346</v>
      </c>
    </row>
    <row r="39" spans="2:12" ht="15" customHeight="1" x14ac:dyDescent="0.2">
      <c r="B39" s="224" t="s">
        <v>347</v>
      </c>
      <c r="C39" s="225" t="s">
        <v>215</v>
      </c>
      <c r="D39" s="225" t="s">
        <v>216</v>
      </c>
      <c r="E39" s="225" t="s">
        <v>211</v>
      </c>
      <c r="F39" s="226" t="s">
        <v>338</v>
      </c>
      <c r="H39" s="440" t="s">
        <v>348</v>
      </c>
      <c r="I39" s="227" t="s">
        <v>349</v>
      </c>
      <c r="J39" s="228" t="s">
        <v>220</v>
      </c>
      <c r="K39" s="227" t="s">
        <v>342</v>
      </c>
      <c r="L39" s="229" t="s">
        <v>350</v>
      </c>
    </row>
    <row r="40" spans="2:12" x14ac:dyDescent="0.2">
      <c r="B40" s="230"/>
      <c r="C40" s="231" t="s">
        <v>351</v>
      </c>
      <c r="D40" s="231" t="s">
        <v>352</v>
      </c>
      <c r="E40" s="231" t="s">
        <v>211</v>
      </c>
      <c r="F40" s="232" t="s">
        <v>221</v>
      </c>
      <c r="H40" s="441"/>
      <c r="I40" s="233"/>
      <c r="J40" s="203" t="s">
        <v>222</v>
      </c>
      <c r="K40" s="233" t="s">
        <v>345</v>
      </c>
      <c r="L40" s="234" t="s">
        <v>350</v>
      </c>
    </row>
    <row r="41" spans="2:12" x14ac:dyDescent="0.2">
      <c r="B41" s="235"/>
      <c r="C41" s="236" t="s">
        <v>353</v>
      </c>
      <c r="D41" s="236" t="s">
        <v>222</v>
      </c>
      <c r="E41" s="236" t="s">
        <v>354</v>
      </c>
      <c r="F41" s="237" t="s">
        <v>225</v>
      </c>
      <c r="H41" s="442"/>
      <c r="I41" s="238"/>
      <c r="J41" s="239" t="s">
        <v>355</v>
      </c>
      <c r="K41" s="238" t="s">
        <v>213</v>
      </c>
      <c r="L41" s="240" t="s">
        <v>350</v>
      </c>
    </row>
    <row r="42" spans="2:12" ht="24.75" customHeight="1" x14ac:dyDescent="0.2">
      <c r="B42" s="443" t="s">
        <v>356</v>
      </c>
      <c r="C42" s="241"/>
      <c r="D42" s="241" t="s">
        <v>357</v>
      </c>
      <c r="E42" s="241" t="s">
        <v>211</v>
      </c>
      <c r="F42" s="242" t="s">
        <v>228</v>
      </c>
      <c r="H42" s="243" t="s">
        <v>358</v>
      </c>
      <c r="I42" s="244" t="s">
        <v>359</v>
      </c>
      <c r="J42" s="245" t="s">
        <v>341</v>
      </c>
      <c r="K42" s="246" t="s">
        <v>342</v>
      </c>
      <c r="L42" s="247" t="s">
        <v>221</v>
      </c>
    </row>
    <row r="43" spans="2:12" ht="24" x14ac:dyDescent="0.2">
      <c r="B43" s="444"/>
      <c r="C43" s="248" t="s">
        <v>360</v>
      </c>
      <c r="D43" s="249" t="s">
        <v>222</v>
      </c>
      <c r="E43" s="249" t="s">
        <v>354</v>
      </c>
      <c r="F43" s="250" t="s">
        <v>225</v>
      </c>
      <c r="H43" s="440" t="s">
        <v>361</v>
      </c>
      <c r="I43" s="251" t="s">
        <v>362</v>
      </c>
      <c r="J43" s="228" t="s">
        <v>357</v>
      </c>
      <c r="K43" s="227" t="s">
        <v>342</v>
      </c>
      <c r="L43" s="229" t="s">
        <v>228</v>
      </c>
    </row>
    <row r="44" spans="2:12" x14ac:dyDescent="0.2">
      <c r="B44" s="445" t="s">
        <v>363</v>
      </c>
      <c r="C44" s="447" t="s">
        <v>364</v>
      </c>
      <c r="D44" s="447" t="s">
        <v>357</v>
      </c>
      <c r="E44" s="449" t="s">
        <v>211</v>
      </c>
      <c r="F44" s="451" t="s">
        <v>228</v>
      </c>
      <c r="H44" s="442"/>
      <c r="I44" s="233" t="s">
        <v>365</v>
      </c>
      <c r="J44" s="203" t="s">
        <v>222</v>
      </c>
      <c r="K44" s="233" t="s">
        <v>345</v>
      </c>
      <c r="L44" s="234" t="s">
        <v>346</v>
      </c>
    </row>
    <row r="45" spans="2:12" x14ac:dyDescent="0.2">
      <c r="B45" s="446"/>
      <c r="C45" s="448"/>
      <c r="D45" s="448"/>
      <c r="E45" s="450"/>
      <c r="F45" s="452"/>
      <c r="H45" s="252" t="s">
        <v>366</v>
      </c>
      <c r="I45" s="253" t="s">
        <v>367</v>
      </c>
      <c r="J45" s="254" t="s">
        <v>368</v>
      </c>
      <c r="K45" s="253" t="s">
        <v>342</v>
      </c>
      <c r="L45" s="255" t="s">
        <v>221</v>
      </c>
    </row>
    <row r="46" spans="2:12" ht="24" x14ac:dyDescent="0.2">
      <c r="B46" s="211" t="s">
        <v>234</v>
      </c>
      <c r="C46" s="436" t="s">
        <v>369</v>
      </c>
      <c r="D46" s="212" t="s">
        <v>357</v>
      </c>
      <c r="E46" s="212" t="s">
        <v>211</v>
      </c>
      <c r="F46" s="256" t="s">
        <v>228</v>
      </c>
      <c r="H46" s="257" t="s">
        <v>370</v>
      </c>
      <c r="I46" s="258" t="s">
        <v>371</v>
      </c>
      <c r="J46" s="259" t="s">
        <v>222</v>
      </c>
      <c r="K46" s="260" t="s">
        <v>345</v>
      </c>
      <c r="L46" s="261" t="s">
        <v>346</v>
      </c>
    </row>
    <row r="47" spans="2:12" x14ac:dyDescent="0.2">
      <c r="B47" s="219"/>
      <c r="C47" s="437"/>
      <c r="D47" s="213"/>
      <c r="E47" s="213"/>
      <c r="F47" s="214"/>
      <c r="H47" s="262" t="s">
        <v>347</v>
      </c>
      <c r="I47" s="263" t="s">
        <v>372</v>
      </c>
      <c r="J47" s="264" t="s">
        <v>216</v>
      </c>
      <c r="K47" s="263" t="s">
        <v>342</v>
      </c>
      <c r="L47" s="265" t="s">
        <v>373</v>
      </c>
    </row>
    <row r="48" spans="2:12" ht="15.75" thickBot="1" x14ac:dyDescent="0.25">
      <c r="B48" s="266"/>
      <c r="C48" s="438"/>
      <c r="D48" s="267" t="s">
        <v>222</v>
      </c>
      <c r="E48" s="267" t="s">
        <v>354</v>
      </c>
      <c r="F48" s="268" t="s">
        <v>225</v>
      </c>
      <c r="H48" s="269"/>
      <c r="I48" s="270" t="s">
        <v>365</v>
      </c>
      <c r="J48" s="271" t="s">
        <v>222</v>
      </c>
      <c r="K48" s="270" t="s">
        <v>345</v>
      </c>
      <c r="L48" s="272" t="s">
        <v>346</v>
      </c>
    </row>
  </sheetData>
  <mergeCells count="74">
    <mergeCell ref="C5:F5"/>
    <mergeCell ref="I5:L5"/>
    <mergeCell ref="B1:L1"/>
    <mergeCell ref="C3:F3"/>
    <mergeCell ref="I3:L3"/>
    <mergeCell ref="C4:F4"/>
    <mergeCell ref="I4:L4"/>
    <mergeCell ref="C6:F6"/>
    <mergeCell ref="I6:L6"/>
    <mergeCell ref="C7:F7"/>
    <mergeCell ref="I7:L7"/>
    <mergeCell ref="C8:F8"/>
    <mergeCell ref="I8:L8"/>
    <mergeCell ref="C9:F9"/>
    <mergeCell ref="I9:L9"/>
    <mergeCell ref="C10:F10"/>
    <mergeCell ref="I10:L10"/>
    <mergeCell ref="C11:F11"/>
    <mergeCell ref="I11:L11"/>
    <mergeCell ref="C12:F12"/>
    <mergeCell ref="I12:L12"/>
    <mergeCell ref="C13:F13"/>
    <mergeCell ref="I13:L13"/>
    <mergeCell ref="C14:F14"/>
    <mergeCell ref="I14:L14"/>
    <mergeCell ref="C15:F15"/>
    <mergeCell ref="I15:L15"/>
    <mergeCell ref="C16:F16"/>
    <mergeCell ref="I16:L16"/>
    <mergeCell ref="C17:F17"/>
    <mergeCell ref="I17:L17"/>
    <mergeCell ref="C18:F18"/>
    <mergeCell ref="I18:L18"/>
    <mergeCell ref="C19:F19"/>
    <mergeCell ref="I19:L19"/>
    <mergeCell ref="C20:F20"/>
    <mergeCell ref="I20:L20"/>
    <mergeCell ref="C21:F21"/>
    <mergeCell ref="I21:L21"/>
    <mergeCell ref="C22:F22"/>
    <mergeCell ref="I22:L22"/>
    <mergeCell ref="C23:F23"/>
    <mergeCell ref="I23:L23"/>
    <mergeCell ref="C24:F24"/>
    <mergeCell ref="I24:L24"/>
    <mergeCell ref="C25:F25"/>
    <mergeCell ref="I25:L25"/>
    <mergeCell ref="C26:F26"/>
    <mergeCell ref="I26:L26"/>
    <mergeCell ref="C27:F27"/>
    <mergeCell ref="I27:L27"/>
    <mergeCell ref="C28:F28"/>
    <mergeCell ref="I28:L28"/>
    <mergeCell ref="C29:F29"/>
    <mergeCell ref="I29:L29"/>
    <mergeCell ref="C30:F30"/>
    <mergeCell ref="I30:L30"/>
    <mergeCell ref="C31:F31"/>
    <mergeCell ref="I31:L31"/>
    <mergeCell ref="C32:F32"/>
    <mergeCell ref="I32:L32"/>
    <mergeCell ref="B42:B43"/>
    <mergeCell ref="H43:H44"/>
    <mergeCell ref="B44:B45"/>
    <mergeCell ref="C44:C45"/>
    <mergeCell ref="D44:D45"/>
    <mergeCell ref="E44:E45"/>
    <mergeCell ref="F44:F45"/>
    <mergeCell ref="C46:C48"/>
    <mergeCell ref="C33:F33"/>
    <mergeCell ref="I33:L33"/>
    <mergeCell ref="C34:F34"/>
    <mergeCell ref="I34:L34"/>
    <mergeCell ref="H39:H41"/>
  </mergeCells>
  <pageMargins left="0.2" right="0.2" top="0.5" bottom="0.5" header="0.3" footer="0.3"/>
  <pageSetup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D60459-FEA9-4CDE-917D-6FC30ACB62BF}">
  <ds:schemaRefs>
    <ds:schemaRef ds:uri="http://purl.org/dc/dcmitype/"/>
    <ds:schemaRef ds:uri="http://schemas.openxmlformats.org/package/2006/metadata/core-properties"/>
    <ds:schemaRef ds:uri="7146d502-05f5-4fb7-b414-24f33b760985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B5DB8ED-E21D-4A84-A4DE-7C187CF8FA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B081E-63C5-4E01-9C98-12F7A8FE7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Breed Master</vt:lpstr>
      <vt:lpstr>Breed L-cycle stages gilts</vt:lpstr>
      <vt:lpstr>Breed lifecycle stages - reprod</vt:lpstr>
      <vt:lpstr>Breeder L-cycle stages -WeanGro</vt:lpstr>
      <vt:lpstr>Sample 10, 16 &amp; 27 wk variation</vt:lpstr>
      <vt:lpstr>Medication Table</vt:lpstr>
      <vt:lpstr>Gilt Feed schedule - Farr</vt:lpstr>
      <vt:lpstr>Sow Feed Schedule - Farr</vt:lpstr>
      <vt:lpstr>Feed schedule - In Dry Sow</vt:lpstr>
      <vt:lpstr>Service Line Feed Schedule</vt:lpstr>
      <vt:lpstr>Treatment Card</vt:lpstr>
      <vt:lpstr>'Feed schedule - In Dry Sow'!Print_Area</vt:lpstr>
      <vt:lpstr>'Service Line Feed Schedule'!Print_Area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Johan Odendaal</cp:lastModifiedBy>
  <cp:revision/>
  <cp:lastPrinted>2026-09-01T08:53:29Z</cp:lastPrinted>
  <dcterms:created xsi:type="dcterms:W3CDTF">2026-08-17T17:45:23Z</dcterms:created>
  <dcterms:modified xsi:type="dcterms:W3CDTF">2026-09-10T13:50:20Z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