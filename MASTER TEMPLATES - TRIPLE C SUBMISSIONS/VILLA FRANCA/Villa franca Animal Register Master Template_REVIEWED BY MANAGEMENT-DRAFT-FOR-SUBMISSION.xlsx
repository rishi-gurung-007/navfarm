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9e8b74a64f84a3fc/Documents/2026/September/07/Animal Registers/"/>
    </mc:Choice>
  </mc:AlternateContent>
  <xr:revisionPtr revIDLastSave="1" documentId="8_{9D9C0C03-BA14-4A6C-9B68-01F06E6A00B6}" xr6:coauthVersionLast="36" xr6:coauthVersionMax="36" xr10:uidLastSave="{7790EC6D-E3FB-4E46-BA5C-D0BA367E031B}"/>
  <bookViews>
    <workbookView xWindow="0" yWindow="720" windowWidth="23040" windowHeight="9576" xr2:uid="{81873A3B-85A7-4A1B-B700-8442B273DBD0}"/>
  </bookViews>
  <sheets>
    <sheet name="Animal Register" sheetId="2" r:id="rId1"/>
    <sheet name=" Breeding Record" sheetId="1" r:id="rId2"/>
  </sheets>
  <definedNames>
    <definedName name="_xlnm._FilterDatabase" localSheetId="0" hidden="1">'Animal Register'!$H$1:$H$529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38" i="2" l="1"/>
  <c r="AG436" i="2"/>
  <c r="AG424" i="2"/>
  <c r="AG382" i="2"/>
  <c r="AG381" i="2"/>
  <c r="AG380" i="2"/>
  <c r="AG378" i="2"/>
  <c r="AG326" i="2"/>
  <c r="AG256" i="2"/>
  <c r="AG255" i="2"/>
  <c r="AG254" i="2"/>
  <c r="AG200" i="2"/>
  <c r="AG198" i="2"/>
  <c r="AG196" i="2"/>
  <c r="AG186" i="2"/>
  <c r="AG144" i="2"/>
  <c r="AG143" i="2"/>
  <c r="AG32" i="2"/>
  <c r="AG31" i="2"/>
  <c r="AG30" i="2"/>
  <c r="AG16" i="2"/>
  <c r="AG14" i="2"/>
  <c r="AF529" i="2"/>
  <c r="AG529" i="2" s="1"/>
  <c r="AF528" i="2"/>
  <c r="AG528" i="2" s="1"/>
  <c r="AF527" i="2"/>
  <c r="AG527" i="2" s="1"/>
  <c r="AF526" i="2"/>
  <c r="AG526" i="2" s="1"/>
  <c r="AF525" i="2"/>
  <c r="AG525" i="2" s="1"/>
  <c r="AF524" i="2"/>
  <c r="AG524" i="2" s="1"/>
  <c r="AF523" i="2"/>
  <c r="AG523" i="2" s="1"/>
  <c r="AF522" i="2"/>
  <c r="AG522" i="2" s="1"/>
  <c r="AF521" i="2"/>
  <c r="AG521" i="2" s="1"/>
  <c r="AF520" i="2"/>
  <c r="AG520" i="2" s="1"/>
  <c r="AF519" i="2"/>
  <c r="AG519" i="2" s="1"/>
  <c r="AF518" i="2"/>
  <c r="AG518" i="2" s="1"/>
  <c r="AF517" i="2"/>
  <c r="AG517" i="2" s="1"/>
  <c r="AF516" i="2"/>
  <c r="AG516" i="2" s="1"/>
  <c r="AF515" i="2"/>
  <c r="AG515" i="2" s="1"/>
  <c r="AF514" i="2"/>
  <c r="AG514" i="2" s="1"/>
  <c r="AF513" i="2"/>
  <c r="AG513" i="2" s="1"/>
  <c r="AF512" i="2"/>
  <c r="AG512" i="2" s="1"/>
  <c r="AF511" i="2"/>
  <c r="AG511" i="2" s="1"/>
  <c r="AF510" i="2"/>
  <c r="AG510" i="2" s="1"/>
  <c r="AF509" i="2"/>
  <c r="AG509" i="2" s="1"/>
  <c r="AF508" i="2"/>
  <c r="AG508" i="2" s="1"/>
  <c r="AF507" i="2"/>
  <c r="AG507" i="2" s="1"/>
  <c r="AF506" i="2"/>
  <c r="AG506" i="2" s="1"/>
  <c r="AF505" i="2"/>
  <c r="AG505" i="2" s="1"/>
  <c r="AF504" i="2"/>
  <c r="AG504" i="2" s="1"/>
  <c r="AF503" i="2"/>
  <c r="AG503" i="2" s="1"/>
  <c r="AF502" i="2"/>
  <c r="AG502" i="2" s="1"/>
  <c r="AF501" i="2"/>
  <c r="AG501" i="2" s="1"/>
  <c r="AF500" i="2"/>
  <c r="AG500" i="2" s="1"/>
  <c r="AF499" i="2"/>
  <c r="AG499" i="2" s="1"/>
  <c r="AF498" i="2"/>
  <c r="AG498" i="2" s="1"/>
  <c r="AF497" i="2"/>
  <c r="AG497" i="2" s="1"/>
  <c r="AF496" i="2"/>
  <c r="AG496" i="2" s="1"/>
  <c r="AF495" i="2"/>
  <c r="AG495" i="2" s="1"/>
  <c r="AF494" i="2"/>
  <c r="AG494" i="2" s="1"/>
  <c r="AF493" i="2"/>
  <c r="AG493" i="2" s="1"/>
  <c r="AF492" i="2"/>
  <c r="AG492" i="2" s="1"/>
  <c r="AF491" i="2"/>
  <c r="AG491" i="2" s="1"/>
  <c r="AF490" i="2"/>
  <c r="AG490" i="2" s="1"/>
  <c r="AF489" i="2"/>
  <c r="AG489" i="2" s="1"/>
  <c r="AF488" i="2"/>
  <c r="AG488" i="2" s="1"/>
  <c r="AF487" i="2"/>
  <c r="AG487" i="2" s="1"/>
  <c r="AF486" i="2"/>
  <c r="AG486" i="2" s="1"/>
  <c r="AF485" i="2"/>
  <c r="AG485" i="2" s="1"/>
  <c r="AF484" i="2"/>
  <c r="AG484" i="2" s="1"/>
  <c r="AF483" i="2"/>
  <c r="AG483" i="2" s="1"/>
  <c r="AF482" i="2"/>
  <c r="AG482" i="2" s="1"/>
  <c r="AF481" i="2"/>
  <c r="AG481" i="2" s="1"/>
  <c r="AF480" i="2"/>
  <c r="AG480" i="2" s="1"/>
  <c r="AF479" i="2"/>
  <c r="AG479" i="2" s="1"/>
  <c r="AF478" i="2"/>
  <c r="AG478" i="2" s="1"/>
  <c r="AF477" i="2"/>
  <c r="AG477" i="2" s="1"/>
  <c r="AF476" i="2"/>
  <c r="AG476" i="2" s="1"/>
  <c r="AF475" i="2"/>
  <c r="AG475" i="2" s="1"/>
  <c r="AF474" i="2"/>
  <c r="AG474" i="2" s="1"/>
  <c r="AF473" i="2"/>
  <c r="AG473" i="2" s="1"/>
  <c r="AF472" i="2"/>
  <c r="AG472" i="2" s="1"/>
  <c r="AF471" i="2"/>
  <c r="AG471" i="2" s="1"/>
  <c r="AF470" i="2"/>
  <c r="AG470" i="2" s="1"/>
  <c r="AF469" i="2"/>
  <c r="AG469" i="2" s="1"/>
  <c r="AF468" i="2"/>
  <c r="AG468" i="2" s="1"/>
  <c r="AF467" i="2"/>
  <c r="AG467" i="2" s="1"/>
  <c r="AF466" i="2"/>
  <c r="AG466" i="2" s="1"/>
  <c r="AF465" i="2"/>
  <c r="AG465" i="2" s="1"/>
  <c r="AF464" i="2"/>
  <c r="AG464" i="2" s="1"/>
  <c r="AF463" i="2"/>
  <c r="AG463" i="2" s="1"/>
  <c r="AF462" i="2"/>
  <c r="AG462" i="2" s="1"/>
  <c r="AF461" i="2"/>
  <c r="AG461" i="2" s="1"/>
  <c r="AF460" i="2"/>
  <c r="AG460" i="2" s="1"/>
  <c r="AF459" i="2"/>
  <c r="AG459" i="2" s="1"/>
  <c r="AF458" i="2"/>
  <c r="AG458" i="2" s="1"/>
  <c r="AF457" i="2"/>
  <c r="AG457" i="2" s="1"/>
  <c r="AF456" i="2"/>
  <c r="AG456" i="2" s="1"/>
  <c r="AF455" i="2"/>
  <c r="AG455" i="2" s="1"/>
  <c r="AF454" i="2"/>
  <c r="AG454" i="2" s="1"/>
  <c r="AF453" i="2"/>
  <c r="AG453" i="2" s="1"/>
  <c r="AF452" i="2"/>
  <c r="AG452" i="2" s="1"/>
  <c r="AF451" i="2"/>
  <c r="AG451" i="2" s="1"/>
  <c r="AF450" i="2"/>
  <c r="AG450" i="2" s="1"/>
  <c r="AF449" i="2"/>
  <c r="AG449" i="2" s="1"/>
  <c r="AF448" i="2"/>
  <c r="AG448" i="2" s="1"/>
  <c r="AF447" i="2"/>
  <c r="AG447" i="2" s="1"/>
  <c r="AF446" i="2"/>
  <c r="AG446" i="2" s="1"/>
  <c r="AF445" i="2"/>
  <c r="AG445" i="2" s="1"/>
  <c r="AF444" i="2"/>
  <c r="AG444" i="2" s="1"/>
  <c r="AF443" i="2"/>
  <c r="AG443" i="2" s="1"/>
  <c r="AF442" i="2"/>
  <c r="AG442" i="2" s="1"/>
  <c r="AF441" i="2"/>
  <c r="AG441" i="2" s="1"/>
  <c r="AF440" i="2"/>
  <c r="AG440" i="2" s="1"/>
  <c r="AF439" i="2"/>
  <c r="AG439" i="2" s="1"/>
  <c r="AF438" i="2"/>
  <c r="AF437" i="2"/>
  <c r="AG437" i="2" s="1"/>
  <c r="AF436" i="2"/>
  <c r="AF435" i="2"/>
  <c r="AG435" i="2" s="1"/>
  <c r="AF434" i="2"/>
  <c r="AG434" i="2" s="1"/>
  <c r="AF433" i="2"/>
  <c r="AG433" i="2" s="1"/>
  <c r="AF432" i="2"/>
  <c r="AG432" i="2" s="1"/>
  <c r="AF431" i="2"/>
  <c r="AG431" i="2" s="1"/>
  <c r="AF430" i="2"/>
  <c r="AG430" i="2" s="1"/>
  <c r="AF429" i="2"/>
  <c r="AG429" i="2" s="1"/>
  <c r="AF428" i="2"/>
  <c r="AG428" i="2" s="1"/>
  <c r="AF427" i="2"/>
  <c r="AG427" i="2" s="1"/>
  <c r="AF426" i="2"/>
  <c r="AG426" i="2" s="1"/>
  <c r="AF425" i="2"/>
  <c r="AG425" i="2" s="1"/>
  <c r="AF424" i="2"/>
  <c r="AF423" i="2"/>
  <c r="AG423" i="2" s="1"/>
  <c r="AF422" i="2"/>
  <c r="AG422" i="2" s="1"/>
  <c r="AF421" i="2"/>
  <c r="AG421" i="2" s="1"/>
  <c r="AF420" i="2"/>
  <c r="AG420" i="2" s="1"/>
  <c r="AF419" i="2"/>
  <c r="AG419" i="2" s="1"/>
  <c r="AF418" i="2"/>
  <c r="AG418" i="2" s="1"/>
  <c r="AF417" i="2"/>
  <c r="AG417" i="2" s="1"/>
  <c r="AF416" i="2"/>
  <c r="AG416" i="2" s="1"/>
  <c r="AF415" i="2"/>
  <c r="AG415" i="2" s="1"/>
  <c r="AF414" i="2"/>
  <c r="AG414" i="2" s="1"/>
  <c r="AF413" i="2"/>
  <c r="AG413" i="2" s="1"/>
  <c r="AF412" i="2"/>
  <c r="AG412" i="2" s="1"/>
  <c r="AF411" i="2"/>
  <c r="AG411" i="2" s="1"/>
  <c r="AF410" i="2"/>
  <c r="AG410" i="2" s="1"/>
  <c r="AF409" i="2"/>
  <c r="AG409" i="2" s="1"/>
  <c r="AF408" i="2"/>
  <c r="AG408" i="2" s="1"/>
  <c r="AF407" i="2"/>
  <c r="AG407" i="2" s="1"/>
  <c r="AF406" i="2"/>
  <c r="AG406" i="2" s="1"/>
  <c r="AF405" i="2"/>
  <c r="AG405" i="2" s="1"/>
  <c r="AF404" i="2"/>
  <c r="AG404" i="2" s="1"/>
  <c r="AF403" i="2"/>
  <c r="AG403" i="2" s="1"/>
  <c r="AF402" i="2"/>
  <c r="AG402" i="2" s="1"/>
  <c r="AF401" i="2"/>
  <c r="AG401" i="2" s="1"/>
  <c r="AF400" i="2"/>
  <c r="AG400" i="2" s="1"/>
  <c r="AF399" i="2"/>
  <c r="AG399" i="2" s="1"/>
  <c r="AF398" i="2"/>
  <c r="AG398" i="2" s="1"/>
  <c r="AF397" i="2"/>
  <c r="AG397" i="2" s="1"/>
  <c r="AF396" i="2"/>
  <c r="AG396" i="2" s="1"/>
  <c r="AF395" i="2"/>
  <c r="AG395" i="2" s="1"/>
  <c r="AF394" i="2"/>
  <c r="AG394" i="2" s="1"/>
  <c r="AF393" i="2"/>
  <c r="AG393" i="2" s="1"/>
  <c r="AF392" i="2"/>
  <c r="AG392" i="2" s="1"/>
  <c r="AF391" i="2"/>
  <c r="AG391" i="2" s="1"/>
  <c r="AF390" i="2"/>
  <c r="AG390" i="2" s="1"/>
  <c r="AF389" i="2"/>
  <c r="AG389" i="2" s="1"/>
  <c r="AF388" i="2"/>
  <c r="AG388" i="2" s="1"/>
  <c r="AF387" i="2"/>
  <c r="AG387" i="2" s="1"/>
  <c r="AF386" i="2"/>
  <c r="AG386" i="2" s="1"/>
  <c r="AF385" i="2"/>
  <c r="AG385" i="2" s="1"/>
  <c r="AF384" i="2"/>
  <c r="AG384" i="2" s="1"/>
  <c r="AF383" i="2"/>
  <c r="AG383" i="2" s="1"/>
  <c r="AF382" i="2"/>
  <c r="AF381" i="2"/>
  <c r="AF380" i="2"/>
  <c r="AF379" i="2"/>
  <c r="AG379" i="2" s="1"/>
  <c r="AF378" i="2"/>
  <c r="AF377" i="2"/>
  <c r="AG377" i="2" s="1"/>
  <c r="AF376" i="2"/>
  <c r="AG376" i="2" s="1"/>
  <c r="AF375" i="2"/>
  <c r="AG375" i="2" s="1"/>
  <c r="AF374" i="2"/>
  <c r="AG374" i="2" s="1"/>
  <c r="AF373" i="2"/>
  <c r="AG373" i="2" s="1"/>
  <c r="AF372" i="2"/>
  <c r="AG372" i="2" s="1"/>
  <c r="AF371" i="2"/>
  <c r="AG371" i="2" s="1"/>
  <c r="AF370" i="2"/>
  <c r="AG370" i="2" s="1"/>
  <c r="AF369" i="2"/>
  <c r="AG369" i="2" s="1"/>
  <c r="AF368" i="2"/>
  <c r="AG368" i="2" s="1"/>
  <c r="AF367" i="2"/>
  <c r="AG367" i="2" s="1"/>
  <c r="AF366" i="2"/>
  <c r="AG366" i="2" s="1"/>
  <c r="AF365" i="2"/>
  <c r="AG365" i="2" s="1"/>
  <c r="AF364" i="2"/>
  <c r="AG364" i="2" s="1"/>
  <c r="AF363" i="2"/>
  <c r="AG363" i="2" s="1"/>
  <c r="AF362" i="2"/>
  <c r="AG362" i="2" s="1"/>
  <c r="AF361" i="2"/>
  <c r="AG361" i="2" s="1"/>
  <c r="AF360" i="2"/>
  <c r="AG360" i="2" s="1"/>
  <c r="AF359" i="2"/>
  <c r="AG359" i="2" s="1"/>
  <c r="AF358" i="2"/>
  <c r="AG358" i="2" s="1"/>
  <c r="AF357" i="2"/>
  <c r="AG357" i="2" s="1"/>
  <c r="AF356" i="2"/>
  <c r="AG356" i="2" s="1"/>
  <c r="AF355" i="2"/>
  <c r="AG355" i="2" s="1"/>
  <c r="AF354" i="2"/>
  <c r="AG354" i="2" s="1"/>
  <c r="AF353" i="2"/>
  <c r="AG353" i="2" s="1"/>
  <c r="AF352" i="2"/>
  <c r="AG352" i="2" s="1"/>
  <c r="AF351" i="2"/>
  <c r="AG351" i="2" s="1"/>
  <c r="AF350" i="2"/>
  <c r="AG350" i="2" s="1"/>
  <c r="AF349" i="2"/>
  <c r="AG349" i="2" s="1"/>
  <c r="AF348" i="2"/>
  <c r="AG348" i="2" s="1"/>
  <c r="AF347" i="2"/>
  <c r="AG347" i="2" s="1"/>
  <c r="AF346" i="2"/>
  <c r="AG346" i="2" s="1"/>
  <c r="AF345" i="2"/>
  <c r="AG345" i="2" s="1"/>
  <c r="AF344" i="2"/>
  <c r="AG344" i="2" s="1"/>
  <c r="AF343" i="2"/>
  <c r="AG343" i="2" s="1"/>
  <c r="AF342" i="2"/>
  <c r="AG342" i="2" s="1"/>
  <c r="AF341" i="2"/>
  <c r="AG341" i="2" s="1"/>
  <c r="AF340" i="2"/>
  <c r="AG340" i="2" s="1"/>
  <c r="AF339" i="2"/>
  <c r="AG339" i="2" s="1"/>
  <c r="AF338" i="2"/>
  <c r="AG338" i="2" s="1"/>
  <c r="AF337" i="2"/>
  <c r="AG337" i="2" s="1"/>
  <c r="AF336" i="2"/>
  <c r="AG336" i="2" s="1"/>
  <c r="AF335" i="2"/>
  <c r="AG335" i="2" s="1"/>
  <c r="AF334" i="2"/>
  <c r="AG334" i="2" s="1"/>
  <c r="AF333" i="2"/>
  <c r="AG333" i="2" s="1"/>
  <c r="AF332" i="2"/>
  <c r="AG332" i="2" s="1"/>
  <c r="AF331" i="2"/>
  <c r="AG331" i="2" s="1"/>
  <c r="AF330" i="2"/>
  <c r="AG330" i="2" s="1"/>
  <c r="AF329" i="2"/>
  <c r="AG329" i="2" s="1"/>
  <c r="AF328" i="2"/>
  <c r="AG328" i="2" s="1"/>
  <c r="AF327" i="2"/>
  <c r="AG327" i="2" s="1"/>
  <c r="AF326" i="2"/>
  <c r="AF325" i="2"/>
  <c r="AG325" i="2" s="1"/>
  <c r="AF324" i="2"/>
  <c r="AG324" i="2" s="1"/>
  <c r="AF323" i="2"/>
  <c r="AG323" i="2" s="1"/>
  <c r="AF322" i="2"/>
  <c r="AG322" i="2" s="1"/>
  <c r="AF321" i="2"/>
  <c r="AG321" i="2" s="1"/>
  <c r="AF320" i="2"/>
  <c r="AG320" i="2" s="1"/>
  <c r="AF319" i="2"/>
  <c r="AG319" i="2" s="1"/>
  <c r="AF318" i="2"/>
  <c r="AG318" i="2" s="1"/>
  <c r="AF317" i="2"/>
  <c r="AG317" i="2" s="1"/>
  <c r="AF316" i="2"/>
  <c r="AG316" i="2" s="1"/>
  <c r="AF315" i="2"/>
  <c r="AG315" i="2" s="1"/>
  <c r="AF314" i="2"/>
  <c r="AG314" i="2" s="1"/>
  <c r="AF313" i="2"/>
  <c r="AG313" i="2" s="1"/>
  <c r="AF312" i="2"/>
  <c r="AG312" i="2" s="1"/>
  <c r="AF311" i="2"/>
  <c r="AG311" i="2" s="1"/>
  <c r="AF310" i="2"/>
  <c r="AG310" i="2" s="1"/>
  <c r="AF309" i="2"/>
  <c r="AG309" i="2" s="1"/>
  <c r="AF308" i="2"/>
  <c r="AG308" i="2" s="1"/>
  <c r="AF307" i="2"/>
  <c r="AG307" i="2" s="1"/>
  <c r="AF306" i="2"/>
  <c r="AG306" i="2" s="1"/>
  <c r="AF305" i="2"/>
  <c r="AG305" i="2" s="1"/>
  <c r="AF304" i="2"/>
  <c r="AG304" i="2" s="1"/>
  <c r="AF303" i="2"/>
  <c r="AG303" i="2" s="1"/>
  <c r="AF302" i="2"/>
  <c r="AG302" i="2" s="1"/>
  <c r="AF301" i="2"/>
  <c r="AG301" i="2" s="1"/>
  <c r="AF300" i="2"/>
  <c r="AG300" i="2" s="1"/>
  <c r="AF299" i="2"/>
  <c r="AG299" i="2" s="1"/>
  <c r="AF298" i="2"/>
  <c r="AG298" i="2" s="1"/>
  <c r="AF297" i="2"/>
  <c r="AG297" i="2" s="1"/>
  <c r="AF296" i="2"/>
  <c r="AG296" i="2" s="1"/>
  <c r="AF295" i="2"/>
  <c r="AG295" i="2" s="1"/>
  <c r="AF294" i="2"/>
  <c r="AG294" i="2" s="1"/>
  <c r="AF293" i="2"/>
  <c r="AG293" i="2" s="1"/>
  <c r="AF292" i="2"/>
  <c r="AG292" i="2" s="1"/>
  <c r="AF291" i="2"/>
  <c r="AG291" i="2" s="1"/>
  <c r="AF290" i="2"/>
  <c r="AG290" i="2" s="1"/>
  <c r="AF289" i="2"/>
  <c r="AG289" i="2" s="1"/>
  <c r="AF288" i="2"/>
  <c r="AG288" i="2" s="1"/>
  <c r="AF287" i="2"/>
  <c r="AG287" i="2" s="1"/>
  <c r="AF286" i="2"/>
  <c r="AG286" i="2" s="1"/>
  <c r="AF285" i="2"/>
  <c r="AG285" i="2" s="1"/>
  <c r="AF284" i="2"/>
  <c r="AG284" i="2" s="1"/>
  <c r="AF283" i="2"/>
  <c r="AG283" i="2" s="1"/>
  <c r="AF282" i="2"/>
  <c r="AG282" i="2" s="1"/>
  <c r="AF281" i="2"/>
  <c r="AG281" i="2" s="1"/>
  <c r="AF280" i="2"/>
  <c r="AG280" i="2" s="1"/>
  <c r="AF279" i="2"/>
  <c r="AG279" i="2" s="1"/>
  <c r="AF278" i="2"/>
  <c r="AG278" i="2" s="1"/>
  <c r="AF277" i="2"/>
  <c r="AG277" i="2" s="1"/>
  <c r="AF276" i="2"/>
  <c r="AG276" i="2" s="1"/>
  <c r="AF275" i="2"/>
  <c r="AG275" i="2" s="1"/>
  <c r="AF274" i="2"/>
  <c r="AG274" i="2" s="1"/>
  <c r="AF273" i="2"/>
  <c r="AG273" i="2" s="1"/>
  <c r="AF272" i="2"/>
  <c r="AG272" i="2" s="1"/>
  <c r="AF271" i="2"/>
  <c r="AG271" i="2" s="1"/>
  <c r="AF270" i="2"/>
  <c r="AG270" i="2" s="1"/>
  <c r="AF269" i="2"/>
  <c r="AG269" i="2" s="1"/>
  <c r="AF268" i="2"/>
  <c r="AG268" i="2" s="1"/>
  <c r="AF267" i="2"/>
  <c r="AG267" i="2" s="1"/>
  <c r="AF266" i="2"/>
  <c r="AG266" i="2" s="1"/>
  <c r="AF265" i="2"/>
  <c r="AG265" i="2" s="1"/>
  <c r="AF264" i="2"/>
  <c r="AG264" i="2" s="1"/>
  <c r="AF263" i="2"/>
  <c r="AG263" i="2" s="1"/>
  <c r="AF262" i="2"/>
  <c r="AG262" i="2" s="1"/>
  <c r="AF261" i="2"/>
  <c r="AG261" i="2" s="1"/>
  <c r="AF260" i="2"/>
  <c r="AG260" i="2" s="1"/>
  <c r="AF259" i="2"/>
  <c r="AG259" i="2" s="1"/>
  <c r="AF258" i="2"/>
  <c r="AG258" i="2" s="1"/>
  <c r="AF257" i="2"/>
  <c r="AG257" i="2" s="1"/>
  <c r="AF256" i="2"/>
  <c r="AF255" i="2"/>
  <c r="AF254" i="2"/>
  <c r="AF253" i="2"/>
  <c r="AG253" i="2" s="1"/>
  <c r="AF252" i="2"/>
  <c r="AG252" i="2" s="1"/>
  <c r="AF251" i="2"/>
  <c r="AG251" i="2" s="1"/>
  <c r="AF250" i="2"/>
  <c r="AG250" i="2" s="1"/>
  <c r="AF249" i="2"/>
  <c r="AG249" i="2" s="1"/>
  <c r="AF248" i="2"/>
  <c r="AG248" i="2" s="1"/>
  <c r="AF247" i="2"/>
  <c r="AG247" i="2" s="1"/>
  <c r="AF246" i="2"/>
  <c r="AG246" i="2" s="1"/>
  <c r="AF245" i="2"/>
  <c r="AG245" i="2" s="1"/>
  <c r="AF244" i="2"/>
  <c r="AG244" i="2" s="1"/>
  <c r="AF243" i="2"/>
  <c r="AG243" i="2" s="1"/>
  <c r="AF242" i="2"/>
  <c r="AG242" i="2" s="1"/>
  <c r="AF241" i="2"/>
  <c r="AG241" i="2" s="1"/>
  <c r="AF240" i="2"/>
  <c r="AG240" i="2" s="1"/>
  <c r="AF239" i="2"/>
  <c r="AG239" i="2" s="1"/>
  <c r="AF238" i="2"/>
  <c r="AG238" i="2" s="1"/>
  <c r="AF237" i="2"/>
  <c r="AG237" i="2" s="1"/>
  <c r="AF236" i="2"/>
  <c r="AG236" i="2" s="1"/>
  <c r="AF235" i="2"/>
  <c r="AG235" i="2" s="1"/>
  <c r="AF234" i="2"/>
  <c r="AG234" i="2" s="1"/>
  <c r="AF233" i="2"/>
  <c r="AG233" i="2" s="1"/>
  <c r="AF232" i="2"/>
  <c r="AG232" i="2" s="1"/>
  <c r="AF231" i="2"/>
  <c r="AG231" i="2" s="1"/>
  <c r="AF230" i="2"/>
  <c r="AG230" i="2" s="1"/>
  <c r="AF229" i="2"/>
  <c r="AG229" i="2" s="1"/>
  <c r="AF228" i="2"/>
  <c r="AG228" i="2" s="1"/>
  <c r="AF227" i="2"/>
  <c r="AG227" i="2" s="1"/>
  <c r="AF226" i="2"/>
  <c r="AG226" i="2" s="1"/>
  <c r="AF225" i="2"/>
  <c r="AG225" i="2" s="1"/>
  <c r="AF224" i="2"/>
  <c r="AG224" i="2" s="1"/>
  <c r="AF223" i="2"/>
  <c r="AG223" i="2" s="1"/>
  <c r="AF222" i="2"/>
  <c r="AG222" i="2" s="1"/>
  <c r="AF221" i="2"/>
  <c r="AG221" i="2" s="1"/>
  <c r="AF220" i="2"/>
  <c r="AG220" i="2" s="1"/>
  <c r="AF219" i="2"/>
  <c r="AG219" i="2" s="1"/>
  <c r="AF218" i="2"/>
  <c r="AG218" i="2" s="1"/>
  <c r="AF217" i="2"/>
  <c r="AG217" i="2" s="1"/>
  <c r="AF216" i="2"/>
  <c r="AG216" i="2" s="1"/>
  <c r="AF215" i="2"/>
  <c r="AG215" i="2" s="1"/>
  <c r="AF214" i="2"/>
  <c r="AG214" i="2" s="1"/>
  <c r="AF213" i="2"/>
  <c r="AG213" i="2" s="1"/>
  <c r="AF212" i="2"/>
  <c r="AG212" i="2" s="1"/>
  <c r="AF211" i="2"/>
  <c r="AG211" i="2" s="1"/>
  <c r="AF210" i="2"/>
  <c r="AG210" i="2" s="1"/>
  <c r="AF209" i="2"/>
  <c r="AG209" i="2" s="1"/>
  <c r="AF208" i="2"/>
  <c r="AG208" i="2" s="1"/>
  <c r="AF207" i="2"/>
  <c r="AG207" i="2" s="1"/>
  <c r="AF206" i="2"/>
  <c r="AG206" i="2" s="1"/>
  <c r="AF205" i="2"/>
  <c r="AG205" i="2" s="1"/>
  <c r="AF204" i="2"/>
  <c r="AG204" i="2" s="1"/>
  <c r="AF203" i="2"/>
  <c r="AG203" i="2" s="1"/>
  <c r="AF202" i="2"/>
  <c r="AG202" i="2" s="1"/>
  <c r="AF201" i="2"/>
  <c r="AG201" i="2" s="1"/>
  <c r="AF200" i="2"/>
  <c r="AF199" i="2"/>
  <c r="AG199" i="2" s="1"/>
  <c r="AF198" i="2"/>
  <c r="AF197" i="2"/>
  <c r="AG197" i="2" s="1"/>
  <c r="AF196" i="2"/>
  <c r="AF195" i="2"/>
  <c r="AG195" i="2" s="1"/>
  <c r="AF194" i="2"/>
  <c r="AG194" i="2" s="1"/>
  <c r="AF193" i="2"/>
  <c r="AG193" i="2" s="1"/>
  <c r="AF192" i="2"/>
  <c r="AG192" i="2" s="1"/>
  <c r="AF191" i="2"/>
  <c r="AG191" i="2" s="1"/>
  <c r="AF190" i="2"/>
  <c r="AG190" i="2" s="1"/>
  <c r="AF189" i="2"/>
  <c r="AG189" i="2" s="1"/>
  <c r="AF188" i="2"/>
  <c r="AG188" i="2" s="1"/>
  <c r="AF187" i="2"/>
  <c r="AG187" i="2" s="1"/>
  <c r="AF186" i="2"/>
  <c r="AF185" i="2"/>
  <c r="AG185" i="2" s="1"/>
  <c r="AF184" i="2"/>
  <c r="AG184" i="2" s="1"/>
  <c r="AF183" i="2"/>
  <c r="AG183" i="2" s="1"/>
  <c r="AF182" i="2"/>
  <c r="AG182" i="2" s="1"/>
  <c r="AF181" i="2"/>
  <c r="AG181" i="2" s="1"/>
  <c r="AF180" i="2"/>
  <c r="AG180" i="2" s="1"/>
  <c r="AF179" i="2"/>
  <c r="AG179" i="2" s="1"/>
  <c r="AF178" i="2"/>
  <c r="AG178" i="2" s="1"/>
  <c r="AF177" i="2"/>
  <c r="AG177" i="2" s="1"/>
  <c r="AF176" i="2"/>
  <c r="AG176" i="2" s="1"/>
  <c r="AF175" i="2"/>
  <c r="AG175" i="2" s="1"/>
  <c r="AF174" i="2"/>
  <c r="AG174" i="2" s="1"/>
  <c r="AF173" i="2"/>
  <c r="AG173" i="2" s="1"/>
  <c r="AF172" i="2"/>
  <c r="AG172" i="2" s="1"/>
  <c r="AF171" i="2"/>
  <c r="AG171" i="2" s="1"/>
  <c r="AF170" i="2"/>
  <c r="AG170" i="2" s="1"/>
  <c r="AF169" i="2"/>
  <c r="AG169" i="2" s="1"/>
  <c r="AF168" i="2"/>
  <c r="AG168" i="2" s="1"/>
  <c r="AF167" i="2"/>
  <c r="AG167" i="2" s="1"/>
  <c r="AF166" i="2"/>
  <c r="AG166" i="2" s="1"/>
  <c r="AF165" i="2"/>
  <c r="AG165" i="2" s="1"/>
  <c r="AF164" i="2"/>
  <c r="AG164" i="2" s="1"/>
  <c r="AF163" i="2"/>
  <c r="AG163" i="2" s="1"/>
  <c r="AF162" i="2"/>
  <c r="AG162" i="2" s="1"/>
  <c r="AF161" i="2"/>
  <c r="AG161" i="2" s="1"/>
  <c r="AF160" i="2"/>
  <c r="AG160" i="2" s="1"/>
  <c r="AF159" i="2"/>
  <c r="AG159" i="2" s="1"/>
  <c r="AF158" i="2"/>
  <c r="AG158" i="2" s="1"/>
  <c r="AF157" i="2"/>
  <c r="AG157" i="2" s="1"/>
  <c r="AF156" i="2"/>
  <c r="AG156" i="2" s="1"/>
  <c r="AF155" i="2"/>
  <c r="AG155" i="2" s="1"/>
  <c r="AF154" i="2"/>
  <c r="AG154" i="2" s="1"/>
  <c r="AF153" i="2"/>
  <c r="AG153" i="2" s="1"/>
  <c r="AF152" i="2"/>
  <c r="AG152" i="2" s="1"/>
  <c r="AF151" i="2"/>
  <c r="AG151" i="2" s="1"/>
  <c r="AF150" i="2"/>
  <c r="AG150" i="2" s="1"/>
  <c r="AF149" i="2"/>
  <c r="AG149" i="2" s="1"/>
  <c r="AF148" i="2"/>
  <c r="AG148" i="2" s="1"/>
  <c r="AF147" i="2"/>
  <c r="AG147" i="2" s="1"/>
  <c r="AF146" i="2"/>
  <c r="AG146" i="2" s="1"/>
  <c r="AF145" i="2"/>
  <c r="AG145" i="2" s="1"/>
  <c r="AF144" i="2"/>
  <c r="AF143" i="2"/>
  <c r="AF142" i="2"/>
  <c r="AG142" i="2" s="1"/>
  <c r="AF141" i="2"/>
  <c r="AG141" i="2" s="1"/>
  <c r="AF140" i="2"/>
  <c r="AG140" i="2" s="1"/>
  <c r="AF139" i="2"/>
  <c r="AG139" i="2" s="1"/>
  <c r="AF138" i="2"/>
  <c r="AG138" i="2" s="1"/>
  <c r="AF137" i="2"/>
  <c r="AG137" i="2" s="1"/>
  <c r="AF136" i="2"/>
  <c r="AG136" i="2" s="1"/>
  <c r="AF135" i="2"/>
  <c r="AG135" i="2" s="1"/>
  <c r="AF134" i="2"/>
  <c r="AG134" i="2" s="1"/>
  <c r="AF133" i="2"/>
  <c r="AG133" i="2" s="1"/>
  <c r="AF132" i="2"/>
  <c r="AG132" i="2" s="1"/>
  <c r="AF131" i="2"/>
  <c r="AG131" i="2" s="1"/>
  <c r="AF130" i="2"/>
  <c r="AG130" i="2" s="1"/>
  <c r="AF129" i="2"/>
  <c r="AG129" i="2" s="1"/>
  <c r="AF128" i="2"/>
  <c r="AG128" i="2" s="1"/>
  <c r="AF127" i="2"/>
  <c r="AG127" i="2" s="1"/>
  <c r="AF126" i="2"/>
  <c r="AG126" i="2" s="1"/>
  <c r="AF125" i="2"/>
  <c r="AG125" i="2" s="1"/>
  <c r="AF124" i="2"/>
  <c r="AG124" i="2" s="1"/>
  <c r="AF123" i="2"/>
  <c r="AG123" i="2" s="1"/>
  <c r="AF122" i="2"/>
  <c r="AG122" i="2" s="1"/>
  <c r="AF121" i="2"/>
  <c r="AG121" i="2" s="1"/>
  <c r="AF120" i="2"/>
  <c r="AG120" i="2" s="1"/>
  <c r="AF119" i="2"/>
  <c r="AG119" i="2" s="1"/>
  <c r="AF118" i="2"/>
  <c r="AG118" i="2" s="1"/>
  <c r="AF117" i="2"/>
  <c r="AG117" i="2" s="1"/>
  <c r="AF116" i="2"/>
  <c r="AG116" i="2" s="1"/>
  <c r="AF115" i="2"/>
  <c r="AG115" i="2" s="1"/>
  <c r="AF114" i="2"/>
  <c r="AG114" i="2" s="1"/>
  <c r="AF113" i="2"/>
  <c r="AG113" i="2" s="1"/>
  <c r="AF112" i="2"/>
  <c r="AG112" i="2" s="1"/>
  <c r="AF111" i="2"/>
  <c r="AG111" i="2" s="1"/>
  <c r="AF110" i="2"/>
  <c r="AG110" i="2" s="1"/>
  <c r="AF109" i="2"/>
  <c r="AG109" i="2" s="1"/>
  <c r="AF108" i="2"/>
  <c r="AG108" i="2" s="1"/>
  <c r="AF107" i="2"/>
  <c r="AG107" i="2" s="1"/>
  <c r="AF106" i="2"/>
  <c r="AG106" i="2" s="1"/>
  <c r="AF105" i="2"/>
  <c r="AG105" i="2" s="1"/>
  <c r="AF104" i="2"/>
  <c r="AG104" i="2" s="1"/>
  <c r="AF103" i="2"/>
  <c r="AG103" i="2" s="1"/>
  <c r="AF102" i="2"/>
  <c r="AG102" i="2" s="1"/>
  <c r="AF101" i="2"/>
  <c r="AG101" i="2" s="1"/>
  <c r="AF100" i="2"/>
  <c r="AG100" i="2" s="1"/>
  <c r="AF99" i="2"/>
  <c r="AG99" i="2" s="1"/>
  <c r="AF98" i="2"/>
  <c r="AG98" i="2" s="1"/>
  <c r="AF97" i="2"/>
  <c r="AG97" i="2" s="1"/>
  <c r="AF96" i="2"/>
  <c r="AG96" i="2" s="1"/>
  <c r="AF95" i="2"/>
  <c r="AG95" i="2" s="1"/>
  <c r="AF94" i="2"/>
  <c r="AG94" i="2" s="1"/>
  <c r="AF93" i="2"/>
  <c r="AG93" i="2" s="1"/>
  <c r="AF92" i="2"/>
  <c r="AG92" i="2" s="1"/>
  <c r="AF91" i="2"/>
  <c r="AG91" i="2" s="1"/>
  <c r="AF90" i="2"/>
  <c r="AG90" i="2" s="1"/>
  <c r="AF89" i="2"/>
  <c r="AG89" i="2" s="1"/>
  <c r="AF88" i="2"/>
  <c r="AG88" i="2" s="1"/>
  <c r="AF87" i="2"/>
  <c r="AG87" i="2" s="1"/>
  <c r="AF86" i="2"/>
  <c r="AG86" i="2" s="1"/>
  <c r="AF85" i="2"/>
  <c r="AG85" i="2" s="1"/>
  <c r="AF84" i="2"/>
  <c r="AG84" i="2" s="1"/>
  <c r="AF83" i="2"/>
  <c r="AG83" i="2" s="1"/>
  <c r="AF82" i="2"/>
  <c r="AG82" i="2" s="1"/>
  <c r="AF81" i="2"/>
  <c r="AG81" i="2" s="1"/>
  <c r="AF80" i="2"/>
  <c r="AG80" i="2" s="1"/>
  <c r="AF79" i="2"/>
  <c r="AG79" i="2" s="1"/>
  <c r="AF78" i="2"/>
  <c r="AG78" i="2" s="1"/>
  <c r="AF77" i="2"/>
  <c r="AG77" i="2" s="1"/>
  <c r="AF76" i="2"/>
  <c r="AG76" i="2" s="1"/>
  <c r="AF75" i="2"/>
  <c r="AG75" i="2" s="1"/>
  <c r="AF74" i="2"/>
  <c r="AG74" i="2" s="1"/>
  <c r="AF73" i="2"/>
  <c r="AG73" i="2" s="1"/>
  <c r="AF72" i="2"/>
  <c r="AG72" i="2" s="1"/>
  <c r="AF71" i="2"/>
  <c r="AG71" i="2" s="1"/>
  <c r="AF70" i="2"/>
  <c r="AG70" i="2" s="1"/>
  <c r="AF69" i="2"/>
  <c r="AG69" i="2" s="1"/>
  <c r="AF68" i="2"/>
  <c r="AG68" i="2" s="1"/>
  <c r="AF67" i="2"/>
  <c r="AG67" i="2" s="1"/>
  <c r="AF66" i="2"/>
  <c r="AG66" i="2" s="1"/>
  <c r="AF65" i="2"/>
  <c r="AG65" i="2" s="1"/>
  <c r="AF64" i="2"/>
  <c r="AG64" i="2" s="1"/>
  <c r="AF63" i="2"/>
  <c r="AG63" i="2" s="1"/>
  <c r="AF62" i="2"/>
  <c r="AG62" i="2" s="1"/>
  <c r="AF61" i="2"/>
  <c r="AG61" i="2" s="1"/>
  <c r="AF60" i="2"/>
  <c r="AG60" i="2" s="1"/>
  <c r="AF59" i="2"/>
  <c r="AG59" i="2" s="1"/>
  <c r="AF58" i="2"/>
  <c r="AG58" i="2" s="1"/>
  <c r="AF57" i="2"/>
  <c r="AG57" i="2" s="1"/>
  <c r="AF56" i="2"/>
  <c r="AG56" i="2" s="1"/>
  <c r="AF55" i="2"/>
  <c r="AG55" i="2" s="1"/>
  <c r="AF54" i="2"/>
  <c r="AG54" i="2" s="1"/>
  <c r="AF53" i="2"/>
  <c r="AG53" i="2" s="1"/>
  <c r="AF52" i="2"/>
  <c r="AG52" i="2" s="1"/>
  <c r="AF51" i="2"/>
  <c r="AG51" i="2" s="1"/>
  <c r="AF50" i="2"/>
  <c r="AG50" i="2" s="1"/>
  <c r="AF49" i="2"/>
  <c r="AG49" i="2" s="1"/>
  <c r="AF48" i="2"/>
  <c r="AG48" i="2" s="1"/>
  <c r="AF47" i="2"/>
  <c r="AG47" i="2" s="1"/>
  <c r="AF46" i="2"/>
  <c r="AG46" i="2" s="1"/>
  <c r="AF45" i="2"/>
  <c r="AG45" i="2" s="1"/>
  <c r="AF44" i="2"/>
  <c r="AG44" i="2" s="1"/>
  <c r="AF43" i="2"/>
  <c r="AG43" i="2" s="1"/>
  <c r="AF42" i="2"/>
  <c r="AG42" i="2" s="1"/>
  <c r="AF41" i="2"/>
  <c r="AG41" i="2" s="1"/>
  <c r="AF40" i="2"/>
  <c r="AG40" i="2" s="1"/>
  <c r="AF39" i="2"/>
  <c r="AG39" i="2" s="1"/>
  <c r="AF38" i="2"/>
  <c r="AG38" i="2" s="1"/>
  <c r="AF37" i="2"/>
  <c r="AG37" i="2" s="1"/>
  <c r="AF36" i="2"/>
  <c r="AG36" i="2" s="1"/>
  <c r="AF35" i="2"/>
  <c r="AG35" i="2" s="1"/>
  <c r="AF34" i="2"/>
  <c r="AG34" i="2" s="1"/>
  <c r="AF33" i="2"/>
  <c r="AG33" i="2" s="1"/>
  <c r="AF32" i="2"/>
  <c r="AF31" i="2"/>
  <c r="AF30" i="2"/>
  <c r="AF29" i="2"/>
  <c r="AG29" i="2" s="1"/>
  <c r="AF28" i="2"/>
  <c r="AG28" i="2" s="1"/>
  <c r="AF27" i="2"/>
  <c r="AG27" i="2" s="1"/>
  <c r="AF26" i="2"/>
  <c r="AG26" i="2" s="1"/>
  <c r="AF25" i="2"/>
  <c r="AG25" i="2" s="1"/>
  <c r="AF24" i="2"/>
  <c r="AG24" i="2" s="1"/>
  <c r="AF23" i="2"/>
  <c r="AG23" i="2" s="1"/>
  <c r="AF22" i="2"/>
  <c r="AG22" i="2" s="1"/>
  <c r="AF21" i="2"/>
  <c r="AG21" i="2" s="1"/>
  <c r="AF20" i="2"/>
  <c r="AG20" i="2" s="1"/>
  <c r="AF19" i="2"/>
  <c r="AG19" i="2" s="1"/>
  <c r="AF18" i="2"/>
  <c r="AG18" i="2" s="1"/>
  <c r="AF17" i="2"/>
  <c r="AG17" i="2" s="1"/>
  <c r="AF16" i="2"/>
  <c r="AF15" i="2"/>
  <c r="AG15" i="2" s="1"/>
  <c r="AF14" i="2"/>
  <c r="AF13" i="2"/>
  <c r="AG13" i="2" s="1"/>
  <c r="AF12" i="2"/>
  <c r="AG12" i="2" s="1"/>
  <c r="AF11" i="2"/>
  <c r="AG11" i="2" s="1"/>
  <c r="I501" i="2"/>
  <c r="I482" i="2"/>
  <c r="I481" i="2"/>
  <c r="I480" i="2"/>
  <c r="G529" i="2"/>
  <c r="I529" i="2" s="1"/>
  <c r="G528" i="2"/>
  <c r="I528" i="2" s="1"/>
  <c r="G527" i="2"/>
  <c r="I527" i="2" s="1"/>
  <c r="G526" i="2"/>
  <c r="I526" i="2" s="1"/>
  <c r="G525" i="2"/>
  <c r="I525" i="2" s="1"/>
  <c r="G524" i="2"/>
  <c r="I524" i="2" s="1"/>
  <c r="G523" i="2"/>
  <c r="I523" i="2" s="1"/>
  <c r="G522" i="2"/>
  <c r="I522" i="2" s="1"/>
  <c r="G521" i="2"/>
  <c r="I521" i="2" s="1"/>
  <c r="G520" i="2"/>
  <c r="I520" i="2" s="1"/>
  <c r="G519" i="2"/>
  <c r="I519" i="2" s="1"/>
  <c r="G518" i="2"/>
  <c r="I518" i="2" s="1"/>
  <c r="G517" i="2"/>
  <c r="I517" i="2" s="1"/>
  <c r="G516" i="2"/>
  <c r="I516" i="2" s="1"/>
  <c r="G515" i="2"/>
  <c r="I515" i="2" s="1"/>
  <c r="G514" i="2"/>
  <c r="I514" i="2" s="1"/>
  <c r="G513" i="2"/>
  <c r="I513" i="2" s="1"/>
  <c r="G512" i="2"/>
  <c r="I512" i="2" s="1"/>
  <c r="G511" i="2"/>
  <c r="I511" i="2" s="1"/>
  <c r="G510" i="2"/>
  <c r="I510" i="2" s="1"/>
  <c r="G509" i="2"/>
  <c r="I509" i="2" s="1"/>
  <c r="G508" i="2"/>
  <c r="I508" i="2" s="1"/>
  <c r="G507" i="2"/>
  <c r="I507" i="2" s="1"/>
  <c r="G506" i="2"/>
  <c r="I506" i="2" s="1"/>
  <c r="G505" i="2"/>
  <c r="I505" i="2" s="1"/>
  <c r="G504" i="2"/>
  <c r="I504" i="2" s="1"/>
  <c r="G503" i="2"/>
  <c r="I503" i="2" s="1"/>
  <c r="G502" i="2"/>
  <c r="I502" i="2" s="1"/>
  <c r="G501" i="2"/>
  <c r="G500" i="2"/>
  <c r="I500" i="2" s="1"/>
  <c r="G499" i="2"/>
  <c r="I499" i="2" s="1"/>
  <c r="G498" i="2"/>
  <c r="I498" i="2" s="1"/>
  <c r="G497" i="2"/>
  <c r="I497" i="2" s="1"/>
  <c r="G496" i="2"/>
  <c r="I496" i="2" s="1"/>
  <c r="G495" i="2"/>
  <c r="I495" i="2" s="1"/>
  <c r="G494" i="2"/>
  <c r="I494" i="2" s="1"/>
  <c r="G493" i="2"/>
  <c r="I493" i="2" s="1"/>
  <c r="G492" i="2"/>
  <c r="I492" i="2" s="1"/>
  <c r="G491" i="2"/>
  <c r="I491" i="2" s="1"/>
  <c r="G490" i="2"/>
  <c r="I490" i="2" s="1"/>
  <c r="G489" i="2"/>
  <c r="I489" i="2" s="1"/>
  <c r="G488" i="2"/>
  <c r="I488" i="2" s="1"/>
  <c r="G487" i="2"/>
  <c r="I487" i="2" s="1"/>
  <c r="G486" i="2"/>
  <c r="I486" i="2" s="1"/>
  <c r="G485" i="2"/>
  <c r="I485" i="2" s="1"/>
  <c r="G484" i="2"/>
  <c r="I484" i="2" s="1"/>
  <c r="G483" i="2"/>
  <c r="I483" i="2" s="1"/>
  <c r="G482" i="2"/>
  <c r="G481" i="2"/>
  <c r="G480" i="2"/>
  <c r="G479" i="2"/>
  <c r="I479" i="2" s="1"/>
  <c r="G478" i="2"/>
  <c r="I478" i="2" s="1"/>
  <c r="G477" i="2"/>
  <c r="I477" i="2" s="1"/>
  <c r="G476" i="2"/>
  <c r="I476" i="2" s="1"/>
  <c r="G475" i="2"/>
  <c r="I475" i="2" s="1"/>
  <c r="G474" i="2"/>
  <c r="I474" i="2" s="1"/>
  <c r="G473" i="2"/>
  <c r="I473" i="2" s="1"/>
  <c r="G472" i="2"/>
  <c r="I472" i="2" s="1"/>
  <c r="G471" i="2"/>
  <c r="I471" i="2" s="1"/>
  <c r="G470" i="2"/>
  <c r="I470" i="2" s="1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G460" i="2"/>
  <c r="I460" i="2" s="1"/>
  <c r="G459" i="2"/>
  <c r="I459" i="2" s="1"/>
  <c r="G458" i="2"/>
  <c r="I458" i="2" s="1"/>
  <c r="G457" i="2"/>
  <c r="I457" i="2" s="1"/>
  <c r="G456" i="2"/>
  <c r="I456" i="2"/>
  <c r="G455" i="2" l="1"/>
  <c r="I455" i="2" s="1"/>
  <c r="G454" i="2"/>
  <c r="I454" i="2" s="1"/>
  <c r="G453" i="2"/>
  <c r="G452" i="2"/>
  <c r="G451" i="2"/>
  <c r="I451" i="2" s="1"/>
  <c r="G450" i="2"/>
  <c r="I450" i="2" s="1"/>
  <c r="G449" i="2"/>
  <c r="I449" i="2" s="1"/>
  <c r="G448" i="2"/>
  <c r="I448" i="2" s="1"/>
  <c r="G447" i="2"/>
  <c r="I447" i="2" s="1"/>
  <c r="G446" i="2"/>
  <c r="I446" i="2" s="1"/>
  <c r="G445" i="2"/>
  <c r="I445" i="2" s="1"/>
  <c r="G444" i="2"/>
  <c r="I444" i="2" s="1"/>
  <c r="G443" i="2"/>
  <c r="I443" i="2" s="1"/>
  <c r="G442" i="2"/>
  <c r="I442" i="2" s="1"/>
  <c r="G441" i="2"/>
  <c r="I441" i="2" s="1"/>
  <c r="G440" i="2"/>
  <c r="I440" i="2" s="1"/>
  <c r="G439" i="2"/>
  <c r="I439" i="2" s="1"/>
  <c r="G438" i="2"/>
  <c r="I438" i="2" s="1"/>
  <c r="G437" i="2"/>
  <c r="I437" i="2" s="1"/>
  <c r="G436" i="2"/>
  <c r="I436" i="2" s="1"/>
  <c r="G435" i="2"/>
  <c r="I435" i="2" s="1"/>
  <c r="G434" i="2"/>
  <c r="I434" i="2" s="1"/>
  <c r="G433" i="2"/>
  <c r="I433" i="2" s="1"/>
  <c r="G432" i="2"/>
  <c r="I432" i="2" s="1"/>
  <c r="G431" i="2"/>
  <c r="I431" i="2" s="1"/>
  <c r="G430" i="2"/>
  <c r="I430" i="2" s="1"/>
  <c r="G429" i="2"/>
  <c r="I429" i="2" s="1"/>
  <c r="G428" i="2"/>
  <c r="I428" i="2" s="1"/>
  <c r="G427" i="2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G420" i="2"/>
  <c r="I420" i="2" s="1"/>
  <c r="G419" i="2"/>
  <c r="I419" i="2" s="1"/>
  <c r="G418" i="2"/>
  <c r="I418" i="2" s="1"/>
  <c r="G417" i="2"/>
  <c r="I417" i="2" s="1"/>
  <c r="G416" i="2"/>
  <c r="I416" i="2" s="1"/>
  <c r="G415" i="2"/>
  <c r="I415" i="2" s="1"/>
  <c r="G414" i="2"/>
  <c r="I414" i="2" s="1"/>
  <c r="G413" i="2"/>
  <c r="I413" i="2" s="1"/>
  <c r="G412" i="2"/>
  <c r="I412" i="2" s="1"/>
  <c r="G411" i="2"/>
  <c r="I411" i="2" s="1"/>
  <c r="G410" i="2"/>
  <c r="I410" i="2" s="1"/>
  <c r="G409" i="2"/>
  <c r="I409" i="2" s="1"/>
  <c r="G408" i="2"/>
  <c r="I408" i="2" s="1"/>
  <c r="G407" i="2"/>
  <c r="I407" i="2" s="1"/>
  <c r="G406" i="2"/>
  <c r="I406" i="2" s="1"/>
  <c r="G405" i="2"/>
  <c r="I405" i="2" s="1"/>
  <c r="G404" i="2"/>
  <c r="I404" i="2" s="1"/>
  <c r="G403" i="2"/>
  <c r="I403" i="2" s="1"/>
  <c r="G402" i="2"/>
  <c r="I402" i="2" s="1"/>
  <c r="G401" i="2"/>
  <c r="I401" i="2" s="1"/>
  <c r="G400" i="2"/>
  <c r="I400" i="2" s="1"/>
  <c r="G399" i="2"/>
  <c r="I399" i="2" s="1"/>
  <c r="G398" i="2"/>
  <c r="I398" i="2" s="1"/>
  <c r="G397" i="2"/>
  <c r="I397" i="2" s="1"/>
  <c r="G396" i="2"/>
  <c r="I396" i="2" s="1"/>
  <c r="G395" i="2"/>
  <c r="I395" i="2" s="1"/>
  <c r="G394" i="2"/>
  <c r="I394" i="2" s="1"/>
  <c r="G393" i="2"/>
  <c r="I393" i="2" s="1"/>
  <c r="G392" i="2"/>
  <c r="I392" i="2" s="1"/>
  <c r="G391" i="2"/>
  <c r="I391" i="2" s="1"/>
  <c r="G390" i="2"/>
  <c r="I390" i="2" s="1"/>
  <c r="G389" i="2"/>
  <c r="I389" i="2" s="1"/>
  <c r="G388" i="2"/>
  <c r="I388" i="2" s="1"/>
  <c r="G387" i="2"/>
  <c r="I387" i="2" s="1"/>
  <c r="G386" i="2"/>
  <c r="I386" i="2" s="1"/>
  <c r="G385" i="2"/>
  <c r="G384" i="2"/>
  <c r="G383" i="2"/>
  <c r="I383" i="2" s="1"/>
  <c r="G382" i="2"/>
  <c r="I382" i="2" s="1"/>
  <c r="G381" i="2"/>
  <c r="I381" i="2" s="1"/>
  <c r="G380" i="2"/>
  <c r="I380" i="2" s="1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G370" i="2"/>
  <c r="G369" i="2"/>
  <c r="G368" i="2"/>
  <c r="I368" i="2" s="1"/>
  <c r="G367" i="2"/>
  <c r="I367" i="2" s="1"/>
  <c r="G366" i="2"/>
  <c r="I366" i="2" s="1"/>
  <c r="G365" i="2"/>
  <c r="I365" i="2" s="1"/>
  <c r="G364" i="2"/>
  <c r="I364" i="2" s="1"/>
  <c r="G363" i="2"/>
  <c r="I363" i="2" s="1"/>
  <c r="G362" i="2"/>
  <c r="I362" i="2" s="1"/>
  <c r="G361" i="2"/>
  <c r="I361" i="2" s="1"/>
  <c r="G360" i="2"/>
  <c r="I360" i="2" s="1"/>
  <c r="G359" i="2"/>
  <c r="I359" i="2" s="1"/>
  <c r="G358" i="2"/>
  <c r="I358" i="2" s="1"/>
  <c r="G357" i="2"/>
  <c r="G356" i="2"/>
  <c r="I356" i="2" s="1"/>
  <c r="G355" i="2"/>
  <c r="I355" i="2" s="1"/>
  <c r="G354" i="2"/>
  <c r="I354" i="2" s="1"/>
  <c r="G353" i="2"/>
  <c r="I353" i="2" s="1"/>
  <c r="G352" i="2"/>
  <c r="I352" i="2" s="1"/>
  <c r="G351" i="2"/>
  <c r="I351" i="2" s="1"/>
  <c r="G350" i="2"/>
  <c r="I350" i="2" s="1"/>
  <c r="G349" i="2"/>
  <c r="I349" i="2" s="1"/>
  <c r="G348" i="2"/>
  <c r="I348" i="2" s="1"/>
  <c r="G347" i="2"/>
  <c r="I347" i="2" s="1"/>
  <c r="G346" i="2"/>
  <c r="I346" i="2" s="1"/>
  <c r="G345" i="2"/>
  <c r="I345" i="2" s="1"/>
  <c r="G344" i="2"/>
  <c r="I344" i="2" s="1"/>
  <c r="G343" i="2"/>
  <c r="I343" i="2" s="1"/>
  <c r="G342" i="2"/>
  <c r="I342" i="2" s="1"/>
  <c r="G341" i="2"/>
  <c r="I341" i="2" s="1"/>
  <c r="G340" i="2"/>
  <c r="I340" i="2" s="1"/>
  <c r="G339" i="2"/>
  <c r="I339" i="2" s="1"/>
  <c r="G338" i="2"/>
  <c r="I338" i="2" s="1"/>
  <c r="G337" i="2"/>
  <c r="G336" i="2"/>
  <c r="I336" i="2" s="1"/>
  <c r="G335" i="2"/>
  <c r="I335" i="2" s="1"/>
  <c r="G334" i="2"/>
  <c r="I334" i="2" s="1"/>
  <c r="G333" i="2"/>
  <c r="I333" i="2" s="1"/>
  <c r="G332" i="2"/>
  <c r="I332" i="2" s="1"/>
  <c r="G331" i="2"/>
  <c r="I331" i="2" s="1"/>
  <c r="G330" i="2"/>
  <c r="I330" i="2" s="1"/>
  <c r="G329" i="2"/>
  <c r="I329" i="2" s="1"/>
  <c r="G328" i="2"/>
  <c r="G327" i="2"/>
  <c r="I327" i="2" s="1"/>
  <c r="G326" i="2"/>
  <c r="I326" i="2" s="1"/>
  <c r="G325" i="2"/>
  <c r="I325" i="2" s="1"/>
  <c r="G324" i="2"/>
  <c r="I324" i="2" s="1"/>
  <c r="G323" i="2"/>
  <c r="I323" i="2" s="1"/>
  <c r="G322" i="2"/>
  <c r="I322" i="2" s="1"/>
  <c r="G321" i="2"/>
  <c r="I321" i="2" s="1"/>
  <c r="G320" i="2"/>
  <c r="I320" i="2" s="1"/>
  <c r="G319" i="2"/>
  <c r="I319" i="2" s="1"/>
  <c r="G318" i="2"/>
  <c r="I318" i="2" s="1"/>
  <c r="G317" i="2"/>
  <c r="I317" i="2" s="1"/>
  <c r="G316" i="2"/>
  <c r="I316" i="2" s="1"/>
  <c r="G315" i="2"/>
  <c r="I315" i="2" s="1"/>
  <c r="G314" i="2"/>
  <c r="I314" i="2" s="1"/>
  <c r="G313" i="2"/>
  <c r="I313" i="2" s="1"/>
  <c r="G312" i="2"/>
  <c r="I312" i="2" s="1"/>
  <c r="G311" i="2"/>
  <c r="I311" i="2" s="1"/>
  <c r="G310" i="2"/>
  <c r="I310" i="2" s="1"/>
  <c r="G309" i="2"/>
  <c r="I309" i="2" s="1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G302" i="2"/>
  <c r="I302" i="2" s="1"/>
  <c r="G301" i="2"/>
  <c r="I301" i="2" s="1"/>
  <c r="G300" i="2"/>
  <c r="I300" i="2" s="1"/>
  <c r="G299" i="2"/>
  <c r="I299" i="2" s="1"/>
  <c r="G298" i="2"/>
  <c r="I298" i="2" s="1"/>
  <c r="G297" i="2"/>
  <c r="I297" i="2" s="1"/>
  <c r="G296" i="2"/>
  <c r="I296" i="2" s="1"/>
  <c r="G295" i="2"/>
  <c r="I295" i="2" s="1"/>
  <c r="G294" i="2"/>
  <c r="I294" i="2" s="1"/>
  <c r="G293" i="2"/>
  <c r="I293" i="2" s="1"/>
  <c r="G292" i="2"/>
  <c r="I292" i="2" s="1"/>
  <c r="G291" i="2"/>
  <c r="I291" i="2" s="1"/>
  <c r="G290" i="2"/>
  <c r="I290" i="2" s="1"/>
  <c r="G289" i="2"/>
  <c r="I289" i="2" s="1"/>
  <c r="G288" i="2"/>
  <c r="I288" i="2" s="1"/>
  <c r="G287" i="2"/>
  <c r="G286" i="2"/>
  <c r="I286" i="2" s="1"/>
  <c r="G285" i="2"/>
  <c r="I285" i="2" s="1"/>
  <c r="G284" i="2"/>
  <c r="I284" i="2" s="1"/>
  <c r="G283" i="2"/>
  <c r="I283" i="2" s="1"/>
  <c r="G282" i="2"/>
  <c r="I282" i="2" s="1"/>
  <c r="G281" i="2"/>
  <c r="I281" i="2" s="1"/>
  <c r="G280" i="2"/>
  <c r="I280" i="2" s="1"/>
  <c r="G279" i="2"/>
  <c r="I279" i="2" s="1"/>
  <c r="G278" i="2"/>
  <c r="I278" i="2" s="1"/>
  <c r="G277" i="2"/>
  <c r="I277" i="2" s="1"/>
  <c r="G276" i="2"/>
  <c r="I276" i="2" s="1"/>
  <c r="G275" i="2"/>
  <c r="I275" i="2" s="1"/>
  <c r="G274" i="2"/>
  <c r="I274" i="2" s="1"/>
  <c r="G273" i="2"/>
  <c r="I273" i="2" s="1"/>
  <c r="G272" i="2"/>
  <c r="I272" i="2" s="1"/>
  <c r="G271" i="2"/>
  <c r="I271" i="2" s="1"/>
  <c r="G270" i="2"/>
  <c r="I270" i="2" s="1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G260" i="2"/>
  <c r="I260" i="2" s="1"/>
  <c r="G259" i="2"/>
  <c r="G258" i="2"/>
  <c r="I258" i="2" s="1"/>
  <c r="G257" i="2"/>
  <c r="I257" i="2" s="1"/>
  <c r="G256" i="2"/>
  <c r="I256" i="2" s="1"/>
  <c r="G255" i="2"/>
  <c r="I255" i="2" s="1"/>
  <c r="G254" i="2"/>
  <c r="I254" i="2" s="1"/>
  <c r="G253" i="2"/>
  <c r="I253" i="2" s="1"/>
  <c r="G252" i="2"/>
  <c r="I252" i="2" s="1"/>
  <c r="G251" i="2"/>
  <c r="I251" i="2" s="1"/>
  <c r="G250" i="2"/>
  <c r="I250" i="2" s="1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G240" i="2"/>
  <c r="I240" i="2" s="1"/>
  <c r="G239" i="2"/>
  <c r="I239" i="2" s="1"/>
  <c r="G238" i="2"/>
  <c r="I238" i="2" s="1"/>
  <c r="G237" i="2"/>
  <c r="I237" i="2" s="1"/>
  <c r="G236" i="2"/>
  <c r="I236" i="2" s="1"/>
  <c r="G235" i="2"/>
  <c r="I235" i="2" s="1"/>
  <c r="G234" i="2"/>
  <c r="I234" i="2" s="1"/>
  <c r="G233" i="2"/>
  <c r="I233" i="2" s="1"/>
  <c r="G232" i="2"/>
  <c r="I232" i="2" s="1"/>
  <c r="G231" i="2"/>
  <c r="I231" i="2" s="1"/>
  <c r="G230" i="2"/>
  <c r="I230" i="2" s="1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G223" i="2"/>
  <c r="I223" i="2" s="1"/>
  <c r="G222" i="2"/>
  <c r="I222" i="2" s="1"/>
  <c r="G221" i="2"/>
  <c r="I221" i="2" s="1"/>
  <c r="G220" i="2"/>
  <c r="I220" i="2" s="1"/>
  <c r="G219" i="2"/>
  <c r="I219" i="2" s="1"/>
  <c r="G218" i="2"/>
  <c r="I218" i="2" s="1"/>
  <c r="G217" i="2"/>
  <c r="I217" i="2" s="1"/>
  <c r="G216" i="2"/>
  <c r="I216" i="2" s="1"/>
  <c r="G215" i="2"/>
  <c r="I215" i="2" s="1"/>
  <c r="G214" i="2"/>
  <c r="G213" i="2"/>
  <c r="I213" i="2" s="1"/>
  <c r="G212" i="2"/>
  <c r="I212" i="2" s="1"/>
  <c r="G211" i="2"/>
  <c r="I211" i="2" s="1"/>
  <c r="G210" i="2"/>
  <c r="I210" i="2" s="1"/>
  <c r="G209" i="2"/>
  <c r="I209" i="2" s="1"/>
  <c r="G208" i="2"/>
  <c r="I208" i="2" s="1"/>
  <c r="G207" i="2"/>
  <c r="I207" i="2" s="1"/>
  <c r="G206" i="2"/>
  <c r="I206" i="2" s="1"/>
  <c r="G205" i="2"/>
  <c r="I205" i="2" s="1"/>
  <c r="G204" i="2"/>
  <c r="I204" i="2" s="1"/>
  <c r="G203" i="2"/>
  <c r="I203" i="2" s="1"/>
  <c r="G202" i="2"/>
  <c r="I202" i="2" s="1"/>
  <c r="G201" i="2"/>
  <c r="I201" i="2" s="1"/>
  <c r="G200" i="2"/>
  <c r="I200" i="2" s="1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G191" i="2"/>
  <c r="I191" i="2" s="1"/>
  <c r="G190" i="2"/>
  <c r="I190" i="2" s="1"/>
  <c r="G189" i="2"/>
  <c r="I189" i="2" s="1"/>
  <c r="G188" i="2"/>
  <c r="G187" i="2"/>
  <c r="I187" i="2" s="1"/>
  <c r="G186" i="2"/>
  <c r="I186" i="2" s="1"/>
  <c r="G185" i="2"/>
  <c r="I185" i="2" s="1"/>
  <c r="G184" i="2"/>
  <c r="I184" i="2" s="1"/>
  <c r="G183" i="2"/>
  <c r="G182" i="2"/>
  <c r="I182" i="2" s="1"/>
  <c r="G181" i="2"/>
  <c r="I181" i="2" s="1"/>
  <c r="G180" i="2"/>
  <c r="I180" i="2" s="1"/>
  <c r="G179" i="2"/>
  <c r="I179" i="2" s="1"/>
  <c r="G178" i="2"/>
  <c r="I178" i="2" s="1"/>
  <c r="G177" i="2"/>
  <c r="I177" i="2" s="1"/>
  <c r="G176" i="2"/>
  <c r="I176" i="2" s="1"/>
  <c r="G175" i="2"/>
  <c r="G174" i="2"/>
  <c r="I174" i="2" s="1"/>
  <c r="G173" i="2"/>
  <c r="I173" i="2" s="1"/>
  <c r="G172" i="2"/>
  <c r="I172" i="2" s="1"/>
  <c r="G171" i="2"/>
  <c r="I171" i="2" s="1"/>
  <c r="G170" i="2"/>
  <c r="I170" i="2" s="1"/>
  <c r="G169" i="2"/>
  <c r="G168" i="2"/>
  <c r="G167" i="2"/>
  <c r="I167" i="2" s="1"/>
  <c r="G166" i="2"/>
  <c r="I166" i="2" s="1"/>
  <c r="G165" i="2"/>
  <c r="I165" i="2" s="1"/>
  <c r="G164" i="2"/>
  <c r="I164" i="2" s="1"/>
  <c r="G163" i="2"/>
  <c r="I163" i="2" s="1"/>
  <c r="G162" i="2"/>
  <c r="I162" i="2" s="1"/>
  <c r="G161" i="2"/>
  <c r="I161" i="2" s="1"/>
  <c r="G160" i="2"/>
  <c r="I160" i="2" s="1"/>
  <c r="G159" i="2"/>
  <c r="I159" i="2" s="1"/>
  <c r="G158" i="2"/>
  <c r="I158" i="2" s="1"/>
  <c r="G157" i="2"/>
  <c r="I157" i="2" s="1"/>
  <c r="G156" i="2"/>
  <c r="I156" i="2" s="1"/>
  <c r="G155" i="2"/>
  <c r="I155" i="2" s="1"/>
  <c r="G154" i="2"/>
  <c r="I154" i="2" s="1"/>
  <c r="G153" i="2"/>
  <c r="I153" i="2" s="1"/>
  <c r="G152" i="2"/>
  <c r="I152" i="2" s="1"/>
  <c r="G151" i="2"/>
  <c r="I151" i="2" s="1"/>
  <c r="G150" i="2"/>
  <c r="I150" i="2" s="1"/>
  <c r="G149" i="2"/>
  <c r="I149" i="2" s="1"/>
  <c r="G148" i="2"/>
  <c r="I148" i="2" s="1"/>
  <c r="G147" i="2"/>
  <c r="G146" i="2"/>
  <c r="G145" i="2"/>
  <c r="I145" i="2" s="1"/>
  <c r="G144" i="2"/>
  <c r="I144" i="2" s="1"/>
  <c r="G143" i="2"/>
  <c r="I143" i="2" s="1"/>
  <c r="G142" i="2"/>
  <c r="I142" i="2" s="1"/>
  <c r="G141" i="2"/>
  <c r="I141" i="2" s="1"/>
  <c r="G140" i="2"/>
  <c r="I140" i="2" s="1"/>
  <c r="G139" i="2"/>
  <c r="I139" i="2" s="1"/>
  <c r="G138" i="2"/>
  <c r="I138" i="2" s="1"/>
  <c r="G137" i="2"/>
  <c r="I137" i="2" s="1"/>
  <c r="G136" i="2"/>
  <c r="I136" i="2" s="1"/>
  <c r="G135" i="2"/>
  <c r="I135" i="2" s="1"/>
  <c r="G134" i="2"/>
  <c r="I134" i="2" s="1"/>
  <c r="G133" i="2"/>
  <c r="I133" i="2" s="1"/>
  <c r="G132" i="2"/>
  <c r="I132" i="2" s="1"/>
  <c r="G131" i="2"/>
  <c r="I131" i="2" s="1"/>
  <c r="G130" i="2"/>
  <c r="I130" i="2" s="1"/>
  <c r="G129" i="2"/>
  <c r="I129" i="2" s="1"/>
  <c r="G128" i="2"/>
  <c r="I128" i="2" s="1"/>
  <c r="G127" i="2"/>
  <c r="I127" i="2" s="1"/>
  <c r="G126" i="2"/>
  <c r="I126" i="2" s="1"/>
  <c r="G125" i="2"/>
  <c r="I125" i="2" s="1"/>
  <c r="G124" i="2"/>
  <c r="I124" i="2" s="1"/>
  <c r="G123" i="2"/>
  <c r="I123" i="2" s="1"/>
  <c r="G122" i="2"/>
  <c r="I122" i="2" s="1"/>
  <c r="G121" i="2"/>
  <c r="I121" i="2" s="1"/>
  <c r="G120" i="2"/>
  <c r="I120" i="2" s="1"/>
  <c r="G119" i="2"/>
  <c r="G118" i="2"/>
  <c r="G117" i="2"/>
  <c r="G116" i="2"/>
  <c r="G115" i="2"/>
  <c r="I115" i="2" s="1"/>
  <c r="G114" i="2"/>
  <c r="I114" i="2" s="1"/>
  <c r="G113" i="2"/>
  <c r="I113" i="2" s="1"/>
  <c r="G112" i="2"/>
  <c r="I112" i="2" s="1"/>
  <c r="G111" i="2"/>
  <c r="I111" i="2" s="1"/>
  <c r="G110" i="2"/>
  <c r="I110" i="2" s="1"/>
  <c r="G109" i="2"/>
  <c r="I109" i="2" s="1"/>
  <c r="G108" i="2"/>
  <c r="I108" i="2" s="1"/>
  <c r="G107" i="2"/>
  <c r="I107" i="2" s="1"/>
  <c r="G106" i="2"/>
  <c r="I106" i="2" s="1"/>
  <c r="G105" i="2"/>
  <c r="I105" i="2" s="1"/>
  <c r="G104" i="2"/>
  <c r="I104" i="2" s="1"/>
  <c r="G103" i="2"/>
  <c r="I103" i="2" s="1"/>
  <c r="G102" i="2"/>
  <c r="I102" i="2" s="1"/>
  <c r="G101" i="2"/>
  <c r="I101" i="2" s="1"/>
  <c r="G100" i="2"/>
  <c r="I100" i="2" s="1"/>
  <c r="G99" i="2"/>
  <c r="G98" i="2"/>
  <c r="G97" i="2"/>
  <c r="I97" i="2" s="1"/>
  <c r="G96" i="2"/>
  <c r="I96" i="2" s="1"/>
  <c r="G95" i="2"/>
  <c r="I95" i="2" s="1"/>
  <c r="G94" i="2"/>
  <c r="I94" i="2" s="1"/>
  <c r="G93" i="2"/>
  <c r="I93" i="2" s="1"/>
  <c r="G92" i="2"/>
  <c r="I92" i="2" s="1"/>
  <c r="G91" i="2"/>
  <c r="G90" i="2"/>
  <c r="G89" i="2"/>
  <c r="I89" i="2" s="1"/>
  <c r="G88" i="2"/>
  <c r="I88" i="2" s="1"/>
  <c r="G87" i="2"/>
  <c r="I87" i="2" s="1"/>
  <c r="G86" i="2"/>
  <c r="I86" i="2" s="1"/>
  <c r="G85" i="2"/>
  <c r="I85" i="2" s="1"/>
  <c r="G84" i="2"/>
  <c r="I84" i="2" s="1"/>
  <c r="G83" i="2"/>
  <c r="I83" i="2" s="1"/>
  <c r="G82" i="2"/>
  <c r="I82" i="2" s="1"/>
  <c r="G81" i="2"/>
  <c r="I81" i="2" s="1"/>
  <c r="G80" i="2"/>
  <c r="I80" i="2" s="1"/>
  <c r="G79" i="2"/>
  <c r="I79" i="2" s="1"/>
  <c r="G78" i="2"/>
  <c r="I78" i="2" s="1"/>
  <c r="G77" i="2"/>
  <c r="G76" i="2"/>
  <c r="I76" i="2" s="1"/>
  <c r="G75" i="2"/>
  <c r="I75" i="2" s="1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G68" i="2"/>
  <c r="I68" i="2" s="1"/>
  <c r="G67" i="2"/>
  <c r="G66" i="2"/>
  <c r="I66" i="2" s="1"/>
  <c r="G65" i="2"/>
  <c r="I65" i="2" s="1"/>
  <c r="G64" i="2"/>
  <c r="I64" i="2" s="1"/>
  <c r="G63" i="2"/>
  <c r="I63" i="2" s="1"/>
  <c r="G62" i="2"/>
  <c r="I62" i="2" s="1"/>
  <c r="G61" i="2"/>
  <c r="I61" i="2" s="1"/>
  <c r="G60" i="2"/>
  <c r="I60" i="2" s="1"/>
  <c r="G59" i="2"/>
  <c r="I59" i="2" s="1"/>
  <c r="G58" i="2"/>
  <c r="I58" i="2" s="1"/>
  <c r="G57" i="2"/>
  <c r="G56" i="2"/>
  <c r="I56" i="2" s="1"/>
  <c r="G55" i="2"/>
  <c r="I55" i="2" s="1"/>
  <c r="G54" i="2"/>
  <c r="I54" i="2" s="1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G34" i="2"/>
  <c r="G33" i="2"/>
  <c r="G32" i="2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G19" i="2"/>
  <c r="G18" i="2"/>
  <c r="G17" i="2"/>
  <c r="G16" i="2"/>
  <c r="G15" i="2"/>
  <c r="G14" i="2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I453" i="2"/>
  <c r="I452" i="2"/>
  <c r="I427" i="2"/>
  <c r="I385" i="2"/>
  <c r="I384" i="2"/>
  <c r="I370" i="2"/>
  <c r="I369" i="2"/>
  <c r="I357" i="2"/>
  <c r="I337" i="2"/>
  <c r="I328" i="2"/>
  <c r="I287" i="2"/>
  <c r="I259" i="2"/>
  <c r="I214" i="2"/>
  <c r="I188" i="2"/>
  <c r="I183" i="2"/>
  <c r="I175" i="2"/>
  <c r="I169" i="2"/>
  <c r="I168" i="2"/>
  <c r="I147" i="2"/>
  <c r="I146" i="2"/>
  <c r="I119" i="2"/>
  <c r="I118" i="2"/>
  <c r="I117" i="2"/>
  <c r="I116" i="2"/>
  <c r="I99" i="2"/>
  <c r="I98" i="2"/>
  <c r="I91" i="2"/>
  <c r="I90" i="2"/>
  <c r="I77" i="2"/>
  <c r="I67" i="2"/>
  <c r="I57" i="2"/>
  <c r="I35" i="2"/>
  <c r="I34" i="2"/>
  <c r="I33" i="2"/>
  <c r="I32" i="2"/>
  <c r="I20" i="2"/>
  <c r="I19" i="2"/>
  <c r="I18" i="2"/>
  <c r="I17" i="2"/>
  <c r="I16" i="2"/>
  <c r="I15" i="2"/>
  <c r="I14" i="2"/>
  <c r="AF10" i="2"/>
  <c r="AG10" i="2" s="1"/>
  <c r="M10" i="2"/>
  <c r="O10" i="2" s="1"/>
  <c r="G5" i="2"/>
  <c r="I5" i="2" s="1"/>
  <c r="M5" i="2"/>
  <c r="O5" i="2" s="1"/>
  <c r="T5" i="2"/>
  <c r="Y5" i="2"/>
  <c r="AB5" i="2"/>
  <c r="AD5" i="2"/>
  <c r="AE5" i="2" s="1"/>
  <c r="AF5" i="2"/>
  <c r="AG5" i="2" s="1"/>
  <c r="M6" i="2"/>
  <c r="O6" i="2"/>
  <c r="AF6" i="2"/>
  <c r="AG6" i="2" s="1"/>
  <c r="M7" i="2"/>
  <c r="O7" i="2"/>
  <c r="AF7" i="2"/>
  <c r="AG7" i="2" s="1"/>
  <c r="M8" i="2"/>
  <c r="O8" i="2" s="1"/>
  <c r="T8" i="2"/>
  <c r="AB8" i="2"/>
  <c r="AD8" i="2" s="1"/>
  <c r="AE8" i="2" s="1"/>
  <c r="AF8" i="2"/>
  <c r="AG8" i="2" s="1"/>
  <c r="M9" i="2"/>
  <c r="O9" i="2"/>
  <c r="AF9" i="2"/>
  <c r="AG9" i="2"/>
  <c r="J15" i="1"/>
  <c r="K15" i="1"/>
  <c r="L15" i="1"/>
  <c r="J14" i="1"/>
  <c r="K14" i="1"/>
  <c r="L14" i="1"/>
  <c r="J13" i="1"/>
  <c r="K13" i="1"/>
  <c r="L13" i="1"/>
  <c r="J12" i="1"/>
  <c r="K12" i="1"/>
  <c r="L12" i="1"/>
  <c r="J11" i="1"/>
  <c r="K11" i="1"/>
  <c r="L11" i="1"/>
  <c r="L10" i="1"/>
  <c r="K10" i="1"/>
  <c r="J10" i="1"/>
  <c r="J9" i="1"/>
  <c r="L8" i="1"/>
  <c r="K8" i="1"/>
  <c r="J8" i="1"/>
  <c r="L9" i="1"/>
  <c r="K9" i="1"/>
  <c r="L7" i="1"/>
  <c r="K7" i="1"/>
  <c r="J7" i="1"/>
</calcChain>
</file>

<file path=xl/sharedStrings.xml><?xml version="1.0" encoding="utf-8"?>
<sst xmlns="http://schemas.openxmlformats.org/spreadsheetml/2006/main" count="7694" uniqueCount="858">
  <si>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</si>
  <si>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</si>
  <si>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</si>
  <si>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</si>
  <si>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</si>
  <si>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</si>
  <si>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</si>
  <si>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</si>
  <si>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</si>
  <si>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</si>
  <si>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</si>
  <si>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</si>
  <si>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</si>
  <si>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</si>
  <si>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</si>
  <si>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</si>
  <si>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</si>
  <si>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</si>
  <si>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</si>
  <si>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</si>
  <si>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</si>
  <si>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</si>
  <si>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</si>
  <si>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</si>
  <si>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</si>
  <si>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</si>
  <si>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</si>
  <si>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</si>
  <si>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</si>
  <si>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</si>
  <si>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</si>
  <si>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</si>
  <si>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</si>
  <si>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</si>
  <si>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</si>
  <si>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</si>
  <si>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</si>
  <si>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</si>
  <si>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</si>
  <si>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</si>
  <si>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</si>
  <si>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</si>
  <si>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</si>
  <si>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</si>
  <si>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</si>
  <si>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</si>
  <si>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</si>
  <si>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</si>
  <si>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</si>
  <si>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</si>
  <si>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</si>
  <si>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</si>
  <si>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</si>
  <si>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</si>
  <si>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</si>
  <si>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</si>
  <si>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</si>
  <si>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</si>
  <si>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</si>
  <si>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</si>
  <si>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</si>
  <si>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</si>
  <si>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</si>
  <si>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</si>
  <si>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</si>
  <si>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</si>
  <si>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</si>
  <si>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</si>
  <si>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</si>
  <si>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</si>
  <si>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</si>
  <si>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</si>
  <si>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</si>
  <si>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</si>
  <si>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</si>
  <si>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</si>
  <si>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</si>
  <si>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</si>
  <si>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</si>
  <si>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</si>
  <si>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</si>
  <si>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</si>
  <si>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</si>
  <si>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</si>
  <si>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</si>
  <si>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</si>
  <si>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</si>
  <si>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</si>
  <si>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</si>
  <si>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</si>
  <si>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</si>
  <si>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</si>
  <si>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</si>
  <si>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</si>
  <si>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</si>
  <si>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</si>
  <si>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</si>
  <si>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</si>
  <si>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</si>
  <si>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</si>
  <si>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</si>
  <si>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</si>
  <si>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</si>
  <si>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</si>
  <si>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</si>
  <si>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</si>
  <si>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</si>
  <si>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</si>
  <si>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</si>
  <si>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</si>
  <si>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</si>
  <si>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</si>
  <si>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</si>
  <si>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</si>
  <si>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</si>
  <si>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</si>
  <si>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</si>
  <si>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</si>
  <si>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</si>
  <si>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Breeding Record - AI or mating event per sow with semen lot pregnancy check and expected farrowing date, Just req data for the understanding, later stage.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</si>
  <si>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</si>
  <si>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</si>
  <si>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</si>
  <si>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</si>
  <si>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</si>
  <si>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</si>
  <si>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</si>
  <si>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</si>
  <si>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</si>
  <si>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</si>
  <si>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</si>
  <si>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</si>
  <si>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</si>
  <si>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</si>
  <si>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</si>
  <si>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</si>
  <si>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</si>
  <si>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</si>
  <si>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</si>
  <si>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</si>
  <si>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</si>
  <si>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</si>
  <si>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</si>
  <si>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</si>
  <si>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</si>
  <si>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</si>
  <si>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</si>
  <si>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</si>
  <si>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</si>
  <si>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</si>
  <si>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</si>
  <si>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</si>
  <si>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</si>
  <si>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</si>
  <si>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</si>
  <si>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</si>
  <si>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</si>
  <si>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</si>
  <si>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TRUE</t>
  </si>
  <si>
    <t>CONFIRMED</t>
  </si>
  <si>
    <t>Tag Number</t>
  </si>
  <si>
    <t>n/a</t>
  </si>
  <si>
    <t>get from Multiplier</t>
  </si>
  <si>
    <t>Living asset</t>
  </si>
  <si>
    <t>TN70</t>
  </si>
  <si>
    <t>ask Multiplier</t>
  </si>
  <si>
    <t>Flow from Navfarm Input  (Back Fat - P2 measurement)</t>
  </si>
  <si>
    <t>Confirmed</t>
  </si>
  <si>
    <t>Gilt</t>
  </si>
  <si>
    <t>Purchased local</t>
  </si>
  <si>
    <t>2251SV</t>
  </si>
  <si>
    <t>NA</t>
  </si>
  <si>
    <t>T1</t>
  </si>
  <si>
    <t>VISUAL</t>
  </si>
  <si>
    <t>2255SV</t>
  </si>
  <si>
    <t>2257SV</t>
  </si>
  <si>
    <t>2261SV</t>
  </si>
  <si>
    <t>1032SV</t>
  </si>
  <si>
    <t>1033SV</t>
  </si>
  <si>
    <t>2029SV</t>
  </si>
  <si>
    <t>2055SV</t>
  </si>
  <si>
    <t>2128SV</t>
  </si>
  <si>
    <t>NC3436</t>
  </si>
  <si>
    <t>GILT</t>
  </si>
  <si>
    <t>WEEK 30</t>
  </si>
  <si>
    <t>DRY</t>
  </si>
  <si>
    <r>
      <rPr>
        <sz val="9"/>
        <rFont val="Arial MT"/>
        <family val="2"/>
      </rPr>
      <t>V262401</t>
    </r>
  </si>
  <si>
    <r>
      <rPr>
        <sz val="9"/>
        <rFont val="Arial MT"/>
        <family val="2"/>
      </rPr>
      <t>V262402</t>
    </r>
  </si>
  <si>
    <r>
      <rPr>
        <sz val="9"/>
        <rFont val="Arial MT"/>
        <family val="2"/>
      </rPr>
      <t>V262403</t>
    </r>
  </si>
  <si>
    <r>
      <rPr>
        <sz val="9"/>
        <rFont val="Arial MT"/>
        <family val="2"/>
      </rPr>
      <t>V262301</t>
    </r>
  </si>
  <si>
    <r>
      <rPr>
        <sz val="9"/>
        <rFont val="Arial MT"/>
        <family val="2"/>
      </rPr>
      <t>V262302</t>
    </r>
  </si>
  <si>
    <r>
      <rPr>
        <sz val="9"/>
        <rFont val="Arial MT"/>
        <family val="2"/>
      </rPr>
      <t>V262303</t>
    </r>
  </si>
  <si>
    <r>
      <rPr>
        <sz val="9"/>
        <rFont val="Arial MT"/>
        <family val="2"/>
      </rPr>
      <t>V262304</t>
    </r>
  </si>
  <si>
    <r>
      <rPr>
        <sz val="9"/>
        <rFont val="Arial MT"/>
        <family val="2"/>
      </rPr>
      <t>V262305</t>
    </r>
  </si>
  <si>
    <r>
      <rPr>
        <sz val="9"/>
        <rFont val="Arial MT"/>
        <family val="2"/>
      </rPr>
      <t>V262201</t>
    </r>
  </si>
  <si>
    <r>
      <rPr>
        <sz val="9"/>
        <rFont val="Arial MT"/>
        <family val="2"/>
      </rPr>
      <t>V262202</t>
    </r>
  </si>
  <si>
    <r>
      <rPr>
        <sz val="9"/>
        <rFont val="Arial MT"/>
        <family val="2"/>
      </rPr>
      <t>V262203</t>
    </r>
  </si>
  <si>
    <r>
      <rPr>
        <sz val="9"/>
        <rFont val="Arial MT"/>
        <family val="2"/>
      </rPr>
      <t>V262204</t>
    </r>
  </si>
  <si>
    <r>
      <rPr>
        <sz val="9"/>
        <rFont val="Arial MT"/>
        <family val="2"/>
      </rPr>
      <t>V262205</t>
    </r>
  </si>
  <si>
    <r>
      <rPr>
        <sz val="9"/>
        <rFont val="Arial MT"/>
        <family val="2"/>
      </rPr>
      <t>V262101</t>
    </r>
  </si>
  <si>
    <r>
      <rPr>
        <sz val="9"/>
        <rFont val="Arial MT"/>
        <family val="2"/>
      </rPr>
      <t>V262102</t>
    </r>
  </si>
  <si>
    <r>
      <rPr>
        <sz val="9"/>
        <rFont val="Arial MT"/>
        <family val="2"/>
      </rPr>
      <t>V262103</t>
    </r>
  </si>
  <si>
    <r>
      <rPr>
        <sz val="9"/>
        <rFont val="Arial MT"/>
        <family val="2"/>
      </rPr>
      <t>V262104</t>
    </r>
  </si>
  <si>
    <r>
      <rPr>
        <sz val="9"/>
        <rFont val="Arial MT"/>
        <family val="2"/>
      </rPr>
      <t>V262105</t>
    </r>
  </si>
  <si>
    <r>
      <rPr>
        <sz val="9"/>
        <rFont val="Arial MT"/>
        <family val="2"/>
      </rPr>
      <t>V262001</t>
    </r>
  </si>
  <si>
    <r>
      <rPr>
        <sz val="9"/>
        <rFont val="Arial MT"/>
        <family val="2"/>
      </rPr>
      <t>V262002</t>
    </r>
  </si>
  <si>
    <r>
      <rPr>
        <sz val="9"/>
        <rFont val="Arial MT"/>
        <family val="2"/>
      </rPr>
      <t>V262003</t>
    </r>
  </si>
  <si>
    <r>
      <rPr>
        <sz val="9"/>
        <rFont val="Arial MT"/>
        <family val="2"/>
      </rPr>
      <t>V262004</t>
    </r>
  </si>
  <si>
    <r>
      <rPr>
        <sz val="9"/>
        <rFont val="Arial MT"/>
        <family val="2"/>
      </rPr>
      <t>V262005</t>
    </r>
  </si>
  <si>
    <r>
      <rPr>
        <sz val="9"/>
        <rFont val="Arial MT"/>
        <family val="2"/>
      </rPr>
      <t>V261902</t>
    </r>
  </si>
  <si>
    <r>
      <rPr>
        <sz val="9"/>
        <rFont val="Arial MT"/>
        <family val="2"/>
      </rPr>
      <t>V261903</t>
    </r>
  </si>
  <si>
    <r>
      <rPr>
        <sz val="9"/>
        <rFont val="Arial MT"/>
        <family val="2"/>
      </rPr>
      <t>V261904</t>
    </r>
  </si>
  <si>
    <r>
      <rPr>
        <sz val="9"/>
        <rFont val="Arial MT"/>
        <family val="2"/>
      </rPr>
      <t>V261905</t>
    </r>
  </si>
  <si>
    <r>
      <rPr>
        <sz val="9"/>
        <rFont val="Arial MT"/>
        <family val="2"/>
      </rPr>
      <t>V261301</t>
    </r>
  </si>
  <si>
    <r>
      <rPr>
        <sz val="9"/>
        <rFont val="Arial MT"/>
        <family val="2"/>
      </rPr>
      <t>V261302</t>
    </r>
  </si>
  <si>
    <r>
      <rPr>
        <sz val="9"/>
        <rFont val="Arial MT"/>
        <family val="2"/>
      </rPr>
      <t>V261303</t>
    </r>
  </si>
  <si>
    <r>
      <rPr>
        <sz val="9"/>
        <rFont val="Arial MT"/>
        <family val="2"/>
      </rPr>
      <t>V261304</t>
    </r>
  </si>
  <si>
    <r>
      <rPr>
        <sz val="9"/>
        <rFont val="Arial MT"/>
        <family val="2"/>
      </rPr>
      <t>V261305</t>
    </r>
  </si>
  <si>
    <r>
      <rPr>
        <sz val="9"/>
        <rFont val="Arial MT"/>
        <family val="2"/>
      </rPr>
      <t>V261801</t>
    </r>
  </si>
  <si>
    <r>
      <rPr>
        <sz val="9"/>
        <rFont val="Arial MT"/>
        <family val="2"/>
      </rPr>
      <t>V261802</t>
    </r>
  </si>
  <si>
    <r>
      <rPr>
        <sz val="9"/>
        <rFont val="Arial MT"/>
        <family val="2"/>
      </rPr>
      <t>V261803</t>
    </r>
  </si>
  <si>
    <r>
      <rPr>
        <sz val="9"/>
        <rFont val="Arial MT"/>
        <family val="2"/>
      </rPr>
      <t>V261804</t>
    </r>
  </si>
  <si>
    <r>
      <rPr>
        <sz val="9"/>
        <rFont val="Arial MT"/>
        <family val="2"/>
      </rPr>
      <t>V261805</t>
    </r>
  </si>
  <si>
    <r>
      <rPr>
        <sz val="9"/>
        <rFont val="Arial MT"/>
        <family val="2"/>
      </rPr>
      <t>V261701</t>
    </r>
  </si>
  <si>
    <r>
      <rPr>
        <sz val="9"/>
        <rFont val="Arial MT"/>
        <family val="2"/>
      </rPr>
      <t>V261702</t>
    </r>
  </si>
  <si>
    <r>
      <rPr>
        <sz val="9"/>
        <rFont val="Arial MT"/>
        <family val="2"/>
      </rPr>
      <t>V261703</t>
    </r>
  </si>
  <si>
    <r>
      <rPr>
        <sz val="9"/>
        <rFont val="Arial MT"/>
        <family val="2"/>
      </rPr>
      <t>V261704</t>
    </r>
  </si>
  <si>
    <r>
      <rPr>
        <sz val="9"/>
        <rFont val="Arial MT"/>
        <family val="2"/>
      </rPr>
      <t>V261705</t>
    </r>
  </si>
  <si>
    <r>
      <rPr>
        <sz val="9"/>
        <rFont val="Arial MT"/>
        <family val="2"/>
      </rPr>
      <t>V261601</t>
    </r>
  </si>
  <si>
    <r>
      <rPr>
        <sz val="9"/>
        <rFont val="Arial MT"/>
        <family val="2"/>
      </rPr>
      <t>V261602</t>
    </r>
  </si>
  <si>
    <r>
      <rPr>
        <sz val="9"/>
        <rFont val="Arial MT"/>
        <family val="2"/>
      </rPr>
      <t>V261603</t>
    </r>
  </si>
  <si>
    <r>
      <rPr>
        <sz val="9"/>
        <rFont val="Arial MT"/>
        <family val="2"/>
      </rPr>
      <t>V261604</t>
    </r>
  </si>
  <si>
    <r>
      <rPr>
        <sz val="9"/>
        <rFont val="Arial MT"/>
        <family val="2"/>
      </rPr>
      <t>V261605</t>
    </r>
  </si>
  <si>
    <r>
      <rPr>
        <sz val="9"/>
        <rFont val="Arial MT"/>
        <family val="2"/>
      </rPr>
      <t>V261501</t>
    </r>
  </si>
  <si>
    <r>
      <rPr>
        <sz val="9"/>
        <rFont val="Arial MT"/>
        <family val="2"/>
      </rPr>
      <t>V261502</t>
    </r>
  </si>
  <si>
    <r>
      <rPr>
        <sz val="9"/>
        <rFont val="Arial MT"/>
        <family val="2"/>
      </rPr>
      <t>V261503</t>
    </r>
  </si>
  <si>
    <r>
      <rPr>
        <sz val="9"/>
        <rFont val="Arial MT"/>
        <family val="2"/>
      </rPr>
      <t>V261504</t>
    </r>
  </si>
  <si>
    <r>
      <rPr>
        <sz val="9"/>
        <rFont val="Arial MT"/>
        <family val="2"/>
      </rPr>
      <t>V261505</t>
    </r>
  </si>
  <si>
    <r>
      <rPr>
        <sz val="9"/>
        <rFont val="Arial MT"/>
        <family val="2"/>
      </rPr>
      <t>V261401</t>
    </r>
  </si>
  <si>
    <r>
      <rPr>
        <sz val="9"/>
        <rFont val="Arial MT"/>
        <family val="2"/>
      </rPr>
      <t>V261402</t>
    </r>
  </si>
  <si>
    <t>CV4289</t>
  </si>
  <si>
    <t>GILT BAN</t>
  </si>
  <si>
    <r>
      <rPr>
        <sz val="9"/>
        <rFont val="Arial MT"/>
        <family val="2"/>
      </rPr>
      <t>V261403</t>
    </r>
  </si>
  <si>
    <r>
      <rPr>
        <sz val="9"/>
        <rFont val="Arial MT"/>
        <family val="2"/>
      </rPr>
      <t>V261404</t>
    </r>
  </si>
  <si>
    <r>
      <rPr>
        <sz val="9"/>
        <rFont val="Arial MT"/>
        <family val="2"/>
      </rPr>
      <t>V261405</t>
    </r>
  </si>
  <si>
    <r>
      <rPr>
        <sz val="9"/>
        <rFont val="Arial MT"/>
        <family val="2"/>
      </rPr>
      <t>V261201</t>
    </r>
  </si>
  <si>
    <r>
      <rPr>
        <sz val="9"/>
        <rFont val="Arial MT"/>
        <family val="2"/>
      </rPr>
      <t>V261202</t>
    </r>
  </si>
  <si>
    <r>
      <rPr>
        <sz val="9"/>
        <rFont val="Arial MT"/>
        <family val="2"/>
      </rPr>
      <t>V261203</t>
    </r>
  </si>
  <si>
    <r>
      <rPr>
        <sz val="9"/>
        <rFont val="Arial MT"/>
        <family val="2"/>
      </rPr>
      <t>V261204</t>
    </r>
  </si>
  <si>
    <r>
      <rPr>
        <sz val="9"/>
        <rFont val="Arial MT"/>
        <family val="2"/>
      </rPr>
      <t>V261205</t>
    </r>
  </si>
  <si>
    <r>
      <rPr>
        <sz val="9"/>
        <rFont val="Arial MT"/>
        <family val="2"/>
      </rPr>
      <t>V261101</t>
    </r>
  </si>
  <si>
    <r>
      <rPr>
        <sz val="9"/>
        <rFont val="Arial MT"/>
        <family val="2"/>
      </rPr>
      <t>V261102</t>
    </r>
  </si>
  <si>
    <r>
      <rPr>
        <sz val="9"/>
        <rFont val="Arial MT"/>
        <family val="2"/>
      </rPr>
      <t>V261103</t>
    </r>
  </si>
  <si>
    <r>
      <rPr>
        <sz val="9"/>
        <rFont val="Arial MT"/>
        <family val="2"/>
      </rPr>
      <t>V261104</t>
    </r>
  </si>
  <si>
    <r>
      <rPr>
        <sz val="9"/>
        <rFont val="Arial MT"/>
        <family val="2"/>
      </rPr>
      <t>V261105</t>
    </r>
  </si>
  <si>
    <r>
      <rPr>
        <sz val="9"/>
        <rFont val="Arial MT"/>
        <family val="2"/>
      </rPr>
      <t>V261001</t>
    </r>
  </si>
  <si>
    <r>
      <rPr>
        <sz val="9"/>
        <rFont val="Arial MT"/>
        <family val="2"/>
      </rPr>
      <t>V261002</t>
    </r>
  </si>
  <si>
    <r>
      <rPr>
        <sz val="9"/>
        <rFont val="Arial MT"/>
        <family val="2"/>
      </rPr>
      <t>V261003</t>
    </r>
  </si>
  <si>
    <r>
      <rPr>
        <sz val="9"/>
        <rFont val="Arial MT"/>
        <family val="2"/>
      </rPr>
      <t>V261004</t>
    </r>
  </si>
  <si>
    <r>
      <rPr>
        <sz val="9"/>
        <rFont val="Arial MT"/>
        <family val="2"/>
      </rPr>
      <t>V261005</t>
    </r>
  </si>
  <si>
    <r>
      <rPr>
        <sz val="9"/>
        <rFont val="Arial MT"/>
        <family val="2"/>
      </rPr>
      <t>V260905</t>
    </r>
  </si>
  <si>
    <r>
      <rPr>
        <sz val="9"/>
        <rFont val="Arial MT"/>
        <family val="2"/>
      </rPr>
      <t>V260901</t>
    </r>
  </si>
  <si>
    <r>
      <rPr>
        <sz val="9"/>
        <rFont val="Arial MT"/>
        <family val="2"/>
      </rPr>
      <t>V260902</t>
    </r>
  </si>
  <si>
    <r>
      <rPr>
        <sz val="9"/>
        <rFont val="Arial MT"/>
        <family val="2"/>
      </rPr>
      <t>V260903</t>
    </r>
  </si>
  <si>
    <r>
      <rPr>
        <sz val="9"/>
        <rFont val="Arial MT"/>
        <family val="2"/>
      </rPr>
      <t>V260904</t>
    </r>
  </si>
  <si>
    <r>
      <rPr>
        <sz val="9"/>
        <rFont val="Arial MT"/>
        <family val="2"/>
      </rPr>
      <t>V260801</t>
    </r>
  </si>
  <si>
    <r>
      <rPr>
        <sz val="9"/>
        <rFont val="Arial MT"/>
        <family val="2"/>
      </rPr>
      <t>V260802</t>
    </r>
  </si>
  <si>
    <r>
      <rPr>
        <sz val="9"/>
        <rFont val="Arial MT"/>
        <family val="2"/>
      </rPr>
      <t>V260803</t>
    </r>
  </si>
  <si>
    <r>
      <rPr>
        <sz val="9"/>
        <rFont val="Arial MT"/>
        <family val="2"/>
      </rPr>
      <t>V260804</t>
    </r>
  </si>
  <si>
    <r>
      <rPr>
        <sz val="9"/>
        <rFont val="Arial MT"/>
        <family val="2"/>
      </rPr>
      <t>V260805</t>
    </r>
  </si>
  <si>
    <r>
      <rPr>
        <sz val="9"/>
        <rFont val="Arial MT"/>
        <family val="2"/>
      </rPr>
      <t>V260701</t>
    </r>
  </si>
  <si>
    <r>
      <rPr>
        <sz val="9"/>
        <rFont val="Arial MT"/>
        <family val="2"/>
      </rPr>
      <t>V260702</t>
    </r>
  </si>
  <si>
    <r>
      <rPr>
        <sz val="9"/>
        <rFont val="Arial MT"/>
        <family val="2"/>
      </rPr>
      <t>V260703</t>
    </r>
  </si>
  <si>
    <r>
      <rPr>
        <sz val="9"/>
        <rFont val="Arial MT"/>
        <family val="2"/>
      </rPr>
      <t>V260704</t>
    </r>
  </si>
  <si>
    <r>
      <rPr>
        <sz val="9"/>
        <rFont val="Arial MT"/>
        <family val="2"/>
      </rPr>
      <t>V260705</t>
    </r>
  </si>
  <si>
    <r>
      <rPr>
        <sz val="9"/>
        <rFont val="Arial MT"/>
        <family val="2"/>
      </rPr>
      <t>V260502</t>
    </r>
  </si>
  <si>
    <r>
      <rPr>
        <sz val="9"/>
        <rFont val="Arial MT"/>
        <family val="2"/>
      </rPr>
      <t>V260601</t>
    </r>
  </si>
  <si>
    <r>
      <rPr>
        <sz val="9"/>
        <rFont val="Arial MT"/>
        <family val="2"/>
      </rPr>
      <t>V260602</t>
    </r>
  </si>
  <si>
    <r>
      <rPr>
        <sz val="9"/>
        <rFont val="Arial MT"/>
        <family val="2"/>
      </rPr>
      <t>V260603</t>
    </r>
  </si>
  <si>
    <r>
      <rPr>
        <sz val="9"/>
        <rFont val="Arial MT"/>
        <family val="2"/>
      </rPr>
      <t>V260604</t>
    </r>
  </si>
  <si>
    <r>
      <rPr>
        <sz val="9"/>
        <rFont val="Arial MT"/>
        <family val="2"/>
      </rPr>
      <t>V260605</t>
    </r>
  </si>
  <si>
    <r>
      <rPr>
        <sz val="9"/>
        <rFont val="Arial MT"/>
        <family val="2"/>
      </rPr>
      <t>V260501</t>
    </r>
  </si>
  <si>
    <r>
      <rPr>
        <sz val="9"/>
        <rFont val="Arial MT"/>
        <family val="2"/>
      </rPr>
      <t>V260503</t>
    </r>
  </si>
  <si>
    <r>
      <rPr>
        <sz val="9"/>
        <rFont val="Arial MT"/>
        <family val="2"/>
      </rPr>
      <t>V260505</t>
    </r>
  </si>
  <si>
    <r>
      <rPr>
        <sz val="9"/>
        <rFont val="Arial MT"/>
        <family val="2"/>
      </rPr>
      <t>V260504</t>
    </r>
  </si>
  <si>
    <r>
      <rPr>
        <sz val="9"/>
        <rFont val="Arial MT"/>
        <family val="2"/>
      </rPr>
      <t>V260404</t>
    </r>
  </si>
  <si>
    <r>
      <rPr>
        <sz val="9"/>
        <rFont val="Arial MT"/>
        <family val="2"/>
      </rPr>
      <t>V260403</t>
    </r>
  </si>
  <si>
    <r>
      <rPr>
        <sz val="9"/>
        <rFont val="Arial MT"/>
        <family val="2"/>
      </rPr>
      <t>V260402</t>
    </r>
  </si>
  <si>
    <r>
      <rPr>
        <sz val="9"/>
        <rFont val="Arial MT"/>
        <family val="2"/>
      </rPr>
      <t>V260405</t>
    </r>
  </si>
  <si>
    <r>
      <rPr>
        <sz val="9"/>
        <rFont val="Arial MT"/>
        <family val="2"/>
      </rPr>
      <t>V260303</t>
    </r>
  </si>
  <si>
    <r>
      <rPr>
        <sz val="9"/>
        <rFont val="Arial MT"/>
        <family val="2"/>
      </rPr>
      <t>V260401</t>
    </r>
  </si>
  <si>
    <r>
      <rPr>
        <sz val="9"/>
        <rFont val="Arial MT"/>
        <family val="2"/>
      </rPr>
      <t>V260302</t>
    </r>
  </si>
  <si>
    <r>
      <rPr>
        <sz val="9"/>
        <rFont val="Arial MT"/>
        <family val="2"/>
      </rPr>
      <t>V260304</t>
    </r>
  </si>
  <si>
    <r>
      <rPr>
        <sz val="9"/>
        <rFont val="Arial MT"/>
        <family val="2"/>
      </rPr>
      <t>V260305</t>
    </r>
  </si>
  <si>
    <r>
      <rPr>
        <sz val="9"/>
        <rFont val="Arial MT"/>
        <family val="2"/>
      </rPr>
      <t>V260301</t>
    </r>
  </si>
  <si>
    <r>
      <rPr>
        <sz val="9"/>
        <rFont val="Arial MT"/>
        <family val="2"/>
      </rPr>
      <t>V260201</t>
    </r>
  </si>
  <si>
    <r>
      <rPr>
        <sz val="9"/>
        <rFont val="Arial MT"/>
        <family val="2"/>
      </rPr>
      <t>V260102</t>
    </r>
  </si>
  <si>
    <r>
      <rPr>
        <sz val="9"/>
        <rFont val="Arial MT"/>
        <family val="2"/>
      </rPr>
      <t>V260103</t>
    </r>
  </si>
  <si>
    <r>
      <rPr>
        <sz val="9"/>
        <rFont val="Arial MT"/>
        <family val="2"/>
      </rPr>
      <t>V260202</t>
    </r>
  </si>
  <si>
    <r>
      <rPr>
        <sz val="9"/>
        <rFont val="Arial MT"/>
        <family val="2"/>
      </rPr>
      <t>V260203</t>
    </r>
  </si>
  <si>
    <r>
      <rPr>
        <sz val="9"/>
        <rFont val="Arial MT"/>
        <family val="2"/>
      </rPr>
      <t>V260204</t>
    </r>
  </si>
  <si>
    <r>
      <rPr>
        <sz val="9"/>
        <rFont val="Arial MT"/>
        <family val="2"/>
      </rPr>
      <t>V260101</t>
    </r>
  </si>
  <si>
    <r>
      <rPr>
        <sz val="9"/>
        <rFont val="Arial MT"/>
        <family val="2"/>
      </rPr>
      <t>V260104</t>
    </r>
  </si>
  <si>
    <r>
      <rPr>
        <sz val="9"/>
        <rFont val="Arial MT"/>
        <family val="2"/>
      </rPr>
      <t>V260106</t>
    </r>
  </si>
  <si>
    <r>
      <rPr>
        <sz val="9"/>
        <rFont val="Arial MT"/>
        <family val="2"/>
      </rPr>
      <t>2273SV</t>
    </r>
  </si>
  <si>
    <r>
      <rPr>
        <sz val="9"/>
        <rFont val="Arial MT"/>
        <family val="2"/>
      </rPr>
      <t>2275SV</t>
    </r>
  </si>
  <si>
    <r>
      <rPr>
        <sz val="9"/>
        <rFont val="Arial MT"/>
        <family val="2"/>
      </rPr>
      <t>2277SV</t>
    </r>
  </si>
  <si>
    <r>
      <rPr>
        <sz val="9"/>
        <rFont val="Arial MT"/>
        <family val="2"/>
      </rPr>
      <t>2276SV</t>
    </r>
  </si>
  <si>
    <r>
      <rPr>
        <sz val="9"/>
        <rFont val="Arial MT"/>
        <family val="2"/>
      </rPr>
      <t>2269SV</t>
    </r>
  </si>
  <si>
    <r>
      <rPr>
        <sz val="9"/>
        <rFont val="Arial MT"/>
        <family val="2"/>
      </rPr>
      <t>2270SV</t>
    </r>
  </si>
  <si>
    <r>
      <rPr>
        <sz val="9"/>
        <rFont val="Arial MT"/>
        <family val="2"/>
      </rPr>
      <t>2271SV</t>
    </r>
  </si>
  <si>
    <r>
      <rPr>
        <sz val="9"/>
        <rFont val="Arial MT"/>
        <family val="2"/>
      </rPr>
      <t>2272SV</t>
    </r>
  </si>
  <si>
    <r>
      <rPr>
        <sz val="9"/>
        <rFont val="Arial MT"/>
        <family val="2"/>
      </rPr>
      <t>2268SV</t>
    </r>
  </si>
  <si>
    <r>
      <rPr>
        <sz val="9"/>
        <rFont val="Arial MT"/>
        <family val="2"/>
      </rPr>
      <t>2266SV</t>
    </r>
  </si>
  <si>
    <r>
      <rPr>
        <sz val="9"/>
        <rFont val="Arial MT"/>
        <family val="2"/>
      </rPr>
      <t>2263SV</t>
    </r>
  </si>
  <si>
    <r>
      <rPr>
        <sz val="9"/>
        <rFont val="Arial MT"/>
        <family val="2"/>
      </rPr>
      <t>2264SV</t>
    </r>
  </si>
  <si>
    <r>
      <rPr>
        <sz val="9"/>
        <rFont val="Arial MT"/>
        <family val="2"/>
      </rPr>
      <t>2265SV</t>
    </r>
  </si>
  <si>
    <r>
      <rPr>
        <sz val="9"/>
        <rFont val="Arial MT"/>
        <family val="2"/>
      </rPr>
      <t>2267SV</t>
    </r>
  </si>
  <si>
    <r>
      <rPr>
        <sz val="9"/>
        <rFont val="Arial MT"/>
        <family val="2"/>
      </rPr>
      <t>2259SV</t>
    </r>
  </si>
  <si>
    <r>
      <rPr>
        <sz val="9"/>
        <rFont val="Arial MT"/>
        <family val="2"/>
      </rPr>
      <t>2260SV</t>
    </r>
  </si>
  <si>
    <r>
      <rPr>
        <sz val="9"/>
        <rFont val="Arial MT"/>
        <family val="2"/>
      </rPr>
      <t>2261SV</t>
    </r>
  </si>
  <si>
    <r>
      <rPr>
        <sz val="9"/>
        <rFont val="Arial MT"/>
        <family val="2"/>
      </rPr>
      <t>2262SV</t>
    </r>
  </si>
  <si>
    <r>
      <rPr>
        <sz val="9"/>
        <rFont val="Arial MT"/>
        <family val="2"/>
      </rPr>
      <t>2254SV</t>
    </r>
  </si>
  <si>
    <r>
      <rPr>
        <sz val="9"/>
        <rFont val="Arial MT"/>
        <family val="2"/>
      </rPr>
      <t>2255SV</t>
    </r>
  </si>
  <si>
    <r>
      <rPr>
        <sz val="9"/>
        <rFont val="Arial MT"/>
        <family val="2"/>
      </rPr>
      <t>2256SV</t>
    </r>
  </si>
  <si>
    <r>
      <rPr>
        <sz val="9"/>
        <rFont val="Arial MT"/>
        <family val="2"/>
      </rPr>
      <t>2257SV</t>
    </r>
  </si>
  <si>
    <r>
      <rPr>
        <sz val="9"/>
        <rFont val="Arial MT"/>
        <family val="2"/>
      </rPr>
      <t>2248SV</t>
    </r>
  </si>
  <si>
    <r>
      <rPr>
        <sz val="9"/>
        <rFont val="Arial MT"/>
        <family val="2"/>
      </rPr>
      <t>2249SV</t>
    </r>
  </si>
  <si>
    <r>
      <rPr>
        <sz val="9"/>
        <rFont val="Arial MT"/>
        <family val="2"/>
      </rPr>
      <t>2251SV</t>
    </r>
  </si>
  <si>
    <r>
      <rPr>
        <sz val="9"/>
        <rFont val="Arial MT"/>
        <family val="2"/>
      </rPr>
      <t>2252SV</t>
    </r>
  </si>
  <si>
    <r>
      <rPr>
        <sz val="9"/>
        <rFont val="Arial MT"/>
        <family val="2"/>
      </rPr>
      <t>2243SV</t>
    </r>
  </si>
  <si>
    <r>
      <rPr>
        <sz val="9"/>
        <rFont val="Arial MT"/>
        <family val="2"/>
      </rPr>
      <t>2246SV</t>
    </r>
  </si>
  <si>
    <r>
      <rPr>
        <sz val="9"/>
        <rFont val="Arial MT"/>
        <family val="2"/>
      </rPr>
      <t>2247SV</t>
    </r>
  </si>
  <si>
    <r>
      <rPr>
        <sz val="9"/>
        <rFont val="Arial MT"/>
        <family val="2"/>
      </rPr>
      <t>2245SV</t>
    </r>
  </si>
  <si>
    <r>
      <rPr>
        <sz val="9"/>
        <rFont val="Arial MT"/>
        <family val="2"/>
      </rPr>
      <t>2239SV</t>
    </r>
  </si>
  <si>
    <r>
      <rPr>
        <sz val="9"/>
        <rFont val="Arial MT"/>
        <family val="2"/>
      </rPr>
      <t>2240SV</t>
    </r>
  </si>
  <si>
    <r>
      <rPr>
        <sz val="9"/>
        <rFont val="Arial MT"/>
        <family val="2"/>
      </rPr>
      <t>2233SV</t>
    </r>
  </si>
  <si>
    <r>
      <rPr>
        <sz val="9"/>
        <rFont val="Arial MT"/>
        <family val="2"/>
      </rPr>
      <t>2234SV</t>
    </r>
  </si>
  <si>
    <r>
      <rPr>
        <sz val="9"/>
        <rFont val="Arial MT"/>
        <family val="2"/>
      </rPr>
      <t>2235SV</t>
    </r>
  </si>
  <si>
    <r>
      <rPr>
        <sz val="9"/>
        <rFont val="Arial MT"/>
        <family val="2"/>
      </rPr>
      <t>2236SV</t>
    </r>
  </si>
  <si>
    <r>
      <rPr>
        <sz val="9"/>
        <rFont val="Arial MT"/>
        <family val="2"/>
      </rPr>
      <t>2237SV</t>
    </r>
  </si>
  <si>
    <r>
      <rPr>
        <sz val="9"/>
        <rFont val="Arial MT"/>
        <family val="2"/>
      </rPr>
      <t>2229SV</t>
    </r>
  </si>
  <si>
    <r>
      <rPr>
        <sz val="9"/>
        <rFont val="Arial MT"/>
        <family val="2"/>
      </rPr>
      <t>2230SV</t>
    </r>
  </si>
  <si>
    <r>
      <rPr>
        <sz val="9"/>
        <rFont val="Arial MT"/>
        <family val="2"/>
      </rPr>
      <t>2231SV</t>
    </r>
  </si>
  <si>
    <r>
      <rPr>
        <sz val="9"/>
        <rFont val="Arial MT"/>
        <family val="2"/>
      </rPr>
      <t>2232SV</t>
    </r>
  </si>
  <si>
    <r>
      <rPr>
        <sz val="9"/>
        <rFont val="Arial MT"/>
        <family val="2"/>
      </rPr>
      <t>2223SV</t>
    </r>
  </si>
  <si>
    <r>
      <rPr>
        <sz val="9"/>
        <rFont val="Arial MT"/>
        <family val="2"/>
      </rPr>
      <t>2224SV</t>
    </r>
  </si>
  <si>
    <r>
      <rPr>
        <sz val="9"/>
        <rFont val="Arial MT"/>
        <family val="2"/>
      </rPr>
      <t>2225SV</t>
    </r>
  </si>
  <si>
    <r>
      <rPr>
        <sz val="9"/>
        <rFont val="Arial MT"/>
        <family val="2"/>
      </rPr>
      <t>2227SV</t>
    </r>
  </si>
  <si>
    <r>
      <rPr>
        <sz val="9"/>
        <rFont val="Arial MT"/>
        <family val="2"/>
      </rPr>
      <t>2218SV</t>
    </r>
  </si>
  <si>
    <r>
      <rPr>
        <sz val="9"/>
        <rFont val="Arial MT"/>
        <family val="2"/>
      </rPr>
      <t>2219SV</t>
    </r>
  </si>
  <si>
    <r>
      <rPr>
        <sz val="9"/>
        <rFont val="Arial MT"/>
        <family val="2"/>
      </rPr>
      <t>2220SV</t>
    </r>
  </si>
  <si>
    <r>
      <rPr>
        <sz val="9"/>
        <rFont val="Arial MT"/>
        <family val="2"/>
      </rPr>
      <t>2222SV</t>
    </r>
  </si>
  <si>
    <r>
      <rPr>
        <sz val="9"/>
        <rFont val="Arial MT"/>
        <family val="2"/>
      </rPr>
      <t>2213SV</t>
    </r>
  </si>
  <si>
    <r>
      <rPr>
        <sz val="9"/>
        <rFont val="Arial MT"/>
        <family val="2"/>
      </rPr>
      <t>2214SV</t>
    </r>
  </si>
  <si>
    <r>
      <rPr>
        <sz val="9"/>
        <rFont val="Arial MT"/>
        <family val="2"/>
      </rPr>
      <t>2215SV</t>
    </r>
  </si>
  <si>
    <r>
      <rPr>
        <sz val="9"/>
        <rFont val="Arial MT"/>
        <family val="2"/>
      </rPr>
      <t>2216SV</t>
    </r>
  </si>
  <si>
    <r>
      <rPr>
        <sz val="9"/>
        <rFont val="Arial MT"/>
        <family val="2"/>
      </rPr>
      <t>2217SV</t>
    </r>
  </si>
  <si>
    <r>
      <rPr>
        <sz val="9"/>
        <rFont val="Arial MT"/>
        <family val="2"/>
      </rPr>
      <t>2209SV</t>
    </r>
  </si>
  <si>
    <r>
      <rPr>
        <sz val="9"/>
        <rFont val="Arial MT"/>
        <family val="2"/>
      </rPr>
      <t>2210SV</t>
    </r>
  </si>
  <si>
    <r>
      <rPr>
        <sz val="9"/>
        <rFont val="Arial MT"/>
        <family val="2"/>
      </rPr>
      <t>2211SV</t>
    </r>
  </si>
  <si>
    <r>
      <rPr>
        <sz val="9"/>
        <rFont val="Arial MT"/>
        <family val="2"/>
      </rPr>
      <t>2212SV</t>
    </r>
  </si>
  <si>
    <r>
      <rPr>
        <sz val="9"/>
        <rFont val="Arial MT"/>
        <family val="2"/>
      </rPr>
      <t>2202SV</t>
    </r>
  </si>
  <si>
    <r>
      <rPr>
        <sz val="9"/>
        <rFont val="Arial MT"/>
        <family val="2"/>
      </rPr>
      <t>2203SV</t>
    </r>
  </si>
  <si>
    <r>
      <rPr>
        <sz val="9"/>
        <rFont val="Arial MT"/>
        <family val="2"/>
      </rPr>
      <t>2204SV</t>
    </r>
  </si>
  <si>
    <r>
      <rPr>
        <sz val="9"/>
        <rFont val="Arial MT"/>
        <family val="2"/>
      </rPr>
      <t>2205SV</t>
    </r>
  </si>
  <si>
    <r>
      <rPr>
        <sz val="9"/>
        <rFont val="Arial MT"/>
        <family val="2"/>
      </rPr>
      <t>2206SV</t>
    </r>
  </si>
  <si>
    <r>
      <rPr>
        <sz val="9"/>
        <rFont val="Arial MT"/>
        <family val="2"/>
      </rPr>
      <t>2207SV</t>
    </r>
  </si>
  <si>
    <r>
      <rPr>
        <sz val="9"/>
        <rFont val="Arial MT"/>
        <family val="2"/>
      </rPr>
      <t>2208SV</t>
    </r>
  </si>
  <si>
    <r>
      <rPr>
        <sz val="9"/>
        <rFont val="Arial MT"/>
        <family val="2"/>
      </rPr>
      <t>2193SV</t>
    </r>
  </si>
  <si>
    <r>
      <rPr>
        <sz val="9"/>
        <rFont val="Arial MT"/>
        <family val="2"/>
      </rPr>
      <t>2194SV</t>
    </r>
  </si>
  <si>
    <r>
      <rPr>
        <sz val="9"/>
        <rFont val="Arial MT"/>
        <family val="2"/>
      </rPr>
      <t>2195SV</t>
    </r>
  </si>
  <si>
    <r>
      <rPr>
        <sz val="9"/>
        <rFont val="Arial MT"/>
        <family val="2"/>
      </rPr>
      <t>2196SV</t>
    </r>
  </si>
  <si>
    <r>
      <rPr>
        <sz val="9"/>
        <rFont val="Arial MT"/>
        <family val="2"/>
      </rPr>
      <t>2197SV</t>
    </r>
  </si>
  <si>
    <r>
      <rPr>
        <sz val="9"/>
        <rFont val="Arial MT"/>
        <family val="2"/>
      </rPr>
      <t>2199SV</t>
    </r>
  </si>
  <si>
    <r>
      <rPr>
        <sz val="9"/>
        <rFont val="Arial MT"/>
        <family val="2"/>
      </rPr>
      <t>P2967</t>
    </r>
  </si>
  <si>
    <r>
      <rPr>
        <sz val="9"/>
        <rFont val="Arial MT"/>
        <family val="2"/>
      </rPr>
      <t>2184SV</t>
    </r>
  </si>
  <si>
    <r>
      <rPr>
        <sz val="9"/>
        <rFont val="Arial MT"/>
        <family val="2"/>
      </rPr>
      <t>2185SV</t>
    </r>
  </si>
  <si>
    <r>
      <rPr>
        <sz val="9"/>
        <rFont val="Arial MT"/>
        <family val="2"/>
      </rPr>
      <t>2186SV</t>
    </r>
  </si>
  <si>
    <r>
      <rPr>
        <sz val="9"/>
        <rFont val="Arial MT"/>
        <family val="2"/>
      </rPr>
      <t>2188SV</t>
    </r>
  </si>
  <si>
    <r>
      <rPr>
        <sz val="9"/>
        <rFont val="Arial MT"/>
        <family val="2"/>
      </rPr>
      <t>2189SV</t>
    </r>
  </si>
  <si>
    <r>
      <rPr>
        <sz val="9"/>
        <rFont val="Arial MT"/>
        <family val="2"/>
      </rPr>
      <t>2190SV</t>
    </r>
  </si>
  <si>
    <r>
      <rPr>
        <sz val="9"/>
        <rFont val="Arial MT"/>
        <family val="2"/>
      </rPr>
      <t>2191SV</t>
    </r>
  </si>
  <si>
    <r>
      <rPr>
        <sz val="9"/>
        <rFont val="Arial MT"/>
        <family val="2"/>
      </rPr>
      <t>2192SV</t>
    </r>
  </si>
  <si>
    <r>
      <rPr>
        <sz val="9"/>
        <rFont val="Arial MT"/>
        <family val="2"/>
      </rPr>
      <t>2178SV</t>
    </r>
  </si>
  <si>
    <r>
      <rPr>
        <sz val="9"/>
        <rFont val="Arial MT"/>
        <family val="2"/>
      </rPr>
      <t>2179SV</t>
    </r>
  </si>
  <si>
    <r>
      <rPr>
        <sz val="9"/>
        <rFont val="Arial MT"/>
        <family val="2"/>
      </rPr>
      <t>2180SV</t>
    </r>
  </si>
  <si>
    <r>
      <rPr>
        <sz val="9"/>
        <rFont val="Arial MT"/>
        <family val="2"/>
      </rPr>
      <t>2181SV</t>
    </r>
  </si>
  <si>
    <r>
      <rPr>
        <sz val="9"/>
        <rFont val="Arial MT"/>
        <family val="2"/>
      </rPr>
      <t>2182SV</t>
    </r>
  </si>
  <si>
    <r>
      <rPr>
        <sz val="9"/>
        <rFont val="Arial MT"/>
        <family val="2"/>
      </rPr>
      <t>2174SV</t>
    </r>
  </si>
  <si>
    <r>
      <rPr>
        <sz val="9"/>
        <rFont val="Arial MT"/>
        <family val="2"/>
      </rPr>
      <t>2175SV</t>
    </r>
  </si>
  <si>
    <r>
      <rPr>
        <sz val="9"/>
        <rFont val="Arial MT"/>
        <family val="2"/>
      </rPr>
      <t>2176SV</t>
    </r>
  </si>
  <si>
    <r>
      <rPr>
        <sz val="9"/>
        <rFont val="Arial MT"/>
        <family val="2"/>
      </rPr>
      <t>2177SV</t>
    </r>
  </si>
  <si>
    <r>
      <rPr>
        <sz val="9"/>
        <rFont val="Arial MT"/>
        <family val="2"/>
      </rPr>
      <t>2168SV</t>
    </r>
  </si>
  <si>
    <r>
      <rPr>
        <sz val="9"/>
        <rFont val="Arial MT"/>
        <family val="2"/>
      </rPr>
      <t>2169SV</t>
    </r>
  </si>
  <si>
    <r>
      <rPr>
        <sz val="9"/>
        <rFont val="Arial MT"/>
        <family val="2"/>
      </rPr>
      <t>2170SV</t>
    </r>
  </si>
  <si>
    <r>
      <rPr>
        <sz val="9"/>
        <rFont val="Arial MT"/>
        <family val="2"/>
      </rPr>
      <t>2171SV</t>
    </r>
  </si>
  <si>
    <r>
      <rPr>
        <sz val="9"/>
        <rFont val="Arial MT"/>
        <family val="2"/>
      </rPr>
      <t>2172SV</t>
    </r>
  </si>
  <si>
    <r>
      <rPr>
        <sz val="9"/>
        <rFont val="Arial MT"/>
        <family val="2"/>
      </rPr>
      <t>2173SV</t>
    </r>
  </si>
  <si>
    <r>
      <rPr>
        <sz val="9"/>
        <rFont val="Arial MT"/>
        <family val="2"/>
      </rPr>
      <t>2155SV</t>
    </r>
  </si>
  <si>
    <r>
      <rPr>
        <sz val="9"/>
        <rFont val="Arial MT"/>
        <family val="2"/>
      </rPr>
      <t>2156SV</t>
    </r>
  </si>
  <si>
    <r>
      <rPr>
        <sz val="9"/>
        <rFont val="Arial MT"/>
        <family val="2"/>
      </rPr>
      <t>2166SV</t>
    </r>
  </si>
  <si>
    <r>
      <rPr>
        <sz val="9"/>
        <rFont val="Arial MT"/>
        <family val="2"/>
      </rPr>
      <t>2167SV</t>
    </r>
  </si>
  <si>
    <r>
      <rPr>
        <sz val="9"/>
        <rFont val="Arial MT"/>
        <family val="2"/>
      </rPr>
      <t>2158SV</t>
    </r>
  </si>
  <si>
    <r>
      <rPr>
        <sz val="9"/>
        <rFont val="Arial MT"/>
        <family val="2"/>
      </rPr>
      <t>2159SV</t>
    </r>
  </si>
  <si>
    <r>
      <rPr>
        <sz val="9"/>
        <rFont val="Arial MT"/>
        <family val="2"/>
      </rPr>
      <t>2160SV</t>
    </r>
  </si>
  <si>
    <r>
      <rPr>
        <sz val="9"/>
        <rFont val="Arial MT"/>
        <family val="2"/>
      </rPr>
      <t>2161SV</t>
    </r>
  </si>
  <si>
    <r>
      <rPr>
        <sz val="9"/>
        <rFont val="Arial MT"/>
        <family val="2"/>
      </rPr>
      <t>2162SV</t>
    </r>
  </si>
  <si>
    <r>
      <rPr>
        <sz val="9"/>
        <rFont val="Arial MT"/>
        <family val="2"/>
      </rPr>
      <t>VR05</t>
    </r>
  </si>
  <si>
    <r>
      <rPr>
        <sz val="9"/>
        <rFont val="Arial MT"/>
        <family val="2"/>
      </rPr>
      <t>2153SV</t>
    </r>
  </si>
  <si>
    <r>
      <rPr>
        <sz val="9"/>
        <rFont val="Arial MT"/>
        <family val="2"/>
      </rPr>
      <t>2154SV</t>
    </r>
  </si>
  <si>
    <r>
      <rPr>
        <sz val="9"/>
        <rFont val="Arial MT"/>
        <family val="2"/>
      </rPr>
      <t>2157SV</t>
    </r>
  </si>
  <si>
    <r>
      <rPr>
        <sz val="9"/>
        <rFont val="Arial MT"/>
        <family val="2"/>
      </rPr>
      <t>2148SV</t>
    </r>
  </si>
  <si>
    <r>
      <rPr>
        <sz val="9"/>
        <rFont val="Arial MT"/>
        <family val="2"/>
      </rPr>
      <t>2150SV</t>
    </r>
  </si>
  <si>
    <r>
      <rPr>
        <sz val="9"/>
        <rFont val="Arial MT"/>
        <family val="2"/>
      </rPr>
      <t>2152SV</t>
    </r>
  </si>
  <si>
    <r>
      <rPr>
        <sz val="9"/>
        <rFont val="Arial MT"/>
        <family val="2"/>
      </rPr>
      <t>2143SV</t>
    </r>
  </si>
  <si>
    <r>
      <rPr>
        <sz val="9"/>
        <rFont val="Arial MT"/>
        <family val="2"/>
      </rPr>
      <t>2144SV</t>
    </r>
  </si>
  <si>
    <r>
      <rPr>
        <sz val="9"/>
        <rFont val="Arial MT"/>
        <family val="2"/>
      </rPr>
      <t>2145SV</t>
    </r>
  </si>
  <si>
    <r>
      <rPr>
        <sz val="9"/>
        <rFont val="Arial MT"/>
        <family val="2"/>
      </rPr>
      <t>2147SV</t>
    </r>
  </si>
  <si>
    <r>
      <rPr>
        <sz val="9"/>
        <rFont val="Arial MT"/>
        <family val="2"/>
      </rPr>
      <t>2138SV</t>
    </r>
  </si>
  <si>
    <r>
      <rPr>
        <sz val="9"/>
        <rFont val="Arial MT"/>
        <family val="2"/>
      </rPr>
      <t>2139SV</t>
    </r>
  </si>
  <si>
    <r>
      <rPr>
        <sz val="9"/>
        <rFont val="Arial MT"/>
        <family val="2"/>
      </rPr>
      <t>2141SV</t>
    </r>
  </si>
  <si>
    <r>
      <rPr>
        <sz val="9"/>
        <rFont val="Arial MT"/>
        <family val="2"/>
      </rPr>
      <t>2142SV</t>
    </r>
  </si>
  <si>
    <r>
      <rPr>
        <sz val="9"/>
        <rFont val="Arial MT"/>
        <family val="2"/>
      </rPr>
      <t>2133SV</t>
    </r>
  </si>
  <si>
    <r>
      <rPr>
        <sz val="9"/>
        <rFont val="Arial MT"/>
        <family val="2"/>
      </rPr>
      <t>2134SV</t>
    </r>
  </si>
  <si>
    <r>
      <rPr>
        <sz val="9"/>
        <rFont val="Arial MT"/>
        <family val="2"/>
      </rPr>
      <t>2136SV</t>
    </r>
  </si>
  <si>
    <r>
      <rPr>
        <sz val="9"/>
        <rFont val="Arial MT"/>
        <family val="2"/>
      </rPr>
      <t>2128SV</t>
    </r>
  </si>
  <si>
    <r>
      <rPr>
        <sz val="9"/>
        <rFont val="Arial MT"/>
        <family val="2"/>
      </rPr>
      <t>2129SV</t>
    </r>
  </si>
  <si>
    <r>
      <rPr>
        <sz val="9"/>
        <rFont val="Arial MT"/>
        <family val="2"/>
      </rPr>
      <t>2130SV</t>
    </r>
  </si>
  <si>
    <r>
      <rPr>
        <sz val="9"/>
        <rFont val="Arial MT"/>
        <family val="2"/>
      </rPr>
      <t>2131SV</t>
    </r>
  </si>
  <si>
    <r>
      <rPr>
        <sz val="9"/>
        <rFont val="Arial MT"/>
        <family val="2"/>
      </rPr>
      <t>2124SV</t>
    </r>
  </si>
  <si>
    <r>
      <rPr>
        <sz val="9"/>
        <rFont val="Arial MT"/>
        <family val="2"/>
      </rPr>
      <t>2125SV</t>
    </r>
  </si>
  <si>
    <r>
      <rPr>
        <sz val="9"/>
        <rFont val="Arial MT"/>
        <family val="2"/>
      </rPr>
      <t>2126SV</t>
    </r>
  </si>
  <si>
    <r>
      <rPr>
        <sz val="9"/>
        <rFont val="Arial MT"/>
        <family val="2"/>
      </rPr>
      <t>2127SV</t>
    </r>
  </si>
  <si>
    <r>
      <rPr>
        <sz val="9"/>
        <rFont val="Arial MT"/>
        <family val="2"/>
      </rPr>
      <t>2118SV</t>
    </r>
  </si>
  <si>
    <r>
      <rPr>
        <sz val="9"/>
        <rFont val="Arial MT"/>
        <family val="2"/>
      </rPr>
      <t>2119SV</t>
    </r>
  </si>
  <si>
    <r>
      <rPr>
        <sz val="9"/>
        <rFont val="Arial MT"/>
        <family val="2"/>
      </rPr>
      <t>2120SV</t>
    </r>
  </si>
  <si>
    <r>
      <rPr>
        <sz val="9"/>
        <rFont val="Arial MT"/>
        <family val="2"/>
      </rPr>
      <t>2122SV</t>
    </r>
  </si>
  <si>
    <r>
      <rPr>
        <sz val="9"/>
        <rFont val="Arial MT"/>
        <family val="2"/>
      </rPr>
      <t>2113SV</t>
    </r>
  </si>
  <si>
    <r>
      <rPr>
        <sz val="9"/>
        <rFont val="Arial MT"/>
        <family val="2"/>
      </rPr>
      <t>2114SV</t>
    </r>
  </si>
  <si>
    <r>
      <rPr>
        <sz val="9"/>
        <rFont val="Arial MT"/>
        <family val="2"/>
      </rPr>
      <t>2115SV</t>
    </r>
  </si>
  <si>
    <r>
      <rPr>
        <sz val="9"/>
        <rFont val="Arial MT"/>
        <family val="2"/>
      </rPr>
      <t>2117SV</t>
    </r>
  </si>
  <si>
    <r>
      <rPr>
        <sz val="9"/>
        <rFont val="Arial MT"/>
        <family val="2"/>
      </rPr>
      <t>2110SV</t>
    </r>
  </si>
  <si>
    <r>
      <rPr>
        <sz val="9"/>
        <rFont val="Arial MT"/>
        <family val="2"/>
      </rPr>
      <t>2111SV</t>
    </r>
  </si>
  <si>
    <r>
      <rPr>
        <sz val="9"/>
        <rFont val="Arial MT"/>
        <family val="2"/>
      </rPr>
      <t>2112SV</t>
    </r>
  </si>
  <si>
    <r>
      <rPr>
        <sz val="9"/>
        <rFont val="Arial MT"/>
        <family val="2"/>
      </rPr>
      <t>2104SV</t>
    </r>
  </si>
  <si>
    <r>
      <rPr>
        <sz val="9"/>
        <rFont val="Arial MT"/>
        <family val="2"/>
      </rPr>
      <t>2105SV</t>
    </r>
  </si>
  <si>
    <r>
      <rPr>
        <sz val="9"/>
        <rFont val="Arial MT"/>
        <family val="2"/>
      </rPr>
      <t>2107SV</t>
    </r>
  </si>
  <si>
    <r>
      <rPr>
        <sz val="9"/>
        <rFont val="Arial MT"/>
        <family val="2"/>
      </rPr>
      <t>2098SV</t>
    </r>
  </si>
  <si>
    <r>
      <rPr>
        <sz val="9"/>
        <rFont val="Arial MT"/>
        <family val="2"/>
      </rPr>
      <t>2099SV</t>
    </r>
  </si>
  <si>
    <r>
      <rPr>
        <sz val="9"/>
        <rFont val="Arial MT"/>
        <family val="2"/>
      </rPr>
      <t>2100SV</t>
    </r>
  </si>
  <si>
    <r>
      <rPr>
        <sz val="9"/>
        <rFont val="Arial MT"/>
        <family val="2"/>
      </rPr>
      <t>2094SV</t>
    </r>
  </si>
  <si>
    <r>
      <rPr>
        <sz val="9"/>
        <rFont val="Arial MT"/>
        <family val="2"/>
      </rPr>
      <t>2096SV</t>
    </r>
  </si>
  <si>
    <r>
      <rPr>
        <sz val="9"/>
        <rFont val="Arial MT"/>
        <family val="2"/>
      </rPr>
      <t>2097SV</t>
    </r>
  </si>
  <si>
    <r>
      <rPr>
        <sz val="9"/>
        <rFont val="Arial MT"/>
        <family val="2"/>
      </rPr>
      <t>2088SV</t>
    </r>
  </si>
  <si>
    <r>
      <rPr>
        <sz val="9"/>
        <rFont val="Arial MT"/>
        <family val="2"/>
      </rPr>
      <t>2090SV</t>
    </r>
  </si>
  <si>
    <r>
      <rPr>
        <sz val="9"/>
        <rFont val="Arial MT"/>
        <family val="2"/>
      </rPr>
      <t>2091SV</t>
    </r>
  </si>
  <si>
    <r>
      <rPr>
        <sz val="9"/>
        <rFont val="Arial MT"/>
        <family val="2"/>
      </rPr>
      <t>2092SV</t>
    </r>
  </si>
  <si>
    <r>
      <rPr>
        <sz val="9"/>
        <rFont val="Arial MT"/>
        <family val="2"/>
      </rPr>
      <t>2087SV</t>
    </r>
  </si>
  <si>
    <r>
      <rPr>
        <sz val="9"/>
        <rFont val="Arial MT"/>
        <family val="2"/>
      </rPr>
      <t>2085SV</t>
    </r>
  </si>
  <si>
    <r>
      <rPr>
        <sz val="9"/>
        <rFont val="Arial MT"/>
        <family val="2"/>
      </rPr>
      <t>2083SV</t>
    </r>
  </si>
  <si>
    <r>
      <rPr>
        <sz val="9"/>
        <rFont val="Arial MT"/>
        <family val="2"/>
      </rPr>
      <t>2077SV</t>
    </r>
  </si>
  <si>
    <r>
      <rPr>
        <sz val="9"/>
        <rFont val="Arial MT"/>
        <family val="2"/>
      </rPr>
      <t>2078SV</t>
    </r>
  </si>
  <si>
    <r>
      <rPr>
        <sz val="9"/>
        <rFont val="Arial MT"/>
        <family val="2"/>
      </rPr>
      <t>2079SV</t>
    </r>
  </si>
  <si>
    <r>
      <rPr>
        <sz val="9"/>
        <rFont val="Arial MT"/>
        <family val="2"/>
      </rPr>
      <t>2080SV</t>
    </r>
  </si>
  <si>
    <r>
      <rPr>
        <sz val="9"/>
        <rFont val="Arial MT"/>
        <family val="2"/>
      </rPr>
      <t>2082SV</t>
    </r>
  </si>
  <si>
    <r>
      <rPr>
        <sz val="9"/>
        <rFont val="Arial MT"/>
        <family val="2"/>
      </rPr>
      <t>2072SV</t>
    </r>
  </si>
  <si>
    <r>
      <rPr>
        <sz val="9"/>
        <rFont val="Arial MT"/>
        <family val="2"/>
      </rPr>
      <t>2075SV</t>
    </r>
  </si>
  <si>
    <r>
      <rPr>
        <sz val="9"/>
        <rFont val="Arial MT"/>
        <family val="2"/>
      </rPr>
      <t>2076SV</t>
    </r>
  </si>
  <si>
    <r>
      <rPr>
        <sz val="9"/>
        <rFont val="Arial MT"/>
        <family val="2"/>
      </rPr>
      <t>2066SV</t>
    </r>
  </si>
  <si>
    <r>
      <rPr>
        <sz val="9"/>
        <rFont val="Arial MT"/>
        <family val="2"/>
      </rPr>
      <t>2067SV</t>
    </r>
  </si>
  <si>
    <r>
      <rPr>
        <sz val="9"/>
        <rFont val="Arial MT"/>
        <family val="2"/>
      </rPr>
      <t>2068SV</t>
    </r>
  </si>
  <si>
    <r>
      <rPr>
        <sz val="9"/>
        <rFont val="Arial MT"/>
        <family val="2"/>
      </rPr>
      <t>2069SV</t>
    </r>
  </si>
  <si>
    <r>
      <rPr>
        <sz val="9"/>
        <rFont val="Arial MT"/>
        <family val="2"/>
      </rPr>
      <t>2064SV</t>
    </r>
  </si>
  <si>
    <r>
      <rPr>
        <sz val="9"/>
        <rFont val="Arial MT"/>
        <family val="2"/>
      </rPr>
      <t>2065SV</t>
    </r>
  </si>
  <si>
    <r>
      <rPr>
        <sz val="9"/>
        <rFont val="Arial MT"/>
        <family val="2"/>
      </rPr>
      <t>2056SV</t>
    </r>
  </si>
  <si>
    <r>
      <rPr>
        <sz val="9"/>
        <rFont val="Arial MT"/>
        <family val="2"/>
      </rPr>
      <t>2057SV</t>
    </r>
  </si>
  <si>
    <r>
      <rPr>
        <sz val="9"/>
        <rFont val="Arial MT"/>
        <family val="2"/>
      </rPr>
      <t>2058SV</t>
    </r>
  </si>
  <si>
    <r>
      <rPr>
        <sz val="9"/>
        <rFont val="Arial MT"/>
        <family val="2"/>
      </rPr>
      <t>2059SV</t>
    </r>
  </si>
  <si>
    <r>
      <rPr>
        <sz val="9"/>
        <rFont val="Arial MT"/>
        <family val="2"/>
      </rPr>
      <t>2060SV</t>
    </r>
  </si>
  <si>
    <r>
      <rPr>
        <sz val="9"/>
        <rFont val="Arial MT"/>
        <family val="2"/>
      </rPr>
      <t>2052SV</t>
    </r>
  </si>
  <si>
    <r>
      <rPr>
        <sz val="9"/>
        <rFont val="Arial MT"/>
        <family val="2"/>
      </rPr>
      <t>2054SV</t>
    </r>
  </si>
  <si>
    <r>
      <rPr>
        <sz val="9"/>
        <rFont val="Arial MT"/>
        <family val="2"/>
      </rPr>
      <t>2055SV</t>
    </r>
  </si>
  <si>
    <r>
      <rPr>
        <sz val="9"/>
        <rFont val="Arial MT"/>
        <family val="2"/>
      </rPr>
      <t>2046SV</t>
    </r>
  </si>
  <si>
    <r>
      <rPr>
        <sz val="9"/>
        <rFont val="Arial MT"/>
        <family val="2"/>
      </rPr>
      <t>2048SV</t>
    </r>
  </si>
  <si>
    <r>
      <rPr>
        <sz val="9"/>
        <rFont val="Arial MT"/>
        <family val="2"/>
      </rPr>
      <t>2045SV</t>
    </r>
  </si>
  <si>
    <r>
      <rPr>
        <sz val="9"/>
        <rFont val="Arial MT"/>
        <family val="2"/>
      </rPr>
      <t>2043SV</t>
    </r>
  </si>
  <si>
    <r>
      <rPr>
        <sz val="9"/>
        <rFont val="Arial MT"/>
        <family val="2"/>
      </rPr>
      <t>2049SV</t>
    </r>
  </si>
  <si>
    <r>
      <rPr>
        <sz val="9"/>
        <rFont val="Arial MT"/>
        <family val="2"/>
      </rPr>
      <t>2050SV</t>
    </r>
  </si>
  <si>
    <r>
      <rPr>
        <sz val="9"/>
        <rFont val="Arial MT"/>
        <family val="2"/>
      </rPr>
      <t>2038SV</t>
    </r>
  </si>
  <si>
    <r>
      <rPr>
        <sz val="9"/>
        <rFont val="Arial MT"/>
        <family val="2"/>
      </rPr>
      <t>2039SV</t>
    </r>
  </si>
  <si>
    <r>
      <rPr>
        <sz val="9"/>
        <rFont val="Arial MT"/>
        <family val="2"/>
      </rPr>
      <t>2031SV</t>
    </r>
  </si>
  <si>
    <r>
      <rPr>
        <sz val="9"/>
        <rFont val="Arial MT"/>
        <family val="2"/>
      </rPr>
      <t>2032SV</t>
    </r>
  </si>
  <si>
    <r>
      <rPr>
        <sz val="9"/>
        <rFont val="Arial MT"/>
        <family val="2"/>
      </rPr>
      <t>2033SV</t>
    </r>
  </si>
  <si>
    <r>
      <rPr>
        <sz val="9"/>
        <rFont val="Arial MT"/>
        <family val="2"/>
      </rPr>
      <t>2034SV</t>
    </r>
  </si>
  <si>
    <r>
      <rPr>
        <sz val="9"/>
        <rFont val="Arial MT"/>
        <family val="2"/>
      </rPr>
      <t>2035SV</t>
    </r>
  </si>
  <si>
    <r>
      <rPr>
        <sz val="9"/>
        <rFont val="Arial MT"/>
        <family val="2"/>
      </rPr>
      <t>2026SV</t>
    </r>
  </si>
  <si>
    <r>
      <rPr>
        <sz val="9"/>
        <rFont val="Arial MT"/>
        <family val="2"/>
      </rPr>
      <t>2028SV</t>
    </r>
  </si>
  <si>
    <r>
      <rPr>
        <sz val="9"/>
        <rFont val="Arial MT"/>
        <family val="2"/>
      </rPr>
      <t>2029SV</t>
    </r>
  </si>
  <si>
    <r>
      <rPr>
        <sz val="9"/>
        <rFont val="Arial MT"/>
        <family val="2"/>
      </rPr>
      <t>2042SV</t>
    </r>
  </si>
  <si>
    <r>
      <rPr>
        <sz val="9"/>
        <rFont val="Arial MT"/>
        <family val="2"/>
      </rPr>
      <t>2044SV</t>
    </r>
  </si>
  <si>
    <r>
      <rPr>
        <sz val="9"/>
        <rFont val="Arial MT"/>
        <family val="2"/>
      </rPr>
      <t>2022SV</t>
    </r>
  </si>
  <si>
    <r>
      <rPr>
        <sz val="9"/>
        <rFont val="Arial MT"/>
        <family val="2"/>
      </rPr>
      <t>2021SV</t>
    </r>
  </si>
  <si>
    <r>
      <rPr>
        <sz val="9"/>
        <rFont val="Arial MT"/>
        <family val="2"/>
      </rPr>
      <t>2024SV</t>
    </r>
  </si>
  <si>
    <r>
      <rPr>
        <sz val="9"/>
        <rFont val="Arial MT"/>
        <family val="2"/>
      </rPr>
      <t>2025SV</t>
    </r>
  </si>
  <si>
    <r>
      <rPr>
        <sz val="9"/>
        <rFont val="Arial MT"/>
        <family val="2"/>
      </rPr>
      <t>2040SV</t>
    </r>
  </si>
  <si>
    <r>
      <rPr>
        <sz val="9"/>
        <rFont val="Arial MT"/>
        <family val="2"/>
      </rPr>
      <t>2017SV</t>
    </r>
  </si>
  <si>
    <r>
      <rPr>
        <sz val="9"/>
        <rFont val="Arial MT"/>
        <family val="2"/>
      </rPr>
      <t>2018SV</t>
    </r>
  </si>
  <si>
    <r>
      <rPr>
        <sz val="9"/>
        <rFont val="Arial MT"/>
        <family val="2"/>
      </rPr>
      <t>2019SV</t>
    </r>
  </si>
  <si>
    <r>
      <rPr>
        <sz val="9"/>
        <rFont val="Arial MT"/>
        <family val="2"/>
      </rPr>
      <t>2020SV</t>
    </r>
  </si>
  <si>
    <r>
      <rPr>
        <sz val="9"/>
        <rFont val="Arial MT"/>
        <family val="2"/>
      </rPr>
      <t>2003SV</t>
    </r>
  </si>
  <si>
    <r>
      <rPr>
        <sz val="9"/>
        <rFont val="Arial MT"/>
        <family val="2"/>
      </rPr>
      <t>2004SV</t>
    </r>
  </si>
  <si>
    <r>
      <rPr>
        <sz val="9"/>
        <rFont val="Arial MT"/>
        <family val="2"/>
      </rPr>
      <t>2005SV</t>
    </r>
  </si>
  <si>
    <r>
      <rPr>
        <sz val="9"/>
        <rFont val="Arial MT"/>
        <family val="2"/>
      </rPr>
      <t>2011SV</t>
    </r>
  </si>
  <si>
    <r>
      <rPr>
        <sz val="9"/>
        <rFont val="Arial MT"/>
        <family val="2"/>
      </rPr>
      <t>2015SV</t>
    </r>
  </si>
  <si>
    <r>
      <rPr>
        <sz val="9"/>
        <rFont val="Arial MT"/>
        <family val="2"/>
      </rPr>
      <t>2007SV</t>
    </r>
  </si>
  <si>
    <r>
      <rPr>
        <sz val="9"/>
        <rFont val="Arial MT"/>
        <family val="2"/>
      </rPr>
      <t>2009SV</t>
    </r>
  </si>
  <si>
    <r>
      <rPr>
        <sz val="9"/>
        <rFont val="Arial MT"/>
        <family val="2"/>
      </rPr>
      <t>2010SV</t>
    </r>
  </si>
  <si>
    <r>
      <rPr>
        <sz val="9"/>
        <rFont val="Arial MT"/>
        <family val="2"/>
      </rPr>
      <t>1098SV</t>
    </r>
  </si>
  <si>
    <r>
      <rPr>
        <sz val="9"/>
        <rFont val="Arial MT"/>
        <family val="2"/>
      </rPr>
      <t>1099SV</t>
    </r>
  </si>
  <si>
    <r>
      <rPr>
        <sz val="9"/>
        <rFont val="Arial MT"/>
        <family val="2"/>
      </rPr>
      <t>2000SV</t>
    </r>
  </si>
  <si>
    <r>
      <rPr>
        <sz val="9"/>
        <rFont val="Arial MT"/>
        <family val="2"/>
      </rPr>
      <t>1091SV</t>
    </r>
  </si>
  <si>
    <r>
      <rPr>
        <sz val="9"/>
        <rFont val="Arial MT"/>
        <family val="2"/>
      </rPr>
      <t>1092SV</t>
    </r>
  </si>
  <si>
    <r>
      <rPr>
        <sz val="9"/>
        <rFont val="Arial MT"/>
        <family val="2"/>
      </rPr>
      <t>1093SV</t>
    </r>
  </si>
  <si>
    <r>
      <rPr>
        <sz val="9"/>
        <rFont val="Arial MT"/>
        <family val="2"/>
      </rPr>
      <t>1094SV</t>
    </r>
  </si>
  <si>
    <r>
      <rPr>
        <sz val="9"/>
        <rFont val="Arial MT"/>
        <family val="2"/>
      </rPr>
      <t>1095SV</t>
    </r>
  </si>
  <si>
    <r>
      <rPr>
        <sz val="9"/>
        <rFont val="Arial MT"/>
        <family val="2"/>
      </rPr>
      <t>1086SV</t>
    </r>
  </si>
  <si>
    <r>
      <rPr>
        <sz val="9"/>
        <rFont val="Arial MT"/>
        <family val="2"/>
      </rPr>
      <t>1087SV</t>
    </r>
  </si>
  <si>
    <r>
      <rPr>
        <sz val="9"/>
        <rFont val="Arial MT"/>
        <family val="2"/>
      </rPr>
      <t>1088SV</t>
    </r>
  </si>
  <si>
    <r>
      <rPr>
        <sz val="9"/>
        <rFont val="Arial MT"/>
        <family val="2"/>
      </rPr>
      <t>1089SV</t>
    </r>
  </si>
  <si>
    <r>
      <rPr>
        <sz val="9"/>
        <rFont val="Arial MT"/>
        <family val="2"/>
      </rPr>
      <t>1090SV</t>
    </r>
  </si>
  <si>
    <r>
      <rPr>
        <sz val="9"/>
        <rFont val="Arial MT"/>
        <family val="2"/>
      </rPr>
      <t>1083SV</t>
    </r>
  </si>
  <si>
    <r>
      <rPr>
        <sz val="9"/>
        <rFont val="Arial MT"/>
        <family val="2"/>
      </rPr>
      <t>1084SV</t>
    </r>
  </si>
  <si>
    <r>
      <rPr>
        <sz val="9"/>
        <rFont val="Arial MT"/>
        <family val="2"/>
      </rPr>
      <t>1078SV</t>
    </r>
  </si>
  <si>
    <r>
      <rPr>
        <sz val="9"/>
        <rFont val="Arial MT"/>
        <family val="2"/>
      </rPr>
      <t>1080SV</t>
    </r>
  </si>
  <si>
    <r>
      <rPr>
        <sz val="9"/>
        <rFont val="Arial MT"/>
        <family val="2"/>
      </rPr>
      <t>1081SV</t>
    </r>
  </si>
  <si>
    <r>
      <rPr>
        <sz val="9"/>
        <rFont val="Arial MT"/>
        <family val="2"/>
      </rPr>
      <t>1082SV</t>
    </r>
  </si>
  <si>
    <r>
      <rPr>
        <sz val="9"/>
        <rFont val="Arial MT"/>
        <family val="2"/>
      </rPr>
      <t>1077SV</t>
    </r>
  </si>
  <si>
    <r>
      <rPr>
        <sz val="9"/>
        <rFont val="Arial MT"/>
        <family val="2"/>
      </rPr>
      <t>1049SV</t>
    </r>
  </si>
  <si>
    <r>
      <rPr>
        <sz val="9"/>
        <rFont val="Arial MT"/>
        <family val="2"/>
      </rPr>
      <t>1052SV</t>
    </r>
  </si>
  <si>
    <r>
      <rPr>
        <sz val="9"/>
        <rFont val="Arial MT"/>
        <family val="2"/>
      </rPr>
      <t>1054SV</t>
    </r>
  </si>
  <si>
    <r>
      <rPr>
        <sz val="9"/>
        <rFont val="Arial MT"/>
        <family val="2"/>
      </rPr>
      <t>1073SV</t>
    </r>
  </si>
  <si>
    <r>
      <rPr>
        <sz val="9"/>
        <rFont val="Arial MT"/>
        <family val="2"/>
      </rPr>
      <t>1074SV</t>
    </r>
  </si>
  <si>
    <r>
      <rPr>
        <sz val="9"/>
        <rFont val="Arial MT"/>
        <family val="2"/>
      </rPr>
      <t>1075SV</t>
    </r>
  </si>
  <si>
    <r>
      <rPr>
        <sz val="9"/>
        <rFont val="Arial MT"/>
        <family val="2"/>
      </rPr>
      <t>1076SV</t>
    </r>
  </si>
  <si>
    <r>
      <rPr>
        <sz val="9"/>
        <rFont val="Arial MT"/>
        <family val="2"/>
      </rPr>
      <t>1068SV</t>
    </r>
  </si>
  <si>
    <r>
      <rPr>
        <sz val="9"/>
        <rFont val="Arial MT"/>
        <family val="2"/>
      </rPr>
      <t>1069SV</t>
    </r>
  </si>
  <si>
    <r>
      <rPr>
        <sz val="9"/>
        <rFont val="Arial MT"/>
        <family val="2"/>
      </rPr>
      <t>1070SV</t>
    </r>
  </si>
  <si>
    <r>
      <rPr>
        <sz val="9"/>
        <rFont val="Arial MT"/>
        <family val="2"/>
      </rPr>
      <t>1071SV</t>
    </r>
  </si>
  <si>
    <r>
      <rPr>
        <sz val="9"/>
        <rFont val="Arial MT"/>
        <family val="2"/>
      </rPr>
      <t>1062SV</t>
    </r>
  </si>
  <si>
    <r>
      <rPr>
        <sz val="9"/>
        <rFont val="Arial MT"/>
        <family val="2"/>
      </rPr>
      <t>1063SV</t>
    </r>
  </si>
  <si>
    <r>
      <rPr>
        <sz val="9"/>
        <rFont val="Arial MT"/>
        <family val="2"/>
      </rPr>
      <t>1055SV</t>
    </r>
  </si>
  <si>
    <r>
      <rPr>
        <sz val="9"/>
        <rFont val="Arial MT"/>
        <family val="2"/>
      </rPr>
      <t>1057SV</t>
    </r>
  </si>
  <si>
    <r>
      <rPr>
        <sz val="9"/>
        <rFont val="Arial MT"/>
        <family val="2"/>
      </rPr>
      <t>1058SV</t>
    </r>
  </si>
  <si>
    <r>
      <rPr>
        <sz val="9"/>
        <rFont val="Arial MT"/>
        <family val="2"/>
      </rPr>
      <t>1043SV</t>
    </r>
  </si>
  <si>
    <r>
      <rPr>
        <sz val="9"/>
        <rFont val="Arial MT"/>
        <family val="2"/>
      </rPr>
      <t>1044SV</t>
    </r>
  </si>
  <si>
    <r>
      <rPr>
        <sz val="9"/>
        <rFont val="Arial MT"/>
        <family val="2"/>
      </rPr>
      <t>1045SV</t>
    </r>
  </si>
  <si>
    <r>
      <rPr>
        <sz val="9"/>
        <rFont val="Arial MT"/>
        <family val="2"/>
      </rPr>
      <t>1048SV</t>
    </r>
  </si>
  <si>
    <r>
      <rPr>
        <sz val="9"/>
        <rFont val="Arial MT"/>
        <family val="2"/>
      </rPr>
      <t>1037SV</t>
    </r>
  </si>
  <si>
    <r>
      <rPr>
        <sz val="9"/>
        <rFont val="Arial MT"/>
        <family val="2"/>
      </rPr>
      <t>1038SV</t>
    </r>
  </si>
  <si>
    <r>
      <rPr>
        <sz val="9"/>
        <rFont val="Arial MT"/>
        <family val="2"/>
      </rPr>
      <t>1040SV</t>
    </r>
  </si>
  <si>
    <r>
      <rPr>
        <sz val="9"/>
        <rFont val="Arial MT"/>
        <family val="2"/>
      </rPr>
      <t>1042SV</t>
    </r>
  </si>
  <si>
    <r>
      <rPr>
        <sz val="9"/>
        <rFont val="Arial MT"/>
        <family val="2"/>
      </rPr>
      <t>1032SV</t>
    </r>
  </si>
  <si>
    <r>
      <rPr>
        <sz val="9"/>
        <rFont val="Arial MT"/>
        <family val="2"/>
      </rPr>
      <t>1034SV</t>
    </r>
  </si>
  <si>
    <r>
      <rPr>
        <sz val="9"/>
        <rFont val="Arial MT"/>
        <family val="2"/>
      </rPr>
      <t>1035SV</t>
    </r>
  </si>
  <si>
    <r>
      <rPr>
        <sz val="9"/>
        <rFont val="Arial MT"/>
        <family val="2"/>
      </rPr>
      <t>1027SV</t>
    </r>
  </si>
  <si>
    <r>
      <rPr>
        <sz val="9"/>
        <rFont val="Arial MT"/>
        <family val="2"/>
      </rPr>
      <t>1028SV</t>
    </r>
  </si>
  <si>
    <r>
      <rPr>
        <sz val="9"/>
        <rFont val="Arial MT"/>
        <family val="2"/>
      </rPr>
      <t>1029SV</t>
    </r>
  </si>
  <si>
    <r>
      <rPr>
        <sz val="9"/>
        <rFont val="Arial MT"/>
        <family val="2"/>
      </rPr>
      <t>1030SV</t>
    </r>
  </si>
  <si>
    <r>
      <rPr>
        <sz val="9"/>
        <rFont val="Arial MT"/>
        <family val="2"/>
      </rPr>
      <t>1031SV</t>
    </r>
  </si>
  <si>
    <r>
      <rPr>
        <sz val="9"/>
        <rFont val="Arial MT"/>
        <family val="2"/>
      </rPr>
      <t>1025SV</t>
    </r>
  </si>
  <si>
    <r>
      <rPr>
        <sz val="9"/>
        <rFont val="Arial MT"/>
        <family val="2"/>
      </rPr>
      <t>1026SV</t>
    </r>
  </si>
  <si>
    <r>
      <rPr>
        <sz val="9"/>
        <rFont val="Arial MT"/>
        <family val="2"/>
      </rPr>
      <t>1018SV</t>
    </r>
  </si>
  <si>
    <r>
      <rPr>
        <sz val="9"/>
        <rFont val="Arial MT"/>
        <family val="2"/>
      </rPr>
      <t>1020SV</t>
    </r>
  </si>
  <si>
    <r>
      <rPr>
        <sz val="9"/>
        <rFont val="Arial MT"/>
        <family val="2"/>
      </rPr>
      <t>1021SV</t>
    </r>
  </si>
  <si>
    <r>
      <rPr>
        <sz val="9"/>
        <rFont val="Arial MT"/>
        <family val="2"/>
      </rPr>
      <t>1012SV</t>
    </r>
  </si>
  <si>
    <r>
      <rPr>
        <sz val="9"/>
        <rFont val="Arial MT"/>
        <family val="2"/>
      </rPr>
      <t>1013SV</t>
    </r>
  </si>
  <si>
    <r>
      <rPr>
        <sz val="9"/>
        <rFont val="Arial MT"/>
        <family val="2"/>
      </rPr>
      <t>1014SV</t>
    </r>
  </si>
  <si>
    <r>
      <rPr>
        <sz val="9"/>
        <rFont val="Arial MT"/>
        <family val="2"/>
      </rPr>
      <t>1015SV</t>
    </r>
  </si>
  <si>
    <r>
      <rPr>
        <sz val="9"/>
        <rFont val="Arial MT"/>
        <family val="2"/>
      </rPr>
      <t>1010SV</t>
    </r>
  </si>
  <si>
    <r>
      <rPr>
        <sz val="9"/>
        <rFont val="Arial MT"/>
        <family val="2"/>
      </rPr>
      <t>1005SV</t>
    </r>
  </si>
  <si>
    <r>
      <rPr>
        <sz val="9"/>
        <rFont val="Arial MT"/>
        <family val="2"/>
      </rPr>
      <t>1000SV</t>
    </r>
  </si>
  <si>
    <r>
      <rPr>
        <sz val="9"/>
        <rFont val="Arial MT"/>
        <family val="2"/>
      </rPr>
      <t>1001SV</t>
    </r>
  </si>
  <si>
    <r>
      <rPr>
        <sz val="9"/>
        <rFont val="Arial MT"/>
        <family val="2"/>
      </rPr>
      <t>997SV</t>
    </r>
  </si>
  <si>
    <r>
      <rPr>
        <sz val="9"/>
        <rFont val="Arial MT"/>
        <family val="2"/>
      </rPr>
      <t>999SV</t>
    </r>
  </si>
  <si>
    <r>
      <rPr>
        <sz val="9"/>
        <rFont val="Arial MT"/>
        <family val="2"/>
      </rPr>
      <t>938SV</t>
    </r>
  </si>
  <si>
    <r>
      <rPr>
        <sz val="9"/>
        <rFont val="Arial MT"/>
        <family val="2"/>
      </rPr>
      <t>990SV</t>
    </r>
  </si>
  <si>
    <r>
      <rPr>
        <sz val="9"/>
        <rFont val="Arial MT"/>
        <family val="2"/>
      </rPr>
      <t>985SV</t>
    </r>
  </si>
  <si>
    <r>
      <rPr>
        <sz val="9"/>
        <rFont val="Arial MT"/>
        <family val="2"/>
      </rPr>
      <t>987SV</t>
    </r>
  </si>
  <si>
    <r>
      <rPr>
        <sz val="9"/>
        <rFont val="Arial MT"/>
        <family val="2"/>
      </rPr>
      <t>980SV</t>
    </r>
  </si>
  <si>
    <r>
      <rPr>
        <sz val="9"/>
        <rFont val="Arial MT"/>
        <family val="2"/>
      </rPr>
      <t>984SV</t>
    </r>
  </si>
  <si>
    <r>
      <rPr>
        <sz val="9"/>
        <rFont val="Arial MT"/>
        <family val="2"/>
      </rPr>
      <t>974SV</t>
    </r>
  </si>
  <si>
    <r>
      <rPr>
        <sz val="9"/>
        <rFont val="Arial MT"/>
        <family val="2"/>
      </rPr>
      <t>970SV</t>
    </r>
  </si>
  <si>
    <r>
      <rPr>
        <sz val="9"/>
        <rFont val="Arial MT"/>
        <family val="2"/>
      </rPr>
      <t>973SV</t>
    </r>
  </si>
  <si>
    <r>
      <rPr>
        <sz val="9"/>
        <rFont val="Arial MT"/>
        <family val="2"/>
      </rPr>
      <t>963SV</t>
    </r>
  </si>
  <si>
    <r>
      <rPr>
        <sz val="9"/>
        <rFont val="Arial MT"/>
        <family val="2"/>
      </rPr>
      <t>964SV</t>
    </r>
  </si>
  <si>
    <r>
      <rPr>
        <sz val="9"/>
        <rFont val="Arial MT"/>
        <family val="2"/>
      </rPr>
      <t>965SV</t>
    </r>
  </si>
  <si>
    <r>
      <rPr>
        <sz val="9"/>
        <rFont val="Arial MT"/>
        <family val="2"/>
      </rPr>
      <t>966SV</t>
    </r>
  </si>
  <si>
    <r>
      <rPr>
        <sz val="9"/>
        <rFont val="Arial MT"/>
        <family val="2"/>
      </rPr>
      <t>957SV</t>
    </r>
  </si>
  <si>
    <r>
      <rPr>
        <sz val="9"/>
        <rFont val="Arial MT"/>
        <family val="2"/>
      </rPr>
      <t>958SV</t>
    </r>
  </si>
  <si>
    <r>
      <rPr>
        <sz val="9"/>
        <rFont val="Arial MT"/>
        <family val="2"/>
      </rPr>
      <t>959SV</t>
    </r>
  </si>
  <si>
    <r>
      <rPr>
        <sz val="9"/>
        <rFont val="Arial MT"/>
        <family val="2"/>
      </rPr>
      <t>960SV</t>
    </r>
  </si>
  <si>
    <r>
      <rPr>
        <sz val="9"/>
        <rFont val="Arial MT"/>
        <family val="2"/>
      </rPr>
      <t>961SV</t>
    </r>
  </si>
  <si>
    <r>
      <rPr>
        <sz val="9"/>
        <rFont val="Arial MT"/>
        <family val="2"/>
      </rPr>
      <t>950SV</t>
    </r>
  </si>
  <si>
    <r>
      <rPr>
        <sz val="9"/>
        <rFont val="Arial MT"/>
        <family val="2"/>
      </rPr>
      <t>951SV</t>
    </r>
  </si>
  <si>
    <r>
      <rPr>
        <sz val="9"/>
        <rFont val="Arial MT"/>
        <family val="2"/>
      </rPr>
      <t>953SV</t>
    </r>
  </si>
  <si>
    <r>
      <rPr>
        <sz val="9"/>
        <rFont val="Arial MT"/>
        <family val="2"/>
      </rPr>
      <t>945SV</t>
    </r>
  </si>
  <si>
    <r>
      <rPr>
        <sz val="9"/>
        <rFont val="Arial MT"/>
        <family val="2"/>
      </rPr>
      <t>947SV</t>
    </r>
  </si>
  <si>
    <r>
      <rPr>
        <sz val="9"/>
        <rFont val="Arial MT"/>
        <family val="2"/>
      </rPr>
      <t>949SV</t>
    </r>
  </si>
  <si>
    <r>
      <rPr>
        <sz val="9"/>
        <rFont val="Arial MT"/>
        <family val="2"/>
      </rPr>
      <t>940SV</t>
    </r>
  </si>
  <si>
    <r>
      <rPr>
        <sz val="9"/>
        <rFont val="Arial MT"/>
        <family val="2"/>
      </rPr>
      <t>941SV</t>
    </r>
  </si>
  <si>
    <r>
      <rPr>
        <sz val="9"/>
        <rFont val="Arial MT"/>
        <family val="2"/>
      </rPr>
      <t>892SV</t>
    </r>
  </si>
  <si>
    <r>
      <rPr>
        <sz val="9"/>
        <rFont val="Arial MT"/>
        <family val="2"/>
      </rPr>
      <t>977SV</t>
    </r>
  </si>
  <si>
    <r>
      <rPr>
        <sz val="9"/>
        <rFont val="Arial MT"/>
        <family val="2"/>
      </rPr>
      <t>933SV</t>
    </r>
  </si>
  <si>
    <r>
      <rPr>
        <sz val="9"/>
        <rFont val="Arial MT"/>
        <family val="2"/>
      </rPr>
      <t>935SV</t>
    </r>
  </si>
  <si>
    <r>
      <rPr>
        <sz val="9"/>
        <rFont val="Arial MT"/>
        <family val="2"/>
      </rPr>
      <t>923SV</t>
    </r>
  </si>
  <si>
    <r>
      <rPr>
        <sz val="9"/>
        <rFont val="Arial MT"/>
        <family val="2"/>
      </rPr>
      <t>924SV</t>
    </r>
  </si>
  <si>
    <r>
      <rPr>
        <sz val="9"/>
        <rFont val="Arial MT"/>
        <family val="2"/>
      </rPr>
      <t>926SV</t>
    </r>
  </si>
  <si>
    <r>
      <rPr>
        <sz val="9"/>
        <rFont val="Arial MT"/>
        <family val="2"/>
      </rPr>
      <t>922SV</t>
    </r>
  </si>
  <si>
    <r>
      <rPr>
        <sz val="9"/>
        <rFont val="Arial MT"/>
        <family val="2"/>
      </rPr>
      <t>930SV</t>
    </r>
  </si>
  <si>
    <r>
      <rPr>
        <sz val="9"/>
        <rFont val="Arial MT"/>
        <family val="2"/>
      </rPr>
      <t>968SV</t>
    </r>
  </si>
  <si>
    <r>
      <rPr>
        <sz val="9"/>
        <rFont val="Arial MT"/>
        <family val="2"/>
      </rPr>
      <t>908SV</t>
    </r>
  </si>
  <si>
    <r>
      <rPr>
        <sz val="9"/>
        <rFont val="Arial MT"/>
        <family val="2"/>
      </rPr>
      <t>903SV</t>
    </r>
  </si>
  <si>
    <r>
      <rPr>
        <sz val="9"/>
        <rFont val="Arial MT"/>
        <family val="2"/>
      </rPr>
      <t>904SV</t>
    </r>
  </si>
  <si>
    <r>
      <rPr>
        <sz val="9"/>
        <rFont val="Arial MT"/>
        <family val="2"/>
      </rPr>
      <t>905SV</t>
    </r>
  </si>
  <si>
    <r>
      <rPr>
        <sz val="9"/>
        <rFont val="Arial MT"/>
        <family val="2"/>
      </rPr>
      <t>906SV</t>
    </r>
  </si>
  <si>
    <r>
      <rPr>
        <sz val="9"/>
        <rFont val="Arial MT"/>
        <family val="2"/>
      </rPr>
      <t>901SV</t>
    </r>
  </si>
  <si>
    <r>
      <rPr>
        <sz val="9"/>
        <rFont val="Arial MT"/>
        <family val="2"/>
      </rPr>
      <t>894SV</t>
    </r>
  </si>
  <si>
    <r>
      <rPr>
        <sz val="9"/>
        <rFont val="Arial MT"/>
        <family val="2"/>
      </rPr>
      <t>895SV</t>
    </r>
  </si>
  <si>
    <r>
      <rPr>
        <sz val="9"/>
        <rFont val="Arial MT"/>
        <family val="2"/>
      </rPr>
      <t>897SV</t>
    </r>
  </si>
  <si>
    <r>
      <rPr>
        <sz val="9"/>
        <rFont val="Arial MT"/>
        <family val="2"/>
      </rPr>
      <t>890SV</t>
    </r>
  </si>
  <si>
    <r>
      <rPr>
        <sz val="9"/>
        <rFont val="Arial MT"/>
        <family val="2"/>
      </rPr>
      <t>891SV</t>
    </r>
  </si>
  <si>
    <r>
      <rPr>
        <sz val="9"/>
        <rFont val="Arial MT"/>
        <family val="2"/>
      </rPr>
      <t>858SV</t>
    </r>
  </si>
  <si>
    <r>
      <rPr>
        <sz val="9"/>
        <rFont val="Arial MT"/>
        <family val="2"/>
      </rPr>
      <t>915SV</t>
    </r>
  </si>
  <si>
    <r>
      <rPr>
        <sz val="9"/>
        <rFont val="Arial MT"/>
        <family val="2"/>
      </rPr>
      <t>876SV</t>
    </r>
  </si>
  <si>
    <r>
      <rPr>
        <sz val="9"/>
        <rFont val="Arial MT"/>
        <family val="2"/>
      </rPr>
      <t>873SV</t>
    </r>
  </si>
  <si>
    <r>
      <rPr>
        <sz val="9"/>
        <rFont val="Arial MT"/>
        <family val="2"/>
      </rPr>
      <t>874SV</t>
    </r>
  </si>
  <si>
    <r>
      <rPr>
        <sz val="9"/>
        <rFont val="Arial MT"/>
        <family val="2"/>
      </rPr>
      <t>869SV</t>
    </r>
  </si>
  <si>
    <r>
      <rPr>
        <sz val="9"/>
        <rFont val="Arial MT"/>
        <family val="2"/>
      </rPr>
      <t>871SV</t>
    </r>
  </si>
  <si>
    <r>
      <rPr>
        <sz val="9"/>
        <rFont val="Arial MT"/>
        <family val="2"/>
      </rPr>
      <t>872SV</t>
    </r>
  </si>
  <si>
    <r>
      <rPr>
        <sz val="9"/>
        <rFont val="Arial MT"/>
        <family val="2"/>
      </rPr>
      <t>864SV</t>
    </r>
  </si>
  <si>
    <r>
      <rPr>
        <sz val="9"/>
        <rFont val="Arial MT"/>
        <family val="2"/>
      </rPr>
      <t>866SV</t>
    </r>
  </si>
  <si>
    <r>
      <rPr>
        <sz val="9"/>
        <rFont val="Arial MT"/>
        <family val="2"/>
      </rPr>
      <t>859SV</t>
    </r>
  </si>
  <si>
    <r>
      <rPr>
        <sz val="9"/>
        <rFont val="Arial MT"/>
        <family val="2"/>
      </rPr>
      <t>853SV</t>
    </r>
  </si>
  <si>
    <r>
      <rPr>
        <sz val="9"/>
        <rFont val="Arial MT"/>
        <family val="2"/>
      </rPr>
      <t>847SV</t>
    </r>
  </si>
  <si>
    <r>
      <rPr>
        <sz val="9"/>
        <rFont val="Arial MT"/>
        <family val="2"/>
      </rPr>
      <t>848SV</t>
    </r>
  </si>
  <si>
    <r>
      <rPr>
        <sz val="9"/>
        <rFont val="Arial MT"/>
        <family val="2"/>
      </rPr>
      <t>849SV</t>
    </r>
  </si>
  <si>
    <r>
      <rPr>
        <sz val="9"/>
        <rFont val="Arial MT"/>
        <family val="2"/>
      </rPr>
      <t>851SV</t>
    </r>
  </si>
  <si>
    <r>
      <rPr>
        <sz val="9"/>
        <rFont val="Arial MT"/>
        <family val="2"/>
      </rPr>
      <t>843SV</t>
    </r>
  </si>
  <si>
    <r>
      <rPr>
        <sz val="9"/>
        <rFont val="Arial MT"/>
        <family val="2"/>
      </rPr>
      <t>846SV</t>
    </r>
  </si>
  <si>
    <r>
      <rPr>
        <sz val="9"/>
        <rFont val="Arial MT"/>
        <family val="2"/>
      </rPr>
      <t>838SV</t>
    </r>
  </si>
  <si>
    <r>
      <rPr>
        <sz val="9"/>
        <rFont val="Arial MT"/>
        <family val="2"/>
      </rPr>
      <t>841SV</t>
    </r>
  </si>
  <si>
    <r>
      <rPr>
        <sz val="9"/>
        <rFont val="Arial MT"/>
        <family val="2"/>
      </rPr>
      <t>865SV</t>
    </r>
  </si>
  <si>
    <r>
      <rPr>
        <sz val="9"/>
        <rFont val="Arial MT"/>
        <family val="2"/>
      </rPr>
      <t>831SV</t>
    </r>
  </si>
  <si>
    <r>
      <rPr>
        <sz val="9"/>
        <rFont val="Arial MT"/>
        <family val="2"/>
      </rPr>
      <t>835SV</t>
    </r>
  </si>
  <si>
    <r>
      <rPr>
        <sz val="9"/>
        <rFont val="Arial MT"/>
        <family val="2"/>
      </rPr>
      <t>837SV</t>
    </r>
  </si>
  <si>
    <r>
      <rPr>
        <sz val="9"/>
        <rFont val="Arial MT"/>
        <family val="2"/>
      </rPr>
      <t>824SV</t>
    </r>
  </si>
  <si>
    <r>
      <rPr>
        <sz val="9"/>
        <rFont val="Arial MT"/>
        <family val="2"/>
      </rPr>
      <t>825SV</t>
    </r>
  </si>
  <si>
    <r>
      <rPr>
        <sz val="9"/>
        <rFont val="Arial MT"/>
        <family val="2"/>
      </rPr>
      <t>821SV</t>
    </r>
  </si>
  <si>
    <r>
      <rPr>
        <sz val="9"/>
        <rFont val="Arial MT"/>
        <family val="2"/>
      </rPr>
      <t>829SV</t>
    </r>
  </si>
  <si>
    <r>
      <rPr>
        <sz val="9"/>
        <rFont val="Arial MT"/>
        <family val="2"/>
      </rPr>
      <t>814SV</t>
    </r>
  </si>
  <si>
    <r>
      <rPr>
        <sz val="9"/>
        <rFont val="Arial MT"/>
        <family val="2"/>
      </rPr>
      <t>815SV</t>
    </r>
  </si>
  <si>
    <r>
      <rPr>
        <sz val="9"/>
        <rFont val="Arial MT"/>
        <family val="2"/>
      </rPr>
      <t>816SV</t>
    </r>
  </si>
  <si>
    <r>
      <rPr>
        <sz val="9"/>
        <rFont val="Arial MT"/>
        <family val="2"/>
      </rPr>
      <t>817SV</t>
    </r>
  </si>
  <si>
    <r>
      <rPr>
        <sz val="9"/>
        <rFont val="Arial MT"/>
        <family val="2"/>
      </rPr>
      <t>803SV</t>
    </r>
  </si>
  <si>
    <r>
      <rPr>
        <sz val="9"/>
        <rFont val="Arial MT"/>
        <family val="2"/>
      </rPr>
      <t>800SV</t>
    </r>
  </si>
  <si>
    <r>
      <rPr>
        <sz val="9"/>
        <rFont val="Arial MT"/>
        <family val="2"/>
      </rPr>
      <t>801SV</t>
    </r>
  </si>
  <si>
    <r>
      <rPr>
        <sz val="9"/>
        <rFont val="Arial MT"/>
        <family val="2"/>
      </rPr>
      <t>797SV</t>
    </r>
  </si>
  <si>
    <r>
      <rPr>
        <sz val="9"/>
        <rFont val="Arial MT"/>
        <family val="2"/>
      </rPr>
      <t>790SV</t>
    </r>
  </si>
  <si>
    <r>
      <rPr>
        <sz val="9"/>
        <rFont val="Arial MT"/>
        <family val="2"/>
      </rPr>
      <t>791SV</t>
    </r>
  </si>
  <si>
    <r>
      <rPr>
        <sz val="9"/>
        <rFont val="Arial MT"/>
        <family val="2"/>
      </rPr>
      <t>784SV</t>
    </r>
  </si>
  <si>
    <r>
      <rPr>
        <sz val="9"/>
        <rFont val="Arial MT"/>
        <family val="2"/>
      </rPr>
      <t>785SV</t>
    </r>
  </si>
  <si>
    <r>
      <rPr>
        <sz val="9"/>
        <rFont val="Arial MT"/>
        <family val="2"/>
      </rPr>
      <t>778SV</t>
    </r>
  </si>
  <si>
    <r>
      <rPr>
        <sz val="9"/>
        <rFont val="Arial MT"/>
        <family val="2"/>
      </rPr>
      <t>779SV</t>
    </r>
  </si>
  <si>
    <r>
      <rPr>
        <sz val="9"/>
        <rFont val="Arial MT"/>
        <family val="2"/>
      </rPr>
      <t>768SV</t>
    </r>
  </si>
  <si>
    <r>
      <rPr>
        <sz val="9"/>
        <rFont val="Arial MT"/>
        <family val="2"/>
      </rPr>
      <t>772SV</t>
    </r>
  </si>
  <si>
    <r>
      <rPr>
        <sz val="9"/>
        <rFont val="Arial MT"/>
        <family val="2"/>
      </rPr>
      <t>775SV</t>
    </r>
  </si>
  <si>
    <r>
      <rPr>
        <sz val="9"/>
        <rFont val="Arial MT"/>
        <family val="2"/>
      </rPr>
      <t>767SV</t>
    </r>
  </si>
  <si>
    <r>
      <rPr>
        <sz val="9"/>
        <rFont val="Arial MT"/>
        <family val="2"/>
      </rPr>
      <t>LA2016</t>
    </r>
  </si>
  <si>
    <r>
      <rPr>
        <sz val="9"/>
        <rFont val="Arial MT"/>
        <family val="2"/>
      </rPr>
      <t>758SV</t>
    </r>
  </si>
  <si>
    <r>
      <rPr>
        <sz val="9"/>
        <rFont val="Arial MT"/>
        <family val="2"/>
      </rPr>
      <t>748SV</t>
    </r>
  </si>
  <si>
    <r>
      <rPr>
        <sz val="9"/>
        <rFont val="Arial MT"/>
        <family val="2"/>
      </rPr>
      <t>761SV</t>
    </r>
  </si>
  <si>
    <r>
      <rPr>
        <sz val="9"/>
        <rFont val="Arial MT"/>
        <family val="2"/>
      </rPr>
      <t>VR03</t>
    </r>
  </si>
  <si>
    <r>
      <rPr>
        <sz val="9"/>
        <rFont val="Arial MT"/>
        <family val="2"/>
      </rPr>
      <t>718SV</t>
    </r>
  </si>
  <si>
    <r>
      <rPr>
        <sz val="9"/>
        <rFont val="Arial MT"/>
        <family val="2"/>
      </rPr>
      <t>719SV</t>
    </r>
  </si>
  <si>
    <r>
      <rPr>
        <sz val="9"/>
        <rFont val="Arial MT"/>
        <family val="2"/>
      </rPr>
      <t>720SV</t>
    </r>
  </si>
  <si>
    <r>
      <rPr>
        <sz val="9"/>
        <rFont val="Arial MT"/>
        <family val="2"/>
      </rPr>
      <t>713SV</t>
    </r>
  </si>
  <si>
    <r>
      <rPr>
        <sz val="9"/>
        <rFont val="Arial MT"/>
        <family val="2"/>
      </rPr>
      <t>714SV</t>
    </r>
  </si>
  <si>
    <r>
      <rPr>
        <sz val="9"/>
        <rFont val="Arial MT"/>
        <family val="2"/>
      </rPr>
      <t>698SV</t>
    </r>
  </si>
  <si>
    <r>
      <rPr>
        <sz val="9"/>
        <rFont val="Arial MT"/>
        <family val="2"/>
      </rPr>
      <t>683SV</t>
    </r>
  </si>
  <si>
    <r>
      <rPr>
        <sz val="9"/>
        <rFont val="Arial MT"/>
        <family val="2"/>
      </rPr>
      <t>687SV</t>
    </r>
  </si>
  <si>
    <r>
      <rPr>
        <sz val="9"/>
        <rFont val="Arial MT"/>
        <family val="2"/>
      </rPr>
      <t>VG014</t>
    </r>
  </si>
  <si>
    <r>
      <rPr>
        <sz val="9"/>
        <rFont val="Arial MT"/>
        <family val="2"/>
      </rPr>
      <t>674SV</t>
    </r>
  </si>
  <si>
    <r>
      <rPr>
        <sz val="9"/>
        <rFont val="Arial MT"/>
        <family val="2"/>
      </rPr>
      <t>675SV</t>
    </r>
  </si>
  <si>
    <r>
      <rPr>
        <sz val="9"/>
        <rFont val="Arial MT"/>
        <family val="2"/>
      </rPr>
      <t>676SV</t>
    </r>
  </si>
  <si>
    <r>
      <rPr>
        <sz val="9"/>
        <rFont val="Arial MT"/>
        <family val="2"/>
      </rPr>
      <t>671SV</t>
    </r>
  </si>
  <si>
    <r>
      <rPr>
        <sz val="9"/>
        <rFont val="Arial MT"/>
        <family val="2"/>
      </rPr>
      <t>663SV</t>
    </r>
  </si>
  <si>
    <r>
      <rPr>
        <sz val="9"/>
        <rFont val="Arial MT"/>
        <family val="2"/>
      </rPr>
      <t>654SV</t>
    </r>
  </si>
  <si>
    <r>
      <rPr>
        <sz val="9"/>
        <rFont val="Arial MT"/>
        <family val="2"/>
      </rPr>
      <t>630SV</t>
    </r>
  </si>
  <si>
    <r>
      <rPr>
        <sz val="9"/>
        <rFont val="Arial MT"/>
        <family val="2"/>
      </rPr>
      <t>605SV</t>
    </r>
  </si>
  <si>
    <r>
      <rPr>
        <sz val="9"/>
        <rFont val="Arial MT"/>
        <family val="2"/>
      </rPr>
      <t>581SV</t>
    </r>
  </si>
  <si>
    <r>
      <rPr>
        <sz val="9"/>
        <rFont val="Arial MT"/>
        <family val="2"/>
      </rPr>
      <t>572SV</t>
    </r>
  </si>
  <si>
    <r>
      <rPr>
        <sz val="9"/>
        <rFont val="Arial MT"/>
        <family val="2"/>
      </rPr>
      <t>550SV</t>
    </r>
  </si>
  <si>
    <r>
      <rPr>
        <sz val="9"/>
        <rFont val="Arial MT"/>
        <family val="2"/>
      </rPr>
      <t>547SV</t>
    </r>
  </si>
  <si>
    <r>
      <rPr>
        <sz val="9"/>
        <rFont val="Arial MT"/>
        <family val="2"/>
      </rPr>
      <t>539SV</t>
    </r>
  </si>
  <si>
    <r>
      <rPr>
        <sz val="9"/>
        <rFont val="Arial MT"/>
        <family val="2"/>
      </rPr>
      <t>523SV</t>
    </r>
  </si>
  <si>
    <r>
      <rPr>
        <sz val="9"/>
        <rFont val="Arial MT"/>
        <family val="2"/>
      </rPr>
      <t>458SV</t>
    </r>
  </si>
  <si>
    <t>NC2073</t>
  </si>
  <si>
    <t>NC0999</t>
  </si>
  <si>
    <t>NC2003</t>
  </si>
  <si>
    <t>PZ5354</t>
  </si>
  <si>
    <t>NB9035</t>
  </si>
  <si>
    <t>PY6473</t>
  </si>
  <si>
    <t>NB7928</t>
  </si>
  <si>
    <t>NB8818</t>
  </si>
  <si>
    <t>CU7987</t>
  </si>
  <si>
    <t>NB1789</t>
  </si>
  <si>
    <t>PU9199</t>
  </si>
  <si>
    <t>CU5149</t>
  </si>
  <si>
    <t>NB0456</t>
  </si>
  <si>
    <t>CU3647</t>
  </si>
  <si>
    <t>NA8929</t>
  </si>
  <si>
    <t>PX2236</t>
  </si>
  <si>
    <t>NA1734</t>
  </si>
  <si>
    <t>NA5126</t>
  </si>
  <si>
    <t>NH0034</t>
  </si>
  <si>
    <t>NB3370</t>
  </si>
  <si>
    <t>NA9244</t>
  </si>
  <si>
    <t>NB5724</t>
  </si>
  <si>
    <t>NC1044</t>
  </si>
  <si>
    <t>NC1742</t>
  </si>
  <si>
    <t>PX8619</t>
  </si>
  <si>
    <t>NC1009</t>
  </si>
  <si>
    <t>NC0469</t>
  </si>
  <si>
    <t>NB5326</t>
  </si>
  <si>
    <t>PW3559</t>
  </si>
  <si>
    <t>PZ6453</t>
  </si>
  <si>
    <t>NB8345</t>
  </si>
  <si>
    <t>PX4041</t>
  </si>
  <si>
    <t>PZ0138</t>
  </si>
  <si>
    <t>NB1555</t>
  </si>
  <si>
    <t>NA2723</t>
  </si>
  <si>
    <t>NA8063</t>
  </si>
  <si>
    <t>NA9490</t>
  </si>
  <si>
    <t>NA1265</t>
  </si>
  <si>
    <t>NA2242</t>
  </si>
  <si>
    <t>NA7687</t>
  </si>
  <si>
    <t>NA0506</t>
  </si>
  <si>
    <t>NA0701</t>
  </si>
  <si>
    <t>NA5867</t>
  </si>
  <si>
    <t>NA7771</t>
  </si>
  <si>
    <t>PZ2194</t>
  </si>
  <si>
    <t>NB2794</t>
  </si>
  <si>
    <t>NB3283</t>
  </si>
  <si>
    <t>NB2889</t>
  </si>
  <si>
    <t>NB2186</t>
  </si>
  <si>
    <t>NA3780</t>
  </si>
  <si>
    <t>NB1195</t>
  </si>
  <si>
    <t>NB1693</t>
  </si>
  <si>
    <t>NA3545</t>
  </si>
  <si>
    <t>CA1897</t>
  </si>
  <si>
    <t>NB0467</t>
  </si>
  <si>
    <t>BW7897</t>
  </si>
  <si>
    <t>PY7336</t>
  </si>
  <si>
    <t>PZ9370</t>
  </si>
  <si>
    <t>PW4012</t>
  </si>
  <si>
    <t>PY4316</t>
  </si>
  <si>
    <t>NA7665</t>
  </si>
  <si>
    <t>PX7467</t>
  </si>
  <si>
    <t>NA7710</t>
  </si>
  <si>
    <t>PZ8404</t>
  </si>
  <si>
    <t>PZ2426</t>
  </si>
  <si>
    <t>PY3065</t>
  </si>
  <si>
    <t>ST7039</t>
  </si>
  <si>
    <t>PX1663</t>
  </si>
  <si>
    <t>PZ6555</t>
  </si>
  <si>
    <t>NA4538</t>
  </si>
  <si>
    <t>PX4655</t>
  </si>
  <si>
    <t>PX3536</t>
  </si>
  <si>
    <t>SX7873</t>
  </si>
  <si>
    <t>PY6909</t>
  </si>
  <si>
    <t>PY6232</t>
  </si>
  <si>
    <t>PZ3301</t>
  </si>
  <si>
    <t>SZ4157</t>
  </si>
  <si>
    <t>PY2352</t>
  </si>
  <si>
    <t>PZ5195</t>
  </si>
  <si>
    <t>PX8951</t>
  </si>
  <si>
    <t>PZ2207</t>
  </si>
  <si>
    <t>PY9625</t>
  </si>
  <si>
    <t>NA4946</t>
  </si>
  <si>
    <t>PX6218</t>
  </si>
  <si>
    <t>CA7051</t>
  </si>
  <si>
    <t>PY3840</t>
  </si>
  <si>
    <t>PZ7695</t>
  </si>
  <si>
    <t>PZ8255</t>
  </si>
  <si>
    <t>PY3460</t>
  </si>
  <si>
    <t>PY1337</t>
  </si>
  <si>
    <t>PX6037</t>
  </si>
  <si>
    <t>PX0589</t>
  </si>
  <si>
    <t>PX7836</t>
  </si>
  <si>
    <t>PZ3008</t>
  </si>
  <si>
    <t>PX9407</t>
  </si>
  <si>
    <t>PZ4120</t>
  </si>
  <si>
    <t>PY8218</t>
  </si>
  <si>
    <t>PZ2996</t>
  </si>
  <si>
    <t>PZ4514</t>
  </si>
  <si>
    <t>PW7342</t>
  </si>
  <si>
    <t>PX5418</t>
  </si>
  <si>
    <t>PY1642</t>
  </si>
  <si>
    <t>CA0122</t>
  </si>
  <si>
    <t>PX6995</t>
  </si>
  <si>
    <t>PX7469</t>
  </si>
  <si>
    <t>PY9222</t>
  </si>
  <si>
    <t>SY3770</t>
  </si>
  <si>
    <t>PZ0228</t>
  </si>
  <si>
    <t>ST7233</t>
  </si>
  <si>
    <t>PX1376</t>
  </si>
  <si>
    <t>PY2356</t>
  </si>
  <si>
    <t>PW7041</t>
  </si>
  <si>
    <t>PW7022</t>
  </si>
  <si>
    <t>PW7260</t>
  </si>
  <si>
    <t>SS5504</t>
  </si>
  <si>
    <t>PY7889</t>
  </si>
  <si>
    <t>PX8976</t>
  </si>
  <si>
    <t>PX3123</t>
  </si>
  <si>
    <t>PY5475</t>
  </si>
  <si>
    <t>PY0026</t>
  </si>
  <si>
    <t>PX1993</t>
  </si>
  <si>
    <t>PX1987</t>
  </si>
  <si>
    <t>CA6498</t>
  </si>
  <si>
    <t>PY3061</t>
  </si>
  <si>
    <t>PY3124</t>
  </si>
  <si>
    <t>PY2681</t>
  </si>
  <si>
    <t>SN4368</t>
  </si>
  <si>
    <t>ST0185</t>
  </si>
  <si>
    <t>SV7479</t>
  </si>
  <si>
    <t>PX5948</t>
  </si>
  <si>
    <t>SX7871</t>
  </si>
  <si>
    <t>SS4719</t>
  </si>
  <si>
    <t>PX1167</t>
  </si>
  <si>
    <t>ST7022</t>
  </si>
  <si>
    <t>SW3353</t>
  </si>
  <si>
    <t>CA5597</t>
  </si>
  <si>
    <t>CA1079</t>
  </si>
  <si>
    <t>PX4001</t>
  </si>
  <si>
    <t>SV0145</t>
  </si>
  <si>
    <t>ST1320</t>
  </si>
  <si>
    <t>SY3692</t>
  </si>
  <si>
    <t>SY6728</t>
  </si>
  <si>
    <t>SM7108</t>
  </si>
  <si>
    <t>CA1080</t>
  </si>
  <si>
    <t>PW3307</t>
  </si>
  <si>
    <t>SX4939</t>
  </si>
  <si>
    <t>Grasmere</t>
  </si>
  <si>
    <t>sow</t>
  </si>
  <si>
    <t>DRY  SOW</t>
  </si>
  <si>
    <t>LACTATING</t>
  </si>
  <si>
    <t>PREGNANT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</si>
</sst>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3009]dd\-mmm\-yy;@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/>
    <xf numFmtId="15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4" fontId="0" fillId="0" borderId="0" xfId="0" applyNumberFormat="1"/>
    <xf numFmtId="0" fontId="2" fillId="7" borderId="0" xfId="0" applyFont="1" applyFill="1" applyAlignment="1">
      <alignment vertical="center" wrapText="1"/>
    </xf>
    <xf numFmtId="0" fontId="8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165" fontId="10" fillId="0" borderId="0" xfId="0" applyNumberFormat="1" applyFont="1" applyAlignment="1">
      <alignment horizontal="right" vertical="top" shrinkToFit="1"/>
    </xf>
    <xf numFmtId="165" fontId="0" fillId="0" borderId="0" xfId="0" applyNumberFormat="1"/>
    <xf numFmtId="0" fontId="8" fillId="0" borderId="0" xfId="0" applyFont="1" applyFill="1" applyAlignment="1">
      <alignment horizontal="left" vertical="top" wrapText="1"/>
    </xf>
    <xf numFmtId="0" fontId="0" fillId="0" borderId="0" xfId="0" applyFill="1"/>
    <xf numFmtId="165" fontId="10" fillId="0" borderId="0" xfId="0" applyNumberFormat="1" applyFont="1" applyFill="1" applyAlignment="1">
      <alignment horizontal="right" vertical="top" shrinkToFit="1"/>
    </xf>
    <xf numFmtId="15" fontId="0" fillId="0" borderId="0" xfId="0" applyNumberFormat="1" applyFill="1"/>
    <xf numFmtId="0" fontId="1" fillId="6" borderId="0" xfId="0" applyFont="1" applyFill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N1316"/>
  <sheetViews>
    <sheetView tabSelected="1" zoomScale="88" zoomScaleNormal="120" workbookViewId="0">
      <pane xSplit="2" ySplit="4" topLeftCell="AA5" activePane="bottomRight" state="frozen"/>
      <selection pane="topRight" activeCell="C1" sqref="C1"/>
      <selection pane="bottomLeft" activeCell="A5" sqref="A5"/>
      <selection pane="bottomRight" activeCell="AC11" sqref="AC11"/>
    </sheetView>
  </sheetViews>
  <sheetFormatPr defaultColWidth="26.59765625" defaultRowHeight="13.8"/>
  <cols>
    <col min="1" max="1" width="10.8984375" bestFit="1" customWidth="1"/>
    <col min="2" max="2" width="25.8984375" bestFit="1" customWidth="1"/>
    <col min="3" max="3" width="19.69921875" bestFit="1" customWidth="1"/>
    <col min="4" max="4" width="26.3984375" bestFit="1" customWidth="1"/>
    <col min="5" max="5" width="25.69921875" bestFit="1" customWidth="1"/>
    <col min="6" max="6" width="25.59765625" bestFit="1" customWidth="1"/>
    <col min="7" max="7" width="24.296875" bestFit="1" customWidth="1"/>
    <col min="8" max="8" width="25.3984375" bestFit="1" customWidth="1"/>
    <col min="9" max="9" width="26.09765625" bestFit="1" customWidth="1"/>
    <col min="10" max="10" width="25.3984375" bestFit="1" customWidth="1"/>
    <col min="11" max="11" width="23.59765625" bestFit="1" customWidth="1"/>
    <col min="12" max="12" width="25.296875" bestFit="1" customWidth="1"/>
    <col min="13" max="13" width="22.59765625" bestFit="1" customWidth="1"/>
    <col min="14" max="14" width="23" bestFit="1" customWidth="1"/>
    <col min="15" max="15" width="15.3984375" hidden="1" customWidth="1"/>
    <col min="16" max="16" width="25.296875" hidden="1" customWidth="1"/>
    <col min="17" max="17" width="21.59765625" bestFit="1" customWidth="1"/>
    <col min="18" max="18" width="24.59765625" bestFit="1" customWidth="1"/>
    <col min="20" max="20" width="23.69921875" bestFit="1" customWidth="1"/>
    <col min="21" max="21" width="26.3984375" bestFit="1" customWidth="1"/>
    <col min="22" max="22" width="25.59765625" bestFit="1" customWidth="1"/>
    <col min="23" max="23" width="17.59765625" bestFit="1" customWidth="1"/>
    <col min="24" max="24" width="25.8984375" bestFit="1" customWidth="1"/>
    <col min="25" max="25" width="23.59765625" bestFit="1" customWidth="1"/>
    <col min="26" max="26" width="21.59765625" bestFit="1" customWidth="1"/>
    <col min="27" max="27" width="22" bestFit="1" customWidth="1"/>
    <col min="28" max="28" width="23.296875" bestFit="1" customWidth="1"/>
    <col min="29" max="29" width="23.59765625" bestFit="1" customWidth="1"/>
    <col min="30" max="30" width="22.3984375" bestFit="1" customWidth="1"/>
    <col min="31" max="31" width="23.8984375" bestFit="1" customWidth="1"/>
    <col min="32" max="32" width="25.3984375" bestFit="1" customWidth="1"/>
    <col min="33" max="33" width="22.09765625" bestFit="1" customWidth="1"/>
    <col min="34" max="34" width="21.8984375" bestFit="1" customWidth="1"/>
    <col min="35" max="35" width="21.09765625" bestFit="1" customWidth="1"/>
    <col min="36" max="36" width="20.69921875" bestFit="1" customWidth="1"/>
  </cols>
  <sheetData>
    <row r="1" spans="1:40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0" ht="68.400000000000006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166</v>
      </c>
      <c r="AN2" s="32" t="s">
        <v>78</v>
      </c>
    </row>
    <row r="3" spans="1:40" ht="24">
      <c r="A3" s="25" t="s">
        <v>79</v>
      </c>
      <c r="B3" s="2" t="s">
        <v>80</v>
      </c>
      <c r="C3" s="3" t="s">
        <v>81</v>
      </c>
      <c r="D3" s="1" t="s">
        <v>82</v>
      </c>
      <c r="E3" s="3" t="s">
        <v>83</v>
      </c>
      <c r="F3" s="4" t="s">
        <v>84</v>
      </c>
      <c r="G3" s="2" t="s">
        <v>85</v>
      </c>
      <c r="H3" s="4" t="s">
        <v>86</v>
      </c>
      <c r="I3" s="3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4" t="s">
        <v>92</v>
      </c>
      <c r="O3" s="3" t="s">
        <v>93</v>
      </c>
      <c r="P3" s="1" t="s">
        <v>94</v>
      </c>
      <c r="Q3" s="1" t="s">
        <v>95</v>
      </c>
      <c r="R3" s="4" t="s">
        <v>96</v>
      </c>
      <c r="S3" s="3" t="s">
        <v>97</v>
      </c>
      <c r="T3" s="18" t="s">
        <v>98</v>
      </c>
      <c r="U3" s="3" t="s">
        <v>99</v>
      </c>
      <c r="V3" s="1" t="s">
        <v>100</v>
      </c>
      <c r="W3" s="1" t="s">
        <v>101</v>
      </c>
      <c r="X3" s="2" t="s">
        <v>102</v>
      </c>
      <c r="Y3" s="2" t="s">
        <v>103</v>
      </c>
      <c r="Z3" s="2" t="s">
        <v>104</v>
      </c>
      <c r="AA3" s="2" t="s">
        <v>105</v>
      </c>
      <c r="AB3" s="2" t="s">
        <v>97</v>
      </c>
      <c r="AC3" s="2" t="s">
        <v>106</v>
      </c>
      <c r="AD3" s="18" t="s">
        <v>107</v>
      </c>
      <c r="AE3" s="2" t="s">
        <v>108</v>
      </c>
      <c r="AF3" s="4" t="s">
        <v>109</v>
      </c>
      <c r="AG3" s="2" t="s">
        <v>110</v>
      </c>
      <c r="AH3" t="s">
        <v>857</v>
      </c>
      <c r="AI3" s="3" t="s">
        <v>111</v>
      </c>
      <c r="AJ3" s="30" t="s">
        <v>112</v>
      </c>
      <c r="AK3" s="28">
        <v>16</v>
      </c>
      <c r="AL3" s="28">
        <v>112</v>
      </c>
      <c r="AM3" s="29"/>
      <c r="AN3" s="29">
        <v>2223</v>
      </c>
    </row>
    <row r="4" spans="1:40">
      <c r="A4" s="25" t="s">
        <v>113</v>
      </c>
      <c r="B4" s="6" t="s">
        <v>114</v>
      </c>
      <c r="C4" s="7" t="s">
        <v>114</v>
      </c>
      <c r="D4" s="5" t="s">
        <v>114</v>
      </c>
      <c r="E4" s="7" t="s">
        <v>114</v>
      </c>
      <c r="F4" s="8" t="s">
        <v>115</v>
      </c>
      <c r="G4" s="9" t="s">
        <v>115</v>
      </c>
      <c r="H4" s="10" t="s">
        <v>114</v>
      </c>
      <c r="I4" s="7" t="s">
        <v>114</v>
      </c>
      <c r="J4" s="11" t="s">
        <v>116</v>
      </c>
      <c r="K4" s="11" t="s">
        <v>116</v>
      </c>
      <c r="L4" s="5" t="s">
        <v>114</v>
      </c>
      <c r="M4" s="5" t="s">
        <v>114</v>
      </c>
      <c r="N4" s="8" t="s">
        <v>115</v>
      </c>
      <c r="O4" s="12" t="s">
        <v>115</v>
      </c>
      <c r="P4" s="11" t="s">
        <v>115</v>
      </c>
      <c r="Q4" s="11" t="s">
        <v>115</v>
      </c>
      <c r="R4" s="10" t="s">
        <v>114</v>
      </c>
      <c r="S4" s="12" t="s">
        <v>115</v>
      </c>
      <c r="T4" s="19" t="s">
        <v>114</v>
      </c>
      <c r="U4" s="7" t="s">
        <v>114</v>
      </c>
      <c r="V4" s="11" t="s">
        <v>115</v>
      </c>
      <c r="W4" s="11" t="s">
        <v>115</v>
      </c>
      <c r="X4" s="6" t="s">
        <v>114</v>
      </c>
      <c r="Y4" s="6" t="s">
        <v>114</v>
      </c>
      <c r="Z4" s="6" t="s">
        <v>114</v>
      </c>
      <c r="AA4" s="6" t="s">
        <v>114</v>
      </c>
      <c r="AB4" s="6" t="s">
        <v>114</v>
      </c>
      <c r="AC4" s="6" t="s">
        <v>114</v>
      </c>
      <c r="AD4" s="20" t="s">
        <v>115</v>
      </c>
      <c r="AE4" s="9" t="s">
        <v>115</v>
      </c>
      <c r="AF4" s="8" t="s">
        <v>115</v>
      </c>
      <c r="AG4" s="9" t="s">
        <v>115</v>
      </c>
      <c r="AH4" s="10" t="s">
        <v>114</v>
      </c>
      <c r="AI4" s="12" t="s">
        <v>116</v>
      </c>
      <c r="AJ4" s="31" t="s">
        <v>116</v>
      </c>
      <c r="AK4" s="28" t="s">
        <v>117</v>
      </c>
      <c r="AL4" s="28" t="s">
        <v>118</v>
      </c>
      <c r="AM4" s="28" t="s">
        <v>118</v>
      </c>
      <c r="AN4" s="28" t="s">
        <v>118</v>
      </c>
    </row>
    <row r="5" spans="1:40">
      <c r="B5" s="39" t="s">
        <v>186</v>
      </c>
      <c r="C5" t="s">
        <v>168</v>
      </c>
      <c r="D5" t="s">
        <v>164</v>
      </c>
      <c r="E5" t="s">
        <v>83</v>
      </c>
      <c r="F5" s="34">
        <v>46181</v>
      </c>
      <c r="G5" s="34">
        <f>+F5+120</f>
        <v>46301</v>
      </c>
      <c r="H5" t="s">
        <v>169</v>
      </c>
      <c r="I5" s="34">
        <f>+G5</f>
        <v>46301</v>
      </c>
      <c r="J5" t="s">
        <v>161</v>
      </c>
      <c r="K5" t="s">
        <v>162</v>
      </c>
      <c r="L5" t="s">
        <v>163</v>
      </c>
      <c r="M5" t="str">
        <f>+B5</f>
        <v>V262401</v>
      </c>
      <c r="N5" t="s">
        <v>161</v>
      </c>
      <c r="O5" t="str">
        <f>+M5</f>
        <v>V262401</v>
      </c>
      <c r="P5" t="s">
        <v>165</v>
      </c>
      <c r="Q5" t="s">
        <v>182</v>
      </c>
      <c r="T5">
        <f>+S5</f>
        <v>0</v>
      </c>
      <c r="U5" t="s">
        <v>183</v>
      </c>
      <c r="V5" t="s">
        <v>184</v>
      </c>
      <c r="W5" t="s">
        <v>241</v>
      </c>
      <c r="X5">
        <v>0</v>
      </c>
      <c r="Y5">
        <f>+X5*16</f>
        <v>0</v>
      </c>
      <c r="Z5">
        <v>0</v>
      </c>
      <c r="AA5" s="48">
        <v>307.5</v>
      </c>
      <c r="AB5">
        <f>+AA5</f>
        <v>307.5</v>
      </c>
      <c r="AC5" s="48">
        <v>307.5</v>
      </c>
      <c r="AD5">
        <f>+AC5</f>
        <v>307.5</v>
      </c>
      <c r="AE5">
        <f>+AD5</f>
        <v>307.5</v>
      </c>
      <c r="AF5" s="34">
        <f>+F5+(47*7)</f>
        <v>46510</v>
      </c>
      <c r="AG5" s="34">
        <f>+AF5+(365*5)</f>
        <v>48335</v>
      </c>
      <c r="AH5" t="s">
        <v>185</v>
      </c>
      <c r="AK5">
        <v>16</v>
      </c>
      <c r="AL5">
        <v>112</v>
      </c>
      <c r="AM5">
        <v>10</v>
      </c>
      <c r="AN5" s="48">
        <v>307.5</v>
      </c>
    </row>
    <row r="6" spans="1:40">
      <c r="B6" s="39" t="s">
        <v>187</v>
      </c>
      <c r="C6" t="s">
        <v>168</v>
      </c>
      <c r="D6" t="s">
        <v>164</v>
      </c>
      <c r="E6" t="s">
        <v>83</v>
      </c>
      <c r="F6" s="34">
        <v>46181</v>
      </c>
      <c r="G6" s="34">
        <f t="shared" ref="G6:G69" si="0">+F6+120</f>
        <v>46301</v>
      </c>
      <c r="H6" t="s">
        <v>169</v>
      </c>
      <c r="I6" s="34">
        <f t="shared" ref="I6:I69" si="1">+G6</f>
        <v>46301</v>
      </c>
      <c r="J6" t="s">
        <v>161</v>
      </c>
      <c r="K6" t="s">
        <v>162</v>
      </c>
      <c r="L6" t="s">
        <v>163</v>
      </c>
      <c r="M6" t="str">
        <f t="shared" ref="M6:M9" si="2">+B6</f>
        <v>V262402</v>
      </c>
      <c r="N6" t="s">
        <v>161</v>
      </c>
      <c r="O6" t="str">
        <f t="shared" ref="O6:O9" si="3">+M6</f>
        <v>V262402</v>
      </c>
      <c r="P6" t="s">
        <v>165</v>
      </c>
      <c r="Q6" t="s">
        <v>182</v>
      </c>
      <c r="U6" t="s">
        <v>183</v>
      </c>
      <c r="V6" t="s">
        <v>184</v>
      </c>
      <c r="W6" t="s">
        <v>241</v>
      </c>
      <c r="X6">
        <v>0</v>
      </c>
      <c r="Y6">
        <v>0</v>
      </c>
      <c r="Z6">
        <v>0</v>
      </c>
      <c r="AA6" s="48">
        <v>307.5</v>
      </c>
      <c r="AC6" s="48">
        <v>307.5</v>
      </c>
      <c r="AF6" s="34">
        <f t="shared" ref="AF6:AF9" si="4">+F6+(47*7)</f>
        <v>46510</v>
      </c>
      <c r="AG6" s="34">
        <f t="shared" ref="AG6:AG9" si="5">+AF6+(365*5)</f>
        <v>48335</v>
      </c>
      <c r="AH6" t="s">
        <v>185</v>
      </c>
      <c r="AK6">
        <v>16</v>
      </c>
      <c r="AL6">
        <v>112</v>
      </c>
      <c r="AM6">
        <v>10</v>
      </c>
      <c r="AN6" s="48">
        <v>307.5</v>
      </c>
    </row>
    <row r="7" spans="1:40">
      <c r="B7" s="39" t="s">
        <v>188</v>
      </c>
      <c r="C7" t="s">
        <v>168</v>
      </c>
      <c r="D7" t="s">
        <v>164</v>
      </c>
      <c r="E7" t="s">
        <v>83</v>
      </c>
      <c r="F7" s="34">
        <v>46181</v>
      </c>
      <c r="G7" s="34">
        <f t="shared" si="0"/>
        <v>46301</v>
      </c>
      <c r="H7" t="s">
        <v>169</v>
      </c>
      <c r="I7" s="34">
        <f t="shared" si="1"/>
        <v>46301</v>
      </c>
      <c r="J7" t="s">
        <v>161</v>
      </c>
      <c r="K7" t="s">
        <v>162</v>
      </c>
      <c r="L7" t="s">
        <v>163</v>
      </c>
      <c r="M7" t="str">
        <f t="shared" si="2"/>
        <v>V262403</v>
      </c>
      <c r="N7" t="s">
        <v>161</v>
      </c>
      <c r="O7" t="str">
        <f t="shared" si="3"/>
        <v>V262403</v>
      </c>
      <c r="P7" t="s">
        <v>165</v>
      </c>
      <c r="Q7" t="s">
        <v>182</v>
      </c>
      <c r="U7" t="s">
        <v>183</v>
      </c>
      <c r="V7" t="s">
        <v>184</v>
      </c>
      <c r="W7" t="s">
        <v>241</v>
      </c>
      <c r="X7">
        <v>0</v>
      </c>
      <c r="Y7">
        <v>0</v>
      </c>
      <c r="Z7">
        <v>0</v>
      </c>
      <c r="AA7" s="48">
        <v>307.5</v>
      </c>
      <c r="AC7" s="48">
        <v>307.5</v>
      </c>
      <c r="AF7" s="34">
        <f t="shared" si="4"/>
        <v>46510</v>
      </c>
      <c r="AG7" s="34">
        <f t="shared" si="5"/>
        <v>48335</v>
      </c>
      <c r="AH7" t="s">
        <v>185</v>
      </c>
      <c r="AK7">
        <v>16</v>
      </c>
      <c r="AL7">
        <v>112</v>
      </c>
      <c r="AM7">
        <v>10</v>
      </c>
      <c r="AN7" s="48">
        <v>307.5</v>
      </c>
    </row>
    <row r="8" spans="1:40">
      <c r="B8" s="39" t="s">
        <v>189</v>
      </c>
      <c r="C8" t="s">
        <v>168</v>
      </c>
      <c r="D8" t="s">
        <v>164</v>
      </c>
      <c r="E8" t="s">
        <v>83</v>
      </c>
      <c r="F8" s="34">
        <v>46176</v>
      </c>
      <c r="G8" s="34">
        <f t="shared" si="0"/>
        <v>46296</v>
      </c>
      <c r="H8" t="s">
        <v>169</v>
      </c>
      <c r="I8" s="34">
        <f t="shared" si="1"/>
        <v>46296</v>
      </c>
      <c r="J8" t="s">
        <v>161</v>
      </c>
      <c r="K8" t="s">
        <v>162</v>
      </c>
      <c r="L8" t="s">
        <v>163</v>
      </c>
      <c r="M8" t="str">
        <f t="shared" si="2"/>
        <v>V262301</v>
      </c>
      <c r="N8" t="s">
        <v>161</v>
      </c>
      <c r="O8" t="str">
        <f t="shared" si="3"/>
        <v>V262301</v>
      </c>
      <c r="P8" t="s">
        <v>165</v>
      </c>
      <c r="Q8" t="s">
        <v>182</v>
      </c>
      <c r="T8">
        <f>+S8</f>
        <v>0</v>
      </c>
      <c r="U8" t="s">
        <v>183</v>
      </c>
      <c r="V8" t="s">
        <v>184</v>
      </c>
      <c r="W8" t="s">
        <v>241</v>
      </c>
      <c r="X8">
        <v>0</v>
      </c>
      <c r="Y8">
        <v>0</v>
      </c>
      <c r="Z8">
        <v>0</v>
      </c>
      <c r="AA8" s="48">
        <v>307.5</v>
      </c>
      <c r="AB8">
        <f>+AA8</f>
        <v>307.5</v>
      </c>
      <c r="AC8" s="48">
        <v>307.5</v>
      </c>
      <c r="AD8">
        <f>+AC8</f>
        <v>307.5</v>
      </c>
      <c r="AE8">
        <f>+AD8</f>
        <v>307.5</v>
      </c>
      <c r="AF8" s="34">
        <f t="shared" si="4"/>
        <v>46505</v>
      </c>
      <c r="AG8" s="34">
        <f t="shared" si="5"/>
        <v>48330</v>
      </c>
      <c r="AH8" t="s">
        <v>185</v>
      </c>
      <c r="AK8">
        <v>16</v>
      </c>
      <c r="AL8">
        <v>112</v>
      </c>
      <c r="AM8">
        <v>10</v>
      </c>
      <c r="AN8" s="48">
        <v>307.5</v>
      </c>
    </row>
    <row r="9" spans="1:40">
      <c r="B9" s="39" t="s">
        <v>190</v>
      </c>
      <c r="C9" t="s">
        <v>168</v>
      </c>
      <c r="D9" t="s">
        <v>164</v>
      </c>
      <c r="E9" t="s">
        <v>83</v>
      </c>
      <c r="F9" s="34">
        <v>46176</v>
      </c>
      <c r="G9" s="34">
        <f t="shared" si="0"/>
        <v>46296</v>
      </c>
      <c r="H9" t="s">
        <v>169</v>
      </c>
      <c r="I9" s="34">
        <f t="shared" si="1"/>
        <v>46296</v>
      </c>
      <c r="J9" t="s">
        <v>161</v>
      </c>
      <c r="K9" t="s">
        <v>162</v>
      </c>
      <c r="L9" t="s">
        <v>163</v>
      </c>
      <c r="M9" t="str">
        <f t="shared" si="2"/>
        <v>V262302</v>
      </c>
      <c r="N9" t="s">
        <v>161</v>
      </c>
      <c r="O9" t="str">
        <f t="shared" si="3"/>
        <v>V262302</v>
      </c>
      <c r="P9" t="s">
        <v>165</v>
      </c>
      <c r="Q9" t="s">
        <v>182</v>
      </c>
      <c r="U9" t="s">
        <v>183</v>
      </c>
      <c r="V9" t="s">
        <v>184</v>
      </c>
      <c r="W9" t="s">
        <v>241</v>
      </c>
      <c r="X9">
        <v>0</v>
      </c>
      <c r="Y9">
        <v>0</v>
      </c>
      <c r="Z9">
        <v>0</v>
      </c>
      <c r="AA9" s="48">
        <v>307.5</v>
      </c>
      <c r="AC9" s="48">
        <v>307.5</v>
      </c>
      <c r="AF9" s="34">
        <f t="shared" si="4"/>
        <v>46505</v>
      </c>
      <c r="AG9" s="34">
        <f t="shared" si="5"/>
        <v>48330</v>
      </c>
      <c r="AH9" t="s">
        <v>185</v>
      </c>
      <c r="AK9">
        <v>16</v>
      </c>
      <c r="AL9">
        <v>112</v>
      </c>
      <c r="AM9">
        <v>10</v>
      </c>
      <c r="AN9" s="48">
        <v>307.5</v>
      </c>
    </row>
    <row r="10" spans="1:40">
      <c r="B10" s="39" t="s">
        <v>191</v>
      </c>
      <c r="C10" t="s">
        <v>168</v>
      </c>
      <c r="D10" t="s">
        <v>164</v>
      </c>
      <c r="E10" t="s">
        <v>83</v>
      </c>
      <c r="F10" s="34">
        <v>46176</v>
      </c>
      <c r="G10" s="34">
        <f t="shared" si="0"/>
        <v>46296</v>
      </c>
      <c r="H10" t="s">
        <v>169</v>
      </c>
      <c r="I10" s="34">
        <f t="shared" si="1"/>
        <v>46296</v>
      </c>
      <c r="J10" t="s">
        <v>161</v>
      </c>
      <c r="K10" t="s">
        <v>162</v>
      </c>
      <c r="L10" t="s">
        <v>163</v>
      </c>
      <c r="M10" t="str">
        <f t="shared" ref="M10" si="6">+B10</f>
        <v>V262303</v>
      </c>
      <c r="N10" t="s">
        <v>161</v>
      </c>
      <c r="O10" t="str">
        <f t="shared" ref="O10" si="7">+M10</f>
        <v>V262303</v>
      </c>
      <c r="P10" t="s">
        <v>165</v>
      </c>
      <c r="Q10" t="s">
        <v>182</v>
      </c>
      <c r="U10" t="s">
        <v>183</v>
      </c>
      <c r="V10" t="s">
        <v>184</v>
      </c>
      <c r="W10" t="s">
        <v>241</v>
      </c>
      <c r="X10">
        <v>0</v>
      </c>
      <c r="Y10">
        <v>0</v>
      </c>
      <c r="Z10">
        <v>0</v>
      </c>
      <c r="AA10" s="48">
        <v>307.5</v>
      </c>
      <c r="AC10" s="48">
        <v>307.5</v>
      </c>
      <c r="AF10" s="34">
        <f t="shared" ref="AF10:AF73" si="8">+F10+(47*7)</f>
        <v>46505</v>
      </c>
      <c r="AG10" s="34">
        <f t="shared" ref="AG10:AG73" si="9">+AF10+(365*5)</f>
        <v>48330</v>
      </c>
      <c r="AH10" t="s">
        <v>185</v>
      </c>
      <c r="AK10">
        <v>16</v>
      </c>
      <c r="AL10">
        <v>112</v>
      </c>
      <c r="AM10">
        <v>10</v>
      </c>
      <c r="AN10" s="48">
        <v>307.5</v>
      </c>
    </row>
    <row r="11" spans="1:40">
      <c r="B11" s="39" t="s">
        <v>192</v>
      </c>
      <c r="C11" t="s">
        <v>168</v>
      </c>
      <c r="D11" t="s">
        <v>164</v>
      </c>
      <c r="E11" t="s">
        <v>83</v>
      </c>
      <c r="F11" s="34">
        <v>46176</v>
      </c>
      <c r="G11" s="34">
        <f t="shared" si="0"/>
        <v>46296</v>
      </c>
      <c r="H11" t="s">
        <v>169</v>
      </c>
      <c r="I11" s="34">
        <f t="shared" si="1"/>
        <v>46296</v>
      </c>
      <c r="J11" t="s">
        <v>161</v>
      </c>
      <c r="K11" t="s">
        <v>162</v>
      </c>
      <c r="L11" t="s">
        <v>163</v>
      </c>
      <c r="M11" s="39" t="s">
        <v>186</v>
      </c>
      <c r="N11" t="s">
        <v>161</v>
      </c>
      <c r="O11" s="39" t="s">
        <v>186</v>
      </c>
      <c r="P11" t="s">
        <v>165</v>
      </c>
      <c r="Q11" s="39" t="s">
        <v>240</v>
      </c>
      <c r="U11" t="s">
        <v>183</v>
      </c>
      <c r="V11" t="s">
        <v>184</v>
      </c>
      <c r="W11" t="s">
        <v>241</v>
      </c>
      <c r="X11">
        <v>0</v>
      </c>
      <c r="Y11">
        <v>0</v>
      </c>
      <c r="Z11">
        <v>0</v>
      </c>
      <c r="AA11" s="48">
        <v>307.5</v>
      </c>
      <c r="AC11" s="48">
        <v>307.5</v>
      </c>
      <c r="AF11" s="34">
        <f t="shared" si="8"/>
        <v>46505</v>
      </c>
      <c r="AG11" s="34">
        <f t="shared" si="9"/>
        <v>48330</v>
      </c>
      <c r="AH11" t="s">
        <v>185</v>
      </c>
      <c r="AK11">
        <v>16</v>
      </c>
      <c r="AL11">
        <v>112</v>
      </c>
      <c r="AM11">
        <v>10</v>
      </c>
      <c r="AN11" s="48">
        <v>307.5</v>
      </c>
    </row>
    <row r="12" spans="1:40">
      <c r="B12" s="39" t="s">
        <v>193</v>
      </c>
      <c r="C12" t="s">
        <v>168</v>
      </c>
      <c r="D12" t="s">
        <v>164</v>
      </c>
      <c r="E12" t="s">
        <v>83</v>
      </c>
      <c r="F12" s="34">
        <v>46176</v>
      </c>
      <c r="G12" s="34">
        <f t="shared" si="0"/>
        <v>46296</v>
      </c>
      <c r="H12" t="s">
        <v>169</v>
      </c>
      <c r="I12" s="34">
        <f t="shared" si="1"/>
        <v>46296</v>
      </c>
      <c r="J12" t="s">
        <v>161</v>
      </c>
      <c r="K12" t="s">
        <v>162</v>
      </c>
      <c r="L12" t="s">
        <v>163</v>
      </c>
      <c r="M12" s="39" t="s">
        <v>187</v>
      </c>
      <c r="N12" t="s">
        <v>161</v>
      </c>
      <c r="O12" s="39" t="s">
        <v>187</v>
      </c>
      <c r="Q12" s="39" t="s">
        <v>240</v>
      </c>
      <c r="U12" t="s">
        <v>183</v>
      </c>
      <c r="W12" t="s">
        <v>241</v>
      </c>
      <c r="X12">
        <v>0</v>
      </c>
      <c r="Y12">
        <v>0</v>
      </c>
      <c r="Z12">
        <v>0</v>
      </c>
      <c r="AA12" s="48">
        <v>307.5</v>
      </c>
      <c r="AC12" s="48">
        <v>307.5</v>
      </c>
      <c r="AF12" s="34">
        <f t="shared" si="8"/>
        <v>46505</v>
      </c>
      <c r="AG12" s="34">
        <f t="shared" si="9"/>
        <v>48330</v>
      </c>
      <c r="AH12" t="s">
        <v>185</v>
      </c>
      <c r="AK12">
        <v>16</v>
      </c>
      <c r="AL12">
        <v>112</v>
      </c>
      <c r="AM12">
        <v>10</v>
      </c>
      <c r="AN12" s="48">
        <v>307.5</v>
      </c>
    </row>
    <row r="13" spans="1:40">
      <c r="B13" s="39" t="s">
        <v>194</v>
      </c>
      <c r="C13" t="s">
        <v>168</v>
      </c>
      <c r="D13" t="s">
        <v>164</v>
      </c>
      <c r="E13" t="s">
        <v>83</v>
      </c>
      <c r="F13" s="40">
        <v>46170</v>
      </c>
      <c r="G13" s="34">
        <f t="shared" si="0"/>
        <v>46290</v>
      </c>
      <c r="H13" t="s">
        <v>169</v>
      </c>
      <c r="I13" s="34">
        <f t="shared" si="1"/>
        <v>46290</v>
      </c>
      <c r="J13" t="s">
        <v>161</v>
      </c>
      <c r="K13" t="s">
        <v>162</v>
      </c>
      <c r="L13" t="s">
        <v>163</v>
      </c>
      <c r="M13" s="39" t="s">
        <v>188</v>
      </c>
      <c r="N13" t="s">
        <v>161</v>
      </c>
      <c r="O13" s="39" t="s">
        <v>188</v>
      </c>
      <c r="Q13" s="39" t="s">
        <v>240</v>
      </c>
      <c r="U13" t="s">
        <v>183</v>
      </c>
      <c r="W13" t="s">
        <v>241</v>
      </c>
      <c r="X13">
        <v>0</v>
      </c>
      <c r="Y13">
        <v>0</v>
      </c>
      <c r="Z13">
        <v>0</v>
      </c>
      <c r="AA13" s="48">
        <v>307.5</v>
      </c>
      <c r="AC13" s="48">
        <v>307.5</v>
      </c>
      <c r="AF13" s="34">
        <f t="shared" si="8"/>
        <v>46499</v>
      </c>
      <c r="AG13" s="34">
        <f t="shared" si="9"/>
        <v>48324</v>
      </c>
      <c r="AH13" t="s">
        <v>185</v>
      </c>
      <c r="AK13">
        <v>16</v>
      </c>
      <c r="AL13">
        <v>112</v>
      </c>
      <c r="AM13">
        <v>10</v>
      </c>
      <c r="AN13" s="48">
        <v>307.5</v>
      </c>
    </row>
    <row r="14" spans="1:40">
      <c r="B14" s="39" t="s">
        <v>195</v>
      </c>
      <c r="C14" t="s">
        <v>168</v>
      </c>
      <c r="D14" t="s">
        <v>164</v>
      </c>
      <c r="E14" t="s">
        <v>83</v>
      </c>
      <c r="F14" s="40">
        <v>46170</v>
      </c>
      <c r="G14" s="34">
        <f t="shared" si="0"/>
        <v>46290</v>
      </c>
      <c r="H14" t="s">
        <v>169</v>
      </c>
      <c r="I14" s="34">
        <f t="shared" si="1"/>
        <v>46290</v>
      </c>
      <c r="J14" t="s">
        <v>161</v>
      </c>
      <c r="K14" t="s">
        <v>162</v>
      </c>
      <c r="L14" t="s">
        <v>163</v>
      </c>
      <c r="M14" s="39" t="s">
        <v>189</v>
      </c>
      <c r="N14" t="s">
        <v>161</v>
      </c>
      <c r="O14" s="39" t="s">
        <v>189</v>
      </c>
      <c r="Q14" s="39" t="s">
        <v>707</v>
      </c>
      <c r="U14" t="s">
        <v>183</v>
      </c>
      <c r="W14" t="s">
        <v>241</v>
      </c>
      <c r="X14">
        <v>0</v>
      </c>
      <c r="Y14">
        <v>0</v>
      </c>
      <c r="Z14">
        <v>0</v>
      </c>
      <c r="AA14" s="48">
        <v>307.5</v>
      </c>
      <c r="AC14" s="48">
        <v>307.5</v>
      </c>
      <c r="AF14" s="34">
        <f t="shared" si="8"/>
        <v>46499</v>
      </c>
      <c r="AG14" s="34">
        <f t="shared" si="9"/>
        <v>48324</v>
      </c>
      <c r="AH14" t="s">
        <v>185</v>
      </c>
      <c r="AK14">
        <v>16</v>
      </c>
      <c r="AL14">
        <v>112</v>
      </c>
      <c r="AM14">
        <v>10</v>
      </c>
      <c r="AN14" s="48">
        <v>307.5</v>
      </c>
    </row>
    <row r="15" spans="1:40">
      <c r="B15" s="39" t="s">
        <v>196</v>
      </c>
      <c r="C15" t="s">
        <v>168</v>
      </c>
      <c r="D15" t="s">
        <v>164</v>
      </c>
      <c r="E15" t="s">
        <v>83</v>
      </c>
      <c r="F15" s="40">
        <v>46170</v>
      </c>
      <c r="G15" s="34">
        <f t="shared" si="0"/>
        <v>46290</v>
      </c>
      <c r="H15" t="s">
        <v>169</v>
      </c>
      <c r="I15" s="34">
        <f t="shared" si="1"/>
        <v>46290</v>
      </c>
      <c r="J15" t="s">
        <v>161</v>
      </c>
      <c r="K15" t="s">
        <v>162</v>
      </c>
      <c r="L15" t="s">
        <v>163</v>
      </c>
      <c r="M15" s="39" t="s">
        <v>190</v>
      </c>
      <c r="N15" t="s">
        <v>161</v>
      </c>
      <c r="O15" s="39" t="s">
        <v>190</v>
      </c>
      <c r="Q15" s="39" t="s">
        <v>707</v>
      </c>
      <c r="U15" t="s">
        <v>183</v>
      </c>
      <c r="W15" t="s">
        <v>241</v>
      </c>
      <c r="X15">
        <v>0</v>
      </c>
      <c r="Y15">
        <v>0</v>
      </c>
      <c r="Z15">
        <v>0</v>
      </c>
      <c r="AA15" s="48">
        <v>307.5</v>
      </c>
      <c r="AC15" s="48">
        <v>307.5</v>
      </c>
      <c r="AF15" s="34">
        <f t="shared" si="8"/>
        <v>46499</v>
      </c>
      <c r="AG15" s="34">
        <f t="shared" si="9"/>
        <v>48324</v>
      </c>
      <c r="AH15" t="s">
        <v>185</v>
      </c>
      <c r="AK15">
        <v>16</v>
      </c>
      <c r="AL15">
        <v>112</v>
      </c>
      <c r="AM15">
        <v>10</v>
      </c>
      <c r="AN15" s="48">
        <v>307.5</v>
      </c>
    </row>
    <row r="16" spans="1:40">
      <c r="B16" s="39" t="s">
        <v>197</v>
      </c>
      <c r="C16" t="s">
        <v>168</v>
      </c>
      <c r="D16" t="s">
        <v>164</v>
      </c>
      <c r="E16" t="s">
        <v>83</v>
      </c>
      <c r="F16" s="40">
        <v>46170</v>
      </c>
      <c r="G16" s="34">
        <f t="shared" si="0"/>
        <v>46290</v>
      </c>
      <c r="H16" t="s">
        <v>169</v>
      </c>
      <c r="I16" s="34">
        <f t="shared" si="1"/>
        <v>46290</v>
      </c>
      <c r="J16" t="s">
        <v>161</v>
      </c>
      <c r="K16" t="s">
        <v>162</v>
      </c>
      <c r="L16" t="s">
        <v>163</v>
      </c>
      <c r="M16" s="39" t="s">
        <v>191</v>
      </c>
      <c r="N16" t="s">
        <v>161</v>
      </c>
      <c r="O16" s="39" t="s">
        <v>191</v>
      </c>
      <c r="Q16" s="39" t="s">
        <v>707</v>
      </c>
      <c r="U16" t="s">
        <v>183</v>
      </c>
      <c r="W16" t="s">
        <v>241</v>
      </c>
      <c r="X16">
        <v>0</v>
      </c>
      <c r="Y16">
        <v>0</v>
      </c>
      <c r="Z16">
        <v>0</v>
      </c>
      <c r="AA16" s="48">
        <v>307.5</v>
      </c>
      <c r="AC16" s="48">
        <v>307.5</v>
      </c>
      <c r="AF16" s="34">
        <f t="shared" si="8"/>
        <v>46499</v>
      </c>
      <c r="AG16" s="34">
        <f t="shared" si="9"/>
        <v>48324</v>
      </c>
      <c r="AH16" t="s">
        <v>185</v>
      </c>
      <c r="AK16">
        <v>16</v>
      </c>
      <c r="AL16">
        <v>112</v>
      </c>
      <c r="AM16">
        <v>10</v>
      </c>
      <c r="AN16" s="48">
        <v>307.5</v>
      </c>
    </row>
    <row r="17" spans="2:40">
      <c r="B17" s="39" t="s">
        <v>198</v>
      </c>
      <c r="C17" t="s">
        <v>168</v>
      </c>
      <c r="D17" t="s">
        <v>164</v>
      </c>
      <c r="E17" t="s">
        <v>83</v>
      </c>
      <c r="F17" s="40">
        <v>46170</v>
      </c>
      <c r="G17" s="34">
        <f t="shared" si="0"/>
        <v>46290</v>
      </c>
      <c r="H17" t="s">
        <v>169</v>
      </c>
      <c r="I17" s="34">
        <f t="shared" si="1"/>
        <v>46290</v>
      </c>
      <c r="J17" t="s">
        <v>161</v>
      </c>
      <c r="K17" t="s">
        <v>162</v>
      </c>
      <c r="L17" t="s">
        <v>163</v>
      </c>
      <c r="M17" s="39" t="s">
        <v>192</v>
      </c>
      <c r="N17" t="s">
        <v>161</v>
      </c>
      <c r="O17" s="39" t="s">
        <v>192</v>
      </c>
      <c r="Q17" s="39" t="s">
        <v>707</v>
      </c>
      <c r="U17" t="s">
        <v>183</v>
      </c>
      <c r="W17" t="s">
        <v>241</v>
      </c>
      <c r="X17">
        <v>0</v>
      </c>
      <c r="Y17">
        <v>0</v>
      </c>
      <c r="Z17">
        <v>0</v>
      </c>
      <c r="AA17" s="48">
        <v>307.5</v>
      </c>
      <c r="AC17" s="48">
        <v>307.5</v>
      </c>
      <c r="AF17" s="34">
        <f t="shared" si="8"/>
        <v>46499</v>
      </c>
      <c r="AG17" s="34">
        <f t="shared" si="9"/>
        <v>48324</v>
      </c>
      <c r="AH17" t="s">
        <v>185</v>
      </c>
      <c r="AK17">
        <v>16</v>
      </c>
      <c r="AL17">
        <v>112</v>
      </c>
      <c r="AM17">
        <v>10</v>
      </c>
      <c r="AN17" s="48">
        <v>307.5</v>
      </c>
    </row>
    <row r="18" spans="2:40">
      <c r="B18" s="39" t="s">
        <v>199</v>
      </c>
      <c r="C18" t="s">
        <v>168</v>
      </c>
      <c r="D18" t="s">
        <v>164</v>
      </c>
      <c r="E18" t="s">
        <v>83</v>
      </c>
      <c r="F18" s="40">
        <v>46165</v>
      </c>
      <c r="G18" s="34">
        <f t="shared" si="0"/>
        <v>46285</v>
      </c>
      <c r="H18" t="s">
        <v>169</v>
      </c>
      <c r="I18" s="34">
        <f t="shared" si="1"/>
        <v>46285</v>
      </c>
      <c r="J18" t="s">
        <v>161</v>
      </c>
      <c r="K18" t="s">
        <v>162</v>
      </c>
      <c r="L18" t="s">
        <v>163</v>
      </c>
      <c r="M18" s="39" t="s">
        <v>193</v>
      </c>
      <c r="N18" t="s">
        <v>161</v>
      </c>
      <c r="O18" s="39" t="s">
        <v>193</v>
      </c>
      <c r="Q18" s="39" t="s">
        <v>708</v>
      </c>
      <c r="U18" t="s">
        <v>183</v>
      </c>
      <c r="W18" t="s">
        <v>241</v>
      </c>
      <c r="X18">
        <v>0</v>
      </c>
      <c r="Y18">
        <v>0</v>
      </c>
      <c r="Z18">
        <v>0</v>
      </c>
      <c r="AA18" s="48">
        <v>307.5</v>
      </c>
      <c r="AC18" s="48">
        <v>307.5</v>
      </c>
      <c r="AF18" s="34">
        <f t="shared" si="8"/>
        <v>46494</v>
      </c>
      <c r="AG18" s="34">
        <f t="shared" si="9"/>
        <v>48319</v>
      </c>
      <c r="AH18" t="s">
        <v>185</v>
      </c>
      <c r="AK18">
        <v>16</v>
      </c>
      <c r="AL18">
        <v>112</v>
      </c>
      <c r="AM18">
        <v>10</v>
      </c>
      <c r="AN18" s="48">
        <v>307.5</v>
      </c>
    </row>
    <row r="19" spans="2:40">
      <c r="B19" s="39" t="s">
        <v>200</v>
      </c>
      <c r="C19" t="s">
        <v>168</v>
      </c>
      <c r="D19" t="s">
        <v>164</v>
      </c>
      <c r="E19" t="s">
        <v>83</v>
      </c>
      <c r="F19" s="40">
        <v>46165</v>
      </c>
      <c r="G19" s="34">
        <f t="shared" si="0"/>
        <v>46285</v>
      </c>
      <c r="H19" t="s">
        <v>169</v>
      </c>
      <c r="I19" s="34">
        <f t="shared" si="1"/>
        <v>46285</v>
      </c>
      <c r="J19" t="s">
        <v>161</v>
      </c>
      <c r="K19" t="s">
        <v>162</v>
      </c>
      <c r="L19" t="s">
        <v>163</v>
      </c>
      <c r="M19" s="39" t="s">
        <v>194</v>
      </c>
      <c r="N19" t="s">
        <v>161</v>
      </c>
      <c r="O19" s="39" t="s">
        <v>194</v>
      </c>
      <c r="Q19" s="39" t="s">
        <v>708</v>
      </c>
      <c r="U19" t="s">
        <v>183</v>
      </c>
      <c r="W19" t="s">
        <v>241</v>
      </c>
      <c r="X19">
        <v>0</v>
      </c>
      <c r="Y19">
        <v>0</v>
      </c>
      <c r="Z19">
        <v>0</v>
      </c>
      <c r="AA19" s="48">
        <v>307.5</v>
      </c>
      <c r="AC19" s="48">
        <v>307.5</v>
      </c>
      <c r="AF19" s="34">
        <f t="shared" si="8"/>
        <v>46494</v>
      </c>
      <c r="AG19" s="34">
        <f t="shared" si="9"/>
        <v>48319</v>
      </c>
      <c r="AH19" t="s">
        <v>185</v>
      </c>
      <c r="AK19">
        <v>16</v>
      </c>
      <c r="AL19">
        <v>112</v>
      </c>
      <c r="AM19">
        <v>10</v>
      </c>
      <c r="AN19" s="48">
        <v>307.5</v>
      </c>
    </row>
    <row r="20" spans="2:40">
      <c r="B20" s="39" t="s">
        <v>201</v>
      </c>
      <c r="C20" t="s">
        <v>168</v>
      </c>
      <c r="D20" t="s">
        <v>164</v>
      </c>
      <c r="E20" t="s">
        <v>83</v>
      </c>
      <c r="F20" s="40">
        <v>46165</v>
      </c>
      <c r="G20" s="34">
        <f t="shared" si="0"/>
        <v>46285</v>
      </c>
      <c r="H20" t="s">
        <v>169</v>
      </c>
      <c r="I20" s="34">
        <f t="shared" si="1"/>
        <v>46285</v>
      </c>
      <c r="J20" t="s">
        <v>161</v>
      </c>
      <c r="K20" t="s">
        <v>162</v>
      </c>
      <c r="L20" t="s">
        <v>163</v>
      </c>
      <c r="M20" s="39" t="s">
        <v>195</v>
      </c>
      <c r="N20" t="s">
        <v>161</v>
      </c>
      <c r="O20" s="39" t="s">
        <v>195</v>
      </c>
      <c r="Q20" s="39" t="s">
        <v>708</v>
      </c>
      <c r="U20" t="s">
        <v>183</v>
      </c>
      <c r="W20" t="s">
        <v>241</v>
      </c>
      <c r="X20">
        <v>0</v>
      </c>
      <c r="Y20">
        <v>0</v>
      </c>
      <c r="Z20">
        <v>0</v>
      </c>
      <c r="AA20" s="48">
        <v>307.5</v>
      </c>
      <c r="AC20" s="48">
        <v>307.5</v>
      </c>
      <c r="AF20" s="34">
        <f t="shared" si="8"/>
        <v>46494</v>
      </c>
      <c r="AG20" s="34">
        <f t="shared" si="9"/>
        <v>48319</v>
      </c>
      <c r="AH20" t="s">
        <v>185</v>
      </c>
      <c r="AK20">
        <v>16</v>
      </c>
      <c r="AL20">
        <v>112</v>
      </c>
      <c r="AM20">
        <v>10</v>
      </c>
      <c r="AN20" s="48">
        <v>307.5</v>
      </c>
    </row>
    <row r="21" spans="2:40">
      <c r="B21" s="39" t="s">
        <v>202</v>
      </c>
      <c r="C21" t="s">
        <v>168</v>
      </c>
      <c r="D21" t="s">
        <v>164</v>
      </c>
      <c r="E21" t="s">
        <v>83</v>
      </c>
      <c r="F21" s="40">
        <v>46165</v>
      </c>
      <c r="G21" s="34">
        <f t="shared" si="0"/>
        <v>46285</v>
      </c>
      <c r="H21" t="s">
        <v>169</v>
      </c>
      <c r="I21" s="34">
        <f t="shared" si="1"/>
        <v>46285</v>
      </c>
      <c r="J21" t="s">
        <v>161</v>
      </c>
      <c r="K21" t="s">
        <v>162</v>
      </c>
      <c r="L21" t="s">
        <v>163</v>
      </c>
      <c r="M21" s="39" t="s">
        <v>196</v>
      </c>
      <c r="N21" t="s">
        <v>161</v>
      </c>
      <c r="O21" s="39" t="s">
        <v>196</v>
      </c>
      <c r="Q21" s="39" t="s">
        <v>708</v>
      </c>
      <c r="U21" t="s">
        <v>183</v>
      </c>
      <c r="W21" t="s">
        <v>241</v>
      </c>
      <c r="X21">
        <v>0</v>
      </c>
      <c r="Y21">
        <v>0</v>
      </c>
      <c r="Z21">
        <v>0</v>
      </c>
      <c r="AA21" s="48">
        <v>307.5</v>
      </c>
      <c r="AC21" s="48">
        <v>307.5</v>
      </c>
      <c r="AF21" s="34">
        <f t="shared" si="8"/>
        <v>46494</v>
      </c>
      <c r="AG21" s="34">
        <f t="shared" si="9"/>
        <v>48319</v>
      </c>
      <c r="AH21" t="s">
        <v>185</v>
      </c>
      <c r="AK21">
        <v>16</v>
      </c>
      <c r="AL21">
        <v>112</v>
      </c>
      <c r="AM21">
        <v>10</v>
      </c>
      <c r="AN21" s="48">
        <v>307.5</v>
      </c>
    </row>
    <row r="22" spans="2:40">
      <c r="B22" s="39" t="s">
        <v>203</v>
      </c>
      <c r="C22" t="s">
        <v>168</v>
      </c>
      <c r="D22" t="s">
        <v>164</v>
      </c>
      <c r="E22" t="s">
        <v>83</v>
      </c>
      <c r="F22" s="40">
        <v>46165</v>
      </c>
      <c r="G22" s="34">
        <f t="shared" si="0"/>
        <v>46285</v>
      </c>
      <c r="H22" t="s">
        <v>169</v>
      </c>
      <c r="I22" s="34">
        <f t="shared" si="1"/>
        <v>46285</v>
      </c>
      <c r="J22" t="s">
        <v>161</v>
      </c>
      <c r="K22" t="s">
        <v>162</v>
      </c>
      <c r="L22" t="s">
        <v>163</v>
      </c>
      <c r="M22" s="39" t="s">
        <v>197</v>
      </c>
      <c r="N22" t="s">
        <v>161</v>
      </c>
      <c r="O22" s="39" t="s">
        <v>197</v>
      </c>
      <c r="Q22" s="39" t="s">
        <v>708</v>
      </c>
      <c r="U22" t="s">
        <v>183</v>
      </c>
      <c r="W22" t="s">
        <v>241</v>
      </c>
      <c r="X22">
        <v>0</v>
      </c>
      <c r="Y22">
        <v>0</v>
      </c>
      <c r="Z22">
        <v>0</v>
      </c>
      <c r="AA22" s="48">
        <v>307.5</v>
      </c>
      <c r="AC22" s="48">
        <v>307.5</v>
      </c>
      <c r="AF22" s="34">
        <f t="shared" si="8"/>
        <v>46494</v>
      </c>
      <c r="AG22" s="34">
        <f t="shared" si="9"/>
        <v>48319</v>
      </c>
      <c r="AH22" t="s">
        <v>185</v>
      </c>
      <c r="AK22">
        <v>16</v>
      </c>
      <c r="AL22">
        <v>112</v>
      </c>
      <c r="AM22">
        <v>10</v>
      </c>
      <c r="AN22" s="48">
        <v>307.5</v>
      </c>
    </row>
    <row r="23" spans="2:40">
      <c r="B23" s="39" t="s">
        <v>204</v>
      </c>
      <c r="C23" t="s">
        <v>168</v>
      </c>
      <c r="D23" t="s">
        <v>164</v>
      </c>
      <c r="E23" t="s">
        <v>83</v>
      </c>
      <c r="F23" s="40">
        <v>46155</v>
      </c>
      <c r="G23" s="34">
        <f t="shared" si="0"/>
        <v>46275</v>
      </c>
      <c r="H23" t="s">
        <v>169</v>
      </c>
      <c r="I23" s="34">
        <f t="shared" si="1"/>
        <v>46275</v>
      </c>
      <c r="J23" t="s">
        <v>161</v>
      </c>
      <c r="K23" t="s">
        <v>162</v>
      </c>
      <c r="L23" t="s">
        <v>163</v>
      </c>
      <c r="M23" s="39" t="s">
        <v>198</v>
      </c>
      <c r="N23" t="s">
        <v>161</v>
      </c>
      <c r="O23" s="39" t="s">
        <v>198</v>
      </c>
      <c r="Q23" s="39" t="s">
        <v>709</v>
      </c>
      <c r="U23" t="s">
        <v>183</v>
      </c>
      <c r="W23" t="s">
        <v>241</v>
      </c>
      <c r="X23">
        <v>0</v>
      </c>
      <c r="Y23">
        <v>0</v>
      </c>
      <c r="Z23">
        <v>0</v>
      </c>
      <c r="AA23" s="48">
        <v>307.5</v>
      </c>
      <c r="AC23" s="48">
        <v>307.5</v>
      </c>
      <c r="AF23" s="34">
        <f t="shared" si="8"/>
        <v>46484</v>
      </c>
      <c r="AG23" s="34">
        <f t="shared" si="9"/>
        <v>48309</v>
      </c>
      <c r="AH23" t="s">
        <v>185</v>
      </c>
      <c r="AK23">
        <v>16</v>
      </c>
      <c r="AL23">
        <v>112</v>
      </c>
      <c r="AM23">
        <v>10</v>
      </c>
      <c r="AN23" s="48">
        <v>307.5</v>
      </c>
    </row>
    <row r="24" spans="2:40">
      <c r="B24" s="39" t="s">
        <v>205</v>
      </c>
      <c r="C24" t="s">
        <v>168</v>
      </c>
      <c r="D24" t="s">
        <v>164</v>
      </c>
      <c r="E24" t="s">
        <v>83</v>
      </c>
      <c r="F24" s="40">
        <v>46155</v>
      </c>
      <c r="G24" s="34">
        <f t="shared" si="0"/>
        <v>46275</v>
      </c>
      <c r="H24" t="s">
        <v>169</v>
      </c>
      <c r="I24" s="34">
        <f t="shared" si="1"/>
        <v>46275</v>
      </c>
      <c r="J24" t="s">
        <v>161</v>
      </c>
      <c r="K24" t="s">
        <v>162</v>
      </c>
      <c r="L24" t="s">
        <v>163</v>
      </c>
      <c r="M24" s="39" t="s">
        <v>199</v>
      </c>
      <c r="N24" t="s">
        <v>161</v>
      </c>
      <c r="O24" s="39" t="s">
        <v>199</v>
      </c>
      <c r="Q24" s="39" t="s">
        <v>709</v>
      </c>
      <c r="U24" t="s">
        <v>183</v>
      </c>
      <c r="W24" t="s">
        <v>241</v>
      </c>
      <c r="X24">
        <v>0</v>
      </c>
      <c r="Y24">
        <v>0</v>
      </c>
      <c r="Z24">
        <v>0</v>
      </c>
      <c r="AA24" s="48">
        <v>307.5</v>
      </c>
      <c r="AC24" s="48">
        <v>307.5</v>
      </c>
      <c r="AF24" s="34">
        <f t="shared" si="8"/>
        <v>46484</v>
      </c>
      <c r="AG24" s="34">
        <f t="shared" si="9"/>
        <v>48309</v>
      </c>
      <c r="AH24" t="s">
        <v>185</v>
      </c>
      <c r="AK24">
        <v>16</v>
      </c>
      <c r="AL24">
        <v>112</v>
      </c>
      <c r="AM24">
        <v>10</v>
      </c>
      <c r="AN24" s="48">
        <v>307.5</v>
      </c>
    </row>
    <row r="25" spans="2:40">
      <c r="B25" s="39" t="s">
        <v>206</v>
      </c>
      <c r="C25" t="s">
        <v>168</v>
      </c>
      <c r="D25" t="s">
        <v>164</v>
      </c>
      <c r="E25" t="s">
        <v>83</v>
      </c>
      <c r="F25" s="40">
        <v>46155</v>
      </c>
      <c r="G25" s="34">
        <f t="shared" si="0"/>
        <v>46275</v>
      </c>
      <c r="H25" t="s">
        <v>169</v>
      </c>
      <c r="I25" s="34">
        <f t="shared" si="1"/>
        <v>46275</v>
      </c>
      <c r="J25" t="s">
        <v>161</v>
      </c>
      <c r="K25" t="s">
        <v>162</v>
      </c>
      <c r="L25" t="s">
        <v>163</v>
      </c>
      <c r="M25" s="39" t="s">
        <v>200</v>
      </c>
      <c r="N25" t="s">
        <v>161</v>
      </c>
      <c r="O25" s="39" t="s">
        <v>200</v>
      </c>
      <c r="Q25" s="39" t="s">
        <v>709</v>
      </c>
      <c r="U25" t="s">
        <v>183</v>
      </c>
      <c r="W25" t="s">
        <v>241</v>
      </c>
      <c r="X25">
        <v>0</v>
      </c>
      <c r="Y25">
        <v>0</v>
      </c>
      <c r="Z25">
        <v>0</v>
      </c>
      <c r="AA25" s="48">
        <v>307.5</v>
      </c>
      <c r="AC25" s="48">
        <v>307.5</v>
      </c>
      <c r="AF25" s="34">
        <f t="shared" si="8"/>
        <v>46484</v>
      </c>
      <c r="AG25" s="34">
        <f t="shared" si="9"/>
        <v>48309</v>
      </c>
      <c r="AH25" t="s">
        <v>185</v>
      </c>
      <c r="AK25">
        <v>16</v>
      </c>
      <c r="AL25">
        <v>112</v>
      </c>
      <c r="AM25">
        <v>10</v>
      </c>
      <c r="AN25" s="48">
        <v>307.5</v>
      </c>
    </row>
    <row r="26" spans="2:40">
      <c r="B26" s="39" t="s">
        <v>207</v>
      </c>
      <c r="C26" t="s">
        <v>168</v>
      </c>
      <c r="D26" t="s">
        <v>164</v>
      </c>
      <c r="E26" t="s">
        <v>83</v>
      </c>
      <c r="F26" s="40">
        <v>46155</v>
      </c>
      <c r="G26" s="34">
        <f t="shared" si="0"/>
        <v>46275</v>
      </c>
      <c r="H26" t="s">
        <v>169</v>
      </c>
      <c r="I26" s="34">
        <f t="shared" si="1"/>
        <v>46275</v>
      </c>
      <c r="J26" t="s">
        <v>161</v>
      </c>
      <c r="K26" t="s">
        <v>162</v>
      </c>
      <c r="L26" t="s">
        <v>163</v>
      </c>
      <c r="M26" s="39" t="s">
        <v>201</v>
      </c>
      <c r="N26" t="s">
        <v>161</v>
      </c>
      <c r="O26" s="39" t="s">
        <v>201</v>
      </c>
      <c r="Q26" s="39" t="s">
        <v>709</v>
      </c>
      <c r="U26" t="s">
        <v>183</v>
      </c>
      <c r="W26" t="s">
        <v>241</v>
      </c>
      <c r="X26">
        <v>0</v>
      </c>
      <c r="Y26">
        <v>0</v>
      </c>
      <c r="Z26">
        <v>0</v>
      </c>
      <c r="AA26" s="48">
        <v>307.5</v>
      </c>
      <c r="AC26" s="48">
        <v>307.5</v>
      </c>
      <c r="AF26" s="34">
        <f t="shared" si="8"/>
        <v>46484</v>
      </c>
      <c r="AG26" s="34">
        <f t="shared" si="9"/>
        <v>48309</v>
      </c>
      <c r="AH26" t="s">
        <v>185</v>
      </c>
      <c r="AK26">
        <v>16</v>
      </c>
      <c r="AL26">
        <v>112</v>
      </c>
      <c r="AM26">
        <v>10</v>
      </c>
      <c r="AN26" s="48">
        <v>307.5</v>
      </c>
    </row>
    <row r="27" spans="2:40">
      <c r="B27" s="39" t="s">
        <v>208</v>
      </c>
      <c r="C27" t="s">
        <v>168</v>
      </c>
      <c r="D27" t="s">
        <v>164</v>
      </c>
      <c r="E27" t="s">
        <v>83</v>
      </c>
      <c r="F27" s="40">
        <v>46155</v>
      </c>
      <c r="G27" s="34">
        <f t="shared" si="0"/>
        <v>46275</v>
      </c>
      <c r="H27" t="s">
        <v>169</v>
      </c>
      <c r="I27" s="34">
        <f t="shared" si="1"/>
        <v>46275</v>
      </c>
      <c r="J27" t="s">
        <v>161</v>
      </c>
      <c r="K27" t="s">
        <v>162</v>
      </c>
      <c r="L27" t="s">
        <v>163</v>
      </c>
      <c r="M27" s="39" t="s">
        <v>202</v>
      </c>
      <c r="N27" t="s">
        <v>161</v>
      </c>
      <c r="O27" s="39" t="s">
        <v>202</v>
      </c>
      <c r="Q27" s="39" t="s">
        <v>709</v>
      </c>
      <c r="U27" t="s">
        <v>183</v>
      </c>
      <c r="W27" t="s">
        <v>241</v>
      </c>
      <c r="X27">
        <v>0</v>
      </c>
      <c r="Y27">
        <v>0</v>
      </c>
      <c r="Z27">
        <v>0</v>
      </c>
      <c r="AA27" s="48">
        <v>307.5</v>
      </c>
      <c r="AC27" s="48">
        <v>307.5</v>
      </c>
      <c r="AF27" s="34">
        <f t="shared" si="8"/>
        <v>46484</v>
      </c>
      <c r="AG27" s="34">
        <f t="shared" si="9"/>
        <v>48309</v>
      </c>
      <c r="AH27" t="s">
        <v>185</v>
      </c>
      <c r="AK27">
        <v>16</v>
      </c>
      <c r="AL27">
        <v>112</v>
      </c>
      <c r="AM27">
        <v>10</v>
      </c>
      <c r="AN27" s="48">
        <v>307.5</v>
      </c>
    </row>
    <row r="28" spans="2:40">
      <c r="B28" s="39" t="s">
        <v>209</v>
      </c>
      <c r="C28" t="s">
        <v>168</v>
      </c>
      <c r="D28" t="s">
        <v>164</v>
      </c>
      <c r="E28" t="s">
        <v>83</v>
      </c>
      <c r="F28" s="40">
        <v>46147</v>
      </c>
      <c r="G28" s="34">
        <f t="shared" si="0"/>
        <v>46267</v>
      </c>
      <c r="H28" t="s">
        <v>169</v>
      </c>
      <c r="I28" s="34">
        <f t="shared" si="1"/>
        <v>46267</v>
      </c>
      <c r="J28" t="s">
        <v>161</v>
      </c>
      <c r="K28" t="s">
        <v>162</v>
      </c>
      <c r="L28" t="s">
        <v>163</v>
      </c>
      <c r="M28" s="39" t="s">
        <v>203</v>
      </c>
      <c r="N28" t="s">
        <v>161</v>
      </c>
      <c r="O28" s="39" t="s">
        <v>203</v>
      </c>
      <c r="Q28" s="39" t="s">
        <v>710</v>
      </c>
      <c r="U28" t="s">
        <v>183</v>
      </c>
      <c r="W28" t="s">
        <v>241</v>
      </c>
      <c r="X28">
        <v>0</v>
      </c>
      <c r="Y28">
        <v>0</v>
      </c>
      <c r="Z28">
        <v>0</v>
      </c>
      <c r="AA28" s="48">
        <v>307.5</v>
      </c>
      <c r="AC28" s="48">
        <v>307.5</v>
      </c>
      <c r="AF28" s="34">
        <f t="shared" si="8"/>
        <v>46476</v>
      </c>
      <c r="AG28" s="34">
        <f t="shared" si="9"/>
        <v>48301</v>
      </c>
      <c r="AH28" t="s">
        <v>185</v>
      </c>
      <c r="AK28">
        <v>16</v>
      </c>
      <c r="AL28">
        <v>112</v>
      </c>
      <c r="AM28">
        <v>10</v>
      </c>
      <c r="AN28" s="48">
        <v>307.5</v>
      </c>
    </row>
    <row r="29" spans="2:40">
      <c r="B29" s="39" t="s">
        <v>210</v>
      </c>
      <c r="C29" t="s">
        <v>168</v>
      </c>
      <c r="D29" t="s">
        <v>164</v>
      </c>
      <c r="E29" t="s">
        <v>83</v>
      </c>
      <c r="F29" s="40">
        <v>46147</v>
      </c>
      <c r="G29" s="34">
        <f t="shared" si="0"/>
        <v>46267</v>
      </c>
      <c r="H29" t="s">
        <v>169</v>
      </c>
      <c r="I29" s="34">
        <f t="shared" si="1"/>
        <v>46267</v>
      </c>
      <c r="J29" t="s">
        <v>161</v>
      </c>
      <c r="K29" t="s">
        <v>162</v>
      </c>
      <c r="L29" t="s">
        <v>163</v>
      </c>
      <c r="M29" s="39" t="s">
        <v>204</v>
      </c>
      <c r="N29" t="s">
        <v>161</v>
      </c>
      <c r="O29" s="39" t="s">
        <v>204</v>
      </c>
      <c r="Q29" s="39" t="s">
        <v>710</v>
      </c>
      <c r="U29" t="s">
        <v>183</v>
      </c>
      <c r="W29" t="s">
        <v>241</v>
      </c>
      <c r="X29">
        <v>0</v>
      </c>
      <c r="Y29">
        <v>0</v>
      </c>
      <c r="Z29">
        <v>0</v>
      </c>
      <c r="AA29" s="48">
        <v>307.5</v>
      </c>
      <c r="AC29" s="48">
        <v>307.5</v>
      </c>
      <c r="AF29" s="34">
        <f t="shared" si="8"/>
        <v>46476</v>
      </c>
      <c r="AG29" s="34">
        <f t="shared" si="9"/>
        <v>48301</v>
      </c>
      <c r="AH29" t="s">
        <v>185</v>
      </c>
      <c r="AK29">
        <v>16</v>
      </c>
      <c r="AL29">
        <v>112</v>
      </c>
      <c r="AM29">
        <v>10</v>
      </c>
      <c r="AN29" s="48">
        <v>307.5</v>
      </c>
    </row>
    <row r="30" spans="2:40">
      <c r="B30" s="39" t="s">
        <v>211</v>
      </c>
      <c r="C30" t="s">
        <v>168</v>
      </c>
      <c r="D30" t="s">
        <v>164</v>
      </c>
      <c r="E30" t="s">
        <v>83</v>
      </c>
      <c r="F30" s="40">
        <v>46147</v>
      </c>
      <c r="G30" s="34">
        <f t="shared" si="0"/>
        <v>46267</v>
      </c>
      <c r="H30" t="s">
        <v>169</v>
      </c>
      <c r="I30" s="34">
        <f t="shared" si="1"/>
        <v>46267</v>
      </c>
      <c r="J30" t="s">
        <v>161</v>
      </c>
      <c r="K30" t="s">
        <v>162</v>
      </c>
      <c r="L30" t="s">
        <v>163</v>
      </c>
      <c r="M30" s="39" t="s">
        <v>205</v>
      </c>
      <c r="N30" t="s">
        <v>161</v>
      </c>
      <c r="O30" s="39" t="s">
        <v>205</v>
      </c>
      <c r="Q30" s="39" t="s">
        <v>710</v>
      </c>
      <c r="U30" t="s">
        <v>183</v>
      </c>
      <c r="W30" t="s">
        <v>241</v>
      </c>
      <c r="X30">
        <v>0</v>
      </c>
      <c r="Y30">
        <v>0</v>
      </c>
      <c r="Z30">
        <v>0</v>
      </c>
      <c r="AA30" s="48">
        <v>307.5</v>
      </c>
      <c r="AC30" s="48">
        <v>307.5</v>
      </c>
      <c r="AF30" s="34">
        <f t="shared" si="8"/>
        <v>46476</v>
      </c>
      <c r="AG30" s="34">
        <f t="shared" si="9"/>
        <v>48301</v>
      </c>
      <c r="AH30" t="s">
        <v>185</v>
      </c>
      <c r="AK30">
        <v>16</v>
      </c>
      <c r="AL30">
        <v>112</v>
      </c>
      <c r="AM30">
        <v>10</v>
      </c>
      <c r="AN30" s="48">
        <v>307.5</v>
      </c>
    </row>
    <row r="31" spans="2:40">
      <c r="B31" s="39" t="s">
        <v>212</v>
      </c>
      <c r="C31" t="s">
        <v>168</v>
      </c>
      <c r="D31" t="s">
        <v>164</v>
      </c>
      <c r="E31" t="s">
        <v>83</v>
      </c>
      <c r="F31" s="40">
        <v>46147</v>
      </c>
      <c r="G31" s="34">
        <f t="shared" si="0"/>
        <v>46267</v>
      </c>
      <c r="H31" t="s">
        <v>169</v>
      </c>
      <c r="I31" s="34">
        <f t="shared" si="1"/>
        <v>46267</v>
      </c>
      <c r="J31" t="s">
        <v>161</v>
      </c>
      <c r="K31" t="s">
        <v>162</v>
      </c>
      <c r="L31" t="s">
        <v>163</v>
      </c>
      <c r="M31" s="39" t="s">
        <v>206</v>
      </c>
      <c r="N31" t="s">
        <v>161</v>
      </c>
      <c r="O31" s="39" t="s">
        <v>206</v>
      </c>
      <c r="Q31" s="39" t="s">
        <v>710</v>
      </c>
      <c r="U31" t="s">
        <v>183</v>
      </c>
      <c r="W31" t="s">
        <v>241</v>
      </c>
      <c r="X31">
        <v>0</v>
      </c>
      <c r="Y31">
        <v>0</v>
      </c>
      <c r="Z31">
        <v>0</v>
      </c>
      <c r="AA31" s="48">
        <v>307.5</v>
      </c>
      <c r="AC31" s="48">
        <v>307.5</v>
      </c>
      <c r="AF31" s="34">
        <f t="shared" si="8"/>
        <v>46476</v>
      </c>
      <c r="AG31" s="34">
        <f t="shared" si="9"/>
        <v>48301</v>
      </c>
      <c r="AH31" t="s">
        <v>185</v>
      </c>
      <c r="AK31">
        <v>16</v>
      </c>
      <c r="AL31">
        <v>112</v>
      </c>
      <c r="AM31">
        <v>10</v>
      </c>
      <c r="AN31" s="48">
        <v>307.5</v>
      </c>
    </row>
    <row r="32" spans="2:40">
      <c r="B32" s="39" t="s">
        <v>213</v>
      </c>
      <c r="C32" t="s">
        <v>168</v>
      </c>
      <c r="D32" t="s">
        <v>164</v>
      </c>
      <c r="E32" t="s">
        <v>83</v>
      </c>
      <c r="F32" s="40">
        <v>49760</v>
      </c>
      <c r="G32" s="34">
        <f t="shared" si="0"/>
        <v>49880</v>
      </c>
      <c r="H32" t="s">
        <v>169</v>
      </c>
      <c r="I32" s="34">
        <f t="shared" si="1"/>
        <v>49880</v>
      </c>
      <c r="J32" t="s">
        <v>161</v>
      </c>
      <c r="K32" t="s">
        <v>162</v>
      </c>
      <c r="L32" t="s">
        <v>163</v>
      </c>
      <c r="M32" s="39" t="s">
        <v>207</v>
      </c>
      <c r="N32" t="s">
        <v>161</v>
      </c>
      <c r="O32" s="39" t="s">
        <v>207</v>
      </c>
      <c r="Q32" s="39" t="s">
        <v>711</v>
      </c>
      <c r="U32" t="s">
        <v>183</v>
      </c>
      <c r="W32" t="s">
        <v>241</v>
      </c>
      <c r="X32">
        <v>0</v>
      </c>
      <c r="Y32">
        <v>0</v>
      </c>
      <c r="Z32">
        <v>0</v>
      </c>
      <c r="AA32" s="48">
        <v>307.5</v>
      </c>
      <c r="AC32" s="48">
        <v>307.5</v>
      </c>
      <c r="AF32" s="34">
        <f t="shared" si="8"/>
        <v>50089</v>
      </c>
      <c r="AG32" s="34">
        <f t="shared" si="9"/>
        <v>51914</v>
      </c>
      <c r="AH32" t="s">
        <v>185</v>
      </c>
      <c r="AK32">
        <v>16</v>
      </c>
      <c r="AL32">
        <v>112</v>
      </c>
      <c r="AM32">
        <v>10</v>
      </c>
      <c r="AN32" s="48">
        <v>307.5</v>
      </c>
    </row>
    <row r="33" spans="2:40">
      <c r="B33" s="39" t="s">
        <v>214</v>
      </c>
      <c r="C33" t="s">
        <v>168</v>
      </c>
      <c r="D33" t="s">
        <v>164</v>
      </c>
      <c r="E33" t="s">
        <v>83</v>
      </c>
      <c r="F33" s="40">
        <v>49760</v>
      </c>
      <c r="G33" s="34">
        <f t="shared" si="0"/>
        <v>49880</v>
      </c>
      <c r="H33" t="s">
        <v>169</v>
      </c>
      <c r="I33" s="34">
        <f t="shared" si="1"/>
        <v>49880</v>
      </c>
      <c r="J33" t="s">
        <v>161</v>
      </c>
      <c r="K33" t="s">
        <v>162</v>
      </c>
      <c r="L33" t="s">
        <v>163</v>
      </c>
      <c r="M33" s="39" t="s">
        <v>208</v>
      </c>
      <c r="N33" t="s">
        <v>161</v>
      </c>
      <c r="O33" s="39" t="s">
        <v>208</v>
      </c>
      <c r="Q33" s="39" t="s">
        <v>711</v>
      </c>
      <c r="U33" t="s">
        <v>183</v>
      </c>
      <c r="W33" t="s">
        <v>241</v>
      </c>
      <c r="X33">
        <v>0</v>
      </c>
      <c r="Y33">
        <v>0</v>
      </c>
      <c r="Z33">
        <v>0</v>
      </c>
      <c r="AA33" s="48">
        <v>307.5</v>
      </c>
      <c r="AC33" s="48">
        <v>307.5</v>
      </c>
      <c r="AF33" s="34">
        <f t="shared" si="8"/>
        <v>50089</v>
      </c>
      <c r="AG33" s="34">
        <f t="shared" si="9"/>
        <v>51914</v>
      </c>
      <c r="AH33" t="s">
        <v>185</v>
      </c>
      <c r="AK33">
        <v>16</v>
      </c>
      <c r="AL33">
        <v>112</v>
      </c>
      <c r="AM33">
        <v>10</v>
      </c>
      <c r="AN33" s="48">
        <v>307.5</v>
      </c>
    </row>
    <row r="34" spans="2:40">
      <c r="B34" s="39" t="s">
        <v>215</v>
      </c>
      <c r="C34" t="s">
        <v>168</v>
      </c>
      <c r="D34" t="s">
        <v>164</v>
      </c>
      <c r="E34" t="s">
        <v>83</v>
      </c>
      <c r="F34" s="40">
        <v>49760</v>
      </c>
      <c r="G34" s="34">
        <f t="shared" si="0"/>
        <v>49880</v>
      </c>
      <c r="H34" t="s">
        <v>169</v>
      </c>
      <c r="I34" s="34">
        <f t="shared" si="1"/>
        <v>49880</v>
      </c>
      <c r="J34" t="s">
        <v>161</v>
      </c>
      <c r="K34" t="s">
        <v>162</v>
      </c>
      <c r="L34" t="s">
        <v>163</v>
      </c>
      <c r="M34" s="39" t="s">
        <v>209</v>
      </c>
      <c r="N34" t="s">
        <v>161</v>
      </c>
      <c r="O34" s="39" t="s">
        <v>209</v>
      </c>
      <c r="Q34" s="39" t="s">
        <v>711</v>
      </c>
      <c r="U34" t="s">
        <v>183</v>
      </c>
      <c r="W34" t="s">
        <v>241</v>
      </c>
      <c r="X34">
        <v>0</v>
      </c>
      <c r="Y34">
        <v>0</v>
      </c>
      <c r="Z34">
        <v>0</v>
      </c>
      <c r="AA34" s="48">
        <v>307.5</v>
      </c>
      <c r="AC34" s="48">
        <v>307.5</v>
      </c>
      <c r="AF34" s="34">
        <f t="shared" si="8"/>
        <v>50089</v>
      </c>
      <c r="AG34" s="34">
        <f t="shared" si="9"/>
        <v>51914</v>
      </c>
      <c r="AH34" t="s">
        <v>185</v>
      </c>
      <c r="AK34">
        <v>16</v>
      </c>
      <c r="AL34">
        <v>112</v>
      </c>
      <c r="AM34">
        <v>10</v>
      </c>
      <c r="AN34" s="48">
        <v>307.5</v>
      </c>
    </row>
    <row r="35" spans="2:40">
      <c r="B35" s="39" t="s">
        <v>216</v>
      </c>
      <c r="C35" t="s">
        <v>168</v>
      </c>
      <c r="D35" t="s">
        <v>164</v>
      </c>
      <c r="E35" t="s">
        <v>83</v>
      </c>
      <c r="F35" s="40">
        <v>49760</v>
      </c>
      <c r="G35" s="34">
        <f t="shared" si="0"/>
        <v>49880</v>
      </c>
      <c r="H35" t="s">
        <v>169</v>
      </c>
      <c r="I35" s="34">
        <f t="shared" si="1"/>
        <v>49880</v>
      </c>
      <c r="J35" t="s">
        <v>161</v>
      </c>
      <c r="K35" t="s">
        <v>162</v>
      </c>
      <c r="L35" t="s">
        <v>163</v>
      </c>
      <c r="M35" s="39" t="s">
        <v>210</v>
      </c>
      <c r="N35" t="s">
        <v>161</v>
      </c>
      <c r="O35" s="39" t="s">
        <v>210</v>
      </c>
      <c r="Q35" s="39" t="s">
        <v>711</v>
      </c>
      <c r="U35" t="s">
        <v>183</v>
      </c>
      <c r="W35" t="s">
        <v>241</v>
      </c>
      <c r="X35">
        <v>0</v>
      </c>
      <c r="Y35">
        <v>0</v>
      </c>
      <c r="Z35">
        <v>0</v>
      </c>
      <c r="AA35" s="48">
        <v>307.5</v>
      </c>
      <c r="AC35" s="48">
        <v>307.5</v>
      </c>
      <c r="AF35" s="34">
        <f t="shared" si="8"/>
        <v>50089</v>
      </c>
      <c r="AG35" s="34">
        <f t="shared" si="9"/>
        <v>51914</v>
      </c>
      <c r="AH35" t="s">
        <v>185</v>
      </c>
      <c r="AK35">
        <v>16</v>
      </c>
      <c r="AL35">
        <v>112</v>
      </c>
      <c r="AM35">
        <v>10</v>
      </c>
      <c r="AN35" s="48">
        <v>307.5</v>
      </c>
    </row>
    <row r="36" spans="2:40">
      <c r="B36" s="39" t="s">
        <v>217</v>
      </c>
      <c r="C36" t="s">
        <v>168</v>
      </c>
      <c r="D36" t="s">
        <v>164</v>
      </c>
      <c r="E36" t="s">
        <v>83</v>
      </c>
      <c r="F36" s="40">
        <v>49760</v>
      </c>
      <c r="G36" s="34">
        <f t="shared" si="0"/>
        <v>49880</v>
      </c>
      <c r="H36" t="s">
        <v>169</v>
      </c>
      <c r="I36" s="34">
        <f t="shared" si="1"/>
        <v>49880</v>
      </c>
      <c r="J36" t="s">
        <v>161</v>
      </c>
      <c r="K36" t="s">
        <v>162</v>
      </c>
      <c r="L36" t="s">
        <v>163</v>
      </c>
      <c r="M36" s="39" t="s">
        <v>211</v>
      </c>
      <c r="N36" t="s">
        <v>161</v>
      </c>
      <c r="O36" s="39" t="s">
        <v>211</v>
      </c>
      <c r="Q36" s="39" t="s">
        <v>711</v>
      </c>
      <c r="U36" t="s">
        <v>183</v>
      </c>
      <c r="W36" t="s">
        <v>241</v>
      </c>
      <c r="X36">
        <v>0</v>
      </c>
      <c r="Y36">
        <v>0</v>
      </c>
      <c r="Z36">
        <v>0</v>
      </c>
      <c r="AA36" s="48">
        <v>307.5</v>
      </c>
      <c r="AC36" s="48">
        <v>307.5</v>
      </c>
      <c r="AF36" s="34">
        <f t="shared" si="8"/>
        <v>50089</v>
      </c>
      <c r="AG36" s="34">
        <f t="shared" si="9"/>
        <v>51914</v>
      </c>
      <c r="AH36" t="s">
        <v>185</v>
      </c>
      <c r="AK36">
        <v>16</v>
      </c>
      <c r="AL36">
        <v>112</v>
      </c>
      <c r="AM36">
        <v>10</v>
      </c>
      <c r="AN36" s="48">
        <v>307.5</v>
      </c>
    </row>
    <row r="37" spans="2:40">
      <c r="B37" s="39" t="s">
        <v>218</v>
      </c>
      <c r="C37" t="s">
        <v>168</v>
      </c>
      <c r="D37" t="s">
        <v>164</v>
      </c>
      <c r="E37" t="s">
        <v>83</v>
      </c>
      <c r="F37" s="40">
        <v>46140</v>
      </c>
      <c r="G37" s="34">
        <f t="shared" si="0"/>
        <v>46260</v>
      </c>
      <c r="H37" t="s">
        <v>169</v>
      </c>
      <c r="I37" s="34">
        <f t="shared" si="1"/>
        <v>46260</v>
      </c>
      <c r="J37" t="s">
        <v>161</v>
      </c>
      <c r="K37" t="s">
        <v>162</v>
      </c>
      <c r="L37" t="s">
        <v>163</v>
      </c>
      <c r="M37" s="39" t="s">
        <v>212</v>
      </c>
      <c r="N37" t="s">
        <v>161</v>
      </c>
      <c r="O37" s="39" t="s">
        <v>212</v>
      </c>
      <c r="Q37" s="39" t="s">
        <v>712</v>
      </c>
      <c r="U37" t="s">
        <v>183</v>
      </c>
      <c r="W37" t="s">
        <v>241</v>
      </c>
      <c r="X37">
        <v>0</v>
      </c>
      <c r="Y37">
        <v>0</v>
      </c>
      <c r="Z37">
        <v>0</v>
      </c>
      <c r="AA37" s="48">
        <v>307.5</v>
      </c>
      <c r="AC37" s="48">
        <v>307.5</v>
      </c>
      <c r="AF37" s="34">
        <f t="shared" si="8"/>
        <v>46469</v>
      </c>
      <c r="AG37" s="34">
        <f t="shared" si="9"/>
        <v>48294</v>
      </c>
      <c r="AH37" t="s">
        <v>185</v>
      </c>
      <c r="AK37">
        <v>16</v>
      </c>
      <c r="AL37">
        <v>112</v>
      </c>
      <c r="AM37">
        <v>10</v>
      </c>
      <c r="AN37" s="48">
        <v>307.5</v>
      </c>
    </row>
    <row r="38" spans="2:40">
      <c r="B38" s="39" t="s">
        <v>219</v>
      </c>
      <c r="C38" t="s">
        <v>168</v>
      </c>
      <c r="D38" t="s">
        <v>164</v>
      </c>
      <c r="E38" t="s">
        <v>83</v>
      </c>
      <c r="F38" s="40">
        <v>46140</v>
      </c>
      <c r="G38" s="34">
        <f t="shared" si="0"/>
        <v>46260</v>
      </c>
      <c r="H38" t="s">
        <v>169</v>
      </c>
      <c r="I38" s="34">
        <f t="shared" si="1"/>
        <v>46260</v>
      </c>
      <c r="J38" t="s">
        <v>161</v>
      </c>
      <c r="K38" t="s">
        <v>162</v>
      </c>
      <c r="L38" t="s">
        <v>163</v>
      </c>
      <c r="M38" s="39" t="s">
        <v>213</v>
      </c>
      <c r="N38" t="s">
        <v>161</v>
      </c>
      <c r="O38" s="39" t="s">
        <v>213</v>
      </c>
      <c r="Q38" s="39" t="s">
        <v>712</v>
      </c>
      <c r="U38" t="s">
        <v>183</v>
      </c>
      <c r="W38" t="s">
        <v>241</v>
      </c>
      <c r="X38">
        <v>0</v>
      </c>
      <c r="Y38">
        <v>0</v>
      </c>
      <c r="Z38">
        <v>0</v>
      </c>
      <c r="AA38" s="48">
        <v>307.5</v>
      </c>
      <c r="AC38" s="48">
        <v>307.5</v>
      </c>
      <c r="AF38" s="34">
        <f t="shared" si="8"/>
        <v>46469</v>
      </c>
      <c r="AG38" s="34">
        <f t="shared" si="9"/>
        <v>48294</v>
      </c>
      <c r="AH38" t="s">
        <v>185</v>
      </c>
      <c r="AK38">
        <v>16</v>
      </c>
      <c r="AL38">
        <v>112</v>
      </c>
      <c r="AM38">
        <v>10</v>
      </c>
      <c r="AN38" s="48">
        <v>307.5</v>
      </c>
    </row>
    <row r="39" spans="2:40">
      <c r="B39" s="39" t="s">
        <v>220</v>
      </c>
      <c r="C39" t="s">
        <v>168</v>
      </c>
      <c r="D39" t="s">
        <v>164</v>
      </c>
      <c r="E39" t="s">
        <v>83</v>
      </c>
      <c r="F39" s="40">
        <v>46140</v>
      </c>
      <c r="G39" s="34">
        <f t="shared" si="0"/>
        <v>46260</v>
      </c>
      <c r="H39" t="s">
        <v>169</v>
      </c>
      <c r="I39" s="34">
        <f t="shared" si="1"/>
        <v>46260</v>
      </c>
      <c r="J39" t="s">
        <v>161</v>
      </c>
      <c r="K39" t="s">
        <v>162</v>
      </c>
      <c r="L39" t="s">
        <v>163</v>
      </c>
      <c r="M39" s="39" t="s">
        <v>214</v>
      </c>
      <c r="N39" t="s">
        <v>161</v>
      </c>
      <c r="O39" s="39" t="s">
        <v>214</v>
      </c>
      <c r="Q39" s="39" t="s">
        <v>712</v>
      </c>
      <c r="U39" t="s">
        <v>183</v>
      </c>
      <c r="W39" t="s">
        <v>241</v>
      </c>
      <c r="X39">
        <v>0</v>
      </c>
      <c r="Y39">
        <v>0</v>
      </c>
      <c r="Z39">
        <v>0</v>
      </c>
      <c r="AA39" s="48">
        <v>307.5</v>
      </c>
      <c r="AC39" s="48">
        <v>307.5</v>
      </c>
      <c r="AF39" s="34">
        <f t="shared" si="8"/>
        <v>46469</v>
      </c>
      <c r="AG39" s="34">
        <f t="shared" si="9"/>
        <v>48294</v>
      </c>
      <c r="AH39" t="s">
        <v>185</v>
      </c>
      <c r="AK39">
        <v>16</v>
      </c>
      <c r="AL39">
        <v>112</v>
      </c>
      <c r="AM39">
        <v>10</v>
      </c>
      <c r="AN39" s="48">
        <v>307.5</v>
      </c>
    </row>
    <row r="40" spans="2:40">
      <c r="B40" s="39" t="s">
        <v>221</v>
      </c>
      <c r="C40" t="s">
        <v>168</v>
      </c>
      <c r="D40" t="s">
        <v>164</v>
      </c>
      <c r="E40" t="s">
        <v>83</v>
      </c>
      <c r="F40" s="40">
        <v>46140</v>
      </c>
      <c r="G40" s="34">
        <f t="shared" si="0"/>
        <v>46260</v>
      </c>
      <c r="H40" t="s">
        <v>169</v>
      </c>
      <c r="I40" s="34">
        <f t="shared" si="1"/>
        <v>46260</v>
      </c>
      <c r="J40" t="s">
        <v>161</v>
      </c>
      <c r="K40" t="s">
        <v>162</v>
      </c>
      <c r="L40" t="s">
        <v>163</v>
      </c>
      <c r="M40" s="39" t="s">
        <v>215</v>
      </c>
      <c r="N40" t="s">
        <v>161</v>
      </c>
      <c r="O40" s="39" t="s">
        <v>215</v>
      </c>
      <c r="Q40" s="39" t="s">
        <v>712</v>
      </c>
      <c r="U40" t="s">
        <v>183</v>
      </c>
      <c r="W40" t="s">
        <v>241</v>
      </c>
      <c r="X40">
        <v>0</v>
      </c>
      <c r="Y40">
        <v>0</v>
      </c>
      <c r="Z40">
        <v>0</v>
      </c>
      <c r="AA40" s="48">
        <v>307.5</v>
      </c>
      <c r="AC40" s="48">
        <v>307.5</v>
      </c>
      <c r="AF40" s="34">
        <f t="shared" si="8"/>
        <v>46469</v>
      </c>
      <c r="AG40" s="34">
        <f t="shared" si="9"/>
        <v>48294</v>
      </c>
      <c r="AH40" t="s">
        <v>185</v>
      </c>
      <c r="AK40">
        <v>16</v>
      </c>
      <c r="AL40">
        <v>112</v>
      </c>
      <c r="AM40">
        <v>10</v>
      </c>
      <c r="AN40" s="48">
        <v>307.5</v>
      </c>
    </row>
    <row r="41" spans="2:40">
      <c r="B41" s="39" t="s">
        <v>222</v>
      </c>
      <c r="C41" t="s">
        <v>168</v>
      </c>
      <c r="D41" t="s">
        <v>164</v>
      </c>
      <c r="E41" t="s">
        <v>83</v>
      </c>
      <c r="F41" s="40">
        <v>46140</v>
      </c>
      <c r="G41" s="34">
        <f t="shared" si="0"/>
        <v>46260</v>
      </c>
      <c r="H41" t="s">
        <v>169</v>
      </c>
      <c r="I41" s="34">
        <f t="shared" si="1"/>
        <v>46260</v>
      </c>
      <c r="J41" t="s">
        <v>161</v>
      </c>
      <c r="K41" t="s">
        <v>162</v>
      </c>
      <c r="L41" t="s">
        <v>163</v>
      </c>
      <c r="M41" s="39" t="s">
        <v>216</v>
      </c>
      <c r="N41" t="s">
        <v>161</v>
      </c>
      <c r="O41" s="39" t="s">
        <v>216</v>
      </c>
      <c r="Q41" s="39" t="s">
        <v>712</v>
      </c>
      <c r="U41" t="s">
        <v>183</v>
      </c>
      <c r="W41" t="s">
        <v>241</v>
      </c>
      <c r="X41">
        <v>0</v>
      </c>
      <c r="Y41">
        <v>0</v>
      </c>
      <c r="Z41">
        <v>0</v>
      </c>
      <c r="AA41" s="48">
        <v>307.5</v>
      </c>
      <c r="AC41" s="48">
        <v>307.5</v>
      </c>
      <c r="AF41" s="34">
        <f t="shared" si="8"/>
        <v>46469</v>
      </c>
      <c r="AG41" s="34">
        <f t="shared" si="9"/>
        <v>48294</v>
      </c>
      <c r="AH41" t="s">
        <v>185</v>
      </c>
      <c r="AK41">
        <v>16</v>
      </c>
      <c r="AL41">
        <v>112</v>
      </c>
      <c r="AM41">
        <v>10</v>
      </c>
      <c r="AN41" s="48">
        <v>307.5</v>
      </c>
    </row>
    <row r="42" spans="2:40">
      <c r="B42" s="39" t="s">
        <v>223</v>
      </c>
      <c r="C42" t="s">
        <v>168</v>
      </c>
      <c r="D42" t="s">
        <v>164</v>
      </c>
      <c r="E42" t="s">
        <v>83</v>
      </c>
      <c r="F42" s="40">
        <v>46131</v>
      </c>
      <c r="G42" s="34">
        <f t="shared" si="0"/>
        <v>46251</v>
      </c>
      <c r="H42" t="s">
        <v>169</v>
      </c>
      <c r="I42" s="34">
        <f t="shared" si="1"/>
        <v>46251</v>
      </c>
      <c r="J42" t="s">
        <v>161</v>
      </c>
      <c r="K42" t="s">
        <v>162</v>
      </c>
      <c r="L42" t="s">
        <v>163</v>
      </c>
      <c r="M42" s="39" t="s">
        <v>217</v>
      </c>
      <c r="N42" t="s">
        <v>161</v>
      </c>
      <c r="O42" s="39" t="s">
        <v>217</v>
      </c>
      <c r="Q42" s="39" t="s">
        <v>713</v>
      </c>
      <c r="U42" t="s">
        <v>183</v>
      </c>
      <c r="W42" t="s">
        <v>241</v>
      </c>
      <c r="X42">
        <v>0</v>
      </c>
      <c r="Y42">
        <v>0</v>
      </c>
      <c r="Z42">
        <v>0</v>
      </c>
      <c r="AA42" s="48">
        <v>307.5</v>
      </c>
      <c r="AC42" s="48">
        <v>307.5</v>
      </c>
      <c r="AF42" s="34">
        <f t="shared" si="8"/>
        <v>46460</v>
      </c>
      <c r="AG42" s="34">
        <f t="shared" si="9"/>
        <v>48285</v>
      </c>
      <c r="AH42" t="s">
        <v>185</v>
      </c>
      <c r="AK42">
        <v>16</v>
      </c>
      <c r="AL42">
        <v>112</v>
      </c>
      <c r="AM42">
        <v>10</v>
      </c>
      <c r="AN42" s="48">
        <v>307.5</v>
      </c>
    </row>
    <row r="43" spans="2:40">
      <c r="B43" s="39" t="s">
        <v>224</v>
      </c>
      <c r="C43" t="s">
        <v>168</v>
      </c>
      <c r="D43" t="s">
        <v>164</v>
      </c>
      <c r="E43" t="s">
        <v>83</v>
      </c>
      <c r="F43" s="40">
        <v>46131</v>
      </c>
      <c r="G43" s="34">
        <f t="shared" si="0"/>
        <v>46251</v>
      </c>
      <c r="H43" t="s">
        <v>169</v>
      </c>
      <c r="I43" s="34">
        <f t="shared" si="1"/>
        <v>46251</v>
      </c>
      <c r="J43" t="s">
        <v>161</v>
      </c>
      <c r="K43" t="s">
        <v>162</v>
      </c>
      <c r="L43" t="s">
        <v>163</v>
      </c>
      <c r="M43" s="39" t="s">
        <v>218</v>
      </c>
      <c r="N43" t="s">
        <v>161</v>
      </c>
      <c r="O43" s="39" t="s">
        <v>218</v>
      </c>
      <c r="Q43" s="39" t="s">
        <v>713</v>
      </c>
      <c r="U43" t="s">
        <v>183</v>
      </c>
      <c r="W43" t="s">
        <v>241</v>
      </c>
      <c r="X43">
        <v>0</v>
      </c>
      <c r="Y43">
        <v>0</v>
      </c>
      <c r="Z43">
        <v>0</v>
      </c>
      <c r="AA43" s="48">
        <v>307.5</v>
      </c>
      <c r="AC43" s="48">
        <v>307.5</v>
      </c>
      <c r="AF43" s="34">
        <f t="shared" si="8"/>
        <v>46460</v>
      </c>
      <c r="AG43" s="34">
        <f t="shared" si="9"/>
        <v>48285</v>
      </c>
      <c r="AH43" t="s">
        <v>185</v>
      </c>
      <c r="AK43">
        <v>16</v>
      </c>
      <c r="AL43">
        <v>112</v>
      </c>
      <c r="AM43">
        <v>10</v>
      </c>
      <c r="AN43" s="48">
        <v>307.5</v>
      </c>
    </row>
    <row r="44" spans="2:40">
      <c r="B44" s="39" t="s">
        <v>225</v>
      </c>
      <c r="C44" t="s">
        <v>168</v>
      </c>
      <c r="D44" t="s">
        <v>164</v>
      </c>
      <c r="E44" t="s">
        <v>83</v>
      </c>
      <c r="F44" s="40">
        <v>46131</v>
      </c>
      <c r="G44" s="34">
        <f t="shared" si="0"/>
        <v>46251</v>
      </c>
      <c r="H44" t="s">
        <v>169</v>
      </c>
      <c r="I44" s="34">
        <f t="shared" si="1"/>
        <v>46251</v>
      </c>
      <c r="J44" t="s">
        <v>161</v>
      </c>
      <c r="K44" t="s">
        <v>162</v>
      </c>
      <c r="L44" t="s">
        <v>163</v>
      </c>
      <c r="M44" s="39" t="s">
        <v>219</v>
      </c>
      <c r="N44" t="s">
        <v>161</v>
      </c>
      <c r="O44" s="39" t="s">
        <v>219</v>
      </c>
      <c r="Q44" s="39" t="s">
        <v>713</v>
      </c>
      <c r="U44" t="s">
        <v>183</v>
      </c>
      <c r="W44" t="s">
        <v>241</v>
      </c>
      <c r="X44">
        <v>0</v>
      </c>
      <c r="Y44">
        <v>0</v>
      </c>
      <c r="Z44">
        <v>0</v>
      </c>
      <c r="AA44" s="48">
        <v>307.5</v>
      </c>
      <c r="AC44" s="48">
        <v>307.5</v>
      </c>
      <c r="AF44" s="34">
        <f t="shared" si="8"/>
        <v>46460</v>
      </c>
      <c r="AG44" s="34">
        <f t="shared" si="9"/>
        <v>48285</v>
      </c>
      <c r="AH44" t="s">
        <v>185</v>
      </c>
      <c r="AK44">
        <v>16</v>
      </c>
      <c r="AL44">
        <v>112</v>
      </c>
      <c r="AM44">
        <v>10</v>
      </c>
      <c r="AN44" s="48">
        <v>307.5</v>
      </c>
    </row>
    <row r="45" spans="2:40">
      <c r="B45" s="39" t="s">
        <v>226</v>
      </c>
      <c r="C45" t="s">
        <v>168</v>
      </c>
      <c r="D45" t="s">
        <v>164</v>
      </c>
      <c r="E45" t="s">
        <v>83</v>
      </c>
      <c r="F45" s="40">
        <v>46131</v>
      </c>
      <c r="G45" s="34">
        <f t="shared" si="0"/>
        <v>46251</v>
      </c>
      <c r="H45" t="s">
        <v>169</v>
      </c>
      <c r="I45" s="34">
        <f t="shared" si="1"/>
        <v>46251</v>
      </c>
      <c r="J45" t="s">
        <v>161</v>
      </c>
      <c r="K45" t="s">
        <v>162</v>
      </c>
      <c r="L45" t="s">
        <v>163</v>
      </c>
      <c r="M45" s="39" t="s">
        <v>220</v>
      </c>
      <c r="N45" t="s">
        <v>161</v>
      </c>
      <c r="O45" s="39" t="s">
        <v>220</v>
      </c>
      <c r="Q45" s="39" t="s">
        <v>713</v>
      </c>
      <c r="U45" t="s">
        <v>183</v>
      </c>
      <c r="W45" t="s">
        <v>241</v>
      </c>
      <c r="X45">
        <v>0</v>
      </c>
      <c r="Y45">
        <v>0</v>
      </c>
      <c r="Z45">
        <v>0</v>
      </c>
      <c r="AA45" s="48">
        <v>307.5</v>
      </c>
      <c r="AC45" s="48">
        <v>307.5</v>
      </c>
      <c r="AF45" s="34">
        <f t="shared" si="8"/>
        <v>46460</v>
      </c>
      <c r="AG45" s="34">
        <f t="shared" si="9"/>
        <v>48285</v>
      </c>
      <c r="AH45" t="s">
        <v>185</v>
      </c>
      <c r="AK45">
        <v>16</v>
      </c>
      <c r="AL45">
        <v>112</v>
      </c>
      <c r="AM45">
        <v>10</v>
      </c>
      <c r="AN45" s="48">
        <v>307.5</v>
      </c>
    </row>
    <row r="46" spans="2:40">
      <c r="B46" s="39" t="s">
        <v>227</v>
      </c>
      <c r="C46" t="s">
        <v>168</v>
      </c>
      <c r="D46" t="s">
        <v>164</v>
      </c>
      <c r="E46" t="s">
        <v>83</v>
      </c>
      <c r="F46" s="40">
        <v>46131</v>
      </c>
      <c r="G46" s="34">
        <f t="shared" si="0"/>
        <v>46251</v>
      </c>
      <c r="H46" t="s">
        <v>169</v>
      </c>
      <c r="I46" s="34">
        <f t="shared" si="1"/>
        <v>46251</v>
      </c>
      <c r="J46" t="s">
        <v>161</v>
      </c>
      <c r="K46" t="s">
        <v>162</v>
      </c>
      <c r="L46" t="s">
        <v>163</v>
      </c>
      <c r="M46" s="39" t="s">
        <v>221</v>
      </c>
      <c r="N46" t="s">
        <v>161</v>
      </c>
      <c r="O46" s="39" t="s">
        <v>221</v>
      </c>
      <c r="Q46" s="39" t="s">
        <v>713</v>
      </c>
      <c r="U46" t="s">
        <v>183</v>
      </c>
      <c r="W46" t="s">
        <v>241</v>
      </c>
      <c r="X46">
        <v>0</v>
      </c>
      <c r="Y46">
        <v>0</v>
      </c>
      <c r="Z46">
        <v>0</v>
      </c>
      <c r="AA46" s="48">
        <v>307.5</v>
      </c>
      <c r="AC46" s="48">
        <v>307.5</v>
      </c>
      <c r="AF46" s="34">
        <f t="shared" si="8"/>
        <v>46460</v>
      </c>
      <c r="AG46" s="34">
        <f t="shared" si="9"/>
        <v>48285</v>
      </c>
      <c r="AH46" t="s">
        <v>185</v>
      </c>
      <c r="AK46">
        <v>16</v>
      </c>
      <c r="AL46">
        <v>112</v>
      </c>
      <c r="AM46">
        <v>10</v>
      </c>
      <c r="AN46" s="48">
        <v>307.5</v>
      </c>
    </row>
    <row r="47" spans="2:40">
      <c r="B47" s="39" t="s">
        <v>228</v>
      </c>
      <c r="C47" t="s">
        <v>168</v>
      </c>
      <c r="D47" t="s">
        <v>164</v>
      </c>
      <c r="E47" t="s">
        <v>83</v>
      </c>
      <c r="F47" s="40">
        <v>46128</v>
      </c>
      <c r="G47" s="34">
        <f t="shared" si="0"/>
        <v>46248</v>
      </c>
      <c r="H47" t="s">
        <v>169</v>
      </c>
      <c r="I47" s="34">
        <f t="shared" si="1"/>
        <v>46248</v>
      </c>
      <c r="J47" t="s">
        <v>161</v>
      </c>
      <c r="K47" t="s">
        <v>162</v>
      </c>
      <c r="L47" t="s">
        <v>163</v>
      </c>
      <c r="M47" s="39" t="s">
        <v>222</v>
      </c>
      <c r="N47" t="s">
        <v>161</v>
      </c>
      <c r="O47" s="39" t="s">
        <v>222</v>
      </c>
      <c r="Q47" s="39" t="s">
        <v>714</v>
      </c>
      <c r="U47" t="s">
        <v>183</v>
      </c>
      <c r="W47" t="s">
        <v>241</v>
      </c>
      <c r="X47">
        <v>0</v>
      </c>
      <c r="Y47">
        <v>0</v>
      </c>
      <c r="Z47">
        <v>0</v>
      </c>
      <c r="AA47" s="48">
        <v>307.5</v>
      </c>
      <c r="AC47" s="48">
        <v>307.5</v>
      </c>
      <c r="AF47" s="34">
        <f t="shared" si="8"/>
        <v>46457</v>
      </c>
      <c r="AG47" s="34">
        <f t="shared" si="9"/>
        <v>48282</v>
      </c>
      <c r="AH47" t="s">
        <v>185</v>
      </c>
      <c r="AK47">
        <v>16</v>
      </c>
      <c r="AL47">
        <v>112</v>
      </c>
      <c r="AM47">
        <v>10</v>
      </c>
      <c r="AN47" s="48">
        <v>307.5</v>
      </c>
    </row>
    <row r="48" spans="2:40">
      <c r="B48" s="39" t="s">
        <v>229</v>
      </c>
      <c r="C48" t="s">
        <v>168</v>
      </c>
      <c r="D48" t="s">
        <v>164</v>
      </c>
      <c r="E48" t="s">
        <v>83</v>
      </c>
      <c r="F48" s="40">
        <v>46128</v>
      </c>
      <c r="G48" s="34">
        <f t="shared" si="0"/>
        <v>46248</v>
      </c>
      <c r="H48" t="s">
        <v>169</v>
      </c>
      <c r="I48" s="34">
        <f t="shared" si="1"/>
        <v>46248</v>
      </c>
      <c r="J48" t="s">
        <v>161</v>
      </c>
      <c r="K48" t="s">
        <v>162</v>
      </c>
      <c r="L48" t="s">
        <v>163</v>
      </c>
      <c r="M48" s="39" t="s">
        <v>223</v>
      </c>
      <c r="N48" t="s">
        <v>161</v>
      </c>
      <c r="O48" s="39" t="s">
        <v>223</v>
      </c>
      <c r="Q48" s="39" t="s">
        <v>714</v>
      </c>
      <c r="U48" t="s">
        <v>183</v>
      </c>
      <c r="W48" t="s">
        <v>241</v>
      </c>
      <c r="X48">
        <v>0</v>
      </c>
      <c r="Y48">
        <v>0</v>
      </c>
      <c r="Z48">
        <v>0</v>
      </c>
      <c r="AA48" s="48">
        <v>307.5</v>
      </c>
      <c r="AC48" s="48">
        <v>307.5</v>
      </c>
      <c r="AF48" s="34">
        <f t="shared" si="8"/>
        <v>46457</v>
      </c>
      <c r="AG48" s="34">
        <f t="shared" si="9"/>
        <v>48282</v>
      </c>
      <c r="AH48" t="s">
        <v>185</v>
      </c>
      <c r="AK48">
        <v>16</v>
      </c>
      <c r="AL48">
        <v>112</v>
      </c>
      <c r="AM48">
        <v>10</v>
      </c>
      <c r="AN48" s="48">
        <v>307.5</v>
      </c>
    </row>
    <row r="49" spans="2:40">
      <c r="B49" s="39" t="s">
        <v>230</v>
      </c>
      <c r="C49" t="s">
        <v>168</v>
      </c>
      <c r="D49" t="s">
        <v>164</v>
      </c>
      <c r="E49" t="s">
        <v>83</v>
      </c>
      <c r="F49" s="40">
        <v>46128</v>
      </c>
      <c r="G49" s="34">
        <f t="shared" si="0"/>
        <v>46248</v>
      </c>
      <c r="H49" t="s">
        <v>169</v>
      </c>
      <c r="I49" s="34">
        <f t="shared" si="1"/>
        <v>46248</v>
      </c>
      <c r="J49" t="s">
        <v>161</v>
      </c>
      <c r="K49" t="s">
        <v>162</v>
      </c>
      <c r="L49" t="s">
        <v>163</v>
      </c>
      <c r="M49" s="39" t="s">
        <v>224</v>
      </c>
      <c r="N49" t="s">
        <v>161</v>
      </c>
      <c r="O49" s="39" t="s">
        <v>224</v>
      </c>
      <c r="Q49" s="39" t="s">
        <v>714</v>
      </c>
      <c r="U49" t="s">
        <v>183</v>
      </c>
      <c r="W49" t="s">
        <v>241</v>
      </c>
      <c r="X49">
        <v>0</v>
      </c>
      <c r="Y49">
        <v>0</v>
      </c>
      <c r="Z49">
        <v>0</v>
      </c>
      <c r="AA49" s="48">
        <v>307.5</v>
      </c>
      <c r="AC49" s="48">
        <v>307.5</v>
      </c>
      <c r="AF49" s="34">
        <f t="shared" si="8"/>
        <v>46457</v>
      </c>
      <c r="AG49" s="34">
        <f t="shared" si="9"/>
        <v>48282</v>
      </c>
      <c r="AH49" t="s">
        <v>185</v>
      </c>
      <c r="AK49">
        <v>16</v>
      </c>
      <c r="AL49">
        <v>112</v>
      </c>
      <c r="AM49">
        <v>10</v>
      </c>
      <c r="AN49" s="48">
        <v>307.5</v>
      </c>
    </row>
    <row r="50" spans="2:40">
      <c r="B50" s="39" t="s">
        <v>231</v>
      </c>
      <c r="C50" t="s">
        <v>168</v>
      </c>
      <c r="D50" t="s">
        <v>164</v>
      </c>
      <c r="E50" t="s">
        <v>83</v>
      </c>
      <c r="F50" s="40">
        <v>46128</v>
      </c>
      <c r="G50" s="34">
        <f t="shared" si="0"/>
        <v>46248</v>
      </c>
      <c r="H50" t="s">
        <v>169</v>
      </c>
      <c r="I50" s="34">
        <f t="shared" si="1"/>
        <v>46248</v>
      </c>
      <c r="J50" t="s">
        <v>161</v>
      </c>
      <c r="K50" t="s">
        <v>162</v>
      </c>
      <c r="L50" t="s">
        <v>163</v>
      </c>
      <c r="M50" s="39" t="s">
        <v>225</v>
      </c>
      <c r="N50" t="s">
        <v>161</v>
      </c>
      <c r="O50" s="39" t="s">
        <v>225</v>
      </c>
      <c r="Q50" s="39" t="s">
        <v>714</v>
      </c>
      <c r="U50" t="s">
        <v>183</v>
      </c>
      <c r="W50" t="s">
        <v>241</v>
      </c>
      <c r="X50">
        <v>0</v>
      </c>
      <c r="Y50">
        <v>0</v>
      </c>
      <c r="Z50">
        <v>0</v>
      </c>
      <c r="AA50" s="48">
        <v>307.5</v>
      </c>
      <c r="AC50" s="48">
        <v>307.5</v>
      </c>
      <c r="AF50" s="34">
        <f t="shared" si="8"/>
        <v>46457</v>
      </c>
      <c r="AG50" s="34">
        <f t="shared" si="9"/>
        <v>48282</v>
      </c>
      <c r="AH50" t="s">
        <v>185</v>
      </c>
      <c r="AK50">
        <v>16</v>
      </c>
      <c r="AL50">
        <v>112</v>
      </c>
      <c r="AM50">
        <v>10</v>
      </c>
      <c r="AN50" s="48">
        <v>307.5</v>
      </c>
    </row>
    <row r="51" spans="2:40">
      <c r="B51" s="39" t="s">
        <v>232</v>
      </c>
      <c r="C51" t="s">
        <v>168</v>
      </c>
      <c r="D51" t="s">
        <v>164</v>
      </c>
      <c r="E51" t="s">
        <v>83</v>
      </c>
      <c r="F51" s="40">
        <v>46128</v>
      </c>
      <c r="G51" s="34">
        <f t="shared" si="0"/>
        <v>46248</v>
      </c>
      <c r="H51" t="s">
        <v>169</v>
      </c>
      <c r="I51" s="34">
        <f t="shared" si="1"/>
        <v>46248</v>
      </c>
      <c r="J51" t="s">
        <v>161</v>
      </c>
      <c r="K51" t="s">
        <v>162</v>
      </c>
      <c r="L51" t="s">
        <v>163</v>
      </c>
      <c r="M51" s="39" t="s">
        <v>226</v>
      </c>
      <c r="N51" t="s">
        <v>161</v>
      </c>
      <c r="O51" s="39" t="s">
        <v>226</v>
      </c>
      <c r="Q51" s="39" t="s">
        <v>714</v>
      </c>
      <c r="U51" t="s">
        <v>183</v>
      </c>
      <c r="W51" t="s">
        <v>241</v>
      </c>
      <c r="X51">
        <v>0</v>
      </c>
      <c r="Y51">
        <v>0</v>
      </c>
      <c r="Z51">
        <v>0</v>
      </c>
      <c r="AA51" s="48">
        <v>307.5</v>
      </c>
      <c r="AC51" s="48">
        <v>307.5</v>
      </c>
      <c r="AF51" s="34">
        <f t="shared" si="8"/>
        <v>46457</v>
      </c>
      <c r="AG51" s="34">
        <f t="shared" si="9"/>
        <v>48282</v>
      </c>
      <c r="AH51" t="s">
        <v>185</v>
      </c>
      <c r="AK51">
        <v>16</v>
      </c>
      <c r="AL51">
        <v>112</v>
      </c>
      <c r="AM51">
        <v>10</v>
      </c>
      <c r="AN51" s="48">
        <v>307.5</v>
      </c>
    </row>
    <row r="52" spans="2:40">
      <c r="B52" s="39" t="s">
        <v>233</v>
      </c>
      <c r="C52" t="s">
        <v>168</v>
      </c>
      <c r="D52" t="s">
        <v>164</v>
      </c>
      <c r="E52" t="s">
        <v>83</v>
      </c>
      <c r="F52" s="40">
        <v>46120</v>
      </c>
      <c r="G52" s="34">
        <f t="shared" si="0"/>
        <v>46240</v>
      </c>
      <c r="H52" t="s">
        <v>169</v>
      </c>
      <c r="I52" s="34">
        <f t="shared" si="1"/>
        <v>46240</v>
      </c>
      <c r="J52" t="s">
        <v>161</v>
      </c>
      <c r="K52" t="s">
        <v>162</v>
      </c>
      <c r="L52" t="s">
        <v>163</v>
      </c>
      <c r="M52" s="39" t="s">
        <v>227</v>
      </c>
      <c r="N52" t="s">
        <v>161</v>
      </c>
      <c r="O52" s="39" t="s">
        <v>227</v>
      </c>
      <c r="Q52" s="39" t="s">
        <v>715</v>
      </c>
      <c r="U52" t="s">
        <v>183</v>
      </c>
      <c r="W52" t="s">
        <v>241</v>
      </c>
      <c r="X52">
        <v>0</v>
      </c>
      <c r="Y52">
        <v>0</v>
      </c>
      <c r="Z52">
        <v>0</v>
      </c>
      <c r="AA52" s="48">
        <v>307.5</v>
      </c>
      <c r="AC52" s="48">
        <v>307.5</v>
      </c>
      <c r="AF52" s="34">
        <f t="shared" si="8"/>
        <v>46449</v>
      </c>
      <c r="AG52" s="34">
        <f t="shared" si="9"/>
        <v>48274</v>
      </c>
      <c r="AH52" t="s">
        <v>185</v>
      </c>
      <c r="AK52">
        <v>16</v>
      </c>
      <c r="AL52">
        <v>112</v>
      </c>
      <c r="AM52">
        <v>10</v>
      </c>
      <c r="AN52" s="48">
        <v>307.5</v>
      </c>
    </row>
    <row r="53" spans="2:40">
      <c r="B53" s="39" t="s">
        <v>234</v>
      </c>
      <c r="C53" t="s">
        <v>168</v>
      </c>
      <c r="D53" t="s">
        <v>164</v>
      </c>
      <c r="E53" t="s">
        <v>83</v>
      </c>
      <c r="F53" s="40">
        <v>46120</v>
      </c>
      <c r="G53" s="34">
        <f t="shared" si="0"/>
        <v>46240</v>
      </c>
      <c r="H53" t="s">
        <v>169</v>
      </c>
      <c r="I53" s="34">
        <f t="shared" si="1"/>
        <v>46240</v>
      </c>
      <c r="J53" t="s">
        <v>161</v>
      </c>
      <c r="K53" t="s">
        <v>162</v>
      </c>
      <c r="L53" t="s">
        <v>163</v>
      </c>
      <c r="M53" s="39" t="s">
        <v>228</v>
      </c>
      <c r="N53" t="s">
        <v>161</v>
      </c>
      <c r="O53" s="39" t="s">
        <v>228</v>
      </c>
      <c r="Q53" s="39" t="s">
        <v>715</v>
      </c>
      <c r="U53" t="s">
        <v>183</v>
      </c>
      <c r="W53" t="s">
        <v>241</v>
      </c>
      <c r="X53">
        <v>0</v>
      </c>
      <c r="Y53">
        <v>0</v>
      </c>
      <c r="Z53">
        <v>0</v>
      </c>
      <c r="AA53" s="48">
        <v>307.5</v>
      </c>
      <c r="AC53" s="48">
        <v>307.5</v>
      </c>
      <c r="AF53" s="34">
        <f t="shared" si="8"/>
        <v>46449</v>
      </c>
      <c r="AG53" s="34">
        <f t="shared" si="9"/>
        <v>48274</v>
      </c>
      <c r="AH53" t="s">
        <v>185</v>
      </c>
      <c r="AK53">
        <v>16</v>
      </c>
      <c r="AL53">
        <v>112</v>
      </c>
      <c r="AM53">
        <v>10</v>
      </c>
      <c r="AN53" s="48">
        <v>307.5</v>
      </c>
    </row>
    <row r="54" spans="2:40">
      <c r="B54" s="39" t="s">
        <v>235</v>
      </c>
      <c r="C54" t="s">
        <v>168</v>
      </c>
      <c r="D54" t="s">
        <v>164</v>
      </c>
      <c r="E54" t="s">
        <v>83</v>
      </c>
      <c r="F54" s="40">
        <v>46120</v>
      </c>
      <c r="G54" s="34">
        <f t="shared" si="0"/>
        <v>46240</v>
      </c>
      <c r="H54" t="s">
        <v>169</v>
      </c>
      <c r="I54" s="34">
        <f t="shared" si="1"/>
        <v>46240</v>
      </c>
      <c r="J54" t="s">
        <v>161</v>
      </c>
      <c r="K54" t="s">
        <v>162</v>
      </c>
      <c r="L54" t="s">
        <v>163</v>
      </c>
      <c r="M54" s="39" t="s">
        <v>229</v>
      </c>
      <c r="N54" t="s">
        <v>161</v>
      </c>
      <c r="O54" s="39" t="s">
        <v>229</v>
      </c>
      <c r="Q54" s="39" t="s">
        <v>715</v>
      </c>
      <c r="U54" t="s">
        <v>183</v>
      </c>
      <c r="W54" t="s">
        <v>241</v>
      </c>
      <c r="X54">
        <v>0</v>
      </c>
      <c r="Y54">
        <v>0</v>
      </c>
      <c r="Z54">
        <v>0</v>
      </c>
      <c r="AA54" s="48">
        <v>307.5</v>
      </c>
      <c r="AC54" s="48">
        <v>307.5</v>
      </c>
      <c r="AF54" s="34">
        <f t="shared" si="8"/>
        <v>46449</v>
      </c>
      <c r="AG54" s="34">
        <f t="shared" si="9"/>
        <v>48274</v>
      </c>
      <c r="AH54" t="s">
        <v>185</v>
      </c>
      <c r="AK54">
        <v>16</v>
      </c>
      <c r="AL54">
        <v>112</v>
      </c>
      <c r="AM54">
        <v>10</v>
      </c>
      <c r="AN54" s="48">
        <v>307.5</v>
      </c>
    </row>
    <row r="55" spans="2:40">
      <c r="B55" s="39" t="s">
        <v>236</v>
      </c>
      <c r="C55" t="s">
        <v>168</v>
      </c>
      <c r="D55" t="s">
        <v>164</v>
      </c>
      <c r="E55" t="s">
        <v>83</v>
      </c>
      <c r="F55" s="40">
        <v>46120</v>
      </c>
      <c r="G55" s="34">
        <f t="shared" si="0"/>
        <v>46240</v>
      </c>
      <c r="H55" t="s">
        <v>169</v>
      </c>
      <c r="I55" s="34">
        <f t="shared" si="1"/>
        <v>46240</v>
      </c>
      <c r="J55" t="s">
        <v>161</v>
      </c>
      <c r="K55" t="s">
        <v>162</v>
      </c>
      <c r="L55" t="s">
        <v>163</v>
      </c>
      <c r="M55" s="39" t="s">
        <v>230</v>
      </c>
      <c r="N55" t="s">
        <v>161</v>
      </c>
      <c r="O55" s="39" t="s">
        <v>230</v>
      </c>
      <c r="Q55" s="39" t="s">
        <v>715</v>
      </c>
      <c r="U55" t="s">
        <v>183</v>
      </c>
      <c r="W55" t="s">
        <v>241</v>
      </c>
      <c r="X55">
        <v>0</v>
      </c>
      <c r="Y55">
        <v>0</v>
      </c>
      <c r="Z55">
        <v>0</v>
      </c>
      <c r="AA55" s="48">
        <v>307.5</v>
      </c>
      <c r="AC55" s="48">
        <v>307.5</v>
      </c>
      <c r="AF55" s="34">
        <f t="shared" si="8"/>
        <v>46449</v>
      </c>
      <c r="AG55" s="34">
        <f t="shared" si="9"/>
        <v>48274</v>
      </c>
      <c r="AH55" t="s">
        <v>185</v>
      </c>
      <c r="AK55">
        <v>16</v>
      </c>
      <c r="AL55">
        <v>112</v>
      </c>
      <c r="AM55">
        <v>10</v>
      </c>
      <c r="AN55" s="48">
        <v>307.5</v>
      </c>
    </row>
    <row r="56" spans="2:40">
      <c r="B56" s="39" t="s">
        <v>237</v>
      </c>
      <c r="C56" t="s">
        <v>168</v>
      </c>
      <c r="D56" t="s">
        <v>164</v>
      </c>
      <c r="E56" t="s">
        <v>83</v>
      </c>
      <c r="F56" s="40">
        <v>46120</v>
      </c>
      <c r="G56" s="34">
        <f t="shared" si="0"/>
        <v>46240</v>
      </c>
      <c r="H56" t="s">
        <v>169</v>
      </c>
      <c r="I56" s="34">
        <f t="shared" si="1"/>
        <v>46240</v>
      </c>
      <c r="J56" t="s">
        <v>161</v>
      </c>
      <c r="K56" t="s">
        <v>162</v>
      </c>
      <c r="L56" t="s">
        <v>163</v>
      </c>
      <c r="M56" s="39" t="s">
        <v>231</v>
      </c>
      <c r="N56" t="s">
        <v>161</v>
      </c>
      <c r="O56" s="39" t="s">
        <v>231</v>
      </c>
      <c r="Q56" s="39" t="s">
        <v>715</v>
      </c>
      <c r="U56" t="s">
        <v>183</v>
      </c>
      <c r="W56" t="s">
        <v>241</v>
      </c>
      <c r="X56">
        <v>0</v>
      </c>
      <c r="Y56">
        <v>0</v>
      </c>
      <c r="Z56">
        <v>0</v>
      </c>
      <c r="AA56" s="48">
        <v>307.5</v>
      </c>
      <c r="AC56" s="48">
        <v>307.5</v>
      </c>
      <c r="AF56" s="34">
        <f t="shared" si="8"/>
        <v>46449</v>
      </c>
      <c r="AG56" s="34">
        <f t="shared" si="9"/>
        <v>48274</v>
      </c>
      <c r="AH56" t="s">
        <v>185</v>
      </c>
      <c r="AK56">
        <v>16</v>
      </c>
      <c r="AL56">
        <v>112</v>
      </c>
      <c r="AM56">
        <v>10</v>
      </c>
      <c r="AN56" s="48">
        <v>307.5</v>
      </c>
    </row>
    <row r="57" spans="2:40">
      <c r="B57" s="39" t="s">
        <v>238</v>
      </c>
      <c r="C57" t="s">
        <v>168</v>
      </c>
      <c r="D57" t="s">
        <v>164</v>
      </c>
      <c r="E57" t="s">
        <v>83</v>
      </c>
      <c r="F57" s="40">
        <v>46113</v>
      </c>
      <c r="G57" s="34">
        <f t="shared" si="0"/>
        <v>46233</v>
      </c>
      <c r="H57" t="s">
        <v>169</v>
      </c>
      <c r="I57" s="34">
        <f t="shared" si="1"/>
        <v>46233</v>
      </c>
      <c r="J57" t="s">
        <v>161</v>
      </c>
      <c r="K57" t="s">
        <v>162</v>
      </c>
      <c r="L57" t="s">
        <v>163</v>
      </c>
      <c r="M57" s="39" t="s">
        <v>232</v>
      </c>
      <c r="N57" t="s">
        <v>161</v>
      </c>
      <c r="O57" s="39" t="s">
        <v>232</v>
      </c>
      <c r="Q57" s="39" t="s">
        <v>716</v>
      </c>
      <c r="U57" t="s">
        <v>183</v>
      </c>
      <c r="W57" t="s">
        <v>241</v>
      </c>
      <c r="X57">
        <v>0</v>
      </c>
      <c r="Y57">
        <v>0</v>
      </c>
      <c r="Z57">
        <v>0</v>
      </c>
      <c r="AA57" s="48">
        <v>307.5</v>
      </c>
      <c r="AC57" s="48">
        <v>307.5</v>
      </c>
      <c r="AF57" s="34">
        <f t="shared" si="8"/>
        <v>46442</v>
      </c>
      <c r="AG57" s="34">
        <f t="shared" si="9"/>
        <v>48267</v>
      </c>
      <c r="AH57" t="s">
        <v>185</v>
      </c>
      <c r="AK57">
        <v>16</v>
      </c>
      <c r="AL57">
        <v>112</v>
      </c>
      <c r="AM57">
        <v>10</v>
      </c>
      <c r="AN57" s="48">
        <v>307.5</v>
      </c>
    </row>
    <row r="58" spans="2:40">
      <c r="B58" s="39" t="s">
        <v>239</v>
      </c>
      <c r="C58" t="s">
        <v>168</v>
      </c>
      <c r="D58" t="s">
        <v>164</v>
      </c>
      <c r="E58" t="s">
        <v>83</v>
      </c>
      <c r="F58" s="40">
        <v>46113</v>
      </c>
      <c r="G58" s="34">
        <f t="shared" si="0"/>
        <v>46233</v>
      </c>
      <c r="H58" t="s">
        <v>169</v>
      </c>
      <c r="I58" s="34">
        <f t="shared" si="1"/>
        <v>46233</v>
      </c>
      <c r="J58" t="s">
        <v>161</v>
      </c>
      <c r="K58" t="s">
        <v>162</v>
      </c>
      <c r="L58" t="s">
        <v>163</v>
      </c>
      <c r="M58" s="39" t="s">
        <v>233</v>
      </c>
      <c r="N58" t="s">
        <v>161</v>
      </c>
      <c r="O58" s="39" t="s">
        <v>233</v>
      </c>
      <c r="Q58" s="39" t="s">
        <v>716</v>
      </c>
      <c r="U58" t="s">
        <v>183</v>
      </c>
      <c r="W58" t="s">
        <v>241</v>
      </c>
      <c r="X58">
        <v>0</v>
      </c>
      <c r="Y58">
        <v>0</v>
      </c>
      <c r="Z58">
        <v>0</v>
      </c>
      <c r="AA58" s="48">
        <v>307.5</v>
      </c>
      <c r="AC58" s="48">
        <v>307.5</v>
      </c>
      <c r="AF58" s="34">
        <f t="shared" si="8"/>
        <v>46442</v>
      </c>
      <c r="AG58" s="34">
        <f t="shared" si="9"/>
        <v>48267</v>
      </c>
      <c r="AH58" t="s">
        <v>185</v>
      </c>
      <c r="AK58">
        <v>16</v>
      </c>
      <c r="AL58">
        <v>112</v>
      </c>
      <c r="AM58">
        <v>10</v>
      </c>
      <c r="AN58" s="48">
        <v>307.5</v>
      </c>
    </row>
    <row r="59" spans="2:40">
      <c r="B59" s="39" t="s">
        <v>234</v>
      </c>
      <c r="C59" t="s">
        <v>168</v>
      </c>
      <c r="D59" t="s">
        <v>164</v>
      </c>
      <c r="E59" t="s">
        <v>83</v>
      </c>
      <c r="F59" s="40">
        <v>46122</v>
      </c>
      <c r="G59" s="34">
        <f t="shared" si="0"/>
        <v>46242</v>
      </c>
      <c r="H59" t="s">
        <v>169</v>
      </c>
      <c r="I59" s="34">
        <f t="shared" si="1"/>
        <v>46242</v>
      </c>
      <c r="J59" t="s">
        <v>161</v>
      </c>
      <c r="K59" t="s">
        <v>162</v>
      </c>
      <c r="L59" t="s">
        <v>163</v>
      </c>
      <c r="M59" s="39" t="s">
        <v>234</v>
      </c>
      <c r="N59" t="s">
        <v>161</v>
      </c>
      <c r="O59" s="39" t="s">
        <v>234</v>
      </c>
      <c r="Q59" s="39" t="s">
        <v>715</v>
      </c>
      <c r="U59" t="s">
        <v>183</v>
      </c>
      <c r="W59" t="s">
        <v>241</v>
      </c>
      <c r="X59">
        <v>0</v>
      </c>
      <c r="Y59">
        <v>0</v>
      </c>
      <c r="Z59">
        <v>0</v>
      </c>
      <c r="AA59" s="48">
        <v>307.5</v>
      </c>
      <c r="AC59" s="48">
        <v>307.5</v>
      </c>
      <c r="AF59" s="34">
        <f t="shared" si="8"/>
        <v>46451</v>
      </c>
      <c r="AG59" s="34">
        <f t="shared" si="9"/>
        <v>48276</v>
      </c>
      <c r="AH59" t="s">
        <v>185</v>
      </c>
      <c r="AK59">
        <v>16</v>
      </c>
      <c r="AL59">
        <v>112</v>
      </c>
      <c r="AM59">
        <v>10</v>
      </c>
      <c r="AN59" s="48">
        <v>307.5</v>
      </c>
    </row>
    <row r="60" spans="2:40">
      <c r="B60" s="39" t="s">
        <v>235</v>
      </c>
      <c r="C60" t="s">
        <v>168</v>
      </c>
      <c r="D60" t="s">
        <v>164</v>
      </c>
      <c r="E60" t="s">
        <v>83</v>
      </c>
      <c r="F60" s="40">
        <v>46122</v>
      </c>
      <c r="G60" s="34">
        <f t="shared" si="0"/>
        <v>46242</v>
      </c>
      <c r="H60" t="s">
        <v>169</v>
      </c>
      <c r="I60" s="34">
        <f t="shared" si="1"/>
        <v>46242</v>
      </c>
      <c r="J60" t="s">
        <v>161</v>
      </c>
      <c r="K60" t="s">
        <v>162</v>
      </c>
      <c r="L60" t="s">
        <v>163</v>
      </c>
      <c r="M60" s="39" t="s">
        <v>235</v>
      </c>
      <c r="N60" t="s">
        <v>161</v>
      </c>
      <c r="O60" s="39" t="s">
        <v>235</v>
      </c>
      <c r="Q60" s="39" t="s">
        <v>715</v>
      </c>
      <c r="U60" t="s">
        <v>183</v>
      </c>
      <c r="W60" t="s">
        <v>241</v>
      </c>
      <c r="X60">
        <v>0</v>
      </c>
      <c r="Y60">
        <v>0</v>
      </c>
      <c r="Z60">
        <v>0</v>
      </c>
      <c r="AA60" s="48">
        <v>307.5</v>
      </c>
      <c r="AC60" s="48">
        <v>307.5</v>
      </c>
      <c r="AF60" s="34">
        <f t="shared" si="8"/>
        <v>46451</v>
      </c>
      <c r="AG60" s="34">
        <f t="shared" si="9"/>
        <v>48276</v>
      </c>
      <c r="AH60" t="s">
        <v>185</v>
      </c>
      <c r="AK60">
        <v>16</v>
      </c>
      <c r="AL60">
        <v>112</v>
      </c>
      <c r="AM60">
        <v>10</v>
      </c>
      <c r="AN60" s="48">
        <v>307.5</v>
      </c>
    </row>
    <row r="61" spans="2:40">
      <c r="B61" s="39" t="s">
        <v>236</v>
      </c>
      <c r="C61" t="s">
        <v>168</v>
      </c>
      <c r="D61" t="s">
        <v>164</v>
      </c>
      <c r="E61" t="s">
        <v>83</v>
      </c>
      <c r="F61" s="40">
        <v>46122</v>
      </c>
      <c r="G61" s="34">
        <f t="shared" si="0"/>
        <v>46242</v>
      </c>
      <c r="H61" t="s">
        <v>169</v>
      </c>
      <c r="I61" s="34">
        <f t="shared" si="1"/>
        <v>46242</v>
      </c>
      <c r="J61" t="s">
        <v>161</v>
      </c>
      <c r="K61" t="s">
        <v>162</v>
      </c>
      <c r="L61" t="s">
        <v>163</v>
      </c>
      <c r="M61" s="39" t="s">
        <v>236</v>
      </c>
      <c r="N61" t="s">
        <v>161</v>
      </c>
      <c r="O61" s="39" t="s">
        <v>236</v>
      </c>
      <c r="Q61" s="39" t="s">
        <v>715</v>
      </c>
      <c r="U61" t="s">
        <v>183</v>
      </c>
      <c r="W61" t="s">
        <v>241</v>
      </c>
      <c r="X61">
        <v>0</v>
      </c>
      <c r="Y61">
        <v>0</v>
      </c>
      <c r="Z61">
        <v>0</v>
      </c>
      <c r="AA61" s="48">
        <v>307.5</v>
      </c>
      <c r="AC61" s="48">
        <v>307.5</v>
      </c>
      <c r="AF61" s="34">
        <f t="shared" si="8"/>
        <v>46451</v>
      </c>
      <c r="AG61" s="34">
        <f t="shared" si="9"/>
        <v>48276</v>
      </c>
      <c r="AH61" t="s">
        <v>185</v>
      </c>
      <c r="AK61">
        <v>16</v>
      </c>
      <c r="AL61">
        <v>112</v>
      </c>
      <c r="AM61">
        <v>10</v>
      </c>
      <c r="AN61" s="48">
        <v>307.5</v>
      </c>
    </row>
    <row r="62" spans="2:40">
      <c r="B62" s="39" t="s">
        <v>237</v>
      </c>
      <c r="C62" t="s">
        <v>168</v>
      </c>
      <c r="D62" t="s">
        <v>164</v>
      </c>
      <c r="E62" t="s">
        <v>83</v>
      </c>
      <c r="F62" s="40">
        <v>46122</v>
      </c>
      <c r="G62" s="34">
        <f t="shared" si="0"/>
        <v>46242</v>
      </c>
      <c r="H62" t="s">
        <v>169</v>
      </c>
      <c r="I62" s="34">
        <f t="shared" si="1"/>
        <v>46242</v>
      </c>
      <c r="J62" t="s">
        <v>161</v>
      </c>
      <c r="K62" t="s">
        <v>162</v>
      </c>
      <c r="L62" t="s">
        <v>163</v>
      </c>
      <c r="M62" s="39" t="s">
        <v>237</v>
      </c>
      <c r="N62" t="s">
        <v>161</v>
      </c>
      <c r="O62" s="39" t="s">
        <v>237</v>
      </c>
      <c r="Q62" s="39" t="s">
        <v>715</v>
      </c>
      <c r="U62" t="s">
        <v>183</v>
      </c>
      <c r="W62" t="s">
        <v>241</v>
      </c>
      <c r="X62">
        <v>0</v>
      </c>
      <c r="Y62">
        <v>0</v>
      </c>
      <c r="Z62">
        <v>0</v>
      </c>
      <c r="AA62" s="48">
        <v>307.5</v>
      </c>
      <c r="AC62" s="48">
        <v>307.5</v>
      </c>
      <c r="AF62" s="34">
        <f t="shared" si="8"/>
        <v>46451</v>
      </c>
      <c r="AG62" s="34">
        <f t="shared" si="9"/>
        <v>48276</v>
      </c>
      <c r="AH62" t="s">
        <v>185</v>
      </c>
      <c r="AK62">
        <v>16</v>
      </c>
      <c r="AL62">
        <v>112</v>
      </c>
      <c r="AM62">
        <v>10</v>
      </c>
      <c r="AN62" s="48">
        <v>307.5</v>
      </c>
    </row>
    <row r="63" spans="2:40">
      <c r="B63" s="39" t="s">
        <v>238</v>
      </c>
      <c r="C63" t="s">
        <v>168</v>
      </c>
      <c r="D63" t="s">
        <v>164</v>
      </c>
      <c r="E63" t="s">
        <v>83</v>
      </c>
      <c r="F63" s="40">
        <v>46113</v>
      </c>
      <c r="G63" s="34">
        <f t="shared" si="0"/>
        <v>46233</v>
      </c>
      <c r="H63" t="s">
        <v>169</v>
      </c>
      <c r="I63" s="34">
        <f t="shared" si="1"/>
        <v>46233</v>
      </c>
      <c r="J63" t="s">
        <v>161</v>
      </c>
      <c r="K63" t="s">
        <v>162</v>
      </c>
      <c r="L63" t="s">
        <v>163</v>
      </c>
      <c r="M63" s="39" t="s">
        <v>238</v>
      </c>
      <c r="N63" t="s">
        <v>161</v>
      </c>
      <c r="O63" s="39" t="s">
        <v>238</v>
      </c>
      <c r="Q63" s="39" t="s">
        <v>716</v>
      </c>
      <c r="U63" t="s">
        <v>183</v>
      </c>
      <c r="W63" t="s">
        <v>241</v>
      </c>
      <c r="X63">
        <v>0</v>
      </c>
      <c r="Y63">
        <v>0</v>
      </c>
      <c r="Z63">
        <v>0</v>
      </c>
      <c r="AA63" s="48">
        <v>307.5</v>
      </c>
      <c r="AC63" s="48">
        <v>307.5</v>
      </c>
      <c r="AF63" s="34">
        <f t="shared" si="8"/>
        <v>46442</v>
      </c>
      <c r="AG63" s="34">
        <f t="shared" si="9"/>
        <v>48267</v>
      </c>
      <c r="AH63" t="s">
        <v>185</v>
      </c>
      <c r="AK63">
        <v>16</v>
      </c>
      <c r="AL63">
        <v>112</v>
      </c>
      <c r="AM63">
        <v>10</v>
      </c>
      <c r="AN63" s="48">
        <v>307.5</v>
      </c>
    </row>
    <row r="64" spans="2:40">
      <c r="B64" s="39" t="s">
        <v>239</v>
      </c>
      <c r="C64" t="s">
        <v>168</v>
      </c>
      <c r="D64" t="s">
        <v>164</v>
      </c>
      <c r="E64" t="s">
        <v>83</v>
      </c>
      <c r="F64" s="40">
        <v>46113</v>
      </c>
      <c r="G64" s="34">
        <f t="shared" si="0"/>
        <v>46233</v>
      </c>
      <c r="H64" t="s">
        <v>169</v>
      </c>
      <c r="I64" s="34">
        <f t="shared" si="1"/>
        <v>46233</v>
      </c>
      <c r="J64" t="s">
        <v>161</v>
      </c>
      <c r="K64" t="s">
        <v>162</v>
      </c>
      <c r="L64" t="s">
        <v>163</v>
      </c>
      <c r="M64" s="39" t="s">
        <v>239</v>
      </c>
      <c r="N64" t="s">
        <v>161</v>
      </c>
      <c r="O64" s="39" t="s">
        <v>239</v>
      </c>
      <c r="Q64" s="39" t="s">
        <v>716</v>
      </c>
      <c r="U64" t="s">
        <v>183</v>
      </c>
      <c r="W64" t="s">
        <v>241</v>
      </c>
      <c r="X64">
        <v>0</v>
      </c>
      <c r="Y64">
        <v>0</v>
      </c>
      <c r="Z64">
        <v>0</v>
      </c>
      <c r="AA64" s="48">
        <v>307.5</v>
      </c>
      <c r="AC64" s="48">
        <v>307.5</v>
      </c>
      <c r="AF64" s="34">
        <f t="shared" si="8"/>
        <v>46442</v>
      </c>
      <c r="AG64" s="34">
        <f t="shared" si="9"/>
        <v>48267</v>
      </c>
      <c r="AH64" t="s">
        <v>185</v>
      </c>
      <c r="AK64">
        <v>16</v>
      </c>
      <c r="AL64">
        <v>112</v>
      </c>
      <c r="AM64">
        <v>10</v>
      </c>
      <c r="AN64" s="48">
        <v>307.5</v>
      </c>
    </row>
    <row r="65" spans="2:40">
      <c r="B65" s="39" t="s">
        <v>242</v>
      </c>
      <c r="C65" t="s">
        <v>168</v>
      </c>
      <c r="D65" t="s">
        <v>164</v>
      </c>
      <c r="E65" t="s">
        <v>83</v>
      </c>
      <c r="F65" s="41">
        <v>46183</v>
      </c>
      <c r="G65" s="34">
        <f t="shared" si="0"/>
        <v>46303</v>
      </c>
      <c r="H65" t="s">
        <v>169</v>
      </c>
      <c r="I65" s="34">
        <f t="shared" si="1"/>
        <v>46303</v>
      </c>
      <c r="J65" t="s">
        <v>161</v>
      </c>
      <c r="K65" t="s">
        <v>162</v>
      </c>
      <c r="L65" t="s">
        <v>163</v>
      </c>
      <c r="M65" s="39" t="s">
        <v>242</v>
      </c>
      <c r="N65" t="s">
        <v>161</v>
      </c>
      <c r="Q65" s="39" t="s">
        <v>716</v>
      </c>
      <c r="U65" t="s">
        <v>183</v>
      </c>
      <c r="W65" t="s">
        <v>241</v>
      </c>
      <c r="X65">
        <v>0</v>
      </c>
      <c r="Y65">
        <v>0</v>
      </c>
      <c r="Z65">
        <v>0</v>
      </c>
      <c r="AA65" s="48">
        <v>307.5</v>
      </c>
      <c r="AC65" s="48">
        <v>307.5</v>
      </c>
      <c r="AF65" s="34">
        <f t="shared" si="8"/>
        <v>46512</v>
      </c>
      <c r="AG65" s="34">
        <f t="shared" si="9"/>
        <v>48337</v>
      </c>
      <c r="AH65" t="s">
        <v>185</v>
      </c>
      <c r="AK65">
        <v>16</v>
      </c>
      <c r="AL65">
        <v>112</v>
      </c>
      <c r="AM65">
        <v>10</v>
      </c>
      <c r="AN65" s="48">
        <v>307.5</v>
      </c>
    </row>
    <row r="66" spans="2:40">
      <c r="B66" s="39" t="s">
        <v>243</v>
      </c>
      <c r="C66" t="s">
        <v>168</v>
      </c>
      <c r="D66" t="s">
        <v>164</v>
      </c>
      <c r="E66" t="s">
        <v>83</v>
      </c>
      <c r="F66" s="41">
        <v>46183</v>
      </c>
      <c r="G66" s="34">
        <f t="shared" si="0"/>
        <v>46303</v>
      </c>
      <c r="H66" t="s">
        <v>169</v>
      </c>
      <c r="I66" s="34">
        <f t="shared" si="1"/>
        <v>46303</v>
      </c>
      <c r="J66" t="s">
        <v>161</v>
      </c>
      <c r="K66" t="s">
        <v>162</v>
      </c>
      <c r="L66" t="s">
        <v>163</v>
      </c>
      <c r="M66" s="39" t="s">
        <v>243</v>
      </c>
      <c r="N66" t="s">
        <v>161</v>
      </c>
      <c r="Q66" s="39" t="s">
        <v>716</v>
      </c>
      <c r="U66" t="s">
        <v>183</v>
      </c>
      <c r="W66" t="s">
        <v>241</v>
      </c>
      <c r="X66">
        <v>0</v>
      </c>
      <c r="Y66">
        <v>0</v>
      </c>
      <c r="Z66">
        <v>0</v>
      </c>
      <c r="AA66" s="48">
        <v>307.5</v>
      </c>
      <c r="AC66" s="48">
        <v>307.5</v>
      </c>
      <c r="AF66" s="34">
        <f t="shared" si="8"/>
        <v>46512</v>
      </c>
      <c r="AG66" s="34">
        <f t="shared" si="9"/>
        <v>48337</v>
      </c>
      <c r="AH66" t="s">
        <v>185</v>
      </c>
      <c r="AK66">
        <v>16</v>
      </c>
      <c r="AL66">
        <v>112</v>
      </c>
      <c r="AM66">
        <v>10</v>
      </c>
      <c r="AN66" s="48">
        <v>307.5</v>
      </c>
    </row>
    <row r="67" spans="2:40">
      <c r="B67" s="39" t="s">
        <v>244</v>
      </c>
      <c r="C67" t="s">
        <v>168</v>
      </c>
      <c r="D67" t="s">
        <v>164</v>
      </c>
      <c r="E67" t="s">
        <v>83</v>
      </c>
      <c r="F67" s="41">
        <v>46183</v>
      </c>
      <c r="G67" s="34">
        <f t="shared" si="0"/>
        <v>46303</v>
      </c>
      <c r="H67" t="s">
        <v>169</v>
      </c>
      <c r="I67" s="34">
        <f t="shared" si="1"/>
        <v>46303</v>
      </c>
      <c r="J67" t="s">
        <v>161</v>
      </c>
      <c r="K67" t="s">
        <v>162</v>
      </c>
      <c r="L67" t="s">
        <v>163</v>
      </c>
      <c r="M67" s="39" t="s">
        <v>244</v>
      </c>
      <c r="N67" t="s">
        <v>161</v>
      </c>
      <c r="Q67" s="39" t="s">
        <v>716</v>
      </c>
      <c r="U67" t="s">
        <v>183</v>
      </c>
      <c r="W67" t="s">
        <v>241</v>
      </c>
      <c r="X67">
        <v>0</v>
      </c>
      <c r="Y67">
        <v>0</v>
      </c>
      <c r="Z67">
        <v>0</v>
      </c>
      <c r="AA67" s="48">
        <v>307.5</v>
      </c>
      <c r="AC67" s="48">
        <v>307.5</v>
      </c>
      <c r="AF67" s="34">
        <f t="shared" si="8"/>
        <v>46512</v>
      </c>
      <c r="AG67" s="34">
        <f t="shared" si="9"/>
        <v>48337</v>
      </c>
      <c r="AH67" t="s">
        <v>185</v>
      </c>
      <c r="AK67">
        <v>16</v>
      </c>
      <c r="AL67">
        <v>112</v>
      </c>
      <c r="AM67">
        <v>10</v>
      </c>
      <c r="AN67" s="48">
        <v>307.5</v>
      </c>
    </row>
    <row r="68" spans="2:40">
      <c r="B68" s="39" t="s">
        <v>245</v>
      </c>
      <c r="C68" t="s">
        <v>168</v>
      </c>
      <c r="D68" t="s">
        <v>164</v>
      </c>
      <c r="E68" t="s">
        <v>83</v>
      </c>
      <c r="F68" s="41">
        <v>46099</v>
      </c>
      <c r="G68" s="34">
        <f t="shared" si="0"/>
        <v>46219</v>
      </c>
      <c r="H68" t="s">
        <v>169</v>
      </c>
      <c r="I68" s="34">
        <f t="shared" si="1"/>
        <v>46219</v>
      </c>
      <c r="J68" t="s">
        <v>161</v>
      </c>
      <c r="K68" t="s">
        <v>162</v>
      </c>
      <c r="L68" t="s">
        <v>163</v>
      </c>
      <c r="M68" s="39" t="s">
        <v>245</v>
      </c>
      <c r="N68" t="s">
        <v>161</v>
      </c>
      <c r="Q68" s="39" t="s">
        <v>717</v>
      </c>
      <c r="U68" t="s">
        <v>183</v>
      </c>
      <c r="W68" t="s">
        <v>241</v>
      </c>
      <c r="X68">
        <v>0</v>
      </c>
      <c r="Y68">
        <v>0</v>
      </c>
      <c r="Z68">
        <v>0</v>
      </c>
      <c r="AA68" s="48">
        <v>307.5</v>
      </c>
      <c r="AC68" s="48">
        <v>307.5</v>
      </c>
      <c r="AF68" s="34">
        <f t="shared" si="8"/>
        <v>46428</v>
      </c>
      <c r="AG68" s="34">
        <f t="shared" si="9"/>
        <v>48253</v>
      </c>
      <c r="AH68" t="s">
        <v>185</v>
      </c>
      <c r="AK68">
        <v>16</v>
      </c>
      <c r="AL68">
        <v>112</v>
      </c>
      <c r="AM68">
        <v>10</v>
      </c>
      <c r="AN68" s="48">
        <v>307.5</v>
      </c>
    </row>
    <row r="69" spans="2:40">
      <c r="B69" s="39" t="s">
        <v>246</v>
      </c>
      <c r="C69" t="s">
        <v>168</v>
      </c>
      <c r="D69" t="s">
        <v>164</v>
      </c>
      <c r="E69" t="s">
        <v>83</v>
      </c>
      <c r="F69" s="41">
        <v>46099</v>
      </c>
      <c r="G69" s="34">
        <f t="shared" si="0"/>
        <v>46219</v>
      </c>
      <c r="H69" t="s">
        <v>169</v>
      </c>
      <c r="I69" s="34">
        <f t="shared" si="1"/>
        <v>46219</v>
      </c>
      <c r="J69" t="s">
        <v>161</v>
      </c>
      <c r="K69" t="s">
        <v>162</v>
      </c>
      <c r="L69" t="s">
        <v>163</v>
      </c>
      <c r="M69" s="39" t="s">
        <v>246</v>
      </c>
      <c r="N69" t="s">
        <v>161</v>
      </c>
      <c r="Q69" s="39" t="s">
        <v>717</v>
      </c>
      <c r="U69" t="s">
        <v>183</v>
      </c>
      <c r="W69" t="s">
        <v>241</v>
      </c>
      <c r="X69">
        <v>0</v>
      </c>
      <c r="Y69">
        <v>0</v>
      </c>
      <c r="Z69">
        <v>0</v>
      </c>
      <c r="AA69" s="48">
        <v>307.5</v>
      </c>
      <c r="AC69" s="48">
        <v>307.5</v>
      </c>
      <c r="AF69" s="34">
        <f t="shared" si="8"/>
        <v>46428</v>
      </c>
      <c r="AG69" s="34">
        <f t="shared" si="9"/>
        <v>48253</v>
      </c>
      <c r="AH69" t="s">
        <v>185</v>
      </c>
      <c r="AK69">
        <v>16</v>
      </c>
      <c r="AL69">
        <v>112</v>
      </c>
      <c r="AM69">
        <v>10</v>
      </c>
      <c r="AN69" s="48">
        <v>307.5</v>
      </c>
    </row>
    <row r="70" spans="2:40">
      <c r="B70" s="39" t="s">
        <v>247</v>
      </c>
      <c r="C70" t="s">
        <v>168</v>
      </c>
      <c r="D70" t="s">
        <v>164</v>
      </c>
      <c r="E70" t="s">
        <v>83</v>
      </c>
      <c r="F70" s="41">
        <v>46099</v>
      </c>
      <c r="G70" s="34">
        <f t="shared" ref="G70:G133" si="10">+F70+120</f>
        <v>46219</v>
      </c>
      <c r="H70" t="s">
        <v>169</v>
      </c>
      <c r="I70" s="34">
        <f t="shared" ref="I70:I133" si="11">+G70</f>
        <v>46219</v>
      </c>
      <c r="J70" t="s">
        <v>161</v>
      </c>
      <c r="K70" t="s">
        <v>162</v>
      </c>
      <c r="L70" t="s">
        <v>163</v>
      </c>
      <c r="M70" s="39" t="s">
        <v>247</v>
      </c>
      <c r="N70" t="s">
        <v>161</v>
      </c>
      <c r="Q70" s="39" t="s">
        <v>717</v>
      </c>
      <c r="U70" t="s">
        <v>183</v>
      </c>
      <c r="W70" t="s">
        <v>241</v>
      </c>
      <c r="X70">
        <v>0</v>
      </c>
      <c r="Y70">
        <v>0</v>
      </c>
      <c r="Z70">
        <v>0</v>
      </c>
      <c r="AA70" s="48">
        <v>307.5</v>
      </c>
      <c r="AC70" s="48">
        <v>307.5</v>
      </c>
      <c r="AF70" s="34">
        <f t="shared" si="8"/>
        <v>46428</v>
      </c>
      <c r="AG70" s="34">
        <f t="shared" si="9"/>
        <v>48253</v>
      </c>
      <c r="AH70" t="s">
        <v>185</v>
      </c>
      <c r="AK70">
        <v>16</v>
      </c>
      <c r="AL70">
        <v>112</v>
      </c>
      <c r="AM70">
        <v>10</v>
      </c>
      <c r="AN70" s="48">
        <v>307.5</v>
      </c>
    </row>
    <row r="71" spans="2:40">
      <c r="B71" s="39" t="s">
        <v>248</v>
      </c>
      <c r="C71" t="s">
        <v>168</v>
      </c>
      <c r="D71" t="s">
        <v>164</v>
      </c>
      <c r="E71" t="s">
        <v>83</v>
      </c>
      <c r="F71" s="41">
        <v>46099</v>
      </c>
      <c r="G71" s="34">
        <f t="shared" si="10"/>
        <v>46219</v>
      </c>
      <c r="H71" t="s">
        <v>169</v>
      </c>
      <c r="I71" s="34">
        <f t="shared" si="11"/>
        <v>46219</v>
      </c>
      <c r="J71" t="s">
        <v>161</v>
      </c>
      <c r="K71" t="s">
        <v>162</v>
      </c>
      <c r="L71" t="s">
        <v>163</v>
      </c>
      <c r="M71" s="39" t="s">
        <v>248</v>
      </c>
      <c r="N71" t="s">
        <v>161</v>
      </c>
      <c r="Q71" s="39" t="s">
        <v>717</v>
      </c>
      <c r="U71" t="s">
        <v>183</v>
      </c>
      <c r="W71" t="s">
        <v>241</v>
      </c>
      <c r="X71">
        <v>0</v>
      </c>
      <c r="Y71">
        <v>0</v>
      </c>
      <c r="Z71">
        <v>0</v>
      </c>
      <c r="AA71" s="48">
        <v>307.5</v>
      </c>
      <c r="AC71" s="48">
        <v>307.5</v>
      </c>
      <c r="AF71" s="34">
        <f t="shared" si="8"/>
        <v>46428</v>
      </c>
      <c r="AG71" s="34">
        <f t="shared" si="9"/>
        <v>48253</v>
      </c>
      <c r="AH71" t="s">
        <v>185</v>
      </c>
      <c r="AK71">
        <v>16</v>
      </c>
      <c r="AL71">
        <v>112</v>
      </c>
      <c r="AM71">
        <v>10</v>
      </c>
      <c r="AN71" s="48">
        <v>307.5</v>
      </c>
    </row>
    <row r="72" spans="2:40">
      <c r="B72" s="39" t="s">
        <v>249</v>
      </c>
      <c r="C72" t="s">
        <v>168</v>
      </c>
      <c r="D72" t="s">
        <v>164</v>
      </c>
      <c r="E72" t="s">
        <v>83</v>
      </c>
      <c r="F72" s="41">
        <v>46099</v>
      </c>
      <c r="G72" s="34">
        <f t="shared" si="10"/>
        <v>46219</v>
      </c>
      <c r="H72" t="s">
        <v>169</v>
      </c>
      <c r="I72" s="34">
        <f t="shared" si="11"/>
        <v>46219</v>
      </c>
      <c r="J72" t="s">
        <v>161</v>
      </c>
      <c r="K72" t="s">
        <v>162</v>
      </c>
      <c r="L72" t="s">
        <v>163</v>
      </c>
      <c r="M72" s="39" t="s">
        <v>249</v>
      </c>
      <c r="N72" t="s">
        <v>161</v>
      </c>
      <c r="Q72" s="39" t="s">
        <v>717</v>
      </c>
      <c r="U72" t="s">
        <v>183</v>
      </c>
      <c r="W72" t="s">
        <v>241</v>
      </c>
      <c r="X72">
        <v>0</v>
      </c>
      <c r="Y72">
        <v>0</v>
      </c>
      <c r="Z72">
        <v>0</v>
      </c>
      <c r="AA72" s="48">
        <v>307.5</v>
      </c>
      <c r="AC72" s="48">
        <v>307.5</v>
      </c>
      <c r="AF72" s="34">
        <f t="shared" si="8"/>
        <v>46428</v>
      </c>
      <c r="AG72" s="34">
        <f t="shared" si="9"/>
        <v>48253</v>
      </c>
      <c r="AH72" t="s">
        <v>185</v>
      </c>
      <c r="AK72">
        <v>16</v>
      </c>
      <c r="AL72">
        <v>112</v>
      </c>
      <c r="AM72">
        <v>10</v>
      </c>
      <c r="AN72" s="48">
        <v>307.5</v>
      </c>
    </row>
    <row r="73" spans="2:40">
      <c r="B73" s="39" t="s">
        <v>250</v>
      </c>
      <c r="C73" t="s">
        <v>168</v>
      </c>
      <c r="D73" t="s">
        <v>164</v>
      </c>
      <c r="E73" t="s">
        <v>83</v>
      </c>
      <c r="F73" s="41">
        <v>46095</v>
      </c>
      <c r="G73" s="34">
        <f t="shared" si="10"/>
        <v>46215</v>
      </c>
      <c r="H73" t="s">
        <v>169</v>
      </c>
      <c r="I73" s="34">
        <f t="shared" si="11"/>
        <v>46215</v>
      </c>
      <c r="J73" t="s">
        <v>161</v>
      </c>
      <c r="K73" t="s">
        <v>162</v>
      </c>
      <c r="L73" t="s">
        <v>163</v>
      </c>
      <c r="M73" s="39" t="s">
        <v>250</v>
      </c>
      <c r="N73" t="s">
        <v>161</v>
      </c>
      <c r="Q73" s="39" t="s">
        <v>718</v>
      </c>
      <c r="U73" t="s">
        <v>183</v>
      </c>
      <c r="W73" t="s">
        <v>241</v>
      </c>
      <c r="X73">
        <v>0</v>
      </c>
      <c r="Y73">
        <v>0</v>
      </c>
      <c r="Z73">
        <v>0</v>
      </c>
      <c r="AA73" s="48">
        <v>307.5</v>
      </c>
      <c r="AC73" s="48">
        <v>307.5</v>
      </c>
      <c r="AF73" s="34">
        <f t="shared" si="8"/>
        <v>46424</v>
      </c>
      <c r="AG73" s="34">
        <f t="shared" si="9"/>
        <v>48249</v>
      </c>
      <c r="AH73" t="s">
        <v>185</v>
      </c>
      <c r="AK73">
        <v>16</v>
      </c>
      <c r="AL73">
        <v>112</v>
      </c>
      <c r="AM73">
        <v>10</v>
      </c>
      <c r="AN73" s="48">
        <v>307.5</v>
      </c>
    </row>
    <row r="74" spans="2:40">
      <c r="B74" s="39" t="s">
        <v>251</v>
      </c>
      <c r="C74" t="s">
        <v>168</v>
      </c>
      <c r="D74" t="s">
        <v>164</v>
      </c>
      <c r="E74" t="s">
        <v>83</v>
      </c>
      <c r="F74" s="41">
        <v>46095</v>
      </c>
      <c r="G74" s="34">
        <f t="shared" si="10"/>
        <v>46215</v>
      </c>
      <c r="H74" t="s">
        <v>169</v>
      </c>
      <c r="I74" s="34">
        <f t="shared" si="11"/>
        <v>46215</v>
      </c>
      <c r="J74" t="s">
        <v>161</v>
      </c>
      <c r="K74" t="s">
        <v>162</v>
      </c>
      <c r="L74" t="s">
        <v>163</v>
      </c>
      <c r="M74" s="39" t="s">
        <v>251</v>
      </c>
      <c r="N74" t="s">
        <v>161</v>
      </c>
      <c r="Q74" s="39" t="s">
        <v>718</v>
      </c>
      <c r="U74" t="s">
        <v>183</v>
      </c>
      <c r="W74" t="s">
        <v>241</v>
      </c>
      <c r="X74">
        <v>0</v>
      </c>
      <c r="Y74">
        <v>0</v>
      </c>
      <c r="Z74">
        <v>0</v>
      </c>
      <c r="AA74" s="48">
        <v>307.5</v>
      </c>
      <c r="AC74" s="48">
        <v>307.5</v>
      </c>
      <c r="AF74" s="34">
        <f t="shared" ref="AF74:AF137" si="12">+F74+(47*7)</f>
        <v>46424</v>
      </c>
      <c r="AG74" s="34">
        <f t="shared" ref="AG74:AG137" si="13">+AF74+(365*5)</f>
        <v>48249</v>
      </c>
      <c r="AH74" t="s">
        <v>185</v>
      </c>
      <c r="AK74">
        <v>16</v>
      </c>
      <c r="AL74">
        <v>112</v>
      </c>
      <c r="AM74">
        <v>10</v>
      </c>
      <c r="AN74" s="48">
        <v>307.5</v>
      </c>
    </row>
    <row r="75" spans="2:40">
      <c r="B75" s="39" t="s">
        <v>252</v>
      </c>
      <c r="C75" t="s">
        <v>168</v>
      </c>
      <c r="D75" t="s">
        <v>164</v>
      </c>
      <c r="E75" t="s">
        <v>83</v>
      </c>
      <c r="F75" s="41">
        <v>46095</v>
      </c>
      <c r="G75" s="34">
        <f t="shared" si="10"/>
        <v>46215</v>
      </c>
      <c r="H75" t="s">
        <v>169</v>
      </c>
      <c r="I75" s="34">
        <f t="shared" si="11"/>
        <v>46215</v>
      </c>
      <c r="J75" t="s">
        <v>161</v>
      </c>
      <c r="K75" t="s">
        <v>162</v>
      </c>
      <c r="L75" t="s">
        <v>163</v>
      </c>
      <c r="M75" s="39" t="s">
        <v>252</v>
      </c>
      <c r="N75" t="s">
        <v>161</v>
      </c>
      <c r="Q75" s="39" t="s">
        <v>718</v>
      </c>
      <c r="U75" t="s">
        <v>183</v>
      </c>
      <c r="W75" t="s">
        <v>241</v>
      </c>
      <c r="X75">
        <v>0</v>
      </c>
      <c r="Y75">
        <v>0</v>
      </c>
      <c r="Z75">
        <v>0</v>
      </c>
      <c r="AA75" s="48">
        <v>307.5</v>
      </c>
      <c r="AC75" s="48">
        <v>307.5</v>
      </c>
      <c r="AF75" s="34">
        <f t="shared" si="12"/>
        <v>46424</v>
      </c>
      <c r="AG75" s="34">
        <f t="shared" si="13"/>
        <v>48249</v>
      </c>
      <c r="AH75" t="s">
        <v>185</v>
      </c>
      <c r="AK75">
        <v>16</v>
      </c>
      <c r="AL75">
        <v>112</v>
      </c>
      <c r="AM75">
        <v>10</v>
      </c>
      <c r="AN75" s="48">
        <v>307.5</v>
      </c>
    </row>
    <row r="76" spans="2:40">
      <c r="B76" s="39" t="s">
        <v>253</v>
      </c>
      <c r="C76" t="s">
        <v>168</v>
      </c>
      <c r="D76" t="s">
        <v>164</v>
      </c>
      <c r="E76" t="s">
        <v>83</v>
      </c>
      <c r="F76" s="41">
        <v>46095</v>
      </c>
      <c r="G76" s="34">
        <f t="shared" si="10"/>
        <v>46215</v>
      </c>
      <c r="H76" t="s">
        <v>169</v>
      </c>
      <c r="I76" s="34">
        <f t="shared" si="11"/>
        <v>46215</v>
      </c>
      <c r="J76" t="s">
        <v>161</v>
      </c>
      <c r="K76" t="s">
        <v>162</v>
      </c>
      <c r="L76" t="s">
        <v>163</v>
      </c>
      <c r="M76" s="39" t="s">
        <v>253</v>
      </c>
      <c r="N76" t="s">
        <v>161</v>
      </c>
      <c r="Q76" s="39" t="s">
        <v>718</v>
      </c>
      <c r="U76" t="s">
        <v>183</v>
      </c>
      <c r="W76" t="s">
        <v>241</v>
      </c>
      <c r="X76">
        <v>0</v>
      </c>
      <c r="Y76">
        <v>0</v>
      </c>
      <c r="Z76">
        <v>0</v>
      </c>
      <c r="AA76" s="48">
        <v>307.5</v>
      </c>
      <c r="AC76" s="48">
        <v>307.5</v>
      </c>
      <c r="AF76" s="34">
        <f t="shared" si="12"/>
        <v>46424</v>
      </c>
      <c r="AG76" s="34">
        <f t="shared" si="13"/>
        <v>48249</v>
      </c>
      <c r="AH76" t="s">
        <v>185</v>
      </c>
      <c r="AK76">
        <v>16</v>
      </c>
      <c r="AL76">
        <v>112</v>
      </c>
      <c r="AM76">
        <v>10</v>
      </c>
      <c r="AN76" s="48">
        <v>307.5</v>
      </c>
    </row>
    <row r="77" spans="2:40">
      <c r="B77" s="39" t="s">
        <v>254</v>
      </c>
      <c r="C77" t="s">
        <v>168</v>
      </c>
      <c r="D77" t="s">
        <v>164</v>
      </c>
      <c r="E77" t="s">
        <v>83</v>
      </c>
      <c r="F77" s="41">
        <v>46095</v>
      </c>
      <c r="G77" s="34">
        <f t="shared" si="10"/>
        <v>46215</v>
      </c>
      <c r="H77" t="s">
        <v>169</v>
      </c>
      <c r="I77" s="34">
        <f t="shared" si="11"/>
        <v>46215</v>
      </c>
      <c r="J77" t="s">
        <v>161</v>
      </c>
      <c r="K77" t="s">
        <v>162</v>
      </c>
      <c r="L77" t="s">
        <v>163</v>
      </c>
      <c r="M77" s="39" t="s">
        <v>254</v>
      </c>
      <c r="N77" t="s">
        <v>161</v>
      </c>
      <c r="Q77" s="39" t="s">
        <v>718</v>
      </c>
      <c r="U77" t="s">
        <v>183</v>
      </c>
      <c r="W77" t="s">
        <v>241</v>
      </c>
      <c r="X77">
        <v>0</v>
      </c>
      <c r="Y77">
        <v>0</v>
      </c>
      <c r="Z77">
        <v>0</v>
      </c>
      <c r="AA77" s="48">
        <v>307.5</v>
      </c>
      <c r="AC77" s="48">
        <v>307.5</v>
      </c>
      <c r="AF77" s="34">
        <f t="shared" si="12"/>
        <v>46424</v>
      </c>
      <c r="AG77" s="34">
        <f t="shared" si="13"/>
        <v>48249</v>
      </c>
      <c r="AH77" t="s">
        <v>185</v>
      </c>
      <c r="AK77">
        <v>16</v>
      </c>
      <c r="AL77">
        <v>112</v>
      </c>
      <c r="AM77">
        <v>10</v>
      </c>
      <c r="AN77" s="48">
        <v>307.5</v>
      </c>
    </row>
    <row r="78" spans="2:40">
      <c r="B78" s="39" t="s">
        <v>255</v>
      </c>
      <c r="C78" t="s">
        <v>168</v>
      </c>
      <c r="D78" t="s">
        <v>164</v>
      </c>
      <c r="E78" t="s">
        <v>83</v>
      </c>
      <c r="F78" s="41">
        <v>46085</v>
      </c>
      <c r="G78" s="34">
        <f t="shared" si="10"/>
        <v>46205</v>
      </c>
      <c r="H78" t="s">
        <v>169</v>
      </c>
      <c r="I78" s="34">
        <f t="shared" si="11"/>
        <v>46205</v>
      </c>
      <c r="J78" t="s">
        <v>161</v>
      </c>
      <c r="K78" t="s">
        <v>162</v>
      </c>
      <c r="L78" t="s">
        <v>163</v>
      </c>
      <c r="M78" s="39" t="s">
        <v>255</v>
      </c>
      <c r="N78" t="s">
        <v>161</v>
      </c>
      <c r="Q78" s="39" t="s">
        <v>719</v>
      </c>
      <c r="U78" t="s">
        <v>183</v>
      </c>
      <c r="W78" t="s">
        <v>241</v>
      </c>
      <c r="X78">
        <v>0</v>
      </c>
      <c r="Y78">
        <v>0</v>
      </c>
      <c r="Z78">
        <v>0</v>
      </c>
      <c r="AA78" s="48">
        <v>307.5</v>
      </c>
      <c r="AC78" s="48">
        <v>307.5</v>
      </c>
      <c r="AF78" s="34">
        <f t="shared" si="12"/>
        <v>46414</v>
      </c>
      <c r="AG78" s="34">
        <f t="shared" si="13"/>
        <v>48239</v>
      </c>
      <c r="AH78" t="s">
        <v>185</v>
      </c>
      <c r="AK78">
        <v>16</v>
      </c>
      <c r="AL78">
        <v>112</v>
      </c>
      <c r="AM78">
        <v>10</v>
      </c>
      <c r="AN78" s="48">
        <v>307.5</v>
      </c>
    </row>
    <row r="79" spans="2:40">
      <c r="B79" s="39" t="s">
        <v>256</v>
      </c>
      <c r="C79" t="s">
        <v>168</v>
      </c>
      <c r="D79" t="s">
        <v>164</v>
      </c>
      <c r="E79" t="s">
        <v>83</v>
      </c>
      <c r="F79" s="41">
        <v>46085</v>
      </c>
      <c r="G79" s="34">
        <f t="shared" si="10"/>
        <v>46205</v>
      </c>
      <c r="H79" t="s">
        <v>169</v>
      </c>
      <c r="I79" s="34">
        <f t="shared" si="11"/>
        <v>46205</v>
      </c>
      <c r="J79" t="s">
        <v>161</v>
      </c>
      <c r="K79" t="s">
        <v>162</v>
      </c>
      <c r="L79" t="s">
        <v>163</v>
      </c>
      <c r="M79" s="39" t="s">
        <v>256</v>
      </c>
      <c r="N79" t="s">
        <v>161</v>
      </c>
      <c r="Q79" s="39" t="s">
        <v>719</v>
      </c>
      <c r="U79" t="s">
        <v>183</v>
      </c>
      <c r="W79" t="s">
        <v>241</v>
      </c>
      <c r="X79">
        <v>0</v>
      </c>
      <c r="Y79">
        <v>0</v>
      </c>
      <c r="Z79">
        <v>0</v>
      </c>
      <c r="AA79" s="48">
        <v>307.5</v>
      </c>
      <c r="AC79" s="48">
        <v>307.5</v>
      </c>
      <c r="AF79" s="34">
        <f t="shared" si="12"/>
        <v>46414</v>
      </c>
      <c r="AG79" s="34">
        <f t="shared" si="13"/>
        <v>48239</v>
      </c>
      <c r="AH79" t="s">
        <v>185</v>
      </c>
      <c r="AK79">
        <v>16</v>
      </c>
      <c r="AL79">
        <v>112</v>
      </c>
      <c r="AM79">
        <v>10</v>
      </c>
      <c r="AN79" s="48">
        <v>307.5</v>
      </c>
    </row>
    <row r="80" spans="2:40">
      <c r="B80" s="39" t="s">
        <v>257</v>
      </c>
      <c r="C80" t="s">
        <v>168</v>
      </c>
      <c r="D80" t="s">
        <v>164</v>
      </c>
      <c r="E80" t="s">
        <v>83</v>
      </c>
      <c r="F80" s="41">
        <v>46085</v>
      </c>
      <c r="G80" s="34">
        <f t="shared" si="10"/>
        <v>46205</v>
      </c>
      <c r="H80" t="s">
        <v>169</v>
      </c>
      <c r="I80" s="34">
        <f t="shared" si="11"/>
        <v>46205</v>
      </c>
      <c r="J80" t="s">
        <v>161</v>
      </c>
      <c r="K80" t="s">
        <v>162</v>
      </c>
      <c r="L80" t="s">
        <v>163</v>
      </c>
      <c r="M80" s="39" t="s">
        <v>257</v>
      </c>
      <c r="N80" t="s">
        <v>161</v>
      </c>
      <c r="Q80" s="39" t="s">
        <v>719</v>
      </c>
      <c r="U80" t="s">
        <v>183</v>
      </c>
      <c r="W80" t="s">
        <v>241</v>
      </c>
      <c r="X80">
        <v>0</v>
      </c>
      <c r="Y80">
        <v>0</v>
      </c>
      <c r="Z80">
        <v>0</v>
      </c>
      <c r="AA80" s="48">
        <v>307.5</v>
      </c>
      <c r="AC80" s="48">
        <v>307.5</v>
      </c>
      <c r="AF80" s="34">
        <f t="shared" si="12"/>
        <v>46414</v>
      </c>
      <c r="AG80" s="34">
        <f t="shared" si="13"/>
        <v>48239</v>
      </c>
      <c r="AH80" t="s">
        <v>185</v>
      </c>
      <c r="AK80">
        <v>16</v>
      </c>
      <c r="AL80">
        <v>112</v>
      </c>
      <c r="AM80">
        <v>10</v>
      </c>
      <c r="AN80" s="48">
        <v>307.5</v>
      </c>
    </row>
    <row r="81" spans="2:40">
      <c r="B81" s="39" t="s">
        <v>258</v>
      </c>
      <c r="C81" t="s">
        <v>168</v>
      </c>
      <c r="D81" t="s">
        <v>164</v>
      </c>
      <c r="E81" t="s">
        <v>83</v>
      </c>
      <c r="F81" s="41">
        <v>46085</v>
      </c>
      <c r="G81" s="34">
        <f t="shared" si="10"/>
        <v>46205</v>
      </c>
      <c r="H81" t="s">
        <v>169</v>
      </c>
      <c r="I81" s="34">
        <f t="shared" si="11"/>
        <v>46205</v>
      </c>
      <c r="J81" t="s">
        <v>161</v>
      </c>
      <c r="K81" t="s">
        <v>162</v>
      </c>
      <c r="L81" t="s">
        <v>163</v>
      </c>
      <c r="M81" s="39" t="s">
        <v>258</v>
      </c>
      <c r="N81" t="s">
        <v>161</v>
      </c>
      <c r="Q81" s="39" t="s">
        <v>719</v>
      </c>
      <c r="U81" t="s">
        <v>183</v>
      </c>
      <c r="W81" t="s">
        <v>241</v>
      </c>
      <c r="X81">
        <v>0</v>
      </c>
      <c r="Y81">
        <v>0</v>
      </c>
      <c r="Z81">
        <v>0</v>
      </c>
      <c r="AA81" s="48">
        <v>307.5</v>
      </c>
      <c r="AC81" s="48">
        <v>307.5</v>
      </c>
      <c r="AF81" s="34">
        <f t="shared" si="12"/>
        <v>46414</v>
      </c>
      <c r="AG81" s="34">
        <f t="shared" si="13"/>
        <v>48239</v>
      </c>
      <c r="AH81" t="s">
        <v>185</v>
      </c>
      <c r="AK81">
        <v>16</v>
      </c>
      <c r="AL81">
        <v>112</v>
      </c>
      <c r="AM81">
        <v>10</v>
      </c>
      <c r="AN81" s="48">
        <v>307.5</v>
      </c>
    </row>
    <row r="82" spans="2:40">
      <c r="B82" s="39" t="s">
        <v>259</v>
      </c>
      <c r="C82" t="s">
        <v>168</v>
      </c>
      <c r="D82" t="s">
        <v>164</v>
      </c>
      <c r="E82" t="s">
        <v>83</v>
      </c>
      <c r="F82" s="41">
        <v>46085</v>
      </c>
      <c r="G82" s="34">
        <f t="shared" si="10"/>
        <v>46205</v>
      </c>
      <c r="H82" t="s">
        <v>169</v>
      </c>
      <c r="I82" s="34">
        <f t="shared" si="11"/>
        <v>46205</v>
      </c>
      <c r="J82" t="s">
        <v>161</v>
      </c>
      <c r="K82" t="s">
        <v>162</v>
      </c>
      <c r="L82" t="s">
        <v>163</v>
      </c>
      <c r="M82" s="39" t="s">
        <v>259</v>
      </c>
      <c r="N82" t="s">
        <v>161</v>
      </c>
      <c r="Q82" s="39" t="s">
        <v>719</v>
      </c>
      <c r="U82" t="s">
        <v>183</v>
      </c>
      <c r="W82" t="s">
        <v>241</v>
      </c>
      <c r="X82">
        <v>0</v>
      </c>
      <c r="Y82">
        <v>0</v>
      </c>
      <c r="Z82">
        <v>0</v>
      </c>
      <c r="AA82" s="48">
        <v>307.5</v>
      </c>
      <c r="AC82" s="48">
        <v>307.5</v>
      </c>
      <c r="AF82" s="34">
        <f t="shared" si="12"/>
        <v>46414</v>
      </c>
      <c r="AG82" s="34">
        <f t="shared" si="13"/>
        <v>48239</v>
      </c>
      <c r="AH82" t="s">
        <v>185</v>
      </c>
      <c r="AK82">
        <v>16</v>
      </c>
      <c r="AL82">
        <v>112</v>
      </c>
      <c r="AM82">
        <v>10</v>
      </c>
      <c r="AN82" s="48">
        <v>307.5</v>
      </c>
    </row>
    <row r="83" spans="2:40">
      <c r="B83" s="39" t="s">
        <v>260</v>
      </c>
      <c r="C83" t="s">
        <v>168</v>
      </c>
      <c r="D83" t="s">
        <v>164</v>
      </c>
      <c r="E83" t="s">
        <v>83</v>
      </c>
      <c r="F83" s="41">
        <v>46079</v>
      </c>
      <c r="G83" s="34">
        <f t="shared" si="10"/>
        <v>46199</v>
      </c>
      <c r="H83" t="s">
        <v>169</v>
      </c>
      <c r="I83" s="34">
        <f t="shared" si="11"/>
        <v>46199</v>
      </c>
      <c r="J83" t="s">
        <v>161</v>
      </c>
      <c r="K83" t="s">
        <v>162</v>
      </c>
      <c r="L83" t="s">
        <v>163</v>
      </c>
      <c r="M83" s="39" t="s">
        <v>260</v>
      </c>
      <c r="N83" t="s">
        <v>161</v>
      </c>
      <c r="Q83" s="39" t="s">
        <v>720</v>
      </c>
      <c r="U83" t="s">
        <v>183</v>
      </c>
      <c r="W83" t="s">
        <v>241</v>
      </c>
      <c r="X83">
        <v>0</v>
      </c>
      <c r="Y83">
        <v>0</v>
      </c>
      <c r="Z83">
        <v>0</v>
      </c>
      <c r="AA83" s="48">
        <v>307.5</v>
      </c>
      <c r="AC83" s="48">
        <v>307.5</v>
      </c>
      <c r="AF83" s="34">
        <f t="shared" si="12"/>
        <v>46408</v>
      </c>
      <c r="AG83" s="34">
        <f t="shared" si="13"/>
        <v>48233</v>
      </c>
      <c r="AH83" t="s">
        <v>185</v>
      </c>
      <c r="AK83">
        <v>16</v>
      </c>
      <c r="AL83">
        <v>112</v>
      </c>
      <c r="AM83">
        <v>10</v>
      </c>
      <c r="AN83" s="48">
        <v>307.5</v>
      </c>
    </row>
    <row r="84" spans="2:40">
      <c r="B84" s="39" t="s">
        <v>261</v>
      </c>
      <c r="C84" t="s">
        <v>168</v>
      </c>
      <c r="D84" t="s">
        <v>164</v>
      </c>
      <c r="E84" t="s">
        <v>83</v>
      </c>
      <c r="F84" s="41">
        <v>46079</v>
      </c>
      <c r="G84" s="34">
        <f t="shared" si="10"/>
        <v>46199</v>
      </c>
      <c r="H84" t="s">
        <v>169</v>
      </c>
      <c r="I84" s="34">
        <f t="shared" si="11"/>
        <v>46199</v>
      </c>
      <c r="J84" t="s">
        <v>161</v>
      </c>
      <c r="K84" t="s">
        <v>162</v>
      </c>
      <c r="L84" t="s">
        <v>163</v>
      </c>
      <c r="M84" s="39" t="s">
        <v>261</v>
      </c>
      <c r="N84" t="s">
        <v>161</v>
      </c>
      <c r="Q84" s="39" t="s">
        <v>720</v>
      </c>
      <c r="U84" t="s">
        <v>183</v>
      </c>
      <c r="W84" t="s">
        <v>241</v>
      </c>
      <c r="X84">
        <v>0</v>
      </c>
      <c r="Y84">
        <v>0</v>
      </c>
      <c r="Z84">
        <v>0</v>
      </c>
      <c r="AA84" s="48">
        <v>307.5</v>
      </c>
      <c r="AC84" s="48">
        <v>307.5</v>
      </c>
      <c r="AF84" s="34">
        <f t="shared" si="12"/>
        <v>46408</v>
      </c>
      <c r="AG84" s="34">
        <f t="shared" si="13"/>
        <v>48233</v>
      </c>
      <c r="AH84" t="s">
        <v>185</v>
      </c>
      <c r="AK84">
        <v>16</v>
      </c>
      <c r="AL84">
        <v>112</v>
      </c>
      <c r="AM84">
        <v>10</v>
      </c>
      <c r="AN84" s="48">
        <v>307.5</v>
      </c>
    </row>
    <row r="85" spans="2:40">
      <c r="B85" s="39" t="s">
        <v>262</v>
      </c>
      <c r="C85" t="s">
        <v>168</v>
      </c>
      <c r="D85" t="s">
        <v>164</v>
      </c>
      <c r="E85" t="s">
        <v>83</v>
      </c>
      <c r="F85" s="41">
        <v>46079</v>
      </c>
      <c r="G85" s="34">
        <f t="shared" si="10"/>
        <v>46199</v>
      </c>
      <c r="H85" t="s">
        <v>169</v>
      </c>
      <c r="I85" s="34">
        <f t="shared" si="11"/>
        <v>46199</v>
      </c>
      <c r="J85" t="s">
        <v>161</v>
      </c>
      <c r="K85" t="s">
        <v>162</v>
      </c>
      <c r="L85" t="s">
        <v>163</v>
      </c>
      <c r="M85" s="39" t="s">
        <v>262</v>
      </c>
      <c r="N85" t="s">
        <v>161</v>
      </c>
      <c r="Q85" s="39" t="s">
        <v>720</v>
      </c>
      <c r="U85" t="s">
        <v>183</v>
      </c>
      <c r="W85" t="s">
        <v>241</v>
      </c>
      <c r="X85">
        <v>0</v>
      </c>
      <c r="Y85">
        <v>0</v>
      </c>
      <c r="Z85">
        <v>0</v>
      </c>
      <c r="AA85" s="48">
        <v>307.5</v>
      </c>
      <c r="AC85" s="48">
        <v>307.5</v>
      </c>
      <c r="AF85" s="34">
        <f t="shared" si="12"/>
        <v>46408</v>
      </c>
      <c r="AG85" s="34">
        <f t="shared" si="13"/>
        <v>48233</v>
      </c>
      <c r="AH85" t="s">
        <v>185</v>
      </c>
      <c r="AK85">
        <v>16</v>
      </c>
      <c r="AL85">
        <v>112</v>
      </c>
      <c r="AM85">
        <v>10</v>
      </c>
      <c r="AN85" s="48">
        <v>307.5</v>
      </c>
    </row>
    <row r="86" spans="2:40">
      <c r="B86" s="39" t="s">
        <v>263</v>
      </c>
      <c r="C86" t="s">
        <v>168</v>
      </c>
      <c r="D86" t="s">
        <v>164</v>
      </c>
      <c r="E86" t="s">
        <v>83</v>
      </c>
      <c r="F86" s="41">
        <v>46079</v>
      </c>
      <c r="G86" s="34">
        <f t="shared" si="10"/>
        <v>46199</v>
      </c>
      <c r="H86" t="s">
        <v>169</v>
      </c>
      <c r="I86" s="34">
        <f t="shared" si="11"/>
        <v>46199</v>
      </c>
      <c r="J86" t="s">
        <v>161</v>
      </c>
      <c r="K86" t="s">
        <v>162</v>
      </c>
      <c r="L86" t="s">
        <v>163</v>
      </c>
      <c r="M86" s="39" t="s">
        <v>263</v>
      </c>
      <c r="N86" t="s">
        <v>161</v>
      </c>
      <c r="Q86" s="39" t="s">
        <v>720</v>
      </c>
      <c r="U86" t="s">
        <v>183</v>
      </c>
      <c r="W86" t="s">
        <v>241</v>
      </c>
      <c r="X86">
        <v>0</v>
      </c>
      <c r="Y86">
        <v>0</v>
      </c>
      <c r="Z86">
        <v>0</v>
      </c>
      <c r="AA86" s="48">
        <v>307.5</v>
      </c>
      <c r="AC86" s="48">
        <v>307.5</v>
      </c>
      <c r="AF86" s="34">
        <f t="shared" si="12"/>
        <v>46408</v>
      </c>
      <c r="AG86" s="34">
        <f t="shared" si="13"/>
        <v>48233</v>
      </c>
      <c r="AH86" t="s">
        <v>185</v>
      </c>
      <c r="AK86">
        <v>16</v>
      </c>
      <c r="AL86">
        <v>112</v>
      </c>
      <c r="AM86">
        <v>10</v>
      </c>
      <c r="AN86" s="48">
        <v>307.5</v>
      </c>
    </row>
    <row r="87" spans="2:40">
      <c r="B87" s="39" t="s">
        <v>264</v>
      </c>
      <c r="C87" t="s">
        <v>168</v>
      </c>
      <c r="D87" t="s">
        <v>164</v>
      </c>
      <c r="E87" t="s">
        <v>83</v>
      </c>
      <c r="F87" s="41">
        <v>46079</v>
      </c>
      <c r="G87" s="34">
        <f t="shared" si="10"/>
        <v>46199</v>
      </c>
      <c r="H87" t="s">
        <v>169</v>
      </c>
      <c r="I87" s="34">
        <f t="shared" si="11"/>
        <v>46199</v>
      </c>
      <c r="J87" t="s">
        <v>161</v>
      </c>
      <c r="K87" t="s">
        <v>162</v>
      </c>
      <c r="L87" t="s">
        <v>163</v>
      </c>
      <c r="M87" s="39" t="s">
        <v>264</v>
      </c>
      <c r="N87" t="s">
        <v>161</v>
      </c>
      <c r="Q87" s="39" t="s">
        <v>720</v>
      </c>
      <c r="U87" t="s">
        <v>183</v>
      </c>
      <c r="W87" t="s">
        <v>241</v>
      </c>
      <c r="X87">
        <v>0</v>
      </c>
      <c r="Y87">
        <v>0</v>
      </c>
      <c r="Z87">
        <v>0</v>
      </c>
      <c r="AA87" s="48">
        <v>307.5</v>
      </c>
      <c r="AC87" s="48">
        <v>307.5</v>
      </c>
      <c r="AF87" s="34">
        <f t="shared" si="12"/>
        <v>46408</v>
      </c>
      <c r="AG87" s="34">
        <f t="shared" si="13"/>
        <v>48233</v>
      </c>
      <c r="AH87" t="s">
        <v>185</v>
      </c>
      <c r="AK87">
        <v>16</v>
      </c>
      <c r="AL87">
        <v>112</v>
      </c>
      <c r="AM87">
        <v>10</v>
      </c>
      <c r="AN87" s="48">
        <v>307.5</v>
      </c>
    </row>
    <row r="88" spans="2:40">
      <c r="B88" s="39" t="s">
        <v>265</v>
      </c>
      <c r="C88" t="s">
        <v>168</v>
      </c>
      <c r="D88" t="s">
        <v>164</v>
      </c>
      <c r="E88" t="s">
        <v>83</v>
      </c>
      <c r="F88" s="41">
        <v>46072</v>
      </c>
      <c r="G88" s="34">
        <f t="shared" si="10"/>
        <v>46192</v>
      </c>
      <c r="H88" t="s">
        <v>169</v>
      </c>
      <c r="I88" s="34">
        <f t="shared" si="11"/>
        <v>46192</v>
      </c>
      <c r="J88" t="s">
        <v>161</v>
      </c>
      <c r="K88" t="s">
        <v>162</v>
      </c>
      <c r="L88" t="s">
        <v>163</v>
      </c>
      <c r="M88" s="39" t="s">
        <v>265</v>
      </c>
      <c r="N88" t="s">
        <v>161</v>
      </c>
      <c r="Q88" s="39" t="s">
        <v>721</v>
      </c>
      <c r="U88" t="s">
        <v>183</v>
      </c>
      <c r="W88" t="s">
        <v>241</v>
      </c>
      <c r="X88">
        <v>0</v>
      </c>
      <c r="Y88">
        <v>0</v>
      </c>
      <c r="Z88">
        <v>0</v>
      </c>
      <c r="AA88" s="48">
        <v>307.5</v>
      </c>
      <c r="AC88" s="48">
        <v>307.5</v>
      </c>
      <c r="AF88" s="34">
        <f t="shared" si="12"/>
        <v>46401</v>
      </c>
      <c r="AG88" s="34">
        <f t="shared" si="13"/>
        <v>48226</v>
      </c>
      <c r="AH88" t="s">
        <v>185</v>
      </c>
      <c r="AK88">
        <v>16</v>
      </c>
      <c r="AL88">
        <v>112</v>
      </c>
      <c r="AM88">
        <v>10</v>
      </c>
      <c r="AN88" s="48">
        <v>307.5</v>
      </c>
    </row>
    <row r="89" spans="2:40">
      <c r="B89" s="39" t="s">
        <v>266</v>
      </c>
      <c r="C89" t="s">
        <v>168</v>
      </c>
      <c r="D89" t="s">
        <v>164</v>
      </c>
      <c r="E89" t="s">
        <v>83</v>
      </c>
      <c r="F89" s="41">
        <v>46072</v>
      </c>
      <c r="G89" s="34">
        <f t="shared" si="10"/>
        <v>46192</v>
      </c>
      <c r="H89" t="s">
        <v>169</v>
      </c>
      <c r="I89" s="34">
        <f t="shared" si="11"/>
        <v>46192</v>
      </c>
      <c r="J89" t="s">
        <v>161</v>
      </c>
      <c r="K89" t="s">
        <v>162</v>
      </c>
      <c r="L89" t="s">
        <v>163</v>
      </c>
      <c r="M89" s="39" t="s">
        <v>266</v>
      </c>
      <c r="N89" t="s">
        <v>161</v>
      </c>
      <c r="Q89" s="39" t="s">
        <v>721</v>
      </c>
      <c r="U89" t="s">
        <v>183</v>
      </c>
      <c r="W89" t="s">
        <v>241</v>
      </c>
      <c r="X89">
        <v>0</v>
      </c>
      <c r="Y89">
        <v>0</v>
      </c>
      <c r="Z89">
        <v>0</v>
      </c>
      <c r="AA89" s="48">
        <v>307.5</v>
      </c>
      <c r="AC89" s="48">
        <v>307.5</v>
      </c>
      <c r="AF89" s="34">
        <f t="shared" si="12"/>
        <v>46401</v>
      </c>
      <c r="AG89" s="34">
        <f t="shared" si="13"/>
        <v>48226</v>
      </c>
      <c r="AH89" t="s">
        <v>185</v>
      </c>
      <c r="AK89">
        <v>16</v>
      </c>
      <c r="AL89">
        <v>112</v>
      </c>
      <c r="AM89">
        <v>10</v>
      </c>
      <c r="AN89" s="48">
        <v>307.5</v>
      </c>
    </row>
    <row r="90" spans="2:40">
      <c r="B90" s="39" t="s">
        <v>267</v>
      </c>
      <c r="C90" t="s">
        <v>168</v>
      </c>
      <c r="D90" t="s">
        <v>164</v>
      </c>
      <c r="E90" t="s">
        <v>83</v>
      </c>
      <c r="F90" s="41">
        <v>46072</v>
      </c>
      <c r="G90" s="34">
        <f t="shared" si="10"/>
        <v>46192</v>
      </c>
      <c r="H90" t="s">
        <v>169</v>
      </c>
      <c r="I90" s="34">
        <f t="shared" si="11"/>
        <v>46192</v>
      </c>
      <c r="J90" t="s">
        <v>161</v>
      </c>
      <c r="K90" t="s">
        <v>162</v>
      </c>
      <c r="L90" t="s">
        <v>163</v>
      </c>
      <c r="M90" s="39" t="s">
        <v>267</v>
      </c>
      <c r="N90" t="s">
        <v>161</v>
      </c>
      <c r="Q90" s="39" t="s">
        <v>721</v>
      </c>
      <c r="U90" t="s">
        <v>183</v>
      </c>
      <c r="W90" t="s">
        <v>241</v>
      </c>
      <c r="X90">
        <v>0</v>
      </c>
      <c r="Y90">
        <v>0</v>
      </c>
      <c r="Z90">
        <v>0</v>
      </c>
      <c r="AA90" s="48">
        <v>307.5</v>
      </c>
      <c r="AC90" s="48">
        <v>307.5</v>
      </c>
      <c r="AF90" s="34">
        <f t="shared" si="12"/>
        <v>46401</v>
      </c>
      <c r="AG90" s="34">
        <f t="shared" si="13"/>
        <v>48226</v>
      </c>
      <c r="AH90" t="s">
        <v>185</v>
      </c>
      <c r="AK90">
        <v>16</v>
      </c>
      <c r="AL90">
        <v>112</v>
      </c>
      <c r="AM90">
        <v>10</v>
      </c>
      <c r="AN90" s="48">
        <v>307.5</v>
      </c>
    </row>
    <row r="91" spans="2:40">
      <c r="B91" s="39" t="s">
        <v>268</v>
      </c>
      <c r="C91" t="s">
        <v>168</v>
      </c>
      <c r="D91" t="s">
        <v>164</v>
      </c>
      <c r="E91" t="s">
        <v>83</v>
      </c>
      <c r="F91" s="41">
        <v>46072</v>
      </c>
      <c r="G91" s="34">
        <f t="shared" si="10"/>
        <v>46192</v>
      </c>
      <c r="H91" t="s">
        <v>169</v>
      </c>
      <c r="I91" s="34">
        <f t="shared" si="11"/>
        <v>46192</v>
      </c>
      <c r="J91" t="s">
        <v>161</v>
      </c>
      <c r="K91" t="s">
        <v>162</v>
      </c>
      <c r="L91" t="s">
        <v>163</v>
      </c>
      <c r="M91" s="39" t="s">
        <v>268</v>
      </c>
      <c r="N91" t="s">
        <v>161</v>
      </c>
      <c r="Q91" s="39" t="s">
        <v>721</v>
      </c>
      <c r="U91" t="s">
        <v>183</v>
      </c>
      <c r="W91" t="s">
        <v>241</v>
      </c>
      <c r="X91">
        <v>0</v>
      </c>
      <c r="Y91">
        <v>0</v>
      </c>
      <c r="Z91">
        <v>0</v>
      </c>
      <c r="AA91" s="48">
        <v>307.5</v>
      </c>
      <c r="AC91" s="48">
        <v>307.5</v>
      </c>
      <c r="AF91" s="34">
        <f t="shared" si="12"/>
        <v>46401</v>
      </c>
      <c r="AG91" s="34">
        <f t="shared" si="13"/>
        <v>48226</v>
      </c>
      <c r="AH91" t="s">
        <v>185</v>
      </c>
      <c r="AK91">
        <v>16</v>
      </c>
      <c r="AL91">
        <v>112</v>
      </c>
      <c r="AM91">
        <v>10</v>
      </c>
      <c r="AN91" s="48">
        <v>307.5</v>
      </c>
    </row>
    <row r="92" spans="2:40">
      <c r="B92" s="39" t="s">
        <v>269</v>
      </c>
      <c r="C92" t="s">
        <v>168</v>
      </c>
      <c r="D92" t="s">
        <v>164</v>
      </c>
      <c r="E92" t="s">
        <v>83</v>
      </c>
      <c r="F92" s="41">
        <v>46072</v>
      </c>
      <c r="G92" s="34">
        <f t="shared" si="10"/>
        <v>46192</v>
      </c>
      <c r="H92" t="s">
        <v>169</v>
      </c>
      <c r="I92" s="34">
        <f t="shared" si="11"/>
        <v>46192</v>
      </c>
      <c r="J92" t="s">
        <v>161</v>
      </c>
      <c r="K92" t="s">
        <v>162</v>
      </c>
      <c r="L92" t="s">
        <v>163</v>
      </c>
      <c r="M92" s="39" t="s">
        <v>269</v>
      </c>
      <c r="N92" t="s">
        <v>161</v>
      </c>
      <c r="Q92" s="39" t="s">
        <v>721</v>
      </c>
      <c r="U92" t="s">
        <v>183</v>
      </c>
      <c r="W92" t="s">
        <v>241</v>
      </c>
      <c r="X92">
        <v>0</v>
      </c>
      <c r="Y92">
        <v>0</v>
      </c>
      <c r="Z92">
        <v>0</v>
      </c>
      <c r="AA92" s="48">
        <v>307.5</v>
      </c>
      <c r="AC92" s="48">
        <v>307.5</v>
      </c>
      <c r="AF92" s="34">
        <f t="shared" si="12"/>
        <v>46401</v>
      </c>
      <c r="AG92" s="34">
        <f t="shared" si="13"/>
        <v>48226</v>
      </c>
      <c r="AH92" t="s">
        <v>185</v>
      </c>
      <c r="AK92">
        <v>16</v>
      </c>
      <c r="AL92">
        <v>112</v>
      </c>
      <c r="AM92">
        <v>10</v>
      </c>
      <c r="AN92" s="48">
        <v>307.5</v>
      </c>
    </row>
    <row r="93" spans="2:40">
      <c r="B93" s="39" t="s">
        <v>270</v>
      </c>
      <c r="C93" t="s">
        <v>168</v>
      </c>
      <c r="D93" t="s">
        <v>164</v>
      </c>
      <c r="E93" t="s">
        <v>83</v>
      </c>
      <c r="F93" s="41">
        <v>46065</v>
      </c>
      <c r="G93" s="34">
        <f t="shared" si="10"/>
        <v>46185</v>
      </c>
      <c r="H93" t="s">
        <v>169</v>
      </c>
      <c r="I93" s="34">
        <f t="shared" si="11"/>
        <v>46185</v>
      </c>
      <c r="J93" t="s">
        <v>161</v>
      </c>
      <c r="K93" t="s">
        <v>162</v>
      </c>
      <c r="L93" t="s">
        <v>163</v>
      </c>
      <c r="M93" s="39" t="s">
        <v>270</v>
      </c>
      <c r="N93" t="s">
        <v>161</v>
      </c>
      <c r="Q93" s="39" t="s">
        <v>722</v>
      </c>
      <c r="U93" t="s">
        <v>183</v>
      </c>
      <c r="W93" t="s">
        <v>241</v>
      </c>
      <c r="X93">
        <v>0</v>
      </c>
      <c r="Y93">
        <v>0</v>
      </c>
      <c r="Z93">
        <v>0</v>
      </c>
      <c r="AA93" s="48">
        <v>307.5</v>
      </c>
      <c r="AC93" s="48">
        <v>307.5</v>
      </c>
      <c r="AF93" s="34">
        <f t="shared" si="12"/>
        <v>46394</v>
      </c>
      <c r="AG93" s="34">
        <f t="shared" si="13"/>
        <v>48219</v>
      </c>
      <c r="AH93" t="s">
        <v>185</v>
      </c>
      <c r="AK93">
        <v>16</v>
      </c>
      <c r="AL93">
        <v>112</v>
      </c>
      <c r="AM93">
        <v>10</v>
      </c>
      <c r="AN93" s="48">
        <v>307.5</v>
      </c>
    </row>
    <row r="94" spans="2:40">
      <c r="B94" s="39" t="s">
        <v>271</v>
      </c>
      <c r="C94" t="s">
        <v>168</v>
      </c>
      <c r="D94" t="s">
        <v>164</v>
      </c>
      <c r="E94" t="s">
        <v>83</v>
      </c>
      <c r="F94" s="41">
        <v>46065</v>
      </c>
      <c r="G94" s="34">
        <f t="shared" si="10"/>
        <v>46185</v>
      </c>
      <c r="H94" t="s">
        <v>169</v>
      </c>
      <c r="I94" s="34">
        <f t="shared" si="11"/>
        <v>46185</v>
      </c>
      <c r="J94" t="s">
        <v>161</v>
      </c>
      <c r="K94" t="s">
        <v>162</v>
      </c>
      <c r="L94" t="s">
        <v>163</v>
      </c>
      <c r="M94" s="39" t="s">
        <v>271</v>
      </c>
      <c r="N94" t="s">
        <v>161</v>
      </c>
      <c r="Q94" s="39" t="s">
        <v>722</v>
      </c>
      <c r="U94" t="s">
        <v>183</v>
      </c>
      <c r="W94" t="s">
        <v>241</v>
      </c>
      <c r="X94">
        <v>0</v>
      </c>
      <c r="Y94">
        <v>0</v>
      </c>
      <c r="Z94">
        <v>0</v>
      </c>
      <c r="AA94" s="48">
        <v>307.5</v>
      </c>
      <c r="AC94" s="48">
        <v>307.5</v>
      </c>
      <c r="AF94" s="34">
        <f t="shared" si="12"/>
        <v>46394</v>
      </c>
      <c r="AG94" s="34">
        <f t="shared" si="13"/>
        <v>48219</v>
      </c>
      <c r="AH94" t="s">
        <v>185</v>
      </c>
      <c r="AK94">
        <v>16</v>
      </c>
      <c r="AL94">
        <v>112</v>
      </c>
      <c r="AM94">
        <v>10</v>
      </c>
      <c r="AN94" s="48">
        <v>307.5</v>
      </c>
    </row>
    <row r="95" spans="2:40">
      <c r="B95" s="39" t="s">
        <v>272</v>
      </c>
      <c r="C95" t="s">
        <v>168</v>
      </c>
      <c r="D95" t="s">
        <v>164</v>
      </c>
      <c r="E95" t="s">
        <v>83</v>
      </c>
      <c r="F95" s="41">
        <v>46065</v>
      </c>
      <c r="G95" s="34">
        <f t="shared" si="10"/>
        <v>46185</v>
      </c>
      <c r="H95" t="s">
        <v>169</v>
      </c>
      <c r="I95" s="34">
        <f t="shared" si="11"/>
        <v>46185</v>
      </c>
      <c r="J95" t="s">
        <v>161</v>
      </c>
      <c r="K95" t="s">
        <v>162</v>
      </c>
      <c r="L95" t="s">
        <v>163</v>
      </c>
      <c r="M95" s="39" t="s">
        <v>272</v>
      </c>
      <c r="N95" t="s">
        <v>161</v>
      </c>
      <c r="Q95" s="39" t="s">
        <v>722</v>
      </c>
      <c r="U95" t="s">
        <v>183</v>
      </c>
      <c r="W95" t="s">
        <v>241</v>
      </c>
      <c r="X95">
        <v>0</v>
      </c>
      <c r="Y95">
        <v>0</v>
      </c>
      <c r="Z95">
        <v>0</v>
      </c>
      <c r="AA95" s="48">
        <v>307.5</v>
      </c>
      <c r="AC95" s="48">
        <v>307.5</v>
      </c>
      <c r="AF95" s="34">
        <f t="shared" si="12"/>
        <v>46394</v>
      </c>
      <c r="AG95" s="34">
        <f t="shared" si="13"/>
        <v>48219</v>
      </c>
      <c r="AH95" t="s">
        <v>185</v>
      </c>
      <c r="AK95">
        <v>16</v>
      </c>
      <c r="AL95">
        <v>112</v>
      </c>
      <c r="AM95">
        <v>10</v>
      </c>
      <c r="AN95" s="48">
        <v>307.5</v>
      </c>
    </row>
    <row r="96" spans="2:40">
      <c r="B96" s="39" t="s">
        <v>273</v>
      </c>
      <c r="C96" t="s">
        <v>168</v>
      </c>
      <c r="D96" t="s">
        <v>164</v>
      </c>
      <c r="E96" t="s">
        <v>83</v>
      </c>
      <c r="F96" s="41">
        <v>46065</v>
      </c>
      <c r="G96" s="34">
        <f t="shared" si="10"/>
        <v>46185</v>
      </c>
      <c r="H96" t="s">
        <v>169</v>
      </c>
      <c r="I96" s="34">
        <f t="shared" si="11"/>
        <v>46185</v>
      </c>
      <c r="J96" t="s">
        <v>161</v>
      </c>
      <c r="K96" t="s">
        <v>162</v>
      </c>
      <c r="L96" t="s">
        <v>163</v>
      </c>
      <c r="M96" s="39" t="s">
        <v>273</v>
      </c>
      <c r="N96" t="s">
        <v>161</v>
      </c>
      <c r="Q96" s="39" t="s">
        <v>722</v>
      </c>
      <c r="U96" t="s">
        <v>183</v>
      </c>
      <c r="W96" t="s">
        <v>241</v>
      </c>
      <c r="X96">
        <v>0</v>
      </c>
      <c r="Y96">
        <v>0</v>
      </c>
      <c r="Z96">
        <v>0</v>
      </c>
      <c r="AA96" s="48">
        <v>307.5</v>
      </c>
      <c r="AC96" s="48">
        <v>307.5</v>
      </c>
      <c r="AF96" s="34">
        <f t="shared" si="12"/>
        <v>46394</v>
      </c>
      <c r="AG96" s="34">
        <f t="shared" si="13"/>
        <v>48219</v>
      </c>
      <c r="AH96" t="s">
        <v>185</v>
      </c>
      <c r="AK96">
        <v>16</v>
      </c>
      <c r="AL96">
        <v>112</v>
      </c>
      <c r="AM96">
        <v>10</v>
      </c>
      <c r="AN96" s="48">
        <v>307.5</v>
      </c>
    </row>
    <row r="97" spans="2:40">
      <c r="B97" s="39" t="s">
        <v>274</v>
      </c>
      <c r="C97" t="s">
        <v>168</v>
      </c>
      <c r="D97" t="s">
        <v>164</v>
      </c>
      <c r="E97" t="s">
        <v>83</v>
      </c>
      <c r="F97" s="41">
        <v>46065</v>
      </c>
      <c r="G97" s="34">
        <f t="shared" si="10"/>
        <v>46185</v>
      </c>
      <c r="H97" t="s">
        <v>169</v>
      </c>
      <c r="I97" s="34">
        <f t="shared" si="11"/>
        <v>46185</v>
      </c>
      <c r="J97" t="s">
        <v>161</v>
      </c>
      <c r="K97" t="s">
        <v>162</v>
      </c>
      <c r="L97" t="s">
        <v>163</v>
      </c>
      <c r="M97" s="39" t="s">
        <v>274</v>
      </c>
      <c r="N97" t="s">
        <v>161</v>
      </c>
      <c r="Q97" s="39" t="s">
        <v>722</v>
      </c>
      <c r="U97" t="s">
        <v>183</v>
      </c>
      <c r="W97" t="s">
        <v>241</v>
      </c>
      <c r="X97">
        <v>0</v>
      </c>
      <c r="Y97">
        <v>0</v>
      </c>
      <c r="Z97">
        <v>0</v>
      </c>
      <c r="AA97" s="48">
        <v>307.5</v>
      </c>
      <c r="AC97" s="48">
        <v>307.5</v>
      </c>
      <c r="AF97" s="34">
        <f t="shared" si="12"/>
        <v>46394</v>
      </c>
      <c r="AG97" s="34">
        <f t="shared" si="13"/>
        <v>48219</v>
      </c>
      <c r="AH97" t="s">
        <v>185</v>
      </c>
      <c r="AK97">
        <v>16</v>
      </c>
      <c r="AL97">
        <v>112</v>
      </c>
      <c r="AM97">
        <v>10</v>
      </c>
      <c r="AN97" s="48">
        <v>307.5</v>
      </c>
    </row>
    <row r="98" spans="2:40">
      <c r="B98" s="39" t="s">
        <v>275</v>
      </c>
      <c r="C98" t="s">
        <v>168</v>
      </c>
      <c r="D98" t="s">
        <v>164</v>
      </c>
      <c r="E98" t="s">
        <v>83</v>
      </c>
      <c r="F98" s="41">
        <v>46051</v>
      </c>
      <c r="G98" s="34">
        <f t="shared" si="10"/>
        <v>46171</v>
      </c>
      <c r="H98" t="s">
        <v>169</v>
      </c>
      <c r="I98" s="34">
        <f t="shared" si="11"/>
        <v>46171</v>
      </c>
      <c r="J98" t="s">
        <v>161</v>
      </c>
      <c r="K98" t="s">
        <v>162</v>
      </c>
      <c r="L98" t="s">
        <v>163</v>
      </c>
      <c r="M98" s="39" t="s">
        <v>275</v>
      </c>
      <c r="N98" t="s">
        <v>161</v>
      </c>
      <c r="Q98" s="39" t="s">
        <v>723</v>
      </c>
      <c r="U98" t="s">
        <v>183</v>
      </c>
      <c r="W98" t="s">
        <v>241</v>
      </c>
      <c r="X98">
        <v>0</v>
      </c>
      <c r="Y98">
        <v>0</v>
      </c>
      <c r="Z98">
        <v>0</v>
      </c>
      <c r="AA98" s="48">
        <v>307.5</v>
      </c>
      <c r="AC98" s="48">
        <v>307.5</v>
      </c>
      <c r="AF98" s="34">
        <f t="shared" si="12"/>
        <v>46380</v>
      </c>
      <c r="AG98" s="34">
        <f t="shared" si="13"/>
        <v>48205</v>
      </c>
      <c r="AH98" t="s">
        <v>185</v>
      </c>
      <c r="AK98">
        <v>16</v>
      </c>
      <c r="AL98">
        <v>112</v>
      </c>
      <c r="AM98">
        <v>10</v>
      </c>
      <c r="AN98" s="48">
        <v>307.5</v>
      </c>
    </row>
    <row r="99" spans="2:40">
      <c r="B99" s="39" t="s">
        <v>276</v>
      </c>
      <c r="C99" t="s">
        <v>168</v>
      </c>
      <c r="D99" t="s">
        <v>164</v>
      </c>
      <c r="E99" t="s">
        <v>83</v>
      </c>
      <c r="F99" s="41">
        <v>46052</v>
      </c>
      <c r="G99" s="34">
        <f t="shared" si="10"/>
        <v>46172</v>
      </c>
      <c r="H99" t="s">
        <v>169</v>
      </c>
      <c r="I99" s="34">
        <f t="shared" si="11"/>
        <v>46172</v>
      </c>
      <c r="J99" t="s">
        <v>161</v>
      </c>
      <c r="K99" t="s">
        <v>162</v>
      </c>
      <c r="L99" t="s">
        <v>163</v>
      </c>
      <c r="M99" s="39" t="s">
        <v>276</v>
      </c>
      <c r="N99" t="s">
        <v>161</v>
      </c>
      <c r="Q99" s="39" t="s">
        <v>724</v>
      </c>
      <c r="U99" t="s">
        <v>183</v>
      </c>
      <c r="W99" t="s">
        <v>241</v>
      </c>
      <c r="X99">
        <v>0</v>
      </c>
      <c r="Y99">
        <v>0</v>
      </c>
      <c r="Z99">
        <v>0</v>
      </c>
      <c r="AA99" s="48">
        <v>307.5</v>
      </c>
      <c r="AC99" s="48">
        <v>307.5</v>
      </c>
      <c r="AF99" s="34">
        <f t="shared" si="12"/>
        <v>46381</v>
      </c>
      <c r="AG99" s="34">
        <f t="shared" si="13"/>
        <v>48206</v>
      </c>
      <c r="AH99" t="s">
        <v>185</v>
      </c>
      <c r="AK99">
        <v>16</v>
      </c>
      <c r="AL99">
        <v>112</v>
      </c>
      <c r="AM99">
        <v>10</v>
      </c>
      <c r="AN99" s="48">
        <v>307.5</v>
      </c>
    </row>
    <row r="100" spans="2:40">
      <c r="B100" s="39" t="s">
        <v>277</v>
      </c>
      <c r="C100" t="s">
        <v>168</v>
      </c>
      <c r="D100" t="s">
        <v>164</v>
      </c>
      <c r="E100" t="s">
        <v>83</v>
      </c>
      <c r="F100" s="41">
        <v>46052</v>
      </c>
      <c r="G100" s="34">
        <f t="shared" si="10"/>
        <v>46172</v>
      </c>
      <c r="H100" t="s">
        <v>169</v>
      </c>
      <c r="I100" s="34">
        <f t="shared" si="11"/>
        <v>46172</v>
      </c>
      <c r="J100" t="s">
        <v>161</v>
      </c>
      <c r="K100" t="s">
        <v>162</v>
      </c>
      <c r="L100" t="s">
        <v>163</v>
      </c>
      <c r="M100" s="39" t="s">
        <v>277</v>
      </c>
      <c r="N100" t="s">
        <v>161</v>
      </c>
      <c r="Q100" s="39" t="s">
        <v>724</v>
      </c>
      <c r="U100" t="s">
        <v>183</v>
      </c>
      <c r="W100" t="s">
        <v>241</v>
      </c>
      <c r="X100">
        <v>0</v>
      </c>
      <c r="Y100">
        <v>0</v>
      </c>
      <c r="Z100">
        <v>0</v>
      </c>
      <c r="AA100" s="48">
        <v>307.5</v>
      </c>
      <c r="AC100" s="48">
        <v>307.5</v>
      </c>
      <c r="AF100" s="34">
        <f t="shared" si="12"/>
        <v>46381</v>
      </c>
      <c r="AG100" s="34">
        <f t="shared" si="13"/>
        <v>48206</v>
      </c>
      <c r="AH100" t="s">
        <v>185</v>
      </c>
      <c r="AK100">
        <v>16</v>
      </c>
      <c r="AL100">
        <v>112</v>
      </c>
      <c r="AM100">
        <v>10</v>
      </c>
      <c r="AN100" s="48">
        <v>307.5</v>
      </c>
    </row>
    <row r="101" spans="2:40">
      <c r="B101" s="39" t="s">
        <v>278</v>
      </c>
      <c r="C101" t="s">
        <v>168</v>
      </c>
      <c r="D101" t="s">
        <v>164</v>
      </c>
      <c r="E101" t="s">
        <v>83</v>
      </c>
      <c r="F101" s="41">
        <v>46052</v>
      </c>
      <c r="G101" s="34">
        <f t="shared" si="10"/>
        <v>46172</v>
      </c>
      <c r="H101" t="s">
        <v>169</v>
      </c>
      <c r="I101" s="34">
        <f t="shared" si="11"/>
        <v>46172</v>
      </c>
      <c r="J101" t="s">
        <v>161</v>
      </c>
      <c r="K101" t="s">
        <v>162</v>
      </c>
      <c r="L101" t="s">
        <v>163</v>
      </c>
      <c r="M101" s="39" t="s">
        <v>278</v>
      </c>
      <c r="N101" t="s">
        <v>161</v>
      </c>
      <c r="Q101" s="39" t="s">
        <v>724</v>
      </c>
      <c r="U101" t="s">
        <v>183</v>
      </c>
      <c r="W101" t="s">
        <v>241</v>
      </c>
      <c r="X101">
        <v>0</v>
      </c>
      <c r="Y101">
        <v>0</v>
      </c>
      <c r="Z101">
        <v>0</v>
      </c>
      <c r="AA101" s="48">
        <v>307.5</v>
      </c>
      <c r="AC101" s="48">
        <v>307.5</v>
      </c>
      <c r="AF101" s="34">
        <f t="shared" si="12"/>
        <v>46381</v>
      </c>
      <c r="AG101" s="34">
        <f t="shared" si="13"/>
        <v>48206</v>
      </c>
      <c r="AH101" t="s">
        <v>185</v>
      </c>
      <c r="AK101">
        <v>16</v>
      </c>
      <c r="AL101">
        <v>112</v>
      </c>
      <c r="AM101">
        <v>10</v>
      </c>
      <c r="AN101" s="48">
        <v>307.5</v>
      </c>
    </row>
    <row r="102" spans="2:40">
      <c r="B102" s="39" t="s">
        <v>279</v>
      </c>
      <c r="C102" t="s">
        <v>168</v>
      </c>
      <c r="D102" t="s">
        <v>164</v>
      </c>
      <c r="E102" t="s">
        <v>83</v>
      </c>
      <c r="F102" s="41">
        <v>46052</v>
      </c>
      <c r="G102" s="34">
        <f t="shared" si="10"/>
        <v>46172</v>
      </c>
      <c r="H102" t="s">
        <v>169</v>
      </c>
      <c r="I102" s="34">
        <f t="shared" si="11"/>
        <v>46172</v>
      </c>
      <c r="J102" t="s">
        <v>161</v>
      </c>
      <c r="K102" t="s">
        <v>162</v>
      </c>
      <c r="L102" t="s">
        <v>163</v>
      </c>
      <c r="M102" s="39" t="s">
        <v>279</v>
      </c>
      <c r="N102" t="s">
        <v>161</v>
      </c>
      <c r="Q102" s="39" t="s">
        <v>724</v>
      </c>
      <c r="U102" t="s">
        <v>183</v>
      </c>
      <c r="W102" t="s">
        <v>241</v>
      </c>
      <c r="X102">
        <v>0</v>
      </c>
      <c r="Y102">
        <v>0</v>
      </c>
      <c r="Z102">
        <v>0</v>
      </c>
      <c r="AA102" s="48">
        <v>307.5</v>
      </c>
      <c r="AC102" s="48">
        <v>307.5</v>
      </c>
      <c r="AF102" s="34">
        <f t="shared" si="12"/>
        <v>46381</v>
      </c>
      <c r="AG102" s="34">
        <f t="shared" si="13"/>
        <v>48206</v>
      </c>
      <c r="AH102" t="s">
        <v>185</v>
      </c>
      <c r="AK102">
        <v>16</v>
      </c>
      <c r="AL102">
        <v>112</v>
      </c>
      <c r="AM102">
        <v>10</v>
      </c>
      <c r="AN102" s="48">
        <v>307.5</v>
      </c>
    </row>
    <row r="103" spans="2:40">
      <c r="B103" s="39" t="s">
        <v>280</v>
      </c>
      <c r="C103" t="s">
        <v>168</v>
      </c>
      <c r="D103" t="s">
        <v>164</v>
      </c>
      <c r="E103" t="s">
        <v>83</v>
      </c>
      <c r="F103" s="41">
        <v>46052</v>
      </c>
      <c r="G103" s="34">
        <f t="shared" si="10"/>
        <v>46172</v>
      </c>
      <c r="H103" t="s">
        <v>169</v>
      </c>
      <c r="I103" s="34">
        <f t="shared" si="11"/>
        <v>46172</v>
      </c>
      <c r="J103" t="s">
        <v>161</v>
      </c>
      <c r="K103" t="s">
        <v>162</v>
      </c>
      <c r="L103" t="s">
        <v>163</v>
      </c>
      <c r="M103" s="39" t="s">
        <v>280</v>
      </c>
      <c r="N103" t="s">
        <v>161</v>
      </c>
      <c r="Q103" s="39" t="s">
        <v>724</v>
      </c>
      <c r="U103" t="s">
        <v>183</v>
      </c>
      <c r="W103" t="s">
        <v>241</v>
      </c>
      <c r="X103">
        <v>0</v>
      </c>
      <c r="Y103">
        <v>0</v>
      </c>
      <c r="Z103">
        <v>0</v>
      </c>
      <c r="AA103" s="48">
        <v>307.5</v>
      </c>
      <c r="AC103" s="48">
        <v>307.5</v>
      </c>
      <c r="AF103" s="34">
        <f t="shared" si="12"/>
        <v>46381</v>
      </c>
      <c r="AG103" s="34">
        <f t="shared" si="13"/>
        <v>48206</v>
      </c>
      <c r="AH103" t="s">
        <v>185</v>
      </c>
      <c r="AK103">
        <v>16</v>
      </c>
      <c r="AL103">
        <v>112</v>
      </c>
      <c r="AM103">
        <v>10</v>
      </c>
      <c r="AN103" s="48">
        <v>307.5</v>
      </c>
    </row>
    <row r="104" spans="2:40" s="44" customFormat="1">
      <c r="B104" s="43" t="s">
        <v>281</v>
      </c>
      <c r="C104" s="44" t="s">
        <v>81</v>
      </c>
      <c r="D104" s="44" t="s">
        <v>164</v>
      </c>
      <c r="E104" s="44" t="s">
        <v>83</v>
      </c>
      <c r="F104" s="45">
        <v>46051</v>
      </c>
      <c r="G104" s="46">
        <f t="shared" si="10"/>
        <v>46171</v>
      </c>
      <c r="H104" s="44" t="s">
        <v>169</v>
      </c>
      <c r="I104" s="46">
        <f t="shared" si="11"/>
        <v>46171</v>
      </c>
      <c r="J104" s="44" t="s">
        <v>161</v>
      </c>
      <c r="K104" s="44" t="s">
        <v>162</v>
      </c>
      <c r="L104" s="44" t="s">
        <v>163</v>
      </c>
      <c r="M104" s="43" t="s">
        <v>281</v>
      </c>
      <c r="N104" s="44" t="s">
        <v>161</v>
      </c>
      <c r="Q104" s="43" t="s">
        <v>723</v>
      </c>
      <c r="U104" s="44" t="s">
        <v>854</v>
      </c>
      <c r="W104" s="44" t="s">
        <v>855</v>
      </c>
      <c r="X104" s="44">
        <v>1</v>
      </c>
      <c r="Y104" s="44">
        <v>0</v>
      </c>
      <c r="Z104" s="44">
        <v>0</v>
      </c>
      <c r="AA104" s="48">
        <v>307.5</v>
      </c>
      <c r="AC104" s="48">
        <v>307.5</v>
      </c>
      <c r="AF104" s="46">
        <f t="shared" si="12"/>
        <v>46380</v>
      </c>
      <c r="AG104" s="46">
        <f t="shared" si="13"/>
        <v>48205</v>
      </c>
      <c r="AH104" s="44" t="s">
        <v>857</v>
      </c>
      <c r="AK104" s="44">
        <v>16</v>
      </c>
      <c r="AL104" s="44">
        <v>112</v>
      </c>
      <c r="AM104" s="44">
        <v>10</v>
      </c>
      <c r="AN104" s="48">
        <v>307.5</v>
      </c>
    </row>
    <row r="105" spans="2:40">
      <c r="B105" s="39" t="s">
        <v>282</v>
      </c>
      <c r="C105" s="44" t="s">
        <v>81</v>
      </c>
      <c r="D105" t="s">
        <v>164</v>
      </c>
      <c r="E105" t="s">
        <v>83</v>
      </c>
      <c r="F105" s="41">
        <v>46051</v>
      </c>
      <c r="G105" s="34">
        <f t="shared" si="10"/>
        <v>46171</v>
      </c>
      <c r="H105" t="s">
        <v>169</v>
      </c>
      <c r="I105" s="34">
        <f t="shared" si="11"/>
        <v>46171</v>
      </c>
      <c r="J105" t="s">
        <v>161</v>
      </c>
      <c r="K105" t="s">
        <v>162</v>
      </c>
      <c r="L105" t="s">
        <v>163</v>
      </c>
      <c r="M105" s="39" t="s">
        <v>282</v>
      </c>
      <c r="N105" t="s">
        <v>161</v>
      </c>
      <c r="Q105" s="39" t="s">
        <v>723</v>
      </c>
      <c r="U105" t="s">
        <v>854</v>
      </c>
      <c r="W105" t="s">
        <v>855</v>
      </c>
      <c r="X105">
        <v>1</v>
      </c>
      <c r="Y105">
        <v>0</v>
      </c>
      <c r="Z105">
        <v>0</v>
      </c>
      <c r="AA105" s="48">
        <v>307.5</v>
      </c>
      <c r="AC105" s="48">
        <v>307.5</v>
      </c>
      <c r="AF105" s="34">
        <f t="shared" si="12"/>
        <v>46380</v>
      </c>
      <c r="AG105" s="34">
        <f t="shared" si="13"/>
        <v>48205</v>
      </c>
      <c r="AH105" s="44" t="s">
        <v>857</v>
      </c>
      <c r="AK105">
        <v>16</v>
      </c>
      <c r="AL105">
        <v>112</v>
      </c>
      <c r="AM105">
        <v>10</v>
      </c>
      <c r="AN105" s="48">
        <v>307.5</v>
      </c>
    </row>
    <row r="106" spans="2:40">
      <c r="B106" s="39" t="s">
        <v>283</v>
      </c>
      <c r="C106" s="44" t="s">
        <v>81</v>
      </c>
      <c r="D106" t="s">
        <v>164</v>
      </c>
      <c r="E106" t="s">
        <v>83</v>
      </c>
      <c r="F106" s="41">
        <v>46051</v>
      </c>
      <c r="G106" s="34">
        <f t="shared" si="10"/>
        <v>46171</v>
      </c>
      <c r="H106" t="s">
        <v>169</v>
      </c>
      <c r="I106" s="34">
        <f t="shared" si="11"/>
        <v>46171</v>
      </c>
      <c r="J106" t="s">
        <v>161</v>
      </c>
      <c r="K106" t="s">
        <v>162</v>
      </c>
      <c r="L106" t="s">
        <v>163</v>
      </c>
      <c r="M106" s="39" t="s">
        <v>283</v>
      </c>
      <c r="N106" t="s">
        <v>161</v>
      </c>
      <c r="Q106" s="39" t="s">
        <v>723</v>
      </c>
      <c r="U106" t="s">
        <v>854</v>
      </c>
      <c r="W106" t="s">
        <v>855</v>
      </c>
      <c r="X106">
        <v>1</v>
      </c>
      <c r="Y106">
        <v>0</v>
      </c>
      <c r="Z106">
        <v>0</v>
      </c>
      <c r="AA106" s="48">
        <v>307.5</v>
      </c>
      <c r="AC106" s="48">
        <v>307.5</v>
      </c>
      <c r="AF106" s="34">
        <f t="shared" si="12"/>
        <v>46380</v>
      </c>
      <c r="AG106" s="34">
        <f t="shared" si="13"/>
        <v>48205</v>
      </c>
      <c r="AH106" s="44" t="s">
        <v>857</v>
      </c>
      <c r="AK106">
        <v>16</v>
      </c>
      <c r="AL106">
        <v>112</v>
      </c>
      <c r="AM106">
        <v>10</v>
      </c>
      <c r="AN106" s="48">
        <v>307.5</v>
      </c>
    </row>
    <row r="107" spans="2:40">
      <c r="B107" s="39" t="s">
        <v>284</v>
      </c>
      <c r="C107" s="44" t="s">
        <v>81</v>
      </c>
      <c r="D107" t="s">
        <v>164</v>
      </c>
      <c r="E107" t="s">
        <v>83</v>
      </c>
      <c r="F107" s="41">
        <v>46051</v>
      </c>
      <c r="G107" s="34">
        <f t="shared" si="10"/>
        <v>46171</v>
      </c>
      <c r="H107" t="s">
        <v>169</v>
      </c>
      <c r="I107" s="34">
        <f t="shared" si="11"/>
        <v>46171</v>
      </c>
      <c r="J107" t="s">
        <v>161</v>
      </c>
      <c r="K107" t="s">
        <v>162</v>
      </c>
      <c r="L107" t="s">
        <v>163</v>
      </c>
      <c r="M107" s="39" t="s">
        <v>284</v>
      </c>
      <c r="N107" t="s">
        <v>161</v>
      </c>
      <c r="Q107" s="39" t="s">
        <v>723</v>
      </c>
      <c r="U107" t="s">
        <v>854</v>
      </c>
      <c r="W107" t="s">
        <v>855</v>
      </c>
      <c r="X107">
        <v>1</v>
      </c>
      <c r="Y107">
        <v>0</v>
      </c>
      <c r="Z107">
        <v>0</v>
      </c>
      <c r="AA107" s="48">
        <v>307.5</v>
      </c>
      <c r="AC107" s="48">
        <v>307.5</v>
      </c>
      <c r="AF107" s="34">
        <f t="shared" si="12"/>
        <v>46380</v>
      </c>
      <c r="AG107" s="34">
        <f t="shared" si="13"/>
        <v>48205</v>
      </c>
      <c r="AH107" s="44" t="s">
        <v>857</v>
      </c>
      <c r="AK107">
        <v>16</v>
      </c>
      <c r="AL107">
        <v>112</v>
      </c>
      <c r="AM107">
        <v>10</v>
      </c>
      <c r="AN107" s="48">
        <v>307.5</v>
      </c>
    </row>
    <row r="108" spans="2:40">
      <c r="B108" s="39" t="s">
        <v>285</v>
      </c>
      <c r="C108" s="44" t="s">
        <v>81</v>
      </c>
      <c r="D108" t="s">
        <v>164</v>
      </c>
      <c r="E108" t="s">
        <v>83</v>
      </c>
      <c r="F108" s="41">
        <v>46039</v>
      </c>
      <c r="G108" s="34">
        <f t="shared" si="10"/>
        <v>46159</v>
      </c>
      <c r="H108" t="s">
        <v>169</v>
      </c>
      <c r="I108" s="34">
        <f t="shared" si="11"/>
        <v>46159</v>
      </c>
      <c r="J108" t="s">
        <v>161</v>
      </c>
      <c r="K108" t="s">
        <v>162</v>
      </c>
      <c r="L108" t="s">
        <v>163</v>
      </c>
      <c r="M108" s="39" t="s">
        <v>285</v>
      </c>
      <c r="N108" t="s">
        <v>161</v>
      </c>
      <c r="Q108" s="39" t="s">
        <v>725</v>
      </c>
      <c r="U108" t="s">
        <v>854</v>
      </c>
      <c r="W108" t="s">
        <v>855</v>
      </c>
      <c r="X108">
        <v>1</v>
      </c>
      <c r="Y108">
        <v>0</v>
      </c>
      <c r="Z108">
        <v>0</v>
      </c>
      <c r="AA108" s="48">
        <v>307.5</v>
      </c>
      <c r="AC108" s="48">
        <v>307.5</v>
      </c>
      <c r="AF108" s="34">
        <f t="shared" si="12"/>
        <v>46368</v>
      </c>
      <c r="AG108" s="34">
        <f t="shared" si="13"/>
        <v>48193</v>
      </c>
      <c r="AH108" s="44" t="s">
        <v>857</v>
      </c>
      <c r="AK108">
        <v>16</v>
      </c>
      <c r="AL108">
        <v>112</v>
      </c>
      <c r="AM108">
        <v>10</v>
      </c>
      <c r="AN108" s="48">
        <v>307.5</v>
      </c>
    </row>
    <row r="109" spans="2:40">
      <c r="B109" s="39" t="s">
        <v>286</v>
      </c>
      <c r="C109" s="44" t="s">
        <v>81</v>
      </c>
      <c r="D109" t="s">
        <v>164</v>
      </c>
      <c r="E109" t="s">
        <v>83</v>
      </c>
      <c r="F109" s="41">
        <v>46039</v>
      </c>
      <c r="G109" s="34">
        <f t="shared" si="10"/>
        <v>46159</v>
      </c>
      <c r="H109" t="s">
        <v>169</v>
      </c>
      <c r="I109" s="34">
        <f t="shared" si="11"/>
        <v>46159</v>
      </c>
      <c r="J109" t="s">
        <v>161</v>
      </c>
      <c r="K109" t="s">
        <v>162</v>
      </c>
      <c r="L109" t="s">
        <v>163</v>
      </c>
      <c r="M109" s="39" t="s">
        <v>286</v>
      </c>
      <c r="N109" t="s">
        <v>161</v>
      </c>
      <c r="Q109" s="39" t="s">
        <v>725</v>
      </c>
      <c r="U109" t="s">
        <v>854</v>
      </c>
      <c r="W109" t="s">
        <v>855</v>
      </c>
      <c r="X109">
        <v>1</v>
      </c>
      <c r="Y109">
        <v>0</v>
      </c>
      <c r="Z109">
        <v>0</v>
      </c>
      <c r="AA109" s="48">
        <v>307.5</v>
      </c>
      <c r="AC109" s="48">
        <v>307.5</v>
      </c>
      <c r="AF109" s="34">
        <f t="shared" si="12"/>
        <v>46368</v>
      </c>
      <c r="AG109" s="34">
        <f t="shared" si="13"/>
        <v>48193</v>
      </c>
      <c r="AH109" s="44" t="s">
        <v>857</v>
      </c>
      <c r="AK109">
        <v>16</v>
      </c>
      <c r="AL109">
        <v>112</v>
      </c>
      <c r="AM109">
        <v>10</v>
      </c>
      <c r="AN109" s="48">
        <v>307.5</v>
      </c>
    </row>
    <row r="110" spans="2:40">
      <c r="B110" s="39" t="s">
        <v>287</v>
      </c>
      <c r="C110" s="44" t="s">
        <v>81</v>
      </c>
      <c r="D110" t="s">
        <v>164</v>
      </c>
      <c r="E110" t="s">
        <v>83</v>
      </c>
      <c r="F110" s="41">
        <v>46039</v>
      </c>
      <c r="G110" s="34">
        <f t="shared" si="10"/>
        <v>46159</v>
      </c>
      <c r="H110" t="s">
        <v>169</v>
      </c>
      <c r="I110" s="34">
        <f t="shared" si="11"/>
        <v>46159</v>
      </c>
      <c r="J110" t="s">
        <v>161</v>
      </c>
      <c r="K110" t="s">
        <v>162</v>
      </c>
      <c r="L110" t="s">
        <v>163</v>
      </c>
      <c r="M110" s="39" t="s">
        <v>287</v>
      </c>
      <c r="N110" t="s">
        <v>161</v>
      </c>
      <c r="Q110" s="39" t="s">
        <v>725</v>
      </c>
      <c r="U110" t="s">
        <v>854</v>
      </c>
      <c r="W110" t="s">
        <v>855</v>
      </c>
      <c r="X110">
        <v>1</v>
      </c>
      <c r="Y110">
        <v>0</v>
      </c>
      <c r="Z110">
        <v>0</v>
      </c>
      <c r="AA110" s="48">
        <v>307.5</v>
      </c>
      <c r="AC110" s="48">
        <v>307.5</v>
      </c>
      <c r="AF110" s="34">
        <f t="shared" si="12"/>
        <v>46368</v>
      </c>
      <c r="AG110" s="34">
        <f t="shared" si="13"/>
        <v>48193</v>
      </c>
      <c r="AH110" s="44" t="s">
        <v>857</v>
      </c>
      <c r="AK110">
        <v>16</v>
      </c>
      <c r="AL110">
        <v>112</v>
      </c>
      <c r="AM110">
        <v>10</v>
      </c>
      <c r="AN110" s="48">
        <v>307.5</v>
      </c>
    </row>
    <row r="111" spans="2:40">
      <c r="B111" s="39" t="s">
        <v>288</v>
      </c>
      <c r="C111" s="44" t="s">
        <v>81</v>
      </c>
      <c r="D111" t="s">
        <v>164</v>
      </c>
      <c r="E111" t="s">
        <v>83</v>
      </c>
      <c r="F111" s="41">
        <v>46039</v>
      </c>
      <c r="G111" s="34">
        <f t="shared" si="10"/>
        <v>46159</v>
      </c>
      <c r="H111" t="s">
        <v>169</v>
      </c>
      <c r="I111" s="34">
        <f t="shared" si="11"/>
        <v>46159</v>
      </c>
      <c r="J111" t="s">
        <v>161</v>
      </c>
      <c r="K111" t="s">
        <v>162</v>
      </c>
      <c r="L111" t="s">
        <v>163</v>
      </c>
      <c r="M111" s="39" t="s">
        <v>288</v>
      </c>
      <c r="N111" t="s">
        <v>161</v>
      </c>
      <c r="Q111" s="39" t="s">
        <v>725</v>
      </c>
      <c r="U111" t="s">
        <v>854</v>
      </c>
      <c r="W111" t="s">
        <v>855</v>
      </c>
      <c r="X111">
        <v>1</v>
      </c>
      <c r="Y111">
        <v>0</v>
      </c>
      <c r="Z111">
        <v>0</v>
      </c>
      <c r="AA111" s="48">
        <v>307.5</v>
      </c>
      <c r="AC111" s="48">
        <v>307.5</v>
      </c>
      <c r="AF111" s="34">
        <f t="shared" si="12"/>
        <v>46368</v>
      </c>
      <c r="AG111" s="34">
        <f t="shared" si="13"/>
        <v>48193</v>
      </c>
      <c r="AH111" s="44" t="s">
        <v>857</v>
      </c>
      <c r="AK111">
        <v>16</v>
      </c>
      <c r="AL111">
        <v>112</v>
      </c>
      <c r="AM111">
        <v>10</v>
      </c>
      <c r="AN111" s="48">
        <v>307.5</v>
      </c>
    </row>
    <row r="112" spans="2:40">
      <c r="B112" s="39" t="s">
        <v>289</v>
      </c>
      <c r="C112" s="44" t="s">
        <v>81</v>
      </c>
      <c r="D112" t="s">
        <v>164</v>
      </c>
      <c r="E112" t="s">
        <v>83</v>
      </c>
      <c r="F112" s="41">
        <v>46036</v>
      </c>
      <c r="G112" s="34">
        <f t="shared" si="10"/>
        <v>46156</v>
      </c>
      <c r="H112" t="s">
        <v>169</v>
      </c>
      <c r="I112" s="34">
        <f t="shared" si="11"/>
        <v>46156</v>
      </c>
      <c r="J112" t="s">
        <v>161</v>
      </c>
      <c r="K112" t="s">
        <v>162</v>
      </c>
      <c r="L112" t="s">
        <v>163</v>
      </c>
      <c r="M112" s="39" t="s">
        <v>289</v>
      </c>
      <c r="N112" t="s">
        <v>161</v>
      </c>
      <c r="Q112" s="39" t="s">
        <v>726</v>
      </c>
      <c r="U112" t="s">
        <v>854</v>
      </c>
      <c r="W112" t="s">
        <v>855</v>
      </c>
      <c r="X112">
        <v>1</v>
      </c>
      <c r="Y112">
        <v>0</v>
      </c>
      <c r="Z112">
        <v>0</v>
      </c>
      <c r="AA112" s="48">
        <v>307.5</v>
      </c>
      <c r="AC112" s="48">
        <v>307.5</v>
      </c>
      <c r="AF112" s="34">
        <f t="shared" si="12"/>
        <v>46365</v>
      </c>
      <c r="AG112" s="34">
        <f t="shared" si="13"/>
        <v>48190</v>
      </c>
      <c r="AH112" s="44" t="s">
        <v>857</v>
      </c>
      <c r="AK112">
        <v>16</v>
      </c>
      <c r="AL112">
        <v>112</v>
      </c>
      <c r="AM112">
        <v>10</v>
      </c>
      <c r="AN112" s="48">
        <v>307.5</v>
      </c>
    </row>
    <row r="113" spans="2:40">
      <c r="B113" s="39" t="s">
        <v>290</v>
      </c>
      <c r="C113" s="44" t="s">
        <v>81</v>
      </c>
      <c r="D113" t="s">
        <v>164</v>
      </c>
      <c r="E113" t="s">
        <v>83</v>
      </c>
      <c r="F113" s="41">
        <v>46039</v>
      </c>
      <c r="G113" s="34">
        <f t="shared" si="10"/>
        <v>46159</v>
      </c>
      <c r="H113" t="s">
        <v>169</v>
      </c>
      <c r="I113" s="34">
        <f t="shared" si="11"/>
        <v>46159</v>
      </c>
      <c r="J113" t="s">
        <v>161</v>
      </c>
      <c r="K113" t="s">
        <v>162</v>
      </c>
      <c r="L113" t="s">
        <v>163</v>
      </c>
      <c r="M113" s="39" t="s">
        <v>290</v>
      </c>
      <c r="N113" t="s">
        <v>161</v>
      </c>
      <c r="Q113" s="39" t="s">
        <v>725</v>
      </c>
      <c r="U113" t="s">
        <v>854</v>
      </c>
      <c r="W113" t="s">
        <v>855</v>
      </c>
      <c r="X113">
        <v>1</v>
      </c>
      <c r="Y113">
        <v>0</v>
      </c>
      <c r="Z113">
        <v>0</v>
      </c>
      <c r="AA113" s="48">
        <v>307.5</v>
      </c>
      <c r="AC113" s="48">
        <v>307.5</v>
      </c>
      <c r="AF113" s="34">
        <f t="shared" si="12"/>
        <v>46368</v>
      </c>
      <c r="AG113" s="34">
        <f t="shared" si="13"/>
        <v>48193</v>
      </c>
      <c r="AH113" s="44" t="s">
        <v>857</v>
      </c>
      <c r="AK113">
        <v>16</v>
      </c>
      <c r="AL113">
        <v>112</v>
      </c>
      <c r="AM113">
        <v>10</v>
      </c>
      <c r="AN113" s="48">
        <v>307.5</v>
      </c>
    </row>
    <row r="114" spans="2:40">
      <c r="B114" s="39" t="s">
        <v>291</v>
      </c>
      <c r="C114" s="44" t="s">
        <v>81</v>
      </c>
      <c r="D114" t="s">
        <v>164</v>
      </c>
      <c r="E114" t="s">
        <v>83</v>
      </c>
      <c r="F114" s="41">
        <v>46036</v>
      </c>
      <c r="G114" s="34">
        <f t="shared" si="10"/>
        <v>46156</v>
      </c>
      <c r="H114" t="s">
        <v>169</v>
      </c>
      <c r="I114" s="34">
        <f t="shared" si="11"/>
        <v>46156</v>
      </c>
      <c r="J114" t="s">
        <v>161</v>
      </c>
      <c r="K114" t="s">
        <v>162</v>
      </c>
      <c r="L114" t="s">
        <v>163</v>
      </c>
      <c r="M114" s="39" t="s">
        <v>291</v>
      </c>
      <c r="N114" t="s">
        <v>161</v>
      </c>
      <c r="Q114" s="39" t="s">
        <v>726</v>
      </c>
      <c r="U114" t="s">
        <v>854</v>
      </c>
      <c r="W114" t="s">
        <v>855</v>
      </c>
      <c r="X114">
        <v>1</v>
      </c>
      <c r="Y114">
        <v>0</v>
      </c>
      <c r="Z114">
        <v>0</v>
      </c>
      <c r="AA114" s="48">
        <v>307.5</v>
      </c>
      <c r="AC114" s="48">
        <v>307.5</v>
      </c>
      <c r="AF114" s="34">
        <f t="shared" si="12"/>
        <v>46365</v>
      </c>
      <c r="AG114" s="34">
        <f t="shared" si="13"/>
        <v>48190</v>
      </c>
      <c r="AH114" s="44" t="s">
        <v>857</v>
      </c>
      <c r="AK114">
        <v>16</v>
      </c>
      <c r="AL114">
        <v>112</v>
      </c>
      <c r="AM114">
        <v>10</v>
      </c>
      <c r="AN114" s="48">
        <v>307.5</v>
      </c>
    </row>
    <row r="115" spans="2:40">
      <c r="B115" s="39" t="s">
        <v>292</v>
      </c>
      <c r="C115" s="44" t="s">
        <v>81</v>
      </c>
      <c r="D115" t="s">
        <v>164</v>
      </c>
      <c r="E115" t="s">
        <v>83</v>
      </c>
      <c r="F115" s="41">
        <v>46036</v>
      </c>
      <c r="G115" s="34">
        <f t="shared" si="10"/>
        <v>46156</v>
      </c>
      <c r="H115" t="s">
        <v>169</v>
      </c>
      <c r="I115" s="34">
        <f t="shared" si="11"/>
        <v>46156</v>
      </c>
      <c r="J115" t="s">
        <v>161</v>
      </c>
      <c r="K115" t="s">
        <v>162</v>
      </c>
      <c r="L115" t="s">
        <v>163</v>
      </c>
      <c r="M115" s="39" t="s">
        <v>292</v>
      </c>
      <c r="N115" t="s">
        <v>161</v>
      </c>
      <c r="Q115" s="39" t="s">
        <v>726</v>
      </c>
      <c r="U115" t="s">
        <v>854</v>
      </c>
      <c r="W115" t="s">
        <v>855</v>
      </c>
      <c r="X115">
        <v>1</v>
      </c>
      <c r="Y115">
        <v>0</v>
      </c>
      <c r="Z115">
        <v>0</v>
      </c>
      <c r="AA115" s="48">
        <v>307.5</v>
      </c>
      <c r="AC115" s="48">
        <v>307.5</v>
      </c>
      <c r="AF115" s="34">
        <f t="shared" si="12"/>
        <v>46365</v>
      </c>
      <c r="AG115" s="34">
        <f t="shared" si="13"/>
        <v>48190</v>
      </c>
      <c r="AH115" s="44" t="s">
        <v>857</v>
      </c>
      <c r="AK115">
        <v>16</v>
      </c>
      <c r="AL115">
        <v>112</v>
      </c>
      <c r="AM115">
        <v>10</v>
      </c>
      <c r="AN115" s="48">
        <v>307.5</v>
      </c>
    </row>
    <row r="116" spans="2:40">
      <c r="B116" s="39" t="s">
        <v>293</v>
      </c>
      <c r="C116" s="44" t="s">
        <v>81</v>
      </c>
      <c r="D116" t="s">
        <v>164</v>
      </c>
      <c r="E116" t="s">
        <v>83</v>
      </c>
      <c r="F116" s="41">
        <v>46036</v>
      </c>
      <c r="G116" s="34">
        <f t="shared" si="10"/>
        <v>46156</v>
      </c>
      <c r="H116" t="s">
        <v>169</v>
      </c>
      <c r="I116" s="34">
        <f t="shared" si="11"/>
        <v>46156</v>
      </c>
      <c r="J116" t="s">
        <v>161</v>
      </c>
      <c r="K116" t="s">
        <v>162</v>
      </c>
      <c r="L116" t="s">
        <v>163</v>
      </c>
      <c r="M116" s="39" t="s">
        <v>293</v>
      </c>
      <c r="N116" t="s">
        <v>161</v>
      </c>
      <c r="Q116" s="39" t="s">
        <v>726</v>
      </c>
      <c r="U116" t="s">
        <v>854</v>
      </c>
      <c r="W116" t="s">
        <v>855</v>
      </c>
      <c r="X116">
        <v>1</v>
      </c>
      <c r="Y116">
        <v>0</v>
      </c>
      <c r="Z116">
        <v>0</v>
      </c>
      <c r="AA116" s="48">
        <v>307.5</v>
      </c>
      <c r="AC116" s="48">
        <v>307.5</v>
      </c>
      <c r="AF116" s="34">
        <f t="shared" si="12"/>
        <v>46365</v>
      </c>
      <c r="AG116" s="34">
        <f t="shared" si="13"/>
        <v>48190</v>
      </c>
      <c r="AH116" s="44" t="s">
        <v>857</v>
      </c>
      <c r="AK116">
        <v>16</v>
      </c>
      <c r="AL116">
        <v>112</v>
      </c>
      <c r="AM116">
        <v>10</v>
      </c>
      <c r="AN116" s="48">
        <v>307.5</v>
      </c>
    </row>
    <row r="117" spans="2:40">
      <c r="B117" s="39" t="s">
        <v>294</v>
      </c>
      <c r="C117" s="44" t="s">
        <v>81</v>
      </c>
      <c r="D117" t="s">
        <v>164</v>
      </c>
      <c r="E117" t="s">
        <v>83</v>
      </c>
      <c r="F117" s="41">
        <v>46036</v>
      </c>
      <c r="G117" s="34">
        <f t="shared" si="10"/>
        <v>46156</v>
      </c>
      <c r="H117" t="s">
        <v>169</v>
      </c>
      <c r="I117" s="34">
        <f t="shared" si="11"/>
        <v>46156</v>
      </c>
      <c r="J117" t="s">
        <v>161</v>
      </c>
      <c r="K117" t="s">
        <v>162</v>
      </c>
      <c r="L117" t="s">
        <v>163</v>
      </c>
      <c r="M117" s="39" t="s">
        <v>294</v>
      </c>
      <c r="N117" t="s">
        <v>161</v>
      </c>
      <c r="Q117" s="39" t="s">
        <v>726</v>
      </c>
      <c r="U117" t="s">
        <v>854</v>
      </c>
      <c r="W117" t="s">
        <v>855</v>
      </c>
      <c r="X117">
        <v>1</v>
      </c>
      <c r="Y117">
        <v>0</v>
      </c>
      <c r="Z117">
        <v>0</v>
      </c>
      <c r="AA117" s="48">
        <v>307.5</v>
      </c>
      <c r="AC117" s="48">
        <v>307.5</v>
      </c>
      <c r="AF117" s="34">
        <f t="shared" si="12"/>
        <v>46365</v>
      </c>
      <c r="AG117" s="34">
        <f t="shared" si="13"/>
        <v>48190</v>
      </c>
      <c r="AH117" s="44" t="s">
        <v>857</v>
      </c>
      <c r="AK117">
        <v>16</v>
      </c>
      <c r="AL117">
        <v>112</v>
      </c>
      <c r="AM117">
        <v>10</v>
      </c>
      <c r="AN117" s="48">
        <v>307.5</v>
      </c>
    </row>
    <row r="118" spans="2:40">
      <c r="B118" s="39" t="s">
        <v>295</v>
      </c>
      <c r="C118" s="44" t="s">
        <v>81</v>
      </c>
      <c r="D118" t="s">
        <v>164</v>
      </c>
      <c r="E118" t="s">
        <v>83</v>
      </c>
      <c r="F118" s="41">
        <v>46030</v>
      </c>
      <c r="G118" s="34">
        <f t="shared" si="10"/>
        <v>46150</v>
      </c>
      <c r="H118" t="s">
        <v>169</v>
      </c>
      <c r="I118" s="34">
        <f t="shared" si="11"/>
        <v>46150</v>
      </c>
      <c r="J118" t="s">
        <v>161</v>
      </c>
      <c r="K118" t="s">
        <v>162</v>
      </c>
      <c r="L118" t="s">
        <v>163</v>
      </c>
      <c r="M118" s="39" t="s">
        <v>295</v>
      </c>
      <c r="N118" t="s">
        <v>161</v>
      </c>
      <c r="Q118" s="39" t="s">
        <v>727</v>
      </c>
      <c r="U118" t="s">
        <v>854</v>
      </c>
      <c r="W118" t="s">
        <v>855</v>
      </c>
      <c r="X118">
        <v>1</v>
      </c>
      <c r="Y118">
        <v>0</v>
      </c>
      <c r="Z118">
        <v>0</v>
      </c>
      <c r="AA118" s="48">
        <v>307.5</v>
      </c>
      <c r="AC118" s="48">
        <v>307.5</v>
      </c>
      <c r="AF118" s="34">
        <f t="shared" si="12"/>
        <v>46359</v>
      </c>
      <c r="AG118" s="34">
        <f t="shared" si="13"/>
        <v>48184</v>
      </c>
      <c r="AH118" s="44" t="s">
        <v>857</v>
      </c>
      <c r="AK118">
        <v>16</v>
      </c>
      <c r="AL118">
        <v>112</v>
      </c>
      <c r="AM118">
        <v>10</v>
      </c>
      <c r="AN118" s="48">
        <v>307.5</v>
      </c>
    </row>
    <row r="119" spans="2:40">
      <c r="B119" s="39" t="s">
        <v>296</v>
      </c>
      <c r="C119" s="44" t="s">
        <v>81</v>
      </c>
      <c r="D119" t="s">
        <v>164</v>
      </c>
      <c r="E119" t="s">
        <v>83</v>
      </c>
      <c r="F119" s="42">
        <v>46022</v>
      </c>
      <c r="G119" s="34">
        <f t="shared" si="10"/>
        <v>46142</v>
      </c>
      <c r="H119" t="s">
        <v>169</v>
      </c>
      <c r="I119" s="34">
        <f t="shared" si="11"/>
        <v>46142</v>
      </c>
      <c r="J119" t="s">
        <v>161</v>
      </c>
      <c r="K119" t="s">
        <v>162</v>
      </c>
      <c r="L119" t="s">
        <v>163</v>
      </c>
      <c r="M119" s="39" t="s">
        <v>296</v>
      </c>
      <c r="N119" t="s">
        <v>161</v>
      </c>
      <c r="Q119" s="39" t="s">
        <v>728</v>
      </c>
      <c r="U119" t="s">
        <v>854</v>
      </c>
      <c r="W119" t="s">
        <v>855</v>
      </c>
      <c r="X119">
        <v>1</v>
      </c>
      <c r="Y119">
        <v>0</v>
      </c>
      <c r="Z119">
        <v>0</v>
      </c>
      <c r="AA119" s="48">
        <v>307.5</v>
      </c>
      <c r="AC119" s="48">
        <v>307.5</v>
      </c>
      <c r="AF119" s="34">
        <f t="shared" si="12"/>
        <v>46351</v>
      </c>
      <c r="AG119" s="34">
        <f t="shared" si="13"/>
        <v>48176</v>
      </c>
      <c r="AH119" s="44" t="s">
        <v>857</v>
      </c>
      <c r="AK119">
        <v>16</v>
      </c>
      <c r="AL119">
        <v>112</v>
      </c>
      <c r="AM119">
        <v>10</v>
      </c>
      <c r="AN119" s="48">
        <v>307.5</v>
      </c>
    </row>
    <row r="120" spans="2:40">
      <c r="B120" s="39" t="s">
        <v>297</v>
      </c>
      <c r="C120" s="44" t="s">
        <v>81</v>
      </c>
      <c r="D120" t="s">
        <v>164</v>
      </c>
      <c r="E120" t="s">
        <v>83</v>
      </c>
      <c r="F120" s="42">
        <v>46022</v>
      </c>
      <c r="G120" s="34">
        <f t="shared" si="10"/>
        <v>46142</v>
      </c>
      <c r="H120" t="s">
        <v>169</v>
      </c>
      <c r="I120" s="34">
        <f t="shared" si="11"/>
        <v>46142</v>
      </c>
      <c r="J120" t="s">
        <v>161</v>
      </c>
      <c r="K120" t="s">
        <v>162</v>
      </c>
      <c r="L120" t="s">
        <v>163</v>
      </c>
      <c r="M120" s="39" t="s">
        <v>297</v>
      </c>
      <c r="N120" t="s">
        <v>161</v>
      </c>
      <c r="Q120" s="39" t="s">
        <v>728</v>
      </c>
      <c r="U120" t="s">
        <v>854</v>
      </c>
      <c r="W120" t="s">
        <v>855</v>
      </c>
      <c r="X120">
        <v>1</v>
      </c>
      <c r="Y120">
        <v>0</v>
      </c>
      <c r="Z120">
        <v>0</v>
      </c>
      <c r="AA120" s="48">
        <v>307.5</v>
      </c>
      <c r="AC120" s="48">
        <v>307.5</v>
      </c>
      <c r="AF120" s="34">
        <f t="shared" si="12"/>
        <v>46351</v>
      </c>
      <c r="AG120" s="34">
        <f t="shared" si="13"/>
        <v>48176</v>
      </c>
      <c r="AH120" s="44" t="s">
        <v>857</v>
      </c>
      <c r="AK120">
        <v>16</v>
      </c>
      <c r="AL120">
        <v>112</v>
      </c>
      <c r="AM120">
        <v>10</v>
      </c>
      <c r="AN120" s="48">
        <v>307.5</v>
      </c>
    </row>
    <row r="121" spans="2:40">
      <c r="B121" s="39" t="s">
        <v>298</v>
      </c>
      <c r="C121" s="44" t="s">
        <v>81</v>
      </c>
      <c r="D121" t="s">
        <v>164</v>
      </c>
      <c r="E121" t="s">
        <v>83</v>
      </c>
      <c r="F121" s="41">
        <v>46030</v>
      </c>
      <c r="G121" s="34">
        <f t="shared" si="10"/>
        <v>46150</v>
      </c>
      <c r="H121" t="s">
        <v>169</v>
      </c>
      <c r="I121" s="34">
        <f t="shared" si="11"/>
        <v>46150</v>
      </c>
      <c r="J121" t="s">
        <v>161</v>
      </c>
      <c r="K121" t="s">
        <v>162</v>
      </c>
      <c r="L121" t="s">
        <v>163</v>
      </c>
      <c r="M121" s="39" t="s">
        <v>298</v>
      </c>
      <c r="N121" t="s">
        <v>161</v>
      </c>
      <c r="Q121" s="39" t="s">
        <v>727</v>
      </c>
      <c r="U121" t="s">
        <v>854</v>
      </c>
      <c r="W121" t="s">
        <v>855</v>
      </c>
      <c r="X121">
        <v>1</v>
      </c>
      <c r="Y121">
        <v>0</v>
      </c>
      <c r="Z121">
        <v>0</v>
      </c>
      <c r="AA121" s="48">
        <v>307.5</v>
      </c>
      <c r="AC121" s="48">
        <v>307.5</v>
      </c>
      <c r="AF121" s="34">
        <f t="shared" si="12"/>
        <v>46359</v>
      </c>
      <c r="AG121" s="34">
        <f t="shared" si="13"/>
        <v>48184</v>
      </c>
      <c r="AH121" s="44" t="s">
        <v>857</v>
      </c>
      <c r="AK121">
        <v>16</v>
      </c>
      <c r="AL121">
        <v>112</v>
      </c>
      <c r="AM121">
        <v>10</v>
      </c>
      <c r="AN121" s="48">
        <v>307.5</v>
      </c>
    </row>
    <row r="122" spans="2:40">
      <c r="B122" s="39" t="s">
        <v>299</v>
      </c>
      <c r="C122" s="44" t="s">
        <v>81</v>
      </c>
      <c r="D122" t="s">
        <v>164</v>
      </c>
      <c r="E122" t="s">
        <v>83</v>
      </c>
      <c r="F122" s="41">
        <v>46030</v>
      </c>
      <c r="G122" s="34">
        <f t="shared" si="10"/>
        <v>46150</v>
      </c>
      <c r="H122" t="s">
        <v>169</v>
      </c>
      <c r="I122" s="34">
        <f t="shared" si="11"/>
        <v>46150</v>
      </c>
      <c r="J122" t="s">
        <v>161</v>
      </c>
      <c r="K122" t="s">
        <v>162</v>
      </c>
      <c r="L122" t="s">
        <v>163</v>
      </c>
      <c r="M122" s="39" t="s">
        <v>299</v>
      </c>
      <c r="N122" t="s">
        <v>161</v>
      </c>
      <c r="Q122" s="39" t="s">
        <v>727</v>
      </c>
      <c r="U122" t="s">
        <v>854</v>
      </c>
      <c r="W122" t="s">
        <v>855</v>
      </c>
      <c r="X122">
        <v>1</v>
      </c>
      <c r="Y122">
        <v>0</v>
      </c>
      <c r="Z122">
        <v>0</v>
      </c>
      <c r="AA122" s="48">
        <v>307.5</v>
      </c>
      <c r="AC122" s="48">
        <v>307.5</v>
      </c>
      <c r="AF122" s="34">
        <f t="shared" si="12"/>
        <v>46359</v>
      </c>
      <c r="AG122" s="34">
        <f t="shared" si="13"/>
        <v>48184</v>
      </c>
      <c r="AH122" s="44" t="s">
        <v>857</v>
      </c>
      <c r="AK122">
        <v>16</v>
      </c>
      <c r="AL122">
        <v>112</v>
      </c>
      <c r="AM122">
        <v>10</v>
      </c>
      <c r="AN122" s="48">
        <v>307.5</v>
      </c>
    </row>
    <row r="123" spans="2:40">
      <c r="B123" s="39" t="s">
        <v>300</v>
      </c>
      <c r="C123" s="44" t="s">
        <v>81</v>
      </c>
      <c r="D123" t="s">
        <v>164</v>
      </c>
      <c r="E123" t="s">
        <v>83</v>
      </c>
      <c r="F123" s="41">
        <v>46030</v>
      </c>
      <c r="G123" s="34">
        <f t="shared" si="10"/>
        <v>46150</v>
      </c>
      <c r="H123" t="s">
        <v>169</v>
      </c>
      <c r="I123" s="34">
        <f t="shared" si="11"/>
        <v>46150</v>
      </c>
      <c r="J123" t="s">
        <v>161</v>
      </c>
      <c r="K123" t="s">
        <v>162</v>
      </c>
      <c r="L123" t="s">
        <v>163</v>
      </c>
      <c r="M123" s="39" t="s">
        <v>300</v>
      </c>
      <c r="N123" t="s">
        <v>161</v>
      </c>
      <c r="Q123" s="39" t="s">
        <v>727</v>
      </c>
      <c r="U123" t="s">
        <v>854</v>
      </c>
      <c r="W123" t="s">
        <v>855</v>
      </c>
      <c r="X123">
        <v>1</v>
      </c>
      <c r="Y123">
        <v>0</v>
      </c>
      <c r="Z123">
        <v>0</v>
      </c>
      <c r="AA123" s="48">
        <v>307.5</v>
      </c>
      <c r="AC123" s="48">
        <v>307.5</v>
      </c>
      <c r="AF123" s="34">
        <f t="shared" si="12"/>
        <v>46359</v>
      </c>
      <c r="AG123" s="34">
        <f t="shared" si="13"/>
        <v>48184</v>
      </c>
      <c r="AH123" s="44" t="s">
        <v>857</v>
      </c>
      <c r="AK123">
        <v>16</v>
      </c>
      <c r="AL123">
        <v>112</v>
      </c>
      <c r="AM123">
        <v>10</v>
      </c>
      <c r="AN123" s="48">
        <v>307.5</v>
      </c>
    </row>
    <row r="124" spans="2:40">
      <c r="B124" s="39" t="s">
        <v>301</v>
      </c>
      <c r="C124" s="44" t="s">
        <v>81</v>
      </c>
      <c r="D124" t="s">
        <v>164</v>
      </c>
      <c r="E124" t="s">
        <v>83</v>
      </c>
      <c r="F124" s="42">
        <v>46022</v>
      </c>
      <c r="G124" s="34">
        <f t="shared" si="10"/>
        <v>46142</v>
      </c>
      <c r="H124" t="s">
        <v>169</v>
      </c>
      <c r="I124" s="34">
        <f t="shared" si="11"/>
        <v>46142</v>
      </c>
      <c r="J124" t="s">
        <v>161</v>
      </c>
      <c r="K124" t="s">
        <v>162</v>
      </c>
      <c r="L124" t="s">
        <v>163</v>
      </c>
      <c r="M124" s="39" t="s">
        <v>301</v>
      </c>
      <c r="N124" t="s">
        <v>161</v>
      </c>
      <c r="Q124" s="39" t="s">
        <v>728</v>
      </c>
      <c r="U124" t="s">
        <v>854</v>
      </c>
      <c r="W124" t="s">
        <v>855</v>
      </c>
      <c r="X124">
        <v>1</v>
      </c>
      <c r="Y124">
        <v>0</v>
      </c>
      <c r="Z124">
        <v>0</v>
      </c>
      <c r="AA124" s="48">
        <v>307.5</v>
      </c>
      <c r="AC124" s="48">
        <v>307.5</v>
      </c>
      <c r="AF124" s="34">
        <f t="shared" si="12"/>
        <v>46351</v>
      </c>
      <c r="AG124" s="34">
        <f t="shared" si="13"/>
        <v>48176</v>
      </c>
      <c r="AH124" s="44" t="s">
        <v>857</v>
      </c>
      <c r="AK124">
        <v>16</v>
      </c>
      <c r="AL124">
        <v>112</v>
      </c>
      <c r="AM124">
        <v>10</v>
      </c>
      <c r="AN124" s="48">
        <v>307.5</v>
      </c>
    </row>
    <row r="125" spans="2:40">
      <c r="B125" s="39" t="s">
        <v>302</v>
      </c>
      <c r="C125" s="44" t="s">
        <v>81</v>
      </c>
      <c r="D125" t="s">
        <v>164</v>
      </c>
      <c r="E125" t="s">
        <v>83</v>
      </c>
      <c r="F125" s="42">
        <v>46022</v>
      </c>
      <c r="G125" s="34">
        <f t="shared" si="10"/>
        <v>46142</v>
      </c>
      <c r="H125" t="s">
        <v>169</v>
      </c>
      <c r="I125" s="34">
        <f t="shared" si="11"/>
        <v>46142</v>
      </c>
      <c r="J125" t="s">
        <v>161</v>
      </c>
      <c r="K125" t="s">
        <v>162</v>
      </c>
      <c r="L125" t="s">
        <v>163</v>
      </c>
      <c r="M125" s="39" t="s">
        <v>302</v>
      </c>
      <c r="N125" t="s">
        <v>161</v>
      </c>
      <c r="Q125" s="39" t="s">
        <v>727</v>
      </c>
      <c r="U125" t="s">
        <v>854</v>
      </c>
      <c r="W125" t="s">
        <v>855</v>
      </c>
      <c r="X125">
        <v>1</v>
      </c>
      <c r="Y125">
        <v>0</v>
      </c>
      <c r="Z125">
        <v>0</v>
      </c>
      <c r="AA125" s="48">
        <v>307.5</v>
      </c>
      <c r="AC125" s="48">
        <v>307.5</v>
      </c>
      <c r="AF125" s="34">
        <f t="shared" si="12"/>
        <v>46351</v>
      </c>
      <c r="AG125" s="34">
        <f t="shared" si="13"/>
        <v>48176</v>
      </c>
      <c r="AH125" s="44" t="s">
        <v>857</v>
      </c>
      <c r="AK125">
        <v>16</v>
      </c>
      <c r="AL125">
        <v>112</v>
      </c>
      <c r="AM125">
        <v>10</v>
      </c>
      <c r="AN125" s="48">
        <v>307.5</v>
      </c>
    </row>
    <row r="126" spans="2:40">
      <c r="B126" s="39" t="s">
        <v>303</v>
      </c>
      <c r="C126" s="44" t="s">
        <v>81</v>
      </c>
      <c r="D126" t="s">
        <v>164</v>
      </c>
      <c r="E126" t="s">
        <v>83</v>
      </c>
      <c r="F126" s="42">
        <v>46022</v>
      </c>
      <c r="G126" s="34">
        <f t="shared" si="10"/>
        <v>46142</v>
      </c>
      <c r="H126" t="s">
        <v>169</v>
      </c>
      <c r="I126" s="34">
        <f t="shared" si="11"/>
        <v>46142</v>
      </c>
      <c r="J126" t="s">
        <v>161</v>
      </c>
      <c r="K126" t="s">
        <v>162</v>
      </c>
      <c r="L126" t="s">
        <v>163</v>
      </c>
      <c r="M126" s="39" t="s">
        <v>303</v>
      </c>
      <c r="N126" t="s">
        <v>161</v>
      </c>
      <c r="Q126" s="39" t="s">
        <v>727</v>
      </c>
      <c r="U126" t="s">
        <v>854</v>
      </c>
      <c r="W126" t="s">
        <v>855</v>
      </c>
      <c r="X126">
        <v>1</v>
      </c>
      <c r="Y126">
        <v>0</v>
      </c>
      <c r="Z126">
        <v>0</v>
      </c>
      <c r="AA126" s="48">
        <v>307.5</v>
      </c>
      <c r="AC126" s="48">
        <v>307.5</v>
      </c>
      <c r="AF126" s="34">
        <f t="shared" si="12"/>
        <v>46351</v>
      </c>
      <c r="AG126" s="34">
        <f t="shared" si="13"/>
        <v>48176</v>
      </c>
      <c r="AH126" s="44" t="s">
        <v>857</v>
      </c>
      <c r="AK126">
        <v>16</v>
      </c>
      <c r="AL126">
        <v>112</v>
      </c>
      <c r="AM126">
        <v>10</v>
      </c>
      <c r="AN126" s="48">
        <v>307.5</v>
      </c>
    </row>
    <row r="127" spans="2:40">
      <c r="B127" s="39" t="s">
        <v>304</v>
      </c>
      <c r="C127" s="44" t="s">
        <v>81</v>
      </c>
      <c r="D127" t="s">
        <v>164</v>
      </c>
      <c r="E127" t="s">
        <v>83</v>
      </c>
      <c r="F127" s="42">
        <v>46016</v>
      </c>
      <c r="G127" s="34">
        <f t="shared" si="10"/>
        <v>46136</v>
      </c>
      <c r="H127" t="s">
        <v>169</v>
      </c>
      <c r="I127" s="34">
        <f t="shared" si="11"/>
        <v>46136</v>
      </c>
      <c r="J127" t="s">
        <v>161</v>
      </c>
      <c r="K127" t="s">
        <v>853</v>
      </c>
      <c r="L127" t="s">
        <v>163</v>
      </c>
      <c r="M127" s="39" t="s">
        <v>304</v>
      </c>
      <c r="N127" t="s">
        <v>161</v>
      </c>
      <c r="Q127" s="39" t="s">
        <v>729</v>
      </c>
      <c r="U127" t="s">
        <v>854</v>
      </c>
      <c r="W127" t="s">
        <v>855</v>
      </c>
      <c r="X127">
        <v>1</v>
      </c>
      <c r="Y127">
        <v>0</v>
      </c>
      <c r="Z127">
        <v>0</v>
      </c>
      <c r="AA127" s="48">
        <v>307.5</v>
      </c>
      <c r="AC127" s="48">
        <v>307.5</v>
      </c>
      <c r="AF127" s="34">
        <f t="shared" si="12"/>
        <v>46345</v>
      </c>
      <c r="AG127" s="34">
        <f t="shared" si="13"/>
        <v>48170</v>
      </c>
      <c r="AH127" s="44" t="s">
        <v>857</v>
      </c>
      <c r="AK127">
        <v>16</v>
      </c>
      <c r="AL127">
        <v>112</v>
      </c>
      <c r="AM127">
        <v>10</v>
      </c>
      <c r="AN127" s="48">
        <v>307.5</v>
      </c>
    </row>
    <row r="128" spans="2:40">
      <c r="B128" s="39" t="s">
        <v>305</v>
      </c>
      <c r="C128" s="44" t="s">
        <v>81</v>
      </c>
      <c r="D128" t="s">
        <v>164</v>
      </c>
      <c r="E128" t="s">
        <v>83</v>
      </c>
      <c r="F128" s="42">
        <v>46016</v>
      </c>
      <c r="G128" s="34">
        <f t="shared" si="10"/>
        <v>46136</v>
      </c>
      <c r="H128" t="s">
        <v>169</v>
      </c>
      <c r="I128" s="34">
        <f t="shared" si="11"/>
        <v>46136</v>
      </c>
      <c r="J128" t="s">
        <v>161</v>
      </c>
      <c r="K128" t="s">
        <v>853</v>
      </c>
      <c r="L128" t="s">
        <v>163</v>
      </c>
      <c r="M128" s="39" t="s">
        <v>305</v>
      </c>
      <c r="N128" t="s">
        <v>161</v>
      </c>
      <c r="Q128" s="39" t="s">
        <v>729</v>
      </c>
      <c r="U128" t="s">
        <v>854</v>
      </c>
      <c r="W128" t="s">
        <v>855</v>
      </c>
      <c r="X128">
        <v>1</v>
      </c>
      <c r="Y128">
        <v>0</v>
      </c>
      <c r="Z128">
        <v>0</v>
      </c>
      <c r="AA128" s="48">
        <v>307.5</v>
      </c>
      <c r="AC128" s="48">
        <v>307.5</v>
      </c>
      <c r="AF128" s="34">
        <f t="shared" si="12"/>
        <v>46345</v>
      </c>
      <c r="AG128" s="34">
        <f t="shared" si="13"/>
        <v>48170</v>
      </c>
      <c r="AH128" s="44" t="s">
        <v>857</v>
      </c>
      <c r="AK128">
        <v>16</v>
      </c>
      <c r="AL128">
        <v>112</v>
      </c>
      <c r="AM128">
        <v>10</v>
      </c>
      <c r="AN128" s="48">
        <v>307.5</v>
      </c>
    </row>
    <row r="129" spans="2:40">
      <c r="B129" s="39" t="s">
        <v>306</v>
      </c>
      <c r="C129" s="44" t="s">
        <v>81</v>
      </c>
      <c r="D129" t="s">
        <v>164</v>
      </c>
      <c r="E129" t="s">
        <v>83</v>
      </c>
      <c r="F129" s="42">
        <v>46016</v>
      </c>
      <c r="G129" s="34">
        <f t="shared" si="10"/>
        <v>46136</v>
      </c>
      <c r="H129" t="s">
        <v>169</v>
      </c>
      <c r="I129" s="34">
        <f t="shared" si="11"/>
        <v>46136</v>
      </c>
      <c r="J129" t="s">
        <v>161</v>
      </c>
      <c r="K129" t="s">
        <v>853</v>
      </c>
      <c r="L129" t="s">
        <v>163</v>
      </c>
      <c r="M129" s="39" t="s">
        <v>306</v>
      </c>
      <c r="N129" t="s">
        <v>161</v>
      </c>
      <c r="Q129" s="39" t="s">
        <v>729</v>
      </c>
      <c r="U129" t="s">
        <v>854</v>
      </c>
      <c r="W129" t="s">
        <v>855</v>
      </c>
      <c r="X129">
        <v>1</v>
      </c>
      <c r="Y129">
        <v>0</v>
      </c>
      <c r="Z129">
        <v>0</v>
      </c>
      <c r="AA129" s="48">
        <v>307.5</v>
      </c>
      <c r="AC129" s="48">
        <v>307.5</v>
      </c>
      <c r="AF129" s="34">
        <f t="shared" si="12"/>
        <v>46345</v>
      </c>
      <c r="AG129" s="34">
        <f t="shared" si="13"/>
        <v>48170</v>
      </c>
      <c r="AH129" s="44" t="s">
        <v>857</v>
      </c>
      <c r="AK129">
        <v>16</v>
      </c>
      <c r="AL129">
        <v>112</v>
      </c>
      <c r="AM129">
        <v>10</v>
      </c>
      <c r="AN129" s="48">
        <v>307.5</v>
      </c>
    </row>
    <row r="130" spans="2:40">
      <c r="B130" s="39" t="s">
        <v>307</v>
      </c>
      <c r="C130" s="44" t="s">
        <v>81</v>
      </c>
      <c r="D130" t="s">
        <v>164</v>
      </c>
      <c r="E130" t="s">
        <v>83</v>
      </c>
      <c r="F130" s="42">
        <v>46016</v>
      </c>
      <c r="G130" s="34">
        <f t="shared" si="10"/>
        <v>46136</v>
      </c>
      <c r="H130" t="s">
        <v>169</v>
      </c>
      <c r="I130" s="34">
        <f t="shared" si="11"/>
        <v>46136</v>
      </c>
      <c r="J130" t="s">
        <v>161</v>
      </c>
      <c r="K130" t="s">
        <v>853</v>
      </c>
      <c r="L130" t="s">
        <v>163</v>
      </c>
      <c r="M130" s="39" t="s">
        <v>307</v>
      </c>
      <c r="N130" t="s">
        <v>161</v>
      </c>
      <c r="Q130" s="39" t="s">
        <v>729</v>
      </c>
      <c r="U130" t="s">
        <v>854</v>
      </c>
      <c r="W130" t="s">
        <v>855</v>
      </c>
      <c r="X130">
        <v>1</v>
      </c>
      <c r="Y130">
        <v>0</v>
      </c>
      <c r="Z130">
        <v>0</v>
      </c>
      <c r="AA130" s="48">
        <v>307.5</v>
      </c>
      <c r="AC130" s="48">
        <v>307.5</v>
      </c>
      <c r="AF130" s="34">
        <f t="shared" si="12"/>
        <v>46345</v>
      </c>
      <c r="AG130" s="34">
        <f t="shared" si="13"/>
        <v>48170</v>
      </c>
      <c r="AH130" s="44" t="s">
        <v>857</v>
      </c>
      <c r="AK130">
        <v>16</v>
      </c>
      <c r="AL130">
        <v>112</v>
      </c>
      <c r="AM130">
        <v>10</v>
      </c>
      <c r="AN130" s="48">
        <v>307.5</v>
      </c>
    </row>
    <row r="131" spans="2:40">
      <c r="B131" s="39" t="s">
        <v>308</v>
      </c>
      <c r="C131" s="44" t="s">
        <v>81</v>
      </c>
      <c r="D131" t="s">
        <v>164</v>
      </c>
      <c r="E131" t="s">
        <v>83</v>
      </c>
      <c r="F131" s="42">
        <v>46006</v>
      </c>
      <c r="G131" s="34">
        <f t="shared" si="10"/>
        <v>46126</v>
      </c>
      <c r="H131" t="s">
        <v>169</v>
      </c>
      <c r="I131" s="34">
        <f t="shared" si="11"/>
        <v>46126</v>
      </c>
      <c r="J131" t="s">
        <v>161</v>
      </c>
      <c r="K131" t="s">
        <v>853</v>
      </c>
      <c r="L131" t="s">
        <v>163</v>
      </c>
      <c r="M131" s="39" t="s">
        <v>308</v>
      </c>
      <c r="N131" t="s">
        <v>161</v>
      </c>
      <c r="Q131" s="39" t="s">
        <v>730</v>
      </c>
      <c r="U131" t="s">
        <v>854</v>
      </c>
      <c r="W131" t="s">
        <v>855</v>
      </c>
      <c r="X131">
        <v>1</v>
      </c>
      <c r="Y131">
        <v>0</v>
      </c>
      <c r="Z131">
        <v>0</v>
      </c>
      <c r="AA131" s="48">
        <v>307.5</v>
      </c>
      <c r="AC131" s="48">
        <v>307.5</v>
      </c>
      <c r="AF131" s="34">
        <f t="shared" si="12"/>
        <v>46335</v>
      </c>
      <c r="AG131" s="34">
        <f t="shared" si="13"/>
        <v>48160</v>
      </c>
      <c r="AH131" s="44" t="s">
        <v>857</v>
      </c>
      <c r="AK131">
        <v>16</v>
      </c>
      <c r="AL131">
        <v>112</v>
      </c>
      <c r="AM131">
        <v>10</v>
      </c>
      <c r="AN131" s="48">
        <v>307.5</v>
      </c>
    </row>
    <row r="132" spans="2:40">
      <c r="B132" s="39" t="s">
        <v>309</v>
      </c>
      <c r="C132" s="44" t="s">
        <v>81</v>
      </c>
      <c r="D132" t="s">
        <v>164</v>
      </c>
      <c r="E132" t="s">
        <v>83</v>
      </c>
      <c r="F132" s="42">
        <v>46006</v>
      </c>
      <c r="G132" s="34">
        <f t="shared" si="10"/>
        <v>46126</v>
      </c>
      <c r="H132" t="s">
        <v>169</v>
      </c>
      <c r="I132" s="34">
        <f t="shared" si="11"/>
        <v>46126</v>
      </c>
      <c r="J132" t="s">
        <v>161</v>
      </c>
      <c r="K132" t="s">
        <v>853</v>
      </c>
      <c r="L132" t="s">
        <v>163</v>
      </c>
      <c r="M132" s="39" t="s">
        <v>309</v>
      </c>
      <c r="N132" t="s">
        <v>161</v>
      </c>
      <c r="Q132" s="39" t="s">
        <v>730</v>
      </c>
      <c r="U132" t="s">
        <v>854</v>
      </c>
      <c r="W132" t="s">
        <v>855</v>
      </c>
      <c r="X132">
        <v>1</v>
      </c>
      <c r="Y132">
        <v>0</v>
      </c>
      <c r="Z132">
        <v>0</v>
      </c>
      <c r="AA132" s="48">
        <v>307.5</v>
      </c>
      <c r="AC132" s="48">
        <v>307.5</v>
      </c>
      <c r="AF132" s="34">
        <f t="shared" si="12"/>
        <v>46335</v>
      </c>
      <c r="AG132" s="34">
        <f t="shared" si="13"/>
        <v>48160</v>
      </c>
      <c r="AH132" s="44" t="s">
        <v>857</v>
      </c>
      <c r="AK132">
        <v>16</v>
      </c>
      <c r="AL132">
        <v>112</v>
      </c>
      <c r="AM132">
        <v>10</v>
      </c>
      <c r="AN132" s="48">
        <v>307.5</v>
      </c>
    </row>
    <row r="133" spans="2:40">
      <c r="B133" s="39" t="s">
        <v>310</v>
      </c>
      <c r="C133" s="44" t="s">
        <v>81</v>
      </c>
      <c r="D133" t="s">
        <v>164</v>
      </c>
      <c r="E133" t="s">
        <v>83</v>
      </c>
      <c r="F133" s="42">
        <v>46006</v>
      </c>
      <c r="G133" s="34">
        <f t="shared" si="10"/>
        <v>46126</v>
      </c>
      <c r="H133" t="s">
        <v>169</v>
      </c>
      <c r="I133" s="34">
        <f t="shared" si="11"/>
        <v>46126</v>
      </c>
      <c r="J133" t="s">
        <v>161</v>
      </c>
      <c r="K133" t="s">
        <v>853</v>
      </c>
      <c r="L133" t="s">
        <v>163</v>
      </c>
      <c r="M133" s="39" t="s">
        <v>310</v>
      </c>
      <c r="N133" t="s">
        <v>161</v>
      </c>
      <c r="Q133" s="39" t="s">
        <v>730</v>
      </c>
      <c r="U133" t="s">
        <v>854</v>
      </c>
      <c r="W133" t="s">
        <v>855</v>
      </c>
      <c r="X133">
        <v>1</v>
      </c>
      <c r="Y133">
        <v>0</v>
      </c>
      <c r="Z133">
        <v>0</v>
      </c>
      <c r="AA133" s="48">
        <v>307.5</v>
      </c>
      <c r="AC133" s="48">
        <v>307.5</v>
      </c>
      <c r="AF133" s="34">
        <f t="shared" si="12"/>
        <v>46335</v>
      </c>
      <c r="AG133" s="34">
        <f t="shared" si="13"/>
        <v>48160</v>
      </c>
      <c r="AH133" s="44" t="s">
        <v>857</v>
      </c>
      <c r="AK133">
        <v>16</v>
      </c>
      <c r="AL133">
        <v>112</v>
      </c>
      <c r="AM133">
        <v>10</v>
      </c>
      <c r="AN133" s="48">
        <v>307.5</v>
      </c>
    </row>
    <row r="134" spans="2:40">
      <c r="B134" s="39" t="s">
        <v>311</v>
      </c>
      <c r="C134" s="44" t="s">
        <v>81</v>
      </c>
      <c r="D134" t="s">
        <v>164</v>
      </c>
      <c r="E134" t="s">
        <v>83</v>
      </c>
      <c r="F134" s="42">
        <v>46006</v>
      </c>
      <c r="G134" s="34">
        <f t="shared" ref="G134:G197" si="14">+F134+120</f>
        <v>46126</v>
      </c>
      <c r="H134" t="s">
        <v>169</v>
      </c>
      <c r="I134" s="34">
        <f t="shared" ref="I134:I197" si="15">+G134</f>
        <v>46126</v>
      </c>
      <c r="J134" t="s">
        <v>161</v>
      </c>
      <c r="K134" t="s">
        <v>853</v>
      </c>
      <c r="L134" t="s">
        <v>163</v>
      </c>
      <c r="M134" s="39" t="s">
        <v>311</v>
      </c>
      <c r="N134" t="s">
        <v>161</v>
      </c>
      <c r="Q134" s="39" t="s">
        <v>730</v>
      </c>
      <c r="U134" t="s">
        <v>854</v>
      </c>
      <c r="W134" t="s">
        <v>855</v>
      </c>
      <c r="X134">
        <v>1</v>
      </c>
      <c r="Y134">
        <v>0</v>
      </c>
      <c r="Z134">
        <v>0</v>
      </c>
      <c r="AA134" s="48">
        <v>307.5</v>
      </c>
      <c r="AC134" s="48">
        <v>307.5</v>
      </c>
      <c r="AF134" s="34">
        <f t="shared" si="12"/>
        <v>46335</v>
      </c>
      <c r="AG134" s="34">
        <f t="shared" si="13"/>
        <v>48160</v>
      </c>
      <c r="AH134" s="44" t="s">
        <v>857</v>
      </c>
      <c r="AK134">
        <v>16</v>
      </c>
      <c r="AL134">
        <v>112</v>
      </c>
      <c r="AM134">
        <v>10</v>
      </c>
      <c r="AN134" s="48">
        <v>307.5</v>
      </c>
    </row>
    <row r="135" spans="2:40">
      <c r="B135" s="39" t="s">
        <v>312</v>
      </c>
      <c r="C135" s="44" t="s">
        <v>81</v>
      </c>
      <c r="D135" t="s">
        <v>164</v>
      </c>
      <c r="E135" t="s">
        <v>83</v>
      </c>
      <c r="F135" s="42">
        <v>46006</v>
      </c>
      <c r="G135" s="34">
        <f t="shared" si="14"/>
        <v>46126</v>
      </c>
      <c r="H135" t="s">
        <v>169</v>
      </c>
      <c r="I135" s="34">
        <f t="shared" si="15"/>
        <v>46126</v>
      </c>
      <c r="J135" t="s">
        <v>161</v>
      </c>
      <c r="K135" t="s">
        <v>853</v>
      </c>
      <c r="L135" t="s">
        <v>163</v>
      </c>
      <c r="M135" s="39" t="s">
        <v>312</v>
      </c>
      <c r="N135" t="s">
        <v>161</v>
      </c>
      <c r="Q135" s="39" t="s">
        <v>730</v>
      </c>
      <c r="U135" t="s">
        <v>854</v>
      </c>
      <c r="W135" t="s">
        <v>855</v>
      </c>
      <c r="X135">
        <v>1</v>
      </c>
      <c r="Y135">
        <v>0</v>
      </c>
      <c r="Z135">
        <v>0</v>
      </c>
      <c r="AA135" s="48">
        <v>307.5</v>
      </c>
      <c r="AC135" s="48">
        <v>307.5</v>
      </c>
      <c r="AF135" s="34">
        <f t="shared" si="12"/>
        <v>46335</v>
      </c>
      <c r="AG135" s="34">
        <f t="shared" si="13"/>
        <v>48160</v>
      </c>
      <c r="AH135" s="44" t="s">
        <v>857</v>
      </c>
      <c r="AK135">
        <v>16</v>
      </c>
      <c r="AL135">
        <v>112</v>
      </c>
      <c r="AM135">
        <v>10</v>
      </c>
      <c r="AN135" s="48">
        <v>307.5</v>
      </c>
    </row>
    <row r="136" spans="2:40">
      <c r="B136" s="39" t="s">
        <v>313</v>
      </c>
      <c r="C136" s="44" t="s">
        <v>81</v>
      </c>
      <c r="D136" t="s">
        <v>164</v>
      </c>
      <c r="E136" t="s">
        <v>83</v>
      </c>
      <c r="F136" s="42">
        <v>46000</v>
      </c>
      <c r="G136" s="34">
        <f t="shared" si="14"/>
        <v>46120</v>
      </c>
      <c r="H136" t="s">
        <v>169</v>
      </c>
      <c r="I136" s="34">
        <f t="shared" si="15"/>
        <v>46120</v>
      </c>
      <c r="J136" t="s">
        <v>161</v>
      </c>
      <c r="K136" t="s">
        <v>853</v>
      </c>
      <c r="L136" t="s">
        <v>163</v>
      </c>
      <c r="M136" s="39" t="s">
        <v>313</v>
      </c>
      <c r="N136" t="s">
        <v>161</v>
      </c>
      <c r="Q136" s="39" t="s">
        <v>731</v>
      </c>
      <c r="U136" t="s">
        <v>854</v>
      </c>
      <c r="W136" t="s">
        <v>855</v>
      </c>
      <c r="X136">
        <v>1</v>
      </c>
      <c r="Y136">
        <v>0</v>
      </c>
      <c r="Z136">
        <v>0</v>
      </c>
      <c r="AA136" s="48">
        <v>307.5</v>
      </c>
      <c r="AC136" s="48">
        <v>307.5</v>
      </c>
      <c r="AF136" s="34">
        <f t="shared" si="12"/>
        <v>46329</v>
      </c>
      <c r="AG136" s="34">
        <f t="shared" si="13"/>
        <v>48154</v>
      </c>
      <c r="AH136" s="44" t="s">
        <v>857</v>
      </c>
      <c r="AK136">
        <v>16</v>
      </c>
      <c r="AL136">
        <v>112</v>
      </c>
      <c r="AM136">
        <v>10</v>
      </c>
      <c r="AN136" s="48">
        <v>307.5</v>
      </c>
    </row>
    <row r="137" spans="2:40">
      <c r="B137" s="39" t="s">
        <v>314</v>
      </c>
      <c r="C137" s="44" t="s">
        <v>81</v>
      </c>
      <c r="D137" t="s">
        <v>164</v>
      </c>
      <c r="E137" t="s">
        <v>83</v>
      </c>
      <c r="F137" s="42">
        <v>46000</v>
      </c>
      <c r="G137" s="34">
        <f t="shared" si="14"/>
        <v>46120</v>
      </c>
      <c r="H137" t="s">
        <v>169</v>
      </c>
      <c r="I137" s="34">
        <f t="shared" si="15"/>
        <v>46120</v>
      </c>
      <c r="J137" t="s">
        <v>161</v>
      </c>
      <c r="K137" t="s">
        <v>853</v>
      </c>
      <c r="L137" t="s">
        <v>163</v>
      </c>
      <c r="M137" s="39" t="s">
        <v>314</v>
      </c>
      <c r="N137" t="s">
        <v>161</v>
      </c>
      <c r="Q137" s="39" t="s">
        <v>731</v>
      </c>
      <c r="U137" t="s">
        <v>854</v>
      </c>
      <c r="W137" t="s">
        <v>855</v>
      </c>
      <c r="X137">
        <v>1</v>
      </c>
      <c r="Y137">
        <v>0</v>
      </c>
      <c r="Z137">
        <v>0</v>
      </c>
      <c r="AA137" s="48">
        <v>307.5</v>
      </c>
      <c r="AC137" s="48">
        <v>307.5</v>
      </c>
      <c r="AF137" s="34">
        <f t="shared" si="12"/>
        <v>46329</v>
      </c>
      <c r="AG137" s="34">
        <f t="shared" si="13"/>
        <v>48154</v>
      </c>
      <c r="AH137" s="44" t="s">
        <v>857</v>
      </c>
      <c r="AK137">
        <v>16</v>
      </c>
      <c r="AL137">
        <v>112</v>
      </c>
      <c r="AM137">
        <v>10</v>
      </c>
      <c r="AN137" s="48">
        <v>307.5</v>
      </c>
    </row>
    <row r="138" spans="2:40">
      <c r="B138" s="39" t="s">
        <v>315</v>
      </c>
      <c r="C138" s="44" t="s">
        <v>81</v>
      </c>
      <c r="D138" t="s">
        <v>164</v>
      </c>
      <c r="E138" t="s">
        <v>83</v>
      </c>
      <c r="F138" s="42">
        <v>46000</v>
      </c>
      <c r="G138" s="34">
        <f t="shared" si="14"/>
        <v>46120</v>
      </c>
      <c r="H138" t="s">
        <v>169</v>
      </c>
      <c r="I138" s="34">
        <f t="shared" si="15"/>
        <v>46120</v>
      </c>
      <c r="J138" t="s">
        <v>161</v>
      </c>
      <c r="K138" t="s">
        <v>853</v>
      </c>
      <c r="L138" t="s">
        <v>163</v>
      </c>
      <c r="M138" s="39" t="s">
        <v>315</v>
      </c>
      <c r="N138" t="s">
        <v>161</v>
      </c>
      <c r="Q138" s="39" t="s">
        <v>731</v>
      </c>
      <c r="U138" t="s">
        <v>854</v>
      </c>
      <c r="W138" t="s">
        <v>855</v>
      </c>
      <c r="X138">
        <v>1</v>
      </c>
      <c r="Y138">
        <v>0</v>
      </c>
      <c r="Z138">
        <v>0</v>
      </c>
      <c r="AA138" s="48">
        <v>307.5</v>
      </c>
      <c r="AC138" s="48">
        <v>307.5</v>
      </c>
      <c r="AF138" s="34">
        <f t="shared" ref="AF138:AF201" si="16">+F138+(47*7)</f>
        <v>46329</v>
      </c>
      <c r="AG138" s="34">
        <f t="shared" ref="AG138:AG201" si="17">+AF138+(365*5)</f>
        <v>48154</v>
      </c>
      <c r="AH138" s="44" t="s">
        <v>857</v>
      </c>
      <c r="AK138">
        <v>16</v>
      </c>
      <c r="AL138">
        <v>112</v>
      </c>
      <c r="AM138">
        <v>10</v>
      </c>
      <c r="AN138" s="48">
        <v>307.5</v>
      </c>
    </row>
    <row r="139" spans="2:40">
      <c r="B139" s="39" t="s">
        <v>316</v>
      </c>
      <c r="C139" s="44" t="s">
        <v>81</v>
      </c>
      <c r="D139" t="s">
        <v>164</v>
      </c>
      <c r="E139" t="s">
        <v>83</v>
      </c>
      <c r="F139" s="42">
        <v>46000</v>
      </c>
      <c r="G139" s="34">
        <f t="shared" si="14"/>
        <v>46120</v>
      </c>
      <c r="H139" t="s">
        <v>169</v>
      </c>
      <c r="I139" s="34">
        <f t="shared" si="15"/>
        <v>46120</v>
      </c>
      <c r="J139" t="s">
        <v>161</v>
      </c>
      <c r="K139" t="s">
        <v>853</v>
      </c>
      <c r="L139" t="s">
        <v>163</v>
      </c>
      <c r="M139" s="39" t="s">
        <v>316</v>
      </c>
      <c r="N139" t="s">
        <v>161</v>
      </c>
      <c r="Q139" s="39" t="s">
        <v>731</v>
      </c>
      <c r="U139" t="s">
        <v>854</v>
      </c>
      <c r="W139" t="s">
        <v>855</v>
      </c>
      <c r="X139">
        <v>1</v>
      </c>
      <c r="Y139">
        <v>0</v>
      </c>
      <c r="Z139">
        <v>0</v>
      </c>
      <c r="AA139" s="48">
        <v>307.5</v>
      </c>
      <c r="AC139" s="48">
        <v>307.5</v>
      </c>
      <c r="AF139" s="34">
        <f t="shared" si="16"/>
        <v>46329</v>
      </c>
      <c r="AG139" s="34">
        <f t="shared" si="17"/>
        <v>48154</v>
      </c>
      <c r="AH139" s="44" t="s">
        <v>857</v>
      </c>
      <c r="AK139">
        <v>16</v>
      </c>
      <c r="AL139">
        <v>112</v>
      </c>
      <c r="AM139">
        <v>10</v>
      </c>
      <c r="AN139" s="48">
        <v>307.5</v>
      </c>
    </row>
    <row r="140" spans="2:40">
      <c r="B140" s="39" t="s">
        <v>317</v>
      </c>
      <c r="C140" s="44" t="s">
        <v>81</v>
      </c>
      <c r="D140" t="s">
        <v>164</v>
      </c>
      <c r="E140" t="s">
        <v>83</v>
      </c>
      <c r="F140" s="42">
        <v>46000</v>
      </c>
      <c r="G140" s="34">
        <f t="shared" si="14"/>
        <v>46120</v>
      </c>
      <c r="H140" t="s">
        <v>169</v>
      </c>
      <c r="I140" s="34">
        <f t="shared" si="15"/>
        <v>46120</v>
      </c>
      <c r="J140" t="s">
        <v>161</v>
      </c>
      <c r="K140" t="s">
        <v>853</v>
      </c>
      <c r="L140" t="s">
        <v>163</v>
      </c>
      <c r="M140" s="39" t="s">
        <v>317</v>
      </c>
      <c r="N140" t="s">
        <v>161</v>
      </c>
      <c r="Q140" s="39" t="s">
        <v>731</v>
      </c>
      <c r="U140" t="s">
        <v>854</v>
      </c>
      <c r="W140" t="s">
        <v>855</v>
      </c>
      <c r="X140">
        <v>1</v>
      </c>
      <c r="Y140">
        <v>0</v>
      </c>
      <c r="Z140">
        <v>0</v>
      </c>
      <c r="AA140" s="48">
        <v>307.5</v>
      </c>
      <c r="AC140" s="48">
        <v>307.5</v>
      </c>
      <c r="AF140" s="34">
        <f t="shared" si="16"/>
        <v>46329</v>
      </c>
      <c r="AG140" s="34">
        <f t="shared" si="17"/>
        <v>48154</v>
      </c>
      <c r="AH140" s="44" t="s">
        <v>857</v>
      </c>
      <c r="AK140">
        <v>16</v>
      </c>
      <c r="AL140">
        <v>112</v>
      </c>
      <c r="AM140">
        <v>10</v>
      </c>
      <c r="AN140" s="48">
        <v>307.5</v>
      </c>
    </row>
    <row r="141" spans="2:40">
      <c r="B141" s="39" t="s">
        <v>318</v>
      </c>
      <c r="C141" s="44" t="s">
        <v>81</v>
      </c>
      <c r="D141" t="s">
        <v>164</v>
      </c>
      <c r="E141" t="s">
        <v>83</v>
      </c>
      <c r="F141" s="42">
        <v>45993</v>
      </c>
      <c r="G141" s="34">
        <f t="shared" si="14"/>
        <v>46113</v>
      </c>
      <c r="H141" t="s">
        <v>169</v>
      </c>
      <c r="I141" s="34">
        <f t="shared" si="15"/>
        <v>46113</v>
      </c>
      <c r="J141" t="s">
        <v>161</v>
      </c>
      <c r="K141" t="s">
        <v>853</v>
      </c>
      <c r="L141" t="s">
        <v>163</v>
      </c>
      <c r="M141" s="39" t="s">
        <v>318</v>
      </c>
      <c r="N141" t="s">
        <v>161</v>
      </c>
      <c r="Q141" s="39" t="s">
        <v>732</v>
      </c>
      <c r="U141" t="s">
        <v>854</v>
      </c>
      <c r="W141" t="s">
        <v>855</v>
      </c>
      <c r="X141">
        <v>1</v>
      </c>
      <c r="Y141">
        <v>0</v>
      </c>
      <c r="Z141">
        <v>0</v>
      </c>
      <c r="AA141" s="48">
        <v>307.5</v>
      </c>
      <c r="AC141" s="48">
        <v>307.5</v>
      </c>
      <c r="AF141" s="34">
        <f t="shared" si="16"/>
        <v>46322</v>
      </c>
      <c r="AG141" s="34">
        <f t="shared" si="17"/>
        <v>48147</v>
      </c>
      <c r="AH141" s="44" t="s">
        <v>857</v>
      </c>
      <c r="AK141">
        <v>16</v>
      </c>
      <c r="AL141">
        <v>112</v>
      </c>
      <c r="AM141">
        <v>10</v>
      </c>
      <c r="AN141" s="48">
        <v>307.5</v>
      </c>
    </row>
    <row r="142" spans="2:40">
      <c r="B142" s="39" t="s">
        <v>319</v>
      </c>
      <c r="C142" s="44" t="s">
        <v>81</v>
      </c>
      <c r="D142" t="s">
        <v>164</v>
      </c>
      <c r="E142" t="s">
        <v>83</v>
      </c>
      <c r="F142" s="42">
        <v>45993</v>
      </c>
      <c r="G142" s="34">
        <f t="shared" si="14"/>
        <v>46113</v>
      </c>
      <c r="H142" t="s">
        <v>169</v>
      </c>
      <c r="I142" s="34">
        <f t="shared" si="15"/>
        <v>46113</v>
      </c>
      <c r="J142" t="s">
        <v>161</v>
      </c>
      <c r="K142" t="s">
        <v>853</v>
      </c>
      <c r="L142" t="s">
        <v>163</v>
      </c>
      <c r="M142" s="39" t="s">
        <v>319</v>
      </c>
      <c r="N142" t="s">
        <v>161</v>
      </c>
      <c r="Q142" s="39" t="s">
        <v>732</v>
      </c>
      <c r="U142" t="s">
        <v>854</v>
      </c>
      <c r="W142" t="s">
        <v>855</v>
      </c>
      <c r="X142">
        <v>1</v>
      </c>
      <c r="Y142">
        <v>0</v>
      </c>
      <c r="Z142">
        <v>0</v>
      </c>
      <c r="AA142" s="48">
        <v>307.5</v>
      </c>
      <c r="AC142" s="48">
        <v>307.5</v>
      </c>
      <c r="AF142" s="34">
        <f t="shared" si="16"/>
        <v>46322</v>
      </c>
      <c r="AG142" s="34">
        <f t="shared" si="17"/>
        <v>48147</v>
      </c>
      <c r="AH142" s="44" t="s">
        <v>857</v>
      </c>
      <c r="AK142">
        <v>16</v>
      </c>
      <c r="AL142">
        <v>112</v>
      </c>
      <c r="AM142">
        <v>10</v>
      </c>
      <c r="AN142" s="48">
        <v>307.5</v>
      </c>
    </row>
    <row r="143" spans="2:40">
      <c r="B143" s="39" t="s">
        <v>320</v>
      </c>
      <c r="C143" s="44" t="s">
        <v>81</v>
      </c>
      <c r="D143" t="s">
        <v>164</v>
      </c>
      <c r="E143" t="s">
        <v>83</v>
      </c>
      <c r="F143" s="42">
        <v>45993</v>
      </c>
      <c r="G143" s="34">
        <f t="shared" si="14"/>
        <v>46113</v>
      </c>
      <c r="H143" t="s">
        <v>169</v>
      </c>
      <c r="I143" s="34">
        <f t="shared" si="15"/>
        <v>46113</v>
      </c>
      <c r="J143" t="s">
        <v>161</v>
      </c>
      <c r="K143" t="s">
        <v>853</v>
      </c>
      <c r="L143" t="s">
        <v>163</v>
      </c>
      <c r="M143" s="39" t="s">
        <v>320</v>
      </c>
      <c r="N143" t="s">
        <v>161</v>
      </c>
      <c r="Q143" s="39" t="s">
        <v>732</v>
      </c>
      <c r="U143" t="s">
        <v>854</v>
      </c>
      <c r="W143" t="s">
        <v>855</v>
      </c>
      <c r="X143">
        <v>1</v>
      </c>
      <c r="Y143">
        <v>0</v>
      </c>
      <c r="Z143">
        <v>0</v>
      </c>
      <c r="AA143" s="48">
        <v>307.5</v>
      </c>
      <c r="AC143" s="48">
        <v>307.5</v>
      </c>
      <c r="AF143" s="34">
        <f t="shared" si="16"/>
        <v>46322</v>
      </c>
      <c r="AG143" s="34">
        <f t="shared" si="17"/>
        <v>48147</v>
      </c>
      <c r="AH143" s="44" t="s">
        <v>857</v>
      </c>
      <c r="AK143">
        <v>16</v>
      </c>
      <c r="AL143">
        <v>112</v>
      </c>
      <c r="AM143">
        <v>10</v>
      </c>
      <c r="AN143" s="48">
        <v>307.5</v>
      </c>
    </row>
    <row r="144" spans="2:40">
      <c r="B144" s="39" t="s">
        <v>321</v>
      </c>
      <c r="C144" s="44" t="s">
        <v>81</v>
      </c>
      <c r="D144" t="s">
        <v>164</v>
      </c>
      <c r="E144" t="s">
        <v>83</v>
      </c>
      <c r="F144" s="42">
        <v>45993</v>
      </c>
      <c r="G144" s="34">
        <f t="shared" si="14"/>
        <v>46113</v>
      </c>
      <c r="H144" t="s">
        <v>169</v>
      </c>
      <c r="I144" s="34">
        <f t="shared" si="15"/>
        <v>46113</v>
      </c>
      <c r="J144" t="s">
        <v>161</v>
      </c>
      <c r="K144" t="s">
        <v>853</v>
      </c>
      <c r="L144" t="s">
        <v>163</v>
      </c>
      <c r="M144" s="39" t="s">
        <v>321</v>
      </c>
      <c r="N144" t="s">
        <v>161</v>
      </c>
      <c r="Q144" s="39" t="s">
        <v>732</v>
      </c>
      <c r="U144" t="s">
        <v>854</v>
      </c>
      <c r="W144" t="s">
        <v>855</v>
      </c>
      <c r="X144">
        <v>1</v>
      </c>
      <c r="Y144">
        <v>0</v>
      </c>
      <c r="Z144">
        <v>0</v>
      </c>
      <c r="AA144" s="48">
        <v>307.5</v>
      </c>
      <c r="AC144" s="48">
        <v>307.5</v>
      </c>
      <c r="AF144" s="34">
        <f t="shared" si="16"/>
        <v>46322</v>
      </c>
      <c r="AG144" s="34">
        <f t="shared" si="17"/>
        <v>48147</v>
      </c>
      <c r="AH144" s="44" t="s">
        <v>857</v>
      </c>
      <c r="AK144">
        <v>16</v>
      </c>
      <c r="AL144">
        <v>112</v>
      </c>
      <c r="AM144">
        <v>10</v>
      </c>
      <c r="AN144" s="48">
        <v>307.5</v>
      </c>
    </row>
    <row r="145" spans="2:40">
      <c r="B145" s="39" t="s">
        <v>322</v>
      </c>
      <c r="C145" s="44" t="s">
        <v>81</v>
      </c>
      <c r="D145" t="s">
        <v>164</v>
      </c>
      <c r="E145" t="s">
        <v>83</v>
      </c>
      <c r="F145" s="42">
        <v>45990</v>
      </c>
      <c r="G145" s="34">
        <f t="shared" si="14"/>
        <v>46110</v>
      </c>
      <c r="H145" t="s">
        <v>169</v>
      </c>
      <c r="I145" s="34">
        <f t="shared" si="15"/>
        <v>46110</v>
      </c>
      <c r="J145" t="s">
        <v>161</v>
      </c>
      <c r="K145" t="s">
        <v>853</v>
      </c>
      <c r="L145" t="s">
        <v>163</v>
      </c>
      <c r="M145" s="39" t="s">
        <v>322</v>
      </c>
      <c r="N145" t="s">
        <v>161</v>
      </c>
      <c r="Q145" s="39" t="s">
        <v>733</v>
      </c>
      <c r="U145" t="s">
        <v>854</v>
      </c>
      <c r="W145" t="s">
        <v>855</v>
      </c>
      <c r="X145">
        <v>1</v>
      </c>
      <c r="Y145">
        <v>0</v>
      </c>
      <c r="Z145">
        <v>0</v>
      </c>
      <c r="AA145" s="48">
        <v>307.5</v>
      </c>
      <c r="AC145" s="48">
        <v>307.5</v>
      </c>
      <c r="AF145" s="34">
        <f t="shared" si="16"/>
        <v>46319</v>
      </c>
      <c r="AG145" s="34">
        <f t="shared" si="17"/>
        <v>48144</v>
      </c>
      <c r="AH145" s="44" t="s">
        <v>857</v>
      </c>
      <c r="AK145">
        <v>16</v>
      </c>
      <c r="AL145">
        <v>112</v>
      </c>
      <c r="AM145">
        <v>10</v>
      </c>
      <c r="AN145" s="48">
        <v>307.5</v>
      </c>
    </row>
    <row r="146" spans="2:40">
      <c r="B146" s="39" t="s">
        <v>323</v>
      </c>
      <c r="C146" s="44" t="s">
        <v>81</v>
      </c>
      <c r="D146" t="s">
        <v>164</v>
      </c>
      <c r="E146" t="s">
        <v>83</v>
      </c>
      <c r="F146" s="42">
        <v>45990</v>
      </c>
      <c r="G146" s="34">
        <f t="shared" si="14"/>
        <v>46110</v>
      </c>
      <c r="H146" t="s">
        <v>169</v>
      </c>
      <c r="I146" s="34">
        <f t="shared" si="15"/>
        <v>46110</v>
      </c>
      <c r="J146" t="s">
        <v>161</v>
      </c>
      <c r="K146" t="s">
        <v>853</v>
      </c>
      <c r="L146" t="s">
        <v>163</v>
      </c>
      <c r="M146" s="39" t="s">
        <v>323</v>
      </c>
      <c r="N146" t="s">
        <v>161</v>
      </c>
      <c r="Q146" s="39" t="s">
        <v>733</v>
      </c>
      <c r="U146" t="s">
        <v>854</v>
      </c>
      <c r="W146" t="s">
        <v>855</v>
      </c>
      <c r="X146">
        <v>1</v>
      </c>
      <c r="Y146">
        <v>0</v>
      </c>
      <c r="Z146">
        <v>0</v>
      </c>
      <c r="AA146" s="48">
        <v>307.5</v>
      </c>
      <c r="AC146" s="48">
        <v>307.5</v>
      </c>
      <c r="AF146" s="34">
        <f t="shared" si="16"/>
        <v>46319</v>
      </c>
      <c r="AG146" s="34">
        <f t="shared" si="17"/>
        <v>48144</v>
      </c>
      <c r="AH146" s="44" t="s">
        <v>857</v>
      </c>
      <c r="AK146">
        <v>16</v>
      </c>
      <c r="AL146">
        <v>112</v>
      </c>
      <c r="AM146">
        <v>10</v>
      </c>
      <c r="AN146" s="48">
        <v>307.5</v>
      </c>
    </row>
    <row r="147" spans="2:40">
      <c r="B147" s="39" t="s">
        <v>324</v>
      </c>
      <c r="C147" s="44" t="s">
        <v>81</v>
      </c>
      <c r="D147" t="s">
        <v>164</v>
      </c>
      <c r="E147" t="s">
        <v>83</v>
      </c>
      <c r="F147" s="42">
        <v>45990</v>
      </c>
      <c r="G147" s="34">
        <f t="shared" si="14"/>
        <v>46110</v>
      </c>
      <c r="H147" t="s">
        <v>169</v>
      </c>
      <c r="I147" s="34">
        <f t="shared" si="15"/>
        <v>46110</v>
      </c>
      <c r="J147" t="s">
        <v>161</v>
      </c>
      <c r="K147" t="s">
        <v>853</v>
      </c>
      <c r="L147" t="s">
        <v>163</v>
      </c>
      <c r="M147" s="39" t="s">
        <v>324</v>
      </c>
      <c r="N147" t="s">
        <v>161</v>
      </c>
      <c r="Q147" s="39" t="s">
        <v>733</v>
      </c>
      <c r="U147" t="s">
        <v>854</v>
      </c>
      <c r="W147" t="s">
        <v>855</v>
      </c>
      <c r="X147">
        <v>1</v>
      </c>
      <c r="Y147">
        <v>0</v>
      </c>
      <c r="Z147">
        <v>0</v>
      </c>
      <c r="AA147" s="48">
        <v>307.5</v>
      </c>
      <c r="AC147" s="48">
        <v>307.5</v>
      </c>
      <c r="AF147" s="34">
        <f t="shared" si="16"/>
        <v>46319</v>
      </c>
      <c r="AG147" s="34">
        <f t="shared" si="17"/>
        <v>48144</v>
      </c>
      <c r="AH147" s="44" t="s">
        <v>857</v>
      </c>
      <c r="AK147">
        <v>16</v>
      </c>
      <c r="AL147">
        <v>112</v>
      </c>
      <c r="AM147">
        <v>10</v>
      </c>
      <c r="AN147" s="48">
        <v>307.5</v>
      </c>
    </row>
    <row r="148" spans="2:40">
      <c r="B148" s="39" t="s">
        <v>325</v>
      </c>
      <c r="C148" s="44" t="s">
        <v>81</v>
      </c>
      <c r="D148" t="s">
        <v>164</v>
      </c>
      <c r="E148" t="s">
        <v>83</v>
      </c>
      <c r="F148" s="42">
        <v>45990</v>
      </c>
      <c r="G148" s="34">
        <f t="shared" si="14"/>
        <v>46110</v>
      </c>
      <c r="H148" t="s">
        <v>169</v>
      </c>
      <c r="I148" s="34">
        <f t="shared" si="15"/>
        <v>46110</v>
      </c>
      <c r="J148" t="s">
        <v>161</v>
      </c>
      <c r="K148" t="s">
        <v>853</v>
      </c>
      <c r="L148" t="s">
        <v>163</v>
      </c>
      <c r="M148" s="39" t="s">
        <v>325</v>
      </c>
      <c r="N148" t="s">
        <v>161</v>
      </c>
      <c r="Q148" s="39" t="s">
        <v>733</v>
      </c>
      <c r="U148" t="s">
        <v>854</v>
      </c>
      <c r="W148" t="s">
        <v>855</v>
      </c>
      <c r="X148">
        <v>1</v>
      </c>
      <c r="Y148">
        <v>0</v>
      </c>
      <c r="Z148">
        <v>0</v>
      </c>
      <c r="AA148" s="48">
        <v>307.5</v>
      </c>
      <c r="AC148" s="48">
        <v>307.5</v>
      </c>
      <c r="AF148" s="34">
        <f t="shared" si="16"/>
        <v>46319</v>
      </c>
      <c r="AG148" s="34">
        <f t="shared" si="17"/>
        <v>48144</v>
      </c>
      <c r="AH148" s="44" t="s">
        <v>857</v>
      </c>
      <c r="AK148">
        <v>16</v>
      </c>
      <c r="AL148">
        <v>112</v>
      </c>
      <c r="AM148">
        <v>10</v>
      </c>
      <c r="AN148" s="48">
        <v>307.5</v>
      </c>
    </row>
    <row r="149" spans="2:40">
      <c r="B149" s="39" t="s">
        <v>326</v>
      </c>
      <c r="C149" s="44" t="s">
        <v>81</v>
      </c>
      <c r="D149" t="s">
        <v>164</v>
      </c>
      <c r="E149" t="s">
        <v>83</v>
      </c>
      <c r="F149" s="42">
        <v>45980</v>
      </c>
      <c r="G149" s="34">
        <f t="shared" si="14"/>
        <v>46100</v>
      </c>
      <c r="H149" t="s">
        <v>169</v>
      </c>
      <c r="I149" s="34">
        <f t="shared" si="15"/>
        <v>46100</v>
      </c>
      <c r="J149" t="s">
        <v>161</v>
      </c>
      <c r="K149" t="s">
        <v>853</v>
      </c>
      <c r="L149" t="s">
        <v>163</v>
      </c>
      <c r="M149" s="39" t="s">
        <v>326</v>
      </c>
      <c r="N149" t="s">
        <v>161</v>
      </c>
      <c r="Q149" s="39" t="s">
        <v>734</v>
      </c>
      <c r="U149" t="s">
        <v>854</v>
      </c>
      <c r="W149" t="s">
        <v>855</v>
      </c>
      <c r="X149">
        <v>1</v>
      </c>
      <c r="Y149">
        <v>0</v>
      </c>
      <c r="Z149">
        <v>0</v>
      </c>
      <c r="AA149" s="48">
        <v>307.5</v>
      </c>
      <c r="AC149" s="48">
        <v>307.5</v>
      </c>
      <c r="AF149" s="34">
        <f t="shared" si="16"/>
        <v>46309</v>
      </c>
      <c r="AG149" s="34">
        <f t="shared" si="17"/>
        <v>48134</v>
      </c>
      <c r="AH149" s="44" t="s">
        <v>857</v>
      </c>
      <c r="AK149">
        <v>16</v>
      </c>
      <c r="AL149">
        <v>112</v>
      </c>
      <c r="AM149">
        <v>10</v>
      </c>
      <c r="AN149" s="48">
        <v>307.5</v>
      </c>
    </row>
    <row r="150" spans="2:40">
      <c r="B150" s="39" t="s">
        <v>327</v>
      </c>
      <c r="C150" s="44" t="s">
        <v>81</v>
      </c>
      <c r="D150" t="s">
        <v>164</v>
      </c>
      <c r="E150" t="s">
        <v>83</v>
      </c>
      <c r="F150" s="42">
        <v>45980</v>
      </c>
      <c r="G150" s="34">
        <f t="shared" si="14"/>
        <v>46100</v>
      </c>
      <c r="H150" t="s">
        <v>169</v>
      </c>
      <c r="I150" s="34">
        <f t="shared" si="15"/>
        <v>46100</v>
      </c>
      <c r="J150" t="s">
        <v>161</v>
      </c>
      <c r="K150" t="s">
        <v>853</v>
      </c>
      <c r="L150" t="s">
        <v>163</v>
      </c>
      <c r="M150" s="39" t="s">
        <v>327</v>
      </c>
      <c r="N150" t="s">
        <v>161</v>
      </c>
      <c r="Q150" s="39" t="s">
        <v>734</v>
      </c>
      <c r="U150" t="s">
        <v>854</v>
      </c>
      <c r="W150" t="s">
        <v>855</v>
      </c>
      <c r="X150">
        <v>1</v>
      </c>
      <c r="Y150">
        <v>0</v>
      </c>
      <c r="Z150">
        <v>0</v>
      </c>
      <c r="AA150" s="48">
        <v>307.5</v>
      </c>
      <c r="AC150" s="48">
        <v>307.5</v>
      </c>
      <c r="AF150" s="34">
        <f t="shared" si="16"/>
        <v>46309</v>
      </c>
      <c r="AG150" s="34">
        <f t="shared" si="17"/>
        <v>48134</v>
      </c>
      <c r="AH150" s="44" t="s">
        <v>857</v>
      </c>
      <c r="AK150">
        <v>16</v>
      </c>
      <c r="AL150">
        <v>112</v>
      </c>
      <c r="AM150">
        <v>10</v>
      </c>
      <c r="AN150" s="48">
        <v>307.5</v>
      </c>
    </row>
    <row r="151" spans="2:40">
      <c r="B151" s="39" t="s">
        <v>328</v>
      </c>
      <c r="C151" s="44" t="s">
        <v>81</v>
      </c>
      <c r="D151" t="s">
        <v>164</v>
      </c>
      <c r="E151" t="s">
        <v>83</v>
      </c>
      <c r="F151" s="42">
        <v>45980</v>
      </c>
      <c r="G151" s="34">
        <f t="shared" si="14"/>
        <v>46100</v>
      </c>
      <c r="H151" t="s">
        <v>169</v>
      </c>
      <c r="I151" s="34">
        <f t="shared" si="15"/>
        <v>46100</v>
      </c>
      <c r="J151" t="s">
        <v>161</v>
      </c>
      <c r="K151" t="s">
        <v>853</v>
      </c>
      <c r="L151" t="s">
        <v>163</v>
      </c>
      <c r="M151" s="39" t="s">
        <v>328</v>
      </c>
      <c r="N151" t="s">
        <v>161</v>
      </c>
      <c r="Q151" s="39" t="s">
        <v>734</v>
      </c>
      <c r="U151" t="s">
        <v>854</v>
      </c>
      <c r="W151" t="s">
        <v>855</v>
      </c>
      <c r="X151">
        <v>1</v>
      </c>
      <c r="Y151">
        <v>0</v>
      </c>
      <c r="Z151">
        <v>0</v>
      </c>
      <c r="AA151" s="48">
        <v>307.5</v>
      </c>
      <c r="AC151" s="48">
        <v>307.5</v>
      </c>
      <c r="AF151" s="34">
        <f t="shared" si="16"/>
        <v>46309</v>
      </c>
      <c r="AG151" s="34">
        <f t="shared" si="17"/>
        <v>48134</v>
      </c>
      <c r="AH151" s="44" t="s">
        <v>857</v>
      </c>
      <c r="AK151">
        <v>16</v>
      </c>
      <c r="AL151">
        <v>112</v>
      </c>
      <c r="AM151">
        <v>10</v>
      </c>
      <c r="AN151" s="48">
        <v>307.5</v>
      </c>
    </row>
    <row r="152" spans="2:40">
      <c r="B152" s="39" t="s">
        <v>329</v>
      </c>
      <c r="C152" s="44" t="s">
        <v>81</v>
      </c>
      <c r="D152" t="s">
        <v>164</v>
      </c>
      <c r="E152" t="s">
        <v>83</v>
      </c>
      <c r="F152" s="42">
        <v>45980</v>
      </c>
      <c r="G152" s="34">
        <f t="shared" si="14"/>
        <v>46100</v>
      </c>
      <c r="H152" t="s">
        <v>169</v>
      </c>
      <c r="I152" s="34">
        <f t="shared" si="15"/>
        <v>46100</v>
      </c>
      <c r="J152" t="s">
        <v>161</v>
      </c>
      <c r="K152" t="s">
        <v>853</v>
      </c>
      <c r="L152" t="s">
        <v>163</v>
      </c>
      <c r="M152" s="39" t="s">
        <v>329</v>
      </c>
      <c r="N152" t="s">
        <v>161</v>
      </c>
      <c r="Q152" s="39" t="s">
        <v>734</v>
      </c>
      <c r="U152" t="s">
        <v>854</v>
      </c>
      <c r="W152" t="s">
        <v>855</v>
      </c>
      <c r="X152">
        <v>1</v>
      </c>
      <c r="Y152">
        <v>0</v>
      </c>
      <c r="Z152">
        <v>0</v>
      </c>
      <c r="AA152" s="48">
        <v>307.5</v>
      </c>
      <c r="AC152" s="48">
        <v>307.5</v>
      </c>
      <c r="AF152" s="34">
        <f t="shared" si="16"/>
        <v>46309</v>
      </c>
      <c r="AG152" s="34">
        <f t="shared" si="17"/>
        <v>48134</v>
      </c>
      <c r="AH152" s="44" t="s">
        <v>857</v>
      </c>
      <c r="AK152">
        <v>16</v>
      </c>
      <c r="AL152">
        <v>112</v>
      </c>
      <c r="AM152">
        <v>10</v>
      </c>
      <c r="AN152" s="48">
        <v>307.5</v>
      </c>
    </row>
    <row r="153" spans="2:40">
      <c r="B153" s="39" t="s">
        <v>330</v>
      </c>
      <c r="C153" s="44" t="s">
        <v>81</v>
      </c>
      <c r="D153" t="s">
        <v>164</v>
      </c>
      <c r="E153" t="s">
        <v>83</v>
      </c>
      <c r="F153" s="42">
        <v>45974</v>
      </c>
      <c r="G153" s="34">
        <f t="shared" si="14"/>
        <v>46094</v>
      </c>
      <c r="H153" t="s">
        <v>169</v>
      </c>
      <c r="I153" s="34">
        <f t="shared" si="15"/>
        <v>46094</v>
      </c>
      <c r="J153" t="s">
        <v>161</v>
      </c>
      <c r="K153" t="s">
        <v>853</v>
      </c>
      <c r="L153" t="s">
        <v>163</v>
      </c>
      <c r="M153" s="39" t="s">
        <v>330</v>
      </c>
      <c r="N153" t="s">
        <v>161</v>
      </c>
      <c r="Q153" s="39" t="s">
        <v>735</v>
      </c>
      <c r="U153" t="s">
        <v>854</v>
      </c>
      <c r="W153" t="s">
        <v>855</v>
      </c>
      <c r="X153">
        <v>1</v>
      </c>
      <c r="Y153">
        <v>0</v>
      </c>
      <c r="Z153">
        <v>0</v>
      </c>
      <c r="AA153" s="48">
        <v>307.5</v>
      </c>
      <c r="AC153" s="48">
        <v>307.5</v>
      </c>
      <c r="AF153" s="34">
        <f t="shared" si="16"/>
        <v>46303</v>
      </c>
      <c r="AG153" s="34">
        <f t="shared" si="17"/>
        <v>48128</v>
      </c>
      <c r="AH153" s="44" t="s">
        <v>857</v>
      </c>
      <c r="AK153">
        <v>16</v>
      </c>
      <c r="AL153">
        <v>112</v>
      </c>
      <c r="AM153">
        <v>10</v>
      </c>
      <c r="AN153" s="48">
        <v>307.5</v>
      </c>
    </row>
    <row r="154" spans="2:40">
      <c r="B154" s="39" t="s">
        <v>331</v>
      </c>
      <c r="C154" s="44" t="s">
        <v>81</v>
      </c>
      <c r="D154" t="s">
        <v>164</v>
      </c>
      <c r="E154" t="s">
        <v>83</v>
      </c>
      <c r="F154" s="42">
        <v>45974</v>
      </c>
      <c r="G154" s="34">
        <f t="shared" si="14"/>
        <v>46094</v>
      </c>
      <c r="H154" t="s">
        <v>169</v>
      </c>
      <c r="I154" s="34">
        <f t="shared" si="15"/>
        <v>46094</v>
      </c>
      <c r="J154" t="s">
        <v>161</v>
      </c>
      <c r="K154" t="s">
        <v>853</v>
      </c>
      <c r="L154" t="s">
        <v>163</v>
      </c>
      <c r="M154" s="39" t="s">
        <v>331</v>
      </c>
      <c r="N154" t="s">
        <v>161</v>
      </c>
      <c r="Q154" s="39" t="s">
        <v>735</v>
      </c>
      <c r="U154" t="s">
        <v>854</v>
      </c>
      <c r="W154" t="s">
        <v>855</v>
      </c>
      <c r="X154">
        <v>1</v>
      </c>
      <c r="Y154">
        <v>0</v>
      </c>
      <c r="Z154">
        <v>0</v>
      </c>
      <c r="AA154" s="48">
        <v>307.5</v>
      </c>
      <c r="AC154" s="48">
        <v>307.5</v>
      </c>
      <c r="AF154" s="34">
        <f t="shared" si="16"/>
        <v>46303</v>
      </c>
      <c r="AG154" s="34">
        <f t="shared" si="17"/>
        <v>48128</v>
      </c>
      <c r="AH154" s="44" t="s">
        <v>857</v>
      </c>
      <c r="AK154">
        <v>16</v>
      </c>
      <c r="AL154">
        <v>112</v>
      </c>
      <c r="AM154">
        <v>10</v>
      </c>
      <c r="AN154" s="48">
        <v>307.5</v>
      </c>
    </row>
    <row r="155" spans="2:40">
      <c r="B155" s="39" t="s">
        <v>332</v>
      </c>
      <c r="C155" s="44" t="s">
        <v>81</v>
      </c>
      <c r="D155" t="s">
        <v>164</v>
      </c>
      <c r="E155" t="s">
        <v>83</v>
      </c>
      <c r="F155" s="42">
        <v>45974</v>
      </c>
      <c r="G155" s="34">
        <f t="shared" si="14"/>
        <v>46094</v>
      </c>
      <c r="H155" t="s">
        <v>169</v>
      </c>
      <c r="I155" s="34">
        <f t="shared" si="15"/>
        <v>46094</v>
      </c>
      <c r="J155" t="s">
        <v>161</v>
      </c>
      <c r="K155" t="s">
        <v>853</v>
      </c>
      <c r="L155" t="s">
        <v>163</v>
      </c>
      <c r="M155" s="39" t="s">
        <v>332</v>
      </c>
      <c r="N155" t="s">
        <v>161</v>
      </c>
      <c r="Q155" s="39" t="s">
        <v>735</v>
      </c>
      <c r="U155" t="s">
        <v>854</v>
      </c>
      <c r="W155" t="s">
        <v>855</v>
      </c>
      <c r="X155">
        <v>1</v>
      </c>
      <c r="Y155">
        <v>0</v>
      </c>
      <c r="Z155">
        <v>0</v>
      </c>
      <c r="AA155" s="48">
        <v>307.5</v>
      </c>
      <c r="AC155" s="48">
        <v>307.5</v>
      </c>
      <c r="AF155" s="34">
        <f t="shared" si="16"/>
        <v>46303</v>
      </c>
      <c r="AG155" s="34">
        <f t="shared" si="17"/>
        <v>48128</v>
      </c>
      <c r="AH155" s="44" t="s">
        <v>857</v>
      </c>
      <c r="AK155">
        <v>16</v>
      </c>
      <c r="AL155">
        <v>112</v>
      </c>
      <c r="AM155">
        <v>10</v>
      </c>
      <c r="AN155" s="48">
        <v>307.5</v>
      </c>
    </row>
    <row r="156" spans="2:40">
      <c r="B156" s="39" t="s">
        <v>333</v>
      </c>
      <c r="C156" s="44" t="s">
        <v>81</v>
      </c>
      <c r="D156" t="s">
        <v>164</v>
      </c>
      <c r="E156" t="s">
        <v>83</v>
      </c>
      <c r="F156" s="42">
        <v>45974</v>
      </c>
      <c r="G156" s="34">
        <f t="shared" si="14"/>
        <v>46094</v>
      </c>
      <c r="H156" t="s">
        <v>169</v>
      </c>
      <c r="I156" s="34">
        <f t="shared" si="15"/>
        <v>46094</v>
      </c>
      <c r="J156" t="s">
        <v>161</v>
      </c>
      <c r="K156" t="s">
        <v>853</v>
      </c>
      <c r="L156" t="s">
        <v>163</v>
      </c>
      <c r="M156" s="39" t="s">
        <v>333</v>
      </c>
      <c r="N156" t="s">
        <v>161</v>
      </c>
      <c r="Q156" s="39" t="s">
        <v>735</v>
      </c>
      <c r="U156" t="s">
        <v>854</v>
      </c>
      <c r="W156" t="s">
        <v>855</v>
      </c>
      <c r="X156">
        <v>1</v>
      </c>
      <c r="Y156">
        <v>0</v>
      </c>
      <c r="Z156">
        <v>0</v>
      </c>
      <c r="AA156" s="48">
        <v>307.5</v>
      </c>
      <c r="AC156" s="48">
        <v>307.5</v>
      </c>
      <c r="AF156" s="34">
        <f t="shared" si="16"/>
        <v>46303</v>
      </c>
      <c r="AG156" s="34">
        <f t="shared" si="17"/>
        <v>48128</v>
      </c>
      <c r="AH156" s="44" t="s">
        <v>857</v>
      </c>
      <c r="AK156">
        <v>16</v>
      </c>
      <c r="AL156">
        <v>112</v>
      </c>
      <c r="AM156">
        <v>10</v>
      </c>
      <c r="AN156" s="48">
        <v>307.5</v>
      </c>
    </row>
    <row r="157" spans="2:40">
      <c r="B157" s="39" t="s">
        <v>334</v>
      </c>
      <c r="C157" s="44" t="s">
        <v>81</v>
      </c>
      <c r="D157" t="s">
        <v>164</v>
      </c>
      <c r="E157" t="s">
        <v>83</v>
      </c>
      <c r="F157" s="42">
        <v>45965</v>
      </c>
      <c r="G157" s="34">
        <f t="shared" si="14"/>
        <v>46085</v>
      </c>
      <c r="H157" t="s">
        <v>169</v>
      </c>
      <c r="I157" s="34">
        <f t="shared" si="15"/>
        <v>46085</v>
      </c>
      <c r="J157" t="s">
        <v>161</v>
      </c>
      <c r="K157" t="s">
        <v>853</v>
      </c>
      <c r="L157" t="s">
        <v>163</v>
      </c>
      <c r="M157" s="39" t="s">
        <v>334</v>
      </c>
      <c r="N157" t="s">
        <v>161</v>
      </c>
      <c r="Q157" s="39" t="s">
        <v>736</v>
      </c>
      <c r="U157" t="s">
        <v>854</v>
      </c>
      <c r="W157" t="s">
        <v>855</v>
      </c>
      <c r="X157">
        <v>1</v>
      </c>
      <c r="Y157">
        <v>0</v>
      </c>
      <c r="Z157">
        <v>0</v>
      </c>
      <c r="AA157" s="48">
        <v>307.5</v>
      </c>
      <c r="AC157" s="48">
        <v>307.5</v>
      </c>
      <c r="AF157" s="34">
        <f t="shared" si="16"/>
        <v>46294</v>
      </c>
      <c r="AG157" s="34">
        <f t="shared" si="17"/>
        <v>48119</v>
      </c>
      <c r="AH157" s="44" t="s">
        <v>857</v>
      </c>
      <c r="AK157">
        <v>16</v>
      </c>
      <c r="AL157">
        <v>112</v>
      </c>
      <c r="AM157">
        <v>10</v>
      </c>
      <c r="AN157" s="48">
        <v>307.5</v>
      </c>
    </row>
    <row r="158" spans="2:40">
      <c r="B158" s="39" t="s">
        <v>335</v>
      </c>
      <c r="C158" s="44" t="s">
        <v>81</v>
      </c>
      <c r="D158" t="s">
        <v>164</v>
      </c>
      <c r="E158" t="s">
        <v>83</v>
      </c>
      <c r="F158" s="42">
        <v>45965</v>
      </c>
      <c r="G158" s="34">
        <f t="shared" si="14"/>
        <v>46085</v>
      </c>
      <c r="H158" t="s">
        <v>169</v>
      </c>
      <c r="I158" s="34">
        <f t="shared" si="15"/>
        <v>46085</v>
      </c>
      <c r="J158" t="s">
        <v>161</v>
      </c>
      <c r="K158" t="s">
        <v>853</v>
      </c>
      <c r="L158" t="s">
        <v>163</v>
      </c>
      <c r="M158" s="39" t="s">
        <v>335</v>
      </c>
      <c r="N158" t="s">
        <v>161</v>
      </c>
      <c r="Q158" s="39" t="s">
        <v>736</v>
      </c>
      <c r="U158" t="s">
        <v>854</v>
      </c>
      <c r="W158" t="s">
        <v>855</v>
      </c>
      <c r="X158">
        <v>1</v>
      </c>
      <c r="Y158">
        <v>0</v>
      </c>
      <c r="Z158">
        <v>0</v>
      </c>
      <c r="AA158" s="48">
        <v>307.5</v>
      </c>
      <c r="AC158" s="48">
        <v>307.5</v>
      </c>
      <c r="AF158" s="34">
        <f t="shared" si="16"/>
        <v>46294</v>
      </c>
      <c r="AG158" s="34">
        <f t="shared" si="17"/>
        <v>48119</v>
      </c>
      <c r="AH158" s="44" t="s">
        <v>857</v>
      </c>
      <c r="AK158">
        <v>16</v>
      </c>
      <c r="AL158">
        <v>112</v>
      </c>
      <c r="AM158">
        <v>10</v>
      </c>
      <c r="AN158" s="48">
        <v>307.5</v>
      </c>
    </row>
    <row r="159" spans="2:40">
      <c r="B159" s="39" t="s">
        <v>336</v>
      </c>
      <c r="C159" s="44" t="s">
        <v>81</v>
      </c>
      <c r="D159" t="s">
        <v>164</v>
      </c>
      <c r="E159" t="s">
        <v>83</v>
      </c>
      <c r="F159" s="42">
        <v>45957</v>
      </c>
      <c r="G159" s="34">
        <f t="shared" si="14"/>
        <v>46077</v>
      </c>
      <c r="H159" t="s">
        <v>169</v>
      </c>
      <c r="I159" s="34">
        <f t="shared" si="15"/>
        <v>46077</v>
      </c>
      <c r="J159" t="s">
        <v>161</v>
      </c>
      <c r="K159" t="s">
        <v>853</v>
      </c>
      <c r="L159" t="s">
        <v>163</v>
      </c>
      <c r="M159" s="39" t="s">
        <v>336</v>
      </c>
      <c r="N159" t="s">
        <v>161</v>
      </c>
      <c r="Q159" s="39" t="s">
        <v>737</v>
      </c>
      <c r="U159" t="s">
        <v>854</v>
      </c>
      <c r="W159" t="s">
        <v>855</v>
      </c>
      <c r="X159">
        <v>1</v>
      </c>
      <c r="Y159">
        <v>0</v>
      </c>
      <c r="Z159">
        <v>0</v>
      </c>
      <c r="AA159" s="48">
        <v>307.5</v>
      </c>
      <c r="AC159" s="48">
        <v>307.5</v>
      </c>
      <c r="AF159" s="34">
        <f t="shared" si="16"/>
        <v>46286</v>
      </c>
      <c r="AG159" s="34">
        <f t="shared" si="17"/>
        <v>48111</v>
      </c>
      <c r="AH159" s="44" t="s">
        <v>857</v>
      </c>
      <c r="AK159">
        <v>16</v>
      </c>
      <c r="AL159">
        <v>112</v>
      </c>
      <c r="AM159">
        <v>10</v>
      </c>
      <c r="AN159" s="48">
        <v>307.5</v>
      </c>
    </row>
    <row r="160" spans="2:40">
      <c r="B160" s="39" t="s">
        <v>337</v>
      </c>
      <c r="C160" s="44" t="s">
        <v>81</v>
      </c>
      <c r="D160" t="s">
        <v>164</v>
      </c>
      <c r="E160" t="s">
        <v>83</v>
      </c>
      <c r="F160" s="42">
        <v>45957</v>
      </c>
      <c r="G160" s="34">
        <f t="shared" si="14"/>
        <v>46077</v>
      </c>
      <c r="H160" t="s">
        <v>169</v>
      </c>
      <c r="I160" s="34">
        <f t="shared" si="15"/>
        <v>46077</v>
      </c>
      <c r="J160" t="s">
        <v>161</v>
      </c>
      <c r="K160" t="s">
        <v>853</v>
      </c>
      <c r="L160" t="s">
        <v>163</v>
      </c>
      <c r="M160" s="39" t="s">
        <v>337</v>
      </c>
      <c r="N160" t="s">
        <v>161</v>
      </c>
      <c r="Q160" s="39" t="s">
        <v>737</v>
      </c>
      <c r="U160" t="s">
        <v>854</v>
      </c>
      <c r="W160" t="s">
        <v>855</v>
      </c>
      <c r="X160">
        <v>1</v>
      </c>
      <c r="Y160">
        <v>0</v>
      </c>
      <c r="Z160">
        <v>0</v>
      </c>
      <c r="AA160" s="48">
        <v>307.5</v>
      </c>
      <c r="AC160" s="48">
        <v>307.5</v>
      </c>
      <c r="AF160" s="34">
        <f t="shared" si="16"/>
        <v>46286</v>
      </c>
      <c r="AG160" s="34">
        <f t="shared" si="17"/>
        <v>48111</v>
      </c>
      <c r="AH160" s="44" t="s">
        <v>857</v>
      </c>
      <c r="AK160">
        <v>16</v>
      </c>
      <c r="AL160">
        <v>112</v>
      </c>
      <c r="AM160">
        <v>10</v>
      </c>
      <c r="AN160" s="48">
        <v>307.5</v>
      </c>
    </row>
    <row r="161" spans="2:40">
      <c r="B161" s="39" t="s">
        <v>338</v>
      </c>
      <c r="C161" s="44" t="s">
        <v>81</v>
      </c>
      <c r="D161" t="s">
        <v>164</v>
      </c>
      <c r="E161" t="s">
        <v>83</v>
      </c>
      <c r="F161" s="42">
        <v>45957</v>
      </c>
      <c r="G161" s="34">
        <f t="shared" si="14"/>
        <v>46077</v>
      </c>
      <c r="H161" t="s">
        <v>169</v>
      </c>
      <c r="I161" s="34">
        <f t="shared" si="15"/>
        <v>46077</v>
      </c>
      <c r="J161" t="s">
        <v>161</v>
      </c>
      <c r="K161" t="s">
        <v>853</v>
      </c>
      <c r="L161" t="s">
        <v>163</v>
      </c>
      <c r="M161" s="39" t="s">
        <v>338</v>
      </c>
      <c r="N161" t="s">
        <v>161</v>
      </c>
      <c r="Q161" s="39" t="s">
        <v>737</v>
      </c>
      <c r="U161" t="s">
        <v>854</v>
      </c>
      <c r="W161" t="s">
        <v>855</v>
      </c>
      <c r="X161">
        <v>1</v>
      </c>
      <c r="Y161">
        <v>0</v>
      </c>
      <c r="Z161">
        <v>0</v>
      </c>
      <c r="AA161" s="48">
        <v>307.5</v>
      </c>
      <c r="AC161" s="48">
        <v>307.5</v>
      </c>
      <c r="AF161" s="34">
        <f t="shared" si="16"/>
        <v>46286</v>
      </c>
      <c r="AG161" s="34">
        <f t="shared" si="17"/>
        <v>48111</v>
      </c>
      <c r="AH161" s="44" t="s">
        <v>857</v>
      </c>
      <c r="AK161">
        <v>16</v>
      </c>
      <c r="AL161">
        <v>112</v>
      </c>
      <c r="AM161">
        <v>10</v>
      </c>
      <c r="AN161" s="48">
        <v>307.5</v>
      </c>
    </row>
    <row r="162" spans="2:40">
      <c r="B162" s="39" t="s">
        <v>339</v>
      </c>
      <c r="C162" s="44" t="s">
        <v>81</v>
      </c>
      <c r="D162" t="s">
        <v>164</v>
      </c>
      <c r="E162" t="s">
        <v>83</v>
      </c>
      <c r="F162" s="42">
        <v>45957</v>
      </c>
      <c r="G162" s="34">
        <f t="shared" si="14"/>
        <v>46077</v>
      </c>
      <c r="H162" t="s">
        <v>169</v>
      </c>
      <c r="I162" s="34">
        <f t="shared" si="15"/>
        <v>46077</v>
      </c>
      <c r="J162" t="s">
        <v>161</v>
      </c>
      <c r="K162" t="s">
        <v>853</v>
      </c>
      <c r="L162" t="s">
        <v>163</v>
      </c>
      <c r="M162" s="39" t="s">
        <v>339</v>
      </c>
      <c r="N162" t="s">
        <v>161</v>
      </c>
      <c r="Q162" s="39" t="s">
        <v>737</v>
      </c>
      <c r="U162" t="s">
        <v>854</v>
      </c>
      <c r="W162" t="s">
        <v>855</v>
      </c>
      <c r="X162">
        <v>1</v>
      </c>
      <c r="Y162">
        <v>0</v>
      </c>
      <c r="Z162">
        <v>0</v>
      </c>
      <c r="AA162" s="48">
        <v>307.5</v>
      </c>
      <c r="AC162" s="48">
        <v>307.5</v>
      </c>
      <c r="AF162" s="34">
        <f t="shared" si="16"/>
        <v>46286</v>
      </c>
      <c r="AG162" s="34">
        <f t="shared" si="17"/>
        <v>48111</v>
      </c>
      <c r="AH162" s="44" t="s">
        <v>857</v>
      </c>
      <c r="AK162">
        <v>16</v>
      </c>
      <c r="AL162">
        <v>112</v>
      </c>
      <c r="AM162">
        <v>10</v>
      </c>
      <c r="AN162" s="48">
        <v>307.5</v>
      </c>
    </row>
    <row r="163" spans="2:40">
      <c r="B163" s="39" t="s">
        <v>340</v>
      </c>
      <c r="C163" s="44" t="s">
        <v>81</v>
      </c>
      <c r="D163" t="s">
        <v>164</v>
      </c>
      <c r="E163" t="s">
        <v>83</v>
      </c>
      <c r="F163" s="42">
        <v>45957</v>
      </c>
      <c r="G163" s="34">
        <f t="shared" si="14"/>
        <v>46077</v>
      </c>
      <c r="H163" t="s">
        <v>169</v>
      </c>
      <c r="I163" s="34">
        <f t="shared" si="15"/>
        <v>46077</v>
      </c>
      <c r="J163" t="s">
        <v>161</v>
      </c>
      <c r="K163" t="s">
        <v>853</v>
      </c>
      <c r="L163" t="s">
        <v>163</v>
      </c>
      <c r="M163" s="39" t="s">
        <v>340</v>
      </c>
      <c r="N163" t="s">
        <v>161</v>
      </c>
      <c r="Q163" s="39" t="s">
        <v>737</v>
      </c>
      <c r="U163" t="s">
        <v>854</v>
      </c>
      <c r="W163" t="s">
        <v>855</v>
      </c>
      <c r="X163">
        <v>1</v>
      </c>
      <c r="Y163">
        <v>0</v>
      </c>
      <c r="Z163">
        <v>0</v>
      </c>
      <c r="AA163" s="48">
        <v>307.5</v>
      </c>
      <c r="AC163" s="48">
        <v>307.5</v>
      </c>
      <c r="AF163" s="34">
        <f t="shared" si="16"/>
        <v>46286</v>
      </c>
      <c r="AG163" s="34">
        <f t="shared" si="17"/>
        <v>48111</v>
      </c>
      <c r="AH163" s="44" t="s">
        <v>857</v>
      </c>
      <c r="AK163">
        <v>16</v>
      </c>
      <c r="AL163">
        <v>112</v>
      </c>
      <c r="AM163">
        <v>10</v>
      </c>
      <c r="AN163" s="48">
        <v>307.5</v>
      </c>
    </row>
    <row r="164" spans="2:40">
      <c r="B164" s="39" t="s">
        <v>341</v>
      </c>
      <c r="C164" s="44" t="s">
        <v>81</v>
      </c>
      <c r="D164" t="s">
        <v>164</v>
      </c>
      <c r="E164" t="s">
        <v>83</v>
      </c>
      <c r="F164" s="42">
        <v>45955</v>
      </c>
      <c r="G164" s="34">
        <f t="shared" si="14"/>
        <v>46075</v>
      </c>
      <c r="H164" t="s">
        <v>169</v>
      </c>
      <c r="I164" s="34">
        <f t="shared" si="15"/>
        <v>46075</v>
      </c>
      <c r="J164" t="s">
        <v>161</v>
      </c>
      <c r="K164" t="s">
        <v>853</v>
      </c>
      <c r="L164" t="s">
        <v>163</v>
      </c>
      <c r="M164" s="39" t="s">
        <v>341</v>
      </c>
      <c r="N164" t="s">
        <v>161</v>
      </c>
      <c r="Q164" s="39" t="s">
        <v>738</v>
      </c>
      <c r="U164" t="s">
        <v>854</v>
      </c>
      <c r="W164" t="s">
        <v>855</v>
      </c>
      <c r="X164">
        <v>1</v>
      </c>
      <c r="Y164">
        <v>0</v>
      </c>
      <c r="Z164">
        <v>0</v>
      </c>
      <c r="AA164" s="48">
        <v>307.5</v>
      </c>
      <c r="AC164" s="48">
        <v>307.5</v>
      </c>
      <c r="AF164" s="34">
        <f t="shared" si="16"/>
        <v>46284</v>
      </c>
      <c r="AG164" s="34">
        <f t="shared" si="17"/>
        <v>48109</v>
      </c>
      <c r="AH164" s="44" t="s">
        <v>857</v>
      </c>
      <c r="AK164">
        <v>16</v>
      </c>
      <c r="AL164">
        <v>112</v>
      </c>
      <c r="AM164">
        <v>10</v>
      </c>
      <c r="AN164" s="48">
        <v>307.5</v>
      </c>
    </row>
    <row r="165" spans="2:40">
      <c r="B165" s="39" t="s">
        <v>342</v>
      </c>
      <c r="C165" s="44" t="s">
        <v>81</v>
      </c>
      <c r="D165" t="s">
        <v>164</v>
      </c>
      <c r="E165" t="s">
        <v>83</v>
      </c>
      <c r="F165" s="42">
        <v>45955</v>
      </c>
      <c r="G165" s="34">
        <f t="shared" si="14"/>
        <v>46075</v>
      </c>
      <c r="H165" t="s">
        <v>169</v>
      </c>
      <c r="I165" s="34">
        <f t="shared" si="15"/>
        <v>46075</v>
      </c>
      <c r="J165" t="s">
        <v>161</v>
      </c>
      <c r="K165" t="s">
        <v>853</v>
      </c>
      <c r="L165" t="s">
        <v>163</v>
      </c>
      <c r="M165" s="39" t="s">
        <v>342</v>
      </c>
      <c r="N165" t="s">
        <v>161</v>
      </c>
      <c r="Q165" s="39" t="s">
        <v>738</v>
      </c>
      <c r="U165" t="s">
        <v>854</v>
      </c>
      <c r="W165" t="s">
        <v>855</v>
      </c>
      <c r="X165">
        <v>1</v>
      </c>
      <c r="Y165">
        <v>0</v>
      </c>
      <c r="Z165">
        <v>0</v>
      </c>
      <c r="AA165" s="48">
        <v>307.5</v>
      </c>
      <c r="AC165" s="48">
        <v>307.5</v>
      </c>
      <c r="AF165" s="34">
        <f t="shared" si="16"/>
        <v>46284</v>
      </c>
      <c r="AG165" s="34">
        <f t="shared" si="17"/>
        <v>48109</v>
      </c>
      <c r="AH165" s="44" t="s">
        <v>857</v>
      </c>
      <c r="AK165">
        <v>16</v>
      </c>
      <c r="AL165">
        <v>112</v>
      </c>
      <c r="AM165">
        <v>10</v>
      </c>
      <c r="AN165" s="48">
        <v>307.5</v>
      </c>
    </row>
    <row r="166" spans="2:40">
      <c r="B166" s="39" t="s">
        <v>343</v>
      </c>
      <c r="C166" s="44" t="s">
        <v>81</v>
      </c>
      <c r="D166" t="s">
        <v>164</v>
      </c>
      <c r="E166" t="s">
        <v>83</v>
      </c>
      <c r="F166" s="42">
        <v>45955</v>
      </c>
      <c r="G166" s="34">
        <f t="shared" si="14"/>
        <v>46075</v>
      </c>
      <c r="H166" t="s">
        <v>169</v>
      </c>
      <c r="I166" s="34">
        <f t="shared" si="15"/>
        <v>46075</v>
      </c>
      <c r="J166" t="s">
        <v>161</v>
      </c>
      <c r="K166" t="s">
        <v>853</v>
      </c>
      <c r="L166" t="s">
        <v>163</v>
      </c>
      <c r="M166" s="39" t="s">
        <v>343</v>
      </c>
      <c r="N166" t="s">
        <v>161</v>
      </c>
      <c r="Q166" s="39" t="s">
        <v>738</v>
      </c>
      <c r="U166" t="s">
        <v>854</v>
      </c>
      <c r="W166" t="s">
        <v>855</v>
      </c>
      <c r="X166">
        <v>1</v>
      </c>
      <c r="Y166">
        <v>0</v>
      </c>
      <c r="Z166">
        <v>0</v>
      </c>
      <c r="AA166" s="48">
        <v>307.5</v>
      </c>
      <c r="AC166" s="48">
        <v>307.5</v>
      </c>
      <c r="AF166" s="34">
        <f t="shared" si="16"/>
        <v>46284</v>
      </c>
      <c r="AG166" s="34">
        <f t="shared" si="17"/>
        <v>48109</v>
      </c>
      <c r="AH166" s="44" t="s">
        <v>857</v>
      </c>
      <c r="AK166">
        <v>16</v>
      </c>
      <c r="AL166">
        <v>112</v>
      </c>
      <c r="AM166">
        <v>10</v>
      </c>
      <c r="AN166" s="48">
        <v>307.5</v>
      </c>
    </row>
    <row r="167" spans="2:40">
      <c r="B167" s="39" t="s">
        <v>344</v>
      </c>
      <c r="C167" s="44" t="s">
        <v>81</v>
      </c>
      <c r="D167" t="s">
        <v>164</v>
      </c>
      <c r="E167" t="s">
        <v>83</v>
      </c>
      <c r="F167" s="42">
        <v>45955</v>
      </c>
      <c r="G167" s="34">
        <f t="shared" si="14"/>
        <v>46075</v>
      </c>
      <c r="H167" t="s">
        <v>169</v>
      </c>
      <c r="I167" s="34">
        <f t="shared" si="15"/>
        <v>46075</v>
      </c>
      <c r="J167" t="s">
        <v>161</v>
      </c>
      <c r="K167" t="s">
        <v>853</v>
      </c>
      <c r="L167" t="s">
        <v>163</v>
      </c>
      <c r="M167" s="39" t="s">
        <v>344</v>
      </c>
      <c r="N167" t="s">
        <v>161</v>
      </c>
      <c r="Q167" s="39" t="s">
        <v>738</v>
      </c>
      <c r="U167" t="s">
        <v>854</v>
      </c>
      <c r="W167" t="s">
        <v>855</v>
      </c>
      <c r="X167">
        <v>1</v>
      </c>
      <c r="Y167">
        <v>0</v>
      </c>
      <c r="Z167">
        <v>0</v>
      </c>
      <c r="AA167" s="48">
        <v>307.5</v>
      </c>
      <c r="AC167" s="48">
        <v>307.5</v>
      </c>
      <c r="AF167" s="34">
        <f t="shared" si="16"/>
        <v>46284</v>
      </c>
      <c r="AG167" s="34">
        <f t="shared" si="17"/>
        <v>48109</v>
      </c>
      <c r="AH167" s="44" t="s">
        <v>857</v>
      </c>
      <c r="AK167">
        <v>16</v>
      </c>
      <c r="AL167">
        <v>112</v>
      </c>
      <c r="AM167">
        <v>10</v>
      </c>
      <c r="AN167" s="48">
        <v>307.5</v>
      </c>
    </row>
    <row r="168" spans="2:40">
      <c r="B168" s="39" t="s">
        <v>345</v>
      </c>
      <c r="C168" s="44" t="s">
        <v>81</v>
      </c>
      <c r="D168" t="s">
        <v>164</v>
      </c>
      <c r="E168" t="s">
        <v>83</v>
      </c>
      <c r="F168" s="42">
        <v>45945</v>
      </c>
      <c r="G168" s="34">
        <f t="shared" si="14"/>
        <v>46065</v>
      </c>
      <c r="H168" t="s">
        <v>169</v>
      </c>
      <c r="I168" s="34">
        <f t="shared" si="15"/>
        <v>46065</v>
      </c>
      <c r="J168" t="s">
        <v>161</v>
      </c>
      <c r="K168" t="s">
        <v>853</v>
      </c>
      <c r="L168" t="s">
        <v>163</v>
      </c>
      <c r="M168" s="39" t="s">
        <v>345</v>
      </c>
      <c r="N168" t="s">
        <v>161</v>
      </c>
      <c r="Q168" s="39" t="s">
        <v>739</v>
      </c>
      <c r="U168" t="s">
        <v>854</v>
      </c>
      <c r="W168" t="s">
        <v>855</v>
      </c>
      <c r="X168">
        <v>1</v>
      </c>
      <c r="Y168">
        <v>0</v>
      </c>
      <c r="Z168">
        <v>0</v>
      </c>
      <c r="AA168" s="48">
        <v>307.5</v>
      </c>
      <c r="AC168" s="48">
        <v>307.5</v>
      </c>
      <c r="AF168" s="34">
        <f t="shared" si="16"/>
        <v>46274</v>
      </c>
      <c r="AG168" s="34">
        <f t="shared" si="17"/>
        <v>48099</v>
      </c>
      <c r="AH168" s="44" t="s">
        <v>857</v>
      </c>
      <c r="AK168">
        <v>16</v>
      </c>
      <c r="AL168">
        <v>112</v>
      </c>
      <c r="AM168">
        <v>10</v>
      </c>
      <c r="AN168" s="48">
        <v>307.5</v>
      </c>
    </row>
    <row r="169" spans="2:40">
      <c r="B169" s="39" t="s">
        <v>346</v>
      </c>
      <c r="C169" s="44" t="s">
        <v>81</v>
      </c>
      <c r="D169" t="s">
        <v>164</v>
      </c>
      <c r="E169" t="s">
        <v>83</v>
      </c>
      <c r="F169" s="42">
        <v>45945</v>
      </c>
      <c r="G169" s="34">
        <f t="shared" si="14"/>
        <v>46065</v>
      </c>
      <c r="H169" t="s">
        <v>169</v>
      </c>
      <c r="I169" s="34">
        <f t="shared" si="15"/>
        <v>46065</v>
      </c>
      <c r="J169" t="s">
        <v>161</v>
      </c>
      <c r="K169" t="s">
        <v>853</v>
      </c>
      <c r="L169" t="s">
        <v>163</v>
      </c>
      <c r="M169" s="39" t="s">
        <v>346</v>
      </c>
      <c r="N169" t="s">
        <v>161</v>
      </c>
      <c r="Q169" s="39" t="s">
        <v>739</v>
      </c>
      <c r="U169" t="s">
        <v>854</v>
      </c>
      <c r="W169" t="s">
        <v>855</v>
      </c>
      <c r="X169">
        <v>1</v>
      </c>
      <c r="Y169">
        <v>0</v>
      </c>
      <c r="Z169">
        <v>0</v>
      </c>
      <c r="AA169" s="48">
        <v>307.5</v>
      </c>
      <c r="AC169" s="48">
        <v>307.5</v>
      </c>
      <c r="AF169" s="34">
        <f t="shared" si="16"/>
        <v>46274</v>
      </c>
      <c r="AG169" s="34">
        <f t="shared" si="17"/>
        <v>48099</v>
      </c>
      <c r="AH169" s="44" t="s">
        <v>857</v>
      </c>
      <c r="AK169">
        <v>16</v>
      </c>
      <c r="AL169">
        <v>112</v>
      </c>
      <c r="AM169">
        <v>10</v>
      </c>
      <c r="AN169" s="48">
        <v>307.5</v>
      </c>
    </row>
    <row r="170" spans="2:40">
      <c r="B170" s="39" t="s">
        <v>347</v>
      </c>
      <c r="C170" s="44" t="s">
        <v>81</v>
      </c>
      <c r="D170" t="s">
        <v>164</v>
      </c>
      <c r="E170" t="s">
        <v>83</v>
      </c>
      <c r="F170" s="42">
        <v>45945</v>
      </c>
      <c r="G170" s="34">
        <f t="shared" si="14"/>
        <v>46065</v>
      </c>
      <c r="H170" t="s">
        <v>169</v>
      </c>
      <c r="I170" s="34">
        <f t="shared" si="15"/>
        <v>46065</v>
      </c>
      <c r="J170" t="s">
        <v>161</v>
      </c>
      <c r="K170" t="s">
        <v>853</v>
      </c>
      <c r="L170" t="s">
        <v>163</v>
      </c>
      <c r="M170" s="39" t="s">
        <v>347</v>
      </c>
      <c r="N170" t="s">
        <v>161</v>
      </c>
      <c r="Q170" s="39" t="s">
        <v>739</v>
      </c>
      <c r="U170" t="s">
        <v>854</v>
      </c>
      <c r="W170" t="s">
        <v>855</v>
      </c>
      <c r="X170">
        <v>1</v>
      </c>
      <c r="Y170">
        <v>0</v>
      </c>
      <c r="Z170">
        <v>0</v>
      </c>
      <c r="AA170" s="48">
        <v>307.5</v>
      </c>
      <c r="AC170" s="48">
        <v>307.5</v>
      </c>
      <c r="AF170" s="34">
        <f t="shared" si="16"/>
        <v>46274</v>
      </c>
      <c r="AG170" s="34">
        <f t="shared" si="17"/>
        <v>48099</v>
      </c>
      <c r="AH170" s="44" t="s">
        <v>857</v>
      </c>
      <c r="AK170">
        <v>16</v>
      </c>
      <c r="AL170">
        <v>112</v>
      </c>
      <c r="AM170">
        <v>10</v>
      </c>
      <c r="AN170" s="48">
        <v>307.5</v>
      </c>
    </row>
    <row r="171" spans="2:40">
      <c r="B171" s="39" t="s">
        <v>348</v>
      </c>
      <c r="C171" s="44" t="s">
        <v>81</v>
      </c>
      <c r="D171" t="s">
        <v>164</v>
      </c>
      <c r="E171" t="s">
        <v>83</v>
      </c>
      <c r="F171" s="42">
        <v>45945</v>
      </c>
      <c r="G171" s="34">
        <f t="shared" si="14"/>
        <v>46065</v>
      </c>
      <c r="H171" t="s">
        <v>169</v>
      </c>
      <c r="I171" s="34">
        <f t="shared" si="15"/>
        <v>46065</v>
      </c>
      <c r="J171" t="s">
        <v>161</v>
      </c>
      <c r="K171" t="s">
        <v>853</v>
      </c>
      <c r="L171" t="s">
        <v>163</v>
      </c>
      <c r="M171" s="39" t="s">
        <v>348</v>
      </c>
      <c r="N171" t="s">
        <v>161</v>
      </c>
      <c r="Q171" s="39" t="s">
        <v>739</v>
      </c>
      <c r="U171" t="s">
        <v>854</v>
      </c>
      <c r="W171" t="s">
        <v>855</v>
      </c>
      <c r="X171">
        <v>1</v>
      </c>
      <c r="Y171">
        <v>0</v>
      </c>
      <c r="Z171">
        <v>0</v>
      </c>
      <c r="AA171" s="48">
        <v>307.5</v>
      </c>
      <c r="AC171" s="48">
        <v>307.5</v>
      </c>
      <c r="AF171" s="34">
        <f t="shared" si="16"/>
        <v>46274</v>
      </c>
      <c r="AG171" s="34">
        <f t="shared" si="17"/>
        <v>48099</v>
      </c>
      <c r="AH171" s="44" t="s">
        <v>857</v>
      </c>
      <c r="AK171">
        <v>16</v>
      </c>
      <c r="AL171">
        <v>112</v>
      </c>
      <c r="AM171">
        <v>10</v>
      </c>
      <c r="AN171" s="48">
        <v>307.5</v>
      </c>
    </row>
    <row r="172" spans="2:40">
      <c r="B172" s="39" t="s">
        <v>349</v>
      </c>
      <c r="C172" s="44" t="s">
        <v>81</v>
      </c>
      <c r="D172" t="s">
        <v>164</v>
      </c>
      <c r="E172" t="s">
        <v>83</v>
      </c>
      <c r="F172" s="42">
        <v>45941</v>
      </c>
      <c r="G172" s="34">
        <f t="shared" si="14"/>
        <v>46061</v>
      </c>
      <c r="H172" t="s">
        <v>169</v>
      </c>
      <c r="I172" s="34">
        <f t="shared" si="15"/>
        <v>46061</v>
      </c>
      <c r="J172" t="s">
        <v>161</v>
      </c>
      <c r="K172" t="s">
        <v>853</v>
      </c>
      <c r="L172" t="s">
        <v>163</v>
      </c>
      <c r="M172" s="39" t="s">
        <v>349</v>
      </c>
      <c r="N172" t="s">
        <v>161</v>
      </c>
      <c r="Q172" s="39" t="s">
        <v>737</v>
      </c>
      <c r="U172" t="s">
        <v>854</v>
      </c>
      <c r="W172" t="s">
        <v>855</v>
      </c>
      <c r="X172">
        <v>1</v>
      </c>
      <c r="Y172">
        <v>0</v>
      </c>
      <c r="Z172">
        <v>0</v>
      </c>
      <c r="AA172" s="48">
        <v>307.5</v>
      </c>
      <c r="AC172" s="48">
        <v>307.5</v>
      </c>
      <c r="AF172" s="34">
        <f t="shared" si="16"/>
        <v>46270</v>
      </c>
      <c r="AG172" s="34">
        <f t="shared" si="17"/>
        <v>48095</v>
      </c>
      <c r="AH172" s="44" t="s">
        <v>857</v>
      </c>
      <c r="AK172">
        <v>16</v>
      </c>
      <c r="AL172">
        <v>112</v>
      </c>
      <c r="AM172">
        <v>10</v>
      </c>
      <c r="AN172" s="48">
        <v>307.5</v>
      </c>
    </row>
    <row r="173" spans="2:40">
      <c r="B173" s="39" t="s">
        <v>350</v>
      </c>
      <c r="C173" s="44" t="s">
        <v>81</v>
      </c>
      <c r="D173" t="s">
        <v>164</v>
      </c>
      <c r="E173" t="s">
        <v>83</v>
      </c>
      <c r="F173" s="42">
        <v>45941</v>
      </c>
      <c r="G173" s="34">
        <f t="shared" si="14"/>
        <v>46061</v>
      </c>
      <c r="H173" t="s">
        <v>169</v>
      </c>
      <c r="I173" s="34">
        <f t="shared" si="15"/>
        <v>46061</v>
      </c>
      <c r="J173" t="s">
        <v>161</v>
      </c>
      <c r="K173" t="s">
        <v>853</v>
      </c>
      <c r="L173" t="s">
        <v>163</v>
      </c>
      <c r="M173" s="39" t="s">
        <v>350</v>
      </c>
      <c r="N173" t="s">
        <v>161</v>
      </c>
      <c r="Q173" s="39" t="s">
        <v>737</v>
      </c>
      <c r="U173" t="s">
        <v>854</v>
      </c>
      <c r="W173" t="s">
        <v>855</v>
      </c>
      <c r="X173">
        <v>1</v>
      </c>
      <c r="Y173">
        <v>0</v>
      </c>
      <c r="Z173">
        <v>0</v>
      </c>
      <c r="AA173" s="48">
        <v>307.5</v>
      </c>
      <c r="AC173" s="48">
        <v>307.5</v>
      </c>
      <c r="AF173" s="34">
        <f t="shared" si="16"/>
        <v>46270</v>
      </c>
      <c r="AG173" s="34">
        <f t="shared" si="17"/>
        <v>48095</v>
      </c>
      <c r="AH173" s="44" t="s">
        <v>857</v>
      </c>
      <c r="AK173">
        <v>16</v>
      </c>
      <c r="AL173">
        <v>112</v>
      </c>
      <c r="AM173">
        <v>10</v>
      </c>
      <c r="AN173" s="48">
        <v>307.5</v>
      </c>
    </row>
    <row r="174" spans="2:40">
      <c r="B174" s="39" t="s">
        <v>351</v>
      </c>
      <c r="C174" s="44" t="s">
        <v>81</v>
      </c>
      <c r="D174" t="s">
        <v>164</v>
      </c>
      <c r="E174" t="s">
        <v>83</v>
      </c>
      <c r="F174" s="42">
        <v>45941</v>
      </c>
      <c r="G174" s="34">
        <f t="shared" si="14"/>
        <v>46061</v>
      </c>
      <c r="H174" t="s">
        <v>169</v>
      </c>
      <c r="I174" s="34">
        <f t="shared" si="15"/>
        <v>46061</v>
      </c>
      <c r="J174" t="s">
        <v>161</v>
      </c>
      <c r="K174" t="s">
        <v>853</v>
      </c>
      <c r="L174" t="s">
        <v>163</v>
      </c>
      <c r="M174" s="39" t="s">
        <v>351</v>
      </c>
      <c r="N174" t="s">
        <v>161</v>
      </c>
      <c r="Q174" s="39" t="s">
        <v>737</v>
      </c>
      <c r="U174" t="s">
        <v>854</v>
      </c>
      <c r="W174" t="s">
        <v>855</v>
      </c>
      <c r="X174">
        <v>1</v>
      </c>
      <c r="Y174">
        <v>0</v>
      </c>
      <c r="Z174">
        <v>0</v>
      </c>
      <c r="AA174" s="48">
        <v>307.5</v>
      </c>
      <c r="AC174" s="48">
        <v>307.5</v>
      </c>
      <c r="AF174" s="34">
        <f t="shared" si="16"/>
        <v>46270</v>
      </c>
      <c r="AG174" s="34">
        <f t="shared" si="17"/>
        <v>48095</v>
      </c>
      <c r="AH174" s="44" t="s">
        <v>857</v>
      </c>
      <c r="AK174">
        <v>16</v>
      </c>
      <c r="AL174">
        <v>112</v>
      </c>
      <c r="AM174">
        <v>10</v>
      </c>
      <c r="AN174" s="48">
        <v>307.5</v>
      </c>
    </row>
    <row r="175" spans="2:40">
      <c r="B175" s="39" t="s">
        <v>352</v>
      </c>
      <c r="C175" s="44" t="s">
        <v>81</v>
      </c>
      <c r="D175" t="s">
        <v>164</v>
      </c>
      <c r="E175" t="s">
        <v>83</v>
      </c>
      <c r="F175" s="42">
        <v>45941</v>
      </c>
      <c r="G175" s="34">
        <f t="shared" si="14"/>
        <v>46061</v>
      </c>
      <c r="H175" t="s">
        <v>169</v>
      </c>
      <c r="I175" s="34">
        <f t="shared" si="15"/>
        <v>46061</v>
      </c>
      <c r="J175" t="s">
        <v>161</v>
      </c>
      <c r="K175" t="s">
        <v>853</v>
      </c>
      <c r="L175" t="s">
        <v>163</v>
      </c>
      <c r="M175" s="39" t="s">
        <v>352</v>
      </c>
      <c r="N175" t="s">
        <v>161</v>
      </c>
      <c r="Q175" s="39" t="s">
        <v>737</v>
      </c>
      <c r="U175" t="s">
        <v>854</v>
      </c>
      <c r="W175" t="s">
        <v>855</v>
      </c>
      <c r="X175">
        <v>1</v>
      </c>
      <c r="Y175">
        <v>0</v>
      </c>
      <c r="Z175">
        <v>0</v>
      </c>
      <c r="AA175" s="48">
        <v>307.5</v>
      </c>
      <c r="AC175" s="48">
        <v>307.5</v>
      </c>
      <c r="AF175" s="34">
        <f t="shared" si="16"/>
        <v>46270</v>
      </c>
      <c r="AG175" s="34">
        <f t="shared" si="17"/>
        <v>48095</v>
      </c>
      <c r="AH175" s="44" t="s">
        <v>857</v>
      </c>
      <c r="AK175">
        <v>16</v>
      </c>
      <c r="AL175">
        <v>112</v>
      </c>
      <c r="AM175">
        <v>10</v>
      </c>
      <c r="AN175" s="48">
        <v>307.5</v>
      </c>
    </row>
    <row r="176" spans="2:40">
      <c r="B176" s="39" t="s">
        <v>353</v>
      </c>
      <c r="C176" s="44" t="s">
        <v>81</v>
      </c>
      <c r="D176" t="s">
        <v>164</v>
      </c>
      <c r="E176" t="s">
        <v>83</v>
      </c>
      <c r="F176" s="42">
        <v>45932</v>
      </c>
      <c r="G176" s="34">
        <f t="shared" si="14"/>
        <v>46052</v>
      </c>
      <c r="H176" t="s">
        <v>169</v>
      </c>
      <c r="I176" s="34">
        <f t="shared" si="15"/>
        <v>46052</v>
      </c>
      <c r="J176" t="s">
        <v>161</v>
      </c>
      <c r="K176" t="s">
        <v>853</v>
      </c>
      <c r="L176" t="s">
        <v>163</v>
      </c>
      <c r="M176" s="39" t="s">
        <v>353</v>
      </c>
      <c r="N176" t="s">
        <v>161</v>
      </c>
      <c r="Q176" s="39" t="s">
        <v>740</v>
      </c>
      <c r="U176" t="s">
        <v>854</v>
      </c>
      <c r="W176" t="s">
        <v>855</v>
      </c>
      <c r="X176">
        <v>1</v>
      </c>
      <c r="Y176">
        <v>0</v>
      </c>
      <c r="Z176">
        <v>0</v>
      </c>
      <c r="AA176" s="48">
        <v>307.5</v>
      </c>
      <c r="AC176" s="48">
        <v>307.5</v>
      </c>
      <c r="AF176" s="34">
        <f t="shared" si="16"/>
        <v>46261</v>
      </c>
      <c r="AG176" s="34">
        <f t="shared" si="17"/>
        <v>48086</v>
      </c>
      <c r="AH176" s="44" t="s">
        <v>857</v>
      </c>
      <c r="AK176">
        <v>16</v>
      </c>
      <c r="AL176">
        <v>112</v>
      </c>
      <c r="AM176">
        <v>10</v>
      </c>
      <c r="AN176" s="48">
        <v>307.5</v>
      </c>
    </row>
    <row r="177" spans="2:40">
      <c r="B177" s="39" t="s">
        <v>354</v>
      </c>
      <c r="C177" s="44" t="s">
        <v>81</v>
      </c>
      <c r="D177" t="s">
        <v>164</v>
      </c>
      <c r="E177" t="s">
        <v>83</v>
      </c>
      <c r="F177" s="42">
        <v>45932</v>
      </c>
      <c r="G177" s="34">
        <f t="shared" si="14"/>
        <v>46052</v>
      </c>
      <c r="H177" t="s">
        <v>169</v>
      </c>
      <c r="I177" s="34">
        <f t="shared" si="15"/>
        <v>46052</v>
      </c>
      <c r="J177" t="s">
        <v>161</v>
      </c>
      <c r="K177" t="s">
        <v>853</v>
      </c>
      <c r="L177" t="s">
        <v>163</v>
      </c>
      <c r="M177" s="39" t="s">
        <v>354</v>
      </c>
      <c r="N177" t="s">
        <v>161</v>
      </c>
      <c r="Q177" s="39" t="s">
        <v>740</v>
      </c>
      <c r="U177" t="s">
        <v>854</v>
      </c>
      <c r="W177" t="s">
        <v>855</v>
      </c>
      <c r="X177">
        <v>1</v>
      </c>
      <c r="Y177">
        <v>0</v>
      </c>
      <c r="Z177">
        <v>0</v>
      </c>
      <c r="AA177" s="48">
        <v>307.5</v>
      </c>
      <c r="AC177" s="48">
        <v>307.5</v>
      </c>
      <c r="AF177" s="34">
        <f t="shared" si="16"/>
        <v>46261</v>
      </c>
      <c r="AG177" s="34">
        <f t="shared" si="17"/>
        <v>48086</v>
      </c>
      <c r="AH177" s="44" t="s">
        <v>857</v>
      </c>
      <c r="AK177">
        <v>16</v>
      </c>
      <c r="AL177">
        <v>112</v>
      </c>
      <c r="AM177">
        <v>10</v>
      </c>
      <c r="AN177" s="48">
        <v>307.5</v>
      </c>
    </row>
    <row r="178" spans="2:40">
      <c r="B178" s="39" t="s">
        <v>355</v>
      </c>
      <c r="C178" s="44" t="s">
        <v>81</v>
      </c>
      <c r="D178" t="s">
        <v>164</v>
      </c>
      <c r="E178" t="s">
        <v>83</v>
      </c>
      <c r="F178" s="42">
        <v>45932</v>
      </c>
      <c r="G178" s="34">
        <f t="shared" si="14"/>
        <v>46052</v>
      </c>
      <c r="H178" t="s">
        <v>169</v>
      </c>
      <c r="I178" s="34">
        <f t="shared" si="15"/>
        <v>46052</v>
      </c>
      <c r="J178" t="s">
        <v>161</v>
      </c>
      <c r="K178" t="s">
        <v>853</v>
      </c>
      <c r="L178" t="s">
        <v>163</v>
      </c>
      <c r="M178" s="39" t="s">
        <v>355</v>
      </c>
      <c r="N178" t="s">
        <v>161</v>
      </c>
      <c r="Q178" s="39" t="s">
        <v>740</v>
      </c>
      <c r="U178" t="s">
        <v>854</v>
      </c>
      <c r="W178" t="s">
        <v>855</v>
      </c>
      <c r="X178">
        <v>1</v>
      </c>
      <c r="Y178">
        <v>0</v>
      </c>
      <c r="Z178">
        <v>0</v>
      </c>
      <c r="AA178" s="48">
        <v>307.5</v>
      </c>
      <c r="AC178" s="48">
        <v>307.5</v>
      </c>
      <c r="AF178" s="34">
        <f t="shared" si="16"/>
        <v>46261</v>
      </c>
      <c r="AG178" s="34">
        <f t="shared" si="17"/>
        <v>48086</v>
      </c>
      <c r="AH178" s="44" t="s">
        <v>857</v>
      </c>
      <c r="AK178">
        <v>16</v>
      </c>
      <c r="AL178">
        <v>112</v>
      </c>
      <c r="AM178">
        <v>10</v>
      </c>
      <c r="AN178" s="48">
        <v>307.5</v>
      </c>
    </row>
    <row r="179" spans="2:40">
      <c r="B179" s="39" t="s">
        <v>356</v>
      </c>
      <c r="C179" s="44" t="s">
        <v>81</v>
      </c>
      <c r="D179" t="s">
        <v>164</v>
      </c>
      <c r="E179" t="s">
        <v>83</v>
      </c>
      <c r="F179" s="42">
        <v>45932</v>
      </c>
      <c r="G179" s="34">
        <f t="shared" si="14"/>
        <v>46052</v>
      </c>
      <c r="H179" t="s">
        <v>169</v>
      </c>
      <c r="I179" s="34">
        <f t="shared" si="15"/>
        <v>46052</v>
      </c>
      <c r="J179" t="s">
        <v>161</v>
      </c>
      <c r="K179" t="s">
        <v>853</v>
      </c>
      <c r="L179" t="s">
        <v>163</v>
      </c>
      <c r="M179" s="39" t="s">
        <v>356</v>
      </c>
      <c r="N179" t="s">
        <v>161</v>
      </c>
      <c r="Q179" s="39" t="s">
        <v>740</v>
      </c>
      <c r="U179" t="s">
        <v>854</v>
      </c>
      <c r="W179" t="s">
        <v>855</v>
      </c>
      <c r="X179">
        <v>1</v>
      </c>
      <c r="Y179">
        <v>0</v>
      </c>
      <c r="Z179">
        <v>0</v>
      </c>
      <c r="AA179" s="48">
        <v>307.5</v>
      </c>
      <c r="AC179" s="48">
        <v>307.5</v>
      </c>
      <c r="AF179" s="34">
        <f t="shared" si="16"/>
        <v>46261</v>
      </c>
      <c r="AG179" s="34">
        <f t="shared" si="17"/>
        <v>48086</v>
      </c>
      <c r="AH179" s="44" t="s">
        <v>857</v>
      </c>
      <c r="AK179">
        <v>16</v>
      </c>
      <c r="AL179">
        <v>112</v>
      </c>
      <c r="AM179">
        <v>10</v>
      </c>
      <c r="AN179" s="48">
        <v>307.5</v>
      </c>
    </row>
    <row r="180" spans="2:40">
      <c r="B180" s="39" t="s">
        <v>357</v>
      </c>
      <c r="C180" s="44" t="s">
        <v>81</v>
      </c>
      <c r="D180" t="s">
        <v>164</v>
      </c>
      <c r="E180" t="s">
        <v>83</v>
      </c>
      <c r="F180" s="42">
        <v>45932</v>
      </c>
      <c r="G180" s="34">
        <f t="shared" si="14"/>
        <v>46052</v>
      </c>
      <c r="H180" t="s">
        <v>169</v>
      </c>
      <c r="I180" s="34">
        <f t="shared" si="15"/>
        <v>46052</v>
      </c>
      <c r="J180" t="s">
        <v>161</v>
      </c>
      <c r="K180" t="s">
        <v>853</v>
      </c>
      <c r="L180" t="s">
        <v>163</v>
      </c>
      <c r="M180" s="39" t="s">
        <v>357</v>
      </c>
      <c r="N180" t="s">
        <v>161</v>
      </c>
      <c r="Q180" s="39" t="s">
        <v>740</v>
      </c>
      <c r="U180" t="s">
        <v>854</v>
      </c>
      <c r="W180" t="s">
        <v>855</v>
      </c>
      <c r="X180">
        <v>1</v>
      </c>
      <c r="Y180">
        <v>0</v>
      </c>
      <c r="Z180">
        <v>0</v>
      </c>
      <c r="AA180" s="48">
        <v>307.5</v>
      </c>
      <c r="AC180" s="48">
        <v>307.5</v>
      </c>
      <c r="AF180" s="34">
        <f t="shared" si="16"/>
        <v>46261</v>
      </c>
      <c r="AG180" s="34">
        <f t="shared" si="17"/>
        <v>48086</v>
      </c>
      <c r="AH180" s="44" t="s">
        <v>857</v>
      </c>
      <c r="AK180">
        <v>16</v>
      </c>
      <c r="AL180">
        <v>112</v>
      </c>
      <c r="AM180">
        <v>10</v>
      </c>
      <c r="AN180" s="48">
        <v>307.5</v>
      </c>
    </row>
    <row r="181" spans="2:40">
      <c r="B181" s="39" t="s">
        <v>358</v>
      </c>
      <c r="C181" s="44" t="s">
        <v>81</v>
      </c>
      <c r="D181" t="s">
        <v>164</v>
      </c>
      <c r="E181" t="s">
        <v>83</v>
      </c>
      <c r="F181" s="42">
        <v>45923</v>
      </c>
      <c r="G181" s="34">
        <f t="shared" si="14"/>
        <v>46043</v>
      </c>
      <c r="H181" t="s">
        <v>169</v>
      </c>
      <c r="I181" s="34">
        <f t="shared" si="15"/>
        <v>46043</v>
      </c>
      <c r="J181" t="s">
        <v>161</v>
      </c>
      <c r="K181" t="s">
        <v>853</v>
      </c>
      <c r="L181" t="s">
        <v>163</v>
      </c>
      <c r="M181" s="39" t="s">
        <v>358</v>
      </c>
      <c r="N181" t="s">
        <v>161</v>
      </c>
      <c r="Q181" s="39" t="s">
        <v>741</v>
      </c>
      <c r="U181" t="s">
        <v>854</v>
      </c>
      <c r="W181" t="s">
        <v>855</v>
      </c>
      <c r="X181">
        <v>1</v>
      </c>
      <c r="Y181">
        <v>0</v>
      </c>
      <c r="Z181">
        <v>0</v>
      </c>
      <c r="AA181" s="48">
        <v>307.5</v>
      </c>
      <c r="AC181" s="48">
        <v>307.5</v>
      </c>
      <c r="AF181" s="34">
        <f t="shared" si="16"/>
        <v>46252</v>
      </c>
      <c r="AG181" s="34">
        <f t="shared" si="17"/>
        <v>48077</v>
      </c>
      <c r="AH181" s="44" t="s">
        <v>857</v>
      </c>
      <c r="AK181">
        <v>16</v>
      </c>
      <c r="AL181">
        <v>112</v>
      </c>
      <c r="AM181">
        <v>10</v>
      </c>
      <c r="AN181" s="48">
        <v>307.5</v>
      </c>
    </row>
    <row r="182" spans="2:40">
      <c r="B182" s="39" t="s">
        <v>359</v>
      </c>
      <c r="C182" s="44" t="s">
        <v>81</v>
      </c>
      <c r="D182" t="s">
        <v>164</v>
      </c>
      <c r="E182" t="s">
        <v>83</v>
      </c>
      <c r="F182" s="42">
        <v>45923</v>
      </c>
      <c r="G182" s="34">
        <f t="shared" si="14"/>
        <v>46043</v>
      </c>
      <c r="H182" t="s">
        <v>169</v>
      </c>
      <c r="I182" s="34">
        <f t="shared" si="15"/>
        <v>46043</v>
      </c>
      <c r="J182" t="s">
        <v>161</v>
      </c>
      <c r="K182" t="s">
        <v>853</v>
      </c>
      <c r="L182" t="s">
        <v>163</v>
      </c>
      <c r="M182" s="39" t="s">
        <v>359</v>
      </c>
      <c r="N182" t="s">
        <v>161</v>
      </c>
      <c r="Q182" s="39" t="s">
        <v>741</v>
      </c>
      <c r="U182" t="s">
        <v>854</v>
      </c>
      <c r="W182" t="s">
        <v>855</v>
      </c>
      <c r="X182">
        <v>1</v>
      </c>
      <c r="Y182">
        <v>0</v>
      </c>
      <c r="Z182">
        <v>0</v>
      </c>
      <c r="AA182" s="48">
        <v>307.5</v>
      </c>
      <c r="AC182" s="48">
        <v>307.5</v>
      </c>
      <c r="AF182" s="34">
        <f t="shared" si="16"/>
        <v>46252</v>
      </c>
      <c r="AG182" s="34">
        <f t="shared" si="17"/>
        <v>48077</v>
      </c>
      <c r="AH182" s="44" t="s">
        <v>857</v>
      </c>
      <c r="AK182">
        <v>16</v>
      </c>
      <c r="AL182">
        <v>112</v>
      </c>
      <c r="AM182">
        <v>10</v>
      </c>
      <c r="AN182" s="48">
        <v>307.5</v>
      </c>
    </row>
    <row r="183" spans="2:40">
      <c r="B183" s="39" t="s">
        <v>360</v>
      </c>
      <c r="C183" s="44" t="s">
        <v>81</v>
      </c>
      <c r="D183" t="s">
        <v>164</v>
      </c>
      <c r="E183" t="s">
        <v>83</v>
      </c>
      <c r="F183" s="42">
        <v>45923</v>
      </c>
      <c r="G183" s="34">
        <f t="shared" si="14"/>
        <v>46043</v>
      </c>
      <c r="H183" t="s">
        <v>169</v>
      </c>
      <c r="I183" s="34">
        <f t="shared" si="15"/>
        <v>46043</v>
      </c>
      <c r="J183" t="s">
        <v>161</v>
      </c>
      <c r="K183" t="s">
        <v>853</v>
      </c>
      <c r="L183" t="s">
        <v>163</v>
      </c>
      <c r="M183" s="39" t="s">
        <v>360</v>
      </c>
      <c r="N183" t="s">
        <v>161</v>
      </c>
      <c r="Q183" s="39" t="s">
        <v>741</v>
      </c>
      <c r="U183" t="s">
        <v>854</v>
      </c>
      <c r="W183" t="s">
        <v>855</v>
      </c>
      <c r="X183">
        <v>1</v>
      </c>
      <c r="Y183">
        <v>0</v>
      </c>
      <c r="Z183">
        <v>0</v>
      </c>
      <c r="AA183" s="48">
        <v>307.5</v>
      </c>
      <c r="AC183" s="48">
        <v>307.5</v>
      </c>
      <c r="AF183" s="34">
        <f t="shared" si="16"/>
        <v>46252</v>
      </c>
      <c r="AG183" s="34">
        <f t="shared" si="17"/>
        <v>48077</v>
      </c>
      <c r="AH183" s="44" t="s">
        <v>857</v>
      </c>
      <c r="AK183">
        <v>16</v>
      </c>
      <c r="AL183">
        <v>112</v>
      </c>
      <c r="AM183">
        <v>10</v>
      </c>
      <c r="AN183" s="48">
        <v>307.5</v>
      </c>
    </row>
    <row r="184" spans="2:40">
      <c r="B184" s="39" t="s">
        <v>361</v>
      </c>
      <c r="C184" s="44" t="s">
        <v>81</v>
      </c>
      <c r="D184" t="s">
        <v>164</v>
      </c>
      <c r="E184" t="s">
        <v>83</v>
      </c>
      <c r="F184" s="42">
        <v>45923</v>
      </c>
      <c r="G184" s="34">
        <f t="shared" si="14"/>
        <v>46043</v>
      </c>
      <c r="H184" t="s">
        <v>169</v>
      </c>
      <c r="I184" s="34">
        <f t="shared" si="15"/>
        <v>46043</v>
      </c>
      <c r="J184" t="s">
        <v>161</v>
      </c>
      <c r="K184" t="s">
        <v>853</v>
      </c>
      <c r="L184" t="s">
        <v>163</v>
      </c>
      <c r="M184" s="39" t="s">
        <v>361</v>
      </c>
      <c r="N184" t="s">
        <v>161</v>
      </c>
      <c r="Q184" s="39" t="s">
        <v>741</v>
      </c>
      <c r="U184" t="s">
        <v>854</v>
      </c>
      <c r="W184" t="s">
        <v>855</v>
      </c>
      <c r="X184">
        <v>1</v>
      </c>
      <c r="Y184">
        <v>0</v>
      </c>
      <c r="Z184">
        <v>0</v>
      </c>
      <c r="AA184" s="48">
        <v>307.5</v>
      </c>
      <c r="AC184" s="48">
        <v>307.5</v>
      </c>
      <c r="AF184" s="34">
        <f t="shared" si="16"/>
        <v>46252</v>
      </c>
      <c r="AG184" s="34">
        <f t="shared" si="17"/>
        <v>48077</v>
      </c>
      <c r="AH184" s="44" t="s">
        <v>857</v>
      </c>
      <c r="AK184">
        <v>16</v>
      </c>
      <c r="AL184">
        <v>112</v>
      </c>
      <c r="AM184">
        <v>10</v>
      </c>
      <c r="AN184" s="48">
        <v>307.5</v>
      </c>
    </row>
    <row r="185" spans="2:40">
      <c r="B185" s="39" t="s">
        <v>362</v>
      </c>
      <c r="C185" s="44" t="s">
        <v>81</v>
      </c>
      <c r="D185" t="s">
        <v>164</v>
      </c>
      <c r="E185" t="s">
        <v>83</v>
      </c>
      <c r="F185" s="42">
        <v>45918</v>
      </c>
      <c r="G185" s="34">
        <f t="shared" si="14"/>
        <v>46038</v>
      </c>
      <c r="H185" t="s">
        <v>169</v>
      </c>
      <c r="I185" s="34">
        <f t="shared" si="15"/>
        <v>46038</v>
      </c>
      <c r="J185" t="s">
        <v>161</v>
      </c>
      <c r="K185" t="s">
        <v>853</v>
      </c>
      <c r="L185" t="s">
        <v>163</v>
      </c>
      <c r="M185" s="39" t="s">
        <v>362</v>
      </c>
      <c r="N185" t="s">
        <v>161</v>
      </c>
      <c r="Q185" s="39" t="s">
        <v>742</v>
      </c>
      <c r="U185" t="s">
        <v>854</v>
      </c>
      <c r="W185" t="s">
        <v>855</v>
      </c>
      <c r="X185">
        <v>1</v>
      </c>
      <c r="Y185">
        <v>0</v>
      </c>
      <c r="Z185">
        <v>0</v>
      </c>
      <c r="AA185" s="48">
        <v>307.5</v>
      </c>
      <c r="AC185" s="48">
        <v>307.5</v>
      </c>
      <c r="AF185" s="34">
        <f t="shared" si="16"/>
        <v>46247</v>
      </c>
      <c r="AG185" s="34">
        <f t="shared" si="17"/>
        <v>48072</v>
      </c>
      <c r="AH185" s="44" t="s">
        <v>857</v>
      </c>
      <c r="AK185">
        <v>16</v>
      </c>
      <c r="AL185">
        <v>112</v>
      </c>
      <c r="AM185">
        <v>10</v>
      </c>
      <c r="AN185" s="48">
        <v>307.5</v>
      </c>
    </row>
    <row r="186" spans="2:40">
      <c r="B186" s="39" t="s">
        <v>363</v>
      </c>
      <c r="C186" s="44" t="s">
        <v>81</v>
      </c>
      <c r="D186" t="s">
        <v>164</v>
      </c>
      <c r="E186" t="s">
        <v>83</v>
      </c>
      <c r="F186" s="42">
        <v>45918</v>
      </c>
      <c r="G186" s="34">
        <f t="shared" si="14"/>
        <v>46038</v>
      </c>
      <c r="H186" t="s">
        <v>169</v>
      </c>
      <c r="I186" s="34">
        <f t="shared" si="15"/>
        <v>46038</v>
      </c>
      <c r="J186" t="s">
        <v>161</v>
      </c>
      <c r="K186" t="s">
        <v>853</v>
      </c>
      <c r="L186" t="s">
        <v>163</v>
      </c>
      <c r="M186" s="39" t="s">
        <v>363</v>
      </c>
      <c r="N186" t="s">
        <v>161</v>
      </c>
      <c r="Q186" s="39" t="s">
        <v>742</v>
      </c>
      <c r="U186" t="s">
        <v>854</v>
      </c>
      <c r="W186" t="s">
        <v>855</v>
      </c>
      <c r="X186">
        <v>1</v>
      </c>
      <c r="Y186">
        <v>0</v>
      </c>
      <c r="Z186">
        <v>0</v>
      </c>
      <c r="AA186" s="48">
        <v>307.5</v>
      </c>
      <c r="AC186" s="48">
        <v>307.5</v>
      </c>
      <c r="AF186" s="34">
        <f t="shared" si="16"/>
        <v>46247</v>
      </c>
      <c r="AG186" s="34">
        <f t="shared" si="17"/>
        <v>48072</v>
      </c>
      <c r="AH186" s="44" t="s">
        <v>857</v>
      </c>
      <c r="AK186">
        <v>16</v>
      </c>
      <c r="AL186">
        <v>112</v>
      </c>
      <c r="AM186">
        <v>10</v>
      </c>
      <c r="AN186" s="48">
        <v>307.5</v>
      </c>
    </row>
    <row r="187" spans="2:40">
      <c r="B187" s="39" t="s">
        <v>364</v>
      </c>
      <c r="C187" s="44" t="s">
        <v>81</v>
      </c>
      <c r="D187" t="s">
        <v>164</v>
      </c>
      <c r="E187" t="s">
        <v>83</v>
      </c>
      <c r="F187" s="42">
        <v>45918</v>
      </c>
      <c r="G187" s="34">
        <f t="shared" si="14"/>
        <v>46038</v>
      </c>
      <c r="H187" t="s">
        <v>169</v>
      </c>
      <c r="I187" s="34">
        <f t="shared" si="15"/>
        <v>46038</v>
      </c>
      <c r="J187" t="s">
        <v>161</v>
      </c>
      <c r="K187" t="s">
        <v>853</v>
      </c>
      <c r="L187" t="s">
        <v>163</v>
      </c>
      <c r="M187" s="39" t="s">
        <v>364</v>
      </c>
      <c r="N187" t="s">
        <v>161</v>
      </c>
      <c r="Q187" s="39" t="s">
        <v>742</v>
      </c>
      <c r="U187" t="s">
        <v>854</v>
      </c>
      <c r="W187" t="s">
        <v>855</v>
      </c>
      <c r="X187">
        <v>1</v>
      </c>
      <c r="Y187">
        <v>0</v>
      </c>
      <c r="Z187">
        <v>0</v>
      </c>
      <c r="AA187" s="48">
        <v>307.5</v>
      </c>
      <c r="AC187" s="48">
        <v>307.5</v>
      </c>
      <c r="AF187" s="34">
        <f t="shared" si="16"/>
        <v>46247</v>
      </c>
      <c r="AG187" s="34">
        <f t="shared" si="17"/>
        <v>48072</v>
      </c>
      <c r="AH187" s="44" t="s">
        <v>857</v>
      </c>
      <c r="AK187">
        <v>16</v>
      </c>
      <c r="AL187">
        <v>112</v>
      </c>
      <c r="AM187">
        <v>10</v>
      </c>
      <c r="AN187" s="48">
        <v>307.5</v>
      </c>
    </row>
    <row r="188" spans="2:40">
      <c r="B188" s="39" t="s">
        <v>365</v>
      </c>
      <c r="C188" s="44" t="s">
        <v>81</v>
      </c>
      <c r="D188" t="s">
        <v>164</v>
      </c>
      <c r="E188" t="s">
        <v>83</v>
      </c>
      <c r="F188" s="42">
        <v>45918</v>
      </c>
      <c r="G188" s="34">
        <f t="shared" si="14"/>
        <v>46038</v>
      </c>
      <c r="H188" t="s">
        <v>169</v>
      </c>
      <c r="I188" s="34">
        <f t="shared" si="15"/>
        <v>46038</v>
      </c>
      <c r="J188" t="s">
        <v>161</v>
      </c>
      <c r="K188" t="s">
        <v>853</v>
      </c>
      <c r="L188" t="s">
        <v>163</v>
      </c>
      <c r="M188" s="39" t="s">
        <v>365</v>
      </c>
      <c r="N188" t="s">
        <v>161</v>
      </c>
      <c r="Q188" s="39" t="s">
        <v>742</v>
      </c>
      <c r="U188" t="s">
        <v>854</v>
      </c>
      <c r="W188" t="s">
        <v>855</v>
      </c>
      <c r="X188">
        <v>1</v>
      </c>
      <c r="Y188">
        <v>0</v>
      </c>
      <c r="Z188">
        <v>0</v>
      </c>
      <c r="AA188" s="48">
        <v>307.5</v>
      </c>
      <c r="AC188" s="48">
        <v>307.5</v>
      </c>
      <c r="AF188" s="34">
        <f t="shared" si="16"/>
        <v>46247</v>
      </c>
      <c r="AG188" s="34">
        <f t="shared" si="17"/>
        <v>48072</v>
      </c>
      <c r="AH188" s="44" t="s">
        <v>857</v>
      </c>
      <c r="AK188">
        <v>16</v>
      </c>
      <c r="AL188">
        <v>112</v>
      </c>
      <c r="AM188">
        <v>10</v>
      </c>
      <c r="AN188" s="48">
        <v>307.5</v>
      </c>
    </row>
    <row r="189" spans="2:40">
      <c r="B189" s="39" t="s">
        <v>366</v>
      </c>
      <c r="C189" s="44" t="s">
        <v>81</v>
      </c>
      <c r="D189" t="s">
        <v>164</v>
      </c>
      <c r="E189" t="s">
        <v>83</v>
      </c>
      <c r="F189" s="42">
        <v>45918</v>
      </c>
      <c r="G189" s="34">
        <f t="shared" si="14"/>
        <v>46038</v>
      </c>
      <c r="H189" t="s">
        <v>169</v>
      </c>
      <c r="I189" s="34">
        <f t="shared" si="15"/>
        <v>46038</v>
      </c>
      <c r="J189" t="s">
        <v>161</v>
      </c>
      <c r="K189" t="s">
        <v>853</v>
      </c>
      <c r="L189" t="s">
        <v>163</v>
      </c>
      <c r="M189" s="39" t="s">
        <v>366</v>
      </c>
      <c r="N189" t="s">
        <v>161</v>
      </c>
      <c r="Q189" s="39" t="s">
        <v>742</v>
      </c>
      <c r="U189" t="s">
        <v>854</v>
      </c>
      <c r="W189" t="s">
        <v>855</v>
      </c>
      <c r="X189">
        <v>1</v>
      </c>
      <c r="Y189">
        <v>0</v>
      </c>
      <c r="Z189">
        <v>0</v>
      </c>
      <c r="AA189" s="48">
        <v>307.5</v>
      </c>
      <c r="AC189" s="48">
        <v>307.5</v>
      </c>
      <c r="AF189" s="34">
        <f t="shared" si="16"/>
        <v>46247</v>
      </c>
      <c r="AG189" s="34">
        <f t="shared" si="17"/>
        <v>48072</v>
      </c>
      <c r="AH189" s="44" t="s">
        <v>857</v>
      </c>
      <c r="AK189">
        <v>16</v>
      </c>
      <c r="AL189">
        <v>112</v>
      </c>
      <c r="AM189">
        <v>10</v>
      </c>
      <c r="AN189" s="48">
        <v>307.5</v>
      </c>
    </row>
    <row r="190" spans="2:40">
      <c r="B190" s="39" t="s">
        <v>367</v>
      </c>
      <c r="C190" s="44" t="s">
        <v>81</v>
      </c>
      <c r="D190" t="s">
        <v>164</v>
      </c>
      <c r="E190" t="s">
        <v>83</v>
      </c>
      <c r="F190" s="42">
        <v>45918</v>
      </c>
      <c r="G190" s="34">
        <f t="shared" si="14"/>
        <v>46038</v>
      </c>
      <c r="H190" t="s">
        <v>169</v>
      </c>
      <c r="I190" s="34">
        <f t="shared" si="15"/>
        <v>46038</v>
      </c>
      <c r="J190" t="s">
        <v>161</v>
      </c>
      <c r="K190" t="s">
        <v>853</v>
      </c>
      <c r="L190" t="s">
        <v>163</v>
      </c>
      <c r="M190" s="39" t="s">
        <v>367</v>
      </c>
      <c r="N190" t="s">
        <v>161</v>
      </c>
      <c r="Q190" s="39" t="s">
        <v>742</v>
      </c>
      <c r="U190" t="s">
        <v>854</v>
      </c>
      <c r="W190" t="s">
        <v>855</v>
      </c>
      <c r="X190">
        <v>1</v>
      </c>
      <c r="Y190">
        <v>0</v>
      </c>
      <c r="Z190">
        <v>0</v>
      </c>
      <c r="AA190" s="48">
        <v>307.5</v>
      </c>
      <c r="AC190" s="48">
        <v>307.5</v>
      </c>
      <c r="AF190" s="34">
        <f t="shared" si="16"/>
        <v>46247</v>
      </c>
      <c r="AG190" s="34">
        <f t="shared" si="17"/>
        <v>48072</v>
      </c>
      <c r="AH190" s="44" t="s">
        <v>857</v>
      </c>
      <c r="AK190">
        <v>16</v>
      </c>
      <c r="AL190">
        <v>112</v>
      </c>
      <c r="AM190">
        <v>10</v>
      </c>
      <c r="AN190" s="48">
        <v>307.5</v>
      </c>
    </row>
    <row r="191" spans="2:40">
      <c r="B191" s="39" t="s">
        <v>368</v>
      </c>
      <c r="C191" s="44" t="s">
        <v>81</v>
      </c>
      <c r="D191" t="s">
        <v>164</v>
      </c>
      <c r="E191" t="s">
        <v>83</v>
      </c>
      <c r="F191" s="42">
        <v>45918</v>
      </c>
      <c r="G191" s="34">
        <f t="shared" si="14"/>
        <v>46038</v>
      </c>
      <c r="H191" t="s">
        <v>169</v>
      </c>
      <c r="I191" s="34">
        <f t="shared" si="15"/>
        <v>46038</v>
      </c>
      <c r="J191" t="s">
        <v>161</v>
      </c>
      <c r="K191" t="s">
        <v>853</v>
      </c>
      <c r="L191" t="s">
        <v>163</v>
      </c>
      <c r="M191" s="39" t="s">
        <v>368</v>
      </c>
      <c r="N191" t="s">
        <v>161</v>
      </c>
      <c r="Q191" s="39" t="s">
        <v>742</v>
      </c>
      <c r="U191" t="s">
        <v>854</v>
      </c>
      <c r="W191" t="s">
        <v>855</v>
      </c>
      <c r="X191">
        <v>1</v>
      </c>
      <c r="Y191">
        <v>0</v>
      </c>
      <c r="Z191">
        <v>0</v>
      </c>
      <c r="AA191" s="48">
        <v>307.5</v>
      </c>
      <c r="AC191" s="48">
        <v>307.5</v>
      </c>
      <c r="AF191" s="34">
        <f t="shared" si="16"/>
        <v>46247</v>
      </c>
      <c r="AG191" s="34">
        <f t="shared" si="17"/>
        <v>48072</v>
      </c>
      <c r="AH191" s="44" t="s">
        <v>857</v>
      </c>
      <c r="AK191">
        <v>16</v>
      </c>
      <c r="AL191">
        <v>112</v>
      </c>
      <c r="AM191">
        <v>10</v>
      </c>
      <c r="AN191" s="48">
        <v>307.5</v>
      </c>
    </row>
    <row r="192" spans="2:40">
      <c r="B192" s="39" t="s">
        <v>369</v>
      </c>
      <c r="C192" s="44" t="s">
        <v>81</v>
      </c>
      <c r="D192" t="s">
        <v>164</v>
      </c>
      <c r="E192" t="s">
        <v>83</v>
      </c>
      <c r="F192" s="42">
        <v>45903</v>
      </c>
      <c r="G192" s="34">
        <f t="shared" si="14"/>
        <v>46023</v>
      </c>
      <c r="H192" t="s">
        <v>169</v>
      </c>
      <c r="I192" s="34">
        <f t="shared" si="15"/>
        <v>46023</v>
      </c>
      <c r="J192" t="s">
        <v>161</v>
      </c>
      <c r="K192" t="s">
        <v>853</v>
      </c>
      <c r="L192" t="s">
        <v>163</v>
      </c>
      <c r="M192" s="39" t="s">
        <v>369</v>
      </c>
      <c r="N192" t="s">
        <v>161</v>
      </c>
      <c r="Q192" s="39" t="s">
        <v>743</v>
      </c>
      <c r="U192" t="s">
        <v>854</v>
      </c>
      <c r="W192" t="s">
        <v>855</v>
      </c>
      <c r="X192">
        <v>1</v>
      </c>
      <c r="Y192">
        <v>0</v>
      </c>
      <c r="Z192">
        <v>0</v>
      </c>
      <c r="AA192" s="48">
        <v>307.5</v>
      </c>
      <c r="AC192" s="48">
        <v>307.5</v>
      </c>
      <c r="AF192" s="34">
        <f t="shared" si="16"/>
        <v>46232</v>
      </c>
      <c r="AG192" s="34">
        <f t="shared" si="17"/>
        <v>48057</v>
      </c>
      <c r="AH192" s="44" t="s">
        <v>857</v>
      </c>
      <c r="AK192">
        <v>16</v>
      </c>
      <c r="AL192">
        <v>112</v>
      </c>
      <c r="AM192">
        <v>10</v>
      </c>
      <c r="AN192" s="48">
        <v>307.5</v>
      </c>
    </row>
    <row r="193" spans="2:40">
      <c r="B193" s="39" t="s">
        <v>370</v>
      </c>
      <c r="C193" s="44" t="s">
        <v>81</v>
      </c>
      <c r="D193" t="s">
        <v>164</v>
      </c>
      <c r="E193" t="s">
        <v>83</v>
      </c>
      <c r="F193" s="42">
        <v>45903</v>
      </c>
      <c r="G193" s="34">
        <f t="shared" si="14"/>
        <v>46023</v>
      </c>
      <c r="H193" t="s">
        <v>169</v>
      </c>
      <c r="I193" s="34">
        <f t="shared" si="15"/>
        <v>46023</v>
      </c>
      <c r="J193" t="s">
        <v>161</v>
      </c>
      <c r="K193" t="s">
        <v>853</v>
      </c>
      <c r="L193" t="s">
        <v>163</v>
      </c>
      <c r="M193" s="39" t="s">
        <v>370</v>
      </c>
      <c r="N193" t="s">
        <v>161</v>
      </c>
      <c r="Q193" s="39" t="s">
        <v>743</v>
      </c>
      <c r="U193" t="s">
        <v>854</v>
      </c>
      <c r="W193" t="s">
        <v>855</v>
      </c>
      <c r="X193">
        <v>2</v>
      </c>
      <c r="AA193" s="48">
        <v>307.5</v>
      </c>
      <c r="AC193" s="48">
        <v>307.5</v>
      </c>
      <c r="AF193" s="34">
        <f t="shared" si="16"/>
        <v>46232</v>
      </c>
      <c r="AG193" s="34">
        <f t="shared" si="17"/>
        <v>48057</v>
      </c>
      <c r="AH193" s="44" t="s">
        <v>857</v>
      </c>
      <c r="AK193">
        <v>16</v>
      </c>
      <c r="AL193">
        <v>112</v>
      </c>
      <c r="AM193">
        <v>10</v>
      </c>
      <c r="AN193" s="48">
        <v>307.5</v>
      </c>
    </row>
    <row r="194" spans="2:40">
      <c r="B194" s="39" t="s">
        <v>371</v>
      </c>
      <c r="C194" s="44" t="s">
        <v>81</v>
      </c>
      <c r="D194" t="s">
        <v>164</v>
      </c>
      <c r="E194" t="s">
        <v>83</v>
      </c>
      <c r="F194" s="42">
        <v>45903</v>
      </c>
      <c r="G194" s="34">
        <f t="shared" si="14"/>
        <v>46023</v>
      </c>
      <c r="H194" t="s">
        <v>169</v>
      </c>
      <c r="I194" s="34">
        <f t="shared" si="15"/>
        <v>46023</v>
      </c>
      <c r="J194" t="s">
        <v>161</v>
      </c>
      <c r="K194" t="s">
        <v>853</v>
      </c>
      <c r="L194" t="s">
        <v>163</v>
      </c>
      <c r="M194" s="39" t="s">
        <v>371</v>
      </c>
      <c r="N194" t="s">
        <v>161</v>
      </c>
      <c r="Q194" s="39" t="s">
        <v>743</v>
      </c>
      <c r="U194" t="s">
        <v>854</v>
      </c>
      <c r="W194" t="s">
        <v>855</v>
      </c>
      <c r="X194">
        <v>2</v>
      </c>
      <c r="AA194" s="48">
        <v>307.5</v>
      </c>
      <c r="AC194" s="48">
        <v>307.5</v>
      </c>
      <c r="AF194" s="34">
        <f t="shared" si="16"/>
        <v>46232</v>
      </c>
      <c r="AG194" s="34">
        <f t="shared" si="17"/>
        <v>48057</v>
      </c>
      <c r="AH194" s="44" t="s">
        <v>857</v>
      </c>
      <c r="AK194">
        <v>16</v>
      </c>
      <c r="AL194">
        <v>112</v>
      </c>
      <c r="AM194">
        <v>10</v>
      </c>
      <c r="AN194" s="48">
        <v>307.5</v>
      </c>
    </row>
    <row r="195" spans="2:40">
      <c r="B195" s="39" t="s">
        <v>372</v>
      </c>
      <c r="C195" s="44" t="s">
        <v>81</v>
      </c>
      <c r="D195" t="s">
        <v>164</v>
      </c>
      <c r="E195" t="s">
        <v>83</v>
      </c>
      <c r="F195" s="42">
        <v>45903</v>
      </c>
      <c r="G195" s="34">
        <f t="shared" si="14"/>
        <v>46023</v>
      </c>
      <c r="H195" t="s">
        <v>169</v>
      </c>
      <c r="I195" s="34">
        <f t="shared" si="15"/>
        <v>46023</v>
      </c>
      <c r="J195" t="s">
        <v>161</v>
      </c>
      <c r="K195" t="s">
        <v>853</v>
      </c>
      <c r="L195" t="s">
        <v>163</v>
      </c>
      <c r="M195" s="39" t="s">
        <v>372</v>
      </c>
      <c r="N195" t="s">
        <v>161</v>
      </c>
      <c r="Q195" s="39" t="s">
        <v>743</v>
      </c>
      <c r="U195" t="s">
        <v>854</v>
      </c>
      <c r="W195" t="s">
        <v>855</v>
      </c>
      <c r="X195">
        <v>2</v>
      </c>
      <c r="AA195" s="48">
        <v>307.5</v>
      </c>
      <c r="AC195" s="48">
        <v>307.5</v>
      </c>
      <c r="AF195" s="34">
        <f t="shared" si="16"/>
        <v>46232</v>
      </c>
      <c r="AG195" s="34">
        <f t="shared" si="17"/>
        <v>48057</v>
      </c>
      <c r="AH195" s="44" t="s">
        <v>857</v>
      </c>
      <c r="AK195">
        <v>16</v>
      </c>
      <c r="AL195">
        <v>112</v>
      </c>
      <c r="AM195">
        <v>10</v>
      </c>
      <c r="AN195" s="48">
        <v>307.5</v>
      </c>
    </row>
    <row r="196" spans="2:40">
      <c r="B196" s="39" t="s">
        <v>373</v>
      </c>
      <c r="C196" s="44" t="s">
        <v>81</v>
      </c>
      <c r="D196" t="s">
        <v>164</v>
      </c>
      <c r="E196" t="s">
        <v>83</v>
      </c>
      <c r="F196" s="42">
        <v>45903</v>
      </c>
      <c r="G196" s="34">
        <f t="shared" si="14"/>
        <v>46023</v>
      </c>
      <c r="H196" t="s">
        <v>169</v>
      </c>
      <c r="I196" s="34">
        <f t="shared" si="15"/>
        <v>46023</v>
      </c>
      <c r="J196" t="s">
        <v>161</v>
      </c>
      <c r="K196" t="s">
        <v>853</v>
      </c>
      <c r="L196" t="s">
        <v>163</v>
      </c>
      <c r="M196" s="39" t="s">
        <v>373</v>
      </c>
      <c r="N196" t="s">
        <v>161</v>
      </c>
      <c r="Q196" s="39" t="s">
        <v>743</v>
      </c>
      <c r="U196" t="s">
        <v>854</v>
      </c>
      <c r="W196" t="s">
        <v>855</v>
      </c>
      <c r="X196">
        <v>2</v>
      </c>
      <c r="AA196" s="48">
        <v>307.5</v>
      </c>
      <c r="AC196" s="48">
        <v>307.5</v>
      </c>
      <c r="AF196" s="34">
        <f t="shared" si="16"/>
        <v>46232</v>
      </c>
      <c r="AG196" s="34">
        <f t="shared" si="17"/>
        <v>48057</v>
      </c>
      <c r="AH196" s="44" t="s">
        <v>857</v>
      </c>
      <c r="AK196">
        <v>16</v>
      </c>
      <c r="AL196">
        <v>112</v>
      </c>
      <c r="AM196">
        <v>10</v>
      </c>
      <c r="AN196" s="48">
        <v>307.5</v>
      </c>
    </row>
    <row r="197" spans="2:40">
      <c r="B197" s="39" t="s">
        <v>374</v>
      </c>
      <c r="C197" s="44" t="s">
        <v>81</v>
      </c>
      <c r="D197" t="s">
        <v>164</v>
      </c>
      <c r="E197" t="s">
        <v>83</v>
      </c>
      <c r="F197" s="42">
        <v>45903</v>
      </c>
      <c r="G197" s="34">
        <f t="shared" si="14"/>
        <v>46023</v>
      </c>
      <c r="H197" t="s">
        <v>169</v>
      </c>
      <c r="I197" s="34">
        <f t="shared" si="15"/>
        <v>46023</v>
      </c>
      <c r="J197" t="s">
        <v>161</v>
      </c>
      <c r="K197" t="s">
        <v>853</v>
      </c>
      <c r="L197" t="s">
        <v>163</v>
      </c>
      <c r="M197" s="39" t="s">
        <v>374</v>
      </c>
      <c r="N197" t="s">
        <v>161</v>
      </c>
      <c r="Q197" s="39" t="s">
        <v>743</v>
      </c>
      <c r="U197" t="s">
        <v>854</v>
      </c>
      <c r="W197" t="s">
        <v>855</v>
      </c>
      <c r="X197">
        <v>2</v>
      </c>
      <c r="AA197" s="48">
        <v>307.5</v>
      </c>
      <c r="AC197" s="48">
        <v>307.5</v>
      </c>
      <c r="AF197" s="34">
        <f t="shared" si="16"/>
        <v>46232</v>
      </c>
      <c r="AG197" s="34">
        <f t="shared" si="17"/>
        <v>48057</v>
      </c>
      <c r="AH197" s="44" t="s">
        <v>857</v>
      </c>
      <c r="AK197">
        <v>16</v>
      </c>
      <c r="AL197">
        <v>112</v>
      </c>
      <c r="AM197">
        <v>10</v>
      </c>
      <c r="AN197" s="48">
        <v>307.5</v>
      </c>
    </row>
    <row r="198" spans="2:40">
      <c r="B198" s="39" t="s">
        <v>375</v>
      </c>
      <c r="C198" s="44" t="s">
        <v>81</v>
      </c>
      <c r="D198" t="s">
        <v>164</v>
      </c>
      <c r="E198" t="s">
        <v>83</v>
      </c>
      <c r="F198" s="42">
        <v>45903</v>
      </c>
      <c r="G198" s="34">
        <f t="shared" ref="G198:G261" si="18">+F198+120</f>
        <v>46023</v>
      </c>
      <c r="H198" t="s">
        <v>169</v>
      </c>
      <c r="I198" s="34">
        <f t="shared" ref="I198:I261" si="19">+G198</f>
        <v>46023</v>
      </c>
      <c r="J198" t="s">
        <v>161</v>
      </c>
      <c r="K198" t="s">
        <v>853</v>
      </c>
      <c r="L198" t="s">
        <v>163</v>
      </c>
      <c r="M198" s="39" t="s">
        <v>375</v>
      </c>
      <c r="N198" t="s">
        <v>161</v>
      </c>
      <c r="Q198" s="39" t="s">
        <v>743</v>
      </c>
      <c r="U198" t="s">
        <v>854</v>
      </c>
      <c r="W198" t="s">
        <v>855</v>
      </c>
      <c r="X198">
        <v>2</v>
      </c>
      <c r="AA198" s="48">
        <v>307.5</v>
      </c>
      <c r="AC198" s="48">
        <v>307.5</v>
      </c>
      <c r="AF198" s="34">
        <f t="shared" si="16"/>
        <v>46232</v>
      </c>
      <c r="AG198" s="34">
        <f t="shared" si="17"/>
        <v>48057</v>
      </c>
      <c r="AH198" s="44" t="s">
        <v>857</v>
      </c>
      <c r="AK198">
        <v>16</v>
      </c>
      <c r="AL198">
        <v>112</v>
      </c>
      <c r="AM198">
        <v>10</v>
      </c>
      <c r="AN198" s="48">
        <v>307.5</v>
      </c>
    </row>
    <row r="199" spans="2:40">
      <c r="B199" s="39" t="s">
        <v>376</v>
      </c>
      <c r="C199" s="44" t="s">
        <v>81</v>
      </c>
      <c r="D199" t="s">
        <v>164</v>
      </c>
      <c r="E199" t="s">
        <v>83</v>
      </c>
      <c r="F199" s="42">
        <v>45891</v>
      </c>
      <c r="G199" s="34">
        <f t="shared" si="18"/>
        <v>46011</v>
      </c>
      <c r="H199" t="s">
        <v>169</v>
      </c>
      <c r="I199" s="34">
        <f t="shared" si="19"/>
        <v>46011</v>
      </c>
      <c r="J199" t="s">
        <v>161</v>
      </c>
      <c r="K199" t="s">
        <v>853</v>
      </c>
      <c r="L199" t="s">
        <v>163</v>
      </c>
      <c r="M199" s="39" t="s">
        <v>376</v>
      </c>
      <c r="N199" t="s">
        <v>161</v>
      </c>
      <c r="Q199" s="39" t="s">
        <v>744</v>
      </c>
      <c r="U199" t="s">
        <v>854</v>
      </c>
      <c r="W199" t="s">
        <v>855</v>
      </c>
      <c r="X199">
        <v>2</v>
      </c>
      <c r="AA199" s="48">
        <v>307.5</v>
      </c>
      <c r="AC199" s="48">
        <v>307.5</v>
      </c>
      <c r="AF199" s="34">
        <f t="shared" si="16"/>
        <v>46220</v>
      </c>
      <c r="AG199" s="34">
        <f t="shared" si="17"/>
        <v>48045</v>
      </c>
      <c r="AH199" s="44" t="s">
        <v>857</v>
      </c>
      <c r="AK199">
        <v>16</v>
      </c>
      <c r="AL199">
        <v>112</v>
      </c>
      <c r="AM199">
        <v>10</v>
      </c>
      <c r="AN199" s="48">
        <v>307.5</v>
      </c>
    </row>
    <row r="200" spans="2:40">
      <c r="B200" s="39" t="s">
        <v>377</v>
      </c>
      <c r="C200" s="44" t="s">
        <v>81</v>
      </c>
      <c r="D200" t="s">
        <v>164</v>
      </c>
      <c r="E200" t="s">
        <v>83</v>
      </c>
      <c r="F200" s="42">
        <v>45891</v>
      </c>
      <c r="G200" s="34">
        <f t="shared" si="18"/>
        <v>46011</v>
      </c>
      <c r="H200" t="s">
        <v>169</v>
      </c>
      <c r="I200" s="34">
        <f t="shared" si="19"/>
        <v>46011</v>
      </c>
      <c r="J200" t="s">
        <v>161</v>
      </c>
      <c r="K200" t="s">
        <v>853</v>
      </c>
      <c r="L200" t="s">
        <v>163</v>
      </c>
      <c r="M200" s="39" t="s">
        <v>377</v>
      </c>
      <c r="N200" t="s">
        <v>161</v>
      </c>
      <c r="Q200" s="39" t="s">
        <v>744</v>
      </c>
      <c r="U200" t="s">
        <v>854</v>
      </c>
      <c r="W200" t="s">
        <v>855</v>
      </c>
      <c r="X200">
        <v>2</v>
      </c>
      <c r="AA200" s="48">
        <v>307.5</v>
      </c>
      <c r="AC200" s="48">
        <v>307.5</v>
      </c>
      <c r="AF200" s="34">
        <f t="shared" si="16"/>
        <v>46220</v>
      </c>
      <c r="AG200" s="34">
        <f t="shared" si="17"/>
        <v>48045</v>
      </c>
      <c r="AH200" s="44" t="s">
        <v>857</v>
      </c>
      <c r="AK200">
        <v>16</v>
      </c>
      <c r="AL200">
        <v>112</v>
      </c>
      <c r="AM200">
        <v>10</v>
      </c>
      <c r="AN200" s="48">
        <v>307.5</v>
      </c>
    </row>
    <row r="201" spans="2:40">
      <c r="B201" s="39" t="s">
        <v>378</v>
      </c>
      <c r="C201" s="44" t="s">
        <v>81</v>
      </c>
      <c r="D201" t="s">
        <v>164</v>
      </c>
      <c r="E201" t="s">
        <v>83</v>
      </c>
      <c r="F201" s="42">
        <v>45891</v>
      </c>
      <c r="G201" s="34">
        <f t="shared" si="18"/>
        <v>46011</v>
      </c>
      <c r="H201" t="s">
        <v>169</v>
      </c>
      <c r="I201" s="34">
        <f t="shared" si="19"/>
        <v>46011</v>
      </c>
      <c r="J201" t="s">
        <v>161</v>
      </c>
      <c r="K201" t="s">
        <v>853</v>
      </c>
      <c r="L201" t="s">
        <v>163</v>
      </c>
      <c r="M201" s="39" t="s">
        <v>378</v>
      </c>
      <c r="N201" t="s">
        <v>161</v>
      </c>
      <c r="Q201" s="39" t="s">
        <v>744</v>
      </c>
      <c r="U201" t="s">
        <v>854</v>
      </c>
      <c r="W201" t="s">
        <v>855</v>
      </c>
      <c r="X201">
        <v>2</v>
      </c>
      <c r="AA201" s="48">
        <v>307.5</v>
      </c>
      <c r="AC201" s="48">
        <v>307.5</v>
      </c>
      <c r="AF201" s="34">
        <f t="shared" si="16"/>
        <v>46220</v>
      </c>
      <c r="AG201" s="34">
        <f t="shared" si="17"/>
        <v>48045</v>
      </c>
      <c r="AH201" s="44" t="s">
        <v>857</v>
      </c>
      <c r="AK201">
        <v>16</v>
      </c>
      <c r="AL201">
        <v>112</v>
      </c>
      <c r="AM201">
        <v>10</v>
      </c>
      <c r="AN201" s="48">
        <v>307.5</v>
      </c>
    </row>
    <row r="202" spans="2:40">
      <c r="B202" s="39" t="s">
        <v>379</v>
      </c>
      <c r="C202" s="44" t="s">
        <v>81</v>
      </c>
      <c r="D202" t="s">
        <v>164</v>
      </c>
      <c r="E202" t="s">
        <v>83</v>
      </c>
      <c r="F202" s="42">
        <v>45889</v>
      </c>
      <c r="G202" s="34">
        <f t="shared" si="18"/>
        <v>46009</v>
      </c>
      <c r="H202" t="s">
        <v>169</v>
      </c>
      <c r="I202" s="34">
        <f t="shared" si="19"/>
        <v>46009</v>
      </c>
      <c r="J202" t="s">
        <v>161</v>
      </c>
      <c r="K202" t="s">
        <v>853</v>
      </c>
      <c r="L202" t="s">
        <v>163</v>
      </c>
      <c r="M202" s="39" t="s">
        <v>379</v>
      </c>
      <c r="N202" t="s">
        <v>161</v>
      </c>
      <c r="Q202" s="39" t="s">
        <v>745</v>
      </c>
      <c r="U202" t="s">
        <v>854</v>
      </c>
      <c r="W202" t="s">
        <v>855</v>
      </c>
      <c r="X202">
        <v>2</v>
      </c>
      <c r="AA202" s="48">
        <v>307.5</v>
      </c>
      <c r="AC202" s="48">
        <v>307.5</v>
      </c>
      <c r="AF202" s="34">
        <f t="shared" ref="AF202:AF265" si="20">+F202+(47*7)</f>
        <v>46218</v>
      </c>
      <c r="AG202" s="34">
        <f t="shared" ref="AG202:AG265" si="21">+AF202+(365*5)</f>
        <v>48043</v>
      </c>
      <c r="AH202" s="44" t="s">
        <v>857</v>
      </c>
      <c r="AK202">
        <v>16</v>
      </c>
      <c r="AL202">
        <v>112</v>
      </c>
      <c r="AM202">
        <v>10</v>
      </c>
      <c r="AN202" s="48">
        <v>307.5</v>
      </c>
    </row>
    <row r="203" spans="2:40">
      <c r="B203" s="39" t="s">
        <v>380</v>
      </c>
      <c r="C203" s="44" t="s">
        <v>81</v>
      </c>
      <c r="D203" t="s">
        <v>164</v>
      </c>
      <c r="E203" t="s">
        <v>83</v>
      </c>
      <c r="F203" s="42">
        <v>45889</v>
      </c>
      <c r="G203" s="34">
        <f t="shared" si="18"/>
        <v>46009</v>
      </c>
      <c r="H203" t="s">
        <v>169</v>
      </c>
      <c r="I203" s="34">
        <f t="shared" si="19"/>
        <v>46009</v>
      </c>
      <c r="J203" t="s">
        <v>161</v>
      </c>
      <c r="K203" t="s">
        <v>853</v>
      </c>
      <c r="L203" t="s">
        <v>163</v>
      </c>
      <c r="M203" s="39" t="s">
        <v>380</v>
      </c>
      <c r="N203" t="s">
        <v>161</v>
      </c>
      <c r="Q203" s="39" t="s">
        <v>745</v>
      </c>
      <c r="U203" t="s">
        <v>854</v>
      </c>
      <c r="W203" t="s">
        <v>855</v>
      </c>
      <c r="X203">
        <v>2</v>
      </c>
      <c r="AA203" s="48">
        <v>307.5</v>
      </c>
      <c r="AC203" s="48">
        <v>307.5</v>
      </c>
      <c r="AF203" s="34">
        <f t="shared" si="20"/>
        <v>46218</v>
      </c>
      <c r="AG203" s="34">
        <f t="shared" si="21"/>
        <v>48043</v>
      </c>
      <c r="AH203" s="44" t="s">
        <v>857</v>
      </c>
      <c r="AK203">
        <v>16</v>
      </c>
      <c r="AL203">
        <v>112</v>
      </c>
      <c r="AM203">
        <v>10</v>
      </c>
      <c r="AN203" s="48">
        <v>307.5</v>
      </c>
    </row>
    <row r="204" spans="2:40">
      <c r="B204" s="39" t="s">
        <v>381</v>
      </c>
      <c r="C204" s="44" t="s">
        <v>81</v>
      </c>
      <c r="D204" t="s">
        <v>164</v>
      </c>
      <c r="E204" t="s">
        <v>83</v>
      </c>
      <c r="F204" s="42">
        <v>45889</v>
      </c>
      <c r="G204" s="34">
        <f t="shared" si="18"/>
        <v>46009</v>
      </c>
      <c r="H204" t="s">
        <v>169</v>
      </c>
      <c r="I204" s="34">
        <f t="shared" si="19"/>
        <v>46009</v>
      </c>
      <c r="J204" t="s">
        <v>161</v>
      </c>
      <c r="K204" t="s">
        <v>853</v>
      </c>
      <c r="L204" t="s">
        <v>163</v>
      </c>
      <c r="M204" s="39" t="s">
        <v>381</v>
      </c>
      <c r="N204" t="s">
        <v>161</v>
      </c>
      <c r="Q204" s="39" t="s">
        <v>745</v>
      </c>
      <c r="U204" t="s">
        <v>854</v>
      </c>
      <c r="W204" t="s">
        <v>855</v>
      </c>
      <c r="X204">
        <v>2</v>
      </c>
      <c r="AA204" s="48">
        <v>307.5</v>
      </c>
      <c r="AC204" s="48">
        <v>307.5</v>
      </c>
      <c r="AF204" s="34">
        <f t="shared" si="20"/>
        <v>46218</v>
      </c>
      <c r="AG204" s="34">
        <f t="shared" si="21"/>
        <v>48043</v>
      </c>
      <c r="AH204" s="44" t="s">
        <v>857</v>
      </c>
      <c r="AK204">
        <v>16</v>
      </c>
      <c r="AL204">
        <v>112</v>
      </c>
      <c r="AM204">
        <v>10</v>
      </c>
      <c r="AN204" s="48">
        <v>307.5</v>
      </c>
    </row>
    <row r="205" spans="2:40">
      <c r="B205" s="39" t="s">
        <v>382</v>
      </c>
      <c r="C205" s="44" t="s">
        <v>81</v>
      </c>
      <c r="D205" t="s">
        <v>164</v>
      </c>
      <c r="E205" t="s">
        <v>83</v>
      </c>
      <c r="F205" s="42">
        <v>45889</v>
      </c>
      <c r="G205" s="34">
        <f t="shared" si="18"/>
        <v>46009</v>
      </c>
      <c r="H205" t="s">
        <v>169</v>
      </c>
      <c r="I205" s="34">
        <f t="shared" si="19"/>
        <v>46009</v>
      </c>
      <c r="J205" t="s">
        <v>161</v>
      </c>
      <c r="K205" t="s">
        <v>853</v>
      </c>
      <c r="L205" t="s">
        <v>163</v>
      </c>
      <c r="M205" s="39" t="s">
        <v>382</v>
      </c>
      <c r="N205" t="s">
        <v>161</v>
      </c>
      <c r="Q205" s="39" t="s">
        <v>745</v>
      </c>
      <c r="U205" t="s">
        <v>854</v>
      </c>
      <c r="W205" t="s">
        <v>855</v>
      </c>
      <c r="X205">
        <v>2</v>
      </c>
      <c r="AA205" s="48">
        <v>307.5</v>
      </c>
      <c r="AC205" s="48">
        <v>307.5</v>
      </c>
      <c r="AF205" s="34">
        <f t="shared" si="20"/>
        <v>46218</v>
      </c>
      <c r="AG205" s="34">
        <f t="shared" si="21"/>
        <v>48043</v>
      </c>
      <c r="AH205" s="44" t="s">
        <v>857</v>
      </c>
      <c r="AK205">
        <v>16</v>
      </c>
      <c r="AL205">
        <v>112</v>
      </c>
      <c r="AM205">
        <v>10</v>
      </c>
      <c r="AN205" s="48">
        <v>307.5</v>
      </c>
    </row>
    <row r="206" spans="2:40">
      <c r="B206" s="39" t="s">
        <v>383</v>
      </c>
      <c r="C206" s="44" t="s">
        <v>81</v>
      </c>
      <c r="D206" t="s">
        <v>164</v>
      </c>
      <c r="E206" t="s">
        <v>83</v>
      </c>
      <c r="F206" s="42">
        <v>45889</v>
      </c>
      <c r="G206" s="34">
        <f t="shared" si="18"/>
        <v>46009</v>
      </c>
      <c r="H206" t="s">
        <v>169</v>
      </c>
      <c r="I206" s="34">
        <f t="shared" si="19"/>
        <v>46009</v>
      </c>
      <c r="J206" t="s">
        <v>161</v>
      </c>
      <c r="K206" t="s">
        <v>853</v>
      </c>
      <c r="L206" t="s">
        <v>163</v>
      </c>
      <c r="M206" s="39" t="s">
        <v>383</v>
      </c>
      <c r="N206" t="s">
        <v>161</v>
      </c>
      <c r="Q206" s="39" t="s">
        <v>745</v>
      </c>
      <c r="U206" t="s">
        <v>854</v>
      </c>
      <c r="W206" t="s">
        <v>855</v>
      </c>
      <c r="X206">
        <v>2</v>
      </c>
      <c r="AA206" s="48">
        <v>307.5</v>
      </c>
      <c r="AC206" s="48">
        <v>307.5</v>
      </c>
      <c r="AF206" s="34">
        <f t="shared" si="20"/>
        <v>46218</v>
      </c>
      <c r="AG206" s="34">
        <f t="shared" si="21"/>
        <v>48043</v>
      </c>
      <c r="AH206" s="44" t="s">
        <v>857</v>
      </c>
      <c r="AK206">
        <v>16</v>
      </c>
      <c r="AL206">
        <v>112</v>
      </c>
      <c r="AM206">
        <v>10</v>
      </c>
      <c r="AN206" s="48">
        <v>307.5</v>
      </c>
    </row>
    <row r="207" spans="2:40">
      <c r="B207" s="39" t="s">
        <v>384</v>
      </c>
      <c r="C207" s="44" t="s">
        <v>81</v>
      </c>
      <c r="D207" t="s">
        <v>164</v>
      </c>
      <c r="E207" t="s">
        <v>83</v>
      </c>
      <c r="F207" s="42">
        <v>45884</v>
      </c>
      <c r="G207" s="34">
        <f t="shared" si="18"/>
        <v>46004</v>
      </c>
      <c r="H207" t="s">
        <v>169</v>
      </c>
      <c r="I207" s="34">
        <f t="shared" si="19"/>
        <v>46004</v>
      </c>
      <c r="J207" t="s">
        <v>161</v>
      </c>
      <c r="K207" t="s">
        <v>853</v>
      </c>
      <c r="L207" t="s">
        <v>163</v>
      </c>
      <c r="M207" s="39" t="s">
        <v>384</v>
      </c>
      <c r="N207" t="s">
        <v>161</v>
      </c>
      <c r="Q207" s="39" t="s">
        <v>746</v>
      </c>
      <c r="U207" t="s">
        <v>854</v>
      </c>
      <c r="W207" t="s">
        <v>855</v>
      </c>
      <c r="X207">
        <v>2</v>
      </c>
      <c r="AA207" s="48">
        <v>307.5</v>
      </c>
      <c r="AC207" s="48">
        <v>307.5</v>
      </c>
      <c r="AF207" s="34">
        <f t="shared" si="20"/>
        <v>46213</v>
      </c>
      <c r="AG207" s="34">
        <f t="shared" si="21"/>
        <v>48038</v>
      </c>
      <c r="AH207" s="44" t="s">
        <v>857</v>
      </c>
      <c r="AK207">
        <v>16</v>
      </c>
      <c r="AL207">
        <v>112</v>
      </c>
      <c r="AM207">
        <v>10</v>
      </c>
      <c r="AN207" s="48">
        <v>307.5</v>
      </c>
    </row>
    <row r="208" spans="2:40">
      <c r="B208" s="39" t="s">
        <v>385</v>
      </c>
      <c r="C208" s="44" t="s">
        <v>81</v>
      </c>
      <c r="D208" t="s">
        <v>164</v>
      </c>
      <c r="E208" t="s">
        <v>83</v>
      </c>
      <c r="F208" s="42">
        <v>45884</v>
      </c>
      <c r="G208" s="34">
        <f t="shared" si="18"/>
        <v>46004</v>
      </c>
      <c r="H208" t="s">
        <v>169</v>
      </c>
      <c r="I208" s="34">
        <f t="shared" si="19"/>
        <v>46004</v>
      </c>
      <c r="J208" t="s">
        <v>161</v>
      </c>
      <c r="K208" t="s">
        <v>853</v>
      </c>
      <c r="L208" t="s">
        <v>163</v>
      </c>
      <c r="M208" s="39" t="s">
        <v>385</v>
      </c>
      <c r="N208" t="s">
        <v>161</v>
      </c>
      <c r="Q208" s="39" t="s">
        <v>746</v>
      </c>
      <c r="U208" t="s">
        <v>854</v>
      </c>
      <c r="W208" t="s">
        <v>855</v>
      </c>
      <c r="X208">
        <v>2</v>
      </c>
      <c r="AA208" s="48">
        <v>307.5</v>
      </c>
      <c r="AC208" s="48">
        <v>307.5</v>
      </c>
      <c r="AF208" s="34">
        <f t="shared" si="20"/>
        <v>46213</v>
      </c>
      <c r="AG208" s="34">
        <f t="shared" si="21"/>
        <v>48038</v>
      </c>
      <c r="AH208" s="44" t="s">
        <v>857</v>
      </c>
      <c r="AK208">
        <v>16</v>
      </c>
      <c r="AL208">
        <v>112</v>
      </c>
      <c r="AM208">
        <v>10</v>
      </c>
      <c r="AN208" s="48">
        <v>307.5</v>
      </c>
    </row>
    <row r="209" spans="2:40">
      <c r="B209" s="39" t="s">
        <v>386</v>
      </c>
      <c r="C209" s="44" t="s">
        <v>81</v>
      </c>
      <c r="D209" t="s">
        <v>164</v>
      </c>
      <c r="E209" t="s">
        <v>83</v>
      </c>
      <c r="F209" s="42">
        <v>45884</v>
      </c>
      <c r="G209" s="34">
        <f t="shared" si="18"/>
        <v>46004</v>
      </c>
      <c r="H209" t="s">
        <v>169</v>
      </c>
      <c r="I209" s="34">
        <f t="shared" si="19"/>
        <v>46004</v>
      </c>
      <c r="J209" t="s">
        <v>161</v>
      </c>
      <c r="K209" t="s">
        <v>853</v>
      </c>
      <c r="L209" t="s">
        <v>163</v>
      </c>
      <c r="M209" s="39" t="s">
        <v>386</v>
      </c>
      <c r="N209" t="s">
        <v>161</v>
      </c>
      <c r="Q209" s="39" t="s">
        <v>746</v>
      </c>
      <c r="U209" t="s">
        <v>854</v>
      </c>
      <c r="W209" t="s">
        <v>855</v>
      </c>
      <c r="X209">
        <v>2</v>
      </c>
      <c r="AA209" s="48">
        <v>307.5</v>
      </c>
      <c r="AC209" s="48">
        <v>307.5</v>
      </c>
      <c r="AF209" s="34">
        <f t="shared" si="20"/>
        <v>46213</v>
      </c>
      <c r="AG209" s="34">
        <f t="shared" si="21"/>
        <v>48038</v>
      </c>
      <c r="AH209" s="44" t="s">
        <v>857</v>
      </c>
      <c r="AK209">
        <v>16</v>
      </c>
      <c r="AL209">
        <v>112</v>
      </c>
      <c r="AM209">
        <v>10</v>
      </c>
      <c r="AN209" s="48">
        <v>307.5</v>
      </c>
    </row>
    <row r="210" spans="2:40">
      <c r="B210" s="39" t="s">
        <v>387</v>
      </c>
      <c r="C210" s="44" t="s">
        <v>81</v>
      </c>
      <c r="D210" t="s">
        <v>164</v>
      </c>
      <c r="E210" t="s">
        <v>83</v>
      </c>
      <c r="F210" s="42">
        <v>45884</v>
      </c>
      <c r="G210" s="34">
        <f t="shared" si="18"/>
        <v>46004</v>
      </c>
      <c r="H210" t="s">
        <v>169</v>
      </c>
      <c r="I210" s="34">
        <f t="shared" si="19"/>
        <v>46004</v>
      </c>
      <c r="J210" t="s">
        <v>161</v>
      </c>
      <c r="K210" t="s">
        <v>853</v>
      </c>
      <c r="L210" t="s">
        <v>163</v>
      </c>
      <c r="M210" s="39" t="s">
        <v>387</v>
      </c>
      <c r="N210" t="s">
        <v>161</v>
      </c>
      <c r="Q210" s="39" t="s">
        <v>746</v>
      </c>
      <c r="U210" t="s">
        <v>854</v>
      </c>
      <c r="W210" t="s">
        <v>855</v>
      </c>
      <c r="X210">
        <v>2</v>
      </c>
      <c r="AA210" s="48">
        <v>307.5</v>
      </c>
      <c r="AC210" s="48">
        <v>307.5</v>
      </c>
      <c r="AF210" s="34">
        <f t="shared" si="20"/>
        <v>46213</v>
      </c>
      <c r="AG210" s="34">
        <f t="shared" si="21"/>
        <v>48038</v>
      </c>
      <c r="AH210" s="44" t="s">
        <v>857</v>
      </c>
      <c r="AK210">
        <v>16</v>
      </c>
      <c r="AL210">
        <v>112</v>
      </c>
      <c r="AM210">
        <v>10</v>
      </c>
      <c r="AN210" s="48">
        <v>307.5</v>
      </c>
    </row>
    <row r="211" spans="2:40">
      <c r="B211" s="39" t="s">
        <v>388</v>
      </c>
      <c r="C211" s="44" t="s">
        <v>81</v>
      </c>
      <c r="D211" t="s">
        <v>164</v>
      </c>
      <c r="E211" t="s">
        <v>83</v>
      </c>
      <c r="F211" s="42">
        <v>45884</v>
      </c>
      <c r="G211" s="34">
        <f t="shared" si="18"/>
        <v>46004</v>
      </c>
      <c r="H211" t="s">
        <v>169</v>
      </c>
      <c r="I211" s="34">
        <f t="shared" si="19"/>
        <v>46004</v>
      </c>
      <c r="J211" t="s">
        <v>161</v>
      </c>
      <c r="K211" t="s">
        <v>853</v>
      </c>
      <c r="L211" t="s">
        <v>163</v>
      </c>
      <c r="M211" s="39" t="s">
        <v>388</v>
      </c>
      <c r="N211" t="s">
        <v>161</v>
      </c>
      <c r="Q211" s="39" t="s">
        <v>746</v>
      </c>
      <c r="U211" t="s">
        <v>854</v>
      </c>
      <c r="W211" t="s">
        <v>855</v>
      </c>
      <c r="X211">
        <v>2</v>
      </c>
      <c r="AA211" s="48">
        <v>307.5</v>
      </c>
      <c r="AC211" s="48">
        <v>307.5</v>
      </c>
      <c r="AF211" s="34">
        <f t="shared" si="20"/>
        <v>46213</v>
      </c>
      <c r="AG211" s="34">
        <f t="shared" si="21"/>
        <v>48038</v>
      </c>
      <c r="AH211" s="44" t="s">
        <v>857</v>
      </c>
      <c r="AK211">
        <v>16</v>
      </c>
      <c r="AL211">
        <v>112</v>
      </c>
      <c r="AM211">
        <v>10</v>
      </c>
      <c r="AN211" s="48">
        <v>307.5</v>
      </c>
    </row>
    <row r="212" spans="2:40">
      <c r="B212" s="39" t="s">
        <v>389</v>
      </c>
      <c r="C212" s="44" t="s">
        <v>81</v>
      </c>
      <c r="D212" t="s">
        <v>164</v>
      </c>
      <c r="E212" t="s">
        <v>83</v>
      </c>
      <c r="F212" s="42">
        <v>45873</v>
      </c>
      <c r="G212" s="34">
        <f t="shared" si="18"/>
        <v>45993</v>
      </c>
      <c r="H212" t="s">
        <v>169</v>
      </c>
      <c r="I212" s="34">
        <f t="shared" si="19"/>
        <v>45993</v>
      </c>
      <c r="J212" t="s">
        <v>161</v>
      </c>
      <c r="K212" t="s">
        <v>853</v>
      </c>
      <c r="L212" t="s">
        <v>163</v>
      </c>
      <c r="M212" s="39" t="s">
        <v>389</v>
      </c>
      <c r="N212" t="s">
        <v>161</v>
      </c>
      <c r="Q212" s="39" t="s">
        <v>747</v>
      </c>
      <c r="U212" t="s">
        <v>854</v>
      </c>
      <c r="W212" t="s">
        <v>855</v>
      </c>
      <c r="X212">
        <v>2</v>
      </c>
      <c r="AA212" s="48">
        <v>307.5</v>
      </c>
      <c r="AC212" s="48">
        <v>307.5</v>
      </c>
      <c r="AF212" s="34">
        <f t="shared" si="20"/>
        <v>46202</v>
      </c>
      <c r="AG212" s="34">
        <f t="shared" si="21"/>
        <v>48027</v>
      </c>
      <c r="AH212" s="44" t="s">
        <v>857</v>
      </c>
      <c r="AK212">
        <v>16</v>
      </c>
      <c r="AL212">
        <v>112</v>
      </c>
      <c r="AM212">
        <v>10</v>
      </c>
      <c r="AN212" s="48">
        <v>307.5</v>
      </c>
    </row>
    <row r="213" spans="2:40">
      <c r="B213" s="39" t="s">
        <v>390</v>
      </c>
      <c r="C213" s="44" t="s">
        <v>81</v>
      </c>
      <c r="D213" t="s">
        <v>164</v>
      </c>
      <c r="E213" t="s">
        <v>83</v>
      </c>
      <c r="F213" s="42">
        <v>45873</v>
      </c>
      <c r="G213" s="34">
        <f t="shared" si="18"/>
        <v>45993</v>
      </c>
      <c r="H213" t="s">
        <v>169</v>
      </c>
      <c r="I213" s="34">
        <f t="shared" si="19"/>
        <v>45993</v>
      </c>
      <c r="J213" t="s">
        <v>161</v>
      </c>
      <c r="K213" t="s">
        <v>853</v>
      </c>
      <c r="L213" t="s">
        <v>163</v>
      </c>
      <c r="M213" s="39" t="s">
        <v>390</v>
      </c>
      <c r="N213" t="s">
        <v>161</v>
      </c>
      <c r="Q213" s="39" t="s">
        <v>747</v>
      </c>
      <c r="U213" t="s">
        <v>854</v>
      </c>
      <c r="W213" t="s">
        <v>855</v>
      </c>
      <c r="X213">
        <v>2</v>
      </c>
      <c r="AA213" s="48">
        <v>307.5</v>
      </c>
      <c r="AC213" s="48">
        <v>307.5</v>
      </c>
      <c r="AF213" s="34">
        <f t="shared" si="20"/>
        <v>46202</v>
      </c>
      <c r="AG213" s="34">
        <f t="shared" si="21"/>
        <v>48027</v>
      </c>
      <c r="AH213" s="44" t="s">
        <v>857</v>
      </c>
      <c r="AK213">
        <v>16</v>
      </c>
      <c r="AL213">
        <v>112</v>
      </c>
      <c r="AM213">
        <v>10</v>
      </c>
      <c r="AN213" s="48">
        <v>307.5</v>
      </c>
    </row>
    <row r="214" spans="2:40">
      <c r="B214" s="39" t="s">
        <v>391</v>
      </c>
      <c r="C214" s="44" t="s">
        <v>81</v>
      </c>
      <c r="D214" t="s">
        <v>164</v>
      </c>
      <c r="E214" t="s">
        <v>83</v>
      </c>
      <c r="F214" s="42">
        <v>45873</v>
      </c>
      <c r="G214" s="34">
        <f t="shared" si="18"/>
        <v>45993</v>
      </c>
      <c r="H214" t="s">
        <v>169</v>
      </c>
      <c r="I214" s="34">
        <f t="shared" si="19"/>
        <v>45993</v>
      </c>
      <c r="J214" t="s">
        <v>161</v>
      </c>
      <c r="K214" t="s">
        <v>853</v>
      </c>
      <c r="L214" t="s">
        <v>163</v>
      </c>
      <c r="M214" s="39" t="s">
        <v>391</v>
      </c>
      <c r="N214" t="s">
        <v>161</v>
      </c>
      <c r="Q214" s="39" t="s">
        <v>747</v>
      </c>
      <c r="U214" t="s">
        <v>854</v>
      </c>
      <c r="W214" t="s">
        <v>855</v>
      </c>
      <c r="X214">
        <v>2</v>
      </c>
      <c r="AA214" s="48">
        <v>307.5</v>
      </c>
      <c r="AC214" s="48">
        <v>307.5</v>
      </c>
      <c r="AF214" s="34">
        <f t="shared" si="20"/>
        <v>46202</v>
      </c>
      <c r="AG214" s="34">
        <f t="shared" si="21"/>
        <v>48027</v>
      </c>
      <c r="AH214" s="44" t="s">
        <v>857</v>
      </c>
      <c r="AK214">
        <v>16</v>
      </c>
      <c r="AL214">
        <v>112</v>
      </c>
      <c r="AM214">
        <v>10</v>
      </c>
      <c r="AN214" s="48">
        <v>307.5</v>
      </c>
    </row>
    <row r="215" spans="2:40">
      <c r="B215" s="39" t="s">
        <v>392</v>
      </c>
      <c r="C215" s="44" t="s">
        <v>81</v>
      </c>
      <c r="D215" t="s">
        <v>164</v>
      </c>
      <c r="E215" t="s">
        <v>83</v>
      </c>
      <c r="F215" s="42">
        <v>45873</v>
      </c>
      <c r="G215" s="34">
        <f t="shared" si="18"/>
        <v>45993</v>
      </c>
      <c r="H215" t="s">
        <v>169</v>
      </c>
      <c r="I215" s="34">
        <f t="shared" si="19"/>
        <v>45993</v>
      </c>
      <c r="J215" t="s">
        <v>161</v>
      </c>
      <c r="K215" t="s">
        <v>853</v>
      </c>
      <c r="L215" t="s">
        <v>163</v>
      </c>
      <c r="M215" s="39" t="s">
        <v>392</v>
      </c>
      <c r="N215" t="s">
        <v>161</v>
      </c>
      <c r="Q215" s="39" t="s">
        <v>747</v>
      </c>
      <c r="U215" t="s">
        <v>854</v>
      </c>
      <c r="W215" t="s">
        <v>855</v>
      </c>
      <c r="X215">
        <v>2</v>
      </c>
      <c r="AA215" s="48">
        <v>307.5</v>
      </c>
      <c r="AC215" s="48">
        <v>307.5</v>
      </c>
      <c r="AF215" s="34">
        <f t="shared" si="20"/>
        <v>46202</v>
      </c>
      <c r="AG215" s="34">
        <f t="shared" si="21"/>
        <v>48027</v>
      </c>
      <c r="AH215" s="44" t="s">
        <v>857</v>
      </c>
      <c r="AK215">
        <v>16</v>
      </c>
      <c r="AL215">
        <v>112</v>
      </c>
      <c r="AM215">
        <v>10</v>
      </c>
      <c r="AN215" s="48">
        <v>307.5</v>
      </c>
    </row>
    <row r="216" spans="2:40">
      <c r="B216" s="39" t="s">
        <v>393</v>
      </c>
      <c r="C216" s="44" t="s">
        <v>81</v>
      </c>
      <c r="D216" t="s">
        <v>164</v>
      </c>
      <c r="E216" t="s">
        <v>83</v>
      </c>
      <c r="F216" s="42">
        <v>45870</v>
      </c>
      <c r="G216" s="34">
        <f t="shared" si="18"/>
        <v>45990</v>
      </c>
      <c r="H216" t="s">
        <v>169</v>
      </c>
      <c r="I216" s="34">
        <f t="shared" si="19"/>
        <v>45990</v>
      </c>
      <c r="J216" t="s">
        <v>161</v>
      </c>
      <c r="K216" t="s">
        <v>853</v>
      </c>
      <c r="L216" t="s">
        <v>163</v>
      </c>
      <c r="M216" s="39" t="s">
        <v>393</v>
      </c>
      <c r="N216" t="s">
        <v>161</v>
      </c>
      <c r="Q216" s="39" t="s">
        <v>748</v>
      </c>
      <c r="U216" t="s">
        <v>854</v>
      </c>
      <c r="W216" t="s">
        <v>855</v>
      </c>
      <c r="X216">
        <v>2</v>
      </c>
      <c r="AA216" s="48">
        <v>307.5</v>
      </c>
      <c r="AC216" s="48">
        <v>307.5</v>
      </c>
      <c r="AF216" s="34">
        <f t="shared" si="20"/>
        <v>46199</v>
      </c>
      <c r="AG216" s="34">
        <f t="shared" si="21"/>
        <v>48024</v>
      </c>
      <c r="AH216" s="44" t="s">
        <v>857</v>
      </c>
      <c r="AK216">
        <v>16</v>
      </c>
      <c r="AL216">
        <v>112</v>
      </c>
      <c r="AM216">
        <v>10</v>
      </c>
      <c r="AN216" s="48">
        <v>307.5</v>
      </c>
    </row>
    <row r="217" spans="2:40">
      <c r="B217" s="39" t="s">
        <v>394</v>
      </c>
      <c r="C217" s="44" t="s">
        <v>81</v>
      </c>
      <c r="D217" t="s">
        <v>164</v>
      </c>
      <c r="E217" t="s">
        <v>83</v>
      </c>
      <c r="F217" s="42">
        <v>45870</v>
      </c>
      <c r="G217" s="34">
        <f t="shared" si="18"/>
        <v>45990</v>
      </c>
      <c r="H217" t="s">
        <v>169</v>
      </c>
      <c r="I217" s="34">
        <f t="shared" si="19"/>
        <v>45990</v>
      </c>
      <c r="J217" t="s">
        <v>161</v>
      </c>
      <c r="K217" t="s">
        <v>853</v>
      </c>
      <c r="L217" t="s">
        <v>163</v>
      </c>
      <c r="M217" s="39" t="s">
        <v>394</v>
      </c>
      <c r="N217" t="s">
        <v>161</v>
      </c>
      <c r="Q217" s="39" t="s">
        <v>748</v>
      </c>
      <c r="U217" t="s">
        <v>854</v>
      </c>
      <c r="W217" t="s">
        <v>855</v>
      </c>
      <c r="X217">
        <v>2</v>
      </c>
      <c r="AA217" s="48">
        <v>307.5</v>
      </c>
      <c r="AC217" s="48">
        <v>307.5</v>
      </c>
      <c r="AF217" s="34">
        <f t="shared" si="20"/>
        <v>46199</v>
      </c>
      <c r="AG217" s="34">
        <f t="shared" si="21"/>
        <v>48024</v>
      </c>
      <c r="AH217" s="44" t="s">
        <v>857</v>
      </c>
      <c r="AK217">
        <v>16</v>
      </c>
      <c r="AL217">
        <v>112</v>
      </c>
      <c r="AM217">
        <v>10</v>
      </c>
      <c r="AN217" s="48">
        <v>307.5</v>
      </c>
    </row>
    <row r="218" spans="2:40">
      <c r="B218" s="39" t="s">
        <v>395</v>
      </c>
      <c r="C218" s="44" t="s">
        <v>81</v>
      </c>
      <c r="D218" t="s">
        <v>164</v>
      </c>
      <c r="E218" t="s">
        <v>83</v>
      </c>
      <c r="F218" s="42">
        <v>45870</v>
      </c>
      <c r="G218" s="34">
        <f t="shared" si="18"/>
        <v>45990</v>
      </c>
      <c r="H218" t="s">
        <v>169</v>
      </c>
      <c r="I218" s="34">
        <f t="shared" si="19"/>
        <v>45990</v>
      </c>
      <c r="J218" t="s">
        <v>161</v>
      </c>
      <c r="K218" t="s">
        <v>853</v>
      </c>
      <c r="L218" t="s">
        <v>163</v>
      </c>
      <c r="M218" s="39" t="s">
        <v>395</v>
      </c>
      <c r="N218" t="s">
        <v>161</v>
      </c>
      <c r="Q218" s="39" t="s">
        <v>748</v>
      </c>
      <c r="U218" t="s">
        <v>854</v>
      </c>
      <c r="W218" t="s">
        <v>855</v>
      </c>
      <c r="X218">
        <v>2</v>
      </c>
      <c r="AA218" s="48">
        <v>307.5</v>
      </c>
      <c r="AC218" s="48">
        <v>307.5</v>
      </c>
      <c r="AF218" s="34">
        <f t="shared" si="20"/>
        <v>46199</v>
      </c>
      <c r="AG218" s="34">
        <f t="shared" si="21"/>
        <v>48024</v>
      </c>
      <c r="AH218" s="44" t="s">
        <v>857</v>
      </c>
      <c r="AK218">
        <v>16</v>
      </c>
      <c r="AL218">
        <v>112</v>
      </c>
      <c r="AM218">
        <v>10</v>
      </c>
      <c r="AN218" s="48">
        <v>307.5</v>
      </c>
    </row>
    <row r="219" spans="2:40">
      <c r="B219" s="39" t="s">
        <v>396</v>
      </c>
      <c r="C219" s="44" t="s">
        <v>81</v>
      </c>
      <c r="D219" t="s">
        <v>164</v>
      </c>
      <c r="E219" t="s">
        <v>83</v>
      </c>
      <c r="F219" s="42">
        <v>45870</v>
      </c>
      <c r="G219" s="34">
        <f t="shared" si="18"/>
        <v>45990</v>
      </c>
      <c r="H219" t="s">
        <v>169</v>
      </c>
      <c r="I219" s="34">
        <f t="shared" si="19"/>
        <v>45990</v>
      </c>
      <c r="J219" t="s">
        <v>161</v>
      </c>
      <c r="K219" t="s">
        <v>853</v>
      </c>
      <c r="L219" t="s">
        <v>163</v>
      </c>
      <c r="M219" s="39" t="s">
        <v>396</v>
      </c>
      <c r="N219" t="s">
        <v>161</v>
      </c>
      <c r="Q219" s="39" t="s">
        <v>748</v>
      </c>
      <c r="U219" t="s">
        <v>854</v>
      </c>
      <c r="W219" t="s">
        <v>855</v>
      </c>
      <c r="X219">
        <v>2</v>
      </c>
      <c r="AA219" s="48">
        <v>307.5</v>
      </c>
      <c r="AC219" s="48">
        <v>307.5</v>
      </c>
      <c r="AF219" s="34">
        <f t="shared" si="20"/>
        <v>46199</v>
      </c>
      <c r="AG219" s="34">
        <f t="shared" si="21"/>
        <v>48024</v>
      </c>
      <c r="AH219" s="44" t="s">
        <v>857</v>
      </c>
      <c r="AK219">
        <v>16</v>
      </c>
      <c r="AL219">
        <v>112</v>
      </c>
      <c r="AM219">
        <v>10</v>
      </c>
      <c r="AN219" s="48">
        <v>307.5</v>
      </c>
    </row>
    <row r="220" spans="2:40">
      <c r="B220" s="39" t="s">
        <v>397</v>
      </c>
      <c r="C220" s="44" t="s">
        <v>81</v>
      </c>
      <c r="D220" t="s">
        <v>164</v>
      </c>
      <c r="E220" t="s">
        <v>83</v>
      </c>
      <c r="F220" s="42">
        <v>45870</v>
      </c>
      <c r="G220" s="34">
        <f t="shared" si="18"/>
        <v>45990</v>
      </c>
      <c r="H220" t="s">
        <v>169</v>
      </c>
      <c r="I220" s="34">
        <f t="shared" si="19"/>
        <v>45990</v>
      </c>
      <c r="J220" t="s">
        <v>161</v>
      </c>
      <c r="K220" t="s">
        <v>853</v>
      </c>
      <c r="L220" t="s">
        <v>163</v>
      </c>
      <c r="M220" s="39" t="s">
        <v>397</v>
      </c>
      <c r="N220" t="s">
        <v>161</v>
      </c>
      <c r="Q220" s="39" t="s">
        <v>748</v>
      </c>
      <c r="U220" t="s">
        <v>854</v>
      </c>
      <c r="W220" t="s">
        <v>855</v>
      </c>
      <c r="X220">
        <v>2</v>
      </c>
      <c r="AA220" s="48">
        <v>307.5</v>
      </c>
      <c r="AC220" s="48">
        <v>307.5</v>
      </c>
      <c r="AF220" s="34">
        <f t="shared" si="20"/>
        <v>46199</v>
      </c>
      <c r="AG220" s="34">
        <f t="shared" si="21"/>
        <v>48024</v>
      </c>
      <c r="AH220" s="44" t="s">
        <v>857</v>
      </c>
      <c r="AK220">
        <v>16</v>
      </c>
      <c r="AL220">
        <v>112</v>
      </c>
      <c r="AM220">
        <v>10</v>
      </c>
      <c r="AN220" s="48">
        <v>307.5</v>
      </c>
    </row>
    <row r="221" spans="2:40">
      <c r="B221" s="39" t="s">
        <v>398</v>
      </c>
      <c r="C221" s="44" t="s">
        <v>81</v>
      </c>
      <c r="D221" t="s">
        <v>164</v>
      </c>
      <c r="E221" t="s">
        <v>83</v>
      </c>
      <c r="F221" s="42">
        <v>45873</v>
      </c>
      <c r="G221" s="34">
        <f t="shared" si="18"/>
        <v>45993</v>
      </c>
      <c r="H221" t="s">
        <v>169</v>
      </c>
      <c r="I221" s="34">
        <f t="shared" si="19"/>
        <v>45993</v>
      </c>
      <c r="J221" t="s">
        <v>161</v>
      </c>
      <c r="K221" t="s">
        <v>853</v>
      </c>
      <c r="L221" t="s">
        <v>163</v>
      </c>
      <c r="M221" s="39" t="s">
        <v>398</v>
      </c>
      <c r="N221" t="s">
        <v>161</v>
      </c>
      <c r="Q221" s="39" t="s">
        <v>747</v>
      </c>
      <c r="U221" t="s">
        <v>854</v>
      </c>
      <c r="W221" t="s">
        <v>855</v>
      </c>
      <c r="X221">
        <v>2</v>
      </c>
      <c r="AA221" s="48">
        <v>307.5</v>
      </c>
      <c r="AC221" s="48">
        <v>307.5</v>
      </c>
      <c r="AF221" s="34">
        <f t="shared" si="20"/>
        <v>46202</v>
      </c>
      <c r="AG221" s="34">
        <f t="shared" si="21"/>
        <v>48027</v>
      </c>
      <c r="AH221" s="44" t="s">
        <v>857</v>
      </c>
      <c r="AK221">
        <v>16</v>
      </c>
      <c r="AL221">
        <v>112</v>
      </c>
      <c r="AM221">
        <v>10</v>
      </c>
      <c r="AN221" s="48">
        <v>307.5</v>
      </c>
    </row>
    <row r="222" spans="2:40">
      <c r="B222" s="39" t="s">
        <v>399</v>
      </c>
      <c r="C222" s="44" t="s">
        <v>81</v>
      </c>
      <c r="D222" t="s">
        <v>164</v>
      </c>
      <c r="E222" t="s">
        <v>83</v>
      </c>
      <c r="F222" s="42">
        <v>45849</v>
      </c>
      <c r="G222" s="34">
        <f t="shared" si="18"/>
        <v>45969</v>
      </c>
      <c r="H222" t="s">
        <v>169</v>
      </c>
      <c r="I222" s="34">
        <f t="shared" si="19"/>
        <v>45969</v>
      </c>
      <c r="J222" t="s">
        <v>161</v>
      </c>
      <c r="K222" t="s">
        <v>853</v>
      </c>
      <c r="L222" t="s">
        <v>163</v>
      </c>
      <c r="M222" s="39" t="s">
        <v>399</v>
      </c>
      <c r="N222" t="s">
        <v>161</v>
      </c>
      <c r="Q222" s="39" t="s">
        <v>749</v>
      </c>
      <c r="U222" t="s">
        <v>854</v>
      </c>
      <c r="W222" t="s">
        <v>855</v>
      </c>
      <c r="X222">
        <v>2</v>
      </c>
      <c r="AA222" s="48">
        <v>307.5</v>
      </c>
      <c r="AC222" s="48">
        <v>307.5</v>
      </c>
      <c r="AF222" s="34">
        <f t="shared" si="20"/>
        <v>46178</v>
      </c>
      <c r="AG222" s="34">
        <f t="shared" si="21"/>
        <v>48003</v>
      </c>
      <c r="AH222" s="44" t="s">
        <v>857</v>
      </c>
      <c r="AK222">
        <v>16</v>
      </c>
      <c r="AL222">
        <v>112</v>
      </c>
      <c r="AM222">
        <v>10</v>
      </c>
      <c r="AN222" s="48">
        <v>307.5</v>
      </c>
    </row>
    <row r="223" spans="2:40">
      <c r="B223" s="39" t="s">
        <v>400</v>
      </c>
      <c r="C223" s="44" t="s">
        <v>81</v>
      </c>
      <c r="D223" t="s">
        <v>164</v>
      </c>
      <c r="E223" t="s">
        <v>83</v>
      </c>
      <c r="F223" s="42">
        <v>45849</v>
      </c>
      <c r="G223" s="34">
        <f t="shared" si="18"/>
        <v>45969</v>
      </c>
      <c r="H223" t="s">
        <v>169</v>
      </c>
      <c r="I223" s="34">
        <f t="shared" si="19"/>
        <v>45969</v>
      </c>
      <c r="J223" t="s">
        <v>161</v>
      </c>
      <c r="K223" t="s">
        <v>853</v>
      </c>
      <c r="L223" t="s">
        <v>163</v>
      </c>
      <c r="M223" s="39" t="s">
        <v>400</v>
      </c>
      <c r="N223" t="s">
        <v>161</v>
      </c>
      <c r="Q223" s="39" t="s">
        <v>749</v>
      </c>
      <c r="U223" t="s">
        <v>854</v>
      </c>
      <c r="W223" t="s">
        <v>855</v>
      </c>
      <c r="X223">
        <v>2</v>
      </c>
      <c r="AA223" s="48">
        <v>307.5</v>
      </c>
      <c r="AC223" s="48">
        <v>307.5</v>
      </c>
      <c r="AF223" s="34">
        <f t="shared" si="20"/>
        <v>46178</v>
      </c>
      <c r="AG223" s="34">
        <f t="shared" si="21"/>
        <v>48003</v>
      </c>
      <c r="AH223" s="44" t="s">
        <v>857</v>
      </c>
      <c r="AK223">
        <v>16</v>
      </c>
      <c r="AL223">
        <v>112</v>
      </c>
      <c r="AM223">
        <v>10</v>
      </c>
      <c r="AN223" s="48">
        <v>307.5</v>
      </c>
    </row>
    <row r="224" spans="2:40">
      <c r="B224" s="39" t="s">
        <v>401</v>
      </c>
      <c r="C224" s="44" t="s">
        <v>81</v>
      </c>
      <c r="D224" t="s">
        <v>164</v>
      </c>
      <c r="E224" t="s">
        <v>83</v>
      </c>
      <c r="F224" s="42">
        <v>45868</v>
      </c>
      <c r="G224" s="34">
        <f t="shared" si="18"/>
        <v>45988</v>
      </c>
      <c r="H224" t="s">
        <v>169</v>
      </c>
      <c r="I224" s="34">
        <f t="shared" si="19"/>
        <v>45988</v>
      </c>
      <c r="J224" t="s">
        <v>161</v>
      </c>
      <c r="K224" t="s">
        <v>853</v>
      </c>
      <c r="L224" t="s">
        <v>163</v>
      </c>
      <c r="M224" s="39" t="s">
        <v>401</v>
      </c>
      <c r="N224" t="s">
        <v>161</v>
      </c>
      <c r="Q224" s="39" t="s">
        <v>750</v>
      </c>
      <c r="U224" t="s">
        <v>854</v>
      </c>
      <c r="W224" t="s">
        <v>855</v>
      </c>
      <c r="X224">
        <v>2</v>
      </c>
      <c r="AA224" s="48">
        <v>307.5</v>
      </c>
      <c r="AC224" s="48">
        <v>307.5</v>
      </c>
      <c r="AF224" s="34">
        <f t="shared" si="20"/>
        <v>46197</v>
      </c>
      <c r="AG224" s="34">
        <f t="shared" si="21"/>
        <v>48022</v>
      </c>
      <c r="AH224" s="44" t="s">
        <v>857</v>
      </c>
      <c r="AK224">
        <v>16</v>
      </c>
      <c r="AL224">
        <v>112</v>
      </c>
      <c r="AM224">
        <v>10</v>
      </c>
      <c r="AN224" s="48">
        <v>307.5</v>
      </c>
    </row>
    <row r="225" spans="2:40">
      <c r="B225" s="39" t="s">
        <v>402</v>
      </c>
      <c r="C225" s="44" t="s">
        <v>81</v>
      </c>
      <c r="D225" t="s">
        <v>164</v>
      </c>
      <c r="E225" t="s">
        <v>83</v>
      </c>
      <c r="F225" s="42">
        <v>45868</v>
      </c>
      <c r="G225" s="34">
        <f t="shared" si="18"/>
        <v>45988</v>
      </c>
      <c r="H225" t="s">
        <v>169</v>
      </c>
      <c r="I225" s="34">
        <f t="shared" si="19"/>
        <v>45988</v>
      </c>
      <c r="J225" t="s">
        <v>161</v>
      </c>
      <c r="K225" t="s">
        <v>853</v>
      </c>
      <c r="L225" t="s">
        <v>163</v>
      </c>
      <c r="M225" s="39" t="s">
        <v>402</v>
      </c>
      <c r="N225" t="s">
        <v>161</v>
      </c>
      <c r="Q225" s="39" t="s">
        <v>750</v>
      </c>
      <c r="U225" t="s">
        <v>854</v>
      </c>
      <c r="W225" t="s">
        <v>855</v>
      </c>
      <c r="X225">
        <v>2</v>
      </c>
      <c r="AA225" s="48">
        <v>307.5</v>
      </c>
      <c r="AC225" s="48">
        <v>307.5</v>
      </c>
      <c r="AF225" s="34">
        <f t="shared" si="20"/>
        <v>46197</v>
      </c>
      <c r="AG225" s="34">
        <f t="shared" si="21"/>
        <v>48022</v>
      </c>
      <c r="AH225" s="44" t="s">
        <v>857</v>
      </c>
      <c r="AK225">
        <v>16</v>
      </c>
      <c r="AL225">
        <v>112</v>
      </c>
      <c r="AM225">
        <v>10</v>
      </c>
      <c r="AN225" s="48">
        <v>307.5</v>
      </c>
    </row>
    <row r="226" spans="2:40">
      <c r="B226" s="39" t="s">
        <v>403</v>
      </c>
      <c r="C226" s="44" t="s">
        <v>81</v>
      </c>
      <c r="D226" t="s">
        <v>164</v>
      </c>
      <c r="E226" t="s">
        <v>83</v>
      </c>
      <c r="F226" s="42">
        <v>45853</v>
      </c>
      <c r="G226" s="34">
        <f t="shared" si="18"/>
        <v>45973</v>
      </c>
      <c r="H226" t="s">
        <v>169</v>
      </c>
      <c r="I226" s="34">
        <f t="shared" si="19"/>
        <v>45973</v>
      </c>
      <c r="J226" t="s">
        <v>161</v>
      </c>
      <c r="K226" t="s">
        <v>853</v>
      </c>
      <c r="L226" t="s">
        <v>163</v>
      </c>
      <c r="M226" s="39" t="s">
        <v>403</v>
      </c>
      <c r="N226" t="s">
        <v>161</v>
      </c>
      <c r="Q226" s="39" t="s">
        <v>751</v>
      </c>
      <c r="U226" t="s">
        <v>854</v>
      </c>
      <c r="W226" t="s">
        <v>855</v>
      </c>
      <c r="X226">
        <v>2</v>
      </c>
      <c r="AA226" s="48">
        <v>307.5</v>
      </c>
      <c r="AC226" s="48">
        <v>307.5</v>
      </c>
      <c r="AF226" s="34">
        <f t="shared" si="20"/>
        <v>46182</v>
      </c>
      <c r="AG226" s="34">
        <f t="shared" si="21"/>
        <v>48007</v>
      </c>
      <c r="AH226" s="44" t="s">
        <v>857</v>
      </c>
      <c r="AK226">
        <v>16</v>
      </c>
      <c r="AL226">
        <v>112</v>
      </c>
      <c r="AM226">
        <v>10</v>
      </c>
      <c r="AN226" s="48">
        <v>307.5</v>
      </c>
    </row>
    <row r="227" spans="2:40">
      <c r="B227" s="39" t="s">
        <v>404</v>
      </c>
      <c r="C227" s="44" t="s">
        <v>81</v>
      </c>
      <c r="D227" t="s">
        <v>164</v>
      </c>
      <c r="E227" t="s">
        <v>83</v>
      </c>
      <c r="F227" s="42">
        <v>45853</v>
      </c>
      <c r="G227" s="34">
        <f t="shared" si="18"/>
        <v>45973</v>
      </c>
      <c r="H227" t="s">
        <v>169</v>
      </c>
      <c r="I227" s="34">
        <f t="shared" si="19"/>
        <v>45973</v>
      </c>
      <c r="J227" t="s">
        <v>161</v>
      </c>
      <c r="K227" t="s">
        <v>853</v>
      </c>
      <c r="L227" t="s">
        <v>163</v>
      </c>
      <c r="M227" s="39" t="s">
        <v>404</v>
      </c>
      <c r="N227" t="s">
        <v>161</v>
      </c>
      <c r="Q227" s="39" t="s">
        <v>751</v>
      </c>
      <c r="U227" t="s">
        <v>854</v>
      </c>
      <c r="W227" t="s">
        <v>855</v>
      </c>
      <c r="X227">
        <v>2</v>
      </c>
      <c r="AA227" s="48">
        <v>307.5</v>
      </c>
      <c r="AC227" s="48">
        <v>307.5</v>
      </c>
      <c r="AF227" s="34">
        <f t="shared" si="20"/>
        <v>46182</v>
      </c>
      <c r="AG227" s="34">
        <f t="shared" si="21"/>
        <v>48007</v>
      </c>
      <c r="AH227" s="44" t="s">
        <v>857</v>
      </c>
      <c r="AK227">
        <v>16</v>
      </c>
      <c r="AL227">
        <v>112</v>
      </c>
      <c r="AM227">
        <v>10</v>
      </c>
      <c r="AN227" s="48">
        <v>307.5</v>
      </c>
    </row>
    <row r="228" spans="2:40">
      <c r="B228" s="39" t="s">
        <v>405</v>
      </c>
      <c r="C228" s="44" t="s">
        <v>81</v>
      </c>
      <c r="D228" t="s">
        <v>164</v>
      </c>
      <c r="E228" t="s">
        <v>83</v>
      </c>
      <c r="F228" s="42">
        <v>45853</v>
      </c>
      <c r="G228" s="34">
        <f t="shared" si="18"/>
        <v>45973</v>
      </c>
      <c r="H228" t="s">
        <v>169</v>
      </c>
      <c r="I228" s="34">
        <f t="shared" si="19"/>
        <v>45973</v>
      </c>
      <c r="J228" t="s">
        <v>161</v>
      </c>
      <c r="K228" t="s">
        <v>853</v>
      </c>
      <c r="L228" t="s">
        <v>163</v>
      </c>
      <c r="M228" s="39" t="s">
        <v>405</v>
      </c>
      <c r="N228" t="s">
        <v>161</v>
      </c>
      <c r="Q228" s="39" t="s">
        <v>751</v>
      </c>
      <c r="U228" t="s">
        <v>854</v>
      </c>
      <c r="W228" t="s">
        <v>855</v>
      </c>
      <c r="X228">
        <v>2</v>
      </c>
      <c r="AA228" s="48">
        <v>307.5</v>
      </c>
      <c r="AC228" s="48">
        <v>307.5</v>
      </c>
      <c r="AF228" s="34">
        <f t="shared" si="20"/>
        <v>46182</v>
      </c>
      <c r="AG228" s="34">
        <f t="shared" si="21"/>
        <v>48007</v>
      </c>
      <c r="AH228" s="44" t="s">
        <v>857</v>
      </c>
      <c r="AK228">
        <v>16</v>
      </c>
      <c r="AL228">
        <v>112</v>
      </c>
      <c r="AM228">
        <v>10</v>
      </c>
      <c r="AN228" s="48">
        <v>307.5</v>
      </c>
    </row>
    <row r="229" spans="2:40">
      <c r="B229" s="39" t="s">
        <v>406</v>
      </c>
      <c r="C229" s="44" t="s">
        <v>81</v>
      </c>
      <c r="D229" t="s">
        <v>164</v>
      </c>
      <c r="E229" t="s">
        <v>83</v>
      </c>
      <c r="F229" s="42">
        <v>45853</v>
      </c>
      <c r="G229" s="34">
        <f t="shared" si="18"/>
        <v>45973</v>
      </c>
      <c r="H229" t="s">
        <v>169</v>
      </c>
      <c r="I229" s="34">
        <f t="shared" si="19"/>
        <v>45973</v>
      </c>
      <c r="J229" t="s">
        <v>161</v>
      </c>
      <c r="K229" t="s">
        <v>853</v>
      </c>
      <c r="L229" t="s">
        <v>163</v>
      </c>
      <c r="M229" s="39" t="s">
        <v>406</v>
      </c>
      <c r="N229" t="s">
        <v>161</v>
      </c>
      <c r="Q229" s="39" t="s">
        <v>751</v>
      </c>
      <c r="U229" t="s">
        <v>854</v>
      </c>
      <c r="W229" t="s">
        <v>855</v>
      </c>
      <c r="X229">
        <v>2</v>
      </c>
      <c r="AA229" s="48">
        <v>307.5</v>
      </c>
      <c r="AC229" s="48">
        <v>307.5</v>
      </c>
      <c r="AF229" s="34">
        <f t="shared" si="20"/>
        <v>46182</v>
      </c>
      <c r="AG229" s="34">
        <f t="shared" si="21"/>
        <v>48007</v>
      </c>
      <c r="AH229" s="44" t="s">
        <v>857</v>
      </c>
      <c r="AK229">
        <v>16</v>
      </c>
      <c r="AL229">
        <v>112</v>
      </c>
      <c r="AM229">
        <v>10</v>
      </c>
      <c r="AN229" s="48">
        <v>307.5</v>
      </c>
    </row>
    <row r="230" spans="2:40">
      <c r="B230" s="39" t="s">
        <v>407</v>
      </c>
      <c r="C230" s="44" t="s">
        <v>81</v>
      </c>
      <c r="D230" t="s">
        <v>164</v>
      </c>
      <c r="E230" t="s">
        <v>83</v>
      </c>
      <c r="F230" s="42">
        <v>45853</v>
      </c>
      <c r="G230" s="34">
        <f t="shared" si="18"/>
        <v>45973</v>
      </c>
      <c r="H230" t="s">
        <v>169</v>
      </c>
      <c r="I230" s="34">
        <f t="shared" si="19"/>
        <v>45973</v>
      </c>
      <c r="J230" t="s">
        <v>161</v>
      </c>
      <c r="K230" t="s">
        <v>853</v>
      </c>
      <c r="L230" t="s">
        <v>163</v>
      </c>
      <c r="M230" s="39" t="s">
        <v>407</v>
      </c>
      <c r="N230" t="s">
        <v>161</v>
      </c>
      <c r="Q230" s="39" t="s">
        <v>751</v>
      </c>
      <c r="U230" t="s">
        <v>854</v>
      </c>
      <c r="W230" t="s">
        <v>855</v>
      </c>
      <c r="X230">
        <v>2</v>
      </c>
      <c r="AA230" s="48">
        <v>307.5</v>
      </c>
      <c r="AC230" s="48">
        <v>307.5</v>
      </c>
      <c r="AF230" s="34">
        <f t="shared" si="20"/>
        <v>46182</v>
      </c>
      <c r="AG230" s="34">
        <f t="shared" si="21"/>
        <v>48007</v>
      </c>
      <c r="AH230" s="44" t="s">
        <v>857</v>
      </c>
      <c r="AK230">
        <v>16</v>
      </c>
      <c r="AL230">
        <v>112</v>
      </c>
      <c r="AM230">
        <v>10</v>
      </c>
      <c r="AN230" s="48">
        <v>307.5</v>
      </c>
    </row>
    <row r="231" spans="2:40">
      <c r="B231" s="39" t="s">
        <v>408</v>
      </c>
      <c r="C231" s="44" t="s">
        <v>81</v>
      </c>
      <c r="D231" t="s">
        <v>164</v>
      </c>
      <c r="E231" t="s">
        <v>83</v>
      </c>
      <c r="F231" s="42">
        <v>45849</v>
      </c>
      <c r="G231" s="34">
        <f t="shared" si="18"/>
        <v>45969</v>
      </c>
      <c r="H231" t="s">
        <v>169</v>
      </c>
      <c r="I231" s="34">
        <f t="shared" si="19"/>
        <v>45969</v>
      </c>
      <c r="J231" t="s">
        <v>161</v>
      </c>
      <c r="K231" t="s">
        <v>853</v>
      </c>
      <c r="L231" t="s">
        <v>163</v>
      </c>
      <c r="M231" s="39" t="s">
        <v>408</v>
      </c>
      <c r="N231" t="s">
        <v>161</v>
      </c>
      <c r="Q231" s="39" t="s">
        <v>751</v>
      </c>
      <c r="U231" t="s">
        <v>854</v>
      </c>
      <c r="W231" t="s">
        <v>855</v>
      </c>
      <c r="X231">
        <v>2</v>
      </c>
      <c r="AA231" s="48">
        <v>307.5</v>
      </c>
      <c r="AC231" s="48">
        <v>307.5</v>
      </c>
      <c r="AF231" s="34">
        <f t="shared" si="20"/>
        <v>46178</v>
      </c>
      <c r="AG231" s="34">
        <f t="shared" si="21"/>
        <v>48003</v>
      </c>
      <c r="AH231" s="44" t="s">
        <v>857</v>
      </c>
      <c r="AK231">
        <v>16</v>
      </c>
      <c r="AL231">
        <v>112</v>
      </c>
      <c r="AM231">
        <v>10</v>
      </c>
      <c r="AN231" s="48">
        <v>307.5</v>
      </c>
    </row>
    <row r="232" spans="2:40">
      <c r="B232" s="39" t="s">
        <v>409</v>
      </c>
      <c r="C232" s="44" t="s">
        <v>81</v>
      </c>
      <c r="D232" t="s">
        <v>164</v>
      </c>
      <c r="E232" t="s">
        <v>83</v>
      </c>
      <c r="F232" s="42">
        <v>45849</v>
      </c>
      <c r="G232" s="34">
        <f t="shared" si="18"/>
        <v>45969</v>
      </c>
      <c r="H232" t="s">
        <v>169</v>
      </c>
      <c r="I232" s="34">
        <f t="shared" si="19"/>
        <v>45969</v>
      </c>
      <c r="J232" t="s">
        <v>161</v>
      </c>
      <c r="K232" t="s">
        <v>853</v>
      </c>
      <c r="L232" t="s">
        <v>163</v>
      </c>
      <c r="M232" s="39" t="s">
        <v>409</v>
      </c>
      <c r="N232" t="s">
        <v>161</v>
      </c>
      <c r="Q232" s="39" t="s">
        <v>749</v>
      </c>
      <c r="U232" t="s">
        <v>854</v>
      </c>
      <c r="W232" t="s">
        <v>855</v>
      </c>
      <c r="X232">
        <v>2</v>
      </c>
      <c r="AA232" s="48">
        <v>307.5</v>
      </c>
      <c r="AC232" s="48">
        <v>307.5</v>
      </c>
      <c r="AF232" s="34">
        <f t="shared" si="20"/>
        <v>46178</v>
      </c>
      <c r="AG232" s="34">
        <f t="shared" si="21"/>
        <v>48003</v>
      </c>
      <c r="AH232" s="44" t="s">
        <v>857</v>
      </c>
      <c r="AK232">
        <v>16</v>
      </c>
      <c r="AL232">
        <v>112</v>
      </c>
      <c r="AM232">
        <v>10</v>
      </c>
      <c r="AN232" s="48">
        <v>307.5</v>
      </c>
    </row>
    <row r="233" spans="2:40">
      <c r="B233" s="39" t="s">
        <v>410</v>
      </c>
      <c r="C233" s="44" t="s">
        <v>81</v>
      </c>
      <c r="D233" t="s">
        <v>164</v>
      </c>
      <c r="E233" t="s">
        <v>83</v>
      </c>
      <c r="F233" s="42">
        <v>45849</v>
      </c>
      <c r="G233" s="34">
        <f t="shared" si="18"/>
        <v>45969</v>
      </c>
      <c r="H233" t="s">
        <v>169</v>
      </c>
      <c r="I233" s="34">
        <f t="shared" si="19"/>
        <v>45969</v>
      </c>
      <c r="J233" t="s">
        <v>161</v>
      </c>
      <c r="K233" t="s">
        <v>853</v>
      </c>
      <c r="L233" t="s">
        <v>163</v>
      </c>
      <c r="M233" s="39" t="s">
        <v>410</v>
      </c>
      <c r="N233" t="s">
        <v>161</v>
      </c>
      <c r="Q233" s="39" t="s">
        <v>749</v>
      </c>
      <c r="U233" t="s">
        <v>854</v>
      </c>
      <c r="W233" t="s">
        <v>855</v>
      </c>
      <c r="X233">
        <v>2</v>
      </c>
      <c r="AA233" s="48">
        <v>307.5</v>
      </c>
      <c r="AC233" s="48">
        <v>307.5</v>
      </c>
      <c r="AF233" s="34">
        <f t="shared" si="20"/>
        <v>46178</v>
      </c>
      <c r="AG233" s="34">
        <f t="shared" si="21"/>
        <v>48003</v>
      </c>
      <c r="AH233" s="44" t="s">
        <v>857</v>
      </c>
      <c r="AK233">
        <v>16</v>
      </c>
      <c r="AL233">
        <v>112</v>
      </c>
      <c r="AM233">
        <v>10</v>
      </c>
      <c r="AN233" s="48">
        <v>307.5</v>
      </c>
    </row>
    <row r="234" spans="2:40">
      <c r="B234" s="39" t="s">
        <v>411</v>
      </c>
      <c r="C234" s="44" t="s">
        <v>81</v>
      </c>
      <c r="D234" t="s">
        <v>164</v>
      </c>
      <c r="E234" t="s">
        <v>83</v>
      </c>
      <c r="F234" s="42">
        <v>45849</v>
      </c>
      <c r="G234" s="34">
        <f t="shared" si="18"/>
        <v>45969</v>
      </c>
      <c r="H234" t="s">
        <v>169</v>
      </c>
      <c r="I234" s="34">
        <f t="shared" si="19"/>
        <v>45969</v>
      </c>
      <c r="J234" t="s">
        <v>161</v>
      </c>
      <c r="K234" t="s">
        <v>853</v>
      </c>
      <c r="L234" t="s">
        <v>163</v>
      </c>
      <c r="M234" s="39" t="s">
        <v>411</v>
      </c>
      <c r="N234" t="s">
        <v>161</v>
      </c>
      <c r="Q234" s="39" t="s">
        <v>749</v>
      </c>
      <c r="U234" t="s">
        <v>854</v>
      </c>
      <c r="W234" t="s">
        <v>855</v>
      </c>
      <c r="X234">
        <v>2</v>
      </c>
      <c r="AA234" s="48">
        <v>307.5</v>
      </c>
      <c r="AC234" s="48">
        <v>307.5</v>
      </c>
      <c r="AF234" s="34">
        <f t="shared" si="20"/>
        <v>46178</v>
      </c>
      <c r="AG234" s="34">
        <f t="shared" si="21"/>
        <v>48003</v>
      </c>
      <c r="AH234" s="44" t="s">
        <v>857</v>
      </c>
      <c r="AK234">
        <v>16</v>
      </c>
      <c r="AL234">
        <v>112</v>
      </c>
      <c r="AM234">
        <v>10</v>
      </c>
      <c r="AN234" s="48">
        <v>307.5</v>
      </c>
    </row>
    <row r="235" spans="2:40">
      <c r="B235" s="39" t="s">
        <v>412</v>
      </c>
      <c r="C235" s="44" t="s">
        <v>81</v>
      </c>
      <c r="D235" t="s">
        <v>164</v>
      </c>
      <c r="E235" t="s">
        <v>83</v>
      </c>
      <c r="F235" s="42">
        <v>45839</v>
      </c>
      <c r="G235" s="34">
        <f t="shared" si="18"/>
        <v>45959</v>
      </c>
      <c r="H235" t="s">
        <v>169</v>
      </c>
      <c r="I235" s="34">
        <f t="shared" si="19"/>
        <v>45959</v>
      </c>
      <c r="J235" t="s">
        <v>161</v>
      </c>
      <c r="K235" t="s">
        <v>853</v>
      </c>
      <c r="L235" t="s">
        <v>163</v>
      </c>
      <c r="M235" s="39" t="s">
        <v>412</v>
      </c>
      <c r="N235" t="s">
        <v>161</v>
      </c>
      <c r="Q235" s="39" t="s">
        <v>752</v>
      </c>
      <c r="U235" t="s">
        <v>854</v>
      </c>
      <c r="W235" t="s">
        <v>855</v>
      </c>
      <c r="X235">
        <v>2</v>
      </c>
      <c r="AA235" s="48">
        <v>307.5</v>
      </c>
      <c r="AC235" s="48">
        <v>307.5</v>
      </c>
      <c r="AF235" s="34">
        <f t="shared" si="20"/>
        <v>46168</v>
      </c>
      <c r="AG235" s="34">
        <f t="shared" si="21"/>
        <v>47993</v>
      </c>
      <c r="AH235" s="44" t="s">
        <v>857</v>
      </c>
      <c r="AK235">
        <v>16</v>
      </c>
      <c r="AL235">
        <v>112</v>
      </c>
      <c r="AM235">
        <v>10</v>
      </c>
      <c r="AN235" s="48">
        <v>307.5</v>
      </c>
    </row>
    <row r="236" spans="2:40">
      <c r="B236" s="39" t="s">
        <v>413</v>
      </c>
      <c r="C236" s="44" t="s">
        <v>81</v>
      </c>
      <c r="D236" t="s">
        <v>164</v>
      </c>
      <c r="E236" t="s">
        <v>83</v>
      </c>
      <c r="F236" s="42">
        <v>45839</v>
      </c>
      <c r="G236" s="34">
        <f t="shared" si="18"/>
        <v>45959</v>
      </c>
      <c r="H236" t="s">
        <v>169</v>
      </c>
      <c r="I236" s="34">
        <f t="shared" si="19"/>
        <v>45959</v>
      </c>
      <c r="J236" t="s">
        <v>161</v>
      </c>
      <c r="K236" t="s">
        <v>853</v>
      </c>
      <c r="L236" t="s">
        <v>163</v>
      </c>
      <c r="M236" s="39" t="s">
        <v>413</v>
      </c>
      <c r="N236" t="s">
        <v>161</v>
      </c>
      <c r="Q236" s="39" t="s">
        <v>752</v>
      </c>
      <c r="U236" t="s">
        <v>854</v>
      </c>
      <c r="W236" t="s">
        <v>855</v>
      </c>
      <c r="X236">
        <v>2</v>
      </c>
      <c r="AA236" s="48">
        <v>307.5</v>
      </c>
      <c r="AC236" s="48">
        <v>307.5</v>
      </c>
      <c r="AF236" s="34">
        <f t="shared" si="20"/>
        <v>46168</v>
      </c>
      <c r="AG236" s="34">
        <f t="shared" si="21"/>
        <v>47993</v>
      </c>
      <c r="AH236" s="44" t="s">
        <v>857</v>
      </c>
      <c r="AK236">
        <v>16</v>
      </c>
      <c r="AL236">
        <v>112</v>
      </c>
      <c r="AM236">
        <v>10</v>
      </c>
      <c r="AN236" s="48">
        <v>307.5</v>
      </c>
    </row>
    <row r="237" spans="2:40">
      <c r="B237" s="39" t="s">
        <v>414</v>
      </c>
      <c r="C237" s="44" t="s">
        <v>81</v>
      </c>
      <c r="D237" t="s">
        <v>164</v>
      </c>
      <c r="E237" t="s">
        <v>83</v>
      </c>
      <c r="F237" s="42">
        <v>45839</v>
      </c>
      <c r="G237" s="34">
        <f t="shared" si="18"/>
        <v>45959</v>
      </c>
      <c r="H237" t="s">
        <v>169</v>
      </c>
      <c r="I237" s="34">
        <f t="shared" si="19"/>
        <v>45959</v>
      </c>
      <c r="J237" t="s">
        <v>161</v>
      </c>
      <c r="K237" t="s">
        <v>853</v>
      </c>
      <c r="L237" t="s">
        <v>163</v>
      </c>
      <c r="M237" s="39" t="s">
        <v>414</v>
      </c>
      <c r="N237" t="s">
        <v>161</v>
      </c>
      <c r="Q237" s="39" t="s">
        <v>752</v>
      </c>
      <c r="U237" t="s">
        <v>854</v>
      </c>
      <c r="W237" t="s">
        <v>855</v>
      </c>
      <c r="X237">
        <v>2</v>
      </c>
      <c r="AA237" s="48">
        <v>307.5</v>
      </c>
      <c r="AC237" s="48">
        <v>307.5</v>
      </c>
      <c r="AF237" s="34">
        <f t="shared" si="20"/>
        <v>46168</v>
      </c>
      <c r="AG237" s="34">
        <f t="shared" si="21"/>
        <v>47993</v>
      </c>
      <c r="AH237" s="44" t="s">
        <v>857</v>
      </c>
      <c r="AK237">
        <v>16</v>
      </c>
      <c r="AL237">
        <v>112</v>
      </c>
      <c r="AM237">
        <v>10</v>
      </c>
      <c r="AN237" s="48">
        <v>307.5</v>
      </c>
    </row>
    <row r="238" spans="2:40">
      <c r="B238" s="39" t="s">
        <v>415</v>
      </c>
      <c r="C238" s="44" t="s">
        <v>81</v>
      </c>
      <c r="D238" t="s">
        <v>164</v>
      </c>
      <c r="E238" t="s">
        <v>83</v>
      </c>
      <c r="F238" s="42">
        <v>45833</v>
      </c>
      <c r="G238" s="34">
        <f t="shared" si="18"/>
        <v>45953</v>
      </c>
      <c r="H238" t="s">
        <v>169</v>
      </c>
      <c r="I238" s="34">
        <f t="shared" si="19"/>
        <v>45953</v>
      </c>
      <c r="J238" t="s">
        <v>161</v>
      </c>
      <c r="K238" t="s">
        <v>853</v>
      </c>
      <c r="L238" t="s">
        <v>163</v>
      </c>
      <c r="M238" s="39" t="s">
        <v>415</v>
      </c>
      <c r="N238" t="s">
        <v>161</v>
      </c>
      <c r="Q238" s="39" t="s">
        <v>753</v>
      </c>
      <c r="U238" t="s">
        <v>854</v>
      </c>
      <c r="W238" t="s">
        <v>855</v>
      </c>
      <c r="X238">
        <v>2</v>
      </c>
      <c r="AA238" s="48">
        <v>307.5</v>
      </c>
      <c r="AC238" s="48">
        <v>307.5</v>
      </c>
      <c r="AF238" s="34">
        <f t="shared" si="20"/>
        <v>46162</v>
      </c>
      <c r="AG238" s="34">
        <f t="shared" si="21"/>
        <v>47987</v>
      </c>
      <c r="AH238" s="44" t="s">
        <v>857</v>
      </c>
      <c r="AK238">
        <v>16</v>
      </c>
      <c r="AL238">
        <v>112</v>
      </c>
      <c r="AM238">
        <v>10</v>
      </c>
      <c r="AN238" s="48">
        <v>307.5</v>
      </c>
    </row>
    <row r="239" spans="2:40">
      <c r="B239" s="39" t="s">
        <v>416</v>
      </c>
      <c r="C239" s="44" t="s">
        <v>81</v>
      </c>
      <c r="D239" t="s">
        <v>164</v>
      </c>
      <c r="E239" t="s">
        <v>83</v>
      </c>
      <c r="F239" s="42">
        <v>45833</v>
      </c>
      <c r="G239" s="34">
        <f t="shared" si="18"/>
        <v>45953</v>
      </c>
      <c r="H239" t="s">
        <v>169</v>
      </c>
      <c r="I239" s="34">
        <f t="shared" si="19"/>
        <v>45953</v>
      </c>
      <c r="J239" t="s">
        <v>161</v>
      </c>
      <c r="K239" t="s">
        <v>853</v>
      </c>
      <c r="L239" t="s">
        <v>163</v>
      </c>
      <c r="M239" s="39" t="s">
        <v>416</v>
      </c>
      <c r="N239" t="s">
        <v>161</v>
      </c>
      <c r="Q239" s="39" t="s">
        <v>753</v>
      </c>
      <c r="U239" t="s">
        <v>854</v>
      </c>
      <c r="W239" t="s">
        <v>855</v>
      </c>
      <c r="X239">
        <v>2</v>
      </c>
      <c r="AA239" s="48">
        <v>307.5</v>
      </c>
      <c r="AC239" s="48">
        <v>307.5</v>
      </c>
      <c r="AF239" s="34">
        <f t="shared" si="20"/>
        <v>46162</v>
      </c>
      <c r="AG239" s="34">
        <f t="shared" si="21"/>
        <v>47987</v>
      </c>
      <c r="AH239" s="44" t="s">
        <v>857</v>
      </c>
      <c r="AK239">
        <v>16</v>
      </c>
      <c r="AL239">
        <v>112</v>
      </c>
      <c r="AM239">
        <v>10</v>
      </c>
      <c r="AN239" s="48">
        <v>307.5</v>
      </c>
    </row>
    <row r="240" spans="2:40">
      <c r="B240" s="39" t="s">
        <v>417</v>
      </c>
      <c r="C240" s="44" t="s">
        <v>81</v>
      </c>
      <c r="D240" t="s">
        <v>164</v>
      </c>
      <c r="E240" t="s">
        <v>83</v>
      </c>
      <c r="F240" s="42">
        <v>45833</v>
      </c>
      <c r="G240" s="34">
        <f t="shared" si="18"/>
        <v>45953</v>
      </c>
      <c r="H240" t="s">
        <v>169</v>
      </c>
      <c r="I240" s="34">
        <f t="shared" si="19"/>
        <v>45953</v>
      </c>
      <c r="J240" t="s">
        <v>161</v>
      </c>
      <c r="K240" t="s">
        <v>853</v>
      </c>
      <c r="L240" t="s">
        <v>163</v>
      </c>
      <c r="M240" s="39" t="s">
        <v>417</v>
      </c>
      <c r="N240" t="s">
        <v>161</v>
      </c>
      <c r="Q240" s="39" t="s">
        <v>753</v>
      </c>
      <c r="U240" t="s">
        <v>854</v>
      </c>
      <c r="W240" t="s">
        <v>855</v>
      </c>
      <c r="X240">
        <v>2</v>
      </c>
      <c r="AA240" s="48">
        <v>307.5</v>
      </c>
      <c r="AC240" s="48">
        <v>307.5</v>
      </c>
      <c r="AF240" s="34">
        <f t="shared" si="20"/>
        <v>46162</v>
      </c>
      <c r="AG240" s="34">
        <f t="shared" si="21"/>
        <v>47987</v>
      </c>
      <c r="AH240" s="44" t="s">
        <v>857</v>
      </c>
      <c r="AK240">
        <v>16</v>
      </c>
      <c r="AL240">
        <v>112</v>
      </c>
      <c r="AM240">
        <v>10</v>
      </c>
      <c r="AN240" s="48">
        <v>307.5</v>
      </c>
    </row>
    <row r="241" spans="2:40">
      <c r="B241" s="39" t="s">
        <v>418</v>
      </c>
      <c r="C241" s="44" t="s">
        <v>81</v>
      </c>
      <c r="D241" t="s">
        <v>164</v>
      </c>
      <c r="E241" t="s">
        <v>83</v>
      </c>
      <c r="F241" s="42">
        <v>45833</v>
      </c>
      <c r="G241" s="34">
        <f t="shared" si="18"/>
        <v>45953</v>
      </c>
      <c r="H241" t="s">
        <v>169</v>
      </c>
      <c r="I241" s="34">
        <f t="shared" si="19"/>
        <v>45953</v>
      </c>
      <c r="J241" t="s">
        <v>161</v>
      </c>
      <c r="K241" t="s">
        <v>853</v>
      </c>
      <c r="L241" t="s">
        <v>163</v>
      </c>
      <c r="M241" s="39" t="s">
        <v>418</v>
      </c>
      <c r="N241" t="s">
        <v>161</v>
      </c>
      <c r="Q241" s="39" t="s">
        <v>753</v>
      </c>
      <c r="U241" t="s">
        <v>854</v>
      </c>
      <c r="W241" t="s">
        <v>855</v>
      </c>
      <c r="X241">
        <v>2</v>
      </c>
      <c r="AA241" s="48">
        <v>307.5</v>
      </c>
      <c r="AC241" s="48">
        <v>307.5</v>
      </c>
      <c r="AF241" s="34">
        <f t="shared" si="20"/>
        <v>46162</v>
      </c>
      <c r="AG241" s="34">
        <f t="shared" si="21"/>
        <v>47987</v>
      </c>
      <c r="AH241" s="44" t="s">
        <v>857</v>
      </c>
      <c r="AK241">
        <v>16</v>
      </c>
      <c r="AL241">
        <v>112</v>
      </c>
      <c r="AM241">
        <v>10</v>
      </c>
      <c r="AN241" s="48">
        <v>307.5</v>
      </c>
    </row>
    <row r="242" spans="2:40">
      <c r="B242" s="39" t="s">
        <v>419</v>
      </c>
      <c r="C242" s="44" t="s">
        <v>81</v>
      </c>
      <c r="D242" t="s">
        <v>164</v>
      </c>
      <c r="E242" t="s">
        <v>83</v>
      </c>
      <c r="F242" s="42">
        <v>45827</v>
      </c>
      <c r="G242" s="34">
        <f t="shared" si="18"/>
        <v>45947</v>
      </c>
      <c r="H242" t="s">
        <v>169</v>
      </c>
      <c r="I242" s="34">
        <f t="shared" si="19"/>
        <v>45947</v>
      </c>
      <c r="J242" t="s">
        <v>161</v>
      </c>
      <c r="K242" t="s">
        <v>853</v>
      </c>
      <c r="L242" t="s">
        <v>163</v>
      </c>
      <c r="M242" s="39" t="s">
        <v>419</v>
      </c>
      <c r="N242" t="s">
        <v>161</v>
      </c>
      <c r="Q242" s="39" t="s">
        <v>754</v>
      </c>
      <c r="U242" t="s">
        <v>854</v>
      </c>
      <c r="W242" t="s">
        <v>855</v>
      </c>
      <c r="X242">
        <v>2</v>
      </c>
      <c r="AA242" s="48">
        <v>307.5</v>
      </c>
      <c r="AC242" s="48">
        <v>307.5</v>
      </c>
      <c r="AF242" s="34">
        <f t="shared" si="20"/>
        <v>46156</v>
      </c>
      <c r="AG242" s="34">
        <f t="shared" si="21"/>
        <v>47981</v>
      </c>
      <c r="AH242" s="44" t="s">
        <v>857</v>
      </c>
      <c r="AK242">
        <v>16</v>
      </c>
      <c r="AL242">
        <v>112</v>
      </c>
      <c r="AM242">
        <v>10</v>
      </c>
      <c r="AN242" s="48">
        <v>307.5</v>
      </c>
    </row>
    <row r="243" spans="2:40">
      <c r="B243" s="39" t="s">
        <v>420</v>
      </c>
      <c r="C243" s="44" t="s">
        <v>81</v>
      </c>
      <c r="D243" t="s">
        <v>164</v>
      </c>
      <c r="E243" t="s">
        <v>83</v>
      </c>
      <c r="F243" s="42">
        <v>45827</v>
      </c>
      <c r="G243" s="34">
        <f t="shared" si="18"/>
        <v>45947</v>
      </c>
      <c r="H243" t="s">
        <v>169</v>
      </c>
      <c r="I243" s="34">
        <f t="shared" si="19"/>
        <v>45947</v>
      </c>
      <c r="J243" t="s">
        <v>161</v>
      </c>
      <c r="K243" t="s">
        <v>853</v>
      </c>
      <c r="L243" t="s">
        <v>163</v>
      </c>
      <c r="M243" s="39" t="s">
        <v>420</v>
      </c>
      <c r="N243" t="s">
        <v>161</v>
      </c>
      <c r="Q243" s="39" t="s">
        <v>754</v>
      </c>
      <c r="U243" t="s">
        <v>854</v>
      </c>
      <c r="W243" t="s">
        <v>855</v>
      </c>
      <c r="X243">
        <v>2</v>
      </c>
      <c r="AA243" s="48">
        <v>307.5</v>
      </c>
      <c r="AC243" s="48">
        <v>307.5</v>
      </c>
      <c r="AF243" s="34">
        <f t="shared" si="20"/>
        <v>46156</v>
      </c>
      <c r="AG243" s="34">
        <f t="shared" si="21"/>
        <v>47981</v>
      </c>
      <c r="AH243" s="44" t="s">
        <v>857</v>
      </c>
      <c r="AK243">
        <v>16</v>
      </c>
      <c r="AL243">
        <v>112</v>
      </c>
      <c r="AM243">
        <v>10</v>
      </c>
      <c r="AN243" s="48">
        <v>307.5</v>
      </c>
    </row>
    <row r="244" spans="2:40">
      <c r="B244" s="39" t="s">
        <v>421</v>
      </c>
      <c r="C244" s="44" t="s">
        <v>81</v>
      </c>
      <c r="D244" t="s">
        <v>164</v>
      </c>
      <c r="E244" t="s">
        <v>83</v>
      </c>
      <c r="F244" s="42">
        <v>45827</v>
      </c>
      <c r="G244" s="34">
        <f t="shared" si="18"/>
        <v>45947</v>
      </c>
      <c r="H244" t="s">
        <v>169</v>
      </c>
      <c r="I244" s="34">
        <f t="shared" si="19"/>
        <v>45947</v>
      </c>
      <c r="J244" t="s">
        <v>161</v>
      </c>
      <c r="K244" t="s">
        <v>853</v>
      </c>
      <c r="L244" t="s">
        <v>163</v>
      </c>
      <c r="M244" s="39" t="s">
        <v>421</v>
      </c>
      <c r="N244" t="s">
        <v>161</v>
      </c>
      <c r="Q244" s="39" t="s">
        <v>754</v>
      </c>
      <c r="U244" t="s">
        <v>854</v>
      </c>
      <c r="W244" t="s">
        <v>855</v>
      </c>
      <c r="X244">
        <v>2</v>
      </c>
      <c r="AA244" s="48">
        <v>307.5</v>
      </c>
      <c r="AC244" s="48">
        <v>307.5</v>
      </c>
      <c r="AF244" s="34">
        <f t="shared" si="20"/>
        <v>46156</v>
      </c>
      <c r="AG244" s="34">
        <f t="shared" si="21"/>
        <v>47981</v>
      </c>
      <c r="AH244" s="44" t="s">
        <v>857</v>
      </c>
      <c r="AK244">
        <v>16</v>
      </c>
      <c r="AL244">
        <v>112</v>
      </c>
      <c r="AM244">
        <v>10</v>
      </c>
      <c r="AN244" s="48">
        <v>307.5</v>
      </c>
    </row>
    <row r="245" spans="2:40">
      <c r="B245" s="39" t="s">
        <v>422</v>
      </c>
      <c r="C245" s="44" t="s">
        <v>81</v>
      </c>
      <c r="D245" t="s">
        <v>164</v>
      </c>
      <c r="E245" t="s">
        <v>83</v>
      </c>
      <c r="F245" s="42">
        <v>45827</v>
      </c>
      <c r="G245" s="34">
        <f t="shared" si="18"/>
        <v>45947</v>
      </c>
      <c r="H245" t="s">
        <v>169</v>
      </c>
      <c r="I245" s="34">
        <f t="shared" si="19"/>
        <v>45947</v>
      </c>
      <c r="J245" t="s">
        <v>161</v>
      </c>
      <c r="K245" t="s">
        <v>853</v>
      </c>
      <c r="L245" t="s">
        <v>163</v>
      </c>
      <c r="M245" s="39" t="s">
        <v>422</v>
      </c>
      <c r="N245" t="s">
        <v>161</v>
      </c>
      <c r="Q245" s="39" t="s">
        <v>754</v>
      </c>
      <c r="U245" t="s">
        <v>854</v>
      </c>
      <c r="W245" t="s">
        <v>855</v>
      </c>
      <c r="X245">
        <v>2</v>
      </c>
      <c r="AA245" s="48">
        <v>307.5</v>
      </c>
      <c r="AC245" s="48">
        <v>307.5</v>
      </c>
      <c r="AF245" s="34">
        <f t="shared" si="20"/>
        <v>46156</v>
      </c>
      <c r="AG245" s="34">
        <f t="shared" si="21"/>
        <v>47981</v>
      </c>
      <c r="AH245" s="44" t="s">
        <v>857</v>
      </c>
      <c r="AK245">
        <v>16</v>
      </c>
      <c r="AL245">
        <v>112</v>
      </c>
      <c r="AM245">
        <v>10</v>
      </c>
      <c r="AN245" s="48">
        <v>307.5</v>
      </c>
    </row>
    <row r="246" spans="2:40">
      <c r="B246" s="39" t="s">
        <v>423</v>
      </c>
      <c r="C246" s="44" t="s">
        <v>81</v>
      </c>
      <c r="D246" t="s">
        <v>164</v>
      </c>
      <c r="E246" t="s">
        <v>83</v>
      </c>
      <c r="F246" s="42">
        <v>45817</v>
      </c>
      <c r="G246" s="34">
        <f t="shared" si="18"/>
        <v>45937</v>
      </c>
      <c r="H246" t="s">
        <v>169</v>
      </c>
      <c r="I246" s="34">
        <f t="shared" si="19"/>
        <v>45937</v>
      </c>
      <c r="J246" t="s">
        <v>161</v>
      </c>
      <c r="K246" t="s">
        <v>853</v>
      </c>
      <c r="L246" t="s">
        <v>163</v>
      </c>
      <c r="M246" s="39" t="s">
        <v>423</v>
      </c>
      <c r="N246" t="s">
        <v>161</v>
      </c>
      <c r="Q246" s="39" t="s">
        <v>755</v>
      </c>
      <c r="U246" t="s">
        <v>854</v>
      </c>
      <c r="W246" t="s">
        <v>855</v>
      </c>
      <c r="X246">
        <v>2</v>
      </c>
      <c r="AA246" s="48">
        <v>307.5</v>
      </c>
      <c r="AC246" s="48">
        <v>307.5</v>
      </c>
      <c r="AF246" s="34">
        <f t="shared" si="20"/>
        <v>46146</v>
      </c>
      <c r="AG246" s="34">
        <f t="shared" si="21"/>
        <v>47971</v>
      </c>
      <c r="AH246" s="44" t="s">
        <v>857</v>
      </c>
      <c r="AK246">
        <v>16</v>
      </c>
      <c r="AL246">
        <v>112</v>
      </c>
      <c r="AM246">
        <v>10</v>
      </c>
      <c r="AN246" s="48">
        <v>307.5</v>
      </c>
    </row>
    <row r="247" spans="2:40">
      <c r="B247" s="39" t="s">
        <v>424</v>
      </c>
      <c r="C247" s="44" t="s">
        <v>81</v>
      </c>
      <c r="D247" t="s">
        <v>164</v>
      </c>
      <c r="E247" t="s">
        <v>83</v>
      </c>
      <c r="F247" s="42">
        <v>45817</v>
      </c>
      <c r="G247" s="34">
        <f t="shared" si="18"/>
        <v>45937</v>
      </c>
      <c r="H247" t="s">
        <v>169</v>
      </c>
      <c r="I247" s="34">
        <f t="shared" si="19"/>
        <v>45937</v>
      </c>
      <c r="J247" t="s">
        <v>161</v>
      </c>
      <c r="K247" t="s">
        <v>853</v>
      </c>
      <c r="L247" t="s">
        <v>163</v>
      </c>
      <c r="M247" s="39" t="s">
        <v>424</v>
      </c>
      <c r="N247" t="s">
        <v>161</v>
      </c>
      <c r="Q247" s="39" t="s">
        <v>755</v>
      </c>
      <c r="U247" t="s">
        <v>854</v>
      </c>
      <c r="W247" t="s">
        <v>855</v>
      </c>
      <c r="X247">
        <v>2</v>
      </c>
      <c r="AA247" s="48">
        <v>307.5</v>
      </c>
      <c r="AC247" s="48">
        <v>307.5</v>
      </c>
      <c r="AF247" s="34">
        <f t="shared" si="20"/>
        <v>46146</v>
      </c>
      <c r="AG247" s="34">
        <f t="shared" si="21"/>
        <v>47971</v>
      </c>
      <c r="AH247" s="44" t="s">
        <v>857</v>
      </c>
      <c r="AK247">
        <v>16</v>
      </c>
      <c r="AL247">
        <v>112</v>
      </c>
      <c r="AM247">
        <v>10</v>
      </c>
      <c r="AN247" s="48">
        <v>307.5</v>
      </c>
    </row>
    <row r="248" spans="2:40">
      <c r="B248" s="39" t="s">
        <v>425</v>
      </c>
      <c r="C248" s="44" t="s">
        <v>81</v>
      </c>
      <c r="D248" t="s">
        <v>164</v>
      </c>
      <c r="E248" t="s">
        <v>83</v>
      </c>
      <c r="F248" s="42">
        <v>45817</v>
      </c>
      <c r="G248" s="34">
        <f t="shared" si="18"/>
        <v>45937</v>
      </c>
      <c r="H248" t="s">
        <v>169</v>
      </c>
      <c r="I248" s="34">
        <f t="shared" si="19"/>
        <v>45937</v>
      </c>
      <c r="J248" t="s">
        <v>161</v>
      </c>
      <c r="K248" t="s">
        <v>853</v>
      </c>
      <c r="L248" t="s">
        <v>163</v>
      </c>
      <c r="M248" s="39" t="s">
        <v>425</v>
      </c>
      <c r="N248" t="s">
        <v>161</v>
      </c>
      <c r="Q248" s="39" t="s">
        <v>755</v>
      </c>
      <c r="U248" t="s">
        <v>854</v>
      </c>
      <c r="W248" t="s">
        <v>855</v>
      </c>
      <c r="X248">
        <v>2</v>
      </c>
      <c r="AA248" s="48">
        <v>307.5</v>
      </c>
      <c r="AC248" s="48">
        <v>307.5</v>
      </c>
      <c r="AF248" s="34">
        <f t="shared" si="20"/>
        <v>46146</v>
      </c>
      <c r="AG248" s="34">
        <f t="shared" si="21"/>
        <v>47971</v>
      </c>
      <c r="AH248" s="44" t="s">
        <v>857</v>
      </c>
      <c r="AK248">
        <v>16</v>
      </c>
      <c r="AL248">
        <v>112</v>
      </c>
      <c r="AM248">
        <v>10</v>
      </c>
      <c r="AN248" s="48">
        <v>307.5</v>
      </c>
    </row>
    <row r="249" spans="2:40">
      <c r="B249" s="39" t="s">
        <v>426</v>
      </c>
      <c r="C249" s="44" t="s">
        <v>81</v>
      </c>
      <c r="D249" t="s">
        <v>164</v>
      </c>
      <c r="E249" t="s">
        <v>83</v>
      </c>
      <c r="F249" s="42">
        <v>45812</v>
      </c>
      <c r="G249" s="34">
        <f t="shared" si="18"/>
        <v>45932</v>
      </c>
      <c r="H249" t="s">
        <v>169</v>
      </c>
      <c r="I249" s="34">
        <f t="shared" si="19"/>
        <v>45932</v>
      </c>
      <c r="J249" t="s">
        <v>161</v>
      </c>
      <c r="K249" t="s">
        <v>853</v>
      </c>
      <c r="L249" t="s">
        <v>163</v>
      </c>
      <c r="M249" s="39" t="s">
        <v>426</v>
      </c>
      <c r="N249" t="s">
        <v>161</v>
      </c>
      <c r="Q249" s="39" t="s">
        <v>756</v>
      </c>
      <c r="U249" t="s">
        <v>854</v>
      </c>
      <c r="W249" t="s">
        <v>855</v>
      </c>
      <c r="X249">
        <v>2</v>
      </c>
      <c r="AA249" s="48">
        <v>307.5</v>
      </c>
      <c r="AC249" s="48">
        <v>307.5</v>
      </c>
      <c r="AF249" s="34">
        <f t="shared" si="20"/>
        <v>46141</v>
      </c>
      <c r="AG249" s="34">
        <f t="shared" si="21"/>
        <v>47966</v>
      </c>
      <c r="AH249" s="44" t="s">
        <v>857</v>
      </c>
      <c r="AK249">
        <v>16</v>
      </c>
      <c r="AL249">
        <v>112</v>
      </c>
      <c r="AM249">
        <v>10</v>
      </c>
      <c r="AN249" s="48">
        <v>307.5</v>
      </c>
    </row>
    <row r="250" spans="2:40">
      <c r="B250" s="39" t="s">
        <v>427</v>
      </c>
      <c r="C250" s="44" t="s">
        <v>81</v>
      </c>
      <c r="D250" t="s">
        <v>164</v>
      </c>
      <c r="E250" t="s">
        <v>83</v>
      </c>
      <c r="F250" s="42">
        <v>45812</v>
      </c>
      <c r="G250" s="34">
        <f t="shared" si="18"/>
        <v>45932</v>
      </c>
      <c r="H250" t="s">
        <v>169</v>
      </c>
      <c r="I250" s="34">
        <f t="shared" si="19"/>
        <v>45932</v>
      </c>
      <c r="J250" t="s">
        <v>161</v>
      </c>
      <c r="K250" t="s">
        <v>853</v>
      </c>
      <c r="L250" t="s">
        <v>163</v>
      </c>
      <c r="M250" s="39" t="s">
        <v>427</v>
      </c>
      <c r="N250" t="s">
        <v>161</v>
      </c>
      <c r="Q250" s="39" t="s">
        <v>756</v>
      </c>
      <c r="U250" t="s">
        <v>854</v>
      </c>
      <c r="W250" t="s">
        <v>855</v>
      </c>
      <c r="X250">
        <v>2</v>
      </c>
      <c r="AA250" s="48">
        <v>307.5</v>
      </c>
      <c r="AC250" s="48">
        <v>307.5</v>
      </c>
      <c r="AF250" s="34">
        <f t="shared" si="20"/>
        <v>46141</v>
      </c>
      <c r="AG250" s="34">
        <f t="shared" si="21"/>
        <v>47966</v>
      </c>
      <c r="AH250" s="44" t="s">
        <v>857</v>
      </c>
      <c r="AK250">
        <v>16</v>
      </c>
      <c r="AL250">
        <v>112</v>
      </c>
      <c r="AM250">
        <v>10</v>
      </c>
      <c r="AN250" s="48">
        <v>307.5</v>
      </c>
    </row>
    <row r="251" spans="2:40">
      <c r="B251" s="39" t="s">
        <v>428</v>
      </c>
      <c r="C251" s="44" t="s">
        <v>81</v>
      </c>
      <c r="D251" t="s">
        <v>164</v>
      </c>
      <c r="E251" t="s">
        <v>83</v>
      </c>
      <c r="F251" s="42">
        <v>45812</v>
      </c>
      <c r="G251" s="34">
        <f t="shared" si="18"/>
        <v>45932</v>
      </c>
      <c r="H251" t="s">
        <v>169</v>
      </c>
      <c r="I251" s="34">
        <f t="shared" si="19"/>
        <v>45932</v>
      </c>
      <c r="J251" t="s">
        <v>161</v>
      </c>
      <c r="K251" t="s">
        <v>853</v>
      </c>
      <c r="L251" t="s">
        <v>163</v>
      </c>
      <c r="M251" s="39" t="s">
        <v>428</v>
      </c>
      <c r="N251" t="s">
        <v>161</v>
      </c>
      <c r="Q251" s="39" t="s">
        <v>756</v>
      </c>
      <c r="U251" t="s">
        <v>854</v>
      </c>
      <c r="W251" t="s">
        <v>855</v>
      </c>
      <c r="X251">
        <v>2</v>
      </c>
      <c r="AA251" s="48">
        <v>307.5</v>
      </c>
      <c r="AC251" s="48">
        <v>307.5</v>
      </c>
      <c r="AF251" s="34">
        <f t="shared" si="20"/>
        <v>46141</v>
      </c>
      <c r="AG251" s="34">
        <f t="shared" si="21"/>
        <v>47966</v>
      </c>
      <c r="AH251" s="44" t="s">
        <v>857</v>
      </c>
      <c r="AK251">
        <v>16</v>
      </c>
      <c r="AL251">
        <v>112</v>
      </c>
      <c r="AM251">
        <v>10</v>
      </c>
      <c r="AN251" s="48">
        <v>307.5</v>
      </c>
    </row>
    <row r="252" spans="2:40">
      <c r="B252" s="39" t="s">
        <v>429</v>
      </c>
      <c r="C252" s="44" t="s">
        <v>81</v>
      </c>
      <c r="D252" t="s">
        <v>164</v>
      </c>
      <c r="E252" t="s">
        <v>83</v>
      </c>
      <c r="F252" s="42">
        <v>45812</v>
      </c>
      <c r="G252" s="34">
        <f t="shared" si="18"/>
        <v>45932</v>
      </c>
      <c r="H252" t="s">
        <v>169</v>
      </c>
      <c r="I252" s="34">
        <f t="shared" si="19"/>
        <v>45932</v>
      </c>
      <c r="J252" t="s">
        <v>161</v>
      </c>
      <c r="K252" t="s">
        <v>853</v>
      </c>
      <c r="L252" t="s">
        <v>163</v>
      </c>
      <c r="M252" s="39" t="s">
        <v>429</v>
      </c>
      <c r="N252" t="s">
        <v>161</v>
      </c>
      <c r="Q252" s="39" t="s">
        <v>756</v>
      </c>
      <c r="U252" t="s">
        <v>854</v>
      </c>
      <c r="W252" t="s">
        <v>855</v>
      </c>
      <c r="X252">
        <v>2</v>
      </c>
      <c r="AA252" s="48">
        <v>307.5</v>
      </c>
      <c r="AC252" s="48">
        <v>307.5</v>
      </c>
      <c r="AF252" s="34">
        <f t="shared" si="20"/>
        <v>46141</v>
      </c>
      <c r="AG252" s="34">
        <f t="shared" si="21"/>
        <v>47966</v>
      </c>
      <c r="AH252" s="44" t="s">
        <v>857</v>
      </c>
      <c r="AK252">
        <v>16</v>
      </c>
      <c r="AL252">
        <v>112</v>
      </c>
      <c r="AM252">
        <v>10</v>
      </c>
      <c r="AN252" s="48">
        <v>307.5</v>
      </c>
    </row>
    <row r="253" spans="2:40">
      <c r="B253" s="39" t="s">
        <v>430</v>
      </c>
      <c r="C253" s="44" t="s">
        <v>81</v>
      </c>
      <c r="D253" t="s">
        <v>164</v>
      </c>
      <c r="E253" t="s">
        <v>83</v>
      </c>
      <c r="F253" s="42">
        <v>45806</v>
      </c>
      <c r="G253" s="34">
        <f t="shared" si="18"/>
        <v>45926</v>
      </c>
      <c r="H253" t="s">
        <v>169</v>
      </c>
      <c r="I253" s="34">
        <f t="shared" si="19"/>
        <v>45926</v>
      </c>
      <c r="J253" t="s">
        <v>161</v>
      </c>
      <c r="K253" t="s">
        <v>853</v>
      </c>
      <c r="L253" t="s">
        <v>163</v>
      </c>
      <c r="M253" s="39" t="s">
        <v>430</v>
      </c>
      <c r="N253" t="s">
        <v>161</v>
      </c>
      <c r="Q253" s="39" t="s">
        <v>757</v>
      </c>
      <c r="U253" t="s">
        <v>854</v>
      </c>
      <c r="W253" t="s">
        <v>855</v>
      </c>
      <c r="X253">
        <v>2</v>
      </c>
      <c r="AA253" s="48">
        <v>307.5</v>
      </c>
      <c r="AC253" s="48">
        <v>307.5</v>
      </c>
      <c r="AF253" s="34">
        <f t="shared" si="20"/>
        <v>46135</v>
      </c>
      <c r="AG253" s="34">
        <f t="shared" si="21"/>
        <v>47960</v>
      </c>
      <c r="AH253" s="44" t="s">
        <v>857</v>
      </c>
      <c r="AK253">
        <v>16</v>
      </c>
      <c r="AL253">
        <v>112</v>
      </c>
      <c r="AM253">
        <v>10</v>
      </c>
      <c r="AN253" s="48">
        <v>307.5</v>
      </c>
    </row>
    <row r="254" spans="2:40">
      <c r="B254" s="39" t="s">
        <v>431</v>
      </c>
      <c r="C254" s="44" t="s">
        <v>81</v>
      </c>
      <c r="D254" t="s">
        <v>164</v>
      </c>
      <c r="E254" t="s">
        <v>83</v>
      </c>
      <c r="F254" s="42">
        <v>45806</v>
      </c>
      <c r="G254" s="34">
        <f t="shared" si="18"/>
        <v>45926</v>
      </c>
      <c r="H254" t="s">
        <v>169</v>
      </c>
      <c r="I254" s="34">
        <f t="shared" si="19"/>
        <v>45926</v>
      </c>
      <c r="J254" t="s">
        <v>161</v>
      </c>
      <c r="K254" t="s">
        <v>853</v>
      </c>
      <c r="L254" t="s">
        <v>163</v>
      </c>
      <c r="M254" s="39" t="s">
        <v>431</v>
      </c>
      <c r="N254" t="s">
        <v>161</v>
      </c>
      <c r="Q254" s="39" t="s">
        <v>757</v>
      </c>
      <c r="U254" t="s">
        <v>854</v>
      </c>
      <c r="W254" t="s">
        <v>855</v>
      </c>
      <c r="X254">
        <v>2</v>
      </c>
      <c r="AA254" s="48">
        <v>307.5</v>
      </c>
      <c r="AC254" s="48">
        <v>307.5</v>
      </c>
      <c r="AF254" s="34">
        <f t="shared" si="20"/>
        <v>46135</v>
      </c>
      <c r="AG254" s="34">
        <f t="shared" si="21"/>
        <v>47960</v>
      </c>
      <c r="AH254" s="44" t="s">
        <v>857</v>
      </c>
      <c r="AK254">
        <v>16</v>
      </c>
      <c r="AL254">
        <v>112</v>
      </c>
      <c r="AM254">
        <v>10</v>
      </c>
      <c r="AN254" s="48">
        <v>307.5</v>
      </c>
    </row>
    <row r="255" spans="2:40">
      <c r="B255" s="39" t="s">
        <v>432</v>
      </c>
      <c r="C255" s="44" t="s">
        <v>81</v>
      </c>
      <c r="D255" t="s">
        <v>164</v>
      </c>
      <c r="E255" t="s">
        <v>83</v>
      </c>
      <c r="F255" s="42">
        <v>45806</v>
      </c>
      <c r="G255" s="34">
        <f t="shared" si="18"/>
        <v>45926</v>
      </c>
      <c r="H255" t="s">
        <v>169</v>
      </c>
      <c r="I255" s="34">
        <f t="shared" si="19"/>
        <v>45926</v>
      </c>
      <c r="J255" t="s">
        <v>161</v>
      </c>
      <c r="K255" t="s">
        <v>853</v>
      </c>
      <c r="L255" t="s">
        <v>163</v>
      </c>
      <c r="M255" s="39" t="s">
        <v>432</v>
      </c>
      <c r="N255" t="s">
        <v>161</v>
      </c>
      <c r="Q255" s="39" t="s">
        <v>757</v>
      </c>
      <c r="U255" t="s">
        <v>854</v>
      </c>
      <c r="W255" t="s">
        <v>855</v>
      </c>
      <c r="X255">
        <v>2</v>
      </c>
      <c r="AA255" s="48">
        <v>307.5</v>
      </c>
      <c r="AC255" s="48">
        <v>307.5</v>
      </c>
      <c r="AF255" s="34">
        <f t="shared" si="20"/>
        <v>46135</v>
      </c>
      <c r="AG255" s="34">
        <f t="shared" si="21"/>
        <v>47960</v>
      </c>
      <c r="AH255" s="44" t="s">
        <v>857</v>
      </c>
      <c r="AK255">
        <v>16</v>
      </c>
      <c r="AL255">
        <v>112</v>
      </c>
      <c r="AM255">
        <v>10</v>
      </c>
      <c r="AN255" s="48">
        <v>307.5</v>
      </c>
    </row>
    <row r="256" spans="2:40">
      <c r="B256" s="39" t="s">
        <v>433</v>
      </c>
      <c r="C256" s="44" t="s">
        <v>81</v>
      </c>
      <c r="D256" t="s">
        <v>164</v>
      </c>
      <c r="E256" t="s">
        <v>83</v>
      </c>
      <c r="F256" s="42">
        <v>45806</v>
      </c>
      <c r="G256" s="34">
        <f t="shared" si="18"/>
        <v>45926</v>
      </c>
      <c r="H256" t="s">
        <v>169</v>
      </c>
      <c r="I256" s="34">
        <f t="shared" si="19"/>
        <v>45926</v>
      </c>
      <c r="J256" t="s">
        <v>161</v>
      </c>
      <c r="K256" t="s">
        <v>853</v>
      </c>
      <c r="L256" t="s">
        <v>163</v>
      </c>
      <c r="M256" s="39" t="s">
        <v>433</v>
      </c>
      <c r="N256" t="s">
        <v>161</v>
      </c>
      <c r="Q256" s="39" t="s">
        <v>757</v>
      </c>
      <c r="U256" t="s">
        <v>854</v>
      </c>
      <c r="W256" t="s">
        <v>855</v>
      </c>
      <c r="X256">
        <v>2</v>
      </c>
      <c r="AA256" s="48">
        <v>307.5</v>
      </c>
      <c r="AC256" s="48">
        <v>307.5</v>
      </c>
      <c r="AF256" s="34">
        <f t="shared" si="20"/>
        <v>46135</v>
      </c>
      <c r="AG256" s="34">
        <f t="shared" si="21"/>
        <v>47960</v>
      </c>
      <c r="AH256" s="44" t="s">
        <v>857</v>
      </c>
      <c r="AK256">
        <v>16</v>
      </c>
      <c r="AL256">
        <v>112</v>
      </c>
      <c r="AM256">
        <v>10</v>
      </c>
      <c r="AN256" s="48">
        <v>307.5</v>
      </c>
    </row>
    <row r="257" spans="2:40">
      <c r="B257" s="39" t="s">
        <v>434</v>
      </c>
      <c r="C257" s="44" t="s">
        <v>81</v>
      </c>
      <c r="D257" t="s">
        <v>164</v>
      </c>
      <c r="E257" t="s">
        <v>83</v>
      </c>
      <c r="F257" s="42">
        <v>45799</v>
      </c>
      <c r="G257" s="34">
        <f t="shared" si="18"/>
        <v>45919</v>
      </c>
      <c r="H257" t="s">
        <v>169</v>
      </c>
      <c r="I257" s="34">
        <f t="shared" si="19"/>
        <v>45919</v>
      </c>
      <c r="J257" t="s">
        <v>161</v>
      </c>
      <c r="K257" t="s">
        <v>853</v>
      </c>
      <c r="L257" t="s">
        <v>163</v>
      </c>
      <c r="M257" s="39" t="s">
        <v>434</v>
      </c>
      <c r="N257" t="s">
        <v>161</v>
      </c>
      <c r="Q257" s="39" t="s">
        <v>758</v>
      </c>
      <c r="U257" t="s">
        <v>854</v>
      </c>
      <c r="W257" t="s">
        <v>855</v>
      </c>
      <c r="X257">
        <v>2</v>
      </c>
      <c r="AA257" s="48">
        <v>307.5</v>
      </c>
      <c r="AC257" s="48">
        <v>307.5</v>
      </c>
      <c r="AF257" s="34">
        <f t="shared" si="20"/>
        <v>46128</v>
      </c>
      <c r="AG257" s="34">
        <f t="shared" si="21"/>
        <v>47953</v>
      </c>
      <c r="AH257" s="44" t="s">
        <v>857</v>
      </c>
      <c r="AK257">
        <v>16</v>
      </c>
      <c r="AL257">
        <v>112</v>
      </c>
      <c r="AM257">
        <v>10</v>
      </c>
      <c r="AN257" s="48">
        <v>307.5</v>
      </c>
    </row>
    <row r="258" spans="2:40">
      <c r="B258" s="39" t="s">
        <v>435</v>
      </c>
      <c r="C258" s="44" t="s">
        <v>81</v>
      </c>
      <c r="D258" t="s">
        <v>164</v>
      </c>
      <c r="E258" t="s">
        <v>83</v>
      </c>
      <c r="F258" s="42">
        <v>45799</v>
      </c>
      <c r="G258" s="34">
        <f t="shared" si="18"/>
        <v>45919</v>
      </c>
      <c r="H258" t="s">
        <v>169</v>
      </c>
      <c r="I258" s="34">
        <f t="shared" si="19"/>
        <v>45919</v>
      </c>
      <c r="J258" t="s">
        <v>161</v>
      </c>
      <c r="K258" t="s">
        <v>853</v>
      </c>
      <c r="L258" t="s">
        <v>163</v>
      </c>
      <c r="M258" s="39" t="s">
        <v>435</v>
      </c>
      <c r="N258" t="s">
        <v>161</v>
      </c>
      <c r="Q258" s="39" t="s">
        <v>758</v>
      </c>
      <c r="U258" t="s">
        <v>854</v>
      </c>
      <c r="W258" t="s">
        <v>855</v>
      </c>
      <c r="X258">
        <v>2</v>
      </c>
      <c r="AA258" s="48">
        <v>307.5</v>
      </c>
      <c r="AC258" s="48">
        <v>307.5</v>
      </c>
      <c r="AF258" s="34">
        <f t="shared" si="20"/>
        <v>46128</v>
      </c>
      <c r="AG258" s="34">
        <f t="shared" si="21"/>
        <v>47953</v>
      </c>
      <c r="AH258" s="44" t="s">
        <v>857</v>
      </c>
      <c r="AK258">
        <v>16</v>
      </c>
      <c r="AL258">
        <v>112</v>
      </c>
      <c r="AM258">
        <v>10</v>
      </c>
      <c r="AN258" s="48">
        <v>307.5</v>
      </c>
    </row>
    <row r="259" spans="2:40">
      <c r="B259" s="39" t="s">
        <v>436</v>
      </c>
      <c r="C259" s="44" t="s">
        <v>81</v>
      </c>
      <c r="D259" t="s">
        <v>164</v>
      </c>
      <c r="E259" t="s">
        <v>83</v>
      </c>
      <c r="F259" s="42">
        <v>45799</v>
      </c>
      <c r="G259" s="34">
        <f t="shared" si="18"/>
        <v>45919</v>
      </c>
      <c r="H259" t="s">
        <v>169</v>
      </c>
      <c r="I259" s="34">
        <f t="shared" si="19"/>
        <v>45919</v>
      </c>
      <c r="J259" t="s">
        <v>161</v>
      </c>
      <c r="K259" t="s">
        <v>853</v>
      </c>
      <c r="L259" t="s">
        <v>163</v>
      </c>
      <c r="M259" s="39" t="s">
        <v>436</v>
      </c>
      <c r="N259" t="s">
        <v>161</v>
      </c>
      <c r="Q259" s="39" t="s">
        <v>758</v>
      </c>
      <c r="U259" t="s">
        <v>854</v>
      </c>
      <c r="W259" t="s">
        <v>855</v>
      </c>
      <c r="X259">
        <v>2</v>
      </c>
      <c r="AA259" s="48">
        <v>307.5</v>
      </c>
      <c r="AC259" s="48">
        <v>307.5</v>
      </c>
      <c r="AF259" s="34">
        <f t="shared" si="20"/>
        <v>46128</v>
      </c>
      <c r="AG259" s="34">
        <f t="shared" si="21"/>
        <v>47953</v>
      </c>
      <c r="AH259" s="44" t="s">
        <v>857</v>
      </c>
      <c r="AK259">
        <v>16</v>
      </c>
      <c r="AL259">
        <v>112</v>
      </c>
      <c r="AM259">
        <v>10</v>
      </c>
      <c r="AN259" s="48">
        <v>307.5</v>
      </c>
    </row>
    <row r="260" spans="2:40">
      <c r="B260" s="39" t="s">
        <v>437</v>
      </c>
      <c r="C260" s="44" t="s">
        <v>81</v>
      </c>
      <c r="D260" t="s">
        <v>164</v>
      </c>
      <c r="E260" t="s">
        <v>83</v>
      </c>
      <c r="F260" s="42">
        <v>45799</v>
      </c>
      <c r="G260" s="34">
        <f t="shared" si="18"/>
        <v>45919</v>
      </c>
      <c r="H260" t="s">
        <v>169</v>
      </c>
      <c r="I260" s="34">
        <f t="shared" si="19"/>
        <v>45919</v>
      </c>
      <c r="J260" t="s">
        <v>161</v>
      </c>
      <c r="K260" t="s">
        <v>853</v>
      </c>
      <c r="L260" t="s">
        <v>163</v>
      </c>
      <c r="M260" s="39" t="s">
        <v>437</v>
      </c>
      <c r="N260" t="s">
        <v>161</v>
      </c>
      <c r="Q260" s="39" t="s">
        <v>758</v>
      </c>
      <c r="U260" t="s">
        <v>854</v>
      </c>
      <c r="W260" t="s">
        <v>855</v>
      </c>
      <c r="X260">
        <v>2</v>
      </c>
      <c r="AA260" s="48">
        <v>307.5</v>
      </c>
      <c r="AC260" s="48">
        <v>307.5</v>
      </c>
      <c r="AF260" s="34">
        <f t="shared" si="20"/>
        <v>46128</v>
      </c>
      <c r="AG260" s="34">
        <f t="shared" si="21"/>
        <v>47953</v>
      </c>
      <c r="AH260" s="44" t="s">
        <v>857</v>
      </c>
      <c r="AK260">
        <v>16</v>
      </c>
      <c r="AL260">
        <v>112</v>
      </c>
      <c r="AM260">
        <v>10</v>
      </c>
      <c r="AN260" s="48">
        <v>307.5</v>
      </c>
    </row>
    <row r="261" spans="2:40">
      <c r="B261" s="39" t="s">
        <v>438</v>
      </c>
      <c r="C261" s="44" t="s">
        <v>81</v>
      </c>
      <c r="D261" t="s">
        <v>164</v>
      </c>
      <c r="E261" t="s">
        <v>83</v>
      </c>
      <c r="F261" s="42">
        <v>45792</v>
      </c>
      <c r="G261" s="34">
        <f t="shared" si="18"/>
        <v>45912</v>
      </c>
      <c r="H261" t="s">
        <v>169</v>
      </c>
      <c r="I261" s="34">
        <f t="shared" si="19"/>
        <v>45912</v>
      </c>
      <c r="J261" t="s">
        <v>161</v>
      </c>
      <c r="K261" t="s">
        <v>853</v>
      </c>
      <c r="L261" t="s">
        <v>163</v>
      </c>
      <c r="M261" s="39" t="s">
        <v>438</v>
      </c>
      <c r="N261" t="s">
        <v>161</v>
      </c>
      <c r="Q261" s="39" t="s">
        <v>759</v>
      </c>
      <c r="U261" t="s">
        <v>854</v>
      </c>
      <c r="W261" t="s">
        <v>855</v>
      </c>
      <c r="X261">
        <v>2</v>
      </c>
      <c r="AA261" s="48">
        <v>307.5</v>
      </c>
      <c r="AC261" s="48">
        <v>307.5</v>
      </c>
      <c r="AF261" s="34">
        <f t="shared" si="20"/>
        <v>46121</v>
      </c>
      <c r="AG261" s="34">
        <f t="shared" si="21"/>
        <v>47946</v>
      </c>
      <c r="AH261" s="44" t="s">
        <v>857</v>
      </c>
      <c r="AK261">
        <v>16</v>
      </c>
      <c r="AL261">
        <v>112</v>
      </c>
      <c r="AM261">
        <v>10</v>
      </c>
      <c r="AN261" s="48">
        <v>307.5</v>
      </c>
    </row>
    <row r="262" spans="2:40">
      <c r="B262" s="39" t="s">
        <v>439</v>
      </c>
      <c r="C262" s="44" t="s">
        <v>81</v>
      </c>
      <c r="D262" t="s">
        <v>164</v>
      </c>
      <c r="E262" t="s">
        <v>83</v>
      </c>
      <c r="F262" s="42">
        <v>45792</v>
      </c>
      <c r="G262" s="34">
        <f t="shared" ref="G262:G325" si="22">+F262+120</f>
        <v>45912</v>
      </c>
      <c r="H262" t="s">
        <v>169</v>
      </c>
      <c r="I262" s="34">
        <f t="shared" ref="I262:I325" si="23">+G262</f>
        <v>45912</v>
      </c>
      <c r="J262" t="s">
        <v>161</v>
      </c>
      <c r="K262" t="s">
        <v>853</v>
      </c>
      <c r="L262" t="s">
        <v>163</v>
      </c>
      <c r="M262" s="39" t="s">
        <v>439</v>
      </c>
      <c r="N262" t="s">
        <v>161</v>
      </c>
      <c r="Q262" s="39" t="s">
        <v>759</v>
      </c>
      <c r="U262" t="s">
        <v>854</v>
      </c>
      <c r="W262" t="s">
        <v>855</v>
      </c>
      <c r="X262">
        <v>2</v>
      </c>
      <c r="AA262" s="48">
        <v>307.5</v>
      </c>
      <c r="AC262" s="48">
        <v>307.5</v>
      </c>
      <c r="AF262" s="34">
        <f t="shared" si="20"/>
        <v>46121</v>
      </c>
      <c r="AG262" s="34">
        <f t="shared" si="21"/>
        <v>47946</v>
      </c>
      <c r="AH262" s="44" t="s">
        <v>857</v>
      </c>
      <c r="AK262">
        <v>16</v>
      </c>
      <c r="AL262">
        <v>112</v>
      </c>
      <c r="AM262">
        <v>10</v>
      </c>
      <c r="AN262" s="48">
        <v>307.5</v>
      </c>
    </row>
    <row r="263" spans="2:40">
      <c r="B263" s="39" t="s">
        <v>440</v>
      </c>
      <c r="C263" s="44" t="s">
        <v>81</v>
      </c>
      <c r="D263" t="s">
        <v>164</v>
      </c>
      <c r="E263" t="s">
        <v>83</v>
      </c>
      <c r="F263" s="42">
        <v>45792</v>
      </c>
      <c r="G263" s="34">
        <f t="shared" si="22"/>
        <v>45912</v>
      </c>
      <c r="H263" t="s">
        <v>169</v>
      </c>
      <c r="I263" s="34">
        <f t="shared" si="23"/>
        <v>45912</v>
      </c>
      <c r="J263" t="s">
        <v>161</v>
      </c>
      <c r="K263" t="s">
        <v>853</v>
      </c>
      <c r="L263" t="s">
        <v>163</v>
      </c>
      <c r="M263" s="39" t="s">
        <v>440</v>
      </c>
      <c r="N263" t="s">
        <v>161</v>
      </c>
      <c r="Q263" s="39" t="s">
        <v>759</v>
      </c>
      <c r="U263" t="s">
        <v>854</v>
      </c>
      <c r="W263" t="s">
        <v>855</v>
      </c>
      <c r="X263">
        <v>2</v>
      </c>
      <c r="AA263" s="48">
        <v>307.5</v>
      </c>
      <c r="AC263" s="48">
        <v>307.5</v>
      </c>
      <c r="AF263" s="34">
        <f t="shared" si="20"/>
        <v>46121</v>
      </c>
      <c r="AG263" s="34">
        <f t="shared" si="21"/>
        <v>47946</v>
      </c>
      <c r="AH263" s="44" t="s">
        <v>857</v>
      </c>
      <c r="AK263">
        <v>16</v>
      </c>
      <c r="AL263">
        <v>112</v>
      </c>
      <c r="AM263">
        <v>10</v>
      </c>
      <c r="AN263" s="48">
        <v>307.5</v>
      </c>
    </row>
    <row r="264" spans="2:40">
      <c r="B264" s="39" t="s">
        <v>441</v>
      </c>
      <c r="C264" s="44" t="s">
        <v>81</v>
      </c>
      <c r="D264" t="s">
        <v>164</v>
      </c>
      <c r="E264" t="s">
        <v>83</v>
      </c>
      <c r="F264" s="42">
        <v>45792</v>
      </c>
      <c r="G264" s="34">
        <f t="shared" si="22"/>
        <v>45912</v>
      </c>
      <c r="H264" t="s">
        <v>169</v>
      </c>
      <c r="I264" s="34">
        <f t="shared" si="23"/>
        <v>45912</v>
      </c>
      <c r="J264" t="s">
        <v>161</v>
      </c>
      <c r="K264" t="s">
        <v>853</v>
      </c>
      <c r="L264" t="s">
        <v>163</v>
      </c>
      <c r="M264" s="39" t="s">
        <v>441</v>
      </c>
      <c r="N264" t="s">
        <v>161</v>
      </c>
      <c r="Q264" s="39" t="s">
        <v>759</v>
      </c>
      <c r="U264" t="s">
        <v>854</v>
      </c>
      <c r="W264" t="s">
        <v>855</v>
      </c>
      <c r="X264">
        <v>2</v>
      </c>
      <c r="AA264" s="48">
        <v>307.5</v>
      </c>
      <c r="AC264" s="48">
        <v>307.5</v>
      </c>
      <c r="AF264" s="34">
        <f t="shared" si="20"/>
        <v>46121</v>
      </c>
      <c r="AG264" s="34">
        <f t="shared" si="21"/>
        <v>47946</v>
      </c>
      <c r="AH264" s="44" t="s">
        <v>857</v>
      </c>
      <c r="AK264">
        <v>16</v>
      </c>
      <c r="AL264">
        <v>112</v>
      </c>
      <c r="AM264">
        <v>10</v>
      </c>
      <c r="AN264" s="48">
        <v>307.5</v>
      </c>
    </row>
    <row r="265" spans="2:40">
      <c r="B265" s="39" t="s">
        <v>442</v>
      </c>
      <c r="C265" s="44" t="s">
        <v>81</v>
      </c>
      <c r="D265" t="s">
        <v>164</v>
      </c>
      <c r="E265" t="s">
        <v>83</v>
      </c>
      <c r="F265" s="42">
        <v>45785</v>
      </c>
      <c r="G265" s="34">
        <f t="shared" si="22"/>
        <v>45905</v>
      </c>
      <c r="H265" t="s">
        <v>169</v>
      </c>
      <c r="I265" s="34">
        <f t="shared" si="23"/>
        <v>45905</v>
      </c>
      <c r="J265" t="s">
        <v>161</v>
      </c>
      <c r="K265" t="s">
        <v>853</v>
      </c>
      <c r="L265" t="s">
        <v>163</v>
      </c>
      <c r="M265" s="39" t="s">
        <v>442</v>
      </c>
      <c r="N265" t="s">
        <v>161</v>
      </c>
      <c r="Q265" s="39" t="s">
        <v>760</v>
      </c>
      <c r="U265" t="s">
        <v>854</v>
      </c>
      <c r="W265" t="s">
        <v>855</v>
      </c>
      <c r="X265">
        <v>2</v>
      </c>
      <c r="AA265" s="48">
        <v>307.5</v>
      </c>
      <c r="AC265" s="48">
        <v>307.5</v>
      </c>
      <c r="AF265" s="34">
        <f t="shared" si="20"/>
        <v>46114</v>
      </c>
      <c r="AG265" s="34">
        <f t="shared" si="21"/>
        <v>47939</v>
      </c>
      <c r="AH265" s="44" t="s">
        <v>857</v>
      </c>
      <c r="AK265">
        <v>16</v>
      </c>
      <c r="AL265">
        <v>112</v>
      </c>
      <c r="AM265">
        <v>10</v>
      </c>
      <c r="AN265" s="48">
        <v>307.5</v>
      </c>
    </row>
    <row r="266" spans="2:40">
      <c r="B266" s="39" t="s">
        <v>443</v>
      </c>
      <c r="C266" s="44" t="s">
        <v>81</v>
      </c>
      <c r="D266" t="s">
        <v>164</v>
      </c>
      <c r="E266" t="s">
        <v>83</v>
      </c>
      <c r="F266" s="42">
        <v>45785</v>
      </c>
      <c r="G266" s="34">
        <f t="shared" si="22"/>
        <v>45905</v>
      </c>
      <c r="H266" t="s">
        <v>169</v>
      </c>
      <c r="I266" s="34">
        <f t="shared" si="23"/>
        <v>45905</v>
      </c>
      <c r="J266" t="s">
        <v>161</v>
      </c>
      <c r="K266" t="s">
        <v>853</v>
      </c>
      <c r="L266" t="s">
        <v>163</v>
      </c>
      <c r="M266" s="39" t="s">
        <v>443</v>
      </c>
      <c r="N266" t="s">
        <v>161</v>
      </c>
      <c r="Q266" s="39" t="s">
        <v>760</v>
      </c>
      <c r="U266" t="s">
        <v>854</v>
      </c>
      <c r="W266" t="s">
        <v>855</v>
      </c>
      <c r="X266">
        <v>2</v>
      </c>
      <c r="AA266" s="48">
        <v>307.5</v>
      </c>
      <c r="AC266" s="48">
        <v>307.5</v>
      </c>
      <c r="AF266" s="34">
        <f t="shared" ref="AF266:AF329" si="24">+F266+(47*7)</f>
        <v>46114</v>
      </c>
      <c r="AG266" s="34">
        <f t="shared" ref="AG266:AG329" si="25">+AF266+(365*5)</f>
        <v>47939</v>
      </c>
      <c r="AH266" s="44" t="s">
        <v>856</v>
      </c>
      <c r="AK266">
        <v>16</v>
      </c>
      <c r="AL266">
        <v>112</v>
      </c>
      <c r="AM266">
        <v>10</v>
      </c>
      <c r="AN266" s="48">
        <v>307.5</v>
      </c>
    </row>
    <row r="267" spans="2:40">
      <c r="B267" s="39" t="s">
        <v>444</v>
      </c>
      <c r="C267" s="44" t="s">
        <v>81</v>
      </c>
      <c r="D267" t="s">
        <v>164</v>
      </c>
      <c r="E267" t="s">
        <v>83</v>
      </c>
      <c r="F267" s="42">
        <v>45785</v>
      </c>
      <c r="G267" s="34">
        <f t="shared" si="22"/>
        <v>45905</v>
      </c>
      <c r="H267" t="s">
        <v>169</v>
      </c>
      <c r="I267" s="34">
        <f t="shared" si="23"/>
        <v>45905</v>
      </c>
      <c r="J267" t="s">
        <v>161</v>
      </c>
      <c r="K267" t="s">
        <v>853</v>
      </c>
      <c r="L267" t="s">
        <v>163</v>
      </c>
      <c r="M267" s="39" t="s">
        <v>444</v>
      </c>
      <c r="N267" t="s">
        <v>161</v>
      </c>
      <c r="Q267" s="39" t="s">
        <v>760</v>
      </c>
      <c r="U267" t="s">
        <v>854</v>
      </c>
      <c r="W267" t="s">
        <v>855</v>
      </c>
      <c r="X267">
        <v>2</v>
      </c>
      <c r="AA267" s="48">
        <v>307.5</v>
      </c>
      <c r="AC267" s="48">
        <v>307.5</v>
      </c>
      <c r="AF267" s="34">
        <f t="shared" si="24"/>
        <v>46114</v>
      </c>
      <c r="AG267" s="34">
        <f t="shared" si="25"/>
        <v>47939</v>
      </c>
      <c r="AH267" s="44" t="s">
        <v>857</v>
      </c>
      <c r="AK267">
        <v>16</v>
      </c>
      <c r="AL267">
        <v>112</v>
      </c>
      <c r="AM267">
        <v>10</v>
      </c>
      <c r="AN267" s="48">
        <v>307.5</v>
      </c>
    </row>
    <row r="268" spans="2:40">
      <c r="B268" s="39" t="s">
        <v>445</v>
      </c>
      <c r="C268" s="44" t="s">
        <v>81</v>
      </c>
      <c r="D268" t="s">
        <v>164</v>
      </c>
      <c r="E268" t="s">
        <v>83</v>
      </c>
      <c r="F268" s="42">
        <v>45775</v>
      </c>
      <c r="G268" s="34">
        <f t="shared" si="22"/>
        <v>45895</v>
      </c>
      <c r="H268" t="s">
        <v>169</v>
      </c>
      <c r="I268" s="34">
        <f t="shared" si="23"/>
        <v>45895</v>
      </c>
      <c r="J268" t="s">
        <v>161</v>
      </c>
      <c r="K268" t="s">
        <v>853</v>
      </c>
      <c r="L268" t="s">
        <v>163</v>
      </c>
      <c r="M268" s="39" t="s">
        <v>445</v>
      </c>
      <c r="N268" t="s">
        <v>161</v>
      </c>
      <c r="Q268" s="39" t="s">
        <v>761</v>
      </c>
      <c r="U268" t="s">
        <v>854</v>
      </c>
      <c r="W268" t="s">
        <v>855</v>
      </c>
      <c r="X268">
        <v>2</v>
      </c>
      <c r="AA268" s="48">
        <v>307.5</v>
      </c>
      <c r="AC268" s="48">
        <v>307.5</v>
      </c>
      <c r="AF268" s="34">
        <f t="shared" si="24"/>
        <v>46104</v>
      </c>
      <c r="AG268" s="34">
        <f t="shared" si="25"/>
        <v>47929</v>
      </c>
      <c r="AH268" s="44" t="s">
        <v>857</v>
      </c>
      <c r="AK268">
        <v>16</v>
      </c>
      <c r="AL268">
        <v>112</v>
      </c>
      <c r="AM268">
        <v>10</v>
      </c>
      <c r="AN268" s="48">
        <v>307.5</v>
      </c>
    </row>
    <row r="269" spans="2:40">
      <c r="B269" s="39" t="s">
        <v>446</v>
      </c>
      <c r="C269" s="44" t="s">
        <v>81</v>
      </c>
      <c r="D269" t="s">
        <v>164</v>
      </c>
      <c r="E269" t="s">
        <v>83</v>
      </c>
      <c r="F269" s="42">
        <v>45775</v>
      </c>
      <c r="G269" s="34">
        <f t="shared" si="22"/>
        <v>45895</v>
      </c>
      <c r="H269" t="s">
        <v>169</v>
      </c>
      <c r="I269" s="34">
        <f t="shared" si="23"/>
        <v>45895</v>
      </c>
      <c r="J269" t="s">
        <v>161</v>
      </c>
      <c r="K269" t="s">
        <v>853</v>
      </c>
      <c r="L269" t="s">
        <v>163</v>
      </c>
      <c r="M269" s="39" t="s">
        <v>446</v>
      </c>
      <c r="N269" t="s">
        <v>161</v>
      </c>
      <c r="Q269" s="39" t="s">
        <v>761</v>
      </c>
      <c r="U269" t="s">
        <v>854</v>
      </c>
      <c r="W269" t="s">
        <v>855</v>
      </c>
      <c r="X269">
        <v>2</v>
      </c>
      <c r="AA269" s="48">
        <v>307.5</v>
      </c>
      <c r="AC269" s="48">
        <v>307.5</v>
      </c>
      <c r="AF269" s="34">
        <f t="shared" si="24"/>
        <v>46104</v>
      </c>
      <c r="AG269" s="34">
        <f t="shared" si="25"/>
        <v>47929</v>
      </c>
      <c r="AH269" s="44" t="s">
        <v>857</v>
      </c>
      <c r="AK269">
        <v>16</v>
      </c>
      <c r="AL269">
        <v>112</v>
      </c>
      <c r="AM269">
        <v>10</v>
      </c>
      <c r="AN269" s="48">
        <v>307.5</v>
      </c>
    </row>
    <row r="270" spans="2:40">
      <c r="B270" s="39" t="s">
        <v>447</v>
      </c>
      <c r="C270" s="44" t="s">
        <v>81</v>
      </c>
      <c r="D270" t="s">
        <v>164</v>
      </c>
      <c r="E270" t="s">
        <v>83</v>
      </c>
      <c r="F270" s="42">
        <v>45775</v>
      </c>
      <c r="G270" s="34">
        <f t="shared" si="22"/>
        <v>45895</v>
      </c>
      <c r="H270" t="s">
        <v>169</v>
      </c>
      <c r="I270" s="34">
        <f t="shared" si="23"/>
        <v>45895</v>
      </c>
      <c r="J270" t="s">
        <v>161</v>
      </c>
      <c r="K270" t="s">
        <v>853</v>
      </c>
      <c r="L270" t="s">
        <v>163</v>
      </c>
      <c r="M270" s="39" t="s">
        <v>447</v>
      </c>
      <c r="N270" t="s">
        <v>161</v>
      </c>
      <c r="Q270" s="39" t="s">
        <v>761</v>
      </c>
      <c r="U270" t="s">
        <v>854</v>
      </c>
      <c r="W270" t="s">
        <v>855</v>
      </c>
      <c r="X270">
        <v>2</v>
      </c>
      <c r="AA270" s="48">
        <v>307.5</v>
      </c>
      <c r="AC270" s="48">
        <v>307.5</v>
      </c>
      <c r="AF270" s="34">
        <f t="shared" si="24"/>
        <v>46104</v>
      </c>
      <c r="AG270" s="34">
        <f t="shared" si="25"/>
        <v>47929</v>
      </c>
      <c r="AH270" s="44" t="s">
        <v>857</v>
      </c>
      <c r="AK270">
        <v>16</v>
      </c>
      <c r="AL270">
        <v>112</v>
      </c>
      <c r="AM270">
        <v>10</v>
      </c>
      <c r="AN270" s="48">
        <v>307.5</v>
      </c>
    </row>
    <row r="271" spans="2:40">
      <c r="B271" s="39" t="s">
        <v>448</v>
      </c>
      <c r="C271" s="44" t="s">
        <v>81</v>
      </c>
      <c r="D271" t="s">
        <v>164</v>
      </c>
      <c r="E271" t="s">
        <v>83</v>
      </c>
      <c r="F271" s="42">
        <v>45772</v>
      </c>
      <c r="G271" s="34">
        <f t="shared" si="22"/>
        <v>45892</v>
      </c>
      <c r="H271" t="s">
        <v>169</v>
      </c>
      <c r="I271" s="34">
        <f t="shared" si="23"/>
        <v>45892</v>
      </c>
      <c r="J271" t="s">
        <v>161</v>
      </c>
      <c r="K271" t="s">
        <v>853</v>
      </c>
      <c r="L271" t="s">
        <v>163</v>
      </c>
      <c r="M271" s="39" t="s">
        <v>448</v>
      </c>
      <c r="N271" t="s">
        <v>161</v>
      </c>
      <c r="Q271" s="39" t="s">
        <v>762</v>
      </c>
      <c r="U271" t="s">
        <v>854</v>
      </c>
      <c r="W271" t="s">
        <v>855</v>
      </c>
      <c r="X271">
        <v>2</v>
      </c>
      <c r="AA271" s="48">
        <v>307.5</v>
      </c>
      <c r="AC271" s="48">
        <v>307.5</v>
      </c>
      <c r="AF271" s="34">
        <f t="shared" si="24"/>
        <v>46101</v>
      </c>
      <c r="AG271" s="34">
        <f t="shared" si="25"/>
        <v>47926</v>
      </c>
      <c r="AH271" s="44" t="s">
        <v>857</v>
      </c>
      <c r="AK271">
        <v>16</v>
      </c>
      <c r="AL271">
        <v>112</v>
      </c>
      <c r="AM271">
        <v>10</v>
      </c>
      <c r="AN271" s="48">
        <v>307.5</v>
      </c>
    </row>
    <row r="272" spans="2:40">
      <c r="B272" s="39" t="s">
        <v>449</v>
      </c>
      <c r="C272" s="44" t="s">
        <v>81</v>
      </c>
      <c r="D272" t="s">
        <v>164</v>
      </c>
      <c r="E272" t="s">
        <v>83</v>
      </c>
      <c r="F272" s="42">
        <v>45772</v>
      </c>
      <c r="G272" s="34">
        <f t="shared" si="22"/>
        <v>45892</v>
      </c>
      <c r="H272" t="s">
        <v>169</v>
      </c>
      <c r="I272" s="34">
        <f t="shared" si="23"/>
        <v>45892</v>
      </c>
      <c r="J272" t="s">
        <v>161</v>
      </c>
      <c r="K272" t="s">
        <v>853</v>
      </c>
      <c r="L272" t="s">
        <v>163</v>
      </c>
      <c r="M272" s="39" t="s">
        <v>449</v>
      </c>
      <c r="N272" t="s">
        <v>161</v>
      </c>
      <c r="Q272" s="39" t="s">
        <v>762</v>
      </c>
      <c r="U272" t="s">
        <v>854</v>
      </c>
      <c r="W272" t="s">
        <v>855</v>
      </c>
      <c r="X272">
        <v>2</v>
      </c>
      <c r="AA272" s="48">
        <v>307.5</v>
      </c>
      <c r="AC272" s="48">
        <v>307.5</v>
      </c>
      <c r="AF272" s="34">
        <f t="shared" si="24"/>
        <v>46101</v>
      </c>
      <c r="AG272" s="34">
        <f t="shared" si="25"/>
        <v>47926</v>
      </c>
      <c r="AH272" s="44" t="s">
        <v>856</v>
      </c>
      <c r="AK272">
        <v>16</v>
      </c>
      <c r="AL272">
        <v>112</v>
      </c>
      <c r="AM272">
        <v>10</v>
      </c>
      <c r="AN272" s="48">
        <v>307.5</v>
      </c>
    </row>
    <row r="273" spans="2:40">
      <c r="B273" s="39" t="s">
        <v>450</v>
      </c>
      <c r="C273" s="44" t="s">
        <v>81</v>
      </c>
      <c r="D273" t="s">
        <v>164</v>
      </c>
      <c r="E273" t="s">
        <v>83</v>
      </c>
      <c r="F273" s="42">
        <v>45772</v>
      </c>
      <c r="G273" s="34">
        <f t="shared" si="22"/>
        <v>45892</v>
      </c>
      <c r="H273" t="s">
        <v>169</v>
      </c>
      <c r="I273" s="34">
        <f t="shared" si="23"/>
        <v>45892</v>
      </c>
      <c r="J273" t="s">
        <v>161</v>
      </c>
      <c r="K273" t="s">
        <v>853</v>
      </c>
      <c r="L273" t="s">
        <v>163</v>
      </c>
      <c r="M273" s="39" t="s">
        <v>450</v>
      </c>
      <c r="N273" t="s">
        <v>161</v>
      </c>
      <c r="Q273" s="39" t="s">
        <v>762</v>
      </c>
      <c r="U273" t="s">
        <v>854</v>
      </c>
      <c r="W273" t="s">
        <v>855</v>
      </c>
      <c r="X273">
        <v>2</v>
      </c>
      <c r="AA273" s="48">
        <v>307.5</v>
      </c>
      <c r="AC273" s="48">
        <v>307.5</v>
      </c>
      <c r="AF273" s="34">
        <f t="shared" si="24"/>
        <v>46101</v>
      </c>
      <c r="AG273" s="34">
        <f t="shared" si="25"/>
        <v>47926</v>
      </c>
      <c r="AH273" s="44" t="s">
        <v>857</v>
      </c>
      <c r="AK273">
        <v>16</v>
      </c>
      <c r="AL273">
        <v>112</v>
      </c>
      <c r="AM273">
        <v>10</v>
      </c>
      <c r="AN273" s="48">
        <v>307.5</v>
      </c>
    </row>
    <row r="274" spans="2:40">
      <c r="B274" s="39" t="s">
        <v>451</v>
      </c>
      <c r="C274" s="44" t="s">
        <v>81</v>
      </c>
      <c r="D274" t="s">
        <v>164</v>
      </c>
      <c r="E274" t="s">
        <v>83</v>
      </c>
      <c r="F274" s="42">
        <v>45763</v>
      </c>
      <c r="G274" s="34">
        <f t="shared" si="22"/>
        <v>45883</v>
      </c>
      <c r="H274" t="s">
        <v>169</v>
      </c>
      <c r="I274" s="34">
        <f t="shared" si="23"/>
        <v>45883</v>
      </c>
      <c r="J274" t="s">
        <v>161</v>
      </c>
      <c r="K274" t="s">
        <v>853</v>
      </c>
      <c r="L274" t="s">
        <v>163</v>
      </c>
      <c r="M274" s="39" t="s">
        <v>451</v>
      </c>
      <c r="N274" t="s">
        <v>161</v>
      </c>
      <c r="Q274" s="39" t="s">
        <v>763</v>
      </c>
      <c r="U274" t="s">
        <v>854</v>
      </c>
      <c r="W274" t="s">
        <v>855</v>
      </c>
      <c r="X274">
        <v>3</v>
      </c>
      <c r="AA274" s="48">
        <v>307.5</v>
      </c>
      <c r="AC274" s="48">
        <v>307.5</v>
      </c>
      <c r="AF274" s="34">
        <f t="shared" si="24"/>
        <v>46092</v>
      </c>
      <c r="AG274" s="34">
        <f t="shared" si="25"/>
        <v>47917</v>
      </c>
      <c r="AH274" s="44" t="s">
        <v>856</v>
      </c>
      <c r="AK274">
        <v>16</v>
      </c>
      <c r="AL274">
        <v>112</v>
      </c>
      <c r="AM274">
        <v>10</v>
      </c>
      <c r="AN274" s="48">
        <v>307.5</v>
      </c>
    </row>
    <row r="275" spans="2:40">
      <c r="B275" s="39" t="s">
        <v>452</v>
      </c>
      <c r="C275" s="44" t="s">
        <v>81</v>
      </c>
      <c r="D275" t="s">
        <v>164</v>
      </c>
      <c r="E275" t="s">
        <v>83</v>
      </c>
      <c r="F275" s="42">
        <v>45763</v>
      </c>
      <c r="G275" s="34">
        <f t="shared" si="22"/>
        <v>45883</v>
      </c>
      <c r="H275" t="s">
        <v>169</v>
      </c>
      <c r="I275" s="34">
        <f t="shared" si="23"/>
        <v>45883</v>
      </c>
      <c r="J275" t="s">
        <v>161</v>
      </c>
      <c r="K275" t="s">
        <v>853</v>
      </c>
      <c r="L275" t="s">
        <v>163</v>
      </c>
      <c r="M275" s="39" t="s">
        <v>452</v>
      </c>
      <c r="N275" t="s">
        <v>161</v>
      </c>
      <c r="Q275" s="39" t="s">
        <v>763</v>
      </c>
      <c r="U275" t="s">
        <v>854</v>
      </c>
      <c r="W275" t="s">
        <v>855</v>
      </c>
      <c r="X275">
        <v>3</v>
      </c>
      <c r="AA275" s="48">
        <v>307.5</v>
      </c>
      <c r="AC275" s="48">
        <v>307.5</v>
      </c>
      <c r="AF275" s="34">
        <f t="shared" si="24"/>
        <v>46092</v>
      </c>
      <c r="AG275" s="34">
        <f t="shared" si="25"/>
        <v>47917</v>
      </c>
      <c r="AH275" s="44" t="s">
        <v>856</v>
      </c>
      <c r="AK275">
        <v>16</v>
      </c>
      <c r="AL275">
        <v>112</v>
      </c>
      <c r="AM275">
        <v>10</v>
      </c>
      <c r="AN275" s="48">
        <v>307.5</v>
      </c>
    </row>
    <row r="276" spans="2:40">
      <c r="B276" s="39" t="s">
        <v>453</v>
      </c>
      <c r="C276" s="44" t="s">
        <v>81</v>
      </c>
      <c r="D276" t="s">
        <v>164</v>
      </c>
      <c r="E276" t="s">
        <v>83</v>
      </c>
      <c r="F276" s="42">
        <v>45763</v>
      </c>
      <c r="G276" s="34">
        <f t="shared" si="22"/>
        <v>45883</v>
      </c>
      <c r="H276" t="s">
        <v>169</v>
      </c>
      <c r="I276" s="34">
        <f t="shared" si="23"/>
        <v>45883</v>
      </c>
      <c r="J276" t="s">
        <v>161</v>
      </c>
      <c r="K276" t="s">
        <v>853</v>
      </c>
      <c r="L276" t="s">
        <v>163</v>
      </c>
      <c r="M276" s="39" t="s">
        <v>453</v>
      </c>
      <c r="N276" t="s">
        <v>161</v>
      </c>
      <c r="Q276" s="39" t="s">
        <v>763</v>
      </c>
      <c r="U276" t="s">
        <v>854</v>
      </c>
      <c r="W276" t="s">
        <v>855</v>
      </c>
      <c r="X276">
        <v>3</v>
      </c>
      <c r="AA276" s="48">
        <v>307.5</v>
      </c>
      <c r="AC276" s="48">
        <v>307.5</v>
      </c>
      <c r="AF276" s="34">
        <f t="shared" si="24"/>
        <v>46092</v>
      </c>
      <c r="AG276" s="34">
        <f t="shared" si="25"/>
        <v>47917</v>
      </c>
      <c r="AH276" s="44" t="s">
        <v>856</v>
      </c>
      <c r="AK276">
        <v>16</v>
      </c>
      <c r="AL276">
        <v>112</v>
      </c>
      <c r="AM276">
        <v>10</v>
      </c>
      <c r="AN276" s="48">
        <v>307.5</v>
      </c>
    </row>
    <row r="277" spans="2:40">
      <c r="B277" s="39" t="s">
        <v>454</v>
      </c>
      <c r="C277" s="44" t="s">
        <v>81</v>
      </c>
      <c r="D277" t="s">
        <v>164</v>
      </c>
      <c r="E277" t="s">
        <v>83</v>
      </c>
      <c r="F277" s="42">
        <v>45757</v>
      </c>
      <c r="G277" s="34">
        <f t="shared" si="22"/>
        <v>45877</v>
      </c>
      <c r="H277" t="s">
        <v>169</v>
      </c>
      <c r="I277" s="34">
        <f t="shared" si="23"/>
        <v>45877</v>
      </c>
      <c r="J277" t="s">
        <v>161</v>
      </c>
      <c r="K277" t="s">
        <v>853</v>
      </c>
      <c r="L277" t="s">
        <v>163</v>
      </c>
      <c r="M277" s="39" t="s">
        <v>454</v>
      </c>
      <c r="N277" t="s">
        <v>161</v>
      </c>
      <c r="Q277" s="39" t="s">
        <v>743</v>
      </c>
      <c r="U277" t="s">
        <v>854</v>
      </c>
      <c r="W277" t="s">
        <v>855</v>
      </c>
      <c r="X277">
        <v>3</v>
      </c>
      <c r="AA277" s="48">
        <v>307.5</v>
      </c>
      <c r="AC277" s="48">
        <v>307.5</v>
      </c>
      <c r="AF277" s="34">
        <f t="shared" si="24"/>
        <v>46086</v>
      </c>
      <c r="AG277" s="34">
        <f t="shared" si="25"/>
        <v>47911</v>
      </c>
      <c r="AH277" s="44" t="s">
        <v>857</v>
      </c>
      <c r="AK277">
        <v>16</v>
      </c>
      <c r="AL277">
        <v>112</v>
      </c>
      <c r="AM277">
        <v>10</v>
      </c>
      <c r="AN277" s="48">
        <v>307.5</v>
      </c>
    </row>
    <row r="278" spans="2:40">
      <c r="B278" s="39" t="s">
        <v>455</v>
      </c>
      <c r="C278" s="44" t="s">
        <v>81</v>
      </c>
      <c r="D278" t="s">
        <v>164</v>
      </c>
      <c r="E278" t="s">
        <v>83</v>
      </c>
      <c r="F278" s="42">
        <v>45757</v>
      </c>
      <c r="G278" s="34">
        <f t="shared" si="22"/>
        <v>45877</v>
      </c>
      <c r="H278" t="s">
        <v>169</v>
      </c>
      <c r="I278" s="34">
        <f t="shared" si="23"/>
        <v>45877</v>
      </c>
      <c r="J278" t="s">
        <v>161</v>
      </c>
      <c r="K278" t="s">
        <v>853</v>
      </c>
      <c r="L278" t="s">
        <v>163</v>
      </c>
      <c r="M278" s="39" t="s">
        <v>455</v>
      </c>
      <c r="N278" t="s">
        <v>161</v>
      </c>
      <c r="Q278" s="39" t="s">
        <v>743</v>
      </c>
      <c r="U278" t="s">
        <v>854</v>
      </c>
      <c r="W278" t="s">
        <v>855</v>
      </c>
      <c r="X278">
        <v>3</v>
      </c>
      <c r="AA278" s="48">
        <v>307.5</v>
      </c>
      <c r="AC278" s="48">
        <v>307.5</v>
      </c>
      <c r="AF278" s="34">
        <f t="shared" si="24"/>
        <v>46086</v>
      </c>
      <c r="AG278" s="34">
        <f t="shared" si="25"/>
        <v>47911</v>
      </c>
      <c r="AH278" s="44" t="s">
        <v>856</v>
      </c>
      <c r="AK278">
        <v>16</v>
      </c>
      <c r="AL278">
        <v>112</v>
      </c>
      <c r="AM278">
        <v>10</v>
      </c>
      <c r="AN278" s="48">
        <v>307.5</v>
      </c>
    </row>
    <row r="279" spans="2:40">
      <c r="B279" s="39" t="s">
        <v>456</v>
      </c>
      <c r="C279" s="44" t="s">
        <v>81</v>
      </c>
      <c r="D279" t="s">
        <v>164</v>
      </c>
      <c r="E279" t="s">
        <v>83</v>
      </c>
      <c r="F279" s="42">
        <v>45757</v>
      </c>
      <c r="G279" s="34">
        <f t="shared" si="22"/>
        <v>45877</v>
      </c>
      <c r="H279" t="s">
        <v>169</v>
      </c>
      <c r="I279" s="34">
        <f t="shared" si="23"/>
        <v>45877</v>
      </c>
      <c r="J279" t="s">
        <v>161</v>
      </c>
      <c r="K279" t="s">
        <v>853</v>
      </c>
      <c r="L279" t="s">
        <v>163</v>
      </c>
      <c r="M279" s="39" t="s">
        <v>456</v>
      </c>
      <c r="N279" t="s">
        <v>161</v>
      </c>
      <c r="Q279" s="39" t="s">
        <v>743</v>
      </c>
      <c r="U279" t="s">
        <v>854</v>
      </c>
      <c r="W279" t="s">
        <v>855</v>
      </c>
      <c r="X279">
        <v>3</v>
      </c>
      <c r="AA279" s="48">
        <v>307.5</v>
      </c>
      <c r="AC279" s="48">
        <v>307.5</v>
      </c>
      <c r="AF279" s="34">
        <f t="shared" si="24"/>
        <v>46086</v>
      </c>
      <c r="AG279" s="34">
        <f t="shared" si="25"/>
        <v>47911</v>
      </c>
      <c r="AH279" s="44" t="s">
        <v>856</v>
      </c>
      <c r="AK279">
        <v>16</v>
      </c>
      <c r="AL279">
        <v>112</v>
      </c>
      <c r="AM279">
        <v>10</v>
      </c>
      <c r="AN279" s="48">
        <v>307.5</v>
      </c>
    </row>
    <row r="280" spans="2:40">
      <c r="B280" s="39" t="s">
        <v>457</v>
      </c>
      <c r="C280" s="44" t="s">
        <v>81</v>
      </c>
      <c r="D280" t="s">
        <v>164</v>
      </c>
      <c r="E280" t="s">
        <v>83</v>
      </c>
      <c r="F280" s="42">
        <v>45757</v>
      </c>
      <c r="G280" s="34">
        <f t="shared" si="22"/>
        <v>45877</v>
      </c>
      <c r="H280" t="s">
        <v>169</v>
      </c>
      <c r="I280" s="34">
        <f t="shared" si="23"/>
        <v>45877</v>
      </c>
      <c r="J280" t="s">
        <v>161</v>
      </c>
      <c r="K280" t="s">
        <v>853</v>
      </c>
      <c r="L280" t="s">
        <v>163</v>
      </c>
      <c r="M280" s="39" t="s">
        <v>457</v>
      </c>
      <c r="N280" t="s">
        <v>161</v>
      </c>
      <c r="Q280" s="39" t="s">
        <v>743</v>
      </c>
      <c r="U280" t="s">
        <v>854</v>
      </c>
      <c r="W280" t="s">
        <v>855</v>
      </c>
      <c r="X280">
        <v>3</v>
      </c>
      <c r="AA280" s="48">
        <v>307.5</v>
      </c>
      <c r="AC280" s="48">
        <v>307.5</v>
      </c>
      <c r="AF280" s="34">
        <f t="shared" si="24"/>
        <v>46086</v>
      </c>
      <c r="AG280" s="34">
        <f t="shared" si="25"/>
        <v>47911</v>
      </c>
      <c r="AH280" s="44" t="s">
        <v>856</v>
      </c>
      <c r="AK280">
        <v>16</v>
      </c>
      <c r="AL280">
        <v>112</v>
      </c>
      <c r="AM280">
        <v>10</v>
      </c>
      <c r="AN280" s="48">
        <v>307.5</v>
      </c>
    </row>
    <row r="281" spans="2:40">
      <c r="B281" s="39" t="s">
        <v>458</v>
      </c>
      <c r="C281" s="44" t="s">
        <v>81</v>
      </c>
      <c r="D281" t="s">
        <v>164</v>
      </c>
      <c r="E281" t="s">
        <v>83</v>
      </c>
      <c r="F281" s="42">
        <v>45748</v>
      </c>
      <c r="G281" s="34">
        <f t="shared" si="22"/>
        <v>45868</v>
      </c>
      <c r="H281" t="s">
        <v>169</v>
      </c>
      <c r="I281" s="34">
        <f t="shared" si="23"/>
        <v>45868</v>
      </c>
      <c r="J281" t="s">
        <v>161</v>
      </c>
      <c r="K281" t="s">
        <v>853</v>
      </c>
      <c r="L281" t="s">
        <v>163</v>
      </c>
      <c r="M281" s="39" t="s">
        <v>458</v>
      </c>
      <c r="N281" t="s">
        <v>161</v>
      </c>
      <c r="Q281" s="39" t="s">
        <v>764</v>
      </c>
      <c r="U281" t="s">
        <v>854</v>
      </c>
      <c r="W281" t="s">
        <v>855</v>
      </c>
      <c r="X281">
        <v>3</v>
      </c>
      <c r="AA281" s="48">
        <v>307.5</v>
      </c>
      <c r="AC281" s="48">
        <v>307.5</v>
      </c>
      <c r="AF281" s="34">
        <f t="shared" si="24"/>
        <v>46077</v>
      </c>
      <c r="AG281" s="34">
        <f t="shared" si="25"/>
        <v>47902</v>
      </c>
      <c r="AH281" s="44" t="s">
        <v>857</v>
      </c>
      <c r="AK281">
        <v>16</v>
      </c>
      <c r="AL281">
        <v>112</v>
      </c>
      <c r="AM281">
        <v>10</v>
      </c>
      <c r="AN281" s="48">
        <v>307.5</v>
      </c>
    </row>
    <row r="282" spans="2:40">
      <c r="B282" s="39" t="s">
        <v>459</v>
      </c>
      <c r="C282" s="44" t="s">
        <v>81</v>
      </c>
      <c r="D282" t="s">
        <v>164</v>
      </c>
      <c r="E282" t="s">
        <v>83</v>
      </c>
      <c r="F282" s="42">
        <v>45748</v>
      </c>
      <c r="G282" s="34">
        <f t="shared" si="22"/>
        <v>45868</v>
      </c>
      <c r="H282" t="s">
        <v>169</v>
      </c>
      <c r="I282" s="34">
        <f t="shared" si="23"/>
        <v>45868</v>
      </c>
      <c r="J282" t="s">
        <v>161</v>
      </c>
      <c r="K282" t="s">
        <v>853</v>
      </c>
      <c r="L282" t="s">
        <v>163</v>
      </c>
      <c r="M282" s="39" t="s">
        <v>459</v>
      </c>
      <c r="N282" t="s">
        <v>161</v>
      </c>
      <c r="Q282" s="39" t="s">
        <v>764</v>
      </c>
      <c r="U282" t="s">
        <v>854</v>
      </c>
      <c r="W282" t="s">
        <v>855</v>
      </c>
      <c r="X282">
        <v>3</v>
      </c>
      <c r="AA282" s="48">
        <v>307.5</v>
      </c>
      <c r="AC282" s="48">
        <v>307.5</v>
      </c>
      <c r="AF282" s="34">
        <f t="shared" si="24"/>
        <v>46077</v>
      </c>
      <c r="AG282" s="34">
        <f t="shared" si="25"/>
        <v>47902</v>
      </c>
      <c r="AH282" s="44" t="s">
        <v>857</v>
      </c>
      <c r="AK282">
        <v>16</v>
      </c>
      <c r="AL282">
        <v>112</v>
      </c>
      <c r="AM282">
        <v>10</v>
      </c>
      <c r="AN282" s="48">
        <v>307.5</v>
      </c>
    </row>
    <row r="283" spans="2:40">
      <c r="B283" s="39" t="s">
        <v>460</v>
      </c>
      <c r="C283" s="44" t="s">
        <v>81</v>
      </c>
      <c r="D283" t="s">
        <v>164</v>
      </c>
      <c r="E283" t="s">
        <v>83</v>
      </c>
      <c r="F283" s="42">
        <v>45748</v>
      </c>
      <c r="G283" s="34">
        <f t="shared" si="22"/>
        <v>45868</v>
      </c>
      <c r="H283" t="s">
        <v>169</v>
      </c>
      <c r="I283" s="34">
        <f t="shared" si="23"/>
        <v>45868</v>
      </c>
      <c r="J283" t="s">
        <v>161</v>
      </c>
      <c r="K283" t="s">
        <v>853</v>
      </c>
      <c r="L283" t="s">
        <v>163</v>
      </c>
      <c r="M283" s="39" t="s">
        <v>460</v>
      </c>
      <c r="N283" t="s">
        <v>161</v>
      </c>
      <c r="Q283" s="39" t="s">
        <v>764</v>
      </c>
      <c r="U283" t="s">
        <v>854</v>
      </c>
      <c r="W283" t="s">
        <v>855</v>
      </c>
      <c r="X283">
        <v>3</v>
      </c>
      <c r="AA283" s="48">
        <v>307.5</v>
      </c>
      <c r="AC283" s="48">
        <v>307.5</v>
      </c>
      <c r="AF283" s="34">
        <f t="shared" si="24"/>
        <v>46077</v>
      </c>
      <c r="AG283" s="34">
        <f t="shared" si="25"/>
        <v>47902</v>
      </c>
      <c r="AH283" s="44" t="s">
        <v>857</v>
      </c>
      <c r="AK283">
        <v>16</v>
      </c>
      <c r="AL283">
        <v>112</v>
      </c>
      <c r="AM283">
        <v>10</v>
      </c>
      <c r="AN283" s="48">
        <v>307.5</v>
      </c>
    </row>
    <row r="284" spans="2:40">
      <c r="B284" s="39" t="s">
        <v>461</v>
      </c>
      <c r="C284" s="44" t="s">
        <v>81</v>
      </c>
      <c r="D284" t="s">
        <v>164</v>
      </c>
      <c r="E284" t="s">
        <v>83</v>
      </c>
      <c r="F284" s="42">
        <v>45744</v>
      </c>
      <c r="G284" s="34">
        <f t="shared" si="22"/>
        <v>45864</v>
      </c>
      <c r="H284" t="s">
        <v>169</v>
      </c>
      <c r="I284" s="34">
        <f t="shared" si="23"/>
        <v>45864</v>
      </c>
      <c r="J284" t="s">
        <v>161</v>
      </c>
      <c r="K284" t="s">
        <v>853</v>
      </c>
      <c r="L284" t="s">
        <v>163</v>
      </c>
      <c r="M284" s="39" t="s">
        <v>461</v>
      </c>
      <c r="N284" t="s">
        <v>161</v>
      </c>
      <c r="Q284" s="39" t="s">
        <v>765</v>
      </c>
      <c r="U284" t="s">
        <v>854</v>
      </c>
      <c r="W284" t="s">
        <v>855</v>
      </c>
      <c r="X284">
        <v>3</v>
      </c>
      <c r="AA284" s="48">
        <v>307.5</v>
      </c>
      <c r="AC284" s="48">
        <v>307.5</v>
      </c>
      <c r="AF284" s="34">
        <f t="shared" si="24"/>
        <v>46073</v>
      </c>
      <c r="AG284" s="34">
        <f t="shared" si="25"/>
        <v>47898</v>
      </c>
      <c r="AH284" s="44" t="s">
        <v>857</v>
      </c>
      <c r="AK284">
        <v>16</v>
      </c>
      <c r="AL284">
        <v>112</v>
      </c>
      <c r="AM284">
        <v>10</v>
      </c>
      <c r="AN284" s="48">
        <v>307.5</v>
      </c>
    </row>
    <row r="285" spans="2:40">
      <c r="B285" s="39" t="s">
        <v>462</v>
      </c>
      <c r="C285" s="44" t="s">
        <v>81</v>
      </c>
      <c r="D285" t="s">
        <v>164</v>
      </c>
      <c r="E285" t="s">
        <v>83</v>
      </c>
      <c r="F285" s="42">
        <v>45744</v>
      </c>
      <c r="G285" s="34">
        <f t="shared" si="22"/>
        <v>45864</v>
      </c>
      <c r="H285" t="s">
        <v>169</v>
      </c>
      <c r="I285" s="34">
        <f t="shared" si="23"/>
        <v>45864</v>
      </c>
      <c r="J285" t="s">
        <v>161</v>
      </c>
      <c r="K285" t="s">
        <v>853</v>
      </c>
      <c r="L285" t="s">
        <v>163</v>
      </c>
      <c r="M285" s="39" t="s">
        <v>462</v>
      </c>
      <c r="N285" t="s">
        <v>161</v>
      </c>
      <c r="Q285" s="39" t="s">
        <v>765</v>
      </c>
      <c r="U285" t="s">
        <v>854</v>
      </c>
      <c r="W285" t="s">
        <v>855</v>
      </c>
      <c r="X285">
        <v>3</v>
      </c>
      <c r="AA285" s="48">
        <v>307.5</v>
      </c>
      <c r="AC285" s="48">
        <v>307.5</v>
      </c>
      <c r="AF285" s="34">
        <f t="shared" si="24"/>
        <v>46073</v>
      </c>
      <c r="AG285" s="34">
        <f t="shared" si="25"/>
        <v>47898</v>
      </c>
      <c r="AH285" s="44" t="s">
        <v>857</v>
      </c>
      <c r="AK285">
        <v>16</v>
      </c>
      <c r="AL285">
        <v>112</v>
      </c>
      <c r="AM285">
        <v>10</v>
      </c>
      <c r="AN285" s="48">
        <v>307.5</v>
      </c>
    </row>
    <row r="286" spans="2:40">
      <c r="B286" s="39" t="s">
        <v>463</v>
      </c>
      <c r="C286" s="44" t="s">
        <v>81</v>
      </c>
      <c r="D286" t="s">
        <v>164</v>
      </c>
      <c r="E286" t="s">
        <v>83</v>
      </c>
      <c r="F286" s="42">
        <v>45744</v>
      </c>
      <c r="G286" s="34">
        <f t="shared" si="22"/>
        <v>45864</v>
      </c>
      <c r="H286" t="s">
        <v>169</v>
      </c>
      <c r="I286" s="34">
        <f t="shared" si="23"/>
        <v>45864</v>
      </c>
      <c r="J286" t="s">
        <v>161</v>
      </c>
      <c r="K286" t="s">
        <v>853</v>
      </c>
      <c r="L286" t="s">
        <v>163</v>
      </c>
      <c r="M286" s="39" t="s">
        <v>463</v>
      </c>
      <c r="N286" t="s">
        <v>161</v>
      </c>
      <c r="Q286" s="39" t="s">
        <v>765</v>
      </c>
      <c r="U286" t="s">
        <v>854</v>
      </c>
      <c r="W286" t="s">
        <v>855</v>
      </c>
      <c r="X286">
        <v>3</v>
      </c>
      <c r="AA286" s="48">
        <v>307.5</v>
      </c>
      <c r="AC286" s="48">
        <v>307.5</v>
      </c>
      <c r="AF286" s="34">
        <f t="shared" si="24"/>
        <v>46073</v>
      </c>
      <c r="AG286" s="34">
        <f t="shared" si="25"/>
        <v>47898</v>
      </c>
      <c r="AH286" s="44" t="s">
        <v>857</v>
      </c>
      <c r="AK286">
        <v>16</v>
      </c>
      <c r="AL286">
        <v>112</v>
      </c>
      <c r="AM286">
        <v>10</v>
      </c>
      <c r="AN286" s="48">
        <v>307.5</v>
      </c>
    </row>
    <row r="287" spans="2:40">
      <c r="B287" s="39" t="s">
        <v>464</v>
      </c>
      <c r="C287" s="44" t="s">
        <v>81</v>
      </c>
      <c r="D287" t="s">
        <v>164</v>
      </c>
      <c r="E287" t="s">
        <v>83</v>
      </c>
      <c r="F287" s="42">
        <v>45744</v>
      </c>
      <c r="G287" s="34">
        <f t="shared" si="22"/>
        <v>45864</v>
      </c>
      <c r="H287" t="s">
        <v>169</v>
      </c>
      <c r="I287" s="34">
        <f t="shared" si="23"/>
        <v>45864</v>
      </c>
      <c r="J287" t="s">
        <v>161</v>
      </c>
      <c r="K287" t="s">
        <v>853</v>
      </c>
      <c r="L287" t="s">
        <v>163</v>
      </c>
      <c r="M287" s="39" t="s">
        <v>464</v>
      </c>
      <c r="N287" t="s">
        <v>161</v>
      </c>
      <c r="Q287" s="39" t="s">
        <v>765</v>
      </c>
      <c r="U287" t="s">
        <v>854</v>
      </c>
      <c r="W287" t="s">
        <v>855</v>
      </c>
      <c r="X287">
        <v>3</v>
      </c>
      <c r="AA287" s="48">
        <v>307.5</v>
      </c>
      <c r="AC287" s="48">
        <v>307.5</v>
      </c>
      <c r="AF287" s="34">
        <f t="shared" si="24"/>
        <v>46073</v>
      </c>
      <c r="AG287" s="34">
        <f t="shared" si="25"/>
        <v>47898</v>
      </c>
      <c r="AH287" s="44" t="s">
        <v>857</v>
      </c>
      <c r="AK287">
        <v>16</v>
      </c>
      <c r="AL287">
        <v>112</v>
      </c>
      <c r="AM287">
        <v>10</v>
      </c>
      <c r="AN287" s="48">
        <v>307.5</v>
      </c>
    </row>
    <row r="288" spans="2:40">
      <c r="B288" s="39" t="s">
        <v>465</v>
      </c>
      <c r="C288" s="44" t="s">
        <v>81</v>
      </c>
      <c r="D288" t="s">
        <v>164</v>
      </c>
      <c r="E288" t="s">
        <v>83</v>
      </c>
      <c r="F288" s="42">
        <v>45744</v>
      </c>
      <c r="G288" s="34">
        <f t="shared" si="22"/>
        <v>45864</v>
      </c>
      <c r="H288" t="s">
        <v>169</v>
      </c>
      <c r="I288" s="34">
        <f t="shared" si="23"/>
        <v>45864</v>
      </c>
      <c r="J288" t="s">
        <v>161</v>
      </c>
      <c r="K288" t="s">
        <v>853</v>
      </c>
      <c r="L288" t="s">
        <v>163</v>
      </c>
      <c r="M288" s="39" t="s">
        <v>465</v>
      </c>
      <c r="N288" t="s">
        <v>161</v>
      </c>
      <c r="Q288" s="39" t="s">
        <v>765</v>
      </c>
      <c r="U288" t="s">
        <v>854</v>
      </c>
      <c r="W288" t="s">
        <v>855</v>
      </c>
      <c r="X288">
        <v>3</v>
      </c>
      <c r="AA288" s="48">
        <v>307.5</v>
      </c>
      <c r="AC288" s="48">
        <v>307.5</v>
      </c>
      <c r="AF288" s="34">
        <f t="shared" si="24"/>
        <v>46073</v>
      </c>
      <c r="AG288" s="34">
        <f t="shared" si="25"/>
        <v>47898</v>
      </c>
      <c r="AH288" s="44" t="s">
        <v>857</v>
      </c>
      <c r="AK288">
        <v>16</v>
      </c>
      <c r="AL288">
        <v>112</v>
      </c>
      <c r="AM288">
        <v>10</v>
      </c>
      <c r="AN288" s="48">
        <v>307.5</v>
      </c>
    </row>
    <row r="289" spans="2:40">
      <c r="B289" s="39" t="s">
        <v>466</v>
      </c>
      <c r="C289" s="44" t="s">
        <v>81</v>
      </c>
      <c r="D289" t="s">
        <v>164</v>
      </c>
      <c r="E289" t="s">
        <v>83</v>
      </c>
      <c r="F289" s="42">
        <v>45736</v>
      </c>
      <c r="G289" s="34">
        <f t="shared" si="22"/>
        <v>45856</v>
      </c>
      <c r="H289" t="s">
        <v>169</v>
      </c>
      <c r="I289" s="34">
        <f t="shared" si="23"/>
        <v>45856</v>
      </c>
      <c r="J289" t="s">
        <v>161</v>
      </c>
      <c r="K289" t="s">
        <v>853</v>
      </c>
      <c r="L289" t="s">
        <v>163</v>
      </c>
      <c r="M289" s="39" t="s">
        <v>466</v>
      </c>
      <c r="N289" t="s">
        <v>161</v>
      </c>
      <c r="Q289" s="39" t="s">
        <v>744</v>
      </c>
      <c r="U289" t="s">
        <v>854</v>
      </c>
      <c r="W289" t="s">
        <v>855</v>
      </c>
      <c r="X289">
        <v>3</v>
      </c>
      <c r="AA289" s="48">
        <v>307.5</v>
      </c>
      <c r="AC289" s="48">
        <v>307.5</v>
      </c>
      <c r="AF289" s="34">
        <f t="shared" si="24"/>
        <v>46065</v>
      </c>
      <c r="AG289" s="34">
        <f t="shared" si="25"/>
        <v>47890</v>
      </c>
      <c r="AH289" s="44" t="s">
        <v>857</v>
      </c>
      <c r="AK289">
        <v>16</v>
      </c>
      <c r="AL289">
        <v>112</v>
      </c>
      <c r="AM289">
        <v>10</v>
      </c>
      <c r="AN289" s="48">
        <v>307.5</v>
      </c>
    </row>
    <row r="290" spans="2:40">
      <c r="B290" s="39" t="s">
        <v>467</v>
      </c>
      <c r="C290" s="44" t="s">
        <v>81</v>
      </c>
      <c r="D290" t="s">
        <v>164</v>
      </c>
      <c r="E290" t="s">
        <v>83</v>
      </c>
      <c r="F290" s="42">
        <v>45736</v>
      </c>
      <c r="G290" s="34">
        <f t="shared" si="22"/>
        <v>45856</v>
      </c>
      <c r="H290" t="s">
        <v>169</v>
      </c>
      <c r="I290" s="34">
        <f t="shared" si="23"/>
        <v>45856</v>
      </c>
      <c r="J290" t="s">
        <v>161</v>
      </c>
      <c r="K290" t="s">
        <v>853</v>
      </c>
      <c r="L290" t="s">
        <v>163</v>
      </c>
      <c r="M290" s="39" t="s">
        <v>467</v>
      </c>
      <c r="N290" t="s">
        <v>161</v>
      </c>
      <c r="Q290" s="39" t="s">
        <v>744</v>
      </c>
      <c r="U290" t="s">
        <v>854</v>
      </c>
      <c r="W290" t="s">
        <v>855</v>
      </c>
      <c r="X290">
        <v>3</v>
      </c>
      <c r="AA290" s="48">
        <v>307.5</v>
      </c>
      <c r="AC290" s="48">
        <v>307.5</v>
      </c>
      <c r="AF290" s="34">
        <f t="shared" si="24"/>
        <v>46065</v>
      </c>
      <c r="AG290" s="34">
        <f t="shared" si="25"/>
        <v>47890</v>
      </c>
      <c r="AH290" s="44" t="s">
        <v>857</v>
      </c>
      <c r="AK290">
        <v>16</v>
      </c>
      <c r="AL290">
        <v>112</v>
      </c>
      <c r="AM290">
        <v>10</v>
      </c>
      <c r="AN290" s="48">
        <v>307.5</v>
      </c>
    </row>
    <row r="291" spans="2:40">
      <c r="B291" s="39" t="s">
        <v>468</v>
      </c>
      <c r="C291" s="44" t="s">
        <v>81</v>
      </c>
      <c r="D291" t="s">
        <v>164</v>
      </c>
      <c r="E291" t="s">
        <v>83</v>
      </c>
      <c r="F291" s="42">
        <v>45736</v>
      </c>
      <c r="G291" s="34">
        <f t="shared" si="22"/>
        <v>45856</v>
      </c>
      <c r="H291" t="s">
        <v>169</v>
      </c>
      <c r="I291" s="34">
        <f t="shared" si="23"/>
        <v>45856</v>
      </c>
      <c r="J291" t="s">
        <v>161</v>
      </c>
      <c r="K291" t="s">
        <v>853</v>
      </c>
      <c r="L291" t="s">
        <v>163</v>
      </c>
      <c r="M291" s="39" t="s">
        <v>468</v>
      </c>
      <c r="N291" t="s">
        <v>161</v>
      </c>
      <c r="Q291" s="39" t="s">
        <v>744</v>
      </c>
      <c r="U291" t="s">
        <v>854</v>
      </c>
      <c r="W291" t="s">
        <v>855</v>
      </c>
      <c r="X291">
        <v>3</v>
      </c>
      <c r="AA291" s="48">
        <v>307.5</v>
      </c>
      <c r="AC291" s="48">
        <v>307.5</v>
      </c>
      <c r="AF291" s="34">
        <f t="shared" si="24"/>
        <v>46065</v>
      </c>
      <c r="AG291" s="34">
        <f t="shared" si="25"/>
        <v>47890</v>
      </c>
      <c r="AH291" s="44" t="s">
        <v>857</v>
      </c>
      <c r="AK291">
        <v>16</v>
      </c>
      <c r="AL291">
        <v>112</v>
      </c>
      <c r="AM291">
        <v>10</v>
      </c>
      <c r="AN291" s="48">
        <v>307.5</v>
      </c>
    </row>
    <row r="292" spans="2:40">
      <c r="B292" s="39" t="s">
        <v>469</v>
      </c>
      <c r="C292" s="44" t="s">
        <v>81</v>
      </c>
      <c r="D292" t="s">
        <v>164</v>
      </c>
      <c r="E292" t="s">
        <v>83</v>
      </c>
      <c r="F292" s="42">
        <v>45729</v>
      </c>
      <c r="G292" s="34">
        <f t="shared" si="22"/>
        <v>45849</v>
      </c>
      <c r="H292" t="s">
        <v>169</v>
      </c>
      <c r="I292" s="34">
        <f t="shared" si="23"/>
        <v>45849</v>
      </c>
      <c r="J292" t="s">
        <v>161</v>
      </c>
      <c r="K292" t="s">
        <v>853</v>
      </c>
      <c r="L292" t="s">
        <v>163</v>
      </c>
      <c r="M292" s="39" t="s">
        <v>469</v>
      </c>
      <c r="N292" t="s">
        <v>161</v>
      </c>
      <c r="Q292" s="39" t="s">
        <v>766</v>
      </c>
      <c r="U292" t="s">
        <v>854</v>
      </c>
      <c r="W292" t="s">
        <v>855</v>
      </c>
      <c r="X292">
        <v>3</v>
      </c>
      <c r="AA292" s="48">
        <v>307.5</v>
      </c>
      <c r="AC292" s="48">
        <v>307.5</v>
      </c>
      <c r="AF292" s="34">
        <f t="shared" si="24"/>
        <v>46058</v>
      </c>
      <c r="AG292" s="34">
        <f t="shared" si="25"/>
        <v>47883</v>
      </c>
      <c r="AH292" s="44" t="s">
        <v>857</v>
      </c>
      <c r="AK292">
        <v>16</v>
      </c>
      <c r="AL292">
        <v>112</v>
      </c>
      <c r="AM292">
        <v>10</v>
      </c>
      <c r="AN292" s="48">
        <v>307.5</v>
      </c>
    </row>
    <row r="293" spans="2:40">
      <c r="B293" s="39" t="s">
        <v>470</v>
      </c>
      <c r="C293" s="44" t="s">
        <v>81</v>
      </c>
      <c r="D293" t="s">
        <v>164</v>
      </c>
      <c r="E293" t="s">
        <v>83</v>
      </c>
      <c r="F293" s="42">
        <v>45729</v>
      </c>
      <c r="G293" s="34">
        <f t="shared" si="22"/>
        <v>45849</v>
      </c>
      <c r="H293" t="s">
        <v>169</v>
      </c>
      <c r="I293" s="34">
        <f t="shared" si="23"/>
        <v>45849</v>
      </c>
      <c r="J293" t="s">
        <v>161</v>
      </c>
      <c r="K293" t="s">
        <v>853</v>
      </c>
      <c r="L293" t="s">
        <v>163</v>
      </c>
      <c r="M293" s="39" t="s">
        <v>470</v>
      </c>
      <c r="N293" t="s">
        <v>161</v>
      </c>
      <c r="Q293" s="39" t="s">
        <v>766</v>
      </c>
      <c r="U293" t="s">
        <v>854</v>
      </c>
      <c r="W293" t="s">
        <v>855</v>
      </c>
      <c r="X293">
        <v>3</v>
      </c>
      <c r="AA293" s="48">
        <v>307.5</v>
      </c>
      <c r="AC293" s="48">
        <v>307.5</v>
      </c>
      <c r="AF293" s="34">
        <f t="shared" si="24"/>
        <v>46058</v>
      </c>
      <c r="AG293" s="34">
        <f t="shared" si="25"/>
        <v>47883</v>
      </c>
      <c r="AH293" s="44" t="s">
        <v>857</v>
      </c>
      <c r="AK293">
        <v>16</v>
      </c>
      <c r="AL293">
        <v>112</v>
      </c>
      <c r="AM293">
        <v>10</v>
      </c>
      <c r="AN293" s="48">
        <v>307.5</v>
      </c>
    </row>
    <row r="294" spans="2:40">
      <c r="B294" s="39" t="s">
        <v>471</v>
      </c>
      <c r="C294" s="44" t="s">
        <v>81</v>
      </c>
      <c r="D294" t="s">
        <v>164</v>
      </c>
      <c r="E294" t="s">
        <v>83</v>
      </c>
      <c r="F294" s="42">
        <v>45729</v>
      </c>
      <c r="G294" s="34">
        <f t="shared" si="22"/>
        <v>45849</v>
      </c>
      <c r="H294" t="s">
        <v>169</v>
      </c>
      <c r="I294" s="34">
        <f t="shared" si="23"/>
        <v>45849</v>
      </c>
      <c r="J294" t="s">
        <v>161</v>
      </c>
      <c r="K294" t="s">
        <v>853</v>
      </c>
      <c r="L294" t="s">
        <v>163</v>
      </c>
      <c r="M294" s="39" t="s">
        <v>471</v>
      </c>
      <c r="N294" t="s">
        <v>161</v>
      </c>
      <c r="Q294" s="39" t="s">
        <v>766</v>
      </c>
      <c r="U294" t="s">
        <v>854</v>
      </c>
      <c r="W294" t="s">
        <v>855</v>
      </c>
      <c r="X294">
        <v>3</v>
      </c>
      <c r="AA294" s="48">
        <v>307.5</v>
      </c>
      <c r="AC294" s="48">
        <v>307.5</v>
      </c>
      <c r="AF294" s="34">
        <f t="shared" si="24"/>
        <v>46058</v>
      </c>
      <c r="AG294" s="34">
        <f t="shared" si="25"/>
        <v>47883</v>
      </c>
      <c r="AH294" s="44" t="s">
        <v>857</v>
      </c>
      <c r="AK294">
        <v>16</v>
      </c>
      <c r="AL294">
        <v>112</v>
      </c>
      <c r="AM294">
        <v>10</v>
      </c>
      <c r="AN294" s="48">
        <v>307.5</v>
      </c>
    </row>
    <row r="295" spans="2:40">
      <c r="B295" s="39" t="s">
        <v>472</v>
      </c>
      <c r="C295" s="44" t="s">
        <v>81</v>
      </c>
      <c r="D295" t="s">
        <v>164</v>
      </c>
      <c r="E295" t="s">
        <v>83</v>
      </c>
      <c r="F295" s="42">
        <v>45729</v>
      </c>
      <c r="G295" s="34">
        <f t="shared" si="22"/>
        <v>45849</v>
      </c>
      <c r="H295" t="s">
        <v>169</v>
      </c>
      <c r="I295" s="34">
        <f t="shared" si="23"/>
        <v>45849</v>
      </c>
      <c r="J295" t="s">
        <v>161</v>
      </c>
      <c r="K295" t="s">
        <v>853</v>
      </c>
      <c r="L295" t="s">
        <v>163</v>
      </c>
      <c r="M295" s="39" t="s">
        <v>472</v>
      </c>
      <c r="N295" t="s">
        <v>161</v>
      </c>
      <c r="Q295" s="39" t="s">
        <v>766</v>
      </c>
      <c r="U295" t="s">
        <v>854</v>
      </c>
      <c r="W295" t="s">
        <v>855</v>
      </c>
      <c r="X295">
        <v>3</v>
      </c>
      <c r="AA295" s="48">
        <v>307.5</v>
      </c>
      <c r="AC295" s="48">
        <v>307.5</v>
      </c>
      <c r="AF295" s="34">
        <f t="shared" si="24"/>
        <v>46058</v>
      </c>
      <c r="AG295" s="34">
        <f t="shared" si="25"/>
        <v>47883</v>
      </c>
      <c r="AH295" s="44" t="s">
        <v>857</v>
      </c>
      <c r="AK295">
        <v>16</v>
      </c>
      <c r="AL295">
        <v>112</v>
      </c>
      <c r="AM295">
        <v>10</v>
      </c>
      <c r="AN295" s="48">
        <v>307.5</v>
      </c>
    </row>
    <row r="296" spans="2:40">
      <c r="B296" s="39" t="s">
        <v>473</v>
      </c>
      <c r="C296" s="44" t="s">
        <v>81</v>
      </c>
      <c r="D296" t="s">
        <v>164</v>
      </c>
      <c r="E296" t="s">
        <v>83</v>
      </c>
      <c r="F296" s="42">
        <v>45721</v>
      </c>
      <c r="G296" s="34">
        <f t="shared" si="22"/>
        <v>45841</v>
      </c>
      <c r="H296" t="s">
        <v>169</v>
      </c>
      <c r="I296" s="34">
        <f t="shared" si="23"/>
        <v>45841</v>
      </c>
      <c r="J296" t="s">
        <v>161</v>
      </c>
      <c r="K296" t="s">
        <v>853</v>
      </c>
      <c r="L296" t="s">
        <v>163</v>
      </c>
      <c r="M296" s="39" t="s">
        <v>473</v>
      </c>
      <c r="N296" t="s">
        <v>161</v>
      </c>
      <c r="Q296" s="39" t="s">
        <v>767</v>
      </c>
      <c r="U296" t="s">
        <v>854</v>
      </c>
      <c r="W296" t="s">
        <v>855</v>
      </c>
      <c r="X296">
        <v>3</v>
      </c>
      <c r="AA296" s="48">
        <v>307.5</v>
      </c>
      <c r="AC296" s="48">
        <v>307.5</v>
      </c>
      <c r="AF296" s="34">
        <f t="shared" si="24"/>
        <v>46050</v>
      </c>
      <c r="AG296" s="34">
        <f t="shared" si="25"/>
        <v>47875</v>
      </c>
      <c r="AH296" s="44" t="s">
        <v>857</v>
      </c>
      <c r="AK296">
        <v>16</v>
      </c>
      <c r="AL296">
        <v>112</v>
      </c>
      <c r="AM296">
        <v>10</v>
      </c>
      <c r="AN296" s="48">
        <v>307.5</v>
      </c>
    </row>
    <row r="297" spans="2:40">
      <c r="B297" s="39" t="s">
        <v>474</v>
      </c>
      <c r="C297" s="44" t="s">
        <v>81</v>
      </c>
      <c r="D297" t="s">
        <v>164</v>
      </c>
      <c r="E297" t="s">
        <v>83</v>
      </c>
      <c r="F297" s="42">
        <v>45721</v>
      </c>
      <c r="G297" s="34">
        <f t="shared" si="22"/>
        <v>45841</v>
      </c>
      <c r="H297" t="s">
        <v>169</v>
      </c>
      <c r="I297" s="34">
        <f t="shared" si="23"/>
        <v>45841</v>
      </c>
      <c r="J297" t="s">
        <v>161</v>
      </c>
      <c r="K297" t="s">
        <v>853</v>
      </c>
      <c r="L297" t="s">
        <v>163</v>
      </c>
      <c r="M297" s="39" t="s">
        <v>474</v>
      </c>
      <c r="N297" t="s">
        <v>161</v>
      </c>
      <c r="Q297" s="39" t="s">
        <v>767</v>
      </c>
      <c r="U297" t="s">
        <v>854</v>
      </c>
      <c r="W297" t="s">
        <v>855</v>
      </c>
      <c r="X297">
        <v>3</v>
      </c>
      <c r="AA297" s="48">
        <v>307.5</v>
      </c>
      <c r="AC297" s="48">
        <v>307.5</v>
      </c>
      <c r="AF297" s="34">
        <f t="shared" si="24"/>
        <v>46050</v>
      </c>
      <c r="AG297" s="34">
        <f t="shared" si="25"/>
        <v>47875</v>
      </c>
      <c r="AH297" s="44" t="s">
        <v>857</v>
      </c>
      <c r="AK297">
        <v>16</v>
      </c>
      <c r="AL297">
        <v>112</v>
      </c>
      <c r="AM297">
        <v>10</v>
      </c>
      <c r="AN297" s="48">
        <v>307.5</v>
      </c>
    </row>
    <row r="298" spans="2:40">
      <c r="B298" s="39" t="s">
        <v>475</v>
      </c>
      <c r="C298" s="44" t="s">
        <v>81</v>
      </c>
      <c r="D298" t="s">
        <v>164</v>
      </c>
      <c r="E298" t="s">
        <v>83</v>
      </c>
      <c r="F298" s="42">
        <v>45716</v>
      </c>
      <c r="G298" s="34">
        <f t="shared" si="22"/>
        <v>45836</v>
      </c>
      <c r="H298" t="s">
        <v>169</v>
      </c>
      <c r="I298" s="34">
        <f t="shared" si="23"/>
        <v>45836</v>
      </c>
      <c r="J298" t="s">
        <v>161</v>
      </c>
      <c r="K298" t="s">
        <v>853</v>
      </c>
      <c r="L298" t="s">
        <v>163</v>
      </c>
      <c r="M298" s="39" t="s">
        <v>475</v>
      </c>
      <c r="N298" t="s">
        <v>161</v>
      </c>
      <c r="Q298" s="39" t="s">
        <v>768</v>
      </c>
      <c r="U298" t="s">
        <v>854</v>
      </c>
      <c r="W298" t="s">
        <v>855</v>
      </c>
      <c r="X298">
        <v>3</v>
      </c>
      <c r="AA298" s="48">
        <v>307.5</v>
      </c>
      <c r="AC298" s="48">
        <v>307.5</v>
      </c>
      <c r="AF298" s="34">
        <f t="shared" si="24"/>
        <v>46045</v>
      </c>
      <c r="AG298" s="34">
        <f t="shared" si="25"/>
        <v>47870</v>
      </c>
      <c r="AH298" s="44" t="s">
        <v>857</v>
      </c>
      <c r="AK298">
        <v>16</v>
      </c>
      <c r="AL298">
        <v>112</v>
      </c>
      <c r="AM298">
        <v>10</v>
      </c>
      <c r="AN298" s="48">
        <v>307.5</v>
      </c>
    </row>
    <row r="299" spans="2:40">
      <c r="B299" s="39" t="s">
        <v>476</v>
      </c>
      <c r="C299" s="44" t="s">
        <v>81</v>
      </c>
      <c r="D299" t="s">
        <v>164</v>
      </c>
      <c r="E299" t="s">
        <v>83</v>
      </c>
      <c r="F299" s="42">
        <v>45716</v>
      </c>
      <c r="G299" s="34">
        <f t="shared" si="22"/>
        <v>45836</v>
      </c>
      <c r="H299" t="s">
        <v>169</v>
      </c>
      <c r="I299" s="34">
        <f t="shared" si="23"/>
        <v>45836</v>
      </c>
      <c r="J299" t="s">
        <v>161</v>
      </c>
      <c r="K299" t="s">
        <v>853</v>
      </c>
      <c r="L299" t="s">
        <v>163</v>
      </c>
      <c r="M299" s="39" t="s">
        <v>476</v>
      </c>
      <c r="N299" t="s">
        <v>161</v>
      </c>
      <c r="Q299" s="39" t="s">
        <v>768</v>
      </c>
      <c r="U299" t="s">
        <v>854</v>
      </c>
      <c r="W299" t="s">
        <v>855</v>
      </c>
      <c r="X299">
        <v>3</v>
      </c>
      <c r="AA299" s="48">
        <v>307.5</v>
      </c>
      <c r="AC299" s="48">
        <v>307.5</v>
      </c>
      <c r="AF299" s="34">
        <f t="shared" si="24"/>
        <v>46045</v>
      </c>
      <c r="AG299" s="34">
        <f t="shared" si="25"/>
        <v>47870</v>
      </c>
      <c r="AH299" s="44" t="s">
        <v>857</v>
      </c>
      <c r="AK299">
        <v>16</v>
      </c>
      <c r="AL299">
        <v>112</v>
      </c>
      <c r="AM299">
        <v>10</v>
      </c>
      <c r="AN299" s="48">
        <v>307.5</v>
      </c>
    </row>
    <row r="300" spans="2:40">
      <c r="B300" s="39" t="s">
        <v>477</v>
      </c>
      <c r="C300" s="44" t="s">
        <v>81</v>
      </c>
      <c r="D300" t="s">
        <v>164</v>
      </c>
      <c r="E300" t="s">
        <v>83</v>
      </c>
      <c r="F300" s="42">
        <v>45716</v>
      </c>
      <c r="G300" s="34">
        <f t="shared" si="22"/>
        <v>45836</v>
      </c>
      <c r="H300" t="s">
        <v>169</v>
      </c>
      <c r="I300" s="34">
        <f t="shared" si="23"/>
        <v>45836</v>
      </c>
      <c r="J300" t="s">
        <v>161</v>
      </c>
      <c r="K300" t="s">
        <v>853</v>
      </c>
      <c r="L300" t="s">
        <v>163</v>
      </c>
      <c r="M300" s="39" t="s">
        <v>477</v>
      </c>
      <c r="N300" t="s">
        <v>161</v>
      </c>
      <c r="Q300" s="39" t="s">
        <v>768</v>
      </c>
      <c r="U300" t="s">
        <v>854</v>
      </c>
      <c r="W300" t="s">
        <v>855</v>
      </c>
      <c r="X300">
        <v>3</v>
      </c>
      <c r="AA300" s="48">
        <v>307.5</v>
      </c>
      <c r="AC300" s="48">
        <v>307.5</v>
      </c>
      <c r="AF300" s="34">
        <f t="shared" si="24"/>
        <v>46045</v>
      </c>
      <c r="AG300" s="34">
        <f t="shared" si="25"/>
        <v>47870</v>
      </c>
      <c r="AH300" s="44" t="s">
        <v>857</v>
      </c>
      <c r="AK300">
        <v>16</v>
      </c>
      <c r="AL300">
        <v>112</v>
      </c>
      <c r="AM300">
        <v>10</v>
      </c>
      <c r="AN300" s="48">
        <v>307.5</v>
      </c>
    </row>
    <row r="301" spans="2:40">
      <c r="B301" s="39" t="s">
        <v>478</v>
      </c>
      <c r="C301" s="44" t="s">
        <v>81</v>
      </c>
      <c r="D301" t="s">
        <v>164</v>
      </c>
      <c r="E301" t="s">
        <v>83</v>
      </c>
      <c r="F301" s="42">
        <v>45716</v>
      </c>
      <c r="G301" s="34">
        <f t="shared" si="22"/>
        <v>45836</v>
      </c>
      <c r="H301" t="s">
        <v>169</v>
      </c>
      <c r="I301" s="34">
        <f t="shared" si="23"/>
        <v>45836</v>
      </c>
      <c r="J301" t="s">
        <v>161</v>
      </c>
      <c r="K301" t="s">
        <v>853</v>
      </c>
      <c r="L301" t="s">
        <v>163</v>
      </c>
      <c r="M301" s="39" t="s">
        <v>478</v>
      </c>
      <c r="N301" t="s">
        <v>161</v>
      </c>
      <c r="Q301" s="39" t="s">
        <v>768</v>
      </c>
      <c r="U301" t="s">
        <v>854</v>
      </c>
      <c r="W301" t="s">
        <v>855</v>
      </c>
      <c r="X301">
        <v>3</v>
      </c>
      <c r="AA301" s="48">
        <v>307.5</v>
      </c>
      <c r="AC301" s="48">
        <v>307.5</v>
      </c>
      <c r="AF301" s="34">
        <f t="shared" si="24"/>
        <v>46045</v>
      </c>
      <c r="AG301" s="34">
        <f t="shared" si="25"/>
        <v>47870</v>
      </c>
      <c r="AH301" s="44" t="s">
        <v>857</v>
      </c>
      <c r="AK301">
        <v>16</v>
      </c>
      <c r="AL301">
        <v>112</v>
      </c>
      <c r="AM301">
        <v>10</v>
      </c>
      <c r="AN301" s="48">
        <v>307.5</v>
      </c>
    </row>
    <row r="302" spans="2:40">
      <c r="B302" s="39" t="s">
        <v>479</v>
      </c>
      <c r="C302" s="44" t="s">
        <v>81</v>
      </c>
      <c r="D302" t="s">
        <v>164</v>
      </c>
      <c r="E302" t="s">
        <v>83</v>
      </c>
      <c r="F302" s="42">
        <v>45716</v>
      </c>
      <c r="G302" s="34">
        <f t="shared" si="22"/>
        <v>45836</v>
      </c>
      <c r="H302" t="s">
        <v>169</v>
      </c>
      <c r="I302" s="34">
        <f t="shared" si="23"/>
        <v>45836</v>
      </c>
      <c r="J302" t="s">
        <v>161</v>
      </c>
      <c r="K302" t="s">
        <v>853</v>
      </c>
      <c r="L302" t="s">
        <v>163</v>
      </c>
      <c r="M302" s="39" t="s">
        <v>479</v>
      </c>
      <c r="N302" t="s">
        <v>161</v>
      </c>
      <c r="Q302" s="39" t="s">
        <v>768</v>
      </c>
      <c r="U302" t="s">
        <v>854</v>
      </c>
      <c r="W302" t="s">
        <v>855</v>
      </c>
      <c r="X302">
        <v>3</v>
      </c>
      <c r="AA302" s="48">
        <v>307.5</v>
      </c>
      <c r="AC302" s="48">
        <v>307.5</v>
      </c>
      <c r="AF302" s="34">
        <f t="shared" si="24"/>
        <v>46045</v>
      </c>
      <c r="AG302" s="34">
        <f t="shared" si="25"/>
        <v>47870</v>
      </c>
      <c r="AH302" s="44" t="s">
        <v>857</v>
      </c>
      <c r="AK302">
        <v>16</v>
      </c>
      <c r="AL302">
        <v>112</v>
      </c>
      <c r="AM302">
        <v>10</v>
      </c>
      <c r="AN302" s="48">
        <v>307.5</v>
      </c>
    </row>
    <row r="303" spans="2:40">
      <c r="B303" s="39" t="s">
        <v>480</v>
      </c>
      <c r="C303" s="44" t="s">
        <v>81</v>
      </c>
      <c r="D303" t="s">
        <v>164</v>
      </c>
      <c r="E303" t="s">
        <v>83</v>
      </c>
      <c r="F303" s="42">
        <v>45706</v>
      </c>
      <c r="G303" s="34">
        <f t="shared" si="22"/>
        <v>45826</v>
      </c>
      <c r="H303" t="s">
        <v>169</v>
      </c>
      <c r="I303" s="34">
        <f t="shared" si="23"/>
        <v>45826</v>
      </c>
      <c r="J303" t="s">
        <v>161</v>
      </c>
      <c r="K303" t="s">
        <v>853</v>
      </c>
      <c r="L303" t="s">
        <v>163</v>
      </c>
      <c r="M303" s="39" t="s">
        <v>480</v>
      </c>
      <c r="N303" t="s">
        <v>161</v>
      </c>
      <c r="Q303" s="39" t="s">
        <v>769</v>
      </c>
      <c r="U303" t="s">
        <v>854</v>
      </c>
      <c r="W303" t="s">
        <v>855</v>
      </c>
      <c r="X303">
        <v>3</v>
      </c>
      <c r="AA303" s="48">
        <v>307.5</v>
      </c>
      <c r="AC303" s="48">
        <v>307.5</v>
      </c>
      <c r="AF303" s="34">
        <f t="shared" si="24"/>
        <v>46035</v>
      </c>
      <c r="AG303" s="34">
        <f t="shared" si="25"/>
        <v>47860</v>
      </c>
      <c r="AH303" s="44" t="s">
        <v>857</v>
      </c>
      <c r="AK303">
        <v>16</v>
      </c>
      <c r="AL303">
        <v>112</v>
      </c>
      <c r="AM303">
        <v>10</v>
      </c>
      <c r="AN303" s="48">
        <v>307.5</v>
      </c>
    </row>
    <row r="304" spans="2:40">
      <c r="B304" s="39" t="s">
        <v>481</v>
      </c>
      <c r="C304" s="44" t="s">
        <v>81</v>
      </c>
      <c r="D304" t="s">
        <v>164</v>
      </c>
      <c r="E304" t="s">
        <v>83</v>
      </c>
      <c r="F304" s="42">
        <v>45706</v>
      </c>
      <c r="G304" s="34">
        <f t="shared" si="22"/>
        <v>45826</v>
      </c>
      <c r="H304" t="s">
        <v>169</v>
      </c>
      <c r="I304" s="34">
        <f t="shared" si="23"/>
        <v>45826</v>
      </c>
      <c r="J304" t="s">
        <v>161</v>
      </c>
      <c r="K304" t="s">
        <v>853</v>
      </c>
      <c r="L304" t="s">
        <v>163</v>
      </c>
      <c r="M304" s="39" t="s">
        <v>481</v>
      </c>
      <c r="N304" t="s">
        <v>161</v>
      </c>
      <c r="Q304" s="39" t="s">
        <v>769</v>
      </c>
      <c r="U304" t="s">
        <v>854</v>
      </c>
      <c r="W304" t="s">
        <v>855</v>
      </c>
      <c r="X304">
        <v>3</v>
      </c>
      <c r="AA304" s="48">
        <v>307.5</v>
      </c>
      <c r="AC304" s="48">
        <v>307.5</v>
      </c>
      <c r="AF304" s="34">
        <f t="shared" si="24"/>
        <v>46035</v>
      </c>
      <c r="AG304" s="34">
        <f t="shared" si="25"/>
        <v>47860</v>
      </c>
      <c r="AH304" s="44" t="s">
        <v>857</v>
      </c>
      <c r="AK304">
        <v>16</v>
      </c>
      <c r="AL304">
        <v>112</v>
      </c>
      <c r="AM304">
        <v>10</v>
      </c>
      <c r="AN304" s="48">
        <v>307.5</v>
      </c>
    </row>
    <row r="305" spans="2:40">
      <c r="B305" s="39" t="s">
        <v>482</v>
      </c>
      <c r="C305" s="44" t="s">
        <v>81</v>
      </c>
      <c r="D305" t="s">
        <v>164</v>
      </c>
      <c r="E305" t="s">
        <v>83</v>
      </c>
      <c r="F305" s="42">
        <v>45706</v>
      </c>
      <c r="G305" s="34">
        <f t="shared" si="22"/>
        <v>45826</v>
      </c>
      <c r="H305" t="s">
        <v>169</v>
      </c>
      <c r="I305" s="34">
        <f t="shared" si="23"/>
        <v>45826</v>
      </c>
      <c r="J305" t="s">
        <v>161</v>
      </c>
      <c r="K305" t="s">
        <v>853</v>
      </c>
      <c r="L305" t="s">
        <v>163</v>
      </c>
      <c r="M305" s="39" t="s">
        <v>482</v>
      </c>
      <c r="N305" t="s">
        <v>161</v>
      </c>
      <c r="Q305" s="39" t="s">
        <v>769</v>
      </c>
      <c r="U305" t="s">
        <v>854</v>
      </c>
      <c r="W305" t="s">
        <v>855</v>
      </c>
      <c r="X305">
        <v>3</v>
      </c>
      <c r="AA305" s="48">
        <v>307.5</v>
      </c>
      <c r="AC305" s="48">
        <v>307.5</v>
      </c>
      <c r="AF305" s="34">
        <f t="shared" si="24"/>
        <v>46035</v>
      </c>
      <c r="AG305" s="34">
        <f t="shared" si="25"/>
        <v>47860</v>
      </c>
      <c r="AH305" s="44" t="s">
        <v>857</v>
      </c>
      <c r="AK305">
        <v>16</v>
      </c>
      <c r="AL305">
        <v>112</v>
      </c>
      <c r="AM305">
        <v>10</v>
      </c>
      <c r="AN305" s="48">
        <v>307.5</v>
      </c>
    </row>
    <row r="306" spans="2:40">
      <c r="B306" s="39" t="s">
        <v>483</v>
      </c>
      <c r="C306" s="44" t="s">
        <v>81</v>
      </c>
      <c r="D306" t="s">
        <v>164</v>
      </c>
      <c r="E306" t="s">
        <v>83</v>
      </c>
      <c r="F306" s="42">
        <v>45701</v>
      </c>
      <c r="G306" s="34">
        <f t="shared" si="22"/>
        <v>45821</v>
      </c>
      <c r="H306" t="s">
        <v>169</v>
      </c>
      <c r="I306" s="34">
        <f t="shared" si="23"/>
        <v>45821</v>
      </c>
      <c r="J306" t="s">
        <v>161</v>
      </c>
      <c r="K306" t="s">
        <v>853</v>
      </c>
      <c r="L306" t="s">
        <v>163</v>
      </c>
      <c r="M306" s="39" t="s">
        <v>483</v>
      </c>
      <c r="N306" t="s">
        <v>161</v>
      </c>
      <c r="Q306" s="39" t="s">
        <v>770</v>
      </c>
      <c r="U306" t="s">
        <v>854</v>
      </c>
      <c r="W306" t="s">
        <v>855</v>
      </c>
      <c r="X306">
        <v>3</v>
      </c>
      <c r="AA306" s="48">
        <v>307.5</v>
      </c>
      <c r="AC306" s="48">
        <v>307.5</v>
      </c>
      <c r="AF306" s="34">
        <f t="shared" si="24"/>
        <v>46030</v>
      </c>
      <c r="AG306" s="34">
        <f t="shared" si="25"/>
        <v>47855</v>
      </c>
      <c r="AH306" s="44" t="s">
        <v>857</v>
      </c>
      <c r="AK306">
        <v>16</v>
      </c>
      <c r="AL306">
        <v>112</v>
      </c>
      <c r="AM306">
        <v>10</v>
      </c>
      <c r="AN306" s="48">
        <v>307.5</v>
      </c>
    </row>
    <row r="307" spans="2:40">
      <c r="B307" s="39" t="s">
        <v>484</v>
      </c>
      <c r="C307" s="44" t="s">
        <v>81</v>
      </c>
      <c r="D307" t="s">
        <v>164</v>
      </c>
      <c r="E307" t="s">
        <v>83</v>
      </c>
      <c r="F307" s="42">
        <v>45701</v>
      </c>
      <c r="G307" s="34">
        <f t="shared" si="22"/>
        <v>45821</v>
      </c>
      <c r="H307" t="s">
        <v>169</v>
      </c>
      <c r="I307" s="34">
        <f t="shared" si="23"/>
        <v>45821</v>
      </c>
      <c r="J307" t="s">
        <v>161</v>
      </c>
      <c r="K307" t="s">
        <v>853</v>
      </c>
      <c r="L307" t="s">
        <v>163</v>
      </c>
      <c r="M307" s="39" t="s">
        <v>484</v>
      </c>
      <c r="N307" t="s">
        <v>161</v>
      </c>
      <c r="Q307" s="39" t="s">
        <v>770</v>
      </c>
      <c r="U307" t="s">
        <v>854</v>
      </c>
      <c r="W307" t="s">
        <v>855</v>
      </c>
      <c r="X307">
        <v>3</v>
      </c>
      <c r="AA307" s="48">
        <v>307.5</v>
      </c>
      <c r="AC307" s="48">
        <v>307.5</v>
      </c>
      <c r="AF307" s="34">
        <f t="shared" si="24"/>
        <v>46030</v>
      </c>
      <c r="AG307" s="34">
        <f t="shared" si="25"/>
        <v>47855</v>
      </c>
      <c r="AH307" s="44" t="s">
        <v>857</v>
      </c>
      <c r="AK307">
        <v>16</v>
      </c>
      <c r="AL307">
        <v>112</v>
      </c>
      <c r="AM307">
        <v>10</v>
      </c>
      <c r="AN307" s="48">
        <v>307.5</v>
      </c>
    </row>
    <row r="308" spans="2:40">
      <c r="B308" s="39" t="s">
        <v>485</v>
      </c>
      <c r="C308" s="44" t="s">
        <v>81</v>
      </c>
      <c r="D308" t="s">
        <v>164</v>
      </c>
      <c r="E308" t="s">
        <v>83</v>
      </c>
      <c r="F308" s="42">
        <v>45699</v>
      </c>
      <c r="G308" s="34">
        <f t="shared" si="22"/>
        <v>45819</v>
      </c>
      <c r="H308" t="s">
        <v>169</v>
      </c>
      <c r="I308" s="34">
        <f t="shared" si="23"/>
        <v>45819</v>
      </c>
      <c r="J308" t="s">
        <v>161</v>
      </c>
      <c r="K308" t="s">
        <v>853</v>
      </c>
      <c r="L308" t="s">
        <v>163</v>
      </c>
      <c r="M308" s="39" t="s">
        <v>485</v>
      </c>
      <c r="N308" t="s">
        <v>161</v>
      </c>
      <c r="Q308" s="39" t="s">
        <v>770</v>
      </c>
      <c r="U308" t="s">
        <v>854</v>
      </c>
      <c r="W308" t="s">
        <v>855</v>
      </c>
      <c r="X308">
        <v>3</v>
      </c>
      <c r="AA308" s="48">
        <v>307.5</v>
      </c>
      <c r="AC308" s="48">
        <v>307.5</v>
      </c>
      <c r="AF308" s="34">
        <f t="shared" si="24"/>
        <v>46028</v>
      </c>
      <c r="AG308" s="34">
        <f t="shared" si="25"/>
        <v>47853</v>
      </c>
      <c r="AH308" s="44" t="s">
        <v>857</v>
      </c>
      <c r="AK308">
        <v>16</v>
      </c>
      <c r="AL308">
        <v>112</v>
      </c>
      <c r="AM308">
        <v>10</v>
      </c>
      <c r="AN308" s="48">
        <v>307.5</v>
      </c>
    </row>
    <row r="309" spans="2:40">
      <c r="B309" s="39" t="s">
        <v>486</v>
      </c>
      <c r="C309" s="44" t="s">
        <v>81</v>
      </c>
      <c r="D309" t="s">
        <v>164</v>
      </c>
      <c r="E309" t="s">
        <v>83</v>
      </c>
      <c r="F309" s="42">
        <v>45699</v>
      </c>
      <c r="G309" s="34">
        <f t="shared" si="22"/>
        <v>45819</v>
      </c>
      <c r="H309" t="s">
        <v>169</v>
      </c>
      <c r="I309" s="34">
        <f t="shared" si="23"/>
        <v>45819</v>
      </c>
      <c r="J309" t="s">
        <v>161</v>
      </c>
      <c r="K309" t="s">
        <v>853</v>
      </c>
      <c r="L309" t="s">
        <v>163</v>
      </c>
      <c r="M309" s="39" t="s">
        <v>486</v>
      </c>
      <c r="N309" t="s">
        <v>161</v>
      </c>
      <c r="Q309" s="39" t="s">
        <v>770</v>
      </c>
      <c r="U309" t="s">
        <v>854</v>
      </c>
      <c r="W309" t="s">
        <v>855</v>
      </c>
      <c r="X309">
        <v>3</v>
      </c>
      <c r="AA309" s="48">
        <v>307.5</v>
      </c>
      <c r="AC309" s="48">
        <v>307.5</v>
      </c>
      <c r="AF309" s="34">
        <f t="shared" si="24"/>
        <v>46028</v>
      </c>
      <c r="AG309" s="34">
        <f t="shared" si="25"/>
        <v>47853</v>
      </c>
      <c r="AH309" s="44" t="s">
        <v>857</v>
      </c>
      <c r="AK309">
        <v>16</v>
      </c>
      <c r="AL309">
        <v>112</v>
      </c>
      <c r="AM309">
        <v>10</v>
      </c>
      <c r="AN309" s="48">
        <v>307.5</v>
      </c>
    </row>
    <row r="310" spans="2:40">
      <c r="B310" s="39" t="s">
        <v>487</v>
      </c>
      <c r="C310" s="44" t="s">
        <v>81</v>
      </c>
      <c r="D310" t="s">
        <v>164</v>
      </c>
      <c r="E310" t="s">
        <v>83</v>
      </c>
      <c r="F310" s="42">
        <v>45701</v>
      </c>
      <c r="G310" s="34">
        <f t="shared" si="22"/>
        <v>45821</v>
      </c>
      <c r="H310" t="s">
        <v>169</v>
      </c>
      <c r="I310" s="34">
        <f t="shared" si="23"/>
        <v>45821</v>
      </c>
      <c r="J310" t="s">
        <v>161</v>
      </c>
      <c r="K310" t="s">
        <v>853</v>
      </c>
      <c r="L310" t="s">
        <v>163</v>
      </c>
      <c r="M310" s="39" t="s">
        <v>487</v>
      </c>
      <c r="N310" t="s">
        <v>161</v>
      </c>
      <c r="Q310" s="39" t="s">
        <v>770</v>
      </c>
      <c r="U310" t="s">
        <v>854</v>
      </c>
      <c r="W310" t="s">
        <v>855</v>
      </c>
      <c r="X310">
        <v>3</v>
      </c>
      <c r="AA310" s="48">
        <v>307.5</v>
      </c>
      <c r="AC310" s="48">
        <v>307.5</v>
      </c>
      <c r="AF310" s="34">
        <f t="shared" si="24"/>
        <v>46030</v>
      </c>
      <c r="AG310" s="34">
        <f t="shared" si="25"/>
        <v>47855</v>
      </c>
      <c r="AH310" s="44" t="s">
        <v>857</v>
      </c>
      <c r="AK310">
        <v>16</v>
      </c>
      <c r="AL310">
        <v>112</v>
      </c>
      <c r="AM310">
        <v>10</v>
      </c>
      <c r="AN310" s="48">
        <v>307.5</v>
      </c>
    </row>
    <row r="311" spans="2:40">
      <c r="B311" s="39" t="s">
        <v>488</v>
      </c>
      <c r="C311" s="44" t="s">
        <v>81</v>
      </c>
      <c r="D311" t="s">
        <v>164</v>
      </c>
      <c r="E311" t="s">
        <v>83</v>
      </c>
      <c r="F311" s="42">
        <v>45701</v>
      </c>
      <c r="G311" s="34">
        <f t="shared" si="22"/>
        <v>45821</v>
      </c>
      <c r="H311" t="s">
        <v>169</v>
      </c>
      <c r="I311" s="34">
        <f t="shared" si="23"/>
        <v>45821</v>
      </c>
      <c r="J311" t="s">
        <v>161</v>
      </c>
      <c r="K311" t="s">
        <v>853</v>
      </c>
      <c r="L311" t="s">
        <v>163</v>
      </c>
      <c r="M311" s="39" t="s">
        <v>488</v>
      </c>
      <c r="N311" t="s">
        <v>161</v>
      </c>
      <c r="Q311" s="39" t="s">
        <v>770</v>
      </c>
      <c r="U311" t="s">
        <v>854</v>
      </c>
      <c r="W311" t="s">
        <v>855</v>
      </c>
      <c r="X311">
        <v>3</v>
      </c>
      <c r="AA311" s="48">
        <v>307.5</v>
      </c>
      <c r="AC311" s="48">
        <v>307.5</v>
      </c>
      <c r="AF311" s="34">
        <f t="shared" si="24"/>
        <v>46030</v>
      </c>
      <c r="AG311" s="34">
        <f t="shared" si="25"/>
        <v>47855</v>
      </c>
      <c r="AH311" s="44" t="s">
        <v>857</v>
      </c>
      <c r="AK311">
        <v>16</v>
      </c>
      <c r="AL311">
        <v>112</v>
      </c>
      <c r="AM311">
        <v>10</v>
      </c>
      <c r="AN311" s="48">
        <v>307.5</v>
      </c>
    </row>
    <row r="312" spans="2:40">
      <c r="B312" s="39" t="s">
        <v>489</v>
      </c>
      <c r="C312" s="44" t="s">
        <v>81</v>
      </c>
      <c r="D312" t="s">
        <v>164</v>
      </c>
      <c r="E312" t="s">
        <v>83</v>
      </c>
      <c r="F312" s="42">
        <v>45682</v>
      </c>
      <c r="G312" s="34">
        <f t="shared" si="22"/>
        <v>45802</v>
      </c>
      <c r="H312" t="s">
        <v>169</v>
      </c>
      <c r="I312" s="34">
        <f t="shared" si="23"/>
        <v>45802</v>
      </c>
      <c r="J312" t="s">
        <v>161</v>
      </c>
      <c r="K312" t="s">
        <v>853</v>
      </c>
      <c r="L312" t="s">
        <v>163</v>
      </c>
      <c r="M312" s="39" t="s">
        <v>489</v>
      </c>
      <c r="N312" t="s">
        <v>161</v>
      </c>
      <c r="Q312" s="39" t="s">
        <v>771</v>
      </c>
      <c r="U312" t="s">
        <v>854</v>
      </c>
      <c r="W312" t="s">
        <v>855</v>
      </c>
      <c r="X312">
        <v>3</v>
      </c>
      <c r="AA312" s="48">
        <v>307.5</v>
      </c>
      <c r="AC312" s="48">
        <v>307.5</v>
      </c>
      <c r="AF312" s="34">
        <f t="shared" si="24"/>
        <v>46011</v>
      </c>
      <c r="AG312" s="34">
        <f t="shared" si="25"/>
        <v>47836</v>
      </c>
      <c r="AH312" s="44" t="s">
        <v>857</v>
      </c>
      <c r="AK312">
        <v>16</v>
      </c>
      <c r="AL312">
        <v>112</v>
      </c>
      <c r="AM312">
        <v>10</v>
      </c>
      <c r="AN312" s="48">
        <v>307.5</v>
      </c>
    </row>
    <row r="313" spans="2:40">
      <c r="B313" s="39" t="s">
        <v>490</v>
      </c>
      <c r="C313" s="44" t="s">
        <v>81</v>
      </c>
      <c r="D313" t="s">
        <v>164</v>
      </c>
      <c r="E313" t="s">
        <v>83</v>
      </c>
      <c r="F313" s="42">
        <v>45682</v>
      </c>
      <c r="G313" s="34">
        <f t="shared" si="22"/>
        <v>45802</v>
      </c>
      <c r="H313" t="s">
        <v>169</v>
      </c>
      <c r="I313" s="34">
        <f t="shared" si="23"/>
        <v>45802</v>
      </c>
      <c r="J313" t="s">
        <v>161</v>
      </c>
      <c r="K313" t="s">
        <v>853</v>
      </c>
      <c r="L313" t="s">
        <v>163</v>
      </c>
      <c r="M313" s="39" t="s">
        <v>490</v>
      </c>
      <c r="N313" t="s">
        <v>161</v>
      </c>
      <c r="Q313" s="39" t="s">
        <v>771</v>
      </c>
      <c r="U313" t="s">
        <v>854</v>
      </c>
      <c r="W313" t="s">
        <v>855</v>
      </c>
      <c r="X313">
        <v>3</v>
      </c>
      <c r="AA313" s="48">
        <v>307.5</v>
      </c>
      <c r="AC313" s="48">
        <v>307.5</v>
      </c>
      <c r="AF313" s="34">
        <f t="shared" si="24"/>
        <v>46011</v>
      </c>
      <c r="AG313" s="34">
        <f t="shared" si="25"/>
        <v>47836</v>
      </c>
      <c r="AH313" s="44" t="s">
        <v>857</v>
      </c>
      <c r="AK313">
        <v>16</v>
      </c>
      <c r="AL313">
        <v>112</v>
      </c>
      <c r="AM313">
        <v>10</v>
      </c>
      <c r="AN313" s="48">
        <v>307.5</v>
      </c>
    </row>
    <row r="314" spans="2:40">
      <c r="B314" s="39" t="s">
        <v>491</v>
      </c>
      <c r="C314" s="44" t="s">
        <v>81</v>
      </c>
      <c r="D314" t="s">
        <v>164</v>
      </c>
      <c r="E314" t="s">
        <v>83</v>
      </c>
      <c r="F314" s="42">
        <v>45679</v>
      </c>
      <c r="G314" s="34">
        <f t="shared" si="22"/>
        <v>45799</v>
      </c>
      <c r="H314" t="s">
        <v>169</v>
      </c>
      <c r="I314" s="34">
        <f t="shared" si="23"/>
        <v>45799</v>
      </c>
      <c r="J314" t="s">
        <v>161</v>
      </c>
      <c r="K314" t="s">
        <v>853</v>
      </c>
      <c r="L314" t="s">
        <v>163</v>
      </c>
      <c r="M314" s="39" t="s">
        <v>491</v>
      </c>
      <c r="N314" t="s">
        <v>161</v>
      </c>
      <c r="Q314" s="39" t="s">
        <v>772</v>
      </c>
      <c r="U314" t="s">
        <v>854</v>
      </c>
      <c r="W314" t="s">
        <v>855</v>
      </c>
      <c r="X314">
        <v>3</v>
      </c>
      <c r="AA314" s="48">
        <v>307.5</v>
      </c>
      <c r="AC314" s="48">
        <v>307.5</v>
      </c>
      <c r="AF314" s="34">
        <f t="shared" si="24"/>
        <v>46008</v>
      </c>
      <c r="AG314" s="34">
        <f t="shared" si="25"/>
        <v>47833</v>
      </c>
      <c r="AH314" s="44" t="s">
        <v>857</v>
      </c>
      <c r="AK314">
        <v>16</v>
      </c>
      <c r="AL314">
        <v>112</v>
      </c>
      <c r="AM314">
        <v>10</v>
      </c>
      <c r="AN314" s="48">
        <v>307.5</v>
      </c>
    </row>
    <row r="315" spans="2:40">
      <c r="B315" s="39" t="s">
        <v>492</v>
      </c>
      <c r="C315" s="44" t="s">
        <v>81</v>
      </c>
      <c r="D315" t="s">
        <v>164</v>
      </c>
      <c r="E315" t="s">
        <v>83</v>
      </c>
      <c r="F315" s="42">
        <v>45679</v>
      </c>
      <c r="G315" s="34">
        <f t="shared" si="22"/>
        <v>45799</v>
      </c>
      <c r="H315" t="s">
        <v>169</v>
      </c>
      <c r="I315" s="34">
        <f t="shared" si="23"/>
        <v>45799</v>
      </c>
      <c r="J315" t="s">
        <v>161</v>
      </c>
      <c r="K315" t="s">
        <v>853</v>
      </c>
      <c r="L315" t="s">
        <v>163</v>
      </c>
      <c r="M315" s="39" t="s">
        <v>492</v>
      </c>
      <c r="N315" t="s">
        <v>161</v>
      </c>
      <c r="Q315" s="39" t="s">
        <v>772</v>
      </c>
      <c r="U315" t="s">
        <v>854</v>
      </c>
      <c r="W315" t="s">
        <v>855</v>
      </c>
      <c r="X315">
        <v>3</v>
      </c>
      <c r="AA315" s="48">
        <v>307.5</v>
      </c>
      <c r="AC315" s="48">
        <v>307.5</v>
      </c>
      <c r="AF315" s="34">
        <f t="shared" si="24"/>
        <v>46008</v>
      </c>
      <c r="AG315" s="34">
        <f t="shared" si="25"/>
        <v>47833</v>
      </c>
      <c r="AH315" s="44" t="s">
        <v>857</v>
      </c>
      <c r="AK315">
        <v>16</v>
      </c>
      <c r="AL315">
        <v>112</v>
      </c>
      <c r="AM315">
        <v>10</v>
      </c>
      <c r="AN315" s="48">
        <v>307.5</v>
      </c>
    </row>
    <row r="316" spans="2:40">
      <c r="B316" s="39" t="s">
        <v>493</v>
      </c>
      <c r="C316" s="44" t="s">
        <v>81</v>
      </c>
      <c r="D316" t="s">
        <v>164</v>
      </c>
      <c r="E316" t="s">
        <v>83</v>
      </c>
      <c r="F316" s="42">
        <v>45679</v>
      </c>
      <c r="G316" s="34">
        <f t="shared" si="22"/>
        <v>45799</v>
      </c>
      <c r="H316" t="s">
        <v>169</v>
      </c>
      <c r="I316" s="34">
        <f t="shared" si="23"/>
        <v>45799</v>
      </c>
      <c r="J316" t="s">
        <v>161</v>
      </c>
      <c r="K316" t="s">
        <v>853</v>
      </c>
      <c r="L316" t="s">
        <v>163</v>
      </c>
      <c r="M316" s="39" t="s">
        <v>493</v>
      </c>
      <c r="N316" t="s">
        <v>161</v>
      </c>
      <c r="Q316" s="39" t="s">
        <v>772</v>
      </c>
      <c r="U316" t="s">
        <v>854</v>
      </c>
      <c r="W316" t="s">
        <v>855</v>
      </c>
      <c r="X316">
        <v>3</v>
      </c>
      <c r="AA316" s="48">
        <v>307.5</v>
      </c>
      <c r="AC316" s="48">
        <v>307.5</v>
      </c>
      <c r="AF316" s="34">
        <f t="shared" si="24"/>
        <v>46008</v>
      </c>
      <c r="AG316" s="34">
        <f t="shared" si="25"/>
        <v>47833</v>
      </c>
      <c r="AH316" s="44" t="s">
        <v>857</v>
      </c>
      <c r="AK316">
        <v>16</v>
      </c>
      <c r="AL316">
        <v>112</v>
      </c>
      <c r="AM316">
        <v>10</v>
      </c>
      <c r="AN316" s="48">
        <v>307.5</v>
      </c>
    </row>
    <row r="317" spans="2:40">
      <c r="B317" s="39" t="s">
        <v>494</v>
      </c>
      <c r="C317" s="44" t="s">
        <v>81</v>
      </c>
      <c r="D317" t="s">
        <v>164</v>
      </c>
      <c r="E317" t="s">
        <v>83</v>
      </c>
      <c r="F317" s="42">
        <v>45679</v>
      </c>
      <c r="G317" s="34">
        <f t="shared" si="22"/>
        <v>45799</v>
      </c>
      <c r="H317" t="s">
        <v>169</v>
      </c>
      <c r="I317" s="34">
        <f t="shared" si="23"/>
        <v>45799</v>
      </c>
      <c r="J317" t="s">
        <v>161</v>
      </c>
      <c r="K317" t="s">
        <v>853</v>
      </c>
      <c r="L317" t="s">
        <v>163</v>
      </c>
      <c r="M317" s="39" t="s">
        <v>494</v>
      </c>
      <c r="N317" t="s">
        <v>161</v>
      </c>
      <c r="Q317" s="39" t="s">
        <v>772</v>
      </c>
      <c r="U317" t="s">
        <v>854</v>
      </c>
      <c r="W317" t="s">
        <v>855</v>
      </c>
      <c r="X317">
        <v>3</v>
      </c>
      <c r="AA317" s="48">
        <v>307.5</v>
      </c>
      <c r="AC317" s="48">
        <v>307.5</v>
      </c>
      <c r="AF317" s="34">
        <f t="shared" si="24"/>
        <v>46008</v>
      </c>
      <c r="AG317" s="34">
        <f t="shared" si="25"/>
        <v>47833</v>
      </c>
      <c r="AH317" s="44" t="s">
        <v>857</v>
      </c>
      <c r="AK317">
        <v>16</v>
      </c>
      <c r="AL317">
        <v>112</v>
      </c>
      <c r="AM317">
        <v>10</v>
      </c>
      <c r="AN317" s="48">
        <v>307.5</v>
      </c>
    </row>
    <row r="318" spans="2:40">
      <c r="B318" s="39" t="s">
        <v>495</v>
      </c>
      <c r="C318" s="44" t="s">
        <v>81</v>
      </c>
      <c r="D318" t="s">
        <v>164</v>
      </c>
      <c r="E318" t="s">
        <v>83</v>
      </c>
      <c r="F318" s="42">
        <v>45679</v>
      </c>
      <c r="G318" s="34">
        <f t="shared" si="22"/>
        <v>45799</v>
      </c>
      <c r="H318" t="s">
        <v>169</v>
      </c>
      <c r="I318" s="34">
        <f t="shared" si="23"/>
        <v>45799</v>
      </c>
      <c r="J318" t="s">
        <v>161</v>
      </c>
      <c r="K318" t="s">
        <v>853</v>
      </c>
      <c r="L318" t="s">
        <v>163</v>
      </c>
      <c r="M318" s="39" t="s">
        <v>495</v>
      </c>
      <c r="N318" t="s">
        <v>161</v>
      </c>
      <c r="Q318" s="39" t="s">
        <v>772</v>
      </c>
      <c r="U318" t="s">
        <v>854</v>
      </c>
      <c r="W318" t="s">
        <v>855</v>
      </c>
      <c r="X318">
        <v>3</v>
      </c>
      <c r="AA318" s="48">
        <v>307.5</v>
      </c>
      <c r="AC318" s="48">
        <v>307.5</v>
      </c>
      <c r="AF318" s="34">
        <f t="shared" si="24"/>
        <v>46008</v>
      </c>
      <c r="AG318" s="34">
        <f t="shared" si="25"/>
        <v>47833</v>
      </c>
      <c r="AH318" s="44" t="s">
        <v>857</v>
      </c>
      <c r="AK318">
        <v>16</v>
      </c>
      <c r="AL318">
        <v>112</v>
      </c>
      <c r="AM318">
        <v>10</v>
      </c>
      <c r="AN318" s="48">
        <v>307.5</v>
      </c>
    </row>
    <row r="319" spans="2:40">
      <c r="B319" s="39" t="s">
        <v>496</v>
      </c>
      <c r="C319" s="44" t="s">
        <v>81</v>
      </c>
      <c r="D319" t="s">
        <v>164</v>
      </c>
      <c r="E319" t="s">
        <v>83</v>
      </c>
      <c r="F319" s="42">
        <v>45676</v>
      </c>
      <c r="G319" s="34">
        <f t="shared" si="22"/>
        <v>45796</v>
      </c>
      <c r="H319" t="s">
        <v>169</v>
      </c>
      <c r="I319" s="34">
        <f t="shared" si="23"/>
        <v>45796</v>
      </c>
      <c r="J319" t="s">
        <v>161</v>
      </c>
      <c r="K319" t="s">
        <v>853</v>
      </c>
      <c r="L319" t="s">
        <v>163</v>
      </c>
      <c r="M319" s="39" t="s">
        <v>496</v>
      </c>
      <c r="N319" t="s">
        <v>161</v>
      </c>
      <c r="Q319" s="39" t="s">
        <v>773</v>
      </c>
      <c r="U319" t="s">
        <v>854</v>
      </c>
      <c r="W319" t="s">
        <v>855</v>
      </c>
      <c r="X319">
        <v>3</v>
      </c>
      <c r="AA319" s="48">
        <v>307.5</v>
      </c>
      <c r="AC319" s="48">
        <v>307.5</v>
      </c>
      <c r="AF319" s="34">
        <f t="shared" si="24"/>
        <v>46005</v>
      </c>
      <c r="AG319" s="34">
        <f t="shared" si="25"/>
        <v>47830</v>
      </c>
      <c r="AH319" s="44" t="s">
        <v>857</v>
      </c>
      <c r="AK319">
        <v>16</v>
      </c>
      <c r="AL319">
        <v>112</v>
      </c>
      <c r="AM319">
        <v>10</v>
      </c>
      <c r="AN319" s="48">
        <v>307.5</v>
      </c>
    </row>
    <row r="320" spans="2:40">
      <c r="B320" s="39" t="s">
        <v>497</v>
      </c>
      <c r="C320" s="44" t="s">
        <v>81</v>
      </c>
      <c r="D320" t="s">
        <v>164</v>
      </c>
      <c r="E320" t="s">
        <v>83</v>
      </c>
      <c r="F320" s="42">
        <v>45676</v>
      </c>
      <c r="G320" s="34">
        <f t="shared" si="22"/>
        <v>45796</v>
      </c>
      <c r="H320" t="s">
        <v>169</v>
      </c>
      <c r="I320" s="34">
        <f t="shared" si="23"/>
        <v>45796</v>
      </c>
      <c r="J320" t="s">
        <v>161</v>
      </c>
      <c r="K320" t="s">
        <v>853</v>
      </c>
      <c r="L320" t="s">
        <v>163</v>
      </c>
      <c r="M320" s="39" t="s">
        <v>497</v>
      </c>
      <c r="N320" t="s">
        <v>161</v>
      </c>
      <c r="Q320" s="39" t="s">
        <v>773</v>
      </c>
      <c r="U320" t="s">
        <v>854</v>
      </c>
      <c r="W320" t="s">
        <v>855</v>
      </c>
      <c r="X320">
        <v>3</v>
      </c>
      <c r="AA320" s="48">
        <v>307.5</v>
      </c>
      <c r="AC320" s="48">
        <v>307.5</v>
      </c>
      <c r="AF320" s="34">
        <f t="shared" si="24"/>
        <v>46005</v>
      </c>
      <c r="AG320" s="34">
        <f t="shared" si="25"/>
        <v>47830</v>
      </c>
      <c r="AH320" s="44" t="s">
        <v>857</v>
      </c>
      <c r="AK320">
        <v>16</v>
      </c>
      <c r="AL320">
        <v>112</v>
      </c>
      <c r="AM320">
        <v>10</v>
      </c>
      <c r="AN320" s="48">
        <v>307.5</v>
      </c>
    </row>
    <row r="321" spans="2:40">
      <c r="B321" s="39" t="s">
        <v>498</v>
      </c>
      <c r="C321" s="44" t="s">
        <v>81</v>
      </c>
      <c r="D321" t="s">
        <v>164</v>
      </c>
      <c r="E321" t="s">
        <v>83</v>
      </c>
      <c r="F321" s="42">
        <v>45676</v>
      </c>
      <c r="G321" s="34">
        <f t="shared" si="22"/>
        <v>45796</v>
      </c>
      <c r="H321" t="s">
        <v>169</v>
      </c>
      <c r="I321" s="34">
        <f t="shared" si="23"/>
        <v>45796</v>
      </c>
      <c r="J321" t="s">
        <v>161</v>
      </c>
      <c r="K321" t="s">
        <v>853</v>
      </c>
      <c r="L321" t="s">
        <v>163</v>
      </c>
      <c r="M321" s="39" t="s">
        <v>498</v>
      </c>
      <c r="N321" t="s">
        <v>161</v>
      </c>
      <c r="Q321" s="39" t="s">
        <v>773</v>
      </c>
      <c r="U321" t="s">
        <v>854</v>
      </c>
      <c r="W321" t="s">
        <v>855</v>
      </c>
      <c r="X321">
        <v>3</v>
      </c>
      <c r="AA321" s="48">
        <v>307.5</v>
      </c>
      <c r="AC321" s="48">
        <v>307.5</v>
      </c>
      <c r="AF321" s="34">
        <f t="shared" si="24"/>
        <v>46005</v>
      </c>
      <c r="AG321" s="34">
        <f t="shared" si="25"/>
        <v>47830</v>
      </c>
      <c r="AH321" s="44" t="s">
        <v>857</v>
      </c>
      <c r="AK321">
        <v>16</v>
      </c>
      <c r="AL321">
        <v>112</v>
      </c>
      <c r="AM321">
        <v>10</v>
      </c>
      <c r="AN321" s="48">
        <v>307.5</v>
      </c>
    </row>
    <row r="322" spans="2:40">
      <c r="B322" s="39" t="s">
        <v>499</v>
      </c>
      <c r="C322" s="44" t="s">
        <v>81</v>
      </c>
      <c r="D322" t="s">
        <v>164</v>
      </c>
      <c r="E322" t="s">
        <v>83</v>
      </c>
      <c r="F322" s="42">
        <v>45699</v>
      </c>
      <c r="G322" s="34">
        <f t="shared" si="22"/>
        <v>45819</v>
      </c>
      <c r="H322" t="s">
        <v>169</v>
      </c>
      <c r="I322" s="34">
        <f t="shared" si="23"/>
        <v>45819</v>
      </c>
      <c r="J322" t="s">
        <v>161</v>
      </c>
      <c r="K322" t="s">
        <v>853</v>
      </c>
      <c r="L322" t="s">
        <v>163</v>
      </c>
      <c r="M322" s="39" t="s">
        <v>499</v>
      </c>
      <c r="N322" t="s">
        <v>161</v>
      </c>
      <c r="Q322" s="39" t="s">
        <v>774</v>
      </c>
      <c r="U322" t="s">
        <v>854</v>
      </c>
      <c r="W322" t="s">
        <v>855</v>
      </c>
      <c r="X322">
        <v>3</v>
      </c>
      <c r="AA322" s="48">
        <v>307.5</v>
      </c>
      <c r="AC322" s="48">
        <v>307.5</v>
      </c>
      <c r="AF322" s="34">
        <f t="shared" si="24"/>
        <v>46028</v>
      </c>
      <c r="AG322" s="34">
        <f t="shared" si="25"/>
        <v>47853</v>
      </c>
      <c r="AH322" s="44" t="s">
        <v>857</v>
      </c>
      <c r="AK322">
        <v>16</v>
      </c>
      <c r="AL322">
        <v>112</v>
      </c>
      <c r="AM322">
        <v>10</v>
      </c>
      <c r="AN322" s="48">
        <v>307.5</v>
      </c>
    </row>
    <row r="323" spans="2:40">
      <c r="B323" s="39" t="s">
        <v>500</v>
      </c>
      <c r="C323" s="44" t="s">
        <v>81</v>
      </c>
      <c r="D323" t="s">
        <v>164</v>
      </c>
      <c r="E323" t="s">
        <v>83</v>
      </c>
      <c r="F323" s="42">
        <v>45699</v>
      </c>
      <c r="G323" s="34">
        <f t="shared" si="22"/>
        <v>45819</v>
      </c>
      <c r="H323" t="s">
        <v>169</v>
      </c>
      <c r="I323" s="34">
        <f t="shared" si="23"/>
        <v>45819</v>
      </c>
      <c r="J323" t="s">
        <v>161</v>
      </c>
      <c r="K323" t="s">
        <v>853</v>
      </c>
      <c r="L323" t="s">
        <v>163</v>
      </c>
      <c r="M323" s="39" t="s">
        <v>500</v>
      </c>
      <c r="N323" t="s">
        <v>161</v>
      </c>
      <c r="Q323" s="39" t="s">
        <v>774</v>
      </c>
      <c r="U323" t="s">
        <v>854</v>
      </c>
      <c r="W323" t="s">
        <v>855</v>
      </c>
      <c r="X323">
        <v>3</v>
      </c>
      <c r="AA323" s="48">
        <v>307.5</v>
      </c>
      <c r="AC323" s="48">
        <v>307.5</v>
      </c>
      <c r="AF323" s="34">
        <f t="shared" si="24"/>
        <v>46028</v>
      </c>
      <c r="AG323" s="34">
        <f t="shared" si="25"/>
        <v>47853</v>
      </c>
      <c r="AH323" s="44" t="s">
        <v>857</v>
      </c>
      <c r="AK323">
        <v>16</v>
      </c>
      <c r="AL323">
        <v>112</v>
      </c>
      <c r="AM323">
        <v>10</v>
      </c>
      <c r="AN323" s="48">
        <v>307.5</v>
      </c>
    </row>
    <row r="324" spans="2:40">
      <c r="B324" s="39" t="s">
        <v>501</v>
      </c>
      <c r="C324" s="44" t="s">
        <v>81</v>
      </c>
      <c r="D324" t="s">
        <v>164</v>
      </c>
      <c r="E324" t="s">
        <v>83</v>
      </c>
      <c r="F324" s="42">
        <v>45667</v>
      </c>
      <c r="G324" s="34">
        <f t="shared" si="22"/>
        <v>45787</v>
      </c>
      <c r="H324" t="s">
        <v>169</v>
      </c>
      <c r="I324" s="34">
        <f t="shared" si="23"/>
        <v>45787</v>
      </c>
      <c r="J324" t="s">
        <v>161</v>
      </c>
      <c r="K324" t="s">
        <v>853</v>
      </c>
      <c r="L324" t="s">
        <v>163</v>
      </c>
      <c r="M324" s="39" t="s">
        <v>501</v>
      </c>
      <c r="N324" t="s">
        <v>161</v>
      </c>
      <c r="Q324" s="39" t="s">
        <v>775</v>
      </c>
      <c r="U324" t="s">
        <v>854</v>
      </c>
      <c r="W324" t="s">
        <v>855</v>
      </c>
      <c r="X324">
        <v>3</v>
      </c>
      <c r="AA324" s="48">
        <v>307.5</v>
      </c>
      <c r="AC324" s="48">
        <v>307.5</v>
      </c>
      <c r="AF324" s="34">
        <f t="shared" si="24"/>
        <v>45996</v>
      </c>
      <c r="AG324" s="34">
        <f t="shared" si="25"/>
        <v>47821</v>
      </c>
      <c r="AH324" s="44" t="s">
        <v>857</v>
      </c>
      <c r="AK324">
        <v>16</v>
      </c>
      <c r="AL324">
        <v>112</v>
      </c>
      <c r="AM324">
        <v>10</v>
      </c>
      <c r="AN324" s="48">
        <v>307.5</v>
      </c>
    </row>
    <row r="325" spans="2:40">
      <c r="B325" s="39" t="s">
        <v>502</v>
      </c>
      <c r="C325" s="44" t="s">
        <v>81</v>
      </c>
      <c r="D325" t="s">
        <v>164</v>
      </c>
      <c r="E325" t="s">
        <v>83</v>
      </c>
      <c r="F325" s="42">
        <v>45667</v>
      </c>
      <c r="G325" s="34">
        <f t="shared" si="22"/>
        <v>45787</v>
      </c>
      <c r="H325" t="s">
        <v>169</v>
      </c>
      <c r="I325" s="34">
        <f t="shared" si="23"/>
        <v>45787</v>
      </c>
      <c r="J325" t="s">
        <v>161</v>
      </c>
      <c r="K325" t="s">
        <v>853</v>
      </c>
      <c r="L325" t="s">
        <v>163</v>
      </c>
      <c r="M325" s="39" t="s">
        <v>502</v>
      </c>
      <c r="N325" t="s">
        <v>161</v>
      </c>
      <c r="Q325" s="39" t="s">
        <v>775</v>
      </c>
      <c r="U325" t="s">
        <v>854</v>
      </c>
      <c r="W325" t="s">
        <v>855</v>
      </c>
      <c r="X325">
        <v>3</v>
      </c>
      <c r="AA325" s="48">
        <v>307.5</v>
      </c>
      <c r="AC325" s="48">
        <v>307.5</v>
      </c>
      <c r="AF325" s="34">
        <f t="shared" si="24"/>
        <v>45996</v>
      </c>
      <c r="AG325" s="34">
        <f t="shared" si="25"/>
        <v>47821</v>
      </c>
      <c r="AH325" s="44" t="s">
        <v>857</v>
      </c>
      <c r="AK325">
        <v>16</v>
      </c>
      <c r="AL325">
        <v>112</v>
      </c>
      <c r="AM325">
        <v>10</v>
      </c>
      <c r="AN325" s="48">
        <v>307.5</v>
      </c>
    </row>
    <row r="326" spans="2:40">
      <c r="B326" s="39" t="s">
        <v>503</v>
      </c>
      <c r="C326" s="44" t="s">
        <v>81</v>
      </c>
      <c r="D326" t="s">
        <v>164</v>
      </c>
      <c r="E326" t="s">
        <v>83</v>
      </c>
      <c r="F326" s="42">
        <v>45667</v>
      </c>
      <c r="G326" s="34">
        <f t="shared" ref="G326:G389" si="26">+F326+120</f>
        <v>45787</v>
      </c>
      <c r="H326" t="s">
        <v>169</v>
      </c>
      <c r="I326" s="34">
        <f t="shared" ref="I326:I389" si="27">+G326</f>
        <v>45787</v>
      </c>
      <c r="J326" t="s">
        <v>161</v>
      </c>
      <c r="K326" t="s">
        <v>853</v>
      </c>
      <c r="L326" t="s">
        <v>163</v>
      </c>
      <c r="M326" s="39" t="s">
        <v>503</v>
      </c>
      <c r="N326" t="s">
        <v>161</v>
      </c>
      <c r="Q326" s="39" t="s">
        <v>775</v>
      </c>
      <c r="U326" t="s">
        <v>854</v>
      </c>
      <c r="W326" t="s">
        <v>855</v>
      </c>
      <c r="X326">
        <v>3</v>
      </c>
      <c r="AA326" s="48">
        <v>307.5</v>
      </c>
      <c r="AC326" s="48">
        <v>307.5</v>
      </c>
      <c r="AF326" s="34">
        <f t="shared" si="24"/>
        <v>45996</v>
      </c>
      <c r="AG326" s="34">
        <f t="shared" si="25"/>
        <v>47821</v>
      </c>
      <c r="AH326" s="44" t="s">
        <v>857</v>
      </c>
      <c r="AK326">
        <v>16</v>
      </c>
      <c r="AL326">
        <v>112</v>
      </c>
      <c r="AM326">
        <v>10</v>
      </c>
      <c r="AN326" s="48">
        <v>307.5</v>
      </c>
    </row>
    <row r="327" spans="2:40">
      <c r="B327" s="39" t="s">
        <v>504</v>
      </c>
      <c r="C327" s="44" t="s">
        <v>81</v>
      </c>
      <c r="D327" t="s">
        <v>164</v>
      </c>
      <c r="E327" t="s">
        <v>83</v>
      </c>
      <c r="F327" s="42">
        <v>45667</v>
      </c>
      <c r="G327" s="34">
        <f t="shared" si="26"/>
        <v>45787</v>
      </c>
      <c r="H327" t="s">
        <v>169</v>
      </c>
      <c r="I327" s="34">
        <f t="shared" si="27"/>
        <v>45787</v>
      </c>
      <c r="J327" t="s">
        <v>161</v>
      </c>
      <c r="K327" t="s">
        <v>853</v>
      </c>
      <c r="L327" t="s">
        <v>163</v>
      </c>
      <c r="M327" s="39" t="s">
        <v>504</v>
      </c>
      <c r="N327" t="s">
        <v>161</v>
      </c>
      <c r="Q327" s="39" t="s">
        <v>775</v>
      </c>
      <c r="U327" t="s">
        <v>854</v>
      </c>
      <c r="W327" t="s">
        <v>855</v>
      </c>
      <c r="X327">
        <v>3</v>
      </c>
      <c r="AA327" s="48">
        <v>307.5</v>
      </c>
      <c r="AC327" s="48">
        <v>307.5</v>
      </c>
      <c r="AF327" s="34">
        <f t="shared" si="24"/>
        <v>45996</v>
      </c>
      <c r="AG327" s="34">
        <f t="shared" si="25"/>
        <v>47821</v>
      </c>
      <c r="AH327" s="44" t="s">
        <v>857</v>
      </c>
      <c r="AK327">
        <v>16</v>
      </c>
      <c r="AL327">
        <v>112</v>
      </c>
      <c r="AM327">
        <v>10</v>
      </c>
      <c r="AN327" s="48">
        <v>307.5</v>
      </c>
    </row>
    <row r="328" spans="2:40">
      <c r="B328" s="39" t="s">
        <v>505</v>
      </c>
      <c r="C328" s="44" t="s">
        <v>81</v>
      </c>
      <c r="D328" t="s">
        <v>164</v>
      </c>
      <c r="E328" t="s">
        <v>83</v>
      </c>
      <c r="F328" s="42">
        <v>45682</v>
      </c>
      <c r="G328" s="34">
        <f t="shared" si="26"/>
        <v>45802</v>
      </c>
      <c r="H328" t="s">
        <v>169</v>
      </c>
      <c r="I328" s="34">
        <f t="shared" si="27"/>
        <v>45802</v>
      </c>
      <c r="J328" t="s">
        <v>161</v>
      </c>
      <c r="K328" t="s">
        <v>853</v>
      </c>
      <c r="L328" t="s">
        <v>163</v>
      </c>
      <c r="M328" s="39" t="s">
        <v>505</v>
      </c>
      <c r="N328" t="s">
        <v>161</v>
      </c>
      <c r="Q328" s="39" t="s">
        <v>771</v>
      </c>
      <c r="U328" t="s">
        <v>854</v>
      </c>
      <c r="W328" t="s">
        <v>855</v>
      </c>
      <c r="X328">
        <v>3</v>
      </c>
      <c r="AA328" s="48">
        <v>307.5</v>
      </c>
      <c r="AC328" s="48">
        <v>307.5</v>
      </c>
      <c r="AF328" s="34">
        <f t="shared" si="24"/>
        <v>46011</v>
      </c>
      <c r="AG328" s="34">
        <f t="shared" si="25"/>
        <v>47836</v>
      </c>
      <c r="AH328" s="44" t="s">
        <v>857</v>
      </c>
      <c r="AK328">
        <v>16</v>
      </c>
      <c r="AL328">
        <v>112</v>
      </c>
      <c r="AM328">
        <v>10</v>
      </c>
      <c r="AN328" s="48">
        <v>307.5</v>
      </c>
    </row>
    <row r="329" spans="2:40">
      <c r="B329" s="39" t="s">
        <v>506</v>
      </c>
      <c r="C329" s="44" t="s">
        <v>81</v>
      </c>
      <c r="D329" t="s">
        <v>164</v>
      </c>
      <c r="E329" t="s">
        <v>83</v>
      </c>
      <c r="F329" s="42">
        <v>45656</v>
      </c>
      <c r="G329" s="34">
        <f t="shared" si="26"/>
        <v>45776</v>
      </c>
      <c r="H329" t="s">
        <v>169</v>
      </c>
      <c r="I329" s="34">
        <f t="shared" si="27"/>
        <v>45776</v>
      </c>
      <c r="J329" t="s">
        <v>161</v>
      </c>
      <c r="K329" t="s">
        <v>853</v>
      </c>
      <c r="L329" t="s">
        <v>163</v>
      </c>
      <c r="M329" s="39" t="s">
        <v>506</v>
      </c>
      <c r="N329" t="s">
        <v>161</v>
      </c>
      <c r="Q329" s="39" t="s">
        <v>776</v>
      </c>
      <c r="U329" t="s">
        <v>854</v>
      </c>
      <c r="W329" t="s">
        <v>855</v>
      </c>
      <c r="X329">
        <v>3</v>
      </c>
      <c r="AA329" s="48">
        <v>307.5</v>
      </c>
      <c r="AC329" s="48">
        <v>307.5</v>
      </c>
      <c r="AF329" s="34">
        <f t="shared" si="24"/>
        <v>45985</v>
      </c>
      <c r="AG329" s="34">
        <f t="shared" si="25"/>
        <v>47810</v>
      </c>
      <c r="AH329" s="44" t="s">
        <v>857</v>
      </c>
      <c r="AK329">
        <v>16</v>
      </c>
      <c r="AL329">
        <v>112</v>
      </c>
      <c r="AM329">
        <v>10</v>
      </c>
      <c r="AN329" s="48">
        <v>307.5</v>
      </c>
    </row>
    <row r="330" spans="2:40">
      <c r="B330" s="39" t="s">
        <v>507</v>
      </c>
      <c r="C330" s="44" t="s">
        <v>81</v>
      </c>
      <c r="D330" t="s">
        <v>164</v>
      </c>
      <c r="E330" t="s">
        <v>83</v>
      </c>
      <c r="F330" s="42">
        <v>45656</v>
      </c>
      <c r="G330" s="34">
        <f t="shared" si="26"/>
        <v>45776</v>
      </c>
      <c r="H330" t="s">
        <v>169</v>
      </c>
      <c r="I330" s="34">
        <f t="shared" si="27"/>
        <v>45776</v>
      </c>
      <c r="J330" t="s">
        <v>161</v>
      </c>
      <c r="K330" t="s">
        <v>853</v>
      </c>
      <c r="L330" t="s">
        <v>163</v>
      </c>
      <c r="M330" s="39" t="s">
        <v>507</v>
      </c>
      <c r="N330" t="s">
        <v>161</v>
      </c>
      <c r="Q330" s="39" t="s">
        <v>776</v>
      </c>
      <c r="U330" t="s">
        <v>854</v>
      </c>
      <c r="W330" t="s">
        <v>855</v>
      </c>
      <c r="X330">
        <v>3</v>
      </c>
      <c r="AA330" s="48">
        <v>307.5</v>
      </c>
      <c r="AC330" s="48">
        <v>307.5</v>
      </c>
      <c r="AF330" s="34">
        <f t="shared" ref="AF330:AF393" si="28">+F330+(47*7)</f>
        <v>45985</v>
      </c>
      <c r="AG330" s="34">
        <f t="shared" ref="AG330:AG393" si="29">+AF330+(365*5)</f>
        <v>47810</v>
      </c>
      <c r="AH330" s="44" t="s">
        <v>857</v>
      </c>
      <c r="AK330">
        <v>16</v>
      </c>
      <c r="AL330">
        <v>112</v>
      </c>
      <c r="AM330">
        <v>10</v>
      </c>
      <c r="AN330" s="48">
        <v>307.5</v>
      </c>
    </row>
    <row r="331" spans="2:40">
      <c r="B331" s="39" t="s">
        <v>508</v>
      </c>
      <c r="C331" s="44" t="s">
        <v>81</v>
      </c>
      <c r="D331" t="s">
        <v>164</v>
      </c>
      <c r="E331" t="s">
        <v>83</v>
      </c>
      <c r="F331" s="42">
        <v>45656</v>
      </c>
      <c r="G331" s="34">
        <f t="shared" si="26"/>
        <v>45776</v>
      </c>
      <c r="H331" t="s">
        <v>169</v>
      </c>
      <c r="I331" s="34">
        <f t="shared" si="27"/>
        <v>45776</v>
      </c>
      <c r="J331" t="s">
        <v>161</v>
      </c>
      <c r="K331" t="s">
        <v>853</v>
      </c>
      <c r="L331" t="s">
        <v>163</v>
      </c>
      <c r="M331" s="39" t="s">
        <v>508</v>
      </c>
      <c r="N331" t="s">
        <v>161</v>
      </c>
      <c r="Q331" s="39" t="s">
        <v>776</v>
      </c>
      <c r="U331" t="s">
        <v>854</v>
      </c>
      <c r="W331" t="s">
        <v>855</v>
      </c>
      <c r="X331">
        <v>3</v>
      </c>
      <c r="AA331" s="48">
        <v>307.5</v>
      </c>
      <c r="AC331" s="48">
        <v>307.5</v>
      </c>
      <c r="AF331" s="34">
        <f t="shared" si="28"/>
        <v>45985</v>
      </c>
      <c r="AG331" s="34">
        <f t="shared" si="29"/>
        <v>47810</v>
      </c>
      <c r="AH331" s="44" t="s">
        <v>857</v>
      </c>
      <c r="AK331">
        <v>16</v>
      </c>
      <c r="AL331">
        <v>112</v>
      </c>
      <c r="AM331">
        <v>10</v>
      </c>
      <c r="AN331" s="48">
        <v>307.5</v>
      </c>
    </row>
    <row r="332" spans="2:40">
      <c r="B332" s="39" t="s">
        <v>509</v>
      </c>
      <c r="C332" s="44" t="s">
        <v>81</v>
      </c>
      <c r="D332" t="s">
        <v>164</v>
      </c>
      <c r="E332" t="s">
        <v>83</v>
      </c>
      <c r="F332" s="42">
        <v>45656</v>
      </c>
      <c r="G332" s="34">
        <f t="shared" si="26"/>
        <v>45776</v>
      </c>
      <c r="H332" t="s">
        <v>169</v>
      </c>
      <c r="I332" s="34">
        <f t="shared" si="27"/>
        <v>45776</v>
      </c>
      <c r="J332" t="s">
        <v>161</v>
      </c>
      <c r="K332" t="s">
        <v>853</v>
      </c>
      <c r="L332" t="s">
        <v>163</v>
      </c>
      <c r="M332" s="39" t="s">
        <v>509</v>
      </c>
      <c r="N332" t="s">
        <v>161</v>
      </c>
      <c r="Q332" s="39" t="s">
        <v>776</v>
      </c>
      <c r="U332" t="s">
        <v>854</v>
      </c>
      <c r="W332" t="s">
        <v>855</v>
      </c>
      <c r="X332">
        <v>3</v>
      </c>
      <c r="AA332" s="48">
        <v>307.5</v>
      </c>
      <c r="AC332" s="48">
        <v>307.5</v>
      </c>
      <c r="AF332" s="34">
        <f t="shared" si="28"/>
        <v>45985</v>
      </c>
      <c r="AG332" s="34">
        <f t="shared" si="29"/>
        <v>47810</v>
      </c>
      <c r="AH332" s="44" t="s">
        <v>857</v>
      </c>
      <c r="AK332">
        <v>16</v>
      </c>
      <c r="AL332">
        <v>112</v>
      </c>
      <c r="AM332">
        <v>10</v>
      </c>
      <c r="AN332" s="48">
        <v>307.5</v>
      </c>
    </row>
    <row r="333" spans="2:40">
      <c r="B333" s="39" t="s">
        <v>510</v>
      </c>
      <c r="C333" s="44" t="s">
        <v>81</v>
      </c>
      <c r="D333" t="s">
        <v>164</v>
      </c>
      <c r="E333" t="s">
        <v>83</v>
      </c>
      <c r="F333" s="42">
        <v>45638</v>
      </c>
      <c r="G333" s="34">
        <f t="shared" si="26"/>
        <v>45758</v>
      </c>
      <c r="H333" t="s">
        <v>169</v>
      </c>
      <c r="I333" s="34">
        <f t="shared" si="27"/>
        <v>45758</v>
      </c>
      <c r="J333" t="s">
        <v>161</v>
      </c>
      <c r="K333" t="s">
        <v>853</v>
      </c>
      <c r="L333" t="s">
        <v>163</v>
      </c>
      <c r="M333" s="39" t="s">
        <v>510</v>
      </c>
      <c r="N333" t="s">
        <v>161</v>
      </c>
      <c r="Q333" s="39" t="s">
        <v>777</v>
      </c>
      <c r="U333" t="s">
        <v>854</v>
      </c>
      <c r="W333" t="s">
        <v>855</v>
      </c>
      <c r="X333">
        <v>3</v>
      </c>
      <c r="AA333" s="48">
        <v>307.5</v>
      </c>
      <c r="AC333" s="48">
        <v>307.5</v>
      </c>
      <c r="AF333" s="34">
        <f t="shared" si="28"/>
        <v>45967</v>
      </c>
      <c r="AG333" s="34">
        <f t="shared" si="29"/>
        <v>47792</v>
      </c>
      <c r="AH333" s="44" t="s">
        <v>857</v>
      </c>
      <c r="AK333">
        <v>16</v>
      </c>
      <c r="AL333">
        <v>112</v>
      </c>
      <c r="AM333">
        <v>10</v>
      </c>
      <c r="AN333" s="48">
        <v>307.5</v>
      </c>
    </row>
    <row r="334" spans="2:40">
      <c r="B334" s="39" t="s">
        <v>511</v>
      </c>
      <c r="C334" s="44" t="s">
        <v>81</v>
      </c>
      <c r="D334" t="s">
        <v>164</v>
      </c>
      <c r="E334" t="s">
        <v>83</v>
      </c>
      <c r="F334" s="42">
        <v>45638</v>
      </c>
      <c r="G334" s="34">
        <f t="shared" si="26"/>
        <v>45758</v>
      </c>
      <c r="H334" t="s">
        <v>169</v>
      </c>
      <c r="I334" s="34">
        <f t="shared" si="27"/>
        <v>45758</v>
      </c>
      <c r="J334" t="s">
        <v>161</v>
      </c>
      <c r="K334" t="s">
        <v>853</v>
      </c>
      <c r="L334" t="s">
        <v>163</v>
      </c>
      <c r="M334" s="39" t="s">
        <v>511</v>
      </c>
      <c r="N334" t="s">
        <v>161</v>
      </c>
      <c r="Q334" s="39" t="s">
        <v>777</v>
      </c>
      <c r="U334" t="s">
        <v>854</v>
      </c>
      <c r="W334" t="s">
        <v>855</v>
      </c>
      <c r="X334">
        <v>3</v>
      </c>
      <c r="AA334" s="48">
        <v>307.5</v>
      </c>
      <c r="AC334" s="48">
        <v>307.5</v>
      </c>
      <c r="AF334" s="34">
        <f t="shared" si="28"/>
        <v>45967</v>
      </c>
      <c r="AG334" s="34">
        <f t="shared" si="29"/>
        <v>47792</v>
      </c>
      <c r="AH334" s="44" t="s">
        <v>857</v>
      </c>
      <c r="AK334">
        <v>16</v>
      </c>
      <c r="AL334">
        <v>112</v>
      </c>
      <c r="AM334">
        <v>10</v>
      </c>
      <c r="AN334" s="48">
        <v>307.5</v>
      </c>
    </row>
    <row r="335" spans="2:40">
      <c r="B335" s="39" t="s">
        <v>512</v>
      </c>
      <c r="C335" s="44" t="s">
        <v>81</v>
      </c>
      <c r="D335" t="s">
        <v>164</v>
      </c>
      <c r="E335" t="s">
        <v>83</v>
      </c>
      <c r="F335" s="42">
        <v>45638</v>
      </c>
      <c r="G335" s="34">
        <f t="shared" si="26"/>
        <v>45758</v>
      </c>
      <c r="H335" t="s">
        <v>169</v>
      </c>
      <c r="I335" s="34">
        <f t="shared" si="27"/>
        <v>45758</v>
      </c>
      <c r="J335" t="s">
        <v>161</v>
      </c>
      <c r="K335" t="s">
        <v>853</v>
      </c>
      <c r="L335" t="s">
        <v>163</v>
      </c>
      <c r="M335" s="39" t="s">
        <v>512</v>
      </c>
      <c r="N335" t="s">
        <v>161</v>
      </c>
      <c r="Q335" s="39" t="s">
        <v>777</v>
      </c>
      <c r="U335" t="s">
        <v>854</v>
      </c>
      <c r="W335" t="s">
        <v>855</v>
      </c>
      <c r="X335">
        <v>3</v>
      </c>
      <c r="AA335" s="48">
        <v>307.5</v>
      </c>
      <c r="AC335" s="48">
        <v>307.5</v>
      </c>
      <c r="AF335" s="34">
        <f t="shared" si="28"/>
        <v>45967</v>
      </c>
      <c r="AG335" s="34">
        <f t="shared" si="29"/>
        <v>47792</v>
      </c>
      <c r="AH335" s="44" t="s">
        <v>857</v>
      </c>
      <c r="AK335">
        <v>16</v>
      </c>
      <c r="AL335">
        <v>112</v>
      </c>
      <c r="AM335">
        <v>10</v>
      </c>
      <c r="AN335" s="48">
        <v>307.5</v>
      </c>
    </row>
    <row r="336" spans="2:40">
      <c r="B336" s="39" t="s">
        <v>565</v>
      </c>
      <c r="C336" s="44" t="s">
        <v>81</v>
      </c>
      <c r="D336" t="s">
        <v>164</v>
      </c>
      <c r="E336" t="s">
        <v>83</v>
      </c>
      <c r="F336" s="42">
        <v>45541</v>
      </c>
      <c r="G336" s="34">
        <f t="shared" si="26"/>
        <v>45661</v>
      </c>
      <c r="H336" t="s">
        <v>169</v>
      </c>
      <c r="I336" s="34">
        <f t="shared" si="27"/>
        <v>45661</v>
      </c>
      <c r="J336" t="s">
        <v>161</v>
      </c>
      <c r="K336" t="s">
        <v>853</v>
      </c>
      <c r="L336" t="s">
        <v>163</v>
      </c>
      <c r="M336" s="39" t="s">
        <v>565</v>
      </c>
      <c r="N336" t="s">
        <v>161</v>
      </c>
      <c r="Q336" s="39" t="s">
        <v>778</v>
      </c>
      <c r="U336" t="s">
        <v>854</v>
      </c>
      <c r="W336" t="s">
        <v>855</v>
      </c>
      <c r="X336">
        <v>4</v>
      </c>
      <c r="AA336" s="48">
        <v>307.5</v>
      </c>
      <c r="AC336" s="48">
        <v>307.5</v>
      </c>
      <c r="AF336" s="34">
        <f t="shared" si="28"/>
        <v>45870</v>
      </c>
      <c r="AG336" s="34">
        <f t="shared" si="29"/>
        <v>47695</v>
      </c>
      <c r="AH336" s="44" t="s">
        <v>857</v>
      </c>
      <c r="AK336">
        <v>16</v>
      </c>
      <c r="AL336">
        <v>112</v>
      </c>
      <c r="AM336">
        <v>10</v>
      </c>
      <c r="AN336" s="48">
        <v>307.5</v>
      </c>
    </row>
    <row r="337" spans="2:40">
      <c r="B337" s="39" t="s">
        <v>562</v>
      </c>
      <c r="C337" s="44" t="s">
        <v>81</v>
      </c>
      <c r="D337" t="s">
        <v>164</v>
      </c>
      <c r="E337" t="s">
        <v>83</v>
      </c>
      <c r="F337" s="42">
        <v>45555</v>
      </c>
      <c r="G337" s="34">
        <f t="shared" si="26"/>
        <v>45675</v>
      </c>
      <c r="H337" t="s">
        <v>169</v>
      </c>
      <c r="I337" s="34">
        <f t="shared" si="27"/>
        <v>45675</v>
      </c>
      <c r="J337" t="s">
        <v>161</v>
      </c>
      <c r="K337" t="s">
        <v>853</v>
      </c>
      <c r="L337" t="s">
        <v>163</v>
      </c>
      <c r="M337" s="39" t="s">
        <v>562</v>
      </c>
      <c r="N337" t="s">
        <v>161</v>
      </c>
      <c r="Q337" s="39" t="s">
        <v>778</v>
      </c>
      <c r="U337" t="s">
        <v>854</v>
      </c>
      <c r="W337" t="s">
        <v>855</v>
      </c>
      <c r="X337">
        <v>4</v>
      </c>
      <c r="AA337" s="48">
        <v>307.5</v>
      </c>
      <c r="AC337" s="48">
        <v>307.5</v>
      </c>
      <c r="AF337" s="34">
        <f t="shared" si="28"/>
        <v>45884</v>
      </c>
      <c r="AG337" s="34">
        <f t="shared" si="29"/>
        <v>47709</v>
      </c>
      <c r="AH337" s="44" t="s">
        <v>857</v>
      </c>
      <c r="AK337">
        <v>16</v>
      </c>
      <c r="AL337">
        <v>112</v>
      </c>
      <c r="AM337">
        <v>10</v>
      </c>
      <c r="AN337" s="48">
        <v>307.5</v>
      </c>
    </row>
    <row r="338" spans="2:40">
      <c r="B338" s="39" t="s">
        <v>563</v>
      </c>
      <c r="C338" s="44" t="s">
        <v>81</v>
      </c>
      <c r="D338" t="s">
        <v>164</v>
      </c>
      <c r="E338" t="s">
        <v>83</v>
      </c>
      <c r="F338" s="42">
        <v>45555</v>
      </c>
      <c r="G338" s="34">
        <f t="shared" si="26"/>
        <v>45675</v>
      </c>
      <c r="H338" t="s">
        <v>169</v>
      </c>
      <c r="I338" s="34">
        <f t="shared" si="27"/>
        <v>45675</v>
      </c>
      <c r="J338" t="s">
        <v>161</v>
      </c>
      <c r="K338" t="s">
        <v>853</v>
      </c>
      <c r="L338" t="s">
        <v>163</v>
      </c>
      <c r="M338" s="39" t="s">
        <v>563</v>
      </c>
      <c r="N338" t="s">
        <v>161</v>
      </c>
      <c r="Q338" s="39" t="s">
        <v>778</v>
      </c>
      <c r="U338" t="s">
        <v>854</v>
      </c>
      <c r="W338" t="s">
        <v>855</v>
      </c>
      <c r="X338">
        <v>4</v>
      </c>
      <c r="AA338" s="48">
        <v>307.5</v>
      </c>
      <c r="AC338" s="48">
        <v>307.5</v>
      </c>
      <c r="AF338" s="34">
        <f t="shared" si="28"/>
        <v>45884</v>
      </c>
      <c r="AG338" s="34">
        <f t="shared" si="29"/>
        <v>47709</v>
      </c>
      <c r="AH338" s="44" t="s">
        <v>857</v>
      </c>
      <c r="AK338">
        <v>16</v>
      </c>
      <c r="AL338">
        <v>112</v>
      </c>
      <c r="AM338">
        <v>10</v>
      </c>
      <c r="AN338" s="48">
        <v>307.5</v>
      </c>
    </row>
    <row r="339" spans="2:40">
      <c r="B339" s="39" t="s">
        <v>564</v>
      </c>
      <c r="C339" s="44" t="s">
        <v>81</v>
      </c>
      <c r="D339" t="s">
        <v>164</v>
      </c>
      <c r="E339" t="s">
        <v>83</v>
      </c>
      <c r="F339" s="42">
        <v>45555</v>
      </c>
      <c r="G339" s="34">
        <f t="shared" si="26"/>
        <v>45675</v>
      </c>
      <c r="H339" t="s">
        <v>169</v>
      </c>
      <c r="I339" s="34">
        <f t="shared" si="27"/>
        <v>45675</v>
      </c>
      <c r="J339" t="s">
        <v>161</v>
      </c>
      <c r="K339" t="s">
        <v>853</v>
      </c>
      <c r="L339" t="s">
        <v>163</v>
      </c>
      <c r="M339" s="39" t="s">
        <v>564</v>
      </c>
      <c r="N339" t="s">
        <v>161</v>
      </c>
      <c r="Q339" s="39" t="s">
        <v>778</v>
      </c>
      <c r="U339" t="s">
        <v>854</v>
      </c>
      <c r="W339" t="s">
        <v>855</v>
      </c>
      <c r="X339">
        <v>4</v>
      </c>
      <c r="AA339" s="48">
        <v>307.5</v>
      </c>
      <c r="AC339" s="48">
        <v>307.5</v>
      </c>
      <c r="AF339" s="34">
        <f t="shared" si="28"/>
        <v>45884</v>
      </c>
      <c r="AG339" s="34">
        <f t="shared" si="29"/>
        <v>47709</v>
      </c>
      <c r="AH339" s="44" t="s">
        <v>857</v>
      </c>
      <c r="AK339">
        <v>16</v>
      </c>
      <c r="AL339">
        <v>112</v>
      </c>
      <c r="AM339">
        <v>10</v>
      </c>
      <c r="AN339" s="48">
        <v>307.5</v>
      </c>
    </row>
    <row r="340" spans="2:40">
      <c r="B340" s="39" t="s">
        <v>558</v>
      </c>
      <c r="C340" s="44" t="s">
        <v>81</v>
      </c>
      <c r="D340" t="s">
        <v>164</v>
      </c>
      <c r="E340" t="s">
        <v>83</v>
      </c>
      <c r="F340" s="42">
        <v>45557</v>
      </c>
      <c r="G340" s="34">
        <f t="shared" si="26"/>
        <v>45677</v>
      </c>
      <c r="H340" t="s">
        <v>169</v>
      </c>
      <c r="I340" s="34">
        <f t="shared" si="27"/>
        <v>45677</v>
      </c>
      <c r="J340" t="s">
        <v>161</v>
      </c>
      <c r="K340" t="s">
        <v>853</v>
      </c>
      <c r="L340" t="s">
        <v>163</v>
      </c>
      <c r="M340" s="39" t="s">
        <v>558</v>
      </c>
      <c r="N340" t="s">
        <v>161</v>
      </c>
      <c r="Q340" s="39" t="s">
        <v>778</v>
      </c>
      <c r="U340" t="s">
        <v>854</v>
      </c>
      <c r="W340" t="s">
        <v>855</v>
      </c>
      <c r="X340">
        <v>4</v>
      </c>
      <c r="AA340" s="48">
        <v>307.5</v>
      </c>
      <c r="AC340" s="48">
        <v>307.5</v>
      </c>
      <c r="AF340" s="34">
        <f t="shared" si="28"/>
        <v>45886</v>
      </c>
      <c r="AG340" s="34">
        <f t="shared" si="29"/>
        <v>47711</v>
      </c>
      <c r="AH340" s="44" t="s">
        <v>857</v>
      </c>
      <c r="AK340">
        <v>16</v>
      </c>
      <c r="AL340">
        <v>112</v>
      </c>
      <c r="AM340">
        <v>10</v>
      </c>
      <c r="AN340" s="48">
        <v>307.5</v>
      </c>
    </row>
    <row r="341" spans="2:40">
      <c r="B341" s="39" t="s">
        <v>559</v>
      </c>
      <c r="C341" s="44" t="s">
        <v>81</v>
      </c>
      <c r="D341" t="s">
        <v>164</v>
      </c>
      <c r="E341" t="s">
        <v>83</v>
      </c>
      <c r="F341" s="42">
        <v>45557</v>
      </c>
      <c r="G341" s="34">
        <f t="shared" si="26"/>
        <v>45677</v>
      </c>
      <c r="H341" t="s">
        <v>169</v>
      </c>
      <c r="I341" s="34">
        <f t="shared" si="27"/>
        <v>45677</v>
      </c>
      <c r="J341" t="s">
        <v>161</v>
      </c>
      <c r="K341" t="s">
        <v>853</v>
      </c>
      <c r="L341" t="s">
        <v>163</v>
      </c>
      <c r="M341" s="39" t="s">
        <v>559</v>
      </c>
      <c r="N341" t="s">
        <v>161</v>
      </c>
      <c r="Q341" s="39" t="s">
        <v>778</v>
      </c>
      <c r="U341" t="s">
        <v>854</v>
      </c>
      <c r="W341" t="s">
        <v>855</v>
      </c>
      <c r="X341">
        <v>4</v>
      </c>
      <c r="AA341" s="48">
        <v>307.5</v>
      </c>
      <c r="AC341" s="48">
        <v>307.5</v>
      </c>
      <c r="AF341" s="34">
        <f t="shared" si="28"/>
        <v>45886</v>
      </c>
      <c r="AG341" s="34">
        <f t="shared" si="29"/>
        <v>47711</v>
      </c>
      <c r="AH341" s="44" t="s">
        <v>857</v>
      </c>
      <c r="AK341">
        <v>16</v>
      </c>
      <c r="AL341">
        <v>112</v>
      </c>
      <c r="AM341">
        <v>10</v>
      </c>
      <c r="AN341" s="48">
        <v>307.5</v>
      </c>
    </row>
    <row r="342" spans="2:40">
      <c r="B342" s="39" t="s">
        <v>560</v>
      </c>
      <c r="C342" s="44" t="s">
        <v>81</v>
      </c>
      <c r="D342" t="s">
        <v>164</v>
      </c>
      <c r="E342" t="s">
        <v>83</v>
      </c>
      <c r="F342" s="42">
        <v>45557</v>
      </c>
      <c r="G342" s="34">
        <f t="shared" si="26"/>
        <v>45677</v>
      </c>
      <c r="H342" t="s">
        <v>169</v>
      </c>
      <c r="I342" s="34">
        <f t="shared" si="27"/>
        <v>45677</v>
      </c>
      <c r="J342" t="s">
        <v>161</v>
      </c>
      <c r="K342" t="s">
        <v>853</v>
      </c>
      <c r="L342" t="s">
        <v>163</v>
      </c>
      <c r="M342" s="39" t="s">
        <v>560</v>
      </c>
      <c r="N342" t="s">
        <v>161</v>
      </c>
      <c r="Q342" s="39" t="s">
        <v>778</v>
      </c>
      <c r="U342" t="s">
        <v>854</v>
      </c>
      <c r="W342" t="s">
        <v>855</v>
      </c>
      <c r="X342">
        <v>4</v>
      </c>
      <c r="AA342" s="48">
        <v>307.5</v>
      </c>
      <c r="AC342" s="48">
        <v>307.5</v>
      </c>
      <c r="AF342" s="34">
        <f t="shared" si="28"/>
        <v>45886</v>
      </c>
      <c r="AG342" s="34">
        <f t="shared" si="29"/>
        <v>47711</v>
      </c>
      <c r="AH342" s="44" t="s">
        <v>857</v>
      </c>
      <c r="AK342">
        <v>16</v>
      </c>
      <c r="AL342">
        <v>112</v>
      </c>
      <c r="AM342">
        <v>10</v>
      </c>
      <c r="AN342" s="48">
        <v>307.5</v>
      </c>
    </row>
    <row r="343" spans="2:40">
      <c r="B343" s="39" t="s">
        <v>561</v>
      </c>
      <c r="C343" s="44" t="s">
        <v>81</v>
      </c>
      <c r="D343" t="s">
        <v>164</v>
      </c>
      <c r="E343" t="s">
        <v>83</v>
      </c>
      <c r="F343" s="42">
        <v>45557</v>
      </c>
      <c r="G343" s="34">
        <f t="shared" si="26"/>
        <v>45677</v>
      </c>
      <c r="H343" t="s">
        <v>169</v>
      </c>
      <c r="I343" s="34">
        <f t="shared" si="27"/>
        <v>45677</v>
      </c>
      <c r="J343" t="s">
        <v>161</v>
      </c>
      <c r="K343" t="s">
        <v>853</v>
      </c>
      <c r="L343" t="s">
        <v>163</v>
      </c>
      <c r="M343" s="39" t="s">
        <v>561</v>
      </c>
      <c r="N343" t="s">
        <v>161</v>
      </c>
      <c r="Q343" s="39" t="s">
        <v>779</v>
      </c>
      <c r="U343" t="s">
        <v>854</v>
      </c>
      <c r="W343" t="s">
        <v>855</v>
      </c>
      <c r="X343">
        <v>4</v>
      </c>
      <c r="AA343" s="48">
        <v>307.5</v>
      </c>
      <c r="AC343" s="48">
        <v>307.5</v>
      </c>
      <c r="AF343" s="34">
        <f t="shared" si="28"/>
        <v>45886</v>
      </c>
      <c r="AG343" s="34">
        <f t="shared" si="29"/>
        <v>47711</v>
      </c>
      <c r="AH343" s="44" t="s">
        <v>857</v>
      </c>
      <c r="AK343">
        <v>16</v>
      </c>
      <c r="AL343">
        <v>112</v>
      </c>
      <c r="AM343">
        <v>10</v>
      </c>
      <c r="AN343" s="48">
        <v>307.5</v>
      </c>
    </row>
    <row r="344" spans="2:40">
      <c r="B344" s="39" t="s">
        <v>554</v>
      </c>
      <c r="C344" s="44" t="s">
        <v>81</v>
      </c>
      <c r="D344" t="s">
        <v>164</v>
      </c>
      <c r="E344" t="s">
        <v>83</v>
      </c>
      <c r="F344" s="42">
        <v>45562</v>
      </c>
      <c r="G344" s="34">
        <f t="shared" si="26"/>
        <v>45682</v>
      </c>
      <c r="H344" t="s">
        <v>169</v>
      </c>
      <c r="I344" s="34">
        <f t="shared" si="27"/>
        <v>45682</v>
      </c>
      <c r="J344" t="s">
        <v>161</v>
      </c>
      <c r="K344" t="s">
        <v>853</v>
      </c>
      <c r="L344" t="s">
        <v>163</v>
      </c>
      <c r="M344" s="39" t="s">
        <v>554</v>
      </c>
      <c r="N344" t="s">
        <v>161</v>
      </c>
      <c r="Q344" s="39" t="s">
        <v>779</v>
      </c>
      <c r="U344" t="s">
        <v>854</v>
      </c>
      <c r="W344" t="s">
        <v>855</v>
      </c>
      <c r="X344">
        <v>4</v>
      </c>
      <c r="AA344" s="48">
        <v>307.5</v>
      </c>
      <c r="AC344" s="48">
        <v>307.5</v>
      </c>
      <c r="AF344" s="34">
        <f t="shared" si="28"/>
        <v>45891</v>
      </c>
      <c r="AG344" s="34">
        <f t="shared" si="29"/>
        <v>47716</v>
      </c>
      <c r="AH344" s="44" t="s">
        <v>857</v>
      </c>
      <c r="AK344">
        <v>16</v>
      </c>
      <c r="AL344">
        <v>112</v>
      </c>
      <c r="AM344">
        <v>10</v>
      </c>
      <c r="AN344" s="48">
        <v>307.5</v>
      </c>
    </row>
    <row r="345" spans="2:40">
      <c r="B345" s="39" t="s">
        <v>555</v>
      </c>
      <c r="C345" s="44" t="s">
        <v>81</v>
      </c>
      <c r="D345" t="s">
        <v>164</v>
      </c>
      <c r="E345" t="s">
        <v>83</v>
      </c>
      <c r="F345" s="42">
        <v>45562</v>
      </c>
      <c r="G345" s="34">
        <f t="shared" si="26"/>
        <v>45682</v>
      </c>
      <c r="H345" t="s">
        <v>169</v>
      </c>
      <c r="I345" s="34">
        <f t="shared" si="27"/>
        <v>45682</v>
      </c>
      <c r="J345" t="s">
        <v>161</v>
      </c>
      <c r="K345" t="s">
        <v>853</v>
      </c>
      <c r="L345" t="s">
        <v>163</v>
      </c>
      <c r="M345" s="39" t="s">
        <v>555</v>
      </c>
      <c r="N345" t="s">
        <v>161</v>
      </c>
      <c r="Q345" s="39" t="s">
        <v>779</v>
      </c>
      <c r="U345" t="s">
        <v>854</v>
      </c>
      <c r="W345" t="s">
        <v>855</v>
      </c>
      <c r="X345">
        <v>4</v>
      </c>
      <c r="AA345" s="48">
        <v>307.5</v>
      </c>
      <c r="AC345" s="48">
        <v>307.5</v>
      </c>
      <c r="AF345" s="34">
        <f t="shared" si="28"/>
        <v>45891</v>
      </c>
      <c r="AG345" s="34">
        <f t="shared" si="29"/>
        <v>47716</v>
      </c>
      <c r="AH345" s="44" t="s">
        <v>857</v>
      </c>
      <c r="AK345">
        <v>16</v>
      </c>
      <c r="AL345">
        <v>112</v>
      </c>
      <c r="AM345">
        <v>10</v>
      </c>
      <c r="AN345" s="48">
        <v>307.5</v>
      </c>
    </row>
    <row r="346" spans="2:40">
      <c r="B346" s="39" t="s">
        <v>556</v>
      </c>
      <c r="C346" s="44" t="s">
        <v>81</v>
      </c>
      <c r="D346" t="s">
        <v>164</v>
      </c>
      <c r="E346" t="s">
        <v>83</v>
      </c>
      <c r="F346" s="42">
        <v>45562</v>
      </c>
      <c r="G346" s="34">
        <f t="shared" si="26"/>
        <v>45682</v>
      </c>
      <c r="H346" t="s">
        <v>169</v>
      </c>
      <c r="I346" s="34">
        <f t="shared" si="27"/>
        <v>45682</v>
      </c>
      <c r="J346" t="s">
        <v>161</v>
      </c>
      <c r="K346" t="s">
        <v>853</v>
      </c>
      <c r="L346" t="s">
        <v>163</v>
      </c>
      <c r="M346" s="39" t="s">
        <v>556</v>
      </c>
      <c r="N346" t="s">
        <v>161</v>
      </c>
      <c r="Q346" s="39" t="s">
        <v>779</v>
      </c>
      <c r="U346" t="s">
        <v>854</v>
      </c>
      <c r="W346" t="s">
        <v>855</v>
      </c>
      <c r="X346">
        <v>4</v>
      </c>
      <c r="AA346" s="48">
        <v>307.5</v>
      </c>
      <c r="AC346" s="48">
        <v>307.5</v>
      </c>
      <c r="AF346" s="34">
        <f t="shared" si="28"/>
        <v>45891</v>
      </c>
      <c r="AG346" s="34">
        <f t="shared" si="29"/>
        <v>47716</v>
      </c>
      <c r="AH346" s="44" t="s">
        <v>857</v>
      </c>
      <c r="AK346">
        <v>16</v>
      </c>
      <c r="AL346">
        <v>112</v>
      </c>
      <c r="AM346">
        <v>10</v>
      </c>
      <c r="AN346" s="48">
        <v>307.5</v>
      </c>
    </row>
    <row r="347" spans="2:40">
      <c r="B347" s="39" t="s">
        <v>557</v>
      </c>
      <c r="C347" s="44" t="s">
        <v>81</v>
      </c>
      <c r="D347" t="s">
        <v>164</v>
      </c>
      <c r="E347" t="s">
        <v>83</v>
      </c>
      <c r="F347" s="42">
        <v>45562</v>
      </c>
      <c r="G347" s="34">
        <f t="shared" si="26"/>
        <v>45682</v>
      </c>
      <c r="H347" t="s">
        <v>169</v>
      </c>
      <c r="I347" s="34">
        <f t="shared" si="27"/>
        <v>45682</v>
      </c>
      <c r="J347" t="s">
        <v>161</v>
      </c>
      <c r="K347" t="s">
        <v>853</v>
      </c>
      <c r="L347" t="s">
        <v>163</v>
      </c>
      <c r="M347" s="39" t="s">
        <v>557</v>
      </c>
      <c r="N347" t="s">
        <v>161</v>
      </c>
      <c r="Q347" s="39" t="s">
        <v>779</v>
      </c>
      <c r="U347" t="s">
        <v>854</v>
      </c>
      <c r="W347" t="s">
        <v>855</v>
      </c>
      <c r="X347">
        <v>4</v>
      </c>
      <c r="AA347" s="48">
        <v>307.5</v>
      </c>
      <c r="AC347" s="48">
        <v>307.5</v>
      </c>
      <c r="AF347" s="34">
        <f t="shared" si="28"/>
        <v>45891</v>
      </c>
      <c r="AG347" s="34">
        <f t="shared" si="29"/>
        <v>47716</v>
      </c>
      <c r="AH347" s="44" t="s">
        <v>857</v>
      </c>
      <c r="AK347">
        <v>16</v>
      </c>
      <c r="AL347">
        <v>112</v>
      </c>
      <c r="AM347">
        <v>10</v>
      </c>
      <c r="AN347" s="48">
        <v>307.5</v>
      </c>
    </row>
    <row r="348" spans="2:40">
      <c r="B348" s="39" t="s">
        <v>538</v>
      </c>
      <c r="C348" s="44" t="s">
        <v>81</v>
      </c>
      <c r="D348" t="s">
        <v>164</v>
      </c>
      <c r="E348" t="s">
        <v>83</v>
      </c>
      <c r="F348" s="42">
        <v>45595</v>
      </c>
      <c r="G348" s="34">
        <f t="shared" si="26"/>
        <v>45715</v>
      </c>
      <c r="H348" t="s">
        <v>169</v>
      </c>
      <c r="I348" s="34">
        <f t="shared" si="27"/>
        <v>45715</v>
      </c>
      <c r="J348" t="s">
        <v>161</v>
      </c>
      <c r="K348" t="s">
        <v>853</v>
      </c>
      <c r="L348" t="s">
        <v>163</v>
      </c>
      <c r="M348" s="39" t="s">
        <v>538</v>
      </c>
      <c r="N348" t="s">
        <v>161</v>
      </c>
      <c r="Q348" s="39" t="s">
        <v>779</v>
      </c>
      <c r="U348" t="s">
        <v>854</v>
      </c>
      <c r="W348" t="s">
        <v>855</v>
      </c>
      <c r="X348">
        <v>4</v>
      </c>
      <c r="AA348" s="48">
        <v>307.5</v>
      </c>
      <c r="AC348" s="48">
        <v>307.5</v>
      </c>
      <c r="AF348" s="34">
        <f t="shared" si="28"/>
        <v>45924</v>
      </c>
      <c r="AG348" s="34">
        <f t="shared" si="29"/>
        <v>47749</v>
      </c>
      <c r="AH348" s="44" t="s">
        <v>857</v>
      </c>
      <c r="AK348">
        <v>16</v>
      </c>
      <c r="AL348">
        <v>112</v>
      </c>
      <c r="AM348">
        <v>10</v>
      </c>
      <c r="AN348" s="48">
        <v>307.5</v>
      </c>
    </row>
    <row r="349" spans="2:40">
      <c r="B349" s="39" t="s">
        <v>539</v>
      </c>
      <c r="C349" s="44" t="s">
        <v>81</v>
      </c>
      <c r="D349" t="s">
        <v>164</v>
      </c>
      <c r="E349" t="s">
        <v>83</v>
      </c>
      <c r="F349" s="42">
        <v>45595</v>
      </c>
      <c r="G349" s="34">
        <f t="shared" si="26"/>
        <v>45715</v>
      </c>
      <c r="H349" t="s">
        <v>169</v>
      </c>
      <c r="I349" s="34">
        <f t="shared" si="27"/>
        <v>45715</v>
      </c>
      <c r="J349" t="s">
        <v>161</v>
      </c>
      <c r="K349" t="s">
        <v>853</v>
      </c>
      <c r="L349" t="s">
        <v>163</v>
      </c>
      <c r="M349" s="39" t="s">
        <v>539</v>
      </c>
      <c r="N349" t="s">
        <v>161</v>
      </c>
      <c r="Q349" s="39" t="s">
        <v>779</v>
      </c>
      <c r="U349" t="s">
        <v>854</v>
      </c>
      <c r="W349" t="s">
        <v>855</v>
      </c>
      <c r="X349">
        <v>4</v>
      </c>
      <c r="AA349" s="48">
        <v>307.5</v>
      </c>
      <c r="AC349" s="48">
        <v>307.5</v>
      </c>
      <c r="AF349" s="34">
        <f t="shared" si="28"/>
        <v>45924</v>
      </c>
      <c r="AG349" s="34">
        <f t="shared" si="29"/>
        <v>47749</v>
      </c>
      <c r="AH349" s="44" t="s">
        <v>857</v>
      </c>
      <c r="AK349">
        <v>16</v>
      </c>
      <c r="AL349">
        <v>112</v>
      </c>
      <c r="AM349">
        <v>10</v>
      </c>
      <c r="AN349" s="48">
        <v>307.5</v>
      </c>
    </row>
    <row r="350" spans="2:40">
      <c r="B350" s="39" t="s">
        <v>540</v>
      </c>
      <c r="C350" s="44" t="s">
        <v>81</v>
      </c>
      <c r="D350" t="s">
        <v>164</v>
      </c>
      <c r="E350" t="s">
        <v>83</v>
      </c>
      <c r="F350" s="42">
        <v>45595</v>
      </c>
      <c r="G350" s="34">
        <f t="shared" si="26"/>
        <v>45715</v>
      </c>
      <c r="H350" t="s">
        <v>169</v>
      </c>
      <c r="I350" s="34">
        <f t="shared" si="27"/>
        <v>45715</v>
      </c>
      <c r="J350" t="s">
        <v>161</v>
      </c>
      <c r="K350" t="s">
        <v>853</v>
      </c>
      <c r="L350" t="s">
        <v>163</v>
      </c>
      <c r="M350" s="39" t="s">
        <v>540</v>
      </c>
      <c r="N350" t="s">
        <v>161</v>
      </c>
      <c r="Q350" s="39" t="s">
        <v>779</v>
      </c>
      <c r="U350" t="s">
        <v>854</v>
      </c>
      <c r="W350" t="s">
        <v>855</v>
      </c>
      <c r="X350">
        <v>4</v>
      </c>
      <c r="AA350" s="48">
        <v>307.5</v>
      </c>
      <c r="AC350" s="48">
        <v>307.5</v>
      </c>
      <c r="AF350" s="34">
        <f t="shared" si="28"/>
        <v>45924</v>
      </c>
      <c r="AG350" s="34">
        <f t="shared" si="29"/>
        <v>47749</v>
      </c>
      <c r="AH350" s="44" t="s">
        <v>857</v>
      </c>
      <c r="AK350">
        <v>16</v>
      </c>
      <c r="AL350">
        <v>112</v>
      </c>
      <c r="AM350">
        <v>10</v>
      </c>
      <c r="AN350" s="48">
        <v>307.5</v>
      </c>
    </row>
    <row r="351" spans="2:40">
      <c r="B351" s="39" t="s">
        <v>551</v>
      </c>
      <c r="C351" s="44" t="s">
        <v>81</v>
      </c>
      <c r="D351" t="s">
        <v>164</v>
      </c>
      <c r="E351" t="s">
        <v>83</v>
      </c>
      <c r="F351" s="42">
        <v>45575</v>
      </c>
      <c r="G351" s="34">
        <f t="shared" si="26"/>
        <v>45695</v>
      </c>
      <c r="H351" t="s">
        <v>169</v>
      </c>
      <c r="I351" s="34">
        <f t="shared" si="27"/>
        <v>45695</v>
      </c>
      <c r="J351" t="s">
        <v>161</v>
      </c>
      <c r="K351" t="s">
        <v>853</v>
      </c>
      <c r="L351" t="s">
        <v>163</v>
      </c>
      <c r="M351" s="39" t="s">
        <v>551</v>
      </c>
      <c r="N351" t="s">
        <v>161</v>
      </c>
      <c r="Q351" s="39" t="s">
        <v>780</v>
      </c>
      <c r="U351" t="s">
        <v>854</v>
      </c>
      <c r="W351" t="s">
        <v>855</v>
      </c>
      <c r="X351">
        <v>4</v>
      </c>
      <c r="AA351" s="48">
        <v>307.5</v>
      </c>
      <c r="AC351" s="48">
        <v>307.5</v>
      </c>
      <c r="AF351" s="34">
        <f t="shared" si="28"/>
        <v>45904</v>
      </c>
      <c r="AG351" s="34">
        <f t="shared" si="29"/>
        <v>47729</v>
      </c>
      <c r="AH351" s="44" t="s">
        <v>857</v>
      </c>
      <c r="AK351">
        <v>16</v>
      </c>
      <c r="AL351">
        <v>112</v>
      </c>
      <c r="AM351">
        <v>10</v>
      </c>
      <c r="AN351" s="48">
        <v>307.5</v>
      </c>
    </row>
    <row r="352" spans="2:40">
      <c r="B352" s="39" t="s">
        <v>552</v>
      </c>
      <c r="C352" s="44" t="s">
        <v>81</v>
      </c>
      <c r="D352" t="s">
        <v>164</v>
      </c>
      <c r="E352" t="s">
        <v>83</v>
      </c>
      <c r="F352" s="42">
        <v>45575</v>
      </c>
      <c r="G352" s="34">
        <f t="shared" si="26"/>
        <v>45695</v>
      </c>
      <c r="H352" t="s">
        <v>169</v>
      </c>
      <c r="I352" s="34">
        <f t="shared" si="27"/>
        <v>45695</v>
      </c>
      <c r="J352" t="s">
        <v>161</v>
      </c>
      <c r="K352" t="s">
        <v>853</v>
      </c>
      <c r="L352" t="s">
        <v>163</v>
      </c>
      <c r="M352" s="39" t="s">
        <v>552</v>
      </c>
      <c r="N352" t="s">
        <v>161</v>
      </c>
      <c r="Q352" s="39" t="s">
        <v>780</v>
      </c>
      <c r="U352" t="s">
        <v>854</v>
      </c>
      <c r="W352" t="s">
        <v>855</v>
      </c>
      <c r="X352">
        <v>4</v>
      </c>
      <c r="AA352" s="48">
        <v>307.5</v>
      </c>
      <c r="AC352" s="48">
        <v>307.5</v>
      </c>
      <c r="AF352" s="34">
        <f t="shared" si="28"/>
        <v>45904</v>
      </c>
      <c r="AG352" s="34">
        <f t="shared" si="29"/>
        <v>47729</v>
      </c>
      <c r="AH352" s="44" t="s">
        <v>857</v>
      </c>
      <c r="AK352">
        <v>16</v>
      </c>
      <c r="AL352">
        <v>112</v>
      </c>
      <c r="AM352">
        <v>10</v>
      </c>
      <c r="AN352" s="48">
        <v>307.5</v>
      </c>
    </row>
    <row r="353" spans="2:40">
      <c r="B353" s="39" t="s">
        <v>553</v>
      </c>
      <c r="C353" s="44" t="s">
        <v>81</v>
      </c>
      <c r="D353" t="s">
        <v>164</v>
      </c>
      <c r="E353" t="s">
        <v>83</v>
      </c>
      <c r="F353" s="42">
        <v>45575</v>
      </c>
      <c r="G353" s="34">
        <f t="shared" si="26"/>
        <v>45695</v>
      </c>
      <c r="H353" t="s">
        <v>169</v>
      </c>
      <c r="I353" s="34">
        <f t="shared" si="27"/>
        <v>45695</v>
      </c>
      <c r="J353" t="s">
        <v>161</v>
      </c>
      <c r="K353" t="s">
        <v>853</v>
      </c>
      <c r="L353" t="s">
        <v>163</v>
      </c>
      <c r="M353" s="39" t="s">
        <v>553</v>
      </c>
      <c r="N353" t="s">
        <v>161</v>
      </c>
      <c r="Q353" s="39" t="s">
        <v>780</v>
      </c>
      <c r="U353" t="s">
        <v>854</v>
      </c>
      <c r="W353" t="s">
        <v>855</v>
      </c>
      <c r="X353">
        <v>4</v>
      </c>
      <c r="AA353" s="48">
        <v>307.5</v>
      </c>
      <c r="AC353" s="48">
        <v>307.5</v>
      </c>
      <c r="AF353" s="34">
        <f t="shared" si="28"/>
        <v>45904</v>
      </c>
      <c r="AG353" s="34">
        <f t="shared" si="29"/>
        <v>47729</v>
      </c>
      <c r="AH353" s="44" t="s">
        <v>857</v>
      </c>
      <c r="AK353">
        <v>16</v>
      </c>
      <c r="AL353">
        <v>112</v>
      </c>
      <c r="AM353">
        <v>10</v>
      </c>
      <c r="AN353" s="48">
        <v>307.5</v>
      </c>
    </row>
    <row r="354" spans="2:40">
      <c r="B354" s="39" t="s">
        <v>549</v>
      </c>
      <c r="C354" s="44" t="s">
        <v>81</v>
      </c>
      <c r="D354" t="s">
        <v>164</v>
      </c>
      <c r="E354" t="s">
        <v>83</v>
      </c>
      <c r="F354" s="42">
        <v>45578</v>
      </c>
      <c r="G354" s="34">
        <f t="shared" si="26"/>
        <v>45698</v>
      </c>
      <c r="H354" t="s">
        <v>169</v>
      </c>
      <c r="I354" s="34">
        <f t="shared" si="27"/>
        <v>45698</v>
      </c>
      <c r="J354" t="s">
        <v>161</v>
      </c>
      <c r="K354" t="s">
        <v>853</v>
      </c>
      <c r="L354" t="s">
        <v>163</v>
      </c>
      <c r="M354" s="39" t="s">
        <v>549</v>
      </c>
      <c r="N354" t="s">
        <v>161</v>
      </c>
      <c r="Q354" s="39" t="s">
        <v>781</v>
      </c>
      <c r="U354" t="s">
        <v>854</v>
      </c>
      <c r="W354" t="s">
        <v>855</v>
      </c>
      <c r="X354">
        <v>4</v>
      </c>
      <c r="AA354" s="48">
        <v>307.5</v>
      </c>
      <c r="AC354" s="48">
        <v>307.5</v>
      </c>
      <c r="AF354" s="34">
        <f t="shared" si="28"/>
        <v>45907</v>
      </c>
      <c r="AG354" s="34">
        <f t="shared" si="29"/>
        <v>47732</v>
      </c>
      <c r="AH354" s="44" t="s">
        <v>857</v>
      </c>
      <c r="AK354">
        <v>16</v>
      </c>
      <c r="AL354">
        <v>112</v>
      </c>
      <c r="AM354">
        <v>10</v>
      </c>
      <c r="AN354" s="48">
        <v>307.5</v>
      </c>
    </row>
    <row r="355" spans="2:40">
      <c r="B355" s="39" t="s">
        <v>550</v>
      </c>
      <c r="C355" s="44" t="s">
        <v>81</v>
      </c>
      <c r="D355" t="s">
        <v>164</v>
      </c>
      <c r="E355" t="s">
        <v>83</v>
      </c>
      <c r="F355" s="42">
        <v>45578</v>
      </c>
      <c r="G355" s="34">
        <f t="shared" si="26"/>
        <v>45698</v>
      </c>
      <c r="H355" t="s">
        <v>169</v>
      </c>
      <c r="I355" s="34">
        <f t="shared" si="27"/>
        <v>45698</v>
      </c>
      <c r="J355" t="s">
        <v>161</v>
      </c>
      <c r="K355" t="s">
        <v>853</v>
      </c>
      <c r="L355" t="s">
        <v>163</v>
      </c>
      <c r="M355" s="39" t="s">
        <v>550</v>
      </c>
      <c r="N355" t="s">
        <v>161</v>
      </c>
      <c r="Q355" s="39" t="s">
        <v>781</v>
      </c>
      <c r="U355" t="s">
        <v>854</v>
      </c>
      <c r="W355" t="s">
        <v>855</v>
      </c>
      <c r="X355">
        <v>4</v>
      </c>
      <c r="AA355" s="48">
        <v>307.5</v>
      </c>
      <c r="AC355" s="48">
        <v>307.5</v>
      </c>
      <c r="AF355" s="34">
        <f t="shared" si="28"/>
        <v>45907</v>
      </c>
      <c r="AG355" s="34">
        <f t="shared" si="29"/>
        <v>47732</v>
      </c>
      <c r="AH355" s="44" t="s">
        <v>857</v>
      </c>
      <c r="AK355">
        <v>16</v>
      </c>
      <c r="AL355">
        <v>112</v>
      </c>
      <c r="AM355">
        <v>10</v>
      </c>
      <c r="AN355" s="48">
        <v>307.5</v>
      </c>
    </row>
    <row r="356" spans="2:40">
      <c r="B356" s="39" t="s">
        <v>545</v>
      </c>
      <c r="C356" s="44" t="s">
        <v>81</v>
      </c>
      <c r="D356" t="s">
        <v>164</v>
      </c>
      <c r="E356" t="s">
        <v>83</v>
      </c>
      <c r="F356" s="42">
        <v>45586</v>
      </c>
      <c r="G356" s="34">
        <f t="shared" si="26"/>
        <v>45706</v>
      </c>
      <c r="H356" t="s">
        <v>169</v>
      </c>
      <c r="I356" s="34">
        <f t="shared" si="27"/>
        <v>45706</v>
      </c>
      <c r="J356" t="s">
        <v>161</v>
      </c>
      <c r="K356" t="s">
        <v>853</v>
      </c>
      <c r="L356" t="s">
        <v>163</v>
      </c>
      <c r="M356" s="39" t="s">
        <v>545</v>
      </c>
      <c r="N356" t="s">
        <v>161</v>
      </c>
      <c r="Q356" s="39" t="s">
        <v>782</v>
      </c>
      <c r="U356" t="s">
        <v>854</v>
      </c>
      <c r="W356" t="s">
        <v>855</v>
      </c>
      <c r="X356">
        <v>4</v>
      </c>
      <c r="AA356" s="48">
        <v>307.5</v>
      </c>
      <c r="AC356" s="48">
        <v>307.5</v>
      </c>
      <c r="AF356" s="34">
        <f t="shared" si="28"/>
        <v>45915</v>
      </c>
      <c r="AG356" s="34">
        <f t="shared" si="29"/>
        <v>47740</v>
      </c>
      <c r="AH356" s="44" t="s">
        <v>857</v>
      </c>
      <c r="AK356">
        <v>16</v>
      </c>
      <c r="AL356">
        <v>112</v>
      </c>
      <c r="AM356">
        <v>10</v>
      </c>
      <c r="AN356" s="48">
        <v>307.5</v>
      </c>
    </row>
    <row r="357" spans="2:40">
      <c r="B357" s="39" t="s">
        <v>546</v>
      </c>
      <c r="C357" s="44" t="s">
        <v>81</v>
      </c>
      <c r="D357" t="s">
        <v>164</v>
      </c>
      <c r="E357" t="s">
        <v>83</v>
      </c>
      <c r="F357" s="42">
        <v>45586</v>
      </c>
      <c r="G357" s="34">
        <f t="shared" si="26"/>
        <v>45706</v>
      </c>
      <c r="H357" t="s">
        <v>169</v>
      </c>
      <c r="I357" s="34">
        <f t="shared" si="27"/>
        <v>45706</v>
      </c>
      <c r="J357" t="s">
        <v>161</v>
      </c>
      <c r="K357" t="s">
        <v>853</v>
      </c>
      <c r="L357" t="s">
        <v>163</v>
      </c>
      <c r="M357" s="39" t="s">
        <v>546</v>
      </c>
      <c r="N357" t="s">
        <v>161</v>
      </c>
      <c r="Q357" s="39" t="s">
        <v>782</v>
      </c>
      <c r="U357" t="s">
        <v>854</v>
      </c>
      <c r="W357" t="s">
        <v>855</v>
      </c>
      <c r="X357">
        <v>4</v>
      </c>
      <c r="AA357" s="48">
        <v>307.5</v>
      </c>
      <c r="AC357" s="48">
        <v>307.5</v>
      </c>
      <c r="AF357" s="34">
        <f t="shared" si="28"/>
        <v>45915</v>
      </c>
      <c r="AG357" s="34">
        <f t="shared" si="29"/>
        <v>47740</v>
      </c>
      <c r="AH357" s="44" t="s">
        <v>857</v>
      </c>
      <c r="AK357">
        <v>16</v>
      </c>
      <c r="AL357">
        <v>112</v>
      </c>
      <c r="AM357">
        <v>10</v>
      </c>
      <c r="AN357" s="48">
        <v>307.5</v>
      </c>
    </row>
    <row r="358" spans="2:40">
      <c r="B358" s="39" t="s">
        <v>547</v>
      </c>
      <c r="C358" s="44" t="s">
        <v>81</v>
      </c>
      <c r="D358" t="s">
        <v>164</v>
      </c>
      <c r="E358" t="s">
        <v>83</v>
      </c>
      <c r="F358" s="42">
        <v>45586</v>
      </c>
      <c r="G358" s="34">
        <f t="shared" si="26"/>
        <v>45706</v>
      </c>
      <c r="H358" t="s">
        <v>169</v>
      </c>
      <c r="I358" s="34">
        <f t="shared" si="27"/>
        <v>45706</v>
      </c>
      <c r="J358" t="s">
        <v>161</v>
      </c>
      <c r="K358" t="s">
        <v>853</v>
      </c>
      <c r="L358" t="s">
        <v>163</v>
      </c>
      <c r="M358" s="39" t="s">
        <v>547</v>
      </c>
      <c r="N358" t="s">
        <v>161</v>
      </c>
      <c r="Q358" s="39" t="s">
        <v>782</v>
      </c>
      <c r="U358" t="s">
        <v>854</v>
      </c>
      <c r="W358" t="s">
        <v>855</v>
      </c>
      <c r="X358">
        <v>4</v>
      </c>
      <c r="AA358" s="48">
        <v>307.5</v>
      </c>
      <c r="AC358" s="48">
        <v>307.5</v>
      </c>
      <c r="AF358" s="34">
        <f t="shared" si="28"/>
        <v>45915</v>
      </c>
      <c r="AG358" s="34">
        <f t="shared" si="29"/>
        <v>47740</v>
      </c>
      <c r="AH358" s="44" t="s">
        <v>857</v>
      </c>
      <c r="AK358">
        <v>16</v>
      </c>
      <c r="AL358">
        <v>112</v>
      </c>
      <c r="AM358">
        <v>10</v>
      </c>
      <c r="AN358" s="48">
        <v>307.5</v>
      </c>
    </row>
    <row r="359" spans="2:40">
      <c r="B359" s="39" t="s">
        <v>548</v>
      </c>
      <c r="C359" s="44" t="s">
        <v>81</v>
      </c>
      <c r="D359" t="s">
        <v>164</v>
      </c>
      <c r="E359" t="s">
        <v>83</v>
      </c>
      <c r="F359" s="42">
        <v>45586</v>
      </c>
      <c r="G359" s="34">
        <f t="shared" si="26"/>
        <v>45706</v>
      </c>
      <c r="H359" t="s">
        <v>169</v>
      </c>
      <c r="I359" s="34">
        <f t="shared" si="27"/>
        <v>45706</v>
      </c>
      <c r="J359" t="s">
        <v>161</v>
      </c>
      <c r="K359" t="s">
        <v>853</v>
      </c>
      <c r="L359" t="s">
        <v>163</v>
      </c>
      <c r="M359" s="39" t="s">
        <v>548</v>
      </c>
      <c r="N359" t="s">
        <v>161</v>
      </c>
      <c r="Q359" s="39" t="s">
        <v>782</v>
      </c>
      <c r="U359" t="s">
        <v>854</v>
      </c>
      <c r="W359" t="s">
        <v>855</v>
      </c>
      <c r="X359">
        <v>4</v>
      </c>
      <c r="AA359" s="48">
        <v>307.5</v>
      </c>
      <c r="AC359" s="48">
        <v>307.5</v>
      </c>
      <c r="AF359" s="34">
        <f t="shared" si="28"/>
        <v>45915</v>
      </c>
      <c r="AG359" s="34">
        <f t="shared" si="29"/>
        <v>47740</v>
      </c>
      <c r="AH359" s="44" t="s">
        <v>857</v>
      </c>
      <c r="AK359">
        <v>16</v>
      </c>
      <c r="AL359">
        <v>112</v>
      </c>
      <c r="AM359">
        <v>10</v>
      </c>
      <c r="AN359" s="48">
        <v>307.5</v>
      </c>
    </row>
    <row r="360" spans="2:40">
      <c r="B360" s="39" t="s">
        <v>541</v>
      </c>
      <c r="C360" s="44" t="s">
        <v>81</v>
      </c>
      <c r="D360" t="s">
        <v>164</v>
      </c>
      <c r="E360" t="s">
        <v>83</v>
      </c>
      <c r="F360" s="42">
        <v>45595</v>
      </c>
      <c r="G360" s="34">
        <f t="shared" si="26"/>
        <v>45715</v>
      </c>
      <c r="H360" t="s">
        <v>169</v>
      </c>
      <c r="I360" s="34">
        <f t="shared" si="27"/>
        <v>45715</v>
      </c>
      <c r="J360" t="s">
        <v>161</v>
      </c>
      <c r="K360" t="s">
        <v>853</v>
      </c>
      <c r="L360" t="s">
        <v>163</v>
      </c>
      <c r="M360" s="39" t="s">
        <v>541</v>
      </c>
      <c r="N360" t="s">
        <v>161</v>
      </c>
      <c r="Q360" s="39" t="s">
        <v>783</v>
      </c>
      <c r="U360" t="s">
        <v>854</v>
      </c>
      <c r="W360" t="s">
        <v>855</v>
      </c>
      <c r="X360">
        <v>4</v>
      </c>
      <c r="AA360" s="48">
        <v>307.5</v>
      </c>
      <c r="AC360" s="48">
        <v>307.5</v>
      </c>
      <c r="AF360" s="34">
        <f t="shared" si="28"/>
        <v>45924</v>
      </c>
      <c r="AG360" s="34">
        <f t="shared" si="29"/>
        <v>47749</v>
      </c>
      <c r="AH360" s="44" t="s">
        <v>857</v>
      </c>
      <c r="AK360">
        <v>16</v>
      </c>
      <c r="AL360">
        <v>112</v>
      </c>
      <c r="AM360">
        <v>10</v>
      </c>
      <c r="AN360" s="48">
        <v>307.5</v>
      </c>
    </row>
    <row r="361" spans="2:40">
      <c r="B361" s="39" t="s">
        <v>542</v>
      </c>
      <c r="C361" s="44" t="s">
        <v>81</v>
      </c>
      <c r="D361" t="s">
        <v>164</v>
      </c>
      <c r="E361" t="s">
        <v>83</v>
      </c>
      <c r="F361" s="42">
        <v>45595</v>
      </c>
      <c r="G361" s="34">
        <f t="shared" si="26"/>
        <v>45715</v>
      </c>
      <c r="H361" t="s">
        <v>169</v>
      </c>
      <c r="I361" s="34">
        <f t="shared" si="27"/>
        <v>45715</v>
      </c>
      <c r="J361" t="s">
        <v>161</v>
      </c>
      <c r="K361" t="s">
        <v>853</v>
      </c>
      <c r="L361" t="s">
        <v>163</v>
      </c>
      <c r="M361" s="39" t="s">
        <v>542</v>
      </c>
      <c r="N361" t="s">
        <v>161</v>
      </c>
      <c r="Q361" s="39" t="s">
        <v>783</v>
      </c>
      <c r="U361" t="s">
        <v>854</v>
      </c>
      <c r="W361" t="s">
        <v>855</v>
      </c>
      <c r="X361">
        <v>4</v>
      </c>
      <c r="AA361" s="48">
        <v>307.5</v>
      </c>
      <c r="AC361" s="48">
        <v>307.5</v>
      </c>
      <c r="AF361" s="34">
        <f t="shared" si="28"/>
        <v>45924</v>
      </c>
      <c r="AG361" s="34">
        <f t="shared" si="29"/>
        <v>47749</v>
      </c>
      <c r="AH361" s="44" t="s">
        <v>857</v>
      </c>
      <c r="AK361">
        <v>16</v>
      </c>
      <c r="AL361">
        <v>112</v>
      </c>
      <c r="AM361">
        <v>10</v>
      </c>
      <c r="AN361" s="48">
        <v>307.5</v>
      </c>
    </row>
    <row r="362" spans="2:40">
      <c r="B362" s="39" t="s">
        <v>543</v>
      </c>
      <c r="C362" s="44" t="s">
        <v>81</v>
      </c>
      <c r="D362" t="s">
        <v>164</v>
      </c>
      <c r="E362" t="s">
        <v>83</v>
      </c>
      <c r="F362" s="42">
        <v>45595</v>
      </c>
      <c r="G362" s="34">
        <f t="shared" si="26"/>
        <v>45715</v>
      </c>
      <c r="H362" t="s">
        <v>169</v>
      </c>
      <c r="I362" s="34">
        <f t="shared" si="27"/>
        <v>45715</v>
      </c>
      <c r="J362" t="s">
        <v>161</v>
      </c>
      <c r="K362" t="s">
        <v>853</v>
      </c>
      <c r="L362" t="s">
        <v>163</v>
      </c>
      <c r="M362" s="39" t="s">
        <v>543</v>
      </c>
      <c r="N362" t="s">
        <v>161</v>
      </c>
      <c r="Q362" s="39" t="s">
        <v>783</v>
      </c>
      <c r="U362" t="s">
        <v>854</v>
      </c>
      <c r="W362" t="s">
        <v>855</v>
      </c>
      <c r="X362">
        <v>4</v>
      </c>
      <c r="AA362" s="48">
        <v>307.5</v>
      </c>
      <c r="AC362" s="48">
        <v>307.5</v>
      </c>
      <c r="AF362" s="34">
        <f t="shared" si="28"/>
        <v>45924</v>
      </c>
      <c r="AG362" s="34">
        <f t="shared" si="29"/>
        <v>47749</v>
      </c>
      <c r="AH362" s="44" t="s">
        <v>857</v>
      </c>
      <c r="AK362">
        <v>16</v>
      </c>
      <c r="AL362">
        <v>112</v>
      </c>
      <c r="AM362">
        <v>10</v>
      </c>
      <c r="AN362" s="48">
        <v>307.5</v>
      </c>
    </row>
    <row r="363" spans="2:40">
      <c r="B363" s="39" t="s">
        <v>544</v>
      </c>
      <c r="C363" s="44" t="s">
        <v>81</v>
      </c>
      <c r="D363" t="s">
        <v>164</v>
      </c>
      <c r="E363" t="s">
        <v>83</v>
      </c>
      <c r="F363" s="42">
        <v>45595</v>
      </c>
      <c r="G363" s="34">
        <f t="shared" si="26"/>
        <v>45715</v>
      </c>
      <c r="H363" t="s">
        <v>169</v>
      </c>
      <c r="I363" s="34">
        <f t="shared" si="27"/>
        <v>45715</v>
      </c>
      <c r="J363" t="s">
        <v>161</v>
      </c>
      <c r="K363" t="s">
        <v>853</v>
      </c>
      <c r="L363" t="s">
        <v>163</v>
      </c>
      <c r="M363" s="39" t="s">
        <v>544</v>
      </c>
      <c r="N363" t="s">
        <v>161</v>
      </c>
      <c r="Q363" s="39" t="s">
        <v>783</v>
      </c>
      <c r="U363" t="s">
        <v>854</v>
      </c>
      <c r="W363" t="s">
        <v>855</v>
      </c>
      <c r="X363">
        <v>4</v>
      </c>
      <c r="AA363" s="48">
        <v>307.5</v>
      </c>
      <c r="AC363" s="48">
        <v>307.5</v>
      </c>
      <c r="AF363" s="34">
        <f t="shared" si="28"/>
        <v>45924</v>
      </c>
      <c r="AG363" s="34">
        <f t="shared" si="29"/>
        <v>47749</v>
      </c>
      <c r="AH363" s="44" t="s">
        <v>857</v>
      </c>
      <c r="AK363">
        <v>16</v>
      </c>
      <c r="AL363">
        <v>112</v>
      </c>
      <c r="AM363">
        <v>10</v>
      </c>
      <c r="AN363" s="48">
        <v>307.5</v>
      </c>
    </row>
    <row r="364" spans="2:40">
      <c r="B364" s="39" t="s">
        <v>537</v>
      </c>
      <c r="C364" s="44" t="s">
        <v>81</v>
      </c>
      <c r="D364" t="s">
        <v>164</v>
      </c>
      <c r="E364" t="s">
        <v>83</v>
      </c>
      <c r="F364" s="42">
        <v>45595</v>
      </c>
      <c r="G364" s="34">
        <f t="shared" si="26"/>
        <v>45715</v>
      </c>
      <c r="H364" t="s">
        <v>169</v>
      </c>
      <c r="I364" s="34">
        <f t="shared" si="27"/>
        <v>45715</v>
      </c>
      <c r="J364" t="s">
        <v>161</v>
      </c>
      <c r="K364" t="s">
        <v>853</v>
      </c>
      <c r="L364" t="s">
        <v>163</v>
      </c>
      <c r="M364" s="39" t="s">
        <v>537</v>
      </c>
      <c r="N364" t="s">
        <v>161</v>
      </c>
      <c r="Q364" s="39" t="s">
        <v>783</v>
      </c>
      <c r="U364" t="s">
        <v>854</v>
      </c>
      <c r="W364" t="s">
        <v>855</v>
      </c>
      <c r="X364">
        <v>4</v>
      </c>
      <c r="AA364" s="48">
        <v>307.5</v>
      </c>
      <c r="AC364" s="48">
        <v>307.5</v>
      </c>
      <c r="AF364" s="34">
        <f t="shared" si="28"/>
        <v>45924</v>
      </c>
      <c r="AG364" s="34">
        <f t="shared" si="29"/>
        <v>47749</v>
      </c>
      <c r="AH364" s="44" t="s">
        <v>857</v>
      </c>
      <c r="AK364">
        <v>16</v>
      </c>
      <c r="AL364">
        <v>112</v>
      </c>
      <c r="AM364">
        <v>10</v>
      </c>
      <c r="AN364" s="48">
        <v>307.5</v>
      </c>
    </row>
    <row r="365" spans="2:40">
      <c r="B365" s="39" t="s">
        <v>533</v>
      </c>
      <c r="C365" s="44" t="s">
        <v>81</v>
      </c>
      <c r="D365" t="s">
        <v>164</v>
      </c>
      <c r="E365" t="s">
        <v>83</v>
      </c>
      <c r="F365" s="42">
        <v>45599</v>
      </c>
      <c r="G365" s="34">
        <f t="shared" si="26"/>
        <v>45719</v>
      </c>
      <c r="H365" t="s">
        <v>169</v>
      </c>
      <c r="I365" s="34">
        <f t="shared" si="27"/>
        <v>45719</v>
      </c>
      <c r="J365" t="s">
        <v>161</v>
      </c>
      <c r="K365" t="s">
        <v>853</v>
      </c>
      <c r="L365" t="s">
        <v>163</v>
      </c>
      <c r="M365" s="39" t="s">
        <v>533</v>
      </c>
      <c r="N365" t="s">
        <v>161</v>
      </c>
      <c r="Q365" s="39" t="s">
        <v>764</v>
      </c>
      <c r="U365" t="s">
        <v>854</v>
      </c>
      <c r="W365" t="s">
        <v>855</v>
      </c>
      <c r="X365">
        <v>4</v>
      </c>
      <c r="AA365" s="48">
        <v>307.5</v>
      </c>
      <c r="AC365" s="48">
        <v>307.5</v>
      </c>
      <c r="AF365" s="34">
        <f t="shared" si="28"/>
        <v>45928</v>
      </c>
      <c r="AG365" s="34">
        <f t="shared" si="29"/>
        <v>47753</v>
      </c>
      <c r="AH365" s="44" t="s">
        <v>857</v>
      </c>
      <c r="AK365">
        <v>16</v>
      </c>
      <c r="AL365">
        <v>112</v>
      </c>
      <c r="AM365">
        <v>10</v>
      </c>
      <c r="AN365" s="48">
        <v>307.5</v>
      </c>
    </row>
    <row r="366" spans="2:40">
      <c r="B366" s="39" t="s">
        <v>534</v>
      </c>
      <c r="C366" s="44" t="s">
        <v>81</v>
      </c>
      <c r="D366" t="s">
        <v>164</v>
      </c>
      <c r="E366" t="s">
        <v>83</v>
      </c>
      <c r="F366" s="42">
        <v>45599</v>
      </c>
      <c r="G366" s="34">
        <f t="shared" si="26"/>
        <v>45719</v>
      </c>
      <c r="H366" t="s">
        <v>169</v>
      </c>
      <c r="I366" s="34">
        <f t="shared" si="27"/>
        <v>45719</v>
      </c>
      <c r="J366" t="s">
        <v>161</v>
      </c>
      <c r="K366" t="s">
        <v>853</v>
      </c>
      <c r="L366" t="s">
        <v>163</v>
      </c>
      <c r="M366" s="39" t="s">
        <v>534</v>
      </c>
      <c r="N366" t="s">
        <v>161</v>
      </c>
      <c r="Q366" s="39" t="s">
        <v>764</v>
      </c>
      <c r="U366" t="s">
        <v>854</v>
      </c>
      <c r="W366" t="s">
        <v>855</v>
      </c>
      <c r="X366">
        <v>4</v>
      </c>
      <c r="AA366" s="48">
        <v>307.5</v>
      </c>
      <c r="AC366" s="48">
        <v>307.5</v>
      </c>
      <c r="AF366" s="34">
        <f t="shared" si="28"/>
        <v>45928</v>
      </c>
      <c r="AG366" s="34">
        <f t="shared" si="29"/>
        <v>47753</v>
      </c>
      <c r="AH366" s="44" t="s">
        <v>857</v>
      </c>
      <c r="AK366">
        <v>16</v>
      </c>
      <c r="AL366">
        <v>112</v>
      </c>
      <c r="AM366">
        <v>10</v>
      </c>
      <c r="AN366" s="48">
        <v>307.5</v>
      </c>
    </row>
    <row r="367" spans="2:40">
      <c r="B367" s="39" t="s">
        <v>535</v>
      </c>
      <c r="C367" s="44" t="s">
        <v>81</v>
      </c>
      <c r="D367" t="s">
        <v>164</v>
      </c>
      <c r="E367" t="s">
        <v>83</v>
      </c>
      <c r="F367" s="42">
        <v>45599</v>
      </c>
      <c r="G367" s="34">
        <f t="shared" si="26"/>
        <v>45719</v>
      </c>
      <c r="H367" t="s">
        <v>169</v>
      </c>
      <c r="I367" s="34">
        <f t="shared" si="27"/>
        <v>45719</v>
      </c>
      <c r="J367" t="s">
        <v>161</v>
      </c>
      <c r="K367" t="s">
        <v>853</v>
      </c>
      <c r="L367" t="s">
        <v>163</v>
      </c>
      <c r="M367" s="39" t="s">
        <v>535</v>
      </c>
      <c r="N367" t="s">
        <v>161</v>
      </c>
      <c r="Q367" s="39" t="s">
        <v>764</v>
      </c>
      <c r="U367" t="s">
        <v>854</v>
      </c>
      <c r="W367" t="s">
        <v>855</v>
      </c>
      <c r="X367">
        <v>4</v>
      </c>
      <c r="AA367" s="48">
        <v>307.5</v>
      </c>
      <c r="AC367" s="48">
        <v>307.5</v>
      </c>
      <c r="AF367" s="34">
        <f t="shared" si="28"/>
        <v>45928</v>
      </c>
      <c r="AG367" s="34">
        <f t="shared" si="29"/>
        <v>47753</v>
      </c>
      <c r="AH367" s="44" t="s">
        <v>857</v>
      </c>
      <c r="AK367">
        <v>16</v>
      </c>
      <c r="AL367">
        <v>112</v>
      </c>
      <c r="AM367">
        <v>10</v>
      </c>
      <c r="AN367" s="48">
        <v>307.5</v>
      </c>
    </row>
    <row r="368" spans="2:40">
      <c r="B368" s="39" t="s">
        <v>536</v>
      </c>
      <c r="C368" s="44" t="s">
        <v>81</v>
      </c>
      <c r="D368" t="s">
        <v>164</v>
      </c>
      <c r="E368" t="s">
        <v>83</v>
      </c>
      <c r="F368" s="42">
        <v>45599</v>
      </c>
      <c r="G368" s="34">
        <f t="shared" si="26"/>
        <v>45719</v>
      </c>
      <c r="H368" t="s">
        <v>169</v>
      </c>
      <c r="I368" s="34">
        <f t="shared" si="27"/>
        <v>45719</v>
      </c>
      <c r="J368" t="s">
        <v>161</v>
      </c>
      <c r="K368" t="s">
        <v>853</v>
      </c>
      <c r="L368" t="s">
        <v>163</v>
      </c>
      <c r="M368" s="39" t="s">
        <v>536</v>
      </c>
      <c r="N368" t="s">
        <v>161</v>
      </c>
      <c r="Q368" s="39" t="s">
        <v>764</v>
      </c>
      <c r="U368" t="s">
        <v>854</v>
      </c>
      <c r="W368" t="s">
        <v>855</v>
      </c>
      <c r="X368">
        <v>4</v>
      </c>
      <c r="AA368" s="48">
        <v>307.5</v>
      </c>
      <c r="AC368" s="48">
        <v>307.5</v>
      </c>
      <c r="AF368" s="34">
        <f t="shared" si="28"/>
        <v>45928</v>
      </c>
      <c r="AG368" s="34">
        <f t="shared" si="29"/>
        <v>47753</v>
      </c>
      <c r="AH368" s="44" t="s">
        <v>857</v>
      </c>
      <c r="AK368">
        <v>16</v>
      </c>
      <c r="AL368">
        <v>112</v>
      </c>
      <c r="AM368">
        <v>10</v>
      </c>
      <c r="AN368" s="48">
        <v>307.5</v>
      </c>
    </row>
    <row r="369" spans="2:40">
      <c r="B369" s="39" t="s">
        <v>531</v>
      </c>
      <c r="C369" s="44" t="s">
        <v>81</v>
      </c>
      <c r="D369" t="s">
        <v>164</v>
      </c>
      <c r="E369" t="s">
        <v>83</v>
      </c>
      <c r="F369" s="42">
        <v>45613</v>
      </c>
      <c r="G369" s="34">
        <f t="shared" si="26"/>
        <v>45733</v>
      </c>
      <c r="H369" t="s">
        <v>169</v>
      </c>
      <c r="I369" s="34">
        <f t="shared" si="27"/>
        <v>45733</v>
      </c>
      <c r="J369" t="s">
        <v>161</v>
      </c>
      <c r="K369" t="s">
        <v>853</v>
      </c>
      <c r="L369" t="s">
        <v>163</v>
      </c>
      <c r="M369" s="39" t="s">
        <v>531</v>
      </c>
      <c r="N369" t="s">
        <v>161</v>
      </c>
      <c r="Q369" s="39" t="s">
        <v>784</v>
      </c>
      <c r="U369" t="s">
        <v>854</v>
      </c>
      <c r="W369" t="s">
        <v>855</v>
      </c>
      <c r="X369">
        <v>4</v>
      </c>
      <c r="AA369" s="48">
        <v>307.5</v>
      </c>
      <c r="AC369" s="48">
        <v>307.5</v>
      </c>
      <c r="AF369" s="34">
        <f t="shared" si="28"/>
        <v>45942</v>
      </c>
      <c r="AG369" s="34">
        <f t="shared" si="29"/>
        <v>47767</v>
      </c>
      <c r="AH369" s="44" t="s">
        <v>857</v>
      </c>
      <c r="AK369">
        <v>16</v>
      </c>
      <c r="AL369">
        <v>112</v>
      </c>
      <c r="AM369">
        <v>10</v>
      </c>
      <c r="AN369" s="48">
        <v>307.5</v>
      </c>
    </row>
    <row r="370" spans="2:40">
      <c r="B370" s="39" t="s">
        <v>532</v>
      </c>
      <c r="C370" s="44" t="s">
        <v>81</v>
      </c>
      <c r="D370" t="s">
        <v>164</v>
      </c>
      <c r="E370" t="s">
        <v>83</v>
      </c>
      <c r="F370" s="42">
        <v>45613</v>
      </c>
      <c r="G370" s="34">
        <f t="shared" si="26"/>
        <v>45733</v>
      </c>
      <c r="H370" t="s">
        <v>169</v>
      </c>
      <c r="I370" s="34">
        <f t="shared" si="27"/>
        <v>45733</v>
      </c>
      <c r="J370" t="s">
        <v>161</v>
      </c>
      <c r="K370" t="s">
        <v>853</v>
      </c>
      <c r="L370" t="s">
        <v>163</v>
      </c>
      <c r="M370" s="39" t="s">
        <v>532</v>
      </c>
      <c r="N370" t="s">
        <v>161</v>
      </c>
      <c r="Q370" s="39" t="s">
        <v>784</v>
      </c>
      <c r="U370" t="s">
        <v>854</v>
      </c>
      <c r="W370" t="s">
        <v>855</v>
      </c>
      <c r="X370">
        <v>4</v>
      </c>
      <c r="AA370" s="48">
        <v>307.5</v>
      </c>
      <c r="AC370" s="48">
        <v>307.5</v>
      </c>
      <c r="AF370" s="34">
        <f t="shared" si="28"/>
        <v>45942</v>
      </c>
      <c r="AG370" s="34">
        <f t="shared" si="29"/>
        <v>47767</v>
      </c>
      <c r="AH370" s="44" t="s">
        <v>857</v>
      </c>
      <c r="AK370">
        <v>16</v>
      </c>
      <c r="AL370">
        <v>112</v>
      </c>
      <c r="AM370">
        <v>10</v>
      </c>
      <c r="AN370" s="48">
        <v>307.5</v>
      </c>
    </row>
    <row r="371" spans="2:40">
      <c r="B371" s="39" t="s">
        <v>526</v>
      </c>
      <c r="C371" s="44" t="s">
        <v>81</v>
      </c>
      <c r="D371" t="s">
        <v>164</v>
      </c>
      <c r="E371" t="s">
        <v>83</v>
      </c>
      <c r="F371" s="42">
        <v>45615</v>
      </c>
      <c r="G371" s="34">
        <f t="shared" si="26"/>
        <v>45735</v>
      </c>
      <c r="H371" t="s">
        <v>169</v>
      </c>
      <c r="I371" s="34">
        <f t="shared" si="27"/>
        <v>45735</v>
      </c>
      <c r="J371" t="s">
        <v>161</v>
      </c>
      <c r="K371" t="s">
        <v>853</v>
      </c>
      <c r="L371" t="s">
        <v>163</v>
      </c>
      <c r="M371" s="39" t="s">
        <v>526</v>
      </c>
      <c r="N371" t="s">
        <v>161</v>
      </c>
      <c r="Q371" s="39" t="s">
        <v>785</v>
      </c>
      <c r="U371" t="s">
        <v>854</v>
      </c>
      <c r="W371" t="s">
        <v>855</v>
      </c>
      <c r="X371">
        <v>4</v>
      </c>
      <c r="AA371" s="48">
        <v>307.5</v>
      </c>
      <c r="AC371" s="48">
        <v>307.5</v>
      </c>
      <c r="AF371" s="34">
        <f t="shared" si="28"/>
        <v>45944</v>
      </c>
      <c r="AG371" s="34">
        <f t="shared" si="29"/>
        <v>47769</v>
      </c>
      <c r="AH371" s="44" t="s">
        <v>857</v>
      </c>
      <c r="AK371">
        <v>16</v>
      </c>
      <c r="AL371">
        <v>112</v>
      </c>
      <c r="AM371">
        <v>10</v>
      </c>
      <c r="AN371" s="48">
        <v>307.5</v>
      </c>
    </row>
    <row r="372" spans="2:40">
      <c r="B372" s="39" t="s">
        <v>527</v>
      </c>
      <c r="C372" s="44" t="s">
        <v>81</v>
      </c>
      <c r="D372" t="s">
        <v>164</v>
      </c>
      <c r="E372" t="s">
        <v>83</v>
      </c>
      <c r="F372" s="42">
        <v>45615</v>
      </c>
      <c r="G372" s="34">
        <f t="shared" si="26"/>
        <v>45735</v>
      </c>
      <c r="H372" t="s">
        <v>169</v>
      </c>
      <c r="I372" s="34">
        <f t="shared" si="27"/>
        <v>45735</v>
      </c>
      <c r="J372" t="s">
        <v>161</v>
      </c>
      <c r="K372" t="s">
        <v>853</v>
      </c>
      <c r="L372" t="s">
        <v>163</v>
      </c>
      <c r="M372" s="39" t="s">
        <v>527</v>
      </c>
      <c r="N372" t="s">
        <v>161</v>
      </c>
      <c r="Q372" s="39" t="s">
        <v>785</v>
      </c>
      <c r="U372" t="s">
        <v>854</v>
      </c>
      <c r="W372" t="s">
        <v>855</v>
      </c>
      <c r="X372">
        <v>4</v>
      </c>
      <c r="AA372" s="48">
        <v>307.5</v>
      </c>
      <c r="AC372" s="48">
        <v>307.5</v>
      </c>
      <c r="AF372" s="34">
        <f t="shared" si="28"/>
        <v>45944</v>
      </c>
      <c r="AG372" s="34">
        <f t="shared" si="29"/>
        <v>47769</v>
      </c>
      <c r="AH372" s="44" t="s">
        <v>857</v>
      </c>
      <c r="AK372">
        <v>16</v>
      </c>
      <c r="AL372">
        <v>112</v>
      </c>
      <c r="AM372">
        <v>10</v>
      </c>
      <c r="AN372" s="48">
        <v>307.5</v>
      </c>
    </row>
    <row r="373" spans="2:40">
      <c r="B373" s="39" t="s">
        <v>528</v>
      </c>
      <c r="C373" s="44" t="s">
        <v>81</v>
      </c>
      <c r="D373" t="s">
        <v>164</v>
      </c>
      <c r="E373" t="s">
        <v>83</v>
      </c>
      <c r="F373" s="42">
        <v>45615</v>
      </c>
      <c r="G373" s="34">
        <f t="shared" si="26"/>
        <v>45735</v>
      </c>
      <c r="H373" t="s">
        <v>169</v>
      </c>
      <c r="I373" s="34">
        <f t="shared" si="27"/>
        <v>45735</v>
      </c>
      <c r="J373" t="s">
        <v>161</v>
      </c>
      <c r="K373" t="s">
        <v>853</v>
      </c>
      <c r="L373" t="s">
        <v>163</v>
      </c>
      <c r="M373" s="39" t="s">
        <v>528</v>
      </c>
      <c r="N373" t="s">
        <v>161</v>
      </c>
      <c r="Q373" s="39" t="s">
        <v>785</v>
      </c>
      <c r="U373" t="s">
        <v>854</v>
      </c>
      <c r="W373" t="s">
        <v>855</v>
      </c>
      <c r="X373">
        <v>4</v>
      </c>
      <c r="AA373" s="48">
        <v>307.5</v>
      </c>
      <c r="AC373" s="48">
        <v>307.5</v>
      </c>
      <c r="AF373" s="34">
        <f t="shared" si="28"/>
        <v>45944</v>
      </c>
      <c r="AG373" s="34">
        <f t="shared" si="29"/>
        <v>47769</v>
      </c>
      <c r="AH373" s="44" t="s">
        <v>857</v>
      </c>
      <c r="AK373">
        <v>16</v>
      </c>
      <c r="AL373">
        <v>112</v>
      </c>
      <c r="AM373">
        <v>10</v>
      </c>
      <c r="AN373" s="48">
        <v>307.5</v>
      </c>
    </row>
    <row r="374" spans="2:40">
      <c r="B374" s="39" t="s">
        <v>529</v>
      </c>
      <c r="C374" s="44" t="s">
        <v>81</v>
      </c>
      <c r="D374" t="s">
        <v>164</v>
      </c>
      <c r="E374" t="s">
        <v>83</v>
      </c>
      <c r="F374" s="42">
        <v>45615</v>
      </c>
      <c r="G374" s="34">
        <f t="shared" si="26"/>
        <v>45735</v>
      </c>
      <c r="H374" t="s">
        <v>169</v>
      </c>
      <c r="I374" s="34">
        <f t="shared" si="27"/>
        <v>45735</v>
      </c>
      <c r="J374" t="s">
        <v>161</v>
      </c>
      <c r="K374" t="s">
        <v>853</v>
      </c>
      <c r="L374" t="s">
        <v>163</v>
      </c>
      <c r="M374" s="39" t="s">
        <v>529</v>
      </c>
      <c r="N374" t="s">
        <v>161</v>
      </c>
      <c r="Q374" s="39" t="s">
        <v>785</v>
      </c>
      <c r="U374" t="s">
        <v>854</v>
      </c>
      <c r="W374" t="s">
        <v>855</v>
      </c>
      <c r="X374">
        <v>4</v>
      </c>
      <c r="AA374" s="48">
        <v>307.5</v>
      </c>
      <c r="AC374" s="48">
        <v>307.5</v>
      </c>
      <c r="AF374" s="34">
        <f t="shared" si="28"/>
        <v>45944</v>
      </c>
      <c r="AG374" s="34">
        <f t="shared" si="29"/>
        <v>47769</v>
      </c>
      <c r="AH374" s="44" t="s">
        <v>857</v>
      </c>
      <c r="AK374">
        <v>16</v>
      </c>
      <c r="AL374">
        <v>112</v>
      </c>
      <c r="AM374">
        <v>10</v>
      </c>
      <c r="AN374" s="48">
        <v>307.5</v>
      </c>
    </row>
    <row r="375" spans="2:40">
      <c r="B375" s="39" t="s">
        <v>530</v>
      </c>
      <c r="C375" s="44" t="s">
        <v>81</v>
      </c>
      <c r="D375" t="s">
        <v>164</v>
      </c>
      <c r="E375" t="s">
        <v>83</v>
      </c>
      <c r="F375" s="42">
        <v>45615</v>
      </c>
      <c r="G375" s="34">
        <f t="shared" si="26"/>
        <v>45735</v>
      </c>
      <c r="H375" t="s">
        <v>169</v>
      </c>
      <c r="I375" s="34">
        <f t="shared" si="27"/>
        <v>45735</v>
      </c>
      <c r="J375" t="s">
        <v>161</v>
      </c>
      <c r="K375" t="s">
        <v>853</v>
      </c>
      <c r="L375" t="s">
        <v>163</v>
      </c>
      <c r="M375" s="39" t="s">
        <v>530</v>
      </c>
      <c r="N375" t="s">
        <v>161</v>
      </c>
      <c r="Q375" s="39" t="s">
        <v>785</v>
      </c>
      <c r="U375" t="s">
        <v>854</v>
      </c>
      <c r="W375" t="s">
        <v>855</v>
      </c>
      <c r="X375">
        <v>4</v>
      </c>
      <c r="AA375" s="48">
        <v>307.5</v>
      </c>
      <c r="AC375" s="48">
        <v>307.5</v>
      </c>
      <c r="AF375" s="34">
        <f t="shared" si="28"/>
        <v>45944</v>
      </c>
      <c r="AG375" s="34">
        <f t="shared" si="29"/>
        <v>47769</v>
      </c>
      <c r="AH375" s="44" t="s">
        <v>857</v>
      </c>
      <c r="AK375">
        <v>16</v>
      </c>
      <c r="AL375">
        <v>112</v>
      </c>
      <c r="AM375">
        <v>10</v>
      </c>
      <c r="AN375" s="48">
        <v>307.5</v>
      </c>
    </row>
    <row r="376" spans="2:40">
      <c r="B376" s="39" t="s">
        <v>521</v>
      </c>
      <c r="C376" s="44" t="s">
        <v>81</v>
      </c>
      <c r="D376" t="s">
        <v>164</v>
      </c>
      <c r="E376" t="s">
        <v>83</v>
      </c>
      <c r="F376" s="42">
        <v>45625</v>
      </c>
      <c r="G376" s="34">
        <f t="shared" si="26"/>
        <v>45745</v>
      </c>
      <c r="H376" t="s">
        <v>169</v>
      </c>
      <c r="I376" s="34">
        <f t="shared" si="27"/>
        <v>45745</v>
      </c>
      <c r="J376" t="s">
        <v>161</v>
      </c>
      <c r="K376" t="s">
        <v>853</v>
      </c>
      <c r="L376" t="s">
        <v>163</v>
      </c>
      <c r="M376" s="39" t="s">
        <v>521</v>
      </c>
      <c r="N376" t="s">
        <v>161</v>
      </c>
      <c r="Q376" s="39" t="s">
        <v>786</v>
      </c>
      <c r="U376" t="s">
        <v>854</v>
      </c>
      <c r="W376" t="s">
        <v>855</v>
      </c>
      <c r="X376">
        <v>4</v>
      </c>
      <c r="AA376" s="48">
        <v>307.5</v>
      </c>
      <c r="AC376" s="48">
        <v>307.5</v>
      </c>
      <c r="AF376" s="34">
        <f t="shared" si="28"/>
        <v>45954</v>
      </c>
      <c r="AG376" s="34">
        <f t="shared" si="29"/>
        <v>47779</v>
      </c>
      <c r="AH376" s="44" t="s">
        <v>857</v>
      </c>
      <c r="AK376">
        <v>16</v>
      </c>
      <c r="AL376">
        <v>112</v>
      </c>
      <c r="AM376">
        <v>10</v>
      </c>
      <c r="AN376" s="48">
        <v>307.5</v>
      </c>
    </row>
    <row r="377" spans="2:40">
      <c r="B377" s="39" t="s">
        <v>522</v>
      </c>
      <c r="C377" s="44" t="s">
        <v>81</v>
      </c>
      <c r="D377" t="s">
        <v>164</v>
      </c>
      <c r="E377" t="s">
        <v>83</v>
      </c>
      <c r="F377" s="42">
        <v>45625</v>
      </c>
      <c r="G377" s="34">
        <f t="shared" si="26"/>
        <v>45745</v>
      </c>
      <c r="H377" t="s">
        <v>169</v>
      </c>
      <c r="I377" s="34">
        <f t="shared" si="27"/>
        <v>45745</v>
      </c>
      <c r="J377" t="s">
        <v>161</v>
      </c>
      <c r="K377" t="s">
        <v>853</v>
      </c>
      <c r="L377" t="s">
        <v>163</v>
      </c>
      <c r="M377" s="39" t="s">
        <v>522</v>
      </c>
      <c r="N377" t="s">
        <v>161</v>
      </c>
      <c r="Q377" s="39" t="s">
        <v>786</v>
      </c>
      <c r="U377" t="s">
        <v>854</v>
      </c>
      <c r="W377" t="s">
        <v>855</v>
      </c>
      <c r="X377">
        <v>4</v>
      </c>
      <c r="AA377" s="48">
        <v>307.5</v>
      </c>
      <c r="AC377" s="48">
        <v>307.5</v>
      </c>
      <c r="AF377" s="34">
        <f t="shared" si="28"/>
        <v>45954</v>
      </c>
      <c r="AG377" s="34">
        <f t="shared" si="29"/>
        <v>47779</v>
      </c>
      <c r="AH377" s="44" t="s">
        <v>857</v>
      </c>
      <c r="AK377">
        <v>16</v>
      </c>
      <c r="AL377">
        <v>112</v>
      </c>
      <c r="AM377">
        <v>10</v>
      </c>
      <c r="AN377" s="48">
        <v>307.5</v>
      </c>
    </row>
    <row r="378" spans="2:40">
      <c r="B378" s="39" t="s">
        <v>523</v>
      </c>
      <c r="C378" s="44" t="s">
        <v>81</v>
      </c>
      <c r="D378" t="s">
        <v>164</v>
      </c>
      <c r="E378" t="s">
        <v>83</v>
      </c>
      <c r="F378" s="42">
        <v>45625</v>
      </c>
      <c r="G378" s="34">
        <f t="shared" si="26"/>
        <v>45745</v>
      </c>
      <c r="H378" t="s">
        <v>169</v>
      </c>
      <c r="I378" s="34">
        <f t="shared" si="27"/>
        <v>45745</v>
      </c>
      <c r="J378" t="s">
        <v>161</v>
      </c>
      <c r="K378" t="s">
        <v>853</v>
      </c>
      <c r="L378" t="s">
        <v>163</v>
      </c>
      <c r="M378" s="39" t="s">
        <v>523</v>
      </c>
      <c r="N378" t="s">
        <v>161</v>
      </c>
      <c r="Q378" s="39" t="s">
        <v>786</v>
      </c>
      <c r="U378" t="s">
        <v>854</v>
      </c>
      <c r="W378" t="s">
        <v>855</v>
      </c>
      <c r="X378">
        <v>4</v>
      </c>
      <c r="AA378" s="48">
        <v>307.5</v>
      </c>
      <c r="AC378" s="48">
        <v>307.5</v>
      </c>
      <c r="AF378" s="34">
        <f t="shared" si="28"/>
        <v>45954</v>
      </c>
      <c r="AG378" s="34">
        <f t="shared" si="29"/>
        <v>47779</v>
      </c>
      <c r="AH378" s="44" t="s">
        <v>857</v>
      </c>
      <c r="AK378">
        <v>16</v>
      </c>
      <c r="AL378">
        <v>112</v>
      </c>
      <c r="AM378">
        <v>10</v>
      </c>
      <c r="AN378" s="48">
        <v>307.5</v>
      </c>
    </row>
    <row r="379" spans="2:40">
      <c r="B379" s="39" t="s">
        <v>524</v>
      </c>
      <c r="C379" s="44" t="s">
        <v>81</v>
      </c>
      <c r="D379" t="s">
        <v>164</v>
      </c>
      <c r="E379" t="s">
        <v>83</v>
      </c>
      <c r="F379" s="42">
        <v>45625</v>
      </c>
      <c r="G379" s="34">
        <f t="shared" si="26"/>
        <v>45745</v>
      </c>
      <c r="H379" t="s">
        <v>169</v>
      </c>
      <c r="I379" s="34">
        <f t="shared" si="27"/>
        <v>45745</v>
      </c>
      <c r="J379" t="s">
        <v>161</v>
      </c>
      <c r="K379" t="s">
        <v>853</v>
      </c>
      <c r="L379" t="s">
        <v>163</v>
      </c>
      <c r="M379" s="39" t="s">
        <v>524</v>
      </c>
      <c r="N379" t="s">
        <v>161</v>
      </c>
      <c r="Q379" s="39" t="s">
        <v>786</v>
      </c>
      <c r="U379" t="s">
        <v>854</v>
      </c>
      <c r="W379" t="s">
        <v>855</v>
      </c>
      <c r="X379">
        <v>4</v>
      </c>
      <c r="AA379" s="48">
        <v>307.5</v>
      </c>
      <c r="AC379" s="48">
        <v>307.5</v>
      </c>
      <c r="AF379" s="34">
        <f t="shared" si="28"/>
        <v>45954</v>
      </c>
      <c r="AG379" s="34">
        <f t="shared" si="29"/>
        <v>47779</v>
      </c>
      <c r="AH379" s="44" t="s">
        <v>857</v>
      </c>
      <c r="AK379">
        <v>16</v>
      </c>
      <c r="AL379">
        <v>112</v>
      </c>
      <c r="AM379">
        <v>10</v>
      </c>
      <c r="AN379" s="48">
        <v>307.5</v>
      </c>
    </row>
    <row r="380" spans="2:40">
      <c r="B380" s="39" t="s">
        <v>525</v>
      </c>
      <c r="C380" s="44" t="s">
        <v>81</v>
      </c>
      <c r="D380" t="s">
        <v>164</v>
      </c>
      <c r="E380" t="s">
        <v>83</v>
      </c>
      <c r="F380" s="42">
        <v>45625</v>
      </c>
      <c r="G380" s="34">
        <f t="shared" si="26"/>
        <v>45745</v>
      </c>
      <c r="H380" t="s">
        <v>169</v>
      </c>
      <c r="I380" s="34">
        <f t="shared" si="27"/>
        <v>45745</v>
      </c>
      <c r="J380" t="s">
        <v>161</v>
      </c>
      <c r="K380" t="s">
        <v>853</v>
      </c>
      <c r="L380" t="s">
        <v>163</v>
      </c>
      <c r="M380" s="39" t="s">
        <v>525</v>
      </c>
      <c r="N380" t="s">
        <v>161</v>
      </c>
      <c r="Q380" s="39" t="s">
        <v>786</v>
      </c>
      <c r="U380" t="s">
        <v>854</v>
      </c>
      <c r="W380" t="s">
        <v>855</v>
      </c>
      <c r="X380">
        <v>4</v>
      </c>
      <c r="AA380" s="48">
        <v>307.5</v>
      </c>
      <c r="AC380" s="48">
        <v>307.5</v>
      </c>
      <c r="AF380" s="34">
        <f t="shared" si="28"/>
        <v>45954</v>
      </c>
      <c r="AG380" s="34">
        <f t="shared" si="29"/>
        <v>47779</v>
      </c>
      <c r="AH380" s="44" t="s">
        <v>857</v>
      </c>
      <c r="AK380">
        <v>16</v>
      </c>
      <c r="AL380">
        <v>112</v>
      </c>
      <c r="AM380">
        <v>10</v>
      </c>
      <c r="AN380" s="48">
        <v>307.5</v>
      </c>
    </row>
    <row r="381" spans="2:40">
      <c r="B381" s="39" t="s">
        <v>518</v>
      </c>
      <c r="C381" s="44" t="s">
        <v>81</v>
      </c>
      <c r="D381" t="s">
        <v>164</v>
      </c>
      <c r="E381" t="s">
        <v>83</v>
      </c>
      <c r="F381" s="42">
        <v>45630</v>
      </c>
      <c r="G381" s="34">
        <f t="shared" si="26"/>
        <v>45750</v>
      </c>
      <c r="H381" t="s">
        <v>169</v>
      </c>
      <c r="I381" s="34">
        <f t="shared" si="27"/>
        <v>45750</v>
      </c>
      <c r="J381" t="s">
        <v>161</v>
      </c>
      <c r="K381" t="s">
        <v>853</v>
      </c>
      <c r="L381" t="s">
        <v>163</v>
      </c>
      <c r="M381" s="39" t="s">
        <v>518</v>
      </c>
      <c r="N381" t="s">
        <v>161</v>
      </c>
      <c r="Q381" s="39" t="s">
        <v>787</v>
      </c>
      <c r="U381" t="s">
        <v>854</v>
      </c>
      <c r="W381" t="s">
        <v>855</v>
      </c>
      <c r="X381">
        <v>4</v>
      </c>
      <c r="AA381" s="48">
        <v>307.5</v>
      </c>
      <c r="AC381" s="48">
        <v>307.5</v>
      </c>
      <c r="AF381" s="34">
        <f t="shared" si="28"/>
        <v>45959</v>
      </c>
      <c r="AG381" s="34">
        <f t="shared" si="29"/>
        <v>47784</v>
      </c>
      <c r="AH381" s="44" t="s">
        <v>857</v>
      </c>
      <c r="AK381">
        <v>16</v>
      </c>
      <c r="AL381">
        <v>112</v>
      </c>
      <c r="AM381">
        <v>10</v>
      </c>
      <c r="AN381" s="48">
        <v>307.5</v>
      </c>
    </row>
    <row r="382" spans="2:40">
      <c r="B382" s="39" t="s">
        <v>519</v>
      </c>
      <c r="C382" s="44" t="s">
        <v>81</v>
      </c>
      <c r="D382" t="s">
        <v>164</v>
      </c>
      <c r="E382" t="s">
        <v>83</v>
      </c>
      <c r="F382" s="42">
        <v>45630</v>
      </c>
      <c r="G382" s="34">
        <f t="shared" si="26"/>
        <v>45750</v>
      </c>
      <c r="H382" t="s">
        <v>169</v>
      </c>
      <c r="I382" s="34">
        <f t="shared" si="27"/>
        <v>45750</v>
      </c>
      <c r="J382" t="s">
        <v>161</v>
      </c>
      <c r="K382" t="s">
        <v>853</v>
      </c>
      <c r="L382" t="s">
        <v>163</v>
      </c>
      <c r="M382" s="39" t="s">
        <v>519</v>
      </c>
      <c r="N382" t="s">
        <v>161</v>
      </c>
      <c r="Q382" s="39" t="s">
        <v>787</v>
      </c>
      <c r="U382" t="s">
        <v>854</v>
      </c>
      <c r="W382" t="s">
        <v>855</v>
      </c>
      <c r="X382">
        <v>4</v>
      </c>
      <c r="AA382" s="48">
        <v>307.5</v>
      </c>
      <c r="AC382" s="48">
        <v>307.5</v>
      </c>
      <c r="AF382" s="34">
        <f t="shared" si="28"/>
        <v>45959</v>
      </c>
      <c r="AG382" s="34">
        <f t="shared" si="29"/>
        <v>47784</v>
      </c>
      <c r="AH382" s="44" t="s">
        <v>857</v>
      </c>
      <c r="AK382">
        <v>16</v>
      </c>
      <c r="AL382">
        <v>112</v>
      </c>
      <c r="AM382">
        <v>10</v>
      </c>
      <c r="AN382" s="48">
        <v>307.5</v>
      </c>
    </row>
    <row r="383" spans="2:40">
      <c r="B383" s="39" t="s">
        <v>520</v>
      </c>
      <c r="C383" s="44" t="s">
        <v>81</v>
      </c>
      <c r="D383" t="s">
        <v>164</v>
      </c>
      <c r="E383" t="s">
        <v>83</v>
      </c>
      <c r="F383" s="42">
        <v>45630</v>
      </c>
      <c r="G383" s="34">
        <f t="shared" si="26"/>
        <v>45750</v>
      </c>
      <c r="H383" t="s">
        <v>169</v>
      </c>
      <c r="I383" s="34">
        <f t="shared" si="27"/>
        <v>45750</v>
      </c>
      <c r="J383" t="s">
        <v>161</v>
      </c>
      <c r="K383" t="s">
        <v>853</v>
      </c>
      <c r="L383" t="s">
        <v>163</v>
      </c>
      <c r="M383" s="39" t="s">
        <v>520</v>
      </c>
      <c r="N383" t="s">
        <v>161</v>
      </c>
      <c r="Q383" s="39" t="s">
        <v>787</v>
      </c>
      <c r="U383" t="s">
        <v>854</v>
      </c>
      <c r="W383" t="s">
        <v>855</v>
      </c>
      <c r="X383">
        <v>4</v>
      </c>
      <c r="AA383" s="48">
        <v>307.5</v>
      </c>
      <c r="AC383" s="48">
        <v>307.5</v>
      </c>
      <c r="AF383" s="34">
        <f t="shared" si="28"/>
        <v>45959</v>
      </c>
      <c r="AG383" s="34">
        <f t="shared" si="29"/>
        <v>47784</v>
      </c>
      <c r="AH383" s="44" t="s">
        <v>857</v>
      </c>
      <c r="AK383">
        <v>16</v>
      </c>
      <c r="AL383">
        <v>112</v>
      </c>
      <c r="AM383">
        <v>10</v>
      </c>
      <c r="AN383" s="48">
        <v>307.5</v>
      </c>
    </row>
    <row r="384" spans="2:40">
      <c r="B384" s="39" t="s">
        <v>515</v>
      </c>
      <c r="C384" s="44" t="s">
        <v>81</v>
      </c>
      <c r="D384" t="s">
        <v>164</v>
      </c>
      <c r="E384" t="s">
        <v>83</v>
      </c>
      <c r="F384" s="42">
        <v>45645</v>
      </c>
      <c r="G384" s="34">
        <f t="shared" si="26"/>
        <v>45765</v>
      </c>
      <c r="H384" t="s">
        <v>169</v>
      </c>
      <c r="I384" s="34">
        <f t="shared" si="27"/>
        <v>45765</v>
      </c>
      <c r="J384" t="s">
        <v>161</v>
      </c>
      <c r="K384" t="s">
        <v>853</v>
      </c>
      <c r="L384" t="s">
        <v>163</v>
      </c>
      <c r="M384" s="39" t="s">
        <v>515</v>
      </c>
      <c r="N384" t="s">
        <v>161</v>
      </c>
      <c r="Q384" s="39" t="s">
        <v>788</v>
      </c>
      <c r="U384" t="s">
        <v>854</v>
      </c>
      <c r="W384" t="s">
        <v>855</v>
      </c>
      <c r="X384">
        <v>4</v>
      </c>
      <c r="AA384" s="48">
        <v>307.5</v>
      </c>
      <c r="AC384" s="48">
        <v>307.5</v>
      </c>
      <c r="AF384" s="34">
        <f t="shared" si="28"/>
        <v>45974</v>
      </c>
      <c r="AG384" s="34">
        <f t="shared" si="29"/>
        <v>47799</v>
      </c>
      <c r="AH384" s="44" t="s">
        <v>857</v>
      </c>
      <c r="AK384">
        <v>16</v>
      </c>
      <c r="AL384">
        <v>112</v>
      </c>
      <c r="AM384">
        <v>10</v>
      </c>
      <c r="AN384" s="48">
        <v>307.5</v>
      </c>
    </row>
    <row r="385" spans="2:40">
      <c r="B385" s="39" t="s">
        <v>516</v>
      </c>
      <c r="C385" s="44" t="s">
        <v>81</v>
      </c>
      <c r="D385" t="s">
        <v>164</v>
      </c>
      <c r="E385" t="s">
        <v>83</v>
      </c>
      <c r="F385" s="42">
        <v>45645</v>
      </c>
      <c r="G385" s="34">
        <f t="shared" si="26"/>
        <v>45765</v>
      </c>
      <c r="H385" t="s">
        <v>169</v>
      </c>
      <c r="I385" s="34">
        <f t="shared" si="27"/>
        <v>45765</v>
      </c>
      <c r="J385" t="s">
        <v>161</v>
      </c>
      <c r="K385" t="s">
        <v>853</v>
      </c>
      <c r="L385" t="s">
        <v>163</v>
      </c>
      <c r="M385" s="39" t="s">
        <v>516</v>
      </c>
      <c r="N385" t="s">
        <v>161</v>
      </c>
      <c r="Q385" s="39" t="s">
        <v>788</v>
      </c>
      <c r="U385" t="s">
        <v>854</v>
      </c>
      <c r="W385" t="s">
        <v>855</v>
      </c>
      <c r="X385">
        <v>4</v>
      </c>
      <c r="AA385" s="48">
        <v>307.5</v>
      </c>
      <c r="AC385" s="48">
        <v>307.5</v>
      </c>
      <c r="AF385" s="34">
        <f t="shared" si="28"/>
        <v>45974</v>
      </c>
      <c r="AG385" s="34">
        <f t="shared" si="29"/>
        <v>47799</v>
      </c>
      <c r="AH385" s="44" t="s">
        <v>857</v>
      </c>
      <c r="AK385">
        <v>16</v>
      </c>
      <c r="AL385">
        <v>112</v>
      </c>
      <c r="AM385">
        <v>10</v>
      </c>
      <c r="AN385" s="48">
        <v>307.5</v>
      </c>
    </row>
    <row r="386" spans="2:40">
      <c r="B386" s="39" t="s">
        <v>517</v>
      </c>
      <c r="C386" s="44" t="s">
        <v>81</v>
      </c>
      <c r="D386" t="s">
        <v>164</v>
      </c>
      <c r="E386" t="s">
        <v>83</v>
      </c>
      <c r="F386" s="42">
        <v>45645</v>
      </c>
      <c r="G386" s="34">
        <f t="shared" si="26"/>
        <v>45765</v>
      </c>
      <c r="H386" t="s">
        <v>169</v>
      </c>
      <c r="I386" s="34">
        <f t="shared" si="27"/>
        <v>45765</v>
      </c>
      <c r="J386" t="s">
        <v>161</v>
      </c>
      <c r="K386" t="s">
        <v>853</v>
      </c>
      <c r="L386" t="s">
        <v>163</v>
      </c>
      <c r="M386" s="39" t="s">
        <v>517</v>
      </c>
      <c r="N386" t="s">
        <v>161</v>
      </c>
      <c r="Q386" s="39" t="s">
        <v>788</v>
      </c>
      <c r="U386" t="s">
        <v>854</v>
      </c>
      <c r="W386" t="s">
        <v>855</v>
      </c>
      <c r="X386">
        <v>4</v>
      </c>
      <c r="AA386" s="48">
        <v>307.5</v>
      </c>
      <c r="AC386" s="48">
        <v>307.5</v>
      </c>
      <c r="AF386" s="34">
        <f t="shared" si="28"/>
        <v>45974</v>
      </c>
      <c r="AG386" s="34">
        <f t="shared" si="29"/>
        <v>47799</v>
      </c>
      <c r="AH386" s="44" t="s">
        <v>857</v>
      </c>
      <c r="AK386">
        <v>16</v>
      </c>
      <c r="AL386">
        <v>112</v>
      </c>
      <c r="AM386">
        <v>10</v>
      </c>
      <c r="AN386" s="48">
        <v>307.5</v>
      </c>
    </row>
    <row r="387" spans="2:40">
      <c r="B387" s="39" t="s">
        <v>513</v>
      </c>
      <c r="C387" s="44" t="s">
        <v>81</v>
      </c>
      <c r="D387" t="s">
        <v>164</v>
      </c>
      <c r="E387" t="s">
        <v>83</v>
      </c>
      <c r="F387" s="42">
        <v>45654</v>
      </c>
      <c r="G387" s="34">
        <f t="shared" si="26"/>
        <v>45774</v>
      </c>
      <c r="H387" t="s">
        <v>169</v>
      </c>
      <c r="I387" s="34">
        <f t="shared" si="27"/>
        <v>45774</v>
      </c>
      <c r="J387" t="s">
        <v>161</v>
      </c>
      <c r="K387" t="s">
        <v>853</v>
      </c>
      <c r="L387" t="s">
        <v>163</v>
      </c>
      <c r="M387" s="39" t="s">
        <v>513</v>
      </c>
      <c r="N387" t="s">
        <v>161</v>
      </c>
      <c r="Q387" s="39" t="s">
        <v>789</v>
      </c>
      <c r="U387" t="s">
        <v>854</v>
      </c>
      <c r="W387" t="s">
        <v>855</v>
      </c>
      <c r="X387">
        <v>4</v>
      </c>
      <c r="AA387" s="48">
        <v>307.5</v>
      </c>
      <c r="AC387" s="48">
        <v>307.5</v>
      </c>
      <c r="AF387" s="34">
        <f t="shared" si="28"/>
        <v>45983</v>
      </c>
      <c r="AG387" s="34">
        <f t="shared" si="29"/>
        <v>47808</v>
      </c>
      <c r="AH387" s="44" t="s">
        <v>857</v>
      </c>
      <c r="AK387">
        <v>16</v>
      </c>
      <c r="AL387">
        <v>112</v>
      </c>
      <c r="AM387">
        <v>10</v>
      </c>
      <c r="AN387" s="48">
        <v>307.5</v>
      </c>
    </row>
    <row r="388" spans="2:40">
      <c r="B388" s="39" t="s">
        <v>514</v>
      </c>
      <c r="C388" s="44" t="s">
        <v>81</v>
      </c>
      <c r="D388" t="s">
        <v>164</v>
      </c>
      <c r="E388" t="s">
        <v>83</v>
      </c>
      <c r="F388" s="42">
        <v>45654</v>
      </c>
      <c r="G388" s="34">
        <f t="shared" si="26"/>
        <v>45774</v>
      </c>
      <c r="H388" t="s">
        <v>169</v>
      </c>
      <c r="I388" s="34">
        <f t="shared" si="27"/>
        <v>45774</v>
      </c>
      <c r="J388" t="s">
        <v>161</v>
      </c>
      <c r="K388" t="s">
        <v>853</v>
      </c>
      <c r="L388" t="s">
        <v>163</v>
      </c>
      <c r="M388" s="39" t="s">
        <v>514</v>
      </c>
      <c r="N388" t="s">
        <v>161</v>
      </c>
      <c r="Q388" s="39" t="s">
        <v>789</v>
      </c>
      <c r="U388" t="s">
        <v>854</v>
      </c>
      <c r="W388" t="s">
        <v>855</v>
      </c>
      <c r="X388">
        <v>4</v>
      </c>
      <c r="AA388" s="48">
        <v>307.5</v>
      </c>
      <c r="AC388" s="48">
        <v>307.5</v>
      </c>
      <c r="AF388" s="34">
        <f t="shared" si="28"/>
        <v>45983</v>
      </c>
      <c r="AG388" s="34">
        <f t="shared" si="29"/>
        <v>47808</v>
      </c>
      <c r="AH388" s="44" t="s">
        <v>857</v>
      </c>
      <c r="AK388">
        <v>16</v>
      </c>
      <c r="AL388">
        <v>112</v>
      </c>
      <c r="AM388">
        <v>10</v>
      </c>
      <c r="AN388" s="48">
        <v>307.5</v>
      </c>
    </row>
    <row r="389" spans="2:40">
      <c r="B389" s="39" t="s">
        <v>566</v>
      </c>
      <c r="C389" s="44" t="s">
        <v>81</v>
      </c>
      <c r="D389" t="s">
        <v>164</v>
      </c>
      <c r="E389" t="s">
        <v>83</v>
      </c>
      <c r="F389" s="42">
        <v>45541</v>
      </c>
      <c r="G389" s="34">
        <f t="shared" si="26"/>
        <v>45661</v>
      </c>
      <c r="H389" t="s">
        <v>169</v>
      </c>
      <c r="I389" s="34">
        <f t="shared" si="27"/>
        <v>45661</v>
      </c>
      <c r="J389" t="s">
        <v>161</v>
      </c>
      <c r="K389" t="s">
        <v>853</v>
      </c>
      <c r="L389" t="s">
        <v>163</v>
      </c>
      <c r="M389" s="39" t="s">
        <v>566</v>
      </c>
      <c r="N389" t="s">
        <v>161</v>
      </c>
      <c r="Q389" s="39" t="s">
        <v>790</v>
      </c>
      <c r="U389" t="s">
        <v>854</v>
      </c>
      <c r="W389" t="s">
        <v>855</v>
      </c>
      <c r="X389">
        <v>4</v>
      </c>
      <c r="AA389" s="48">
        <v>307.5</v>
      </c>
      <c r="AC389" s="48">
        <v>307.5</v>
      </c>
      <c r="AF389" s="34">
        <f t="shared" si="28"/>
        <v>45870</v>
      </c>
      <c r="AG389" s="34">
        <f t="shared" si="29"/>
        <v>47695</v>
      </c>
      <c r="AH389" s="44" t="s">
        <v>857</v>
      </c>
      <c r="AK389">
        <v>16</v>
      </c>
      <c r="AL389">
        <v>112</v>
      </c>
      <c r="AM389">
        <v>10</v>
      </c>
      <c r="AN389" s="48">
        <v>307.5</v>
      </c>
    </row>
    <row r="390" spans="2:40">
      <c r="B390" s="39" t="s">
        <v>581</v>
      </c>
      <c r="C390" s="44" t="s">
        <v>81</v>
      </c>
      <c r="D390" t="s">
        <v>164</v>
      </c>
      <c r="E390" t="s">
        <v>83</v>
      </c>
      <c r="F390" s="42">
        <v>45498</v>
      </c>
      <c r="G390" s="34">
        <f t="shared" ref="G390:G453" si="30">+F390+120</f>
        <v>45618</v>
      </c>
      <c r="H390" t="s">
        <v>169</v>
      </c>
      <c r="I390" s="34">
        <f t="shared" ref="I390:I453" si="31">+G390</f>
        <v>45618</v>
      </c>
      <c r="J390" t="s">
        <v>161</v>
      </c>
      <c r="K390" t="s">
        <v>853</v>
      </c>
      <c r="L390" t="s">
        <v>163</v>
      </c>
      <c r="M390" s="39" t="s">
        <v>581</v>
      </c>
      <c r="N390" t="s">
        <v>161</v>
      </c>
      <c r="Q390" s="39" t="s">
        <v>788</v>
      </c>
      <c r="U390" t="s">
        <v>854</v>
      </c>
      <c r="W390" t="s">
        <v>855</v>
      </c>
      <c r="X390">
        <v>4</v>
      </c>
      <c r="AA390" s="48">
        <v>307.5</v>
      </c>
      <c r="AC390" s="48">
        <v>307.5</v>
      </c>
      <c r="AF390" s="34">
        <f t="shared" si="28"/>
        <v>45827</v>
      </c>
      <c r="AG390" s="34">
        <f t="shared" si="29"/>
        <v>47652</v>
      </c>
      <c r="AH390" s="44" t="s">
        <v>857</v>
      </c>
      <c r="AK390">
        <v>16</v>
      </c>
      <c r="AL390">
        <v>112</v>
      </c>
      <c r="AM390">
        <v>10</v>
      </c>
      <c r="AN390" s="48">
        <v>307.5</v>
      </c>
    </row>
    <row r="391" spans="2:40">
      <c r="B391" s="39" t="s">
        <v>582</v>
      </c>
      <c r="C391" s="44" t="s">
        <v>81</v>
      </c>
      <c r="D391" t="s">
        <v>164</v>
      </c>
      <c r="E391" t="s">
        <v>83</v>
      </c>
      <c r="F391" s="42">
        <v>45498</v>
      </c>
      <c r="G391" s="34">
        <f t="shared" si="30"/>
        <v>45618</v>
      </c>
      <c r="H391" t="s">
        <v>169</v>
      </c>
      <c r="I391" s="34">
        <f t="shared" si="31"/>
        <v>45618</v>
      </c>
      <c r="J391" t="s">
        <v>161</v>
      </c>
      <c r="K391" t="s">
        <v>853</v>
      </c>
      <c r="L391" t="s">
        <v>163</v>
      </c>
      <c r="M391" s="39" t="s">
        <v>582</v>
      </c>
      <c r="N391" t="s">
        <v>161</v>
      </c>
      <c r="Q391" s="39" t="s">
        <v>788</v>
      </c>
      <c r="U391" t="s">
        <v>854</v>
      </c>
      <c r="W391" t="s">
        <v>855</v>
      </c>
      <c r="X391">
        <v>4</v>
      </c>
      <c r="AA391" s="48">
        <v>307.5</v>
      </c>
      <c r="AC391" s="48">
        <v>307.5</v>
      </c>
      <c r="AF391" s="34">
        <f t="shared" si="28"/>
        <v>45827</v>
      </c>
      <c r="AG391" s="34">
        <f t="shared" si="29"/>
        <v>47652</v>
      </c>
      <c r="AH391" s="44" t="s">
        <v>857</v>
      </c>
      <c r="AK391">
        <v>16</v>
      </c>
      <c r="AL391">
        <v>112</v>
      </c>
      <c r="AM391">
        <v>10</v>
      </c>
      <c r="AN391" s="48">
        <v>307.5</v>
      </c>
    </row>
    <row r="392" spans="2:40">
      <c r="B392" s="39" t="s">
        <v>580</v>
      </c>
      <c r="C392" s="44" t="s">
        <v>81</v>
      </c>
      <c r="D392" t="s">
        <v>164</v>
      </c>
      <c r="E392" t="s">
        <v>83</v>
      </c>
      <c r="F392" s="42">
        <v>45506</v>
      </c>
      <c r="G392" s="34">
        <f t="shared" si="30"/>
        <v>45626</v>
      </c>
      <c r="H392" t="s">
        <v>169</v>
      </c>
      <c r="I392" s="34">
        <f t="shared" si="31"/>
        <v>45626</v>
      </c>
      <c r="J392" t="s">
        <v>161</v>
      </c>
      <c r="K392" t="s">
        <v>853</v>
      </c>
      <c r="L392" t="s">
        <v>163</v>
      </c>
      <c r="M392" s="39" t="s">
        <v>580</v>
      </c>
      <c r="N392" t="s">
        <v>161</v>
      </c>
      <c r="Q392" s="39" t="s">
        <v>791</v>
      </c>
      <c r="U392" t="s">
        <v>854</v>
      </c>
      <c r="W392" t="s">
        <v>855</v>
      </c>
      <c r="X392">
        <v>4</v>
      </c>
      <c r="AA392" s="48">
        <v>307.5</v>
      </c>
      <c r="AC392" s="48">
        <v>307.5</v>
      </c>
      <c r="AF392" s="34">
        <f t="shared" si="28"/>
        <v>45835</v>
      </c>
      <c r="AG392" s="34">
        <f t="shared" si="29"/>
        <v>47660</v>
      </c>
      <c r="AH392" s="44" t="s">
        <v>857</v>
      </c>
      <c r="AK392">
        <v>16</v>
      </c>
      <c r="AL392">
        <v>112</v>
      </c>
      <c r="AM392">
        <v>10</v>
      </c>
      <c r="AN392" s="48">
        <v>307.5</v>
      </c>
    </row>
    <row r="393" spans="2:40">
      <c r="B393" s="39" t="s">
        <v>579</v>
      </c>
      <c r="C393" s="44" t="s">
        <v>81</v>
      </c>
      <c r="D393" t="s">
        <v>164</v>
      </c>
      <c r="E393" t="s">
        <v>83</v>
      </c>
      <c r="F393" s="42">
        <v>45512</v>
      </c>
      <c r="G393" s="34">
        <f t="shared" si="30"/>
        <v>45632</v>
      </c>
      <c r="H393" t="s">
        <v>169</v>
      </c>
      <c r="I393" s="34">
        <f t="shared" si="31"/>
        <v>45632</v>
      </c>
      <c r="J393" t="s">
        <v>161</v>
      </c>
      <c r="K393" t="s">
        <v>853</v>
      </c>
      <c r="L393" t="s">
        <v>163</v>
      </c>
      <c r="M393" s="39" t="s">
        <v>579</v>
      </c>
      <c r="N393" t="s">
        <v>161</v>
      </c>
      <c r="Q393" s="39" t="s">
        <v>792</v>
      </c>
      <c r="U393" t="s">
        <v>854</v>
      </c>
      <c r="W393" t="s">
        <v>855</v>
      </c>
      <c r="X393">
        <v>4</v>
      </c>
      <c r="AA393" s="48">
        <v>307.5</v>
      </c>
      <c r="AC393" s="48">
        <v>307.5</v>
      </c>
      <c r="AF393" s="34">
        <f t="shared" si="28"/>
        <v>45841</v>
      </c>
      <c r="AG393" s="34">
        <f t="shared" si="29"/>
        <v>47666</v>
      </c>
      <c r="AH393" s="44" t="s">
        <v>857</v>
      </c>
      <c r="AK393">
        <v>16</v>
      </c>
      <c r="AL393">
        <v>112</v>
      </c>
      <c r="AM393">
        <v>10</v>
      </c>
      <c r="AN393" s="48">
        <v>307.5</v>
      </c>
    </row>
    <row r="394" spans="2:40">
      <c r="B394" s="39" t="s">
        <v>575</v>
      </c>
      <c r="C394" s="44" t="s">
        <v>81</v>
      </c>
      <c r="D394" t="s">
        <v>164</v>
      </c>
      <c r="E394" t="s">
        <v>83</v>
      </c>
      <c r="F394" s="42">
        <v>45518</v>
      </c>
      <c r="G394" s="34">
        <f t="shared" si="30"/>
        <v>45638</v>
      </c>
      <c r="H394" t="s">
        <v>169</v>
      </c>
      <c r="I394" s="34">
        <f t="shared" si="31"/>
        <v>45638</v>
      </c>
      <c r="J394" t="s">
        <v>161</v>
      </c>
      <c r="K394" t="s">
        <v>853</v>
      </c>
      <c r="L394" t="s">
        <v>163</v>
      </c>
      <c r="M394" s="39" t="s">
        <v>575</v>
      </c>
      <c r="N394" t="s">
        <v>161</v>
      </c>
      <c r="Q394" s="39" t="s">
        <v>793</v>
      </c>
      <c r="U394" t="s">
        <v>854</v>
      </c>
      <c r="W394" t="s">
        <v>855</v>
      </c>
      <c r="X394">
        <v>4</v>
      </c>
      <c r="AA394" s="48">
        <v>307.5</v>
      </c>
      <c r="AC394" s="48">
        <v>307.5</v>
      </c>
      <c r="AF394" s="34">
        <f t="shared" ref="AF394:AF457" si="32">+F394+(47*7)</f>
        <v>45847</v>
      </c>
      <c r="AG394" s="34">
        <f t="shared" ref="AG394:AG457" si="33">+AF394+(365*5)</f>
        <v>47672</v>
      </c>
      <c r="AH394" s="44" t="s">
        <v>857</v>
      </c>
      <c r="AK394">
        <v>16</v>
      </c>
      <c r="AL394">
        <v>112</v>
      </c>
      <c r="AM394">
        <v>10</v>
      </c>
      <c r="AN394" s="48">
        <v>307.5</v>
      </c>
    </row>
    <row r="395" spans="2:40">
      <c r="B395" s="39" t="s">
        <v>576</v>
      </c>
      <c r="C395" s="44" t="s">
        <v>81</v>
      </c>
      <c r="D395" t="s">
        <v>164</v>
      </c>
      <c r="E395" t="s">
        <v>83</v>
      </c>
      <c r="F395" s="42">
        <v>45518</v>
      </c>
      <c r="G395" s="34">
        <f t="shared" si="30"/>
        <v>45638</v>
      </c>
      <c r="H395" t="s">
        <v>169</v>
      </c>
      <c r="I395" s="34">
        <f t="shared" si="31"/>
        <v>45638</v>
      </c>
      <c r="J395" t="s">
        <v>161</v>
      </c>
      <c r="K395" t="s">
        <v>853</v>
      </c>
      <c r="L395" t="s">
        <v>163</v>
      </c>
      <c r="M395" s="39" t="s">
        <v>576</v>
      </c>
      <c r="N395" t="s">
        <v>161</v>
      </c>
      <c r="Q395" s="39" t="s">
        <v>793</v>
      </c>
      <c r="U395" t="s">
        <v>854</v>
      </c>
      <c r="W395" t="s">
        <v>855</v>
      </c>
      <c r="X395">
        <v>4</v>
      </c>
      <c r="AA395" s="48">
        <v>307.5</v>
      </c>
      <c r="AC395" s="48">
        <v>307.5</v>
      </c>
      <c r="AF395" s="34">
        <f t="shared" si="32"/>
        <v>45847</v>
      </c>
      <c r="AG395" s="34">
        <f t="shared" si="33"/>
        <v>47672</v>
      </c>
      <c r="AH395" s="44" t="s">
        <v>857</v>
      </c>
      <c r="AK395">
        <v>16</v>
      </c>
      <c r="AL395">
        <v>112</v>
      </c>
      <c r="AM395">
        <v>10</v>
      </c>
      <c r="AN395" s="48">
        <v>307.5</v>
      </c>
    </row>
    <row r="396" spans="2:40">
      <c r="B396" s="39" t="s">
        <v>577</v>
      </c>
      <c r="C396" s="44" t="s">
        <v>81</v>
      </c>
      <c r="D396" t="s">
        <v>164</v>
      </c>
      <c r="E396" t="s">
        <v>83</v>
      </c>
      <c r="F396" s="42">
        <v>45518</v>
      </c>
      <c r="G396" s="34">
        <f t="shared" si="30"/>
        <v>45638</v>
      </c>
      <c r="H396" t="s">
        <v>169</v>
      </c>
      <c r="I396" s="34">
        <f t="shared" si="31"/>
        <v>45638</v>
      </c>
      <c r="J396" t="s">
        <v>161</v>
      </c>
      <c r="K396" t="s">
        <v>853</v>
      </c>
      <c r="L396" t="s">
        <v>163</v>
      </c>
      <c r="M396" s="39" t="s">
        <v>577</v>
      </c>
      <c r="N396" t="s">
        <v>161</v>
      </c>
      <c r="Q396" s="39" t="s">
        <v>793</v>
      </c>
      <c r="U396" t="s">
        <v>854</v>
      </c>
      <c r="W396" t="s">
        <v>855</v>
      </c>
      <c r="X396">
        <v>4</v>
      </c>
      <c r="AA396" s="48">
        <v>307.5</v>
      </c>
      <c r="AC396" s="48">
        <v>307.5</v>
      </c>
      <c r="AF396" s="34">
        <f t="shared" si="32"/>
        <v>45847</v>
      </c>
      <c r="AG396" s="34">
        <f t="shared" si="33"/>
        <v>47672</v>
      </c>
      <c r="AH396" s="44" t="s">
        <v>857</v>
      </c>
      <c r="AK396">
        <v>16</v>
      </c>
      <c r="AL396">
        <v>112</v>
      </c>
      <c r="AM396">
        <v>10</v>
      </c>
      <c r="AN396" s="48">
        <v>307.5</v>
      </c>
    </row>
    <row r="397" spans="2:40">
      <c r="B397" s="39" t="s">
        <v>578</v>
      </c>
      <c r="C397" s="44" t="s">
        <v>81</v>
      </c>
      <c r="D397" t="s">
        <v>164</v>
      </c>
      <c r="E397" t="s">
        <v>83</v>
      </c>
      <c r="F397" s="42">
        <v>45518</v>
      </c>
      <c r="G397" s="34">
        <f t="shared" si="30"/>
        <v>45638</v>
      </c>
      <c r="H397" t="s">
        <v>169</v>
      </c>
      <c r="I397" s="34">
        <f t="shared" si="31"/>
        <v>45638</v>
      </c>
      <c r="J397" t="s">
        <v>161</v>
      </c>
      <c r="K397" t="s">
        <v>853</v>
      </c>
      <c r="L397" t="s">
        <v>163</v>
      </c>
      <c r="M397" s="39" t="s">
        <v>578</v>
      </c>
      <c r="N397" t="s">
        <v>161</v>
      </c>
      <c r="Q397" s="39" t="s">
        <v>793</v>
      </c>
      <c r="U397" t="s">
        <v>854</v>
      </c>
      <c r="W397" t="s">
        <v>855</v>
      </c>
      <c r="X397">
        <v>4</v>
      </c>
      <c r="AA397" s="48">
        <v>307.5</v>
      </c>
      <c r="AC397" s="48">
        <v>307.5</v>
      </c>
      <c r="AF397" s="34">
        <f t="shared" si="32"/>
        <v>45847</v>
      </c>
      <c r="AG397" s="34">
        <f t="shared" si="33"/>
        <v>47672</v>
      </c>
      <c r="AH397" s="44" t="s">
        <v>857</v>
      </c>
      <c r="AK397">
        <v>16</v>
      </c>
      <c r="AL397">
        <v>112</v>
      </c>
      <c r="AM397">
        <v>10</v>
      </c>
      <c r="AN397" s="48">
        <v>307.5</v>
      </c>
    </row>
    <row r="398" spans="2:40">
      <c r="B398" s="39" t="s">
        <v>572</v>
      </c>
      <c r="C398" s="44" t="s">
        <v>81</v>
      </c>
      <c r="D398" t="s">
        <v>164</v>
      </c>
      <c r="E398" t="s">
        <v>83</v>
      </c>
      <c r="F398" s="42">
        <v>45529</v>
      </c>
      <c r="G398" s="34">
        <f t="shared" si="30"/>
        <v>45649</v>
      </c>
      <c r="H398" t="s">
        <v>169</v>
      </c>
      <c r="I398" s="34">
        <f t="shared" si="31"/>
        <v>45649</v>
      </c>
      <c r="J398" t="s">
        <v>161</v>
      </c>
      <c r="K398" t="s">
        <v>853</v>
      </c>
      <c r="L398" t="s">
        <v>163</v>
      </c>
      <c r="M398" s="39" t="s">
        <v>572</v>
      </c>
      <c r="N398" t="s">
        <v>161</v>
      </c>
      <c r="Q398" s="39" t="s">
        <v>794</v>
      </c>
      <c r="U398" t="s">
        <v>854</v>
      </c>
      <c r="W398" t="s">
        <v>855</v>
      </c>
      <c r="X398">
        <v>4</v>
      </c>
      <c r="AA398" s="48">
        <v>307.5</v>
      </c>
      <c r="AC398" s="48">
        <v>307.5</v>
      </c>
      <c r="AF398" s="34">
        <f t="shared" si="32"/>
        <v>45858</v>
      </c>
      <c r="AG398" s="34">
        <f t="shared" si="33"/>
        <v>47683</v>
      </c>
      <c r="AH398" s="44" t="s">
        <v>857</v>
      </c>
      <c r="AK398">
        <v>16</v>
      </c>
      <c r="AL398">
        <v>112</v>
      </c>
      <c r="AM398">
        <v>10</v>
      </c>
      <c r="AN398" s="48">
        <v>307.5</v>
      </c>
    </row>
    <row r="399" spans="2:40">
      <c r="B399" s="39" t="s">
        <v>573</v>
      </c>
      <c r="C399" s="44" t="s">
        <v>81</v>
      </c>
      <c r="D399" t="s">
        <v>164</v>
      </c>
      <c r="E399" t="s">
        <v>83</v>
      </c>
      <c r="F399" s="42">
        <v>45529</v>
      </c>
      <c r="G399" s="34">
        <f t="shared" si="30"/>
        <v>45649</v>
      </c>
      <c r="H399" t="s">
        <v>169</v>
      </c>
      <c r="I399" s="34">
        <f t="shared" si="31"/>
        <v>45649</v>
      </c>
      <c r="J399" t="s">
        <v>161</v>
      </c>
      <c r="K399" t="s">
        <v>853</v>
      </c>
      <c r="L399" t="s">
        <v>163</v>
      </c>
      <c r="M399" s="39" t="s">
        <v>573</v>
      </c>
      <c r="N399" t="s">
        <v>161</v>
      </c>
      <c r="Q399" s="39" t="s">
        <v>794</v>
      </c>
      <c r="U399" t="s">
        <v>854</v>
      </c>
      <c r="W399" t="s">
        <v>855</v>
      </c>
      <c r="X399">
        <v>4</v>
      </c>
      <c r="AA399" s="48">
        <v>307.5</v>
      </c>
      <c r="AC399" s="48">
        <v>307.5</v>
      </c>
      <c r="AF399" s="34">
        <f t="shared" si="32"/>
        <v>45858</v>
      </c>
      <c r="AG399" s="34">
        <f t="shared" si="33"/>
        <v>47683</v>
      </c>
      <c r="AH399" s="44" t="s">
        <v>857</v>
      </c>
      <c r="AK399">
        <v>16</v>
      </c>
      <c r="AL399">
        <v>112</v>
      </c>
      <c r="AM399">
        <v>10</v>
      </c>
      <c r="AN399" s="48">
        <v>307.5</v>
      </c>
    </row>
    <row r="400" spans="2:40">
      <c r="B400" s="39" t="s">
        <v>574</v>
      </c>
      <c r="C400" s="44" t="s">
        <v>81</v>
      </c>
      <c r="D400" t="s">
        <v>164</v>
      </c>
      <c r="E400" t="s">
        <v>83</v>
      </c>
      <c r="F400" s="42">
        <v>45529</v>
      </c>
      <c r="G400" s="34">
        <f t="shared" si="30"/>
        <v>45649</v>
      </c>
      <c r="H400" t="s">
        <v>169</v>
      </c>
      <c r="I400" s="34">
        <f t="shared" si="31"/>
        <v>45649</v>
      </c>
      <c r="J400" t="s">
        <v>161</v>
      </c>
      <c r="K400" t="s">
        <v>853</v>
      </c>
      <c r="L400" t="s">
        <v>163</v>
      </c>
      <c r="M400" s="39" t="s">
        <v>574</v>
      </c>
      <c r="N400" t="s">
        <v>161</v>
      </c>
      <c r="Q400" s="39" t="s">
        <v>794</v>
      </c>
      <c r="U400" t="s">
        <v>854</v>
      </c>
      <c r="W400" t="s">
        <v>855</v>
      </c>
      <c r="X400">
        <v>4</v>
      </c>
      <c r="AA400" s="48">
        <v>307.5</v>
      </c>
      <c r="AC400" s="48">
        <v>307.5</v>
      </c>
      <c r="AF400" s="34">
        <f t="shared" si="32"/>
        <v>45858</v>
      </c>
      <c r="AG400" s="34">
        <f t="shared" si="33"/>
        <v>47683</v>
      </c>
      <c r="AH400" s="44" t="s">
        <v>857</v>
      </c>
      <c r="AK400">
        <v>16</v>
      </c>
      <c r="AL400">
        <v>112</v>
      </c>
      <c r="AM400">
        <v>10</v>
      </c>
      <c r="AN400" s="48">
        <v>307.5</v>
      </c>
    </row>
    <row r="401" spans="2:40">
      <c r="B401" s="39" t="s">
        <v>570</v>
      </c>
      <c r="C401" s="44" t="s">
        <v>81</v>
      </c>
      <c r="D401" t="s">
        <v>164</v>
      </c>
      <c r="E401" t="s">
        <v>83</v>
      </c>
      <c r="F401" s="42">
        <v>45534</v>
      </c>
      <c r="G401" s="34">
        <f t="shared" si="30"/>
        <v>45654</v>
      </c>
      <c r="H401" t="s">
        <v>169</v>
      </c>
      <c r="I401" s="34">
        <f t="shared" si="31"/>
        <v>45654</v>
      </c>
      <c r="J401" t="s">
        <v>161</v>
      </c>
      <c r="K401" t="s">
        <v>853</v>
      </c>
      <c r="L401" t="s">
        <v>163</v>
      </c>
      <c r="M401" s="39" t="s">
        <v>570</v>
      </c>
      <c r="N401" t="s">
        <v>161</v>
      </c>
      <c r="Q401" s="39" t="s">
        <v>795</v>
      </c>
      <c r="U401" t="s">
        <v>854</v>
      </c>
      <c r="W401" t="s">
        <v>855</v>
      </c>
      <c r="X401">
        <v>4</v>
      </c>
      <c r="AA401" s="48">
        <v>307.5</v>
      </c>
      <c r="AC401" s="48">
        <v>307.5</v>
      </c>
      <c r="AF401" s="34">
        <f t="shared" si="32"/>
        <v>45863</v>
      </c>
      <c r="AG401" s="34">
        <f t="shared" si="33"/>
        <v>47688</v>
      </c>
      <c r="AH401" s="44" t="s">
        <v>857</v>
      </c>
      <c r="AK401">
        <v>16</v>
      </c>
      <c r="AL401">
        <v>112</v>
      </c>
      <c r="AM401">
        <v>10</v>
      </c>
      <c r="AN401" s="48">
        <v>307.5</v>
      </c>
    </row>
    <row r="402" spans="2:40">
      <c r="B402" s="39" t="s">
        <v>571</v>
      </c>
      <c r="C402" s="44" t="s">
        <v>81</v>
      </c>
      <c r="D402" t="s">
        <v>164</v>
      </c>
      <c r="E402" t="s">
        <v>83</v>
      </c>
      <c r="F402" s="42">
        <v>45534</v>
      </c>
      <c r="G402" s="34">
        <f t="shared" si="30"/>
        <v>45654</v>
      </c>
      <c r="H402" t="s">
        <v>169</v>
      </c>
      <c r="I402" s="34">
        <f t="shared" si="31"/>
        <v>45654</v>
      </c>
      <c r="J402" t="s">
        <v>161</v>
      </c>
      <c r="K402" t="s">
        <v>853</v>
      </c>
      <c r="L402" t="s">
        <v>163</v>
      </c>
      <c r="M402" s="39" t="s">
        <v>571</v>
      </c>
      <c r="N402" t="s">
        <v>161</v>
      </c>
      <c r="Q402" s="39" t="s">
        <v>795</v>
      </c>
      <c r="U402" t="s">
        <v>854</v>
      </c>
      <c r="W402" t="s">
        <v>855</v>
      </c>
      <c r="X402">
        <v>4</v>
      </c>
      <c r="AA402" s="48">
        <v>307.5</v>
      </c>
      <c r="AC402" s="48">
        <v>307.5</v>
      </c>
      <c r="AF402" s="34">
        <f t="shared" si="32"/>
        <v>45863</v>
      </c>
      <c r="AG402" s="34">
        <f t="shared" si="33"/>
        <v>47688</v>
      </c>
      <c r="AH402" s="44" t="s">
        <v>857</v>
      </c>
      <c r="AK402">
        <v>16</v>
      </c>
      <c r="AL402">
        <v>112</v>
      </c>
      <c r="AM402">
        <v>10</v>
      </c>
      <c r="AN402" s="48">
        <v>307.5</v>
      </c>
    </row>
    <row r="403" spans="2:40">
      <c r="B403" s="39" t="s">
        <v>567</v>
      </c>
      <c r="C403" s="44" t="s">
        <v>81</v>
      </c>
      <c r="D403" t="s">
        <v>164</v>
      </c>
      <c r="E403" t="s">
        <v>83</v>
      </c>
      <c r="F403" s="42">
        <v>45541</v>
      </c>
      <c r="G403" s="34">
        <f t="shared" si="30"/>
        <v>45661</v>
      </c>
      <c r="H403" t="s">
        <v>169</v>
      </c>
      <c r="I403" s="34">
        <f t="shared" si="31"/>
        <v>45661</v>
      </c>
      <c r="J403" t="s">
        <v>161</v>
      </c>
      <c r="K403" t="s">
        <v>853</v>
      </c>
      <c r="L403" t="s">
        <v>163</v>
      </c>
      <c r="M403" s="39" t="s">
        <v>567</v>
      </c>
      <c r="N403" t="s">
        <v>161</v>
      </c>
      <c r="Q403" s="39" t="s">
        <v>790</v>
      </c>
      <c r="U403" t="s">
        <v>854</v>
      </c>
      <c r="W403" t="s">
        <v>855</v>
      </c>
      <c r="X403">
        <v>4</v>
      </c>
      <c r="AA403" s="48">
        <v>307.5</v>
      </c>
      <c r="AC403" s="48">
        <v>307.5</v>
      </c>
      <c r="AF403" s="34">
        <f t="shared" si="32"/>
        <v>45870</v>
      </c>
      <c r="AG403" s="34">
        <f t="shared" si="33"/>
        <v>47695</v>
      </c>
      <c r="AH403" s="44" t="s">
        <v>857</v>
      </c>
      <c r="AK403">
        <v>16</v>
      </c>
      <c r="AL403">
        <v>112</v>
      </c>
      <c r="AM403">
        <v>10</v>
      </c>
      <c r="AN403" s="48">
        <v>307.5</v>
      </c>
    </row>
    <row r="404" spans="2:40">
      <c r="B404" s="39" t="s">
        <v>568</v>
      </c>
      <c r="C404" s="44" t="s">
        <v>81</v>
      </c>
      <c r="D404" t="s">
        <v>164</v>
      </c>
      <c r="E404" t="s">
        <v>83</v>
      </c>
      <c r="F404" s="42">
        <v>45541</v>
      </c>
      <c r="G404" s="34">
        <f t="shared" si="30"/>
        <v>45661</v>
      </c>
      <c r="H404" t="s">
        <v>169</v>
      </c>
      <c r="I404" s="34">
        <f t="shared" si="31"/>
        <v>45661</v>
      </c>
      <c r="J404" t="s">
        <v>161</v>
      </c>
      <c r="K404" t="s">
        <v>853</v>
      </c>
      <c r="L404" t="s">
        <v>163</v>
      </c>
      <c r="M404" s="39" t="s">
        <v>568</v>
      </c>
      <c r="N404" t="s">
        <v>161</v>
      </c>
      <c r="Q404" s="39" t="s">
        <v>790</v>
      </c>
      <c r="U404" t="s">
        <v>854</v>
      </c>
      <c r="W404" t="s">
        <v>855</v>
      </c>
      <c r="X404">
        <v>4</v>
      </c>
      <c r="AA404" s="48">
        <v>307.5</v>
      </c>
      <c r="AC404" s="48">
        <v>307.5</v>
      </c>
      <c r="AF404" s="34">
        <f t="shared" si="32"/>
        <v>45870</v>
      </c>
      <c r="AG404" s="34">
        <f t="shared" si="33"/>
        <v>47695</v>
      </c>
      <c r="AH404" s="44" t="s">
        <v>857</v>
      </c>
      <c r="AK404">
        <v>16</v>
      </c>
      <c r="AL404">
        <v>112</v>
      </c>
      <c r="AM404">
        <v>10</v>
      </c>
      <c r="AN404" s="48">
        <v>307.5</v>
      </c>
    </row>
    <row r="405" spans="2:40">
      <c r="B405" s="39" t="s">
        <v>569</v>
      </c>
      <c r="C405" s="44" t="s">
        <v>81</v>
      </c>
      <c r="D405" t="s">
        <v>164</v>
      </c>
      <c r="E405" t="s">
        <v>83</v>
      </c>
      <c r="F405" s="42">
        <v>45541</v>
      </c>
      <c r="G405" s="34">
        <f t="shared" si="30"/>
        <v>45661</v>
      </c>
      <c r="H405" t="s">
        <v>169</v>
      </c>
      <c r="I405" s="34">
        <f t="shared" si="31"/>
        <v>45661</v>
      </c>
      <c r="J405" t="s">
        <v>161</v>
      </c>
      <c r="K405" t="s">
        <v>853</v>
      </c>
      <c r="L405" t="s">
        <v>163</v>
      </c>
      <c r="M405" s="39" t="s">
        <v>569</v>
      </c>
      <c r="N405" t="s">
        <v>161</v>
      </c>
      <c r="Q405" s="39" t="s">
        <v>790</v>
      </c>
      <c r="U405" t="s">
        <v>854</v>
      </c>
      <c r="W405" t="s">
        <v>855</v>
      </c>
      <c r="X405">
        <v>4</v>
      </c>
      <c r="AA405" s="48">
        <v>307.5</v>
      </c>
      <c r="AC405" s="48">
        <v>307.5</v>
      </c>
      <c r="AF405" s="34">
        <f t="shared" si="32"/>
        <v>45870</v>
      </c>
      <c r="AG405" s="34">
        <f t="shared" si="33"/>
        <v>47695</v>
      </c>
      <c r="AH405" s="44" t="s">
        <v>857</v>
      </c>
      <c r="AK405">
        <v>16</v>
      </c>
      <c r="AL405">
        <v>112</v>
      </c>
      <c r="AM405">
        <v>10</v>
      </c>
      <c r="AN405" s="48">
        <v>307.5</v>
      </c>
    </row>
    <row r="406" spans="2:40">
      <c r="B406" s="39" t="s">
        <v>611</v>
      </c>
      <c r="C406" s="44" t="s">
        <v>81</v>
      </c>
      <c r="D406" t="s">
        <v>164</v>
      </c>
      <c r="E406" t="s">
        <v>83</v>
      </c>
      <c r="F406" s="42">
        <v>45352</v>
      </c>
      <c r="G406" s="34">
        <f t="shared" si="30"/>
        <v>45472</v>
      </c>
      <c r="H406" t="s">
        <v>169</v>
      </c>
      <c r="I406" s="34">
        <f t="shared" si="31"/>
        <v>45472</v>
      </c>
      <c r="J406" t="s">
        <v>161</v>
      </c>
      <c r="K406" t="s">
        <v>853</v>
      </c>
      <c r="L406" t="s">
        <v>163</v>
      </c>
      <c r="M406" s="39" t="s">
        <v>611</v>
      </c>
      <c r="N406" t="s">
        <v>161</v>
      </c>
      <c r="Q406" s="39" t="s">
        <v>796</v>
      </c>
      <c r="U406" t="s">
        <v>854</v>
      </c>
      <c r="W406" t="s">
        <v>855</v>
      </c>
      <c r="X406">
        <v>4</v>
      </c>
      <c r="AA406" s="48">
        <v>307.5</v>
      </c>
      <c r="AC406" s="48">
        <v>307.5</v>
      </c>
      <c r="AF406" s="34">
        <f t="shared" si="32"/>
        <v>45681</v>
      </c>
      <c r="AG406" s="34">
        <f t="shared" si="33"/>
        <v>47506</v>
      </c>
      <c r="AH406" s="44" t="s">
        <v>857</v>
      </c>
      <c r="AK406">
        <v>16</v>
      </c>
      <c r="AL406">
        <v>112</v>
      </c>
      <c r="AM406">
        <v>10</v>
      </c>
      <c r="AN406" s="48">
        <v>307.5</v>
      </c>
    </row>
    <row r="407" spans="2:40">
      <c r="B407" s="39" t="s">
        <v>618</v>
      </c>
      <c r="C407" s="44" t="s">
        <v>81</v>
      </c>
      <c r="D407" t="s">
        <v>164</v>
      </c>
      <c r="E407" t="s">
        <v>83</v>
      </c>
      <c r="F407" s="42">
        <v>45393</v>
      </c>
      <c r="G407" s="34">
        <f t="shared" si="30"/>
        <v>45513</v>
      </c>
      <c r="H407" t="s">
        <v>169</v>
      </c>
      <c r="I407" s="34">
        <f t="shared" si="31"/>
        <v>45513</v>
      </c>
      <c r="J407" t="s">
        <v>161</v>
      </c>
      <c r="K407" t="s">
        <v>853</v>
      </c>
      <c r="L407" t="s">
        <v>163</v>
      </c>
      <c r="M407" s="39" t="s">
        <v>618</v>
      </c>
      <c r="N407" t="s">
        <v>161</v>
      </c>
      <c r="Q407" s="39" t="s">
        <v>797</v>
      </c>
      <c r="U407" t="s">
        <v>854</v>
      </c>
      <c r="W407" t="s">
        <v>855</v>
      </c>
      <c r="X407">
        <v>4</v>
      </c>
      <c r="AA407" s="48">
        <v>307.5</v>
      </c>
      <c r="AC407" s="48">
        <v>307.5</v>
      </c>
      <c r="AF407" s="34">
        <f t="shared" si="32"/>
        <v>45722</v>
      </c>
      <c r="AG407" s="34">
        <f t="shared" si="33"/>
        <v>47547</v>
      </c>
      <c r="AH407" s="44" t="s">
        <v>857</v>
      </c>
      <c r="AK407">
        <v>16</v>
      </c>
      <c r="AL407">
        <v>112</v>
      </c>
      <c r="AM407">
        <v>10</v>
      </c>
      <c r="AN407" s="48">
        <v>307.5</v>
      </c>
    </row>
    <row r="408" spans="2:40">
      <c r="B408" s="39" t="s">
        <v>615</v>
      </c>
      <c r="C408" s="44" t="s">
        <v>81</v>
      </c>
      <c r="D408" t="s">
        <v>164</v>
      </c>
      <c r="E408" t="s">
        <v>83</v>
      </c>
      <c r="F408" s="42">
        <v>45399</v>
      </c>
      <c r="G408" s="34">
        <f t="shared" si="30"/>
        <v>45519</v>
      </c>
      <c r="H408" t="s">
        <v>169</v>
      </c>
      <c r="I408" s="34">
        <f t="shared" si="31"/>
        <v>45519</v>
      </c>
      <c r="J408" t="s">
        <v>161</v>
      </c>
      <c r="K408" t="s">
        <v>853</v>
      </c>
      <c r="L408" t="s">
        <v>163</v>
      </c>
      <c r="M408" s="39" t="s">
        <v>615</v>
      </c>
      <c r="N408" t="s">
        <v>161</v>
      </c>
      <c r="Q408" s="39" t="s">
        <v>798</v>
      </c>
      <c r="U408" t="s">
        <v>854</v>
      </c>
      <c r="W408" t="s">
        <v>855</v>
      </c>
      <c r="X408">
        <v>4</v>
      </c>
      <c r="AA408" s="48">
        <v>307.5</v>
      </c>
      <c r="AC408" s="48">
        <v>307.5</v>
      </c>
      <c r="AF408" s="34">
        <f t="shared" si="32"/>
        <v>45728</v>
      </c>
      <c r="AG408" s="34">
        <f t="shared" si="33"/>
        <v>47553</v>
      </c>
      <c r="AH408" s="44" t="s">
        <v>857</v>
      </c>
      <c r="AK408">
        <v>16</v>
      </c>
      <c r="AL408">
        <v>112</v>
      </c>
      <c r="AM408">
        <v>10</v>
      </c>
      <c r="AN408" s="48">
        <v>307.5</v>
      </c>
    </row>
    <row r="409" spans="2:40">
      <c r="B409" s="39" t="s">
        <v>616</v>
      </c>
      <c r="C409" s="44" t="s">
        <v>81</v>
      </c>
      <c r="D409" t="s">
        <v>164</v>
      </c>
      <c r="E409" t="s">
        <v>83</v>
      </c>
      <c r="F409" s="42">
        <v>45399</v>
      </c>
      <c r="G409" s="34">
        <f t="shared" si="30"/>
        <v>45519</v>
      </c>
      <c r="H409" t="s">
        <v>169</v>
      </c>
      <c r="I409" s="34">
        <f t="shared" si="31"/>
        <v>45519</v>
      </c>
      <c r="J409" t="s">
        <v>161</v>
      </c>
      <c r="K409" t="s">
        <v>853</v>
      </c>
      <c r="L409" t="s">
        <v>163</v>
      </c>
      <c r="M409" s="39" t="s">
        <v>616</v>
      </c>
      <c r="N409" t="s">
        <v>161</v>
      </c>
      <c r="Q409" s="39" t="s">
        <v>798</v>
      </c>
      <c r="U409" t="s">
        <v>854</v>
      </c>
      <c r="W409" t="s">
        <v>855</v>
      </c>
      <c r="X409">
        <v>4</v>
      </c>
      <c r="AA409" s="48">
        <v>307.5</v>
      </c>
      <c r="AC409" s="48">
        <v>307.5</v>
      </c>
      <c r="AF409" s="34">
        <f t="shared" si="32"/>
        <v>45728</v>
      </c>
      <c r="AG409" s="34">
        <f t="shared" si="33"/>
        <v>47553</v>
      </c>
      <c r="AH409" s="44" t="s">
        <v>857</v>
      </c>
      <c r="AK409">
        <v>16</v>
      </c>
      <c r="AL409">
        <v>112</v>
      </c>
      <c r="AM409">
        <v>10</v>
      </c>
      <c r="AN409" s="48">
        <v>307.5</v>
      </c>
    </row>
    <row r="410" spans="2:40">
      <c r="B410" s="39" t="s">
        <v>617</v>
      </c>
      <c r="C410" s="44" t="s">
        <v>81</v>
      </c>
      <c r="D410" t="s">
        <v>164</v>
      </c>
      <c r="E410" t="s">
        <v>83</v>
      </c>
      <c r="F410" s="42">
        <v>45399</v>
      </c>
      <c r="G410" s="34">
        <f t="shared" si="30"/>
        <v>45519</v>
      </c>
      <c r="H410" t="s">
        <v>169</v>
      </c>
      <c r="I410" s="34">
        <f t="shared" si="31"/>
        <v>45519</v>
      </c>
      <c r="J410" t="s">
        <v>161</v>
      </c>
      <c r="K410" t="s">
        <v>853</v>
      </c>
      <c r="L410" t="s">
        <v>163</v>
      </c>
      <c r="M410" s="39" t="s">
        <v>617</v>
      </c>
      <c r="N410" t="s">
        <v>161</v>
      </c>
      <c r="Q410" s="39" t="s">
        <v>798</v>
      </c>
      <c r="U410" t="s">
        <v>854</v>
      </c>
      <c r="W410" t="s">
        <v>855</v>
      </c>
      <c r="X410">
        <v>4</v>
      </c>
      <c r="AA410" s="48">
        <v>307.5</v>
      </c>
      <c r="AC410" s="48">
        <v>307.5</v>
      </c>
      <c r="AF410" s="34">
        <f t="shared" si="32"/>
        <v>45728</v>
      </c>
      <c r="AG410" s="34">
        <f t="shared" si="33"/>
        <v>47553</v>
      </c>
      <c r="AH410" s="44" t="s">
        <v>857</v>
      </c>
      <c r="AK410">
        <v>16</v>
      </c>
      <c r="AL410">
        <v>112</v>
      </c>
      <c r="AM410">
        <v>10</v>
      </c>
      <c r="AN410" s="48">
        <v>307.5</v>
      </c>
    </row>
    <row r="411" spans="2:40">
      <c r="B411" s="39" t="s">
        <v>619</v>
      </c>
      <c r="C411" s="44" t="s">
        <v>81</v>
      </c>
      <c r="D411" t="s">
        <v>164</v>
      </c>
      <c r="E411" t="s">
        <v>83</v>
      </c>
      <c r="F411" s="42">
        <v>45406</v>
      </c>
      <c r="G411" s="34">
        <f t="shared" si="30"/>
        <v>45526</v>
      </c>
      <c r="H411" t="s">
        <v>169</v>
      </c>
      <c r="I411" s="34">
        <f t="shared" si="31"/>
        <v>45526</v>
      </c>
      <c r="J411" t="s">
        <v>161</v>
      </c>
      <c r="K411" t="s">
        <v>853</v>
      </c>
      <c r="L411" t="s">
        <v>163</v>
      </c>
      <c r="M411" s="39" t="s">
        <v>619</v>
      </c>
      <c r="N411" t="s">
        <v>161</v>
      </c>
      <c r="Q411" s="39" t="s">
        <v>799</v>
      </c>
      <c r="U411" t="s">
        <v>854</v>
      </c>
      <c r="W411" t="s">
        <v>855</v>
      </c>
      <c r="X411">
        <v>4</v>
      </c>
      <c r="AA411" s="48">
        <v>307.5</v>
      </c>
      <c r="AC411" s="48">
        <v>307.5</v>
      </c>
      <c r="AF411" s="34">
        <f t="shared" si="32"/>
        <v>45735</v>
      </c>
      <c r="AG411" s="34">
        <f t="shared" si="33"/>
        <v>47560</v>
      </c>
      <c r="AH411" s="44" t="s">
        <v>857</v>
      </c>
      <c r="AK411">
        <v>16</v>
      </c>
      <c r="AL411">
        <v>112</v>
      </c>
      <c r="AM411">
        <v>10</v>
      </c>
      <c r="AN411" s="48">
        <v>307.5</v>
      </c>
    </row>
    <row r="412" spans="2:40">
      <c r="B412" s="39" t="s">
        <v>613</v>
      </c>
      <c r="C412" s="44" t="s">
        <v>81</v>
      </c>
      <c r="D412" t="s">
        <v>164</v>
      </c>
      <c r="E412" t="s">
        <v>83</v>
      </c>
      <c r="F412" s="42">
        <v>45413</v>
      </c>
      <c r="G412" s="34">
        <f t="shared" si="30"/>
        <v>45533</v>
      </c>
      <c r="H412" t="s">
        <v>169</v>
      </c>
      <c r="I412" s="34">
        <f t="shared" si="31"/>
        <v>45533</v>
      </c>
      <c r="J412" t="s">
        <v>161</v>
      </c>
      <c r="K412" t="s">
        <v>853</v>
      </c>
      <c r="L412" t="s">
        <v>163</v>
      </c>
      <c r="M412" s="39" t="s">
        <v>613</v>
      </c>
      <c r="N412" t="s">
        <v>161</v>
      </c>
      <c r="Q412" s="39" t="s">
        <v>800</v>
      </c>
      <c r="U412" t="s">
        <v>854</v>
      </c>
      <c r="W412" t="s">
        <v>855</v>
      </c>
      <c r="X412">
        <v>4</v>
      </c>
      <c r="AA412" s="48">
        <v>307.5</v>
      </c>
      <c r="AC412" s="48">
        <v>307.5</v>
      </c>
      <c r="AF412" s="34">
        <f t="shared" si="32"/>
        <v>45742</v>
      </c>
      <c r="AG412" s="34">
        <f t="shared" si="33"/>
        <v>47567</v>
      </c>
      <c r="AH412" s="44" t="s">
        <v>857</v>
      </c>
      <c r="AK412">
        <v>16</v>
      </c>
      <c r="AL412">
        <v>112</v>
      </c>
      <c r="AM412">
        <v>10</v>
      </c>
      <c r="AN412" s="48">
        <v>307.5</v>
      </c>
    </row>
    <row r="413" spans="2:40">
      <c r="B413" s="39" t="s">
        <v>614</v>
      </c>
      <c r="C413" s="44" t="s">
        <v>81</v>
      </c>
      <c r="D413" t="s">
        <v>164</v>
      </c>
      <c r="E413" t="s">
        <v>83</v>
      </c>
      <c r="F413" s="42">
        <v>45413</v>
      </c>
      <c r="G413" s="34">
        <f t="shared" si="30"/>
        <v>45533</v>
      </c>
      <c r="H413" t="s">
        <v>169</v>
      </c>
      <c r="I413" s="34">
        <f t="shared" si="31"/>
        <v>45533</v>
      </c>
      <c r="J413" t="s">
        <v>161</v>
      </c>
      <c r="K413" t="s">
        <v>853</v>
      </c>
      <c r="L413" t="s">
        <v>163</v>
      </c>
      <c r="M413" s="39" t="s">
        <v>614</v>
      </c>
      <c r="N413" t="s">
        <v>161</v>
      </c>
      <c r="Q413" s="39" t="s">
        <v>800</v>
      </c>
      <c r="U413" t="s">
        <v>854</v>
      </c>
      <c r="W413" t="s">
        <v>855</v>
      </c>
      <c r="X413">
        <v>4</v>
      </c>
      <c r="AA413" s="48">
        <v>307.5</v>
      </c>
      <c r="AC413" s="48">
        <v>307.5</v>
      </c>
      <c r="AF413" s="34">
        <f t="shared" si="32"/>
        <v>45742</v>
      </c>
      <c r="AG413" s="34">
        <f t="shared" si="33"/>
        <v>47567</v>
      </c>
      <c r="AH413" s="44" t="s">
        <v>857</v>
      </c>
      <c r="AK413">
        <v>16</v>
      </c>
      <c r="AL413">
        <v>112</v>
      </c>
      <c r="AM413">
        <v>10</v>
      </c>
      <c r="AN413" s="48">
        <v>307.5</v>
      </c>
    </row>
    <row r="414" spans="2:40">
      <c r="B414" s="39" t="s">
        <v>585</v>
      </c>
      <c r="C414" s="44" t="s">
        <v>81</v>
      </c>
      <c r="D414" t="s">
        <v>164</v>
      </c>
      <c r="E414" t="s">
        <v>83</v>
      </c>
      <c r="F414" s="42">
        <v>45420</v>
      </c>
      <c r="G414" s="34">
        <f t="shared" si="30"/>
        <v>45540</v>
      </c>
      <c r="H414" t="s">
        <v>169</v>
      </c>
      <c r="I414" s="34">
        <f t="shared" si="31"/>
        <v>45540</v>
      </c>
      <c r="J414" t="s">
        <v>161</v>
      </c>
      <c r="K414" t="s">
        <v>853</v>
      </c>
      <c r="L414" t="s">
        <v>163</v>
      </c>
      <c r="M414" s="39" t="s">
        <v>585</v>
      </c>
      <c r="N414" t="s">
        <v>161</v>
      </c>
      <c r="Q414" s="39" t="s">
        <v>800</v>
      </c>
      <c r="U414" t="s">
        <v>854</v>
      </c>
      <c r="W414" t="s">
        <v>855</v>
      </c>
      <c r="X414">
        <v>4</v>
      </c>
      <c r="AA414" s="48">
        <v>307.5</v>
      </c>
      <c r="AC414" s="48">
        <v>307.5</v>
      </c>
      <c r="AF414" s="34">
        <f t="shared" si="32"/>
        <v>45749</v>
      </c>
      <c r="AG414" s="34">
        <f t="shared" si="33"/>
        <v>47574</v>
      </c>
      <c r="AH414" s="44" t="s">
        <v>857</v>
      </c>
      <c r="AK414">
        <v>16</v>
      </c>
      <c r="AL414">
        <v>112</v>
      </c>
      <c r="AM414">
        <v>10</v>
      </c>
      <c r="AN414" s="48">
        <v>307.5</v>
      </c>
    </row>
    <row r="415" spans="2:40">
      <c r="B415" s="39" t="s">
        <v>609</v>
      </c>
      <c r="C415" s="44" t="s">
        <v>81</v>
      </c>
      <c r="D415" t="s">
        <v>164</v>
      </c>
      <c r="E415" t="s">
        <v>83</v>
      </c>
      <c r="F415" s="42">
        <v>45430</v>
      </c>
      <c r="G415" s="34">
        <f t="shared" si="30"/>
        <v>45550</v>
      </c>
      <c r="H415" t="s">
        <v>169</v>
      </c>
      <c r="I415" s="34">
        <f t="shared" si="31"/>
        <v>45550</v>
      </c>
      <c r="J415" t="s">
        <v>161</v>
      </c>
      <c r="K415" t="s">
        <v>853</v>
      </c>
      <c r="L415" t="s">
        <v>163</v>
      </c>
      <c r="M415" s="39" t="s">
        <v>609</v>
      </c>
      <c r="N415" t="s">
        <v>161</v>
      </c>
      <c r="Q415" s="39" t="s">
        <v>800</v>
      </c>
      <c r="U415" t="s">
        <v>854</v>
      </c>
      <c r="W415" t="s">
        <v>855</v>
      </c>
      <c r="X415">
        <v>4</v>
      </c>
      <c r="AA415" s="48">
        <v>307.5</v>
      </c>
      <c r="AC415" s="48">
        <v>307.5</v>
      </c>
      <c r="AF415" s="34">
        <f t="shared" si="32"/>
        <v>45759</v>
      </c>
      <c r="AG415" s="34">
        <f t="shared" si="33"/>
        <v>47584</v>
      </c>
      <c r="AH415" s="44" t="s">
        <v>857</v>
      </c>
      <c r="AK415">
        <v>16</v>
      </c>
      <c r="AL415">
        <v>112</v>
      </c>
      <c r="AM415">
        <v>10</v>
      </c>
      <c r="AN415" s="48">
        <v>307.5</v>
      </c>
    </row>
    <row r="416" spans="2:40">
      <c r="B416" s="39" t="s">
        <v>610</v>
      </c>
      <c r="C416" s="44" t="s">
        <v>81</v>
      </c>
      <c r="D416" t="s">
        <v>164</v>
      </c>
      <c r="E416" t="s">
        <v>83</v>
      </c>
      <c r="F416" s="42">
        <v>45430</v>
      </c>
      <c r="G416" s="34">
        <f t="shared" si="30"/>
        <v>45550</v>
      </c>
      <c r="H416" t="s">
        <v>169</v>
      </c>
      <c r="I416" s="34">
        <f t="shared" si="31"/>
        <v>45550</v>
      </c>
      <c r="J416" t="s">
        <v>161</v>
      </c>
      <c r="K416" t="s">
        <v>853</v>
      </c>
      <c r="L416" t="s">
        <v>163</v>
      </c>
      <c r="M416" s="39" t="s">
        <v>610</v>
      </c>
      <c r="N416" t="s">
        <v>161</v>
      </c>
      <c r="Q416" s="39" t="s">
        <v>800</v>
      </c>
      <c r="U416" t="s">
        <v>854</v>
      </c>
      <c r="W416" t="s">
        <v>855</v>
      </c>
      <c r="X416">
        <v>4</v>
      </c>
      <c r="AA416" s="48">
        <v>307.5</v>
      </c>
      <c r="AC416" s="48">
        <v>307.5</v>
      </c>
      <c r="AF416" s="34">
        <f t="shared" si="32"/>
        <v>45759</v>
      </c>
      <c r="AG416" s="34">
        <f t="shared" si="33"/>
        <v>47584</v>
      </c>
      <c r="AH416" s="44" t="s">
        <v>857</v>
      </c>
      <c r="AK416">
        <v>16</v>
      </c>
      <c r="AL416">
        <v>112</v>
      </c>
      <c r="AM416">
        <v>10</v>
      </c>
      <c r="AN416" s="48">
        <v>307.5</v>
      </c>
    </row>
    <row r="417" spans="2:40">
      <c r="B417" s="39" t="s">
        <v>606</v>
      </c>
      <c r="C417" s="44" t="s">
        <v>81</v>
      </c>
      <c r="D417" t="s">
        <v>164</v>
      </c>
      <c r="E417" t="s">
        <v>83</v>
      </c>
      <c r="F417" s="42">
        <v>45430</v>
      </c>
      <c r="G417" s="34">
        <f t="shared" si="30"/>
        <v>45550</v>
      </c>
      <c r="H417" t="s">
        <v>169</v>
      </c>
      <c r="I417" s="34">
        <f t="shared" si="31"/>
        <v>45550</v>
      </c>
      <c r="J417" t="s">
        <v>161</v>
      </c>
      <c r="K417" t="s">
        <v>853</v>
      </c>
      <c r="L417" t="s">
        <v>163</v>
      </c>
      <c r="M417" s="39" t="s">
        <v>606</v>
      </c>
      <c r="N417" t="s">
        <v>161</v>
      </c>
      <c r="Q417" s="39" t="s">
        <v>801</v>
      </c>
      <c r="U417" t="s">
        <v>854</v>
      </c>
      <c r="W417" t="s">
        <v>855</v>
      </c>
      <c r="X417">
        <v>4</v>
      </c>
      <c r="AA417" s="48">
        <v>307.5</v>
      </c>
      <c r="AC417" s="48">
        <v>307.5</v>
      </c>
      <c r="AF417" s="34">
        <f t="shared" si="32"/>
        <v>45759</v>
      </c>
      <c r="AG417" s="34">
        <f t="shared" si="33"/>
        <v>47584</v>
      </c>
      <c r="AH417" s="44" t="s">
        <v>857</v>
      </c>
      <c r="AK417">
        <v>16</v>
      </c>
      <c r="AL417">
        <v>112</v>
      </c>
      <c r="AM417">
        <v>10</v>
      </c>
      <c r="AN417" s="48">
        <v>307.5</v>
      </c>
    </row>
    <row r="418" spans="2:40">
      <c r="B418" s="39" t="s">
        <v>607</v>
      </c>
      <c r="C418" s="44" t="s">
        <v>81</v>
      </c>
      <c r="D418" t="s">
        <v>164</v>
      </c>
      <c r="E418" t="s">
        <v>83</v>
      </c>
      <c r="F418" s="42">
        <v>45426</v>
      </c>
      <c r="G418" s="34">
        <f t="shared" si="30"/>
        <v>45546</v>
      </c>
      <c r="H418" t="s">
        <v>169</v>
      </c>
      <c r="I418" s="34">
        <f t="shared" si="31"/>
        <v>45546</v>
      </c>
      <c r="J418" t="s">
        <v>161</v>
      </c>
      <c r="K418" t="s">
        <v>853</v>
      </c>
      <c r="L418" t="s">
        <v>163</v>
      </c>
      <c r="M418" s="39" t="s">
        <v>607</v>
      </c>
      <c r="N418" t="s">
        <v>161</v>
      </c>
      <c r="Q418" s="39" t="s">
        <v>801</v>
      </c>
      <c r="U418" t="s">
        <v>854</v>
      </c>
      <c r="W418" t="s">
        <v>855</v>
      </c>
      <c r="X418">
        <v>4</v>
      </c>
      <c r="AA418" s="48">
        <v>307.5</v>
      </c>
      <c r="AC418" s="48">
        <v>307.5</v>
      </c>
      <c r="AF418" s="34">
        <f t="shared" si="32"/>
        <v>45755</v>
      </c>
      <c r="AG418" s="34">
        <f t="shared" si="33"/>
        <v>47580</v>
      </c>
      <c r="AH418" s="44" t="s">
        <v>857</v>
      </c>
      <c r="AK418">
        <v>16</v>
      </c>
      <c r="AL418">
        <v>112</v>
      </c>
      <c r="AM418">
        <v>10</v>
      </c>
      <c r="AN418" s="48">
        <v>307.5</v>
      </c>
    </row>
    <row r="419" spans="2:40">
      <c r="B419" s="39" t="s">
        <v>608</v>
      </c>
      <c r="C419" s="44" t="s">
        <v>81</v>
      </c>
      <c r="D419" t="s">
        <v>164</v>
      </c>
      <c r="E419" t="s">
        <v>83</v>
      </c>
      <c r="F419" s="42">
        <v>45426</v>
      </c>
      <c r="G419" s="34">
        <f t="shared" si="30"/>
        <v>45546</v>
      </c>
      <c r="H419" t="s">
        <v>169</v>
      </c>
      <c r="I419" s="34">
        <f t="shared" si="31"/>
        <v>45546</v>
      </c>
      <c r="J419" t="s">
        <v>161</v>
      </c>
      <c r="K419" t="s">
        <v>853</v>
      </c>
      <c r="L419" t="s">
        <v>163</v>
      </c>
      <c r="M419" s="39" t="s">
        <v>608</v>
      </c>
      <c r="N419" t="s">
        <v>161</v>
      </c>
      <c r="Q419" s="39" t="s">
        <v>801</v>
      </c>
      <c r="U419" t="s">
        <v>854</v>
      </c>
      <c r="W419" t="s">
        <v>855</v>
      </c>
      <c r="X419">
        <v>4</v>
      </c>
      <c r="AA419" s="48">
        <v>307.5</v>
      </c>
      <c r="AC419" s="48">
        <v>307.5</v>
      </c>
      <c r="AF419" s="34">
        <f t="shared" si="32"/>
        <v>45755</v>
      </c>
      <c r="AG419" s="34">
        <f t="shared" si="33"/>
        <v>47580</v>
      </c>
      <c r="AH419" s="44" t="s">
        <v>857</v>
      </c>
      <c r="AK419">
        <v>16</v>
      </c>
      <c r="AL419">
        <v>112</v>
      </c>
      <c r="AM419">
        <v>10</v>
      </c>
      <c r="AN419" s="48">
        <v>307.5</v>
      </c>
    </row>
    <row r="420" spans="2:40">
      <c r="B420" s="39" t="s">
        <v>603</v>
      </c>
      <c r="C420" s="44" t="s">
        <v>81</v>
      </c>
      <c r="D420" t="s">
        <v>164</v>
      </c>
      <c r="E420" t="s">
        <v>83</v>
      </c>
      <c r="F420" s="42">
        <v>45432</v>
      </c>
      <c r="G420" s="34">
        <f t="shared" si="30"/>
        <v>45552</v>
      </c>
      <c r="H420" t="s">
        <v>169</v>
      </c>
      <c r="I420" s="34">
        <f t="shared" si="31"/>
        <v>45552</v>
      </c>
      <c r="J420" t="s">
        <v>161</v>
      </c>
      <c r="K420" t="s">
        <v>853</v>
      </c>
      <c r="L420" t="s">
        <v>163</v>
      </c>
      <c r="M420" s="39" t="s">
        <v>603</v>
      </c>
      <c r="N420" t="s">
        <v>161</v>
      </c>
      <c r="Q420" s="39" t="s">
        <v>802</v>
      </c>
      <c r="U420" t="s">
        <v>854</v>
      </c>
      <c r="W420" t="s">
        <v>855</v>
      </c>
      <c r="X420">
        <v>4</v>
      </c>
      <c r="AA420" s="48">
        <v>307.5</v>
      </c>
      <c r="AC420" s="48">
        <v>307.5</v>
      </c>
      <c r="AF420" s="34">
        <f t="shared" si="32"/>
        <v>45761</v>
      </c>
      <c r="AG420" s="34">
        <f t="shared" si="33"/>
        <v>47586</v>
      </c>
      <c r="AH420" s="44" t="s">
        <v>857</v>
      </c>
      <c r="AK420">
        <v>16</v>
      </c>
      <c r="AL420">
        <v>112</v>
      </c>
      <c r="AM420">
        <v>10</v>
      </c>
      <c r="AN420" s="48">
        <v>307.5</v>
      </c>
    </row>
    <row r="421" spans="2:40">
      <c r="B421" s="39" t="s">
        <v>604</v>
      </c>
      <c r="C421" s="44" t="s">
        <v>81</v>
      </c>
      <c r="D421" t="s">
        <v>164</v>
      </c>
      <c r="E421" t="s">
        <v>83</v>
      </c>
      <c r="F421" s="42">
        <v>45432</v>
      </c>
      <c r="G421" s="34">
        <f t="shared" si="30"/>
        <v>45552</v>
      </c>
      <c r="H421" t="s">
        <v>169</v>
      </c>
      <c r="I421" s="34">
        <f t="shared" si="31"/>
        <v>45552</v>
      </c>
      <c r="J421" t="s">
        <v>161</v>
      </c>
      <c r="K421" t="s">
        <v>853</v>
      </c>
      <c r="L421" t="s">
        <v>163</v>
      </c>
      <c r="M421" s="39" t="s">
        <v>604</v>
      </c>
      <c r="N421" t="s">
        <v>161</v>
      </c>
      <c r="Q421" s="39" t="s">
        <v>802</v>
      </c>
      <c r="U421" t="s">
        <v>854</v>
      </c>
      <c r="W421" t="s">
        <v>855</v>
      </c>
      <c r="X421">
        <v>4</v>
      </c>
      <c r="AA421" s="48">
        <v>307.5</v>
      </c>
      <c r="AC421" s="48">
        <v>307.5</v>
      </c>
      <c r="AF421" s="34">
        <f t="shared" si="32"/>
        <v>45761</v>
      </c>
      <c r="AG421" s="34">
        <f t="shared" si="33"/>
        <v>47586</v>
      </c>
      <c r="AH421" s="44" t="s">
        <v>857</v>
      </c>
      <c r="AK421">
        <v>16</v>
      </c>
      <c r="AL421">
        <v>112</v>
      </c>
      <c r="AM421">
        <v>10</v>
      </c>
      <c r="AN421" s="48">
        <v>307.5</v>
      </c>
    </row>
    <row r="422" spans="2:40">
      <c r="B422" s="39" t="s">
        <v>605</v>
      </c>
      <c r="C422" s="44" t="s">
        <v>81</v>
      </c>
      <c r="D422" t="s">
        <v>164</v>
      </c>
      <c r="E422" t="s">
        <v>83</v>
      </c>
      <c r="F422" s="42">
        <v>45432</v>
      </c>
      <c r="G422" s="34">
        <f t="shared" si="30"/>
        <v>45552</v>
      </c>
      <c r="H422" t="s">
        <v>169</v>
      </c>
      <c r="I422" s="34">
        <f t="shared" si="31"/>
        <v>45552</v>
      </c>
      <c r="J422" t="s">
        <v>161</v>
      </c>
      <c r="K422" t="s">
        <v>853</v>
      </c>
      <c r="L422" t="s">
        <v>163</v>
      </c>
      <c r="M422" s="39" t="s">
        <v>605</v>
      </c>
      <c r="N422" t="s">
        <v>161</v>
      </c>
      <c r="Q422" s="39" t="s">
        <v>802</v>
      </c>
      <c r="U422" t="s">
        <v>854</v>
      </c>
      <c r="W422" t="s">
        <v>855</v>
      </c>
      <c r="X422">
        <v>4</v>
      </c>
      <c r="AA422" s="48">
        <v>307.5</v>
      </c>
      <c r="AC422" s="48">
        <v>307.5</v>
      </c>
      <c r="AF422" s="34">
        <f t="shared" si="32"/>
        <v>45761</v>
      </c>
      <c r="AG422" s="34">
        <f t="shared" si="33"/>
        <v>47586</v>
      </c>
      <c r="AH422" s="44" t="s">
        <v>857</v>
      </c>
      <c r="AK422">
        <v>16</v>
      </c>
      <c r="AL422">
        <v>112</v>
      </c>
      <c r="AM422">
        <v>10</v>
      </c>
      <c r="AN422" s="48">
        <v>307.5</v>
      </c>
    </row>
    <row r="423" spans="2:40">
      <c r="B423" s="39" t="s">
        <v>598</v>
      </c>
      <c r="C423" s="44" t="s">
        <v>81</v>
      </c>
      <c r="D423" t="s">
        <v>164</v>
      </c>
      <c r="E423" t="s">
        <v>83</v>
      </c>
      <c r="F423" s="42">
        <v>45440</v>
      </c>
      <c r="G423" s="34">
        <f t="shared" si="30"/>
        <v>45560</v>
      </c>
      <c r="H423" t="s">
        <v>169</v>
      </c>
      <c r="I423" s="34">
        <f t="shared" si="31"/>
        <v>45560</v>
      </c>
      <c r="J423" t="s">
        <v>161</v>
      </c>
      <c r="K423" t="s">
        <v>853</v>
      </c>
      <c r="L423" t="s">
        <v>163</v>
      </c>
      <c r="M423" s="39" t="s">
        <v>598</v>
      </c>
      <c r="N423" t="s">
        <v>161</v>
      </c>
      <c r="Q423" s="39" t="s">
        <v>803</v>
      </c>
      <c r="U423" t="s">
        <v>854</v>
      </c>
      <c r="W423" t="s">
        <v>855</v>
      </c>
      <c r="X423">
        <v>4</v>
      </c>
      <c r="AA423" s="48">
        <v>307.5</v>
      </c>
      <c r="AC423" s="48">
        <v>307.5</v>
      </c>
      <c r="AF423" s="34">
        <f t="shared" si="32"/>
        <v>45769</v>
      </c>
      <c r="AG423" s="34">
        <f t="shared" si="33"/>
        <v>47594</v>
      </c>
      <c r="AH423" s="44" t="s">
        <v>857</v>
      </c>
      <c r="AK423">
        <v>16</v>
      </c>
      <c r="AL423">
        <v>112</v>
      </c>
      <c r="AM423">
        <v>10</v>
      </c>
      <c r="AN423" s="48">
        <v>307.5</v>
      </c>
    </row>
    <row r="424" spans="2:40">
      <c r="B424" s="39" t="s">
        <v>599</v>
      </c>
      <c r="C424" s="44" t="s">
        <v>81</v>
      </c>
      <c r="D424" t="s">
        <v>164</v>
      </c>
      <c r="E424" t="s">
        <v>83</v>
      </c>
      <c r="F424" s="42">
        <v>45440</v>
      </c>
      <c r="G424" s="34">
        <f t="shared" si="30"/>
        <v>45560</v>
      </c>
      <c r="H424" t="s">
        <v>169</v>
      </c>
      <c r="I424" s="34">
        <f t="shared" si="31"/>
        <v>45560</v>
      </c>
      <c r="J424" t="s">
        <v>161</v>
      </c>
      <c r="K424" t="s">
        <v>853</v>
      </c>
      <c r="L424" t="s">
        <v>163</v>
      </c>
      <c r="M424" s="39" t="s">
        <v>599</v>
      </c>
      <c r="N424" t="s">
        <v>161</v>
      </c>
      <c r="Q424" s="39" t="s">
        <v>803</v>
      </c>
      <c r="U424" t="s">
        <v>854</v>
      </c>
      <c r="W424" t="s">
        <v>855</v>
      </c>
      <c r="X424">
        <v>4</v>
      </c>
      <c r="AA424" s="48">
        <v>307.5</v>
      </c>
      <c r="AC424" s="48">
        <v>307.5</v>
      </c>
      <c r="AF424" s="34">
        <f t="shared" si="32"/>
        <v>45769</v>
      </c>
      <c r="AG424" s="34">
        <f t="shared" si="33"/>
        <v>47594</v>
      </c>
      <c r="AH424" s="44" t="s">
        <v>857</v>
      </c>
      <c r="AK424">
        <v>16</v>
      </c>
      <c r="AL424">
        <v>112</v>
      </c>
      <c r="AM424">
        <v>10</v>
      </c>
      <c r="AN424" s="48">
        <v>307.5</v>
      </c>
    </row>
    <row r="425" spans="2:40">
      <c r="B425" s="39" t="s">
        <v>600</v>
      </c>
      <c r="C425" s="44" t="s">
        <v>81</v>
      </c>
      <c r="D425" t="s">
        <v>164</v>
      </c>
      <c r="E425" t="s">
        <v>83</v>
      </c>
      <c r="F425" s="42">
        <v>45440</v>
      </c>
      <c r="G425" s="34">
        <f t="shared" si="30"/>
        <v>45560</v>
      </c>
      <c r="H425" t="s">
        <v>169</v>
      </c>
      <c r="I425" s="34">
        <f t="shared" si="31"/>
        <v>45560</v>
      </c>
      <c r="J425" t="s">
        <v>161</v>
      </c>
      <c r="K425" t="s">
        <v>853</v>
      </c>
      <c r="L425" t="s">
        <v>163</v>
      </c>
      <c r="M425" s="39" t="s">
        <v>600</v>
      </c>
      <c r="N425" t="s">
        <v>161</v>
      </c>
      <c r="Q425" s="39" t="s">
        <v>803</v>
      </c>
      <c r="U425" t="s">
        <v>854</v>
      </c>
      <c r="W425" t="s">
        <v>855</v>
      </c>
      <c r="X425">
        <v>4</v>
      </c>
      <c r="AA425" s="48">
        <v>307.5</v>
      </c>
      <c r="AC425" s="48">
        <v>307.5</v>
      </c>
      <c r="AF425" s="34">
        <f t="shared" si="32"/>
        <v>45769</v>
      </c>
      <c r="AG425" s="34">
        <f t="shared" si="33"/>
        <v>47594</v>
      </c>
      <c r="AH425" s="44" t="s">
        <v>857</v>
      </c>
      <c r="AK425">
        <v>16</v>
      </c>
      <c r="AL425">
        <v>112</v>
      </c>
      <c r="AM425">
        <v>10</v>
      </c>
      <c r="AN425" s="48">
        <v>307.5</v>
      </c>
    </row>
    <row r="426" spans="2:40">
      <c r="B426" s="39" t="s">
        <v>601</v>
      </c>
      <c r="C426" s="44" t="s">
        <v>81</v>
      </c>
      <c r="D426" t="s">
        <v>164</v>
      </c>
      <c r="E426" t="s">
        <v>83</v>
      </c>
      <c r="F426" s="42">
        <v>45440</v>
      </c>
      <c r="G426" s="34">
        <f t="shared" si="30"/>
        <v>45560</v>
      </c>
      <c r="H426" t="s">
        <v>169</v>
      </c>
      <c r="I426" s="34">
        <f t="shared" si="31"/>
        <v>45560</v>
      </c>
      <c r="J426" t="s">
        <v>161</v>
      </c>
      <c r="K426" t="s">
        <v>853</v>
      </c>
      <c r="L426" t="s">
        <v>163</v>
      </c>
      <c r="M426" s="39" t="s">
        <v>601</v>
      </c>
      <c r="N426" t="s">
        <v>161</v>
      </c>
      <c r="Q426" s="39" t="s">
        <v>803</v>
      </c>
      <c r="U426" t="s">
        <v>854</v>
      </c>
      <c r="W426" t="s">
        <v>855</v>
      </c>
      <c r="X426">
        <v>4</v>
      </c>
      <c r="AA426" s="48">
        <v>307.5</v>
      </c>
      <c r="AC426" s="48">
        <v>307.5</v>
      </c>
      <c r="AF426" s="34">
        <f t="shared" si="32"/>
        <v>45769</v>
      </c>
      <c r="AG426" s="34">
        <f t="shared" si="33"/>
        <v>47594</v>
      </c>
      <c r="AH426" t="s">
        <v>857</v>
      </c>
      <c r="AK426">
        <v>16</v>
      </c>
      <c r="AL426">
        <v>112</v>
      </c>
      <c r="AM426">
        <v>10</v>
      </c>
      <c r="AN426" s="48">
        <v>307.5</v>
      </c>
    </row>
    <row r="427" spans="2:40">
      <c r="B427" s="39" t="s">
        <v>602</v>
      </c>
      <c r="C427" s="44" t="s">
        <v>81</v>
      </c>
      <c r="D427" t="s">
        <v>164</v>
      </c>
      <c r="E427" t="s">
        <v>83</v>
      </c>
      <c r="F427" s="42">
        <v>45440</v>
      </c>
      <c r="G427" s="34">
        <f t="shared" si="30"/>
        <v>45560</v>
      </c>
      <c r="H427" t="s">
        <v>169</v>
      </c>
      <c r="I427" s="34">
        <f t="shared" si="31"/>
        <v>45560</v>
      </c>
      <c r="J427" t="s">
        <v>161</v>
      </c>
      <c r="K427" t="s">
        <v>853</v>
      </c>
      <c r="L427" t="s">
        <v>163</v>
      </c>
      <c r="M427" s="39" t="s">
        <v>602</v>
      </c>
      <c r="N427" t="s">
        <v>161</v>
      </c>
      <c r="Q427" s="39" t="s">
        <v>803</v>
      </c>
      <c r="U427" t="s">
        <v>854</v>
      </c>
      <c r="W427" t="s">
        <v>855</v>
      </c>
      <c r="X427">
        <v>4</v>
      </c>
      <c r="AA427" s="48">
        <v>307.5</v>
      </c>
      <c r="AC427" s="48">
        <v>307.5</v>
      </c>
      <c r="AF427" s="34">
        <f t="shared" si="32"/>
        <v>45769</v>
      </c>
      <c r="AG427" s="34">
        <f t="shared" si="33"/>
        <v>47594</v>
      </c>
      <c r="AH427" t="s">
        <v>857</v>
      </c>
      <c r="AK427">
        <v>16</v>
      </c>
      <c r="AL427">
        <v>112</v>
      </c>
      <c r="AM427">
        <v>10</v>
      </c>
      <c r="AN427" s="48">
        <v>307.5</v>
      </c>
    </row>
    <row r="428" spans="2:40">
      <c r="B428" s="39" t="s">
        <v>594</v>
      </c>
      <c r="C428" s="44" t="s">
        <v>81</v>
      </c>
      <c r="D428" t="s">
        <v>164</v>
      </c>
      <c r="E428" t="s">
        <v>83</v>
      </c>
      <c r="F428" s="42">
        <v>45449</v>
      </c>
      <c r="G428" s="34">
        <f t="shared" si="30"/>
        <v>45569</v>
      </c>
      <c r="H428" t="s">
        <v>169</v>
      </c>
      <c r="I428" s="34">
        <f t="shared" si="31"/>
        <v>45569</v>
      </c>
      <c r="J428" t="s">
        <v>161</v>
      </c>
      <c r="K428" t="s">
        <v>853</v>
      </c>
      <c r="L428" t="s">
        <v>163</v>
      </c>
      <c r="M428" s="39" t="s">
        <v>594</v>
      </c>
      <c r="N428" t="s">
        <v>161</v>
      </c>
      <c r="Q428" s="39" t="s">
        <v>804</v>
      </c>
      <c r="U428" t="s">
        <v>854</v>
      </c>
      <c r="W428" t="s">
        <v>855</v>
      </c>
      <c r="X428">
        <v>4</v>
      </c>
      <c r="AA428" s="48">
        <v>307.5</v>
      </c>
      <c r="AC428" s="48">
        <v>307.5</v>
      </c>
      <c r="AF428" s="34">
        <f t="shared" si="32"/>
        <v>45778</v>
      </c>
      <c r="AG428" s="34">
        <f t="shared" si="33"/>
        <v>47603</v>
      </c>
      <c r="AH428" t="s">
        <v>857</v>
      </c>
      <c r="AK428">
        <v>16</v>
      </c>
      <c r="AL428">
        <v>112</v>
      </c>
      <c r="AM428">
        <v>10</v>
      </c>
      <c r="AN428" s="48">
        <v>307.5</v>
      </c>
    </row>
    <row r="429" spans="2:40">
      <c r="B429" s="39" t="s">
        <v>595</v>
      </c>
      <c r="C429" s="44" t="s">
        <v>81</v>
      </c>
      <c r="D429" t="s">
        <v>164</v>
      </c>
      <c r="E429" t="s">
        <v>83</v>
      </c>
      <c r="F429" s="42">
        <v>45449</v>
      </c>
      <c r="G429" s="34">
        <f t="shared" si="30"/>
        <v>45569</v>
      </c>
      <c r="H429" t="s">
        <v>169</v>
      </c>
      <c r="I429" s="34">
        <f t="shared" si="31"/>
        <v>45569</v>
      </c>
      <c r="J429" t="s">
        <v>161</v>
      </c>
      <c r="K429" t="s">
        <v>853</v>
      </c>
      <c r="L429" t="s">
        <v>163</v>
      </c>
      <c r="M429" s="39" t="s">
        <v>595</v>
      </c>
      <c r="N429" t="s">
        <v>161</v>
      </c>
      <c r="Q429" s="39" t="s">
        <v>804</v>
      </c>
      <c r="U429" t="s">
        <v>854</v>
      </c>
      <c r="W429" t="s">
        <v>855</v>
      </c>
      <c r="X429">
        <v>4</v>
      </c>
      <c r="AA429" s="48">
        <v>307.5</v>
      </c>
      <c r="AC429" s="48">
        <v>307.5</v>
      </c>
      <c r="AF429" s="34">
        <f t="shared" si="32"/>
        <v>45778</v>
      </c>
      <c r="AG429" s="34">
        <f t="shared" si="33"/>
        <v>47603</v>
      </c>
      <c r="AH429" t="s">
        <v>857</v>
      </c>
      <c r="AK429">
        <v>16</v>
      </c>
      <c r="AL429">
        <v>112</v>
      </c>
      <c r="AM429">
        <v>10</v>
      </c>
      <c r="AN429" s="48">
        <v>307.5</v>
      </c>
    </row>
    <row r="430" spans="2:40">
      <c r="B430" s="39" t="s">
        <v>596</v>
      </c>
      <c r="C430" s="44" t="s">
        <v>81</v>
      </c>
      <c r="D430" t="s">
        <v>164</v>
      </c>
      <c r="E430" t="s">
        <v>83</v>
      </c>
      <c r="F430" s="42">
        <v>45449</v>
      </c>
      <c r="G430" s="34">
        <f t="shared" si="30"/>
        <v>45569</v>
      </c>
      <c r="H430" t="s">
        <v>169</v>
      </c>
      <c r="I430" s="34">
        <f t="shared" si="31"/>
        <v>45569</v>
      </c>
      <c r="J430" t="s">
        <v>161</v>
      </c>
      <c r="K430" t="s">
        <v>853</v>
      </c>
      <c r="L430" t="s">
        <v>163</v>
      </c>
      <c r="M430" s="39" t="s">
        <v>596</v>
      </c>
      <c r="N430" t="s">
        <v>161</v>
      </c>
      <c r="Q430" s="39" t="s">
        <v>804</v>
      </c>
      <c r="U430" t="s">
        <v>854</v>
      </c>
      <c r="W430" t="s">
        <v>855</v>
      </c>
      <c r="X430">
        <v>4</v>
      </c>
      <c r="AA430" s="48">
        <v>307.5</v>
      </c>
      <c r="AC430" s="48">
        <v>307.5</v>
      </c>
      <c r="AF430" s="34">
        <f t="shared" si="32"/>
        <v>45778</v>
      </c>
      <c r="AG430" s="34">
        <f t="shared" si="33"/>
        <v>47603</v>
      </c>
      <c r="AH430" t="s">
        <v>857</v>
      </c>
      <c r="AK430">
        <v>16</v>
      </c>
      <c r="AL430">
        <v>112</v>
      </c>
      <c r="AM430">
        <v>10</v>
      </c>
      <c r="AN430" s="48">
        <v>307.5</v>
      </c>
    </row>
    <row r="431" spans="2:40">
      <c r="B431" s="39" t="s">
        <v>597</v>
      </c>
      <c r="C431" s="44" t="s">
        <v>81</v>
      </c>
      <c r="D431" t="s">
        <v>164</v>
      </c>
      <c r="E431" t="s">
        <v>83</v>
      </c>
      <c r="F431" s="42">
        <v>45449</v>
      </c>
      <c r="G431" s="34">
        <f t="shared" si="30"/>
        <v>45569</v>
      </c>
      <c r="H431" t="s">
        <v>169</v>
      </c>
      <c r="I431" s="34">
        <f t="shared" si="31"/>
        <v>45569</v>
      </c>
      <c r="J431" t="s">
        <v>161</v>
      </c>
      <c r="K431" t="s">
        <v>853</v>
      </c>
      <c r="L431" t="s">
        <v>163</v>
      </c>
      <c r="M431" s="39" t="s">
        <v>597</v>
      </c>
      <c r="N431" t="s">
        <v>161</v>
      </c>
      <c r="Q431" s="39" t="s">
        <v>804</v>
      </c>
      <c r="U431" t="s">
        <v>854</v>
      </c>
      <c r="W431" t="s">
        <v>855</v>
      </c>
      <c r="X431">
        <v>4</v>
      </c>
      <c r="AA431" s="48">
        <v>307.5</v>
      </c>
      <c r="AC431" s="48">
        <v>307.5</v>
      </c>
      <c r="AF431" s="34">
        <f t="shared" si="32"/>
        <v>45778</v>
      </c>
      <c r="AG431" s="34">
        <f t="shared" si="33"/>
        <v>47603</v>
      </c>
      <c r="AH431" t="s">
        <v>857</v>
      </c>
      <c r="AK431">
        <v>16</v>
      </c>
      <c r="AL431">
        <v>112</v>
      </c>
      <c r="AM431">
        <v>10</v>
      </c>
      <c r="AN431" s="48">
        <v>307.5</v>
      </c>
    </row>
    <row r="432" spans="2:40">
      <c r="B432" s="39" t="s">
        <v>592</v>
      </c>
      <c r="C432" s="44" t="s">
        <v>81</v>
      </c>
      <c r="D432" t="s">
        <v>164</v>
      </c>
      <c r="E432" t="s">
        <v>83</v>
      </c>
      <c r="F432" s="42">
        <v>45458</v>
      </c>
      <c r="G432" s="34">
        <f t="shared" si="30"/>
        <v>45578</v>
      </c>
      <c r="H432" t="s">
        <v>169</v>
      </c>
      <c r="I432" s="34">
        <f t="shared" si="31"/>
        <v>45578</v>
      </c>
      <c r="J432" t="s">
        <v>161</v>
      </c>
      <c r="K432" t="s">
        <v>853</v>
      </c>
      <c r="L432" t="s">
        <v>163</v>
      </c>
      <c r="M432" s="39" t="s">
        <v>592</v>
      </c>
      <c r="N432" t="s">
        <v>161</v>
      </c>
      <c r="Q432" s="39" t="s">
        <v>805</v>
      </c>
      <c r="U432" t="s">
        <v>854</v>
      </c>
      <c r="W432" t="s">
        <v>855</v>
      </c>
      <c r="X432">
        <v>4</v>
      </c>
      <c r="AA432" s="48">
        <v>307.5</v>
      </c>
      <c r="AC432" s="48">
        <v>307.5</v>
      </c>
      <c r="AF432" s="34">
        <f t="shared" si="32"/>
        <v>45787</v>
      </c>
      <c r="AG432" s="34">
        <f t="shared" si="33"/>
        <v>47612</v>
      </c>
      <c r="AH432" t="s">
        <v>857</v>
      </c>
      <c r="AK432">
        <v>16</v>
      </c>
      <c r="AL432">
        <v>112</v>
      </c>
      <c r="AM432">
        <v>10</v>
      </c>
      <c r="AN432" s="48">
        <v>307.5</v>
      </c>
    </row>
    <row r="433" spans="2:40">
      <c r="B433" s="39" t="s">
        <v>593</v>
      </c>
      <c r="C433" s="44" t="s">
        <v>81</v>
      </c>
      <c r="D433" t="s">
        <v>164</v>
      </c>
      <c r="E433" t="s">
        <v>83</v>
      </c>
      <c r="F433" s="42">
        <v>45458</v>
      </c>
      <c r="G433" s="34">
        <f t="shared" si="30"/>
        <v>45578</v>
      </c>
      <c r="H433" t="s">
        <v>169</v>
      </c>
      <c r="I433" s="34">
        <f t="shared" si="31"/>
        <v>45578</v>
      </c>
      <c r="J433" t="s">
        <v>161</v>
      </c>
      <c r="K433" t="s">
        <v>853</v>
      </c>
      <c r="L433" t="s">
        <v>163</v>
      </c>
      <c r="M433" s="39" t="s">
        <v>593</v>
      </c>
      <c r="N433" t="s">
        <v>161</v>
      </c>
      <c r="Q433" s="39" t="s">
        <v>805</v>
      </c>
      <c r="U433" t="s">
        <v>854</v>
      </c>
      <c r="W433" t="s">
        <v>855</v>
      </c>
      <c r="X433">
        <v>4</v>
      </c>
      <c r="AA433" s="48">
        <v>307.5</v>
      </c>
      <c r="AC433" s="48">
        <v>307.5</v>
      </c>
      <c r="AF433" s="34">
        <f t="shared" si="32"/>
        <v>45787</v>
      </c>
      <c r="AG433" s="34">
        <f t="shared" si="33"/>
        <v>47612</v>
      </c>
      <c r="AH433" t="s">
        <v>857</v>
      </c>
      <c r="AK433">
        <v>16</v>
      </c>
      <c r="AL433">
        <v>112</v>
      </c>
      <c r="AM433">
        <v>10</v>
      </c>
      <c r="AN433" s="48">
        <v>307.5</v>
      </c>
    </row>
    <row r="434" spans="2:40">
      <c r="B434" s="39" t="s">
        <v>591</v>
      </c>
      <c r="C434" s="44" t="s">
        <v>81</v>
      </c>
      <c r="D434" t="s">
        <v>164</v>
      </c>
      <c r="E434" t="s">
        <v>83</v>
      </c>
      <c r="F434" s="42">
        <v>45461</v>
      </c>
      <c r="G434" s="34">
        <f t="shared" si="30"/>
        <v>45581</v>
      </c>
      <c r="H434" t="s">
        <v>169</v>
      </c>
      <c r="I434" s="34">
        <f t="shared" si="31"/>
        <v>45581</v>
      </c>
      <c r="J434" t="s">
        <v>161</v>
      </c>
      <c r="K434" t="s">
        <v>853</v>
      </c>
      <c r="L434" t="s">
        <v>163</v>
      </c>
      <c r="M434" s="39" t="s">
        <v>591</v>
      </c>
      <c r="N434" t="s">
        <v>161</v>
      </c>
      <c r="Q434" s="39" t="s">
        <v>806</v>
      </c>
      <c r="U434" t="s">
        <v>854</v>
      </c>
      <c r="W434" t="s">
        <v>855</v>
      </c>
      <c r="X434">
        <v>4</v>
      </c>
      <c r="AA434" s="48">
        <v>307.5</v>
      </c>
      <c r="AC434" s="48">
        <v>307.5</v>
      </c>
      <c r="AF434" s="34">
        <f t="shared" si="32"/>
        <v>45790</v>
      </c>
      <c r="AG434" s="34">
        <f t="shared" si="33"/>
        <v>47615</v>
      </c>
      <c r="AH434" t="s">
        <v>857</v>
      </c>
      <c r="AK434">
        <v>16</v>
      </c>
      <c r="AL434">
        <v>112</v>
      </c>
      <c r="AM434">
        <v>10</v>
      </c>
      <c r="AN434" s="48">
        <v>307.5</v>
      </c>
    </row>
    <row r="435" spans="2:40">
      <c r="B435" s="39" t="s">
        <v>612</v>
      </c>
      <c r="C435" s="44" t="s">
        <v>81</v>
      </c>
      <c r="D435" t="s">
        <v>164</v>
      </c>
      <c r="E435" t="s">
        <v>83</v>
      </c>
      <c r="F435" s="42">
        <v>45461</v>
      </c>
      <c r="G435" s="34">
        <f t="shared" si="30"/>
        <v>45581</v>
      </c>
      <c r="H435" t="s">
        <v>169</v>
      </c>
      <c r="I435" s="34">
        <f t="shared" si="31"/>
        <v>45581</v>
      </c>
      <c r="J435" t="s">
        <v>161</v>
      </c>
      <c r="K435" t="s">
        <v>853</v>
      </c>
      <c r="L435" t="s">
        <v>163</v>
      </c>
      <c r="M435" s="39" t="s">
        <v>612</v>
      </c>
      <c r="N435" t="s">
        <v>161</v>
      </c>
      <c r="Q435" s="39" t="s">
        <v>806</v>
      </c>
      <c r="U435" t="s">
        <v>854</v>
      </c>
      <c r="W435" t="s">
        <v>855</v>
      </c>
      <c r="X435">
        <v>4</v>
      </c>
      <c r="AA435" s="48">
        <v>307.5</v>
      </c>
      <c r="AC435" s="48">
        <v>307.5</v>
      </c>
      <c r="AF435" s="34">
        <f t="shared" si="32"/>
        <v>45790</v>
      </c>
      <c r="AG435" s="34">
        <f t="shared" si="33"/>
        <v>47615</v>
      </c>
      <c r="AH435" t="s">
        <v>857</v>
      </c>
      <c r="AK435">
        <v>16</v>
      </c>
      <c r="AL435">
        <v>112</v>
      </c>
      <c r="AM435">
        <v>10</v>
      </c>
      <c r="AN435" s="48">
        <v>307.5</v>
      </c>
    </row>
    <row r="436" spans="2:40">
      <c r="B436" s="39" t="s">
        <v>589</v>
      </c>
      <c r="C436" s="44" t="s">
        <v>81</v>
      </c>
      <c r="D436" t="s">
        <v>164</v>
      </c>
      <c r="E436" t="s">
        <v>83</v>
      </c>
      <c r="F436" s="42">
        <v>45468</v>
      </c>
      <c r="G436" s="34">
        <f t="shared" si="30"/>
        <v>45588</v>
      </c>
      <c r="H436" t="s">
        <v>169</v>
      </c>
      <c r="I436" s="34">
        <f t="shared" si="31"/>
        <v>45588</v>
      </c>
      <c r="J436" t="s">
        <v>161</v>
      </c>
      <c r="K436" t="s">
        <v>853</v>
      </c>
      <c r="L436" t="s">
        <v>163</v>
      </c>
      <c r="M436" s="39" t="s">
        <v>589</v>
      </c>
      <c r="N436" t="s">
        <v>161</v>
      </c>
      <c r="Q436" s="39" t="s">
        <v>807</v>
      </c>
      <c r="U436" t="s">
        <v>854</v>
      </c>
      <c r="W436" t="s">
        <v>855</v>
      </c>
      <c r="X436">
        <v>4</v>
      </c>
      <c r="AA436" s="48">
        <v>307.5</v>
      </c>
      <c r="AC436" s="48">
        <v>307.5</v>
      </c>
      <c r="AF436" s="34">
        <f t="shared" si="32"/>
        <v>45797</v>
      </c>
      <c r="AG436" s="34">
        <f t="shared" si="33"/>
        <v>47622</v>
      </c>
      <c r="AH436" t="s">
        <v>857</v>
      </c>
      <c r="AK436">
        <v>16</v>
      </c>
      <c r="AL436">
        <v>112</v>
      </c>
      <c r="AM436">
        <v>10</v>
      </c>
      <c r="AN436" s="48">
        <v>307.5</v>
      </c>
    </row>
    <row r="437" spans="2:40">
      <c r="B437" s="39" t="s">
        <v>590</v>
      </c>
      <c r="C437" s="44" t="s">
        <v>81</v>
      </c>
      <c r="D437" t="s">
        <v>164</v>
      </c>
      <c r="E437" t="s">
        <v>83</v>
      </c>
      <c r="F437" s="42">
        <v>45468</v>
      </c>
      <c r="G437" s="34">
        <f t="shared" si="30"/>
        <v>45588</v>
      </c>
      <c r="H437" t="s">
        <v>169</v>
      </c>
      <c r="I437" s="34">
        <f t="shared" si="31"/>
        <v>45588</v>
      </c>
      <c r="J437" t="s">
        <v>161</v>
      </c>
      <c r="K437" t="s">
        <v>853</v>
      </c>
      <c r="L437" t="s">
        <v>163</v>
      </c>
      <c r="M437" s="39" t="s">
        <v>590</v>
      </c>
      <c r="N437" t="s">
        <v>161</v>
      </c>
      <c r="Q437" s="39" t="s">
        <v>807</v>
      </c>
      <c r="U437" t="s">
        <v>854</v>
      </c>
      <c r="W437" t="s">
        <v>855</v>
      </c>
      <c r="X437">
        <v>4</v>
      </c>
      <c r="AA437" s="48">
        <v>307.5</v>
      </c>
      <c r="AC437" s="48">
        <v>307.5</v>
      </c>
      <c r="AF437" s="34">
        <f t="shared" si="32"/>
        <v>45797</v>
      </c>
      <c r="AG437" s="34">
        <f t="shared" si="33"/>
        <v>47622</v>
      </c>
      <c r="AH437" t="s">
        <v>857</v>
      </c>
      <c r="AK437">
        <v>16</v>
      </c>
      <c r="AL437">
        <v>112</v>
      </c>
      <c r="AM437">
        <v>10</v>
      </c>
      <c r="AN437" s="48">
        <v>307.5</v>
      </c>
    </row>
    <row r="438" spans="2:40">
      <c r="B438" s="39" t="s">
        <v>587</v>
      </c>
      <c r="C438" s="44" t="s">
        <v>81</v>
      </c>
      <c r="D438" t="s">
        <v>164</v>
      </c>
      <c r="E438" t="s">
        <v>83</v>
      </c>
      <c r="F438" s="42">
        <v>45473</v>
      </c>
      <c r="G438" s="34">
        <f t="shared" si="30"/>
        <v>45593</v>
      </c>
      <c r="H438" t="s">
        <v>169</v>
      </c>
      <c r="I438" s="34">
        <f t="shared" si="31"/>
        <v>45593</v>
      </c>
      <c r="J438" t="s">
        <v>161</v>
      </c>
      <c r="K438" t="s">
        <v>853</v>
      </c>
      <c r="L438" t="s">
        <v>163</v>
      </c>
      <c r="M438" s="39" t="s">
        <v>587</v>
      </c>
      <c r="N438" t="s">
        <v>161</v>
      </c>
      <c r="Q438" s="39" t="s">
        <v>808</v>
      </c>
      <c r="U438" t="s">
        <v>854</v>
      </c>
      <c r="W438" t="s">
        <v>855</v>
      </c>
      <c r="X438">
        <v>4</v>
      </c>
      <c r="AA438" s="48">
        <v>307.5</v>
      </c>
      <c r="AC438" s="48">
        <v>307.5</v>
      </c>
      <c r="AF438" s="34">
        <f t="shared" si="32"/>
        <v>45802</v>
      </c>
      <c r="AG438" s="34">
        <f t="shared" si="33"/>
        <v>47627</v>
      </c>
      <c r="AH438" t="s">
        <v>857</v>
      </c>
      <c r="AK438">
        <v>16</v>
      </c>
      <c r="AL438">
        <v>112</v>
      </c>
      <c r="AM438">
        <v>10</v>
      </c>
      <c r="AN438" s="48">
        <v>307.5</v>
      </c>
    </row>
    <row r="439" spans="2:40">
      <c r="B439" s="39" t="s">
        <v>588</v>
      </c>
      <c r="C439" s="44" t="s">
        <v>81</v>
      </c>
      <c r="D439" t="s">
        <v>164</v>
      </c>
      <c r="E439" t="s">
        <v>83</v>
      </c>
      <c r="F439" s="42">
        <v>45473</v>
      </c>
      <c r="G439" s="34">
        <f t="shared" si="30"/>
        <v>45593</v>
      </c>
      <c r="H439" t="s">
        <v>169</v>
      </c>
      <c r="I439" s="34">
        <f t="shared" si="31"/>
        <v>45593</v>
      </c>
      <c r="J439" t="s">
        <v>161</v>
      </c>
      <c r="K439" t="s">
        <v>853</v>
      </c>
      <c r="L439" t="s">
        <v>163</v>
      </c>
      <c r="M439" s="39" t="s">
        <v>588</v>
      </c>
      <c r="N439" t="s">
        <v>161</v>
      </c>
      <c r="Q439" s="39" t="s">
        <v>808</v>
      </c>
      <c r="U439" t="s">
        <v>854</v>
      </c>
      <c r="W439" t="s">
        <v>855</v>
      </c>
      <c r="X439">
        <v>4</v>
      </c>
      <c r="AA439" s="48">
        <v>307.5</v>
      </c>
      <c r="AC439" s="48">
        <v>307.5</v>
      </c>
      <c r="AF439" s="34">
        <f t="shared" si="32"/>
        <v>45802</v>
      </c>
      <c r="AG439" s="34">
        <f t="shared" si="33"/>
        <v>47627</v>
      </c>
      <c r="AH439" t="s">
        <v>857</v>
      </c>
      <c r="AK439">
        <v>16</v>
      </c>
      <c r="AL439">
        <v>112</v>
      </c>
      <c r="AM439">
        <v>10</v>
      </c>
      <c r="AN439" s="48">
        <v>307.5</v>
      </c>
    </row>
    <row r="440" spans="2:40">
      <c r="B440" s="39" t="s">
        <v>586</v>
      </c>
      <c r="C440" s="44" t="s">
        <v>81</v>
      </c>
      <c r="D440" t="s">
        <v>164</v>
      </c>
      <c r="E440" t="s">
        <v>83</v>
      </c>
      <c r="F440" s="42">
        <v>45483</v>
      </c>
      <c r="G440" s="34">
        <f t="shared" si="30"/>
        <v>45603</v>
      </c>
      <c r="H440" t="s">
        <v>169</v>
      </c>
      <c r="I440" s="34">
        <f t="shared" si="31"/>
        <v>45603</v>
      </c>
      <c r="J440" t="s">
        <v>161</v>
      </c>
      <c r="K440" t="s">
        <v>853</v>
      </c>
      <c r="L440" t="s">
        <v>163</v>
      </c>
      <c r="M440" s="39" t="s">
        <v>586</v>
      </c>
      <c r="N440" t="s">
        <v>161</v>
      </c>
      <c r="Q440" s="39" t="s">
        <v>809</v>
      </c>
      <c r="U440" t="s">
        <v>854</v>
      </c>
      <c r="W440" t="s">
        <v>855</v>
      </c>
      <c r="X440">
        <v>4</v>
      </c>
      <c r="AA440" s="48">
        <v>307.5</v>
      </c>
      <c r="AC440" s="48">
        <v>307.5</v>
      </c>
      <c r="AF440" s="34">
        <f t="shared" si="32"/>
        <v>45812</v>
      </c>
      <c r="AG440" s="34">
        <f t="shared" si="33"/>
        <v>47637</v>
      </c>
      <c r="AH440" t="s">
        <v>857</v>
      </c>
      <c r="AK440">
        <v>16</v>
      </c>
      <c r="AL440">
        <v>112</v>
      </c>
      <c r="AM440">
        <v>10</v>
      </c>
      <c r="AN440" s="48">
        <v>307.5</v>
      </c>
    </row>
    <row r="441" spans="2:40">
      <c r="B441" s="39" t="s">
        <v>583</v>
      </c>
      <c r="C441" s="44" t="s">
        <v>81</v>
      </c>
      <c r="D441" t="s">
        <v>164</v>
      </c>
      <c r="E441" t="s">
        <v>83</v>
      </c>
      <c r="F441" s="42">
        <v>45498</v>
      </c>
      <c r="G441" s="34">
        <f t="shared" si="30"/>
        <v>45618</v>
      </c>
      <c r="H441" t="s">
        <v>169</v>
      </c>
      <c r="I441" s="34">
        <f t="shared" si="31"/>
        <v>45618</v>
      </c>
      <c r="J441" t="s">
        <v>161</v>
      </c>
      <c r="K441" t="s">
        <v>853</v>
      </c>
      <c r="L441" t="s">
        <v>163</v>
      </c>
      <c r="M441" s="39" t="s">
        <v>583</v>
      </c>
      <c r="N441" t="s">
        <v>161</v>
      </c>
      <c r="Q441" s="39" t="s">
        <v>788</v>
      </c>
      <c r="U441" t="s">
        <v>854</v>
      </c>
      <c r="W441" t="s">
        <v>855</v>
      </c>
      <c r="X441">
        <v>4</v>
      </c>
      <c r="AA441" s="48">
        <v>307.5</v>
      </c>
      <c r="AC441" s="48">
        <v>307.5</v>
      </c>
      <c r="AF441" s="34">
        <f t="shared" si="32"/>
        <v>45827</v>
      </c>
      <c r="AG441" s="34">
        <f t="shared" si="33"/>
        <v>47652</v>
      </c>
      <c r="AH441" t="s">
        <v>857</v>
      </c>
      <c r="AK441">
        <v>16</v>
      </c>
      <c r="AL441">
        <v>112</v>
      </c>
      <c r="AM441">
        <v>10</v>
      </c>
      <c r="AN441" s="48">
        <v>307.5</v>
      </c>
    </row>
    <row r="442" spans="2:40">
      <c r="B442" s="39" t="s">
        <v>584</v>
      </c>
      <c r="C442" s="44" t="s">
        <v>81</v>
      </c>
      <c r="D442" t="s">
        <v>164</v>
      </c>
      <c r="E442" t="s">
        <v>83</v>
      </c>
      <c r="F442" s="42">
        <v>45498</v>
      </c>
      <c r="G442" s="34">
        <f t="shared" si="30"/>
        <v>45618</v>
      </c>
      <c r="H442" t="s">
        <v>169</v>
      </c>
      <c r="I442" s="34">
        <f t="shared" si="31"/>
        <v>45618</v>
      </c>
      <c r="J442" t="s">
        <v>161</v>
      </c>
      <c r="K442" t="s">
        <v>853</v>
      </c>
      <c r="L442" t="s">
        <v>163</v>
      </c>
      <c r="M442" s="39" t="s">
        <v>584</v>
      </c>
      <c r="N442" t="s">
        <v>161</v>
      </c>
      <c r="Q442" s="39" t="s">
        <v>788</v>
      </c>
      <c r="U442" t="s">
        <v>854</v>
      </c>
      <c r="W442" t="s">
        <v>855</v>
      </c>
      <c r="X442">
        <v>4</v>
      </c>
      <c r="AA442" s="48">
        <v>307.5</v>
      </c>
      <c r="AC442" s="48">
        <v>307.5</v>
      </c>
      <c r="AF442" s="34">
        <f t="shared" si="32"/>
        <v>45827</v>
      </c>
      <c r="AG442" s="34">
        <f t="shared" si="33"/>
        <v>47652</v>
      </c>
      <c r="AH442" t="s">
        <v>857</v>
      </c>
      <c r="AK442">
        <v>16</v>
      </c>
      <c r="AL442">
        <v>112</v>
      </c>
      <c r="AM442">
        <v>10</v>
      </c>
      <c r="AN442" s="48">
        <v>307.5</v>
      </c>
    </row>
    <row r="443" spans="2:40">
      <c r="B443" s="39" t="s">
        <v>620</v>
      </c>
      <c r="C443" s="44" t="s">
        <v>81</v>
      </c>
      <c r="D443" t="s">
        <v>164</v>
      </c>
      <c r="E443" t="s">
        <v>83</v>
      </c>
      <c r="F443" s="42">
        <v>45458</v>
      </c>
      <c r="G443" s="34">
        <f t="shared" si="30"/>
        <v>45578</v>
      </c>
      <c r="H443" t="s">
        <v>169</v>
      </c>
      <c r="I443" s="34">
        <f t="shared" si="31"/>
        <v>45578</v>
      </c>
      <c r="J443" t="s">
        <v>161</v>
      </c>
      <c r="K443" t="s">
        <v>853</v>
      </c>
      <c r="L443" t="s">
        <v>163</v>
      </c>
      <c r="M443" s="39" t="s">
        <v>620</v>
      </c>
      <c r="N443" t="s">
        <v>161</v>
      </c>
      <c r="Q443" s="39" t="s">
        <v>805</v>
      </c>
      <c r="U443" t="s">
        <v>854</v>
      </c>
      <c r="W443" t="s">
        <v>855</v>
      </c>
      <c r="X443">
        <v>4</v>
      </c>
      <c r="AA443" s="48">
        <v>307.5</v>
      </c>
      <c r="AC443" s="48">
        <v>307.5</v>
      </c>
      <c r="AF443" s="34">
        <f t="shared" si="32"/>
        <v>45787</v>
      </c>
      <c r="AG443" s="34">
        <f t="shared" si="33"/>
        <v>47612</v>
      </c>
      <c r="AH443" t="s">
        <v>856</v>
      </c>
      <c r="AK443">
        <v>16</v>
      </c>
      <c r="AL443">
        <v>112</v>
      </c>
      <c r="AM443">
        <v>10</v>
      </c>
      <c r="AN443" s="48">
        <v>307.5</v>
      </c>
    </row>
    <row r="444" spans="2:40">
      <c r="B444" s="39" t="s">
        <v>633</v>
      </c>
      <c r="C444" s="44" t="s">
        <v>81</v>
      </c>
      <c r="D444" t="s">
        <v>164</v>
      </c>
      <c r="E444" t="s">
        <v>83</v>
      </c>
      <c r="F444" s="42">
        <v>45391</v>
      </c>
      <c r="G444" s="34">
        <f t="shared" si="30"/>
        <v>45511</v>
      </c>
      <c r="H444" t="s">
        <v>169</v>
      </c>
      <c r="I444" s="34">
        <f t="shared" si="31"/>
        <v>45511</v>
      </c>
      <c r="J444" t="s">
        <v>161</v>
      </c>
      <c r="K444" t="s">
        <v>853</v>
      </c>
      <c r="L444" t="s">
        <v>163</v>
      </c>
      <c r="M444" s="39" t="s">
        <v>633</v>
      </c>
      <c r="N444" t="s">
        <v>161</v>
      </c>
      <c r="Q444" s="39" t="s">
        <v>810</v>
      </c>
      <c r="U444" t="s">
        <v>854</v>
      </c>
      <c r="W444" t="s">
        <v>855</v>
      </c>
      <c r="X444">
        <v>4</v>
      </c>
      <c r="AA444" s="48">
        <v>307.5</v>
      </c>
      <c r="AC444" s="48">
        <v>307.5</v>
      </c>
      <c r="AF444" s="34">
        <f t="shared" si="32"/>
        <v>45720</v>
      </c>
      <c r="AG444" s="34">
        <f t="shared" si="33"/>
        <v>47545</v>
      </c>
      <c r="AH444" t="s">
        <v>857</v>
      </c>
      <c r="AK444">
        <v>16</v>
      </c>
      <c r="AL444">
        <v>112</v>
      </c>
      <c r="AM444">
        <v>10</v>
      </c>
      <c r="AN444" s="48">
        <v>307.5</v>
      </c>
    </row>
    <row r="445" spans="2:40">
      <c r="B445" s="39" t="s">
        <v>621</v>
      </c>
      <c r="C445" s="44" t="s">
        <v>81</v>
      </c>
      <c r="D445" t="s">
        <v>164</v>
      </c>
      <c r="E445" t="s">
        <v>83</v>
      </c>
      <c r="F445" s="42">
        <v>45378</v>
      </c>
      <c r="G445" s="34">
        <f t="shared" si="30"/>
        <v>45498</v>
      </c>
      <c r="H445" t="s">
        <v>169</v>
      </c>
      <c r="I445" s="34">
        <f t="shared" si="31"/>
        <v>45498</v>
      </c>
      <c r="J445" t="s">
        <v>161</v>
      </c>
      <c r="K445" t="s">
        <v>853</v>
      </c>
      <c r="L445" t="s">
        <v>163</v>
      </c>
      <c r="M445" s="39" t="s">
        <v>621</v>
      </c>
      <c r="N445" t="s">
        <v>161</v>
      </c>
      <c r="Q445" s="39" t="s">
        <v>811</v>
      </c>
      <c r="U445" t="s">
        <v>854</v>
      </c>
      <c r="W445" t="s">
        <v>855</v>
      </c>
      <c r="X445">
        <v>4</v>
      </c>
      <c r="AA445" s="48">
        <v>307.5</v>
      </c>
      <c r="AC445" s="48">
        <v>307.5</v>
      </c>
      <c r="AF445" s="34">
        <f t="shared" si="32"/>
        <v>45707</v>
      </c>
      <c r="AG445" s="34">
        <f t="shared" si="33"/>
        <v>47532</v>
      </c>
      <c r="AH445" t="s">
        <v>857</v>
      </c>
      <c r="AK445">
        <v>16</v>
      </c>
      <c r="AL445">
        <v>112</v>
      </c>
      <c r="AM445">
        <v>10</v>
      </c>
      <c r="AN445" s="48">
        <v>307.5</v>
      </c>
    </row>
    <row r="446" spans="2:40">
      <c r="B446" s="39" t="s">
        <v>625</v>
      </c>
      <c r="C446" s="44" t="s">
        <v>81</v>
      </c>
      <c r="D446" t="s">
        <v>164</v>
      </c>
      <c r="E446" t="s">
        <v>83</v>
      </c>
      <c r="F446" s="42">
        <v>45373</v>
      </c>
      <c r="G446" s="34">
        <f t="shared" si="30"/>
        <v>45493</v>
      </c>
      <c r="H446" t="s">
        <v>169</v>
      </c>
      <c r="I446" s="34">
        <f t="shared" si="31"/>
        <v>45493</v>
      </c>
      <c r="J446" t="s">
        <v>161</v>
      </c>
      <c r="K446" t="s">
        <v>853</v>
      </c>
      <c r="L446" t="s">
        <v>163</v>
      </c>
      <c r="M446" s="39" t="s">
        <v>625</v>
      </c>
      <c r="N446" t="s">
        <v>161</v>
      </c>
      <c r="Q446" s="39" t="s">
        <v>812</v>
      </c>
      <c r="U446" t="s">
        <v>854</v>
      </c>
      <c r="W446" t="s">
        <v>855</v>
      </c>
      <c r="X446">
        <v>4</v>
      </c>
      <c r="AA446" s="48">
        <v>307.5</v>
      </c>
      <c r="AC446" s="48">
        <v>307.5</v>
      </c>
      <c r="AF446" s="34">
        <f t="shared" si="32"/>
        <v>45702</v>
      </c>
      <c r="AG446" s="34">
        <f t="shared" si="33"/>
        <v>47527</v>
      </c>
      <c r="AH446" t="s">
        <v>857</v>
      </c>
      <c r="AK446">
        <v>16</v>
      </c>
      <c r="AL446">
        <v>112</v>
      </c>
      <c r="AM446">
        <v>10</v>
      </c>
      <c r="AN446" s="48">
        <v>307.5</v>
      </c>
    </row>
    <row r="447" spans="2:40">
      <c r="B447" s="39" t="s">
        <v>624</v>
      </c>
      <c r="C447" s="44" t="s">
        <v>81</v>
      </c>
      <c r="D447" t="s">
        <v>164</v>
      </c>
      <c r="E447" t="s">
        <v>83</v>
      </c>
      <c r="F447" s="42">
        <v>45373</v>
      </c>
      <c r="G447" s="34">
        <f t="shared" si="30"/>
        <v>45493</v>
      </c>
      <c r="H447" t="s">
        <v>169</v>
      </c>
      <c r="I447" s="34">
        <f t="shared" si="31"/>
        <v>45493</v>
      </c>
      <c r="J447" t="s">
        <v>161</v>
      </c>
      <c r="K447" t="s">
        <v>853</v>
      </c>
      <c r="L447" t="s">
        <v>163</v>
      </c>
      <c r="M447" s="39" t="s">
        <v>624</v>
      </c>
      <c r="N447" t="s">
        <v>161</v>
      </c>
      <c r="Q447" s="39" t="s">
        <v>812</v>
      </c>
      <c r="U447" t="s">
        <v>854</v>
      </c>
      <c r="W447" t="s">
        <v>855</v>
      </c>
      <c r="X447">
        <v>4</v>
      </c>
      <c r="AA447" s="48">
        <v>307.5</v>
      </c>
      <c r="AC447" s="48">
        <v>307.5</v>
      </c>
      <c r="AF447" s="34">
        <f t="shared" si="32"/>
        <v>45702</v>
      </c>
      <c r="AG447" s="34">
        <f t="shared" si="33"/>
        <v>47527</v>
      </c>
      <c r="AH447" t="s">
        <v>857</v>
      </c>
      <c r="AK447">
        <v>16</v>
      </c>
      <c r="AL447">
        <v>112</v>
      </c>
      <c r="AM447">
        <v>10</v>
      </c>
      <c r="AN447" s="48">
        <v>307.5</v>
      </c>
    </row>
    <row r="448" spans="2:40">
      <c r="B448" s="39" t="s">
        <v>623</v>
      </c>
      <c r="C448" s="44" t="s">
        <v>81</v>
      </c>
      <c r="D448" t="s">
        <v>164</v>
      </c>
      <c r="E448" t="s">
        <v>83</v>
      </c>
      <c r="F448" s="42">
        <v>45373</v>
      </c>
      <c r="G448" s="34">
        <f t="shared" si="30"/>
        <v>45493</v>
      </c>
      <c r="H448" t="s">
        <v>169</v>
      </c>
      <c r="I448" s="34">
        <f t="shared" si="31"/>
        <v>45493</v>
      </c>
      <c r="J448" t="s">
        <v>161</v>
      </c>
      <c r="K448" t="s">
        <v>853</v>
      </c>
      <c r="L448" t="s">
        <v>163</v>
      </c>
      <c r="M448" s="39" t="s">
        <v>623</v>
      </c>
      <c r="N448" t="s">
        <v>161</v>
      </c>
      <c r="Q448" s="39" t="s">
        <v>812</v>
      </c>
      <c r="U448" t="s">
        <v>854</v>
      </c>
      <c r="W448" t="s">
        <v>855</v>
      </c>
      <c r="X448">
        <v>4</v>
      </c>
      <c r="AA448" s="48">
        <v>307.5</v>
      </c>
      <c r="AC448" s="48">
        <v>307.5</v>
      </c>
      <c r="AF448" s="34">
        <f t="shared" si="32"/>
        <v>45702</v>
      </c>
      <c r="AG448" s="34">
        <f t="shared" si="33"/>
        <v>47527</v>
      </c>
      <c r="AH448" t="s">
        <v>857</v>
      </c>
      <c r="AK448">
        <v>16</v>
      </c>
      <c r="AL448">
        <v>112</v>
      </c>
      <c r="AM448">
        <v>10</v>
      </c>
      <c r="AN448" s="48">
        <v>307.5</v>
      </c>
    </row>
    <row r="449" spans="2:40">
      <c r="B449" s="39" t="s">
        <v>622</v>
      </c>
      <c r="C449" s="44" t="s">
        <v>81</v>
      </c>
      <c r="D449" t="s">
        <v>164</v>
      </c>
      <c r="E449" t="s">
        <v>83</v>
      </c>
      <c r="F449" s="42">
        <v>45373</v>
      </c>
      <c r="G449" s="34">
        <f t="shared" si="30"/>
        <v>45493</v>
      </c>
      <c r="H449" t="s">
        <v>169</v>
      </c>
      <c r="I449" s="34">
        <f t="shared" si="31"/>
        <v>45493</v>
      </c>
      <c r="J449" t="s">
        <v>161</v>
      </c>
      <c r="K449" t="s">
        <v>853</v>
      </c>
      <c r="L449" t="s">
        <v>163</v>
      </c>
      <c r="M449" s="39" t="s">
        <v>622</v>
      </c>
      <c r="N449" t="s">
        <v>161</v>
      </c>
      <c r="Q449" s="39" t="s">
        <v>812</v>
      </c>
      <c r="U449" t="s">
        <v>854</v>
      </c>
      <c r="W449" t="s">
        <v>855</v>
      </c>
      <c r="X449">
        <v>4</v>
      </c>
      <c r="AA449" s="48">
        <v>307.5</v>
      </c>
      <c r="AC449" s="48">
        <v>307.5</v>
      </c>
      <c r="AF449" s="34">
        <f t="shared" si="32"/>
        <v>45702</v>
      </c>
      <c r="AG449" s="34">
        <f t="shared" si="33"/>
        <v>47527</v>
      </c>
      <c r="AH449" t="s">
        <v>857</v>
      </c>
      <c r="AK449">
        <v>16</v>
      </c>
      <c r="AL449">
        <v>112</v>
      </c>
      <c r="AM449">
        <v>10</v>
      </c>
      <c r="AN449" s="48">
        <v>307.5</v>
      </c>
    </row>
    <row r="450" spans="2:40">
      <c r="B450" s="39" t="s">
        <v>626</v>
      </c>
      <c r="C450" s="44" t="s">
        <v>81</v>
      </c>
      <c r="D450" t="s">
        <v>164</v>
      </c>
      <c r="E450" t="s">
        <v>83</v>
      </c>
      <c r="F450" s="42">
        <v>45366</v>
      </c>
      <c r="G450" s="34">
        <f t="shared" si="30"/>
        <v>45486</v>
      </c>
      <c r="H450" t="s">
        <v>169</v>
      </c>
      <c r="I450" s="34">
        <f t="shared" si="31"/>
        <v>45486</v>
      </c>
      <c r="J450" t="s">
        <v>161</v>
      </c>
      <c r="K450" t="s">
        <v>853</v>
      </c>
      <c r="L450" t="s">
        <v>163</v>
      </c>
      <c r="M450" s="39" t="s">
        <v>626</v>
      </c>
      <c r="N450" t="s">
        <v>161</v>
      </c>
      <c r="Q450" s="39" t="s">
        <v>813</v>
      </c>
      <c r="U450" t="s">
        <v>854</v>
      </c>
      <c r="W450" t="s">
        <v>855</v>
      </c>
      <c r="X450">
        <v>5</v>
      </c>
      <c r="AA450" s="48">
        <v>307.5</v>
      </c>
      <c r="AC450" s="48">
        <v>307.5</v>
      </c>
      <c r="AF450" s="34">
        <f t="shared" si="32"/>
        <v>45695</v>
      </c>
      <c r="AG450" s="34">
        <f t="shared" si="33"/>
        <v>47520</v>
      </c>
      <c r="AH450" t="s">
        <v>857</v>
      </c>
      <c r="AK450">
        <v>16</v>
      </c>
      <c r="AL450">
        <v>112</v>
      </c>
      <c r="AM450">
        <v>10</v>
      </c>
      <c r="AN450" s="48">
        <v>307.5</v>
      </c>
    </row>
    <row r="451" spans="2:40">
      <c r="B451" s="39" t="s">
        <v>629</v>
      </c>
      <c r="C451" s="44" t="s">
        <v>81</v>
      </c>
      <c r="D451" t="s">
        <v>164</v>
      </c>
      <c r="E451" t="s">
        <v>83</v>
      </c>
      <c r="F451" s="42">
        <v>45356</v>
      </c>
      <c r="G451" s="34">
        <f t="shared" si="30"/>
        <v>45476</v>
      </c>
      <c r="H451" t="s">
        <v>169</v>
      </c>
      <c r="I451" s="34">
        <f t="shared" si="31"/>
        <v>45476</v>
      </c>
      <c r="J451" t="s">
        <v>161</v>
      </c>
      <c r="K451" t="s">
        <v>853</v>
      </c>
      <c r="L451" t="s">
        <v>163</v>
      </c>
      <c r="M451" s="39" t="s">
        <v>629</v>
      </c>
      <c r="N451" t="s">
        <v>161</v>
      </c>
      <c r="Q451" s="39" t="s">
        <v>814</v>
      </c>
      <c r="U451" t="s">
        <v>854</v>
      </c>
      <c r="W451" t="s">
        <v>855</v>
      </c>
      <c r="X451">
        <v>5</v>
      </c>
      <c r="AA451" s="48">
        <v>307.5</v>
      </c>
      <c r="AC451" s="48">
        <v>307.5</v>
      </c>
      <c r="AF451" s="34">
        <f t="shared" si="32"/>
        <v>45685</v>
      </c>
      <c r="AG451" s="34">
        <f t="shared" si="33"/>
        <v>47510</v>
      </c>
      <c r="AH451" t="s">
        <v>857</v>
      </c>
      <c r="AK451">
        <v>16</v>
      </c>
      <c r="AL451">
        <v>112</v>
      </c>
      <c r="AM451">
        <v>10</v>
      </c>
      <c r="AN451" s="48">
        <v>307.5</v>
      </c>
    </row>
    <row r="452" spans="2:40">
      <c r="B452" s="39" t="s">
        <v>628</v>
      </c>
      <c r="C452" s="44" t="s">
        <v>81</v>
      </c>
      <c r="D452" t="s">
        <v>164</v>
      </c>
      <c r="E452" t="s">
        <v>83</v>
      </c>
      <c r="F452" s="42">
        <v>45356</v>
      </c>
      <c r="G452" s="34">
        <f t="shared" si="30"/>
        <v>45476</v>
      </c>
      <c r="H452" t="s">
        <v>169</v>
      </c>
      <c r="I452" s="34">
        <f t="shared" si="31"/>
        <v>45476</v>
      </c>
      <c r="J452" t="s">
        <v>161</v>
      </c>
      <c r="K452" t="s">
        <v>853</v>
      </c>
      <c r="L452" t="s">
        <v>163</v>
      </c>
      <c r="M452" s="39" t="s">
        <v>628</v>
      </c>
      <c r="N452" t="s">
        <v>161</v>
      </c>
      <c r="Q452" s="39" t="s">
        <v>814</v>
      </c>
      <c r="U452" t="s">
        <v>854</v>
      </c>
      <c r="W452" t="s">
        <v>855</v>
      </c>
      <c r="X452">
        <v>5</v>
      </c>
      <c r="AA452" s="48">
        <v>307.5</v>
      </c>
      <c r="AC452" s="48">
        <v>307.5</v>
      </c>
      <c r="AF452" s="34">
        <f t="shared" si="32"/>
        <v>45685</v>
      </c>
      <c r="AG452" s="34">
        <f t="shared" si="33"/>
        <v>47510</v>
      </c>
      <c r="AH452" t="s">
        <v>857</v>
      </c>
      <c r="AK452">
        <v>16</v>
      </c>
      <c r="AL452">
        <v>112</v>
      </c>
      <c r="AM452">
        <v>10</v>
      </c>
      <c r="AN452" s="48">
        <v>307.5</v>
      </c>
    </row>
    <row r="453" spans="2:40">
      <c r="B453" s="39" t="s">
        <v>627</v>
      </c>
      <c r="C453" s="44" t="s">
        <v>81</v>
      </c>
      <c r="D453" t="s">
        <v>164</v>
      </c>
      <c r="E453" t="s">
        <v>83</v>
      </c>
      <c r="F453" s="42">
        <v>45356</v>
      </c>
      <c r="G453" s="34">
        <f t="shared" si="30"/>
        <v>45476</v>
      </c>
      <c r="H453" t="s">
        <v>169</v>
      </c>
      <c r="I453" s="34">
        <f t="shared" si="31"/>
        <v>45476</v>
      </c>
      <c r="J453" t="s">
        <v>161</v>
      </c>
      <c r="K453" t="s">
        <v>853</v>
      </c>
      <c r="L453" t="s">
        <v>163</v>
      </c>
      <c r="M453" s="39" t="s">
        <v>627</v>
      </c>
      <c r="N453" t="s">
        <v>161</v>
      </c>
      <c r="Q453" s="39" t="s">
        <v>814</v>
      </c>
      <c r="U453" t="s">
        <v>854</v>
      </c>
      <c r="W453" t="s">
        <v>855</v>
      </c>
      <c r="X453">
        <v>5</v>
      </c>
      <c r="AA453" s="48">
        <v>307.5</v>
      </c>
      <c r="AC453" s="48">
        <v>307.5</v>
      </c>
      <c r="AF453" s="34">
        <f t="shared" si="32"/>
        <v>45685</v>
      </c>
      <c r="AG453" s="34">
        <f t="shared" si="33"/>
        <v>47510</v>
      </c>
      <c r="AH453" t="s">
        <v>857</v>
      </c>
      <c r="AK453">
        <v>16</v>
      </c>
      <c r="AL453">
        <v>112</v>
      </c>
      <c r="AM453">
        <v>10</v>
      </c>
      <c r="AN453" s="48">
        <v>307.5</v>
      </c>
    </row>
    <row r="454" spans="2:40">
      <c r="B454" s="39" t="s">
        <v>631</v>
      </c>
      <c r="C454" s="44" t="s">
        <v>81</v>
      </c>
      <c r="D454" t="s">
        <v>164</v>
      </c>
      <c r="E454" t="s">
        <v>83</v>
      </c>
      <c r="F454" s="42">
        <v>45352</v>
      </c>
      <c r="G454" s="34">
        <f t="shared" ref="G454:G517" si="34">+F454+120</f>
        <v>45472</v>
      </c>
      <c r="H454" t="s">
        <v>169</v>
      </c>
      <c r="I454" s="34">
        <f t="shared" ref="I454:I517" si="35">+G454</f>
        <v>45472</v>
      </c>
      <c r="J454" t="s">
        <v>161</v>
      </c>
      <c r="K454" t="s">
        <v>853</v>
      </c>
      <c r="L454" t="s">
        <v>163</v>
      </c>
      <c r="M454" s="39" t="s">
        <v>631</v>
      </c>
      <c r="N454" t="s">
        <v>161</v>
      </c>
      <c r="Q454" s="39" t="s">
        <v>796</v>
      </c>
      <c r="U454" t="s">
        <v>854</v>
      </c>
      <c r="W454" t="s">
        <v>855</v>
      </c>
      <c r="X454">
        <v>5</v>
      </c>
      <c r="AA454" s="48">
        <v>307.5</v>
      </c>
      <c r="AC454" s="48">
        <v>307.5</v>
      </c>
      <c r="AF454" s="34">
        <f t="shared" si="32"/>
        <v>45681</v>
      </c>
      <c r="AG454" s="34">
        <f t="shared" si="33"/>
        <v>47506</v>
      </c>
      <c r="AH454" t="s">
        <v>857</v>
      </c>
      <c r="AK454">
        <v>16</v>
      </c>
      <c r="AL454">
        <v>112</v>
      </c>
      <c r="AM454">
        <v>10</v>
      </c>
      <c r="AN454" s="48">
        <v>307.5</v>
      </c>
    </row>
    <row r="455" spans="2:40">
      <c r="B455" s="39" t="s">
        <v>630</v>
      </c>
      <c r="C455" s="44" t="s">
        <v>81</v>
      </c>
      <c r="D455" t="s">
        <v>164</v>
      </c>
      <c r="E455" t="s">
        <v>83</v>
      </c>
      <c r="F455" s="42">
        <v>45352</v>
      </c>
      <c r="G455" s="34">
        <f t="shared" si="34"/>
        <v>45472</v>
      </c>
      <c r="H455" t="s">
        <v>169</v>
      </c>
      <c r="I455" s="34">
        <f t="shared" si="35"/>
        <v>45472</v>
      </c>
      <c r="J455" t="s">
        <v>161</v>
      </c>
      <c r="K455" t="s">
        <v>853</v>
      </c>
      <c r="L455" t="s">
        <v>163</v>
      </c>
      <c r="M455" s="39" t="s">
        <v>630</v>
      </c>
      <c r="N455" t="s">
        <v>161</v>
      </c>
      <c r="Q455" s="39" t="s">
        <v>796</v>
      </c>
      <c r="U455" t="s">
        <v>854</v>
      </c>
      <c r="W455" t="s">
        <v>855</v>
      </c>
      <c r="X455">
        <v>5</v>
      </c>
      <c r="AA455" s="48">
        <v>307.5</v>
      </c>
      <c r="AC455" s="48">
        <v>307.5</v>
      </c>
      <c r="AF455" s="34">
        <f t="shared" si="32"/>
        <v>45681</v>
      </c>
      <c r="AG455" s="34">
        <f t="shared" si="33"/>
        <v>47506</v>
      </c>
      <c r="AH455" t="s">
        <v>857</v>
      </c>
      <c r="AK455">
        <v>16</v>
      </c>
      <c r="AL455">
        <v>112</v>
      </c>
      <c r="AM455">
        <v>10</v>
      </c>
      <c r="AN455" s="48">
        <v>307.5</v>
      </c>
    </row>
    <row r="456" spans="2:40">
      <c r="B456" s="39" t="s">
        <v>634</v>
      </c>
      <c r="C456" s="44" t="s">
        <v>81</v>
      </c>
      <c r="D456" t="s">
        <v>164</v>
      </c>
      <c r="E456" t="s">
        <v>83</v>
      </c>
      <c r="F456" s="42">
        <v>45343</v>
      </c>
      <c r="G456" s="34">
        <f t="shared" si="34"/>
        <v>45463</v>
      </c>
      <c r="H456" t="s">
        <v>169</v>
      </c>
      <c r="I456" s="34">
        <f t="shared" si="35"/>
        <v>45463</v>
      </c>
      <c r="J456" t="s">
        <v>161</v>
      </c>
      <c r="K456" t="s">
        <v>853</v>
      </c>
      <c r="L456" t="s">
        <v>163</v>
      </c>
      <c r="M456" s="39" t="s">
        <v>634</v>
      </c>
      <c r="N456" t="s">
        <v>161</v>
      </c>
      <c r="Q456" s="39" t="s">
        <v>815</v>
      </c>
      <c r="U456" t="s">
        <v>854</v>
      </c>
      <c r="W456" t="s">
        <v>855</v>
      </c>
      <c r="X456">
        <v>5</v>
      </c>
      <c r="AA456" s="48">
        <v>307.5</v>
      </c>
      <c r="AC456" s="48">
        <v>307.5</v>
      </c>
      <c r="AF456" s="34">
        <f t="shared" si="32"/>
        <v>45672</v>
      </c>
      <c r="AG456" s="34">
        <f t="shared" si="33"/>
        <v>47497</v>
      </c>
      <c r="AH456" t="s">
        <v>857</v>
      </c>
      <c r="AK456">
        <v>16</v>
      </c>
      <c r="AL456">
        <v>112</v>
      </c>
      <c r="AM456">
        <v>10</v>
      </c>
      <c r="AN456" s="48">
        <v>307.5</v>
      </c>
    </row>
    <row r="457" spans="2:40">
      <c r="B457" s="39" t="s">
        <v>636</v>
      </c>
      <c r="C457" s="44" t="s">
        <v>81</v>
      </c>
      <c r="D457" t="s">
        <v>164</v>
      </c>
      <c r="E457" t="s">
        <v>83</v>
      </c>
      <c r="F457" s="42">
        <v>45343</v>
      </c>
      <c r="G457" s="34">
        <f t="shared" si="34"/>
        <v>45463</v>
      </c>
      <c r="H457" t="s">
        <v>169</v>
      </c>
      <c r="I457" s="34">
        <f t="shared" si="35"/>
        <v>45463</v>
      </c>
      <c r="J457" t="s">
        <v>161</v>
      </c>
      <c r="K457" t="s">
        <v>853</v>
      </c>
      <c r="L457" t="s">
        <v>163</v>
      </c>
      <c r="M457" s="39" t="s">
        <v>636</v>
      </c>
      <c r="N457" t="s">
        <v>161</v>
      </c>
      <c r="Q457" s="39" t="s">
        <v>815</v>
      </c>
      <c r="U457" t="s">
        <v>854</v>
      </c>
      <c r="W457" t="s">
        <v>855</v>
      </c>
      <c r="X457">
        <v>5</v>
      </c>
      <c r="AA457" s="48">
        <v>307.5</v>
      </c>
      <c r="AC457" s="48">
        <v>307.5</v>
      </c>
      <c r="AF457" s="34">
        <f t="shared" si="32"/>
        <v>45672</v>
      </c>
      <c r="AG457" s="34">
        <f t="shared" si="33"/>
        <v>47497</v>
      </c>
      <c r="AH457" t="s">
        <v>857</v>
      </c>
      <c r="AK457">
        <v>16</v>
      </c>
      <c r="AL457">
        <v>112</v>
      </c>
      <c r="AM457">
        <v>10</v>
      </c>
      <c r="AN457" s="48">
        <v>307.5</v>
      </c>
    </row>
    <row r="458" spans="2:40">
      <c r="B458" s="39" t="s">
        <v>635</v>
      </c>
      <c r="C458" s="44" t="s">
        <v>81</v>
      </c>
      <c r="D458" t="s">
        <v>164</v>
      </c>
      <c r="E458" t="s">
        <v>83</v>
      </c>
      <c r="F458" s="42">
        <v>45343</v>
      </c>
      <c r="G458" s="34">
        <f t="shared" si="34"/>
        <v>45463</v>
      </c>
      <c r="H458" t="s">
        <v>169</v>
      </c>
      <c r="I458" s="34">
        <f t="shared" si="35"/>
        <v>45463</v>
      </c>
      <c r="J458" t="s">
        <v>161</v>
      </c>
      <c r="K458" t="s">
        <v>853</v>
      </c>
      <c r="L458" t="s">
        <v>163</v>
      </c>
      <c r="M458" s="39" t="s">
        <v>635</v>
      </c>
      <c r="N458" t="s">
        <v>161</v>
      </c>
      <c r="Q458" s="39" t="s">
        <v>815</v>
      </c>
      <c r="U458" t="s">
        <v>854</v>
      </c>
      <c r="W458" t="s">
        <v>855</v>
      </c>
      <c r="X458">
        <v>5</v>
      </c>
      <c r="AA458" s="48">
        <v>307.5</v>
      </c>
      <c r="AC458" s="48">
        <v>307.5</v>
      </c>
      <c r="AF458" s="34">
        <f t="shared" ref="AF458:AF521" si="36">+F458+(47*7)</f>
        <v>45672</v>
      </c>
      <c r="AG458" s="34">
        <f t="shared" ref="AG458:AG521" si="37">+AF458+(365*5)</f>
        <v>47497</v>
      </c>
      <c r="AH458" t="s">
        <v>857</v>
      </c>
      <c r="AK458">
        <v>16</v>
      </c>
      <c r="AL458">
        <v>112</v>
      </c>
      <c r="AM458">
        <v>10</v>
      </c>
      <c r="AN458" s="48">
        <v>307.5</v>
      </c>
    </row>
    <row r="459" spans="2:40">
      <c r="B459" s="39" t="s">
        <v>639</v>
      </c>
      <c r="C459" s="44" t="s">
        <v>81</v>
      </c>
      <c r="D459" t="s">
        <v>164</v>
      </c>
      <c r="E459" t="s">
        <v>83</v>
      </c>
      <c r="F459" s="42">
        <v>45334</v>
      </c>
      <c r="G459" s="34">
        <f t="shared" si="34"/>
        <v>45454</v>
      </c>
      <c r="H459" t="s">
        <v>169</v>
      </c>
      <c r="I459" s="34">
        <f t="shared" si="35"/>
        <v>45454</v>
      </c>
      <c r="J459" t="s">
        <v>161</v>
      </c>
      <c r="K459" t="s">
        <v>853</v>
      </c>
      <c r="L459" t="s">
        <v>163</v>
      </c>
      <c r="M459" s="39" t="s">
        <v>639</v>
      </c>
      <c r="N459" t="s">
        <v>161</v>
      </c>
      <c r="Q459" s="39" t="s">
        <v>816</v>
      </c>
      <c r="U459" t="s">
        <v>854</v>
      </c>
      <c r="W459" t="s">
        <v>855</v>
      </c>
      <c r="X459">
        <v>5</v>
      </c>
      <c r="AA459" s="48">
        <v>307.5</v>
      </c>
      <c r="AC459" s="48">
        <v>307.5</v>
      </c>
      <c r="AF459" s="34">
        <f t="shared" si="36"/>
        <v>45663</v>
      </c>
      <c r="AG459" s="34">
        <f t="shared" si="37"/>
        <v>47488</v>
      </c>
      <c r="AH459" t="s">
        <v>856</v>
      </c>
      <c r="AK459">
        <v>16</v>
      </c>
      <c r="AL459">
        <v>112</v>
      </c>
      <c r="AM459">
        <v>10</v>
      </c>
      <c r="AN459" s="48">
        <v>307.5</v>
      </c>
    </row>
    <row r="460" spans="2:40">
      <c r="B460" s="39" t="s">
        <v>638</v>
      </c>
      <c r="C460" s="44" t="s">
        <v>81</v>
      </c>
      <c r="D460" t="s">
        <v>164</v>
      </c>
      <c r="E460" t="s">
        <v>83</v>
      </c>
      <c r="F460" s="42">
        <v>45334</v>
      </c>
      <c r="G460" s="34">
        <f t="shared" si="34"/>
        <v>45454</v>
      </c>
      <c r="H460" t="s">
        <v>169</v>
      </c>
      <c r="I460" s="34">
        <f t="shared" si="35"/>
        <v>45454</v>
      </c>
      <c r="J460" t="s">
        <v>161</v>
      </c>
      <c r="K460" t="s">
        <v>853</v>
      </c>
      <c r="L460" t="s">
        <v>163</v>
      </c>
      <c r="M460" s="39" t="s">
        <v>638</v>
      </c>
      <c r="N460" t="s">
        <v>161</v>
      </c>
      <c r="Q460" s="39" t="s">
        <v>816</v>
      </c>
      <c r="U460" t="s">
        <v>854</v>
      </c>
      <c r="W460" t="s">
        <v>855</v>
      </c>
      <c r="X460">
        <v>5</v>
      </c>
      <c r="AA460" s="48">
        <v>307.5</v>
      </c>
      <c r="AC460" s="48">
        <v>307.5</v>
      </c>
      <c r="AF460" s="34">
        <f t="shared" si="36"/>
        <v>45663</v>
      </c>
      <c r="AG460" s="34">
        <f t="shared" si="37"/>
        <v>47488</v>
      </c>
      <c r="AH460" t="s">
        <v>856</v>
      </c>
      <c r="AK460">
        <v>16</v>
      </c>
      <c r="AL460">
        <v>112</v>
      </c>
      <c r="AM460">
        <v>10</v>
      </c>
      <c r="AN460" s="48">
        <v>307.5</v>
      </c>
    </row>
    <row r="461" spans="2:40">
      <c r="B461" s="39" t="s">
        <v>637</v>
      </c>
      <c r="C461" s="44" t="s">
        <v>81</v>
      </c>
      <c r="D461" t="s">
        <v>164</v>
      </c>
      <c r="E461" t="s">
        <v>83</v>
      </c>
      <c r="F461" s="42">
        <v>45334</v>
      </c>
      <c r="G461" s="34">
        <f t="shared" si="34"/>
        <v>45454</v>
      </c>
      <c r="H461" t="s">
        <v>169</v>
      </c>
      <c r="I461" s="34">
        <f t="shared" si="35"/>
        <v>45454</v>
      </c>
      <c r="J461" t="s">
        <v>161</v>
      </c>
      <c r="K461" t="s">
        <v>853</v>
      </c>
      <c r="L461" t="s">
        <v>163</v>
      </c>
      <c r="M461" s="39" t="s">
        <v>637</v>
      </c>
      <c r="N461" t="s">
        <v>161</v>
      </c>
      <c r="Q461" s="39" t="s">
        <v>816</v>
      </c>
      <c r="U461" t="s">
        <v>854</v>
      </c>
      <c r="W461" t="s">
        <v>855</v>
      </c>
      <c r="X461">
        <v>5</v>
      </c>
      <c r="AA461" s="48">
        <v>307.5</v>
      </c>
      <c r="AC461" s="48">
        <v>307.5</v>
      </c>
      <c r="AF461" s="34">
        <f t="shared" si="36"/>
        <v>45663</v>
      </c>
      <c r="AG461" s="34">
        <f t="shared" si="37"/>
        <v>47488</v>
      </c>
      <c r="AH461" t="s">
        <v>856</v>
      </c>
      <c r="AK461">
        <v>16</v>
      </c>
      <c r="AL461">
        <v>112</v>
      </c>
      <c r="AM461">
        <v>10</v>
      </c>
      <c r="AN461" s="48">
        <v>307.5</v>
      </c>
    </row>
    <row r="462" spans="2:40">
      <c r="B462" s="39" t="s">
        <v>641</v>
      </c>
      <c r="C462" s="44" t="s">
        <v>81</v>
      </c>
      <c r="D462" t="s">
        <v>164</v>
      </c>
      <c r="E462" t="s">
        <v>83</v>
      </c>
      <c r="F462" s="42">
        <v>45331</v>
      </c>
      <c r="G462" s="34">
        <f t="shared" si="34"/>
        <v>45451</v>
      </c>
      <c r="H462" t="s">
        <v>169</v>
      </c>
      <c r="I462" s="34">
        <f t="shared" si="35"/>
        <v>45451</v>
      </c>
      <c r="J462" t="s">
        <v>161</v>
      </c>
      <c r="K462" t="s">
        <v>853</v>
      </c>
      <c r="L462" t="s">
        <v>163</v>
      </c>
      <c r="M462" s="39" t="s">
        <v>641</v>
      </c>
      <c r="N462" t="s">
        <v>161</v>
      </c>
      <c r="Q462" s="39" t="s">
        <v>817</v>
      </c>
      <c r="U462" t="s">
        <v>854</v>
      </c>
      <c r="W462" t="s">
        <v>855</v>
      </c>
      <c r="X462">
        <v>5</v>
      </c>
      <c r="AA462" s="48">
        <v>307.5</v>
      </c>
      <c r="AC462" s="48">
        <v>307.5</v>
      </c>
      <c r="AF462" s="34">
        <f t="shared" si="36"/>
        <v>45660</v>
      </c>
      <c r="AG462" s="34">
        <f t="shared" si="37"/>
        <v>47485</v>
      </c>
      <c r="AH462" t="s">
        <v>856</v>
      </c>
      <c r="AK462">
        <v>16</v>
      </c>
      <c r="AL462">
        <v>112</v>
      </c>
      <c r="AM462">
        <v>10</v>
      </c>
      <c r="AN462" s="48">
        <v>307.5</v>
      </c>
    </row>
    <row r="463" spans="2:40">
      <c r="B463" s="39" t="s">
        <v>652</v>
      </c>
      <c r="C463" s="44" t="s">
        <v>81</v>
      </c>
      <c r="D463" t="s">
        <v>164</v>
      </c>
      <c r="E463" t="s">
        <v>83</v>
      </c>
      <c r="F463" s="42">
        <v>45331</v>
      </c>
      <c r="G463" s="34">
        <f t="shared" si="34"/>
        <v>45451</v>
      </c>
      <c r="H463" t="s">
        <v>169</v>
      </c>
      <c r="I463" s="34">
        <f t="shared" si="35"/>
        <v>45451</v>
      </c>
      <c r="J463" t="s">
        <v>161</v>
      </c>
      <c r="K463" t="s">
        <v>853</v>
      </c>
      <c r="L463" t="s">
        <v>163</v>
      </c>
      <c r="M463" s="39" t="s">
        <v>652</v>
      </c>
      <c r="N463" t="s">
        <v>161</v>
      </c>
      <c r="Q463" s="39" t="s">
        <v>817</v>
      </c>
      <c r="U463" t="s">
        <v>854</v>
      </c>
      <c r="W463" t="s">
        <v>855</v>
      </c>
      <c r="X463">
        <v>5</v>
      </c>
      <c r="AA463" s="48">
        <v>307.5</v>
      </c>
      <c r="AC463" s="48">
        <v>307.5</v>
      </c>
      <c r="AF463" s="34">
        <f t="shared" si="36"/>
        <v>45660</v>
      </c>
      <c r="AG463" s="34">
        <f t="shared" si="37"/>
        <v>47485</v>
      </c>
      <c r="AH463" t="s">
        <v>856</v>
      </c>
      <c r="AK463">
        <v>16</v>
      </c>
      <c r="AL463">
        <v>112</v>
      </c>
      <c r="AM463">
        <v>10</v>
      </c>
      <c r="AN463" s="48">
        <v>307.5</v>
      </c>
    </row>
    <row r="464" spans="2:40">
      <c r="B464" s="39" t="s">
        <v>640</v>
      </c>
      <c r="C464" s="44" t="s">
        <v>81</v>
      </c>
      <c r="D464" t="s">
        <v>164</v>
      </c>
      <c r="E464" t="s">
        <v>83</v>
      </c>
      <c r="F464" s="42">
        <v>45331</v>
      </c>
      <c r="G464" s="34">
        <f t="shared" si="34"/>
        <v>45451</v>
      </c>
      <c r="H464" t="s">
        <v>169</v>
      </c>
      <c r="I464" s="34">
        <f t="shared" si="35"/>
        <v>45451</v>
      </c>
      <c r="J464" t="s">
        <v>161</v>
      </c>
      <c r="K464" t="s">
        <v>853</v>
      </c>
      <c r="L464" t="s">
        <v>163</v>
      </c>
      <c r="M464" s="39" t="s">
        <v>640</v>
      </c>
      <c r="N464" t="s">
        <v>161</v>
      </c>
      <c r="Q464" s="39" t="s">
        <v>817</v>
      </c>
      <c r="U464" t="s">
        <v>854</v>
      </c>
      <c r="W464" t="s">
        <v>855</v>
      </c>
      <c r="X464">
        <v>5</v>
      </c>
      <c r="AA464" s="48">
        <v>307.5</v>
      </c>
      <c r="AC464" s="48">
        <v>307.5</v>
      </c>
      <c r="AF464" s="34">
        <f t="shared" si="36"/>
        <v>45660</v>
      </c>
      <c r="AG464" s="34">
        <f t="shared" si="37"/>
        <v>47485</v>
      </c>
      <c r="AH464" t="s">
        <v>856</v>
      </c>
      <c r="AK464">
        <v>16</v>
      </c>
      <c r="AL464">
        <v>112</v>
      </c>
      <c r="AM464">
        <v>10</v>
      </c>
      <c r="AN464" s="48">
        <v>307.5</v>
      </c>
    </row>
    <row r="465" spans="2:40">
      <c r="B465" s="39" t="s">
        <v>642</v>
      </c>
      <c r="C465" s="44" t="s">
        <v>81</v>
      </c>
      <c r="D465" t="s">
        <v>164</v>
      </c>
      <c r="E465" t="s">
        <v>83</v>
      </c>
      <c r="F465" s="42">
        <v>45322</v>
      </c>
      <c r="G465" s="34">
        <f t="shared" si="34"/>
        <v>45442</v>
      </c>
      <c r="H465" t="s">
        <v>169</v>
      </c>
      <c r="I465" s="34">
        <f t="shared" si="35"/>
        <v>45442</v>
      </c>
      <c r="J465" t="s">
        <v>161</v>
      </c>
      <c r="K465" t="s">
        <v>853</v>
      </c>
      <c r="L465" t="s">
        <v>163</v>
      </c>
      <c r="M465" s="39" t="s">
        <v>642</v>
      </c>
      <c r="N465" t="s">
        <v>161</v>
      </c>
      <c r="Q465" s="39" t="s">
        <v>818</v>
      </c>
      <c r="U465" t="s">
        <v>854</v>
      </c>
      <c r="W465" t="s">
        <v>855</v>
      </c>
      <c r="X465">
        <v>5</v>
      </c>
      <c r="AA465" s="48">
        <v>307.5</v>
      </c>
      <c r="AC465" s="48">
        <v>307.5</v>
      </c>
      <c r="AF465" s="34">
        <f t="shared" si="36"/>
        <v>45651</v>
      </c>
      <c r="AG465" s="34">
        <f t="shared" si="37"/>
        <v>47476</v>
      </c>
      <c r="AH465" t="s">
        <v>856</v>
      </c>
      <c r="AK465">
        <v>16</v>
      </c>
      <c r="AL465">
        <v>112</v>
      </c>
      <c r="AM465">
        <v>10</v>
      </c>
      <c r="AN465" s="48">
        <v>307.5</v>
      </c>
    </row>
    <row r="466" spans="2:40">
      <c r="B466" s="39" t="s">
        <v>632</v>
      </c>
      <c r="C466" s="44" t="s">
        <v>81</v>
      </c>
      <c r="D466" t="s">
        <v>164</v>
      </c>
      <c r="E466" t="s">
        <v>83</v>
      </c>
      <c r="F466" s="42">
        <v>45322</v>
      </c>
      <c r="G466" s="34">
        <f t="shared" si="34"/>
        <v>45442</v>
      </c>
      <c r="H466" t="s">
        <v>169</v>
      </c>
      <c r="I466" s="34">
        <f t="shared" si="35"/>
        <v>45442</v>
      </c>
      <c r="J466" t="s">
        <v>161</v>
      </c>
      <c r="K466" t="s">
        <v>853</v>
      </c>
      <c r="L466" t="s">
        <v>163</v>
      </c>
      <c r="M466" s="39" t="s">
        <v>632</v>
      </c>
      <c r="N466" t="s">
        <v>161</v>
      </c>
      <c r="Q466" s="39" t="s">
        <v>818</v>
      </c>
      <c r="U466" t="s">
        <v>854</v>
      </c>
      <c r="W466" t="s">
        <v>855</v>
      </c>
      <c r="X466">
        <v>5</v>
      </c>
      <c r="AA466" s="48">
        <v>307.5</v>
      </c>
      <c r="AC466" s="48">
        <v>307.5</v>
      </c>
      <c r="AF466" s="34">
        <f t="shared" si="36"/>
        <v>45651</v>
      </c>
      <c r="AG466" s="34">
        <f t="shared" si="37"/>
        <v>47476</v>
      </c>
      <c r="AH466" t="s">
        <v>857</v>
      </c>
      <c r="AK466">
        <v>16</v>
      </c>
      <c r="AL466">
        <v>112</v>
      </c>
      <c r="AM466">
        <v>10</v>
      </c>
      <c r="AN466" s="48">
        <v>307.5</v>
      </c>
    </row>
    <row r="467" spans="2:40">
      <c r="B467" s="39" t="s">
        <v>643</v>
      </c>
      <c r="C467" s="44" t="s">
        <v>81</v>
      </c>
      <c r="D467" t="s">
        <v>164</v>
      </c>
      <c r="E467" t="s">
        <v>83</v>
      </c>
      <c r="F467" s="42">
        <v>45315</v>
      </c>
      <c r="G467" s="34">
        <f t="shared" si="34"/>
        <v>45435</v>
      </c>
      <c r="H467" t="s">
        <v>169</v>
      </c>
      <c r="I467" s="34">
        <f t="shared" si="35"/>
        <v>45435</v>
      </c>
      <c r="J467" t="s">
        <v>161</v>
      </c>
      <c r="K467" t="s">
        <v>853</v>
      </c>
      <c r="L467" t="s">
        <v>163</v>
      </c>
      <c r="M467" s="39" t="s">
        <v>643</v>
      </c>
      <c r="N467" t="s">
        <v>161</v>
      </c>
      <c r="Q467" s="39" t="s">
        <v>819</v>
      </c>
      <c r="U467" t="s">
        <v>854</v>
      </c>
      <c r="W467" t="s">
        <v>855</v>
      </c>
      <c r="X467">
        <v>5</v>
      </c>
      <c r="AA467" s="48">
        <v>307.5</v>
      </c>
      <c r="AC467" s="48">
        <v>307.5</v>
      </c>
      <c r="AF467" s="34">
        <f t="shared" si="36"/>
        <v>45644</v>
      </c>
      <c r="AG467" s="34">
        <f t="shared" si="37"/>
        <v>47469</v>
      </c>
      <c r="AH467" t="s">
        <v>857</v>
      </c>
      <c r="AK467">
        <v>16</v>
      </c>
      <c r="AL467">
        <v>112</v>
      </c>
      <c r="AM467">
        <v>10</v>
      </c>
      <c r="AN467" s="48">
        <v>307.5</v>
      </c>
    </row>
    <row r="468" spans="2:40">
      <c r="B468" s="39" t="s">
        <v>647</v>
      </c>
      <c r="C468" s="44" t="s">
        <v>81</v>
      </c>
      <c r="D468" t="s">
        <v>164</v>
      </c>
      <c r="E468" t="s">
        <v>83</v>
      </c>
      <c r="F468" s="42">
        <v>45308</v>
      </c>
      <c r="G468" s="34">
        <f t="shared" si="34"/>
        <v>45428</v>
      </c>
      <c r="H468" t="s">
        <v>169</v>
      </c>
      <c r="I468" s="34">
        <f t="shared" si="35"/>
        <v>45428</v>
      </c>
      <c r="J468" t="s">
        <v>161</v>
      </c>
      <c r="K468" t="s">
        <v>853</v>
      </c>
      <c r="L468" t="s">
        <v>163</v>
      </c>
      <c r="M468" s="39" t="s">
        <v>647</v>
      </c>
      <c r="N468" t="s">
        <v>161</v>
      </c>
      <c r="Q468" s="39" t="s">
        <v>820</v>
      </c>
      <c r="U468" t="s">
        <v>854</v>
      </c>
      <c r="W468" t="s">
        <v>855</v>
      </c>
      <c r="X468">
        <v>5</v>
      </c>
      <c r="AA468" s="48">
        <v>307.5</v>
      </c>
      <c r="AC468" s="48">
        <v>307.5</v>
      </c>
      <c r="AF468" s="34">
        <f t="shared" si="36"/>
        <v>45637</v>
      </c>
      <c r="AG468" s="34">
        <f t="shared" si="37"/>
        <v>47462</v>
      </c>
      <c r="AH468" t="s">
        <v>856</v>
      </c>
      <c r="AK468">
        <v>16</v>
      </c>
      <c r="AL468">
        <v>112</v>
      </c>
      <c r="AM468">
        <v>10</v>
      </c>
      <c r="AN468" s="48">
        <v>307.5</v>
      </c>
    </row>
    <row r="469" spans="2:40">
      <c r="B469" s="39" t="s">
        <v>646</v>
      </c>
      <c r="C469" s="44" t="s">
        <v>81</v>
      </c>
      <c r="D469" t="s">
        <v>164</v>
      </c>
      <c r="E469" t="s">
        <v>83</v>
      </c>
      <c r="F469" s="42">
        <v>45308</v>
      </c>
      <c r="G469" s="34">
        <f t="shared" si="34"/>
        <v>45428</v>
      </c>
      <c r="H469" t="s">
        <v>169</v>
      </c>
      <c r="I469" s="34">
        <f t="shared" si="35"/>
        <v>45428</v>
      </c>
      <c r="J469" t="s">
        <v>161</v>
      </c>
      <c r="K469" t="s">
        <v>853</v>
      </c>
      <c r="L469" t="s">
        <v>163</v>
      </c>
      <c r="M469" s="39" t="s">
        <v>646</v>
      </c>
      <c r="N469" t="s">
        <v>161</v>
      </c>
      <c r="Q469" s="39" t="s">
        <v>820</v>
      </c>
      <c r="U469" t="s">
        <v>854</v>
      </c>
      <c r="W469" t="s">
        <v>855</v>
      </c>
      <c r="X469">
        <v>5</v>
      </c>
      <c r="AA469" s="48">
        <v>307.5</v>
      </c>
      <c r="AC469" s="48">
        <v>307.5</v>
      </c>
      <c r="AF469" s="34">
        <f t="shared" si="36"/>
        <v>45637</v>
      </c>
      <c r="AG469" s="34">
        <f t="shared" si="37"/>
        <v>47462</v>
      </c>
      <c r="AH469" t="s">
        <v>856</v>
      </c>
      <c r="AK469">
        <v>16</v>
      </c>
      <c r="AL469">
        <v>112</v>
      </c>
      <c r="AM469">
        <v>10</v>
      </c>
      <c r="AN469" s="48">
        <v>307.5</v>
      </c>
    </row>
    <row r="470" spans="2:40">
      <c r="B470" s="39" t="s">
        <v>645</v>
      </c>
      <c r="C470" s="44" t="s">
        <v>81</v>
      </c>
      <c r="D470" t="s">
        <v>164</v>
      </c>
      <c r="E470" t="s">
        <v>83</v>
      </c>
      <c r="F470" s="42">
        <v>45308</v>
      </c>
      <c r="G470" s="34">
        <f t="shared" si="34"/>
        <v>45428</v>
      </c>
      <c r="H470" t="s">
        <v>169</v>
      </c>
      <c r="I470" s="34">
        <f t="shared" si="35"/>
        <v>45428</v>
      </c>
      <c r="J470" t="s">
        <v>161</v>
      </c>
      <c r="K470" t="s">
        <v>853</v>
      </c>
      <c r="L470" t="s">
        <v>163</v>
      </c>
      <c r="M470" s="39" t="s">
        <v>645</v>
      </c>
      <c r="N470" t="s">
        <v>161</v>
      </c>
      <c r="Q470" s="39" t="s">
        <v>820</v>
      </c>
      <c r="U470" t="s">
        <v>854</v>
      </c>
      <c r="W470" t="s">
        <v>855</v>
      </c>
      <c r="X470">
        <v>5</v>
      </c>
      <c r="AA470" s="48">
        <v>307.5</v>
      </c>
      <c r="AC470" s="48">
        <v>307.5</v>
      </c>
      <c r="AF470" s="34">
        <f t="shared" si="36"/>
        <v>45637</v>
      </c>
      <c r="AG470" s="34">
        <f t="shared" si="37"/>
        <v>47462</v>
      </c>
      <c r="AH470" t="s">
        <v>857</v>
      </c>
      <c r="AK470">
        <v>16</v>
      </c>
      <c r="AL470">
        <v>112</v>
      </c>
      <c r="AM470">
        <v>10</v>
      </c>
      <c r="AN470" s="48">
        <v>307.5</v>
      </c>
    </row>
    <row r="471" spans="2:40">
      <c r="B471" s="39" t="s">
        <v>644</v>
      </c>
      <c r="C471" s="44" t="s">
        <v>81</v>
      </c>
      <c r="D471" t="s">
        <v>164</v>
      </c>
      <c r="E471" t="s">
        <v>83</v>
      </c>
      <c r="F471" s="42">
        <v>45301</v>
      </c>
      <c r="G471" s="34">
        <f t="shared" si="34"/>
        <v>45421</v>
      </c>
      <c r="H471" t="s">
        <v>169</v>
      </c>
      <c r="I471" s="34">
        <f t="shared" si="35"/>
        <v>45421</v>
      </c>
      <c r="J471" t="s">
        <v>161</v>
      </c>
      <c r="K471" t="s">
        <v>853</v>
      </c>
      <c r="L471" t="s">
        <v>163</v>
      </c>
      <c r="M471" s="39" t="s">
        <v>644</v>
      </c>
      <c r="N471" t="s">
        <v>161</v>
      </c>
      <c r="Q471" s="39" t="s">
        <v>821</v>
      </c>
      <c r="U471" t="s">
        <v>854</v>
      </c>
      <c r="W471" t="s">
        <v>855</v>
      </c>
      <c r="X471">
        <v>5</v>
      </c>
      <c r="AA471" s="48">
        <v>307.5</v>
      </c>
      <c r="AC471" s="48">
        <v>307.5</v>
      </c>
      <c r="AF471" s="34">
        <f t="shared" si="36"/>
        <v>45630</v>
      </c>
      <c r="AG471" s="34">
        <f t="shared" si="37"/>
        <v>47455</v>
      </c>
      <c r="AH471" t="s">
        <v>857</v>
      </c>
      <c r="AK471">
        <v>16</v>
      </c>
      <c r="AL471">
        <v>112</v>
      </c>
      <c r="AM471">
        <v>10</v>
      </c>
      <c r="AN471" s="48">
        <v>307.5</v>
      </c>
    </row>
    <row r="472" spans="2:40">
      <c r="B472" s="39" t="s">
        <v>649</v>
      </c>
      <c r="C472" s="44" t="s">
        <v>81</v>
      </c>
      <c r="D472" t="s">
        <v>164</v>
      </c>
      <c r="E472" t="s">
        <v>83</v>
      </c>
      <c r="F472" s="42">
        <v>45301</v>
      </c>
      <c r="G472" s="34">
        <f t="shared" si="34"/>
        <v>45421</v>
      </c>
      <c r="H472" t="s">
        <v>169</v>
      </c>
      <c r="I472" s="34">
        <f t="shared" si="35"/>
        <v>45421</v>
      </c>
      <c r="J472" t="s">
        <v>161</v>
      </c>
      <c r="K472" t="s">
        <v>853</v>
      </c>
      <c r="L472" t="s">
        <v>163</v>
      </c>
      <c r="M472" s="39" t="s">
        <v>649</v>
      </c>
      <c r="N472" t="s">
        <v>161</v>
      </c>
      <c r="Q472" s="39" t="s">
        <v>821</v>
      </c>
      <c r="U472" t="s">
        <v>854</v>
      </c>
      <c r="W472" t="s">
        <v>855</v>
      </c>
      <c r="X472">
        <v>5</v>
      </c>
      <c r="AA472" s="48">
        <v>307.5</v>
      </c>
      <c r="AC472" s="48">
        <v>307.5</v>
      </c>
      <c r="AF472" s="34">
        <f t="shared" si="36"/>
        <v>45630</v>
      </c>
      <c r="AG472" s="34">
        <f t="shared" si="37"/>
        <v>47455</v>
      </c>
      <c r="AH472" t="s">
        <v>856</v>
      </c>
      <c r="AK472">
        <v>16</v>
      </c>
      <c r="AL472">
        <v>112</v>
      </c>
      <c r="AM472">
        <v>10</v>
      </c>
      <c r="AN472" s="48">
        <v>307.5</v>
      </c>
    </row>
    <row r="473" spans="2:40">
      <c r="B473" s="39" t="s">
        <v>648</v>
      </c>
      <c r="C473" s="44" t="s">
        <v>81</v>
      </c>
      <c r="D473" t="s">
        <v>164</v>
      </c>
      <c r="E473" t="s">
        <v>83</v>
      </c>
      <c r="F473" s="42">
        <v>45301</v>
      </c>
      <c r="G473" s="34">
        <f t="shared" si="34"/>
        <v>45421</v>
      </c>
      <c r="H473" t="s">
        <v>169</v>
      </c>
      <c r="I473" s="34">
        <f t="shared" si="35"/>
        <v>45421</v>
      </c>
      <c r="J473" t="s">
        <v>161</v>
      </c>
      <c r="K473" t="s">
        <v>853</v>
      </c>
      <c r="L473" t="s">
        <v>163</v>
      </c>
      <c r="M473" s="39" t="s">
        <v>648</v>
      </c>
      <c r="N473" t="s">
        <v>161</v>
      </c>
      <c r="Q473" s="39" t="s">
        <v>821</v>
      </c>
      <c r="U473" t="s">
        <v>854</v>
      </c>
      <c r="W473" t="s">
        <v>855</v>
      </c>
      <c r="X473">
        <v>5</v>
      </c>
      <c r="AA473" s="48">
        <v>307.5</v>
      </c>
      <c r="AC473" s="48">
        <v>307.5</v>
      </c>
      <c r="AF473" s="34">
        <f t="shared" si="36"/>
        <v>45630</v>
      </c>
      <c r="AG473" s="34">
        <f t="shared" si="37"/>
        <v>47455</v>
      </c>
      <c r="AH473" t="s">
        <v>856</v>
      </c>
      <c r="AK473">
        <v>16</v>
      </c>
      <c r="AL473">
        <v>112</v>
      </c>
      <c r="AM473">
        <v>10</v>
      </c>
      <c r="AN473" s="48">
        <v>307.5</v>
      </c>
    </row>
    <row r="474" spans="2:40">
      <c r="B474" s="39" t="s">
        <v>651</v>
      </c>
      <c r="C474" s="44" t="s">
        <v>81</v>
      </c>
      <c r="D474" t="s">
        <v>164</v>
      </c>
      <c r="E474" t="s">
        <v>83</v>
      </c>
      <c r="F474" s="42">
        <v>45292</v>
      </c>
      <c r="G474" s="34">
        <f t="shared" si="34"/>
        <v>45412</v>
      </c>
      <c r="H474" t="s">
        <v>169</v>
      </c>
      <c r="I474" s="34">
        <f t="shared" si="35"/>
        <v>45412</v>
      </c>
      <c r="J474" t="s">
        <v>161</v>
      </c>
      <c r="K474" t="s">
        <v>853</v>
      </c>
      <c r="L474" t="s">
        <v>163</v>
      </c>
      <c r="M474" s="39" t="s">
        <v>651</v>
      </c>
      <c r="N474" t="s">
        <v>161</v>
      </c>
      <c r="Q474" s="39" t="s">
        <v>822</v>
      </c>
      <c r="U474" t="s">
        <v>854</v>
      </c>
      <c r="W474" t="s">
        <v>855</v>
      </c>
      <c r="X474">
        <v>5</v>
      </c>
      <c r="AA474" s="48">
        <v>307.5</v>
      </c>
      <c r="AC474" s="48">
        <v>307.5</v>
      </c>
      <c r="AF474" s="34">
        <f t="shared" si="36"/>
        <v>45621</v>
      </c>
      <c r="AG474" s="34">
        <f t="shared" si="37"/>
        <v>47446</v>
      </c>
      <c r="AH474" t="s">
        <v>856</v>
      </c>
      <c r="AK474">
        <v>16</v>
      </c>
      <c r="AL474">
        <v>112</v>
      </c>
      <c r="AM474">
        <v>10</v>
      </c>
      <c r="AN474" s="48">
        <v>307.5</v>
      </c>
    </row>
    <row r="475" spans="2:40">
      <c r="B475" s="39" t="s">
        <v>650</v>
      </c>
      <c r="C475" s="44" t="s">
        <v>81</v>
      </c>
      <c r="D475" t="s">
        <v>164</v>
      </c>
      <c r="E475" t="s">
        <v>83</v>
      </c>
      <c r="F475" s="42">
        <v>45292</v>
      </c>
      <c r="G475" s="34">
        <f t="shared" si="34"/>
        <v>45412</v>
      </c>
      <c r="H475" t="s">
        <v>169</v>
      </c>
      <c r="I475" s="34">
        <f t="shared" si="35"/>
        <v>45412</v>
      </c>
      <c r="J475" t="s">
        <v>161</v>
      </c>
      <c r="K475" t="s">
        <v>853</v>
      </c>
      <c r="L475" t="s">
        <v>163</v>
      </c>
      <c r="M475" s="39" t="s">
        <v>650</v>
      </c>
      <c r="N475" t="s">
        <v>161</v>
      </c>
      <c r="Q475" s="39" t="s">
        <v>822</v>
      </c>
      <c r="U475" t="s">
        <v>854</v>
      </c>
      <c r="W475" t="s">
        <v>855</v>
      </c>
      <c r="X475">
        <v>5</v>
      </c>
      <c r="AA475" s="48">
        <v>307.5</v>
      </c>
      <c r="AC475" s="48">
        <v>307.5</v>
      </c>
      <c r="AF475" s="34">
        <f t="shared" si="36"/>
        <v>45621</v>
      </c>
      <c r="AG475" s="34">
        <f t="shared" si="37"/>
        <v>47446</v>
      </c>
      <c r="AH475" t="s">
        <v>856</v>
      </c>
      <c r="AK475">
        <v>16</v>
      </c>
      <c r="AL475">
        <v>112</v>
      </c>
      <c r="AM475">
        <v>10</v>
      </c>
      <c r="AN475" s="48">
        <v>307.5</v>
      </c>
    </row>
    <row r="476" spans="2:40">
      <c r="B476" s="39" t="s">
        <v>655</v>
      </c>
      <c r="C476" s="44" t="s">
        <v>81</v>
      </c>
      <c r="D476" t="s">
        <v>164</v>
      </c>
      <c r="E476" t="s">
        <v>83</v>
      </c>
      <c r="F476" s="42">
        <v>45292</v>
      </c>
      <c r="G476" s="34">
        <f t="shared" si="34"/>
        <v>45412</v>
      </c>
      <c r="H476" t="s">
        <v>169</v>
      </c>
      <c r="I476" s="34">
        <f t="shared" si="35"/>
        <v>45412</v>
      </c>
      <c r="J476" t="s">
        <v>161</v>
      </c>
      <c r="K476" t="s">
        <v>853</v>
      </c>
      <c r="L476" t="s">
        <v>163</v>
      </c>
      <c r="M476" s="39" t="s">
        <v>655</v>
      </c>
      <c r="N476" t="s">
        <v>161</v>
      </c>
      <c r="Q476" s="39" t="s">
        <v>823</v>
      </c>
      <c r="U476" t="s">
        <v>854</v>
      </c>
      <c r="W476" t="s">
        <v>855</v>
      </c>
      <c r="X476">
        <v>5</v>
      </c>
      <c r="AA476" s="48">
        <v>307.5</v>
      </c>
      <c r="AC476" s="48">
        <v>307.5</v>
      </c>
      <c r="AF476" s="34">
        <f t="shared" si="36"/>
        <v>45621</v>
      </c>
      <c r="AG476" s="34">
        <f t="shared" si="37"/>
        <v>47446</v>
      </c>
      <c r="AH476" t="s">
        <v>857</v>
      </c>
      <c r="AK476">
        <v>16</v>
      </c>
      <c r="AL476">
        <v>112</v>
      </c>
      <c r="AM476">
        <v>10</v>
      </c>
      <c r="AN476" s="48">
        <v>307.5</v>
      </c>
    </row>
    <row r="477" spans="2:40">
      <c r="B477" s="39" t="s">
        <v>654</v>
      </c>
      <c r="C477" s="44" t="s">
        <v>81</v>
      </c>
      <c r="D477" t="s">
        <v>164</v>
      </c>
      <c r="E477" t="s">
        <v>83</v>
      </c>
      <c r="F477" s="42">
        <v>45277</v>
      </c>
      <c r="G477" s="34">
        <f t="shared" si="34"/>
        <v>45397</v>
      </c>
      <c r="H477" t="s">
        <v>169</v>
      </c>
      <c r="I477" s="34">
        <f t="shared" si="35"/>
        <v>45397</v>
      </c>
      <c r="J477" t="s">
        <v>161</v>
      </c>
      <c r="K477" t="s">
        <v>853</v>
      </c>
      <c r="L477" t="s">
        <v>163</v>
      </c>
      <c r="M477" s="39" t="s">
        <v>654</v>
      </c>
      <c r="N477" t="s">
        <v>161</v>
      </c>
      <c r="Q477" s="39" t="s">
        <v>823</v>
      </c>
      <c r="U477" t="s">
        <v>854</v>
      </c>
      <c r="W477" t="s">
        <v>855</v>
      </c>
      <c r="X477">
        <v>5</v>
      </c>
      <c r="AA477" s="48">
        <v>307.5</v>
      </c>
      <c r="AC477" s="48">
        <v>307.5</v>
      </c>
      <c r="AF477" s="34">
        <f t="shared" si="36"/>
        <v>45606</v>
      </c>
      <c r="AG477" s="34">
        <f t="shared" si="37"/>
        <v>47431</v>
      </c>
      <c r="AH477" t="s">
        <v>857</v>
      </c>
      <c r="AK477">
        <v>16</v>
      </c>
      <c r="AL477">
        <v>112</v>
      </c>
      <c r="AM477">
        <v>10</v>
      </c>
      <c r="AN477" s="48">
        <v>307.5</v>
      </c>
    </row>
    <row r="478" spans="2:40">
      <c r="B478" s="39" t="s">
        <v>653</v>
      </c>
      <c r="C478" s="44" t="s">
        <v>81</v>
      </c>
      <c r="D478" t="s">
        <v>164</v>
      </c>
      <c r="E478" t="s">
        <v>83</v>
      </c>
      <c r="F478" s="42">
        <v>45648</v>
      </c>
      <c r="G478" s="34">
        <f t="shared" si="34"/>
        <v>45768</v>
      </c>
      <c r="H478" t="s">
        <v>169</v>
      </c>
      <c r="I478" s="34">
        <f t="shared" si="35"/>
        <v>45768</v>
      </c>
      <c r="J478" t="s">
        <v>161</v>
      </c>
      <c r="K478" t="s">
        <v>853</v>
      </c>
      <c r="L478" t="s">
        <v>163</v>
      </c>
      <c r="M478" s="39" t="s">
        <v>653</v>
      </c>
      <c r="N478" t="s">
        <v>161</v>
      </c>
      <c r="Q478" s="39" t="s">
        <v>824</v>
      </c>
      <c r="U478" t="s">
        <v>854</v>
      </c>
      <c r="W478" t="s">
        <v>855</v>
      </c>
      <c r="X478">
        <v>5</v>
      </c>
      <c r="AA478" s="48">
        <v>307.5</v>
      </c>
      <c r="AC478" s="48">
        <v>307.5</v>
      </c>
      <c r="AF478" s="34">
        <f t="shared" si="36"/>
        <v>45977</v>
      </c>
      <c r="AG478" s="34">
        <f t="shared" si="37"/>
        <v>47802</v>
      </c>
      <c r="AH478" t="s">
        <v>856</v>
      </c>
      <c r="AK478">
        <v>16</v>
      </c>
      <c r="AL478">
        <v>112</v>
      </c>
      <c r="AM478">
        <v>10</v>
      </c>
      <c r="AN478" s="48">
        <v>307.5</v>
      </c>
    </row>
    <row r="479" spans="2:40">
      <c r="B479" s="39" t="s">
        <v>659</v>
      </c>
      <c r="C479" s="44" t="s">
        <v>81</v>
      </c>
      <c r="D479" t="s">
        <v>164</v>
      </c>
      <c r="E479" t="s">
        <v>83</v>
      </c>
      <c r="F479" s="42">
        <v>45648</v>
      </c>
      <c r="G479" s="34">
        <f t="shared" si="34"/>
        <v>45768</v>
      </c>
      <c r="H479" t="s">
        <v>169</v>
      </c>
      <c r="I479" s="34">
        <f t="shared" si="35"/>
        <v>45768</v>
      </c>
      <c r="J479" t="s">
        <v>161</v>
      </c>
      <c r="K479" t="s">
        <v>853</v>
      </c>
      <c r="L479" t="s">
        <v>163</v>
      </c>
      <c r="M479" s="39" t="s">
        <v>659</v>
      </c>
      <c r="N479" t="s">
        <v>161</v>
      </c>
      <c r="Q479" s="39" t="s">
        <v>824</v>
      </c>
      <c r="U479" t="s">
        <v>854</v>
      </c>
      <c r="W479" t="s">
        <v>855</v>
      </c>
      <c r="X479">
        <v>5</v>
      </c>
      <c r="AA479" s="48">
        <v>307.5</v>
      </c>
      <c r="AC479" s="48">
        <v>307.5</v>
      </c>
      <c r="AF479" s="34">
        <f t="shared" si="36"/>
        <v>45977</v>
      </c>
      <c r="AG479" s="34">
        <f t="shared" si="37"/>
        <v>47802</v>
      </c>
      <c r="AH479" t="s">
        <v>857</v>
      </c>
      <c r="AK479">
        <v>16</v>
      </c>
      <c r="AL479">
        <v>112</v>
      </c>
      <c r="AM479">
        <v>10</v>
      </c>
      <c r="AN479" s="48">
        <v>307.5</v>
      </c>
    </row>
    <row r="480" spans="2:40">
      <c r="B480" s="39" t="s">
        <v>657</v>
      </c>
      <c r="C480" s="44" t="s">
        <v>81</v>
      </c>
      <c r="D480" t="s">
        <v>164</v>
      </c>
      <c r="E480" t="s">
        <v>83</v>
      </c>
      <c r="F480" s="42">
        <v>45271</v>
      </c>
      <c r="G480" s="34">
        <f t="shared" si="34"/>
        <v>45391</v>
      </c>
      <c r="H480" t="s">
        <v>169</v>
      </c>
      <c r="I480" s="34">
        <f t="shared" si="35"/>
        <v>45391</v>
      </c>
      <c r="J480" t="s">
        <v>161</v>
      </c>
      <c r="K480" t="s">
        <v>853</v>
      </c>
      <c r="L480" t="s">
        <v>163</v>
      </c>
      <c r="M480" s="39" t="s">
        <v>657</v>
      </c>
      <c r="N480" t="s">
        <v>161</v>
      </c>
      <c r="Q480" s="39" t="s">
        <v>825</v>
      </c>
      <c r="U480" t="s">
        <v>854</v>
      </c>
      <c r="W480" t="s">
        <v>855</v>
      </c>
      <c r="X480">
        <v>5</v>
      </c>
      <c r="AA480" s="48">
        <v>307.5</v>
      </c>
      <c r="AC480" s="48">
        <v>307.5</v>
      </c>
      <c r="AF480" s="34">
        <f t="shared" si="36"/>
        <v>45600</v>
      </c>
      <c r="AG480" s="34">
        <f t="shared" si="37"/>
        <v>47425</v>
      </c>
      <c r="AH480" t="s">
        <v>856</v>
      </c>
      <c r="AK480">
        <v>16</v>
      </c>
      <c r="AL480">
        <v>112</v>
      </c>
      <c r="AM480">
        <v>10</v>
      </c>
      <c r="AN480" s="48">
        <v>307.5</v>
      </c>
    </row>
    <row r="481" spans="2:40">
      <c r="B481" s="39" t="s">
        <v>656</v>
      </c>
      <c r="C481" s="44" t="s">
        <v>81</v>
      </c>
      <c r="D481" t="s">
        <v>164</v>
      </c>
      <c r="E481" t="s">
        <v>83</v>
      </c>
      <c r="F481" s="42">
        <v>45271</v>
      </c>
      <c r="G481" s="34">
        <f t="shared" si="34"/>
        <v>45391</v>
      </c>
      <c r="H481" t="s">
        <v>169</v>
      </c>
      <c r="I481" s="34">
        <f t="shared" si="35"/>
        <v>45391</v>
      </c>
      <c r="J481" t="s">
        <v>161</v>
      </c>
      <c r="K481" t="s">
        <v>853</v>
      </c>
      <c r="L481" t="s">
        <v>163</v>
      </c>
      <c r="M481" s="39" t="s">
        <v>656</v>
      </c>
      <c r="N481" t="s">
        <v>161</v>
      </c>
      <c r="Q481" s="39" t="s">
        <v>825</v>
      </c>
      <c r="U481" t="s">
        <v>854</v>
      </c>
      <c r="W481" t="s">
        <v>855</v>
      </c>
      <c r="X481">
        <v>5</v>
      </c>
      <c r="AA481" s="48">
        <v>307.5</v>
      </c>
      <c r="AC481" s="48">
        <v>307.5</v>
      </c>
      <c r="AF481" s="34">
        <f t="shared" si="36"/>
        <v>45600</v>
      </c>
      <c r="AG481" s="34">
        <f t="shared" si="37"/>
        <v>47425</v>
      </c>
      <c r="AH481" t="s">
        <v>857</v>
      </c>
      <c r="AK481">
        <v>16</v>
      </c>
      <c r="AL481">
        <v>112</v>
      </c>
      <c r="AM481">
        <v>10</v>
      </c>
      <c r="AN481" s="48">
        <v>307.5</v>
      </c>
    </row>
    <row r="482" spans="2:40">
      <c r="B482" s="39" t="s">
        <v>658</v>
      </c>
      <c r="C482" s="44" t="s">
        <v>81</v>
      </c>
      <c r="D482" t="s">
        <v>164</v>
      </c>
      <c r="E482" t="s">
        <v>83</v>
      </c>
      <c r="F482" s="42">
        <v>45264</v>
      </c>
      <c r="G482" s="34">
        <f t="shared" si="34"/>
        <v>45384</v>
      </c>
      <c r="H482" t="s">
        <v>169</v>
      </c>
      <c r="I482" s="34">
        <f t="shared" si="35"/>
        <v>45384</v>
      </c>
      <c r="J482" t="s">
        <v>161</v>
      </c>
      <c r="K482" t="s">
        <v>853</v>
      </c>
      <c r="L482" t="s">
        <v>163</v>
      </c>
      <c r="M482" s="39" t="s">
        <v>658</v>
      </c>
      <c r="N482" t="s">
        <v>161</v>
      </c>
      <c r="Q482" s="39" t="s">
        <v>826</v>
      </c>
      <c r="U482" t="s">
        <v>854</v>
      </c>
      <c r="W482" t="s">
        <v>855</v>
      </c>
      <c r="X482">
        <v>5</v>
      </c>
      <c r="AA482" s="48">
        <v>307.5</v>
      </c>
      <c r="AC482" s="48">
        <v>307.5</v>
      </c>
      <c r="AF482" s="34">
        <f t="shared" si="36"/>
        <v>45593</v>
      </c>
      <c r="AG482" s="34">
        <f t="shared" si="37"/>
        <v>47418</v>
      </c>
      <c r="AH482" t="s">
        <v>857</v>
      </c>
      <c r="AK482">
        <v>16</v>
      </c>
      <c r="AL482">
        <v>112</v>
      </c>
      <c r="AM482">
        <v>10</v>
      </c>
      <c r="AN482" s="48">
        <v>307.5</v>
      </c>
    </row>
    <row r="483" spans="2:40">
      <c r="B483" s="39" t="s">
        <v>663</v>
      </c>
      <c r="C483" s="44" t="s">
        <v>81</v>
      </c>
      <c r="D483" t="s">
        <v>164</v>
      </c>
      <c r="E483" t="s">
        <v>83</v>
      </c>
      <c r="F483" s="42">
        <v>45264</v>
      </c>
      <c r="G483" s="34">
        <f t="shared" si="34"/>
        <v>45384</v>
      </c>
      <c r="H483" t="s">
        <v>169</v>
      </c>
      <c r="I483" s="34">
        <f t="shared" si="35"/>
        <v>45384</v>
      </c>
      <c r="J483" t="s">
        <v>161</v>
      </c>
      <c r="K483" t="s">
        <v>853</v>
      </c>
      <c r="L483" t="s">
        <v>163</v>
      </c>
      <c r="M483" s="39" t="s">
        <v>663</v>
      </c>
      <c r="N483" t="s">
        <v>161</v>
      </c>
      <c r="Q483" s="39" t="s">
        <v>827</v>
      </c>
      <c r="U483" t="s">
        <v>854</v>
      </c>
      <c r="W483" t="s">
        <v>855</v>
      </c>
      <c r="X483">
        <v>5</v>
      </c>
      <c r="AA483" s="48">
        <v>307.5</v>
      </c>
      <c r="AC483" s="48">
        <v>307.5</v>
      </c>
      <c r="AF483" s="34">
        <f t="shared" si="36"/>
        <v>45593</v>
      </c>
      <c r="AG483" s="34">
        <f t="shared" si="37"/>
        <v>47418</v>
      </c>
      <c r="AH483" t="s">
        <v>857</v>
      </c>
      <c r="AK483">
        <v>16</v>
      </c>
      <c r="AL483">
        <v>112</v>
      </c>
      <c r="AM483">
        <v>10</v>
      </c>
      <c r="AN483" s="48">
        <v>307.5</v>
      </c>
    </row>
    <row r="484" spans="2:40">
      <c r="B484" s="39" t="s">
        <v>662</v>
      </c>
      <c r="C484" s="44" t="s">
        <v>81</v>
      </c>
      <c r="D484" t="s">
        <v>164</v>
      </c>
      <c r="E484" t="s">
        <v>83</v>
      </c>
      <c r="F484" s="42">
        <v>45264</v>
      </c>
      <c r="G484" s="34">
        <f t="shared" si="34"/>
        <v>45384</v>
      </c>
      <c r="H484" t="s">
        <v>169</v>
      </c>
      <c r="I484" s="34">
        <f t="shared" si="35"/>
        <v>45384</v>
      </c>
      <c r="J484" t="s">
        <v>161</v>
      </c>
      <c r="K484" t="s">
        <v>853</v>
      </c>
      <c r="L484" t="s">
        <v>163</v>
      </c>
      <c r="M484" s="39" t="s">
        <v>662</v>
      </c>
      <c r="N484" t="s">
        <v>161</v>
      </c>
      <c r="Q484" s="39" t="s">
        <v>827</v>
      </c>
      <c r="U484" t="s">
        <v>854</v>
      </c>
      <c r="W484" t="s">
        <v>855</v>
      </c>
      <c r="X484">
        <v>5</v>
      </c>
      <c r="AA484" s="48">
        <v>307.5</v>
      </c>
      <c r="AC484" s="48">
        <v>307.5</v>
      </c>
      <c r="AF484" s="34">
        <f t="shared" si="36"/>
        <v>45593</v>
      </c>
      <c r="AG484" s="34">
        <f t="shared" si="37"/>
        <v>47418</v>
      </c>
      <c r="AH484" t="s">
        <v>857</v>
      </c>
      <c r="AK484">
        <v>16</v>
      </c>
      <c r="AL484">
        <v>112</v>
      </c>
      <c r="AM484">
        <v>10</v>
      </c>
      <c r="AN484" s="48">
        <v>307.5</v>
      </c>
    </row>
    <row r="485" spans="2:40">
      <c r="B485" s="39" t="s">
        <v>661</v>
      </c>
      <c r="C485" s="44" t="s">
        <v>81</v>
      </c>
      <c r="D485" t="s">
        <v>164</v>
      </c>
      <c r="E485" t="s">
        <v>83</v>
      </c>
      <c r="F485" s="42">
        <v>45264</v>
      </c>
      <c r="G485" s="34">
        <f t="shared" si="34"/>
        <v>45384</v>
      </c>
      <c r="H485" t="s">
        <v>169</v>
      </c>
      <c r="I485" s="34">
        <f t="shared" si="35"/>
        <v>45384</v>
      </c>
      <c r="J485" t="s">
        <v>161</v>
      </c>
      <c r="K485" t="s">
        <v>853</v>
      </c>
      <c r="L485" t="s">
        <v>163</v>
      </c>
      <c r="M485" s="39" t="s">
        <v>661</v>
      </c>
      <c r="N485" t="s">
        <v>161</v>
      </c>
      <c r="Q485" s="39" t="s">
        <v>827</v>
      </c>
      <c r="U485" t="s">
        <v>854</v>
      </c>
      <c r="W485" t="s">
        <v>855</v>
      </c>
      <c r="X485">
        <v>5</v>
      </c>
      <c r="AA485" s="48">
        <v>307.5</v>
      </c>
      <c r="AC485" s="48">
        <v>307.5</v>
      </c>
      <c r="AF485" s="34">
        <f t="shared" si="36"/>
        <v>45593</v>
      </c>
      <c r="AG485" s="34">
        <f t="shared" si="37"/>
        <v>47418</v>
      </c>
      <c r="AH485" t="s">
        <v>857</v>
      </c>
      <c r="AK485">
        <v>16</v>
      </c>
      <c r="AL485">
        <v>112</v>
      </c>
      <c r="AM485">
        <v>10</v>
      </c>
      <c r="AN485" s="48">
        <v>307.5</v>
      </c>
    </row>
    <row r="486" spans="2:40">
      <c r="B486" s="39" t="s">
        <v>660</v>
      </c>
      <c r="C486" s="44" t="s">
        <v>81</v>
      </c>
      <c r="D486" t="s">
        <v>164</v>
      </c>
      <c r="E486" t="s">
        <v>83</v>
      </c>
      <c r="F486" s="42">
        <v>45264</v>
      </c>
      <c r="G486" s="34">
        <f t="shared" si="34"/>
        <v>45384</v>
      </c>
      <c r="H486" t="s">
        <v>169</v>
      </c>
      <c r="I486" s="34">
        <f t="shared" si="35"/>
        <v>45384</v>
      </c>
      <c r="J486" t="s">
        <v>161</v>
      </c>
      <c r="K486" t="s">
        <v>853</v>
      </c>
      <c r="L486" t="s">
        <v>163</v>
      </c>
      <c r="M486" s="39" t="s">
        <v>660</v>
      </c>
      <c r="N486" t="s">
        <v>161</v>
      </c>
      <c r="Q486" s="39" t="s">
        <v>827</v>
      </c>
      <c r="U486" t="s">
        <v>854</v>
      </c>
      <c r="W486" t="s">
        <v>855</v>
      </c>
      <c r="X486">
        <v>5</v>
      </c>
      <c r="AA486" s="48">
        <v>307.5</v>
      </c>
      <c r="AC486" s="48">
        <v>307.5</v>
      </c>
      <c r="AF486" s="34">
        <f t="shared" si="36"/>
        <v>45593</v>
      </c>
      <c r="AG486" s="34">
        <f t="shared" si="37"/>
        <v>47418</v>
      </c>
      <c r="AH486" t="s">
        <v>857</v>
      </c>
      <c r="AK486">
        <v>16</v>
      </c>
      <c r="AL486">
        <v>112</v>
      </c>
      <c r="AM486">
        <v>10</v>
      </c>
      <c r="AN486" s="48">
        <v>307.5</v>
      </c>
    </row>
    <row r="487" spans="2:40">
      <c r="B487" s="39" t="s">
        <v>664</v>
      </c>
      <c r="C487" s="44" t="s">
        <v>81</v>
      </c>
      <c r="D487" t="s">
        <v>164</v>
      </c>
      <c r="E487" t="s">
        <v>83</v>
      </c>
      <c r="F487" s="42">
        <v>45246</v>
      </c>
      <c r="G487" s="34">
        <f t="shared" si="34"/>
        <v>45366</v>
      </c>
      <c r="H487" t="s">
        <v>169</v>
      </c>
      <c r="I487" s="34">
        <f t="shared" si="35"/>
        <v>45366</v>
      </c>
      <c r="J487" t="s">
        <v>161</v>
      </c>
      <c r="K487" t="s">
        <v>853</v>
      </c>
      <c r="L487" t="s">
        <v>163</v>
      </c>
      <c r="M487" s="39" t="s">
        <v>664</v>
      </c>
      <c r="N487" t="s">
        <v>161</v>
      </c>
      <c r="Q487" s="39" t="s">
        <v>828</v>
      </c>
      <c r="U487" t="s">
        <v>854</v>
      </c>
      <c r="W487" t="s">
        <v>855</v>
      </c>
      <c r="X487">
        <v>5</v>
      </c>
      <c r="AA487" s="48">
        <v>307.5</v>
      </c>
      <c r="AC487" s="48">
        <v>307.5</v>
      </c>
      <c r="AF487" s="34">
        <f t="shared" si="36"/>
        <v>45575</v>
      </c>
      <c r="AG487" s="34">
        <f t="shared" si="37"/>
        <v>47400</v>
      </c>
      <c r="AH487" t="s">
        <v>857</v>
      </c>
      <c r="AK487">
        <v>16</v>
      </c>
      <c r="AL487">
        <v>112</v>
      </c>
      <c r="AM487">
        <v>10</v>
      </c>
      <c r="AN487" s="48">
        <v>307.5</v>
      </c>
    </row>
    <row r="488" spans="2:40">
      <c r="B488" s="39" t="s">
        <v>666</v>
      </c>
      <c r="C488" s="44" t="s">
        <v>81</v>
      </c>
      <c r="D488" t="s">
        <v>164</v>
      </c>
      <c r="E488" t="s">
        <v>83</v>
      </c>
      <c r="F488" s="42">
        <v>45238</v>
      </c>
      <c r="G488" s="34">
        <f t="shared" si="34"/>
        <v>45358</v>
      </c>
      <c r="H488" t="s">
        <v>169</v>
      </c>
      <c r="I488" s="34">
        <f t="shared" si="35"/>
        <v>45358</v>
      </c>
      <c r="J488" t="s">
        <v>161</v>
      </c>
      <c r="K488" t="s">
        <v>853</v>
      </c>
      <c r="L488" t="s">
        <v>163</v>
      </c>
      <c r="M488" s="39" t="s">
        <v>666</v>
      </c>
      <c r="N488" t="s">
        <v>161</v>
      </c>
      <c r="Q488" s="39" t="s">
        <v>829</v>
      </c>
      <c r="U488" t="s">
        <v>854</v>
      </c>
      <c r="W488" t="s">
        <v>855</v>
      </c>
      <c r="X488">
        <v>5</v>
      </c>
      <c r="AA488" s="48">
        <v>307.5</v>
      </c>
      <c r="AC488" s="48">
        <v>307.5</v>
      </c>
      <c r="AF488" s="34">
        <f t="shared" si="36"/>
        <v>45567</v>
      </c>
      <c r="AG488" s="34">
        <f t="shared" si="37"/>
        <v>47392</v>
      </c>
      <c r="AH488" t="s">
        <v>857</v>
      </c>
      <c r="AK488">
        <v>16</v>
      </c>
      <c r="AL488">
        <v>112</v>
      </c>
      <c r="AM488">
        <v>10</v>
      </c>
      <c r="AN488" s="48">
        <v>307.5</v>
      </c>
    </row>
    <row r="489" spans="2:40">
      <c r="B489" s="39" t="s">
        <v>665</v>
      </c>
      <c r="C489" s="44" t="s">
        <v>81</v>
      </c>
      <c r="D489" t="s">
        <v>164</v>
      </c>
      <c r="E489" t="s">
        <v>83</v>
      </c>
      <c r="F489" s="42">
        <v>45238</v>
      </c>
      <c r="G489" s="34">
        <f t="shared" si="34"/>
        <v>45358</v>
      </c>
      <c r="H489" t="s">
        <v>169</v>
      </c>
      <c r="I489" s="34">
        <f t="shared" si="35"/>
        <v>45358</v>
      </c>
      <c r="J489" t="s">
        <v>161</v>
      </c>
      <c r="K489" t="s">
        <v>853</v>
      </c>
      <c r="L489" t="s">
        <v>163</v>
      </c>
      <c r="M489" s="39" t="s">
        <v>665</v>
      </c>
      <c r="N489" t="s">
        <v>161</v>
      </c>
      <c r="Q489" s="39" t="s">
        <v>829</v>
      </c>
      <c r="U489" t="s">
        <v>854</v>
      </c>
      <c r="W489" t="s">
        <v>855</v>
      </c>
      <c r="X489">
        <v>5</v>
      </c>
      <c r="AA489" s="48">
        <v>307.5</v>
      </c>
      <c r="AC489" s="48">
        <v>307.5</v>
      </c>
      <c r="AF489" s="34">
        <f t="shared" si="36"/>
        <v>45567</v>
      </c>
      <c r="AG489" s="34">
        <f t="shared" si="37"/>
        <v>47392</v>
      </c>
      <c r="AH489" t="s">
        <v>857</v>
      </c>
      <c r="AK489">
        <v>16</v>
      </c>
      <c r="AL489">
        <v>112</v>
      </c>
      <c r="AM489">
        <v>10</v>
      </c>
      <c r="AN489" s="48">
        <v>307.5</v>
      </c>
    </row>
    <row r="490" spans="2:40">
      <c r="B490" s="39" t="s">
        <v>667</v>
      </c>
      <c r="C490" s="44" t="s">
        <v>81</v>
      </c>
      <c r="D490" t="s">
        <v>164</v>
      </c>
      <c r="E490" t="s">
        <v>83</v>
      </c>
      <c r="F490" s="42">
        <v>45230</v>
      </c>
      <c r="G490" s="34">
        <f t="shared" si="34"/>
        <v>45350</v>
      </c>
      <c r="H490" t="s">
        <v>169</v>
      </c>
      <c r="I490" s="34">
        <f t="shared" si="35"/>
        <v>45350</v>
      </c>
      <c r="J490" t="s">
        <v>161</v>
      </c>
      <c r="K490" t="s">
        <v>853</v>
      </c>
      <c r="L490" t="s">
        <v>163</v>
      </c>
      <c r="M490" s="39" t="s">
        <v>667</v>
      </c>
      <c r="N490" t="s">
        <v>161</v>
      </c>
      <c r="Q490" s="39" t="s">
        <v>829</v>
      </c>
      <c r="U490" t="s">
        <v>854</v>
      </c>
      <c r="W490" t="s">
        <v>855</v>
      </c>
      <c r="X490">
        <v>5</v>
      </c>
      <c r="AA490" s="48">
        <v>307.5</v>
      </c>
      <c r="AC490" s="48">
        <v>307.5</v>
      </c>
      <c r="AF490" s="34">
        <f t="shared" si="36"/>
        <v>45559</v>
      </c>
      <c r="AG490" s="34">
        <f t="shared" si="37"/>
        <v>47384</v>
      </c>
      <c r="AH490" t="s">
        <v>857</v>
      </c>
      <c r="AK490">
        <v>16</v>
      </c>
      <c r="AL490">
        <v>112</v>
      </c>
      <c r="AM490">
        <v>10</v>
      </c>
      <c r="AN490" s="48">
        <v>307.5</v>
      </c>
    </row>
    <row r="491" spans="2:40">
      <c r="B491" s="39" t="s">
        <v>669</v>
      </c>
      <c r="C491" s="44" t="s">
        <v>81</v>
      </c>
      <c r="D491" t="s">
        <v>164</v>
      </c>
      <c r="E491" t="s">
        <v>83</v>
      </c>
      <c r="F491" s="42">
        <v>45222</v>
      </c>
      <c r="G491" s="34">
        <f t="shared" si="34"/>
        <v>45342</v>
      </c>
      <c r="H491" t="s">
        <v>169</v>
      </c>
      <c r="I491" s="34">
        <f t="shared" si="35"/>
        <v>45342</v>
      </c>
      <c r="J491" t="s">
        <v>161</v>
      </c>
      <c r="K491" t="s">
        <v>853</v>
      </c>
      <c r="L491" t="s">
        <v>163</v>
      </c>
      <c r="M491" s="39" t="s">
        <v>669</v>
      </c>
      <c r="N491" t="s">
        <v>161</v>
      </c>
      <c r="Q491" s="39" t="s">
        <v>830</v>
      </c>
      <c r="U491" t="s">
        <v>854</v>
      </c>
      <c r="W491" t="s">
        <v>855</v>
      </c>
      <c r="X491">
        <v>5</v>
      </c>
      <c r="AA491" s="48">
        <v>307.5</v>
      </c>
      <c r="AC491" s="48">
        <v>307.5</v>
      </c>
      <c r="AF491" s="34">
        <f t="shared" si="36"/>
        <v>45551</v>
      </c>
      <c r="AG491" s="34">
        <f t="shared" si="37"/>
        <v>47376</v>
      </c>
      <c r="AH491" t="s">
        <v>857</v>
      </c>
      <c r="AK491">
        <v>16</v>
      </c>
      <c r="AL491">
        <v>112</v>
      </c>
      <c r="AM491">
        <v>10</v>
      </c>
      <c r="AN491" s="48">
        <v>307.5</v>
      </c>
    </row>
    <row r="492" spans="2:40">
      <c r="B492" s="39" t="s">
        <v>668</v>
      </c>
      <c r="C492" s="44" t="s">
        <v>81</v>
      </c>
      <c r="D492" t="s">
        <v>164</v>
      </c>
      <c r="E492" t="s">
        <v>83</v>
      </c>
      <c r="F492" s="42">
        <v>45222</v>
      </c>
      <c r="G492" s="34">
        <f t="shared" si="34"/>
        <v>45342</v>
      </c>
      <c r="H492" t="s">
        <v>169</v>
      </c>
      <c r="I492" s="34">
        <f t="shared" si="35"/>
        <v>45342</v>
      </c>
      <c r="J492" t="s">
        <v>161</v>
      </c>
      <c r="K492" t="s">
        <v>853</v>
      </c>
      <c r="L492" t="s">
        <v>163</v>
      </c>
      <c r="M492" s="39" t="s">
        <v>668</v>
      </c>
      <c r="N492" t="s">
        <v>161</v>
      </c>
      <c r="Q492" s="39" t="s">
        <v>830</v>
      </c>
      <c r="U492" t="s">
        <v>854</v>
      </c>
      <c r="W492" t="s">
        <v>855</v>
      </c>
      <c r="X492">
        <v>5</v>
      </c>
      <c r="AA492" s="48">
        <v>307.5</v>
      </c>
      <c r="AC492" s="48">
        <v>307.5</v>
      </c>
      <c r="AF492" s="34">
        <f t="shared" si="36"/>
        <v>45551</v>
      </c>
      <c r="AG492" s="34">
        <f t="shared" si="37"/>
        <v>47376</v>
      </c>
      <c r="AH492" t="s">
        <v>857</v>
      </c>
      <c r="AK492">
        <v>16</v>
      </c>
      <c r="AL492">
        <v>112</v>
      </c>
      <c r="AM492">
        <v>10</v>
      </c>
      <c r="AN492" s="48">
        <v>307.5</v>
      </c>
    </row>
    <row r="493" spans="2:40">
      <c r="B493" s="39" t="s">
        <v>671</v>
      </c>
      <c r="C493" s="44" t="s">
        <v>81</v>
      </c>
      <c r="D493" t="s">
        <v>164</v>
      </c>
      <c r="E493" t="s">
        <v>83</v>
      </c>
      <c r="F493" s="42">
        <v>45217</v>
      </c>
      <c r="G493" s="34">
        <f t="shared" si="34"/>
        <v>45337</v>
      </c>
      <c r="H493" t="s">
        <v>169</v>
      </c>
      <c r="I493" s="34">
        <f t="shared" si="35"/>
        <v>45337</v>
      </c>
      <c r="J493" t="s">
        <v>161</v>
      </c>
      <c r="K493" t="s">
        <v>853</v>
      </c>
      <c r="L493" t="s">
        <v>163</v>
      </c>
      <c r="M493" s="39" t="s">
        <v>671</v>
      </c>
      <c r="N493" t="s">
        <v>161</v>
      </c>
      <c r="Q493" s="39" t="s">
        <v>831</v>
      </c>
      <c r="U493" t="s">
        <v>854</v>
      </c>
      <c r="W493" t="s">
        <v>855</v>
      </c>
      <c r="X493">
        <v>5</v>
      </c>
      <c r="AA493" s="48">
        <v>307.5</v>
      </c>
      <c r="AC493" s="48">
        <v>307.5</v>
      </c>
      <c r="AF493" s="34">
        <f t="shared" si="36"/>
        <v>45546</v>
      </c>
      <c r="AG493" s="34">
        <f t="shared" si="37"/>
        <v>47371</v>
      </c>
      <c r="AH493" t="s">
        <v>857</v>
      </c>
      <c r="AK493">
        <v>16</v>
      </c>
      <c r="AL493">
        <v>112</v>
      </c>
      <c r="AM493">
        <v>10</v>
      </c>
      <c r="AN493" s="48">
        <v>307.5</v>
      </c>
    </row>
    <row r="494" spans="2:40">
      <c r="B494" s="39" t="s">
        <v>670</v>
      </c>
      <c r="C494" s="44" t="s">
        <v>81</v>
      </c>
      <c r="D494" t="s">
        <v>164</v>
      </c>
      <c r="E494" t="s">
        <v>83</v>
      </c>
      <c r="F494" s="42">
        <v>45217</v>
      </c>
      <c r="G494" s="34">
        <f t="shared" si="34"/>
        <v>45337</v>
      </c>
      <c r="H494" t="s">
        <v>169</v>
      </c>
      <c r="I494" s="34">
        <f t="shared" si="35"/>
        <v>45337</v>
      </c>
      <c r="J494" t="s">
        <v>161</v>
      </c>
      <c r="K494" t="s">
        <v>853</v>
      </c>
      <c r="L494" t="s">
        <v>163</v>
      </c>
      <c r="M494" s="39" t="s">
        <v>670</v>
      </c>
      <c r="N494" t="s">
        <v>161</v>
      </c>
      <c r="Q494" s="39" t="s">
        <v>831</v>
      </c>
      <c r="U494" t="s">
        <v>854</v>
      </c>
      <c r="W494" t="s">
        <v>855</v>
      </c>
      <c r="X494">
        <v>5</v>
      </c>
      <c r="AA494" s="48">
        <v>307.5</v>
      </c>
      <c r="AC494" s="48">
        <v>307.5</v>
      </c>
      <c r="AF494" s="34">
        <f t="shared" si="36"/>
        <v>45546</v>
      </c>
      <c r="AG494" s="34">
        <f t="shared" si="37"/>
        <v>47371</v>
      </c>
      <c r="AH494" t="s">
        <v>857</v>
      </c>
      <c r="AK494">
        <v>16</v>
      </c>
      <c r="AL494">
        <v>112</v>
      </c>
      <c r="AM494">
        <v>10</v>
      </c>
      <c r="AN494" s="48">
        <v>307.5</v>
      </c>
    </row>
    <row r="495" spans="2:40">
      <c r="B495" s="39" t="s">
        <v>673</v>
      </c>
      <c r="C495" s="44" t="s">
        <v>81</v>
      </c>
      <c r="D495" t="s">
        <v>164</v>
      </c>
      <c r="E495" t="s">
        <v>83</v>
      </c>
      <c r="F495" s="42">
        <v>45210</v>
      </c>
      <c r="G495" s="34">
        <f t="shared" si="34"/>
        <v>45330</v>
      </c>
      <c r="H495" t="s">
        <v>169</v>
      </c>
      <c r="I495" s="34">
        <f t="shared" si="35"/>
        <v>45330</v>
      </c>
      <c r="J495" t="s">
        <v>161</v>
      </c>
      <c r="K495" t="s">
        <v>853</v>
      </c>
      <c r="L495" t="s">
        <v>163</v>
      </c>
      <c r="M495" s="39" t="s">
        <v>673</v>
      </c>
      <c r="N495" t="s">
        <v>161</v>
      </c>
      <c r="Q495" s="39" t="s">
        <v>832</v>
      </c>
      <c r="U495" t="s">
        <v>854</v>
      </c>
      <c r="W495" t="s">
        <v>855</v>
      </c>
      <c r="X495">
        <v>5</v>
      </c>
      <c r="AA495" s="48">
        <v>307.5</v>
      </c>
      <c r="AC495" s="48">
        <v>307.5</v>
      </c>
      <c r="AF495" s="34">
        <f t="shared" si="36"/>
        <v>45539</v>
      </c>
      <c r="AG495" s="34">
        <f t="shared" si="37"/>
        <v>47364</v>
      </c>
      <c r="AH495" t="s">
        <v>857</v>
      </c>
      <c r="AK495">
        <v>16</v>
      </c>
      <c r="AL495">
        <v>112</v>
      </c>
      <c r="AM495">
        <v>10</v>
      </c>
      <c r="AN495" s="48">
        <v>307.5</v>
      </c>
    </row>
    <row r="496" spans="2:40">
      <c r="B496" s="39" t="s">
        <v>672</v>
      </c>
      <c r="C496" s="44" t="s">
        <v>81</v>
      </c>
      <c r="D496" t="s">
        <v>164</v>
      </c>
      <c r="E496" t="s">
        <v>83</v>
      </c>
      <c r="F496" s="42">
        <v>45210</v>
      </c>
      <c r="G496" s="34">
        <f t="shared" si="34"/>
        <v>45330</v>
      </c>
      <c r="H496" t="s">
        <v>169</v>
      </c>
      <c r="I496" s="34">
        <f t="shared" si="35"/>
        <v>45330</v>
      </c>
      <c r="J496" t="s">
        <v>161</v>
      </c>
      <c r="K496" t="s">
        <v>853</v>
      </c>
      <c r="L496" t="s">
        <v>163</v>
      </c>
      <c r="M496" s="39" t="s">
        <v>672</v>
      </c>
      <c r="N496" t="s">
        <v>161</v>
      </c>
      <c r="Q496" s="39" t="s">
        <v>832</v>
      </c>
      <c r="U496" t="s">
        <v>854</v>
      </c>
      <c r="W496" t="s">
        <v>855</v>
      </c>
      <c r="X496">
        <v>5</v>
      </c>
      <c r="AA496" s="48">
        <v>307.5</v>
      </c>
      <c r="AC496" s="48">
        <v>307.5</v>
      </c>
      <c r="AF496" s="34">
        <f t="shared" si="36"/>
        <v>45539</v>
      </c>
      <c r="AG496" s="34">
        <f t="shared" si="37"/>
        <v>47364</v>
      </c>
      <c r="AH496" t="s">
        <v>857</v>
      </c>
      <c r="AK496">
        <v>16</v>
      </c>
      <c r="AL496">
        <v>112</v>
      </c>
      <c r="AM496">
        <v>10</v>
      </c>
      <c r="AN496" s="48">
        <v>307.5</v>
      </c>
    </row>
    <row r="497" spans="2:40">
      <c r="B497" s="39" t="s">
        <v>674</v>
      </c>
      <c r="C497" s="44" t="s">
        <v>81</v>
      </c>
      <c r="D497" t="s">
        <v>164</v>
      </c>
      <c r="E497" t="s">
        <v>83</v>
      </c>
      <c r="F497" s="42">
        <v>45134</v>
      </c>
      <c r="G497" s="34">
        <f t="shared" si="34"/>
        <v>45254</v>
      </c>
      <c r="H497" t="s">
        <v>169</v>
      </c>
      <c r="I497" s="34">
        <f t="shared" si="35"/>
        <v>45254</v>
      </c>
      <c r="J497" t="s">
        <v>161</v>
      </c>
      <c r="K497" t="s">
        <v>853</v>
      </c>
      <c r="L497" t="s">
        <v>163</v>
      </c>
      <c r="M497" s="39" t="s">
        <v>674</v>
      </c>
      <c r="N497" t="s">
        <v>161</v>
      </c>
      <c r="Q497" s="39" t="s">
        <v>833</v>
      </c>
      <c r="U497" t="s">
        <v>854</v>
      </c>
      <c r="W497" t="s">
        <v>855</v>
      </c>
      <c r="X497">
        <v>5</v>
      </c>
      <c r="AA497" s="48">
        <v>307.5</v>
      </c>
      <c r="AC497" s="48">
        <v>307.5</v>
      </c>
      <c r="AF497" s="34">
        <f t="shared" si="36"/>
        <v>45463</v>
      </c>
      <c r="AG497" s="34">
        <f t="shared" si="37"/>
        <v>47288</v>
      </c>
      <c r="AH497" t="s">
        <v>857</v>
      </c>
      <c r="AK497">
        <v>16</v>
      </c>
      <c r="AL497">
        <v>112</v>
      </c>
      <c r="AM497">
        <v>10</v>
      </c>
      <c r="AN497" s="48">
        <v>307.5</v>
      </c>
    </row>
    <row r="498" spans="2:40">
      <c r="B498" s="39" t="s">
        <v>682</v>
      </c>
      <c r="C498" s="44" t="s">
        <v>81</v>
      </c>
      <c r="D498" t="s">
        <v>164</v>
      </c>
      <c r="E498" t="s">
        <v>83</v>
      </c>
      <c r="F498" s="42">
        <v>45196</v>
      </c>
      <c r="G498" s="34">
        <f t="shared" si="34"/>
        <v>45316</v>
      </c>
      <c r="H498" t="s">
        <v>169</v>
      </c>
      <c r="I498" s="34">
        <f t="shared" si="35"/>
        <v>45316</v>
      </c>
      <c r="J498" t="s">
        <v>161</v>
      </c>
      <c r="K498" t="s">
        <v>853</v>
      </c>
      <c r="L498" t="s">
        <v>163</v>
      </c>
      <c r="M498" s="39" t="s">
        <v>682</v>
      </c>
      <c r="N498" t="s">
        <v>161</v>
      </c>
      <c r="Q498" s="39" t="s">
        <v>833</v>
      </c>
      <c r="U498" t="s">
        <v>854</v>
      </c>
      <c r="W498" t="s">
        <v>855</v>
      </c>
      <c r="X498">
        <v>7</v>
      </c>
      <c r="AA498" s="48">
        <v>307.5</v>
      </c>
      <c r="AC498" s="48">
        <v>307.5</v>
      </c>
      <c r="AF498" s="34">
        <f t="shared" si="36"/>
        <v>45525</v>
      </c>
      <c r="AG498" s="34">
        <f t="shared" si="37"/>
        <v>47350</v>
      </c>
      <c r="AH498" t="s">
        <v>857</v>
      </c>
      <c r="AK498">
        <v>16</v>
      </c>
      <c r="AL498">
        <v>112</v>
      </c>
      <c r="AM498">
        <v>10</v>
      </c>
      <c r="AN498" s="48">
        <v>307.5</v>
      </c>
    </row>
    <row r="499" spans="2:40">
      <c r="B499" s="39" t="s">
        <v>691</v>
      </c>
      <c r="C499" s="44" t="s">
        <v>81</v>
      </c>
      <c r="D499" t="s">
        <v>164</v>
      </c>
      <c r="E499" t="s">
        <v>83</v>
      </c>
      <c r="F499" s="42">
        <v>45196</v>
      </c>
      <c r="G499" s="34">
        <f t="shared" si="34"/>
        <v>45316</v>
      </c>
      <c r="H499" t="s">
        <v>169</v>
      </c>
      <c r="I499" s="34">
        <f t="shared" si="35"/>
        <v>45316</v>
      </c>
      <c r="J499" t="s">
        <v>161</v>
      </c>
      <c r="K499" t="s">
        <v>853</v>
      </c>
      <c r="L499" t="s">
        <v>163</v>
      </c>
      <c r="M499" s="39" t="s">
        <v>691</v>
      </c>
      <c r="N499" t="s">
        <v>161</v>
      </c>
      <c r="Q499" s="39" t="s">
        <v>833</v>
      </c>
      <c r="U499" t="s">
        <v>854</v>
      </c>
      <c r="W499" t="s">
        <v>855</v>
      </c>
      <c r="X499">
        <v>7</v>
      </c>
      <c r="AA499" s="48">
        <v>307.5</v>
      </c>
      <c r="AC499" s="48">
        <v>307.5</v>
      </c>
      <c r="AF499" s="34">
        <f t="shared" si="36"/>
        <v>45525</v>
      </c>
      <c r="AG499" s="34">
        <f t="shared" si="37"/>
        <v>47350</v>
      </c>
      <c r="AH499" t="s">
        <v>857</v>
      </c>
      <c r="AK499">
        <v>16</v>
      </c>
      <c r="AL499">
        <v>112</v>
      </c>
      <c r="AM499">
        <v>10</v>
      </c>
      <c r="AN499" s="48">
        <v>307.5</v>
      </c>
    </row>
    <row r="500" spans="2:40">
      <c r="B500" s="39" t="s">
        <v>678</v>
      </c>
      <c r="C500" s="44" t="s">
        <v>81</v>
      </c>
      <c r="D500" t="s">
        <v>164</v>
      </c>
      <c r="E500" t="s">
        <v>83</v>
      </c>
      <c r="F500" s="42">
        <v>45196</v>
      </c>
      <c r="G500" s="34">
        <f t="shared" si="34"/>
        <v>45316</v>
      </c>
      <c r="H500" t="s">
        <v>169</v>
      </c>
      <c r="I500" s="34">
        <f t="shared" si="35"/>
        <v>45316</v>
      </c>
      <c r="J500" t="s">
        <v>161</v>
      </c>
      <c r="K500" t="s">
        <v>853</v>
      </c>
      <c r="L500" t="s">
        <v>163</v>
      </c>
      <c r="M500" s="39" t="s">
        <v>678</v>
      </c>
      <c r="N500" t="s">
        <v>161</v>
      </c>
      <c r="Q500" s="39" t="s">
        <v>833</v>
      </c>
      <c r="U500" t="s">
        <v>854</v>
      </c>
      <c r="W500" t="s">
        <v>855</v>
      </c>
      <c r="X500">
        <v>7</v>
      </c>
      <c r="AA500" s="48">
        <v>307.5</v>
      </c>
      <c r="AC500" s="48">
        <v>307.5</v>
      </c>
      <c r="AF500" s="34">
        <f t="shared" si="36"/>
        <v>45525</v>
      </c>
      <c r="AG500" s="34">
        <f t="shared" si="37"/>
        <v>47350</v>
      </c>
      <c r="AH500" t="s">
        <v>857</v>
      </c>
      <c r="AK500">
        <v>16</v>
      </c>
      <c r="AL500">
        <v>112</v>
      </c>
      <c r="AM500">
        <v>10</v>
      </c>
      <c r="AN500" s="48">
        <v>307.5</v>
      </c>
    </row>
    <row r="501" spans="2:40">
      <c r="B501" s="39" t="s">
        <v>676</v>
      </c>
      <c r="C501" s="44" t="s">
        <v>81</v>
      </c>
      <c r="D501" t="s">
        <v>164</v>
      </c>
      <c r="E501" t="s">
        <v>83</v>
      </c>
      <c r="F501" s="42">
        <v>45569</v>
      </c>
      <c r="G501" s="34">
        <f t="shared" si="34"/>
        <v>45689</v>
      </c>
      <c r="H501" t="s">
        <v>169</v>
      </c>
      <c r="I501" s="34">
        <f t="shared" si="35"/>
        <v>45689</v>
      </c>
      <c r="J501" t="s">
        <v>161</v>
      </c>
      <c r="K501" t="s">
        <v>853</v>
      </c>
      <c r="L501" t="s">
        <v>163</v>
      </c>
      <c r="M501" s="39" t="s">
        <v>676</v>
      </c>
      <c r="N501" t="s">
        <v>161</v>
      </c>
      <c r="Q501" s="39" t="s">
        <v>834</v>
      </c>
      <c r="U501" t="s">
        <v>854</v>
      </c>
      <c r="W501" t="s">
        <v>855</v>
      </c>
      <c r="X501">
        <v>7</v>
      </c>
      <c r="AA501" s="48">
        <v>307.5</v>
      </c>
      <c r="AC501" s="48">
        <v>307.5</v>
      </c>
      <c r="AF501" s="34">
        <f t="shared" si="36"/>
        <v>45898</v>
      </c>
      <c r="AG501" s="34">
        <f t="shared" si="37"/>
        <v>47723</v>
      </c>
      <c r="AH501" t="s">
        <v>857</v>
      </c>
      <c r="AK501">
        <v>16</v>
      </c>
      <c r="AL501">
        <v>112</v>
      </c>
      <c r="AM501">
        <v>10</v>
      </c>
      <c r="AN501" s="48">
        <v>307.5</v>
      </c>
    </row>
    <row r="502" spans="2:40">
      <c r="B502" s="39" t="s">
        <v>675</v>
      </c>
      <c r="C502" s="44" t="s">
        <v>81</v>
      </c>
      <c r="D502" t="s">
        <v>164</v>
      </c>
      <c r="E502" t="s">
        <v>83</v>
      </c>
      <c r="F502" s="42">
        <v>45196</v>
      </c>
      <c r="G502" s="34">
        <f t="shared" si="34"/>
        <v>45316</v>
      </c>
      <c r="H502" t="s">
        <v>169</v>
      </c>
      <c r="I502" s="34">
        <f t="shared" si="35"/>
        <v>45316</v>
      </c>
      <c r="J502" t="s">
        <v>161</v>
      </c>
      <c r="K502" t="s">
        <v>853</v>
      </c>
      <c r="L502" t="s">
        <v>163</v>
      </c>
      <c r="M502" s="39" t="s">
        <v>675</v>
      </c>
      <c r="N502" t="s">
        <v>161</v>
      </c>
      <c r="Q502" s="39" t="s">
        <v>833</v>
      </c>
      <c r="U502" t="s">
        <v>854</v>
      </c>
      <c r="W502" t="s">
        <v>855</v>
      </c>
      <c r="X502">
        <v>7</v>
      </c>
      <c r="AA502" s="48">
        <v>307.5</v>
      </c>
      <c r="AC502" s="48">
        <v>307.5</v>
      </c>
      <c r="AF502" s="34">
        <f t="shared" si="36"/>
        <v>45525</v>
      </c>
      <c r="AG502" s="34">
        <f t="shared" si="37"/>
        <v>47350</v>
      </c>
      <c r="AH502" t="s">
        <v>857</v>
      </c>
      <c r="AK502">
        <v>16</v>
      </c>
      <c r="AL502">
        <v>112</v>
      </c>
      <c r="AM502">
        <v>10</v>
      </c>
      <c r="AN502" s="48">
        <v>307.5</v>
      </c>
    </row>
    <row r="503" spans="2:40">
      <c r="B503" s="39" t="s">
        <v>677</v>
      </c>
      <c r="C503" s="44" t="s">
        <v>81</v>
      </c>
      <c r="D503" t="s">
        <v>164</v>
      </c>
      <c r="E503" t="s">
        <v>83</v>
      </c>
      <c r="F503" s="42">
        <v>45191</v>
      </c>
      <c r="G503" s="34">
        <f t="shared" si="34"/>
        <v>45311</v>
      </c>
      <c r="H503" t="s">
        <v>169</v>
      </c>
      <c r="I503" s="34">
        <f t="shared" si="35"/>
        <v>45311</v>
      </c>
      <c r="J503" t="s">
        <v>161</v>
      </c>
      <c r="K503" t="s">
        <v>853</v>
      </c>
      <c r="L503" t="s">
        <v>163</v>
      </c>
      <c r="M503" s="39" t="s">
        <v>677</v>
      </c>
      <c r="N503" t="s">
        <v>161</v>
      </c>
      <c r="Q503" s="39" t="s">
        <v>835</v>
      </c>
      <c r="U503" t="s">
        <v>854</v>
      </c>
      <c r="W503" t="s">
        <v>855</v>
      </c>
      <c r="X503">
        <v>7</v>
      </c>
      <c r="AA503" s="48">
        <v>307.5</v>
      </c>
      <c r="AC503" s="48">
        <v>307.5</v>
      </c>
      <c r="AF503" s="34">
        <f t="shared" si="36"/>
        <v>45520</v>
      </c>
      <c r="AG503" s="34">
        <f t="shared" si="37"/>
        <v>47345</v>
      </c>
      <c r="AH503" t="s">
        <v>857</v>
      </c>
      <c r="AK503">
        <v>16</v>
      </c>
      <c r="AL503">
        <v>112</v>
      </c>
      <c r="AM503">
        <v>10</v>
      </c>
      <c r="AN503" s="48">
        <v>307.5</v>
      </c>
    </row>
    <row r="504" spans="2:40">
      <c r="B504" s="39" t="s">
        <v>681</v>
      </c>
      <c r="C504" s="44" t="s">
        <v>81</v>
      </c>
      <c r="D504" t="s">
        <v>164</v>
      </c>
      <c r="E504" t="s">
        <v>83</v>
      </c>
      <c r="F504" s="42">
        <v>45548</v>
      </c>
      <c r="G504" s="34">
        <f t="shared" si="34"/>
        <v>45668</v>
      </c>
      <c r="H504" t="s">
        <v>169</v>
      </c>
      <c r="I504" s="34">
        <f t="shared" si="35"/>
        <v>45668</v>
      </c>
      <c r="J504" t="s">
        <v>161</v>
      </c>
      <c r="K504" t="s">
        <v>853</v>
      </c>
      <c r="L504" t="s">
        <v>163</v>
      </c>
      <c r="M504" s="39" t="s">
        <v>681</v>
      </c>
      <c r="N504" t="s">
        <v>161</v>
      </c>
      <c r="Q504" s="39" t="s">
        <v>836</v>
      </c>
      <c r="U504" t="s">
        <v>854</v>
      </c>
      <c r="W504" t="s">
        <v>855</v>
      </c>
      <c r="X504">
        <v>7</v>
      </c>
      <c r="AA504" s="48">
        <v>307.5</v>
      </c>
      <c r="AC504" s="48">
        <v>307.5</v>
      </c>
      <c r="AF504" s="34">
        <f t="shared" si="36"/>
        <v>45877</v>
      </c>
      <c r="AG504" s="34">
        <f t="shared" si="37"/>
        <v>47702</v>
      </c>
      <c r="AH504" t="s">
        <v>857</v>
      </c>
      <c r="AK504">
        <v>16</v>
      </c>
      <c r="AL504">
        <v>112</v>
      </c>
      <c r="AM504">
        <v>10</v>
      </c>
      <c r="AN504" s="48">
        <v>307.5</v>
      </c>
    </row>
    <row r="505" spans="2:40">
      <c r="B505" s="39" t="s">
        <v>679</v>
      </c>
      <c r="C505" s="44" t="s">
        <v>81</v>
      </c>
      <c r="D505" t="s">
        <v>164</v>
      </c>
      <c r="E505" t="s">
        <v>83</v>
      </c>
      <c r="F505" s="42">
        <v>45548</v>
      </c>
      <c r="G505" s="34">
        <f t="shared" si="34"/>
        <v>45668</v>
      </c>
      <c r="H505" t="s">
        <v>169</v>
      </c>
      <c r="I505" s="34">
        <f t="shared" si="35"/>
        <v>45668</v>
      </c>
      <c r="J505" t="s">
        <v>161</v>
      </c>
      <c r="K505" t="s">
        <v>853</v>
      </c>
      <c r="L505" t="s">
        <v>163</v>
      </c>
      <c r="M505" s="39" t="s">
        <v>679</v>
      </c>
      <c r="N505" t="s">
        <v>161</v>
      </c>
      <c r="Q505" s="39" t="s">
        <v>836</v>
      </c>
      <c r="U505" t="s">
        <v>854</v>
      </c>
      <c r="W505" t="s">
        <v>855</v>
      </c>
      <c r="X505">
        <v>7</v>
      </c>
      <c r="AA505" s="48">
        <v>307.5</v>
      </c>
      <c r="AC505" s="48">
        <v>307.5</v>
      </c>
      <c r="AF505" s="34">
        <f t="shared" si="36"/>
        <v>45877</v>
      </c>
      <c r="AG505" s="34">
        <f t="shared" si="37"/>
        <v>47702</v>
      </c>
      <c r="AH505" t="s">
        <v>857</v>
      </c>
      <c r="AK505">
        <v>16</v>
      </c>
      <c r="AL505">
        <v>112</v>
      </c>
      <c r="AM505">
        <v>10</v>
      </c>
      <c r="AN505" s="48">
        <v>307.5</v>
      </c>
    </row>
    <row r="506" spans="2:40">
      <c r="B506" s="39" t="s">
        <v>680</v>
      </c>
      <c r="C506" s="44" t="s">
        <v>81</v>
      </c>
      <c r="D506" t="s">
        <v>164</v>
      </c>
      <c r="E506" t="s">
        <v>83</v>
      </c>
      <c r="F506" s="42">
        <v>45170</v>
      </c>
      <c r="G506" s="34">
        <f t="shared" si="34"/>
        <v>45290</v>
      </c>
      <c r="H506" t="s">
        <v>169</v>
      </c>
      <c r="I506" s="34">
        <f t="shared" si="35"/>
        <v>45290</v>
      </c>
      <c r="J506" t="s">
        <v>161</v>
      </c>
      <c r="K506" t="s">
        <v>853</v>
      </c>
      <c r="L506" t="s">
        <v>163</v>
      </c>
      <c r="M506" s="39" t="s">
        <v>680</v>
      </c>
      <c r="N506" t="s">
        <v>161</v>
      </c>
      <c r="Q506" s="39" t="s">
        <v>837</v>
      </c>
      <c r="U506" t="s">
        <v>854</v>
      </c>
      <c r="W506" t="s">
        <v>855</v>
      </c>
      <c r="X506">
        <v>7</v>
      </c>
      <c r="AA506" s="48">
        <v>307.5</v>
      </c>
      <c r="AC506" s="48">
        <v>307.5</v>
      </c>
      <c r="AF506" s="34">
        <f t="shared" si="36"/>
        <v>45499</v>
      </c>
      <c r="AG506" s="34">
        <f t="shared" si="37"/>
        <v>47324</v>
      </c>
      <c r="AH506" t="s">
        <v>857</v>
      </c>
      <c r="AK506">
        <v>16</v>
      </c>
      <c r="AL506">
        <v>112</v>
      </c>
      <c r="AM506">
        <v>10</v>
      </c>
      <c r="AN506" s="48">
        <v>307.5</v>
      </c>
    </row>
    <row r="507" spans="2:40">
      <c r="B507" s="39" t="s">
        <v>685</v>
      </c>
      <c r="C507" s="44" t="s">
        <v>81</v>
      </c>
      <c r="D507" t="s">
        <v>164</v>
      </c>
      <c r="E507" t="s">
        <v>83</v>
      </c>
      <c r="F507" s="42">
        <v>45128</v>
      </c>
      <c r="G507" s="34">
        <f t="shared" si="34"/>
        <v>45248</v>
      </c>
      <c r="H507" t="s">
        <v>169</v>
      </c>
      <c r="I507" s="34">
        <f t="shared" si="35"/>
        <v>45248</v>
      </c>
      <c r="J507" t="s">
        <v>161</v>
      </c>
      <c r="K507" t="s">
        <v>853</v>
      </c>
      <c r="L507" t="s">
        <v>163</v>
      </c>
      <c r="M507" s="39" t="s">
        <v>685</v>
      </c>
      <c r="N507" t="s">
        <v>161</v>
      </c>
      <c r="Q507" s="39" t="s">
        <v>838</v>
      </c>
      <c r="U507" t="s">
        <v>854</v>
      </c>
      <c r="W507" t="s">
        <v>855</v>
      </c>
      <c r="X507">
        <v>7</v>
      </c>
      <c r="AA507" s="48">
        <v>307.5</v>
      </c>
      <c r="AC507" s="48">
        <v>307.5</v>
      </c>
      <c r="AF507" s="34">
        <f t="shared" si="36"/>
        <v>45457</v>
      </c>
      <c r="AG507" s="34">
        <f t="shared" si="37"/>
        <v>47282</v>
      </c>
      <c r="AH507" t="s">
        <v>857</v>
      </c>
      <c r="AK507">
        <v>16</v>
      </c>
      <c r="AL507">
        <v>112</v>
      </c>
      <c r="AM507">
        <v>10</v>
      </c>
      <c r="AN507" s="48">
        <v>307.5</v>
      </c>
    </row>
    <row r="508" spans="2:40">
      <c r="B508" s="39" t="s">
        <v>684</v>
      </c>
      <c r="C508" s="44" t="s">
        <v>81</v>
      </c>
      <c r="D508" t="s">
        <v>164</v>
      </c>
      <c r="E508" t="s">
        <v>83</v>
      </c>
      <c r="F508" s="42">
        <v>45128</v>
      </c>
      <c r="G508" s="34">
        <f t="shared" si="34"/>
        <v>45248</v>
      </c>
      <c r="H508" t="s">
        <v>169</v>
      </c>
      <c r="I508" s="34">
        <f t="shared" si="35"/>
        <v>45248</v>
      </c>
      <c r="J508" t="s">
        <v>161</v>
      </c>
      <c r="K508" t="s">
        <v>853</v>
      </c>
      <c r="L508" t="s">
        <v>163</v>
      </c>
      <c r="M508" s="39" t="s">
        <v>684</v>
      </c>
      <c r="N508" t="s">
        <v>161</v>
      </c>
      <c r="Q508" s="39" t="s">
        <v>838</v>
      </c>
      <c r="U508" t="s">
        <v>854</v>
      </c>
      <c r="W508" t="s">
        <v>855</v>
      </c>
      <c r="X508">
        <v>7</v>
      </c>
      <c r="AA508" s="48">
        <v>307.5</v>
      </c>
      <c r="AC508" s="48">
        <v>307.5</v>
      </c>
      <c r="AF508" s="34">
        <f t="shared" si="36"/>
        <v>45457</v>
      </c>
      <c r="AG508" s="34">
        <f t="shared" si="37"/>
        <v>47282</v>
      </c>
      <c r="AH508" t="s">
        <v>857</v>
      </c>
      <c r="AK508">
        <v>16</v>
      </c>
      <c r="AL508">
        <v>112</v>
      </c>
      <c r="AM508">
        <v>10</v>
      </c>
      <c r="AN508" s="48">
        <v>307.5</v>
      </c>
    </row>
    <row r="509" spans="2:40">
      <c r="B509" s="39" t="s">
        <v>683</v>
      </c>
      <c r="C509" s="44" t="s">
        <v>81</v>
      </c>
      <c r="D509" t="s">
        <v>164</v>
      </c>
      <c r="E509" t="s">
        <v>83</v>
      </c>
      <c r="F509" s="42">
        <v>45128</v>
      </c>
      <c r="G509" s="34">
        <f t="shared" si="34"/>
        <v>45248</v>
      </c>
      <c r="H509" t="s">
        <v>169</v>
      </c>
      <c r="I509" s="34">
        <f t="shared" si="35"/>
        <v>45248</v>
      </c>
      <c r="J509" t="s">
        <v>161</v>
      </c>
      <c r="K509" t="s">
        <v>853</v>
      </c>
      <c r="L509" t="s">
        <v>163</v>
      </c>
      <c r="M509" s="39" t="s">
        <v>683</v>
      </c>
      <c r="N509" t="s">
        <v>161</v>
      </c>
      <c r="Q509" s="39" t="s">
        <v>838</v>
      </c>
      <c r="U509" t="s">
        <v>854</v>
      </c>
      <c r="W509" t="s">
        <v>855</v>
      </c>
      <c r="X509">
        <v>7</v>
      </c>
      <c r="AA509" s="48">
        <v>307.5</v>
      </c>
      <c r="AC509" s="48">
        <v>307.5</v>
      </c>
      <c r="AF509" s="34">
        <f t="shared" si="36"/>
        <v>45457</v>
      </c>
      <c r="AG509" s="34">
        <f t="shared" si="37"/>
        <v>47282</v>
      </c>
      <c r="AH509" t="s">
        <v>857</v>
      </c>
      <c r="AK509">
        <v>16</v>
      </c>
      <c r="AL509">
        <v>112</v>
      </c>
      <c r="AM509">
        <v>10</v>
      </c>
      <c r="AN509" s="48">
        <v>307.5</v>
      </c>
    </row>
    <row r="510" spans="2:40">
      <c r="B510" s="39" t="s">
        <v>687</v>
      </c>
      <c r="C510" s="44" t="s">
        <v>81</v>
      </c>
      <c r="D510" t="s">
        <v>164</v>
      </c>
      <c r="E510" t="s">
        <v>83</v>
      </c>
      <c r="F510" s="42">
        <v>45119</v>
      </c>
      <c r="G510" s="34">
        <f t="shared" si="34"/>
        <v>45239</v>
      </c>
      <c r="H510" t="s">
        <v>169</v>
      </c>
      <c r="I510" s="34">
        <f t="shared" si="35"/>
        <v>45239</v>
      </c>
      <c r="J510" t="s">
        <v>161</v>
      </c>
      <c r="K510" t="s">
        <v>853</v>
      </c>
      <c r="L510" t="s">
        <v>163</v>
      </c>
      <c r="M510" s="39" t="s">
        <v>687</v>
      </c>
      <c r="N510" t="s">
        <v>161</v>
      </c>
      <c r="Q510" s="39" t="s">
        <v>838</v>
      </c>
      <c r="U510" t="s">
        <v>854</v>
      </c>
      <c r="W510" t="s">
        <v>855</v>
      </c>
      <c r="X510">
        <v>7</v>
      </c>
      <c r="AA510" s="48">
        <v>307.5</v>
      </c>
      <c r="AC510" s="48">
        <v>307.5</v>
      </c>
      <c r="AF510" s="34">
        <f t="shared" si="36"/>
        <v>45448</v>
      </c>
      <c r="AG510" s="34">
        <f t="shared" si="37"/>
        <v>47273</v>
      </c>
      <c r="AH510" t="s">
        <v>857</v>
      </c>
      <c r="AK510">
        <v>16</v>
      </c>
      <c r="AL510">
        <v>112</v>
      </c>
      <c r="AM510">
        <v>10</v>
      </c>
      <c r="AN510" s="48">
        <v>307.5</v>
      </c>
    </row>
    <row r="511" spans="2:40">
      <c r="B511" s="39" t="s">
        <v>686</v>
      </c>
      <c r="C511" s="44" t="s">
        <v>81</v>
      </c>
      <c r="D511" t="s">
        <v>164</v>
      </c>
      <c r="E511" t="s">
        <v>83</v>
      </c>
      <c r="F511" s="42">
        <v>45119</v>
      </c>
      <c r="G511" s="34">
        <f t="shared" si="34"/>
        <v>45239</v>
      </c>
      <c r="H511" t="s">
        <v>169</v>
      </c>
      <c r="I511" s="34">
        <f t="shared" si="35"/>
        <v>45239</v>
      </c>
      <c r="J511" t="s">
        <v>161</v>
      </c>
      <c r="K511" t="s">
        <v>853</v>
      </c>
      <c r="L511" t="s">
        <v>163</v>
      </c>
      <c r="M511" s="39" t="s">
        <v>686</v>
      </c>
      <c r="N511" t="s">
        <v>161</v>
      </c>
      <c r="Q511" s="39" t="s">
        <v>838</v>
      </c>
      <c r="U511" t="s">
        <v>854</v>
      </c>
      <c r="W511" t="s">
        <v>855</v>
      </c>
      <c r="X511">
        <v>7</v>
      </c>
      <c r="AA511" s="48">
        <v>307.5</v>
      </c>
      <c r="AC511" s="48">
        <v>307.5</v>
      </c>
      <c r="AF511" s="34">
        <f t="shared" si="36"/>
        <v>45448</v>
      </c>
      <c r="AG511" s="34">
        <f t="shared" si="37"/>
        <v>47273</v>
      </c>
      <c r="AH511" t="s">
        <v>857</v>
      </c>
      <c r="AK511">
        <v>16</v>
      </c>
      <c r="AL511">
        <v>112</v>
      </c>
      <c r="AM511">
        <v>10</v>
      </c>
      <c r="AN511" s="48">
        <v>307.5</v>
      </c>
    </row>
    <row r="512" spans="2:40">
      <c r="B512" s="39" t="s">
        <v>688</v>
      </c>
      <c r="C512" s="44" t="s">
        <v>81</v>
      </c>
      <c r="D512" t="s">
        <v>164</v>
      </c>
      <c r="E512" t="s">
        <v>83</v>
      </c>
      <c r="F512" s="42">
        <v>45102</v>
      </c>
      <c r="G512" s="34">
        <f t="shared" si="34"/>
        <v>45222</v>
      </c>
      <c r="H512" t="s">
        <v>169</v>
      </c>
      <c r="I512" s="34">
        <f t="shared" si="35"/>
        <v>45222</v>
      </c>
      <c r="J512" t="s">
        <v>161</v>
      </c>
      <c r="K512" t="s">
        <v>853</v>
      </c>
      <c r="L512" t="s">
        <v>163</v>
      </c>
      <c r="M512" s="39" t="s">
        <v>688</v>
      </c>
      <c r="N512" t="s">
        <v>161</v>
      </c>
      <c r="Q512" s="39" t="s">
        <v>839</v>
      </c>
      <c r="U512" t="s">
        <v>854</v>
      </c>
      <c r="W512" t="s">
        <v>855</v>
      </c>
      <c r="X512">
        <v>7</v>
      </c>
      <c r="AA512" s="48">
        <v>307.5</v>
      </c>
      <c r="AC512" s="48">
        <v>307.5</v>
      </c>
      <c r="AF512" s="34">
        <f t="shared" si="36"/>
        <v>45431</v>
      </c>
      <c r="AG512" s="34">
        <f t="shared" si="37"/>
        <v>47256</v>
      </c>
      <c r="AH512" t="s">
        <v>857</v>
      </c>
      <c r="AK512">
        <v>16</v>
      </c>
      <c r="AL512">
        <v>112</v>
      </c>
      <c r="AM512">
        <v>10</v>
      </c>
      <c r="AN512" s="48">
        <v>307.5</v>
      </c>
    </row>
    <row r="513" spans="2:40">
      <c r="B513" s="39" t="s">
        <v>690</v>
      </c>
      <c r="C513" s="44" t="s">
        <v>81</v>
      </c>
      <c r="D513" t="s">
        <v>164</v>
      </c>
      <c r="E513" t="s">
        <v>83</v>
      </c>
      <c r="F513" s="42">
        <v>45079</v>
      </c>
      <c r="G513" s="34">
        <f t="shared" si="34"/>
        <v>45199</v>
      </c>
      <c r="H513" t="s">
        <v>169</v>
      </c>
      <c r="I513" s="34">
        <f t="shared" si="35"/>
        <v>45199</v>
      </c>
      <c r="J513" t="s">
        <v>161</v>
      </c>
      <c r="K513" t="s">
        <v>853</v>
      </c>
      <c r="L513" t="s">
        <v>163</v>
      </c>
      <c r="M513" s="39" t="s">
        <v>690</v>
      </c>
      <c r="N513" t="s">
        <v>161</v>
      </c>
      <c r="Q513" s="39" t="s">
        <v>840</v>
      </c>
      <c r="U513" t="s">
        <v>854</v>
      </c>
      <c r="W513" t="s">
        <v>855</v>
      </c>
      <c r="X513">
        <v>7</v>
      </c>
      <c r="AA513" s="48">
        <v>307.5</v>
      </c>
      <c r="AC513" s="48">
        <v>307.5</v>
      </c>
      <c r="AF513" s="34">
        <f t="shared" si="36"/>
        <v>45408</v>
      </c>
      <c r="AG513" s="34">
        <f t="shared" si="37"/>
        <v>47233</v>
      </c>
      <c r="AH513" t="s">
        <v>857</v>
      </c>
      <c r="AK513">
        <v>16</v>
      </c>
      <c r="AL513">
        <v>112</v>
      </c>
      <c r="AM513">
        <v>10</v>
      </c>
      <c r="AN513" s="48">
        <v>307.5</v>
      </c>
    </row>
    <row r="514" spans="2:40">
      <c r="B514" s="39" t="s">
        <v>689</v>
      </c>
      <c r="C514" s="44" t="s">
        <v>81</v>
      </c>
      <c r="D514" t="s">
        <v>164</v>
      </c>
      <c r="E514" t="s">
        <v>83</v>
      </c>
      <c r="F514" s="42">
        <v>45079</v>
      </c>
      <c r="G514" s="34">
        <f t="shared" si="34"/>
        <v>45199</v>
      </c>
      <c r="H514" t="s">
        <v>169</v>
      </c>
      <c r="I514" s="34">
        <f t="shared" si="35"/>
        <v>45199</v>
      </c>
      <c r="J514" t="s">
        <v>161</v>
      </c>
      <c r="K514" t="s">
        <v>853</v>
      </c>
      <c r="L514" t="s">
        <v>163</v>
      </c>
      <c r="M514" s="39" t="s">
        <v>689</v>
      </c>
      <c r="N514" t="s">
        <v>161</v>
      </c>
      <c r="Q514" s="39" t="s">
        <v>840</v>
      </c>
      <c r="U514" t="s">
        <v>854</v>
      </c>
      <c r="W514" t="s">
        <v>855</v>
      </c>
      <c r="X514">
        <v>7</v>
      </c>
      <c r="AA514" s="48">
        <v>307.5</v>
      </c>
      <c r="AC514" s="48">
        <v>307.5</v>
      </c>
      <c r="AF514" s="34">
        <f t="shared" si="36"/>
        <v>45408</v>
      </c>
      <c r="AG514" s="34">
        <f t="shared" si="37"/>
        <v>47233</v>
      </c>
      <c r="AH514" t="s">
        <v>857</v>
      </c>
      <c r="AK514">
        <v>16</v>
      </c>
      <c r="AL514">
        <v>112</v>
      </c>
      <c r="AM514">
        <v>10</v>
      </c>
      <c r="AN514" s="48">
        <v>307.5</v>
      </c>
    </row>
    <row r="515" spans="2:40">
      <c r="B515" s="39" t="s">
        <v>694</v>
      </c>
      <c r="C515" s="44" t="s">
        <v>81</v>
      </c>
      <c r="D515" t="s">
        <v>164</v>
      </c>
      <c r="E515" t="s">
        <v>83</v>
      </c>
      <c r="F515" s="42">
        <v>45063</v>
      </c>
      <c r="G515" s="34">
        <f t="shared" si="34"/>
        <v>45183</v>
      </c>
      <c r="H515" t="s">
        <v>169</v>
      </c>
      <c r="I515" s="34">
        <f t="shared" si="35"/>
        <v>45183</v>
      </c>
      <c r="J515" t="s">
        <v>161</v>
      </c>
      <c r="K515" t="s">
        <v>853</v>
      </c>
      <c r="L515" t="s">
        <v>163</v>
      </c>
      <c r="M515" s="39" t="s">
        <v>694</v>
      </c>
      <c r="N515" t="s">
        <v>161</v>
      </c>
      <c r="Q515" s="39" t="s">
        <v>841</v>
      </c>
      <c r="U515" t="s">
        <v>854</v>
      </c>
      <c r="W515" t="s">
        <v>855</v>
      </c>
      <c r="X515">
        <v>7</v>
      </c>
      <c r="AA515" s="48">
        <v>307.5</v>
      </c>
      <c r="AC515" s="48">
        <v>307.5</v>
      </c>
      <c r="AF515" s="34">
        <f t="shared" si="36"/>
        <v>45392</v>
      </c>
      <c r="AG515" s="34">
        <f t="shared" si="37"/>
        <v>47217</v>
      </c>
      <c r="AH515" t="s">
        <v>857</v>
      </c>
      <c r="AK515">
        <v>16</v>
      </c>
      <c r="AL515">
        <v>112</v>
      </c>
      <c r="AM515">
        <v>10</v>
      </c>
      <c r="AN515" s="48">
        <v>307.5</v>
      </c>
    </row>
    <row r="516" spans="2:40">
      <c r="B516" s="39" t="s">
        <v>693</v>
      </c>
      <c r="C516" s="44" t="s">
        <v>81</v>
      </c>
      <c r="D516" t="s">
        <v>164</v>
      </c>
      <c r="E516" t="s">
        <v>83</v>
      </c>
      <c r="F516" s="42">
        <v>45063</v>
      </c>
      <c r="G516" s="34">
        <f t="shared" si="34"/>
        <v>45183</v>
      </c>
      <c r="H516" t="s">
        <v>169</v>
      </c>
      <c r="I516" s="34">
        <f t="shared" si="35"/>
        <v>45183</v>
      </c>
      <c r="J516" t="s">
        <v>161</v>
      </c>
      <c r="K516" t="s">
        <v>853</v>
      </c>
      <c r="L516" t="s">
        <v>163</v>
      </c>
      <c r="M516" s="39" t="s">
        <v>693</v>
      </c>
      <c r="N516" t="s">
        <v>161</v>
      </c>
      <c r="Q516" s="39" t="s">
        <v>841</v>
      </c>
      <c r="U516" t="s">
        <v>854</v>
      </c>
      <c r="W516" t="s">
        <v>855</v>
      </c>
      <c r="X516">
        <v>7</v>
      </c>
      <c r="AA516" s="48">
        <v>307.5</v>
      </c>
      <c r="AC516" s="48">
        <v>307.5</v>
      </c>
      <c r="AF516" s="34">
        <f t="shared" si="36"/>
        <v>45392</v>
      </c>
      <c r="AG516" s="34">
        <f t="shared" si="37"/>
        <v>47217</v>
      </c>
      <c r="AH516" t="s">
        <v>857</v>
      </c>
      <c r="AK516">
        <v>16</v>
      </c>
      <c r="AL516">
        <v>112</v>
      </c>
      <c r="AM516">
        <v>10</v>
      </c>
      <c r="AN516" s="48">
        <v>307.5</v>
      </c>
    </row>
    <row r="517" spans="2:40">
      <c r="B517" s="39" t="s">
        <v>692</v>
      </c>
      <c r="C517" s="44" t="s">
        <v>81</v>
      </c>
      <c r="D517" t="s">
        <v>164</v>
      </c>
      <c r="E517" t="s">
        <v>83</v>
      </c>
      <c r="F517" s="42">
        <v>45063</v>
      </c>
      <c r="G517" s="34">
        <f t="shared" si="34"/>
        <v>45183</v>
      </c>
      <c r="H517" t="s">
        <v>169</v>
      </c>
      <c r="I517" s="34">
        <f t="shared" si="35"/>
        <v>45183</v>
      </c>
      <c r="J517" t="s">
        <v>161</v>
      </c>
      <c r="K517" t="s">
        <v>853</v>
      </c>
      <c r="L517" t="s">
        <v>163</v>
      </c>
      <c r="M517" s="39" t="s">
        <v>692</v>
      </c>
      <c r="N517" t="s">
        <v>161</v>
      </c>
      <c r="Q517" s="39" t="s">
        <v>841</v>
      </c>
      <c r="U517" t="s">
        <v>854</v>
      </c>
      <c r="W517" t="s">
        <v>855</v>
      </c>
      <c r="X517">
        <v>7</v>
      </c>
      <c r="AA517" s="48">
        <v>307.5</v>
      </c>
      <c r="AC517" s="48">
        <v>307.5</v>
      </c>
      <c r="AF517" s="34">
        <f t="shared" si="36"/>
        <v>45392</v>
      </c>
      <c r="AG517" s="34">
        <f t="shared" si="37"/>
        <v>47217</v>
      </c>
      <c r="AH517" t="s">
        <v>857</v>
      </c>
      <c r="AK517">
        <v>16</v>
      </c>
      <c r="AL517">
        <v>112</v>
      </c>
      <c r="AM517">
        <v>10</v>
      </c>
      <c r="AN517" s="48">
        <v>307.5</v>
      </c>
    </row>
    <row r="518" spans="2:40">
      <c r="B518" s="39" t="s">
        <v>695</v>
      </c>
      <c r="C518" s="44" t="s">
        <v>81</v>
      </c>
      <c r="D518" t="s">
        <v>164</v>
      </c>
      <c r="E518" t="s">
        <v>83</v>
      </c>
      <c r="F518" s="42">
        <v>45054</v>
      </c>
      <c r="G518" s="34">
        <f t="shared" ref="G518:G529" si="38">+F518+120</f>
        <v>45174</v>
      </c>
      <c r="H518" t="s">
        <v>169</v>
      </c>
      <c r="I518" s="34">
        <f t="shared" ref="I518:I529" si="39">+G518</f>
        <v>45174</v>
      </c>
      <c r="J518" t="s">
        <v>161</v>
      </c>
      <c r="K518" t="s">
        <v>853</v>
      </c>
      <c r="L518" t="s">
        <v>163</v>
      </c>
      <c r="M518" s="39" t="s">
        <v>695</v>
      </c>
      <c r="N518" t="s">
        <v>161</v>
      </c>
      <c r="Q518" s="39" t="s">
        <v>842</v>
      </c>
      <c r="U518" t="s">
        <v>854</v>
      </c>
      <c r="W518" t="s">
        <v>855</v>
      </c>
      <c r="X518">
        <v>7</v>
      </c>
      <c r="AA518" s="48">
        <v>307.5</v>
      </c>
      <c r="AC518" s="48">
        <v>307.5</v>
      </c>
      <c r="AF518" s="34">
        <f t="shared" si="36"/>
        <v>45383</v>
      </c>
      <c r="AG518" s="34">
        <f t="shared" si="37"/>
        <v>47208</v>
      </c>
      <c r="AH518" t="s">
        <v>857</v>
      </c>
      <c r="AK518">
        <v>16</v>
      </c>
      <c r="AL518">
        <v>112</v>
      </c>
      <c r="AM518">
        <v>10</v>
      </c>
      <c r="AN518" s="48">
        <v>307.5</v>
      </c>
    </row>
    <row r="519" spans="2:40">
      <c r="B519" s="39" t="s">
        <v>696</v>
      </c>
      <c r="C519" s="44" t="s">
        <v>81</v>
      </c>
      <c r="D519" t="s">
        <v>164</v>
      </c>
      <c r="E519" t="s">
        <v>83</v>
      </c>
      <c r="F519" s="42">
        <v>45053</v>
      </c>
      <c r="G519" s="34">
        <f t="shared" si="38"/>
        <v>45173</v>
      </c>
      <c r="H519" t="s">
        <v>169</v>
      </c>
      <c r="I519" s="34">
        <f t="shared" si="39"/>
        <v>45173</v>
      </c>
      <c r="J519" t="s">
        <v>161</v>
      </c>
      <c r="K519" t="s">
        <v>853</v>
      </c>
      <c r="L519" t="s">
        <v>163</v>
      </c>
      <c r="M519" s="39" t="s">
        <v>696</v>
      </c>
      <c r="N519" t="s">
        <v>161</v>
      </c>
      <c r="Q519" s="39" t="s">
        <v>843</v>
      </c>
      <c r="U519" t="s">
        <v>854</v>
      </c>
      <c r="W519" t="s">
        <v>855</v>
      </c>
      <c r="X519">
        <v>7</v>
      </c>
      <c r="AA519" s="48">
        <v>307.5</v>
      </c>
      <c r="AC519" s="48">
        <v>307.5</v>
      </c>
      <c r="AF519" s="34">
        <f t="shared" si="36"/>
        <v>45382</v>
      </c>
      <c r="AG519" s="34">
        <f t="shared" si="37"/>
        <v>47207</v>
      </c>
      <c r="AH519" t="s">
        <v>857</v>
      </c>
      <c r="AK519">
        <v>16</v>
      </c>
      <c r="AL519">
        <v>112</v>
      </c>
      <c r="AM519">
        <v>10</v>
      </c>
      <c r="AN519" s="48">
        <v>307.5</v>
      </c>
    </row>
    <row r="520" spans="2:40">
      <c r="B520" s="39" t="s">
        <v>697</v>
      </c>
      <c r="C520" s="44" t="s">
        <v>81</v>
      </c>
      <c r="D520" t="s">
        <v>164</v>
      </c>
      <c r="E520" t="s">
        <v>83</v>
      </c>
      <c r="F520" s="42">
        <v>45035</v>
      </c>
      <c r="G520" s="34">
        <f t="shared" si="38"/>
        <v>45155</v>
      </c>
      <c r="H520" t="s">
        <v>169</v>
      </c>
      <c r="I520" s="34">
        <f t="shared" si="39"/>
        <v>45155</v>
      </c>
      <c r="J520" t="s">
        <v>161</v>
      </c>
      <c r="K520" t="s">
        <v>853</v>
      </c>
      <c r="L520" t="s">
        <v>163</v>
      </c>
      <c r="M520" s="39" t="s">
        <v>697</v>
      </c>
      <c r="N520" t="s">
        <v>161</v>
      </c>
      <c r="Q520" s="39" t="s">
        <v>844</v>
      </c>
      <c r="U520" t="s">
        <v>854</v>
      </c>
      <c r="W520" t="s">
        <v>855</v>
      </c>
      <c r="X520">
        <v>7</v>
      </c>
      <c r="AA520" s="48">
        <v>307.5</v>
      </c>
      <c r="AC520" s="48">
        <v>307.5</v>
      </c>
      <c r="AF520" s="34">
        <f t="shared" si="36"/>
        <v>45364</v>
      </c>
      <c r="AG520" s="34">
        <f t="shared" si="37"/>
        <v>47189</v>
      </c>
      <c r="AH520" t="s">
        <v>857</v>
      </c>
      <c r="AK520">
        <v>16</v>
      </c>
      <c r="AL520">
        <v>112</v>
      </c>
      <c r="AM520">
        <v>10</v>
      </c>
      <c r="AN520" s="48">
        <v>307.5</v>
      </c>
    </row>
    <row r="521" spans="2:40">
      <c r="B521" s="39" t="s">
        <v>698</v>
      </c>
      <c r="C521" s="44" t="s">
        <v>81</v>
      </c>
      <c r="D521" t="s">
        <v>164</v>
      </c>
      <c r="E521" t="s">
        <v>83</v>
      </c>
      <c r="F521" s="42">
        <v>45000</v>
      </c>
      <c r="G521" s="34">
        <f t="shared" si="38"/>
        <v>45120</v>
      </c>
      <c r="H521" t="s">
        <v>169</v>
      </c>
      <c r="I521" s="34">
        <f t="shared" si="39"/>
        <v>45120</v>
      </c>
      <c r="J521" t="s">
        <v>161</v>
      </c>
      <c r="K521" t="s">
        <v>853</v>
      </c>
      <c r="L521" t="s">
        <v>163</v>
      </c>
      <c r="M521" s="39" t="s">
        <v>698</v>
      </c>
      <c r="N521" t="s">
        <v>161</v>
      </c>
      <c r="Q521" s="39" t="s">
        <v>845</v>
      </c>
      <c r="U521" t="s">
        <v>854</v>
      </c>
      <c r="W521" t="s">
        <v>855</v>
      </c>
      <c r="X521">
        <v>8</v>
      </c>
      <c r="AA521" s="48">
        <v>307.5</v>
      </c>
      <c r="AC521" s="48">
        <v>307.5</v>
      </c>
      <c r="AF521" s="34">
        <f t="shared" si="36"/>
        <v>45329</v>
      </c>
      <c r="AG521" s="34">
        <f t="shared" si="37"/>
        <v>47154</v>
      </c>
      <c r="AH521" t="s">
        <v>857</v>
      </c>
      <c r="AK521">
        <v>16</v>
      </c>
      <c r="AL521">
        <v>112</v>
      </c>
      <c r="AM521">
        <v>10</v>
      </c>
      <c r="AN521" s="48">
        <v>307.5</v>
      </c>
    </row>
    <row r="522" spans="2:40">
      <c r="B522" s="39" t="s">
        <v>699</v>
      </c>
      <c r="C522" s="44" t="s">
        <v>81</v>
      </c>
      <c r="D522" t="s">
        <v>164</v>
      </c>
      <c r="E522" t="s">
        <v>83</v>
      </c>
      <c r="F522" s="42">
        <v>44968</v>
      </c>
      <c r="G522" s="34">
        <f t="shared" si="38"/>
        <v>45088</v>
      </c>
      <c r="H522" t="s">
        <v>169</v>
      </c>
      <c r="I522" s="34">
        <f t="shared" si="39"/>
        <v>45088</v>
      </c>
      <c r="J522" t="s">
        <v>161</v>
      </c>
      <c r="K522" t="s">
        <v>853</v>
      </c>
      <c r="L522" t="s">
        <v>163</v>
      </c>
      <c r="M522" s="39" t="s">
        <v>699</v>
      </c>
      <c r="N522" t="s">
        <v>161</v>
      </c>
      <c r="Q522" s="39" t="s">
        <v>846</v>
      </c>
      <c r="U522" t="s">
        <v>854</v>
      </c>
      <c r="W522" t="s">
        <v>855</v>
      </c>
      <c r="X522">
        <v>8</v>
      </c>
      <c r="AA522" s="48">
        <v>307.5</v>
      </c>
      <c r="AC522" s="48">
        <v>307.5</v>
      </c>
      <c r="AF522" s="34">
        <f t="shared" ref="AF522:AF529" si="40">+F522+(47*7)</f>
        <v>45297</v>
      </c>
      <c r="AG522" s="34">
        <f t="shared" ref="AG522:AG529" si="41">+AF522+(365*5)</f>
        <v>47122</v>
      </c>
      <c r="AH522" t="s">
        <v>857</v>
      </c>
      <c r="AK522">
        <v>16</v>
      </c>
      <c r="AL522">
        <v>112</v>
      </c>
      <c r="AM522">
        <v>10</v>
      </c>
      <c r="AN522" s="48">
        <v>307.5</v>
      </c>
    </row>
    <row r="523" spans="2:40">
      <c r="B523" s="39" t="s">
        <v>700</v>
      </c>
      <c r="C523" s="44" t="s">
        <v>81</v>
      </c>
      <c r="D523" t="s">
        <v>164</v>
      </c>
      <c r="E523" t="s">
        <v>83</v>
      </c>
      <c r="F523" s="42">
        <v>44930</v>
      </c>
      <c r="G523" s="34">
        <f t="shared" si="38"/>
        <v>45050</v>
      </c>
      <c r="H523" t="s">
        <v>169</v>
      </c>
      <c r="I523" s="34">
        <f t="shared" si="39"/>
        <v>45050</v>
      </c>
      <c r="J523" t="s">
        <v>161</v>
      </c>
      <c r="K523" t="s">
        <v>853</v>
      </c>
      <c r="L523" t="s">
        <v>163</v>
      </c>
      <c r="M523" s="39" t="s">
        <v>700</v>
      </c>
      <c r="N523" t="s">
        <v>161</v>
      </c>
      <c r="Q523" s="39" t="s">
        <v>847</v>
      </c>
      <c r="U523" t="s">
        <v>854</v>
      </c>
      <c r="W523" t="s">
        <v>855</v>
      </c>
      <c r="X523">
        <v>8</v>
      </c>
      <c r="AA523" s="48">
        <v>307.5</v>
      </c>
      <c r="AC523" s="48">
        <v>307.5</v>
      </c>
      <c r="AF523" s="34">
        <f t="shared" si="40"/>
        <v>45259</v>
      </c>
      <c r="AG523" s="34">
        <f t="shared" si="41"/>
        <v>47084</v>
      </c>
      <c r="AH523" t="s">
        <v>857</v>
      </c>
      <c r="AK523">
        <v>16</v>
      </c>
      <c r="AL523">
        <v>112</v>
      </c>
      <c r="AM523">
        <v>10</v>
      </c>
      <c r="AN523" s="48">
        <v>307.5</v>
      </c>
    </row>
    <row r="524" spans="2:40">
      <c r="B524" s="39" t="s">
        <v>701</v>
      </c>
      <c r="C524" s="44" t="s">
        <v>81</v>
      </c>
      <c r="D524" t="s">
        <v>164</v>
      </c>
      <c r="E524" t="s">
        <v>83</v>
      </c>
      <c r="F524" s="42">
        <v>44916</v>
      </c>
      <c r="G524" s="34">
        <f t="shared" si="38"/>
        <v>45036</v>
      </c>
      <c r="H524" t="s">
        <v>169</v>
      </c>
      <c r="I524" s="34">
        <f t="shared" si="39"/>
        <v>45036</v>
      </c>
      <c r="J524" t="s">
        <v>161</v>
      </c>
      <c r="K524" t="s">
        <v>853</v>
      </c>
      <c r="L524" t="s">
        <v>163</v>
      </c>
      <c r="M524" s="39" t="s">
        <v>701</v>
      </c>
      <c r="N524" t="s">
        <v>161</v>
      </c>
      <c r="Q524" s="39" t="s">
        <v>848</v>
      </c>
      <c r="U524" t="s">
        <v>854</v>
      </c>
      <c r="W524" t="s">
        <v>855</v>
      </c>
      <c r="X524">
        <v>8</v>
      </c>
      <c r="AA524" s="48">
        <v>307.5</v>
      </c>
      <c r="AC524" s="48">
        <v>307.5</v>
      </c>
      <c r="AF524" s="34">
        <f t="shared" si="40"/>
        <v>45245</v>
      </c>
      <c r="AG524" s="34">
        <f t="shared" si="41"/>
        <v>47070</v>
      </c>
      <c r="AH524" t="s">
        <v>857</v>
      </c>
      <c r="AK524">
        <v>16</v>
      </c>
      <c r="AL524">
        <v>112</v>
      </c>
      <c r="AM524">
        <v>10</v>
      </c>
      <c r="AN524" s="48">
        <v>307.5</v>
      </c>
    </row>
    <row r="525" spans="2:40">
      <c r="B525" s="39" t="s">
        <v>702</v>
      </c>
      <c r="C525" s="44" t="s">
        <v>81</v>
      </c>
      <c r="D525" t="s">
        <v>164</v>
      </c>
      <c r="E525" t="s">
        <v>83</v>
      </c>
      <c r="F525" s="42">
        <v>44891</v>
      </c>
      <c r="G525" s="34">
        <f t="shared" si="38"/>
        <v>45011</v>
      </c>
      <c r="H525" t="s">
        <v>169</v>
      </c>
      <c r="I525" s="34">
        <f t="shared" si="39"/>
        <v>45011</v>
      </c>
      <c r="J525" t="s">
        <v>161</v>
      </c>
      <c r="K525" t="s">
        <v>853</v>
      </c>
      <c r="L525" t="s">
        <v>163</v>
      </c>
      <c r="M525" s="39" t="s">
        <v>702</v>
      </c>
      <c r="N525" t="s">
        <v>161</v>
      </c>
      <c r="Q525" s="39" t="s">
        <v>849</v>
      </c>
      <c r="U525" t="s">
        <v>854</v>
      </c>
      <c r="W525" t="s">
        <v>855</v>
      </c>
      <c r="X525">
        <v>8</v>
      </c>
      <c r="AA525" s="48">
        <v>307.5</v>
      </c>
      <c r="AC525" s="48">
        <v>307.5</v>
      </c>
      <c r="AF525" s="34">
        <f t="shared" si="40"/>
        <v>45220</v>
      </c>
      <c r="AG525" s="34">
        <f t="shared" si="41"/>
        <v>47045</v>
      </c>
      <c r="AH525" t="s">
        <v>857</v>
      </c>
      <c r="AK525">
        <v>16</v>
      </c>
      <c r="AL525">
        <v>112</v>
      </c>
      <c r="AM525">
        <v>10</v>
      </c>
      <c r="AN525" s="48">
        <v>307.5</v>
      </c>
    </row>
    <row r="526" spans="2:40">
      <c r="B526" s="39" t="s">
        <v>703</v>
      </c>
      <c r="C526" s="44" t="s">
        <v>81</v>
      </c>
      <c r="D526" t="s">
        <v>164</v>
      </c>
      <c r="E526" t="s">
        <v>83</v>
      </c>
      <c r="F526" s="42">
        <v>44887</v>
      </c>
      <c r="G526" s="34">
        <f t="shared" si="38"/>
        <v>45007</v>
      </c>
      <c r="H526" t="s">
        <v>169</v>
      </c>
      <c r="I526" s="34">
        <f t="shared" si="39"/>
        <v>45007</v>
      </c>
      <c r="J526" t="s">
        <v>161</v>
      </c>
      <c r="K526" t="s">
        <v>853</v>
      </c>
      <c r="L526" t="s">
        <v>163</v>
      </c>
      <c r="M526" s="39" t="s">
        <v>703</v>
      </c>
      <c r="N526" t="s">
        <v>161</v>
      </c>
      <c r="Q526" s="39" t="s">
        <v>843</v>
      </c>
      <c r="U526" t="s">
        <v>854</v>
      </c>
      <c r="W526" t="s">
        <v>855</v>
      </c>
      <c r="X526">
        <v>8</v>
      </c>
      <c r="AA526" s="48">
        <v>307.5</v>
      </c>
      <c r="AC526" s="48">
        <v>307.5</v>
      </c>
      <c r="AF526" s="34">
        <f t="shared" si="40"/>
        <v>45216</v>
      </c>
      <c r="AG526" s="34">
        <f t="shared" si="41"/>
        <v>47041</v>
      </c>
      <c r="AH526" t="s">
        <v>857</v>
      </c>
      <c r="AK526">
        <v>16</v>
      </c>
      <c r="AL526">
        <v>112</v>
      </c>
      <c r="AM526">
        <v>10</v>
      </c>
      <c r="AN526" s="48">
        <v>307.5</v>
      </c>
    </row>
    <row r="527" spans="2:40">
      <c r="B527" s="39" t="s">
        <v>704</v>
      </c>
      <c r="C527" s="44" t="s">
        <v>81</v>
      </c>
      <c r="D527" t="s">
        <v>164</v>
      </c>
      <c r="E527" t="s">
        <v>83</v>
      </c>
      <c r="F527" s="42">
        <v>44877</v>
      </c>
      <c r="G527" s="34">
        <f t="shared" si="38"/>
        <v>44997</v>
      </c>
      <c r="H527" t="s">
        <v>169</v>
      </c>
      <c r="I527" s="34">
        <f t="shared" si="39"/>
        <v>44997</v>
      </c>
      <c r="J527" t="s">
        <v>161</v>
      </c>
      <c r="K527" t="s">
        <v>853</v>
      </c>
      <c r="L527" t="s">
        <v>163</v>
      </c>
      <c r="M527" s="39" t="s">
        <v>704</v>
      </c>
      <c r="N527" t="s">
        <v>161</v>
      </c>
      <c r="Q527" s="39" t="s">
        <v>850</v>
      </c>
      <c r="U527" t="s">
        <v>854</v>
      </c>
      <c r="W527" t="s">
        <v>855</v>
      </c>
      <c r="X527">
        <v>8</v>
      </c>
      <c r="AA527" s="48">
        <v>307.5</v>
      </c>
      <c r="AC527" s="48">
        <v>307.5</v>
      </c>
      <c r="AF527" s="34">
        <f t="shared" si="40"/>
        <v>45206</v>
      </c>
      <c r="AG527" s="34">
        <f t="shared" si="41"/>
        <v>47031</v>
      </c>
      <c r="AH527" t="s">
        <v>857</v>
      </c>
      <c r="AK527">
        <v>16</v>
      </c>
      <c r="AL527">
        <v>112</v>
      </c>
      <c r="AM527">
        <v>10</v>
      </c>
      <c r="AN527" s="48">
        <v>307.5</v>
      </c>
    </row>
    <row r="528" spans="2:40">
      <c r="B528" s="39" t="s">
        <v>705</v>
      </c>
      <c r="C528" s="44" t="s">
        <v>81</v>
      </c>
      <c r="D528" t="s">
        <v>164</v>
      </c>
      <c r="E528" t="s">
        <v>83</v>
      </c>
      <c r="F528" s="42">
        <v>44877</v>
      </c>
      <c r="G528" s="34">
        <f t="shared" si="38"/>
        <v>44997</v>
      </c>
      <c r="H528" t="s">
        <v>169</v>
      </c>
      <c r="I528" s="34">
        <f t="shared" si="39"/>
        <v>44997</v>
      </c>
      <c r="J528" t="s">
        <v>161</v>
      </c>
      <c r="K528" t="s">
        <v>853</v>
      </c>
      <c r="L528" t="s">
        <v>163</v>
      </c>
      <c r="M528" s="39" t="s">
        <v>705</v>
      </c>
      <c r="N528" t="s">
        <v>161</v>
      </c>
      <c r="Q528" s="39" t="s">
        <v>851</v>
      </c>
      <c r="U528" t="s">
        <v>854</v>
      </c>
      <c r="W528" t="s">
        <v>855</v>
      </c>
      <c r="X528">
        <v>9</v>
      </c>
      <c r="AA528" s="48">
        <v>307.5</v>
      </c>
      <c r="AC528" s="48">
        <v>307.5</v>
      </c>
      <c r="AF528" s="34">
        <f t="shared" si="40"/>
        <v>45206</v>
      </c>
      <c r="AG528" s="34">
        <f t="shared" si="41"/>
        <v>47031</v>
      </c>
      <c r="AH528" t="s">
        <v>857</v>
      </c>
      <c r="AK528">
        <v>16</v>
      </c>
      <c r="AL528">
        <v>112</v>
      </c>
      <c r="AM528">
        <v>10</v>
      </c>
      <c r="AN528" s="48">
        <v>307.5</v>
      </c>
    </row>
    <row r="529" spans="2:39">
      <c r="B529" s="39" t="s">
        <v>706</v>
      </c>
      <c r="C529" s="44" t="s">
        <v>81</v>
      </c>
      <c r="D529" t="s">
        <v>164</v>
      </c>
      <c r="E529" t="s">
        <v>83</v>
      </c>
      <c r="F529" s="42">
        <v>44694</v>
      </c>
      <c r="G529" s="34">
        <f t="shared" si="38"/>
        <v>44814</v>
      </c>
      <c r="H529" t="s">
        <v>169</v>
      </c>
      <c r="I529" s="34">
        <f t="shared" si="39"/>
        <v>44814</v>
      </c>
      <c r="J529" t="s">
        <v>161</v>
      </c>
      <c r="K529" t="s">
        <v>853</v>
      </c>
      <c r="L529" t="s">
        <v>163</v>
      </c>
      <c r="M529" s="39" t="s">
        <v>706</v>
      </c>
      <c r="N529" t="s">
        <v>161</v>
      </c>
      <c r="Q529" s="39" t="s">
        <v>852</v>
      </c>
      <c r="U529" t="s">
        <v>854</v>
      </c>
      <c r="W529" t="s">
        <v>855</v>
      </c>
      <c r="X529">
        <v>10</v>
      </c>
      <c r="AA529" s="48"/>
      <c r="AC529" s="48"/>
      <c r="AF529" s="34">
        <f t="shared" si="40"/>
        <v>45023</v>
      </c>
      <c r="AG529" s="34">
        <f t="shared" si="41"/>
        <v>46848</v>
      </c>
      <c r="AH529" t="s">
        <v>857</v>
      </c>
      <c r="AK529">
        <v>16</v>
      </c>
      <c r="AL529">
        <v>112</v>
      </c>
      <c r="AM529">
        <v>10</v>
      </c>
    </row>
    <row r="530" spans="2:39">
      <c r="AA530" s="48"/>
      <c r="AC530" s="48"/>
    </row>
    <row r="531" spans="2:39">
      <c r="AA531" s="48"/>
      <c r="AC531" s="48"/>
    </row>
    <row r="532" spans="2:39">
      <c r="AA532" s="48"/>
      <c r="AC532" s="48"/>
    </row>
    <row r="533" spans="2:39">
      <c r="AA533" s="48"/>
      <c r="AC533" s="48"/>
    </row>
    <row r="534" spans="2:39">
      <c r="AA534" s="48"/>
      <c r="AC534" s="48"/>
    </row>
    <row r="535" spans="2:39">
      <c r="AA535" s="48"/>
      <c r="AC535" s="48"/>
    </row>
    <row r="536" spans="2:39">
      <c r="AA536" s="48"/>
      <c r="AC536" s="48"/>
    </row>
    <row r="537" spans="2:39">
      <c r="AA537" s="48"/>
      <c r="AC537" s="48"/>
    </row>
    <row r="538" spans="2:39">
      <c r="AA538" s="48"/>
      <c r="AC538" s="48"/>
    </row>
    <row r="539" spans="2:39">
      <c r="AA539" s="48"/>
      <c r="AC539" s="48"/>
    </row>
    <row r="540" spans="2:39">
      <c r="AA540" s="48"/>
      <c r="AC540" s="48"/>
    </row>
    <row r="541" spans="2:39">
      <c r="AA541" s="48"/>
      <c r="AC541" s="48"/>
    </row>
    <row r="542" spans="2:39">
      <c r="AA542" s="48"/>
      <c r="AC542" s="48"/>
    </row>
    <row r="543" spans="2:39">
      <c r="AA543" s="48"/>
      <c r="AC543" s="48"/>
    </row>
    <row r="544" spans="2:39">
      <c r="AA544" s="48"/>
      <c r="AC544" s="48"/>
    </row>
    <row r="545" spans="27:29">
      <c r="AA545" s="48"/>
      <c r="AC545" s="48"/>
    </row>
    <row r="546" spans="27:29">
      <c r="AA546" s="48"/>
      <c r="AC546" s="48"/>
    </row>
    <row r="547" spans="27:29">
      <c r="AA547" s="48"/>
      <c r="AC547" s="48"/>
    </row>
    <row r="548" spans="27:29">
      <c r="AA548" s="48"/>
      <c r="AC548" s="48"/>
    </row>
    <row r="549" spans="27:29">
      <c r="AA549" s="48"/>
      <c r="AC549" s="48"/>
    </row>
    <row r="550" spans="27:29">
      <c r="AA550" s="48"/>
      <c r="AC550" s="48"/>
    </row>
    <row r="551" spans="27:29">
      <c r="AA551" s="48"/>
      <c r="AC551" s="48"/>
    </row>
    <row r="552" spans="27:29">
      <c r="AA552" s="48"/>
      <c r="AC552" s="48"/>
    </row>
    <row r="553" spans="27:29">
      <c r="AA553" s="48"/>
      <c r="AC553" s="48"/>
    </row>
    <row r="554" spans="27:29">
      <c r="AA554" s="48"/>
      <c r="AC554" s="48"/>
    </row>
    <row r="555" spans="27:29">
      <c r="AA555" s="48"/>
      <c r="AC555" s="48"/>
    </row>
    <row r="556" spans="27:29">
      <c r="AA556" s="48"/>
      <c r="AC556" s="48"/>
    </row>
    <row r="557" spans="27:29">
      <c r="AA557" s="48"/>
      <c r="AC557" s="48"/>
    </row>
    <row r="558" spans="27:29">
      <c r="AA558" s="48"/>
      <c r="AC558" s="48"/>
    </row>
    <row r="559" spans="27:29">
      <c r="AA559" s="48"/>
      <c r="AC559" s="48"/>
    </row>
    <row r="560" spans="27:29">
      <c r="AA560" s="48"/>
      <c r="AC560" s="48"/>
    </row>
    <row r="561" spans="27:29">
      <c r="AA561" s="48"/>
      <c r="AC561" s="48"/>
    </row>
    <row r="562" spans="27:29">
      <c r="AA562" s="48"/>
      <c r="AC562" s="48"/>
    </row>
    <row r="563" spans="27:29">
      <c r="AA563" s="48"/>
      <c r="AC563" s="48"/>
    </row>
    <row r="564" spans="27:29">
      <c r="AA564" s="48"/>
      <c r="AC564" s="48"/>
    </row>
    <row r="565" spans="27:29">
      <c r="AA565" s="48"/>
      <c r="AC565" s="48"/>
    </row>
    <row r="566" spans="27:29">
      <c r="AA566" s="48"/>
      <c r="AC566" s="48"/>
    </row>
    <row r="567" spans="27:29">
      <c r="AA567" s="48"/>
      <c r="AC567" s="48"/>
    </row>
    <row r="568" spans="27:29">
      <c r="AA568" s="48"/>
      <c r="AC568" s="48"/>
    </row>
    <row r="569" spans="27:29">
      <c r="AA569" s="48"/>
      <c r="AC569" s="48"/>
    </row>
    <row r="570" spans="27:29">
      <c r="AA570" s="48"/>
      <c r="AC570" s="48"/>
    </row>
    <row r="571" spans="27:29">
      <c r="AA571" s="48"/>
      <c r="AC571" s="48"/>
    </row>
    <row r="572" spans="27:29">
      <c r="AA572" s="48"/>
      <c r="AC572" s="48"/>
    </row>
    <row r="573" spans="27:29">
      <c r="AA573" s="48"/>
      <c r="AC573" s="48"/>
    </row>
    <row r="574" spans="27:29">
      <c r="AA574" s="48"/>
      <c r="AC574" s="48"/>
    </row>
    <row r="575" spans="27:29">
      <c r="AA575" s="48"/>
      <c r="AC575" s="48"/>
    </row>
    <row r="576" spans="27:29">
      <c r="AA576" s="48"/>
      <c r="AC576" s="48"/>
    </row>
    <row r="577" spans="27:29">
      <c r="AA577" s="48"/>
      <c r="AC577" s="48"/>
    </row>
    <row r="578" spans="27:29">
      <c r="AA578" s="48"/>
      <c r="AC578" s="48"/>
    </row>
    <row r="579" spans="27:29">
      <c r="AA579" s="48"/>
      <c r="AC579" s="48"/>
    </row>
    <row r="580" spans="27:29">
      <c r="AA580" s="48"/>
      <c r="AC580" s="48"/>
    </row>
    <row r="581" spans="27:29">
      <c r="AA581" s="48"/>
      <c r="AC581" s="48"/>
    </row>
    <row r="582" spans="27:29">
      <c r="AA582" s="48"/>
      <c r="AC582" s="48"/>
    </row>
    <row r="583" spans="27:29">
      <c r="AA583" s="48"/>
      <c r="AC583" s="48"/>
    </row>
    <row r="584" spans="27:29">
      <c r="AA584" s="48"/>
      <c r="AC584" s="48"/>
    </row>
    <row r="585" spans="27:29">
      <c r="AA585" s="48"/>
      <c r="AC585" s="48"/>
    </row>
    <row r="586" spans="27:29">
      <c r="AA586" s="48"/>
      <c r="AC586" s="48"/>
    </row>
    <row r="587" spans="27:29">
      <c r="AA587" s="48"/>
      <c r="AC587" s="48"/>
    </row>
    <row r="588" spans="27:29">
      <c r="AA588" s="48"/>
      <c r="AC588" s="48"/>
    </row>
    <row r="589" spans="27:29">
      <c r="AA589" s="48"/>
      <c r="AC589" s="48"/>
    </row>
    <row r="590" spans="27:29">
      <c r="AA590" s="48"/>
      <c r="AC590" s="48"/>
    </row>
    <row r="591" spans="27:29">
      <c r="AA591" s="48"/>
      <c r="AC591" s="48"/>
    </row>
    <row r="592" spans="27:29">
      <c r="AA592" s="48"/>
      <c r="AC592" s="48"/>
    </row>
    <row r="593" spans="27:29">
      <c r="AA593" s="48"/>
      <c r="AC593" s="48"/>
    </row>
    <row r="594" spans="27:29">
      <c r="AA594" s="48"/>
      <c r="AC594" s="48"/>
    </row>
    <row r="595" spans="27:29">
      <c r="AA595" s="48"/>
      <c r="AC595" s="48"/>
    </row>
    <row r="596" spans="27:29">
      <c r="AA596" s="48"/>
      <c r="AC596" s="48"/>
    </row>
    <row r="597" spans="27:29">
      <c r="AA597" s="48"/>
      <c r="AC597" s="48"/>
    </row>
    <row r="598" spans="27:29">
      <c r="AA598" s="48"/>
      <c r="AC598" s="48"/>
    </row>
    <row r="599" spans="27:29">
      <c r="AA599" s="48"/>
      <c r="AC599" s="48"/>
    </row>
    <row r="600" spans="27:29">
      <c r="AA600" s="48"/>
      <c r="AC600" s="48"/>
    </row>
    <row r="601" spans="27:29">
      <c r="AA601" s="48"/>
      <c r="AC601" s="48"/>
    </row>
    <row r="602" spans="27:29">
      <c r="AA602" s="48"/>
      <c r="AC602" s="48"/>
    </row>
    <row r="603" spans="27:29">
      <c r="AA603" s="48"/>
      <c r="AC603" s="48"/>
    </row>
    <row r="604" spans="27:29">
      <c r="AA604" s="48"/>
      <c r="AC604" s="48"/>
    </row>
    <row r="605" spans="27:29">
      <c r="AA605" s="48"/>
      <c r="AC605" s="48"/>
    </row>
    <row r="606" spans="27:29">
      <c r="AA606" s="48"/>
      <c r="AC606" s="48"/>
    </row>
    <row r="607" spans="27:29">
      <c r="AA607" s="48"/>
      <c r="AC607" s="48"/>
    </row>
    <row r="608" spans="27:29">
      <c r="AA608" s="48"/>
      <c r="AC608" s="48"/>
    </row>
    <row r="609" spans="27:29">
      <c r="AA609" s="48"/>
      <c r="AC609" s="48"/>
    </row>
    <row r="610" spans="27:29">
      <c r="AA610" s="48"/>
      <c r="AC610" s="48"/>
    </row>
    <row r="611" spans="27:29">
      <c r="AA611" s="48"/>
      <c r="AC611" s="48"/>
    </row>
    <row r="612" spans="27:29">
      <c r="AA612" s="48"/>
      <c r="AC612" s="48"/>
    </row>
    <row r="613" spans="27:29">
      <c r="AA613" s="48"/>
      <c r="AC613" s="48"/>
    </row>
    <row r="614" spans="27:29">
      <c r="AA614" s="48"/>
      <c r="AC614" s="48"/>
    </row>
    <row r="615" spans="27:29">
      <c r="AA615" s="48"/>
      <c r="AC615" s="48"/>
    </row>
    <row r="616" spans="27:29">
      <c r="AA616" s="48"/>
      <c r="AC616" s="48"/>
    </row>
    <row r="617" spans="27:29">
      <c r="AA617" s="48"/>
      <c r="AC617" s="48"/>
    </row>
    <row r="618" spans="27:29">
      <c r="AA618" s="48"/>
      <c r="AC618" s="48"/>
    </row>
    <row r="619" spans="27:29">
      <c r="AA619" s="48"/>
      <c r="AC619" s="48"/>
    </row>
    <row r="620" spans="27:29">
      <c r="AA620" s="48"/>
      <c r="AC620" s="48"/>
    </row>
    <row r="621" spans="27:29">
      <c r="AA621" s="48"/>
      <c r="AC621" s="48"/>
    </row>
    <row r="622" spans="27:29">
      <c r="AA622" s="48"/>
      <c r="AC622" s="48"/>
    </row>
    <row r="623" spans="27:29">
      <c r="AA623" s="48"/>
      <c r="AC623" s="48"/>
    </row>
    <row r="624" spans="27:29">
      <c r="AA624" s="48"/>
      <c r="AC624" s="48"/>
    </row>
    <row r="625" spans="27:29">
      <c r="AA625" s="48"/>
      <c r="AC625" s="48"/>
    </row>
    <row r="626" spans="27:29">
      <c r="AA626" s="48"/>
      <c r="AC626" s="48"/>
    </row>
    <row r="627" spans="27:29">
      <c r="AA627" s="48"/>
      <c r="AC627" s="48"/>
    </row>
    <row r="628" spans="27:29">
      <c r="AA628" s="48"/>
      <c r="AC628" s="48"/>
    </row>
    <row r="629" spans="27:29">
      <c r="AA629" s="48"/>
      <c r="AC629" s="48"/>
    </row>
    <row r="630" spans="27:29">
      <c r="AA630" s="48"/>
      <c r="AC630" s="48"/>
    </row>
    <row r="631" spans="27:29">
      <c r="AA631" s="48"/>
      <c r="AC631" s="48"/>
    </row>
    <row r="632" spans="27:29">
      <c r="AA632" s="48"/>
      <c r="AC632" s="48"/>
    </row>
    <row r="633" spans="27:29">
      <c r="AA633" s="48"/>
      <c r="AC633" s="48"/>
    </row>
    <row r="634" spans="27:29">
      <c r="AA634" s="48"/>
      <c r="AC634" s="48"/>
    </row>
    <row r="635" spans="27:29">
      <c r="AA635" s="48"/>
      <c r="AC635" s="48"/>
    </row>
    <row r="636" spans="27:29">
      <c r="AA636" s="48"/>
      <c r="AC636" s="48"/>
    </row>
    <row r="637" spans="27:29">
      <c r="AA637" s="48"/>
      <c r="AC637" s="48"/>
    </row>
    <row r="638" spans="27:29">
      <c r="AA638" s="48"/>
      <c r="AC638" s="48"/>
    </row>
    <row r="639" spans="27:29">
      <c r="AA639" s="48"/>
      <c r="AC639" s="48"/>
    </row>
    <row r="640" spans="27:29">
      <c r="AA640" s="48"/>
      <c r="AC640" s="48"/>
    </row>
    <row r="641" spans="27:29">
      <c r="AA641" s="48"/>
      <c r="AC641" s="48"/>
    </row>
    <row r="642" spans="27:29">
      <c r="AA642" s="48"/>
      <c r="AC642" s="48"/>
    </row>
    <row r="643" spans="27:29">
      <c r="AA643" s="48"/>
      <c r="AC643" s="48"/>
    </row>
    <row r="644" spans="27:29">
      <c r="AA644" s="48"/>
      <c r="AC644" s="48"/>
    </row>
    <row r="645" spans="27:29">
      <c r="AA645" s="48"/>
      <c r="AC645" s="48"/>
    </row>
    <row r="646" spans="27:29">
      <c r="AA646" s="48"/>
      <c r="AC646" s="48"/>
    </row>
    <row r="647" spans="27:29">
      <c r="AA647" s="48"/>
      <c r="AC647" s="48"/>
    </row>
    <row r="648" spans="27:29">
      <c r="AA648" s="48"/>
      <c r="AC648" s="48"/>
    </row>
    <row r="649" spans="27:29">
      <c r="AA649" s="48"/>
      <c r="AC649" s="48"/>
    </row>
    <row r="650" spans="27:29">
      <c r="AA650" s="48"/>
      <c r="AC650" s="48"/>
    </row>
    <row r="651" spans="27:29">
      <c r="AA651" s="48"/>
      <c r="AC651" s="48"/>
    </row>
    <row r="652" spans="27:29">
      <c r="AA652" s="48"/>
      <c r="AC652" s="48"/>
    </row>
    <row r="653" spans="27:29">
      <c r="AA653" s="48"/>
      <c r="AC653" s="48"/>
    </row>
    <row r="654" spans="27:29">
      <c r="AA654" s="48"/>
      <c r="AC654" s="48"/>
    </row>
    <row r="655" spans="27:29">
      <c r="AA655" s="48"/>
      <c r="AC655" s="48"/>
    </row>
    <row r="656" spans="27:29">
      <c r="AA656" s="48"/>
      <c r="AC656" s="48"/>
    </row>
    <row r="657" spans="27:29">
      <c r="AA657" s="48"/>
      <c r="AC657" s="48"/>
    </row>
    <row r="658" spans="27:29">
      <c r="AA658" s="48"/>
      <c r="AC658" s="48"/>
    </row>
    <row r="659" spans="27:29">
      <c r="AA659" s="48"/>
      <c r="AC659" s="48"/>
    </row>
    <row r="660" spans="27:29">
      <c r="AA660" s="48"/>
      <c r="AC660" s="48"/>
    </row>
    <row r="661" spans="27:29">
      <c r="AA661" s="48"/>
      <c r="AC661" s="48"/>
    </row>
    <row r="662" spans="27:29">
      <c r="AA662" s="48"/>
      <c r="AC662" s="48"/>
    </row>
    <row r="663" spans="27:29">
      <c r="AA663" s="48"/>
      <c r="AC663" s="48"/>
    </row>
    <row r="664" spans="27:29">
      <c r="AA664" s="48"/>
      <c r="AC664" s="48"/>
    </row>
    <row r="665" spans="27:29">
      <c r="AA665" s="48"/>
      <c r="AC665" s="48"/>
    </row>
    <row r="666" spans="27:29">
      <c r="AA666" s="48"/>
      <c r="AC666" s="48"/>
    </row>
    <row r="667" spans="27:29">
      <c r="AA667" s="48"/>
      <c r="AC667" s="48"/>
    </row>
    <row r="668" spans="27:29">
      <c r="AA668" s="48"/>
      <c r="AC668" s="48"/>
    </row>
    <row r="669" spans="27:29">
      <c r="AA669" s="48"/>
      <c r="AC669" s="48"/>
    </row>
    <row r="670" spans="27:29">
      <c r="AA670" s="48"/>
      <c r="AC670" s="48"/>
    </row>
    <row r="671" spans="27:29">
      <c r="AA671" s="48"/>
      <c r="AC671" s="48"/>
    </row>
    <row r="672" spans="27:29">
      <c r="AA672" s="48"/>
      <c r="AC672" s="48"/>
    </row>
    <row r="673" spans="27:29">
      <c r="AA673" s="48"/>
      <c r="AC673" s="48"/>
    </row>
    <row r="674" spans="27:29">
      <c r="AA674" s="48"/>
      <c r="AC674" s="48"/>
    </row>
    <row r="675" spans="27:29">
      <c r="AA675" s="48"/>
      <c r="AC675" s="48"/>
    </row>
    <row r="676" spans="27:29">
      <c r="AA676" s="48"/>
      <c r="AC676" s="48"/>
    </row>
    <row r="677" spans="27:29">
      <c r="AA677" s="48"/>
      <c r="AC677" s="48"/>
    </row>
    <row r="678" spans="27:29">
      <c r="AA678" s="48"/>
      <c r="AC678" s="48"/>
    </row>
    <row r="679" spans="27:29">
      <c r="AA679" s="48"/>
      <c r="AC679" s="48"/>
    </row>
    <row r="680" spans="27:29">
      <c r="AA680" s="48"/>
      <c r="AC680" s="48"/>
    </row>
    <row r="681" spans="27:29">
      <c r="AA681" s="48"/>
      <c r="AC681" s="48"/>
    </row>
    <row r="682" spans="27:29">
      <c r="AA682" s="48"/>
      <c r="AC682" s="48"/>
    </row>
    <row r="683" spans="27:29">
      <c r="AA683" s="48"/>
      <c r="AC683" s="48"/>
    </row>
    <row r="684" spans="27:29">
      <c r="AA684" s="48"/>
      <c r="AC684" s="48"/>
    </row>
    <row r="685" spans="27:29">
      <c r="AA685" s="48"/>
      <c r="AC685" s="48"/>
    </row>
    <row r="686" spans="27:29">
      <c r="AA686" s="48"/>
      <c r="AC686" s="48"/>
    </row>
    <row r="687" spans="27:29">
      <c r="AA687" s="48"/>
      <c r="AC687" s="48"/>
    </row>
    <row r="688" spans="27:29">
      <c r="AA688" s="48"/>
      <c r="AC688" s="48"/>
    </row>
    <row r="689" spans="27:29">
      <c r="AA689" s="48"/>
      <c r="AC689" s="48"/>
    </row>
    <row r="690" spans="27:29">
      <c r="AA690" s="48"/>
      <c r="AC690" s="48"/>
    </row>
    <row r="691" spans="27:29">
      <c r="AA691" s="48"/>
      <c r="AC691" s="48"/>
    </row>
    <row r="692" spans="27:29">
      <c r="AA692" s="48"/>
      <c r="AC692" s="48"/>
    </row>
    <row r="693" spans="27:29">
      <c r="AA693" s="48"/>
      <c r="AC693" s="48"/>
    </row>
    <row r="694" spans="27:29">
      <c r="AA694" s="48"/>
      <c r="AC694" s="48"/>
    </row>
    <row r="695" spans="27:29">
      <c r="AA695" s="48"/>
      <c r="AC695" s="48"/>
    </row>
    <row r="696" spans="27:29">
      <c r="AA696" s="48"/>
      <c r="AC696" s="48"/>
    </row>
    <row r="697" spans="27:29">
      <c r="AA697" s="48"/>
      <c r="AC697" s="48"/>
    </row>
    <row r="698" spans="27:29">
      <c r="AA698" s="48"/>
      <c r="AC698" s="48"/>
    </row>
    <row r="699" spans="27:29">
      <c r="AA699" s="48"/>
      <c r="AC699" s="48"/>
    </row>
    <row r="700" spans="27:29">
      <c r="AA700" s="48"/>
      <c r="AC700" s="48"/>
    </row>
    <row r="701" spans="27:29">
      <c r="AA701" s="48"/>
      <c r="AC701" s="48"/>
    </row>
    <row r="702" spans="27:29">
      <c r="AA702" s="48"/>
      <c r="AC702" s="48"/>
    </row>
    <row r="703" spans="27:29">
      <c r="AA703" s="48"/>
      <c r="AC703" s="48"/>
    </row>
    <row r="704" spans="27:29">
      <c r="AA704" s="48"/>
      <c r="AC704" s="48"/>
    </row>
    <row r="705" spans="27:29">
      <c r="AA705" s="48"/>
      <c r="AC705" s="48"/>
    </row>
    <row r="706" spans="27:29">
      <c r="AA706" s="48"/>
      <c r="AC706" s="48"/>
    </row>
    <row r="707" spans="27:29">
      <c r="AA707" s="48"/>
      <c r="AC707" s="48"/>
    </row>
    <row r="708" spans="27:29">
      <c r="AA708" s="48"/>
      <c r="AC708" s="48"/>
    </row>
    <row r="709" spans="27:29">
      <c r="AA709" s="48"/>
      <c r="AC709" s="48"/>
    </row>
    <row r="710" spans="27:29">
      <c r="AA710" s="48"/>
      <c r="AC710" s="48"/>
    </row>
    <row r="711" spans="27:29">
      <c r="AA711" s="48"/>
      <c r="AC711" s="48"/>
    </row>
    <row r="712" spans="27:29">
      <c r="AA712" s="48"/>
      <c r="AC712" s="48"/>
    </row>
    <row r="713" spans="27:29">
      <c r="AA713" s="48"/>
      <c r="AC713" s="48"/>
    </row>
    <row r="714" spans="27:29">
      <c r="AA714" s="48"/>
      <c r="AC714" s="48"/>
    </row>
    <row r="715" spans="27:29">
      <c r="AA715" s="48"/>
      <c r="AC715" s="48"/>
    </row>
    <row r="716" spans="27:29">
      <c r="AA716" s="48"/>
      <c r="AC716" s="48"/>
    </row>
    <row r="717" spans="27:29">
      <c r="AA717" s="48"/>
      <c r="AC717" s="48"/>
    </row>
    <row r="718" spans="27:29">
      <c r="AA718" s="48"/>
      <c r="AC718" s="48"/>
    </row>
    <row r="719" spans="27:29">
      <c r="AA719" s="48"/>
      <c r="AC719" s="48"/>
    </row>
    <row r="720" spans="27:29">
      <c r="AA720" s="48"/>
      <c r="AC720" s="48"/>
    </row>
    <row r="721" spans="27:29">
      <c r="AA721" s="48"/>
      <c r="AC721" s="48"/>
    </row>
    <row r="722" spans="27:29">
      <c r="AA722" s="48"/>
      <c r="AC722" s="48"/>
    </row>
    <row r="723" spans="27:29">
      <c r="AA723" s="48"/>
      <c r="AC723" s="48"/>
    </row>
    <row r="724" spans="27:29">
      <c r="AA724" s="48"/>
      <c r="AC724" s="48"/>
    </row>
    <row r="725" spans="27:29">
      <c r="AA725" s="48"/>
      <c r="AC725" s="48"/>
    </row>
    <row r="726" spans="27:29">
      <c r="AA726" s="48"/>
      <c r="AC726" s="48"/>
    </row>
    <row r="727" spans="27:29">
      <c r="AA727" s="48"/>
      <c r="AC727" s="48"/>
    </row>
    <row r="728" spans="27:29">
      <c r="AA728" s="48"/>
      <c r="AC728" s="48"/>
    </row>
    <row r="729" spans="27:29">
      <c r="AA729" s="48"/>
      <c r="AC729" s="48"/>
    </row>
    <row r="730" spans="27:29">
      <c r="AA730" s="48"/>
      <c r="AC730" s="48"/>
    </row>
    <row r="731" spans="27:29">
      <c r="AA731" s="48"/>
      <c r="AC731" s="48"/>
    </row>
    <row r="732" spans="27:29">
      <c r="AA732" s="48"/>
      <c r="AC732" s="48"/>
    </row>
    <row r="733" spans="27:29">
      <c r="AA733" s="48"/>
      <c r="AC733" s="48"/>
    </row>
    <row r="734" spans="27:29">
      <c r="AA734" s="48"/>
      <c r="AC734" s="48"/>
    </row>
    <row r="735" spans="27:29">
      <c r="AA735" s="48"/>
      <c r="AC735" s="48"/>
    </row>
    <row r="736" spans="27:29">
      <c r="AA736" s="48"/>
      <c r="AC736" s="48"/>
    </row>
    <row r="737" spans="27:29">
      <c r="AA737" s="48"/>
      <c r="AC737" s="48"/>
    </row>
    <row r="738" spans="27:29">
      <c r="AA738" s="48"/>
      <c r="AC738" s="48"/>
    </row>
    <row r="739" spans="27:29">
      <c r="AA739" s="48"/>
      <c r="AC739" s="48"/>
    </row>
    <row r="740" spans="27:29">
      <c r="AA740" s="48"/>
      <c r="AC740" s="48"/>
    </row>
    <row r="741" spans="27:29">
      <c r="AA741" s="48"/>
      <c r="AC741" s="48"/>
    </row>
    <row r="742" spans="27:29">
      <c r="AA742" s="48"/>
      <c r="AC742" s="48"/>
    </row>
    <row r="743" spans="27:29">
      <c r="AA743" s="48"/>
      <c r="AC743" s="48"/>
    </row>
    <row r="744" spans="27:29">
      <c r="AA744" s="48"/>
      <c r="AC744" s="48"/>
    </row>
    <row r="745" spans="27:29">
      <c r="AA745" s="48"/>
      <c r="AC745" s="48"/>
    </row>
    <row r="746" spans="27:29">
      <c r="AA746" s="48"/>
      <c r="AC746" s="48"/>
    </row>
    <row r="747" spans="27:29">
      <c r="AA747" s="48"/>
      <c r="AC747" s="48"/>
    </row>
    <row r="748" spans="27:29">
      <c r="AA748" s="48"/>
      <c r="AC748" s="48"/>
    </row>
    <row r="749" spans="27:29">
      <c r="AA749" s="48"/>
      <c r="AC749" s="48"/>
    </row>
    <row r="750" spans="27:29">
      <c r="AA750" s="48"/>
      <c r="AC750" s="48"/>
    </row>
    <row r="751" spans="27:29">
      <c r="AA751" s="48"/>
      <c r="AC751" s="48"/>
    </row>
    <row r="752" spans="27:29">
      <c r="AA752" s="48"/>
      <c r="AC752" s="48"/>
    </row>
    <row r="753" spans="27:29">
      <c r="AA753" s="48"/>
      <c r="AC753" s="48"/>
    </row>
    <row r="754" spans="27:29">
      <c r="AA754" s="48"/>
      <c r="AC754" s="48"/>
    </row>
    <row r="755" spans="27:29">
      <c r="AA755" s="48"/>
      <c r="AC755" s="48"/>
    </row>
    <row r="756" spans="27:29">
      <c r="AA756" s="48"/>
      <c r="AC756" s="48"/>
    </row>
    <row r="757" spans="27:29">
      <c r="AA757" s="48"/>
      <c r="AC757" s="48"/>
    </row>
    <row r="758" spans="27:29">
      <c r="AA758" s="48"/>
      <c r="AC758" s="48"/>
    </row>
    <row r="759" spans="27:29">
      <c r="AA759" s="48"/>
      <c r="AC759" s="48"/>
    </row>
    <row r="760" spans="27:29">
      <c r="AA760" s="48"/>
      <c r="AC760" s="48"/>
    </row>
    <row r="761" spans="27:29">
      <c r="AA761" s="48"/>
      <c r="AC761" s="48"/>
    </row>
    <row r="762" spans="27:29">
      <c r="AA762" s="48"/>
      <c r="AC762" s="48"/>
    </row>
    <row r="763" spans="27:29">
      <c r="AA763" s="48"/>
      <c r="AC763" s="48"/>
    </row>
    <row r="764" spans="27:29">
      <c r="AA764" s="48"/>
      <c r="AC764" s="48"/>
    </row>
    <row r="765" spans="27:29">
      <c r="AA765" s="48"/>
      <c r="AC765" s="48"/>
    </row>
    <row r="766" spans="27:29">
      <c r="AA766" s="48"/>
      <c r="AC766" s="48"/>
    </row>
    <row r="767" spans="27:29">
      <c r="AA767" s="48"/>
      <c r="AC767" s="48"/>
    </row>
    <row r="768" spans="27:29">
      <c r="AA768" s="48"/>
      <c r="AC768" s="48"/>
    </row>
    <row r="769" spans="27:29">
      <c r="AA769" s="48"/>
      <c r="AC769" s="48"/>
    </row>
    <row r="770" spans="27:29">
      <c r="AA770" s="48"/>
      <c r="AC770" s="48"/>
    </row>
    <row r="771" spans="27:29">
      <c r="AA771" s="48"/>
      <c r="AC771" s="48"/>
    </row>
    <row r="772" spans="27:29">
      <c r="AA772" s="48"/>
      <c r="AC772" s="48"/>
    </row>
    <row r="773" spans="27:29">
      <c r="AA773" s="48"/>
      <c r="AC773" s="48"/>
    </row>
    <row r="774" spans="27:29">
      <c r="AA774" s="48"/>
      <c r="AC774" s="48"/>
    </row>
    <row r="775" spans="27:29">
      <c r="AA775" s="48"/>
      <c r="AC775" s="48"/>
    </row>
    <row r="776" spans="27:29">
      <c r="AA776" s="48"/>
      <c r="AC776" s="48"/>
    </row>
    <row r="777" spans="27:29">
      <c r="AA777" s="48"/>
      <c r="AC777" s="48"/>
    </row>
    <row r="778" spans="27:29">
      <c r="AA778" s="48"/>
      <c r="AC778" s="48"/>
    </row>
    <row r="779" spans="27:29">
      <c r="AA779" s="48"/>
      <c r="AC779" s="48"/>
    </row>
    <row r="780" spans="27:29">
      <c r="AA780" s="48"/>
      <c r="AC780" s="48"/>
    </row>
    <row r="781" spans="27:29">
      <c r="AA781" s="48"/>
      <c r="AC781" s="48"/>
    </row>
    <row r="782" spans="27:29">
      <c r="AA782" s="48"/>
      <c r="AC782" s="48"/>
    </row>
    <row r="783" spans="27:29">
      <c r="AA783" s="48"/>
      <c r="AC783" s="48"/>
    </row>
    <row r="784" spans="27:29">
      <c r="AA784" s="48"/>
      <c r="AC784" s="48"/>
    </row>
    <row r="785" spans="27:29">
      <c r="AA785" s="48"/>
      <c r="AC785" s="48"/>
    </row>
    <row r="786" spans="27:29">
      <c r="AA786" s="48"/>
      <c r="AC786" s="48"/>
    </row>
    <row r="787" spans="27:29">
      <c r="AA787" s="48"/>
      <c r="AC787" s="48"/>
    </row>
    <row r="788" spans="27:29">
      <c r="AA788" s="48"/>
      <c r="AC788" s="48"/>
    </row>
    <row r="789" spans="27:29">
      <c r="AA789" s="48"/>
      <c r="AC789" s="48"/>
    </row>
    <row r="790" spans="27:29">
      <c r="AA790" s="48"/>
      <c r="AC790" s="48"/>
    </row>
    <row r="791" spans="27:29">
      <c r="AA791" s="48"/>
      <c r="AC791" s="48"/>
    </row>
    <row r="792" spans="27:29">
      <c r="AA792" s="48"/>
      <c r="AC792" s="48"/>
    </row>
    <row r="793" spans="27:29">
      <c r="AA793" s="48"/>
      <c r="AC793" s="48"/>
    </row>
    <row r="794" spans="27:29">
      <c r="AA794" s="48"/>
      <c r="AC794" s="48"/>
    </row>
    <row r="795" spans="27:29">
      <c r="AA795" s="48"/>
      <c r="AC795" s="48"/>
    </row>
    <row r="796" spans="27:29">
      <c r="AA796" s="48"/>
      <c r="AC796" s="48"/>
    </row>
    <row r="797" spans="27:29">
      <c r="AA797" s="48"/>
      <c r="AC797" s="48"/>
    </row>
    <row r="798" spans="27:29">
      <c r="AA798" s="48"/>
      <c r="AC798" s="48"/>
    </row>
    <row r="799" spans="27:29">
      <c r="AA799" s="48"/>
      <c r="AC799" s="48"/>
    </row>
    <row r="800" spans="27:29">
      <c r="AA800" s="48"/>
      <c r="AC800" s="48"/>
    </row>
    <row r="801" spans="27:29">
      <c r="AA801" s="48"/>
      <c r="AC801" s="48"/>
    </row>
    <row r="802" spans="27:29">
      <c r="AA802" s="48"/>
      <c r="AC802" s="48"/>
    </row>
    <row r="803" spans="27:29">
      <c r="AA803" s="48"/>
      <c r="AC803" s="48"/>
    </row>
    <row r="804" spans="27:29">
      <c r="AA804" s="48"/>
      <c r="AC804" s="48"/>
    </row>
    <row r="805" spans="27:29">
      <c r="AA805" s="48"/>
      <c r="AC805" s="48"/>
    </row>
    <row r="806" spans="27:29">
      <c r="AA806" s="48"/>
      <c r="AC806" s="48"/>
    </row>
    <row r="807" spans="27:29">
      <c r="AA807" s="48"/>
      <c r="AC807" s="48"/>
    </row>
    <row r="808" spans="27:29">
      <c r="AA808" s="48"/>
      <c r="AC808" s="48"/>
    </row>
    <row r="809" spans="27:29">
      <c r="AA809" s="48"/>
      <c r="AC809" s="48"/>
    </row>
    <row r="810" spans="27:29">
      <c r="AA810" s="48"/>
      <c r="AC810" s="48"/>
    </row>
    <row r="811" spans="27:29">
      <c r="AA811" s="48"/>
      <c r="AC811" s="48"/>
    </row>
    <row r="812" spans="27:29">
      <c r="AA812" s="48"/>
      <c r="AC812" s="48"/>
    </row>
    <row r="813" spans="27:29">
      <c r="AA813" s="48"/>
      <c r="AC813" s="48"/>
    </row>
    <row r="814" spans="27:29">
      <c r="AA814" s="48"/>
      <c r="AC814" s="48"/>
    </row>
    <row r="815" spans="27:29">
      <c r="AA815" s="48"/>
      <c r="AC815" s="48"/>
    </row>
    <row r="816" spans="27:29">
      <c r="AA816" s="48"/>
      <c r="AC816" s="48"/>
    </row>
    <row r="817" spans="27:29">
      <c r="AA817" s="48"/>
      <c r="AC817" s="48"/>
    </row>
    <row r="818" spans="27:29">
      <c r="AA818" s="48"/>
      <c r="AC818" s="48"/>
    </row>
    <row r="819" spans="27:29">
      <c r="AA819" s="48"/>
      <c r="AC819" s="48"/>
    </row>
    <row r="820" spans="27:29">
      <c r="AA820" s="48"/>
      <c r="AC820" s="48"/>
    </row>
    <row r="821" spans="27:29">
      <c r="AA821" s="48"/>
      <c r="AC821" s="48"/>
    </row>
    <row r="822" spans="27:29">
      <c r="AA822" s="48"/>
      <c r="AC822" s="48"/>
    </row>
    <row r="823" spans="27:29">
      <c r="AA823" s="48"/>
      <c r="AC823" s="48"/>
    </row>
    <row r="824" spans="27:29">
      <c r="AA824" s="48"/>
      <c r="AC824" s="48"/>
    </row>
    <row r="825" spans="27:29">
      <c r="AA825" s="48"/>
      <c r="AC825" s="48"/>
    </row>
    <row r="826" spans="27:29">
      <c r="AA826" s="48"/>
      <c r="AC826" s="48"/>
    </row>
    <row r="827" spans="27:29">
      <c r="AA827" s="48"/>
      <c r="AC827" s="48"/>
    </row>
    <row r="828" spans="27:29">
      <c r="AA828" s="48"/>
      <c r="AC828" s="48"/>
    </row>
    <row r="829" spans="27:29">
      <c r="AA829" s="48"/>
      <c r="AC829" s="48"/>
    </row>
    <row r="830" spans="27:29">
      <c r="AA830" s="48"/>
      <c r="AC830" s="48"/>
    </row>
    <row r="831" spans="27:29">
      <c r="AA831" s="48"/>
      <c r="AC831" s="48"/>
    </row>
    <row r="832" spans="27:29">
      <c r="AA832" s="48"/>
      <c r="AC832" s="48"/>
    </row>
    <row r="833" spans="27:29">
      <c r="AA833" s="48"/>
      <c r="AC833" s="48"/>
    </row>
    <row r="834" spans="27:29">
      <c r="AA834" s="48"/>
      <c r="AC834" s="48"/>
    </row>
    <row r="835" spans="27:29">
      <c r="AA835" s="48"/>
      <c r="AC835" s="48"/>
    </row>
    <row r="836" spans="27:29">
      <c r="AA836" s="48"/>
      <c r="AC836" s="48"/>
    </row>
    <row r="837" spans="27:29">
      <c r="AA837" s="48"/>
      <c r="AC837" s="48"/>
    </row>
    <row r="838" spans="27:29">
      <c r="AA838" s="48"/>
      <c r="AC838" s="48"/>
    </row>
    <row r="839" spans="27:29">
      <c r="AA839" s="48"/>
      <c r="AC839" s="48"/>
    </row>
    <row r="840" spans="27:29">
      <c r="AA840" s="48"/>
      <c r="AC840" s="48"/>
    </row>
    <row r="841" spans="27:29">
      <c r="AA841" s="48"/>
      <c r="AC841" s="48"/>
    </row>
    <row r="842" spans="27:29">
      <c r="AA842" s="48"/>
      <c r="AC842" s="48"/>
    </row>
    <row r="843" spans="27:29">
      <c r="AA843" s="48"/>
      <c r="AC843" s="48"/>
    </row>
    <row r="844" spans="27:29">
      <c r="AA844" s="48"/>
      <c r="AC844" s="48"/>
    </row>
    <row r="845" spans="27:29">
      <c r="AA845" s="48"/>
      <c r="AC845" s="48"/>
    </row>
    <row r="846" spans="27:29">
      <c r="AA846" s="48"/>
      <c r="AC846" s="48"/>
    </row>
    <row r="847" spans="27:29">
      <c r="AA847" s="48"/>
      <c r="AC847" s="48"/>
    </row>
    <row r="848" spans="27:29">
      <c r="AA848" s="48"/>
      <c r="AC848" s="48"/>
    </row>
    <row r="849" spans="27:29">
      <c r="AA849" s="48"/>
      <c r="AC849" s="48"/>
    </row>
    <row r="850" spans="27:29">
      <c r="AA850" s="48"/>
      <c r="AC850" s="48"/>
    </row>
    <row r="851" spans="27:29">
      <c r="AA851" s="48"/>
      <c r="AC851" s="48"/>
    </row>
    <row r="852" spans="27:29">
      <c r="AA852" s="48"/>
      <c r="AC852" s="48"/>
    </row>
    <row r="853" spans="27:29">
      <c r="AA853" s="48"/>
      <c r="AC853" s="48"/>
    </row>
    <row r="854" spans="27:29">
      <c r="AA854" s="48"/>
      <c r="AC854" s="48"/>
    </row>
    <row r="855" spans="27:29">
      <c r="AA855" s="48"/>
      <c r="AC855" s="48"/>
    </row>
    <row r="856" spans="27:29">
      <c r="AA856" s="48"/>
      <c r="AC856" s="48"/>
    </row>
    <row r="857" spans="27:29">
      <c r="AA857" s="48"/>
      <c r="AC857" s="48"/>
    </row>
    <row r="858" spans="27:29">
      <c r="AA858" s="48"/>
      <c r="AC858" s="48"/>
    </row>
    <row r="859" spans="27:29">
      <c r="AA859" s="48"/>
      <c r="AC859" s="48"/>
    </row>
    <row r="860" spans="27:29">
      <c r="AA860" s="48"/>
      <c r="AC860" s="48"/>
    </row>
    <row r="861" spans="27:29">
      <c r="AA861" s="48"/>
      <c r="AC861" s="48"/>
    </row>
    <row r="862" spans="27:29">
      <c r="AA862" s="48"/>
      <c r="AC862" s="48"/>
    </row>
    <row r="863" spans="27:29">
      <c r="AA863" s="48"/>
      <c r="AC863" s="48"/>
    </row>
    <row r="864" spans="27:29">
      <c r="AA864" s="48"/>
      <c r="AC864" s="48"/>
    </row>
    <row r="865" spans="27:29">
      <c r="AA865" s="48"/>
      <c r="AC865" s="48"/>
    </row>
    <row r="866" spans="27:29">
      <c r="AA866" s="48"/>
      <c r="AC866" s="48"/>
    </row>
    <row r="867" spans="27:29">
      <c r="AA867" s="48"/>
      <c r="AC867" s="48"/>
    </row>
    <row r="868" spans="27:29">
      <c r="AA868" s="48"/>
      <c r="AC868" s="48"/>
    </row>
    <row r="869" spans="27:29">
      <c r="AA869" s="48"/>
      <c r="AC869" s="48"/>
    </row>
    <row r="870" spans="27:29">
      <c r="AA870" s="48"/>
      <c r="AC870" s="48"/>
    </row>
    <row r="871" spans="27:29">
      <c r="AA871" s="48"/>
      <c r="AC871" s="48"/>
    </row>
    <row r="872" spans="27:29">
      <c r="AA872" s="48"/>
      <c r="AC872" s="48"/>
    </row>
    <row r="873" spans="27:29">
      <c r="AA873" s="48"/>
      <c r="AC873" s="48"/>
    </row>
    <row r="874" spans="27:29">
      <c r="AA874" s="48"/>
      <c r="AC874" s="48"/>
    </row>
    <row r="875" spans="27:29">
      <c r="AA875" s="48"/>
      <c r="AC875" s="48"/>
    </row>
    <row r="876" spans="27:29">
      <c r="AA876" s="48"/>
      <c r="AC876" s="48"/>
    </row>
    <row r="877" spans="27:29">
      <c r="AA877" s="48"/>
      <c r="AC877" s="48"/>
    </row>
    <row r="878" spans="27:29">
      <c r="AA878" s="48"/>
      <c r="AC878" s="48"/>
    </row>
    <row r="879" spans="27:29">
      <c r="AA879" s="48"/>
      <c r="AC879" s="48"/>
    </row>
    <row r="880" spans="27:29">
      <c r="AA880" s="48"/>
      <c r="AC880" s="48"/>
    </row>
    <row r="881" spans="27:29">
      <c r="AA881" s="48"/>
      <c r="AC881" s="48"/>
    </row>
    <row r="882" spans="27:29">
      <c r="AA882" s="48"/>
      <c r="AC882" s="48"/>
    </row>
    <row r="883" spans="27:29">
      <c r="AA883" s="48"/>
      <c r="AC883" s="48"/>
    </row>
    <row r="884" spans="27:29">
      <c r="AA884" s="48"/>
      <c r="AC884" s="48"/>
    </row>
    <row r="885" spans="27:29">
      <c r="AA885" s="48"/>
      <c r="AC885" s="48"/>
    </row>
    <row r="886" spans="27:29">
      <c r="AA886" s="48"/>
      <c r="AC886" s="48"/>
    </row>
    <row r="887" spans="27:29">
      <c r="AA887" s="48"/>
      <c r="AC887" s="48"/>
    </row>
    <row r="888" spans="27:29">
      <c r="AA888" s="48"/>
      <c r="AC888" s="48"/>
    </row>
    <row r="889" spans="27:29">
      <c r="AA889" s="48"/>
      <c r="AC889" s="48"/>
    </row>
    <row r="890" spans="27:29">
      <c r="AA890" s="48"/>
      <c r="AC890" s="48"/>
    </row>
    <row r="891" spans="27:29">
      <c r="AA891" s="48"/>
      <c r="AC891" s="48"/>
    </row>
    <row r="892" spans="27:29">
      <c r="AA892" s="48"/>
      <c r="AC892" s="48"/>
    </row>
    <row r="893" spans="27:29">
      <c r="AA893" s="48"/>
      <c r="AC893" s="48"/>
    </row>
    <row r="894" spans="27:29">
      <c r="AA894" s="48"/>
      <c r="AC894" s="48"/>
    </row>
    <row r="895" spans="27:29">
      <c r="AA895" s="48"/>
      <c r="AC895" s="48"/>
    </row>
    <row r="896" spans="27:29">
      <c r="AA896" s="48"/>
      <c r="AC896" s="48"/>
    </row>
    <row r="897" spans="27:29">
      <c r="AA897" s="48"/>
      <c r="AC897" s="48"/>
    </row>
    <row r="898" spans="27:29">
      <c r="AA898" s="48"/>
      <c r="AC898" s="48"/>
    </row>
    <row r="899" spans="27:29">
      <c r="AA899" s="48"/>
      <c r="AC899" s="48"/>
    </row>
    <row r="900" spans="27:29">
      <c r="AA900" s="48"/>
      <c r="AC900" s="48"/>
    </row>
    <row r="901" spans="27:29">
      <c r="AA901" s="48"/>
      <c r="AC901" s="48"/>
    </row>
    <row r="902" spans="27:29">
      <c r="AA902" s="48"/>
      <c r="AC902" s="48"/>
    </row>
    <row r="903" spans="27:29">
      <c r="AA903" s="48"/>
      <c r="AC903" s="48"/>
    </row>
    <row r="904" spans="27:29">
      <c r="AA904" s="48"/>
      <c r="AC904" s="48"/>
    </row>
    <row r="905" spans="27:29">
      <c r="AA905" s="48"/>
      <c r="AC905" s="48"/>
    </row>
    <row r="906" spans="27:29">
      <c r="AA906" s="48"/>
      <c r="AC906" s="48"/>
    </row>
    <row r="907" spans="27:29">
      <c r="AA907" s="48"/>
      <c r="AC907" s="48"/>
    </row>
    <row r="908" spans="27:29">
      <c r="AA908" s="48"/>
      <c r="AC908" s="48"/>
    </row>
    <row r="909" spans="27:29">
      <c r="AA909" s="48"/>
      <c r="AC909" s="48"/>
    </row>
    <row r="910" spans="27:29">
      <c r="AA910" s="48"/>
      <c r="AC910" s="48"/>
    </row>
    <row r="911" spans="27:29">
      <c r="AA911" s="48"/>
      <c r="AC911" s="48"/>
    </row>
    <row r="912" spans="27:29">
      <c r="AA912" s="48"/>
      <c r="AC912" s="48"/>
    </row>
    <row r="913" spans="27:29">
      <c r="AA913" s="48"/>
      <c r="AC913" s="48"/>
    </row>
    <row r="914" spans="27:29">
      <c r="AA914" s="48"/>
      <c r="AC914" s="48"/>
    </row>
    <row r="915" spans="27:29">
      <c r="AA915" s="48"/>
      <c r="AC915" s="48"/>
    </row>
    <row r="916" spans="27:29">
      <c r="AA916" s="48"/>
      <c r="AC916" s="48"/>
    </row>
    <row r="917" spans="27:29">
      <c r="AA917" s="48"/>
      <c r="AC917" s="48"/>
    </row>
    <row r="918" spans="27:29">
      <c r="AA918" s="48"/>
      <c r="AC918" s="48"/>
    </row>
    <row r="919" spans="27:29">
      <c r="AA919" s="48"/>
      <c r="AC919" s="48"/>
    </row>
    <row r="920" spans="27:29">
      <c r="AA920" s="48"/>
      <c r="AC920" s="48"/>
    </row>
    <row r="921" spans="27:29">
      <c r="AA921" s="48"/>
      <c r="AC921" s="48"/>
    </row>
    <row r="922" spans="27:29">
      <c r="AA922" s="48"/>
      <c r="AC922" s="48"/>
    </row>
    <row r="923" spans="27:29">
      <c r="AA923" s="48"/>
      <c r="AC923" s="48"/>
    </row>
    <row r="924" spans="27:29">
      <c r="AA924" s="48"/>
      <c r="AC924" s="48"/>
    </row>
    <row r="925" spans="27:29">
      <c r="AA925" s="48"/>
      <c r="AC925" s="48"/>
    </row>
    <row r="926" spans="27:29">
      <c r="AA926" s="48"/>
      <c r="AC926" s="48"/>
    </row>
    <row r="927" spans="27:29">
      <c r="AA927" s="48"/>
      <c r="AC927" s="48"/>
    </row>
    <row r="928" spans="27:29">
      <c r="AA928" s="48"/>
      <c r="AC928" s="48"/>
    </row>
    <row r="929" spans="27:29">
      <c r="AA929" s="48"/>
      <c r="AC929" s="48"/>
    </row>
    <row r="930" spans="27:29">
      <c r="AA930" s="48"/>
      <c r="AC930" s="48"/>
    </row>
    <row r="931" spans="27:29">
      <c r="AA931" s="48"/>
      <c r="AC931" s="48"/>
    </row>
    <row r="932" spans="27:29">
      <c r="AA932" s="48"/>
      <c r="AC932" s="48"/>
    </row>
    <row r="933" spans="27:29">
      <c r="AA933" s="48"/>
      <c r="AC933" s="48"/>
    </row>
    <row r="934" spans="27:29">
      <c r="AA934" s="48"/>
      <c r="AC934" s="48"/>
    </row>
    <row r="935" spans="27:29">
      <c r="AA935" s="48"/>
      <c r="AC935" s="48"/>
    </row>
    <row r="936" spans="27:29">
      <c r="AA936" s="48"/>
      <c r="AC936" s="48"/>
    </row>
    <row r="937" spans="27:29">
      <c r="AA937" s="48"/>
      <c r="AC937" s="48"/>
    </row>
    <row r="938" spans="27:29">
      <c r="AA938" s="48"/>
      <c r="AC938" s="48"/>
    </row>
    <row r="939" spans="27:29">
      <c r="AA939" s="48"/>
      <c r="AC939" s="48"/>
    </row>
    <row r="940" spans="27:29">
      <c r="AA940" s="48"/>
      <c r="AC940" s="48"/>
    </row>
    <row r="941" spans="27:29">
      <c r="AA941" s="48"/>
      <c r="AC941" s="48"/>
    </row>
    <row r="942" spans="27:29">
      <c r="AA942" s="48"/>
      <c r="AC942" s="48"/>
    </row>
    <row r="943" spans="27:29">
      <c r="AA943" s="48"/>
      <c r="AC943" s="48"/>
    </row>
    <row r="944" spans="27:29">
      <c r="AA944" s="48"/>
      <c r="AC944" s="48"/>
    </row>
    <row r="945" spans="27:29">
      <c r="AA945" s="48"/>
      <c r="AC945" s="48"/>
    </row>
    <row r="946" spans="27:29">
      <c r="AA946" s="48"/>
      <c r="AC946" s="48"/>
    </row>
    <row r="947" spans="27:29">
      <c r="AA947" s="48"/>
      <c r="AC947" s="48"/>
    </row>
    <row r="948" spans="27:29">
      <c r="AA948" s="48"/>
      <c r="AC948" s="48"/>
    </row>
    <row r="949" spans="27:29">
      <c r="AA949" s="48"/>
      <c r="AC949" s="48"/>
    </row>
    <row r="950" spans="27:29">
      <c r="AA950" s="48"/>
      <c r="AC950" s="48"/>
    </row>
    <row r="951" spans="27:29">
      <c r="AA951" s="48"/>
      <c r="AC951" s="48"/>
    </row>
    <row r="952" spans="27:29">
      <c r="AA952" s="48"/>
      <c r="AC952" s="48"/>
    </row>
    <row r="953" spans="27:29">
      <c r="AA953" s="48"/>
      <c r="AC953" s="48"/>
    </row>
    <row r="954" spans="27:29">
      <c r="AA954" s="48"/>
      <c r="AC954" s="48"/>
    </row>
    <row r="955" spans="27:29">
      <c r="AA955" s="48"/>
      <c r="AC955" s="48"/>
    </row>
    <row r="956" spans="27:29">
      <c r="AA956" s="48"/>
      <c r="AC956" s="48"/>
    </row>
    <row r="957" spans="27:29">
      <c r="AA957" s="48"/>
      <c r="AC957" s="48"/>
    </row>
    <row r="958" spans="27:29">
      <c r="AA958" s="48"/>
      <c r="AC958" s="48"/>
    </row>
    <row r="959" spans="27:29">
      <c r="AA959" s="48"/>
      <c r="AC959" s="48"/>
    </row>
    <row r="960" spans="27:29">
      <c r="AA960" s="48"/>
      <c r="AC960" s="48"/>
    </row>
    <row r="961" spans="27:29">
      <c r="AA961" s="48"/>
      <c r="AC961" s="48"/>
    </row>
    <row r="962" spans="27:29">
      <c r="AA962" s="48"/>
      <c r="AC962" s="48"/>
    </row>
    <row r="963" spans="27:29">
      <c r="AA963" s="48"/>
      <c r="AC963" s="48"/>
    </row>
    <row r="964" spans="27:29">
      <c r="AA964" s="48"/>
      <c r="AC964" s="48"/>
    </row>
    <row r="965" spans="27:29">
      <c r="AA965" s="48"/>
      <c r="AC965" s="48"/>
    </row>
    <row r="966" spans="27:29">
      <c r="AA966" s="48"/>
      <c r="AC966" s="48"/>
    </row>
    <row r="967" spans="27:29">
      <c r="AA967" s="48"/>
      <c r="AC967" s="48"/>
    </row>
    <row r="968" spans="27:29">
      <c r="AA968" s="48"/>
      <c r="AC968" s="48"/>
    </row>
    <row r="969" spans="27:29">
      <c r="AA969" s="48"/>
      <c r="AC969" s="48"/>
    </row>
    <row r="970" spans="27:29">
      <c r="AA970" s="48"/>
      <c r="AC970" s="48"/>
    </row>
    <row r="971" spans="27:29">
      <c r="AA971" s="48"/>
      <c r="AC971" s="48"/>
    </row>
    <row r="972" spans="27:29">
      <c r="AA972" s="48"/>
      <c r="AC972" s="48"/>
    </row>
    <row r="973" spans="27:29">
      <c r="AA973" s="48"/>
      <c r="AC973" s="48"/>
    </row>
    <row r="974" spans="27:29">
      <c r="AA974" s="48"/>
      <c r="AC974" s="48"/>
    </row>
    <row r="975" spans="27:29">
      <c r="AA975" s="48"/>
      <c r="AC975" s="48"/>
    </row>
    <row r="976" spans="27:29">
      <c r="AA976" s="48"/>
      <c r="AC976" s="48"/>
    </row>
    <row r="977" spans="27:29">
      <c r="AA977" s="48"/>
      <c r="AC977" s="48"/>
    </row>
    <row r="978" spans="27:29">
      <c r="AA978" s="48"/>
      <c r="AC978" s="48"/>
    </row>
    <row r="979" spans="27:29">
      <c r="AA979" s="48"/>
      <c r="AC979" s="48"/>
    </row>
    <row r="980" spans="27:29">
      <c r="AA980" s="48"/>
      <c r="AC980" s="48"/>
    </row>
    <row r="981" spans="27:29">
      <c r="AA981" s="48"/>
      <c r="AC981" s="48"/>
    </row>
    <row r="982" spans="27:29">
      <c r="AA982" s="48"/>
      <c r="AC982" s="48"/>
    </row>
    <row r="983" spans="27:29">
      <c r="AA983" s="48"/>
      <c r="AC983" s="48"/>
    </row>
    <row r="984" spans="27:29">
      <c r="AA984" s="48"/>
      <c r="AC984" s="48"/>
    </row>
    <row r="985" spans="27:29">
      <c r="AA985" s="48"/>
      <c r="AC985" s="48"/>
    </row>
    <row r="986" spans="27:29">
      <c r="AA986" s="48"/>
      <c r="AC986" s="48"/>
    </row>
    <row r="987" spans="27:29">
      <c r="AA987" s="48"/>
      <c r="AC987" s="48"/>
    </row>
    <row r="988" spans="27:29">
      <c r="AA988" s="48"/>
      <c r="AC988" s="48"/>
    </row>
    <row r="989" spans="27:29">
      <c r="AA989" s="48"/>
      <c r="AC989" s="48"/>
    </row>
    <row r="990" spans="27:29">
      <c r="AA990" s="48"/>
      <c r="AC990" s="48"/>
    </row>
    <row r="991" spans="27:29">
      <c r="AA991" s="48"/>
      <c r="AC991" s="48"/>
    </row>
    <row r="992" spans="27:29">
      <c r="AA992" s="48"/>
      <c r="AC992" s="48"/>
    </row>
    <row r="993" spans="27:29">
      <c r="AA993" s="48"/>
      <c r="AC993" s="48"/>
    </row>
    <row r="994" spans="27:29">
      <c r="AA994" s="48"/>
      <c r="AC994" s="48"/>
    </row>
    <row r="995" spans="27:29">
      <c r="AA995" s="48"/>
      <c r="AC995" s="48"/>
    </row>
    <row r="996" spans="27:29">
      <c r="AA996" s="48"/>
      <c r="AC996" s="48"/>
    </row>
    <row r="997" spans="27:29">
      <c r="AA997" s="48"/>
      <c r="AC997" s="48"/>
    </row>
    <row r="998" spans="27:29">
      <c r="AA998" s="48"/>
      <c r="AC998" s="48"/>
    </row>
    <row r="999" spans="27:29">
      <c r="AA999" s="48"/>
      <c r="AC999" s="48"/>
    </row>
    <row r="1000" spans="27:29">
      <c r="AA1000" s="48"/>
      <c r="AC1000" s="48"/>
    </row>
    <row r="1001" spans="27:29">
      <c r="AA1001" s="48"/>
      <c r="AC1001" s="48"/>
    </row>
    <row r="1002" spans="27:29">
      <c r="AA1002" s="48"/>
      <c r="AC1002" s="48"/>
    </row>
    <row r="1003" spans="27:29">
      <c r="AA1003" s="48"/>
      <c r="AC1003" s="48"/>
    </row>
    <row r="1004" spans="27:29">
      <c r="AA1004" s="48"/>
      <c r="AC1004" s="48"/>
    </row>
    <row r="1005" spans="27:29">
      <c r="AA1005" s="48"/>
      <c r="AC1005" s="48"/>
    </row>
    <row r="1006" spans="27:29">
      <c r="AA1006" s="48"/>
      <c r="AC1006" s="48"/>
    </row>
    <row r="1007" spans="27:29">
      <c r="AA1007" s="48"/>
      <c r="AC1007" s="48"/>
    </row>
    <row r="1008" spans="27:29">
      <c r="AA1008" s="48"/>
      <c r="AC1008" s="48"/>
    </row>
    <row r="1009" spans="27:29">
      <c r="AA1009" s="48"/>
      <c r="AC1009" s="48"/>
    </row>
    <row r="1010" spans="27:29">
      <c r="AA1010" s="48"/>
      <c r="AC1010" s="48"/>
    </row>
    <row r="1011" spans="27:29">
      <c r="AA1011" s="48"/>
      <c r="AC1011" s="48"/>
    </row>
    <row r="1012" spans="27:29">
      <c r="AA1012" s="48"/>
      <c r="AC1012" s="48"/>
    </row>
    <row r="1013" spans="27:29">
      <c r="AA1013" s="48"/>
      <c r="AC1013" s="48"/>
    </row>
    <row r="1014" spans="27:29">
      <c r="AA1014" s="48"/>
      <c r="AC1014" s="48"/>
    </row>
    <row r="1015" spans="27:29">
      <c r="AA1015" s="48"/>
      <c r="AC1015" s="48"/>
    </row>
    <row r="1016" spans="27:29">
      <c r="AA1016" s="48"/>
      <c r="AC1016" s="48"/>
    </row>
    <row r="1017" spans="27:29">
      <c r="AA1017" s="48"/>
      <c r="AC1017" s="48"/>
    </row>
    <row r="1018" spans="27:29">
      <c r="AA1018" s="48"/>
      <c r="AC1018" s="48"/>
    </row>
    <row r="1019" spans="27:29">
      <c r="AA1019" s="48"/>
      <c r="AC1019" s="48"/>
    </row>
    <row r="1020" spans="27:29">
      <c r="AA1020" s="48"/>
      <c r="AC1020" s="48"/>
    </row>
    <row r="1021" spans="27:29">
      <c r="AA1021" s="48"/>
      <c r="AC1021" s="48"/>
    </row>
    <row r="1022" spans="27:29">
      <c r="AA1022" s="48"/>
      <c r="AC1022" s="48"/>
    </row>
    <row r="1023" spans="27:29">
      <c r="AA1023" s="48"/>
      <c r="AC1023" s="48"/>
    </row>
    <row r="1024" spans="27:29">
      <c r="AA1024" s="48"/>
      <c r="AC1024" s="48"/>
    </row>
    <row r="1025" spans="27:29">
      <c r="AA1025" s="48"/>
      <c r="AC1025" s="48"/>
    </row>
    <row r="1026" spans="27:29">
      <c r="AA1026" s="48"/>
      <c r="AC1026" s="48"/>
    </row>
    <row r="1027" spans="27:29">
      <c r="AA1027" s="48"/>
      <c r="AC1027" s="48"/>
    </row>
    <row r="1028" spans="27:29">
      <c r="AA1028" s="48"/>
      <c r="AC1028" s="48"/>
    </row>
    <row r="1029" spans="27:29">
      <c r="AA1029" s="48"/>
      <c r="AC1029" s="48"/>
    </row>
    <row r="1030" spans="27:29">
      <c r="AA1030" s="48"/>
      <c r="AC1030" s="48"/>
    </row>
    <row r="1031" spans="27:29">
      <c r="AA1031" s="48"/>
      <c r="AC1031" s="48"/>
    </row>
    <row r="1032" spans="27:29">
      <c r="AA1032" s="48"/>
      <c r="AC1032" s="48"/>
    </row>
    <row r="1033" spans="27:29">
      <c r="AA1033" s="48"/>
      <c r="AC1033" s="48"/>
    </row>
    <row r="1034" spans="27:29">
      <c r="AA1034" s="48"/>
      <c r="AC1034" s="48"/>
    </row>
    <row r="1035" spans="27:29">
      <c r="AA1035" s="48"/>
      <c r="AC1035" s="48"/>
    </row>
    <row r="1036" spans="27:29">
      <c r="AA1036" s="48"/>
      <c r="AC1036" s="48"/>
    </row>
    <row r="1037" spans="27:29">
      <c r="AA1037" s="48"/>
      <c r="AC1037" s="48"/>
    </row>
    <row r="1038" spans="27:29">
      <c r="AA1038" s="48"/>
      <c r="AC1038" s="48"/>
    </row>
    <row r="1039" spans="27:29">
      <c r="AA1039" s="48"/>
      <c r="AC1039" s="48"/>
    </row>
    <row r="1040" spans="27:29">
      <c r="AA1040" s="48"/>
      <c r="AC1040" s="48"/>
    </row>
    <row r="1041" spans="27:29">
      <c r="AA1041" s="48"/>
      <c r="AC1041" s="48"/>
    </row>
    <row r="1042" spans="27:29">
      <c r="AA1042" s="48"/>
      <c r="AC1042" s="48"/>
    </row>
    <row r="1043" spans="27:29">
      <c r="AA1043" s="48"/>
      <c r="AC1043" s="48"/>
    </row>
    <row r="1044" spans="27:29">
      <c r="AA1044" s="48"/>
      <c r="AC1044" s="48"/>
    </row>
    <row r="1045" spans="27:29">
      <c r="AA1045" s="48"/>
      <c r="AC1045" s="48"/>
    </row>
    <row r="1046" spans="27:29">
      <c r="AA1046" s="48"/>
      <c r="AC1046" s="48"/>
    </row>
    <row r="1047" spans="27:29">
      <c r="AA1047" s="48"/>
      <c r="AC1047" s="48"/>
    </row>
    <row r="1048" spans="27:29">
      <c r="AA1048" s="48"/>
      <c r="AC1048" s="48"/>
    </row>
    <row r="1049" spans="27:29">
      <c r="AA1049" s="48"/>
      <c r="AC1049" s="48"/>
    </row>
    <row r="1050" spans="27:29">
      <c r="AA1050" s="48"/>
      <c r="AC1050" s="48"/>
    </row>
    <row r="1051" spans="27:29">
      <c r="AA1051" s="48"/>
      <c r="AC1051" s="48"/>
    </row>
    <row r="1052" spans="27:29">
      <c r="AA1052" s="48"/>
      <c r="AC1052" s="48"/>
    </row>
    <row r="1053" spans="27:29">
      <c r="AA1053" s="48"/>
      <c r="AC1053" s="48"/>
    </row>
    <row r="1054" spans="27:29">
      <c r="AA1054" s="48"/>
      <c r="AC1054" s="48"/>
    </row>
    <row r="1055" spans="27:29">
      <c r="AA1055" s="48"/>
      <c r="AC1055" s="48"/>
    </row>
    <row r="1056" spans="27:29">
      <c r="AA1056" s="48"/>
      <c r="AC1056" s="48"/>
    </row>
    <row r="1057" spans="27:29">
      <c r="AA1057" s="48"/>
      <c r="AC1057" s="48"/>
    </row>
    <row r="1058" spans="27:29">
      <c r="AA1058" s="48"/>
      <c r="AC1058" s="48"/>
    </row>
    <row r="1059" spans="27:29">
      <c r="AA1059" s="48"/>
      <c r="AC1059" s="48"/>
    </row>
    <row r="1060" spans="27:29">
      <c r="AA1060" s="48"/>
      <c r="AC1060" s="48"/>
    </row>
    <row r="1061" spans="27:29">
      <c r="AA1061" s="48"/>
      <c r="AC1061" s="48"/>
    </row>
    <row r="1062" spans="27:29">
      <c r="AA1062" s="48"/>
      <c r="AC1062" s="48"/>
    </row>
    <row r="1063" spans="27:29">
      <c r="AA1063" s="48"/>
      <c r="AC1063" s="48"/>
    </row>
    <row r="1064" spans="27:29">
      <c r="AA1064" s="48"/>
      <c r="AC1064" s="48"/>
    </row>
    <row r="1065" spans="27:29">
      <c r="AA1065" s="48"/>
      <c r="AC1065" s="48"/>
    </row>
    <row r="1066" spans="27:29">
      <c r="AA1066" s="48"/>
      <c r="AC1066" s="48"/>
    </row>
    <row r="1067" spans="27:29">
      <c r="AA1067" s="48"/>
      <c r="AC1067" s="48"/>
    </row>
    <row r="1068" spans="27:29">
      <c r="AA1068" s="48"/>
      <c r="AC1068" s="48"/>
    </row>
    <row r="1069" spans="27:29">
      <c r="AA1069" s="48"/>
      <c r="AC1069" s="48"/>
    </row>
    <row r="1070" spans="27:29">
      <c r="AA1070" s="48"/>
      <c r="AC1070" s="48"/>
    </row>
    <row r="1071" spans="27:29">
      <c r="AA1071" s="48"/>
      <c r="AC1071" s="48"/>
    </row>
    <row r="1072" spans="27:29">
      <c r="AA1072" s="48"/>
      <c r="AC1072" s="48"/>
    </row>
    <row r="1073" spans="27:29">
      <c r="AA1073" s="48"/>
      <c r="AC1073" s="48"/>
    </row>
    <row r="1074" spans="27:29">
      <c r="AA1074" s="48"/>
      <c r="AC1074" s="48"/>
    </row>
    <row r="1075" spans="27:29">
      <c r="AA1075" s="48"/>
      <c r="AC1075" s="48"/>
    </row>
    <row r="1076" spans="27:29">
      <c r="AA1076" s="48"/>
      <c r="AC1076" s="48"/>
    </row>
    <row r="1077" spans="27:29">
      <c r="AA1077" s="48"/>
      <c r="AC1077" s="48"/>
    </row>
    <row r="1078" spans="27:29">
      <c r="AA1078" s="48"/>
      <c r="AC1078" s="48"/>
    </row>
    <row r="1079" spans="27:29">
      <c r="AA1079" s="48"/>
      <c r="AC1079" s="48"/>
    </row>
    <row r="1080" spans="27:29">
      <c r="AA1080" s="48"/>
      <c r="AC1080" s="48"/>
    </row>
    <row r="1081" spans="27:29">
      <c r="AA1081" s="48"/>
      <c r="AC1081" s="48"/>
    </row>
    <row r="1082" spans="27:29">
      <c r="AA1082" s="48"/>
      <c r="AC1082" s="48"/>
    </row>
    <row r="1083" spans="27:29">
      <c r="AA1083" s="48"/>
      <c r="AC1083" s="48"/>
    </row>
    <row r="1084" spans="27:29">
      <c r="AA1084" s="48"/>
      <c r="AC1084" s="48"/>
    </row>
    <row r="1085" spans="27:29">
      <c r="AA1085" s="48"/>
      <c r="AC1085" s="48"/>
    </row>
    <row r="1086" spans="27:29">
      <c r="AA1086" s="48"/>
      <c r="AC1086" s="48"/>
    </row>
    <row r="1087" spans="27:29">
      <c r="AA1087" s="48"/>
      <c r="AC1087" s="48"/>
    </row>
    <row r="1088" spans="27:29">
      <c r="AA1088" s="48"/>
      <c r="AC1088" s="48"/>
    </row>
    <row r="1089" spans="27:29">
      <c r="AA1089" s="48"/>
      <c r="AC1089" s="48"/>
    </row>
    <row r="1090" spans="27:29">
      <c r="AA1090" s="48"/>
      <c r="AC1090" s="48"/>
    </row>
    <row r="1091" spans="27:29">
      <c r="AA1091" s="48"/>
      <c r="AC1091" s="48"/>
    </row>
    <row r="1092" spans="27:29">
      <c r="AA1092" s="48"/>
      <c r="AC1092" s="48"/>
    </row>
    <row r="1093" spans="27:29">
      <c r="AA1093" s="48"/>
      <c r="AC1093" s="48"/>
    </row>
    <row r="1094" spans="27:29">
      <c r="AA1094" s="48"/>
      <c r="AC1094" s="48"/>
    </row>
    <row r="1095" spans="27:29">
      <c r="AA1095" s="48"/>
      <c r="AC1095" s="48"/>
    </row>
    <row r="1096" spans="27:29">
      <c r="AA1096" s="48"/>
      <c r="AC1096" s="48"/>
    </row>
    <row r="1097" spans="27:29">
      <c r="AA1097" s="48"/>
      <c r="AC1097" s="48"/>
    </row>
    <row r="1098" spans="27:29">
      <c r="AA1098" s="48"/>
      <c r="AC1098" s="48"/>
    </row>
    <row r="1099" spans="27:29">
      <c r="AA1099" s="48"/>
      <c r="AC1099" s="48"/>
    </row>
    <row r="1100" spans="27:29">
      <c r="AA1100" s="48"/>
      <c r="AC1100" s="48"/>
    </row>
    <row r="1101" spans="27:29">
      <c r="AA1101" s="48"/>
      <c r="AC1101" s="48"/>
    </row>
    <row r="1102" spans="27:29">
      <c r="AA1102" s="48"/>
      <c r="AC1102" s="48"/>
    </row>
    <row r="1103" spans="27:29">
      <c r="AA1103" s="48"/>
      <c r="AC1103" s="48"/>
    </row>
    <row r="1104" spans="27:29">
      <c r="AA1104" s="48"/>
      <c r="AC1104" s="48"/>
    </row>
    <row r="1105" spans="27:29">
      <c r="AA1105" s="48"/>
      <c r="AC1105" s="48"/>
    </row>
    <row r="1106" spans="27:29">
      <c r="AA1106" s="48"/>
      <c r="AC1106" s="48"/>
    </row>
    <row r="1107" spans="27:29">
      <c r="AA1107" s="48"/>
      <c r="AC1107" s="48"/>
    </row>
    <row r="1108" spans="27:29">
      <c r="AA1108" s="48"/>
      <c r="AC1108" s="48"/>
    </row>
    <row r="1109" spans="27:29">
      <c r="AA1109" s="48"/>
      <c r="AC1109" s="48"/>
    </row>
    <row r="1110" spans="27:29">
      <c r="AA1110" s="48"/>
      <c r="AC1110" s="48"/>
    </row>
    <row r="1111" spans="27:29">
      <c r="AA1111" s="48"/>
      <c r="AC1111" s="48"/>
    </row>
    <row r="1112" spans="27:29">
      <c r="AA1112" s="48"/>
      <c r="AC1112" s="48"/>
    </row>
    <row r="1113" spans="27:29">
      <c r="AA1113" s="48"/>
      <c r="AC1113" s="48"/>
    </row>
    <row r="1114" spans="27:29">
      <c r="AA1114" s="48"/>
      <c r="AC1114" s="48"/>
    </row>
    <row r="1115" spans="27:29">
      <c r="AA1115" s="48"/>
      <c r="AC1115" s="48"/>
    </row>
    <row r="1116" spans="27:29">
      <c r="AA1116" s="48"/>
      <c r="AC1116" s="48"/>
    </row>
    <row r="1117" spans="27:29">
      <c r="AA1117" s="48"/>
      <c r="AC1117" s="48"/>
    </row>
    <row r="1118" spans="27:29">
      <c r="AA1118" s="48"/>
      <c r="AC1118" s="48"/>
    </row>
    <row r="1119" spans="27:29">
      <c r="AA1119" s="48"/>
      <c r="AC1119" s="48"/>
    </row>
    <row r="1120" spans="27:29">
      <c r="AA1120" s="48"/>
      <c r="AC1120" s="48"/>
    </row>
    <row r="1121" spans="27:29">
      <c r="AA1121" s="48"/>
      <c r="AC1121" s="48"/>
    </row>
    <row r="1122" spans="27:29">
      <c r="AA1122" s="48"/>
      <c r="AC1122" s="48"/>
    </row>
    <row r="1123" spans="27:29">
      <c r="AA1123" s="48"/>
      <c r="AC1123" s="48"/>
    </row>
    <row r="1124" spans="27:29">
      <c r="AA1124" s="48"/>
      <c r="AC1124" s="48"/>
    </row>
    <row r="1125" spans="27:29">
      <c r="AA1125" s="48"/>
      <c r="AC1125" s="48"/>
    </row>
    <row r="1126" spans="27:29">
      <c r="AA1126" s="48"/>
      <c r="AC1126" s="48"/>
    </row>
    <row r="1127" spans="27:29">
      <c r="AA1127" s="48"/>
      <c r="AC1127" s="48"/>
    </row>
    <row r="1128" spans="27:29">
      <c r="AA1128" s="48"/>
      <c r="AC1128" s="48"/>
    </row>
    <row r="1129" spans="27:29">
      <c r="AA1129" s="48"/>
      <c r="AC1129" s="48"/>
    </row>
    <row r="1130" spans="27:29">
      <c r="AA1130" s="48"/>
      <c r="AC1130" s="48"/>
    </row>
    <row r="1131" spans="27:29">
      <c r="AA1131" s="48"/>
      <c r="AC1131" s="48"/>
    </row>
    <row r="1132" spans="27:29">
      <c r="AA1132" s="48"/>
      <c r="AC1132" s="48"/>
    </row>
    <row r="1133" spans="27:29">
      <c r="AA1133" s="48"/>
      <c r="AC1133" s="48"/>
    </row>
    <row r="1134" spans="27:29">
      <c r="AA1134" s="48"/>
      <c r="AC1134" s="48"/>
    </row>
    <row r="1135" spans="27:29">
      <c r="AA1135" s="48"/>
      <c r="AC1135" s="48"/>
    </row>
    <row r="1136" spans="27:29">
      <c r="AA1136" s="48"/>
      <c r="AC1136" s="48"/>
    </row>
    <row r="1137" spans="27:29">
      <c r="AA1137" s="48"/>
      <c r="AC1137" s="48"/>
    </row>
    <row r="1138" spans="27:29">
      <c r="AA1138" s="48"/>
      <c r="AC1138" s="48"/>
    </row>
    <row r="1139" spans="27:29">
      <c r="AA1139" s="48"/>
      <c r="AC1139" s="48"/>
    </row>
    <row r="1140" spans="27:29">
      <c r="AA1140" s="48"/>
      <c r="AC1140" s="48"/>
    </row>
    <row r="1141" spans="27:29">
      <c r="AA1141" s="48"/>
      <c r="AC1141" s="48"/>
    </row>
    <row r="1142" spans="27:29">
      <c r="AA1142" s="48"/>
      <c r="AC1142" s="48"/>
    </row>
    <row r="1143" spans="27:29">
      <c r="AA1143" s="48"/>
      <c r="AC1143" s="48"/>
    </row>
    <row r="1144" spans="27:29">
      <c r="AA1144" s="48"/>
      <c r="AC1144" s="48"/>
    </row>
    <row r="1145" spans="27:29">
      <c r="AA1145" s="48"/>
      <c r="AC1145" s="48"/>
    </row>
    <row r="1146" spans="27:29">
      <c r="AA1146" s="48"/>
      <c r="AC1146" s="48"/>
    </row>
    <row r="1147" spans="27:29">
      <c r="AA1147" s="48"/>
      <c r="AC1147" s="48"/>
    </row>
    <row r="1148" spans="27:29">
      <c r="AA1148" s="48"/>
      <c r="AC1148" s="48"/>
    </row>
    <row r="1149" spans="27:29">
      <c r="AA1149" s="48"/>
      <c r="AC1149" s="48"/>
    </row>
    <row r="1150" spans="27:29">
      <c r="AA1150" s="48"/>
      <c r="AC1150" s="48"/>
    </row>
    <row r="1151" spans="27:29">
      <c r="AA1151" s="48"/>
      <c r="AC1151" s="48"/>
    </row>
    <row r="1152" spans="27:29">
      <c r="AA1152" s="48"/>
      <c r="AC1152" s="48"/>
    </row>
    <row r="1153" spans="27:29">
      <c r="AA1153" s="48"/>
      <c r="AC1153" s="48"/>
    </row>
    <row r="1154" spans="27:29">
      <c r="AA1154" s="48"/>
      <c r="AC1154" s="48"/>
    </row>
    <row r="1155" spans="27:29">
      <c r="AA1155" s="48"/>
      <c r="AC1155" s="48"/>
    </row>
    <row r="1156" spans="27:29">
      <c r="AA1156" s="48"/>
      <c r="AC1156" s="48"/>
    </row>
    <row r="1157" spans="27:29">
      <c r="AA1157" s="48"/>
      <c r="AC1157" s="48"/>
    </row>
    <row r="1158" spans="27:29">
      <c r="AA1158" s="48"/>
      <c r="AC1158" s="48"/>
    </row>
    <row r="1159" spans="27:29">
      <c r="AA1159" s="48"/>
      <c r="AC1159" s="48"/>
    </row>
    <row r="1160" spans="27:29">
      <c r="AA1160" s="48"/>
      <c r="AC1160" s="48"/>
    </row>
    <row r="1161" spans="27:29">
      <c r="AA1161" s="48"/>
      <c r="AC1161" s="48"/>
    </row>
    <row r="1162" spans="27:29">
      <c r="AA1162" s="48"/>
      <c r="AC1162" s="48"/>
    </row>
    <row r="1163" spans="27:29">
      <c r="AA1163" s="48"/>
      <c r="AC1163" s="48"/>
    </row>
    <row r="1164" spans="27:29">
      <c r="AA1164" s="48"/>
      <c r="AC1164" s="48"/>
    </row>
    <row r="1165" spans="27:29">
      <c r="AA1165" s="48"/>
      <c r="AC1165" s="48"/>
    </row>
    <row r="1166" spans="27:29">
      <c r="AA1166" s="48"/>
      <c r="AC1166" s="48"/>
    </row>
    <row r="1167" spans="27:29">
      <c r="AA1167" s="48"/>
      <c r="AC1167" s="48"/>
    </row>
    <row r="1168" spans="27:29">
      <c r="AA1168" s="48"/>
      <c r="AC1168" s="48"/>
    </row>
    <row r="1169" spans="27:29">
      <c r="AA1169" s="48"/>
      <c r="AC1169" s="48"/>
    </row>
    <row r="1170" spans="27:29">
      <c r="AA1170" s="48"/>
      <c r="AC1170" s="48"/>
    </row>
    <row r="1171" spans="27:29">
      <c r="AA1171" s="48"/>
      <c r="AC1171" s="48"/>
    </row>
    <row r="1172" spans="27:29">
      <c r="AA1172" s="48"/>
      <c r="AC1172" s="48"/>
    </row>
    <row r="1173" spans="27:29">
      <c r="AA1173" s="48"/>
      <c r="AC1173" s="48"/>
    </row>
    <row r="1174" spans="27:29">
      <c r="AA1174" s="48"/>
      <c r="AC1174" s="48"/>
    </row>
    <row r="1175" spans="27:29">
      <c r="AA1175" s="48"/>
      <c r="AC1175" s="48"/>
    </row>
    <row r="1176" spans="27:29">
      <c r="AA1176" s="48"/>
      <c r="AC1176" s="48"/>
    </row>
    <row r="1177" spans="27:29">
      <c r="AA1177" s="48"/>
      <c r="AC1177" s="48"/>
    </row>
    <row r="1178" spans="27:29">
      <c r="AA1178" s="48"/>
      <c r="AC1178" s="48"/>
    </row>
    <row r="1179" spans="27:29">
      <c r="AA1179" s="48"/>
      <c r="AC1179" s="48"/>
    </row>
    <row r="1180" spans="27:29">
      <c r="AA1180" s="48"/>
      <c r="AC1180" s="48"/>
    </row>
    <row r="1181" spans="27:29">
      <c r="AA1181" s="48"/>
      <c r="AC1181" s="48"/>
    </row>
    <row r="1182" spans="27:29">
      <c r="AA1182" s="48"/>
      <c r="AC1182" s="48"/>
    </row>
    <row r="1183" spans="27:29">
      <c r="AA1183" s="48"/>
      <c r="AC1183" s="48"/>
    </row>
    <row r="1184" spans="27:29">
      <c r="AA1184" s="48"/>
      <c r="AC1184" s="48"/>
    </row>
    <row r="1185" spans="27:29">
      <c r="AA1185" s="48"/>
      <c r="AC1185" s="48"/>
    </row>
    <row r="1186" spans="27:29">
      <c r="AA1186" s="48"/>
      <c r="AC1186" s="48"/>
    </row>
    <row r="1187" spans="27:29">
      <c r="AA1187" s="48"/>
      <c r="AC1187" s="48"/>
    </row>
    <row r="1188" spans="27:29">
      <c r="AA1188" s="48"/>
      <c r="AC1188" s="48"/>
    </row>
    <row r="1189" spans="27:29">
      <c r="AA1189" s="48"/>
      <c r="AC1189" s="48"/>
    </row>
    <row r="1190" spans="27:29">
      <c r="AA1190" s="48"/>
      <c r="AC1190" s="48"/>
    </row>
    <row r="1191" spans="27:29">
      <c r="AA1191" s="48"/>
      <c r="AC1191" s="48"/>
    </row>
    <row r="1192" spans="27:29">
      <c r="AA1192" s="48"/>
      <c r="AC1192" s="48"/>
    </row>
    <row r="1193" spans="27:29">
      <c r="AA1193" s="48"/>
      <c r="AC1193" s="48"/>
    </row>
    <row r="1194" spans="27:29">
      <c r="AA1194" s="48"/>
      <c r="AC1194" s="48"/>
    </row>
    <row r="1195" spans="27:29">
      <c r="AA1195" s="48"/>
      <c r="AC1195" s="48"/>
    </row>
    <row r="1196" spans="27:29">
      <c r="AA1196" s="48"/>
      <c r="AC1196" s="48"/>
    </row>
    <row r="1197" spans="27:29">
      <c r="AA1197" s="48"/>
      <c r="AC1197" s="48"/>
    </row>
    <row r="1198" spans="27:29">
      <c r="AA1198" s="48"/>
      <c r="AC1198" s="48"/>
    </row>
    <row r="1199" spans="27:29">
      <c r="AA1199" s="48"/>
      <c r="AC1199" s="48"/>
    </row>
    <row r="1200" spans="27:29">
      <c r="AA1200" s="48"/>
      <c r="AC1200" s="48"/>
    </row>
    <row r="1201" spans="27:29">
      <c r="AA1201" s="48"/>
      <c r="AC1201" s="48"/>
    </row>
    <row r="1202" spans="27:29">
      <c r="AA1202" s="48"/>
      <c r="AC1202" s="48"/>
    </row>
    <row r="1203" spans="27:29">
      <c r="AA1203" s="48"/>
      <c r="AC1203" s="48"/>
    </row>
    <row r="1204" spans="27:29">
      <c r="AA1204" s="48"/>
      <c r="AC1204" s="48"/>
    </row>
    <row r="1205" spans="27:29">
      <c r="AA1205" s="48"/>
      <c r="AC1205" s="48"/>
    </row>
    <row r="1206" spans="27:29">
      <c r="AA1206" s="48"/>
      <c r="AC1206" s="48"/>
    </row>
    <row r="1207" spans="27:29">
      <c r="AA1207" s="48"/>
      <c r="AC1207" s="48"/>
    </row>
    <row r="1208" spans="27:29">
      <c r="AA1208" s="48"/>
      <c r="AC1208" s="48"/>
    </row>
    <row r="1209" spans="27:29">
      <c r="AA1209" s="48"/>
      <c r="AC1209" s="48"/>
    </row>
    <row r="1210" spans="27:29">
      <c r="AA1210" s="48"/>
      <c r="AC1210" s="48"/>
    </row>
    <row r="1211" spans="27:29">
      <c r="AA1211" s="48"/>
      <c r="AC1211" s="48"/>
    </row>
    <row r="1212" spans="27:29">
      <c r="AA1212" s="48"/>
      <c r="AC1212" s="48"/>
    </row>
    <row r="1213" spans="27:29">
      <c r="AA1213" s="48"/>
      <c r="AC1213" s="48"/>
    </row>
    <row r="1214" spans="27:29">
      <c r="AA1214" s="48"/>
      <c r="AC1214" s="48"/>
    </row>
    <row r="1215" spans="27:29">
      <c r="AA1215" s="48"/>
      <c r="AC1215" s="48"/>
    </row>
    <row r="1216" spans="27:29">
      <c r="AA1216" s="48"/>
      <c r="AC1216" s="48"/>
    </row>
    <row r="1217" spans="27:29">
      <c r="AA1217" s="48"/>
      <c r="AC1217" s="48"/>
    </row>
    <row r="1218" spans="27:29">
      <c r="AA1218" s="48"/>
      <c r="AC1218" s="48"/>
    </row>
    <row r="1219" spans="27:29">
      <c r="AA1219" s="48"/>
      <c r="AC1219" s="48"/>
    </row>
    <row r="1220" spans="27:29">
      <c r="AA1220" s="48"/>
      <c r="AC1220" s="48"/>
    </row>
    <row r="1221" spans="27:29">
      <c r="AA1221" s="48"/>
      <c r="AC1221" s="48"/>
    </row>
    <row r="1222" spans="27:29">
      <c r="AA1222" s="48"/>
      <c r="AC1222" s="48"/>
    </row>
    <row r="1223" spans="27:29">
      <c r="AA1223" s="48"/>
      <c r="AC1223" s="48"/>
    </row>
    <row r="1224" spans="27:29">
      <c r="AA1224" s="48"/>
      <c r="AC1224" s="48"/>
    </row>
    <row r="1225" spans="27:29">
      <c r="AA1225" s="48"/>
      <c r="AC1225" s="48"/>
    </row>
    <row r="1226" spans="27:29">
      <c r="AA1226" s="48"/>
      <c r="AC1226" s="48"/>
    </row>
    <row r="1227" spans="27:29">
      <c r="AA1227" s="48"/>
      <c r="AC1227" s="48"/>
    </row>
    <row r="1228" spans="27:29">
      <c r="AA1228" s="48"/>
      <c r="AC1228" s="48"/>
    </row>
    <row r="1229" spans="27:29">
      <c r="AA1229" s="48"/>
      <c r="AC1229" s="48"/>
    </row>
    <row r="1230" spans="27:29">
      <c r="AA1230" s="48"/>
      <c r="AC1230" s="48"/>
    </row>
    <row r="1231" spans="27:29">
      <c r="AA1231" s="48"/>
      <c r="AC1231" s="48"/>
    </row>
    <row r="1232" spans="27:29">
      <c r="AA1232" s="48"/>
      <c r="AC1232" s="48"/>
    </row>
    <row r="1233" spans="27:29">
      <c r="AA1233" s="48"/>
      <c r="AC1233" s="48"/>
    </row>
    <row r="1234" spans="27:29">
      <c r="AA1234" s="48"/>
      <c r="AC1234" s="48"/>
    </row>
    <row r="1235" spans="27:29">
      <c r="AA1235" s="48"/>
      <c r="AC1235" s="48"/>
    </row>
    <row r="1236" spans="27:29">
      <c r="AA1236" s="48"/>
      <c r="AC1236" s="48"/>
    </row>
    <row r="1237" spans="27:29">
      <c r="AA1237" s="48"/>
      <c r="AC1237" s="48"/>
    </row>
    <row r="1238" spans="27:29">
      <c r="AA1238" s="48"/>
      <c r="AC1238" s="48"/>
    </row>
    <row r="1239" spans="27:29">
      <c r="AA1239" s="48"/>
      <c r="AC1239" s="48"/>
    </row>
    <row r="1240" spans="27:29">
      <c r="AA1240" s="48"/>
      <c r="AC1240" s="48"/>
    </row>
    <row r="1241" spans="27:29">
      <c r="AA1241" s="48"/>
      <c r="AC1241" s="48"/>
    </row>
    <row r="1242" spans="27:29">
      <c r="AA1242" s="48"/>
      <c r="AC1242" s="48"/>
    </row>
    <row r="1243" spans="27:29">
      <c r="AA1243" s="48"/>
      <c r="AC1243" s="48"/>
    </row>
    <row r="1244" spans="27:29">
      <c r="AA1244" s="48"/>
      <c r="AC1244" s="48"/>
    </row>
    <row r="1245" spans="27:29">
      <c r="AA1245" s="48"/>
      <c r="AC1245" s="48"/>
    </row>
    <row r="1246" spans="27:29">
      <c r="AA1246" s="48"/>
      <c r="AC1246" s="48"/>
    </row>
    <row r="1247" spans="27:29">
      <c r="AA1247" s="48"/>
      <c r="AC1247" s="48"/>
    </row>
    <row r="1248" spans="27:29">
      <c r="AA1248" s="48"/>
      <c r="AC1248" s="48"/>
    </row>
    <row r="1249" spans="27:29">
      <c r="AA1249" s="48"/>
      <c r="AC1249" s="48"/>
    </row>
    <row r="1250" spans="27:29">
      <c r="AA1250" s="48"/>
      <c r="AC1250" s="48"/>
    </row>
    <row r="1251" spans="27:29">
      <c r="AA1251" s="48"/>
      <c r="AC1251" s="48"/>
    </row>
    <row r="1252" spans="27:29">
      <c r="AA1252" s="48"/>
      <c r="AC1252" s="48"/>
    </row>
    <row r="1253" spans="27:29">
      <c r="AA1253" s="48"/>
      <c r="AC1253" s="48"/>
    </row>
    <row r="1254" spans="27:29">
      <c r="AA1254" s="48"/>
      <c r="AC1254" s="48"/>
    </row>
    <row r="1255" spans="27:29">
      <c r="AA1255" s="48"/>
      <c r="AC1255" s="48"/>
    </row>
    <row r="1256" spans="27:29">
      <c r="AA1256" s="48"/>
      <c r="AC1256" s="48"/>
    </row>
    <row r="1257" spans="27:29">
      <c r="AA1257" s="48"/>
      <c r="AC1257" s="48"/>
    </row>
    <row r="1258" spans="27:29">
      <c r="AA1258" s="48"/>
      <c r="AC1258" s="48"/>
    </row>
    <row r="1259" spans="27:29">
      <c r="AA1259" s="48"/>
      <c r="AC1259" s="48"/>
    </row>
    <row r="1260" spans="27:29">
      <c r="AA1260" s="48"/>
      <c r="AC1260" s="48"/>
    </row>
    <row r="1261" spans="27:29">
      <c r="AA1261" s="48"/>
      <c r="AC1261" s="48"/>
    </row>
    <row r="1262" spans="27:29">
      <c r="AA1262" s="48"/>
      <c r="AC1262" s="48"/>
    </row>
    <row r="1263" spans="27:29">
      <c r="AA1263" s="48"/>
      <c r="AC1263" s="48"/>
    </row>
    <row r="1264" spans="27:29">
      <c r="AA1264" s="48"/>
      <c r="AC1264" s="48"/>
    </row>
    <row r="1265" spans="27:29">
      <c r="AA1265" s="48"/>
      <c r="AC1265" s="48"/>
    </row>
    <row r="1266" spans="27:29">
      <c r="AA1266" s="48"/>
      <c r="AC1266" s="48"/>
    </row>
    <row r="1267" spans="27:29">
      <c r="AA1267" s="48"/>
      <c r="AC1267" s="48"/>
    </row>
    <row r="1268" spans="27:29">
      <c r="AA1268" s="48"/>
      <c r="AC1268" s="48"/>
    </row>
    <row r="1269" spans="27:29">
      <c r="AA1269" s="48"/>
      <c r="AC1269" s="48"/>
    </row>
    <row r="1270" spans="27:29">
      <c r="AA1270" s="48"/>
      <c r="AC1270" s="48"/>
    </row>
    <row r="1271" spans="27:29">
      <c r="AA1271" s="48"/>
      <c r="AC1271" s="48"/>
    </row>
    <row r="1272" spans="27:29">
      <c r="AA1272" s="48"/>
      <c r="AC1272" s="48"/>
    </row>
    <row r="1273" spans="27:29">
      <c r="AA1273" s="48"/>
      <c r="AC1273" s="48"/>
    </row>
    <row r="1274" spans="27:29">
      <c r="AA1274" s="48"/>
      <c r="AC1274" s="48"/>
    </row>
    <row r="1275" spans="27:29">
      <c r="AA1275" s="48"/>
      <c r="AC1275" s="48"/>
    </row>
    <row r="1276" spans="27:29">
      <c r="AA1276" s="48"/>
      <c r="AC1276" s="48"/>
    </row>
    <row r="1277" spans="27:29">
      <c r="AA1277" s="48"/>
      <c r="AC1277" s="48"/>
    </row>
    <row r="1278" spans="27:29">
      <c r="AA1278" s="48"/>
      <c r="AC1278" s="48"/>
    </row>
    <row r="1279" spans="27:29">
      <c r="AA1279" s="48"/>
      <c r="AC1279" s="48"/>
    </row>
    <row r="1280" spans="27:29">
      <c r="AA1280" s="48"/>
      <c r="AC1280" s="48"/>
    </row>
    <row r="1281" spans="27:29">
      <c r="AA1281" s="48"/>
      <c r="AC1281" s="48"/>
    </row>
    <row r="1282" spans="27:29">
      <c r="AA1282" s="48"/>
      <c r="AC1282" s="48"/>
    </row>
    <row r="1283" spans="27:29">
      <c r="AA1283" s="48"/>
      <c r="AC1283" s="48"/>
    </row>
    <row r="1284" spans="27:29">
      <c r="AA1284" s="48"/>
      <c r="AC1284" s="48"/>
    </row>
    <row r="1285" spans="27:29">
      <c r="AA1285" s="48"/>
      <c r="AC1285" s="48"/>
    </row>
    <row r="1286" spans="27:29">
      <c r="AA1286" s="48"/>
      <c r="AC1286" s="48"/>
    </row>
    <row r="1287" spans="27:29">
      <c r="AA1287" s="48"/>
      <c r="AC1287" s="48"/>
    </row>
    <row r="1288" spans="27:29">
      <c r="AA1288" s="48"/>
      <c r="AC1288" s="48"/>
    </row>
    <row r="1289" spans="27:29">
      <c r="AA1289" s="48"/>
      <c r="AC1289" s="48"/>
    </row>
    <row r="1290" spans="27:29">
      <c r="AA1290" s="48"/>
      <c r="AC1290" s="48"/>
    </row>
    <row r="1291" spans="27:29">
      <c r="AA1291" s="48"/>
      <c r="AC1291" s="48"/>
    </row>
    <row r="1292" spans="27:29">
      <c r="AA1292" s="48"/>
      <c r="AC1292" s="48"/>
    </row>
    <row r="1293" spans="27:29">
      <c r="AA1293" s="48"/>
      <c r="AC1293" s="48"/>
    </row>
    <row r="1294" spans="27:29">
      <c r="AA1294" s="48"/>
      <c r="AC1294" s="48"/>
    </row>
    <row r="1295" spans="27:29">
      <c r="AA1295" s="48"/>
      <c r="AC1295" s="48"/>
    </row>
    <row r="1296" spans="27:29">
      <c r="AA1296" s="48"/>
      <c r="AC1296" s="48"/>
    </row>
    <row r="1297" spans="27:29">
      <c r="AA1297" s="48"/>
      <c r="AC1297" s="48"/>
    </row>
    <row r="1298" spans="27:29">
      <c r="AA1298" s="48"/>
      <c r="AC1298" s="48"/>
    </row>
    <row r="1299" spans="27:29">
      <c r="AA1299" s="48"/>
      <c r="AC1299" s="48"/>
    </row>
    <row r="1300" spans="27:29">
      <c r="AA1300" s="48"/>
      <c r="AC1300" s="48"/>
    </row>
    <row r="1301" spans="27:29">
      <c r="AA1301" s="48"/>
      <c r="AC1301" s="48"/>
    </row>
    <row r="1302" spans="27:29">
      <c r="AA1302" s="48"/>
      <c r="AC1302" s="48"/>
    </row>
    <row r="1303" spans="27:29">
      <c r="AA1303" s="48"/>
      <c r="AC1303" s="48"/>
    </row>
    <row r="1304" spans="27:29">
      <c r="AA1304" s="48"/>
      <c r="AC1304" s="48"/>
    </row>
    <row r="1305" spans="27:29">
      <c r="AA1305" s="48"/>
      <c r="AC1305" s="48"/>
    </row>
    <row r="1306" spans="27:29">
      <c r="AA1306" s="48"/>
      <c r="AC1306" s="48"/>
    </row>
    <row r="1307" spans="27:29">
      <c r="AA1307" s="48"/>
      <c r="AC1307" s="48"/>
    </row>
    <row r="1308" spans="27:29">
      <c r="AA1308" s="48"/>
      <c r="AC1308" s="48"/>
    </row>
    <row r="1309" spans="27:29">
      <c r="AA1309" s="48"/>
      <c r="AC1309" s="48"/>
    </row>
    <row r="1310" spans="27:29">
      <c r="AA1310" s="48"/>
      <c r="AC1310" s="48"/>
    </row>
    <row r="1311" spans="27:29">
      <c r="AA1311" s="48"/>
      <c r="AC1311" s="48"/>
    </row>
    <row r="1312" spans="27:29">
      <c r="AA1312" s="48"/>
      <c r="AC1312" s="48"/>
    </row>
    <row r="1313" spans="27:29">
      <c r="AA1313" s="48"/>
      <c r="AC1313" s="48"/>
    </row>
    <row r="1314" spans="27:29">
      <c r="AA1314" s="48"/>
      <c r="AC1314" s="48"/>
    </row>
    <row r="1315" spans="27:29">
      <c r="AA1315" s="48"/>
      <c r="AC1315" s="48"/>
    </row>
    <row r="1316" spans="27:29">
      <c r="AA1316" s="48"/>
      <c r="AC1316" s="48"/>
    </row>
  </sheetData>
  <autoFilter ref="H1:H529" xr:uid="{56E2788F-462D-43EB-8B11-652A1D0E3E15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17"/>
  <sheetViews>
    <sheetView zoomScale="78" workbookViewId="0">
      <pane ySplit="1" topLeftCell="A2" activePane="bottomLeft" state="frozen"/>
      <selection activeCell="J1" sqref="J1"/>
      <selection pane="bottomLeft" activeCell="E15" sqref="E15"/>
    </sheetView>
  </sheetViews>
  <sheetFormatPr defaultColWidth="28.69921875" defaultRowHeight="13.8"/>
  <cols>
    <col min="1" max="2" width="13" customWidth="1"/>
    <col min="3" max="3" width="28.3984375" bestFit="1" customWidth="1"/>
    <col min="4" max="4" width="28.59765625" bestFit="1" customWidth="1"/>
    <col min="5" max="5" width="21.09765625" bestFit="1" customWidth="1"/>
    <col min="6" max="6" width="28.09765625" bestFit="1" customWidth="1"/>
    <col min="7" max="7" width="26.09765625" bestFit="1" customWidth="1"/>
    <col min="8" max="8" width="27.3984375" bestFit="1" customWidth="1"/>
    <col min="9" max="9" width="26.296875" bestFit="1" customWidth="1"/>
    <col min="10" max="10" width="28.296875" bestFit="1" customWidth="1"/>
    <col min="11" max="11" width="28.3984375" bestFit="1" customWidth="1"/>
    <col min="12" max="12" width="26.296875" bestFit="1" customWidth="1"/>
    <col min="13" max="13" width="23.09765625" bestFit="1" customWidth="1"/>
    <col min="14" max="14" width="28.3984375" bestFit="1" customWidth="1"/>
    <col min="15" max="15" width="27.69921875" bestFit="1" customWidth="1"/>
    <col min="16" max="16" width="21.296875" bestFit="1" customWidth="1"/>
  </cols>
  <sheetData>
    <row r="1" spans="1:17">
      <c r="A1" s="47" t="s">
        <v>119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>
      <c r="A2" s="25" t="s">
        <v>0</v>
      </c>
      <c r="B2" s="25" t="s">
        <v>160</v>
      </c>
      <c r="C2" s="21" t="s">
        <v>120</v>
      </c>
      <c r="D2" s="21" t="s">
        <v>121</v>
      </c>
      <c r="E2" s="22" t="s">
        <v>122</v>
      </c>
      <c r="F2" s="21" t="s">
        <v>123</v>
      </c>
      <c r="G2" s="21" t="s">
        <v>124</v>
      </c>
      <c r="H2" s="23" t="s">
        <v>125</v>
      </c>
      <c r="I2" s="22" t="s">
        <v>126</v>
      </c>
      <c r="J2" s="23" t="s">
        <v>127</v>
      </c>
      <c r="K2" s="24" t="s">
        <v>128</v>
      </c>
      <c r="L2" s="23" t="s">
        <v>129</v>
      </c>
      <c r="M2" s="22" t="s">
        <v>130</v>
      </c>
      <c r="N2" s="23" t="s">
        <v>131</v>
      </c>
      <c r="O2" s="22" t="s">
        <v>132</v>
      </c>
      <c r="P2" s="24" t="s">
        <v>133</v>
      </c>
    </row>
    <row r="3" spans="1:17" ht="51.75" customHeight="1">
      <c r="A3" s="25" t="s">
        <v>40</v>
      </c>
      <c r="B3" s="25" t="s">
        <v>160</v>
      </c>
      <c r="C3" s="11" t="s">
        <v>134</v>
      </c>
      <c r="D3" s="11" t="s">
        <v>135</v>
      </c>
      <c r="E3" s="12" t="s">
        <v>136</v>
      </c>
      <c r="F3" s="11" t="s">
        <v>137</v>
      </c>
      <c r="G3" s="11" t="s">
        <v>138</v>
      </c>
      <c r="H3" s="8" t="s">
        <v>139</v>
      </c>
      <c r="I3" s="12" t="s">
        <v>140</v>
      </c>
      <c r="J3" s="8" t="s">
        <v>141</v>
      </c>
      <c r="K3" s="9" t="s">
        <v>142</v>
      </c>
      <c r="L3" s="8" t="s">
        <v>143</v>
      </c>
      <c r="M3" s="12" t="s">
        <v>144</v>
      </c>
      <c r="N3" s="8" t="s">
        <v>145</v>
      </c>
      <c r="O3" s="12" t="s">
        <v>146</v>
      </c>
      <c r="P3" s="9" t="s">
        <v>147</v>
      </c>
    </row>
    <row r="4" spans="1:17">
      <c r="A4" s="25" t="s">
        <v>79</v>
      </c>
      <c r="B4" s="25"/>
      <c r="C4" s="11" t="s">
        <v>148</v>
      </c>
      <c r="D4" s="11" t="s">
        <v>149</v>
      </c>
      <c r="E4" s="12" t="s">
        <v>150</v>
      </c>
      <c r="F4" s="11" t="s">
        <v>151</v>
      </c>
      <c r="G4" s="11" t="s">
        <v>152</v>
      </c>
      <c r="H4" s="8" t="s">
        <v>153</v>
      </c>
      <c r="I4" s="12" t="s">
        <v>154</v>
      </c>
      <c r="J4" s="8" t="s">
        <v>155</v>
      </c>
      <c r="K4" s="9" t="s">
        <v>156</v>
      </c>
      <c r="L4" s="8" t="s">
        <v>157</v>
      </c>
      <c r="M4" s="12" t="s">
        <v>173</v>
      </c>
      <c r="N4" s="8" t="s">
        <v>158</v>
      </c>
      <c r="O4" s="12" t="s">
        <v>159</v>
      </c>
      <c r="P4" s="9">
        <v>3</v>
      </c>
    </row>
    <row r="5" spans="1:17">
      <c r="A5" s="25" t="s">
        <v>113</v>
      </c>
      <c r="B5" s="25" t="s">
        <v>114</v>
      </c>
      <c r="C5" s="5" t="s">
        <v>114</v>
      </c>
      <c r="D5" s="5" t="s">
        <v>114</v>
      </c>
      <c r="E5" s="7" t="s">
        <v>114</v>
      </c>
      <c r="F5" s="11" t="s">
        <v>116</v>
      </c>
      <c r="G5" s="11" t="s">
        <v>116</v>
      </c>
      <c r="H5" s="8" t="s">
        <v>116</v>
      </c>
      <c r="I5" s="7" t="s">
        <v>114</v>
      </c>
      <c r="J5" s="8" t="s">
        <v>115</v>
      </c>
      <c r="K5" s="6" t="s">
        <v>114</v>
      </c>
      <c r="L5" s="8" t="s">
        <v>114</v>
      </c>
      <c r="M5" s="12" t="s">
        <v>114</v>
      </c>
      <c r="N5" s="8" t="s">
        <v>115</v>
      </c>
      <c r="O5" s="12" t="s">
        <v>115</v>
      </c>
      <c r="P5" s="6" t="s">
        <v>114</v>
      </c>
    </row>
    <row r="7" spans="1:17">
      <c r="B7" t="s">
        <v>170</v>
      </c>
      <c r="C7" t="s">
        <v>168</v>
      </c>
      <c r="D7">
        <v>28</v>
      </c>
      <c r="E7" t="s">
        <v>150</v>
      </c>
      <c r="F7" s="33" t="s">
        <v>171</v>
      </c>
      <c r="G7" s="33" t="s">
        <v>172</v>
      </c>
      <c r="H7">
        <v>2</v>
      </c>
      <c r="I7" s="37">
        <v>46149</v>
      </c>
      <c r="J7" s="35">
        <f t="shared" ref="J7:J15" si="0">+I7+1</f>
        <v>46150</v>
      </c>
      <c r="K7" s="34">
        <f t="shared" ref="K7:K15" si="1">+I7+116</f>
        <v>46265</v>
      </c>
      <c r="L7" s="34">
        <f t="shared" ref="L7:L15" si="2">+I7+28</f>
        <v>46177</v>
      </c>
      <c r="M7" s="36" t="s">
        <v>173</v>
      </c>
      <c r="N7" t="b">
        <v>1</v>
      </c>
      <c r="O7" s="36" t="s">
        <v>167</v>
      </c>
      <c r="P7">
        <v>1</v>
      </c>
    </row>
    <row r="8" spans="1:17">
      <c r="B8" s="38" t="s">
        <v>174</v>
      </c>
      <c r="C8" t="s">
        <v>168</v>
      </c>
      <c r="D8">
        <v>28</v>
      </c>
      <c r="E8" t="s">
        <v>150</v>
      </c>
      <c r="F8" s="33" t="s">
        <v>171</v>
      </c>
      <c r="G8" s="33" t="s">
        <v>172</v>
      </c>
      <c r="H8">
        <v>2</v>
      </c>
      <c r="I8" s="37">
        <v>46149</v>
      </c>
      <c r="J8" s="35">
        <f t="shared" si="0"/>
        <v>46150</v>
      </c>
      <c r="K8" s="34">
        <f t="shared" si="1"/>
        <v>46265</v>
      </c>
      <c r="L8" s="34">
        <f t="shared" si="2"/>
        <v>46177</v>
      </c>
      <c r="M8" s="36" t="s">
        <v>173</v>
      </c>
      <c r="N8" t="b">
        <v>1</v>
      </c>
      <c r="O8" s="36" t="s">
        <v>167</v>
      </c>
      <c r="P8">
        <v>1</v>
      </c>
    </row>
    <row r="9" spans="1:17">
      <c r="B9" t="s">
        <v>175</v>
      </c>
      <c r="C9" t="s">
        <v>168</v>
      </c>
      <c r="D9">
        <v>28</v>
      </c>
      <c r="E9" t="s">
        <v>150</v>
      </c>
      <c r="F9" s="33" t="s">
        <v>171</v>
      </c>
      <c r="G9" s="33" t="s">
        <v>172</v>
      </c>
      <c r="H9">
        <v>2</v>
      </c>
      <c r="I9" s="37">
        <v>46149</v>
      </c>
      <c r="J9" s="35">
        <f t="shared" si="0"/>
        <v>46150</v>
      </c>
      <c r="K9" s="34">
        <f t="shared" si="1"/>
        <v>46265</v>
      </c>
      <c r="L9" s="34">
        <f t="shared" si="2"/>
        <v>46177</v>
      </c>
      <c r="M9" s="36" t="s">
        <v>173</v>
      </c>
      <c r="N9" t="b">
        <v>1</v>
      </c>
      <c r="O9" s="36" t="s">
        <v>167</v>
      </c>
      <c r="P9">
        <v>1</v>
      </c>
    </row>
    <row r="10" spans="1:17">
      <c r="B10" t="s">
        <v>176</v>
      </c>
      <c r="C10" t="s">
        <v>168</v>
      </c>
      <c r="D10">
        <v>28</v>
      </c>
      <c r="E10" t="s">
        <v>150</v>
      </c>
      <c r="F10" s="33" t="s">
        <v>171</v>
      </c>
      <c r="G10" s="33" t="s">
        <v>172</v>
      </c>
      <c r="H10">
        <v>2</v>
      </c>
      <c r="I10" s="37">
        <v>46149</v>
      </c>
      <c r="J10" s="35">
        <f t="shared" si="0"/>
        <v>46150</v>
      </c>
      <c r="K10" s="34">
        <f t="shared" si="1"/>
        <v>46265</v>
      </c>
      <c r="L10" s="34">
        <f t="shared" si="2"/>
        <v>46177</v>
      </c>
      <c r="M10" s="36" t="s">
        <v>173</v>
      </c>
      <c r="N10" t="b">
        <v>1</v>
      </c>
      <c r="O10" s="36" t="s">
        <v>167</v>
      </c>
      <c r="P10">
        <v>1</v>
      </c>
    </row>
    <row r="11" spans="1:17">
      <c r="B11" t="s">
        <v>177</v>
      </c>
      <c r="C11" t="s">
        <v>81</v>
      </c>
      <c r="D11">
        <v>28</v>
      </c>
      <c r="E11" t="s">
        <v>150</v>
      </c>
      <c r="F11" s="33" t="s">
        <v>171</v>
      </c>
      <c r="G11" s="33" t="s">
        <v>172</v>
      </c>
      <c r="H11">
        <v>2</v>
      </c>
      <c r="I11" s="37">
        <v>46180</v>
      </c>
      <c r="J11" s="35">
        <f t="shared" si="0"/>
        <v>46181</v>
      </c>
      <c r="K11" s="34">
        <f t="shared" si="1"/>
        <v>46296</v>
      </c>
      <c r="L11" s="34">
        <f t="shared" si="2"/>
        <v>46208</v>
      </c>
      <c r="M11" s="36" t="s">
        <v>173</v>
      </c>
      <c r="N11" t="b">
        <v>1</v>
      </c>
      <c r="O11" s="36" t="s">
        <v>167</v>
      </c>
      <c r="P11">
        <v>4</v>
      </c>
    </row>
    <row r="12" spans="1:17">
      <c r="B12" t="s">
        <v>178</v>
      </c>
      <c r="C12" t="s">
        <v>81</v>
      </c>
      <c r="D12">
        <v>28</v>
      </c>
      <c r="E12" t="s">
        <v>150</v>
      </c>
      <c r="F12" s="33" t="s">
        <v>171</v>
      </c>
      <c r="G12" s="33" t="s">
        <v>172</v>
      </c>
      <c r="H12">
        <v>1</v>
      </c>
      <c r="I12" s="37">
        <v>46210</v>
      </c>
      <c r="J12" s="35">
        <f t="shared" si="0"/>
        <v>46211</v>
      </c>
      <c r="K12" s="34">
        <f t="shared" si="1"/>
        <v>46326</v>
      </c>
      <c r="L12" s="34">
        <f t="shared" si="2"/>
        <v>46238</v>
      </c>
      <c r="M12" s="36" t="s">
        <v>173</v>
      </c>
      <c r="N12" t="b">
        <v>1</v>
      </c>
      <c r="O12" s="36" t="s">
        <v>167</v>
      </c>
      <c r="P12">
        <v>4</v>
      </c>
    </row>
    <row r="13" spans="1:17">
      <c r="B13" t="s">
        <v>179</v>
      </c>
      <c r="C13" t="s">
        <v>81</v>
      </c>
      <c r="D13">
        <v>28</v>
      </c>
      <c r="E13" t="s">
        <v>150</v>
      </c>
      <c r="F13" s="33" t="s">
        <v>171</v>
      </c>
      <c r="G13" s="33" t="s">
        <v>172</v>
      </c>
      <c r="H13">
        <v>2</v>
      </c>
      <c r="I13" s="37">
        <v>46210</v>
      </c>
      <c r="J13" s="35">
        <f t="shared" si="0"/>
        <v>46211</v>
      </c>
      <c r="K13" s="34">
        <f t="shared" si="1"/>
        <v>46326</v>
      </c>
      <c r="L13" s="34">
        <f t="shared" si="2"/>
        <v>46238</v>
      </c>
      <c r="M13" s="36" t="s">
        <v>173</v>
      </c>
      <c r="N13" t="b">
        <v>1</v>
      </c>
      <c r="O13" s="36" t="s">
        <v>167</v>
      </c>
      <c r="P13">
        <v>3</v>
      </c>
    </row>
    <row r="14" spans="1:17">
      <c r="B14" t="s">
        <v>180</v>
      </c>
      <c r="C14" t="s">
        <v>81</v>
      </c>
      <c r="D14">
        <v>28</v>
      </c>
      <c r="E14" t="s">
        <v>150</v>
      </c>
      <c r="F14" s="33" t="s">
        <v>171</v>
      </c>
      <c r="G14" s="33" t="s">
        <v>172</v>
      </c>
      <c r="H14">
        <v>2</v>
      </c>
      <c r="I14" s="37">
        <v>46180</v>
      </c>
      <c r="J14" s="35">
        <f t="shared" si="0"/>
        <v>46181</v>
      </c>
      <c r="K14" s="34">
        <f t="shared" si="1"/>
        <v>46296</v>
      </c>
      <c r="L14" s="34">
        <f t="shared" si="2"/>
        <v>46208</v>
      </c>
      <c r="M14" s="36" t="s">
        <v>173</v>
      </c>
      <c r="N14" t="b">
        <v>1</v>
      </c>
      <c r="O14" s="36" t="s">
        <v>167</v>
      </c>
      <c r="P14">
        <v>3</v>
      </c>
    </row>
    <row r="15" spans="1:17">
      <c r="B15" t="s">
        <v>181</v>
      </c>
      <c r="C15" t="s">
        <v>81</v>
      </c>
      <c r="D15">
        <v>28</v>
      </c>
      <c r="E15" t="s">
        <v>150</v>
      </c>
      <c r="F15" s="33" t="s">
        <v>171</v>
      </c>
      <c r="G15" s="33" t="s">
        <v>172</v>
      </c>
      <c r="H15">
        <v>2</v>
      </c>
      <c r="I15" s="37">
        <v>46180</v>
      </c>
      <c r="J15" s="35">
        <f t="shared" si="0"/>
        <v>46181</v>
      </c>
      <c r="K15" s="34">
        <f t="shared" si="1"/>
        <v>46296</v>
      </c>
      <c r="L15" s="34">
        <f t="shared" si="2"/>
        <v>46208</v>
      </c>
      <c r="M15" s="36" t="s">
        <v>173</v>
      </c>
      <c r="N15" t="b">
        <v>1</v>
      </c>
      <c r="O15" s="36" t="s">
        <v>167</v>
      </c>
      <c r="P15">
        <v>2</v>
      </c>
    </row>
    <row r="17" spans="15:15">
      <c r="O17" s="36"/>
    </row>
  </sheetData>
  <mergeCells count="1">
    <mergeCell ref="A1:Q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D1635-5729-4393-A801-C1E15CF6DA4C}">
  <ds:schemaRefs>
    <ds:schemaRef ds:uri="http://schemas.microsoft.com/office/2006/metadata/properties"/>
    <ds:schemaRef ds:uri="http://purl.org/dc/terms/"/>
    <ds:schemaRef ds:uri="7146d502-05f5-4fb7-b414-24f33b760985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28C192-8F9F-4BF7-8576-6FC152F50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CE624-0CAE-44FF-97AE-0BE2296CA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 Register</vt:lpstr>
      <vt:lpstr> Breeding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Tapiwanashe Zimunhu</cp:lastModifiedBy>
  <cp:revision/>
  <cp:lastPrinted>2026-09-03T16:33:28Z</cp:lastPrinted>
  <dcterms:created xsi:type="dcterms:W3CDTF">2026-08-17T18:24:52Z</dcterms:created>
  <dcterms:modified xsi:type="dcterms:W3CDTF">2026-09-07T06:48:09Z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